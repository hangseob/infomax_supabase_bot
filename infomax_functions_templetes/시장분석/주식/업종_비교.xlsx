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현재_통합_문서" defaultThemeVersion="124226"/>
  <bookViews>
    <workbookView xWindow="1170" yWindow="1170" windowWidth="26670" windowHeight="12195"/>
  </bookViews>
  <sheets>
    <sheet name="업종비교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R52" i="1"/>
  <c r="LQ52"/>
  <c r="LP52"/>
  <c r="LN52"/>
  <c r="LM52"/>
  <c r="LL52"/>
  <c r="LJ52"/>
  <c r="LI52"/>
  <c r="LH52"/>
  <c r="LF52"/>
  <c r="LE52"/>
  <c r="LD52"/>
  <c r="LB52"/>
  <c r="LA52"/>
  <c r="KZ52"/>
  <c r="KX52"/>
  <c r="KW52"/>
  <c r="KV52"/>
  <c r="KT52"/>
  <c r="KS52"/>
  <c r="KR52"/>
  <c r="KP52"/>
  <c r="KO52"/>
  <c r="KN52"/>
  <c r="KL52"/>
  <c r="KK52"/>
  <c r="KJ52"/>
  <c r="KH52"/>
  <c r="KG52"/>
  <c r="KF52"/>
  <c r="KD52"/>
  <c r="KC52"/>
  <c r="KB52"/>
  <c r="JZ52"/>
  <c r="JY52"/>
  <c r="JX52"/>
  <c r="JV52"/>
  <c r="JU52"/>
  <c r="JT52"/>
  <c r="JR52"/>
  <c r="JQ52"/>
  <c r="JP52"/>
  <c r="JN52"/>
  <c r="JM52"/>
  <c r="JL52"/>
  <c r="JJ52"/>
  <c r="JI52"/>
  <c r="JH52"/>
  <c r="JF52"/>
  <c r="JE52"/>
  <c r="JD52"/>
  <c r="JB52"/>
  <c r="JA52"/>
  <c r="IZ52"/>
  <c r="IX52"/>
  <c r="IW52"/>
  <c r="IV52"/>
  <c r="IT52"/>
  <c r="IS52"/>
  <c r="IR52"/>
  <c r="IP52"/>
  <c r="IO52"/>
  <c r="IN52"/>
  <c r="IL52"/>
  <c r="IK52"/>
  <c r="IJ52"/>
  <c r="IH52"/>
  <c r="IG52"/>
  <c r="IF52"/>
  <c r="ID52"/>
  <c r="IC52"/>
  <c r="IB52"/>
  <c r="HZ52"/>
  <c r="HY52"/>
  <c r="HX52"/>
  <c r="HV52"/>
  <c r="HU52"/>
  <c r="HT52"/>
  <c r="HR52"/>
  <c r="HQ52"/>
  <c r="HP52"/>
  <c r="HN52"/>
  <c r="HM52"/>
  <c r="HL52"/>
  <c r="HJ52"/>
  <c r="HI52"/>
  <c r="HH52"/>
  <c r="HF52"/>
  <c r="HE52"/>
  <c r="HD52"/>
  <c r="HB52"/>
  <c r="HA52"/>
  <c r="GZ52"/>
  <c r="GX52"/>
  <c r="GW52"/>
  <c r="GV52"/>
  <c r="GT52"/>
  <c r="GS52"/>
  <c r="GR52"/>
  <c r="GP52"/>
  <c r="GO52"/>
  <c r="GN52"/>
  <c r="GL52"/>
  <c r="GK52"/>
  <c r="GJ52"/>
  <c r="GH52"/>
  <c r="GG52"/>
  <c r="GF52"/>
  <c r="GD52"/>
  <c r="GC52"/>
  <c r="GB52"/>
  <c r="FZ52"/>
  <c r="FY52"/>
  <c r="FX52"/>
  <c r="FQ52"/>
  <c r="FP52"/>
  <c r="FO52"/>
  <c r="FM52"/>
  <c r="FL52"/>
  <c r="FK52"/>
  <c r="FI52"/>
  <c r="FH52"/>
  <c r="FG52"/>
  <c r="FE52"/>
  <c r="FD52"/>
  <c r="FC52"/>
  <c r="FA52"/>
  <c r="EZ52"/>
  <c r="EY52"/>
  <c r="EW52"/>
  <c r="EV52"/>
  <c r="EU52"/>
  <c r="ES52"/>
  <c r="ER52"/>
  <c r="EQ52"/>
  <c r="EO52"/>
  <c r="EN52"/>
  <c r="EM52"/>
  <c r="EK52"/>
  <c r="EJ52"/>
  <c r="EI52"/>
  <c r="EG52"/>
  <c r="EF52"/>
  <c r="EE52"/>
  <c r="EC52"/>
  <c r="EB52"/>
  <c r="EA52"/>
  <c r="DY52"/>
  <c r="DX52"/>
  <c r="DW52"/>
  <c r="DU52"/>
  <c r="DT52"/>
  <c r="DS52"/>
  <c r="DQ52"/>
  <c r="DP52"/>
  <c r="DO52"/>
  <c r="DM52"/>
  <c r="DL52"/>
  <c r="DK52"/>
  <c r="DI52"/>
  <c r="DH52"/>
  <c r="DG52"/>
  <c r="DE52"/>
  <c r="DD52"/>
  <c r="DC52"/>
  <c r="DA52"/>
  <c r="CZ52"/>
  <c r="CY52"/>
  <c r="CW52"/>
  <c r="CV52"/>
  <c r="CU52"/>
  <c r="CS52"/>
  <c r="CR52"/>
  <c r="CQ52"/>
  <c r="CO52"/>
  <c r="CN52"/>
  <c r="CM52"/>
  <c r="CK52"/>
  <c r="CJ52"/>
  <c r="CI52"/>
  <c r="CG52"/>
  <c r="CF52"/>
  <c r="CE52"/>
  <c r="CC52"/>
  <c r="CB52"/>
  <c r="CA52"/>
  <c r="BY52"/>
  <c r="BX52"/>
  <c r="BW52"/>
  <c r="BU52"/>
  <c r="BT52"/>
  <c r="BS52"/>
  <c r="BQ52"/>
  <c r="BP52"/>
  <c r="BO52"/>
  <c r="BM52"/>
  <c r="BL52"/>
  <c r="BK52"/>
  <c r="BI52"/>
  <c r="BH52"/>
  <c r="BG52"/>
  <c r="BE52"/>
  <c r="BD52"/>
  <c r="BC52"/>
  <c r="BA52"/>
  <c r="AZ52"/>
  <c r="AY52"/>
  <c r="AW52"/>
  <c r="AV52"/>
  <c r="AU52"/>
  <c r="AS52"/>
  <c r="AR52"/>
  <c r="AQ52"/>
  <c r="AO52"/>
  <c r="AN52"/>
  <c r="AM52"/>
  <c r="V50"/>
  <c r="Z50" s="1"/>
  <c r="R55"/>
  <c r="FS55" s="1"/>
  <c r="D44"/>
  <c r="D43"/>
  <c r="D42"/>
  <c r="D87" s="1"/>
  <c r="D41"/>
  <c r="D86" s="1"/>
  <c r="D40"/>
  <c r="C40" s="1"/>
  <c r="C85" s="1"/>
  <c r="D39"/>
  <c r="D84" s="1"/>
  <c r="D38"/>
  <c r="C38" s="1"/>
  <c r="C83" s="1"/>
  <c r="D37"/>
  <c r="D36"/>
  <c r="C36" s="1"/>
  <c r="C81" s="1"/>
  <c r="D35"/>
  <c r="D80" s="1"/>
  <c r="D34"/>
  <c r="C34" s="1"/>
  <c r="C79" s="1"/>
  <c r="D33"/>
  <c r="C33" s="1"/>
  <c r="C78" s="1"/>
  <c r="D32"/>
  <c r="D31"/>
  <c r="D30"/>
  <c r="C30" s="1"/>
  <c r="C75" s="1"/>
  <c r="D29"/>
  <c r="D28"/>
  <c r="D27"/>
  <c r="C27" s="1"/>
  <c r="C72" s="1"/>
  <c r="D26"/>
  <c r="D25"/>
  <c r="D24"/>
  <c r="D69" s="1"/>
  <c r="D23"/>
  <c r="D22"/>
  <c r="D21"/>
  <c r="D20"/>
  <c r="D19"/>
  <c r="C19" s="1"/>
  <c r="C64" s="1"/>
  <c r="D18"/>
  <c r="C18" s="1"/>
  <c r="C63" s="1"/>
  <c r="D17"/>
  <c r="D16"/>
  <c r="D61" s="1"/>
  <c r="D15"/>
  <c r="D60" s="1"/>
  <c r="D14"/>
  <c r="D59" s="1"/>
  <c r="D13"/>
  <c r="D58" s="1"/>
  <c r="D12"/>
  <c r="D57" s="1"/>
  <c r="D11"/>
  <c r="C11" s="1"/>
  <c r="C56" s="1"/>
  <c r="D10"/>
  <c r="D55" s="1"/>
  <c r="D9"/>
  <c r="D8"/>
  <c r="D7"/>
  <c r="D6"/>
  <c r="C6" s="1"/>
  <c r="C51" s="1"/>
  <c r="E3"/>
  <c r="K57" a="1"/>
  <c r="H84" a="1"/>
  <c r="E87" a="1"/>
  <c r="F35"/>
  <c r="G19"/>
  <c r="E26"/>
  <c r="G6"/>
  <c r="E60" a="1"/>
  <c r="G35"/>
  <c r="F6"/>
  <c r="E86" a="1"/>
  <c r="G40"/>
  <c r="E39"/>
  <c r="G16"/>
  <c r="F26"/>
  <c r="K59" a="1"/>
  <c r="H55" a="1"/>
  <c r="G10"/>
  <c r="G11"/>
  <c r="F34"/>
  <c r="G33"/>
  <c r="F15"/>
  <c r="K60" a="1"/>
  <c r="K69" a="1"/>
  <c r="E43"/>
  <c r="H59" a="1"/>
  <c r="E59" a="1"/>
  <c r="G28"/>
  <c r="F44"/>
  <c r="K55" a="1"/>
  <c r="E69" a="1"/>
  <c r="F14"/>
  <c r="M13"/>
  <c r="F39"/>
  <c r="G9"/>
  <c r="K61" a="1"/>
  <c r="H60" a="1"/>
  <c r="E28"/>
  <c r="M15"/>
  <c r="M6"/>
  <c r="K58" a="1"/>
  <c r="H57" a="1"/>
  <c r="E61" a="1"/>
  <c r="M33"/>
  <c r="F16"/>
  <c r="E11"/>
  <c r="F28"/>
  <c r="H87" a="1"/>
  <c r="E84" a="1"/>
  <c r="M41"/>
  <c r="F8"/>
  <c r="M27"/>
  <c r="M11"/>
  <c r="E16"/>
  <c r="F30"/>
  <c r="K87" a="1"/>
  <c r="K84" a="1"/>
  <c r="H61" a="1"/>
  <c r="E55" a="1"/>
  <c r="M19"/>
  <c r="G30"/>
  <c r="G15"/>
  <c r="M39"/>
  <c r="H80" a="1"/>
  <c r="E80" a="1"/>
  <c r="G39"/>
  <c r="F40"/>
  <c r="E42"/>
  <c r="E15"/>
  <c r="H58" a="1"/>
  <c r="K80" a="1"/>
  <c r="K86" a="1"/>
  <c r="H69" a="1"/>
  <c r="E57" a="1"/>
  <c r="E35"/>
  <c r="M31"/>
  <c r="F19"/>
  <c r="E6"/>
  <c r="G13"/>
  <c r="H86" a="1"/>
  <c r="F10"/>
  <c r="E58" a="1"/>
  <c r="G26"/>
  <c r="AD50" l="1"/>
  <c r="Z55"/>
  <c r="GA55" s="1"/>
  <c r="V55"/>
  <c r="FW55" s="1"/>
  <c r="K55"/>
  <c r="K61"/>
  <c r="K58"/>
  <c r="K87"/>
  <c r="K84"/>
  <c r="K80"/>
  <c r="K86"/>
  <c r="K57"/>
  <c r="K59"/>
  <c r="K60"/>
  <c r="K69"/>
  <c r="H60"/>
  <c r="H57"/>
  <c r="H87"/>
  <c r="H61"/>
  <c r="H80"/>
  <c r="H69"/>
  <c r="H84"/>
  <c r="H55"/>
  <c r="H86"/>
  <c r="H58"/>
  <c r="H59"/>
  <c r="E61"/>
  <c r="E84"/>
  <c r="E55"/>
  <c r="E80"/>
  <c r="E57"/>
  <c r="E87"/>
  <c r="E60"/>
  <c r="E86"/>
  <c r="E58"/>
  <c r="E59"/>
  <c r="E69"/>
  <c r="R52"/>
  <c r="FS52" s="1"/>
  <c r="C39"/>
  <c r="C84" s="1"/>
  <c r="D89"/>
  <c r="D78"/>
  <c r="D79"/>
  <c r="D85"/>
  <c r="D88"/>
  <c r="C13"/>
  <c r="C58" s="1"/>
  <c r="C10"/>
  <c r="C55" s="1"/>
  <c r="D56"/>
  <c r="C35"/>
  <c r="C80" s="1"/>
  <c r="D64"/>
  <c r="D52"/>
  <c r="D82"/>
  <c r="D66"/>
  <c r="D67"/>
  <c r="C28"/>
  <c r="C73" s="1"/>
  <c r="D73"/>
  <c r="D62"/>
  <c r="C17"/>
  <c r="C62" s="1"/>
  <c r="C7"/>
  <c r="C52" s="1"/>
  <c r="D54"/>
  <c r="C25"/>
  <c r="C70" s="1"/>
  <c r="D70"/>
  <c r="D76"/>
  <c r="D81"/>
  <c r="C12"/>
  <c r="C57" s="1"/>
  <c r="C31"/>
  <c r="C76" s="1"/>
  <c r="D77"/>
  <c r="C32"/>
  <c r="C77" s="1"/>
  <c r="D68"/>
  <c r="C14"/>
  <c r="C59" s="1"/>
  <c r="C37"/>
  <c r="C82" s="1"/>
  <c r="C29"/>
  <c r="C74" s="1"/>
  <c r="D74"/>
  <c r="C16"/>
  <c r="C61" s="1"/>
  <c r="D53"/>
  <c r="C8"/>
  <c r="C53" s="1"/>
  <c r="D65"/>
  <c r="C26"/>
  <c r="C71" s="1"/>
  <c r="C15"/>
  <c r="C60" s="1"/>
  <c r="D72"/>
  <c r="D75"/>
  <c r="C41"/>
  <c r="C86" s="1"/>
  <c r="C42"/>
  <c r="C87" s="1"/>
  <c r="C20"/>
  <c r="C65" s="1"/>
  <c r="C9"/>
  <c r="C54" s="1"/>
  <c r="C21"/>
  <c r="C66" s="1"/>
  <c r="C22"/>
  <c r="C67" s="1"/>
  <c r="C23"/>
  <c r="C68" s="1"/>
  <c r="D83"/>
  <c r="D51"/>
  <c r="D71"/>
  <c r="D63"/>
  <c r="C24"/>
  <c r="C69" s="1"/>
  <c r="FV52"/>
  <c r="FU52"/>
  <c r="FT52"/>
  <c r="FT54"/>
  <c r="FV54"/>
  <c r="AK52"/>
  <c r="AJ52"/>
  <c r="AI52"/>
  <c r="AG52"/>
  <c r="AF52"/>
  <c r="AC52"/>
  <c r="AE52"/>
  <c r="AB52"/>
  <c r="AA52"/>
  <c r="Y52"/>
  <c r="X52"/>
  <c r="W52"/>
  <c r="U52"/>
  <c r="T52"/>
  <c r="S52"/>
  <c r="S54"/>
  <c r="K43"/>
  <c r="K83" a="1"/>
  <c r="K54" a="1"/>
  <c r="K51" a="1"/>
  <c r="K70" a="1"/>
  <c r="K82" a="1"/>
  <c r="K64" a="1"/>
  <c r="FS56"/>
  <c r="I43"/>
  <c r="H83" a="1"/>
  <c r="H54" a="1"/>
  <c r="H51" a="1"/>
  <c r="H70" a="1"/>
  <c r="H82" a="1"/>
  <c r="H64" a="1"/>
  <c r="FW56"/>
  <c r="G43"/>
  <c r="E83" a="1"/>
  <c r="E54" a="1"/>
  <c r="E51" a="1"/>
  <c r="E70" a="1"/>
  <c r="E82" a="1"/>
  <c r="E64" a="1"/>
  <c r="GA56"/>
  <c r="E22"/>
  <c r="M14"/>
  <c r="L11"/>
  <c r="E41"/>
  <c r="J16"/>
  <c r="G12"/>
  <c r="E27"/>
  <c r="J11"/>
  <c r="M35"/>
  <c r="E38"/>
  <c r="F38"/>
  <c r="G41"/>
  <c r="G18"/>
  <c r="E33"/>
  <c r="M22"/>
  <c r="G7"/>
  <c r="M26"/>
  <c r="L39"/>
  <c r="F42"/>
  <c r="H43"/>
  <c r="K56" a="1"/>
  <c r="K62" a="1"/>
  <c r="K81" a="1"/>
  <c r="K78" a="1"/>
  <c r="K77" a="1"/>
  <c r="K73" a="1"/>
  <c r="K66" a="1"/>
  <c r="G29"/>
  <c r="F7"/>
  <c r="M38"/>
  <c r="K11"/>
  <c r="K26"/>
  <c r="G17"/>
  <c r="G22"/>
  <c r="F20"/>
  <c r="E21"/>
  <c r="F29"/>
  <c r="L28"/>
  <c r="H35"/>
  <c r="I39"/>
  <c r="M36"/>
  <c r="I11"/>
  <c r="G44"/>
  <c r="H56" a="1"/>
  <c r="H62" a="1"/>
  <c r="H81" a="1"/>
  <c r="H78" a="1"/>
  <c r="H77" a="1"/>
  <c r="H73" a="1"/>
  <c r="H66" a="1"/>
  <c r="G20"/>
  <c r="J15"/>
  <c r="L42"/>
  <c r="E12"/>
  <c r="M28"/>
  <c r="F18"/>
  <c r="J6"/>
  <c r="I6"/>
  <c r="H15"/>
  <c r="E32"/>
  <c r="F24"/>
  <c r="E29"/>
  <c r="L35"/>
  <c r="F12"/>
  <c r="L15"/>
  <c r="M10"/>
  <c r="E8"/>
  <c r="J43"/>
  <c r="E56" a="1"/>
  <c r="E62" a="1"/>
  <c r="E81" a="1"/>
  <c r="E78" a="1"/>
  <c r="E77" a="1"/>
  <c r="E73" a="1"/>
  <c r="E66" a="1"/>
  <c r="M24"/>
  <c r="F11"/>
  <c r="M37"/>
  <c r="H11"/>
  <c r="E36"/>
  <c r="H42"/>
  <c r="K16"/>
  <c r="F17"/>
  <c r="K39"/>
  <c r="G42"/>
  <c r="M44"/>
  <c r="K53" a="1"/>
  <c r="K67" a="1"/>
  <c r="K76" a="1"/>
  <c r="K72" a="1"/>
  <c r="K65" a="1"/>
  <c r="K75" a="1"/>
  <c r="K52" a="1"/>
  <c r="H28"/>
  <c r="F32"/>
  <c r="G23"/>
  <c r="G31"/>
  <c r="H39"/>
  <c r="H6"/>
  <c r="E31"/>
  <c r="K28"/>
  <c r="F9"/>
  <c r="E30"/>
  <c r="L16"/>
  <c r="K35"/>
  <c r="H75" a="1"/>
  <c r="I28"/>
  <c r="J42"/>
  <c r="M42"/>
  <c r="L43"/>
  <c r="H53" a="1"/>
  <c r="H67" a="1"/>
  <c r="H76" a="1"/>
  <c r="H72" a="1"/>
  <c r="H65" a="1"/>
  <c r="H52" a="1"/>
  <c r="E17"/>
  <c r="M7"/>
  <c r="K15"/>
  <c r="M17"/>
  <c r="M9"/>
  <c r="E19"/>
  <c r="M8"/>
  <c r="E53" a="1"/>
  <c r="E67" a="1"/>
  <c r="E76" a="1"/>
  <c r="E72" a="1"/>
  <c r="E65" a="1"/>
  <c r="E75" a="1"/>
  <c r="E52" a="1"/>
  <c r="E34"/>
  <c r="F27"/>
  <c r="E14"/>
  <c r="G8"/>
  <c r="G27"/>
  <c r="E37"/>
  <c r="F31"/>
  <c r="F21"/>
  <c r="F13"/>
  <c r="K6"/>
  <c r="M43"/>
  <c r="K71" a="1"/>
  <c r="K79" a="1"/>
  <c r="K68" a="1"/>
  <c r="K85" a="1"/>
  <c r="K74" a="1"/>
  <c r="K63" a="1"/>
  <c r="F37"/>
  <c r="F22"/>
  <c r="M40"/>
  <c r="E25"/>
  <c r="I15"/>
  <c r="M30"/>
  <c r="M34"/>
  <c r="E18"/>
  <c r="G34"/>
  <c r="F33"/>
  <c r="M16"/>
  <c r="G25"/>
  <c r="J35"/>
  <c r="H16"/>
  <c r="G37"/>
  <c r="G21"/>
  <c r="I26"/>
  <c r="E9"/>
  <c r="H26"/>
  <c r="E20"/>
  <c r="F23"/>
  <c r="E44"/>
  <c r="H71" a="1"/>
  <c r="H79" a="1"/>
  <c r="H68" a="1"/>
  <c r="H85" a="1"/>
  <c r="H74" a="1"/>
  <c r="H63" a="1"/>
  <c r="M32"/>
  <c r="G38"/>
  <c r="J39"/>
  <c r="E23"/>
  <c r="L6"/>
  <c r="M12"/>
  <c r="F36"/>
  <c r="E24"/>
  <c r="E40"/>
  <c r="M20"/>
  <c r="M18"/>
  <c r="J26"/>
  <c r="F25"/>
  <c r="M29"/>
  <c r="E10"/>
  <c r="G36"/>
  <c r="E13"/>
  <c r="M21"/>
  <c r="F43"/>
  <c r="E71" a="1"/>
  <c r="E79" a="1"/>
  <c r="E68" a="1"/>
  <c r="E85" a="1"/>
  <c r="E74" a="1"/>
  <c r="E63" a="1"/>
  <c r="K42"/>
  <c r="I42"/>
  <c r="G14"/>
  <c r="G24"/>
  <c r="F41"/>
  <c r="M23"/>
  <c r="G32"/>
  <c r="I16"/>
  <c r="M25"/>
  <c r="I35"/>
  <c r="J28"/>
  <c r="E7"/>
  <c r="L26"/>
  <c r="G55" l="1" a="1"/>
  <c r="G55" s="1"/>
  <c r="V52"/>
  <c r="FW52" s="1"/>
  <c r="L86" a="1"/>
  <c r="L86" s="1"/>
  <c r="M86" a="1"/>
  <c r="M86" s="1"/>
  <c r="L80" a="1"/>
  <c r="L80" s="1"/>
  <c r="M80" a="1"/>
  <c r="M80" s="1"/>
  <c r="L84" a="1"/>
  <c r="L84" s="1"/>
  <c r="M84" a="1"/>
  <c r="M84" s="1"/>
  <c r="L87" a="1"/>
  <c r="L87" s="1"/>
  <c r="M87" a="1"/>
  <c r="M87" s="1"/>
  <c r="I80" a="1"/>
  <c r="I80" s="1"/>
  <c r="J80" a="1"/>
  <c r="J80" s="1"/>
  <c r="I87" a="1"/>
  <c r="I87" s="1"/>
  <c r="J87" a="1"/>
  <c r="J87" s="1"/>
  <c r="I86" a="1"/>
  <c r="I86" s="1"/>
  <c r="J86" a="1"/>
  <c r="J86" s="1"/>
  <c r="I84" a="1"/>
  <c r="I84" s="1"/>
  <c r="J84" a="1"/>
  <c r="J84" s="1"/>
  <c r="F86" a="1"/>
  <c r="F86" s="1"/>
  <c r="G86" a="1"/>
  <c r="G86" s="1"/>
  <c r="F87" a="1"/>
  <c r="F87" s="1"/>
  <c r="G87" a="1"/>
  <c r="G87" s="1"/>
  <c r="F80" a="1"/>
  <c r="F80" s="1"/>
  <c r="G80" a="1"/>
  <c r="G80" s="1"/>
  <c r="F84" a="1"/>
  <c r="F84" s="1"/>
  <c r="G84" a="1"/>
  <c r="G84" s="1"/>
  <c r="K66"/>
  <c r="H66"/>
  <c r="E66"/>
  <c r="K52"/>
  <c r="H52"/>
  <c r="E52"/>
  <c r="K63"/>
  <c r="H63"/>
  <c r="E63"/>
  <c r="K64"/>
  <c r="H64"/>
  <c r="E64"/>
  <c r="K73"/>
  <c r="H73"/>
  <c r="E73"/>
  <c r="K75"/>
  <c r="H75"/>
  <c r="E75"/>
  <c r="K74"/>
  <c r="H74"/>
  <c r="E74"/>
  <c r="K82"/>
  <c r="H82"/>
  <c r="E82"/>
  <c r="K77"/>
  <c r="M77" s="1" a="1"/>
  <c r="M77" s="1"/>
  <c r="H77"/>
  <c r="J77" s="1" a="1"/>
  <c r="J77" s="1"/>
  <c r="E77"/>
  <c r="G77" s="1" a="1"/>
  <c r="G77" s="1"/>
  <c r="K65"/>
  <c r="H65"/>
  <c r="E65"/>
  <c r="K85"/>
  <c r="H85"/>
  <c r="E85"/>
  <c r="K70"/>
  <c r="H70"/>
  <c r="E70"/>
  <c r="K78"/>
  <c r="M78" s="1" a="1"/>
  <c r="M78" s="1"/>
  <c r="H78"/>
  <c r="J78" s="1" a="1"/>
  <c r="J78" s="1"/>
  <c r="E78"/>
  <c r="G78" s="1" a="1"/>
  <c r="G78" s="1"/>
  <c r="K72"/>
  <c r="H72"/>
  <c r="E72"/>
  <c r="K68"/>
  <c r="H68"/>
  <c r="E68"/>
  <c r="K51"/>
  <c r="M51" s="1" a="1"/>
  <c r="M51" s="1"/>
  <c r="H51"/>
  <c r="J51" s="1" a="1"/>
  <c r="J51" s="1"/>
  <c r="E51"/>
  <c r="K81"/>
  <c r="H81"/>
  <c r="E81"/>
  <c r="K76"/>
  <c r="H76"/>
  <c r="E76"/>
  <c r="K79"/>
  <c r="M79" s="1" a="1"/>
  <c r="M79" s="1"/>
  <c r="H79"/>
  <c r="J79" s="1" a="1"/>
  <c r="J79" s="1"/>
  <c r="E79"/>
  <c r="G79" s="1" a="1"/>
  <c r="G79" s="1"/>
  <c r="K54"/>
  <c r="H54"/>
  <c r="E54"/>
  <c r="K62"/>
  <c r="H62"/>
  <c r="E62"/>
  <c r="K67"/>
  <c r="H67"/>
  <c r="E67"/>
  <c r="K71"/>
  <c r="H71"/>
  <c r="E71"/>
  <c r="K83"/>
  <c r="H83"/>
  <c r="E83"/>
  <c r="K56"/>
  <c r="H56"/>
  <c r="E56"/>
  <c r="K53"/>
  <c r="H53"/>
  <c r="E53"/>
  <c r="Z52"/>
  <c r="GA52" s="1"/>
  <c r="AH50"/>
  <c r="M55" s="1" a="1"/>
  <c r="M55" s="1"/>
  <c r="AD55"/>
  <c r="GE55" s="1"/>
  <c r="AD52"/>
  <c r="GE52" s="1"/>
  <c r="C43"/>
  <c r="C88" s="1"/>
  <c r="C44"/>
  <c r="C89" s="1"/>
  <c r="U54"/>
  <c r="H88" a="1"/>
  <c r="J30"/>
  <c r="K40"/>
  <c r="I36"/>
  <c r="K29"/>
  <c r="I27"/>
  <c r="K38"/>
  <c r="K9"/>
  <c r="I8"/>
  <c r="L30"/>
  <c r="J36"/>
  <c r="H12"/>
  <c r="L31"/>
  <c r="L44"/>
  <c r="I32"/>
  <c r="I23"/>
  <c r="L34"/>
  <c r="I12"/>
  <c r="K23"/>
  <c r="K17"/>
  <c r="J37"/>
  <c r="I7"/>
  <c r="K21"/>
  <c r="AD56"/>
  <c r="H89" a="1"/>
  <c r="J17"/>
  <c r="I18"/>
  <c r="K22"/>
  <c r="K13"/>
  <c r="L24"/>
  <c r="J24"/>
  <c r="H17"/>
  <c r="H33"/>
  <c r="J40"/>
  <c r="L18"/>
  <c r="J44"/>
  <c r="J27"/>
  <c r="H32"/>
  <c r="H29"/>
  <c r="H38"/>
  <c r="L17"/>
  <c r="H40"/>
  <c r="J18"/>
  <c r="H25"/>
  <c r="J25"/>
  <c r="H8"/>
  <c r="J8"/>
  <c r="H23"/>
  <c r="L8"/>
  <c r="H20"/>
  <c r="L21"/>
  <c r="K89" a="1"/>
  <c r="L10"/>
  <c r="K8"/>
  <c r="I24"/>
  <c r="K30"/>
  <c r="I14"/>
  <c r="H9"/>
  <c r="I20"/>
  <c r="H10"/>
  <c r="L33"/>
  <c r="H22"/>
  <c r="L40"/>
  <c r="L29"/>
  <c r="I41"/>
  <c r="I37"/>
  <c r="I44"/>
  <c r="J23"/>
  <c r="K41"/>
  <c r="J13"/>
  <c r="L41"/>
  <c r="H37"/>
  <c r="H34"/>
  <c r="J19"/>
  <c r="H14"/>
  <c r="K25"/>
  <c r="J12"/>
  <c r="H18"/>
  <c r="J10"/>
  <c r="K34"/>
  <c r="L32"/>
  <c r="K88" a="1"/>
  <c r="J41"/>
  <c r="L36"/>
  <c r="H21"/>
  <c r="J33"/>
  <c r="K18"/>
  <c r="K12"/>
  <c r="H19"/>
  <c r="L7"/>
  <c r="L22"/>
  <c r="K31"/>
  <c r="L19"/>
  <c r="H44"/>
  <c r="R56"/>
  <c r="H27"/>
  <c r="L14"/>
  <c r="K36"/>
  <c r="J20"/>
  <c r="K10"/>
  <c r="K7"/>
  <c r="H41"/>
  <c r="K37"/>
  <c r="L38"/>
  <c r="I17"/>
  <c r="K32"/>
  <c r="GE56"/>
  <c r="H36"/>
  <c r="H30"/>
  <c r="J14"/>
  <c r="H24"/>
  <c r="K27"/>
  <c r="I40"/>
  <c r="L37"/>
  <c r="I19"/>
  <c r="E89" a="1"/>
  <c r="I38"/>
  <c r="K24"/>
  <c r="I10"/>
  <c r="V56"/>
  <c r="K19"/>
  <c r="I9"/>
  <c r="Z56"/>
  <c r="I31"/>
  <c r="L13"/>
  <c r="J38"/>
  <c r="H31"/>
  <c r="L27"/>
  <c r="E88" a="1"/>
  <c r="I25"/>
  <c r="I29"/>
  <c r="J34"/>
  <c r="K14"/>
  <c r="K20"/>
  <c r="L25"/>
  <c r="J7"/>
  <c r="J31"/>
  <c r="J9"/>
  <c r="H7"/>
  <c r="J21"/>
  <c r="L9"/>
  <c r="I30"/>
  <c r="K44"/>
  <c r="J32"/>
  <c r="J29"/>
  <c r="L20"/>
  <c r="I22"/>
  <c r="I21"/>
  <c r="J22"/>
  <c r="I33"/>
  <c r="L12"/>
  <c r="H13"/>
  <c r="I13"/>
  <c r="I34"/>
  <c r="K33"/>
  <c r="L23"/>
  <c r="N43" l="1"/>
  <c r="J55" a="1"/>
  <c r="J55" s="1"/>
  <c r="O43"/>
  <c r="E89"/>
  <c r="F89" s="1" a="1"/>
  <c r="F89" s="1"/>
  <c r="E88"/>
  <c r="F88" s="1" a="1"/>
  <c r="F88" s="1"/>
  <c r="H88"/>
  <c r="I88" s="1" a="1"/>
  <c r="I88" s="1"/>
  <c r="H89"/>
  <c r="I89" s="1" a="1"/>
  <c r="I89" s="1"/>
  <c r="O44"/>
  <c r="N44"/>
  <c r="K89"/>
  <c r="M89" s="1" a="1"/>
  <c r="M89" s="1"/>
  <c r="K88"/>
  <c r="L88" s="1" a="1"/>
  <c r="L88" s="1"/>
  <c r="L53" a="1"/>
  <c r="L53" s="1"/>
  <c r="M53" a="1"/>
  <c r="M53" s="1"/>
  <c r="L83" a="1"/>
  <c r="L83" s="1"/>
  <c r="M83" a="1"/>
  <c r="M83" s="1"/>
  <c r="L81" a="1"/>
  <c r="L81" s="1"/>
  <c r="M81" a="1"/>
  <c r="M81" s="1"/>
  <c r="L54" a="1"/>
  <c r="L54" s="1"/>
  <c r="M54" a="1"/>
  <c r="M54" s="1"/>
  <c r="L85" a="1"/>
  <c r="L85" s="1"/>
  <c r="M85" a="1"/>
  <c r="M85" s="1"/>
  <c r="L52" a="1"/>
  <c r="L52" s="1"/>
  <c r="M52" a="1"/>
  <c r="M52" s="1"/>
  <c r="L82" a="1"/>
  <c r="L82" s="1"/>
  <c r="M82" a="1"/>
  <c r="M82" s="1"/>
  <c r="I82" a="1"/>
  <c r="I82" s="1"/>
  <c r="J82" a="1"/>
  <c r="J82" s="1"/>
  <c r="I54" a="1"/>
  <c r="I54" s="1"/>
  <c r="J54" a="1"/>
  <c r="J54" s="1"/>
  <c r="I53" a="1"/>
  <c r="I53" s="1"/>
  <c r="J53" a="1"/>
  <c r="J53" s="1"/>
  <c r="I85" a="1"/>
  <c r="I85" s="1"/>
  <c r="J85" a="1"/>
  <c r="J85" s="1"/>
  <c r="I83" a="1"/>
  <c r="I83" s="1"/>
  <c r="J83" a="1"/>
  <c r="J83" s="1"/>
  <c r="I81" a="1"/>
  <c r="I81" s="1"/>
  <c r="J81" a="1"/>
  <c r="J81" s="1"/>
  <c r="I52" a="1"/>
  <c r="I52" s="1"/>
  <c r="J52" a="1"/>
  <c r="J52" s="1"/>
  <c r="F82" a="1"/>
  <c r="F82" s="1"/>
  <c r="G82" a="1"/>
  <c r="G82" s="1"/>
  <c r="F54" a="1"/>
  <c r="F54" s="1"/>
  <c r="G54" a="1"/>
  <c r="G54" s="1"/>
  <c r="F81" a="1"/>
  <c r="F81" s="1"/>
  <c r="G81" a="1"/>
  <c r="G81" s="1"/>
  <c r="F52" a="1"/>
  <c r="F52" s="1"/>
  <c r="G52" a="1"/>
  <c r="G52" s="1"/>
  <c r="F83" a="1"/>
  <c r="F83" s="1"/>
  <c r="G83" a="1"/>
  <c r="G83" s="1"/>
  <c r="F53" a="1"/>
  <c r="F53" s="1"/>
  <c r="G53" a="1"/>
  <c r="G53" s="1"/>
  <c r="F85" a="1"/>
  <c r="F85" s="1"/>
  <c r="G85" a="1"/>
  <c r="G85" s="1"/>
  <c r="L51" a="1"/>
  <c r="L51" s="1"/>
  <c r="I51" a="1"/>
  <c r="I51" s="1"/>
  <c r="F51" a="1"/>
  <c r="F51" s="1"/>
  <c r="G51" a="1"/>
  <c r="G51" s="1"/>
  <c r="I55" a="1"/>
  <c r="I55" s="1"/>
  <c r="AL50"/>
  <c r="F56" s="1" a="1"/>
  <c r="F56" s="1"/>
  <c r="AH55"/>
  <c r="AH52"/>
  <c r="GI52" s="1"/>
  <c r="F55" a="1"/>
  <c r="F55" s="1"/>
  <c r="L55" a="1"/>
  <c r="L55" s="1"/>
  <c r="AH56"/>
  <c r="G89" l="1" a="1"/>
  <c r="G89" s="1"/>
  <c r="I56" a="1"/>
  <c r="I56" s="1"/>
  <c r="L56" a="1"/>
  <c r="L56" s="1"/>
  <c r="J56" a="1"/>
  <c r="J56" s="1"/>
  <c r="M56" a="1"/>
  <c r="M56" s="1"/>
  <c r="G56" a="1"/>
  <c r="G56" s="1"/>
  <c r="M88" a="1"/>
  <c r="M88" s="1"/>
  <c r="L89" a="1"/>
  <c r="L89" s="1"/>
  <c r="G88" a="1"/>
  <c r="G88" s="1"/>
  <c r="J88" a="1"/>
  <c r="J88" s="1"/>
  <c r="J89" a="1"/>
  <c r="J89" s="1"/>
  <c r="GI55"/>
  <c r="AP50"/>
  <c r="J57" s="1" a="1"/>
  <c r="J57" s="1"/>
  <c r="AL55"/>
  <c r="AL52"/>
  <c r="GM52" s="1"/>
  <c r="F57" a="1"/>
  <c r="F57" s="1"/>
  <c r="L57" a="1"/>
  <c r="L57" s="1"/>
  <c r="O7"/>
  <c r="O15"/>
  <c r="O20"/>
  <c r="O28"/>
  <c r="O8"/>
  <c r="O23"/>
  <c r="O10"/>
  <c r="O26"/>
  <c r="O27"/>
  <c r="O25"/>
  <c r="O37"/>
  <c r="O29"/>
  <c r="O39"/>
  <c r="O35"/>
  <c r="O32"/>
  <c r="O36"/>
  <c r="O40"/>
  <c r="O30"/>
  <c r="O33"/>
  <c r="O38"/>
  <c r="O42"/>
  <c r="O31"/>
  <c r="O41"/>
  <c r="O34"/>
  <c r="O18"/>
  <c r="O12"/>
  <c r="O16"/>
  <c r="O19"/>
  <c r="O13"/>
  <c r="O11"/>
  <c r="O9"/>
  <c r="O17"/>
  <c r="O14"/>
  <c r="O21"/>
  <c r="O22"/>
  <c r="O6"/>
  <c r="O24"/>
  <c r="N7"/>
  <c r="N15"/>
  <c r="N20"/>
  <c r="N28"/>
  <c r="N8"/>
  <c r="N23"/>
  <c r="N10"/>
  <c r="N26"/>
  <c r="N27"/>
  <c r="N25"/>
  <c r="N37"/>
  <c r="N29"/>
  <c r="N39"/>
  <c r="N35"/>
  <c r="N32"/>
  <c r="N36"/>
  <c r="N40"/>
  <c r="N30"/>
  <c r="N33"/>
  <c r="N38"/>
  <c r="N42"/>
  <c r="N31"/>
  <c r="N41"/>
  <c r="N34"/>
  <c r="N18"/>
  <c r="N12"/>
  <c r="N16"/>
  <c r="N19"/>
  <c r="N13"/>
  <c r="N11"/>
  <c r="N9"/>
  <c r="N17"/>
  <c r="N14"/>
  <c r="N21"/>
  <c r="N22"/>
  <c r="N24"/>
  <c r="N6"/>
  <c r="GI56"/>
  <c r="AL56"/>
  <c r="M57" l="1" a="1"/>
  <c r="M57" s="1"/>
  <c r="I57" a="1"/>
  <c r="I57" s="1"/>
  <c r="G57" a="1"/>
  <c r="G57" s="1"/>
  <c r="GM55"/>
  <c r="AP52"/>
  <c r="GQ52" s="1"/>
  <c r="AP55"/>
  <c r="AT50"/>
  <c r="L58" a="1"/>
  <c r="L58" s="1"/>
  <c r="F58" a="1"/>
  <c r="F58" s="1"/>
  <c r="I58" a="1"/>
  <c r="I58" s="1"/>
  <c r="GM56"/>
  <c r="AP56"/>
  <c r="M58" l="1" a="1"/>
  <c r="M58" s="1"/>
  <c r="J58" a="1"/>
  <c r="J58" s="1"/>
  <c r="G58" a="1"/>
  <c r="G58" s="1"/>
  <c r="AX50"/>
  <c r="G59" s="1" a="1"/>
  <c r="G59" s="1"/>
  <c r="AT52"/>
  <c r="GU52" s="1"/>
  <c r="AT55"/>
  <c r="I59" a="1"/>
  <c r="I59" s="1"/>
  <c r="GQ55"/>
  <c r="GQ56"/>
  <c r="AT56"/>
  <c r="J59" l="1" a="1"/>
  <c r="J59" s="1"/>
  <c r="M59" a="1"/>
  <c r="M59" s="1"/>
  <c r="GU55"/>
  <c r="AX55"/>
  <c r="AX52"/>
  <c r="GY52" s="1"/>
  <c r="BB50"/>
  <c r="I60" a="1"/>
  <c r="I60" s="1"/>
  <c r="L59" a="1"/>
  <c r="L59" s="1"/>
  <c r="F59" a="1"/>
  <c r="F59" s="1"/>
  <c r="AX56"/>
  <c r="GU56"/>
  <c r="G60" l="1" a="1"/>
  <c r="G60" s="1"/>
  <c r="J60" a="1"/>
  <c r="J60" s="1"/>
  <c r="M60" a="1"/>
  <c r="M60" s="1"/>
  <c r="BB52"/>
  <c r="HC52" s="1"/>
  <c r="BB55"/>
  <c r="BF50"/>
  <c r="F60" a="1"/>
  <c r="F60" s="1"/>
  <c r="L60" a="1"/>
  <c r="L60" s="1"/>
  <c r="GY55"/>
  <c r="BB56"/>
  <c r="GY56"/>
  <c r="J61" l="1" a="1"/>
  <c r="J61" s="1"/>
  <c r="G61" a="1"/>
  <c r="G61" s="1"/>
  <c r="L61" a="1"/>
  <c r="L61" s="1"/>
  <c r="M61" a="1"/>
  <c r="M61" s="1"/>
  <c r="BF55"/>
  <c r="BJ50"/>
  <c r="M62" s="1" a="1"/>
  <c r="M62" s="1"/>
  <c r="BF52"/>
  <c r="HG52" s="1"/>
  <c r="F61" a="1"/>
  <c r="F61" s="1"/>
  <c r="F62" a="1"/>
  <c r="F62" s="1"/>
  <c r="L62" a="1"/>
  <c r="L62" s="1"/>
  <c r="I61" a="1"/>
  <c r="I61" s="1"/>
  <c r="I62" a="1"/>
  <c r="I62" s="1"/>
  <c r="HC55"/>
  <c r="BF56"/>
  <c r="HC56"/>
  <c r="J62" l="1" a="1"/>
  <c r="J62" s="1"/>
  <c r="BJ55"/>
  <c r="BJ52"/>
  <c r="HK52" s="1"/>
  <c r="BN50"/>
  <c r="F63" a="1"/>
  <c r="F63" s="1"/>
  <c r="HG55"/>
  <c r="HG56"/>
  <c r="BJ56"/>
  <c r="BN52" l="1"/>
  <c r="HO52" s="1"/>
  <c r="BR50"/>
  <c r="BN55"/>
  <c r="I64" a="1"/>
  <c r="I64" s="1"/>
  <c r="L63" a="1"/>
  <c r="L63" s="1"/>
  <c r="I63" a="1"/>
  <c r="I63" s="1"/>
  <c r="L64" a="1"/>
  <c r="L64" s="1"/>
  <c r="HK55"/>
  <c r="HK56"/>
  <c r="BN56"/>
  <c r="HO55" l="1"/>
  <c r="BR52"/>
  <c r="HS52" s="1"/>
  <c r="BR55"/>
  <c r="BV50"/>
  <c r="BR56"/>
  <c r="HO56"/>
  <c r="BV55" l="1"/>
  <c r="BV52"/>
  <c r="HW52" s="1"/>
  <c r="BZ50"/>
  <c r="HS55"/>
  <c r="HS56"/>
  <c r="BV56"/>
  <c r="CD50" l="1"/>
  <c r="BZ55"/>
  <c r="BZ52"/>
  <c r="IA52" s="1"/>
  <c r="HW55"/>
  <c r="HW56"/>
  <c r="BZ56"/>
  <c r="IA55" l="1"/>
  <c r="CD52"/>
  <c r="IE52" s="1"/>
  <c r="CH50"/>
  <c r="CD55"/>
  <c r="CD56"/>
  <c r="IA56"/>
  <c r="CH55" l="1"/>
  <c r="CH52"/>
  <c r="II52" s="1"/>
  <c r="CL50"/>
  <c r="IE55"/>
  <c r="IE56"/>
  <c r="CH56"/>
  <c r="CL52" l="1"/>
  <c r="IM52" s="1"/>
  <c r="CP50"/>
  <c r="CL55"/>
  <c r="II55"/>
  <c r="II56"/>
  <c r="CL56"/>
  <c r="IM55" l="1"/>
  <c r="CT50"/>
  <c r="CP52"/>
  <c r="IQ52" s="1"/>
  <c r="CP55"/>
  <c r="CP56"/>
  <c r="IM56"/>
  <c r="IQ55" l="1"/>
  <c r="CT52"/>
  <c r="IU52" s="1"/>
  <c r="CX50"/>
  <c r="CT55"/>
  <c r="CT56"/>
  <c r="IQ56"/>
  <c r="CX55" l="1"/>
  <c r="CX52"/>
  <c r="IY52" s="1"/>
  <c r="DB50"/>
  <c r="IU55"/>
  <c r="IU56"/>
  <c r="CX56"/>
  <c r="DB52" l="1"/>
  <c r="JC52" s="1"/>
  <c r="DB55"/>
  <c r="DF50"/>
  <c r="IY55"/>
  <c r="IY56"/>
  <c r="DB56"/>
  <c r="DJ50" l="1"/>
  <c r="DF52"/>
  <c r="JG52" s="1"/>
  <c r="DF55"/>
  <c r="JC55"/>
  <c r="JC56"/>
  <c r="DF56"/>
  <c r="JG55" l="1"/>
  <c r="DJ55"/>
  <c r="DJ52"/>
  <c r="JK52" s="1"/>
  <c r="DN50"/>
  <c r="JG56"/>
  <c r="DJ56"/>
  <c r="DN52" l="1"/>
  <c r="JO52" s="1"/>
  <c r="DR50"/>
  <c r="DN55"/>
  <c r="JK55"/>
  <c r="DN56"/>
  <c r="JK56"/>
  <c r="JO55" l="1"/>
  <c r="DR55"/>
  <c r="DR52"/>
  <c r="JS52" s="1"/>
  <c r="DV50"/>
  <c r="DR56"/>
  <c r="JO56"/>
  <c r="JS55" l="1"/>
  <c r="DV55"/>
  <c r="DZ50"/>
  <c r="DV52"/>
  <c r="JW52" s="1"/>
  <c r="DV56"/>
  <c r="JS56"/>
  <c r="DZ52" l="1"/>
  <c r="KA52" s="1"/>
  <c r="DZ55"/>
  <c r="ED50"/>
  <c r="JW55"/>
  <c r="DZ56"/>
  <c r="JW56"/>
  <c r="KA55" l="1"/>
  <c r="EH50"/>
  <c r="ED55"/>
  <c r="ED52"/>
  <c r="KE52" s="1"/>
  <c r="ED56"/>
  <c r="KA56"/>
  <c r="KE55" l="1"/>
  <c r="EH55"/>
  <c r="EL50"/>
  <c r="EH52"/>
  <c r="KI52" s="1"/>
  <c r="EH56"/>
  <c r="KE56"/>
  <c r="KI55" l="1"/>
  <c r="EP50"/>
  <c r="EL55"/>
  <c r="EL52"/>
  <c r="KM52" s="1"/>
  <c r="EL56"/>
  <c r="KI56"/>
  <c r="KM55" l="1"/>
  <c r="EP55"/>
  <c r="EP52"/>
  <c r="KQ52" s="1"/>
  <c r="ET50"/>
  <c r="EP56"/>
  <c r="KM56"/>
  <c r="ET52" l="1"/>
  <c r="KU52" s="1"/>
  <c r="ET55"/>
  <c r="EX50"/>
  <c r="KQ55"/>
  <c r="KQ56"/>
  <c r="ET56"/>
  <c r="EX55" l="1"/>
  <c r="FB50"/>
  <c r="EX52"/>
  <c r="KY52" s="1"/>
  <c r="KU55"/>
  <c r="KU56"/>
  <c r="EX56"/>
  <c r="FB55" l="1"/>
  <c r="FB52"/>
  <c r="LC52" s="1"/>
  <c r="FF50"/>
  <c r="KY55"/>
  <c r="KY56"/>
  <c r="FB56"/>
  <c r="FF52" l="1"/>
  <c r="LG52" s="1"/>
  <c r="FF55"/>
  <c r="FJ50"/>
  <c r="LC55"/>
  <c r="LC56"/>
  <c r="FF56"/>
  <c r="LG55" l="1"/>
  <c r="FJ55"/>
  <c r="FJ52"/>
  <c r="LK52" s="1"/>
  <c r="FN50"/>
  <c r="FJ56"/>
  <c r="LG56"/>
  <c r="M74" l="1" a="1"/>
  <c r="M74" s="1"/>
  <c r="J75" a="1"/>
  <c r="J75" s="1"/>
  <c r="G69" a="1"/>
  <c r="G69" s="1"/>
  <c r="G72" a="1"/>
  <c r="G72" s="1"/>
  <c r="J69" a="1"/>
  <c r="J69" s="1"/>
  <c r="G68" a="1"/>
  <c r="G68" s="1"/>
  <c r="G62" a="1"/>
  <c r="G62" s="1"/>
  <c r="G71" a="1"/>
  <c r="G71" s="1"/>
  <c r="M69" a="1"/>
  <c r="M69" s="1"/>
  <c r="J64" a="1"/>
  <c r="J64" s="1"/>
  <c r="J71" a="1"/>
  <c r="J71" s="1"/>
  <c r="M70" a="1"/>
  <c r="M70" s="1"/>
  <c r="M72" a="1"/>
  <c r="M72" s="1"/>
  <c r="M64" a="1"/>
  <c r="M64" s="1"/>
  <c r="M75" a="1"/>
  <c r="M75" s="1"/>
  <c r="G75" a="1"/>
  <c r="G75" s="1"/>
  <c r="G70" a="1"/>
  <c r="G70" s="1"/>
  <c r="M63" a="1"/>
  <c r="M63" s="1"/>
  <c r="J73" a="1"/>
  <c r="J73" s="1"/>
  <c r="G73" a="1"/>
  <c r="G73" s="1"/>
  <c r="J68" a="1"/>
  <c r="J68" s="1"/>
  <c r="M73" a="1"/>
  <c r="M73" s="1"/>
  <c r="J70" a="1"/>
  <c r="J70" s="1"/>
  <c r="J65" a="1"/>
  <c r="J65" s="1"/>
  <c r="J63" a="1"/>
  <c r="J63" s="1"/>
  <c r="M65" a="1"/>
  <c r="M65" s="1"/>
  <c r="G76" a="1"/>
  <c r="G76" s="1"/>
  <c r="M66" a="1"/>
  <c r="M66" s="1"/>
  <c r="M76" a="1"/>
  <c r="M76" s="1"/>
  <c r="M71" a="1"/>
  <c r="M71" s="1"/>
  <c r="G67" a="1"/>
  <c r="G67" s="1"/>
  <c r="J74" a="1"/>
  <c r="J74" s="1"/>
  <c r="G65" a="1"/>
  <c r="G65" s="1"/>
  <c r="J67" a="1"/>
  <c r="J67" s="1"/>
  <c r="G64" a="1"/>
  <c r="G64" s="1"/>
  <c r="G63" a="1"/>
  <c r="G63" s="1"/>
  <c r="J76" a="1"/>
  <c r="J76" s="1"/>
  <c r="G66" a="1"/>
  <c r="G66" s="1"/>
  <c r="G74" a="1"/>
  <c r="G74" s="1"/>
  <c r="J66" a="1"/>
  <c r="J66" s="1"/>
  <c r="M68" a="1"/>
  <c r="M68" s="1"/>
  <c r="J72" a="1"/>
  <c r="J72" s="1"/>
  <c r="M67" a="1"/>
  <c r="M67" s="1"/>
  <c r="F69" a="1"/>
  <c r="F69" s="1"/>
  <c r="F74" a="1"/>
  <c r="F74" s="1"/>
  <c r="L65" a="1"/>
  <c r="L65" s="1"/>
  <c r="I69" a="1"/>
  <c r="I69" s="1"/>
  <c r="L69" a="1"/>
  <c r="L69" s="1"/>
  <c r="L76" a="1"/>
  <c r="L76" s="1"/>
  <c r="L68" a="1"/>
  <c r="L68" s="1"/>
  <c r="I66" a="1"/>
  <c r="I66" s="1"/>
  <c r="I74" a="1"/>
  <c r="I74" s="1"/>
  <c r="F64" a="1"/>
  <c r="F64" s="1"/>
  <c r="I65" a="1"/>
  <c r="I65" s="1"/>
  <c r="I70" a="1"/>
  <c r="I70" s="1"/>
  <c r="F71" a="1"/>
  <c r="F71" s="1"/>
  <c r="L79" a="1"/>
  <c r="L79" s="1"/>
  <c r="F75" a="1"/>
  <c r="F75" s="1"/>
  <c r="F73" a="1"/>
  <c r="F73" s="1"/>
  <c r="L72" a="1"/>
  <c r="L72" s="1"/>
  <c r="F65" a="1"/>
  <c r="F65" s="1"/>
  <c r="L78" a="1"/>
  <c r="L78" s="1"/>
  <c r="F79" a="1"/>
  <c r="F79" s="1"/>
  <c r="L73" a="1"/>
  <c r="L73" s="1"/>
  <c r="F67" a="1"/>
  <c r="F67" s="1"/>
  <c r="L70" a="1"/>
  <c r="L70" s="1"/>
  <c r="F68" a="1"/>
  <c r="F68" s="1"/>
  <c r="I72" a="1"/>
  <c r="I72" s="1"/>
  <c r="I78" a="1"/>
  <c r="I78" s="1"/>
  <c r="F70" a="1"/>
  <c r="F70" s="1"/>
  <c r="F77" a="1"/>
  <c r="F77" s="1"/>
  <c r="L66" a="1"/>
  <c r="L66" s="1"/>
  <c r="I75" a="1"/>
  <c r="I75" s="1"/>
  <c r="F78" a="1"/>
  <c r="F78" s="1"/>
  <c r="L77" a="1"/>
  <c r="L77" s="1"/>
  <c r="I77" a="1"/>
  <c r="I77" s="1"/>
  <c r="F72" a="1"/>
  <c r="F72" s="1"/>
  <c r="I76" a="1"/>
  <c r="I76" s="1"/>
  <c r="F66" a="1"/>
  <c r="F66" s="1"/>
  <c r="I79" a="1"/>
  <c r="I79" s="1"/>
  <c r="F76" a="1"/>
  <c r="F76" s="1"/>
  <c r="I68" a="1"/>
  <c r="I68" s="1"/>
  <c r="I73" a="1"/>
  <c r="I73" s="1"/>
  <c r="L75" a="1"/>
  <c r="L75" s="1"/>
  <c r="L74" a="1"/>
  <c r="L74" s="1"/>
  <c r="L67" a="1"/>
  <c r="L67" s="1"/>
  <c r="I71" a="1"/>
  <c r="I71" s="1"/>
  <c r="L71" a="1"/>
  <c r="L71" s="1"/>
  <c r="I67" a="1"/>
  <c r="I67" s="1"/>
  <c r="FN55"/>
  <c r="FN52"/>
  <c r="LO52" s="1"/>
  <c r="LK55"/>
  <c r="FN56"/>
  <c r="LK56"/>
  <c r="LO55" l="1"/>
  <c r="LO56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<sst xmlns="http://schemas.openxmlformats.org/spreadsheetml/2006/main" count="521" uniqueCount="197">
  <si>
    <t>종목명</t>
  </si>
  <si>
    <t>코드</t>
  </si>
  <si>
    <t>현재지수</t>
  </si>
  <si>
    <t>전일대비</t>
  </si>
  <si>
    <t>KOSPI</t>
  </si>
  <si>
    <t>001</t>
  </si>
  <si>
    <t>KOSPI200</t>
  </si>
  <si>
    <t>211</t>
  </si>
  <si>
    <t>음식료품</t>
  </si>
  <si>
    <t>005</t>
  </si>
  <si>
    <t>섬유.의복</t>
  </si>
  <si>
    <t>006</t>
  </si>
  <si>
    <t>종이.목재</t>
  </si>
  <si>
    <t>007</t>
  </si>
  <si>
    <t>화학</t>
  </si>
  <si>
    <t>008</t>
  </si>
  <si>
    <t>의약품</t>
  </si>
  <si>
    <t>009</t>
  </si>
  <si>
    <t>비금속광물</t>
  </si>
  <si>
    <t>010</t>
  </si>
  <si>
    <t>철강.금속</t>
  </si>
  <si>
    <t>011</t>
  </si>
  <si>
    <t>기계</t>
  </si>
  <si>
    <t>012</t>
  </si>
  <si>
    <t>전기.전자</t>
  </si>
  <si>
    <t>013</t>
  </si>
  <si>
    <t>의료정밀</t>
  </si>
  <si>
    <t>014</t>
  </si>
  <si>
    <t>운수.장비</t>
  </si>
  <si>
    <t>015</t>
  </si>
  <si>
    <t>유통업</t>
  </si>
  <si>
    <t>016</t>
  </si>
  <si>
    <t>전기.가스업</t>
  </si>
  <si>
    <t>017</t>
  </si>
  <si>
    <t>건설업</t>
  </si>
  <si>
    <t>018</t>
  </si>
  <si>
    <t>운수.창고</t>
  </si>
  <si>
    <t>019</t>
  </si>
  <si>
    <t>통신업</t>
  </si>
  <si>
    <t>020</t>
  </si>
  <si>
    <t>금융업</t>
  </si>
  <si>
    <t>021</t>
  </si>
  <si>
    <t>증권</t>
  </si>
  <si>
    <t>024</t>
  </si>
  <si>
    <t>보험</t>
  </si>
  <si>
    <t>025</t>
  </si>
  <si>
    <t>서비스업</t>
  </si>
  <si>
    <t>026</t>
  </si>
  <si>
    <t>제조업</t>
  </si>
  <si>
    <t>027</t>
  </si>
  <si>
    <t>201</t>
  </si>
  <si>
    <t>202</t>
  </si>
  <si>
    <t>203</t>
  </si>
  <si>
    <t>212</t>
  </si>
  <si>
    <t>213</t>
  </si>
  <si>
    <t>214</t>
  </si>
  <si>
    <t>215</t>
  </si>
  <si>
    <t>216</t>
  </si>
  <si>
    <t>217</t>
  </si>
  <si>
    <t>218</t>
  </si>
  <si>
    <t>219</t>
  </si>
  <si>
    <t>KOSDAQ</t>
  </si>
  <si>
    <t>801</t>
  </si>
  <si>
    <t>우량기업부</t>
  </si>
  <si>
    <t>802</t>
  </si>
  <si>
    <t>벤처기업부</t>
  </si>
  <si>
    <t>803</t>
  </si>
  <si>
    <t>중견기업부</t>
  </si>
  <si>
    <t>804</t>
  </si>
  <si>
    <t>기술성장기업부</t>
  </si>
  <si>
    <t>805</t>
  </si>
  <si>
    <t>기타서비스</t>
  </si>
  <si>
    <t>812</t>
  </si>
  <si>
    <t>제조</t>
  </si>
  <si>
    <t>824</t>
  </si>
  <si>
    <t>건설</t>
  </si>
  <si>
    <t>826</t>
  </si>
  <si>
    <t>유통</t>
  </si>
  <si>
    <t>827</t>
  </si>
  <si>
    <t>운송</t>
  </si>
  <si>
    <t>829</t>
  </si>
  <si>
    <t>금융</t>
  </si>
  <si>
    <t>831</t>
  </si>
  <si>
    <t>오락문화</t>
  </si>
  <si>
    <t>837</t>
  </si>
  <si>
    <t>음식.담배</t>
  </si>
  <si>
    <t>856</t>
  </si>
  <si>
    <t>섬유.의류</t>
  </si>
  <si>
    <t>858</t>
  </si>
  <si>
    <t>862</t>
  </si>
  <si>
    <t>865</t>
  </si>
  <si>
    <t>제약</t>
  </si>
  <si>
    <t>866</t>
  </si>
  <si>
    <t>비금속</t>
  </si>
  <si>
    <t>867</t>
  </si>
  <si>
    <t>금속</t>
  </si>
  <si>
    <t>868</t>
  </si>
  <si>
    <t>기계.장비</t>
  </si>
  <si>
    <t>870</t>
  </si>
  <si>
    <t>일반전기전자</t>
  </si>
  <si>
    <t>872</t>
  </si>
  <si>
    <t>의료정밀기기</t>
  </si>
  <si>
    <t>874</t>
  </si>
  <si>
    <t>운송장비부품</t>
  </si>
  <si>
    <t>875</t>
  </si>
  <si>
    <t>877</t>
  </si>
  <si>
    <t>981</t>
  </si>
  <si>
    <t>982</t>
  </si>
  <si>
    <t>983</t>
  </si>
  <si>
    <t>기관순매수금액</t>
  </si>
  <si>
    <t>외국인합순매수금액</t>
  </si>
  <si>
    <t>개인순매수금액</t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</si>
  <si>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</si>
  <si>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</si>
  <si>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</si>
  <si>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</si>
  <si>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</si>
  <si>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</si>
  <si>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</si>
  <si>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</si>
  <si>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</si>
  <si>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</si>
  <si>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</si>
  <si>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SECTOR</t>
    <phoneticPr fontId="4" type="noConversion"/>
  </si>
  <si>
    <t>DATE</t>
    <phoneticPr fontId="4" type="noConversion"/>
  </si>
  <si>
    <t>투자자 매매동향</t>
    <phoneticPr fontId="4" type="noConversion"/>
  </si>
  <si>
    <t>업종</t>
    <phoneticPr fontId="4" type="noConversion"/>
  </si>
  <si>
    <t>1D(%)</t>
    <phoneticPr fontId="4" type="noConversion"/>
  </si>
  <si>
    <t>1W(%)</t>
    <phoneticPr fontId="4" type="noConversion"/>
  </si>
  <si>
    <t>1M(%)</t>
    <phoneticPr fontId="4" type="noConversion"/>
  </si>
  <si>
    <t>3M(%)</t>
    <phoneticPr fontId="4" type="noConversion"/>
  </si>
  <si>
    <t>6M(%)</t>
    <phoneticPr fontId="4" type="noConversion"/>
  </si>
  <si>
    <t>1Y(%)</t>
    <phoneticPr fontId="4" type="noConversion"/>
  </si>
  <si>
    <t>3M 누적등락률</t>
    <phoneticPr fontId="4" type="noConversion"/>
  </si>
  <si>
    <t>1M</t>
    <phoneticPr fontId="4" type="noConversion"/>
  </si>
  <si>
    <t>기관순매수금액</t>
    <phoneticPr fontId="4" type="noConversion"/>
  </si>
  <si>
    <t>3M</t>
    <phoneticPr fontId="4" type="noConversion"/>
  </si>
  <si>
    <t>기관순매수수량</t>
    <phoneticPr fontId="4" type="noConversion"/>
  </si>
  <si>
    <t>외국인합순매수수량</t>
    <phoneticPr fontId="4" type="noConversion"/>
  </si>
  <si>
    <t>개인순매수수량</t>
    <phoneticPr fontId="4" type="noConversion"/>
  </si>
  <si>
    <t>일자</t>
    <phoneticPr fontId="4" type="noConversion"/>
  </si>
  <si>
    <t>기관순매수금액</t>
    <phoneticPr fontId="4" type="noConversion"/>
  </si>
  <si>
    <t>외국인비중</t>
    <phoneticPr fontId="4" type="noConversion"/>
  </si>
  <si>
    <t>업종       투자자</t>
    <phoneticPr fontId="4" type="noConversion"/>
  </si>
  <si>
    <t>기관</t>
    <phoneticPr fontId="4" type="noConversion"/>
  </si>
  <si>
    <t>외국인</t>
    <phoneticPr fontId="4" type="noConversion"/>
  </si>
  <si>
    <t>개인</t>
    <phoneticPr fontId="4" type="noConversion"/>
  </si>
  <si>
    <t>현재</t>
    <phoneticPr fontId="4" type="noConversion"/>
  </si>
  <si>
    <t>1M</t>
    <phoneticPr fontId="4" type="noConversion"/>
  </si>
  <si>
    <t>3M</t>
    <phoneticPr fontId="4" type="noConversion"/>
  </si>
  <si>
    <t>807</t>
  </si>
  <si>
    <t>863</t>
  </si>
  <si>
    <t>986</t>
  </si>
  <si>
    <t>991</t>
  </si>
  <si>
    <t>992</t>
  </si>
  <si>
    <t>993</t>
  </si>
  <si>
    <t>994</t>
  </si>
  <si>
    <t>995</t>
  </si>
  <si>
    <t>996</t>
  </si>
  <si>
    <t>997</t>
  </si>
  <si>
    <t>코스닥 글로벌</t>
  </si>
  <si>
    <t>출판.매체</t>
  </si>
  <si>
    <t>기타 제조</t>
  </si>
  <si>
    <t>KOSDAQ 대형주</t>
  </si>
  <si>
    <t>KOSDAQ 중형주</t>
  </si>
  <si>
    <t>KOSDAQ 소형주</t>
  </si>
  <si>
    <t>코스닥150</t>
  </si>
  <si>
    <t>코스닥150 소재</t>
  </si>
  <si>
    <t>코스닥150 산업재</t>
  </si>
  <si>
    <t>코스닥150 필수소비재</t>
  </si>
  <si>
    <t>코스닥150 자유소비재</t>
  </si>
  <si>
    <t>코스닥150 정보기술</t>
  </si>
  <si>
    <t>코스닥150 헬스케어</t>
  </si>
  <si>
    <t>코스닥150 커뮤니케이션서비스</t>
  </si>
  <si>
    <t>KOSPI 대형주</t>
  </si>
  <si>
    <t>KOSPI 중형주</t>
  </si>
  <si>
    <t>KOSPI 소형주</t>
  </si>
  <si>
    <t>K200 건설</t>
  </si>
  <si>
    <t>K200 중공업</t>
  </si>
  <si>
    <t>K200 철강소재</t>
  </si>
  <si>
    <t>K200 에너지화학</t>
  </si>
  <si>
    <t>K200 정보기술</t>
  </si>
  <si>
    <t>K200 금융</t>
  </si>
  <si>
    <t>K200 생활소비재</t>
  </si>
  <si>
    <t>K200 경기소비재</t>
  </si>
  <si>
    <t>K200 커뮤니케이션서비스</t>
  </si>
  <si>
    <t>K200 중소형주지수</t>
  </si>
  <si>
    <t>K200 경기방어소비재</t>
  </si>
  <si>
    <t>K200 산업재</t>
  </si>
  <si>
    <t>K200 헬스케어</t>
  </si>
  <si>
    <t>220</t>
  </si>
  <si>
    <t>250</t>
  </si>
  <si>
    <t>251</t>
  </si>
  <si>
    <t>252</t>
  </si>
  <si>
    <t>253</t>
  </si>
  <si>
    <t>코스피</t>
  </si>
  <si>
    <t>코스닥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</si>
</sst>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_-* #,##0.00_-;\-* #,##0.00_-;_-* &quot;-&quot;_-;_-@_-"/>
    <numFmt numFmtId="177" formatCode="#,##0.00_ "/>
    <numFmt numFmtId="178" formatCode="\+#,##0.00_ ;\-#,##0.00\ "/>
    <numFmt numFmtId="179" formatCode="#,##0_ "/>
  </numFmts>
  <fonts count="20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CCC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medium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06918546098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 diagonalDown="1"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 style="thin">
        <color theme="4" tint="-0.249977111117893"/>
      </diagonal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0" tint="-0.14996795556505021"/>
      </right>
      <top style="thin">
        <color theme="0" tint="-0.249977111117893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14996795556505021"/>
      </top>
      <bottom style="thin">
        <color theme="0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/>
      <top/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249977111117893"/>
      </right>
      <top style="thin">
        <color theme="0" tint="-0.149967955565050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77111117893"/>
      </right>
      <top/>
      <bottom style="thin">
        <color theme="0" tint="-0.14996795556505021"/>
      </bottom>
      <diagonal/>
    </border>
    <border diagonalDown="1">
      <left/>
      <right style="thin">
        <color theme="4" tint="-0.249977111117893"/>
      </right>
      <top style="thin">
        <color theme="4" tint="-0.249977111117893"/>
      </top>
      <bottom/>
      <diagonal style="thin">
        <color theme="4" tint="-0.249977111117893"/>
      </diagonal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14996795556505021"/>
      </bottom>
      <diagonal/>
    </border>
    <border>
      <left/>
      <right/>
      <top style="thin">
        <color theme="0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3743705557422"/>
      </right>
      <top style="thin">
        <color theme="0" tint="-0.249977111117893"/>
      </top>
      <bottom style="thin">
        <color theme="0" tint="-0.14996795556505021"/>
      </bottom>
      <diagonal/>
    </border>
    <border>
      <left style="medium">
        <color theme="0" tint="-0.14993743705557422"/>
      </left>
      <right style="thin">
        <color theme="0" tint="-0.14996795556505021"/>
      </right>
      <top style="thin">
        <color theme="0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0691854609822"/>
      </right>
      <top style="thin">
        <color theme="0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3743705557422"/>
      </right>
      <top style="thin">
        <color theme="0" tint="-0.14996795556505021"/>
      </top>
      <bottom style="thin">
        <color theme="0" tint="-0.249977111117893"/>
      </bottom>
      <diagonal/>
    </border>
    <border>
      <left style="medium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249977111117893"/>
      </bottom>
      <diagonal/>
    </border>
    <border>
      <left style="thin">
        <color theme="0" tint="-0.14996795556505021"/>
      </left>
      <right style="medium">
        <color theme="0" tint="-0.14990691854609822"/>
      </right>
      <top style="thin">
        <color theme="0" tint="-0.14996795556505021"/>
      </top>
      <bottom style="thin">
        <color theme="0" tint="-0.249977111117893"/>
      </bottom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1" fontId="0" fillId="0" borderId="0" xfId="1" applyFont="1">
      <alignment vertical="center"/>
    </xf>
    <xf numFmtId="0" fontId="6" fillId="0" borderId="0" xfId="0" applyFont="1">
      <alignment vertical="center"/>
    </xf>
    <xf numFmtId="14" fontId="0" fillId="0" borderId="0" xfId="0" applyNumberFormat="1">
      <alignment vertical="center"/>
    </xf>
    <xf numFmtId="0" fontId="8" fillId="0" borderId="4" xfId="0" applyFont="1" applyBorder="1">
      <alignment vertical="center"/>
    </xf>
    <xf numFmtId="176" fontId="8" fillId="0" borderId="7" xfId="1" applyNumberFormat="1" applyFont="1" applyBorder="1">
      <alignment vertical="center"/>
    </xf>
    <xf numFmtId="0" fontId="8" fillId="0" borderId="3" xfId="0" applyFont="1" applyBorder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176" fontId="8" fillId="0" borderId="7" xfId="1" applyNumberFormat="1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5" xfId="0" applyFont="1" applyBorder="1" applyAlignment="1">
      <alignment horizontal="right" vertical="center"/>
    </xf>
    <xf numFmtId="0" fontId="11" fillId="5" borderId="11" xfId="0" applyFont="1" applyFill="1" applyBorder="1" applyAlignment="1">
      <alignment horizontal="center" vertical="center"/>
    </xf>
    <xf numFmtId="41" fontId="13" fillId="5" borderId="11" xfId="1" applyFont="1" applyFill="1" applyBorder="1" applyAlignment="1">
      <alignment horizontal="center" vertical="center"/>
    </xf>
    <xf numFmtId="0" fontId="8" fillId="6" borderId="17" xfId="3" applyFont="1" applyFill="1" applyBorder="1">
      <alignment vertical="center"/>
    </xf>
    <xf numFmtId="0" fontId="16" fillId="0" borderId="18" xfId="0" applyFont="1" applyBorder="1">
      <alignment vertical="center"/>
    </xf>
    <xf numFmtId="0" fontId="8" fillId="6" borderId="19" xfId="3" applyFont="1" applyFill="1" applyBorder="1">
      <alignment vertical="center"/>
    </xf>
    <xf numFmtId="0" fontId="8" fillId="0" borderId="20" xfId="0" applyFont="1" applyBorder="1">
      <alignment vertical="center"/>
    </xf>
    <xf numFmtId="176" fontId="8" fillId="0" borderId="22" xfId="1" applyNumberFormat="1" applyFont="1" applyBorder="1" applyAlignment="1">
      <alignment horizontal="right" vertical="center"/>
    </xf>
    <xf numFmtId="0" fontId="15" fillId="0" borderId="21" xfId="0" applyFont="1" applyBorder="1" applyAlignment="1">
      <alignment horizontal="right" vertical="center"/>
    </xf>
    <xf numFmtId="0" fontId="16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7" fillId="8" borderId="25" xfId="0" applyFont="1" applyFill="1" applyBorder="1" applyAlignment="1">
      <alignment horizontal="center" vertical="center"/>
    </xf>
    <xf numFmtId="0" fontId="8" fillId="6" borderId="26" xfId="3" applyFont="1" applyFill="1" applyBorder="1">
      <alignment vertical="center"/>
    </xf>
    <xf numFmtId="0" fontId="16" fillId="0" borderId="27" xfId="0" applyFont="1" applyBorder="1">
      <alignment vertical="center"/>
    </xf>
    <xf numFmtId="0" fontId="8" fillId="6" borderId="31" xfId="3" applyFont="1" applyFill="1" applyBorder="1">
      <alignment vertical="center"/>
    </xf>
    <xf numFmtId="0" fontId="9" fillId="4" borderId="32" xfId="0" applyFon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7" fillId="5" borderId="11" xfId="0" applyFont="1" applyFill="1" applyBorder="1">
      <alignment vertical="center"/>
    </xf>
    <xf numFmtId="0" fontId="7" fillId="5" borderId="15" xfId="0" applyFont="1" applyFill="1" applyBorder="1">
      <alignment vertical="center"/>
    </xf>
    <xf numFmtId="0" fontId="19" fillId="7" borderId="29" xfId="0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7" fillId="9" borderId="13" xfId="2" applyFont="1" applyFill="1" applyBorder="1" applyAlignment="1">
      <alignment horizontal="center" vertical="center"/>
    </xf>
    <xf numFmtId="14" fontId="17" fillId="9" borderId="13" xfId="2" applyNumberFormat="1" applyFont="1" applyFill="1" applyBorder="1" applyAlignment="1">
      <alignment horizontal="center" vertical="center"/>
    </xf>
    <xf numFmtId="177" fontId="8" fillId="0" borderId="5" xfId="0" applyNumberFormat="1" applyFont="1" applyBorder="1">
      <alignment vertical="center"/>
    </xf>
    <xf numFmtId="177" fontId="8" fillId="0" borderId="2" xfId="0" applyNumberFormat="1" applyFont="1" applyBorder="1">
      <alignment vertical="center"/>
    </xf>
    <xf numFmtId="177" fontId="8" fillId="0" borderId="2" xfId="0" applyNumberFormat="1" applyFont="1" applyBorder="1" applyAlignment="1">
      <alignment horizontal="right" vertical="center"/>
    </xf>
    <xf numFmtId="177" fontId="8" fillId="0" borderId="21" xfId="0" applyNumberFormat="1" applyFont="1" applyBorder="1" applyAlignment="1">
      <alignment horizontal="right" vertical="center"/>
    </xf>
    <xf numFmtId="178" fontId="8" fillId="0" borderId="5" xfId="0" applyNumberFormat="1" applyFont="1" applyBorder="1">
      <alignment vertical="center"/>
    </xf>
    <xf numFmtId="178" fontId="8" fillId="0" borderId="2" xfId="0" applyNumberFormat="1" applyFont="1" applyBorder="1">
      <alignment vertical="center"/>
    </xf>
    <xf numFmtId="178" fontId="8" fillId="0" borderId="6" xfId="0" applyNumberFormat="1" applyFont="1" applyBorder="1">
      <alignment vertical="center"/>
    </xf>
    <xf numFmtId="178" fontId="8" fillId="0" borderId="2" xfId="0" applyNumberFormat="1" applyFont="1" applyBorder="1" applyAlignment="1">
      <alignment horizontal="right" vertical="center"/>
    </xf>
    <xf numFmtId="178" fontId="8" fillId="0" borderId="21" xfId="0" applyNumberFormat="1" applyFont="1" applyBorder="1" applyAlignment="1">
      <alignment horizontal="right" vertical="center"/>
    </xf>
    <xf numFmtId="179" fontId="9" fillId="0" borderId="16" xfId="0" applyNumberFormat="1" applyFont="1" applyBorder="1">
      <alignment vertical="center"/>
    </xf>
    <xf numFmtId="179" fontId="9" fillId="0" borderId="33" xfId="0" applyNumberFormat="1" applyFont="1" applyBorder="1">
      <alignment vertical="center"/>
    </xf>
    <xf numFmtId="179" fontId="9" fillId="0" borderId="34" xfId="0" applyNumberFormat="1" applyFont="1" applyBorder="1">
      <alignment vertical="center"/>
    </xf>
    <xf numFmtId="179" fontId="9" fillId="0" borderId="35" xfId="1" applyNumberFormat="1" applyFont="1" applyBorder="1">
      <alignment vertical="center"/>
    </xf>
    <xf numFmtId="179" fontId="9" fillId="0" borderId="36" xfId="0" applyNumberFormat="1" applyFont="1" applyBorder="1">
      <alignment vertical="center"/>
    </xf>
    <xf numFmtId="179" fontId="9" fillId="0" borderId="16" xfId="1" applyNumberFormat="1" applyFont="1" applyBorder="1">
      <alignment vertical="center"/>
    </xf>
    <xf numFmtId="179" fontId="9" fillId="0" borderId="3" xfId="0" applyNumberFormat="1" applyFont="1" applyBorder="1">
      <alignment vertical="center"/>
    </xf>
    <xf numFmtId="179" fontId="9" fillId="0" borderId="2" xfId="0" applyNumberFormat="1" applyFont="1" applyBorder="1">
      <alignment vertical="center"/>
    </xf>
    <xf numFmtId="179" fontId="9" fillId="0" borderId="9" xfId="0" applyNumberFormat="1" applyFont="1" applyBorder="1">
      <alignment vertical="center"/>
    </xf>
    <xf numFmtId="179" fontId="9" fillId="0" borderId="8" xfId="1" applyNumberFormat="1" applyFont="1" applyBorder="1">
      <alignment vertical="center"/>
    </xf>
    <xf numFmtId="179" fontId="9" fillId="0" borderId="10" xfId="0" applyNumberFormat="1" applyFont="1" applyBorder="1">
      <alignment vertical="center"/>
    </xf>
    <xf numFmtId="179" fontId="9" fillId="0" borderId="3" xfId="1" applyNumberFormat="1" applyFont="1" applyBorder="1">
      <alignment vertical="center"/>
    </xf>
    <xf numFmtId="179" fontId="9" fillId="0" borderId="18" xfId="0" applyNumberFormat="1" applyFont="1" applyBorder="1">
      <alignment vertical="center"/>
    </xf>
    <xf numFmtId="179" fontId="9" fillId="0" borderId="20" xfId="0" applyNumberFormat="1" applyFont="1" applyBorder="1">
      <alignment vertical="center"/>
    </xf>
    <xf numFmtId="179" fontId="9" fillId="0" borderId="21" xfId="0" applyNumberFormat="1" applyFont="1" applyBorder="1">
      <alignment vertical="center"/>
    </xf>
    <xf numFmtId="179" fontId="9" fillId="0" borderId="37" xfId="0" applyNumberFormat="1" applyFont="1" applyBorder="1">
      <alignment vertical="center"/>
    </xf>
    <xf numFmtId="179" fontId="9" fillId="0" borderId="38" xfId="1" applyNumberFormat="1" applyFont="1" applyBorder="1">
      <alignment vertical="center"/>
    </xf>
    <xf numFmtId="179" fontId="9" fillId="0" borderId="39" xfId="0" applyNumberFormat="1" applyFont="1" applyBorder="1">
      <alignment vertical="center"/>
    </xf>
    <xf numFmtId="179" fontId="9" fillId="0" borderId="20" xfId="1" applyNumberFormat="1" applyFont="1" applyBorder="1">
      <alignment vertical="center"/>
    </xf>
    <xf numFmtId="179" fontId="9" fillId="0" borderId="23" xfId="0" applyNumberFormat="1" applyFont="1" applyBorder="1">
      <alignment vertical="center"/>
    </xf>
    <xf numFmtId="0" fontId="0" fillId="10" borderId="0" xfId="0" applyFill="1">
      <alignment vertical="center"/>
    </xf>
    <xf numFmtId="41" fontId="11" fillId="5" borderId="11" xfId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vertical="center"/>
    </xf>
    <xf numFmtId="0" fontId="7" fillId="5" borderId="28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</cellXfs>
  <cellStyles count="5">
    <cellStyle name="20% - 강조색1" xfId="3" builtinId="30"/>
    <cellStyle name="쉼표 [0]" xfId="1" builtinId="6"/>
    <cellStyle name="입력" xfId="2" builtinId="20"/>
    <cellStyle name="표준" xfId="0" builtinId="0"/>
    <cellStyle name="표준 2" xfId="4"/>
  </cellStyles>
  <dxfs count="0"/>
  <tableStyles count="0" defaultTableStyle="TableStyleMedium9" defaultPivotStyle="PivotStyleLight16"/>
  <colors>
    <mruColors>
      <color rgb="FFFF7C80"/>
      <color rgb="FF9999FF"/>
      <color rgb="FF969696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10898</v>
        <stp/>
        <stp>P</stp>
        <stp>0</stp>
        <stp>IDX</stp>
        <stp>025</stp>
        <stp>기관순매수금액</stp>
        <stp>45475</stp>
        <stp>fill=true</stp>
        <tr r="E71" s="1"/>
      </tp>
      <tp>
        <v>10800</v>
        <stp/>
        <stp>P</stp>
        <stp>0</stp>
        <stp>IDX</stp>
        <stp>024</stp>
        <stp>기관순매수금액</stp>
        <stp>45475</stp>
        <stp>fill=true</stp>
        <tr r="E70" s="1"/>
      </tp>
      <tp>
        <v>-331295</v>
        <stp/>
        <stp>P</stp>
        <stp>0</stp>
        <stp>IDX</stp>
        <stp>027</stp>
        <stp>기관순매수금액</stp>
        <stp>45475</stp>
        <stp>fill=true</stp>
        <tr r="E73" s="1"/>
      </tp>
      <tp>
        <v>-44799</v>
        <stp/>
        <stp>P</stp>
        <stp>0</stp>
        <stp>IDX</stp>
        <stp>026</stp>
        <stp>기관순매수금액</stp>
        <stp>45475</stp>
        <stp>fill=true</stp>
        <tr r="E72" s="1"/>
      </tp>
      <tp>
        <v>76242</v>
        <stp/>
        <stp>P</stp>
        <stp>0</stp>
        <stp>IDX</stp>
        <stp>021</stp>
        <stp>기관순매수금액</stp>
        <stp>45475</stp>
        <stp>fill=true</stp>
        <tr r="E69" s="1"/>
      </tp>
      <tp>
        <v>-3514</v>
        <stp/>
        <stp>P</stp>
        <stp>0</stp>
        <stp>IDX</stp>
        <stp>020</stp>
        <stp>기관순매수금액</stp>
        <stp>45475</stp>
        <stp>fill=true</stp>
        <tr r="E68" s="1"/>
      </tp>
      <tp>
        <v>-118906</v>
        <stp/>
        <stp>P</stp>
        <stp>0</stp>
        <stp>IDX</stp>
        <stp>015</stp>
        <stp>기관순매수금액</stp>
        <stp>45475</stp>
        <stp>fill=true</stp>
        <tr r="E63" s="1"/>
      </tp>
      <tp>
        <v>-1961</v>
        <stp/>
        <stp>P</stp>
        <stp>0</stp>
        <stp>IDX</stp>
        <stp>014</stp>
        <stp>기관순매수금액</stp>
        <stp>45475</stp>
        <stp>fill=true</stp>
        <tr r="E62" s="1"/>
      </tp>
      <tp>
        <v>-28991</v>
        <stp/>
        <stp>P</stp>
        <stp>0</stp>
        <stp>IDX</stp>
        <stp>017</stp>
        <stp>기관순매수금액</stp>
        <stp>45475</stp>
        <stp>fill=true</stp>
        <tr r="E65" s="1"/>
      </tp>
      <tp>
        <v>-11769</v>
        <stp/>
        <stp>P</stp>
        <stp>0</stp>
        <stp>IDX</stp>
        <stp>016</stp>
        <stp>기관순매수금액</stp>
        <stp>45475</stp>
        <stp>fill=true</stp>
        <tr r="E64" s="1"/>
      </tp>
      <tp>
        <v>-14323</v>
        <stp/>
        <stp>P</stp>
        <stp>0</stp>
        <stp>IDX</stp>
        <stp>011</stp>
        <stp>기관순매수금액</stp>
        <stp>45475</stp>
        <stp>fill=true</stp>
        <tr r="E59" s="1"/>
      </tp>
      <tp>
        <v>77</v>
        <stp/>
        <stp>P</stp>
        <stp>0</stp>
        <stp>IDX</stp>
        <stp>010</stp>
        <stp>기관순매수금액</stp>
        <stp>45475</stp>
        <stp>fill=true</stp>
        <tr r="E58" s="1"/>
      </tp>
      <tp>
        <v>-173606</v>
        <stp/>
        <stp>P</stp>
        <stp>0</stp>
        <stp>IDX</stp>
        <stp>013</stp>
        <stp>기관순매수금액</stp>
        <stp>45475</stp>
        <stp>fill=true</stp>
        <tr r="E61" s="1"/>
      </tp>
      <tp>
        <v>-32620</v>
        <stp/>
        <stp>P</stp>
        <stp>0</stp>
        <stp>IDX</stp>
        <stp>012</stp>
        <stp>기관순매수금액</stp>
        <stp>45475</stp>
        <stp>fill=true</stp>
        <tr r="E60" s="1"/>
      </tp>
      <tp>
        <v>-3802</v>
        <stp/>
        <stp>P</stp>
        <stp>0</stp>
        <stp>IDX</stp>
        <stp>019</stp>
        <stp>기관순매수금액</stp>
        <stp>45475</stp>
        <stp>fill=true</stp>
        <tr r="E67" s="1"/>
      </tp>
      <tp>
        <v>-3337</v>
        <stp/>
        <stp>P</stp>
        <stp>0</stp>
        <stp>IDX</stp>
        <stp>018</stp>
        <stp>기관순매수금액</stp>
        <stp>45475</stp>
        <stp>fill=true</stp>
        <tr r="E66" s="1"/>
      </tp>
      <tp>
        <v>-23980</v>
        <stp/>
        <stp>P</stp>
        <stp>0</stp>
        <stp>IDX</stp>
        <stp>005</stp>
        <stp>기관순매수금액</stp>
        <stp>45475</stp>
        <stp>fill=true</stp>
        <tr r="E53" s="1"/>
      </tp>
      <tp>
        <v>329</v>
        <stp/>
        <stp>P</stp>
        <stp>0</stp>
        <stp>IDX</stp>
        <stp>007</stp>
        <stp>기관순매수금액</stp>
        <stp>45475</stp>
        <stp>fill=true</stp>
        <tr r="E55" s="1"/>
      </tp>
      <tp>
        <v>31</v>
        <stp/>
        <stp>P</stp>
        <stp>0</stp>
        <stp>IDX</stp>
        <stp>006</stp>
        <stp>기관순매수금액</stp>
        <stp>45475</stp>
        <stp>fill=true</stp>
        <tr r="E54" s="1"/>
      </tp>
      <tp>
        <v>-351313</v>
        <stp/>
        <stp>P</stp>
        <stp>0</stp>
        <stp>IDX</stp>
        <stp>001</stp>
        <stp>기관순매수금액</stp>
        <stp>45475</stp>
        <stp>fill=true</stp>
        <tr r="E51" s="1"/>
      </tp>
      <tp>
        <v>74407</v>
        <stp/>
        <stp>P</stp>
        <stp>0</stp>
        <stp>IDX</stp>
        <stp>009</stp>
        <stp>기관순매수금액</stp>
        <stp>45475</stp>
        <stp>fill=true</stp>
        <tr r="E57" s="1"/>
      </tp>
      <tp>
        <v>-38264</v>
        <stp/>
        <stp>P</stp>
        <stp>0</stp>
        <stp>IDX</stp>
        <stp>008</stp>
        <stp>기관순매수금액</stp>
        <stp>45475</stp>
        <stp>fill=true</stp>
        <tr r="E56" s="1"/>
      </tp>
      <tp t="s">
        <v/>
        <stp/>
        <stp>P</stp>
        <stp>0</stp>
        <stp>IDX</stp>
        <stp>251</stp>
        <stp>기관순매수금액</stp>
        <stp>45475</stp>
        <stp>fill=true</stp>
        <tr r="E87" s="1"/>
      </tp>
      <tp t="s">
        <v/>
        <stp/>
        <stp>P</stp>
        <stp>0</stp>
        <stp>IDX</stp>
        <stp>250</stp>
        <stp>기관순매수금액</stp>
        <stp>45475</stp>
        <stp>fill=true</stp>
        <tr r="E86" s="1"/>
      </tp>
      <tp t="s">
        <v/>
        <stp/>
        <stp>P</stp>
        <stp>0</stp>
        <stp>IDX</stp>
        <stp>253</stp>
        <stp>기관순매수금액</stp>
        <stp>45475</stp>
        <stp>fill=true</stp>
        <tr r="E89" s="1"/>
      </tp>
      <tp t="s">
        <v/>
        <stp/>
        <stp>P</stp>
        <stp>0</stp>
        <stp>IDX</stp>
        <stp>252</stp>
        <stp>기관순매수금액</stp>
        <stp>45475</stp>
        <stp>fill=true</stp>
        <tr r="E88" s="1"/>
      </tp>
      <tp t="s">
        <v/>
        <stp/>
        <stp>P</stp>
        <stp>0</stp>
        <stp>IDX</stp>
        <stp>220</stp>
        <stp>기관순매수금액</stp>
        <stp>45475</stp>
        <stp>fill=true</stp>
        <tr r="E85" s="1"/>
      </tp>
      <tp t="s">
        <v/>
        <stp/>
        <stp>P</stp>
        <stp>0</stp>
        <stp>IDX</stp>
        <stp>215</stp>
        <stp>기관순매수금액</stp>
        <stp>45475</stp>
        <stp>fill=true</stp>
        <tr r="E80" s="1"/>
      </tp>
      <tp t="s">
        <v/>
        <stp/>
        <stp>P</stp>
        <stp>0</stp>
        <stp>IDX</stp>
        <stp>214</stp>
        <stp>기관순매수금액</stp>
        <stp>45475</stp>
        <stp>fill=true</stp>
        <tr r="E79" s="1"/>
      </tp>
      <tp t="s">
        <v/>
        <stp/>
        <stp>P</stp>
        <stp>0</stp>
        <stp>IDX</stp>
        <stp>217</stp>
        <stp>기관순매수금액</stp>
        <stp>45475</stp>
        <stp>fill=true</stp>
        <tr r="E82" s="1"/>
      </tp>
      <tp t="s">
        <v/>
        <stp/>
        <stp>P</stp>
        <stp>0</stp>
        <stp>IDX</stp>
        <stp>216</stp>
        <stp>기관순매수금액</stp>
        <stp>45475</stp>
        <stp>fill=true</stp>
        <tr r="E81" s="1"/>
      </tp>
      <tp>
        <v>-352346</v>
        <stp/>
        <stp>P</stp>
        <stp>0</stp>
        <stp>IDX</stp>
        <stp>211</stp>
        <stp>기관순매수금액</stp>
        <stp>45475</stp>
        <stp>fill=true</stp>
        <tr r="E52" s="1"/>
      </tp>
      <tp t="s">
        <v/>
        <stp/>
        <stp>P</stp>
        <stp>0</stp>
        <stp>IDX</stp>
        <stp>213</stp>
        <stp>기관순매수금액</stp>
        <stp>45475</stp>
        <stp>fill=true</stp>
        <tr r="E78" s="1"/>
      </tp>
      <tp t="s">
        <v/>
        <stp/>
        <stp>P</stp>
        <stp>0</stp>
        <stp>IDX</stp>
        <stp>212</stp>
        <stp>기관순매수금액</stp>
        <stp>45475</stp>
        <stp>fill=true</stp>
        <tr r="E77" s="1"/>
      </tp>
      <tp t="s">
        <v/>
        <stp/>
        <stp>P</stp>
        <stp>0</stp>
        <stp>IDX</stp>
        <stp>219</stp>
        <stp>기관순매수금액</stp>
        <stp>45475</stp>
        <stp>fill=true</stp>
        <tr r="E84" s="1"/>
      </tp>
      <tp t="s">
        <v/>
        <stp/>
        <stp>P</stp>
        <stp>0</stp>
        <stp>IDX</stp>
        <stp>218</stp>
        <stp>기관순매수금액</stp>
        <stp>45475</stp>
        <stp>fill=true</stp>
        <tr r="E83" s="1"/>
      </tp>
      <tp>
        <v>-249625</v>
        <stp/>
        <stp>P</stp>
        <stp>0</stp>
        <stp>IDX</stp>
        <stp>201</stp>
        <stp>기관순매수금액</stp>
        <stp>45475</stp>
        <stp>fill=true</stp>
        <tr r="E74" s="1"/>
      </tp>
      <tp>
        <v>-8772</v>
        <stp/>
        <stp>P</stp>
        <stp>0</stp>
        <stp>IDX</stp>
        <stp>203</stp>
        <stp>기관순매수금액</stp>
        <stp>45475</stp>
        <stp>fill=true</stp>
        <tr r="E76" s="1"/>
      </tp>
      <tp>
        <v>-82632</v>
        <stp/>
        <stp>P</stp>
        <stp>0</stp>
        <stp>IDX</stp>
        <stp>202</stp>
        <stp>기관순매수금액</stp>
        <stp>45475</stp>
        <stp>fill=true</stp>
        <tr r="E75" s="1"/>
      </tp>
      <tp>
        <v>0</v>
        <stp/>
        <stp>H</stp>
        <stp>x1.r4MZ1</stp>
        <stp>1</stp>
        <stp>272466</stp>
        <tr r="FS56" s="1"/>
      </tp>
      <tp>
        <v>0</v>
        <stp/>
        <stp>H</stp>
        <stp>x2.r4MZ1</stp>
        <stp>2</stp>
        <stp>272466</stp>
        <tr r="FW56" s="1"/>
      </tp>
      <tp>
        <v>0</v>
        <stp/>
        <stp>H</stp>
        <stp>x3.r4MZ1</stp>
        <stp>3</stp>
        <stp>272466</stp>
        <tr r="GA56" s="1"/>
      </tp>
      <tp>
        <v>0</v>
        <stp/>
        <stp>H</stp>
        <stp>x4.r4MZ1</stp>
        <stp>4</stp>
        <stp>272466</stp>
        <tr r="AD56" s="1"/>
      </tp>
      <tp>
        <v>0</v>
        <stp/>
        <stp>H</stp>
        <stp>x5.r4MZ1</stp>
        <stp>5</stp>
        <stp>272466</stp>
        <tr r="R56" s="1"/>
      </tp>
      <tp>
        <v>0</v>
        <stp/>
        <stp>H</stp>
        <stp>x6.r4MZ1</stp>
        <stp>6</stp>
        <stp>272466</stp>
        <tr r="GE56" s="1"/>
      </tp>
      <tp>
        <v>0</v>
        <stp/>
        <stp>H</stp>
        <stp>x7.r4MZ1</stp>
        <stp>7</stp>
        <stp>272466</stp>
        <tr r="V56" s="1"/>
      </tp>
      <tp>
        <v>0</v>
        <stp/>
        <stp>H</stp>
        <stp>x8.r4MZ1</stp>
        <stp>8</stp>
        <stp>272466</stp>
        <tr r="Z56" s="1"/>
      </tp>
      <tp>
        <v>0</v>
        <stp/>
        <stp>H</stp>
        <stp>x9.r4MZ1</stp>
        <stp>9</stp>
        <stp>272466</stp>
        <tr r="AH56" s="1"/>
      </tp>
      <tp t="s">
        <v/>
        <stp/>
        <stp>P</stp>
        <stp>0</stp>
        <stp>IDX</stp>
        <stp>219</stp>
        <stp>외국인합순매수금액</stp>
        <stp>45475</stp>
        <stp>fill=true</stp>
        <tr r="H84" s="1"/>
      </tp>
      <tp>
        <v>-5578</v>
        <stp/>
        <stp>P</stp>
        <stp>0</stp>
        <stp>IDX</stp>
        <stp>009</stp>
        <stp>외국인합순매수금액</stp>
        <stp>45475</stp>
        <stp>fill=true</stp>
        <tr r="H57" s="1"/>
      </tp>
      <tp>
        <v>-5633</v>
        <stp/>
        <stp>P</stp>
        <stp>0</stp>
        <stp>IDX</stp>
        <stp>019</stp>
        <stp>외국인합순매수금액</stp>
        <stp>45475</stp>
        <stp>fill=true</stp>
        <tr r="H67" s="1"/>
      </tp>
      <tp t="s">
        <v/>
        <stp/>
        <stp>P</stp>
        <stp>0</stp>
        <stp>IDX</stp>
        <stp>218</stp>
        <stp>외국인합순매수금액</stp>
        <stp>45475</stp>
        <stp>fill=true</stp>
        <tr r="H83" s="1"/>
      </tp>
      <tp>
        <v>-31663</v>
        <stp/>
        <stp>P</stp>
        <stp>0</stp>
        <stp>IDX</stp>
        <stp>008</stp>
        <stp>외국인합순매수금액</stp>
        <stp>45475</stp>
        <stp>fill=true</stp>
        <tr r="H56" s="1"/>
      </tp>
      <tp>
        <v>-5264</v>
        <stp/>
        <stp>P</stp>
        <stp>0</stp>
        <stp>IDX</stp>
        <stp>018</stp>
        <stp>외국인합순매수금액</stp>
        <stp>45475</stp>
        <stp>fill=true</stp>
        <tr r="H66" s="1"/>
      </tp>
      <tp t="s">
        <v/>
        <stp/>
        <stp>P</stp>
        <stp>0</stp>
        <stp>IDX</stp>
        <stp>217</stp>
        <stp>외국인합순매수금액</stp>
        <stp>45475</stp>
        <stp>fill=true</stp>
        <tr r="H82" s="1"/>
      </tp>
      <tp>
        <v>-41091</v>
        <stp/>
        <stp>P</stp>
        <stp>0</stp>
        <stp>IDX</stp>
        <stp>027</stp>
        <stp>외국인합순매수금액</stp>
        <stp>45475</stp>
        <stp>fill=true</stp>
        <tr r="H73" s="1"/>
      </tp>
      <tp>
        <v>581</v>
        <stp/>
        <stp>P</stp>
        <stp>0</stp>
        <stp>IDX</stp>
        <stp>007</stp>
        <stp>외국인합순매수금액</stp>
        <stp>45475</stp>
        <stp>fill=true</stp>
        <tr r="H55" s="1"/>
      </tp>
      <tp>
        <v>-15764</v>
        <stp/>
        <stp>P</stp>
        <stp>0</stp>
        <stp>IDX</stp>
        <stp>017</stp>
        <stp>외국인합순매수금액</stp>
        <stp>45475</stp>
        <stp>fill=true</stp>
        <tr r="H65" s="1"/>
      </tp>
      <tp t="s">
        <v/>
        <stp/>
        <stp>P</stp>
        <stp>0</stp>
        <stp>IDX</stp>
        <stp>216</stp>
        <stp>외국인합순매수금액</stp>
        <stp>45475</stp>
        <stp>fill=true</stp>
        <tr r="H81" s="1"/>
      </tp>
      <tp>
        <v>-48179</v>
        <stp/>
        <stp>P</stp>
        <stp>0</stp>
        <stp>IDX</stp>
        <stp>026</stp>
        <stp>외국인합순매수금액</stp>
        <stp>45475</stp>
        <stp>fill=true</stp>
        <tr r="H72" s="1"/>
      </tp>
      <tp>
        <v>-913</v>
        <stp/>
        <stp>P</stp>
        <stp>0</stp>
        <stp>IDX</stp>
        <stp>006</stp>
        <stp>외국인합순매수금액</stp>
        <stp>45475</stp>
        <stp>fill=true</stp>
        <tr r="H54" s="1"/>
      </tp>
      <tp>
        <v>8761</v>
        <stp/>
        <stp>P</stp>
        <stp>0</stp>
        <stp>IDX</stp>
        <stp>016</stp>
        <stp>외국인합순매수금액</stp>
        <stp>45475</stp>
        <stp>fill=true</stp>
        <tr r="H64" s="1"/>
      </tp>
      <tp t="s">
        <v/>
        <stp/>
        <stp>P</stp>
        <stp>0</stp>
        <stp>IDX</stp>
        <stp>215</stp>
        <stp>외국인합순매수금액</stp>
        <stp>45475</stp>
        <stp>fill=true</stp>
        <tr r="H80" s="1"/>
      </tp>
      <tp>
        <v>19112</v>
        <stp/>
        <stp>P</stp>
        <stp>0</stp>
        <stp>IDX</stp>
        <stp>025</stp>
        <stp>외국인합순매수금액</stp>
        <stp>45475</stp>
        <stp>fill=true</stp>
        <tr r="H71" s="1"/>
      </tp>
      <tp>
        <v>31997</v>
        <stp/>
        <stp>P</stp>
        <stp>0</stp>
        <stp>IDX</stp>
        <stp>005</stp>
        <stp>외국인합순매수금액</stp>
        <stp>45475</stp>
        <stp>fill=true</stp>
        <tr r="H53" s="1"/>
      </tp>
      <tp>
        <v>-137553</v>
        <stp/>
        <stp>P</stp>
        <stp>0</stp>
        <stp>IDX</stp>
        <stp>015</stp>
        <stp>외국인합순매수금액</stp>
        <stp>45475</stp>
        <stp>fill=true</stp>
        <tr r="H63" s="1"/>
      </tp>
      <tp t="s">
        <v/>
        <stp/>
        <stp>P</stp>
        <stp>0</stp>
        <stp>IDX</stp>
        <stp>214</stp>
        <stp>외국인합순매수금액</stp>
        <stp>45475</stp>
        <stp>fill=true</stp>
        <tr r="H79" s="1"/>
      </tp>
      <tp>
        <v>5589</v>
        <stp/>
        <stp>P</stp>
        <stp>0</stp>
        <stp>IDX</stp>
        <stp>024</stp>
        <stp>외국인합순매수금액</stp>
        <stp>45475</stp>
        <stp>fill=true</stp>
        <tr r="H70" s="1"/>
      </tp>
      <tp>
        <v>-3957</v>
        <stp/>
        <stp>P</stp>
        <stp>0</stp>
        <stp>IDX</stp>
        <stp>014</stp>
        <stp>외국인합순매수금액</stp>
        <stp>45475</stp>
        <stp>fill=true</stp>
        <tr r="H62" s="1"/>
      </tp>
      <tp t="s">
        <v/>
        <stp/>
        <stp>P</stp>
        <stp>0</stp>
        <stp>IDX</stp>
        <stp>253</stp>
        <stp>외국인합순매수금액</stp>
        <stp>45475</stp>
        <stp>fill=true</stp>
        <tr r="H89" s="1"/>
      </tp>
      <tp>
        <v>575</v>
        <stp/>
        <stp>P</stp>
        <stp>0</stp>
        <stp>IDX</stp>
        <stp>203</stp>
        <stp>외국인합순매수금액</stp>
        <stp>45475</stp>
        <stp>fill=true</stp>
        <tr r="H76" s="1"/>
      </tp>
      <tp t="s">
        <v/>
        <stp/>
        <stp>P</stp>
        <stp>0</stp>
        <stp>IDX</stp>
        <stp>213</stp>
        <stp>외국인합순매수금액</stp>
        <stp>45475</stp>
        <stp>fill=true</stp>
        <tr r="H78" s="1"/>
      </tp>
      <tp>
        <v>187913</v>
        <stp/>
        <stp>P</stp>
        <stp>0</stp>
        <stp>IDX</stp>
        <stp>013</stp>
        <stp>외국인합순매수금액</stp>
        <stp>45475</stp>
        <stp>fill=true</stp>
        <tr r="H61" s="1"/>
      </tp>
      <tp t="s">
        <v/>
        <stp/>
        <stp>P</stp>
        <stp>0</stp>
        <stp>IDX</stp>
        <stp>252</stp>
        <stp>외국인합순매수금액</stp>
        <stp>45475</stp>
        <stp>fill=true</stp>
        <tr r="H88" s="1"/>
      </tp>
      <tp>
        <v>-49360</v>
        <stp/>
        <stp>P</stp>
        <stp>0</stp>
        <stp>IDX</stp>
        <stp>202</stp>
        <stp>외국인합순매수금액</stp>
        <stp>45475</stp>
        <stp>fill=true</stp>
        <tr r="H75" s="1"/>
      </tp>
      <tp t="s">
        <v/>
        <stp/>
        <stp>P</stp>
        <stp>0</stp>
        <stp>IDX</stp>
        <stp>212</stp>
        <stp>외국인합순매수금액</stp>
        <stp>45475</stp>
        <stp>fill=true</stp>
        <tr r="H77" s="1"/>
      </tp>
      <tp>
        <v>-69476</v>
        <stp/>
        <stp>P</stp>
        <stp>0</stp>
        <stp>IDX</stp>
        <stp>012</stp>
        <stp>외국인합순매수금액</stp>
        <stp>45475</stp>
        <stp>fill=true</stp>
        <tr r="H60" s="1"/>
      </tp>
      <tp t="s">
        <v/>
        <stp/>
        <stp>P</stp>
        <stp>0</stp>
        <stp>IDX</stp>
        <stp>251</stp>
        <stp>외국인합순매수금액</stp>
        <stp>45475</stp>
        <stp>fill=true</stp>
        <tr r="H87" s="1"/>
      </tp>
      <tp>
        <v>20328</v>
        <stp/>
        <stp>P</stp>
        <stp>0</stp>
        <stp>IDX</stp>
        <stp>201</stp>
        <stp>외국인합순매수금액</stp>
        <stp>45475</stp>
        <stp>fill=true</stp>
        <tr r="H74" s="1"/>
      </tp>
      <tp>
        <v>-12286</v>
        <stp/>
        <stp>P</stp>
        <stp>0</stp>
        <stp>IDX</stp>
        <stp>211</stp>
        <stp>외국인합순매수금액</stp>
        <stp>45475</stp>
        <stp>fill=true</stp>
        <tr r="H52" s="1"/>
      </tp>
      <tp>
        <v>78956</v>
        <stp/>
        <stp>P</stp>
        <stp>0</stp>
        <stp>IDX</stp>
        <stp>021</stp>
        <stp>외국인합순매수금액</stp>
        <stp>45475</stp>
        <stp>fill=true</stp>
        <tr r="H69" s="1"/>
      </tp>
      <tp>
        <v>-30116</v>
        <stp/>
        <stp>P</stp>
        <stp>0</stp>
        <stp>IDX</stp>
        <stp>001</stp>
        <stp>외국인합순매수금액</stp>
        <stp>45475</stp>
        <stp>fill=true</stp>
        <tr r="H51" s="1"/>
      </tp>
      <tp>
        <v>-16651</v>
        <stp/>
        <stp>P</stp>
        <stp>0</stp>
        <stp>IDX</stp>
        <stp>011</stp>
        <stp>외국인합순매수금액</stp>
        <stp>45475</stp>
        <stp>fill=true</stp>
        <tr r="H59" s="1"/>
      </tp>
      <tp t="s">
        <v/>
        <stp/>
        <stp>P</stp>
        <stp>0</stp>
        <stp>IDX</stp>
        <stp>250</stp>
        <stp>외국인합순매수금액</stp>
        <stp>45475</stp>
        <stp>fill=true</stp>
        <tr r="H86" s="1"/>
      </tp>
      <tp t="s">
        <v/>
        <stp/>
        <stp>P</stp>
        <stp>0</stp>
        <stp>IDX</stp>
        <stp>220</stp>
        <stp>외국인합순매수금액</stp>
        <stp>45475</stp>
        <stp>fill=true</stp>
        <tr r="H85" s="1"/>
      </tp>
      <tp>
        <v>-2319</v>
        <stp/>
        <stp>P</stp>
        <stp>0</stp>
        <stp>IDX</stp>
        <stp>020</stp>
        <stp>외국인합순매수금액</stp>
        <stp>45475</stp>
        <stp>fill=true</stp>
        <tr r="H68" s="1"/>
      </tp>
      <tp>
        <v>-628</v>
        <stp/>
        <stp>P</stp>
        <stp>0</stp>
        <stp>IDX</stp>
        <stp>010</stp>
        <stp>외국인합순매수금액</stp>
        <stp>45475</stp>
        <stp>fill=true</stp>
        <tr r="H58" s="1"/>
      </tp>
      <tp>
        <v>36.380000000000003</v>
        <stp/>
        <stp>P</stp>
        <stp>0</stp>
        <stp>IDX</stp>
        <stp>220</stp>
        <stp>외국인보유비중(시총)</stp>
        <stp>45475</stp>
        <stp/>
        <tr r="M40" s="1"/>
      </tp>
      <tp>
        <v>5.77</v>
        <stp/>
        <stp>P</stp>
        <stp>0</stp>
        <stp>IDX</stp>
        <stp>203</stp>
        <stp>외국인보유비중(시총)</stp>
        <stp>45475</stp>
        <stp/>
        <tr r="M31" s="1"/>
      </tp>
      <tp>
        <v>16.059999999999999</v>
        <stp/>
        <stp>P</stp>
        <stp>0</stp>
        <stp>IDX</stp>
        <stp>202</stp>
        <stp>외국인보유비중(시총)</stp>
        <stp>45475</stp>
        <stp/>
        <tr r="M30" s="1"/>
      </tp>
      <tp>
        <v>38.869999999999997</v>
        <stp/>
        <stp>P</stp>
        <stp>0</stp>
        <stp>IDX</stp>
        <stp>201</stp>
        <stp>외국인보유비중(시총)</stp>
        <stp>45475</stp>
        <stp/>
        <tr r="M29" s="1"/>
      </tp>
      <tp>
        <v>22.32</v>
        <stp/>
        <stp>P</stp>
        <stp>0</stp>
        <stp>IDX</stp>
        <stp>213</stp>
        <stp>외국인보유비중(시총)</stp>
        <stp>45475</stp>
        <stp/>
        <tr r="M33" s="1"/>
      </tp>
      <tp>
        <v>26.36</v>
        <stp/>
        <stp>P</stp>
        <stp>0</stp>
        <stp>IDX</stp>
        <stp>212</stp>
        <stp>외국인보유비중(시총)</stp>
        <stp>45475</stp>
        <stp/>
        <tr r="M32" s="1"/>
      </tp>
      <tp>
        <v>37.159999999999997</v>
        <stp/>
        <stp>P</stp>
        <stp>0</stp>
        <stp>IDX</stp>
        <stp>211</stp>
        <stp>외국인보유비중(시총)</stp>
        <stp>45475</stp>
        <stp/>
        <tr r="M7" s="1"/>
      </tp>
      <tp>
        <v>44.48</v>
        <stp/>
        <stp>P</stp>
        <stp>0</stp>
        <stp>IDX</stp>
        <stp>217</stp>
        <stp>외국인보유비중(시총)</stp>
        <stp>45475</stp>
        <stp/>
        <tr r="M37" s="1"/>
      </tp>
      <tp>
        <v>51.66</v>
        <stp/>
        <stp>P</stp>
        <stp>0</stp>
        <stp>IDX</stp>
        <stp>216</stp>
        <stp>외국인보유비중(시총)</stp>
        <stp>45475</stp>
        <stp/>
        <tr r="M36" s="1"/>
      </tp>
      <tp>
        <v>27.39</v>
        <stp/>
        <stp>P</stp>
        <stp>0</stp>
        <stp>IDX</stp>
        <stp>215</stp>
        <stp>외국인보유비중(시총)</stp>
        <stp>45475</stp>
        <stp/>
        <tr r="M35" s="1"/>
      </tp>
      <tp>
        <v>23.33</v>
        <stp/>
        <stp>P</stp>
        <stp>0</stp>
        <stp>IDX</stp>
        <stp>214</stp>
        <stp>외국인보유비중(시총)</stp>
        <stp>45475</stp>
        <stp/>
        <tr r="M34" s="1"/>
      </tp>
      <tp>
        <v>36.35</v>
        <stp/>
        <stp>P</stp>
        <stp>0</stp>
        <stp>IDX</stp>
        <stp>219</stp>
        <stp>외국인보유비중(시총)</stp>
        <stp>45475</stp>
        <stp/>
        <tr r="M39" s="1"/>
      </tp>
      <tp>
        <v>22.06</v>
        <stp/>
        <stp>P</stp>
        <stp>0</stp>
        <stp>IDX</stp>
        <stp>218</stp>
        <stp>외국인보유비중(시총)</stp>
        <stp>45475</stp>
        <stp/>
        <tr r="M38" s="1"/>
      </tp>
      <tp>
        <v>15.5</v>
        <stp/>
        <stp>P</stp>
        <stp>0</stp>
        <stp>IDX</stp>
        <stp>253</stp>
        <stp>외국인보유비중(시총)</stp>
        <stp>45475</stp>
        <stp/>
        <tr r="M44" s="1"/>
      </tp>
      <tp>
        <v>13.83</v>
        <stp/>
        <stp>P</stp>
        <stp>0</stp>
        <stp>IDX</stp>
        <stp>252</stp>
        <stp>외국인보유비중(시총)</stp>
        <stp>45475</stp>
        <stp/>
        <tr r="M43" s="1"/>
      </tp>
      <tp t="s">
        <v/>
        <stp/>
        <stp>P</stp>
        <stp>0</stp>
        <stp>IDX</stp>
        <stp>251</stp>
        <stp>외국인보유비중(시총)</stp>
        <stp>45475</stp>
        <stp/>
        <tr r="M42" s="1"/>
      </tp>
      <tp t="s">
        <v/>
        <stp/>
        <stp>P</stp>
        <stp>0</stp>
        <stp>IDX</stp>
        <stp>250</stp>
        <stp>외국인보유비중(시총)</stp>
        <stp>45475</stp>
        <stp/>
        <tr r="M41" s="1"/>
      </tp>
      <tp>
        <v>36.65</v>
        <stp/>
        <stp>P</stp>
        <stp>0</stp>
        <stp>IDX</stp>
        <stp>021</stp>
        <stp>외국인보유비중(시총)</stp>
        <stp>45475</stp>
        <stp/>
        <tr r="M24" s="1"/>
      </tp>
      <tp>
        <v>41.47</v>
        <stp/>
        <stp>P</stp>
        <stp>0</stp>
        <stp>IDX</stp>
        <stp>020</stp>
        <stp>외국인보유비중(시총)</stp>
        <stp>45475</stp>
        <stp/>
        <tr r="M23" s="1"/>
      </tp>
      <tp>
        <v>37.979999999999997</v>
        <stp/>
        <stp>P</stp>
        <stp>0</stp>
        <stp>IDX</stp>
        <stp>027</stp>
        <stp>외국인보유비중(시총)</stp>
        <stp>45475</stp>
        <stp/>
        <tr r="M28" s="1"/>
      </tp>
      <tp>
        <v>25.07</v>
        <stp/>
        <stp>P</stp>
        <stp>0</stp>
        <stp>IDX</stp>
        <stp>026</stp>
        <stp>외국인보유비중(시총)</stp>
        <stp>45475</stp>
        <stp/>
        <tr r="M27" s="1"/>
      </tp>
      <tp>
        <v>36.9</v>
        <stp/>
        <stp>P</stp>
        <stp>0</stp>
        <stp>IDX</stp>
        <stp>025</stp>
        <stp>외국인보유비중(시총)</stp>
        <stp>45475</stp>
        <stp/>
        <tr r="M26" s="1"/>
      </tp>
      <tp>
        <v>17.940000000000001</v>
        <stp/>
        <stp>P</stp>
        <stp>0</stp>
        <stp>IDX</stp>
        <stp>024</stp>
        <stp>외국인보유비중(시총)</stp>
        <stp>45475</stp>
        <stp/>
        <tr r="M25" s="1"/>
      </tp>
      <tp>
        <v>35.64</v>
        <stp/>
        <stp>P</stp>
        <stp>0</stp>
        <stp>IDX</stp>
        <stp>001</stp>
        <stp>외국인보유비중(시총)</stp>
        <stp>45475</stp>
        <stp/>
        <tr r="M6" s="1"/>
      </tp>
      <tp>
        <v>2.9</v>
        <stp/>
        <stp>P</stp>
        <stp>0</stp>
        <stp>IDX</stp>
        <stp>007</stp>
        <stp>외국인보유비중(시총)</stp>
        <stp>45475</stp>
        <stp/>
        <tr r="M10" s="1"/>
      </tp>
      <tp>
        <v>10.33</v>
        <stp/>
        <stp>P</stp>
        <stp>0</stp>
        <stp>IDX</stp>
        <stp>006</stp>
        <stp>외국인보유비중(시총)</stp>
        <stp>45475</stp>
        <stp/>
        <tr r="M9" s="1"/>
      </tp>
      <tp>
        <v>16.46</v>
        <stp/>
        <stp>P</stp>
        <stp>0</stp>
        <stp>IDX</stp>
        <stp>005</stp>
        <stp>외국인보유비중(시총)</stp>
        <stp>45475</stp>
        <stp/>
        <tr r="M8" s="1"/>
      </tp>
      <tp>
        <v>15.4</v>
        <stp/>
        <stp>P</stp>
        <stp>0</stp>
        <stp>IDX</stp>
        <stp>009</stp>
        <stp>외국인보유비중(시총)</stp>
        <stp>45475</stp>
        <stp/>
        <tr r="M12" s="1"/>
      </tp>
      <tp>
        <v>25.48</v>
        <stp/>
        <stp>P</stp>
        <stp>0</stp>
        <stp>IDX</stp>
        <stp>008</stp>
        <stp>외국인보유비중(시총)</stp>
        <stp>45475</stp>
        <stp/>
        <tr r="M11" s="1"/>
      </tp>
      <tp>
        <v>47.38</v>
        <stp/>
        <stp>P</stp>
        <stp>0</stp>
        <stp>IDX</stp>
        <stp>013</stp>
        <stp>외국인보유비중(시총)</stp>
        <stp>45475</stp>
        <stp/>
        <tr r="M16" s="1"/>
      </tp>
      <tp>
        <v>16.79</v>
        <stp/>
        <stp>P</stp>
        <stp>0</stp>
        <stp>IDX</stp>
        <stp>012</stp>
        <stp>외국인보유비중(시총)</stp>
        <stp>45475</stp>
        <stp/>
        <tr r="M15" s="1"/>
      </tp>
      <tp>
        <v>21.53</v>
        <stp/>
        <stp>P</stp>
        <stp>0</stp>
        <stp>IDX</stp>
        <stp>011</stp>
        <stp>외국인보유비중(시총)</stp>
        <stp>45475</stp>
        <stp/>
        <tr r="M14" s="1"/>
      </tp>
      <tp>
        <v>3.13</v>
        <stp/>
        <stp>P</stp>
        <stp>0</stp>
        <stp>IDX</stp>
        <stp>010</stp>
        <stp>외국인보유비중(시총)</stp>
        <stp>45475</stp>
        <stp/>
        <tr r="M13" s="1"/>
      </tp>
      <tp>
        <v>11.7</v>
        <stp/>
        <stp>P</stp>
        <stp>0</stp>
        <stp>IDX</stp>
        <stp>017</stp>
        <stp>외국인보유비중(시총)</stp>
        <stp>45475</stp>
        <stp/>
        <tr r="M20" s="1"/>
      </tp>
      <tp>
        <v>18.059999999999999</v>
        <stp/>
        <stp>P</stp>
        <stp>0</stp>
        <stp>IDX</stp>
        <stp>016</stp>
        <stp>외국인보유비중(시총)</stp>
        <stp>45475</stp>
        <stp/>
        <tr r="M19" s="1"/>
      </tp>
      <tp>
        <v>35.229999999999997</v>
        <stp/>
        <stp>P</stp>
        <stp>0</stp>
        <stp>IDX</stp>
        <stp>015</stp>
        <stp>외국인보유비중(시총)</stp>
        <stp>45475</stp>
        <stp/>
        <tr r="M18" s="1"/>
      </tp>
      <tp>
        <v>10.220000000000001</v>
        <stp/>
        <stp>P</stp>
        <stp>0</stp>
        <stp>IDX</stp>
        <stp>014</stp>
        <stp>외국인보유비중(시총)</stp>
        <stp>45475</stp>
        <stp/>
        <tr r="M17" s="1"/>
      </tp>
      <tp>
        <v>19.3</v>
        <stp/>
        <stp>P</stp>
        <stp>0</stp>
        <stp>IDX</stp>
        <stp>019</stp>
        <stp>외국인보유비중(시총)</stp>
        <stp>45475</stp>
        <stp/>
        <tr r="M22" s="1"/>
      </tp>
      <tp>
        <v>15.85</v>
        <stp/>
        <stp>P</stp>
        <stp>0</stp>
        <stp>IDX</stp>
        <stp>018</stp>
        <stp>외국인보유비중(시총)</stp>
        <stp>45475</stp>
        <stp/>
        <tr r="M21" s="1"/>
      </tp>
      <tp t="s">
        <v/>
        <stp/>
        <stp>P</stp>
        <stp>0</stp>
        <stp>IDX</stp>
        <stp>251</stp>
        <stp>개인순매수금액</stp>
        <stp>45475</stp>
        <stp>fill=true</stp>
        <tr r="K87" s="1"/>
      </tp>
      <tp t="s">
        <v/>
        <stp/>
        <stp>P</stp>
        <stp>0</stp>
        <stp>IDX</stp>
        <stp>250</stp>
        <stp>개인순매수금액</stp>
        <stp>45475</stp>
        <stp>fill=true</stp>
        <tr r="K86" s="1"/>
      </tp>
      <tp t="s">
        <v/>
        <stp/>
        <stp>P</stp>
        <stp>0</stp>
        <stp>IDX</stp>
        <stp>253</stp>
        <stp>개인순매수금액</stp>
        <stp>45475</stp>
        <stp>fill=true</stp>
        <tr r="K89" s="1"/>
      </tp>
      <tp t="s">
        <v/>
        <stp/>
        <stp>P</stp>
        <stp>0</stp>
        <stp>IDX</stp>
        <stp>252</stp>
        <stp>개인순매수금액</stp>
        <stp>45475</stp>
        <stp>fill=true</stp>
        <tr r="K88" s="1"/>
      </tp>
      <tp t="s">
        <v/>
        <stp/>
        <stp>P</stp>
        <stp>0</stp>
        <stp>IDX</stp>
        <stp>220</stp>
        <stp>개인순매수금액</stp>
        <stp>45475</stp>
        <stp>fill=true</stp>
        <tr r="K85" s="1"/>
      </tp>
      <tp t="s">
        <v/>
        <stp/>
        <stp>P</stp>
        <stp>0</stp>
        <stp>IDX</stp>
        <stp>215</stp>
        <stp>개인순매수금액</stp>
        <stp>45475</stp>
        <stp>fill=true</stp>
        <tr r="K80" s="1"/>
      </tp>
      <tp t="s">
        <v/>
        <stp/>
        <stp>P</stp>
        <stp>0</stp>
        <stp>IDX</stp>
        <stp>214</stp>
        <stp>개인순매수금액</stp>
        <stp>45475</stp>
        <stp>fill=true</stp>
        <tr r="K79" s="1"/>
      </tp>
      <tp t="s">
        <v/>
        <stp/>
        <stp>P</stp>
        <stp>0</stp>
        <stp>IDX</stp>
        <stp>217</stp>
        <stp>개인순매수금액</stp>
        <stp>45475</stp>
        <stp>fill=true</stp>
        <tr r="K82" s="1"/>
      </tp>
      <tp t="s">
        <v/>
        <stp/>
        <stp>P</stp>
        <stp>0</stp>
        <stp>IDX</stp>
        <stp>216</stp>
        <stp>개인순매수금액</stp>
        <stp>45475</stp>
        <stp>fill=true</stp>
        <tr r="K81" s="1"/>
      </tp>
      <tp>
        <v>373686</v>
        <stp/>
        <stp>P</stp>
        <stp>0</stp>
        <stp>IDX</stp>
        <stp>211</stp>
        <stp>개인순매수금액</stp>
        <stp>45475</stp>
        <stp>fill=true</stp>
        <tr r="K52" s="1"/>
      </tp>
      <tp t="s">
        <v/>
        <stp/>
        <stp>P</stp>
        <stp>0</stp>
        <stp>IDX</stp>
        <stp>213</stp>
        <stp>개인순매수금액</stp>
        <stp>45475</stp>
        <stp>fill=true</stp>
        <tr r="K78" s="1"/>
      </tp>
      <tp t="s">
        <v/>
        <stp/>
        <stp>P</stp>
        <stp>0</stp>
        <stp>IDX</stp>
        <stp>212</stp>
        <stp>개인순매수금액</stp>
        <stp>45475</stp>
        <stp>fill=true</stp>
        <tr r="K77" s="1"/>
      </tp>
      <tp t="s">
        <v/>
        <stp/>
        <stp>P</stp>
        <stp>0</stp>
        <stp>IDX</stp>
        <stp>219</stp>
        <stp>개인순매수금액</stp>
        <stp>45475</stp>
        <stp>fill=true</stp>
        <tr r="K84" s="1"/>
      </tp>
      <tp t="s">
        <v/>
        <stp/>
        <stp>P</stp>
        <stp>0</stp>
        <stp>IDX</stp>
        <stp>218</stp>
        <stp>개인순매수금액</stp>
        <stp>45475</stp>
        <stp>fill=true</stp>
        <tr r="K83" s="1"/>
      </tp>
      <tp>
        <v>237800</v>
        <stp/>
        <stp>P</stp>
        <stp>0</stp>
        <stp>IDX</stp>
        <stp>201</stp>
        <stp>개인순매수금액</stp>
        <stp>45475</stp>
        <stp>fill=true</stp>
        <tr r="K74" s="1"/>
      </tp>
      <tp>
        <v>8680</v>
        <stp/>
        <stp>P</stp>
        <stp>0</stp>
        <stp>IDX</stp>
        <stp>203</stp>
        <stp>개인순매수금액</stp>
        <stp>45475</stp>
        <stp>fill=true</stp>
        <tr r="K76" s="1"/>
      </tp>
      <tp>
        <v>134180</v>
        <stp/>
        <stp>P</stp>
        <stp>0</stp>
        <stp>IDX</stp>
        <stp>202</stp>
        <stp>개인순매수금액</stp>
        <stp>45475</stp>
        <stp>fill=true</stp>
        <tr r="K75" s="1"/>
      </tp>
      <tp>
        <v>-18265</v>
        <stp/>
        <stp>P</stp>
        <stp>0</stp>
        <stp>IDX</stp>
        <stp>025</stp>
        <stp>개인순매수금액</stp>
        <stp>45475</stp>
        <stp>fill=true</stp>
        <tr r="K71" s="1"/>
      </tp>
      <tp>
        <v>-15600</v>
        <stp/>
        <stp>P</stp>
        <stp>0</stp>
        <stp>IDX</stp>
        <stp>024</stp>
        <stp>개인순매수금액</stp>
        <stp>45475</stp>
        <stp>fill=true</stp>
        <tr r="K70" s="1"/>
      </tp>
      <tp>
        <v>371090</v>
        <stp/>
        <stp>P</stp>
        <stp>0</stp>
        <stp>IDX</stp>
        <stp>027</stp>
        <stp>개인순매수금액</stp>
        <stp>45475</stp>
        <stp>fill=true</stp>
        <tr r="K73" s="1"/>
      </tp>
      <tp>
        <v>87020</v>
        <stp/>
        <stp>P</stp>
        <stp>0</stp>
        <stp>IDX</stp>
        <stp>026</stp>
        <stp>개인순매수금액</stp>
        <stp>45475</stp>
        <stp>fill=true</stp>
        <tr r="K72" s="1"/>
      </tp>
      <tp>
        <v>-135900</v>
        <stp/>
        <stp>P</stp>
        <stp>0</stp>
        <stp>IDX</stp>
        <stp>021</stp>
        <stp>개인순매수금액</stp>
        <stp>45475</stp>
        <stp>fill=true</stp>
        <tr r="K69" s="1"/>
      </tp>
      <tp>
        <v>5726</v>
        <stp/>
        <stp>P</stp>
        <stp>0</stp>
        <stp>IDX</stp>
        <stp>020</stp>
        <stp>개인순매수금액</stp>
        <stp>45475</stp>
        <stp>fill=true</stp>
        <tr r="K68" s="1"/>
      </tp>
      <tp>
        <v>256512</v>
        <stp/>
        <stp>P</stp>
        <stp>0</stp>
        <stp>IDX</stp>
        <stp>015</stp>
        <stp>개인순매수금액</stp>
        <stp>45475</stp>
        <stp>fill=true</stp>
        <tr r="K63" s="1"/>
      </tp>
      <tp>
        <v>5892</v>
        <stp/>
        <stp>P</stp>
        <stp>0</stp>
        <stp>IDX</stp>
        <stp>014</stp>
        <stp>개인순매수금액</stp>
        <stp>45475</stp>
        <stp>fill=true</stp>
        <tr r="K62" s="1"/>
      </tp>
      <tp>
        <v>44082</v>
        <stp/>
        <stp>P</stp>
        <stp>0</stp>
        <stp>IDX</stp>
        <stp>017</stp>
        <stp>개인순매수금액</stp>
        <stp>45475</stp>
        <stp>fill=true</stp>
        <tr r="K65" s="1"/>
      </tp>
      <tp>
        <v>2557</v>
        <stp/>
        <stp>P</stp>
        <stp>0</stp>
        <stp>IDX</stp>
        <stp>016</stp>
        <stp>개인순매수금액</stp>
        <stp>45475</stp>
        <stp>fill=true</stp>
        <tr r="K64" s="1"/>
      </tp>
      <tp>
        <v>31108</v>
        <stp/>
        <stp>P</stp>
        <stp>0</stp>
        <stp>IDX</stp>
        <stp>011</stp>
        <stp>개인순매수금액</stp>
        <stp>45475</stp>
        <stp>fill=true</stp>
        <tr r="K59" s="1"/>
      </tp>
      <tp>
        <v>578</v>
        <stp/>
        <stp>P</stp>
        <stp>0</stp>
        <stp>IDX</stp>
        <stp>010</stp>
        <stp>개인순매수금액</stp>
        <stp>45475</stp>
        <stp>fill=true</stp>
        <tr r="K58" s="1"/>
      </tp>
      <tp>
        <v>-8918</v>
        <stp/>
        <stp>P</stp>
        <stp>0</stp>
        <stp>IDX</stp>
        <stp>013</stp>
        <stp>개인순매수금액</stp>
        <stp>45475</stp>
        <stp>fill=true</stp>
        <tr r="K61" s="1"/>
      </tp>
      <tp>
        <v>101770</v>
        <stp/>
        <stp>P</stp>
        <stp>0</stp>
        <stp>IDX</stp>
        <stp>012</stp>
        <stp>개인순매수금액</stp>
        <stp>45475</stp>
        <stp>fill=true</stp>
        <tr r="K60" s="1"/>
      </tp>
      <tp>
        <v>10569</v>
        <stp/>
        <stp>P</stp>
        <stp>0</stp>
        <stp>IDX</stp>
        <stp>019</stp>
        <stp>개인순매수금액</stp>
        <stp>45475</stp>
        <stp>fill=true</stp>
        <tr r="K67" s="1"/>
      </tp>
      <tp>
        <v>8436</v>
        <stp/>
        <stp>P</stp>
        <stp>0</stp>
        <stp>IDX</stp>
        <stp>018</stp>
        <stp>개인순매수금액</stp>
        <stp>45475</stp>
        <stp>fill=true</stp>
        <tr r="K66" s="1"/>
      </tp>
      <tp>
        <v>-11709</v>
        <stp/>
        <stp>P</stp>
        <stp>0</stp>
        <stp>IDX</stp>
        <stp>005</stp>
        <stp>개인순매수금액</stp>
        <stp>45475</stp>
        <stp>fill=true</stp>
        <tr r="K53" s="1"/>
      </tp>
      <tp>
        <v>-705</v>
        <stp/>
        <stp>P</stp>
        <stp>0</stp>
        <stp>IDX</stp>
        <stp>007</stp>
        <stp>개인순매수금액</stp>
        <stp>45475</stp>
        <stp>fill=true</stp>
        <tr r="K55" s="1"/>
      </tp>
      <tp>
        <v>1176</v>
        <stp/>
        <stp>P</stp>
        <stp>0</stp>
        <stp>IDX</stp>
        <stp>006</stp>
        <stp>개인순매수금액</stp>
        <stp>45475</stp>
        <stp>fill=true</stp>
        <tr r="K54" s="1"/>
      </tp>
      <tp>
        <v>393177</v>
        <stp/>
        <stp>P</stp>
        <stp>0</stp>
        <stp>IDX</stp>
        <stp>001</stp>
        <stp>개인순매수금액</stp>
        <stp>45475</stp>
        <stp>fill=true</stp>
        <tr r="K51" s="1"/>
      </tp>
      <tp>
        <v>-74272</v>
        <stp/>
        <stp>P</stp>
        <stp>0</stp>
        <stp>IDX</stp>
        <stp>009</stp>
        <stp>개인순매수금액</stp>
        <stp>45475</stp>
        <stp>fill=true</stp>
        <tr r="K57" s="1"/>
      </tp>
      <tp>
        <v>71830</v>
        <stp/>
        <stp>P</stp>
        <stp>0</stp>
        <stp>IDX</stp>
        <stp>008</stp>
        <stp>개인순매수금액</stp>
        <stp>45475</stp>
        <stp>fill=true</stp>
        <tr r="K56" s="1"/>
      </tp>
      <tp>
        <v>0</v>
        <stp/>
        <stp>H</stp>
        <stp>x78.r4MZ1</stp>
        <stp>78</stp>
        <stp>272466</stp>
        <tr r="LO56" s="1"/>
      </tp>
      <tp>
        <v>0</v>
        <stp/>
        <stp>H</stp>
        <stp>x73.r4MZ1</stp>
        <stp>73</stp>
        <stp>272466</stp>
        <tr r="FF56" s="1"/>
      </tp>
      <tp>
        <v>0</v>
        <stp/>
        <stp>H</stp>
        <stp>x72.r4MZ1</stp>
        <stp>72</stp>
        <stp>272466</stp>
        <tr r="LC56" s="1"/>
      </tp>
      <tp>
        <v>0</v>
        <stp/>
        <stp>H</stp>
        <stp>x71.r4MZ1</stp>
        <stp>71</stp>
        <stp>272466</stp>
        <tr r="FB56" s="1"/>
      </tp>
      <tp>
        <v>0</v>
        <stp/>
        <stp>H</stp>
        <stp>x70.r4MZ1</stp>
        <stp>70</stp>
        <stp>272466</stp>
        <tr r="KY56" s="1"/>
      </tp>
      <tp>
        <v>0</v>
        <stp/>
        <stp>H</stp>
        <stp>x77.r4MZ1</stp>
        <stp>77</stp>
        <stp>272466</stp>
        <tr r="LK56" s="1"/>
      </tp>
      <tp>
        <v>0</v>
        <stp/>
        <stp>H</stp>
        <stp>x76.r4MZ1</stp>
        <stp>76</stp>
        <stp>272466</stp>
        <tr r="FN56" s="1"/>
      </tp>
      <tp>
        <v>0</v>
        <stp/>
        <stp>H</stp>
        <stp>x75.r4MZ1</stp>
        <stp>75</stp>
        <stp>272466</stp>
        <tr r="LG56" s="1"/>
      </tp>
      <tp>
        <v>0</v>
        <stp/>
        <stp>H</stp>
        <stp>x74.r4MZ1</stp>
        <stp>74</stp>
        <stp>272466</stp>
        <tr r="FJ56" s="1"/>
      </tp>
      <tp>
        <v>0</v>
        <stp/>
        <stp>H</stp>
        <stp>x68.r4MZ1</stp>
        <stp>68</stp>
        <stp>272466</stp>
        <tr r="KU56" s="1"/>
      </tp>
      <tp>
        <v>0</v>
        <stp/>
        <stp>H</stp>
        <stp>x69.r4MZ1</stp>
        <stp>69</stp>
        <stp>272466</stp>
        <tr r="EX56" s="1"/>
      </tp>
      <tp>
        <v>0</v>
        <stp/>
        <stp>H</stp>
        <stp>x62.r4MZ1</stp>
        <stp>62</stp>
        <stp>272466</stp>
        <tr r="EL56" s="1"/>
      </tp>
      <tp>
        <v>0</v>
        <stp/>
        <stp>H</stp>
        <stp>x63.r4MZ1</stp>
        <stp>63</stp>
        <stp>272466</stp>
        <tr r="KI56" s="1"/>
      </tp>
      <tp>
        <v>0</v>
        <stp/>
        <stp>H</stp>
        <stp>x60.r4MZ1</stp>
        <stp>60</stp>
        <stp>272466</stp>
        <tr r="EH56" s="1"/>
      </tp>
      <tp>
        <v>0</v>
        <stp/>
        <stp>H</stp>
        <stp>x61.r4MZ1</stp>
        <stp>61</stp>
        <stp>272466</stp>
        <tr r="KE56" s="1"/>
      </tp>
      <tp>
        <v>0</v>
        <stp/>
        <stp>H</stp>
        <stp>x66.r4MZ1</stp>
        <stp>66</stp>
        <stp>272466</stp>
        <tr r="KQ56" s="1"/>
      </tp>
      <tp>
        <v>0</v>
        <stp/>
        <stp>H</stp>
        <stp>x67.r4MZ1</stp>
        <stp>67</stp>
        <stp>272466</stp>
        <tr r="ET56" s="1"/>
      </tp>
      <tp>
        <v>0</v>
        <stp/>
        <stp>H</stp>
        <stp>x64.r4MZ1</stp>
        <stp>64</stp>
        <stp>272466</stp>
        <tr r="EP56" s="1"/>
      </tp>
      <tp>
        <v>0</v>
        <stp/>
        <stp>H</stp>
        <stp>x65.r4MZ1</stp>
        <stp>65</stp>
        <stp>272466</stp>
        <tr r="KM56" s="1"/>
      </tp>
      <tp>
        <v>0</v>
        <stp/>
        <stp>H</stp>
        <stp>x59.r4MZ1</stp>
        <stp>59</stp>
        <stp>272466</stp>
        <tr r="KA56" s="1"/>
      </tp>
      <tp>
        <v>0</v>
        <stp/>
        <stp>H</stp>
        <stp>x58.r4MZ1</stp>
        <stp>58</stp>
        <stp>272466</stp>
        <tr r="ED56" s="1"/>
      </tp>
      <tp>
        <v>0</v>
        <stp/>
        <stp>H</stp>
        <stp>x51.r4MZ1</stp>
        <stp>51</stp>
        <stp>272466</stp>
        <tr r="JK56" s="1"/>
      </tp>
      <tp>
        <v>0</v>
        <stp/>
        <stp>H</stp>
        <stp>x50.r4MZ1</stp>
        <stp>50</stp>
        <stp>272466</stp>
        <tr r="DN56" s="1"/>
      </tp>
      <tp>
        <v>0</v>
        <stp/>
        <stp>H</stp>
        <stp>x53.r4MZ1</stp>
        <stp>53</stp>
        <stp>272466</stp>
        <tr r="JO56" s="1"/>
      </tp>
      <tp>
        <v>0</v>
        <stp/>
        <stp>H</stp>
        <stp>x52.r4MZ1</stp>
        <stp>52</stp>
        <stp>272466</stp>
        <tr r="DR56" s="1"/>
      </tp>
      <tp>
        <v>0</v>
        <stp/>
        <stp>H</stp>
        <stp>x55.r4MZ1</stp>
        <stp>55</stp>
        <stp>272466</stp>
        <tr r="JS56" s="1"/>
      </tp>
      <tp>
        <v>0</v>
        <stp/>
        <stp>H</stp>
        <stp>x54.r4MZ1</stp>
        <stp>54</stp>
        <stp>272466</stp>
        <tr r="DV56" s="1"/>
      </tp>
      <tp>
        <v>0</v>
        <stp/>
        <stp>H</stp>
        <stp>x57.r4MZ1</stp>
        <stp>57</stp>
        <stp>272466</stp>
        <tr r="JW56" s="1"/>
      </tp>
      <tp>
        <v>0</v>
        <stp/>
        <stp>H</stp>
        <stp>x56.r4MZ1</stp>
        <stp>56</stp>
        <stp>272466</stp>
        <tr r="DZ56" s="1"/>
      </tp>
      <tp>
        <v>0</v>
        <stp/>
        <stp>H</stp>
        <stp>x48.r4MZ1</stp>
        <stp>48</stp>
        <stp>272466</stp>
        <tr r="JG56" s="1"/>
      </tp>
      <tp>
        <v>0</v>
        <stp/>
        <stp>H</stp>
        <stp>x49.r4MZ1</stp>
        <stp>49</stp>
        <stp>272466</stp>
        <tr r="DJ56" s="1"/>
      </tp>
      <tp>
        <v>0</v>
        <stp/>
        <stp>H</stp>
        <stp>x40.r4MZ1</stp>
        <stp>40</stp>
        <stp>272466</stp>
        <tr r="CT56" s="1"/>
      </tp>
      <tp>
        <v>0</v>
        <stp/>
        <stp>H</stp>
        <stp>x41.r4MZ1</stp>
        <stp>41</stp>
        <stp>272466</stp>
        <tr r="IQ56" s="1"/>
      </tp>
      <tp>
        <v>0</v>
        <stp/>
        <stp>H</stp>
        <stp>x42.r4MZ1</stp>
        <stp>42</stp>
        <stp>272466</stp>
        <tr r="IU56" s="1"/>
      </tp>
      <tp>
        <v>0</v>
        <stp/>
        <stp>H</stp>
        <stp>x43.r4MZ1</stp>
        <stp>43</stp>
        <stp>272466</stp>
        <tr r="CX56" s="1"/>
      </tp>
      <tp>
        <v>0</v>
        <stp/>
        <stp>H</stp>
        <stp>x44.r4MZ1</stp>
        <stp>44</stp>
        <stp>272466</stp>
        <tr r="IY56" s="1"/>
      </tp>
      <tp>
        <v>0</v>
        <stp/>
        <stp>H</stp>
        <stp>x45.r4MZ1</stp>
        <stp>45</stp>
        <stp>272466</stp>
        <tr r="DB56" s="1"/>
      </tp>
      <tp>
        <v>0</v>
        <stp/>
        <stp>H</stp>
        <stp>x46.r4MZ1</stp>
        <stp>46</stp>
        <stp>272466</stp>
        <tr r="JC56" s="1"/>
      </tp>
      <tp>
        <v>0</v>
        <stp/>
        <stp>H</stp>
        <stp>x47.r4MZ1</stp>
        <stp>47</stp>
        <stp>272466</stp>
        <tr r="DF56" s="1"/>
      </tp>
      <tp>
        <v>0</v>
        <stp/>
        <stp>H</stp>
        <stp>x39.r4MZ1</stp>
        <stp>39</stp>
        <stp>272466</stp>
        <tr r="IM56" s="1"/>
      </tp>
      <tp>
        <v>0</v>
        <stp/>
        <stp>H</stp>
        <stp>x38.r4MZ1</stp>
        <stp>38</stp>
        <stp>272466</stp>
        <tr r="CP56" s="1"/>
      </tp>
      <tp>
        <v>0</v>
        <stp/>
        <stp>H</stp>
        <stp>x37.r4MZ1</stp>
        <stp>37</stp>
        <stp>272466</stp>
        <tr r="CL56" s="1"/>
      </tp>
      <tp>
        <v>0</v>
        <stp/>
        <stp>H</stp>
        <stp>x36.r4MZ1</stp>
        <stp>36</stp>
        <stp>272466</stp>
        <tr r="II56" s="1"/>
      </tp>
      <tp>
        <v>0</v>
        <stp/>
        <stp>H</stp>
        <stp>x35.r4MZ1</stp>
        <stp>35</stp>
        <stp>272466</stp>
        <tr r="CH56" s="1"/>
      </tp>
      <tp>
        <v>0</v>
        <stp/>
        <stp>H</stp>
        <stp>x34.r4MZ1</stp>
        <stp>34</stp>
        <stp>272466</stp>
        <tr r="IE56" s="1"/>
      </tp>
      <tp>
        <v>0</v>
        <stp/>
        <stp>H</stp>
        <stp>x33.r4MZ1</stp>
        <stp>33</stp>
        <stp>272466</stp>
        <tr r="IA56" s="1"/>
      </tp>
      <tp>
        <v>0</v>
        <stp/>
        <stp>H</stp>
        <stp>x32.r4MZ1</stp>
        <stp>32</stp>
        <stp>272466</stp>
        <tr r="CD56" s="1"/>
      </tp>
      <tp>
        <v>0</v>
        <stp/>
        <stp>H</stp>
        <stp>x31.r4MZ1</stp>
        <stp>31</stp>
        <stp>272466</stp>
        <tr r="BZ56" s="1"/>
      </tp>
      <tp>
        <v>0</v>
        <stp/>
        <stp>H</stp>
        <stp>x30.r4MZ1</stp>
        <stp>30</stp>
        <stp>272466</stp>
        <tr r="HW56" s="1"/>
      </tp>
      <tp>
        <v>0</v>
        <stp/>
        <stp>H</stp>
        <stp>x28.r4MZ1</stp>
        <stp>28</stp>
        <stp>272466</stp>
        <tr r="HS56" s="1"/>
      </tp>
      <tp>
        <v>0</v>
        <stp/>
        <stp>H</stp>
        <stp>x29.r4MZ1</stp>
        <stp>29</stp>
        <stp>272466</stp>
        <tr r="BV56" s="1"/>
      </tp>
      <tp>
        <v>0</v>
        <stp/>
        <stp>H</stp>
        <stp>x26.r4MZ1</stp>
        <stp>26</stp>
        <stp>272466</stp>
        <tr r="BR56" s="1"/>
      </tp>
      <tp>
        <v>0</v>
        <stp/>
        <stp>H</stp>
        <stp>x27.r4MZ1</stp>
        <stp>27</stp>
        <stp>272466</stp>
        <tr r="HO56" s="1"/>
      </tp>
      <tp>
        <v>0</v>
        <stp/>
        <stp>H</stp>
        <stp>x24.r4MZ1</stp>
        <stp>24</stp>
        <stp>272466</stp>
        <tr r="HK56" s="1"/>
      </tp>
      <tp>
        <v>0</v>
        <stp/>
        <stp>H</stp>
        <stp>x25.r4MZ1</stp>
        <stp>25</stp>
        <stp>272466</stp>
        <tr r="BN56" s="1"/>
      </tp>
      <tp>
        <v>0</v>
        <stp/>
        <stp>H</stp>
        <stp>x22.r4MZ1</stp>
        <stp>22</stp>
        <stp>272466</stp>
        <tr r="HG56" s="1"/>
      </tp>
      <tp>
        <v>0</v>
        <stp/>
        <stp>H</stp>
        <stp>x23.r4MZ1</stp>
        <stp>23</stp>
        <stp>272466</stp>
        <tr r="BJ56" s="1"/>
      </tp>
      <tp>
        <v>0</v>
        <stp/>
        <stp>H</stp>
        <stp>x20.r4MZ1</stp>
        <stp>20</stp>
        <stp>272466</stp>
        <tr r="BF56" s="1"/>
      </tp>
      <tp>
        <v>0</v>
        <stp/>
        <stp>H</stp>
        <stp>x21.r4MZ1</stp>
        <stp>21</stp>
        <stp>272466</stp>
        <tr r="HC56" s="1"/>
      </tp>
      <tp>
        <v>0</v>
        <stp/>
        <stp>H</stp>
        <stp>x19.r4MZ1</stp>
        <stp>19</stp>
        <stp>272466</stp>
        <tr r="GY56" s="1"/>
      </tp>
      <tp>
        <v>0</v>
        <stp/>
        <stp>H</stp>
        <stp>x18.r4MZ1</stp>
        <stp>18</stp>
        <stp>272466</stp>
        <tr r="BB56" s="1"/>
      </tp>
      <tp>
        <v>0</v>
        <stp/>
        <stp>H</stp>
        <stp>x15.r4MZ1</stp>
        <stp>15</stp>
        <stp>272466</stp>
        <tr r="AT56" s="1"/>
      </tp>
      <tp>
        <v>0</v>
        <stp/>
        <stp>H</stp>
        <stp>x14.r4MZ1</stp>
        <stp>14</stp>
        <stp>272466</stp>
        <tr r="GQ56" s="1"/>
      </tp>
      <tp>
        <v>0</v>
        <stp/>
        <stp>H</stp>
        <stp>x17.r4MZ1</stp>
        <stp>17</stp>
        <stp>272466</stp>
        <tr r="GU56" s="1"/>
      </tp>
      <tp>
        <v>0</v>
        <stp/>
        <stp>H</stp>
        <stp>x16.r4MZ1</stp>
        <stp>16</stp>
        <stp>272466</stp>
        <tr r="AX56" s="1"/>
      </tp>
      <tp>
        <v>0</v>
        <stp/>
        <stp>H</stp>
        <stp>x11.r4MZ1</stp>
        <stp>11</stp>
        <stp>272466</stp>
        <tr r="AL56" s="1"/>
      </tp>
      <tp>
        <v>0</v>
        <stp/>
        <stp>H</stp>
        <stp>x10.r4MZ1</stp>
        <stp>10</stp>
        <stp>272466</stp>
        <tr r="GI56" s="1"/>
      </tp>
      <tp>
        <v>0</v>
        <stp/>
        <stp>H</stp>
        <stp>x13.r4MZ1</stp>
        <stp>13</stp>
        <stp>272466</stp>
        <tr r="AP56" s="1"/>
      </tp>
      <tp>
        <v>0</v>
        <stp/>
        <stp>H</stp>
        <stp>x12.r4MZ1</stp>
        <stp>12</stp>
        <stp>272466</stp>
        <tr r="GM56" s="1"/>
      </tp>
      <tp>
        <v>2365.92</v>
        <stp/>
        <stp>P</stp>
        <stp>0</stp>
        <stp>IDX</stp>
        <stp>203</stp>
        <stp>현재가</stp>
        <stp>45475</stp>
        <stp/>
        <tr r="E31" s="1"/>
      </tp>
      <tp>
        <v>3025.42</v>
        <stp/>
        <stp>P</stp>
        <stp>0</stp>
        <stp>IDX</stp>
        <stp>202</stp>
        <stp>현재가</stp>
        <stp>45475</stp>
        <stp/>
        <tr r="E30" s="1"/>
      </tp>
      <tp>
        <v>2779.82</v>
        <stp/>
        <stp>P</stp>
        <stp>0</stp>
        <stp>IDX</stp>
        <stp>201</stp>
        <stp>현재가</stp>
        <stp>45475</stp>
        <stp/>
        <tr r="E29" s="1"/>
      </tp>
      <tp>
        <v>1733.84</v>
        <stp/>
        <stp>P</stp>
        <stp>0</stp>
        <stp>IDX</stp>
        <stp>219</stp>
        <stp>현재가</stp>
        <stp>45475</stp>
        <stp/>
        <tr r="E39" s="1"/>
      </tp>
      <tp>
        <v>873.14</v>
        <stp/>
        <stp>P</stp>
        <stp>0</stp>
        <stp>IDX</stp>
        <stp>218</stp>
        <stp>현재가</stp>
        <stp>45475</stp>
        <stp/>
        <tr r="E38" s="1"/>
      </tp>
      <tp>
        <v>830.03</v>
        <stp/>
        <stp>P</stp>
        <stp>0</stp>
        <stp>IDX</stp>
        <stp>217</stp>
        <stp>현재가</stp>
        <stp>45475</stp>
        <stp/>
        <tr r="E37" s="1"/>
      </tp>
      <tp>
        <v>3690.6</v>
        <stp/>
        <stp>P</stp>
        <stp>0</stp>
        <stp>IDX</stp>
        <stp>216</stp>
        <stp>현재가</stp>
        <stp>45475</stp>
        <stp/>
        <tr r="E36" s="1"/>
      </tp>
      <tp>
        <v>1205.47</v>
        <stp/>
        <stp>P</stp>
        <stp>0</stp>
        <stp>IDX</stp>
        <stp>215</stp>
        <stp>현재가</stp>
        <stp>45475</stp>
        <stp/>
        <tr r="E35" s="1"/>
      </tp>
      <tp>
        <v>811.62</v>
        <stp/>
        <stp>P</stp>
        <stp>0</stp>
        <stp>IDX</stp>
        <stp>214</stp>
        <stp>현재가</stp>
        <stp>45475</stp>
        <stp/>
        <tr r="E34" s="1"/>
      </tp>
      <tp>
        <v>442.01</v>
        <stp/>
        <stp>P</stp>
        <stp>0</stp>
        <stp>IDX</stp>
        <stp>213</stp>
        <stp>현재가</stp>
        <stp>45475</stp>
        <stp/>
        <tr r="E33" s="1"/>
      </tp>
      <tp>
        <v>298.73</v>
        <stp/>
        <stp>P</stp>
        <stp>0</stp>
        <stp>IDX</stp>
        <stp>212</stp>
        <stp>현재가</stp>
        <stp>45475</stp>
        <stp/>
        <tr r="E32" s="1"/>
      </tp>
      <tp>
        <v>381.2</v>
        <stp/>
        <stp>P</stp>
        <stp>0</stp>
        <stp>IDX</stp>
        <stp>211</stp>
        <stp>현재가</stp>
        <stp>45475</stp>
        <stp/>
        <tr r="E7" s="1"/>
      </tp>
      <tp>
        <v>1611.08</v>
        <stp/>
        <stp>P</stp>
        <stp>0</stp>
        <stp>IDX</stp>
        <stp>220</stp>
        <stp>현재가</stp>
        <stp>45475</stp>
        <stp/>
        <tr r="E40" s="1"/>
      </tp>
      <tp>
        <v>1775.23</v>
        <stp/>
        <stp>P</stp>
        <stp>0</stp>
        <stp>IDX</stp>
        <stp>253</stp>
        <stp>현재가</stp>
        <stp>45475</stp>
        <stp/>
        <tr r="E44" s="1"/>
      </tp>
      <tp>
        <v>659.23</v>
        <stp/>
        <stp>P</stp>
        <stp>0</stp>
        <stp>IDX</stp>
        <stp>252</stp>
        <stp>현재가</stp>
        <stp>45475</stp>
        <stp/>
        <tr r="E43" s="1"/>
      </tp>
      <tp>
        <v>918.85</v>
        <stp/>
        <stp>P</stp>
        <stp>0</stp>
        <stp>IDX</stp>
        <stp>251</stp>
        <stp>현재가</stp>
        <stp>45475</stp>
        <stp/>
        <tr r="E42" s="1"/>
      </tp>
      <tp>
        <v>1351.78</v>
        <stp/>
        <stp>P</stp>
        <stp>0</stp>
        <stp>IDX</stp>
        <stp>250</stp>
        <stp>현재가</stp>
        <stp>45475</stp>
        <stp/>
        <tr r="E41" s="1"/>
      </tp>
      <tp>
        <v>13639.21</v>
        <stp/>
        <stp>P</stp>
        <stp>0</stp>
        <stp>IDX</stp>
        <stp>009</stp>
        <stp>현재가</stp>
        <stp>45475</stp>
        <stp/>
        <tr r="E12" s="1"/>
      </tp>
      <tp>
        <v>4407.22</v>
        <stp/>
        <stp>P</stp>
        <stp>0</stp>
        <stp>IDX</stp>
        <stp>008</stp>
        <stp>현재가</stp>
        <stp>45475</stp>
        <stp/>
        <tr r="E11" s="1"/>
      </tp>
      <tp>
        <v>283.89</v>
        <stp/>
        <stp>P</stp>
        <stp>0</stp>
        <stp>IDX</stp>
        <stp>007</stp>
        <stp>현재가</stp>
        <stp>45475</stp>
        <stp/>
        <tr r="E10" s="1"/>
      </tp>
      <tp>
        <v>235.62</v>
        <stp/>
        <stp>P</stp>
        <stp>0</stp>
        <stp>IDX</stp>
        <stp>006</stp>
        <stp>현재가</stp>
        <stp>45475</stp>
        <stp/>
        <tr r="E9" s="1"/>
      </tp>
      <tp>
        <v>4405.28</v>
        <stp/>
        <stp>P</stp>
        <stp>0</stp>
        <stp>IDX</stp>
        <stp>005</stp>
        <stp>현재가</stp>
        <stp>45475</stp>
        <stp/>
        <tr r="E8" s="1"/>
      </tp>
      <tp>
        <v>2780.86</v>
        <stp/>
        <stp>P</stp>
        <stp>0</stp>
        <stp>IDX</stp>
        <stp>001</stp>
        <stp>현재가</stp>
        <stp>45475</stp>
        <stp/>
        <tr r="E6" s="1"/>
      </tp>
      <tp>
        <v>1748.86</v>
        <stp/>
        <stp>P</stp>
        <stp>0</stp>
        <stp>IDX</stp>
        <stp>019</stp>
        <stp>현재가</stp>
        <stp>45475</stp>
        <stp/>
        <tr r="E22" s="1"/>
      </tp>
      <tp>
        <v>68.94</v>
        <stp/>
        <stp>P</stp>
        <stp>0</stp>
        <stp>IDX</stp>
        <stp>018</stp>
        <stp>현재가</stp>
        <stp>45475</stp>
        <stp/>
        <tr r="E21" s="1"/>
      </tp>
      <tp>
        <v>711.65</v>
        <stp/>
        <stp>P</stp>
        <stp>0</stp>
        <stp>IDX</stp>
        <stp>017</stp>
        <stp>현재가</stp>
        <stp>45475</stp>
        <stp/>
        <tr r="E20" s="1"/>
      </tp>
      <tp>
        <v>364.59</v>
        <stp/>
        <stp>P</stp>
        <stp>0</stp>
        <stp>IDX</stp>
        <stp>016</stp>
        <stp>현재가</stp>
        <stp>45475</stp>
        <stp/>
        <tr r="E19" s="1"/>
      </tp>
      <tp>
        <v>2752.22</v>
        <stp/>
        <stp>P</stp>
        <stp>0</stp>
        <stp>IDX</stp>
        <stp>015</stp>
        <stp>현재가</stp>
        <stp>45475</stp>
        <stp/>
        <tr r="E18" s="1"/>
      </tp>
      <tp>
        <v>1723.49</v>
        <stp/>
        <stp>P</stp>
        <stp>0</stp>
        <stp>IDX</stp>
        <stp>014</stp>
        <stp>현재가</stp>
        <stp>45475</stp>
        <stp/>
        <tr r="E17" s="1"/>
      </tp>
      <tp>
        <v>30282.720000000001</v>
        <stp/>
        <stp>P</stp>
        <stp>0</stp>
        <stp>IDX</stp>
        <stp>013</stp>
        <stp>현재가</stp>
        <stp>45475</stp>
        <stp/>
        <tr r="E16" s="1"/>
      </tp>
      <tp>
        <v>1467.61</v>
        <stp/>
        <stp>P</stp>
        <stp>0</stp>
        <stp>IDX</stp>
        <stp>012</stp>
        <stp>현재가</stp>
        <stp>45475</stp>
        <stp/>
        <tr r="E15" s="1"/>
      </tp>
      <tp>
        <v>4981.6400000000003</v>
        <stp/>
        <stp>P</stp>
        <stp>0</stp>
        <stp>IDX</stp>
        <stp>011</stp>
        <stp>현재가</stp>
        <stp>45475</stp>
        <stp/>
        <tr r="E14" s="1"/>
      </tp>
      <tp>
        <v>4075.46</v>
        <stp/>
        <stp>P</stp>
        <stp>0</stp>
        <stp>IDX</stp>
        <stp>010</stp>
        <stp>현재가</stp>
        <stp>45475</stp>
        <stp/>
        <tr r="E13" s="1"/>
      </tp>
      <tp>
        <v>7503.81</v>
        <stp/>
        <stp>P</stp>
        <stp>0</stp>
        <stp>IDX</stp>
        <stp>027</stp>
        <stp>현재가</stp>
        <stp>45475</stp>
        <stp/>
        <tr r="E28" s="1"/>
      </tp>
      <tp>
        <v>994.95</v>
        <stp/>
        <stp>P</stp>
        <stp>0</stp>
        <stp>IDX</stp>
        <stp>026</stp>
        <stp>현재가</stp>
        <stp>45475</stp>
        <stp/>
        <tr r="E27" s="1"/>
      </tp>
      <tp>
        <v>21668.59</v>
        <stp/>
        <stp>P</stp>
        <stp>0</stp>
        <stp>IDX</stp>
        <stp>025</stp>
        <stp>현재가</stp>
        <stp>45475</stp>
        <stp/>
        <tr r="E26" s="1"/>
      </tp>
      <tp>
        <v>2023.57</v>
        <stp/>
        <stp>P</stp>
        <stp>0</stp>
        <stp>IDX</stp>
        <stp>024</stp>
        <stp>현재가</stp>
        <stp>45475</stp>
        <stp/>
        <tr r="E25" s="1"/>
      </tp>
      <tp>
        <v>457.73</v>
        <stp/>
        <stp>P</stp>
        <stp>0</stp>
        <stp>IDX</stp>
        <stp>021</stp>
        <stp>현재가</stp>
        <stp>45475</stp>
        <stp/>
        <tr r="E24" s="1"/>
      </tp>
      <tp>
        <v>386.25</v>
        <stp/>
        <stp>P</stp>
        <stp>0</stp>
        <stp>IDX</stp>
        <stp>020</stp>
        <stp>현재가</stp>
        <stp>45475</stp>
        <stp/>
        <tr r="E23" s="1"/>
      </tp>
      <tp>
        <v>2774.39</v>
        <stp/>
        <stp>P</stp>
        <stp>0</stp>
        <stp>IDX</stp>
        <stp>001</stp>
        <stp>현재가</stp>
        <stp>45468</stp>
        <stp>fill=true</stp>
        <tr r="H6" s="1"/>
        <tr r="H6" s="1"/>
      </tp>
      <tp>
        <v>4597.54</v>
        <stp/>
        <stp>P</stp>
        <stp>0</stp>
        <stp>IDX</stp>
        <stp>005</stp>
        <stp>현재가</stp>
        <stp>45468</stp>
        <stp>fill=true</stp>
        <tr r="H8" s="1"/>
        <tr r="H8" s="1"/>
      </tp>
      <tp>
        <v>289.92</v>
        <stp/>
        <stp>P</stp>
        <stp>0</stp>
        <stp>IDX</stp>
        <stp>007</stp>
        <stp>현재가</stp>
        <stp>45468</stp>
        <stp>fill=true</stp>
        <tr r="H10" s="1"/>
        <tr r="H10" s="1"/>
      </tp>
      <tp>
        <v>238.87</v>
        <stp/>
        <stp>P</stp>
        <stp>0</stp>
        <stp>IDX</stp>
        <stp>006</stp>
        <stp>현재가</stp>
        <stp>45468</stp>
        <stp>fill=true</stp>
        <tr r="H9" s="1"/>
        <tr r="H9" s="1"/>
      </tp>
      <tp>
        <v>12917.08</v>
        <stp/>
        <stp>P</stp>
        <stp>0</stp>
        <stp>IDX</stp>
        <stp>009</stp>
        <stp>현재가</stp>
        <stp>45468</stp>
        <stp>fill=true</stp>
        <tr r="H12" s="1"/>
        <tr r="H12" s="1"/>
      </tp>
      <tp>
        <v>4495.47</v>
        <stp/>
        <stp>P</stp>
        <stp>0</stp>
        <stp>IDX</stp>
        <stp>008</stp>
        <stp>현재가</stp>
        <stp>45468</stp>
        <stp>fill=true</stp>
        <tr r="H11" s="1"/>
        <tr r="H11" s="1"/>
      </tp>
      <tp>
        <v>5003.6099999999997</v>
        <stp/>
        <stp>P</stp>
        <stp>0</stp>
        <stp>IDX</stp>
        <stp>011</stp>
        <stp>현재가</stp>
        <stp>45468</stp>
        <stp>fill=true</stp>
        <tr r="H14" s="1"/>
        <tr r="H14" s="1"/>
      </tp>
      <tp>
        <v>4114.09</v>
        <stp/>
        <stp>P</stp>
        <stp>0</stp>
        <stp>IDX</stp>
        <stp>010</stp>
        <stp>현재가</stp>
        <stp>45468</stp>
        <stp>fill=true</stp>
        <tr r="H13" s="1"/>
        <tr r="H13" s="1"/>
      </tp>
      <tp>
        <v>29812.97</v>
        <stp/>
        <stp>P</stp>
        <stp>0</stp>
        <stp>IDX</stp>
        <stp>013</stp>
        <stp>현재가</stp>
        <stp>45468</stp>
        <stp>fill=true</stp>
        <tr r="H16" s="1"/>
        <tr r="H16" s="1"/>
      </tp>
      <tp>
        <v>1523.07</v>
        <stp/>
        <stp>P</stp>
        <stp>0</stp>
        <stp>IDX</stp>
        <stp>012</stp>
        <stp>현재가</stp>
        <stp>45468</stp>
        <stp>fill=true</stp>
        <tr r="H15" s="1"/>
        <tr r="H15" s="1"/>
      </tp>
      <tp>
        <v>2849.12</v>
        <stp/>
        <stp>P</stp>
        <stp>0</stp>
        <stp>IDX</stp>
        <stp>015</stp>
        <stp>현재가</stp>
        <stp>45468</stp>
        <stp>fill=true</stp>
        <tr r="H18" s="1"/>
        <tr r="H18" s="1"/>
      </tp>
      <tp>
        <v>1792.68</v>
        <stp/>
        <stp>P</stp>
        <stp>0</stp>
        <stp>IDX</stp>
        <stp>014</stp>
        <stp>현재가</stp>
        <stp>45468</stp>
        <stp>fill=true</stp>
        <tr r="H17" s="1"/>
        <tr r="H17" s="1"/>
      </tp>
      <tp>
        <v>762.49</v>
        <stp/>
        <stp>P</stp>
        <stp>0</stp>
        <stp>IDX</stp>
        <stp>017</stp>
        <stp>현재가</stp>
        <stp>45468</stp>
        <stp>fill=true</stp>
        <tr r="H20" s="1"/>
        <tr r="H20" s="1"/>
      </tp>
      <tp>
        <v>370.4</v>
        <stp/>
        <stp>P</stp>
        <stp>0</stp>
        <stp>IDX</stp>
        <stp>016</stp>
        <stp>현재가</stp>
        <stp>45468</stp>
        <stp>fill=true</stp>
        <tr r="H19" s="1"/>
        <tr r="H19" s="1"/>
      </tp>
      <tp>
        <v>1702.3</v>
        <stp/>
        <stp>P</stp>
        <stp>0</stp>
        <stp>IDX</stp>
        <stp>019</stp>
        <stp>현재가</stp>
        <stp>45468</stp>
        <stp>fill=true</stp>
        <tr r="H22" s="1"/>
        <tr r="H22" s="1"/>
      </tp>
      <tp>
        <v>70.11</v>
        <stp/>
        <stp>P</stp>
        <stp>0</stp>
        <stp>IDX</stp>
        <stp>018</stp>
        <stp>현재가</stp>
        <stp>45468</stp>
        <stp>fill=true</stp>
        <tr r="H21" s="1"/>
        <tr r="H21" s="1"/>
      </tp>
      <tp>
        <v>452.27</v>
        <stp/>
        <stp>P</stp>
        <stp>0</stp>
        <stp>IDX</stp>
        <stp>021</stp>
        <stp>현재가</stp>
        <stp>45468</stp>
        <stp>fill=true</stp>
        <tr r="H24" s="1"/>
        <tr r="H24" s="1"/>
      </tp>
      <tp>
        <v>393.71</v>
        <stp/>
        <stp>P</stp>
        <stp>0</stp>
        <stp>IDX</stp>
        <stp>020</stp>
        <stp>현재가</stp>
        <stp>45468</stp>
        <stp>fill=true</stp>
        <tr r="H23" s="1"/>
        <tr r="H23" s="1"/>
      </tp>
      <tp>
        <v>21160.880000000001</v>
        <stp/>
        <stp>P</stp>
        <stp>0</stp>
        <stp>IDX</stp>
        <stp>025</stp>
        <stp>현재가</stp>
        <stp>45468</stp>
        <stp>fill=true</stp>
        <tr r="H26" s="1"/>
        <tr r="H26" s="1"/>
      </tp>
      <tp>
        <v>2018.81</v>
        <stp/>
        <stp>P</stp>
        <stp>0</stp>
        <stp>IDX</stp>
        <stp>024</stp>
        <stp>현재가</stp>
        <stp>45468</stp>
        <stp>fill=true</stp>
        <tr r="H25" s="1"/>
        <tr r="H25" s="1"/>
      </tp>
      <tp>
        <v>7470.68</v>
        <stp/>
        <stp>P</stp>
        <stp>0</stp>
        <stp>IDX</stp>
        <stp>027</stp>
        <stp>현재가</stp>
        <stp>45468</stp>
        <stp>fill=true</stp>
        <tr r="H28" s="1"/>
        <tr r="H28" s="1"/>
      </tp>
      <tp>
        <v>1017.64</v>
        <stp/>
        <stp>P</stp>
        <stp>0</stp>
        <stp>IDX</stp>
        <stp>026</stp>
        <stp>현재가</stp>
        <stp>45468</stp>
        <stp>fill=true</stp>
        <tr r="H27" s="1"/>
        <tr r="H27" s="1"/>
      </tp>
      <tp>
        <v>3395.55</v>
        <stp/>
        <stp>P</stp>
        <stp>0</stp>
        <stp>IDX</stp>
        <stp>005</stp>
        <stp>현재가</stp>
        <stp>45109</stp>
        <stp>fill=true</stp>
        <tr r="L8" s="1"/>
        <tr r="L8" s="1"/>
      </tp>
      <tp>
        <v>368.63</v>
        <stp/>
        <stp>P</stp>
        <stp>0</stp>
        <stp>IDX</stp>
        <stp>006</stp>
        <stp>현재가</stp>
        <stp>45109</stp>
        <stp>fill=true</stp>
        <tr r="L9" s="1"/>
        <tr r="L9" s="1"/>
      </tp>
      <tp>
        <v>411.95</v>
        <stp/>
        <stp>P</stp>
        <stp>0</stp>
        <stp>IDX</stp>
        <stp>007</stp>
        <stp>현재가</stp>
        <stp>45109</stp>
        <stp>fill=true</stp>
        <tr r="L10" s="1"/>
        <tr r="L10" s="1"/>
      </tp>
      <tp>
        <v>2564.2800000000002</v>
        <stp/>
        <stp>P</stp>
        <stp>0</stp>
        <stp>IDX</stp>
        <stp>001</stp>
        <stp>현재가</stp>
        <stp>45109</stp>
        <stp>fill=true</stp>
        <tr r="L6" s="1"/>
        <tr r="L6" s="1"/>
      </tp>
      <tp>
        <v>5310.95</v>
        <stp/>
        <stp>P</stp>
        <stp>0</stp>
        <stp>IDX</stp>
        <stp>008</stp>
        <stp>현재가</stp>
        <stp>45109</stp>
        <stp>fill=true</stp>
        <tr r="L11" s="1"/>
        <tr r="L11" s="1"/>
      </tp>
      <tp>
        <v>12682.1</v>
        <stp/>
        <stp>P</stp>
        <stp>0</stp>
        <stp>IDX</stp>
        <stp>009</stp>
        <stp>현재가</stp>
        <stp>45109</stp>
        <stp>fill=true</stp>
        <tr r="L12" s="1"/>
        <tr r="L12" s="1"/>
      </tp>
      <tp>
        <v>1667.43</v>
        <stp/>
        <stp>P</stp>
        <stp>0</stp>
        <stp>IDX</stp>
        <stp>014</stp>
        <stp>현재가</stp>
        <stp>45109</stp>
        <stp>fill=true</stp>
        <tr r="L17" s="1"/>
        <tr r="L17" s="1"/>
      </tp>
      <tp>
        <v>2262.88</v>
        <stp/>
        <stp>P</stp>
        <stp>0</stp>
        <stp>IDX</stp>
        <stp>015</stp>
        <stp>현재가</stp>
        <stp>45109</stp>
        <stp>fill=true</stp>
        <tr r="L18" s="1"/>
        <tr r="L18" s="1"/>
      </tp>
      <tp>
        <v>334.23</v>
        <stp/>
        <stp>P</stp>
        <stp>0</stp>
        <stp>IDX</stp>
        <stp>016</stp>
        <stp>현재가</stp>
        <stp>45109</stp>
        <stp>fill=true</stp>
        <tr r="L19" s="1"/>
        <tr r="L19" s="1"/>
      </tp>
      <tp>
        <v>667.85</v>
        <stp/>
        <stp>P</stp>
        <stp>0</stp>
        <stp>IDX</stp>
        <stp>017</stp>
        <stp>현재가</stp>
        <stp>45109</stp>
        <stp>fill=true</stp>
        <tr r="L20" s="1"/>
        <tr r="L20" s="1"/>
      </tp>
      <tp>
        <v>4077.22</v>
        <stp/>
        <stp>P</stp>
        <stp>0</stp>
        <stp>IDX</stp>
        <stp>010</stp>
        <stp>현재가</stp>
        <stp>45109</stp>
        <stp>fill=true</stp>
        <tr r="L13" s="1"/>
        <tr r="L13" s="1"/>
      </tp>
      <tp>
        <v>5328.57</v>
        <stp/>
        <stp>P</stp>
        <stp>0</stp>
        <stp>IDX</stp>
        <stp>011</stp>
        <stp>현재가</stp>
        <stp>45109</stp>
        <stp>fill=true</stp>
        <tr r="L14" s="1"/>
        <tr r="L14" s="1"/>
      </tp>
      <tp>
        <v>1176.68</v>
        <stp/>
        <stp>P</stp>
        <stp>0</stp>
        <stp>IDX</stp>
        <stp>012</stp>
        <stp>현재가</stp>
        <stp>45109</stp>
        <stp>fill=true</stp>
        <tr r="L15" s="1"/>
        <tr r="L15" s="1"/>
      </tp>
      <tp>
        <v>27804.37</v>
        <stp/>
        <stp>P</stp>
        <stp>0</stp>
        <stp>IDX</stp>
        <stp>013</stp>
        <stp>현재가</stp>
        <stp>45109</stp>
        <stp>fill=true</stp>
        <tr r="L16" s="1"/>
        <tr r="L16" s="1"/>
      </tp>
      <tp>
        <v>76.180000000000007</v>
        <stp/>
        <stp>P</stp>
        <stp>0</stp>
        <stp>IDX</stp>
        <stp>018</stp>
        <stp>현재가</stp>
        <stp>45109</stp>
        <stp>fill=true</stp>
        <tr r="L21" s="1"/>
        <tr r="L21" s="1"/>
      </tp>
      <tp>
        <v>1662.15</v>
        <stp/>
        <stp>P</stp>
        <stp>0</stp>
        <stp>IDX</stp>
        <stp>019</stp>
        <stp>현재가</stp>
        <stp>45109</stp>
        <stp>fill=true</stp>
        <tr r="L22" s="1"/>
        <tr r="L22" s="1"/>
      </tp>
      <tp>
        <v>1741.7</v>
        <stp/>
        <stp>P</stp>
        <stp>0</stp>
        <stp>IDX</stp>
        <stp>024</stp>
        <stp>현재가</stp>
        <stp>45109</stp>
        <stp>fill=true</stp>
        <tr r="L25" s="1"/>
        <tr r="L25" s="1"/>
      </tp>
      <tp>
        <v>15198.47</v>
        <stp/>
        <stp>P</stp>
        <stp>0</stp>
        <stp>IDX</stp>
        <stp>025</stp>
        <stp>현재가</stp>
        <stp>45109</stp>
        <stp>fill=true</stp>
        <tr r="L26" s="1"/>
        <tr r="L26" s="1"/>
      </tp>
      <tp>
        <v>1089.43</v>
        <stp/>
        <stp>P</stp>
        <stp>0</stp>
        <stp>IDX</stp>
        <stp>026</stp>
        <stp>현재가</stp>
        <stp>45109</stp>
        <stp>fill=true</stp>
        <tr r="L27" s="1"/>
        <tr r="L27" s="1"/>
      </tp>
      <tp>
        <v>7028.33</v>
        <stp/>
        <stp>P</stp>
        <stp>0</stp>
        <stp>IDX</stp>
        <stp>027</stp>
        <stp>현재가</stp>
        <stp>45109</stp>
        <stp>fill=true</stp>
        <tr r="L28" s="1"/>
        <tr r="L28" s="1"/>
      </tp>
      <tp>
        <v>350.89</v>
        <stp/>
        <stp>P</stp>
        <stp>0</stp>
        <stp>IDX</stp>
        <stp>020</stp>
        <stp>현재가</stp>
        <stp>45109</stp>
        <stp>fill=true</stp>
        <tr r="L23" s="1"/>
        <tr r="L23" s="1"/>
      </tp>
      <tp>
        <v>348.08</v>
        <stp/>
        <stp>P</stp>
        <stp>0</stp>
        <stp>IDX</stp>
        <stp>021</stp>
        <stp>현재가</stp>
        <stp>45109</stp>
        <stp>fill=true</stp>
        <tr r="L24" s="1"/>
        <tr r="L24" s="1"/>
      </tp>
      <tp>
        <v>2760.34</v>
        <stp/>
        <stp>P</stp>
        <stp>0</stp>
        <stp>IDX</stp>
        <stp>201</stp>
        <stp>현재가</stp>
        <stp>45468</stp>
        <stp>fill=true</stp>
        <tr r="H29" s="1"/>
        <tr r="H29" s="1"/>
      </tp>
      <tp>
        <v>2401.1799999999998</v>
        <stp/>
        <stp>P</stp>
        <stp>0</stp>
        <stp>IDX</stp>
        <stp>203</stp>
        <stp>현재가</stp>
        <stp>45468</stp>
        <stp>fill=true</stp>
        <tr r="H31" s="1"/>
        <tr r="H31" s="1"/>
      </tp>
      <tp>
        <v>3086.01</v>
        <stp/>
        <stp>P</stp>
        <stp>0</stp>
        <stp>IDX</stp>
        <stp>202</stp>
        <stp>현재가</stp>
        <stp>45468</stp>
        <stp>fill=true</stp>
        <tr r="H30" s="1"/>
        <tr r="H30" s="1"/>
      </tp>
      <tp>
        <v>379.85</v>
        <stp/>
        <stp>P</stp>
        <stp>0</stp>
        <stp>IDX</stp>
        <stp>211</stp>
        <stp>현재가</stp>
        <stp>45468</stp>
        <stp>fill=true</stp>
        <tr r="H7" s="1"/>
        <tr r="H7" s="1"/>
      </tp>
      <tp>
        <v>441.29</v>
        <stp/>
        <stp>P</stp>
        <stp>0</stp>
        <stp>IDX</stp>
        <stp>213</stp>
        <stp>현재가</stp>
        <stp>45468</stp>
        <stp>fill=true</stp>
        <tr r="H33" s="1"/>
        <tr r="H33" s="1"/>
      </tp>
      <tp>
        <v>298.86</v>
        <stp/>
        <stp>P</stp>
        <stp>0</stp>
        <stp>IDX</stp>
        <stp>212</stp>
        <stp>현재가</stp>
        <stp>45468</stp>
        <stp>fill=true</stp>
        <tr r="H32" s="1"/>
        <tr r="H32" s="1"/>
      </tp>
      <tp>
        <v>1216.1500000000001</v>
        <stp/>
        <stp>P</stp>
        <stp>0</stp>
        <stp>IDX</stp>
        <stp>215</stp>
        <stp>현재가</stp>
        <stp>45468</stp>
        <stp>fill=true</stp>
        <tr r="H35" s="1"/>
        <tr r="H35" s="1"/>
      </tp>
      <tp>
        <v>817.52</v>
        <stp/>
        <stp>P</stp>
        <stp>0</stp>
        <stp>IDX</stp>
        <stp>214</stp>
        <stp>현재가</stp>
        <stp>45468</stp>
        <stp>fill=true</stp>
        <tr r="H34" s="1"/>
        <tr r="H34" s="1"/>
      </tp>
      <tp>
        <v>806.32</v>
        <stp/>
        <stp>P</stp>
        <stp>0</stp>
        <stp>IDX</stp>
        <stp>217</stp>
        <stp>현재가</stp>
        <stp>45468</stp>
        <stp>fill=true</stp>
        <tr r="H37" s="1"/>
        <tr r="H37" s="1"/>
      </tp>
      <tp>
        <v>3687.95</v>
        <stp/>
        <stp>P</stp>
        <stp>0</stp>
        <stp>IDX</stp>
        <stp>216</stp>
        <stp>현재가</stp>
        <stp>45468</stp>
        <stp>fill=true</stp>
        <tr r="H36" s="1"/>
        <tr r="H36" s="1"/>
      </tp>
      <tp>
        <v>1811.04</v>
        <stp/>
        <stp>P</stp>
        <stp>0</stp>
        <stp>IDX</stp>
        <stp>219</stp>
        <stp>현재가</stp>
        <stp>45468</stp>
        <stp>fill=true</stp>
        <tr r="H39" s="1"/>
        <tr r="H39" s="1"/>
      </tp>
      <tp>
        <v>904.21</v>
        <stp/>
        <stp>P</stp>
        <stp>0</stp>
        <stp>IDX</stp>
        <stp>218</stp>
        <stp>현재가</stp>
        <stp>45468</stp>
        <stp>fill=true</stp>
        <tr r="H38" s="1"/>
        <tr r="H38" s="1"/>
      </tp>
      <tp>
        <v>1660.46</v>
        <stp/>
        <stp>P</stp>
        <stp>0</stp>
        <stp>IDX</stp>
        <stp>220</stp>
        <stp>현재가</stp>
        <stp>45468</stp>
        <stp>fill=true</stp>
        <tr r="H40" s="1"/>
        <tr r="H40" s="1"/>
      </tp>
      <tp>
        <v>919.36</v>
        <stp/>
        <stp>P</stp>
        <stp>0</stp>
        <stp>IDX</stp>
        <stp>251</stp>
        <stp>현재가</stp>
        <stp>45468</stp>
        <stp>fill=true</stp>
        <tr r="H42" s="1"/>
        <tr r="H42" s="1"/>
      </tp>
      <tp>
        <v>1369.23</v>
        <stp/>
        <stp>P</stp>
        <stp>0</stp>
        <stp>IDX</stp>
        <stp>250</stp>
        <stp>현재가</stp>
        <stp>45468</stp>
        <stp>fill=true</stp>
        <tr r="H41" s="1"/>
        <tr r="H41" s="1"/>
      </tp>
      <tp>
        <v>1730.84</v>
        <stp/>
        <stp>P</stp>
        <stp>0</stp>
        <stp>IDX</stp>
        <stp>253</stp>
        <stp>현재가</stp>
        <stp>45468</stp>
        <stp>fill=true</stp>
        <tr r="H44" s="1"/>
        <tr r="H44" s="1"/>
      </tp>
      <tp>
        <v>658.62</v>
        <stp/>
        <stp>P</stp>
        <stp>0</stp>
        <stp>IDX</stp>
        <stp>252</stp>
        <stp>현재가</stp>
        <stp>45468</stp>
        <stp>fill=true</stp>
        <tr r="H43" s="1"/>
        <tr r="H43" s="1"/>
      </tp>
      <tp>
        <v>2555.81</v>
        <stp/>
        <stp>P</stp>
        <stp>0</stp>
        <stp>IDX</stp>
        <stp>201</stp>
        <stp>현재가</stp>
        <stp>45109</stp>
        <stp>fill=true</stp>
        <tr r="L29" s="1"/>
        <tr r="L29" s="1"/>
      </tp>
      <tp>
        <v>2755.37</v>
        <stp/>
        <stp>P</stp>
        <stp>0</stp>
        <stp>IDX</stp>
        <stp>202</stp>
        <stp>현재가</stp>
        <stp>45109</stp>
        <stp>fill=true</stp>
        <tr r="L30" s="1"/>
        <tr r="L30" s="1"/>
      </tp>
      <tp>
        <v>2397.5100000000002</v>
        <stp/>
        <stp>P</stp>
        <stp>0</stp>
        <stp>IDX</stp>
        <stp>203</stp>
        <stp>현재가</stp>
        <stp>45109</stp>
        <stp>fill=true</stp>
        <tr r="L31" s="1"/>
        <tr r="L31" s="1"/>
      </tp>
      <tp>
        <v>861.73</v>
        <stp/>
        <stp>P</stp>
        <stp>0</stp>
        <stp>IDX</stp>
        <stp>214</stp>
        <stp>현재가</stp>
        <stp>45109</stp>
        <stp>fill=true</stp>
        <tr r="L34" s="1"/>
        <tr r="L34" s="1"/>
      </tp>
      <tp>
        <v>1490.35</v>
        <stp/>
        <stp>P</stp>
        <stp>0</stp>
        <stp>IDX</stp>
        <stp>215</stp>
        <stp>현재가</stp>
        <stp>45109</stp>
        <stp>fill=true</stp>
        <tr r="L35" s="1"/>
        <tr r="L35" s="1"/>
      </tp>
      <tp>
        <v>3333.62</v>
        <stp/>
        <stp>P</stp>
        <stp>0</stp>
        <stp>IDX</stp>
        <stp>216</stp>
        <stp>현재가</stp>
        <stp>45109</stp>
        <stp>fill=true</stp>
        <tr r="L36" s="1"/>
        <tr r="L36" s="1"/>
      </tp>
      <tp>
        <v>587.76</v>
        <stp/>
        <stp>P</stp>
        <stp>0</stp>
        <stp>IDX</stp>
        <stp>217</stp>
        <stp>현재가</stp>
        <stp>45109</stp>
        <stp>fill=true</stp>
        <tr r="L37" s="1"/>
        <tr r="L37" s="1"/>
      </tp>
      <tp>
        <v>337.95</v>
        <stp/>
        <stp>P</stp>
        <stp>0</stp>
        <stp>IDX</stp>
        <stp>211</stp>
        <stp>현재가</stp>
        <stp>45109</stp>
        <stp>fill=true</stp>
        <tr r="L7" s="1"/>
        <tr r="L7" s="1"/>
      </tp>
      <tp>
        <v>307.74</v>
        <stp/>
        <stp>P</stp>
        <stp>0</stp>
        <stp>IDX</stp>
        <stp>212</stp>
        <stp>현재가</stp>
        <stp>45109</stp>
        <stp>fill=true</stp>
        <tr r="L32" s="1"/>
        <tr r="L32" s="1"/>
      </tp>
      <tp>
        <v>359.82</v>
        <stp/>
        <stp>P</stp>
        <stp>0</stp>
        <stp>IDX</stp>
        <stp>213</stp>
        <stp>현재가</stp>
        <stp>45109</stp>
        <stp>fill=true</stp>
        <tr r="L33" s="1"/>
        <tr r="L33" s="1"/>
      </tp>
      <tp>
        <v>767.89</v>
        <stp/>
        <stp>P</stp>
        <stp>0</stp>
        <stp>IDX</stp>
        <stp>218</stp>
        <stp>현재가</stp>
        <stp>45109</stp>
        <stp>fill=true</stp>
        <tr r="L38" s="1"/>
        <tr r="L38" s="1"/>
      </tp>
      <tp>
        <v>1559.71</v>
        <stp/>
        <stp>P</stp>
        <stp>0</stp>
        <stp>IDX</stp>
        <stp>219</stp>
        <stp>현재가</stp>
        <stp>45109</stp>
        <stp>fill=true</stp>
        <tr r="L39" s="1"/>
        <tr r="L39" s="1"/>
      </tp>
      <tp>
        <v>1701.3</v>
        <stp/>
        <stp>P</stp>
        <stp>0</stp>
        <stp>IDX</stp>
        <stp>220</stp>
        <stp>현재가</stp>
        <stp>45109</stp>
        <stp>fill=true</stp>
        <tr r="L40" s="1"/>
        <tr r="L40" s="1"/>
      </tp>
      <tp>
        <v>1199.57</v>
        <stp/>
        <stp>P</stp>
        <stp>0</stp>
        <stp>IDX</stp>
        <stp>250</stp>
        <stp>현재가</stp>
        <stp>45109</stp>
        <stp>fill=true</stp>
        <tr r="L41" s="1"/>
        <tr r="L41" s="1"/>
      </tp>
      <tp>
        <v>819.7</v>
        <stp/>
        <stp>P</stp>
        <stp>0</stp>
        <stp>IDX</stp>
        <stp>251</stp>
        <stp>현재가</stp>
        <stp>45109</stp>
        <stp>fill=true</stp>
        <tr r="L42" s="1"/>
        <tr r="L42" s="1"/>
      </tp>
      <tp>
        <v>641.07000000000005</v>
        <stp/>
        <stp>P</stp>
        <stp>0</stp>
        <stp>IDX</stp>
        <stp>252</stp>
        <stp>현재가</stp>
        <stp>45109</stp>
        <stp>fill=true</stp>
        <tr r="L43" s="1"/>
        <tr r="L43" s="1"/>
      </tp>
      <tp>
        <v>1624.3</v>
        <stp/>
        <stp>P</stp>
        <stp>0</stp>
        <stp>IDX</stp>
        <stp>253</stp>
        <stp>현재가</stp>
        <stp>45109</stp>
        <stp>fill=true</stp>
        <tr r="L44" s="1"/>
        <tr r="L44" s="1"/>
      </tp>
      <tp>
        <v>2297.7199999999998</v>
        <stp/>
        <stp>P</stp>
        <stp>0</stp>
        <stp>IDX</stp>
        <stp>203</stp>
        <stp>현재가</stp>
        <stp>45293</stp>
        <stp>fill=true</stp>
        <tr r="K31" s="1"/>
        <tr r="K31" s="1"/>
      </tp>
      <tp>
        <v>2772.4</v>
        <stp/>
        <stp>P</stp>
        <stp>0</stp>
        <stp>IDX</stp>
        <stp>202</stp>
        <stp>현재가</stp>
        <stp>45293</stp>
        <stp>fill=true</stp>
        <tr r="K30" s="1"/>
        <tr r="K30" s="1"/>
      </tp>
      <tp>
        <v>2669.56</v>
        <stp/>
        <stp>P</stp>
        <stp>0</stp>
        <stp>IDX</stp>
        <stp>201</stp>
        <stp>현재가</stp>
        <stp>45293</stp>
        <stp>fill=true</stp>
        <tr r="K29" s="1"/>
        <tr r="K29" s="1"/>
      </tp>
      <tp>
        <v>661.16</v>
        <stp/>
        <stp>P</stp>
        <stp>0</stp>
        <stp>IDX</stp>
        <stp>217</stp>
        <stp>현재가</stp>
        <stp>45293</stp>
        <stp>fill=true</stp>
        <tr r="K37" s="1"/>
        <tr r="K37" s="1"/>
      </tp>
      <tp>
        <v>3372.26</v>
        <stp/>
        <stp>P</stp>
        <stp>0</stp>
        <stp>IDX</stp>
        <stp>216</stp>
        <stp>현재가</stp>
        <stp>45293</stp>
        <stp>fill=true</stp>
        <tr r="K36" s="1"/>
        <tr r="K36" s="1"/>
      </tp>
      <tp>
        <v>1408.86</v>
        <stp/>
        <stp>P</stp>
        <stp>0</stp>
        <stp>IDX</stp>
        <stp>215</stp>
        <stp>현재가</stp>
        <stp>45293</stp>
        <stp>fill=true</stp>
        <tr r="K35" s="1"/>
        <tr r="K35" s="1"/>
      </tp>
      <tp>
        <v>885.86</v>
        <stp/>
        <stp>P</stp>
        <stp>0</stp>
        <stp>IDX</stp>
        <stp>214</stp>
        <stp>현재가</stp>
        <stp>45293</stp>
        <stp>fill=true</stp>
        <tr r="K34" s="1"/>
        <tr r="K34" s="1"/>
      </tp>
      <tp>
        <v>333.6</v>
        <stp/>
        <stp>P</stp>
        <stp>0</stp>
        <stp>IDX</stp>
        <stp>213</stp>
        <stp>현재가</stp>
        <stp>45293</stp>
        <stp>fill=true</stp>
        <tr r="K33" s="1"/>
        <tr r="K33" s="1"/>
      </tp>
      <tp>
        <v>305.79000000000002</v>
        <stp/>
        <stp>P</stp>
        <stp>0</stp>
        <stp>IDX</stp>
        <stp>212</stp>
        <stp>현재가</stp>
        <stp>45293</stp>
        <stp>fill=true</stp>
        <tr r="K32" s="1"/>
        <tr r="K32" s="1"/>
      </tp>
      <tp>
        <v>360.55</v>
        <stp/>
        <stp>P</stp>
        <stp>0</stp>
        <stp>IDX</stp>
        <stp>211</stp>
        <stp>현재가</stp>
        <stp>45293</stp>
        <stp>fill=true</stp>
        <tr r="K7" s="1"/>
        <tr r="K7" s="1"/>
      </tp>
      <tp>
        <v>1563.39</v>
        <stp/>
        <stp>P</stp>
        <stp>0</stp>
        <stp>IDX</stp>
        <stp>219</stp>
        <stp>현재가</stp>
        <stp>45293</stp>
        <stp>fill=true</stp>
        <tr r="K39" s="1"/>
        <tr r="K39" s="1"/>
      </tp>
      <tp>
        <v>807.39</v>
        <stp/>
        <stp>P</stp>
        <stp>0</stp>
        <stp>IDX</stp>
        <stp>218</stp>
        <stp>현재가</stp>
        <stp>45293</stp>
        <stp>fill=true</stp>
        <tr r="K38" s="1"/>
        <tr r="K38" s="1"/>
      </tp>
      <tp>
        <v>1831.91</v>
        <stp/>
        <stp>P</stp>
        <stp>0</stp>
        <stp>IDX</stp>
        <stp>220</stp>
        <stp>현재가</stp>
        <stp>45293</stp>
        <stp>fill=true</stp>
        <tr r="K40" s="1"/>
        <tr r="K40" s="1"/>
      </tp>
      <tp>
        <v>2023.41</v>
        <stp/>
        <stp>P</stp>
        <stp>0</stp>
        <stp>IDX</stp>
        <stp>253</stp>
        <stp>현재가</stp>
        <stp>45293</stp>
        <stp>fill=true</stp>
        <tr r="K44" s="1"/>
        <tr r="K44" s="1"/>
      </tp>
      <tp>
        <v>660.8</v>
        <stp/>
        <stp>P</stp>
        <stp>0</stp>
        <stp>IDX</stp>
        <stp>252</stp>
        <stp>현재가</stp>
        <stp>45293</stp>
        <stp>fill=true</stp>
        <tr r="K43" s="1"/>
        <tr r="K43" s="1"/>
      </tp>
      <tp>
        <v>966.72</v>
        <stp/>
        <stp>P</stp>
        <stp>0</stp>
        <stp>IDX</stp>
        <stp>251</stp>
        <stp>현재가</stp>
        <stp>45293</stp>
        <stp>fill=true</stp>
        <tr r="K42" s="1"/>
        <tr r="K42" s="1"/>
      </tp>
      <tp>
        <v>1213.29</v>
        <stp/>
        <stp>P</stp>
        <stp>0</stp>
        <stp>IDX</stp>
        <stp>250</stp>
        <stp>현재가</stp>
        <stp>45293</stp>
        <stp>fill=true</stp>
        <tr r="K41" s="1"/>
        <tr r="K41" s="1"/>
      </tp>
      <tp>
        <v>294.95</v>
        <stp/>
        <stp>P</stp>
        <stp>0</stp>
        <stp>IDX</stp>
        <stp>007</stp>
        <stp>현재가</stp>
        <stp>45293</stp>
        <stp>fill=true</stp>
        <tr r="K10" s="1"/>
        <tr r="K10" s="1"/>
      </tp>
      <tp>
        <v>287.83999999999997</v>
        <stp/>
        <stp>P</stp>
        <stp>0</stp>
        <stp>IDX</stp>
        <stp>006</stp>
        <stp>현재가</stp>
        <stp>45293</stp>
        <stp>fill=true</stp>
        <tr r="K9" s="1"/>
        <tr r="K9" s="1"/>
      </tp>
      <tp>
        <v>3724.88</v>
        <stp/>
        <stp>P</stp>
        <stp>0</stp>
        <stp>IDX</stp>
        <stp>005</stp>
        <stp>현재가</stp>
        <stp>45293</stp>
        <stp>fill=true</stp>
        <tr r="K8" s="1"/>
        <tr r="K8" s="1"/>
      </tp>
      <tp>
        <v>2669.81</v>
        <stp/>
        <stp>P</stp>
        <stp>0</stp>
        <stp>IDX</stp>
        <stp>001</stp>
        <stp>현재가</stp>
        <stp>45293</stp>
        <stp>fill=true</stp>
        <tr r="K6" s="1"/>
        <tr r="K6" s="1"/>
      </tp>
      <tp>
        <v>15091.7</v>
        <stp/>
        <stp>P</stp>
        <stp>0</stp>
        <stp>IDX</stp>
        <stp>009</stp>
        <stp>현재가</stp>
        <stp>45293</stp>
        <stp>fill=true</stp>
        <tr r="K12" s="1"/>
        <tr r="K12" s="1"/>
      </tp>
      <tp>
        <v>4825.1899999999996</v>
        <stp/>
        <stp>P</stp>
        <stp>0</stp>
        <stp>IDX</stp>
        <stp>008</stp>
        <stp>현재가</stp>
        <stp>45293</stp>
        <stp>fill=true</stp>
        <tr r="K11" s="1"/>
        <tr r="K11" s="1"/>
      </tp>
      <tp>
        <v>616.95000000000005</v>
        <stp/>
        <stp>P</stp>
        <stp>0</stp>
        <stp>IDX</stp>
        <stp>017</stp>
        <stp>현재가</stp>
        <stp>45293</stp>
        <stp>fill=true</stp>
        <tr r="K20" s="1"/>
        <tr r="K20" s="1"/>
      </tp>
      <tp>
        <v>365.26</v>
        <stp/>
        <stp>P</stp>
        <stp>0</stp>
        <stp>IDX</stp>
        <stp>016</stp>
        <stp>현재가</stp>
        <stp>45293</stp>
        <stp>fill=true</stp>
        <tr r="K19" s="1"/>
        <tr r="K19" s="1"/>
      </tp>
      <tp>
        <v>2237.9899999999998</v>
        <stp/>
        <stp>P</stp>
        <stp>0</stp>
        <stp>IDX</stp>
        <stp>015</stp>
        <stp>현재가</stp>
        <stp>45293</stp>
        <stp>fill=true</stp>
        <tr r="K18" s="1"/>
        <tr r="K18" s="1"/>
      </tp>
      <tp>
        <v>1632.84</v>
        <stp/>
        <stp>P</stp>
        <stp>0</stp>
        <stp>IDX</stp>
        <stp>014</stp>
        <stp>현재가</stp>
        <stp>45293</stp>
        <stp>fill=true</stp>
        <tr r="K17" s="1"/>
        <tr r="K17" s="1"/>
      </tp>
      <tp>
        <v>28564.82</v>
        <stp/>
        <stp>P</stp>
        <stp>0</stp>
        <stp>IDX</stp>
        <stp>013</stp>
        <stp>현재가</stp>
        <stp>45293</stp>
        <stp>fill=true</stp>
        <tr r="K16" s="1"/>
        <tr r="K16" s="1"/>
      </tp>
      <tp>
        <v>1221.18</v>
        <stp/>
        <stp>P</stp>
        <stp>0</stp>
        <stp>IDX</stp>
        <stp>012</stp>
        <stp>현재가</stp>
        <stp>45293</stp>
        <stp>fill=true</stp>
        <tr r="K15" s="1"/>
        <tr r="K15" s="1"/>
      </tp>
      <tp>
        <v>5981.42</v>
        <stp/>
        <stp>P</stp>
        <stp>0</stp>
        <stp>IDX</stp>
        <stp>011</stp>
        <stp>현재가</stp>
        <stp>45293</stp>
        <stp>fill=true</stp>
        <tr r="K14" s="1"/>
        <tr r="K14" s="1"/>
      </tp>
      <tp>
        <v>3833.95</v>
        <stp/>
        <stp>P</stp>
        <stp>0</stp>
        <stp>IDX</stp>
        <stp>010</stp>
        <stp>현재가</stp>
        <stp>45293</stp>
        <stp>fill=true</stp>
        <tr r="K13" s="1"/>
        <tr r="K13" s="1"/>
      </tp>
      <tp>
        <v>1755.1</v>
        <stp/>
        <stp>P</stp>
        <stp>0</stp>
        <stp>IDX</stp>
        <stp>019</stp>
        <stp>현재가</stp>
        <stp>45293</stp>
        <stp>fill=true</stp>
        <tr r="K22" s="1"/>
        <tr r="K22" s="1"/>
      </tp>
      <tp>
        <v>70.67</v>
        <stp/>
        <stp>P</stp>
        <stp>0</stp>
        <stp>IDX</stp>
        <stp>018</stp>
        <stp>현재가</stp>
        <stp>45293</stp>
        <stp>fill=true</stp>
        <tr r="K21" s="1"/>
        <tr r="K21" s="1"/>
      </tp>
      <tp>
        <v>7200.68</v>
        <stp/>
        <stp>P</stp>
        <stp>0</stp>
        <stp>IDX</stp>
        <stp>027</stp>
        <stp>현재가</stp>
        <stp>45293</stp>
        <stp>fill=true</stp>
        <tr r="K28" s="1"/>
        <tr r="K28" s="1"/>
      </tp>
      <tp>
        <v>1190.6099999999999</v>
        <stp/>
        <stp>P</stp>
        <stp>0</stp>
        <stp>IDX</stp>
        <stp>026</stp>
        <stp>현재가</stp>
        <stp>45293</stp>
        <stp>fill=true</stp>
        <tr r="K27" s="1"/>
        <tr r="K27" s="1"/>
      </tp>
      <tp>
        <v>16355.24</v>
        <stp/>
        <stp>P</stp>
        <stp>0</stp>
        <stp>IDX</stp>
        <stp>025</stp>
        <stp>현재가</stp>
        <stp>45293</stp>
        <stp>fill=true</stp>
        <tr r="K26" s="1"/>
        <tr r="K26" s="1"/>
      </tp>
      <tp>
        <v>1833.99</v>
        <stp/>
        <stp>P</stp>
        <stp>0</stp>
        <stp>IDX</stp>
        <stp>024</stp>
        <stp>현재가</stp>
        <stp>45293</stp>
        <stp>fill=true</stp>
        <tr r="K25" s="1"/>
        <tr r="K25" s="1"/>
      </tp>
      <tp>
        <v>382.85</v>
        <stp/>
        <stp>P</stp>
        <stp>0</stp>
        <stp>IDX</stp>
        <stp>021</stp>
        <stp>현재가</stp>
        <stp>45293</stp>
        <stp>fill=true</stp>
        <tr r="K24" s="1"/>
        <tr r="K24" s="1"/>
      </tp>
      <tp>
        <v>375.53</v>
        <stp/>
        <stp>P</stp>
        <stp>0</stp>
        <stp>IDX</stp>
        <stp>020</stp>
        <stp>현재가</stp>
        <stp>45293</stp>
        <stp>fill=true</stp>
        <tr r="K23" s="1"/>
        <tr r="K23" s="1"/>
      </tp>
      <tp>
        <v>268.93</v>
        <stp/>
        <stp>P</stp>
        <stp>0</stp>
        <stp>IDX</stp>
        <stp>006</stp>
        <stp>현재가</stp>
        <stp>45384</stp>
        <stp>fill=true</stp>
        <tr r="J9" s="1"/>
        <tr r="J9" s="1"/>
      </tp>
      <tp>
        <v>298.27999999999997</v>
        <stp/>
        <stp>P</stp>
        <stp>0</stp>
        <stp>IDX</stp>
        <stp>007</stp>
        <stp>현재가</stp>
        <stp>45384</stp>
        <stp>fill=true</stp>
        <tr r="J10" s="1"/>
        <tr r="J10" s="1"/>
      </tp>
      <tp>
        <v>3461</v>
        <stp/>
        <stp>P</stp>
        <stp>0</stp>
        <stp>IDX</stp>
        <stp>005</stp>
        <stp>현재가</stp>
        <stp>45384</stp>
        <stp>fill=true</stp>
        <tr r="J8" s="1"/>
        <tr r="J8" s="1"/>
      </tp>
      <tp>
        <v>2753.16</v>
        <stp/>
        <stp>P</stp>
        <stp>0</stp>
        <stp>IDX</stp>
        <stp>001</stp>
        <stp>현재가</stp>
        <stp>45384</stp>
        <stp>fill=true</stp>
        <tr r="J6" s="1"/>
        <tr r="J6" s="1"/>
      </tp>
      <tp>
        <v>4622.22</v>
        <stp/>
        <stp>P</stp>
        <stp>0</stp>
        <stp>IDX</stp>
        <stp>008</stp>
        <stp>현재가</stp>
        <stp>45384</stp>
        <stp>fill=true</stp>
        <tr r="J11" s="1"/>
        <tr r="J11" s="1"/>
      </tp>
      <tp>
        <v>13973.75</v>
        <stp/>
        <stp>P</stp>
        <stp>0</stp>
        <stp>IDX</stp>
        <stp>009</stp>
        <stp>현재가</stp>
        <stp>45384</stp>
        <stp>fill=true</stp>
        <tr r="J12" s="1"/>
        <tr r="J12" s="1"/>
      </tp>
      <tp>
        <v>379.99</v>
        <stp/>
        <stp>P</stp>
        <stp>0</stp>
        <stp>IDX</stp>
        <stp>016</stp>
        <stp>현재가</stp>
        <stp>45384</stp>
        <stp>fill=true</stp>
        <tr r="J19" s="1"/>
        <tr r="J19" s="1"/>
      </tp>
      <tp>
        <v>692.35</v>
        <stp/>
        <stp>P</stp>
        <stp>0</stp>
        <stp>IDX</stp>
        <stp>017</stp>
        <stp>현재가</stp>
        <stp>45384</stp>
        <stp>fill=true</stp>
        <tr r="J20" s="1"/>
        <tr r="J20" s="1"/>
      </tp>
      <tp>
        <v>1795.34</v>
        <stp/>
        <stp>P</stp>
        <stp>0</stp>
        <stp>IDX</stp>
        <stp>014</stp>
        <stp>현재가</stp>
        <stp>45384</stp>
        <stp>fill=true</stp>
        <tr r="J17" s="1"/>
        <tr r="J17" s="1"/>
      </tp>
      <tp>
        <v>2429.9499999999998</v>
        <stp/>
        <stp>P</stp>
        <stp>0</stp>
        <stp>IDX</stp>
        <stp>015</stp>
        <stp>현재가</stp>
        <stp>45384</stp>
        <stp>fill=true</stp>
        <tr r="J18" s="1"/>
        <tr r="J18" s="1"/>
      </tp>
      <tp>
        <v>1399.7</v>
        <stp/>
        <stp>P</stp>
        <stp>0</stp>
        <stp>IDX</stp>
        <stp>012</stp>
        <stp>현재가</stp>
        <stp>45384</stp>
        <stp>fill=true</stp>
        <tr r="J15" s="1"/>
        <tr r="J15" s="1"/>
      </tp>
      <tp>
        <v>30164.18</v>
        <stp/>
        <stp>P</stp>
        <stp>0</stp>
        <stp>IDX</stp>
        <stp>013</stp>
        <stp>현재가</stp>
        <stp>45384</stp>
        <stp>fill=true</stp>
        <tr r="J16" s="1"/>
        <tr r="J16" s="1"/>
      </tp>
      <tp>
        <v>4072.2</v>
        <stp/>
        <stp>P</stp>
        <stp>0</stp>
        <stp>IDX</stp>
        <stp>010</stp>
        <stp>현재가</stp>
        <stp>45384</stp>
        <stp>fill=true</stp>
        <tr r="J13" s="1"/>
        <tr r="J13" s="1"/>
      </tp>
      <tp>
        <v>5261.46</v>
        <stp/>
        <stp>P</stp>
        <stp>0</stp>
        <stp>IDX</stp>
        <stp>011</stp>
        <stp>현재가</stp>
        <stp>45384</stp>
        <stp>fill=true</stp>
        <tr r="J14" s="1"/>
        <tr r="J14" s="1"/>
      </tp>
      <tp>
        <v>70.290000000000006</v>
        <stp/>
        <stp>P</stp>
        <stp>0</stp>
        <stp>IDX</stp>
        <stp>018</stp>
        <stp>현재가</stp>
        <stp>45384</stp>
        <stp>fill=true</stp>
        <tr r="J21" s="1"/>
        <tr r="J21" s="1"/>
      </tp>
      <tp>
        <v>1528.6</v>
        <stp/>
        <stp>P</stp>
        <stp>0</stp>
        <stp>IDX</stp>
        <stp>019</stp>
        <stp>현재가</stp>
        <stp>45384</stp>
        <stp>fill=true</stp>
        <tr r="J22" s="1"/>
        <tr r="J22" s="1"/>
      </tp>
      <tp>
        <v>1103.3</v>
        <stp/>
        <stp>P</stp>
        <stp>0</stp>
        <stp>IDX</stp>
        <stp>026</stp>
        <stp>현재가</stp>
        <stp>45384</stp>
        <stp>fill=true</stp>
        <tr r="J27" s="1"/>
        <tr r="J27" s="1"/>
      </tp>
      <tp>
        <v>7400.19</v>
        <stp/>
        <stp>P</stp>
        <stp>0</stp>
        <stp>IDX</stp>
        <stp>027</stp>
        <stp>현재가</stp>
        <stp>45384</stp>
        <stp>fill=true</stp>
        <tr r="J28" s="1"/>
        <tr r="J28" s="1"/>
      </tp>
      <tp>
        <v>1993.28</v>
        <stp/>
        <stp>P</stp>
        <stp>0</stp>
        <stp>IDX</stp>
        <stp>024</stp>
        <stp>현재가</stp>
        <stp>45384</stp>
        <stp>fill=true</stp>
        <tr r="J25" s="1"/>
        <tr r="J25" s="1"/>
      </tp>
      <tp>
        <v>19912.599999999999</v>
        <stp/>
        <stp>P</stp>
        <stp>0</stp>
        <stp>IDX</stp>
        <stp>025</stp>
        <stp>현재가</stp>
        <stp>45384</stp>
        <stp>fill=true</stp>
        <tr r="J26" s="1"/>
        <tr r="J26" s="1"/>
      </tp>
      <tp>
        <v>391.11</v>
        <stp/>
        <stp>P</stp>
        <stp>0</stp>
        <stp>IDX</stp>
        <stp>020</stp>
        <stp>현재가</stp>
        <stp>45384</stp>
        <stp>fill=true</stp>
        <tr r="J23" s="1"/>
        <tr r="J23" s="1"/>
      </tp>
      <tp>
        <v>436.42</v>
        <stp/>
        <stp>P</stp>
        <stp>0</stp>
        <stp>IDX</stp>
        <stp>021</stp>
        <stp>현재가</stp>
        <stp>45384</stp>
        <stp>fill=true</stp>
        <tr r="J24" s="1"/>
        <tr r="J24" s="1"/>
      </tp>
      <tp>
        <v>2636.52</v>
        <stp/>
        <stp>P</stp>
        <stp>0</stp>
        <stp>IDX</stp>
        <stp>001</stp>
        <stp>현재가</stp>
        <stp>45445</stp>
        <stp>fill=true</stp>
        <tr r="I6" s="1"/>
        <tr r="I6" s="1"/>
      </tp>
      <tp>
        <v>4138.3100000000004</v>
        <stp/>
        <stp>P</stp>
        <stp>0</stp>
        <stp>IDX</stp>
        <stp>005</stp>
        <stp>현재가</stp>
        <stp>45445</stp>
        <stp>fill=true</stp>
        <tr r="I8" s="1"/>
        <tr r="I8" s="1"/>
      </tp>
      <tp>
        <v>289.45</v>
        <stp/>
        <stp>P</stp>
        <stp>0</stp>
        <stp>IDX</stp>
        <stp>007</stp>
        <stp>현재가</stp>
        <stp>45445</stp>
        <stp>fill=true</stp>
        <tr r="I10" s="1"/>
        <tr r="I10" s="1"/>
      </tp>
      <tp>
        <v>254.79</v>
        <stp/>
        <stp>P</stp>
        <stp>0</stp>
        <stp>IDX</stp>
        <stp>006</stp>
        <stp>현재가</stp>
        <stp>45445</stp>
        <stp>fill=true</stp>
        <tr r="I9" s="1"/>
        <tr r="I9" s="1"/>
      </tp>
      <tp>
        <v>12785.21</v>
        <stp/>
        <stp>P</stp>
        <stp>0</stp>
        <stp>IDX</stp>
        <stp>009</stp>
        <stp>현재가</stp>
        <stp>45445</stp>
        <stp>fill=true</stp>
        <tr r="I12" s="1"/>
        <tr r="I12" s="1"/>
      </tp>
      <tp>
        <v>4541.38</v>
        <stp/>
        <stp>P</stp>
        <stp>0</stp>
        <stp>IDX</stp>
        <stp>008</stp>
        <stp>현재가</stp>
        <stp>45445</stp>
        <stp>fill=true</stp>
        <tr r="I11" s="1"/>
        <tr r="I11" s="1"/>
      </tp>
      <tp>
        <v>5073.18</v>
        <stp/>
        <stp>P</stp>
        <stp>0</stp>
        <stp>IDX</stp>
        <stp>011</stp>
        <stp>현재가</stp>
        <stp>45445</stp>
        <stp>fill=true</stp>
        <tr r="I14" s="1"/>
        <tr r="I14" s="1"/>
      </tp>
      <tp>
        <v>4090.67</v>
        <stp/>
        <stp>P</stp>
        <stp>0</stp>
        <stp>IDX</stp>
        <stp>010</stp>
        <stp>현재가</stp>
        <stp>45445</stp>
        <stp>fill=true</stp>
        <tr r="I13" s="1"/>
        <tr r="I13" s="1"/>
      </tp>
      <tp>
        <v>27415.55</v>
        <stp/>
        <stp>P</stp>
        <stp>0</stp>
        <stp>IDX</stp>
        <stp>013</stp>
        <stp>현재가</stp>
        <stp>45445</stp>
        <stp>fill=true</stp>
        <tr r="I16" s="1"/>
        <tr r="I16" s="1"/>
      </tp>
      <tp>
        <v>1473.32</v>
        <stp/>
        <stp>P</stp>
        <stp>0</stp>
        <stp>IDX</stp>
        <stp>012</stp>
        <stp>현재가</stp>
        <stp>45445</stp>
        <stp>fill=true</stp>
        <tr r="I15" s="1"/>
        <tr r="I15" s="1"/>
      </tp>
      <tp>
        <v>2552.91</v>
        <stp/>
        <stp>P</stp>
        <stp>0</stp>
        <stp>IDX</stp>
        <stp>015</stp>
        <stp>현재가</stp>
        <stp>45445</stp>
        <stp>fill=true</stp>
        <tr r="I18" s="1"/>
        <tr r="I18" s="1"/>
      </tp>
      <tp>
        <v>1675.03</v>
        <stp/>
        <stp>P</stp>
        <stp>0</stp>
        <stp>IDX</stp>
        <stp>014</stp>
        <stp>현재가</stp>
        <stp>45445</stp>
        <stp>fill=true</stp>
        <tr r="I17" s="1"/>
        <tr r="I17" s="1"/>
      </tp>
      <tp>
        <v>657.96</v>
        <stp/>
        <stp>P</stp>
        <stp>0</stp>
        <stp>IDX</stp>
        <stp>017</stp>
        <stp>현재가</stp>
        <stp>45445</stp>
        <stp>fill=true</stp>
        <tr r="I20" s="1"/>
        <tr r="I20" s="1"/>
      </tp>
      <tp>
        <v>347.81</v>
        <stp/>
        <stp>P</stp>
        <stp>0</stp>
        <stp>IDX</stp>
        <stp>016</stp>
        <stp>현재가</stp>
        <stp>45445</stp>
        <stp>fill=true</stp>
        <tr r="I19" s="1"/>
        <tr r="I19" s="1"/>
      </tp>
      <tp>
        <v>1578.68</v>
        <stp/>
        <stp>P</stp>
        <stp>0</stp>
        <stp>IDX</stp>
        <stp>019</stp>
        <stp>현재가</stp>
        <stp>45445</stp>
        <stp>fill=true</stp>
        <tr r="I22" s="1"/>
        <tr r="I22" s="1"/>
      </tp>
      <tp>
        <v>71.2</v>
        <stp/>
        <stp>P</stp>
        <stp>0</stp>
        <stp>IDX</stp>
        <stp>018</stp>
        <stp>현재가</stp>
        <stp>45445</stp>
        <stp>fill=true</stp>
        <tr r="I21" s="1"/>
        <tr r="I21" s="1"/>
      </tp>
      <tp>
        <v>448.96</v>
        <stp/>
        <stp>P</stp>
        <stp>0</stp>
        <stp>IDX</stp>
        <stp>021</stp>
        <stp>현재가</stp>
        <stp>45445</stp>
        <stp>fill=true</stp>
        <tr r="I24" s="1"/>
        <tr r="I24" s="1"/>
      </tp>
      <tp>
        <v>385.97</v>
        <stp/>
        <stp>P</stp>
        <stp>0</stp>
        <stp>IDX</stp>
        <stp>020</stp>
        <stp>현재가</stp>
        <stp>45445</stp>
        <stp>fill=true</stp>
        <tr r="I23" s="1"/>
        <tr r="I23" s="1"/>
      </tp>
      <tp>
        <v>20312.7</v>
        <stp/>
        <stp>P</stp>
        <stp>0</stp>
        <stp>IDX</stp>
        <stp>025</stp>
        <stp>현재가</stp>
        <stp>45445</stp>
        <stp>fill=true</stp>
        <tr r="I26" s="1"/>
        <tr r="I26" s="1"/>
      </tp>
      <tp>
        <v>1980.03</v>
        <stp/>
        <stp>P</stp>
        <stp>0</stp>
        <stp>IDX</stp>
        <stp>024</stp>
        <stp>현재가</stp>
        <stp>45445</stp>
        <stp>fill=true</stp>
        <tr r="I25" s="1"/>
        <tr r="I25" s="1"/>
      </tp>
      <tp>
        <v>7003.51</v>
        <stp/>
        <stp>P</stp>
        <stp>0</stp>
        <stp>IDX</stp>
        <stp>027</stp>
        <stp>현재가</stp>
        <stp>45445</stp>
        <stp>fill=true</stp>
        <tr r="I28" s="1"/>
        <tr r="I28" s="1"/>
      </tp>
      <tp>
        <v>1019.31</v>
        <stp/>
        <stp>P</stp>
        <stp>0</stp>
        <stp>IDX</stp>
        <stp>026</stp>
        <stp>현재가</stp>
        <stp>45445</stp>
        <stp>fill=true</stp>
        <tr r="I27" s="1"/>
        <tr r="I27" s="1"/>
      </tp>
      <tp>
        <v>2871.31</v>
        <stp/>
        <stp>P</stp>
        <stp>0</stp>
        <stp>IDX</stp>
        <stp>202</stp>
        <stp>현재가</stp>
        <stp>45384</stp>
        <stp>fill=true</stp>
        <tr r="J30" s="1"/>
        <tr r="J30" s="1"/>
      </tp>
      <tp>
        <v>2325.5100000000002</v>
        <stp/>
        <stp>P</stp>
        <stp>0</stp>
        <stp>IDX</stp>
        <stp>203</stp>
        <stp>현재가</stp>
        <stp>45384</stp>
        <stp>fill=true</stp>
        <tr r="J31" s="1"/>
        <tr r="J31" s="1"/>
      </tp>
      <tp>
        <v>2766.94</v>
        <stp/>
        <stp>P</stp>
        <stp>0</stp>
        <stp>IDX</stp>
        <stp>201</stp>
        <stp>현재가</stp>
        <stp>45384</stp>
        <stp>fill=true</stp>
        <tr r="J29" s="1"/>
        <tr r="J29" s="1"/>
      </tp>
      <tp>
        <v>3606.12</v>
        <stp/>
        <stp>P</stp>
        <stp>0</stp>
        <stp>IDX</stp>
        <stp>216</stp>
        <stp>현재가</stp>
        <stp>45384</stp>
        <stp>fill=true</stp>
        <tr r="J36" s="1"/>
        <tr r="J36" s="1"/>
      </tp>
      <tp>
        <v>773.79</v>
        <stp/>
        <stp>P</stp>
        <stp>0</stp>
        <stp>IDX</stp>
        <stp>217</stp>
        <stp>현재가</stp>
        <stp>45384</stp>
        <stp>fill=true</stp>
        <tr r="J37" s="1"/>
        <tr r="J37" s="1"/>
      </tp>
      <tp>
        <v>822.64</v>
        <stp/>
        <stp>P</stp>
        <stp>0</stp>
        <stp>IDX</stp>
        <stp>214</stp>
        <stp>현재가</stp>
        <stp>45384</stp>
        <stp>fill=true</stp>
        <tr r="J34" s="1"/>
        <tr r="J34" s="1"/>
      </tp>
      <tp>
        <v>1325.98</v>
        <stp/>
        <stp>P</stp>
        <stp>0</stp>
        <stp>IDX</stp>
        <stp>215</stp>
        <stp>현재가</stp>
        <stp>45384</stp>
        <stp>fill=true</stp>
        <tr r="J35" s="1"/>
        <tr r="J35" s="1"/>
      </tp>
      <tp>
        <v>315.23</v>
        <stp/>
        <stp>P</stp>
        <stp>0</stp>
        <stp>IDX</stp>
        <stp>212</stp>
        <stp>현재가</stp>
        <stp>45384</stp>
        <stp>fill=true</stp>
        <tr r="J32" s="1"/>
        <tr r="J32" s="1"/>
      </tp>
      <tp>
        <v>369.82</v>
        <stp/>
        <stp>P</stp>
        <stp>0</stp>
        <stp>IDX</stp>
        <stp>213</stp>
        <stp>현재가</stp>
        <stp>45384</stp>
        <stp>fill=true</stp>
        <tr r="J33" s="1"/>
        <tr r="J33" s="1"/>
      </tp>
      <tp>
        <v>376.34</v>
        <stp/>
        <stp>P</stp>
        <stp>0</stp>
        <stp>IDX</stp>
        <stp>211</stp>
        <stp>현재가</stp>
        <stp>45384</stp>
        <stp>fill=true</stp>
        <tr r="J7" s="1"/>
        <tr r="J7" s="1"/>
      </tp>
      <tp>
        <v>815.8</v>
        <stp/>
        <stp>P</stp>
        <stp>0</stp>
        <stp>IDX</stp>
        <stp>218</stp>
        <stp>현재가</stp>
        <stp>45384</stp>
        <stp>fill=true</stp>
        <tr r="J38" s="1"/>
        <tr r="J38" s="1"/>
      </tp>
      <tp>
        <v>1624.77</v>
        <stp/>
        <stp>P</stp>
        <stp>0</stp>
        <stp>IDX</stp>
        <stp>219</stp>
        <stp>현재가</stp>
        <stp>45384</stp>
        <stp>fill=true</stp>
        <tr r="J39" s="1"/>
        <tr r="J39" s="1"/>
      </tp>
      <tp>
        <v>1766.34</v>
        <stp/>
        <stp>P</stp>
        <stp>0</stp>
        <stp>IDX</stp>
        <stp>220</stp>
        <stp>현재가</stp>
        <stp>45384</stp>
        <stp>fill=true</stp>
        <tr r="J40" s="1"/>
        <tr r="J40" s="1"/>
      </tp>
      <tp>
        <v>642.67999999999995</v>
        <stp/>
        <stp>P</stp>
        <stp>0</stp>
        <stp>IDX</stp>
        <stp>252</stp>
        <stp>현재가</stp>
        <stp>45384</stp>
        <stp>fill=true</stp>
        <tr r="J43" s="1"/>
        <tr r="J43" s="1"/>
      </tp>
      <tp>
        <v>1883.23</v>
        <stp/>
        <stp>P</stp>
        <stp>0</stp>
        <stp>IDX</stp>
        <stp>253</stp>
        <stp>현재가</stp>
        <stp>45384</stp>
        <stp>fill=true</stp>
        <tr r="J44" s="1"/>
        <tr r="J44" s="1"/>
      </tp>
      <tp>
        <v>1250.46</v>
        <stp/>
        <stp>P</stp>
        <stp>0</stp>
        <stp>IDX</stp>
        <stp>250</stp>
        <stp>현재가</stp>
        <stp>45384</stp>
        <stp>fill=true</stp>
        <tr r="J41" s="1"/>
        <tr r="J41" s="1"/>
      </tp>
      <tp>
        <v>912.77</v>
        <stp/>
        <stp>P</stp>
        <stp>0</stp>
        <stp>IDX</stp>
        <stp>251</stp>
        <stp>현재가</stp>
        <stp>45384</stp>
        <stp>fill=true</stp>
        <tr r="J42" s="1"/>
        <tr r="J42" s="1"/>
      </tp>
      <tp>
        <v>2602.0700000000002</v>
        <stp/>
        <stp>P</stp>
        <stp>0</stp>
        <stp>IDX</stp>
        <stp>201</stp>
        <stp>현재가</stp>
        <stp>45445</stp>
        <stp>fill=true</stp>
        <tr r="I29" s="1"/>
        <tr r="I29" s="1"/>
      </tp>
      <tp>
        <v>2365.3200000000002</v>
        <stp/>
        <stp>P</stp>
        <stp>0</stp>
        <stp>IDX</stp>
        <stp>203</stp>
        <stp>현재가</stp>
        <stp>45445</stp>
        <stp>fill=true</stp>
        <tr r="I31" s="1"/>
        <tr r="I31" s="1"/>
      </tp>
      <tp>
        <v>3054.56</v>
        <stp/>
        <stp>P</stp>
        <stp>0</stp>
        <stp>IDX</stp>
        <stp>202</stp>
        <stp>현재가</stp>
        <stp>45445</stp>
        <stp>fill=true</stp>
        <tr r="I30" s="1"/>
        <tr r="I30" s="1"/>
      </tp>
      <tp>
        <v>358.21</v>
        <stp/>
        <stp>P</stp>
        <stp>0</stp>
        <stp>IDX</stp>
        <stp>211</stp>
        <stp>현재가</stp>
        <stp>45445</stp>
        <stp>fill=true</stp>
        <tr r="I7" s="1"/>
        <tr r="I7" s="1"/>
      </tp>
      <tp>
        <v>425.63</v>
        <stp/>
        <stp>P</stp>
        <stp>0</stp>
        <stp>IDX</stp>
        <stp>213</stp>
        <stp>현재가</stp>
        <stp>45445</stp>
        <stp>fill=true</stp>
        <tr r="I33" s="1"/>
        <tr r="I33" s="1"/>
      </tp>
      <tp>
        <v>301.32</v>
        <stp/>
        <stp>P</stp>
        <stp>0</stp>
        <stp>IDX</stp>
        <stp>212</stp>
        <stp>현재가</stp>
        <stp>45445</stp>
        <stp>fill=true</stp>
        <tr r="I32" s="1"/>
        <tr r="I32" s="1"/>
      </tp>
      <tp>
        <v>1227</v>
        <stp/>
        <stp>P</stp>
        <stp>0</stp>
        <stp>IDX</stp>
        <stp>215</stp>
        <stp>현재가</stp>
        <stp>45445</stp>
        <stp>fill=true</stp>
        <tr r="I35" s="1"/>
        <tr r="I35" s="1"/>
      </tp>
      <tp>
        <v>824.27</v>
        <stp/>
        <stp>P</stp>
        <stp>0</stp>
        <stp>IDX</stp>
        <stp>214</stp>
        <stp>현재가</stp>
        <stp>45445</stp>
        <stp>fill=true</stp>
        <tr r="I34" s="1"/>
        <tr r="I34" s="1"/>
      </tp>
      <tp>
        <v>804.34</v>
        <stp/>
        <stp>P</stp>
        <stp>0</stp>
        <stp>IDX</stp>
        <stp>217</stp>
        <stp>현재가</stp>
        <stp>45445</stp>
        <stp>fill=true</stp>
        <tr r="I37" s="1"/>
        <tr r="I37" s="1"/>
      </tp>
      <tp>
        <v>3421.57</v>
        <stp/>
        <stp>P</stp>
        <stp>0</stp>
        <stp>IDX</stp>
        <stp>216</stp>
        <stp>현재가</stp>
        <stp>45445</stp>
        <stp>fill=true</stp>
        <tr r="I36" s="1"/>
        <tr r="I36" s="1"/>
      </tp>
      <tp>
        <v>1665.24</v>
        <stp/>
        <stp>P</stp>
        <stp>0</stp>
        <stp>IDX</stp>
        <stp>219</stp>
        <stp>현재가</stp>
        <stp>45445</stp>
        <stp>fill=true</stp>
        <tr r="I39" s="1"/>
        <tr r="I39" s="1"/>
      </tp>
      <tp>
        <v>886.29</v>
        <stp/>
        <stp>P</stp>
        <stp>0</stp>
        <stp>IDX</stp>
        <stp>218</stp>
        <stp>현재가</stp>
        <stp>45445</stp>
        <stp>fill=true</stp>
        <tr r="I38" s="1"/>
        <tr r="I38" s="1"/>
      </tp>
      <tp>
        <v>1645.73</v>
        <stp/>
        <stp>P</stp>
        <stp>0</stp>
        <stp>IDX</stp>
        <stp>220</stp>
        <stp>현재가</stp>
        <stp>45445</stp>
        <stp>fill=true</stp>
        <tr r="I40" s="1"/>
        <tr r="I40" s="1"/>
      </tp>
      <tp>
        <v>903.15</v>
        <stp/>
        <stp>P</stp>
        <stp>0</stp>
        <stp>IDX</stp>
        <stp>251</stp>
        <stp>현재가</stp>
        <stp>45445</stp>
        <stp>fill=true</stp>
        <tr r="I42" s="1"/>
        <tr r="I42" s="1"/>
      </tp>
      <tp>
        <v>1380.99</v>
        <stp/>
        <stp>P</stp>
        <stp>0</stp>
        <stp>IDX</stp>
        <stp>250</stp>
        <stp>현재가</stp>
        <stp>45445</stp>
        <stp>fill=true</stp>
        <tr r="I41" s="1"/>
        <tr r="I41" s="1"/>
      </tp>
      <tp>
        <v>1706.16</v>
        <stp/>
        <stp>P</stp>
        <stp>0</stp>
        <stp>IDX</stp>
        <stp>253</stp>
        <stp>현재가</stp>
        <stp>45445</stp>
        <stp>fill=true</stp>
        <tr r="I44" s="1"/>
        <tr r="I44" s="1"/>
      </tp>
      <tp>
        <v>636.79</v>
        <stp/>
        <stp>P</stp>
        <stp>0</stp>
        <stp>IDX</stp>
        <stp>252</stp>
        <stp>현재가</stp>
        <stp>45445</stp>
        <stp>fill=true</stp>
        <tr r="I43" s="1"/>
        <tr r="I43" s="1"/>
      </tp>
      <tp>
        <v>-2.41</v>
        <stp/>
        <stp>P</stp>
        <stp>0</stp>
        <stp>IDX</stp>
        <stp>020</stp>
        <stp>전일대비</stp>
        <stp>45475</stp>
        <stp/>
        <tr r="F23" s="1"/>
      </tp>
      <tp>
        <v>3.45</v>
        <stp/>
        <stp>P</stp>
        <stp>0</stp>
        <stp>IDX</stp>
        <stp>021</stp>
        <stp>전일대비</stp>
        <stp>45475</stp>
        <stp/>
        <tr r="F24" s="1"/>
      </tp>
      <tp>
        <v>8.5500000000000007</v>
        <stp/>
        <stp>P</stp>
        <stp>0</stp>
        <stp>IDX</stp>
        <stp>024</stp>
        <stp>전일대비</stp>
        <stp>45475</stp>
        <stp/>
        <tr r="F25" s="1"/>
      </tp>
      <tp>
        <v>260.63</v>
        <stp/>
        <stp>P</stp>
        <stp>0</stp>
        <stp>IDX</stp>
        <stp>025</stp>
        <stp>전일대비</stp>
        <stp>45475</stp>
        <stp/>
        <tr r="F26" s="1"/>
      </tp>
      <tp>
        <v>-17.260000000000002</v>
        <stp/>
        <stp>P</stp>
        <stp>0</stp>
        <stp>IDX</stp>
        <stp>026</stp>
        <stp>전일대비</stp>
        <stp>45475</stp>
        <stp/>
        <tr r="F27" s="1"/>
      </tp>
      <tp>
        <v>-74.239999999999995</v>
        <stp/>
        <stp>P</stp>
        <stp>0</stp>
        <stp>IDX</stp>
        <stp>027</stp>
        <stp>전일대비</stp>
        <stp>45475</stp>
        <stp/>
        <tr r="F28" s="1"/>
      </tp>
      <tp>
        <v>-1.21</v>
        <stp/>
        <stp>P</stp>
        <stp>0</stp>
        <stp>IDX</stp>
        <stp>010</stp>
        <stp>전일대비</stp>
        <stp>45475</stp>
        <stp/>
        <tr r="F13" s="1"/>
      </tp>
      <tp>
        <v>-50.83</v>
        <stp/>
        <stp>P</stp>
        <stp>0</stp>
        <stp>IDX</stp>
        <stp>011</stp>
        <stp>전일대비</stp>
        <stp>45475</stp>
        <stp/>
        <tr r="F14" s="1"/>
      </tp>
      <tp>
        <v>-41.36</v>
        <stp/>
        <stp>P</stp>
        <stp>0</stp>
        <stp>IDX</stp>
        <stp>012</stp>
        <stp>전일대비</stp>
        <stp>45475</stp>
        <stp/>
        <tr r="F15" s="1"/>
      </tp>
      <tp>
        <v>-190.66</v>
        <stp/>
        <stp>P</stp>
        <stp>0</stp>
        <stp>IDX</stp>
        <stp>013</stp>
        <stp>전일대비</stp>
        <stp>45475</stp>
        <stp/>
        <tr r="F16" s="1"/>
      </tp>
      <tp>
        <v>-33.29</v>
        <stp/>
        <stp>P</stp>
        <stp>0</stp>
        <stp>IDX</stp>
        <stp>014</stp>
        <stp>전일대비</stp>
        <stp>45475</stp>
        <stp/>
        <tr r="F17" s="1"/>
      </tp>
      <tp>
        <v>-102.45</v>
        <stp/>
        <stp>P</stp>
        <stp>0</stp>
        <stp>IDX</stp>
        <stp>015</stp>
        <stp>전일대비</stp>
        <stp>45475</stp>
        <stp/>
        <tr r="F18" s="1"/>
      </tp>
      <tp>
        <v>-7.02</v>
        <stp/>
        <stp>P</stp>
        <stp>0</stp>
        <stp>IDX</stp>
        <stp>016</stp>
        <stp>전일대비</stp>
        <stp>45475</stp>
        <stp/>
        <tr r="F19" s="1"/>
      </tp>
      <tp>
        <v>-29.58</v>
        <stp/>
        <stp>P</stp>
        <stp>0</stp>
        <stp>IDX</stp>
        <stp>017</stp>
        <stp>전일대비</stp>
        <stp>45475</stp>
        <stp/>
        <tr r="F20" s="1"/>
      </tp>
      <tp>
        <v>-1.64</v>
        <stp/>
        <stp>P</stp>
        <stp>0</stp>
        <stp>IDX</stp>
        <stp>018</stp>
        <stp>전일대비</stp>
        <stp>45475</stp>
        <stp/>
        <tr r="F21" s="1"/>
      </tp>
      <tp>
        <v>-13.97</v>
        <stp/>
        <stp>P</stp>
        <stp>0</stp>
        <stp>IDX</stp>
        <stp>019</stp>
        <stp>전일대비</stp>
        <stp>45475</stp>
        <stp/>
        <tr r="F22" s="1"/>
      </tp>
      <tp>
        <v>-23.45</v>
        <stp/>
        <stp>P</stp>
        <stp>0</stp>
        <stp>IDX</stp>
        <stp>001</stp>
        <stp>전일대비</stp>
        <stp>45475</stp>
        <stp/>
        <tr r="F6" s="1"/>
      </tp>
      <tp>
        <v>-31.03</v>
        <stp/>
        <stp>P</stp>
        <stp>0</stp>
        <stp>IDX</stp>
        <stp>005</stp>
        <stp>전일대비</stp>
        <stp>45475</stp>
        <stp/>
        <tr r="F8" s="1"/>
      </tp>
      <tp>
        <v>-2.0299999999999998</v>
        <stp/>
        <stp>P</stp>
        <stp>0</stp>
        <stp>IDX</stp>
        <stp>006</stp>
        <stp>전일대비</stp>
        <stp>45475</stp>
        <stp/>
        <tr r="F9" s="1"/>
      </tp>
      <tp>
        <v>-3.13</v>
        <stp/>
        <stp>P</stp>
        <stp>0</stp>
        <stp>IDX</stp>
        <stp>007</stp>
        <stp>전일대비</stp>
        <stp>45475</stp>
        <stp/>
        <tr r="F10" s="1"/>
      </tp>
      <tp>
        <v>-85.02</v>
        <stp/>
        <stp>P</stp>
        <stp>0</stp>
        <stp>IDX</stp>
        <stp>008</stp>
        <stp>전일대비</stp>
        <stp>45475</stp>
        <stp/>
        <tr r="F11" s="1"/>
      </tp>
      <tp>
        <v>322.44</v>
        <stp/>
        <stp>P</stp>
        <stp>0</stp>
        <stp>IDX</stp>
        <stp>009</stp>
        <stp>전일대비</stp>
        <stp>45475</stp>
        <stp/>
        <tr r="F12" s="1"/>
      </tp>
      <tp>
        <v>-22.59</v>
        <stp/>
        <stp>P</stp>
        <stp>0</stp>
        <stp>IDX</stp>
        <stp>220</stp>
        <stp>전일대비</stp>
        <stp>45475</stp>
        <stp/>
        <tr r="F40" s="1"/>
      </tp>
      <tp>
        <v>-3.14</v>
        <stp/>
        <stp>P</stp>
        <stp>0</stp>
        <stp>IDX</stp>
        <stp>211</stp>
        <stp>전일대비</stp>
        <stp>45475</stp>
        <stp/>
        <tr r="F7" s="1"/>
      </tp>
      <tp>
        <v>-5.8</v>
        <stp/>
        <stp>P</stp>
        <stp>0</stp>
        <stp>IDX</stp>
        <stp>212</stp>
        <stp>전일대비</stp>
        <stp>45475</stp>
        <stp/>
        <tr r="F32" s="1"/>
      </tp>
      <tp>
        <v>-3.57</v>
        <stp/>
        <stp>P</stp>
        <stp>0</stp>
        <stp>IDX</stp>
        <stp>213</stp>
        <stp>전일대비</stp>
        <stp>45475</stp>
        <stp/>
        <tr r="F33" s="1"/>
      </tp>
      <tp>
        <v>-12.25</v>
        <stp/>
        <stp>P</stp>
        <stp>0</stp>
        <stp>IDX</stp>
        <stp>214</stp>
        <stp>전일대비</stp>
        <stp>45475</stp>
        <stp/>
        <tr r="F34" s="1"/>
      </tp>
      <tp>
        <v>-20.81</v>
        <stp/>
        <stp>P</stp>
        <stp>0</stp>
        <stp>IDX</stp>
        <stp>215</stp>
        <stp>전일대비</stp>
        <stp>45475</stp>
        <stp/>
        <tr r="F35" s="1"/>
      </tp>
      <tp>
        <v>-64.459999999999994</v>
        <stp/>
        <stp>P</stp>
        <stp>0</stp>
        <stp>IDX</stp>
        <stp>216</stp>
        <stp>전일대비</stp>
        <stp>45475</stp>
        <stp/>
        <tr r="F36" s="1"/>
      </tp>
      <tp>
        <v>19.239999999999998</v>
        <stp/>
        <stp>P</stp>
        <stp>0</stp>
        <stp>IDX</stp>
        <stp>217</stp>
        <stp>전일대비</stp>
        <stp>45475</stp>
        <stp/>
        <tr r="F37" s="1"/>
      </tp>
      <tp>
        <v>-14.75</v>
        <stp/>
        <stp>P</stp>
        <stp>0</stp>
        <stp>IDX</stp>
        <stp>218</stp>
        <stp>전일대비</stp>
        <stp>45475</stp>
        <stp/>
        <tr r="F38" s="1"/>
      </tp>
      <tp>
        <v>-65.06</v>
        <stp/>
        <stp>P</stp>
        <stp>0</stp>
        <stp>IDX</stp>
        <stp>219</stp>
        <stp>전일대비</stp>
        <stp>45475</stp>
        <stp/>
        <tr r="F39" s="1"/>
      </tp>
      <tp>
        <v>-20.170000000000002</v>
        <stp/>
        <stp>P</stp>
        <stp>0</stp>
        <stp>IDX</stp>
        <stp>201</stp>
        <stp>전일대비</stp>
        <stp>45475</stp>
        <stp/>
        <tr r="F29" s="1"/>
      </tp>
      <tp>
        <v>-45.26</v>
        <stp/>
        <stp>P</stp>
        <stp>0</stp>
        <stp>IDX</stp>
        <stp>202</stp>
        <stp>전일대비</stp>
        <stp>45475</stp>
        <stp/>
        <tr r="F30" s="1"/>
      </tp>
      <tp>
        <v>-20.75</v>
        <stp/>
        <stp>P</stp>
        <stp>0</stp>
        <stp>IDX</stp>
        <stp>203</stp>
        <stp>전일대비</stp>
        <stp>45475</stp>
        <stp/>
        <tr r="F31" s="1"/>
      </tp>
      <tp>
        <v>-16.440000000000001</v>
        <stp/>
        <stp>P</stp>
        <stp>0</stp>
        <stp>IDX</stp>
        <stp>250</stp>
        <stp>전일대비</stp>
        <stp>45475</stp>
        <stp/>
        <tr r="F41" s="1"/>
      </tp>
      <tp>
        <v>-4.43</v>
        <stp/>
        <stp>P</stp>
        <stp>0</stp>
        <stp>IDX</stp>
        <stp>251</stp>
        <stp>전일대비</stp>
        <stp>45475</stp>
        <stp/>
        <tr r="F42" s="1"/>
      </tp>
      <tp>
        <v>-15.57</v>
        <stp/>
        <stp>P</stp>
        <stp>0</stp>
        <stp>IDX</stp>
        <stp>252</stp>
        <stp>전일대비</stp>
        <stp>45475</stp>
        <stp/>
        <tr r="F43" s="1"/>
      </tp>
      <tp>
        <v>-9.1300000000000008</v>
        <stp/>
        <stp>P</stp>
        <stp>0</stp>
        <stp>IDX</stp>
        <stp>253</stp>
        <stp>전일대비</stp>
        <stp>45475</stp>
        <stp/>
        <tr r="F44" s="1"/>
      </tp>
      <tp>
        <v>-0.51</v>
        <stp/>
        <stp>P</stp>
        <stp>0</stp>
        <stp>IDX</stp>
        <stp>253</stp>
        <stp>등락률</stp>
        <stp>45475</stp>
        <stp/>
        <tr r="G44" s="1"/>
      </tp>
      <tp>
        <v>-2.31</v>
        <stp/>
        <stp>P</stp>
        <stp>0</stp>
        <stp>IDX</stp>
        <stp>252</stp>
        <stp>등락률</stp>
        <stp>45475</stp>
        <stp/>
        <tr r="G43" s="1"/>
      </tp>
      <tp>
        <v>-0.48</v>
        <stp/>
        <stp>P</stp>
        <stp>0</stp>
        <stp>IDX</stp>
        <stp>251</stp>
        <stp>등락률</stp>
        <stp>45475</stp>
        <stp/>
        <tr r="G42" s="1"/>
      </tp>
      <tp>
        <v>-1.2</v>
        <stp/>
        <stp>P</stp>
        <stp>0</stp>
        <stp>IDX</stp>
        <stp>250</stp>
        <stp>등락률</stp>
        <stp>45475</stp>
        <stp/>
        <tr r="G41" s="1"/>
      </tp>
      <tp>
        <v>-0.87</v>
        <stp/>
        <stp>P</stp>
        <stp>0</stp>
        <stp>IDX</stp>
        <stp>203</stp>
        <stp>등락률</stp>
        <stp>45475</stp>
        <stp/>
        <tr r="G31" s="1"/>
      </tp>
      <tp>
        <v>-1.47</v>
        <stp/>
        <stp>P</stp>
        <stp>0</stp>
        <stp>IDX</stp>
        <stp>202</stp>
        <stp>등락률</stp>
        <stp>45475</stp>
        <stp/>
        <tr r="G30" s="1"/>
      </tp>
      <tp>
        <v>-0.72</v>
        <stp/>
        <stp>P</stp>
        <stp>0</stp>
        <stp>IDX</stp>
        <stp>201</stp>
        <stp>등락률</stp>
        <stp>45475</stp>
        <stp/>
        <tr r="G29" s="1"/>
      </tp>
      <tp>
        <v>-3.62</v>
        <stp/>
        <stp>P</stp>
        <stp>0</stp>
        <stp>IDX</stp>
        <stp>219</stp>
        <stp>등락률</stp>
        <stp>45475</stp>
        <stp/>
        <tr r="G39" s="1"/>
      </tp>
      <tp>
        <v>-1.66</v>
        <stp/>
        <stp>P</stp>
        <stp>0</stp>
        <stp>IDX</stp>
        <stp>218</stp>
        <stp>등락률</stp>
        <stp>45475</stp>
        <stp/>
        <tr r="G38" s="1"/>
      </tp>
      <tp>
        <v>2.37</v>
        <stp/>
        <stp>P</stp>
        <stp>0</stp>
        <stp>IDX</stp>
        <stp>217</stp>
        <stp>등락률</stp>
        <stp>45475</stp>
        <stp/>
        <tr r="G37" s="1"/>
      </tp>
      <tp>
        <v>-1.72</v>
        <stp/>
        <stp>P</stp>
        <stp>0</stp>
        <stp>IDX</stp>
        <stp>216</stp>
        <stp>등락률</stp>
        <stp>45475</stp>
        <stp/>
        <tr r="G36" s="1"/>
      </tp>
      <tp>
        <v>-1.7</v>
        <stp/>
        <stp>P</stp>
        <stp>0</stp>
        <stp>IDX</stp>
        <stp>215</stp>
        <stp>등락률</stp>
        <stp>45475</stp>
        <stp/>
        <tr r="G35" s="1"/>
      </tp>
      <tp>
        <v>-1.49</v>
        <stp/>
        <stp>P</stp>
        <stp>0</stp>
        <stp>IDX</stp>
        <stp>214</stp>
        <stp>등락률</stp>
        <stp>45475</stp>
        <stp/>
        <tr r="G34" s="1"/>
      </tp>
      <tp>
        <v>-0.8</v>
        <stp/>
        <stp>P</stp>
        <stp>0</stp>
        <stp>IDX</stp>
        <stp>213</stp>
        <stp>등락률</stp>
        <stp>45475</stp>
        <stp/>
        <tr r="G33" s="1"/>
      </tp>
      <tp>
        <v>-1.9</v>
        <stp/>
        <stp>P</stp>
        <stp>0</stp>
        <stp>IDX</stp>
        <stp>212</stp>
        <stp>등락률</stp>
        <stp>45475</stp>
        <stp/>
        <tr r="G32" s="1"/>
      </tp>
      <tp>
        <v>-0.82</v>
        <stp/>
        <stp>P</stp>
        <stp>0</stp>
        <stp>IDX</stp>
        <stp>211</stp>
        <stp>등락률</stp>
        <stp>45475</stp>
        <stp/>
        <tr r="G7" s="1"/>
      </tp>
      <tp>
        <v>-1.38</v>
        <stp/>
        <stp>P</stp>
        <stp>0</stp>
        <stp>IDX</stp>
        <stp>220</stp>
        <stp>등락률</stp>
        <stp>45475</stp>
        <stp/>
        <tr r="G40" s="1"/>
      </tp>
      <tp>
        <v>2.42</v>
        <stp/>
        <stp>P</stp>
        <stp>0</stp>
        <stp>IDX</stp>
        <stp>009</stp>
        <stp>등락률</stp>
        <stp>45475</stp>
        <stp/>
        <tr r="G12" s="1"/>
      </tp>
      <tp>
        <v>-1.89</v>
        <stp/>
        <stp>P</stp>
        <stp>0</stp>
        <stp>IDX</stp>
        <stp>008</stp>
        <stp>등락률</stp>
        <stp>45475</stp>
        <stp/>
        <tr r="G11" s="1"/>
      </tp>
      <tp>
        <v>-1.0900000000000001</v>
        <stp/>
        <stp>P</stp>
        <stp>0</stp>
        <stp>IDX</stp>
        <stp>007</stp>
        <stp>등락률</stp>
        <stp>45475</stp>
        <stp/>
        <tr r="G10" s="1"/>
      </tp>
      <tp>
        <v>-0.85</v>
        <stp/>
        <stp>P</stp>
        <stp>0</stp>
        <stp>IDX</stp>
        <stp>006</stp>
        <stp>등락률</stp>
        <stp>45475</stp>
        <stp/>
        <tr r="G9" s="1"/>
      </tp>
      <tp>
        <v>-0.7</v>
        <stp/>
        <stp>P</stp>
        <stp>0</stp>
        <stp>IDX</stp>
        <stp>005</stp>
        <stp>등락률</stp>
        <stp>45475</stp>
        <stp/>
        <tr r="G8" s="1"/>
      </tp>
      <tp>
        <v>-0.84</v>
        <stp/>
        <stp>P</stp>
        <stp>0</stp>
        <stp>IDX</stp>
        <stp>001</stp>
        <stp>등락률</stp>
        <stp>45475</stp>
        <stp/>
        <tr r="G6" s="1"/>
      </tp>
      <tp>
        <v>-0.79</v>
        <stp/>
        <stp>P</stp>
        <stp>0</stp>
        <stp>IDX</stp>
        <stp>019</stp>
        <stp>등락률</stp>
        <stp>45475</stp>
        <stp/>
        <tr r="G22" s="1"/>
      </tp>
      <tp>
        <v>-2.3199999999999998</v>
        <stp/>
        <stp>P</stp>
        <stp>0</stp>
        <stp>IDX</stp>
        <stp>018</stp>
        <stp>등락률</stp>
        <stp>45475</stp>
        <stp/>
        <tr r="G21" s="1"/>
      </tp>
      <tp>
        <v>-3.99</v>
        <stp/>
        <stp>P</stp>
        <stp>0</stp>
        <stp>IDX</stp>
        <stp>017</stp>
        <stp>등락률</stp>
        <stp>45475</stp>
        <stp/>
        <tr r="G20" s="1"/>
      </tp>
      <tp>
        <v>-1.89</v>
        <stp/>
        <stp>P</stp>
        <stp>0</stp>
        <stp>IDX</stp>
        <stp>016</stp>
        <stp>등락률</stp>
        <stp>45475</stp>
        <stp/>
        <tr r="G19" s="1"/>
      </tp>
      <tp>
        <v>-3.59</v>
        <stp/>
        <stp>P</stp>
        <stp>0</stp>
        <stp>IDX</stp>
        <stp>015</stp>
        <stp>등락률</stp>
        <stp>45475</stp>
        <stp/>
        <tr r="G18" s="1"/>
      </tp>
      <tp>
        <v>-1.89</v>
        <stp/>
        <stp>P</stp>
        <stp>0</stp>
        <stp>IDX</stp>
        <stp>014</stp>
        <stp>등락률</stp>
        <stp>45475</stp>
        <stp/>
        <tr r="G17" s="1"/>
      </tp>
      <tp>
        <v>-0.63</v>
        <stp/>
        <stp>P</stp>
        <stp>0</stp>
        <stp>IDX</stp>
        <stp>013</stp>
        <stp>등락률</stp>
        <stp>45475</stp>
        <stp/>
        <tr r="G16" s="1"/>
      </tp>
      <tp>
        <v>-2.74</v>
        <stp/>
        <stp>P</stp>
        <stp>0</stp>
        <stp>IDX</stp>
        <stp>012</stp>
        <stp>등락률</stp>
        <stp>45475</stp>
        <stp/>
        <tr r="G15" s="1"/>
      </tp>
      <tp>
        <v>-1.01</v>
        <stp/>
        <stp>P</stp>
        <stp>0</stp>
        <stp>IDX</stp>
        <stp>011</stp>
        <stp>등락률</stp>
        <stp>45475</stp>
        <stp/>
        <tr r="G14" s="1"/>
      </tp>
      <tp>
        <v>-0.03</v>
        <stp/>
        <stp>P</stp>
        <stp>0</stp>
        <stp>IDX</stp>
        <stp>010</stp>
        <stp>등락률</stp>
        <stp>45475</stp>
        <stp/>
        <tr r="G13" s="1"/>
      </tp>
      <tp>
        <v>-0.98</v>
        <stp/>
        <stp>P</stp>
        <stp>0</stp>
        <stp>IDX</stp>
        <stp>027</stp>
        <stp>등락률</stp>
        <stp>45475</stp>
        <stp/>
        <tr r="G28" s="1"/>
      </tp>
      <tp>
        <v>-1.71</v>
        <stp/>
        <stp>P</stp>
        <stp>0</stp>
        <stp>IDX</stp>
        <stp>026</stp>
        <stp>등락률</stp>
        <stp>45475</stp>
        <stp/>
        <tr r="G27" s="1"/>
      </tp>
      <tp>
        <v>1.22</v>
        <stp/>
        <stp>P</stp>
        <stp>0</stp>
        <stp>IDX</stp>
        <stp>025</stp>
        <stp>등락률</stp>
        <stp>45475</stp>
        <stp/>
        <tr r="G26" s="1"/>
      </tp>
      <tp>
        <v>0.42</v>
        <stp/>
        <stp>P</stp>
        <stp>0</stp>
        <stp>IDX</stp>
        <stp>024</stp>
        <stp>등락률</stp>
        <stp>45475</stp>
        <stp/>
        <tr r="G25" s="1"/>
      </tp>
      <tp>
        <v>0.76</v>
        <stp/>
        <stp>P</stp>
        <stp>0</stp>
        <stp>IDX</stp>
        <stp>021</stp>
        <stp>등락률</stp>
        <stp>45475</stp>
        <stp/>
        <tr r="G24" s="1"/>
      </tp>
      <tp>
        <v>-0.62</v>
        <stp/>
        <stp>P</stp>
        <stp>0</stp>
        <stp>IDX</stp>
        <stp>020</stp>
        <stp>등락률</stp>
        <stp>45475</stp>
        <stp/>
        <tr r="G2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LR357"/>
  <sheetViews>
    <sheetView showGridLines="0" showRowColHeaders="0" tabSelected="1" topLeftCell="B1" zoomScaleNormal="100" workbookViewId="0">
      <pane xSplit="3" ySplit="5" topLeftCell="E6" activePane="bottomRight" state="frozen"/>
      <selection activeCell="B1" sqref="B1"/>
      <selection pane="topRight" activeCell="E1" sqref="E1"/>
      <selection pane="bottomLeft" activeCell="B6" sqref="B6"/>
      <selection pane="bottomRight" activeCell="B1" sqref="B1"/>
    </sheetView>
  </sheetViews>
  <sheetFormatPr defaultColWidth="0" defaultRowHeight="13.5" zeroHeight="1"/>
  <cols>
    <col min="1" max="1" width="8.140625" hidden="1" customWidth="1"/>
    <col min="2" max="2" width="2.7109375" customWidth="1"/>
    <col min="3" max="3" width="25" bestFit="1" customWidth="1"/>
    <col min="4" max="4" width="5.42578125" hidden="1" customWidth="1"/>
    <col min="5" max="13" width="10.28515625" customWidth="1"/>
    <col min="14" max="14" width="13.85546875" customWidth="1"/>
    <col min="15" max="15" width="13.85546875" style="1" customWidth="1"/>
    <col min="16" max="16" width="2.5703125" customWidth="1"/>
    <col min="17" max="17" width="9.140625" style="8" hidden="1" customWidth="1"/>
    <col min="18" max="18" width="11.28515625" hidden="1" customWidth="1"/>
    <col min="19" max="19" width="19" hidden="1" customWidth="1"/>
    <col min="20" max="20" width="9.140625" hidden="1" customWidth="1"/>
    <col min="21" max="21" width="11.7109375" hidden="1" customWidth="1"/>
    <col min="22" max="22" width="11.28515625" hidden="1" customWidth="1"/>
    <col min="23" max="24" width="9.140625" hidden="1" customWidth="1"/>
    <col min="25" max="25" width="9.7109375" hidden="1" customWidth="1"/>
    <col min="26" max="26" width="11.28515625" hidden="1" customWidth="1"/>
    <col min="27" max="27" width="16.85546875" hidden="1" customWidth="1"/>
    <col min="28" max="28" width="14.140625" hidden="1" customWidth="1"/>
    <col min="29" max="29" width="13.28515625" hidden="1" customWidth="1"/>
    <col min="30" max="30" width="11.28515625" hidden="1" customWidth="1"/>
    <col min="31" max="31" width="15.28515625" hidden="1" customWidth="1"/>
    <col min="32" max="33" width="14.140625" hidden="1" customWidth="1"/>
    <col min="34" max="36" width="11.28515625" hidden="1" customWidth="1"/>
    <col min="37" max="37" width="9.7109375" hidden="1" customWidth="1"/>
    <col min="38" max="39" width="11.28515625" hidden="1" customWidth="1"/>
    <col min="40" max="42" width="9.140625" hidden="1" customWidth="1"/>
    <col min="43" max="43" width="11.28515625" hidden="1" customWidth="1"/>
    <col min="44" max="44" width="15.7109375" hidden="1" customWidth="1"/>
    <col min="45" max="45" width="14.140625" hidden="1" customWidth="1"/>
    <col min="46" max="46" width="13.28515625" hidden="1" customWidth="1"/>
    <col min="47" max="47" width="11.28515625" hidden="1" customWidth="1"/>
    <col min="48" max="48" width="13.28515625" hidden="1" customWidth="1"/>
    <col min="49" max="67" width="14.140625" hidden="1" customWidth="1"/>
    <col min="68" max="68" width="13.85546875" hidden="1" customWidth="1"/>
    <col min="69" max="69" width="15.28515625" hidden="1" customWidth="1"/>
    <col min="70" max="173" width="9.140625" hidden="1" customWidth="1"/>
    <col min="174" max="174" width="9.140625" style="64" hidden="1" customWidth="1"/>
    <col min="175" max="175" width="11.28515625" hidden="1" customWidth="1"/>
    <col min="176" max="176" width="15.28515625" hidden="1" customWidth="1"/>
    <col min="177" max="177" width="9.140625" hidden="1" customWidth="1"/>
    <col min="178" max="178" width="15.28515625" hidden="1" customWidth="1"/>
    <col min="179" max="179" width="9.140625" hidden="1" customWidth="1"/>
    <col min="180" max="181" width="11.28515625" hidden="1" customWidth="1"/>
    <col min="182" max="183" width="9.140625" hidden="1" customWidth="1"/>
    <col min="184" max="184" width="11.28515625" hidden="1" customWidth="1"/>
    <col min="185" max="187" width="9.140625" hidden="1" customWidth="1"/>
    <col min="188" max="188" width="11.28515625" hidden="1" customWidth="1"/>
    <col min="189" max="189" width="16.85546875" hidden="1" customWidth="1"/>
    <col min="190" max="191" width="13.28515625" hidden="1" customWidth="1"/>
    <col min="192" max="192" width="11.28515625" hidden="1" customWidth="1"/>
    <col min="193" max="193" width="14.140625" hidden="1" customWidth="1"/>
    <col min="194" max="194" width="13.28515625" hidden="1" customWidth="1"/>
    <col min="195" max="195" width="14.140625" hidden="1" customWidth="1"/>
    <col min="196" max="196" width="9.140625" hidden="1" customWidth="1"/>
    <col min="197" max="198" width="11.28515625" hidden="1" customWidth="1"/>
    <col min="199" max="199" width="9.140625" hidden="1" customWidth="1"/>
    <col min="200" max="200" width="9.42578125" hidden="1" customWidth="1"/>
    <col min="201" max="201" width="11.28515625" hidden="1" customWidth="1"/>
    <col min="202" max="204" width="9.140625" hidden="1" customWidth="1"/>
    <col min="205" max="205" width="11.28515625" hidden="1" customWidth="1"/>
    <col min="206" max="206" width="16.85546875" hidden="1" customWidth="1"/>
    <col min="207" max="208" width="13.28515625" hidden="1" customWidth="1"/>
    <col min="209" max="209" width="11.28515625" hidden="1" customWidth="1"/>
    <col min="210" max="210" width="13.28515625" hidden="1" customWidth="1"/>
    <col min="211" max="211" width="14.140625" hidden="1" customWidth="1"/>
    <col min="212" max="212" width="13" hidden="1" customWidth="1"/>
    <col min="213" max="213" width="9.140625" hidden="1" customWidth="1"/>
    <col min="214" max="215" width="11.28515625" hidden="1" customWidth="1"/>
    <col min="216" max="216" width="9.7109375" hidden="1" customWidth="1"/>
    <col min="217" max="217" width="9.42578125" hidden="1" customWidth="1"/>
    <col min="218" max="218" width="11.28515625" hidden="1" customWidth="1"/>
    <col min="219" max="221" width="9.140625" hidden="1" customWidth="1"/>
    <col min="222" max="222" width="11.28515625" hidden="1" customWidth="1"/>
    <col min="223" max="223" width="15.7109375" hidden="1" customWidth="1"/>
    <col min="224" max="224" width="14.140625" hidden="1" customWidth="1"/>
    <col min="225" max="225" width="13.28515625" hidden="1" customWidth="1"/>
    <col min="226" max="226" width="11.28515625" hidden="1" customWidth="1"/>
    <col min="227" max="227" width="13.28515625" hidden="1" customWidth="1"/>
    <col min="228" max="228" width="14.140625" hidden="1" customWidth="1"/>
    <col min="229" max="229" width="13.85546875" hidden="1" customWidth="1"/>
    <col min="230" max="230" width="9.140625" hidden="1" customWidth="1"/>
    <col min="231" max="231" width="11.28515625" hidden="1" customWidth="1"/>
    <col min="232" max="234" width="9.140625" hidden="1" customWidth="1"/>
    <col min="235" max="235" width="11.28515625" hidden="1" customWidth="1"/>
    <col min="236" max="238" width="9.140625" hidden="1" customWidth="1"/>
    <col min="239" max="239" width="11.28515625" hidden="1" customWidth="1"/>
    <col min="240" max="242" width="9.140625" hidden="1" customWidth="1"/>
    <col min="243" max="243" width="11.28515625" hidden="1" customWidth="1"/>
    <col min="244" max="246" width="9.140625" hidden="1" customWidth="1"/>
    <col min="247" max="247" width="11.28515625" hidden="1" customWidth="1"/>
    <col min="248" max="250" width="9.140625" hidden="1" customWidth="1"/>
    <col min="251" max="251" width="11.28515625" hidden="1" customWidth="1"/>
    <col min="252" max="254" width="9.140625" hidden="1" customWidth="1"/>
    <col min="255" max="255" width="11.28515625" hidden="1" customWidth="1"/>
    <col min="256" max="258" width="9.140625" hidden="1" customWidth="1"/>
    <col min="259" max="259" width="11.28515625" hidden="1" customWidth="1"/>
    <col min="260" max="262" width="9.140625" hidden="1" customWidth="1"/>
    <col min="263" max="263" width="11.28515625" hidden="1" customWidth="1"/>
    <col min="264" max="266" width="9.140625" hidden="1" customWidth="1"/>
    <col min="267" max="267" width="11.28515625" hidden="1" customWidth="1"/>
    <col min="268" max="270" width="9.140625" hidden="1" customWidth="1"/>
    <col min="271" max="271" width="11.28515625" hidden="1" customWidth="1"/>
    <col min="272" max="310" width="9.140625" hidden="1" customWidth="1"/>
    <col min="311" max="311" width="10.140625" hidden="1" customWidth="1"/>
    <col min="312" max="314" width="9.140625" hidden="1" customWidth="1"/>
    <col min="315" max="315" width="10.140625" hidden="1" customWidth="1"/>
    <col min="316" max="16384" width="9.140625" hidden="1"/>
  </cols>
  <sheetData>
    <row r="1" spans="2:21"/>
    <row r="2" spans="2:21">
      <c r="C2" s="23" t="s">
        <v>123</v>
      </c>
      <c r="D2" s="22"/>
      <c r="E2" s="33" t="s">
        <v>195</v>
      </c>
    </row>
    <row r="3" spans="2:21">
      <c r="C3" s="23" t="s">
        <v>124</v>
      </c>
      <c r="D3" s="22"/>
      <c r="E3" s="34">
        <f ca="1">WORKDAY(TODAY(),-1)</f>
        <v>45475</v>
      </c>
      <c r="F3" s="3"/>
      <c r="R3" t="s">
        <v>195</v>
      </c>
    </row>
    <row r="4" spans="2:21">
      <c r="R4" t="s">
        <v>196</v>
      </c>
    </row>
    <row r="5" spans="2:21" ht="17.25" customHeight="1">
      <c r="B5" s="2"/>
      <c r="C5" s="13" t="s">
        <v>126</v>
      </c>
      <c r="D5" s="13" t="s">
        <v>1</v>
      </c>
      <c r="E5" s="13" t="s">
        <v>2</v>
      </c>
      <c r="F5" s="13" t="s">
        <v>3</v>
      </c>
      <c r="G5" s="13" t="s">
        <v>127</v>
      </c>
      <c r="H5" s="13" t="s">
        <v>128</v>
      </c>
      <c r="I5" s="13" t="s">
        <v>129</v>
      </c>
      <c r="J5" s="13" t="s">
        <v>130</v>
      </c>
      <c r="K5" s="13" t="s">
        <v>131</v>
      </c>
      <c r="L5" s="13" t="s">
        <v>132</v>
      </c>
      <c r="M5" s="14" t="s">
        <v>142</v>
      </c>
      <c r="N5" s="65" t="s">
        <v>133</v>
      </c>
      <c r="O5" s="65"/>
      <c r="P5" s="1"/>
      <c r="R5" t="s">
        <v>1</v>
      </c>
      <c r="S5" t="s">
        <v>0</v>
      </c>
      <c r="T5" t="s">
        <v>1</v>
      </c>
      <c r="U5" t="s">
        <v>0</v>
      </c>
    </row>
    <row r="6" spans="2:21">
      <c r="C6" s="24" t="str">
        <f t="shared" ref="C6:C44" si="0">IFERROR( IF( $E$2="코스피", VLOOKUP($D6,$R:$S, 2, 0), VLOOKUP($D6,$T:$U, 2, 0) ), "")</f>
        <v>KOSPI</v>
      </c>
      <c r="D6" s="4" t="str">
        <f t="shared" ref="D6:D44" si="1">IF($E$2="코스피",$R6,$T6)</f>
        <v>001</v>
      </c>
      <c r="E6" s="35">
        <f ca="1">IF($D6=0,"-",_xll.IMDP("IDX",$D6,"현재가",$E$3))</f>
        <v>2780.86</v>
      </c>
      <c r="F6" s="35">
        <f ca="1">IF($D6=0,"-",_xll.IMDP("IDX",$D6,"전일대비",$E$3))</f>
        <v>-23.45</v>
      </c>
      <c r="G6" s="39">
        <f ca="1">IF($D6=0,"-",_xll.IMDP("IDX",$D6,"등락률",$E$3))</f>
        <v>-0.84</v>
      </c>
      <c r="H6" s="39">
        <f ca="1">IF($D6=0,"-",($E6-(_xll.IMDP("IDX",$D6,"현재가",$E$3-7,"fill=true")))/_xll.IMDP("IDX",$D6,"현재가",$E$3-7,"fill=true")*100)</f>
        <v>0.23320441610589193</v>
      </c>
      <c r="I6" s="39">
        <f ca="1">IF($D6=0,"-",($E6-(_xll.IMDP("IDX",$D6,"현재가",EDATE($E$3,-1),"fill=true")))/_xll.IMDP("IDX",$D6,"현재가",EDATE($E$3,-1),"fill=true")*100)</f>
        <v>5.4746408144068752</v>
      </c>
      <c r="J6" s="39">
        <f ca="1">IF($D6=0,"-",($E6-(_xll.IMDP("IDX",$D6,"현재가",EDATE($E$3,-3),"fill=true")))/_xll.IMDP("IDX",$D6,"현재가",EDATE($E$3,-3),"fill=true")*100)</f>
        <v>1.0061166078252</v>
      </c>
      <c r="K6" s="39">
        <f ca="1">IF($D6=0,"-",($E6-(_xll.IMDP("IDX",$D6,"현재가",EDATE($E$3,-6),"fill=true")))/_xll.IMDP("IDX",$D6,"현재가",EDATE($E$3,-6),"fill=true")*100)</f>
        <v>4.1594720223536576</v>
      </c>
      <c r="L6" s="39">
        <f ca="1">IF($D6=0,"-",($E6-(_xll.IMDP("IDX",$D6,"현재가",EDATE($E$3,-12),"fill=true")))/_xll.IMDP("IDX",$D6,"현재가",EDATE($E$3,-12),"fill=true")*100)</f>
        <v>8.4460355343410196</v>
      </c>
      <c r="M6" s="5">
        <f ca="1">IF($D6=0,"-",_xll.IMDP("IDX",$D6,"외국인보유비중(시총)",$E$3))</f>
        <v>35.64</v>
      </c>
      <c r="N6" s="12" t="str">
        <f ca="1">IF($D6=0,"",IF(J6&lt;0,REPT("|",ABS(J6)/MAX(MAX(J$6:J$44), ABS(MIN(J$6:J$44)))*12),""))</f>
        <v/>
      </c>
      <c r="O6" s="25" t="str">
        <f t="shared" ref="O6:O42" ca="1" si="2">IF($D6=0,"",IF(J6&gt;0,REPT("|",ABS(J6)/MAX(MAX(J$6:J$44), ABS(MIN(J$6:J$44)))*12),""))</f>
        <v/>
      </c>
      <c r="P6" s="7"/>
      <c r="R6" t="s">
        <v>5</v>
      </c>
      <c r="S6" t="s">
        <v>4</v>
      </c>
      <c r="T6" t="s">
        <v>62</v>
      </c>
      <c r="U6" t="s">
        <v>61</v>
      </c>
    </row>
    <row r="7" spans="2:21">
      <c r="C7" s="15" t="str">
        <f t="shared" si="0"/>
        <v>KOSPI200</v>
      </c>
      <c r="D7" s="6" t="str">
        <f t="shared" si="1"/>
        <v>211</v>
      </c>
      <c r="E7" s="36">
        <f ca="1">IF($D7=0,"-",_xll.IMDP("IDX",$D7,"현재가",$E$3))</f>
        <v>381.2</v>
      </c>
      <c r="F7" s="36">
        <f ca="1">IF($D7=0,"-",_xll.IMDP("IDX",$D7,"전일대비",$E$3))</f>
        <v>-3.14</v>
      </c>
      <c r="G7" s="40">
        <f ca="1">IF($D7=0,"-",_xll.IMDP("IDX",$D7,"등락률",$E$3))</f>
        <v>-0.82</v>
      </c>
      <c r="H7" s="39">
        <f ca="1">IF($D7=0,"-",($E7-(_xll.IMDP("IDX",$D7,"현재가",$E$3-7,"fill=true")))/_xll.IMDP("IDX",$D7,"현재가",$E$3-7,"fill=true")*100)</f>
        <v>0.35540344872975277</v>
      </c>
      <c r="I7" s="40">
        <f ca="1">IF($D7=0,"-",($E7-(_xll.IMDP("IDX",$D7,"현재가",EDATE($E$3,-1),"fill=true")))/_xll.IMDP("IDX",$D7,"현재가",EDATE($E$3,-1),"fill=true")*100)</f>
        <v>6.418022947433073</v>
      </c>
      <c r="J7" s="40">
        <f ca="1">IF($D7=0,"-",($E7-(_xll.IMDP("IDX",$D7,"현재가",EDATE($E$3,-3),"fill=true")))/_xll.IMDP("IDX",$D7,"현재가",EDATE($E$3,-3),"fill=true")*100)</f>
        <v>1.2913854493277395</v>
      </c>
      <c r="K7" s="40">
        <f ca="1">IF($D7=0,"-",($E7-(_xll.IMDP("IDX",$D7,"현재가",EDATE($E$3,-6),"fill=true")))/_xll.IMDP("IDX",$D7,"현재가",EDATE($E$3,-6),"fill=true")*100)</f>
        <v>5.7273609762862225</v>
      </c>
      <c r="L7" s="40">
        <f ca="1">IF($D7=0,"-",($E7-(_xll.IMDP("IDX",$D7,"현재가",EDATE($E$3,-12),"fill=true")))/_xll.IMDP("IDX",$D7,"현재가",EDATE($E$3,-12),"fill=true")*100)</f>
        <v>12.797751146619325</v>
      </c>
      <c r="M7" s="5">
        <f ca="1">IF($D7=0,"-",_xll.IMDP("IDX",$D7,"외국인보유비중(시총)",$E$3))</f>
        <v>37.159999999999997</v>
      </c>
      <c r="N7" s="11" t="str">
        <f t="shared" ref="N7:N44" ca="1" si="3">IF($D7=0,"",IF(J7&lt;0,REPT("|",ABS(J7)/MAX(MAX(J$6:J$44), ABS(MIN(J$6:J$44)))*12),""))</f>
        <v/>
      </c>
      <c r="O7" s="16" t="str">
        <f t="shared" ca="1" si="2"/>
        <v/>
      </c>
      <c r="P7" s="7"/>
      <c r="R7" t="s">
        <v>7</v>
      </c>
      <c r="S7" t="s">
        <v>6</v>
      </c>
      <c r="T7" t="s">
        <v>64</v>
      </c>
      <c r="U7" t="s">
        <v>63</v>
      </c>
    </row>
    <row r="8" spans="2:21">
      <c r="C8" s="15" t="str">
        <f t="shared" si="0"/>
        <v>음식료품</v>
      </c>
      <c r="D8" s="6" t="str">
        <f t="shared" si="1"/>
        <v>005</v>
      </c>
      <c r="E8" s="36">
        <f ca="1">IF($D8=0,"-",_xll.IMDP("IDX",$D8,"현재가",$E$3))</f>
        <v>4405.28</v>
      </c>
      <c r="F8" s="36">
        <f ca="1">IF($D8=0,"-",_xll.IMDP("IDX",$D8,"전일대비",$E$3))</f>
        <v>-31.03</v>
      </c>
      <c r="G8" s="40">
        <f ca="1">IF($D8=0,"-",_xll.IMDP("IDX",$D8,"등락률",$E$3))</f>
        <v>-0.7</v>
      </c>
      <c r="H8" s="39">
        <f ca="1">IF($D8=0,"-",($E8-(_xll.IMDP("IDX",$D8,"현재가",$E$3-7,"fill=true")))/_xll.IMDP("IDX",$D8,"현재가",$E$3-7,"fill=true")*100)</f>
        <v>-4.1818015721451083</v>
      </c>
      <c r="I8" s="40">
        <f ca="1">IF($D8=0,"-",($E8-(_xll.IMDP("IDX",$D8,"현재가",EDATE($E$3,-1),"fill=true")))/_xll.IMDP("IDX",$D8,"현재가",EDATE($E$3,-1),"fill=true")*100)</f>
        <v>6.4511841790489193</v>
      </c>
      <c r="J8" s="40">
        <f ca="1">IF($D8=0,"-",($E8-(_xll.IMDP("IDX",$D8,"현재가",EDATE($E$3,-3),"fill=true")))/_xll.IMDP("IDX",$D8,"현재가",EDATE($E$3,-3),"fill=true")*100)</f>
        <v>27.283444091303082</v>
      </c>
      <c r="K8" s="40">
        <f ca="1">IF($D8=0,"-",($E8-(_xll.IMDP("IDX",$D8,"현재가",EDATE($E$3,-6),"fill=true")))/_xll.IMDP("IDX",$D8,"현재가",EDATE($E$3,-6),"fill=true")*100)</f>
        <v>18.2663602585855</v>
      </c>
      <c r="L8" s="41">
        <f ca="1">IF($D8=0,"-",($E8-(_xll.IMDP("IDX",$D8,"현재가",EDATE($E$3,-12),"fill=true")))/_xll.IMDP("IDX",$D8,"현재가",EDATE($E$3,-12),"fill=true")*100)</f>
        <v>29.73686148046707</v>
      </c>
      <c r="M8" s="5">
        <f ca="1">IF($D8=0,"-",_xll.IMDP("IDX",$D8,"외국인보유비중(시총)",$E$3))</f>
        <v>16.46</v>
      </c>
      <c r="N8" s="11" t="str">
        <f t="shared" ca="1" si="3"/>
        <v/>
      </c>
      <c r="O8" s="16" t="str">
        <f t="shared" ca="1" si="2"/>
        <v>||||||||||||</v>
      </c>
      <c r="P8" s="7"/>
      <c r="R8" t="s">
        <v>9</v>
      </c>
      <c r="S8" t="s">
        <v>8</v>
      </c>
      <c r="T8" t="s">
        <v>66</v>
      </c>
      <c r="U8" t="s">
        <v>65</v>
      </c>
    </row>
    <row r="9" spans="2:21">
      <c r="C9" s="15" t="str">
        <f t="shared" si="0"/>
        <v>섬유.의복</v>
      </c>
      <c r="D9" s="6" t="str">
        <f t="shared" si="1"/>
        <v>006</v>
      </c>
      <c r="E9" s="36">
        <f ca="1">IF($D9=0,"-",_xll.IMDP("IDX",$D9,"현재가",$E$3))</f>
        <v>235.62</v>
      </c>
      <c r="F9" s="36">
        <f ca="1">IF($D9=0,"-",_xll.IMDP("IDX",$D9,"전일대비",$E$3))</f>
        <v>-2.0299999999999998</v>
      </c>
      <c r="G9" s="40">
        <f ca="1">IF($D9=0,"-",_xll.IMDP("IDX",$D9,"등락률",$E$3))</f>
        <v>-0.85</v>
      </c>
      <c r="H9" s="39">
        <f ca="1">IF($D9=0,"-",($E9-(_xll.IMDP("IDX",$D9,"현재가",$E$3-7,"fill=true")))/_xll.IMDP("IDX",$D9,"현재가",$E$3-7,"fill=true")*100)</f>
        <v>-1.3605726964457654</v>
      </c>
      <c r="I9" s="40">
        <f ca="1">IF($D9=0,"-",($E9-(_xll.IMDP("IDX",$D9,"현재가",EDATE($E$3,-1),"fill=true")))/_xll.IMDP("IDX",$D9,"현재가",EDATE($E$3,-1),"fill=true")*100)</f>
        <v>-7.5238431649593736</v>
      </c>
      <c r="J9" s="40">
        <f ca="1">IF($D9=0,"-",($E9-(_xll.IMDP("IDX",$D9,"현재가",EDATE($E$3,-3),"fill=true")))/_xll.IMDP("IDX",$D9,"현재가",EDATE($E$3,-3),"fill=true")*100)</f>
        <v>-12.386122782880305</v>
      </c>
      <c r="K9" s="40">
        <f ca="1">IF($D9=0,"-",($E9-(_xll.IMDP("IDX",$D9,"현재가",EDATE($E$3,-6),"fill=true")))/_xll.IMDP("IDX",$D9,"현재가",EDATE($E$3,-6),"fill=true")*100)</f>
        <v>-18.142023346303493</v>
      </c>
      <c r="L9" s="40">
        <f ca="1">IF($D9=0,"-",($E9-(_xll.IMDP("IDX",$D9,"현재가",EDATE($E$3,-12),"fill=true")))/_xll.IMDP("IDX",$D9,"현재가",EDATE($E$3,-12),"fill=true")*100)</f>
        <v>-36.082250495076366</v>
      </c>
      <c r="M9" s="5">
        <f ca="1">IF($D9=0,"-",_xll.IMDP("IDX",$D9,"외국인보유비중(시총)",$E$3))</f>
        <v>10.33</v>
      </c>
      <c r="N9" s="11" t="str">
        <f t="shared" ca="1" si="3"/>
        <v>|||||</v>
      </c>
      <c r="O9" s="16" t="str">
        <f t="shared" ca="1" si="2"/>
        <v/>
      </c>
      <c r="P9" s="7"/>
      <c r="R9" t="s">
        <v>11</v>
      </c>
      <c r="S9" t="s">
        <v>10</v>
      </c>
      <c r="T9" t="s">
        <v>68</v>
      </c>
      <c r="U9" t="s">
        <v>67</v>
      </c>
    </row>
    <row r="10" spans="2:21">
      <c r="C10" s="15" t="str">
        <f t="shared" si="0"/>
        <v>종이.목재</v>
      </c>
      <c r="D10" s="6" t="str">
        <f t="shared" si="1"/>
        <v>007</v>
      </c>
      <c r="E10" s="36">
        <f ca="1">IF($D10=0,"-",_xll.IMDP("IDX",$D10,"현재가",$E$3))</f>
        <v>283.89</v>
      </c>
      <c r="F10" s="36">
        <f ca="1">IF($D10=0,"-",_xll.IMDP("IDX",$D10,"전일대비",$E$3))</f>
        <v>-3.13</v>
      </c>
      <c r="G10" s="40">
        <f ca="1">IF($D10=0,"-",_xll.IMDP("IDX",$D10,"등락률",$E$3))</f>
        <v>-1.0900000000000001</v>
      </c>
      <c r="H10" s="39">
        <f ca="1">IF($D10=0,"-",($E10-(_xll.IMDP("IDX",$D10,"현재가",$E$3-7,"fill=true")))/_xll.IMDP("IDX",$D10,"현재가",$E$3-7,"fill=true")*100)</f>
        <v>-2.0798841059602746</v>
      </c>
      <c r="I10" s="40">
        <f ca="1">IF($D10=0,"-",($E10-(_xll.IMDP("IDX",$D10,"현재가",EDATE($E$3,-1),"fill=true")))/_xll.IMDP("IDX",$D10,"현재가",EDATE($E$3,-1),"fill=true")*100)</f>
        <v>-1.92088443599931</v>
      </c>
      <c r="J10" s="40">
        <f ca="1">IF($D10=0,"-",($E10-(_xll.IMDP("IDX",$D10,"현재가",EDATE($E$3,-3),"fill=true")))/_xll.IMDP("IDX",$D10,"현재가",EDATE($E$3,-3),"fill=true")*100)</f>
        <v>-4.8243261365160208</v>
      </c>
      <c r="K10" s="40">
        <f ca="1">IF($D10=0,"-",($E10-(_xll.IMDP("IDX",$D10,"현재가",EDATE($E$3,-6),"fill=true")))/_xll.IMDP("IDX",$D10,"현재가",EDATE($E$3,-6),"fill=true")*100)</f>
        <v>-3.7497880996779123</v>
      </c>
      <c r="L10" s="40">
        <f ca="1">IF($D10=0,"-",($E10-(_xll.IMDP("IDX",$D10,"현재가",EDATE($E$3,-12),"fill=true")))/_xll.IMDP("IDX",$D10,"현재가",EDATE($E$3,-12),"fill=true")*100)</f>
        <v>-31.086296880689407</v>
      </c>
      <c r="M10" s="5">
        <f ca="1">IF($D10=0,"-",_xll.IMDP("IDX",$D10,"외국인보유비중(시총)",$E$3))</f>
        <v>2.9</v>
      </c>
      <c r="N10" s="11" t="str">
        <f t="shared" ca="1" si="3"/>
        <v>||</v>
      </c>
      <c r="O10" s="16" t="str">
        <f t="shared" ca="1" si="2"/>
        <v/>
      </c>
      <c r="P10" s="7"/>
      <c r="R10" t="s">
        <v>13</v>
      </c>
      <c r="S10" t="s">
        <v>12</v>
      </c>
      <c r="T10" t="s">
        <v>70</v>
      </c>
      <c r="U10" t="s">
        <v>69</v>
      </c>
    </row>
    <row r="11" spans="2:21">
      <c r="C11" s="15" t="str">
        <f t="shared" si="0"/>
        <v>화학</v>
      </c>
      <c r="D11" s="6" t="str">
        <f t="shared" si="1"/>
        <v>008</v>
      </c>
      <c r="E11" s="36">
        <f ca="1">IF($D11=0,"-",_xll.IMDP("IDX",$D11,"현재가",$E$3))</f>
        <v>4407.22</v>
      </c>
      <c r="F11" s="36">
        <f ca="1">IF($D11=0,"-",_xll.IMDP("IDX",$D11,"전일대비",$E$3))</f>
        <v>-85.02</v>
      </c>
      <c r="G11" s="40">
        <f ca="1">IF($D11=0,"-",_xll.IMDP("IDX",$D11,"등락률",$E$3))</f>
        <v>-1.89</v>
      </c>
      <c r="H11" s="39">
        <f ca="1">IF($D11=0,"-",($E11-(_xll.IMDP("IDX",$D11,"현재가",$E$3-7,"fill=true")))/_xll.IMDP("IDX",$D11,"현재가",$E$3-7,"fill=true")*100)</f>
        <v>-1.9630872856453274</v>
      </c>
      <c r="I11" s="40">
        <f ca="1">IF($D11=0,"-",($E11-(_xll.IMDP("IDX",$D11,"현재가",EDATE($E$3,-1),"fill=true")))/_xll.IMDP("IDX",$D11,"현재가",EDATE($E$3,-1),"fill=true")*100)</f>
        <v>-2.9541681162994475</v>
      </c>
      <c r="J11" s="40">
        <f ca="1">IF($D11=0,"-",($E11-(_xll.IMDP("IDX",$D11,"현재가",EDATE($E$3,-3),"fill=true")))/_xll.IMDP("IDX",$D11,"현재가",EDATE($E$3,-3),"fill=true")*100)</f>
        <v>-4.6514445439637235</v>
      </c>
      <c r="K11" s="40">
        <f ca="1">IF($D11=0,"-",($E11-(_xll.IMDP("IDX",$D11,"현재가",EDATE($E$3,-6),"fill=true")))/_xll.IMDP("IDX",$D11,"현재가",EDATE($E$3,-6),"fill=true")*100)</f>
        <v>-8.6622495694469936</v>
      </c>
      <c r="L11" s="40">
        <f ca="1">IF($D11=0,"-",($E11-(_xll.IMDP("IDX",$D11,"현재가",EDATE($E$3,-12),"fill=true")))/_xll.IMDP("IDX",$D11,"현재가",EDATE($E$3,-12),"fill=true")*100)</f>
        <v>-17.016353006524248</v>
      </c>
      <c r="M11" s="5">
        <f ca="1">IF($D11=0,"-",_xll.IMDP("IDX",$D11,"외국인보유비중(시총)",$E$3))</f>
        <v>25.48</v>
      </c>
      <c r="N11" s="11" t="str">
        <f t="shared" ca="1" si="3"/>
        <v>||</v>
      </c>
      <c r="O11" s="16" t="str">
        <f t="shared" ca="1" si="2"/>
        <v/>
      </c>
      <c r="P11" s="7"/>
      <c r="R11" t="s">
        <v>15</v>
      </c>
      <c r="S11" t="s">
        <v>14</v>
      </c>
      <c r="T11" t="s">
        <v>150</v>
      </c>
      <c r="U11" t="s">
        <v>160</v>
      </c>
    </row>
    <row r="12" spans="2:21">
      <c r="C12" s="15" t="str">
        <f t="shared" si="0"/>
        <v>의약품</v>
      </c>
      <c r="D12" s="6" t="str">
        <f t="shared" si="1"/>
        <v>009</v>
      </c>
      <c r="E12" s="36">
        <f ca="1">IF($D12=0,"-",_xll.IMDP("IDX",$D12,"현재가",$E$3))</f>
        <v>13639.21</v>
      </c>
      <c r="F12" s="36">
        <f ca="1">IF($D12=0,"-",_xll.IMDP("IDX",$D12,"전일대비",$E$3))</f>
        <v>322.44</v>
      </c>
      <c r="G12" s="40">
        <f ca="1">IF($D12=0,"-",_xll.IMDP("IDX",$D12,"등락률",$E$3))</f>
        <v>2.42</v>
      </c>
      <c r="H12" s="39">
        <f ca="1">IF($D12=0,"-",($E12-(_xll.IMDP("IDX",$D12,"현재가",$E$3-7,"fill=true")))/_xll.IMDP("IDX",$D12,"현재가",$E$3-7,"fill=true")*100)</f>
        <v>5.5905049748085416</v>
      </c>
      <c r="I12" s="40">
        <f ca="1">IF($D12=0,"-",($E12-(_xll.IMDP("IDX",$D12,"현재가",EDATE($E$3,-1),"fill=true")))/_xll.IMDP("IDX",$D12,"현재가",EDATE($E$3,-1),"fill=true")*100)</f>
        <v>6.6795930610447547</v>
      </c>
      <c r="J12" s="40">
        <f ca="1">IF($D12=0,"-",($E12-(_xll.IMDP("IDX",$D12,"현재가",EDATE($E$3,-3),"fill=true")))/_xll.IMDP("IDX",$D12,"현재가",EDATE($E$3,-3),"fill=true")*100)</f>
        <v>-2.394060291618219</v>
      </c>
      <c r="K12" s="40">
        <f ca="1">IF($D12=0,"-",($E12-(_xll.IMDP("IDX",$D12,"현재가",EDATE($E$3,-6),"fill=true")))/_xll.IMDP("IDX",$D12,"현재가",EDATE($E$3,-6),"fill=true")*100)</f>
        <v>-9.6244293220777077</v>
      </c>
      <c r="L12" s="40">
        <f ca="1">IF($D12=0,"-",($E12-(_xll.IMDP("IDX",$D12,"현재가",EDATE($E$3,-12),"fill=true")))/_xll.IMDP("IDX",$D12,"현재가",EDATE($E$3,-12),"fill=true")*100)</f>
        <v>7.5469362329582541</v>
      </c>
      <c r="M12" s="5">
        <f ca="1">IF($D12=0,"-",_xll.IMDP("IDX",$D12,"외국인보유비중(시총)",$E$3))</f>
        <v>15.4</v>
      </c>
      <c r="N12" s="11" t="str">
        <f t="shared" ca="1" si="3"/>
        <v>|</v>
      </c>
      <c r="O12" s="16" t="str">
        <f t="shared" ca="1" si="2"/>
        <v/>
      </c>
      <c r="P12" s="7"/>
      <c r="R12" t="s">
        <v>17</v>
      </c>
      <c r="S12" t="s">
        <v>16</v>
      </c>
      <c r="T12" t="s">
        <v>72</v>
      </c>
      <c r="U12" t="s">
        <v>71</v>
      </c>
    </row>
    <row r="13" spans="2:21">
      <c r="C13" s="15" t="str">
        <f t="shared" si="0"/>
        <v>비금속광물</v>
      </c>
      <c r="D13" s="6" t="str">
        <f t="shared" si="1"/>
        <v>010</v>
      </c>
      <c r="E13" s="36">
        <f ca="1">IF($D13=0,"-",_xll.IMDP("IDX",$D13,"현재가",$E$3))</f>
        <v>4075.46</v>
      </c>
      <c r="F13" s="36">
        <f ca="1">IF($D13=0,"-",_xll.IMDP("IDX",$D13,"전일대비",$E$3))</f>
        <v>-1.21</v>
      </c>
      <c r="G13" s="40">
        <f ca="1">IF($D13=0,"-",_xll.IMDP("IDX",$D13,"등락률",$E$3))</f>
        <v>-0.03</v>
      </c>
      <c r="H13" s="39">
        <f ca="1">IF($D13=0,"-",($E13-(_xll.IMDP("IDX",$D13,"현재가",$E$3-7,"fill=true")))/_xll.IMDP("IDX",$D13,"현재가",$E$3-7,"fill=true")*100)</f>
        <v>-0.93896827731041643</v>
      </c>
      <c r="I13" s="40">
        <f ca="1">IF($D13=0,"-",($E13-(_xll.IMDP("IDX",$D13,"현재가",EDATE($E$3,-1),"fill=true")))/_xll.IMDP("IDX",$D13,"현재가",EDATE($E$3,-1),"fill=true")*100)</f>
        <v>-0.37182173091449655</v>
      </c>
      <c r="J13" s="40">
        <f ca="1">IF($D13=0,"-",($E13-(_xll.IMDP("IDX",$D13,"현재가",EDATE($E$3,-3),"fill=true")))/_xll.IMDP("IDX",$D13,"현재가",EDATE($E$3,-3),"fill=true")*100)</f>
        <v>8.0055007121463059E-2</v>
      </c>
      <c r="K13" s="40">
        <f ca="1">IF($D13=0,"-",($E13-(_xll.IMDP("IDX",$D13,"현재가",EDATE($E$3,-6),"fill=true")))/_xll.IMDP("IDX",$D13,"현재가",EDATE($E$3,-6),"fill=true")*100)</f>
        <v>6.2992475123567138</v>
      </c>
      <c r="L13" s="40">
        <f ca="1">IF($D13=0,"-",($E13-(_xll.IMDP("IDX",$D13,"현재가",EDATE($E$3,-12),"fill=true")))/_xll.IMDP("IDX",$D13,"현재가",EDATE($E$3,-12),"fill=true")*100)</f>
        <v>-4.3166667484211392E-2</v>
      </c>
      <c r="M13" s="5">
        <f ca="1">IF($D13=0,"-",_xll.IMDP("IDX",$D13,"외국인보유비중(시총)",$E$3))</f>
        <v>3.13</v>
      </c>
      <c r="N13" s="11" t="str">
        <f t="shared" ca="1" si="3"/>
        <v/>
      </c>
      <c r="O13" s="16" t="str">
        <f t="shared" ca="1" si="2"/>
        <v/>
      </c>
      <c r="P13" s="7"/>
      <c r="R13" t="s">
        <v>19</v>
      </c>
      <c r="S13" t="s">
        <v>18</v>
      </c>
      <c r="T13" t="s">
        <v>74</v>
      </c>
      <c r="U13" t="s">
        <v>73</v>
      </c>
    </row>
    <row r="14" spans="2:21">
      <c r="C14" s="15" t="str">
        <f t="shared" si="0"/>
        <v>철강.금속</v>
      </c>
      <c r="D14" s="6" t="str">
        <f t="shared" si="1"/>
        <v>011</v>
      </c>
      <c r="E14" s="36">
        <f ca="1">IF($D14=0,"-",_xll.IMDP("IDX",$D14,"현재가",$E$3))</f>
        <v>4981.6400000000003</v>
      </c>
      <c r="F14" s="36">
        <f ca="1">IF($D14=0,"-",_xll.IMDP("IDX",$D14,"전일대비",$E$3))</f>
        <v>-50.83</v>
      </c>
      <c r="G14" s="40">
        <f ca="1">IF($D14=0,"-",_xll.IMDP("IDX",$D14,"등락률",$E$3))</f>
        <v>-1.01</v>
      </c>
      <c r="H14" s="39">
        <f ca="1">IF($D14=0,"-",($E14-(_xll.IMDP("IDX",$D14,"현재가",$E$3-7,"fill=true")))/_xll.IMDP("IDX",$D14,"현재가",$E$3-7,"fill=true")*100)</f>
        <v>-0.43908298208692015</v>
      </c>
      <c r="I14" s="40">
        <f ca="1">IF($D14=0,"-",($E14-(_xll.IMDP("IDX",$D14,"현재가",EDATE($E$3,-1),"fill=true")))/_xll.IMDP("IDX",$D14,"현재가",EDATE($E$3,-1),"fill=true")*100)</f>
        <v>-1.8043909342857922</v>
      </c>
      <c r="J14" s="40">
        <f ca="1">IF($D14=0,"-",($E14-(_xll.IMDP("IDX",$D14,"현재가",EDATE($E$3,-3),"fill=true")))/_xll.IMDP("IDX",$D14,"현재가",EDATE($E$3,-3),"fill=true")*100)</f>
        <v>-5.3182956821870677</v>
      </c>
      <c r="K14" s="40">
        <f ca="1">IF($D14=0,"-",($E14-(_xll.IMDP("IDX",$D14,"현재가",EDATE($E$3,-6),"fill=true")))/_xll.IMDP("IDX",$D14,"현재가",EDATE($E$3,-6),"fill=true")*100)</f>
        <v>-16.714760040257996</v>
      </c>
      <c r="L14" s="40">
        <f ca="1">IF($D14=0,"-",($E14-(_xll.IMDP("IDX",$D14,"현재가",EDATE($E$3,-12),"fill=true")))/_xll.IMDP("IDX",$D14,"현재가",EDATE($E$3,-12),"fill=true")*100)</f>
        <v>-6.5107524157513073</v>
      </c>
      <c r="M14" s="5">
        <f ca="1">IF($D14=0,"-",_xll.IMDP("IDX",$D14,"외국인보유비중(시총)",$E$3))</f>
        <v>21.53</v>
      </c>
      <c r="N14" s="11" t="str">
        <f t="shared" ca="1" si="3"/>
        <v>||</v>
      </c>
      <c r="O14" s="16" t="str">
        <f t="shared" ca="1" si="2"/>
        <v/>
      </c>
      <c r="P14" s="7"/>
      <c r="R14" t="s">
        <v>21</v>
      </c>
      <c r="S14" t="s">
        <v>20</v>
      </c>
      <c r="T14" t="s">
        <v>76</v>
      </c>
      <c r="U14" t="s">
        <v>75</v>
      </c>
    </row>
    <row r="15" spans="2:21">
      <c r="C15" s="15" t="str">
        <f t="shared" si="0"/>
        <v>기계</v>
      </c>
      <c r="D15" s="6" t="str">
        <f t="shared" si="1"/>
        <v>012</v>
      </c>
      <c r="E15" s="36">
        <f ca="1">IF($D15=0,"-",_xll.IMDP("IDX",$D15,"현재가",$E$3))</f>
        <v>1467.61</v>
      </c>
      <c r="F15" s="36">
        <f ca="1">IF($D15=0,"-",_xll.IMDP("IDX",$D15,"전일대비",$E$3))</f>
        <v>-41.36</v>
      </c>
      <c r="G15" s="40">
        <f ca="1">IF($D15=0,"-",_xll.IMDP("IDX",$D15,"등락률",$E$3))</f>
        <v>-2.74</v>
      </c>
      <c r="H15" s="39">
        <f ca="1">IF($D15=0,"-",($E15-(_xll.IMDP("IDX",$D15,"현재가",$E$3-7,"fill=true")))/_xll.IMDP("IDX",$D15,"현재가",$E$3-7,"fill=true")*100)</f>
        <v>-3.6413296828116919</v>
      </c>
      <c r="I15" s="40">
        <f ca="1">IF($D15=0,"-",($E15-(_xll.IMDP("IDX",$D15,"현재가",EDATE($E$3,-1),"fill=true")))/_xll.IMDP("IDX",$D15,"현재가",EDATE($E$3,-1),"fill=true")*100)</f>
        <v>-0.38756006841691121</v>
      </c>
      <c r="J15" s="40">
        <f ca="1">IF($D15=0,"-",($E15-(_xll.IMDP("IDX",$D15,"현재가",EDATE($E$3,-3),"fill=true")))/_xll.IMDP("IDX",$D15,"현재가",EDATE($E$3,-3),"fill=true")*100)</f>
        <v>4.8517539472744051</v>
      </c>
      <c r="K15" s="40">
        <f ca="1">IF($D15=0,"-",($E15-(_xll.IMDP("IDX",$D15,"현재가",EDATE($E$3,-6),"fill=true")))/_xll.IMDP("IDX",$D15,"현재가",EDATE($E$3,-6),"fill=true")*100)</f>
        <v>20.179662293846921</v>
      </c>
      <c r="L15" s="40">
        <f ca="1">IF($D15=0,"-",($E15-(_xll.IMDP("IDX",$D15,"현재가",EDATE($E$3,-12),"fill=true")))/_xll.IMDP("IDX",$D15,"현재가",EDATE($E$3,-12),"fill=true")*100)</f>
        <v>24.724649012475762</v>
      </c>
      <c r="M15" s="5">
        <f ca="1">IF($D15=0,"-",_xll.IMDP("IDX",$D15,"외국인보유비중(시총)",$E$3))</f>
        <v>16.79</v>
      </c>
      <c r="N15" s="11" t="str">
        <f t="shared" ca="1" si="3"/>
        <v/>
      </c>
      <c r="O15" s="16" t="str">
        <f t="shared" ca="1" si="2"/>
        <v>||</v>
      </c>
      <c r="P15" s="7"/>
      <c r="R15" t="s">
        <v>23</v>
      </c>
      <c r="S15" t="s">
        <v>22</v>
      </c>
      <c r="T15" t="s">
        <v>78</v>
      </c>
      <c r="U15" t="s">
        <v>77</v>
      </c>
    </row>
    <row r="16" spans="2:21">
      <c r="C16" s="15" t="str">
        <f t="shared" si="0"/>
        <v>전기.전자</v>
      </c>
      <c r="D16" s="6" t="str">
        <f t="shared" si="1"/>
        <v>013</v>
      </c>
      <c r="E16" s="36">
        <f ca="1">IF($D16=0,"-",_xll.IMDP("IDX",$D16,"현재가",$E$3))</f>
        <v>30282.720000000001</v>
      </c>
      <c r="F16" s="36">
        <f ca="1">IF($D16=0,"-",_xll.IMDP("IDX",$D16,"전일대비",$E$3))</f>
        <v>-190.66</v>
      </c>
      <c r="G16" s="40">
        <f ca="1">IF($D16=0,"-",_xll.IMDP("IDX",$D16,"등락률",$E$3))</f>
        <v>-0.63</v>
      </c>
      <c r="H16" s="39">
        <f ca="1">IF($D16=0,"-",($E16-(_xll.IMDP("IDX",$D16,"현재가",$E$3-7,"fill=true")))/_xll.IMDP("IDX",$D16,"현재가",$E$3-7,"fill=true")*100)</f>
        <v>1.5756565011805266</v>
      </c>
      <c r="I16" s="40">
        <f ca="1">IF($D16=0,"-",($E16-(_xll.IMDP("IDX",$D16,"현재가",EDATE($E$3,-1),"fill=true")))/_xll.IMDP("IDX",$D16,"현재가",EDATE($E$3,-1),"fill=true")*100)</f>
        <v>10.458188874562072</v>
      </c>
      <c r="J16" s="40">
        <f ca="1">IF($D16=0,"-",($E16-(_xll.IMDP("IDX",$D16,"현재가",EDATE($E$3,-3),"fill=true")))/_xll.IMDP("IDX",$D16,"현재가",EDATE($E$3,-3),"fill=true")*100)</f>
        <v>0.39298267017369898</v>
      </c>
      <c r="K16" s="40">
        <f ca="1">IF($D16=0,"-",($E16-(_xll.IMDP("IDX",$D16,"현재가",EDATE($E$3,-6),"fill=true")))/_xll.IMDP("IDX",$D16,"현재가",EDATE($E$3,-6),"fill=true")*100)</f>
        <v>6.0140410476943371</v>
      </c>
      <c r="L16" s="40">
        <f ca="1">IF($D16=0,"-",($E16-(_xll.IMDP("IDX",$D16,"현재가",EDATE($E$3,-12),"fill=true")))/_xll.IMDP("IDX",$D16,"현재가",EDATE($E$3,-12),"fill=true")*100)</f>
        <v>8.9135269024257777</v>
      </c>
      <c r="M16" s="5">
        <f ca="1">IF($D16=0,"-",_xll.IMDP("IDX",$D16,"외국인보유비중(시총)",$E$3))</f>
        <v>47.38</v>
      </c>
      <c r="N16" s="11" t="str">
        <f t="shared" ca="1" si="3"/>
        <v/>
      </c>
      <c r="O16" s="16" t="str">
        <f t="shared" ca="1" si="2"/>
        <v/>
      </c>
      <c r="P16" s="7"/>
      <c r="R16" t="s">
        <v>25</v>
      </c>
      <c r="S16" t="s">
        <v>24</v>
      </c>
      <c r="T16" t="s">
        <v>80</v>
      </c>
      <c r="U16" t="s">
        <v>79</v>
      </c>
    </row>
    <row r="17" spans="3:21">
      <c r="C17" s="15" t="str">
        <f t="shared" si="0"/>
        <v>의료정밀</v>
      </c>
      <c r="D17" s="6" t="str">
        <f t="shared" si="1"/>
        <v>014</v>
      </c>
      <c r="E17" s="36">
        <f ca="1">IF($D17=0,"-",_xll.IMDP("IDX",$D17,"현재가",$E$3))</f>
        <v>1723.49</v>
      </c>
      <c r="F17" s="36">
        <f ca="1">IF($D17=0,"-",_xll.IMDP("IDX",$D17,"전일대비",$E$3))</f>
        <v>-33.29</v>
      </c>
      <c r="G17" s="40">
        <f ca="1">IF($D17=0,"-",_xll.IMDP("IDX",$D17,"등락률",$E$3))</f>
        <v>-1.89</v>
      </c>
      <c r="H17" s="39">
        <f ca="1">IF($D17=0,"-",($E17-(_xll.IMDP("IDX",$D17,"현재가",$E$3-7,"fill=true")))/_xll.IMDP("IDX",$D17,"현재가",$E$3-7,"fill=true")*100)</f>
        <v>-3.8595845326550222</v>
      </c>
      <c r="I17" s="40">
        <f ca="1">IF($D17=0,"-",($E17-(_xll.IMDP("IDX",$D17,"현재가",EDATE($E$3,-1),"fill=true")))/_xll.IMDP("IDX",$D17,"현재가",EDATE($E$3,-1),"fill=true")*100)</f>
        <v>2.8930825119550119</v>
      </c>
      <c r="J17" s="40">
        <f ca="1">IF($D17=0,"-",($E17-(_xll.IMDP("IDX",$D17,"현재가",EDATE($E$3,-3),"fill=true")))/_xll.IMDP("IDX",$D17,"현재가",EDATE($E$3,-3),"fill=true")*100)</f>
        <v>-4.0020274711196713</v>
      </c>
      <c r="K17" s="40">
        <f ca="1">IF($D17=0,"-",($E17-(_xll.IMDP("IDX",$D17,"현재가",EDATE($E$3,-6),"fill=true")))/_xll.IMDP("IDX",$D17,"현재가",EDATE($E$3,-6),"fill=true")*100)</f>
        <v>5.5516768330026274</v>
      </c>
      <c r="L17" s="40">
        <f ca="1">IF($D17=0,"-",($E17-(_xll.IMDP("IDX",$D17,"현재가",EDATE($E$3,-12),"fill=true")))/_xll.IMDP("IDX",$D17,"현재가",EDATE($E$3,-12),"fill=true")*100)</f>
        <v>3.3620601764391878</v>
      </c>
      <c r="M17" s="5">
        <f ca="1">IF($D17=0,"-",_xll.IMDP("IDX",$D17,"외국인보유비중(시총)",$E$3))</f>
        <v>10.220000000000001</v>
      </c>
      <c r="N17" s="11" t="str">
        <f t="shared" ca="1" si="3"/>
        <v>|</v>
      </c>
      <c r="O17" s="16" t="str">
        <f t="shared" ca="1" si="2"/>
        <v/>
      </c>
      <c r="P17" s="7"/>
      <c r="R17" t="s">
        <v>27</v>
      </c>
      <c r="S17" t="s">
        <v>26</v>
      </c>
      <c r="T17" t="s">
        <v>82</v>
      </c>
      <c r="U17" t="s">
        <v>81</v>
      </c>
    </row>
    <row r="18" spans="3:21">
      <c r="C18" s="15" t="str">
        <f t="shared" si="0"/>
        <v>운수.장비</v>
      </c>
      <c r="D18" s="6" t="str">
        <f t="shared" si="1"/>
        <v>015</v>
      </c>
      <c r="E18" s="36">
        <f ca="1">IF($D18=0,"-",_xll.IMDP("IDX",$D18,"현재가",$E$3))</f>
        <v>2752.22</v>
      </c>
      <c r="F18" s="36">
        <f ca="1">IF($D18=0,"-",_xll.IMDP("IDX",$D18,"전일대비",$E$3))</f>
        <v>-102.45</v>
      </c>
      <c r="G18" s="40">
        <f ca="1">IF($D18=0,"-",_xll.IMDP("IDX",$D18,"등락률",$E$3))</f>
        <v>-3.59</v>
      </c>
      <c r="H18" s="39">
        <f ca="1">IF($D18=0,"-",($E18-(_xll.IMDP("IDX",$D18,"현재가",$E$3-7,"fill=true")))/_xll.IMDP("IDX",$D18,"현재가",$E$3-7,"fill=true")*100)</f>
        <v>-3.4010501488178835</v>
      </c>
      <c r="I18" s="40">
        <f ca="1">IF($D18=0,"-",($E18-(_xll.IMDP("IDX",$D18,"현재가",EDATE($E$3,-1),"fill=true")))/_xll.IMDP("IDX",$D18,"현재가",EDATE($E$3,-1),"fill=true")*100)</f>
        <v>7.8071690737237089</v>
      </c>
      <c r="J18" s="40">
        <f ca="1">IF($D18=0,"-",($E18-(_xll.IMDP("IDX",$D18,"현재가",EDATE($E$3,-3),"fill=true")))/_xll.IMDP("IDX",$D18,"현재가",EDATE($E$3,-3),"fill=true")*100)</f>
        <v>13.262412806847879</v>
      </c>
      <c r="K18" s="40">
        <f ca="1">IF($D18=0,"-",($E18-(_xll.IMDP("IDX",$D18,"현재가",EDATE($E$3,-6),"fill=true")))/_xll.IMDP("IDX",$D18,"현재가",EDATE($E$3,-6),"fill=true")*100)</f>
        <v>22.977314465212089</v>
      </c>
      <c r="L18" s="40">
        <f ca="1">IF($D18=0,"-",($E18-(_xll.IMDP("IDX",$D18,"현재가",EDATE($E$3,-12),"fill=true")))/_xll.IMDP("IDX",$D18,"현재가",EDATE($E$3,-12),"fill=true")*100)</f>
        <v>21.624655306512043</v>
      </c>
      <c r="M18" s="5">
        <f ca="1">IF($D18=0,"-",_xll.IMDP("IDX",$D18,"외국인보유비중(시총)",$E$3))</f>
        <v>35.229999999999997</v>
      </c>
      <c r="N18" s="11" t="str">
        <f t="shared" ca="1" si="3"/>
        <v/>
      </c>
      <c r="O18" s="16" t="str">
        <f t="shared" ca="1" si="2"/>
        <v>|||||</v>
      </c>
      <c r="P18" s="7"/>
      <c r="R18" t="s">
        <v>29</v>
      </c>
      <c r="S18" t="s">
        <v>28</v>
      </c>
      <c r="T18" t="s">
        <v>84</v>
      </c>
      <c r="U18" t="s">
        <v>83</v>
      </c>
    </row>
    <row r="19" spans="3:21">
      <c r="C19" s="15" t="str">
        <f t="shared" si="0"/>
        <v>유통업</v>
      </c>
      <c r="D19" s="6" t="str">
        <f t="shared" si="1"/>
        <v>016</v>
      </c>
      <c r="E19" s="36">
        <f ca="1">IF($D19=0,"-",_xll.IMDP("IDX",$D19,"현재가",$E$3))</f>
        <v>364.59</v>
      </c>
      <c r="F19" s="36">
        <f ca="1">IF($D19=0,"-",_xll.IMDP("IDX",$D19,"전일대비",$E$3))</f>
        <v>-7.02</v>
      </c>
      <c r="G19" s="40">
        <f ca="1">IF($D19=0,"-",_xll.IMDP("IDX",$D19,"등락률",$E$3))</f>
        <v>-1.89</v>
      </c>
      <c r="H19" s="39">
        <f ca="1">IF($D19=0,"-",($E19-(_xll.IMDP("IDX",$D19,"현재가",$E$3-7,"fill=true")))/_xll.IMDP("IDX",$D19,"현재가",$E$3-7,"fill=true")*100)</f>
        <v>-1.5685745140388774</v>
      </c>
      <c r="I19" s="40">
        <f ca="1">IF($D19=0,"-",($E19-(_xll.IMDP("IDX",$D19,"현재가",EDATE($E$3,-1),"fill=true")))/_xll.IMDP("IDX",$D19,"현재가",EDATE($E$3,-1),"fill=true")*100)</f>
        <v>4.8244731318823417</v>
      </c>
      <c r="J19" s="40">
        <f ca="1">IF($D19=0,"-",($E19-(_xll.IMDP("IDX",$D19,"현재가",EDATE($E$3,-3),"fill=true")))/_xll.IMDP("IDX",$D19,"현재가",EDATE($E$3,-3),"fill=true")*100)</f>
        <v>-4.0527382299534285</v>
      </c>
      <c r="K19" s="40">
        <f ca="1">IF($D19=0,"-",($E19-(_xll.IMDP("IDX",$D19,"현재가",EDATE($E$3,-6),"fill=true")))/_xll.IMDP("IDX",$D19,"현재가",EDATE($E$3,-6),"fill=true")*100)</f>
        <v>-0.183430980671307</v>
      </c>
      <c r="L19" s="40">
        <f ca="1">IF($D19=0,"-",($E19-(_xll.IMDP("IDX",$D19,"현재가",EDATE($E$3,-12),"fill=true")))/_xll.IMDP("IDX",$D19,"현재가",EDATE($E$3,-12),"fill=true")*100)</f>
        <v>9.083565209586201</v>
      </c>
      <c r="M19" s="5">
        <f ca="1">IF($D19=0,"-",_xll.IMDP("IDX",$D19,"외국인보유비중(시총)",$E$3))</f>
        <v>18.059999999999999</v>
      </c>
      <c r="N19" s="11" t="str">
        <f t="shared" ca="1" si="3"/>
        <v>|</v>
      </c>
      <c r="O19" s="16" t="str">
        <f t="shared" ca="1" si="2"/>
        <v/>
      </c>
      <c r="P19" s="7"/>
      <c r="R19" t="s">
        <v>31</v>
      </c>
      <c r="S19" t="s">
        <v>30</v>
      </c>
      <c r="T19" t="s">
        <v>86</v>
      </c>
      <c r="U19" t="s">
        <v>85</v>
      </c>
    </row>
    <row r="20" spans="3:21">
      <c r="C20" s="15" t="str">
        <f t="shared" si="0"/>
        <v>전기.가스업</v>
      </c>
      <c r="D20" s="6" t="str">
        <f t="shared" si="1"/>
        <v>017</v>
      </c>
      <c r="E20" s="36">
        <f ca="1">IF($D20=0,"-",_xll.IMDP("IDX",$D20,"현재가",$E$3))</f>
        <v>711.65</v>
      </c>
      <c r="F20" s="36">
        <f ca="1">IF($D20=0,"-",_xll.IMDP("IDX",$D20,"전일대비",$E$3))</f>
        <v>-29.58</v>
      </c>
      <c r="G20" s="40">
        <f ca="1">IF($D20=0,"-",_xll.IMDP("IDX",$D20,"등락률",$E$3))</f>
        <v>-3.99</v>
      </c>
      <c r="H20" s="39">
        <f ca="1">IF($D20=0,"-",($E20-(_xll.IMDP("IDX",$D20,"현재가",$E$3-7,"fill=true")))/_xll.IMDP("IDX",$D20,"현재가",$E$3-7,"fill=true")*100)</f>
        <v>-6.6676284279138134</v>
      </c>
      <c r="I20" s="40">
        <f ca="1">IF($D20=0,"-",($E20-(_xll.IMDP("IDX",$D20,"현재가",EDATE($E$3,-1),"fill=true")))/_xll.IMDP("IDX",$D20,"현재가",EDATE($E$3,-1),"fill=true")*100)</f>
        <v>8.1600705210043074</v>
      </c>
      <c r="J20" s="40">
        <f ca="1">IF($D20=0,"-",($E20-(_xll.IMDP("IDX",$D20,"현재가",EDATE($E$3,-3),"fill=true")))/_xll.IMDP("IDX",$D20,"현재가",EDATE($E$3,-3),"fill=true")*100)</f>
        <v>2.7876074239907496</v>
      </c>
      <c r="K20" s="40">
        <f ca="1">IF($D20=0,"-",($E20-(_xll.IMDP("IDX",$D20,"현재가",EDATE($E$3,-6),"fill=true")))/_xll.IMDP("IDX",$D20,"현재가",EDATE($E$3,-6),"fill=true")*100)</f>
        <v>15.34970418996676</v>
      </c>
      <c r="L20" s="40">
        <f ca="1">IF($D20=0,"-",($E20-(_xll.IMDP("IDX",$D20,"현재가",EDATE($E$3,-12),"fill=true")))/_xll.IMDP("IDX",$D20,"현재가",EDATE($E$3,-12),"fill=true")*100)</f>
        <v>6.5583589129295436</v>
      </c>
      <c r="M20" s="5">
        <f ca="1">IF($D20=0,"-",_xll.IMDP("IDX",$D20,"외국인보유비중(시총)",$E$3))</f>
        <v>11.7</v>
      </c>
      <c r="N20" s="11" t="str">
        <f t="shared" ca="1" si="3"/>
        <v/>
      </c>
      <c r="O20" s="16" t="str">
        <f t="shared" ca="1" si="2"/>
        <v>|</v>
      </c>
      <c r="P20" s="7"/>
      <c r="R20" t="s">
        <v>33</v>
      </c>
      <c r="S20" t="s">
        <v>32</v>
      </c>
      <c r="T20" t="s">
        <v>88</v>
      </c>
      <c r="U20" t="s">
        <v>87</v>
      </c>
    </row>
    <row r="21" spans="3:21">
      <c r="C21" s="15" t="str">
        <f t="shared" si="0"/>
        <v>건설업</v>
      </c>
      <c r="D21" s="6" t="str">
        <f t="shared" si="1"/>
        <v>018</v>
      </c>
      <c r="E21" s="36">
        <f ca="1">IF($D21=0,"-",_xll.IMDP("IDX",$D21,"현재가",$E$3))</f>
        <v>68.94</v>
      </c>
      <c r="F21" s="36">
        <f ca="1">IF($D21=0,"-",_xll.IMDP("IDX",$D21,"전일대비",$E$3))</f>
        <v>-1.64</v>
      </c>
      <c r="G21" s="40">
        <f ca="1">IF($D21=0,"-",_xll.IMDP("IDX",$D21,"등락률",$E$3))</f>
        <v>-2.3199999999999998</v>
      </c>
      <c r="H21" s="39">
        <f ca="1">IF($D21=0,"-",($E21-(_xll.IMDP("IDX",$D21,"현재가",$E$3-7,"fill=true")))/_xll.IMDP("IDX",$D21,"현재가",$E$3-7,"fill=true")*100)</f>
        <v>-1.6688061617458303</v>
      </c>
      <c r="I21" s="40">
        <f ca="1">IF($D21=0,"-",($E21-(_xll.IMDP("IDX",$D21,"현재가",EDATE($E$3,-1),"fill=true")))/_xll.IMDP("IDX",$D21,"현재가",EDATE($E$3,-1),"fill=true")*100)</f>
        <v>-3.1741573033707935</v>
      </c>
      <c r="J21" s="40">
        <f ca="1">IF($D21=0,"-",($E21-(_xll.IMDP("IDX",$D21,"현재가",EDATE($E$3,-3),"fill=true")))/_xll.IMDP("IDX",$D21,"현재가",EDATE($E$3,-3),"fill=true")*100)</f>
        <v>-1.9206145966709467</v>
      </c>
      <c r="K21" s="40">
        <f ca="1">IF($D21=0,"-",($E21-(_xll.IMDP("IDX",$D21,"현재가",EDATE($E$3,-6),"fill=true")))/_xll.IMDP("IDX",$D21,"현재가",EDATE($E$3,-6),"fill=true")*100)</f>
        <v>-2.4479977359558567</v>
      </c>
      <c r="L21" s="40">
        <f ca="1">IF($D21=0,"-",($E21-(_xll.IMDP("IDX",$D21,"현재가",EDATE($E$3,-12),"fill=true")))/_xll.IMDP("IDX",$D21,"현재가",EDATE($E$3,-12),"fill=true")*100)</f>
        <v>-9.5038067734313572</v>
      </c>
      <c r="M21" s="5">
        <f ca="1">IF($D21=0,"-",_xll.IMDP("IDX",$D21,"외국인보유비중(시총)",$E$3))</f>
        <v>15.85</v>
      </c>
      <c r="N21" s="11" t="str">
        <f t="shared" ca="1" si="3"/>
        <v/>
      </c>
      <c r="O21" s="16" t="str">
        <f t="shared" ca="1" si="2"/>
        <v/>
      </c>
      <c r="P21" s="7"/>
      <c r="R21" t="s">
        <v>35</v>
      </c>
      <c r="S21" t="s">
        <v>34</v>
      </c>
      <c r="T21" t="s">
        <v>89</v>
      </c>
      <c r="U21" t="s">
        <v>12</v>
      </c>
    </row>
    <row r="22" spans="3:21">
      <c r="C22" s="15" t="str">
        <f t="shared" si="0"/>
        <v>운수.창고</v>
      </c>
      <c r="D22" s="6" t="str">
        <f t="shared" si="1"/>
        <v>019</v>
      </c>
      <c r="E22" s="36">
        <f ca="1">IF($D22=0,"-",_xll.IMDP("IDX",$D22,"현재가",$E$3))</f>
        <v>1748.86</v>
      </c>
      <c r="F22" s="36">
        <f ca="1">IF($D22=0,"-",_xll.IMDP("IDX",$D22,"전일대비",$E$3))</f>
        <v>-13.97</v>
      </c>
      <c r="G22" s="40">
        <f ca="1">IF($D22=0,"-",_xll.IMDP("IDX",$D22,"등락률",$E$3))</f>
        <v>-0.79</v>
      </c>
      <c r="H22" s="39">
        <f ca="1">IF($D22=0,"-",($E22-(_xll.IMDP("IDX",$D22,"현재가",$E$3-7,"fill=true")))/_xll.IMDP("IDX",$D22,"현재가",$E$3-7,"fill=true")*100)</f>
        <v>2.735123068789282</v>
      </c>
      <c r="I22" s="40">
        <f ca="1">IF($D22=0,"-",($E22-(_xll.IMDP("IDX",$D22,"현재가",EDATE($E$3,-1),"fill=true")))/_xll.IMDP("IDX",$D22,"현재가",EDATE($E$3,-1),"fill=true")*100)</f>
        <v>10.779892061722441</v>
      </c>
      <c r="J22" s="40">
        <f ca="1">IF($D22=0,"-",($E22-(_xll.IMDP("IDX",$D22,"현재가",EDATE($E$3,-3),"fill=true")))/_xll.IMDP("IDX",$D22,"현재가",EDATE($E$3,-3),"fill=true")*100)</f>
        <v>14.409263378254614</v>
      </c>
      <c r="K22" s="40">
        <f ca="1">IF($D22=0,"-",($E22-(_xll.IMDP("IDX",$D22,"현재가",EDATE($E$3,-6),"fill=true")))/_xll.IMDP("IDX",$D22,"현재가",EDATE($E$3,-6),"fill=true")*100)</f>
        <v>-0.35553529713406695</v>
      </c>
      <c r="L22" s="40">
        <f ca="1">IF($D22=0,"-",($E22-(_xll.IMDP("IDX",$D22,"현재가",EDATE($E$3,-12),"fill=true")))/_xll.IMDP("IDX",$D22,"현재가",EDATE($E$3,-12),"fill=true")*100)</f>
        <v>5.2167373582408212</v>
      </c>
      <c r="M22" s="5">
        <f ca="1">IF($D22=0,"-",_xll.IMDP("IDX",$D22,"외국인보유비중(시총)",$E$3))</f>
        <v>19.3</v>
      </c>
      <c r="N22" s="11" t="str">
        <f t="shared" ca="1" si="3"/>
        <v/>
      </c>
      <c r="O22" s="16" t="str">
        <f t="shared" ca="1" si="2"/>
        <v>||||||</v>
      </c>
      <c r="P22" s="7"/>
      <c r="R22" t="s">
        <v>37</v>
      </c>
      <c r="S22" t="s">
        <v>36</v>
      </c>
      <c r="T22" t="s">
        <v>151</v>
      </c>
      <c r="U22" t="s">
        <v>161</v>
      </c>
    </row>
    <row r="23" spans="3:21">
      <c r="C23" s="15" t="str">
        <f t="shared" si="0"/>
        <v>통신업</v>
      </c>
      <c r="D23" s="6" t="str">
        <f t="shared" si="1"/>
        <v>020</v>
      </c>
      <c r="E23" s="36">
        <f ca="1">IF($D23=0,"-",_xll.IMDP("IDX",$D23,"현재가",$E$3))</f>
        <v>386.25</v>
      </c>
      <c r="F23" s="36">
        <f ca="1">IF($D23=0,"-",_xll.IMDP("IDX",$D23,"전일대비",$E$3))</f>
        <v>-2.41</v>
      </c>
      <c r="G23" s="40">
        <f ca="1">IF($D23=0,"-",_xll.IMDP("IDX",$D23,"등락률",$E$3))</f>
        <v>-0.62</v>
      </c>
      <c r="H23" s="39">
        <f ca="1">IF($D23=0,"-",($E23-(_xll.IMDP("IDX",$D23,"현재가",$E$3-7,"fill=true")))/_xll.IMDP("IDX",$D23,"현재가",$E$3-7,"fill=true")*100)</f>
        <v>-1.8947956617815094</v>
      </c>
      <c r="I23" s="40">
        <f ca="1">IF($D23=0,"-",($E23-(_xll.IMDP("IDX",$D23,"현재가",EDATE($E$3,-1),"fill=true")))/_xll.IMDP("IDX",$D23,"현재가",EDATE($E$3,-1),"fill=true")*100)</f>
        <v>7.2544498277061081E-2</v>
      </c>
      <c r="J23" s="40">
        <f ca="1">IF($D23=0,"-",($E23-(_xll.IMDP("IDX",$D23,"현재가",EDATE($E$3,-3),"fill=true")))/_xll.IMDP("IDX",$D23,"현재가",EDATE($E$3,-3),"fill=true")*100)</f>
        <v>-1.2426171665260448</v>
      </c>
      <c r="K23" s="40">
        <f ca="1">IF($D23=0,"-",($E23-(_xll.IMDP("IDX",$D23,"현재가",EDATE($E$3,-6),"fill=true")))/_xll.IMDP("IDX",$D23,"현재가",EDATE($E$3,-6),"fill=true")*100)</f>
        <v>2.8546321199371629</v>
      </c>
      <c r="L23" s="40">
        <f ca="1">IF($D23=0,"-",($E23-(_xll.IMDP("IDX",$D23,"현재가",EDATE($E$3,-12),"fill=true")))/_xll.IMDP("IDX",$D23,"현재가",EDATE($E$3,-12),"fill=true")*100)</f>
        <v>10.077232181025398</v>
      </c>
      <c r="M23" s="5">
        <f ca="1">IF($D23=0,"-",_xll.IMDP("IDX",$D23,"외국인보유비중(시총)",$E$3))</f>
        <v>41.47</v>
      </c>
      <c r="N23" s="11" t="str">
        <f t="shared" ca="1" si="3"/>
        <v/>
      </c>
      <c r="O23" s="16" t="str">
        <f t="shared" ca="1" si="2"/>
        <v/>
      </c>
      <c r="P23" s="7"/>
      <c r="R23" t="s">
        <v>39</v>
      </c>
      <c r="S23" t="s">
        <v>38</v>
      </c>
      <c r="T23" t="s">
        <v>90</v>
      </c>
      <c r="U23" t="s">
        <v>14</v>
      </c>
    </row>
    <row r="24" spans="3:21">
      <c r="C24" s="15" t="str">
        <f t="shared" si="0"/>
        <v>금융업</v>
      </c>
      <c r="D24" s="6" t="str">
        <f t="shared" si="1"/>
        <v>021</v>
      </c>
      <c r="E24" s="36">
        <f ca="1">IF($D24=0,"-",_xll.IMDP("IDX",$D24,"현재가",$E$3))</f>
        <v>457.73</v>
      </c>
      <c r="F24" s="36">
        <f ca="1">IF($D24=0,"-",_xll.IMDP("IDX",$D24,"전일대비",$E$3))</f>
        <v>3.45</v>
      </c>
      <c r="G24" s="40">
        <f ca="1">IF($D24=0,"-",_xll.IMDP("IDX",$D24,"등락률",$E$3))</f>
        <v>0.76</v>
      </c>
      <c r="H24" s="39">
        <f ca="1">IF($D24=0,"-",($E24-(_xll.IMDP("IDX",$D24,"현재가",$E$3-7,"fill=true")))/_xll.IMDP("IDX",$D24,"현재가",$E$3-7,"fill=true")*100)</f>
        <v>1.2072434607645957</v>
      </c>
      <c r="I24" s="40">
        <f ca="1">IF($D24=0,"-",($E24-(_xll.IMDP("IDX",$D24,"현재가",EDATE($E$3,-1),"fill=true")))/_xll.IMDP("IDX",$D24,"현재가",EDATE($E$3,-1),"fill=true")*100)</f>
        <v>1.9534034212402085</v>
      </c>
      <c r="J24" s="40">
        <f ca="1">IF($D24=0,"-",($E24-(_xll.IMDP("IDX",$D24,"현재가",EDATE($E$3,-3),"fill=true")))/_xll.IMDP("IDX",$D24,"현재가",EDATE($E$3,-3),"fill=true")*100)</f>
        <v>4.8829109573346781</v>
      </c>
      <c r="K24" s="40">
        <f ca="1">IF($D24=0,"-",($E24-(_xll.IMDP("IDX",$D24,"현재가",EDATE($E$3,-6),"fill=true")))/_xll.IMDP("IDX",$D24,"현재가",EDATE($E$3,-6),"fill=true")*100)</f>
        <v>19.55857385398981</v>
      </c>
      <c r="L24" s="40">
        <f ca="1">IF($D24=0,"-",($E24-(_xll.IMDP("IDX",$D24,"현재가",EDATE($E$3,-12),"fill=true")))/_xll.IMDP("IDX",$D24,"현재가",EDATE($E$3,-12),"fill=true")*100)</f>
        <v>31.501378993334878</v>
      </c>
      <c r="M24" s="5">
        <f ca="1">IF($D24=0,"-",_xll.IMDP("IDX",$D24,"외국인보유비중(시총)",$E$3))</f>
        <v>36.65</v>
      </c>
      <c r="N24" s="11" t="str">
        <f t="shared" ca="1" si="3"/>
        <v/>
      </c>
      <c r="O24" s="16" t="str">
        <f t="shared" ca="1" si="2"/>
        <v>||</v>
      </c>
      <c r="P24" s="7"/>
      <c r="R24" t="s">
        <v>41</v>
      </c>
      <c r="S24" t="s">
        <v>40</v>
      </c>
      <c r="T24" t="s">
        <v>92</v>
      </c>
      <c r="U24" t="s">
        <v>91</v>
      </c>
    </row>
    <row r="25" spans="3:21">
      <c r="C25" s="15" t="str">
        <f t="shared" si="0"/>
        <v>증권</v>
      </c>
      <c r="D25" s="6" t="str">
        <f t="shared" si="1"/>
        <v>024</v>
      </c>
      <c r="E25" s="36">
        <f ca="1">IF($D25=0,"-",_xll.IMDP("IDX",$D25,"현재가",$E$3))</f>
        <v>2023.57</v>
      </c>
      <c r="F25" s="36">
        <f ca="1">IF($D25=0,"-",_xll.IMDP("IDX",$D25,"전일대비",$E$3))</f>
        <v>8.5500000000000007</v>
      </c>
      <c r="G25" s="40">
        <f ca="1">IF($D25=0,"-",_xll.IMDP("IDX",$D25,"등락률",$E$3))</f>
        <v>0.42</v>
      </c>
      <c r="H25" s="39">
        <f ca="1">IF($D25=0,"-",($E25-(_xll.IMDP("IDX",$D25,"현재가",$E$3-7,"fill=true")))/_xll.IMDP("IDX",$D25,"현재가",$E$3-7,"fill=true")*100)</f>
        <v>0.23578246590813356</v>
      </c>
      <c r="I25" s="40">
        <f ca="1">IF($D25=0,"-",($E25-(_xll.IMDP("IDX",$D25,"현재가",EDATE($E$3,-1),"fill=true")))/_xll.IMDP("IDX",$D25,"현재가",EDATE($E$3,-1),"fill=true")*100)</f>
        <v>2.1989565814659358</v>
      </c>
      <c r="J25" s="40">
        <f ca="1">IF($D25=0,"-",($E25-(_xll.IMDP("IDX",$D25,"현재가",EDATE($E$3,-3),"fill=true")))/_xll.IMDP("IDX",$D25,"현재가",EDATE($E$3,-3),"fill=true")*100)</f>
        <v>1.5196058757424931</v>
      </c>
      <c r="K25" s="40">
        <f ca="1">IF($D25=0,"-",($E25-(_xll.IMDP("IDX",$D25,"현재가",EDATE($E$3,-6),"fill=true")))/_xll.IMDP("IDX",$D25,"현재가",EDATE($E$3,-6),"fill=true")*100)</f>
        <v>10.337024738411873</v>
      </c>
      <c r="L25" s="40">
        <f ca="1">IF($D25=0,"-",($E25-(_xll.IMDP("IDX",$D25,"현재가",EDATE($E$3,-12),"fill=true")))/_xll.IMDP("IDX",$D25,"현재가",EDATE($E$3,-12),"fill=true")*100)</f>
        <v>16.183613710742371</v>
      </c>
      <c r="M25" s="5">
        <f ca="1">IF($D25=0,"-",_xll.IMDP("IDX",$D25,"외국인보유비중(시총)",$E$3))</f>
        <v>17.940000000000001</v>
      </c>
      <c r="N25" s="11" t="str">
        <f t="shared" ca="1" si="3"/>
        <v/>
      </c>
      <c r="O25" s="16" t="str">
        <f t="shared" ca="1" si="2"/>
        <v/>
      </c>
      <c r="P25" s="7"/>
      <c r="R25" t="s">
        <v>43</v>
      </c>
      <c r="S25" t="s">
        <v>42</v>
      </c>
      <c r="T25" t="s">
        <v>94</v>
      </c>
      <c r="U25" t="s">
        <v>93</v>
      </c>
    </row>
    <row r="26" spans="3:21">
      <c r="C26" s="15" t="str">
        <f t="shared" si="0"/>
        <v>보험</v>
      </c>
      <c r="D26" s="6" t="str">
        <f t="shared" si="1"/>
        <v>025</v>
      </c>
      <c r="E26" s="36">
        <f ca="1">IF($D26=0,"-",_xll.IMDP("IDX",$D26,"현재가",$E$3))</f>
        <v>21668.59</v>
      </c>
      <c r="F26" s="36">
        <f ca="1">IF($D26=0,"-",_xll.IMDP("IDX",$D26,"전일대비",$E$3))</f>
        <v>260.63</v>
      </c>
      <c r="G26" s="40">
        <f ca="1">IF($D26=0,"-",_xll.IMDP("IDX",$D26,"등락률",$E$3))</f>
        <v>1.22</v>
      </c>
      <c r="H26" s="39">
        <f ca="1">IF($D26=0,"-",($E26-(_xll.IMDP("IDX",$D26,"현재가",$E$3-7,"fill=true")))/_xll.IMDP("IDX",$D26,"현재가",$E$3-7,"fill=true")*100)</f>
        <v>2.3992858520061509</v>
      </c>
      <c r="I26" s="40">
        <f ca="1">IF($D26=0,"-",($E26-(_xll.IMDP("IDX",$D26,"현재가",EDATE($E$3,-1),"fill=true")))/_xll.IMDP("IDX",$D26,"현재가",EDATE($E$3,-1),"fill=true")*100)</f>
        <v>6.6750850453164743</v>
      </c>
      <c r="J26" s="40">
        <f ca="1">IF($D26=0,"-",($E26-(_xll.IMDP("IDX",$D26,"현재가",EDATE($E$3,-3),"fill=true")))/_xll.IMDP("IDX",$D26,"현재가",EDATE($E$3,-3),"fill=true")*100)</f>
        <v>8.818486787260337</v>
      </c>
      <c r="K26" s="40">
        <f ca="1">IF($D26=0,"-",($E26-(_xll.IMDP("IDX",$D26,"현재가",EDATE($E$3,-6),"fill=true")))/_xll.IMDP("IDX",$D26,"현재가",EDATE($E$3,-6),"fill=true")*100)</f>
        <v>32.487141735615012</v>
      </c>
      <c r="L26" s="40">
        <f ca="1">IF($D26=0,"-",($E26-(_xll.IMDP("IDX",$D26,"현재가",EDATE($E$3,-12),"fill=true")))/_xll.IMDP("IDX",$D26,"현재가",EDATE($E$3,-12),"fill=true")*100)</f>
        <v>42.570864040919915</v>
      </c>
      <c r="M26" s="5">
        <f ca="1">IF($D26=0,"-",_xll.IMDP("IDX",$D26,"외국인보유비중(시총)",$E$3))</f>
        <v>36.9</v>
      </c>
      <c r="N26" s="11" t="str">
        <f t="shared" ca="1" si="3"/>
        <v/>
      </c>
      <c r="O26" s="16" t="str">
        <f t="shared" ca="1" si="2"/>
        <v>|||</v>
      </c>
      <c r="P26" s="7"/>
      <c r="R26" t="s">
        <v>45</v>
      </c>
      <c r="S26" t="s">
        <v>44</v>
      </c>
      <c r="T26" t="s">
        <v>96</v>
      </c>
      <c r="U26" t="s">
        <v>95</v>
      </c>
    </row>
    <row r="27" spans="3:21">
      <c r="C27" s="15" t="str">
        <f t="shared" si="0"/>
        <v>서비스업</v>
      </c>
      <c r="D27" s="6" t="str">
        <f t="shared" si="1"/>
        <v>026</v>
      </c>
      <c r="E27" s="36">
        <f ca="1">IF($D27=0,"-",_xll.IMDP("IDX",$D27,"현재가",$E$3))</f>
        <v>994.95</v>
      </c>
      <c r="F27" s="36">
        <f ca="1">IF($D27=0,"-",_xll.IMDP("IDX",$D27,"전일대비",$E$3))</f>
        <v>-17.260000000000002</v>
      </c>
      <c r="G27" s="40">
        <f ca="1">IF($D27=0,"-",_xll.IMDP("IDX",$D27,"등락률",$E$3))</f>
        <v>-1.71</v>
      </c>
      <c r="H27" s="39">
        <f ca="1">IF($D27=0,"-",($E27-(_xll.IMDP("IDX",$D27,"현재가",$E$3-7,"fill=true")))/_xll.IMDP("IDX",$D27,"현재가",$E$3-7,"fill=true")*100)</f>
        <v>-2.2296686451004226</v>
      </c>
      <c r="I27" s="40">
        <f ca="1">IF($D27=0,"-",($E27-(_xll.IMDP("IDX",$D27,"현재가",EDATE($E$3,-1),"fill=true")))/_xll.IMDP("IDX",$D27,"현재가",EDATE($E$3,-1),"fill=true")*100)</f>
        <v>-2.3898519586779194</v>
      </c>
      <c r="J27" s="40">
        <f ca="1">IF($D27=0,"-",($E27-(_xll.IMDP("IDX",$D27,"현재가",EDATE($E$3,-3),"fill=true")))/_xll.IMDP("IDX",$D27,"현재가",EDATE($E$3,-3),"fill=true")*100)</f>
        <v>-9.8205383848454559</v>
      </c>
      <c r="K27" s="40">
        <f ca="1">IF($D27=0,"-",($E27-(_xll.IMDP("IDX",$D27,"현재가",EDATE($E$3,-6),"fill=true")))/_xll.IMDP("IDX",$D27,"현재가",EDATE($E$3,-6),"fill=true")*100)</f>
        <v>-16.433592864162058</v>
      </c>
      <c r="L27" s="40">
        <f ca="1">IF($D27=0,"-",($E27-(_xll.IMDP("IDX",$D27,"현재가",EDATE($E$3,-12),"fill=true")))/_xll.IMDP("IDX",$D27,"현재가",EDATE($E$3,-12),"fill=true")*100)</f>
        <v>-8.6724250296026373</v>
      </c>
      <c r="M27" s="5">
        <f ca="1">IF($D27=0,"-",_xll.IMDP("IDX",$D27,"외국인보유비중(시총)",$E$3))</f>
        <v>25.07</v>
      </c>
      <c r="N27" s="11" t="str">
        <f t="shared" ca="1" si="3"/>
        <v>||||</v>
      </c>
      <c r="O27" s="16" t="str">
        <f t="shared" ca="1" si="2"/>
        <v/>
      </c>
      <c r="P27" s="7"/>
      <c r="R27" t="s">
        <v>47</v>
      </c>
      <c r="S27" t="s">
        <v>46</v>
      </c>
      <c r="T27" t="s">
        <v>98</v>
      </c>
      <c r="U27" t="s">
        <v>97</v>
      </c>
    </row>
    <row r="28" spans="3:21">
      <c r="C28" s="15" t="str">
        <f t="shared" si="0"/>
        <v>제조업</v>
      </c>
      <c r="D28" s="6" t="str">
        <f t="shared" si="1"/>
        <v>027</v>
      </c>
      <c r="E28" s="36">
        <f ca="1">IF($D28=0,"-",_xll.IMDP("IDX",$D28,"현재가",$E$3))</f>
        <v>7503.81</v>
      </c>
      <c r="F28" s="36">
        <f ca="1">IF($D28=0,"-",_xll.IMDP("IDX",$D28,"전일대비",$E$3))</f>
        <v>-74.239999999999995</v>
      </c>
      <c r="G28" s="40">
        <f ca="1">IF($D28=0,"-",_xll.IMDP("IDX",$D28,"등락률",$E$3))</f>
        <v>-0.98</v>
      </c>
      <c r="H28" s="39">
        <f ca="1">IF($D28=0,"-",($E28-(_xll.IMDP("IDX",$D28,"현재가",$E$3-7,"fill=true")))/_xll.IMDP("IDX",$D28,"현재가",$E$3-7,"fill=true")*100)</f>
        <v>0.44346699363378045</v>
      </c>
      <c r="I28" s="40">
        <f ca="1">IF($D28=0,"-",($E28-(_xll.IMDP("IDX",$D28,"현재가",EDATE($E$3,-1),"fill=true")))/_xll.IMDP("IDX",$D28,"현재가",EDATE($E$3,-1),"fill=true")*100)</f>
        <v>7.1435608716200898</v>
      </c>
      <c r="J28" s="40">
        <f ca="1">IF($D28=0,"-",($E28-(_xll.IMDP("IDX",$D28,"현재가",EDATE($E$3,-3),"fill=true")))/_xll.IMDP("IDX",$D28,"현재가",EDATE($E$3,-3),"fill=true")*100)</f>
        <v>1.4002343183080543</v>
      </c>
      <c r="K28" s="40">
        <f ca="1">IF($D28=0,"-",($E28-(_xll.IMDP("IDX",$D28,"현재가",EDATE($E$3,-6),"fill=true")))/_xll.IMDP("IDX",$D28,"현재가",EDATE($E$3,-6),"fill=true")*100)</f>
        <v>4.2097413022103476</v>
      </c>
      <c r="L28" s="40">
        <f ca="1">IF($D28=0,"-",($E28-(_xll.IMDP("IDX",$D28,"현재가",EDATE($E$3,-12),"fill=true")))/_xll.IMDP("IDX",$D28,"현재가",EDATE($E$3,-12),"fill=true")*100)</f>
        <v>6.7651917311793905</v>
      </c>
      <c r="M28" s="5">
        <f ca="1">IF($D28=0,"-",_xll.IMDP("IDX",$D28,"외국인보유비중(시총)",$E$3))</f>
        <v>37.979999999999997</v>
      </c>
      <c r="N28" s="11" t="str">
        <f t="shared" ca="1" si="3"/>
        <v/>
      </c>
      <c r="O28" s="16" t="str">
        <f t="shared" ca="1" si="2"/>
        <v/>
      </c>
      <c r="P28" s="7"/>
      <c r="R28" t="s">
        <v>49</v>
      </c>
      <c r="S28" t="s">
        <v>48</v>
      </c>
      <c r="T28" t="s">
        <v>100</v>
      </c>
      <c r="U28" t="s">
        <v>99</v>
      </c>
    </row>
    <row r="29" spans="3:21">
      <c r="C29" s="15" t="str">
        <f t="shared" si="0"/>
        <v>KOSPI 대형주</v>
      </c>
      <c r="D29" s="6" t="str">
        <f t="shared" si="1"/>
        <v>201</v>
      </c>
      <c r="E29" s="37">
        <f ca="1">IF($D29=0,"-",_xll.IMDP("IDX",$D29,"현재가",$E$3))</f>
        <v>2779.82</v>
      </c>
      <c r="F29" s="37">
        <f ca="1">IF($D29=0,"-",_xll.IMDP("IDX",$D29,"전일대비",$E$3))</f>
        <v>-20.170000000000002</v>
      </c>
      <c r="G29" s="42">
        <f ca="1">IF($D29=0,"-",_xll.IMDP("IDX",$D29,"등락률",$E$3))</f>
        <v>-0.72</v>
      </c>
      <c r="H29" s="42">
        <f ca="1">IF($D29=0,"-",($E29-(_xll.IMDP("IDX",$D29,"현재가",$E$3-7,"fill=true")))/_xll.IMDP("IDX",$D29,"현재가",$E$3-7,"fill=true")*100)</f>
        <v>0.70571016613895454</v>
      </c>
      <c r="I29" s="42">
        <f ca="1">IF($D29=0,"-",($E29-(_xll.IMDP("IDX",$D29,"현재가",EDATE($E$3,-1),"fill=true")))/_xll.IMDP("IDX",$D29,"현재가",EDATE($E$3,-1),"fill=true")*100)</f>
        <v>6.8310998551153492</v>
      </c>
      <c r="J29" s="42">
        <f ca="1">IF($D29=0,"-",($E29-(_xll.IMDP("IDX",$D29,"현재가",EDATE($E$3,-3),"fill=true")))/_xll.IMDP("IDX",$D29,"현재가",EDATE($E$3,-3),"fill=true")*100)</f>
        <v>0.46549617989548414</v>
      </c>
      <c r="K29" s="42">
        <f ca="1">IF($D29=0,"-",($E29-(_xll.IMDP("IDX",$D29,"현재가",EDATE($E$3,-6),"fill=true")))/_xll.IMDP("IDX",$D29,"현재가",EDATE($E$3,-6),"fill=true")*100)</f>
        <v>4.1302686585055302</v>
      </c>
      <c r="L29" s="42">
        <f ca="1">IF($D29=0,"-",($E29-(_xll.IMDP("IDX",$D29,"현재가",EDATE($E$3,-12),"fill=true")))/_xll.IMDP("IDX",$D29,"현재가",EDATE($E$3,-12),"fill=true")*100)</f>
        <v>8.7647360328037003</v>
      </c>
      <c r="M29" s="10">
        <f ca="1">IF($D29=0,"-",_xll.IMDP("IDX",$D29,"외국인보유비중(시총)",$E$3))</f>
        <v>38.869999999999997</v>
      </c>
      <c r="N29" s="11" t="str">
        <f t="shared" ca="1" si="3"/>
        <v/>
      </c>
      <c r="O29" s="16" t="str">
        <f t="shared" ca="1" si="2"/>
        <v/>
      </c>
      <c r="P29" s="7"/>
      <c r="R29" t="s">
        <v>50</v>
      </c>
      <c r="S29" t="s">
        <v>174</v>
      </c>
      <c r="T29" t="s">
        <v>102</v>
      </c>
      <c r="U29" t="s">
        <v>101</v>
      </c>
    </row>
    <row r="30" spans="3:21">
      <c r="C30" s="15" t="str">
        <f t="shared" si="0"/>
        <v>KOSPI 중형주</v>
      </c>
      <c r="D30" s="6" t="str">
        <f t="shared" si="1"/>
        <v>202</v>
      </c>
      <c r="E30" s="37">
        <f ca="1">IF($D30=0,"-",_xll.IMDP("IDX",$D30,"현재가",$E$3))</f>
        <v>3025.42</v>
      </c>
      <c r="F30" s="37">
        <f ca="1">IF($D30=0,"-",_xll.IMDP("IDX",$D30,"전일대비",$E$3))</f>
        <v>-45.26</v>
      </c>
      <c r="G30" s="42">
        <f ca="1">IF($D30=0,"-",_xll.IMDP("IDX",$D30,"등락률",$E$3))</f>
        <v>-1.47</v>
      </c>
      <c r="H30" s="42">
        <f ca="1">IF($D30=0,"-",($E30-(_xll.IMDP("IDX",$D30,"현재가",$E$3-7,"fill=true")))/_xll.IMDP("IDX",$D30,"현재가",$E$3-7,"fill=true")*100)</f>
        <v>-1.9633766578851055</v>
      </c>
      <c r="I30" s="42">
        <f ca="1">IF($D30=0,"-",($E30-(_xll.IMDP("IDX",$D30,"현재가",EDATE($E$3,-1),"fill=true")))/_xll.IMDP("IDX",$D30,"현재가",EDATE($E$3,-1),"fill=true")*100)</f>
        <v>-0.95398355245926991</v>
      </c>
      <c r="J30" s="42">
        <f ca="1">IF($D30=0,"-",($E30-(_xll.IMDP("IDX",$D30,"현재가",EDATE($E$3,-3),"fill=true")))/_xll.IMDP("IDX",$D30,"현재가",EDATE($E$3,-3),"fill=true")*100)</f>
        <v>5.3672365575294947</v>
      </c>
      <c r="K30" s="42">
        <f ca="1">IF($D30=0,"-",($E30-(_xll.IMDP("IDX",$D30,"현재가",EDATE($E$3,-6),"fill=true")))/_xll.IMDP("IDX",$D30,"현재가",EDATE($E$3,-6),"fill=true")*100)</f>
        <v>9.1263886885009367</v>
      </c>
      <c r="L30" s="42">
        <f ca="1">IF($D30=0,"-",($E30-(_xll.IMDP("IDX",$D30,"현재가",EDATE($E$3,-12),"fill=true")))/_xll.IMDP("IDX",$D30,"현재가",EDATE($E$3,-12),"fill=true")*100)</f>
        <v>9.8008615902764493</v>
      </c>
      <c r="M30" s="10">
        <f ca="1">IF($D30=0,"-",_xll.IMDP("IDX",$D30,"외국인보유비중(시총)",$E$3))</f>
        <v>16.059999999999999</v>
      </c>
      <c r="N30" s="11" t="str">
        <f t="shared" ca="1" si="3"/>
        <v/>
      </c>
      <c r="O30" s="16" t="str">
        <f t="shared" ca="1" si="2"/>
        <v>||</v>
      </c>
      <c r="P30" s="7"/>
      <c r="R30" t="s">
        <v>51</v>
      </c>
      <c r="S30" t="s">
        <v>175</v>
      </c>
      <c r="T30" t="s">
        <v>104</v>
      </c>
      <c r="U30" t="s">
        <v>103</v>
      </c>
    </row>
    <row r="31" spans="3:21">
      <c r="C31" s="15" t="str">
        <f t="shared" si="0"/>
        <v>KOSPI 소형주</v>
      </c>
      <c r="D31" s="6" t="str">
        <f t="shared" si="1"/>
        <v>203</v>
      </c>
      <c r="E31" s="37">
        <f ca="1">IF($D31=0,"-",_xll.IMDP("IDX",$D31,"현재가",$E$3))</f>
        <v>2365.92</v>
      </c>
      <c r="F31" s="37">
        <f ca="1">IF($D31=0,"-",_xll.IMDP("IDX",$D31,"전일대비",$E$3))</f>
        <v>-20.75</v>
      </c>
      <c r="G31" s="42">
        <f ca="1">IF($D31=0,"-",_xll.IMDP("IDX",$D31,"등락률",$E$3))</f>
        <v>-0.87</v>
      </c>
      <c r="H31" s="42">
        <f ca="1">IF($D31=0,"-",($E31-(_xll.IMDP("IDX",$D31,"현재가",$E$3-7,"fill=true")))/_xll.IMDP("IDX",$D31,"현재가",$E$3-7,"fill=true")*100)</f>
        <v>-1.4684446813649858</v>
      </c>
      <c r="I31" s="42">
        <f ca="1">IF($D31=0,"-",($E31-(_xll.IMDP("IDX",$D31,"현재가",EDATE($E$3,-1),"fill=true")))/_xll.IMDP("IDX",$D31,"현재가",EDATE($E$3,-1),"fill=true")*100)</f>
        <v>2.5366546598342254E-2</v>
      </c>
      <c r="J31" s="42">
        <f ca="1">IF($D31=0,"-",($E31-(_xll.IMDP("IDX",$D31,"현재가",EDATE($E$3,-3),"fill=true")))/_xll.IMDP("IDX",$D31,"현재가",EDATE($E$3,-3),"fill=true")*100)</f>
        <v>1.7376833468787427</v>
      </c>
      <c r="K31" s="42">
        <f ca="1">IF($D31=0,"-",($E31-(_xll.IMDP("IDX",$D31,"현재가",EDATE($E$3,-6),"fill=true")))/_xll.IMDP("IDX",$D31,"현재가",EDATE($E$3,-6),"fill=true")*100)</f>
        <v>2.9681597409606164</v>
      </c>
      <c r="L31" s="42">
        <f ca="1">IF($D31=0,"-",($E31-(_xll.IMDP("IDX",$D31,"현재가",EDATE($E$3,-12),"fill=true")))/_xll.IMDP("IDX",$D31,"현재가",EDATE($E$3,-12),"fill=true")*100)</f>
        <v>-1.3176170276662096</v>
      </c>
      <c r="M31" s="10">
        <f ca="1">IF($D31=0,"-",_xll.IMDP("IDX",$D31,"외국인보유비중(시총)",$E$3))</f>
        <v>5.77</v>
      </c>
      <c r="N31" s="11" t="str">
        <f t="shared" ca="1" si="3"/>
        <v/>
      </c>
      <c r="O31" s="16" t="str">
        <f t="shared" ca="1" si="2"/>
        <v/>
      </c>
      <c r="P31" s="7"/>
      <c r="R31" t="s">
        <v>52</v>
      </c>
      <c r="S31" t="s">
        <v>176</v>
      </c>
      <c r="T31" t="s">
        <v>105</v>
      </c>
      <c r="U31" t="s">
        <v>162</v>
      </c>
    </row>
    <row r="32" spans="3:21">
      <c r="C32" s="15" t="str">
        <f t="shared" si="0"/>
        <v>K200 건설</v>
      </c>
      <c r="D32" s="6" t="str">
        <f t="shared" si="1"/>
        <v>212</v>
      </c>
      <c r="E32" s="37">
        <f ca="1">IF($D32=0,"-",_xll.IMDP("IDX",$D32,"현재가",$E$3))</f>
        <v>298.73</v>
      </c>
      <c r="F32" s="37">
        <f ca="1">IF($D32=0,"-",_xll.IMDP("IDX",$D32,"전일대비",$E$3))</f>
        <v>-5.8</v>
      </c>
      <c r="G32" s="42">
        <f ca="1">IF($D32=0,"-",_xll.IMDP("IDX",$D32,"등락률",$E$3))</f>
        <v>-1.9</v>
      </c>
      <c r="H32" s="42">
        <f ca="1">IF($D32=0,"-",($E32-(_xll.IMDP("IDX",$D32,"현재가",$E$3-7,"fill=true")))/_xll.IMDP("IDX",$D32,"현재가",$E$3-7,"fill=true")*100)</f>
        <v>-4.3498628120188537E-2</v>
      </c>
      <c r="I32" s="42">
        <f ca="1">IF($D32=0,"-",($E32-(_xll.IMDP("IDX",$D32,"현재가",EDATE($E$3,-1),"fill=true")))/_xll.IMDP("IDX",$D32,"현재가",EDATE($E$3,-1),"fill=true")*100)</f>
        <v>-0.85955130757997322</v>
      </c>
      <c r="J32" s="42">
        <f ca="1">IF($D32=0,"-",($E32-(_xll.IMDP("IDX",$D32,"현재가",EDATE($E$3,-3),"fill=true")))/_xll.IMDP("IDX",$D32,"현재가",EDATE($E$3,-3),"fill=true")*100)</f>
        <v>-5.2342733876851826</v>
      </c>
      <c r="K32" s="42">
        <f ca="1">IF($D32=0,"-",($E32-(_xll.IMDP("IDX",$D32,"현재가",EDATE($E$3,-6),"fill=true")))/_xll.IMDP("IDX",$D32,"현재가",EDATE($E$3,-6),"fill=true")*100)</f>
        <v>-2.308773995225482</v>
      </c>
      <c r="L32" s="42">
        <f ca="1">IF($D32=0,"-",($E32-(_xll.IMDP("IDX",$D32,"현재가",EDATE($E$3,-12),"fill=true")))/_xll.IMDP("IDX",$D32,"현재가",EDATE($E$3,-12),"fill=true")*100)</f>
        <v>-2.9277961915903004</v>
      </c>
      <c r="M32" s="10">
        <f ca="1">IF($D32=0,"-",_xll.IMDP("IDX",$D32,"외국인보유비중(시총)",$E$3))</f>
        <v>26.36</v>
      </c>
      <c r="N32" s="11" t="str">
        <f t="shared" ca="1" si="3"/>
        <v>||</v>
      </c>
      <c r="O32" s="16" t="str">
        <f t="shared" ca="1" si="2"/>
        <v/>
      </c>
      <c r="P32" s="7"/>
      <c r="R32" t="s">
        <v>53</v>
      </c>
      <c r="S32" t="s">
        <v>177</v>
      </c>
      <c r="T32" t="s">
        <v>106</v>
      </c>
      <c r="U32" t="s">
        <v>163</v>
      </c>
    </row>
    <row r="33" spans="3:21">
      <c r="C33" s="15" t="str">
        <f t="shared" si="0"/>
        <v>K200 중공업</v>
      </c>
      <c r="D33" s="6" t="str">
        <f t="shared" si="1"/>
        <v>213</v>
      </c>
      <c r="E33" s="37">
        <f ca="1">IF($D33=0,"-",_xll.IMDP("IDX",$D33,"현재가",$E$3))</f>
        <v>442.01</v>
      </c>
      <c r="F33" s="37">
        <f ca="1">IF($D33=0,"-",_xll.IMDP("IDX",$D33,"전일대비",$E$3))</f>
        <v>-3.57</v>
      </c>
      <c r="G33" s="42">
        <f ca="1">IF($D33=0,"-",_xll.IMDP("IDX",$D33,"등락률",$E$3))</f>
        <v>-0.8</v>
      </c>
      <c r="H33" s="42">
        <f ca="1">IF($D33=0,"-",($E33-(_xll.IMDP("IDX",$D33,"현재가",$E$3-7,"fill=true")))/_xll.IMDP("IDX",$D33,"현재가",$E$3-7,"fill=true")*100)</f>
        <v>0.16315801400438951</v>
      </c>
      <c r="I33" s="42">
        <f ca="1">IF($D33=0,"-",($E33-(_xll.IMDP("IDX",$D33,"현재가",EDATE($E$3,-1),"fill=true")))/_xll.IMDP("IDX",$D33,"현재가",EDATE($E$3,-1),"fill=true")*100)</f>
        <v>3.8484129408171404</v>
      </c>
      <c r="J33" s="42">
        <f ca="1">IF($D33=0,"-",($E33-(_xll.IMDP("IDX",$D33,"현재가",EDATE($E$3,-3),"fill=true")))/_xll.IMDP("IDX",$D33,"현재가",EDATE($E$3,-3),"fill=true")*100)</f>
        <v>19.520307176464225</v>
      </c>
      <c r="K33" s="42">
        <f ca="1">IF($D33=0,"-",($E33-(_xll.IMDP("IDX",$D33,"현재가",EDATE($E$3,-6),"fill=true")))/_xll.IMDP("IDX",$D33,"현재가",EDATE($E$3,-6),"fill=true")*100)</f>
        <v>32.49700239808152</v>
      </c>
      <c r="L33" s="42">
        <f ca="1">IF($D33=0,"-",($E33-(_xll.IMDP("IDX",$D33,"현재가",EDATE($E$3,-12),"fill=true")))/_xll.IMDP("IDX",$D33,"현재가",EDATE($E$3,-12),"fill=true")*100)</f>
        <v>22.841976543827471</v>
      </c>
      <c r="M33" s="10">
        <f ca="1">IF($D33=0,"-",_xll.IMDP("IDX",$D33,"외국인보유비중(시총)",$E$3))</f>
        <v>22.32</v>
      </c>
      <c r="N33" s="11" t="str">
        <f t="shared" ca="1" si="3"/>
        <v/>
      </c>
      <c r="O33" s="16" t="str">
        <f t="shared" ca="1" si="2"/>
        <v>||||||||</v>
      </c>
      <c r="P33" s="7"/>
      <c r="R33" t="s">
        <v>54</v>
      </c>
      <c r="S33" t="s">
        <v>178</v>
      </c>
      <c r="T33" t="s">
        <v>107</v>
      </c>
      <c r="U33" t="s">
        <v>164</v>
      </c>
    </row>
    <row r="34" spans="3:21">
      <c r="C34" s="15" t="str">
        <f t="shared" si="0"/>
        <v>K200 철강소재</v>
      </c>
      <c r="D34" s="6" t="str">
        <f t="shared" si="1"/>
        <v>214</v>
      </c>
      <c r="E34" s="37">
        <f ca="1">IF($D34=0,"-",_xll.IMDP("IDX",$D34,"현재가",$E$3))</f>
        <v>811.62</v>
      </c>
      <c r="F34" s="37">
        <f ca="1">IF($D34=0,"-",_xll.IMDP("IDX",$D34,"전일대비",$E$3))</f>
        <v>-12.25</v>
      </c>
      <c r="G34" s="42">
        <f ca="1">IF($D34=0,"-",_xll.IMDP("IDX",$D34,"등락률",$E$3))</f>
        <v>-1.49</v>
      </c>
      <c r="H34" s="42">
        <f ca="1">IF($D34=0,"-",($E34-(_xll.IMDP("IDX",$D34,"현재가",$E$3-7,"fill=true")))/_xll.IMDP("IDX",$D34,"현재가",$E$3-7,"fill=true")*100)</f>
        <v>-0.72169488208239274</v>
      </c>
      <c r="I34" s="42">
        <f ca="1">IF($D34=0,"-",($E34-(_xll.IMDP("IDX",$D34,"현재가",EDATE($E$3,-1),"fill=true")))/_xll.IMDP("IDX",$D34,"현재가",EDATE($E$3,-1),"fill=true")*100)</f>
        <v>-1.5346913026071527</v>
      </c>
      <c r="J34" s="42">
        <f ca="1">IF($D34=0,"-",($E34-(_xll.IMDP("IDX",$D34,"현재가",EDATE($E$3,-3),"fill=true")))/_xll.IMDP("IDX",$D34,"현재가",EDATE($E$3,-3),"fill=true")*100)</f>
        <v>-1.3395896139258949</v>
      </c>
      <c r="K34" s="42">
        <f ca="1">IF($D34=0,"-",($E34-(_xll.IMDP("IDX",$D34,"현재가",EDATE($E$3,-6),"fill=true")))/_xll.IMDP("IDX",$D34,"현재가",EDATE($E$3,-6),"fill=true")*100)</f>
        <v>-8.3805567471157989</v>
      </c>
      <c r="L34" s="42">
        <f ca="1">IF($D34=0,"-",($E34-(_xll.IMDP("IDX",$D34,"현재가",EDATE($E$3,-12),"fill=true")))/_xll.IMDP("IDX",$D34,"현재가",EDATE($E$3,-12),"fill=true")*100)</f>
        <v>-5.8150464762744729</v>
      </c>
      <c r="M34" s="10">
        <f ca="1">IF($D34=0,"-",_xll.IMDP("IDX",$D34,"외국인보유비중(시총)",$E$3))</f>
        <v>23.33</v>
      </c>
      <c r="N34" s="11" t="str">
        <f t="shared" ca="1" si="3"/>
        <v/>
      </c>
      <c r="O34" s="16" t="str">
        <f t="shared" ca="1" si="2"/>
        <v/>
      </c>
      <c r="P34" s="7"/>
      <c r="R34" t="s">
        <v>55</v>
      </c>
      <c r="S34" t="s">
        <v>179</v>
      </c>
      <c r="T34" t="s">
        <v>108</v>
      </c>
      <c r="U34" t="s">
        <v>165</v>
      </c>
    </row>
    <row r="35" spans="3:21">
      <c r="C35" s="15" t="str">
        <f t="shared" si="0"/>
        <v>K200 에너지화학</v>
      </c>
      <c r="D35" s="6" t="str">
        <f t="shared" si="1"/>
        <v>215</v>
      </c>
      <c r="E35" s="37">
        <f ca="1">IF($D35=0,"-",_xll.IMDP("IDX",$D35,"현재가",$E$3))</f>
        <v>1205.47</v>
      </c>
      <c r="F35" s="37">
        <f ca="1">IF($D35=0,"-",_xll.IMDP("IDX",$D35,"전일대비",$E$3))</f>
        <v>-20.81</v>
      </c>
      <c r="G35" s="42">
        <f ca="1">IF($D35=0,"-",_xll.IMDP("IDX",$D35,"등락률",$E$3))</f>
        <v>-1.7</v>
      </c>
      <c r="H35" s="42">
        <f ca="1">IF($D35=0,"-",($E35-(_xll.IMDP("IDX",$D35,"현재가",$E$3-7,"fill=true")))/_xll.IMDP("IDX",$D35,"현재가",$E$3-7,"fill=true")*100)</f>
        <v>-0.87818114541792247</v>
      </c>
      <c r="I35" s="42">
        <f ca="1">IF($D35=0,"-",($E35-(_xll.IMDP("IDX",$D35,"현재가",EDATE($E$3,-1),"fill=true")))/_xll.IMDP("IDX",$D35,"현재가",EDATE($E$3,-1),"fill=true")*100)</f>
        <v>-1.7546862265688647</v>
      </c>
      <c r="J35" s="42">
        <f ca="1">IF($D35=0,"-",($E35-(_xll.IMDP("IDX",$D35,"현재가",EDATE($E$3,-3),"fill=true")))/_xll.IMDP("IDX",$D35,"현재가",EDATE($E$3,-3),"fill=true")*100)</f>
        <v>-9.0883723736406274</v>
      </c>
      <c r="K35" s="42">
        <f ca="1">IF($D35=0,"-",($E35-(_xll.IMDP("IDX",$D35,"현재가",EDATE($E$3,-6),"fill=true")))/_xll.IMDP("IDX",$D35,"현재가",EDATE($E$3,-6),"fill=true")*100)</f>
        <v>-14.436494754624299</v>
      </c>
      <c r="L35" s="42">
        <f ca="1">IF($D35=0,"-",($E35-(_xll.IMDP("IDX",$D35,"현재가",EDATE($E$3,-12),"fill=true")))/_xll.IMDP("IDX",$D35,"현재가",EDATE($E$3,-12),"fill=true")*100)</f>
        <v>-19.114972992921121</v>
      </c>
      <c r="M35" s="10">
        <f ca="1">IF($D35=0,"-",_xll.IMDP("IDX",$D35,"외국인보유비중(시총)",$E$3))</f>
        <v>27.39</v>
      </c>
      <c r="N35" s="11" t="str">
        <f t="shared" ca="1" si="3"/>
        <v>|||</v>
      </c>
      <c r="O35" s="16" t="str">
        <f t="shared" ca="1" si="2"/>
        <v/>
      </c>
      <c r="P35" s="7"/>
      <c r="R35" t="s">
        <v>56</v>
      </c>
      <c r="S35" t="s">
        <v>180</v>
      </c>
      <c r="T35" t="s">
        <v>152</v>
      </c>
      <c r="U35" t="s">
        <v>166</v>
      </c>
    </row>
    <row r="36" spans="3:21">
      <c r="C36" s="15" t="str">
        <f t="shared" si="0"/>
        <v>K200 정보기술</v>
      </c>
      <c r="D36" s="6" t="str">
        <f t="shared" si="1"/>
        <v>216</v>
      </c>
      <c r="E36" s="37">
        <f ca="1">IF($D36=0,"-",_xll.IMDP("IDX",$D36,"현재가",$E$3))</f>
        <v>3690.6</v>
      </c>
      <c r="F36" s="37">
        <f ca="1">IF($D36=0,"-",_xll.IMDP("IDX",$D36,"전일대비",$E$3))</f>
        <v>-64.459999999999994</v>
      </c>
      <c r="G36" s="42">
        <f ca="1">IF($D36=0,"-",_xll.IMDP("IDX",$D36,"등락률",$E$3))</f>
        <v>-1.72</v>
      </c>
      <c r="H36" s="42">
        <f ca="1">IF($D36=0,"-",($E36-(_xll.IMDP("IDX",$D36,"현재가",$E$3-7,"fill=true")))/_xll.IMDP("IDX",$D36,"현재가",$E$3-7,"fill=true")*100)</f>
        <v>7.1855637956048518E-2</v>
      </c>
      <c r="I36" s="42">
        <f ca="1">IF($D36=0,"-",($E36-(_xll.IMDP("IDX",$D36,"현재가",EDATE($E$3,-1),"fill=true")))/_xll.IMDP("IDX",$D36,"현재가",EDATE($E$3,-1),"fill=true")*100)</f>
        <v>7.8627647541917813</v>
      </c>
      <c r="J36" s="42">
        <f ca="1">IF($D36=0,"-",($E36-(_xll.IMDP("IDX",$D36,"현재가",EDATE($E$3,-3),"fill=true")))/_xll.IMDP("IDX",$D36,"현재가",EDATE($E$3,-3),"fill=true")*100)</f>
        <v>2.3426841036903934</v>
      </c>
      <c r="K36" s="42">
        <f ca="1">IF($D36=0,"-",($E36-(_xll.IMDP("IDX",$D36,"현재가",EDATE($E$3,-6),"fill=true")))/_xll.IMDP("IDX",$D36,"현재가",EDATE($E$3,-6),"fill=true")*100)</f>
        <v>9.4399601454217557</v>
      </c>
      <c r="L36" s="42">
        <f ca="1">IF($D36=0,"-",($E36-(_xll.IMDP("IDX",$D36,"현재가",EDATE($E$3,-12),"fill=true")))/_xll.IMDP("IDX",$D36,"현재가",EDATE($E$3,-12),"fill=true")*100)</f>
        <v>10.708479070799912</v>
      </c>
      <c r="M36" s="10">
        <f ca="1">IF($D36=0,"-",_xll.IMDP("IDX",$D36,"외국인보유비중(시총)",$E$3))</f>
        <v>51.66</v>
      </c>
      <c r="N36" s="11" t="str">
        <f t="shared" ca="1" si="3"/>
        <v/>
      </c>
      <c r="O36" s="16" t="str">
        <f t="shared" ca="1" si="2"/>
        <v>|</v>
      </c>
      <c r="P36" s="7"/>
      <c r="R36" t="s">
        <v>57</v>
      </c>
      <c r="S36" t="s">
        <v>181</v>
      </c>
      <c r="T36" t="s">
        <v>153</v>
      </c>
      <c r="U36" t="s">
        <v>167</v>
      </c>
    </row>
    <row r="37" spans="3:21">
      <c r="C37" s="15" t="str">
        <f t="shared" si="0"/>
        <v>K200 금융</v>
      </c>
      <c r="D37" s="6" t="str">
        <f t="shared" si="1"/>
        <v>217</v>
      </c>
      <c r="E37" s="37">
        <f ca="1">IF($D37=0,"-",_xll.IMDP("IDX",$D37,"현재가",$E$3))</f>
        <v>830.03</v>
      </c>
      <c r="F37" s="37">
        <f ca="1">IF($D37=0,"-",_xll.IMDP("IDX",$D37,"전일대비",$E$3))</f>
        <v>19.239999999999998</v>
      </c>
      <c r="G37" s="42">
        <f ca="1">IF($D37=0,"-",_xll.IMDP("IDX",$D37,"등락률",$E$3))</f>
        <v>2.37</v>
      </c>
      <c r="H37" s="42">
        <f ca="1">IF($D37=0,"-",($E37-(_xll.IMDP("IDX",$D37,"현재가",$E$3-7,"fill=true")))/_xll.IMDP("IDX",$D37,"현재가",$E$3-7,"fill=true")*100)</f>
        <v>2.9405198928465026</v>
      </c>
      <c r="I37" s="42">
        <f ca="1">IF($D37=0,"-",($E37-(_xll.IMDP("IDX",$D37,"현재가",EDATE($E$3,-1),"fill=true")))/_xll.IMDP("IDX",$D37,"현재가",EDATE($E$3,-1),"fill=true")*100)</f>
        <v>3.1939229678991397</v>
      </c>
      <c r="J37" s="42">
        <f ca="1">IF($D37=0,"-",($E37-(_xll.IMDP("IDX",$D37,"현재가",EDATE($E$3,-3),"fill=true")))/_xll.IMDP("IDX",$D37,"현재가",EDATE($E$3,-3),"fill=true")*100)</f>
        <v>7.2681218418433957</v>
      </c>
      <c r="K37" s="42">
        <f ca="1">IF($D37=0,"-",($E37-(_xll.IMDP("IDX",$D37,"현재가",EDATE($E$3,-6),"fill=true")))/_xll.IMDP("IDX",$D37,"현재가",EDATE($E$3,-6),"fill=true")*100)</f>
        <v>25.541472563373468</v>
      </c>
      <c r="L37" s="42">
        <f ca="1">IF($D37=0,"-",($E37-(_xll.IMDP("IDX",$D37,"현재가",EDATE($E$3,-12),"fill=true")))/_xll.IMDP("IDX",$D37,"현재가",EDATE($E$3,-12),"fill=true")*100)</f>
        <v>41.219205117735122</v>
      </c>
      <c r="M37" s="10">
        <f ca="1">IF($D37=0,"-",_xll.IMDP("IDX",$D37,"외국인보유비중(시총)",$E$3))</f>
        <v>44.48</v>
      </c>
      <c r="N37" s="11" t="str">
        <f t="shared" ca="1" si="3"/>
        <v/>
      </c>
      <c r="O37" s="16" t="str">
        <f t="shared" ca="1" si="2"/>
        <v>|||</v>
      </c>
      <c r="P37" s="7"/>
      <c r="R37" t="s">
        <v>58</v>
      </c>
      <c r="S37" t="s">
        <v>182</v>
      </c>
      <c r="T37" t="s">
        <v>154</v>
      </c>
      <c r="U37" t="s">
        <v>168</v>
      </c>
    </row>
    <row r="38" spans="3:21">
      <c r="C38" s="15" t="str">
        <f t="shared" si="0"/>
        <v>K200 생활소비재</v>
      </c>
      <c r="D38" s="6" t="str">
        <f t="shared" si="1"/>
        <v>218</v>
      </c>
      <c r="E38" s="37">
        <f ca="1">IF($D38=0,"-",_xll.IMDP("IDX",$D38,"현재가",$E$3))</f>
        <v>873.14</v>
      </c>
      <c r="F38" s="37">
        <f ca="1">IF($D38=0,"-",_xll.IMDP("IDX",$D38,"전일대비",$E$3))</f>
        <v>-14.75</v>
      </c>
      <c r="G38" s="42">
        <f ca="1">IF($D38=0,"-",_xll.IMDP("IDX",$D38,"등락률",$E$3))</f>
        <v>-1.66</v>
      </c>
      <c r="H38" s="42">
        <f ca="1">IF($D38=0,"-",($E38-(_xll.IMDP("IDX",$D38,"현재가",$E$3-7,"fill=true")))/_xll.IMDP("IDX",$D38,"현재가",$E$3-7,"fill=true")*100)</f>
        <v>-3.4361486822751406</v>
      </c>
      <c r="I38" s="42">
        <f ca="1">IF($D38=0,"-",($E38-(_xll.IMDP("IDX",$D38,"현재가",EDATE($E$3,-1),"fill=true")))/_xll.IMDP("IDX",$D38,"현재가",EDATE($E$3,-1),"fill=true")*100)</f>
        <v>-1.4837130059010006</v>
      </c>
      <c r="J38" s="42">
        <f ca="1">IF($D38=0,"-",($E38-(_xll.IMDP("IDX",$D38,"현재가",EDATE($E$3,-3),"fill=true")))/_xll.IMDP("IDX",$D38,"현재가",EDATE($E$3,-3),"fill=true")*100)</f>
        <v>7.0286835008580573</v>
      </c>
      <c r="K38" s="42">
        <f ca="1">IF($D38=0,"-",($E38-(_xll.IMDP("IDX",$D38,"현재가",EDATE($E$3,-6),"fill=true")))/_xll.IMDP("IDX",$D38,"현재가",EDATE($E$3,-6),"fill=true")*100)</f>
        <v>8.1435241952464121</v>
      </c>
      <c r="L38" s="42">
        <f ca="1">IF($D38=0,"-",($E38-(_xll.IMDP("IDX",$D38,"현재가",EDATE($E$3,-12),"fill=true")))/_xll.IMDP("IDX",$D38,"현재가",EDATE($E$3,-12),"fill=true")*100)</f>
        <v>13.706390238185156</v>
      </c>
      <c r="M38" s="10">
        <f ca="1">IF($D38=0,"-",_xll.IMDP("IDX",$D38,"외국인보유비중(시총)",$E$3))</f>
        <v>22.06</v>
      </c>
      <c r="N38" s="11" t="str">
        <f t="shared" ca="1" si="3"/>
        <v/>
      </c>
      <c r="O38" s="16" t="str">
        <f t="shared" ca="1" si="2"/>
        <v>|||</v>
      </c>
      <c r="P38" s="7"/>
      <c r="R38" t="s">
        <v>59</v>
      </c>
      <c r="S38" t="s">
        <v>183</v>
      </c>
      <c r="T38" t="s">
        <v>155</v>
      </c>
      <c r="U38" t="s">
        <v>169</v>
      </c>
    </row>
    <row r="39" spans="3:21">
      <c r="C39" s="15" t="str">
        <f t="shared" si="0"/>
        <v>K200 경기소비재</v>
      </c>
      <c r="D39" s="6" t="str">
        <f t="shared" si="1"/>
        <v>219</v>
      </c>
      <c r="E39" s="37">
        <f ca="1">IF($D39=0,"-",_xll.IMDP("IDX",$D39,"현재가",$E$3))</f>
        <v>1733.84</v>
      </c>
      <c r="F39" s="37">
        <f ca="1">IF($D39=0,"-",_xll.IMDP("IDX",$D39,"전일대비",$E$3))</f>
        <v>-65.06</v>
      </c>
      <c r="G39" s="42">
        <f ca="1">IF($D39=0,"-",_xll.IMDP("IDX",$D39,"등락률",$E$3))</f>
        <v>-3.62</v>
      </c>
      <c r="H39" s="42">
        <f ca="1">IF($D39=0,"-",($E39-(_xll.IMDP("IDX",$D39,"현재가",$E$3-7,"fill=true")))/_xll.IMDP("IDX",$D39,"현재가",$E$3-7,"fill=true")*100)</f>
        <v>-4.2627440586624283</v>
      </c>
      <c r="I39" s="42">
        <f ca="1">IF($D39=0,"-",($E39-(_xll.IMDP("IDX",$D39,"현재가",EDATE($E$3,-1),"fill=true")))/_xll.IMDP("IDX",$D39,"현재가",EDATE($E$3,-1),"fill=true")*100)</f>
        <v>4.1195263145252277</v>
      </c>
      <c r="J39" s="42">
        <f ca="1">IF($D39=0,"-",($E39-(_xll.IMDP("IDX",$D39,"현재가",EDATE($E$3,-3),"fill=true")))/_xll.IMDP("IDX",$D39,"현재가",EDATE($E$3,-3),"fill=true")*100)</f>
        <v>6.7129501406352858</v>
      </c>
      <c r="K39" s="42">
        <f ca="1">IF($D39=0,"-",($E39-(_xll.IMDP("IDX",$D39,"현재가",EDATE($E$3,-6),"fill=true")))/_xll.IMDP("IDX",$D39,"현재가",EDATE($E$3,-6),"fill=true")*100)</f>
        <v>10.902589884801603</v>
      </c>
      <c r="L39" s="42">
        <f ca="1">IF($D39=0,"-",($E39-(_xll.IMDP("IDX",$D39,"현재가",EDATE($E$3,-12),"fill=true")))/_xll.IMDP("IDX",$D39,"현재가",EDATE($E$3,-12),"fill=true")*100)</f>
        <v>11.164254893537894</v>
      </c>
      <c r="M39" s="10">
        <f ca="1">IF($D39=0,"-",_xll.IMDP("IDX",$D39,"외국인보유비중(시총)",$E$3))</f>
        <v>36.35</v>
      </c>
      <c r="N39" s="11" t="str">
        <f t="shared" ca="1" si="3"/>
        <v/>
      </c>
      <c r="O39" s="16" t="str">
        <f t="shared" ca="1" si="2"/>
        <v>||</v>
      </c>
      <c r="P39" s="7"/>
      <c r="R39" t="s">
        <v>60</v>
      </c>
      <c r="S39" t="s">
        <v>184</v>
      </c>
      <c r="T39" t="s">
        <v>156</v>
      </c>
      <c r="U39" t="s">
        <v>170</v>
      </c>
    </row>
    <row r="40" spans="3:21">
      <c r="C40" s="15" t="str">
        <f t="shared" si="0"/>
        <v>K200 커뮤니케이션서비스</v>
      </c>
      <c r="D40" s="6" t="str">
        <f t="shared" si="1"/>
        <v>220</v>
      </c>
      <c r="E40" s="37">
        <f ca="1">IF($D40=0,"-",_xll.IMDP("IDX",$D40,"현재가",$E$3))</f>
        <v>1611.08</v>
      </c>
      <c r="F40" s="37">
        <f ca="1">IF($D40=0,"-",_xll.IMDP("IDX",$D40,"전일대비",$E$3))</f>
        <v>-22.59</v>
      </c>
      <c r="G40" s="42">
        <f ca="1">IF($D40=0,"-",_xll.IMDP("IDX",$D40,"등락률",$E$3))</f>
        <v>-1.38</v>
      </c>
      <c r="H40" s="42">
        <f ca="1">IF($D40=0,"-",($E40-(_xll.IMDP("IDX",$D40,"현재가",$E$3-7,"fill=true")))/_xll.IMDP("IDX",$D40,"현재가",$E$3-7,"fill=true")*100)</f>
        <v>-2.9738747094178786</v>
      </c>
      <c r="I40" s="42">
        <f ca="1">IF($D40=0,"-",($E40-(_xll.IMDP("IDX",$D40,"현재가",EDATE($E$3,-1),"fill=true")))/_xll.IMDP("IDX",$D40,"현재가",EDATE($E$3,-1),"fill=true")*100)</f>
        <v>-2.1054486458896715</v>
      </c>
      <c r="J40" s="42">
        <f ca="1">IF($D40=0,"-",($E40-(_xll.IMDP("IDX",$D40,"현재가",EDATE($E$3,-3),"fill=true")))/_xll.IMDP("IDX",$D40,"현재가",EDATE($E$3,-3),"fill=true")*100)</f>
        <v>-8.7899271940849442</v>
      </c>
      <c r="K40" s="42">
        <f ca="1">IF($D40=0,"-",($E40-(_xll.IMDP("IDX",$D40,"현재가",EDATE($E$3,-6),"fill=true")))/_xll.IMDP("IDX",$D40,"현재가",EDATE($E$3,-6),"fill=true")*100)</f>
        <v>-12.054631504822844</v>
      </c>
      <c r="L40" s="42">
        <f ca="1">IF($D40=0,"-",($E40-(_xll.IMDP("IDX",$D40,"현재가",EDATE($E$3,-12),"fill=true")))/_xll.IMDP("IDX",$D40,"현재가",EDATE($E$3,-12),"fill=true")*100)</f>
        <v>-5.3030035854934479</v>
      </c>
      <c r="M40" s="10">
        <f ca="1">IF($D40=0,"-",_xll.IMDP("IDX",$D40,"외국인보유비중(시총)",$E$3))</f>
        <v>36.380000000000003</v>
      </c>
      <c r="N40" s="11" t="str">
        <f t="shared" ca="1" si="3"/>
        <v>|||</v>
      </c>
      <c r="O40" s="16" t="str">
        <f t="shared" ca="1" si="2"/>
        <v/>
      </c>
      <c r="P40" s="7"/>
      <c r="R40" t="s">
        <v>190</v>
      </c>
      <c r="S40" t="s">
        <v>185</v>
      </c>
      <c r="T40" t="s">
        <v>157</v>
      </c>
      <c r="U40" t="s">
        <v>171</v>
      </c>
    </row>
    <row r="41" spans="3:21">
      <c r="C41" s="15" t="str">
        <f t="shared" si="0"/>
        <v>K200 중소형주지수</v>
      </c>
      <c r="D41" s="6" t="str">
        <f t="shared" si="1"/>
        <v>250</v>
      </c>
      <c r="E41" s="37">
        <f ca="1">IF($D41=0,"-",_xll.IMDP("IDX",$D41,"현재가",$E$3))</f>
        <v>1351.78</v>
      </c>
      <c r="F41" s="37">
        <f ca="1">IF($D41=0,"-",_xll.IMDP("IDX",$D41,"전일대비",$E$3))</f>
        <v>-16.440000000000001</v>
      </c>
      <c r="G41" s="42">
        <f ca="1">IF($D41=0,"-",_xll.IMDP("IDX",$D41,"등락률",$E$3))</f>
        <v>-1.2</v>
      </c>
      <c r="H41" s="42">
        <f ca="1">IF($D41=0,"-",($E41-(_xll.IMDP("IDX",$D41,"현재가",$E$3-7,"fill=true")))/_xll.IMDP("IDX",$D41,"현재가",$E$3-7,"fill=true")*100)</f>
        <v>-1.2744389182241145</v>
      </c>
      <c r="I41" s="42">
        <f ca="1">IF($D41=0,"-",($E41-(_xll.IMDP("IDX",$D41,"현재가",EDATE($E$3,-1),"fill=true")))/_xll.IMDP("IDX",$D41,"현재가",EDATE($E$3,-1),"fill=true")*100)</f>
        <v>-2.1151492769679749</v>
      </c>
      <c r="J41" s="42">
        <f ca="1">IF($D41=0,"-",($E41-(_xll.IMDP("IDX",$D41,"현재가",EDATE($E$3,-3),"fill=true")))/_xll.IMDP("IDX",$D41,"현재가",EDATE($E$3,-3),"fill=true")*100)</f>
        <v>8.1026182364889667</v>
      </c>
      <c r="K41" s="42">
        <f ca="1">IF($D41=0,"-",($E41-(_xll.IMDP("IDX",$D41,"현재가",EDATE($E$3,-6),"fill=true")))/_xll.IMDP("IDX",$D41,"현재가",EDATE($E$3,-6),"fill=true")*100)</f>
        <v>11.414418646819804</v>
      </c>
      <c r="L41" s="42">
        <f ca="1">IF($D41=0,"-",($E41-(_xll.IMDP("IDX",$D41,"현재가",EDATE($E$3,-12),"fill=true")))/_xll.IMDP("IDX",$D41,"현재가",EDATE($E$3,-12),"fill=true")*100)</f>
        <v>12.688713455654947</v>
      </c>
      <c r="M41" s="10" t="str">
        <f ca="1">IF($D41=0,"-",_xll.IMDP("IDX",$D41,"외국인보유비중(시총)",$E$3))</f>
        <v/>
      </c>
      <c r="N41" s="11" t="str">
        <f t="shared" ca="1" si="3"/>
        <v/>
      </c>
      <c r="O41" s="16" t="str">
        <f t="shared" ca="1" si="2"/>
        <v>|||</v>
      </c>
      <c r="P41" s="7"/>
      <c r="R41" t="s">
        <v>191</v>
      </c>
      <c r="S41" t="s">
        <v>186</v>
      </c>
      <c r="T41" t="s">
        <v>158</v>
      </c>
      <c r="U41" t="s">
        <v>172</v>
      </c>
    </row>
    <row r="42" spans="3:21">
      <c r="C42" s="15" t="str">
        <f t="shared" si="0"/>
        <v>K200 경기방어소비재</v>
      </c>
      <c r="D42" s="6" t="str">
        <f t="shared" si="1"/>
        <v>251</v>
      </c>
      <c r="E42" s="37">
        <f ca="1">IF($D42=0,"-",_xll.IMDP("IDX",$D42,"현재가",$E$3))</f>
        <v>918.85</v>
      </c>
      <c r="F42" s="37">
        <f ca="1">IF($D42=0,"-",_xll.IMDP("IDX",$D42,"전일대비",$E$3))</f>
        <v>-4.43</v>
      </c>
      <c r="G42" s="42">
        <f ca="1">IF($D42=0,"-",_xll.IMDP("IDX",$D42,"등락률",$E$3))</f>
        <v>-0.48</v>
      </c>
      <c r="H42" s="42">
        <f ca="1">IF($D42=0,"-",($E42-(_xll.IMDP("IDX",$D42,"현재가",$E$3-7,"fill=true")))/_xll.IMDP("IDX",$D42,"현재가",$E$3-7,"fill=true")*100)</f>
        <v>-5.5473372781064102E-2</v>
      </c>
      <c r="I42" s="42">
        <f ca="1">IF($D42=0,"-",($E42-(_xll.IMDP("IDX",$D42,"현재가",EDATE($E$3,-1),"fill=true")))/_xll.IMDP("IDX",$D42,"현재가",EDATE($E$3,-1),"fill=true")*100)</f>
        <v>1.7383601838011453</v>
      </c>
      <c r="J42" s="42">
        <f ca="1">IF($D42=0,"-",($E42-(_xll.IMDP("IDX",$D42,"현재가",EDATE($E$3,-3),"fill=true")))/_xll.IMDP("IDX",$D42,"현재가",EDATE($E$3,-3),"fill=true")*100)</f>
        <v>0.66610427599505251</v>
      </c>
      <c r="K42" s="42">
        <f ca="1">IF($D42=0,"-",($E42-(_xll.IMDP("IDX",$D42,"현재가",EDATE($E$3,-6),"fill=true")))/_xll.IMDP("IDX",$D42,"현재가",EDATE($E$3,-6),"fill=true")*100)</f>
        <v>-4.9517957629923872</v>
      </c>
      <c r="L42" s="42">
        <f ca="1">IF($D42=0,"-",($E42-(_xll.IMDP("IDX",$D42,"현재가",EDATE($E$3,-12),"fill=true")))/_xll.IMDP("IDX",$D42,"현재가",EDATE($E$3,-12),"fill=true")*100)</f>
        <v>12.095888739782843</v>
      </c>
      <c r="M42" s="10" t="str">
        <f ca="1">IF($D42=0,"-",_xll.IMDP("IDX",$D42,"외국인보유비중(시총)",$E$3))</f>
        <v/>
      </c>
      <c r="N42" s="11" t="str">
        <f t="shared" ca="1" si="3"/>
        <v/>
      </c>
      <c r="O42" s="16" t="str">
        <f t="shared" ca="1" si="2"/>
        <v/>
      </c>
      <c r="P42" s="7"/>
      <c r="R42" t="s">
        <v>192</v>
      </c>
      <c r="S42" t="s">
        <v>187</v>
      </c>
      <c r="T42" t="s">
        <v>159</v>
      </c>
      <c r="U42" t="s">
        <v>173</v>
      </c>
    </row>
    <row r="43" spans="3:21">
      <c r="C43" s="15" t="str">
        <f t="shared" si="0"/>
        <v>K200 산업재</v>
      </c>
      <c r="D43" s="6" t="str">
        <f t="shared" si="1"/>
        <v>252</v>
      </c>
      <c r="E43" s="37">
        <f ca="1">IF($D43=0,"-",_xll.IMDP("IDX",$D43,"현재가",$E$3))</f>
        <v>659.23</v>
      </c>
      <c r="F43" s="37">
        <f ca="1">IF($D43=0,"-",_xll.IMDP("IDX",$D43,"전일대비",$E$3))</f>
        <v>-15.57</v>
      </c>
      <c r="G43" s="42">
        <f ca="1">IF($D43=0,"-",_xll.IMDP("IDX",$D43,"등락률",$E$3))</f>
        <v>-2.31</v>
      </c>
      <c r="H43" s="42">
        <f ca="1">IF($D43=0,"-",($E43-(_xll.IMDP("IDX",$D43,"현재가",$E$3-7,"fill=true")))/_xll.IMDP("IDX",$D43,"현재가",$E$3-7,"fill=true")*100)</f>
        <v>9.2617898029214663E-2</v>
      </c>
      <c r="I43" s="42">
        <f ca="1">IF($D43=0,"-",($E43-(_xll.IMDP("IDX",$D43,"현재가",EDATE($E$3,-1),"fill=true")))/_xll.IMDP("IDX",$D43,"현재가",EDATE($E$3,-1),"fill=true")*100)</f>
        <v>3.5239246847469423</v>
      </c>
      <c r="J43" s="42">
        <f ca="1">IF($D43=0,"-",($E43-(_xll.IMDP("IDX",$D43,"현재가",EDATE($E$3,-3),"fill=true")))/_xll.IMDP("IDX",$D43,"현재가",EDATE($E$3,-3),"fill=true")*100)</f>
        <v>2.575154042447263</v>
      </c>
      <c r="K43" s="42">
        <f ca="1">IF($D43=0,"-",($E43-(_xll.IMDP("IDX",$D43,"현재가",EDATE($E$3,-6),"fill=true")))/_xll.IMDP("IDX",$D43,"현재가",EDATE($E$3,-6),"fill=true")*100)</f>
        <v>-0.23759079903146735</v>
      </c>
      <c r="L43" s="42">
        <f ca="1">IF($D43=0,"-",($E43-(_xll.IMDP("IDX",$D43,"현재가",EDATE($E$3,-12),"fill=true")))/_xll.IMDP("IDX",$D43,"현재가",EDATE($E$3,-12),"fill=true")*100)</f>
        <v>2.8327639727330816</v>
      </c>
      <c r="M43" s="10">
        <f ca="1">IF($D43=0,"-",_xll.IMDP("IDX",$D43,"외국인보유비중(시총)",$E$3))</f>
        <v>13.83</v>
      </c>
      <c r="N43" s="11" t="str">
        <f t="shared" ca="1" si="3"/>
        <v/>
      </c>
      <c r="O43" s="16" t="str">
        <f ca="1">IF($D43=0,"",IF(J43&gt;0,REPT("|",ABS(J43)/MAX(MAX(J$6:J$44), ABS(MIN(J$6:J$44)))*12),""))</f>
        <v>|</v>
      </c>
      <c r="P43" s="7"/>
      <c r="R43" t="s">
        <v>193</v>
      </c>
      <c r="S43" t="s">
        <v>188</v>
      </c>
    </row>
    <row r="44" spans="3:21">
      <c r="C44" s="17" t="str">
        <f t="shared" si="0"/>
        <v>K200 헬스케어</v>
      </c>
      <c r="D44" s="18" t="str">
        <f t="shared" si="1"/>
        <v>253</v>
      </c>
      <c r="E44" s="38">
        <f ca="1">IF($D44=0,"-",_xll.IMDP("IDX",$D44,"현재가",$E$3))</f>
        <v>1775.23</v>
      </c>
      <c r="F44" s="38">
        <f ca="1">IF($D44=0,"-",_xll.IMDP("IDX",$D44,"전일대비",$E$3))</f>
        <v>-9.1300000000000008</v>
      </c>
      <c r="G44" s="43">
        <f ca="1">IF($D44=0,"-",_xll.IMDP("IDX",$D44,"등락률",$E$3))</f>
        <v>-0.51</v>
      </c>
      <c r="H44" s="43">
        <f ca="1">IF($D44=0,"-",($E44-(_xll.IMDP("IDX",$D44,"현재가",$E$3-7,"fill=true")))/_xll.IMDP("IDX",$D44,"현재가",$E$3-7,"fill=true")*100)</f>
        <v>2.5646506898384658</v>
      </c>
      <c r="I44" s="43">
        <f ca="1">IF($D44=0,"-",($E44-(_xll.IMDP("IDX",$D44,"현재가",EDATE($E$3,-1),"fill=true")))/_xll.IMDP("IDX",$D44,"현재가",EDATE($E$3,-1),"fill=true")*100)</f>
        <v>4.0482721432925359</v>
      </c>
      <c r="J44" s="43">
        <f ca="1">IF($D44=0,"-",($E44-(_xll.IMDP("IDX",$D44,"현재가",EDATE($E$3,-3),"fill=true")))/_xll.IMDP("IDX",$D44,"현재가",EDATE($E$3,-3),"fill=true")*100)</f>
        <v>-5.7348279286120123</v>
      </c>
      <c r="K44" s="43">
        <f ca="1">IF($D44=0,"-",($E44-(_xll.IMDP("IDX",$D44,"현재가",EDATE($E$3,-6),"fill=true")))/_xll.IMDP("IDX",$D44,"현재가",EDATE($E$3,-6),"fill=true")*100)</f>
        <v>-12.265433105500122</v>
      </c>
      <c r="L44" s="43">
        <f ca="1">IF($D44=0,"-",($E44-(_xll.IMDP("IDX",$D44,"현재가",EDATE($E$3,-12),"fill=true")))/_xll.IMDP("IDX",$D44,"현재가",EDATE($E$3,-12),"fill=true")*100)</f>
        <v>9.2920027088592061</v>
      </c>
      <c r="M44" s="19">
        <f ca="1">IF($D44=0,"-",_xll.IMDP("IDX",$D44,"외국인보유비중(시총)",$E$3))</f>
        <v>15.5</v>
      </c>
      <c r="N44" s="20" t="str">
        <f t="shared" ca="1" si="3"/>
        <v>||</v>
      </c>
      <c r="O44" s="21" t="str">
        <f ca="1">IF($D44=0,"",IF(J44&gt;0,REPT("|",ABS(J44)/MAX(MAX(J$6:J$44), ABS(MIN(J$6:J$44)))*12),""))</f>
        <v/>
      </c>
      <c r="R44" t="s">
        <v>194</v>
      </c>
      <c r="S44" t="s">
        <v>189</v>
      </c>
    </row>
    <row r="45" spans="3:21" ht="5.0999999999999996" hidden="1" customHeight="1"/>
    <row r="46" spans="3:21" ht="5.0999999999999996" hidden="1" customHeight="1"/>
    <row r="47" spans="3:21"/>
    <row r="48" spans="3:21" ht="21" customHeight="1">
      <c r="C48" s="28" t="s">
        <v>125</v>
      </c>
    </row>
    <row r="49" spans="3:330">
      <c r="C49" s="66" t="s">
        <v>143</v>
      </c>
      <c r="D49" s="29"/>
      <c r="E49" s="68" t="s">
        <v>144</v>
      </c>
      <c r="F49" s="68"/>
      <c r="G49" s="68"/>
      <c r="H49" s="68" t="s">
        <v>145</v>
      </c>
      <c r="I49" s="68"/>
      <c r="J49" s="68"/>
      <c r="K49" s="68" t="s">
        <v>146</v>
      </c>
      <c r="L49" s="68"/>
      <c r="M49" s="69"/>
    </row>
    <row r="50" spans="3:330">
      <c r="C50" s="67"/>
      <c r="D50" s="30"/>
      <c r="E50" s="31" t="s">
        <v>147</v>
      </c>
      <c r="F50" s="31" t="s">
        <v>148</v>
      </c>
      <c r="G50" s="31" t="s">
        <v>149</v>
      </c>
      <c r="H50" s="31" t="s">
        <v>147</v>
      </c>
      <c r="I50" s="31" t="s">
        <v>148</v>
      </c>
      <c r="J50" s="31" t="s">
        <v>149</v>
      </c>
      <c r="K50" s="31" t="s">
        <v>147</v>
      </c>
      <c r="L50" s="31" t="s">
        <v>148</v>
      </c>
      <c r="M50" s="32" t="s">
        <v>149</v>
      </c>
      <c r="R50">
        <v>1</v>
      </c>
      <c r="V50">
        <f>R50+1</f>
        <v>2</v>
      </c>
      <c r="Z50">
        <f>V50+1</f>
        <v>3</v>
      </c>
      <c r="AD50">
        <f>Z50+1</f>
        <v>4</v>
      </c>
      <c r="AH50">
        <f>AD50+1</f>
        <v>5</v>
      </c>
      <c r="AL50">
        <f t="shared" ref="AL50" si="4">AH50+1</f>
        <v>6</v>
      </c>
      <c r="AP50">
        <f t="shared" ref="AP50" si="5">AL50+1</f>
        <v>7</v>
      </c>
      <c r="AT50">
        <f t="shared" ref="AT50" si="6">AP50+1</f>
        <v>8</v>
      </c>
      <c r="AX50">
        <f t="shared" ref="AX50" si="7">AT50+1</f>
        <v>9</v>
      </c>
      <c r="BB50">
        <f t="shared" ref="BB50" si="8">AX50+1</f>
        <v>10</v>
      </c>
      <c r="BF50">
        <f t="shared" ref="BF50" si="9">BB50+1</f>
        <v>11</v>
      </c>
      <c r="BJ50">
        <f t="shared" ref="BJ50" si="10">BF50+1</f>
        <v>12</v>
      </c>
      <c r="BN50">
        <f t="shared" ref="BN50" si="11">BJ50+1</f>
        <v>13</v>
      </c>
      <c r="BR50">
        <f t="shared" ref="BR50" si="12">BN50+1</f>
        <v>14</v>
      </c>
      <c r="BV50">
        <f t="shared" ref="BV50" si="13">BR50+1</f>
        <v>15</v>
      </c>
      <c r="BZ50">
        <f t="shared" ref="BZ50" si="14">BV50+1</f>
        <v>16</v>
      </c>
      <c r="CD50">
        <f t="shared" ref="CD50" si="15">BZ50+1</f>
        <v>17</v>
      </c>
      <c r="CH50">
        <f t="shared" ref="CH50" si="16">CD50+1</f>
        <v>18</v>
      </c>
      <c r="CL50">
        <f t="shared" ref="CL50" si="17">CH50+1</f>
        <v>19</v>
      </c>
      <c r="CP50">
        <f t="shared" ref="CP50" si="18">CL50+1</f>
        <v>20</v>
      </c>
      <c r="CT50">
        <f t="shared" ref="CT50" si="19">CP50+1</f>
        <v>21</v>
      </c>
      <c r="CX50">
        <f t="shared" ref="CX50" si="20">CT50+1</f>
        <v>22</v>
      </c>
      <c r="DB50">
        <f t="shared" ref="DB50" si="21">CX50+1</f>
        <v>23</v>
      </c>
      <c r="DF50">
        <f t="shared" ref="DF50" si="22">DB50+1</f>
        <v>24</v>
      </c>
      <c r="DJ50">
        <f t="shared" ref="DJ50" si="23">DF50+1</f>
        <v>25</v>
      </c>
      <c r="DN50">
        <f t="shared" ref="DN50" si="24">DJ50+1</f>
        <v>26</v>
      </c>
      <c r="DR50">
        <f t="shared" ref="DR50" si="25">DN50+1</f>
        <v>27</v>
      </c>
      <c r="DV50">
        <f t="shared" ref="DV50" si="26">DR50+1</f>
        <v>28</v>
      </c>
      <c r="DZ50">
        <f t="shared" ref="DZ50" si="27">DV50+1</f>
        <v>29</v>
      </c>
      <c r="ED50">
        <f t="shared" ref="ED50" si="28">DZ50+1</f>
        <v>30</v>
      </c>
      <c r="EH50">
        <f t="shared" ref="EH50" si="29">ED50+1</f>
        <v>31</v>
      </c>
      <c r="EL50">
        <f t="shared" ref="EL50" si="30">EH50+1</f>
        <v>32</v>
      </c>
      <c r="EP50">
        <f t="shared" ref="EP50" si="31">EL50+1</f>
        <v>33</v>
      </c>
      <c r="ET50">
        <f t="shared" ref="ET50" si="32">EP50+1</f>
        <v>34</v>
      </c>
      <c r="EX50">
        <f t="shared" ref="EX50" si="33">ET50+1</f>
        <v>35</v>
      </c>
      <c r="FB50">
        <f t="shared" ref="FB50" si="34">EX50+1</f>
        <v>36</v>
      </c>
      <c r="FF50">
        <f t="shared" ref="FF50" si="35">FB50+1</f>
        <v>37</v>
      </c>
      <c r="FJ50">
        <f t="shared" ref="FJ50" si="36">FF50+1</f>
        <v>38</v>
      </c>
      <c r="FN50">
        <f t="shared" ref="FN50" si="37">FJ50+1</f>
        <v>39</v>
      </c>
    </row>
    <row r="51" spans="3:330">
      <c r="C51" s="26" t="str">
        <f>C6</f>
        <v>KOSPI</v>
      </c>
      <c r="D51" s="27" t="str">
        <f>D6</f>
        <v>001</v>
      </c>
      <c r="E51" s="44" cm="1">
        <f t="array" aca="1" ref="E51" ca="1">IF( $D51=0, "", _xll.IMDP("IDX",$D51,"기관순매수금액",TODAY()-1,"fill=true") )</f>
        <v>-351313</v>
      </c>
      <c r="F51" s="45" cm="1">
        <f t="array" aca="1" ref="F51" ca="1">IF( $E51="", "", INDEX($R$52:$FQ$52, 1, MATCH(ROW()-ROW($C$50), $R$50:$FQ$50, 0)+1) )</f>
        <v>-1952669</v>
      </c>
      <c r="G51" s="46" cm="1">
        <f t="array" aca="1" ref="G51" ca="1">IF( $E51="", "", INDEX($FS$52:$LR$52, 1, MATCH(ROW()-ROW($C$50), $R$50:$FQ$50, 0)+1) )</f>
        <v>-3871947</v>
      </c>
      <c r="H51" s="47" cm="1">
        <f t="array" aca="1" ref="H51" ca="1">IF( $D51=0, "", _xll.IMDP("IDX",$D51,"외국인합순매수금액",TODAY()-1,"fill=true") )</f>
        <v>-30116</v>
      </c>
      <c r="I51" s="45" cm="1">
        <f t="array" aca="1" ref="I51" ca="1">IF( $H51="", "", INDEX($R$52:$FQ$52, 1, MATCH(ROW()-ROW($C$50), $R$50:$FQ$50, 0)+2))</f>
        <v>4510544</v>
      </c>
      <c r="J51" s="48" cm="1">
        <f t="array" aca="1" ref="J51" ca="1">IF( $H51="", "", INDEX($FS$52:$LR$52, 1, MATCH(ROW()-ROW($C$50), $R$50:$FQ$50, 0)+2))</f>
        <v>5288904</v>
      </c>
      <c r="K51" s="49" cm="1">
        <f t="array" aca="1" ref="K51" ca="1">IF( $D51=0, "", _xll.IMDP("IDX",$D51,"개인순매수금액",TODAY()-1,"fill=true"))</f>
        <v>393177</v>
      </c>
      <c r="L51" s="45" cm="1">
        <f t="array" aca="1" ref="L51" ca="1">IF( $K51="", "", INDEX($R$52:$FQ$52, 1, MATCH(ROW()-ROW($C$50), $R$50:$FQ$50, 0)+3))</f>
        <v>-2288139</v>
      </c>
      <c r="M51" s="45" cm="1">
        <f t="array" aca="1" ref="M51" ca="1">IF( $K51="", "", INDEX($FS$52:$LR$52, 1, MATCH(ROW()-ROW($C$50), $R$50:$FQ$50, 0)+3))</f>
        <v>-542198</v>
      </c>
      <c r="R51" t="s">
        <v>134</v>
      </c>
      <c r="FS51" t="s">
        <v>136</v>
      </c>
    </row>
    <row r="52" spans="3:330">
      <c r="C52" s="26" t="str">
        <f t="shared" ref="C52:D52" si="38">C7</f>
        <v>KOSPI200</v>
      </c>
      <c r="D52" s="27" t="str">
        <f t="shared" si="38"/>
        <v>211</v>
      </c>
      <c r="E52" s="50" cm="1">
        <f t="array" aca="1" ref="E52" ca="1">IF( $D52=0, "", _xll.IMDP("IDX",$D52,"기관순매수금액",TODAY()-1,"fill=true") )</f>
        <v>-352346</v>
      </c>
      <c r="F52" s="51" cm="1">
        <f t="array" aca="1" ref="F52" ca="1">IF( $E52="", "", INDEX($R$52:$FQ$52, 1, MATCH(ROW()-ROW($C$50), $R$50:$FQ$50, 0)+1) )</f>
        <v>-2641175</v>
      </c>
      <c r="G52" s="52" cm="1">
        <f t="array" aca="1" ref="G52" ca="1">IF( $E52="", "", INDEX($FS$52:$LR$52, 1, MATCH(ROW()-ROW($C$50), $R$50:$FQ$50, 0)+1) )</f>
        <v>-5227124</v>
      </c>
      <c r="H52" s="53" cm="1">
        <f t="array" aca="1" ref="H52" ca="1">IF( $D52=0, "", _xll.IMDP("IDX",$D52,"외국인합순매수금액",TODAY()-1,"fill=true") )</f>
        <v>-12286</v>
      </c>
      <c r="I52" s="51" cm="1">
        <f t="array" aca="1" ref="I52" ca="1">IF( $H52="", "", INDEX($R$52:$FQ$52, 1, MATCH(ROW()-ROW($C$50), $R$50:$FQ$50, 0)+2))</f>
        <v>4384655</v>
      </c>
      <c r="J52" s="54" cm="1">
        <f t="array" aca="1" ref="J52" ca="1">IF( $H52="", "", INDEX($FS$52:$LR$52, 1, MATCH(ROW()-ROW($C$50), $R$50:$FQ$50, 0)+2))</f>
        <v>5315572</v>
      </c>
      <c r="K52" s="55" cm="1">
        <f t="array" aca="1" ref="K52" ca="1">IF( $D52=0, "", _xll.IMDP("IDX",$D52,"개인순매수금액",TODAY()-1,"fill=true"))</f>
        <v>373686</v>
      </c>
      <c r="L52" s="51" cm="1">
        <f t="array" aca="1" ref="L52" ca="1">IF( $K52="", "", INDEX($R$52:$FQ$52, 1, MATCH(ROW()-ROW($C$50), $R$50:$FQ$50, 0)+3))</f>
        <v>-1564735</v>
      </c>
      <c r="M52" s="56" cm="1">
        <f t="array" aca="1" ref="M52" ca="1">IF( $K52="", "", INDEX($FS$52:$LR$52, 1, MATCH(ROW()-ROW($C$50), $R$50:$FQ$50, 0)+3))</f>
        <v>507905</v>
      </c>
      <c r="R52" t="str">
        <f ca="1">OFFSET($C$5, R$50, 0)</f>
        <v>KOSPI</v>
      </c>
      <c r="S52">
        <f>SUM(S58:S86)</f>
        <v>-1952669</v>
      </c>
      <c r="T52">
        <f>SUM(T58:T86)</f>
        <v>4510544</v>
      </c>
      <c r="U52">
        <f>SUM(U58:U86)</f>
        <v>-2288139</v>
      </c>
      <c r="V52" t="str">
        <f ca="1">OFFSET($C$5, V$50, 0)</f>
        <v>KOSPI200</v>
      </c>
      <c r="W52">
        <f>SUM(W58:W86)</f>
        <v>-2641175</v>
      </c>
      <c r="X52">
        <f>SUM(X58:X86)</f>
        <v>4384655</v>
      </c>
      <c r="Y52">
        <f>SUM(Y58:Y86)</f>
        <v>-1564735</v>
      </c>
      <c r="Z52" t="str">
        <f ca="1">OFFSET($C$5, Z$50, 0)</f>
        <v>음식료품</v>
      </c>
      <c r="AA52">
        <f>SUM(AA58:AA86)</f>
        <v>770</v>
      </c>
      <c r="AB52">
        <f>SUM(AB58:AB86)</f>
        <v>-1632</v>
      </c>
      <c r="AC52">
        <f>SUM(AC58:AC86)</f>
        <v>485</v>
      </c>
      <c r="AD52" t="str">
        <f ca="1">OFFSET($C$5, AD$50, 0)</f>
        <v>섬유.의복</v>
      </c>
      <c r="AE52">
        <f>SUM(AE58:AE86)</f>
        <v>-473</v>
      </c>
      <c r="AF52">
        <f>SUM(AF58:AF86)</f>
        <v>-1449</v>
      </c>
      <c r="AG52">
        <f>SUM(AG58:AG86)</f>
        <v>3749</v>
      </c>
      <c r="AH52" t="str">
        <f ca="1">OFFSET($C$5, AH$50, 0)</f>
        <v>종이.목재</v>
      </c>
      <c r="AI52">
        <f>SUM(AI58:AI86)</f>
        <v>761</v>
      </c>
      <c r="AJ52">
        <f>SUM(AJ58:AJ86)</f>
        <v>-419</v>
      </c>
      <c r="AK52">
        <f>SUM(AK58:AK86)</f>
        <v>-418</v>
      </c>
      <c r="AL52" t="str">
        <f t="shared" ref="AL52" ca="1" si="39">OFFSET($C$5, AL$50, 0)</f>
        <v>화학</v>
      </c>
      <c r="AM52">
        <f t="shared" ref="AM52:AO52" si="40">SUM(AM58:AM86)</f>
        <v>-1765</v>
      </c>
      <c r="AN52">
        <f t="shared" si="40"/>
        <v>-3842</v>
      </c>
      <c r="AO52">
        <f t="shared" si="40"/>
        <v>5900</v>
      </c>
      <c r="AP52" t="str">
        <f t="shared" ref="AP52" ca="1" si="41">OFFSET($C$5, AP$50, 0)</f>
        <v>의약품</v>
      </c>
      <c r="AQ52">
        <f t="shared" ref="AQ52:AS52" si="42">SUM(AQ58:AQ86)</f>
        <v>-2932</v>
      </c>
      <c r="AR52">
        <f t="shared" si="42"/>
        <v>-2899</v>
      </c>
      <c r="AS52">
        <f t="shared" si="42"/>
        <v>5089</v>
      </c>
      <c r="AT52" t="str">
        <f t="shared" ref="AT52" ca="1" si="43">OFFSET($C$5, AT$50, 0)</f>
        <v>비금속광물</v>
      </c>
      <c r="AU52">
        <f t="shared" ref="AU52:AW52" si="44">SUM(AU58:AU86)</f>
        <v>-3985</v>
      </c>
      <c r="AV52">
        <f t="shared" si="44"/>
        <v>-401</v>
      </c>
      <c r="AW52">
        <f t="shared" si="44"/>
        <v>-112</v>
      </c>
      <c r="AX52" t="str">
        <f t="shared" ref="AX52" ca="1" si="45">OFFSET($C$5, AX$50, 0)</f>
        <v>철강.금속</v>
      </c>
      <c r="AY52">
        <f t="shared" ref="AY52:BA52" si="46">SUM(AY58:AY86)</f>
        <v>-22954</v>
      </c>
      <c r="AZ52">
        <f t="shared" si="46"/>
        <v>-3509</v>
      </c>
      <c r="BA52">
        <f t="shared" si="46"/>
        <v>32511</v>
      </c>
      <c r="BB52" t="str">
        <f t="shared" ref="BB52" ca="1" si="47">OFFSET($C$5, BB$50, 0)</f>
        <v>기계</v>
      </c>
      <c r="BC52">
        <f t="shared" ref="BC52:BE52" si="48">SUM(BC58:BC86)</f>
        <v>-4982</v>
      </c>
      <c r="BD52">
        <f t="shared" si="48"/>
        <v>-7824</v>
      </c>
      <c r="BE52">
        <f t="shared" si="48"/>
        <v>-4918</v>
      </c>
      <c r="BF52" t="str">
        <f t="shared" ref="BF52" ca="1" si="49">OFFSET($C$5, BF$50, 0)</f>
        <v>전기.전자</v>
      </c>
      <c r="BG52">
        <f t="shared" ref="BG52:BI52" si="50">SUM(BG58:BG86)</f>
        <v>-3933</v>
      </c>
      <c r="BH52">
        <f t="shared" si="50"/>
        <v>38844</v>
      </c>
      <c r="BI52">
        <f t="shared" si="50"/>
        <v>-33941</v>
      </c>
      <c r="BJ52" t="str">
        <f t="shared" ref="BJ52" ca="1" si="51">OFFSET($C$5, BJ$50, 0)</f>
        <v>의료정밀</v>
      </c>
      <c r="BK52">
        <f t="shared" ref="BK52:BM52" si="52">SUM(BK58:BK86)</f>
        <v>1285</v>
      </c>
      <c r="BL52">
        <f t="shared" si="52"/>
        <v>-1141</v>
      </c>
      <c r="BM52">
        <f t="shared" si="52"/>
        <v>-58</v>
      </c>
      <c r="BN52" t="str">
        <f t="shared" ref="BN52" ca="1" si="53">OFFSET($C$5, BN$50, 0)</f>
        <v>운수.장비</v>
      </c>
      <c r="BO52">
        <f t="shared" ref="BO52:BQ52" si="54">SUM(BO58:BO86)</f>
        <v>-947</v>
      </c>
      <c r="BP52">
        <f t="shared" si="54"/>
        <v>5918</v>
      </c>
      <c r="BQ52">
        <f t="shared" si="54"/>
        <v>-4913</v>
      </c>
      <c r="BR52" t="str">
        <f t="shared" ref="BR52" ca="1" si="55">OFFSET($C$5, BR$50, 0)</f>
        <v>유통업</v>
      </c>
      <c r="BS52">
        <f t="shared" ref="BS52:BU52" si="56">SUM(BS58:BS86)</f>
        <v>4675</v>
      </c>
      <c r="BT52">
        <f t="shared" si="56"/>
        <v>-3032</v>
      </c>
      <c r="BU52">
        <f t="shared" si="56"/>
        <v>1612</v>
      </c>
      <c r="BV52" t="str">
        <f t="shared" ref="BV52" ca="1" si="57">OFFSET($C$5, BV$50, 0)</f>
        <v>전기.가스업</v>
      </c>
      <c r="BW52">
        <f t="shared" ref="BW52:BY52" si="58">SUM(BW58:BW86)</f>
        <v>-6945</v>
      </c>
      <c r="BX52">
        <f t="shared" si="58"/>
        <v>292</v>
      </c>
      <c r="BY52">
        <f t="shared" si="58"/>
        <v>6355</v>
      </c>
      <c r="BZ52" t="str">
        <f t="shared" ref="BZ52" ca="1" si="59">OFFSET($C$5, BZ$50, 0)</f>
        <v>건설업</v>
      </c>
      <c r="CA52">
        <f t="shared" ref="CA52:CC52" si="60">SUM(CA58:CA86)</f>
        <v>-1406</v>
      </c>
      <c r="CB52">
        <f t="shared" si="60"/>
        <v>-7727</v>
      </c>
      <c r="CC52">
        <f t="shared" si="60"/>
        <v>8973</v>
      </c>
      <c r="CD52" t="str">
        <f t="shared" ref="CD52" ca="1" si="61">OFFSET($C$5, CD$50, 0)</f>
        <v>운수.창고</v>
      </c>
      <c r="CE52">
        <f t="shared" ref="CE52:CG52" si="62">SUM(CE58:CE86)</f>
        <v>-3669</v>
      </c>
      <c r="CF52">
        <f t="shared" si="62"/>
        <v>5308</v>
      </c>
      <c r="CG52">
        <f t="shared" si="62"/>
        <v>-3546</v>
      </c>
      <c r="CH52" t="str">
        <f t="shared" ref="CH52" ca="1" si="63">OFFSET($C$5, CH$50, 0)</f>
        <v>통신업</v>
      </c>
      <c r="CI52">
        <f t="shared" ref="CI52:CK52" si="64">SUM(CI58:CI86)</f>
        <v>-15</v>
      </c>
      <c r="CJ52">
        <f t="shared" si="64"/>
        <v>-3747</v>
      </c>
      <c r="CK52">
        <f t="shared" si="64"/>
        <v>3810</v>
      </c>
      <c r="CL52" t="str">
        <f t="shared" ref="CL52" ca="1" si="65">OFFSET($C$5, CL$50, 0)</f>
        <v>금융업</v>
      </c>
      <c r="CM52">
        <f t="shared" ref="CM52:CO52" si="66">SUM(CM58:CM86)</f>
        <v>-13166</v>
      </c>
      <c r="CN52">
        <f t="shared" si="66"/>
        <v>670</v>
      </c>
      <c r="CO52">
        <f t="shared" si="66"/>
        <v>9769</v>
      </c>
      <c r="CP52" t="str">
        <f t="shared" ref="CP52" ca="1" si="67">OFFSET($C$5, CP$50, 0)</f>
        <v>증권</v>
      </c>
      <c r="CQ52">
        <f t="shared" ref="CQ52:CS52" si="68">SUM(CQ58:CQ86)</f>
        <v>1521</v>
      </c>
      <c r="CR52">
        <f t="shared" si="68"/>
        <v>-4384</v>
      </c>
      <c r="CS52">
        <f t="shared" si="68"/>
        <v>1876</v>
      </c>
      <c r="CT52" t="str">
        <f t="shared" ref="CT52" ca="1" si="69">OFFSET($C$5, CT$50, 0)</f>
        <v>보험</v>
      </c>
      <c r="CU52">
        <f t="shared" ref="CU52:CW52" si="70">SUM(CU58:CU86)</f>
        <v>6027</v>
      </c>
      <c r="CV52">
        <f t="shared" si="70"/>
        <v>4147</v>
      </c>
      <c r="CW52">
        <f t="shared" si="70"/>
        <v>-9749</v>
      </c>
      <c r="CX52" t="str">
        <f t="shared" ref="CX52" ca="1" si="71">OFFSET($C$5, CX$50, 0)</f>
        <v>서비스업</v>
      </c>
      <c r="CY52">
        <f t="shared" ref="CY52:DA52" si="72">SUM(CY58:CY86)</f>
        <v>-6508</v>
      </c>
      <c r="CZ52">
        <f t="shared" si="72"/>
        <v>-7620</v>
      </c>
      <c r="DA52">
        <f t="shared" si="72"/>
        <v>15053</v>
      </c>
      <c r="DB52" t="str">
        <f t="shared" ref="DB52" ca="1" si="73">OFFSET($C$5, DB$50, 0)</f>
        <v>제조업</v>
      </c>
      <c r="DC52">
        <f t="shared" ref="DC52:DE52" si="74">SUM(DC58:DC86)</f>
        <v>-40654</v>
      </c>
      <c r="DD52">
        <f t="shared" si="74"/>
        <v>23144</v>
      </c>
      <c r="DE52">
        <f t="shared" si="74"/>
        <v>5258</v>
      </c>
      <c r="DF52" t="str">
        <f t="shared" ref="DF52" ca="1" si="75">OFFSET($C$5, DF$50, 0)</f>
        <v>KOSPI 대형주</v>
      </c>
      <c r="DG52">
        <f t="shared" ref="DG52:DI52" si="76">SUM(DG58:DG86)</f>
        <v>-33315</v>
      </c>
      <c r="DH52">
        <f t="shared" si="76"/>
        <v>35449</v>
      </c>
      <c r="DI52">
        <f t="shared" si="76"/>
        <v>-5686</v>
      </c>
      <c r="DJ52" t="str">
        <f t="shared" ref="DJ52" ca="1" si="77">OFFSET($C$5, DJ$50, 0)</f>
        <v>KOSPI 중형주</v>
      </c>
      <c r="DK52">
        <f t="shared" ref="DK52:DM52" si="78">SUM(DK58:DK86)</f>
        <v>-11371</v>
      </c>
      <c r="DL52">
        <f t="shared" si="78"/>
        <v>-7593</v>
      </c>
      <c r="DM52">
        <f t="shared" si="78"/>
        <v>21118</v>
      </c>
      <c r="DN52" t="str">
        <f t="shared" ref="DN52" ca="1" si="79">OFFSET($C$5, DN$50, 0)</f>
        <v>KOSPI 소형주</v>
      </c>
      <c r="DO52">
        <f t="shared" ref="DO52:DQ52" si="80">SUM(DO58:DO86)</f>
        <v>-17839</v>
      </c>
      <c r="DP52">
        <f t="shared" si="80"/>
        <v>-17199</v>
      </c>
      <c r="DQ52">
        <f t="shared" si="80"/>
        <v>24061</v>
      </c>
      <c r="DR52" t="str">
        <f t="shared" ref="DR52" ca="1" si="81">OFFSET($C$5, DR$50, 0)</f>
        <v>K200 건설</v>
      </c>
      <c r="DS52">
        <f t="shared" ref="DS52:DU52" si="82">SUM(DS58:DS86)</f>
        <v>0</v>
      </c>
      <c r="DT52">
        <f t="shared" si="82"/>
        <v>0</v>
      </c>
      <c r="DU52">
        <f t="shared" si="82"/>
        <v>0</v>
      </c>
      <c r="DV52" t="str">
        <f t="shared" ref="DV52" ca="1" si="83">OFFSET($C$5, DV$50, 0)</f>
        <v>K200 중공업</v>
      </c>
      <c r="DW52">
        <f t="shared" ref="DW52:DY52" si="84">SUM(DW58:DW86)</f>
        <v>0</v>
      </c>
      <c r="DX52">
        <f t="shared" si="84"/>
        <v>0</v>
      </c>
      <c r="DY52">
        <f t="shared" si="84"/>
        <v>0</v>
      </c>
      <c r="DZ52" t="str">
        <f t="shared" ref="DZ52" ca="1" si="85">OFFSET($C$5, DZ$50, 0)</f>
        <v>K200 철강소재</v>
      </c>
      <c r="EA52">
        <f t="shared" ref="EA52:EC52" si="86">SUM(EA58:EA86)</f>
        <v>0</v>
      </c>
      <c r="EB52">
        <f t="shared" si="86"/>
        <v>0</v>
      </c>
      <c r="EC52">
        <f t="shared" si="86"/>
        <v>0</v>
      </c>
      <c r="ED52" t="str">
        <f t="shared" ref="ED52" ca="1" si="87">OFFSET($C$5, ED$50, 0)</f>
        <v>K200 에너지화학</v>
      </c>
      <c r="EE52">
        <f t="shared" ref="EE52:EG52" si="88">SUM(EE58:EE86)</f>
        <v>0</v>
      </c>
      <c r="EF52">
        <f t="shared" si="88"/>
        <v>0</v>
      </c>
      <c r="EG52">
        <f t="shared" si="88"/>
        <v>0</v>
      </c>
      <c r="EH52" t="str">
        <f t="shared" ref="EH52" ca="1" si="89">OFFSET($C$5, EH$50, 0)</f>
        <v>K200 정보기술</v>
      </c>
      <c r="EI52">
        <f t="shared" ref="EI52:EK52" si="90">SUM(EI58:EI86)</f>
        <v>0</v>
      </c>
      <c r="EJ52">
        <f t="shared" si="90"/>
        <v>0</v>
      </c>
      <c r="EK52">
        <f t="shared" si="90"/>
        <v>0</v>
      </c>
      <c r="EL52" t="str">
        <f t="shared" ref="EL52" ca="1" si="91">OFFSET($C$5, EL$50, 0)</f>
        <v>K200 금융</v>
      </c>
      <c r="EM52">
        <f t="shared" ref="EM52:EO52" si="92">SUM(EM58:EM86)</f>
        <v>0</v>
      </c>
      <c r="EN52">
        <f t="shared" si="92"/>
        <v>0</v>
      </c>
      <c r="EO52">
        <f t="shared" si="92"/>
        <v>0</v>
      </c>
      <c r="EP52" t="str">
        <f t="shared" ref="EP52" ca="1" si="93">OFFSET($C$5, EP$50, 0)</f>
        <v>K200 생활소비재</v>
      </c>
      <c r="EQ52">
        <f t="shared" ref="EQ52:ES52" si="94">SUM(EQ58:EQ86)</f>
        <v>0</v>
      </c>
      <c r="ER52">
        <f t="shared" si="94"/>
        <v>0</v>
      </c>
      <c r="ES52">
        <f t="shared" si="94"/>
        <v>0</v>
      </c>
      <c r="ET52" t="str">
        <f t="shared" ref="ET52" ca="1" si="95">OFFSET($C$5, ET$50, 0)</f>
        <v>K200 경기소비재</v>
      </c>
      <c r="EU52">
        <f t="shared" ref="EU52:EW52" si="96">SUM(EU58:EU86)</f>
        <v>0</v>
      </c>
      <c r="EV52">
        <f t="shared" si="96"/>
        <v>0</v>
      </c>
      <c r="EW52">
        <f t="shared" si="96"/>
        <v>0</v>
      </c>
      <c r="EX52" t="str">
        <f t="shared" ref="EX52" ca="1" si="97">OFFSET($C$5, EX$50, 0)</f>
        <v>K200 커뮤니케이션서비스</v>
      </c>
      <c r="EY52">
        <f t="shared" ref="EY52:FA52" si="98">SUM(EY58:EY86)</f>
        <v>0</v>
      </c>
      <c r="EZ52">
        <f t="shared" si="98"/>
        <v>0</v>
      </c>
      <c r="FA52">
        <f t="shared" si="98"/>
        <v>0</v>
      </c>
      <c r="FB52" t="str">
        <f t="shared" ref="FB52" ca="1" si="99">OFFSET($C$5, FB$50, 0)</f>
        <v>K200 중소형주지수</v>
      </c>
      <c r="FC52">
        <f t="shared" ref="FC52:FE52" si="100">SUM(FC58:FC86)</f>
        <v>0</v>
      </c>
      <c r="FD52">
        <f t="shared" si="100"/>
        <v>0</v>
      </c>
      <c r="FE52">
        <f t="shared" si="100"/>
        <v>0</v>
      </c>
      <c r="FF52" t="str">
        <f t="shared" ref="FF52" ca="1" si="101">OFFSET($C$5, FF$50, 0)</f>
        <v>K200 경기방어소비재</v>
      </c>
      <c r="FG52">
        <f t="shared" ref="FG52:FI52" si="102">SUM(FG58:FG86)</f>
        <v>0</v>
      </c>
      <c r="FH52">
        <f t="shared" si="102"/>
        <v>0</v>
      </c>
      <c r="FI52">
        <f t="shared" si="102"/>
        <v>0</v>
      </c>
      <c r="FJ52" t="str">
        <f t="shared" ref="FJ52" ca="1" si="103">OFFSET($C$5, FJ$50, 0)</f>
        <v>K200 산업재</v>
      </c>
      <c r="FK52">
        <f t="shared" ref="FK52:FM52" si="104">SUM(FK58:FK86)</f>
        <v>0</v>
      </c>
      <c r="FL52">
        <f t="shared" si="104"/>
        <v>0</v>
      </c>
      <c r="FM52">
        <f t="shared" si="104"/>
        <v>0</v>
      </c>
      <c r="FN52" t="str">
        <f t="shared" ref="FN52" ca="1" si="105">OFFSET($C$5, FN$50, 0)</f>
        <v>K200 헬스케어</v>
      </c>
      <c r="FO52">
        <f t="shared" ref="FO52:FQ52" si="106">SUM(FO58:FO86)</f>
        <v>0</v>
      </c>
      <c r="FP52">
        <f t="shared" si="106"/>
        <v>0</v>
      </c>
      <c r="FQ52">
        <f t="shared" si="106"/>
        <v>0</v>
      </c>
      <c r="FS52" t="str">
        <f ca="1">R52</f>
        <v>KOSPI</v>
      </c>
      <c r="FT52">
        <f>SUM(FT58:FT131)</f>
        <v>-3871947</v>
      </c>
      <c r="FU52">
        <f>SUM(FU58:FU131)</f>
        <v>5288904</v>
      </c>
      <c r="FV52">
        <f>SUM(FV58:FV131)</f>
        <v>-542198</v>
      </c>
      <c r="FW52" t="str">
        <f ca="1">V52</f>
        <v>KOSPI200</v>
      </c>
      <c r="FX52">
        <f>SUM(FX58:FX131)</f>
        <v>-5227124</v>
      </c>
      <c r="FY52">
        <f>SUM(FY58:FY131)</f>
        <v>5315572</v>
      </c>
      <c r="FZ52">
        <f>SUM(FZ58:FZ131)</f>
        <v>507905</v>
      </c>
      <c r="GA52" t="str">
        <f t="shared" ref="GA52" ca="1" si="107">Z52</f>
        <v>음식료품</v>
      </c>
      <c r="GB52">
        <f t="shared" ref="GB52:GD52" si="108">SUM(GB58:GB131)</f>
        <v>115863</v>
      </c>
      <c r="GC52">
        <f t="shared" si="108"/>
        <v>-756</v>
      </c>
      <c r="GD52">
        <f t="shared" si="108"/>
        <v>-113642</v>
      </c>
      <c r="GE52" t="str">
        <f t="shared" ref="GE52" ca="1" si="109">AD52</f>
        <v>섬유.의복</v>
      </c>
      <c r="GF52">
        <f t="shared" ref="GF52:GH52" si="110">SUM(GF58:GF131)</f>
        <v>-14170</v>
      </c>
      <c r="GG52">
        <f t="shared" si="110"/>
        <v>-30896</v>
      </c>
      <c r="GH52">
        <f t="shared" si="110"/>
        <v>22926</v>
      </c>
      <c r="GI52" t="str">
        <f t="shared" ref="GI52" ca="1" si="111">AH52</f>
        <v>종이.목재</v>
      </c>
      <c r="GJ52">
        <f t="shared" ref="GJ52:GL52" si="112">SUM(GJ58:GJ131)</f>
        <v>16003</v>
      </c>
      <c r="GK52">
        <f t="shared" si="112"/>
        <v>-6688</v>
      </c>
      <c r="GL52">
        <f t="shared" si="112"/>
        <v>-9880</v>
      </c>
      <c r="GM52" t="str">
        <f t="shared" ref="GM52" ca="1" si="113">AL52</f>
        <v>화학</v>
      </c>
      <c r="GN52">
        <f t="shared" ref="GN52:GP52" si="114">SUM(GN58:GN131)</f>
        <v>7007</v>
      </c>
      <c r="GO52">
        <f t="shared" si="114"/>
        <v>-5311</v>
      </c>
      <c r="GP52">
        <f t="shared" si="114"/>
        <v>-3018</v>
      </c>
      <c r="GQ52" t="str">
        <f t="shared" ref="GQ52" ca="1" si="115">AP52</f>
        <v>의약품</v>
      </c>
      <c r="GR52">
        <f t="shared" ref="GR52:GT52" si="116">SUM(GR58:GR131)</f>
        <v>-5082</v>
      </c>
      <c r="GS52">
        <f t="shared" si="116"/>
        <v>-8116</v>
      </c>
      <c r="GT52">
        <f t="shared" si="116"/>
        <v>11871</v>
      </c>
      <c r="GU52" t="str">
        <f t="shared" ref="GU52" ca="1" si="117">AT52</f>
        <v>비금속광물</v>
      </c>
      <c r="GV52">
        <f t="shared" ref="GV52:GX52" si="118">SUM(GV58:GV131)</f>
        <v>-5255</v>
      </c>
      <c r="GW52">
        <f t="shared" si="118"/>
        <v>-3258</v>
      </c>
      <c r="GX52">
        <f t="shared" si="118"/>
        <v>-4385</v>
      </c>
      <c r="GY52" t="str">
        <f t="shared" ref="GY52" ca="1" si="119">AX52</f>
        <v>철강.금속</v>
      </c>
      <c r="GZ52">
        <f t="shared" ref="GZ52:HB52" si="120">SUM(GZ58:GZ131)</f>
        <v>-22099</v>
      </c>
      <c r="HA52">
        <f t="shared" si="120"/>
        <v>-8178</v>
      </c>
      <c r="HB52">
        <f t="shared" si="120"/>
        <v>36995</v>
      </c>
      <c r="HC52" t="str">
        <f t="shared" ref="HC52" ca="1" si="121">BB52</f>
        <v>기계</v>
      </c>
      <c r="HD52">
        <f t="shared" ref="HD52:HF52" si="122">SUM(HD58:HD131)</f>
        <v>2789</v>
      </c>
      <c r="HE52">
        <f t="shared" si="122"/>
        <v>-11419</v>
      </c>
      <c r="HF52">
        <f t="shared" si="122"/>
        <v>-7411</v>
      </c>
      <c r="HG52" t="str">
        <f t="shared" ref="HG52" ca="1" si="123">BF52</f>
        <v>전기.전자</v>
      </c>
      <c r="HH52">
        <f t="shared" ref="HH52:HJ52" si="124">SUM(HH58:HH131)</f>
        <v>-26141</v>
      </c>
      <c r="HI52">
        <f t="shared" si="124"/>
        <v>20079</v>
      </c>
      <c r="HJ52">
        <f t="shared" si="124"/>
        <v>10037</v>
      </c>
      <c r="HK52" t="str">
        <f t="shared" ref="HK52" ca="1" si="125">BJ52</f>
        <v>의료정밀</v>
      </c>
      <c r="HL52">
        <f t="shared" ref="HL52:HN52" si="126">SUM(HL58:HL131)</f>
        <v>2165</v>
      </c>
      <c r="HM52">
        <f t="shared" si="126"/>
        <v>-1824</v>
      </c>
      <c r="HN52">
        <f t="shared" si="126"/>
        <v>-112</v>
      </c>
      <c r="HO52" t="str">
        <f t="shared" ref="HO52" ca="1" si="127">BN52</f>
        <v>운수.장비</v>
      </c>
      <c r="HP52">
        <f t="shared" ref="HP52:HR52" si="128">SUM(HP58:HP131)</f>
        <v>-5239</v>
      </c>
      <c r="HQ52">
        <f t="shared" si="128"/>
        <v>37747</v>
      </c>
      <c r="HR52">
        <f t="shared" si="128"/>
        <v>-30531</v>
      </c>
      <c r="HS52" t="str">
        <f t="shared" ref="HS52" ca="1" si="129">BR52</f>
        <v>유통업</v>
      </c>
      <c r="HT52">
        <f t="shared" ref="HT52:HV52" si="130">SUM(HT58:HT131)</f>
        <v>-2131</v>
      </c>
      <c r="HU52">
        <f t="shared" si="130"/>
        <v>-261</v>
      </c>
      <c r="HV52">
        <f t="shared" si="130"/>
        <v>4650</v>
      </c>
      <c r="HW52" t="str">
        <f t="shared" ref="HW52" ca="1" si="131">BV52</f>
        <v>전기.가스업</v>
      </c>
      <c r="HX52">
        <f t="shared" ref="HX52:HZ52" si="132">SUM(HX58:HX131)</f>
        <v>-14834</v>
      </c>
      <c r="HY52">
        <f t="shared" si="132"/>
        <v>-1681</v>
      </c>
      <c r="HZ52">
        <f t="shared" si="132"/>
        <v>15786</v>
      </c>
      <c r="IA52" t="str">
        <f t="shared" ref="IA52" ca="1" si="133">BZ52</f>
        <v>건설업</v>
      </c>
      <c r="IB52">
        <f t="shared" ref="IB52:ID52" si="134">SUM(IB58:IB131)</f>
        <v>-5057</v>
      </c>
      <c r="IC52">
        <f t="shared" si="134"/>
        <v>-5222</v>
      </c>
      <c r="ID52">
        <f t="shared" si="134"/>
        <v>10383</v>
      </c>
      <c r="IE52" t="str">
        <f t="shared" ref="IE52" ca="1" si="135">CD52</f>
        <v>운수.창고</v>
      </c>
      <c r="IF52">
        <f t="shared" ref="IF52:IH52" si="136">SUM(IF58:IF131)</f>
        <v>-872</v>
      </c>
      <c r="IG52">
        <f t="shared" si="136"/>
        <v>19296</v>
      </c>
      <c r="IH52">
        <f t="shared" si="136"/>
        <v>2145</v>
      </c>
      <c r="II52" t="str">
        <f t="shared" ref="II52" ca="1" si="137">CH52</f>
        <v>통신업</v>
      </c>
      <c r="IJ52">
        <f t="shared" ref="IJ52:IL52" si="138">SUM(IJ58:IJ131)</f>
        <v>-427</v>
      </c>
      <c r="IK52">
        <f t="shared" si="138"/>
        <v>-9583</v>
      </c>
      <c r="IL52">
        <f t="shared" si="138"/>
        <v>10105</v>
      </c>
      <c r="IM52" t="str">
        <f t="shared" ref="IM52" ca="1" si="139">CL52</f>
        <v>금융업</v>
      </c>
      <c r="IN52">
        <f t="shared" ref="IN52:IP52" si="140">SUM(IN58:IN131)</f>
        <v>-26022</v>
      </c>
      <c r="IO52">
        <f t="shared" si="140"/>
        <v>13905</v>
      </c>
      <c r="IP52">
        <f t="shared" si="140"/>
        <v>10280</v>
      </c>
      <c r="IQ52" t="str">
        <f t="shared" ref="IQ52" ca="1" si="141">CP52</f>
        <v>증권</v>
      </c>
      <c r="IR52">
        <f t="shared" ref="IR52:IT52" si="142">SUM(IR58:IR131)</f>
        <v>2932</v>
      </c>
      <c r="IS52">
        <f t="shared" si="142"/>
        <v>-9479</v>
      </c>
      <c r="IT52">
        <f t="shared" si="142"/>
        <v>5633</v>
      </c>
      <c r="IU52" t="str">
        <f t="shared" ref="IU52" ca="1" si="143">CT52</f>
        <v>보험</v>
      </c>
      <c r="IV52">
        <f t="shared" ref="IV52:IX52" si="144">SUM(IV58:IV131)</f>
        <v>2183</v>
      </c>
      <c r="IW52">
        <f t="shared" si="144"/>
        <v>13756</v>
      </c>
      <c r="IX52">
        <f t="shared" si="144"/>
        <v>-14429</v>
      </c>
      <c r="IY52" t="str">
        <f t="shared" ref="IY52" ca="1" si="145">CX52</f>
        <v>서비스업</v>
      </c>
      <c r="IZ52">
        <f t="shared" ref="IZ52:JB52" si="146">SUM(IZ58:IZ131)</f>
        <v>-11041</v>
      </c>
      <c r="JA52">
        <f t="shared" si="146"/>
        <v>-20518</v>
      </c>
      <c r="JB52">
        <f t="shared" si="146"/>
        <v>34903</v>
      </c>
      <c r="JC52" t="str">
        <f t="shared" ref="JC52" ca="1" si="147">DB52</f>
        <v>제조업</v>
      </c>
      <c r="JD52">
        <f t="shared" ref="JD52:JF52" si="148">SUM(JD58:JD131)</f>
        <v>-49301</v>
      </c>
      <c r="JE52">
        <f t="shared" si="148"/>
        <v>19718</v>
      </c>
      <c r="JF52">
        <f t="shared" si="148"/>
        <v>8909</v>
      </c>
      <c r="JG52" t="str">
        <f t="shared" ref="JG52" ca="1" si="149">DF52</f>
        <v>KOSPI 대형주</v>
      </c>
      <c r="JH52">
        <f t="shared" ref="JH52:JJ52" si="150">SUM(JH58:JH131)</f>
        <v>-78364</v>
      </c>
      <c r="JI52">
        <f t="shared" si="150"/>
        <v>15266</v>
      </c>
      <c r="JJ52">
        <f t="shared" si="150"/>
        <v>52276</v>
      </c>
      <c r="JK52" t="str">
        <f t="shared" ref="JK52" ca="1" si="151">DJ52</f>
        <v>KOSPI 중형주</v>
      </c>
      <c r="JL52">
        <f t="shared" ref="JL52:JN52" si="152">SUM(JL58:JL131)</f>
        <v>-14889</v>
      </c>
      <c r="JM52">
        <f t="shared" si="152"/>
        <v>42208</v>
      </c>
      <c r="JN52">
        <f t="shared" si="152"/>
        <v>-1134</v>
      </c>
      <c r="JO52" t="str">
        <f t="shared" ref="JO52" ca="1" si="153">DN52</f>
        <v>KOSPI 소형주</v>
      </c>
      <c r="JP52">
        <f t="shared" ref="JP52:JR52" si="154">SUM(JP58:JP131)</f>
        <v>-10378</v>
      </c>
      <c r="JQ52">
        <f t="shared" si="154"/>
        <v>-37373</v>
      </c>
      <c r="JR52">
        <f t="shared" si="154"/>
        <v>36371</v>
      </c>
      <c r="JS52" t="str">
        <f t="shared" ref="JS52" ca="1" si="155">DR52</f>
        <v>K200 건설</v>
      </c>
      <c r="JT52">
        <f t="shared" ref="JT52:KP52" si="156">SUM(JT58:JT131)</f>
        <v>0</v>
      </c>
      <c r="JU52">
        <f t="shared" si="156"/>
        <v>0</v>
      </c>
      <c r="JV52">
        <f t="shared" si="156"/>
        <v>0</v>
      </c>
      <c r="JW52" t="str">
        <f t="shared" ref="JW52" ca="1" si="157">DV52</f>
        <v>K200 중공업</v>
      </c>
      <c r="JX52">
        <f t="shared" si="156"/>
        <v>0</v>
      </c>
      <c r="JY52">
        <f t="shared" si="156"/>
        <v>0</v>
      </c>
      <c r="JZ52">
        <f t="shared" si="156"/>
        <v>0</v>
      </c>
      <c r="KA52" t="str">
        <f t="shared" ref="KA52" ca="1" si="158">DZ52</f>
        <v>K200 철강소재</v>
      </c>
      <c r="KB52">
        <f t="shared" si="156"/>
        <v>0</v>
      </c>
      <c r="KC52">
        <f t="shared" si="156"/>
        <v>0</v>
      </c>
      <c r="KD52">
        <f t="shared" si="156"/>
        <v>0</v>
      </c>
      <c r="KE52" t="str">
        <f t="shared" ref="KE52" ca="1" si="159">ED52</f>
        <v>K200 에너지화학</v>
      </c>
      <c r="KF52">
        <f t="shared" si="156"/>
        <v>0</v>
      </c>
      <c r="KG52">
        <f t="shared" si="156"/>
        <v>0</v>
      </c>
      <c r="KH52">
        <f t="shared" si="156"/>
        <v>0</v>
      </c>
      <c r="KI52" t="str">
        <f t="shared" ref="KI52" ca="1" si="160">EH52</f>
        <v>K200 정보기술</v>
      </c>
      <c r="KJ52">
        <f t="shared" si="156"/>
        <v>0</v>
      </c>
      <c r="KK52">
        <f t="shared" si="156"/>
        <v>0</v>
      </c>
      <c r="KL52">
        <f t="shared" si="156"/>
        <v>0</v>
      </c>
      <c r="KM52" t="str">
        <f t="shared" ref="KM52" ca="1" si="161">EL52</f>
        <v>K200 금융</v>
      </c>
      <c r="KN52">
        <f t="shared" si="156"/>
        <v>0</v>
      </c>
      <c r="KO52">
        <f t="shared" si="156"/>
        <v>0</v>
      </c>
      <c r="KP52">
        <f t="shared" si="156"/>
        <v>0</v>
      </c>
      <c r="KQ52" t="str">
        <f t="shared" ref="KQ52" ca="1" si="162">EP52</f>
        <v>K200 생활소비재</v>
      </c>
      <c r="KR52">
        <f t="shared" ref="KR52:KT52" si="163">SUM(KR58:KR131)</f>
        <v>0</v>
      </c>
      <c r="KS52">
        <f t="shared" si="163"/>
        <v>0</v>
      </c>
      <c r="KT52">
        <f t="shared" si="163"/>
        <v>0</v>
      </c>
      <c r="KU52" t="str">
        <f t="shared" ref="KU52" ca="1" si="164">ET52</f>
        <v>K200 경기소비재</v>
      </c>
      <c r="KV52">
        <f t="shared" ref="KV52:KX52" si="165">SUM(KV58:KV131)</f>
        <v>0</v>
      </c>
      <c r="KW52">
        <f t="shared" si="165"/>
        <v>0</v>
      </c>
      <c r="KX52">
        <f t="shared" si="165"/>
        <v>0</v>
      </c>
      <c r="KY52" t="str">
        <f t="shared" ref="KY52" ca="1" si="166">EX52</f>
        <v>K200 커뮤니케이션서비스</v>
      </c>
      <c r="KZ52">
        <f t="shared" ref="KZ52:LB52" si="167">SUM(KZ58:KZ131)</f>
        <v>0</v>
      </c>
      <c r="LA52">
        <f t="shared" si="167"/>
        <v>0</v>
      </c>
      <c r="LB52">
        <f t="shared" si="167"/>
        <v>0</v>
      </c>
      <c r="LC52" t="str">
        <f t="shared" ref="LC52" ca="1" si="168">FB52</f>
        <v>K200 중소형주지수</v>
      </c>
      <c r="LD52">
        <f t="shared" ref="LD52:LF52" si="169">SUM(LD58:LD131)</f>
        <v>0</v>
      </c>
      <c r="LE52">
        <f t="shared" si="169"/>
        <v>0</v>
      </c>
      <c r="LF52">
        <f t="shared" si="169"/>
        <v>0</v>
      </c>
      <c r="LG52" t="str">
        <f t="shared" ref="LG52" ca="1" si="170">FF52</f>
        <v>K200 경기방어소비재</v>
      </c>
      <c r="LH52">
        <f t="shared" ref="LH52:LJ52" si="171">SUM(LH58:LH131)</f>
        <v>0</v>
      </c>
      <c r="LI52">
        <f t="shared" si="171"/>
        <v>0</v>
      </c>
      <c r="LJ52">
        <f t="shared" si="171"/>
        <v>0</v>
      </c>
      <c r="LK52" t="str">
        <f t="shared" ref="LK52" ca="1" si="172">FJ52</f>
        <v>K200 산업재</v>
      </c>
      <c r="LL52">
        <f t="shared" ref="LL52:LN52" si="173">SUM(LL58:LL131)</f>
        <v>0</v>
      </c>
      <c r="LM52">
        <f t="shared" si="173"/>
        <v>0</v>
      </c>
      <c r="LN52">
        <f t="shared" si="173"/>
        <v>0</v>
      </c>
      <c r="LO52" t="str">
        <f t="shared" ref="LO52" ca="1" si="174">FN52</f>
        <v>K200 헬스케어</v>
      </c>
      <c r="LP52">
        <f t="shared" ref="LP52:LR52" si="175">SUM(LP58:LP131)</f>
        <v>0</v>
      </c>
      <c r="LQ52">
        <f t="shared" si="175"/>
        <v>0</v>
      </c>
      <c r="LR52">
        <f t="shared" si="175"/>
        <v>0</v>
      </c>
    </row>
    <row r="53" spans="3:330">
      <c r="C53" s="26" t="str">
        <f t="shared" ref="C53:D53" si="176">C8</f>
        <v>음식료품</v>
      </c>
      <c r="D53" s="27" t="str">
        <f t="shared" si="176"/>
        <v>005</v>
      </c>
      <c r="E53" s="50" cm="1">
        <f t="array" aca="1" ref="E53" ca="1">IF( $D53=0, "", _xll.IMDP("IDX",$D53,"기관순매수금액",TODAY()-1,"fill=true") )</f>
        <v>-23980</v>
      </c>
      <c r="F53" s="51" cm="1">
        <f t="array" aca="1" ref="F53" ca="1">IF( $E53="", "", INDEX($R$52:$FQ$52, 1, MATCH(ROW()-ROW($C$50), $R$50:$FQ$50, 0)+1) )</f>
        <v>770</v>
      </c>
      <c r="G53" s="52" cm="1">
        <f t="array" aca="1" ref="G53" ca="1">IF( $E53="", "", INDEX($FS$52:$LR$52, 1, MATCH(ROW()-ROW($C$50), $R$50:$FQ$50, 0)+1) )</f>
        <v>115863</v>
      </c>
      <c r="H53" s="53" cm="1">
        <f t="array" aca="1" ref="H53" ca="1">IF( $D53=0, "", _xll.IMDP("IDX",$D53,"외국인합순매수금액",TODAY()-1,"fill=true") )</f>
        <v>31997</v>
      </c>
      <c r="I53" s="51" cm="1">
        <f t="array" aca="1" ref="I53" ca="1">IF( $H53="", "", INDEX($R$52:$FQ$52, 1, MATCH(ROW()-ROW($C$50), $R$50:$FQ$50, 0)+2))</f>
        <v>-1632</v>
      </c>
      <c r="J53" s="54" cm="1">
        <f t="array" aca="1" ref="J53" ca="1">IF( $H53="", "", INDEX($FS$52:$LR$52, 1, MATCH(ROW()-ROW($C$50), $R$50:$FQ$50, 0)+2))</f>
        <v>-756</v>
      </c>
      <c r="K53" s="55" cm="1">
        <f t="array" aca="1" ref="K53" ca="1">IF( $D53=0, "", _xll.IMDP("IDX",$D53,"개인순매수금액",TODAY()-1,"fill=true"))</f>
        <v>-11709</v>
      </c>
      <c r="L53" s="51" cm="1">
        <f t="array" aca="1" ref="L53" ca="1">IF( $K53="", "", INDEX($R$52:$FQ$52, 1, MATCH(ROW()-ROW($C$50), $R$50:$FQ$50, 0)+3))</f>
        <v>485</v>
      </c>
      <c r="M53" s="56" cm="1">
        <f t="array" aca="1" ref="M53" ca="1">IF( $K53="", "", INDEX($FS$52:$LR$52, 1, MATCH(ROW()-ROW($C$50), $R$50:$FQ$50, 0)+3))</f>
        <v>-113642</v>
      </c>
    </row>
    <row r="54" spans="3:330">
      <c r="C54" s="26" t="str">
        <f t="shared" ref="C54:D54" si="177">C9</f>
        <v>섬유.의복</v>
      </c>
      <c r="D54" s="27" t="str">
        <f t="shared" si="177"/>
        <v>006</v>
      </c>
      <c r="E54" s="50" cm="1">
        <f t="array" aca="1" ref="E54" ca="1">IF( $D54=0, "", _xll.IMDP("IDX",$D54,"기관순매수금액",TODAY()-1,"fill=true") )</f>
        <v>31</v>
      </c>
      <c r="F54" s="51" cm="1">
        <f t="array" aca="1" ref="F54" ca="1">IF( $E54="", "", INDEX($R$52:$FQ$52, 1, MATCH(ROW()-ROW($C$50), $R$50:$FQ$50, 0)+1) )</f>
        <v>-473</v>
      </c>
      <c r="G54" s="52" cm="1">
        <f t="array" aca="1" ref="G54" ca="1">IF( $E54="", "", INDEX($FS$52:$LR$52, 1, MATCH(ROW()-ROW($C$50), $R$50:$FQ$50, 0)+1) )</f>
        <v>-14170</v>
      </c>
      <c r="H54" s="53" cm="1">
        <f t="array" aca="1" ref="H54" ca="1">IF( $D54=0, "", _xll.IMDP("IDX",$D54,"외국인합순매수금액",TODAY()-1,"fill=true") )</f>
        <v>-913</v>
      </c>
      <c r="I54" s="51" cm="1">
        <f t="array" aca="1" ref="I54" ca="1">IF( $H54="", "", INDEX($R$52:$FQ$52, 1, MATCH(ROW()-ROW($C$50), $R$50:$FQ$50, 0)+2))</f>
        <v>-1449</v>
      </c>
      <c r="J54" s="54" cm="1">
        <f t="array" aca="1" ref="J54" ca="1">IF( $H54="", "", INDEX($FS$52:$LR$52, 1, MATCH(ROW()-ROW($C$50), $R$50:$FQ$50, 0)+2))</f>
        <v>-30896</v>
      </c>
      <c r="K54" s="55" cm="1">
        <f t="array" aca="1" ref="K54" ca="1">IF( $D54=0, "", _xll.IMDP("IDX",$D54,"개인순매수금액",TODAY()-1,"fill=true"))</f>
        <v>1176</v>
      </c>
      <c r="L54" s="51" cm="1">
        <f t="array" aca="1" ref="L54" ca="1">IF( $K54="", "", INDEX($R$52:$FQ$52, 1, MATCH(ROW()-ROW($C$50), $R$50:$FQ$50, 0)+3))</f>
        <v>3749</v>
      </c>
      <c r="M54" s="56" cm="1">
        <f t="array" aca="1" ref="M54" ca="1">IF( $K54="", "", INDEX($FS$52:$LR$52, 1, MATCH(ROW()-ROW($C$50), $R$50:$FQ$50, 0)+3))</f>
        <v>22926</v>
      </c>
      <c r="R54" t="s">
        <v>112</v>
      </c>
      <c r="S54">
        <f ca="1">EDATE(TODAY(),-1)</f>
        <v>45446</v>
      </c>
      <c r="T54" t="s">
        <v>113</v>
      </c>
      <c r="U54">
        <f ca="1">$E$3</f>
        <v>45475</v>
      </c>
      <c r="V54" t="s">
        <v>114</v>
      </c>
      <c r="W54">
        <v>100</v>
      </c>
      <c r="X54" t="s">
        <v>115</v>
      </c>
      <c r="Y54" t="s">
        <v>116</v>
      </c>
      <c r="Z54" t="s">
        <v>117</v>
      </c>
      <c r="AA54" t="s">
        <v>118</v>
      </c>
      <c r="AB54" t="s">
        <v>119</v>
      </c>
      <c r="AC54">
        <v>0</v>
      </c>
      <c r="AD54" t="s">
        <v>120</v>
      </c>
      <c r="AE54" t="s">
        <v>121</v>
      </c>
      <c r="FS54" t="s">
        <v>112</v>
      </c>
      <c r="FT54">
        <f ca="1">EDATE(TODAY(),-3)</f>
        <v>45385</v>
      </c>
      <c r="FU54" t="s">
        <v>113</v>
      </c>
      <c r="FV54">
        <f ca="1">TODAY()-1</f>
        <v>45475</v>
      </c>
      <c r="FW54" t="s">
        <v>114</v>
      </c>
      <c r="FX54">
        <v>300</v>
      </c>
      <c r="FY54" t="s">
        <v>115</v>
      </c>
      <c r="FZ54" t="s">
        <v>116</v>
      </c>
      <c r="GA54" t="s">
        <v>117</v>
      </c>
      <c r="GB54" t="s">
        <v>118</v>
      </c>
      <c r="GC54" t="s">
        <v>119</v>
      </c>
      <c r="GD54">
        <v>0</v>
      </c>
      <c r="GE54" t="s">
        <v>120</v>
      </c>
      <c r="GF54" t="s">
        <v>121</v>
      </c>
    </row>
    <row r="55" spans="3:330">
      <c r="C55" s="26" t="str">
        <f t="shared" ref="C55:D55" si="178">C10</f>
        <v>종이.목재</v>
      </c>
      <c r="D55" s="27" t="str">
        <f t="shared" si="178"/>
        <v>007</v>
      </c>
      <c r="E55" s="50" cm="1">
        <f t="array" aca="1" ref="E55" ca="1">IF( $D55=0, "", _xll.IMDP("IDX",$D55,"기관순매수금액",TODAY()-1,"fill=true") )</f>
        <v>329</v>
      </c>
      <c r="F55" s="51" cm="1">
        <f t="array" aca="1" ref="F55" ca="1">IF( $E55="", "", INDEX($R$52:$FQ$52, 1, MATCH(ROW()-ROW($C$50), $R$50:$FQ$50, 0)+1) )</f>
        <v>761</v>
      </c>
      <c r="G55" s="52" cm="1">
        <f t="array" aca="1" ref="G55" ca="1">IF( $E55="", "", INDEX($FS$52:$LR$52, 1, MATCH(ROW()-ROW($C$50), $R$50:$FQ$50, 0)+1) )</f>
        <v>16003</v>
      </c>
      <c r="H55" s="53" cm="1">
        <f t="array" aca="1" ref="H55" ca="1">IF( $D55=0, "", _xll.IMDP("IDX",$D55,"외국인합순매수금액",TODAY()-1,"fill=true") )</f>
        <v>581</v>
      </c>
      <c r="I55" s="51" cm="1">
        <f t="array" aca="1" ref="I55" ca="1">IF( $H55="", "", INDEX($R$52:$FQ$52, 1, MATCH(ROW()-ROW($C$50), $R$50:$FQ$50, 0)+2))</f>
        <v>-419</v>
      </c>
      <c r="J55" s="54" cm="1">
        <f t="array" aca="1" ref="J55" ca="1">IF( $H55="", "", INDEX($FS$52:$LR$52, 1, MATCH(ROW()-ROW($C$50), $R$50:$FQ$50, 0)+2))</f>
        <v>-6688</v>
      </c>
      <c r="K55" s="55" cm="1">
        <f t="array" aca="1" ref="K55" ca="1">IF( $D55=0, "", _xll.IMDP("IDX",$D55,"개인순매수금액",TODAY()-1,"fill=true"))</f>
        <v>-705</v>
      </c>
      <c r="L55" s="51" cm="1">
        <f t="array" aca="1" ref="L55" ca="1">IF( $K55="", "", INDEX($R$52:$FQ$52, 1, MATCH(ROW()-ROW($C$50), $R$50:$FQ$50, 0)+3))</f>
        <v>-418</v>
      </c>
      <c r="M55" s="56" cm="1">
        <f t="array" aca="1" ref="M55" ca="1">IF( $K55="", "", INDEX($FS$52:$LR$52, 1, MATCH(ROW()-ROW($C$50), $R$50:$FQ$50, 0)+3))</f>
        <v>-9880</v>
      </c>
      <c r="R55" t="str">
        <f ca="1">OFFSET($C$5, R$50, 1)</f>
        <v>001</v>
      </c>
      <c r="V55" t="str">
        <f ca="1">OFFSET($C$5, V$50, 1)</f>
        <v>211</v>
      </c>
      <c r="Z55" t="str">
        <f ca="1">OFFSET($C$5, Z$50, 1)</f>
        <v>005</v>
      </c>
      <c r="AD55" t="str">
        <f ca="1">OFFSET($C$5, AD$50, 1)</f>
        <v>006</v>
      </c>
      <c r="AH55" t="str">
        <f ca="1">OFFSET($C$5, AH$50, 1)</f>
        <v>007</v>
      </c>
      <c r="AL55" t="str">
        <f t="shared" ref="AL55" ca="1" si="179">OFFSET($C$5, AL$50, 1)</f>
        <v>008</v>
      </c>
      <c r="AP55" t="str">
        <f t="shared" ref="AP55" ca="1" si="180">OFFSET($C$5, AP$50, 1)</f>
        <v>009</v>
      </c>
      <c r="AT55" t="str">
        <f t="shared" ref="AT55" ca="1" si="181">OFFSET($C$5, AT$50, 1)</f>
        <v>010</v>
      </c>
      <c r="AX55" t="str">
        <f t="shared" ref="AX55" ca="1" si="182">OFFSET($C$5, AX$50, 1)</f>
        <v>011</v>
      </c>
      <c r="BB55" t="str">
        <f t="shared" ref="BB55" ca="1" si="183">OFFSET($C$5, BB$50, 1)</f>
        <v>012</v>
      </c>
      <c r="BF55" t="str">
        <f t="shared" ref="BF55" ca="1" si="184">OFFSET($C$5, BF$50, 1)</f>
        <v>013</v>
      </c>
      <c r="BJ55" t="str">
        <f t="shared" ref="BJ55" ca="1" si="185">OFFSET($C$5, BJ$50, 1)</f>
        <v>014</v>
      </c>
      <c r="BN55" t="str">
        <f t="shared" ref="BN55" ca="1" si="186">OFFSET($C$5, BN$50, 1)</f>
        <v>015</v>
      </c>
      <c r="BR55" t="str">
        <f t="shared" ref="BR55" ca="1" si="187">OFFSET($C$5, BR$50, 1)</f>
        <v>016</v>
      </c>
      <c r="BV55" t="str">
        <f t="shared" ref="BV55" ca="1" si="188">OFFSET($C$5, BV$50, 1)</f>
        <v>017</v>
      </c>
      <c r="BZ55" t="str">
        <f t="shared" ref="BZ55" ca="1" si="189">OFFSET($C$5, BZ$50, 1)</f>
        <v>018</v>
      </c>
      <c r="CD55" t="str">
        <f t="shared" ref="CD55" ca="1" si="190">OFFSET($C$5, CD$50, 1)</f>
        <v>019</v>
      </c>
      <c r="CH55" t="str">
        <f t="shared" ref="CH55" ca="1" si="191">OFFSET($C$5, CH$50, 1)</f>
        <v>020</v>
      </c>
      <c r="CL55" t="str">
        <f t="shared" ref="CL55" ca="1" si="192">OFFSET($C$5, CL$50, 1)</f>
        <v>021</v>
      </c>
      <c r="CP55" t="str">
        <f t="shared" ref="CP55" ca="1" si="193">OFFSET($C$5, CP$50, 1)</f>
        <v>024</v>
      </c>
      <c r="CT55" t="str">
        <f t="shared" ref="CT55" ca="1" si="194">OFFSET($C$5, CT$50, 1)</f>
        <v>025</v>
      </c>
      <c r="CX55" t="str">
        <f t="shared" ref="CX55" ca="1" si="195">OFFSET($C$5, CX$50, 1)</f>
        <v>026</v>
      </c>
      <c r="DB55" t="str">
        <f t="shared" ref="DB55" ca="1" si="196">OFFSET($C$5, DB$50, 1)</f>
        <v>027</v>
      </c>
      <c r="DF55" t="str">
        <f t="shared" ref="DF55" ca="1" si="197">OFFSET($C$5, DF$50, 1)</f>
        <v>201</v>
      </c>
      <c r="DJ55" t="str">
        <f t="shared" ref="DJ55" ca="1" si="198">OFFSET($C$5, DJ$50, 1)</f>
        <v>202</v>
      </c>
      <c r="DN55" t="str">
        <f t="shared" ref="DN55" ca="1" si="199">OFFSET($C$5, DN$50, 1)</f>
        <v>203</v>
      </c>
      <c r="DR55" t="str">
        <f t="shared" ref="DR55" ca="1" si="200">OFFSET($C$5, DR$50, 1)</f>
        <v>212</v>
      </c>
      <c r="DV55" t="str">
        <f t="shared" ref="DV55" ca="1" si="201">OFFSET($C$5, DV$50, 1)</f>
        <v>213</v>
      </c>
      <c r="DZ55" t="str">
        <f t="shared" ref="DZ55" ca="1" si="202">OFFSET($C$5, DZ$50, 1)</f>
        <v>214</v>
      </c>
      <c r="ED55" t="str">
        <f t="shared" ref="ED55" ca="1" si="203">OFFSET($C$5, ED$50, 1)</f>
        <v>215</v>
      </c>
      <c r="EH55" t="str">
        <f t="shared" ref="EH55" ca="1" si="204">OFFSET($C$5, EH$50, 1)</f>
        <v>216</v>
      </c>
      <c r="EL55" t="str">
        <f t="shared" ref="EL55" ca="1" si="205">OFFSET($C$5, EL$50, 1)</f>
        <v>217</v>
      </c>
      <c r="EP55" t="str">
        <f t="shared" ref="EP55" ca="1" si="206">OFFSET($C$5, EP$50, 1)</f>
        <v>218</v>
      </c>
      <c r="ET55" t="str">
        <f t="shared" ref="ET55" ca="1" si="207">OFFSET($C$5, ET$50, 1)</f>
        <v>219</v>
      </c>
      <c r="EX55" t="str">
        <f t="shared" ref="EX55" ca="1" si="208">OFFSET($C$5, EX$50, 1)</f>
        <v>220</v>
      </c>
      <c r="FB55" t="str">
        <f t="shared" ref="FB55" ca="1" si="209">OFFSET($C$5, FB$50, 1)</f>
        <v>250</v>
      </c>
      <c r="FF55" t="str">
        <f t="shared" ref="FF55" ca="1" si="210">OFFSET($C$5, FF$50, 1)</f>
        <v>251</v>
      </c>
      <c r="FJ55" t="str">
        <f t="shared" ref="FJ55" ca="1" si="211">OFFSET($C$5, FJ$50, 1)</f>
        <v>252</v>
      </c>
      <c r="FN55" t="str">
        <f t="shared" ref="FN55" ca="1" si="212">OFFSET($C$5, FN$50, 1)</f>
        <v>253</v>
      </c>
      <c r="FS55" t="str">
        <f ca="1">R55</f>
        <v>001</v>
      </c>
      <c r="FW55" t="str">
        <f ca="1">V55</f>
        <v>211</v>
      </c>
      <c r="GA55" t="str">
        <f ca="1">Z55</f>
        <v>005</v>
      </c>
      <c r="GE55" t="str">
        <f ca="1">AD55</f>
        <v>006</v>
      </c>
      <c r="GI55" t="str">
        <f ca="1">AH55</f>
        <v>007</v>
      </c>
      <c r="GM55" t="str">
        <f ca="1">AL55</f>
        <v>008</v>
      </c>
      <c r="GQ55" t="str">
        <f ca="1">AP55</f>
        <v>009</v>
      </c>
      <c r="GU55" t="str">
        <f ca="1">AT55</f>
        <v>010</v>
      </c>
      <c r="GY55" t="str">
        <f ca="1">AX55</f>
        <v>011</v>
      </c>
      <c r="HC55" t="str">
        <f ca="1">BB55</f>
        <v>012</v>
      </c>
      <c r="HG55" t="str">
        <f ca="1">BF55</f>
        <v>013</v>
      </c>
      <c r="HK55" t="str">
        <f ca="1">BJ55</f>
        <v>014</v>
      </c>
      <c r="HO55" t="str">
        <f ca="1">BN55</f>
        <v>015</v>
      </c>
      <c r="HS55" t="str">
        <f ca="1">BR55</f>
        <v>016</v>
      </c>
      <c r="HW55" t="str">
        <f ca="1">BV55</f>
        <v>017</v>
      </c>
      <c r="IA55" t="str">
        <f ca="1">BZ55</f>
        <v>018</v>
      </c>
      <c r="IE55" t="str">
        <f ca="1">CD55</f>
        <v>019</v>
      </c>
      <c r="II55" t="str">
        <f ca="1">CH55</f>
        <v>020</v>
      </c>
      <c r="IM55" t="str">
        <f ca="1">CL55</f>
        <v>021</v>
      </c>
      <c r="IQ55" t="str">
        <f ca="1">CP55</f>
        <v>024</v>
      </c>
      <c r="IU55" t="str">
        <f ca="1">CT55</f>
        <v>025</v>
      </c>
      <c r="IY55" t="str">
        <f ca="1">CX55</f>
        <v>026</v>
      </c>
      <c r="JC55" t="str">
        <f ca="1">DB55</f>
        <v>027</v>
      </c>
      <c r="JG55" t="str">
        <f ca="1">DF55</f>
        <v>201</v>
      </c>
      <c r="JK55" t="str">
        <f ca="1">DJ55</f>
        <v>202</v>
      </c>
      <c r="JO55" t="str">
        <f ca="1">DN55</f>
        <v>203</v>
      </c>
      <c r="JS55" t="str">
        <f ca="1">DR55</f>
        <v>212</v>
      </c>
      <c r="JW55" t="str">
        <f ca="1">DV55</f>
        <v>213</v>
      </c>
      <c r="KA55" t="str">
        <f ca="1">DZ55</f>
        <v>214</v>
      </c>
      <c r="KE55" t="str">
        <f ca="1">ED55</f>
        <v>215</v>
      </c>
      <c r="KI55" t="str">
        <f ca="1">EH55</f>
        <v>216</v>
      </c>
      <c r="KM55" t="str">
        <f ca="1">EL55</f>
        <v>217</v>
      </c>
      <c r="KQ55" t="str">
        <f ca="1">EP55</f>
        <v>218</v>
      </c>
      <c r="KU55" t="str">
        <f ca="1">ET55</f>
        <v>219</v>
      </c>
      <c r="KY55" t="str">
        <f ca="1">EX55</f>
        <v>220</v>
      </c>
      <c r="LC55" t="str">
        <f ca="1">FB55</f>
        <v>250</v>
      </c>
      <c r="LG55" t="str">
        <f ca="1">FF55</f>
        <v>251</v>
      </c>
      <c r="LK55" t="str">
        <f ca="1">FJ55</f>
        <v>252</v>
      </c>
      <c r="LO55" t="str">
        <f ca="1">FN55</f>
        <v>253</v>
      </c>
    </row>
    <row r="56" spans="3:330">
      <c r="C56" s="26" t="str">
        <f t="shared" ref="C56:D56" si="213">C11</f>
        <v>화학</v>
      </c>
      <c r="D56" s="27" t="str">
        <f t="shared" si="213"/>
        <v>008</v>
      </c>
      <c r="E56" s="50" cm="1">
        <f t="array" aca="1" ref="E56" ca="1">IF( $D56=0, "", _xll.IMDP("IDX",$D56,"기관순매수금액",TODAY()-1,"fill=true") )</f>
        <v>-38264</v>
      </c>
      <c r="F56" s="51" cm="1">
        <f t="array" aca="1" ref="F56" ca="1">IF( $E56="", "", INDEX($R$52:$FQ$52, 1, MATCH(ROW()-ROW($C$50), $R$50:$FQ$50, 0)+1) )</f>
        <v>-1765</v>
      </c>
      <c r="G56" s="52" cm="1">
        <f t="array" aca="1" ref="G56" ca="1">IF( $E56="", "", INDEX($FS$52:$LR$52, 1, MATCH(ROW()-ROW($C$50), $R$50:$FQ$50, 0)+1) )</f>
        <v>7007</v>
      </c>
      <c r="H56" s="53" cm="1">
        <f t="array" aca="1" ref="H56" ca="1">IF( $D56=0, "", _xll.IMDP("IDX",$D56,"외국인합순매수금액",TODAY()-1,"fill=true") )</f>
        <v>-31663</v>
      </c>
      <c r="I56" s="51" cm="1">
        <f t="array" aca="1" ref="I56" ca="1">IF( $H56="", "", INDEX($R$52:$FQ$52, 1, MATCH(ROW()-ROW($C$50), $R$50:$FQ$50, 0)+2))</f>
        <v>-3842</v>
      </c>
      <c r="J56" s="54" cm="1">
        <f t="array" aca="1" ref="J56" ca="1">IF( $H56="", "", INDEX($FS$52:$LR$52, 1, MATCH(ROW()-ROW($C$50), $R$50:$FQ$50, 0)+2))</f>
        <v>-5311</v>
      </c>
      <c r="K56" s="55" cm="1">
        <f t="array" aca="1" ref="K56" ca="1">IF( $D56=0, "", _xll.IMDP("IDX",$D56,"개인순매수금액",TODAY()-1,"fill=true"))</f>
        <v>71830</v>
      </c>
      <c r="L56" s="51" cm="1">
        <f t="array" aca="1" ref="L56" ca="1">IF( $K56="", "", INDEX($R$52:$FQ$52, 1, MATCH(ROW()-ROW($C$50), $R$50:$FQ$50, 0)+3))</f>
        <v>5900</v>
      </c>
      <c r="M56" s="56" cm="1">
        <f t="array" aca="1" ref="M56" ca="1">IF( $K56="", "", INDEX($FS$52:$LR$52, 1, MATCH(ROW()-ROW($C$50), $R$50:$FQ$50, 0)+3))</f>
        <v>-3018</v>
      </c>
      <c r="R56" t="str">
        <f ca="1">_xll.IMDH("IDX",R55,R57:U57,$S54,$U$54,$W$54,"Per="&amp;$Y$54&amp;",sort="&amp;$AA$54&amp;",real=true,Bizday="&amp;$AC$54&amp;",Quote="&amp;$AE$54&amp;",Pos=20,Orient=V,DtFmt=1,TmFmt=1,unit=true")</f>
        <v>조회[001]</v>
      </c>
      <c r="V56" t="str">
        <f ca="1">_xll.IMDH("IDX",V55,V57:Y57,$S54,$U$54,$W$54,"Per="&amp;$Y$54&amp;",sort="&amp;$AA$54&amp;",real=true,Bizday="&amp;$AC$54&amp;",Quote="&amp;$AE$54&amp;",Pos=20,Orient=V,DtFmt=1,TmFmt=1,unit=true")</f>
        <v>조회[211]</v>
      </c>
      <c r="Z56" t="str">
        <f ca="1">_xll.IMDH("IDX",Z55,Z57:AC57,$S54,$U$54,$W$54,"Per="&amp;$Y$54&amp;",sort="&amp;$AA$54&amp;",real=true,Bizday="&amp;$AC$54&amp;",Quote="&amp;$AE$54&amp;",Pos=20,Orient=V,DtFmt=1,TmFmt=1,unit=true")</f>
        <v>조회[005]</v>
      </c>
      <c r="AD56" t="str">
        <f ca="1">_xll.IMDH("IDX",AD55,AD57:AG57,$S54,$U$54,$W$54,"Per="&amp;$Y$54&amp;",sort="&amp;$AA$54&amp;",real=true,Bizday="&amp;$AC$54&amp;",Quote="&amp;$AE$54&amp;",Pos=20,Orient=V,DtFmt=1,TmFmt=1,unit=true")</f>
        <v>조회[006]</v>
      </c>
      <c r="AH56" t="str">
        <f ca="1">_xll.IMDH("IDX",AH55,AH57:AK57,$S54,$U$54,$W$54,"Per="&amp;$Y$54&amp;",sort="&amp;$AA$54&amp;",real=true,Bizday="&amp;$AC$54&amp;",Quote="&amp;$AE$54&amp;",Pos=20,Orient=V,DtFmt=1,TmFmt=1,unit=true")</f>
        <v>조회[007]</v>
      </c>
      <c r="AL56" t="str">
        <f ca="1">_xll.IMDH("IDX",AL55,AL57:AO57,$S54,$U$54,$W$54,"Per="&amp;$Y$54&amp;",sort="&amp;$AA$54&amp;",real=true,Bizday="&amp;$AC$54&amp;",Quote="&amp;$AE$54&amp;",Pos=20,Orient=V,DtFmt=1,TmFmt=1,unit=true")</f>
        <v>조회[008]</v>
      </c>
      <c r="AP56" t="str">
        <f ca="1">_xll.IMDH("IDX",AP55,AP57:AS57,$S54,$U$54,$W$54,"Per="&amp;$Y$54&amp;",sort="&amp;$AA$54&amp;",real=true,Bizday="&amp;$AC$54&amp;",Quote="&amp;$AE$54&amp;",Pos=20,Orient=V,DtFmt=1,TmFmt=1,unit=true")</f>
        <v>조회[009]</v>
      </c>
      <c r="AT56" t="str">
        <f ca="1">_xll.IMDH("IDX",AT55,AT57:AW57,$S54,$U$54,$W$54,"Per="&amp;$Y$54&amp;",sort="&amp;$AA$54&amp;",real=true,Bizday="&amp;$AC$54&amp;",Quote="&amp;$AE$54&amp;",Pos=20,Orient=V,DtFmt=1,TmFmt=1,unit=true")</f>
        <v>조회[010]</v>
      </c>
      <c r="AX56" t="str">
        <f ca="1">_xll.IMDH("IDX",AX55,AX57:BA57,$S54,$U$54,$W$54,"Per="&amp;$Y$54&amp;",sort="&amp;$AA$54&amp;",real=true,Bizday="&amp;$AC$54&amp;",Quote="&amp;$AE$54&amp;",Pos=20,Orient=V,DtFmt=1,TmFmt=1,unit=true")</f>
        <v>조회[011]</v>
      </c>
      <c r="BB56" t="str">
        <f ca="1">_xll.IMDH("IDX",BB55,BB57:BE57,$S54,$U$54,$W$54,"Per="&amp;$Y$54&amp;",sort="&amp;$AA$54&amp;",real=true,Bizday="&amp;$AC$54&amp;",Quote="&amp;$AE$54&amp;",Pos=20,Orient=V,DtFmt=1,TmFmt=1,unit=true")</f>
        <v>조회[012]</v>
      </c>
      <c r="BF56" t="str">
        <f ca="1">_xll.IMDH("IDX",BF55,BF57:BI57,$S54,$U$54,$W$54,"Per="&amp;$Y$54&amp;",sort="&amp;$AA$54&amp;",real=true,Bizday="&amp;$AC$54&amp;",Quote="&amp;$AE$54&amp;",Pos=20,Orient=V,DtFmt=1,TmFmt=1,unit=true")</f>
        <v>조회[013]</v>
      </c>
      <c r="BJ56" t="str">
        <f ca="1">_xll.IMDH("IDX",BJ55,BJ57:BM57,$S54,$U$54,$W$54,"Per="&amp;$Y$54&amp;",sort="&amp;$AA$54&amp;",real=true,Bizday="&amp;$AC$54&amp;",Quote="&amp;$AE$54&amp;",Pos=20,Orient=V,DtFmt=1,TmFmt=1,unit=true")</f>
        <v>조회[014]</v>
      </c>
      <c r="BN56" t="str">
        <f ca="1">_xll.IMDH("IDX",BN55,BN57:BQ57,$S54,$U$54,$W$54,"Per="&amp;$Y$54&amp;",sort="&amp;$AA$54&amp;",real=true,Bizday="&amp;$AC$54&amp;",Quote="&amp;$AE$54&amp;",Pos=20,Orient=V,DtFmt=1,TmFmt=1,unit=true")</f>
        <v>조회[015]</v>
      </c>
      <c r="BR56" t="str">
        <f ca="1">_xll.IMDH("IDX",BR55,BR57:BU57,$S54,$U$54,$W$54,"Per="&amp;$Y$54&amp;",sort="&amp;$AA$54&amp;",real=true,Bizday="&amp;$AC$54&amp;",Quote="&amp;$AE$54&amp;",Pos=20,Orient=V,DtFmt=1,TmFmt=1,unit=true")</f>
        <v>조회[016]</v>
      </c>
      <c r="BV56" t="str">
        <f ca="1">_xll.IMDH("IDX",BV55,BV57:BY57,$S54,$U$54,$W$54,"Per="&amp;$Y$54&amp;",sort="&amp;$AA$54&amp;",real=true,Bizday="&amp;$AC$54&amp;",Quote="&amp;$AE$54&amp;",Pos=20,Orient=V,DtFmt=1,TmFmt=1,unit=true")</f>
        <v>조회[017]</v>
      </c>
      <c r="BZ56" t="str">
        <f ca="1">_xll.IMDH("IDX",BZ55,BZ57:CC57,$S54,$U$54,$W$54,"Per="&amp;$Y$54&amp;",sort="&amp;$AA$54&amp;",real=true,Bizday="&amp;$AC$54&amp;",Quote="&amp;$AE$54&amp;",Pos=20,Orient=V,DtFmt=1,TmFmt=1,unit=true")</f>
        <v>조회[018]</v>
      </c>
      <c r="CD56" t="str">
        <f ca="1">_xll.IMDH("IDX",CD55,CD57:CG57,$S54,$U$54,$W$54,"Per="&amp;$Y$54&amp;",sort="&amp;$AA$54&amp;",real=true,Bizday="&amp;$AC$54&amp;",Quote="&amp;$AE$54&amp;",Pos=20,Orient=V,DtFmt=1,TmFmt=1,unit=true")</f>
        <v>조회[019]</v>
      </c>
      <c r="CH56" t="str">
        <f ca="1">_xll.IMDH("IDX",CH55,CH57:CK57,$S54,$U$54,$W$54,"Per="&amp;$Y$54&amp;",sort="&amp;$AA$54&amp;",real=true,Bizday="&amp;$AC$54&amp;",Quote="&amp;$AE$54&amp;",Pos=20,Orient=V,DtFmt=1,TmFmt=1,unit=true")</f>
        <v>조회[020]</v>
      </c>
      <c r="CL56" t="str">
        <f ca="1">_xll.IMDH("IDX",CL55,CL57:CO57,$S54,$U$54,$W$54,"Per="&amp;$Y$54&amp;",sort="&amp;$AA$54&amp;",real=true,Bizday="&amp;$AC$54&amp;",Quote="&amp;$AE$54&amp;",Pos=20,Orient=V,DtFmt=1,TmFmt=1,unit=true")</f>
        <v>조회[021]</v>
      </c>
      <c r="CP56" t="str">
        <f ca="1">_xll.IMDH("IDX",CP55,CP57:CS57,$S54,$U$54,$W$54,"Per="&amp;$Y$54&amp;",sort="&amp;$AA$54&amp;",real=true,Bizday="&amp;$AC$54&amp;",Quote="&amp;$AE$54&amp;",Pos=20,Orient=V,DtFmt=1,TmFmt=1,unit=true")</f>
        <v>조회[024]</v>
      </c>
      <c r="CT56" t="str">
        <f ca="1">_xll.IMDH("IDX",CT55,CT57:CW57,$S54,$U$54,$W$54,"Per="&amp;$Y$54&amp;",sort="&amp;$AA$54&amp;",real=true,Bizday="&amp;$AC$54&amp;",Quote="&amp;$AE$54&amp;",Pos=20,Orient=V,DtFmt=1,TmFmt=1,unit=true")</f>
        <v>조회[025]</v>
      </c>
      <c r="CX56" t="str">
        <f ca="1">_xll.IMDH("IDX",CX55,CX57:DA57,$S54,$U$54,$W$54,"Per="&amp;$Y$54&amp;",sort="&amp;$AA$54&amp;",real=true,Bizday="&amp;$AC$54&amp;",Quote="&amp;$AE$54&amp;",Pos=20,Orient=V,DtFmt=1,TmFmt=1,unit=true")</f>
        <v>조회[026]</v>
      </c>
      <c r="DB56" t="str">
        <f ca="1">_xll.IMDH("IDX",DB55,DB57:DE57,$S54,$U$54,$W$54,"Per="&amp;$Y$54&amp;",sort="&amp;$AA$54&amp;",real=true,Bizday="&amp;$AC$54&amp;",Quote="&amp;$AE$54&amp;",Pos=20,Orient=V,DtFmt=1,TmFmt=1,unit=true")</f>
        <v>조회[027]</v>
      </c>
      <c r="DF56" t="str">
        <f ca="1">_xll.IMDH("IDX",DF55,DF57:DI57,$S54,$U$54,$W$54,"Per="&amp;$Y$54&amp;",sort="&amp;$AA$54&amp;",real=true,Bizday="&amp;$AC$54&amp;",Quote="&amp;$AE$54&amp;",Pos=20,Orient=V,DtFmt=1,TmFmt=1,unit=true")</f>
        <v>조회[201]</v>
      </c>
      <c r="DJ56" t="str">
        <f ca="1">_xll.IMDH("IDX",DJ55,DJ57:DM57,$S54,$U$54,$W$54,"Per="&amp;$Y$54&amp;",sort="&amp;$AA$54&amp;",real=true,Bizday="&amp;$AC$54&amp;",Quote="&amp;$AE$54&amp;",Pos=20,Orient=V,DtFmt=1,TmFmt=1,unit=true")</f>
        <v>조회[202]</v>
      </c>
      <c r="DN56" t="str">
        <f ca="1">_xll.IMDH("IDX",DN55,DN57:DQ57,$S54,$U$54,$W$54,"Per="&amp;$Y$54&amp;",sort="&amp;$AA$54&amp;",real=true,Bizday="&amp;$AC$54&amp;",Quote="&amp;$AE$54&amp;",Pos=20,Orient=V,DtFmt=1,TmFmt=1,unit=true")</f>
        <v>조회[203]</v>
      </c>
      <c r="DR56" t="str">
        <f ca="1">_xll.IMDH("IDX",DR55,DR57:DU57,$S54,$U$54,$W$54,"Per="&amp;$Y$54&amp;",sort="&amp;$AA$54&amp;",real=true,Bizday="&amp;$AC$54&amp;",Quote="&amp;$AE$54&amp;",Pos=20,Orient=V,DtFmt=1,TmFmt=1,unit=true")</f>
        <v>조회[212]</v>
      </c>
      <c r="DV56" t="str">
        <f ca="1">_xll.IMDH("IDX",DV55,DV57:DY57,$S54,$U$54,$W$54,"Per="&amp;$Y$54&amp;",sort="&amp;$AA$54&amp;",real=true,Bizday="&amp;$AC$54&amp;",Quote="&amp;$AE$54&amp;",Pos=20,Orient=V,DtFmt=1,TmFmt=1,unit=true")</f>
        <v>조회[213]</v>
      </c>
      <c r="DZ56" t="str">
        <f ca="1">_xll.IMDH("IDX",DZ55,DZ57:EC57,$S54,$U$54,$W$54,"Per="&amp;$Y$54&amp;",sort="&amp;$AA$54&amp;",real=true,Bizday="&amp;$AC$54&amp;",Quote="&amp;$AE$54&amp;",Pos=20,Orient=V,DtFmt=1,TmFmt=1,unit=true")</f>
        <v>조회[214]</v>
      </c>
      <c r="ED56" t="str">
        <f ca="1">_xll.IMDH("IDX",ED55,ED57:EG57,$S54,$U$54,$W$54,"Per="&amp;$Y$54&amp;",sort="&amp;$AA$54&amp;",real=true,Bizday="&amp;$AC$54&amp;",Quote="&amp;$AE$54&amp;",Pos=20,Orient=V,DtFmt=1,TmFmt=1,unit=true")</f>
        <v>조회[215]</v>
      </c>
      <c r="EH56" t="str">
        <f ca="1">_xll.IMDH("IDX",EH55,EH57:EK57,$S54,$U$54,$W$54,"Per="&amp;$Y$54&amp;",sort="&amp;$AA$54&amp;",real=true,Bizday="&amp;$AC$54&amp;",Quote="&amp;$AE$54&amp;",Pos=20,Orient=V,DtFmt=1,TmFmt=1,unit=true")</f>
        <v>조회[216]</v>
      </c>
      <c r="EL56" t="str">
        <f ca="1">_xll.IMDH("IDX",EL55,EL57:EO57,$S54,$U$54,$W$54,"Per="&amp;$Y$54&amp;",sort="&amp;$AA$54&amp;",real=true,Bizday="&amp;$AC$54&amp;",Quote="&amp;$AE$54&amp;",Pos=20,Orient=V,DtFmt=1,TmFmt=1,unit=true")</f>
        <v>조회[217]</v>
      </c>
      <c r="EP56" t="str">
        <f ca="1">_xll.IMDH("IDX",EP55,EP57:ES57,$S54,$U$54,$W$54,"Per="&amp;$Y$54&amp;",sort="&amp;$AA$54&amp;",real=true,Bizday="&amp;$AC$54&amp;",Quote="&amp;$AE$54&amp;",Pos=20,Orient=V,DtFmt=1,TmFmt=1,unit=true")</f>
        <v>조회[218]</v>
      </c>
      <c r="ET56" t="str">
        <f ca="1">_xll.IMDH("IDX",ET55,ET57:EW57,$S54,$U$54,$W$54,"Per="&amp;$Y$54&amp;",sort="&amp;$AA$54&amp;",real=true,Bizday="&amp;$AC$54&amp;",Quote="&amp;$AE$54&amp;",Pos=20,Orient=V,DtFmt=1,TmFmt=1,unit=true")</f>
        <v>조회[219]</v>
      </c>
      <c r="EX56" t="str">
        <f ca="1">_xll.IMDH("IDX",EX55,EX57:FA57,$S54,$U$54,$W$54,"Per="&amp;$Y$54&amp;",sort="&amp;$AA$54&amp;",real=true,Bizday="&amp;$AC$54&amp;",Quote="&amp;$AE$54&amp;",Pos=20,Orient=V,DtFmt=1,TmFmt=1,unit=true")</f>
        <v>조회[220]</v>
      </c>
      <c r="FB56" t="str">
        <f ca="1">_xll.IMDH("IDX",FB55,FB57:FE57,$S54,$U$54,$W$54,"Per="&amp;$Y$54&amp;",sort="&amp;$AA$54&amp;",real=true,Bizday="&amp;$AC$54&amp;",Quote="&amp;$AE$54&amp;",Pos=20,Orient=V,DtFmt=1,TmFmt=1,unit=true")</f>
        <v>조회[250]</v>
      </c>
      <c r="FF56" t="str">
        <f ca="1">_xll.IMDH("IDX",FF55,FF57:FI57,$S54,$U$54,$W$54,"Per="&amp;$Y$54&amp;",sort="&amp;$AA$54&amp;",real=true,Bizday="&amp;$AC$54&amp;",Quote="&amp;$AE$54&amp;",Pos=20,Orient=V,DtFmt=1,TmFmt=1,unit=true")</f>
        <v>조회[251]</v>
      </c>
      <c r="FJ56" t="str">
        <f ca="1">_xll.IMDH("IDX",FJ55,FJ57:FM57,$S54,$U$54,$W$54,"Per="&amp;$Y$54&amp;",sort="&amp;$AA$54&amp;",real=true,Bizday="&amp;$AC$54&amp;",Quote="&amp;$AE$54&amp;",Pos=20,Orient=V,DtFmt=1,TmFmt=1,unit=true")</f>
        <v>조회[252]</v>
      </c>
      <c r="FN56" t="str">
        <f ca="1">_xll.IMDH("IDX",FN55,FN57:FQ57,$S54,$U$54,$W$54,"Per="&amp;$Y$54&amp;",sort="&amp;$AA$54&amp;",real=true,Bizday="&amp;$AC$54&amp;",Quote="&amp;$AE$54&amp;",Pos=20,Orient=V,DtFmt=1,TmFmt=1,unit=true")</f>
        <v>조회[253]</v>
      </c>
      <c r="FS56" t="str">
        <f ca="1">_xll.IMDH("IDX",FS$55,FS$57:FV$57,$FT$54,$FV$54,$FX$54,"Per="&amp;$FZ$54&amp;",sort="&amp;$GB$54&amp;",real=true,Bizday="&amp;$GD$54&amp;",Quote="&amp;$GF$54&amp;",Pos=20,Orient=V,DtFmt=1,TmFmt=1,unit=true")</f>
        <v>조회[001]</v>
      </c>
      <c r="FW56" t="str">
        <f ca="1">_xll.IMDH("IDX",FW$55,FW$57:FZ$57,$FT$54,$FV$54,$FX$54,"Per="&amp;$FZ$54&amp;",sort="&amp;$GB$54&amp;",real=true,Bizday="&amp;$GD$54&amp;",Quote="&amp;$GF$54&amp;",Pos=20,Orient=V,DtFmt=1,TmFmt=1,unit=true")</f>
        <v>조회[211]</v>
      </c>
      <c r="GA56" t="str">
        <f ca="1">_xll.IMDH("IDX",GA$55,GA$57:GD$57,$FT$54,$FV$54,$FX$54,"Per="&amp;$FZ$54&amp;",sort="&amp;$GB$54&amp;",real=true,Bizday="&amp;$GD$54&amp;",Quote="&amp;$GF$54&amp;",Pos=20,Orient=V,DtFmt=1,TmFmt=1,unit=true")</f>
        <v>조회[005]</v>
      </c>
      <c r="GE56" t="str">
        <f ca="1">_xll.IMDH("IDX",GE$55,GE$57:GH$57,$FT$54,$FV$54,$FX$54,"Per="&amp;$FZ$54&amp;",sort="&amp;$GB$54&amp;",real=true,Bizday="&amp;$GD$54&amp;",Quote="&amp;$GF$54&amp;",Pos=20,Orient=V,DtFmt=1,TmFmt=1,unit=true")</f>
        <v>조회[006]</v>
      </c>
      <c r="GI56" t="str">
        <f ca="1">_xll.IMDH("IDX",GI$55,GI$57:GL$57,$FT$54,$FV$54,$FX$54,"Per="&amp;$FZ$54&amp;",sort="&amp;$GB$54&amp;",real=true,Bizday="&amp;$GD$54&amp;",Quote="&amp;$GF$54&amp;",Pos=20,Orient=V,DtFmt=1,TmFmt=1,unit=true")</f>
        <v>조회[007]</v>
      </c>
      <c r="GM56" t="str">
        <f ca="1">_xll.IMDH("IDX",GM$55,GM$57:GP$57,$FT$54,$FV$54,$FX$54,"Per="&amp;$FZ$54&amp;",sort="&amp;$GB$54&amp;",real=true,Bizday="&amp;$GD$54&amp;",Quote="&amp;$GF$54&amp;",Pos=20,Orient=V,DtFmt=1,TmFmt=1,unit=true")</f>
        <v>조회[008]</v>
      </c>
      <c r="GQ56" t="str">
        <f ca="1">_xll.IMDH("IDX",GQ$55,GQ$57:GT$57,$FT$54,$FV$54,$FX$54,"Per="&amp;$FZ$54&amp;",sort="&amp;$GB$54&amp;",real=true,Bizday="&amp;$GD$54&amp;",Quote="&amp;$GF$54&amp;",Pos=20,Orient=V,DtFmt=1,TmFmt=1,unit=true")</f>
        <v>조회[009]</v>
      </c>
      <c r="GU56" t="str">
        <f ca="1">_xll.IMDH("IDX",GU$55,GU$57:GX$57,$FT$54,$FV$54,$FX$54,"Per="&amp;$FZ$54&amp;",sort="&amp;$GB$54&amp;",real=true,Bizday="&amp;$GD$54&amp;",Quote="&amp;$GF$54&amp;",Pos=20,Orient=V,DtFmt=1,TmFmt=1,unit=true")</f>
        <v>조회[010]</v>
      </c>
      <c r="GY56" t="str">
        <f ca="1">_xll.IMDH("IDX",GY$55,GY$57:HB$57,$FT$54,$FV$54,$FX$54,"Per="&amp;$FZ$54&amp;",sort="&amp;$GB$54&amp;",real=true,Bizday="&amp;$GD$54&amp;",Quote="&amp;$GF$54&amp;",Pos=20,Orient=V,DtFmt=1,TmFmt=1,unit=true")</f>
        <v>조회[011]</v>
      </c>
      <c r="HC56" t="str">
        <f ca="1">_xll.IMDH("IDX",HC$55,HC$57:HF$57,$FT$54,$FV$54,$FX$54,"Per="&amp;$FZ$54&amp;",sort="&amp;$GB$54&amp;",real=true,Bizday="&amp;$GD$54&amp;",Quote="&amp;$GF$54&amp;",Pos=20,Orient=V,DtFmt=1,TmFmt=1,unit=true")</f>
        <v>조회[012]</v>
      </c>
      <c r="HG56" t="str">
        <f ca="1">_xll.IMDH("IDX",HG$55,HG$57:HJ$57,$FT$54,$FV$54,$FX$54,"Per="&amp;$FZ$54&amp;",sort="&amp;$GB$54&amp;",real=true,Bizday="&amp;$GD$54&amp;",Quote="&amp;$GF$54&amp;",Pos=20,Orient=V,DtFmt=1,TmFmt=1,unit=true")</f>
        <v>조회[013]</v>
      </c>
      <c r="HK56" t="str">
        <f ca="1">_xll.IMDH("IDX",HK$55,HK$57:HN$57,$FT$54,$FV$54,$FX$54,"Per="&amp;$FZ$54&amp;",sort="&amp;$GB$54&amp;",real=true,Bizday="&amp;$GD$54&amp;",Quote="&amp;$GF$54&amp;",Pos=20,Orient=V,DtFmt=1,TmFmt=1,unit=true")</f>
        <v>조회[014]</v>
      </c>
      <c r="HO56" t="str">
        <f ca="1">_xll.IMDH("IDX",HO$55,HO$57:HR$57,$FT$54,$FV$54,$FX$54,"Per="&amp;$FZ$54&amp;",sort="&amp;$GB$54&amp;",real=true,Bizday="&amp;$GD$54&amp;",Quote="&amp;$GF$54&amp;",Pos=20,Orient=V,DtFmt=1,TmFmt=1,unit=true")</f>
        <v>조회[015]</v>
      </c>
      <c r="HS56" t="str">
        <f ca="1">_xll.IMDH("IDX",HS$55,HS$57:HV$57,$FT$54,$FV$54,$FX$54,"Per="&amp;$FZ$54&amp;",sort="&amp;$GB$54&amp;",real=true,Bizday="&amp;$GD$54&amp;",Quote="&amp;$GF$54&amp;",Pos=20,Orient=V,DtFmt=1,TmFmt=1,unit=true")</f>
        <v>조회[016]</v>
      </c>
      <c r="HW56" t="str">
        <f ca="1">_xll.IMDH("IDX",HW$55,HW$57:HZ$57,$FT$54,$FV$54,$FX$54,"Per="&amp;$FZ$54&amp;",sort="&amp;$GB$54&amp;",real=true,Bizday="&amp;$GD$54&amp;",Quote="&amp;$GF$54&amp;",Pos=20,Orient=V,DtFmt=1,TmFmt=1,unit=true")</f>
        <v>조회[017]</v>
      </c>
      <c r="IA56" t="str">
        <f ca="1">_xll.IMDH("IDX",IA$55,IA$57:ID$57,$FT$54,$FV$54,$FX$54,"Per="&amp;$FZ$54&amp;",sort="&amp;$GB$54&amp;",real=true,Bizday="&amp;$GD$54&amp;",Quote="&amp;$GF$54&amp;",Pos=20,Orient=V,DtFmt=1,TmFmt=1,unit=true")</f>
        <v>조회[018]</v>
      </c>
      <c r="IE56" t="str">
        <f ca="1">_xll.IMDH("IDX",IE$55,IE$57:IH$57,$FT$54,$FV$54,$FX$54,"Per="&amp;$FZ$54&amp;",sort="&amp;$GB$54&amp;",real=true,Bizday="&amp;$GD$54&amp;",Quote="&amp;$GF$54&amp;",Pos=20,Orient=V,DtFmt=1,TmFmt=1,unit=true")</f>
        <v>조회[019]</v>
      </c>
      <c r="II56" t="str">
        <f ca="1">_xll.IMDH("IDX",II$55,II$57:IL$57,$FT$54,$FV$54,$FX$54,"Per="&amp;$FZ$54&amp;",sort="&amp;$GB$54&amp;",real=true,Bizday="&amp;$GD$54&amp;",Quote="&amp;$GF$54&amp;",Pos=20,Orient=V,DtFmt=1,TmFmt=1,unit=true")</f>
        <v>조회[020]</v>
      </c>
      <c r="IM56" t="str">
        <f ca="1">_xll.IMDH("IDX",IM$55,IM$57:IP$57,$FT$54,$FV$54,$FX$54,"Per="&amp;$FZ$54&amp;",sort="&amp;$GB$54&amp;",real=true,Bizday="&amp;$GD$54&amp;",Quote="&amp;$GF$54&amp;",Pos=20,Orient=V,DtFmt=1,TmFmt=1,unit=true")</f>
        <v>조회[021]</v>
      </c>
      <c r="IQ56" t="str">
        <f ca="1">_xll.IMDH("IDX",IQ$55,IQ$57:IT$57,$FT$54,$FV$54,$FX$54,"Per="&amp;$FZ$54&amp;",sort="&amp;$GB$54&amp;",real=true,Bizday="&amp;$GD$54&amp;",Quote="&amp;$GF$54&amp;",Pos=20,Orient=V,DtFmt=1,TmFmt=1,unit=true")</f>
        <v>조회[024]</v>
      </c>
      <c r="IU56" t="str">
        <f ca="1">_xll.IMDH("IDX",IU$55,IU$57:IX$57,$FT$54,$FV$54,$FX$54,"Per="&amp;$FZ$54&amp;",sort="&amp;$GB$54&amp;",real=true,Bizday="&amp;$GD$54&amp;",Quote="&amp;$GF$54&amp;",Pos=20,Orient=V,DtFmt=1,TmFmt=1,unit=true")</f>
        <v>조회[025]</v>
      </c>
      <c r="IY56" t="str">
        <f ca="1">_xll.IMDH("IDX",IY$55,IY$57:JB$57,$FT$54,$FV$54,$FX$54,"Per="&amp;$FZ$54&amp;",sort="&amp;$GB$54&amp;",real=true,Bizday="&amp;$GD$54&amp;",Quote="&amp;$GF$54&amp;",Pos=20,Orient=V,DtFmt=1,TmFmt=1,unit=true")</f>
        <v>조회[026]</v>
      </c>
      <c r="JC56" t="str">
        <f ca="1">_xll.IMDH("IDX",JC$55,JC$57:JF$57,$FT$54,$FV$54,$FX$54,"Per="&amp;$FZ$54&amp;",sort="&amp;$GB$54&amp;",real=true,Bizday="&amp;$GD$54&amp;",Quote="&amp;$GF$54&amp;",Pos=20,Orient=V,DtFmt=1,TmFmt=1,unit=true")</f>
        <v>조회[027]</v>
      </c>
      <c r="JG56" t="str">
        <f ca="1">_xll.IMDH("IDX",JG$55,JG$57:JJ$57,$FT$54,$FV$54,$FX$54,"Per="&amp;$FZ$54&amp;",sort="&amp;$GB$54&amp;",real=true,Bizday="&amp;$GD$54&amp;",Quote="&amp;$GF$54&amp;",Pos=20,Orient=V,DtFmt=1,TmFmt=1,unit=true")</f>
        <v>조회[201]</v>
      </c>
      <c r="JK56" t="str">
        <f ca="1">_xll.IMDH("IDX",JK$55,JK$57:JN$57,$FT$54,$FV$54,$FX$54,"Per="&amp;$FZ$54&amp;",sort="&amp;$GB$54&amp;",real=true,Bizday="&amp;$GD$54&amp;",Quote="&amp;$GF$54&amp;",Pos=20,Orient=V,DtFmt=1,TmFmt=1,unit=true")</f>
        <v>조회[202]</v>
      </c>
      <c r="JO56" t="str">
        <f ca="1">_xll.IMDH("IDX",JO$55,JO$57:JR$57,$FT$54,$FV$54,$FX$54,"Per="&amp;$FZ$54&amp;",sort="&amp;$GB$54&amp;",real=true,Bizday="&amp;$GD$54&amp;",Quote="&amp;$GF$54&amp;",Pos=20,Orient=V,DtFmt=1,TmFmt=1,unit=true")</f>
        <v>조회[203]</v>
      </c>
      <c r="JS56" t="str">
        <f ca="1">_xll.IMDH("IDX",JS$55,JS$57:JV$57,$FT$54,$FV$54,$FX$54,"Per="&amp;$FZ$54&amp;",sort="&amp;$GB$54&amp;",real=true,Bizday="&amp;$GD$54&amp;",Quote="&amp;$GF$54&amp;",Pos=20,Orient=V,DtFmt=1,TmFmt=1,unit=true")</f>
        <v>조회[212]</v>
      </c>
      <c r="JW56" t="str">
        <f ca="1">_xll.IMDH("IDX",JW$55,JW$57:JZ$57,$FT$54,$FV$54,$FX$54,"Per="&amp;$FZ$54&amp;",sort="&amp;$GB$54&amp;",real=true,Bizday="&amp;$GD$54&amp;",Quote="&amp;$GF$54&amp;",Pos=20,Orient=V,DtFmt=1,TmFmt=1,unit=true")</f>
        <v>조회[213]</v>
      </c>
      <c r="KA56" t="str">
        <f ca="1">_xll.IMDH("IDX",KA$55,KA$57:KD$57,$FT$54,$FV$54,$FX$54,"Per="&amp;$FZ$54&amp;",sort="&amp;$GB$54&amp;",real=true,Bizday="&amp;$GD$54&amp;",Quote="&amp;$GF$54&amp;",Pos=20,Orient=V,DtFmt=1,TmFmt=1,unit=true")</f>
        <v>조회[214]</v>
      </c>
      <c r="KE56" t="str">
        <f ca="1">_xll.IMDH("IDX",KE$55,KE$57:KH$57,$FT$54,$FV$54,$FX$54,"Per="&amp;$FZ$54&amp;",sort="&amp;$GB$54&amp;",real=true,Bizday="&amp;$GD$54&amp;",Quote="&amp;$GF$54&amp;",Pos=20,Orient=V,DtFmt=1,TmFmt=1,unit=true")</f>
        <v>조회[215]</v>
      </c>
      <c r="KI56" t="str">
        <f ca="1">_xll.IMDH("IDX",KI$55,KI$57:KL$57,$FT$54,$FV$54,$FX$54,"Per="&amp;$FZ$54&amp;",sort="&amp;$GB$54&amp;",real=true,Bizday="&amp;$GD$54&amp;",Quote="&amp;$GF$54&amp;",Pos=20,Orient=V,DtFmt=1,TmFmt=1,unit=true")</f>
        <v>조회[216]</v>
      </c>
      <c r="KM56" t="str">
        <f ca="1">_xll.IMDH("IDX",KM$55,KM$57:KP$57,$FT$54,$FV$54,$FX$54,"Per="&amp;$FZ$54&amp;",sort="&amp;$GB$54&amp;",real=true,Bizday="&amp;$GD$54&amp;",Quote="&amp;$GF$54&amp;",Pos=20,Orient=V,DtFmt=1,TmFmt=1,unit=true")</f>
        <v>조회[217]</v>
      </c>
      <c r="KQ56" t="str">
        <f ca="1">_xll.IMDH("IDX",KQ$55,KQ$57:KT$57,$FT$54,$FV$54,$FX$54,"Per="&amp;$FZ$54&amp;",sort="&amp;$GB$54&amp;",real=true,Bizday="&amp;$GD$54&amp;",Quote="&amp;$GF$54&amp;",Pos=20,Orient=V,DtFmt=1,TmFmt=1,unit=true")</f>
        <v>조회[218]</v>
      </c>
      <c r="KU56" t="str">
        <f ca="1">_xll.IMDH("IDX",KU$55,KU$57:KX$57,$FT$54,$FV$54,$FX$54,"Per="&amp;$FZ$54&amp;",sort="&amp;$GB$54&amp;",real=true,Bizday="&amp;$GD$54&amp;",Quote="&amp;$GF$54&amp;",Pos=20,Orient=V,DtFmt=1,TmFmt=1,unit=true")</f>
        <v>조회[219]</v>
      </c>
      <c r="KY56" t="str">
        <f ca="1">_xll.IMDH("IDX",KY$55,KY$57:LB$57,$FT$54,$FV$54,$FX$54,"Per="&amp;$FZ$54&amp;",sort="&amp;$GB$54&amp;",real=true,Bizday="&amp;$GD$54&amp;",Quote="&amp;$GF$54&amp;",Pos=20,Orient=V,DtFmt=1,TmFmt=1,unit=true")</f>
        <v>조회[220]</v>
      </c>
      <c r="LC56" t="str">
        <f ca="1">_xll.IMDH("IDX",LC$55,LC$57:LF$57,$FT$54,$FV$54,$FX$54,"Per="&amp;$FZ$54&amp;",sort="&amp;$GB$54&amp;",real=true,Bizday="&amp;$GD$54&amp;",Quote="&amp;$GF$54&amp;",Pos=20,Orient=V,DtFmt=1,TmFmt=1,unit=true")</f>
        <v>조회[250]</v>
      </c>
      <c r="LG56" t="str">
        <f ca="1">_xll.IMDH("IDX",LG$55,LG$57:LJ$57,$FT$54,$FV$54,$FX$54,"Per="&amp;$FZ$54&amp;",sort="&amp;$GB$54&amp;",real=true,Bizday="&amp;$GD$54&amp;",Quote="&amp;$GF$54&amp;",Pos=20,Orient=V,DtFmt=1,TmFmt=1,unit=true")</f>
        <v>조회[251]</v>
      </c>
      <c r="LK56" t="str">
        <f ca="1">_xll.IMDH("IDX",LK$55,LK$57:LN$57,$FT$54,$FV$54,$FX$54,"Per="&amp;$FZ$54&amp;",sort="&amp;$GB$54&amp;",real=true,Bizday="&amp;$GD$54&amp;",Quote="&amp;$GF$54&amp;",Pos=20,Orient=V,DtFmt=1,TmFmt=1,unit=true")</f>
        <v>조회[252]</v>
      </c>
      <c r="LO56" t="str">
        <f ca="1">_xll.IMDH("IDX",LO$55,LO$57:LR$57,$FT$54,$FV$54,$FX$54,"Per="&amp;$FZ$54&amp;",sort="&amp;$GB$54&amp;",real=true,Bizday="&amp;$GD$54&amp;",Quote="&amp;$GF$54&amp;",Pos=20,Orient=V,DtFmt=1,TmFmt=1,unit=true")</f>
        <v>조회[253]</v>
      </c>
    </row>
    <row r="57" spans="3:330">
      <c r="C57" s="26" t="str">
        <f t="shared" ref="C57:D57" si="214">C12</f>
        <v>의약품</v>
      </c>
      <c r="D57" s="27" t="str">
        <f t="shared" si="214"/>
        <v>009</v>
      </c>
      <c r="E57" s="50" cm="1">
        <f t="array" aca="1" ref="E57" ca="1">IF( $D57=0, "", _xll.IMDP("IDX",$D57,"기관순매수금액",TODAY()-1,"fill=true") )</f>
        <v>74407</v>
      </c>
      <c r="F57" s="51" cm="1">
        <f t="array" aca="1" ref="F57" ca="1">IF( $E57="", "", INDEX($R$52:$FQ$52, 1, MATCH(ROW()-ROW($C$50), $R$50:$FQ$50, 0)+1) )</f>
        <v>-2932</v>
      </c>
      <c r="G57" s="52" cm="1">
        <f t="array" aca="1" ref="G57" ca="1">IF( $E57="", "", INDEX($FS$52:$LR$52, 1, MATCH(ROW()-ROW($C$50), $R$50:$FQ$50, 0)+1) )</f>
        <v>-5082</v>
      </c>
      <c r="H57" s="53" cm="1">
        <f t="array" aca="1" ref="H57" ca="1">IF( $D57=0, "", _xll.IMDP("IDX",$D57,"외국인합순매수금액",TODAY()-1,"fill=true") )</f>
        <v>-5578</v>
      </c>
      <c r="I57" s="51" cm="1">
        <f t="array" aca="1" ref="I57" ca="1">IF( $H57="", "", INDEX($R$52:$FQ$52, 1, MATCH(ROW()-ROW($C$50), $R$50:$FQ$50, 0)+2))</f>
        <v>-2899</v>
      </c>
      <c r="J57" s="54" cm="1">
        <f t="array" aca="1" ref="J57" ca="1">IF( $H57="", "", INDEX($FS$52:$LR$52, 1, MATCH(ROW()-ROW($C$50), $R$50:$FQ$50, 0)+2))</f>
        <v>-8116</v>
      </c>
      <c r="K57" s="55" cm="1">
        <f t="array" aca="1" ref="K57" ca="1">IF( $D57=0, "", _xll.IMDP("IDX",$D57,"개인순매수금액",TODAY()-1,"fill=true"))</f>
        <v>-74272</v>
      </c>
      <c r="L57" s="51" cm="1">
        <f t="array" aca="1" ref="L57" ca="1">IF( $K57="", "", INDEX($R$52:$FQ$52, 1, MATCH(ROW()-ROW($C$50), $R$50:$FQ$50, 0)+3))</f>
        <v>5089</v>
      </c>
      <c r="M57" s="56" cm="1">
        <f t="array" aca="1" ref="M57" ca="1">IF( $K57="", "", INDEX($FS$52:$LR$52, 1, MATCH(ROW()-ROW($C$50), $R$50:$FQ$50, 0)+3))</f>
        <v>11871</v>
      </c>
      <c r="R57" t="s">
        <v>122</v>
      </c>
      <c r="S57" t="s">
        <v>135</v>
      </c>
      <c r="T57" t="s">
        <v>110</v>
      </c>
      <c r="U57" t="s">
        <v>111</v>
      </c>
      <c r="V57" t="s">
        <v>122</v>
      </c>
      <c r="W57" t="s">
        <v>109</v>
      </c>
      <c r="X57" t="s">
        <v>110</v>
      </c>
      <c r="Y57" t="s">
        <v>111</v>
      </c>
      <c r="Z57" t="s">
        <v>122</v>
      </c>
      <c r="AA57" t="s">
        <v>137</v>
      </c>
      <c r="AB57" t="s">
        <v>138</v>
      </c>
      <c r="AC57" t="s">
        <v>139</v>
      </c>
      <c r="AD57" t="s">
        <v>140</v>
      </c>
      <c r="AE57" t="s">
        <v>137</v>
      </c>
      <c r="AF57" t="s">
        <v>138</v>
      </c>
      <c r="AG57" t="s">
        <v>139</v>
      </c>
      <c r="AH57" t="s">
        <v>140</v>
      </c>
      <c r="AI57" t="s">
        <v>137</v>
      </c>
      <c r="AJ57" t="s">
        <v>138</v>
      </c>
      <c r="AK57" t="s">
        <v>139</v>
      </c>
      <c r="AL57" t="s">
        <v>140</v>
      </c>
      <c r="AM57" t="s">
        <v>137</v>
      </c>
      <c r="AN57" t="s">
        <v>138</v>
      </c>
      <c r="AO57" t="s">
        <v>139</v>
      </c>
      <c r="AP57" t="s">
        <v>140</v>
      </c>
      <c r="AQ57" t="s">
        <v>137</v>
      </c>
      <c r="AR57" t="s">
        <v>138</v>
      </c>
      <c r="AS57" t="s">
        <v>139</v>
      </c>
      <c r="AT57" t="s">
        <v>140</v>
      </c>
      <c r="AU57" t="s">
        <v>137</v>
      </c>
      <c r="AV57" t="s">
        <v>138</v>
      </c>
      <c r="AW57" t="s">
        <v>139</v>
      </c>
      <c r="AX57" t="s">
        <v>140</v>
      </c>
      <c r="AY57" t="s">
        <v>137</v>
      </c>
      <c r="AZ57" t="s">
        <v>138</v>
      </c>
      <c r="BA57" t="s">
        <v>139</v>
      </c>
      <c r="BB57" t="s">
        <v>140</v>
      </c>
      <c r="BC57" t="s">
        <v>137</v>
      </c>
      <c r="BD57" t="s">
        <v>138</v>
      </c>
      <c r="BE57" t="s">
        <v>139</v>
      </c>
      <c r="BF57" t="s">
        <v>140</v>
      </c>
      <c r="BG57" t="s">
        <v>137</v>
      </c>
      <c r="BH57" t="s">
        <v>138</v>
      </c>
      <c r="BI57" t="s">
        <v>139</v>
      </c>
      <c r="BJ57" t="s">
        <v>140</v>
      </c>
      <c r="BK57" t="s">
        <v>137</v>
      </c>
      <c r="BL57" t="s">
        <v>138</v>
      </c>
      <c r="BM57" t="s">
        <v>139</v>
      </c>
      <c r="BN57" t="s">
        <v>140</v>
      </c>
      <c r="BO57" t="s">
        <v>137</v>
      </c>
      <c r="BP57" t="s">
        <v>138</v>
      </c>
      <c r="BQ57" t="s">
        <v>139</v>
      </c>
      <c r="BR57" t="s">
        <v>140</v>
      </c>
      <c r="BS57" t="s">
        <v>137</v>
      </c>
      <c r="BT57" t="s">
        <v>138</v>
      </c>
      <c r="BU57" t="s">
        <v>139</v>
      </c>
      <c r="BV57" t="s">
        <v>140</v>
      </c>
      <c r="BW57" t="s">
        <v>137</v>
      </c>
      <c r="BX57" t="s">
        <v>138</v>
      </c>
      <c r="BY57" t="s">
        <v>139</v>
      </c>
      <c r="BZ57" t="s">
        <v>140</v>
      </c>
      <c r="CA57" t="s">
        <v>137</v>
      </c>
      <c r="CB57" t="s">
        <v>138</v>
      </c>
      <c r="CC57" t="s">
        <v>139</v>
      </c>
      <c r="CD57" t="s">
        <v>140</v>
      </c>
      <c r="CE57" t="s">
        <v>137</v>
      </c>
      <c r="CF57" t="s">
        <v>138</v>
      </c>
      <c r="CG57" t="s">
        <v>139</v>
      </c>
      <c r="CH57" t="s">
        <v>140</v>
      </c>
      <c r="CI57" t="s">
        <v>137</v>
      </c>
      <c r="CJ57" t="s">
        <v>138</v>
      </c>
      <c r="CK57" t="s">
        <v>139</v>
      </c>
      <c r="CL57" t="s">
        <v>140</v>
      </c>
      <c r="CM57" t="s">
        <v>137</v>
      </c>
      <c r="CN57" t="s">
        <v>138</v>
      </c>
      <c r="CO57" t="s">
        <v>139</v>
      </c>
      <c r="CP57" t="s">
        <v>140</v>
      </c>
      <c r="CQ57" t="s">
        <v>137</v>
      </c>
      <c r="CR57" t="s">
        <v>138</v>
      </c>
      <c r="CS57" t="s">
        <v>139</v>
      </c>
      <c r="CT57" t="s">
        <v>140</v>
      </c>
      <c r="CU57" t="s">
        <v>137</v>
      </c>
      <c r="CV57" t="s">
        <v>138</v>
      </c>
      <c r="CW57" t="s">
        <v>139</v>
      </c>
      <c r="CX57" t="s">
        <v>140</v>
      </c>
      <c r="CY57" t="s">
        <v>137</v>
      </c>
      <c r="CZ57" t="s">
        <v>138</v>
      </c>
      <c r="DA57" t="s">
        <v>139</v>
      </c>
      <c r="DB57" t="s">
        <v>140</v>
      </c>
      <c r="DC57" t="s">
        <v>137</v>
      </c>
      <c r="DD57" t="s">
        <v>138</v>
      </c>
      <c r="DE57" t="s">
        <v>139</v>
      </c>
      <c r="DF57" t="s">
        <v>140</v>
      </c>
      <c r="DG57" t="s">
        <v>137</v>
      </c>
      <c r="DH57" t="s">
        <v>138</v>
      </c>
      <c r="DI57" t="s">
        <v>139</v>
      </c>
      <c r="DJ57" t="s">
        <v>140</v>
      </c>
      <c r="DK57" t="s">
        <v>137</v>
      </c>
      <c r="DL57" t="s">
        <v>138</v>
      </c>
      <c r="DM57" t="s">
        <v>139</v>
      </c>
      <c r="DN57" t="s">
        <v>140</v>
      </c>
      <c r="DO57" t="s">
        <v>137</v>
      </c>
      <c r="DP57" t="s">
        <v>138</v>
      </c>
      <c r="DQ57" t="s">
        <v>139</v>
      </c>
      <c r="DR57" t="s">
        <v>140</v>
      </c>
      <c r="DS57" t="s">
        <v>137</v>
      </c>
      <c r="DT57" t="s">
        <v>138</v>
      </c>
      <c r="DU57" t="s">
        <v>139</v>
      </c>
      <c r="DV57" t="s">
        <v>140</v>
      </c>
      <c r="DW57" t="s">
        <v>137</v>
      </c>
      <c r="DX57" t="s">
        <v>138</v>
      </c>
      <c r="DY57" t="s">
        <v>139</v>
      </c>
      <c r="DZ57" t="s">
        <v>140</v>
      </c>
      <c r="EA57" t="s">
        <v>137</v>
      </c>
      <c r="EB57" t="s">
        <v>138</v>
      </c>
      <c r="EC57" t="s">
        <v>139</v>
      </c>
      <c r="ED57" t="s">
        <v>140</v>
      </c>
      <c r="EE57" t="s">
        <v>137</v>
      </c>
      <c r="EF57" t="s">
        <v>138</v>
      </c>
      <c r="EG57" t="s">
        <v>139</v>
      </c>
      <c r="EH57" t="s">
        <v>140</v>
      </c>
      <c r="EI57" t="s">
        <v>137</v>
      </c>
      <c r="EJ57" t="s">
        <v>138</v>
      </c>
      <c r="EK57" t="s">
        <v>139</v>
      </c>
      <c r="EL57" t="s">
        <v>140</v>
      </c>
      <c r="EM57" t="s">
        <v>137</v>
      </c>
      <c r="EN57" t="s">
        <v>138</v>
      </c>
      <c r="EO57" t="s">
        <v>139</v>
      </c>
      <c r="EP57" t="s">
        <v>140</v>
      </c>
      <c r="EQ57" t="s">
        <v>137</v>
      </c>
      <c r="ER57" t="s">
        <v>138</v>
      </c>
      <c r="ES57" t="s">
        <v>139</v>
      </c>
      <c r="ET57" t="s">
        <v>140</v>
      </c>
      <c r="EU57" t="s">
        <v>137</v>
      </c>
      <c r="EV57" t="s">
        <v>138</v>
      </c>
      <c r="EW57" t="s">
        <v>139</v>
      </c>
      <c r="EX57" t="s">
        <v>140</v>
      </c>
      <c r="EY57" t="s">
        <v>137</v>
      </c>
      <c r="EZ57" t="s">
        <v>138</v>
      </c>
      <c r="FA57" t="s">
        <v>139</v>
      </c>
      <c r="FB57" t="s">
        <v>140</v>
      </c>
      <c r="FC57" t="s">
        <v>137</v>
      </c>
      <c r="FD57" t="s">
        <v>138</v>
      </c>
      <c r="FE57" t="s">
        <v>139</v>
      </c>
      <c r="FF57" t="s">
        <v>140</v>
      </c>
      <c r="FG57" t="s">
        <v>137</v>
      </c>
      <c r="FH57" t="s">
        <v>138</v>
      </c>
      <c r="FI57" t="s">
        <v>139</v>
      </c>
      <c r="FJ57" t="s">
        <v>140</v>
      </c>
      <c r="FK57" t="s">
        <v>137</v>
      </c>
      <c r="FL57" t="s">
        <v>138</v>
      </c>
      <c r="FM57" t="s">
        <v>139</v>
      </c>
      <c r="FN57" t="s">
        <v>140</v>
      </c>
      <c r="FO57" t="s">
        <v>137</v>
      </c>
      <c r="FP57" t="s">
        <v>138</v>
      </c>
      <c r="FQ57" t="s">
        <v>139</v>
      </c>
      <c r="FS57" t="s">
        <v>122</v>
      </c>
      <c r="FT57" t="s">
        <v>141</v>
      </c>
      <c r="FU57" t="s">
        <v>110</v>
      </c>
      <c r="FV57" t="s">
        <v>111</v>
      </c>
      <c r="FW57" t="s">
        <v>122</v>
      </c>
      <c r="FX57" t="s">
        <v>141</v>
      </c>
      <c r="FY57" t="s">
        <v>110</v>
      </c>
      <c r="FZ57" t="s">
        <v>111</v>
      </c>
      <c r="GA57" t="s">
        <v>122</v>
      </c>
      <c r="GB57" t="s">
        <v>141</v>
      </c>
      <c r="GC57" t="s">
        <v>110</v>
      </c>
      <c r="GD57" t="s">
        <v>111</v>
      </c>
      <c r="GE57" t="s">
        <v>122</v>
      </c>
      <c r="GF57" t="s">
        <v>141</v>
      </c>
      <c r="GG57" t="s">
        <v>110</v>
      </c>
      <c r="GH57" t="s">
        <v>111</v>
      </c>
      <c r="GI57" t="s">
        <v>122</v>
      </c>
      <c r="GJ57" t="s">
        <v>141</v>
      </c>
      <c r="GK57" t="s">
        <v>110</v>
      </c>
      <c r="GL57" t="s">
        <v>111</v>
      </c>
      <c r="GM57" t="s">
        <v>140</v>
      </c>
      <c r="GN57" t="s">
        <v>137</v>
      </c>
      <c r="GO57" t="s">
        <v>138</v>
      </c>
      <c r="GP57" t="s">
        <v>139</v>
      </c>
      <c r="GQ57" t="s">
        <v>140</v>
      </c>
      <c r="GR57" t="s">
        <v>137</v>
      </c>
      <c r="GS57" t="s">
        <v>138</v>
      </c>
      <c r="GT57" t="s">
        <v>139</v>
      </c>
      <c r="GU57" t="s">
        <v>140</v>
      </c>
      <c r="GV57" t="s">
        <v>137</v>
      </c>
      <c r="GW57" t="s">
        <v>138</v>
      </c>
      <c r="GX57" t="s">
        <v>139</v>
      </c>
      <c r="GY57" t="s">
        <v>140</v>
      </c>
      <c r="GZ57" t="s">
        <v>137</v>
      </c>
      <c r="HA57" t="s">
        <v>138</v>
      </c>
      <c r="HB57" t="s">
        <v>139</v>
      </c>
      <c r="HC57" t="s">
        <v>140</v>
      </c>
      <c r="HD57" t="s">
        <v>137</v>
      </c>
      <c r="HE57" t="s">
        <v>138</v>
      </c>
      <c r="HF57" t="s">
        <v>139</v>
      </c>
      <c r="HG57" t="s">
        <v>140</v>
      </c>
      <c r="HH57" t="s">
        <v>137</v>
      </c>
      <c r="HI57" t="s">
        <v>138</v>
      </c>
      <c r="HJ57" t="s">
        <v>139</v>
      </c>
      <c r="HK57" t="s">
        <v>140</v>
      </c>
      <c r="HL57" t="s">
        <v>137</v>
      </c>
      <c r="HM57" t="s">
        <v>138</v>
      </c>
      <c r="HN57" t="s">
        <v>139</v>
      </c>
      <c r="HO57" t="s">
        <v>140</v>
      </c>
      <c r="HP57" t="s">
        <v>137</v>
      </c>
      <c r="HQ57" t="s">
        <v>138</v>
      </c>
      <c r="HR57" t="s">
        <v>139</v>
      </c>
      <c r="HS57" t="s">
        <v>140</v>
      </c>
      <c r="HT57" t="s">
        <v>137</v>
      </c>
      <c r="HU57" t="s">
        <v>138</v>
      </c>
      <c r="HV57" t="s">
        <v>139</v>
      </c>
      <c r="HW57" t="s">
        <v>140</v>
      </c>
      <c r="HX57" t="s">
        <v>137</v>
      </c>
      <c r="HY57" t="s">
        <v>138</v>
      </c>
      <c r="HZ57" t="s">
        <v>139</v>
      </c>
      <c r="IA57" t="s">
        <v>140</v>
      </c>
      <c r="IB57" t="s">
        <v>137</v>
      </c>
      <c r="IC57" t="s">
        <v>138</v>
      </c>
      <c r="ID57" t="s">
        <v>139</v>
      </c>
      <c r="IE57" t="s">
        <v>140</v>
      </c>
      <c r="IF57" t="s">
        <v>137</v>
      </c>
      <c r="IG57" t="s">
        <v>138</v>
      </c>
      <c r="IH57" t="s">
        <v>139</v>
      </c>
      <c r="II57" t="s">
        <v>140</v>
      </c>
      <c r="IJ57" t="s">
        <v>137</v>
      </c>
      <c r="IK57" t="s">
        <v>138</v>
      </c>
      <c r="IL57" t="s">
        <v>139</v>
      </c>
      <c r="IM57" t="s">
        <v>140</v>
      </c>
      <c r="IN57" t="s">
        <v>137</v>
      </c>
      <c r="IO57" t="s">
        <v>138</v>
      </c>
      <c r="IP57" t="s">
        <v>139</v>
      </c>
      <c r="IQ57" t="s">
        <v>140</v>
      </c>
      <c r="IR57" t="s">
        <v>137</v>
      </c>
      <c r="IS57" t="s">
        <v>138</v>
      </c>
      <c r="IT57" t="s">
        <v>139</v>
      </c>
      <c r="IU57" t="s">
        <v>140</v>
      </c>
      <c r="IV57" t="s">
        <v>137</v>
      </c>
      <c r="IW57" t="s">
        <v>138</v>
      </c>
      <c r="IX57" t="s">
        <v>139</v>
      </c>
      <c r="IY57" t="s">
        <v>140</v>
      </c>
      <c r="IZ57" t="s">
        <v>137</v>
      </c>
      <c r="JA57" t="s">
        <v>138</v>
      </c>
      <c r="JB57" t="s">
        <v>139</v>
      </c>
      <c r="JC57" t="s">
        <v>140</v>
      </c>
      <c r="JD57" t="s">
        <v>137</v>
      </c>
      <c r="JE57" t="s">
        <v>138</v>
      </c>
      <c r="JF57" t="s">
        <v>139</v>
      </c>
      <c r="JG57" t="s">
        <v>140</v>
      </c>
      <c r="JH57" t="s">
        <v>137</v>
      </c>
      <c r="JI57" t="s">
        <v>138</v>
      </c>
      <c r="JJ57" t="s">
        <v>139</v>
      </c>
      <c r="JK57" t="s">
        <v>140</v>
      </c>
      <c r="JL57" t="s">
        <v>137</v>
      </c>
      <c r="JM57" t="s">
        <v>138</v>
      </c>
      <c r="JN57" t="s">
        <v>139</v>
      </c>
      <c r="JO57" t="s">
        <v>140</v>
      </c>
      <c r="JP57" t="s">
        <v>137</v>
      </c>
      <c r="JQ57" t="s">
        <v>138</v>
      </c>
      <c r="JR57" t="s">
        <v>139</v>
      </c>
      <c r="JS57" t="s">
        <v>140</v>
      </c>
      <c r="JT57" t="s">
        <v>137</v>
      </c>
      <c r="JU57" t="s">
        <v>138</v>
      </c>
      <c r="JV57" t="s">
        <v>139</v>
      </c>
      <c r="JW57" t="s">
        <v>140</v>
      </c>
      <c r="JX57" t="s">
        <v>137</v>
      </c>
      <c r="JY57" t="s">
        <v>138</v>
      </c>
      <c r="JZ57" t="s">
        <v>139</v>
      </c>
      <c r="KA57" t="s">
        <v>140</v>
      </c>
      <c r="KB57" t="s">
        <v>137</v>
      </c>
      <c r="KC57" t="s">
        <v>138</v>
      </c>
      <c r="KD57" t="s">
        <v>139</v>
      </c>
      <c r="KE57" t="s">
        <v>140</v>
      </c>
      <c r="KF57" t="s">
        <v>137</v>
      </c>
      <c r="KG57" t="s">
        <v>138</v>
      </c>
      <c r="KH57" t="s">
        <v>139</v>
      </c>
      <c r="KI57" t="s">
        <v>140</v>
      </c>
      <c r="KJ57" t="s">
        <v>137</v>
      </c>
      <c r="KK57" t="s">
        <v>138</v>
      </c>
      <c r="KL57" t="s">
        <v>139</v>
      </c>
      <c r="KM57" t="s">
        <v>140</v>
      </c>
      <c r="KN57" t="s">
        <v>137</v>
      </c>
      <c r="KO57" t="s">
        <v>138</v>
      </c>
      <c r="KP57" t="s">
        <v>139</v>
      </c>
      <c r="KQ57" t="s">
        <v>140</v>
      </c>
      <c r="KR57" t="s">
        <v>137</v>
      </c>
      <c r="KS57" t="s">
        <v>138</v>
      </c>
      <c r="KT57" t="s">
        <v>139</v>
      </c>
      <c r="KU57" t="s">
        <v>140</v>
      </c>
      <c r="KV57" t="s">
        <v>137</v>
      </c>
      <c r="KW57" t="s">
        <v>138</v>
      </c>
      <c r="KX57" t="s">
        <v>139</v>
      </c>
      <c r="KY57" t="s">
        <v>140</v>
      </c>
      <c r="KZ57" t="s">
        <v>137</v>
      </c>
      <c r="LA57" t="s">
        <v>138</v>
      </c>
      <c r="LB57" t="s">
        <v>139</v>
      </c>
      <c r="LC57" t="s">
        <v>140</v>
      </c>
      <c r="LD57" t="s">
        <v>137</v>
      </c>
      <c r="LE57" t="s">
        <v>138</v>
      </c>
      <c r="LF57" t="s">
        <v>139</v>
      </c>
      <c r="LG57" t="s">
        <v>140</v>
      </c>
      <c r="LH57" t="s">
        <v>137</v>
      </c>
      <c r="LI57" t="s">
        <v>138</v>
      </c>
      <c r="LJ57" t="s">
        <v>139</v>
      </c>
      <c r="LK57" t="s">
        <v>140</v>
      </c>
      <c r="LL57" t="s">
        <v>137</v>
      </c>
      <c r="LM57" t="s">
        <v>138</v>
      </c>
      <c r="LN57" t="s">
        <v>139</v>
      </c>
      <c r="LO57" t="s">
        <v>140</v>
      </c>
      <c r="LP57" t="s">
        <v>137</v>
      </c>
      <c r="LQ57" t="s">
        <v>138</v>
      </c>
      <c r="LR57" t="s">
        <v>139</v>
      </c>
    </row>
    <row r="58" spans="3:330">
      <c r="C58" s="26" t="str">
        <f t="shared" ref="C58:D58" si="215">C13</f>
        <v>비금속광물</v>
      </c>
      <c r="D58" s="27" t="str">
        <f t="shared" si="215"/>
        <v>010</v>
      </c>
      <c r="E58" s="50" cm="1">
        <f t="array" aca="1" ref="E58" ca="1">IF( $D58=0, "", _xll.IMDP("IDX",$D58,"기관순매수금액",TODAY()-1,"fill=true") )</f>
        <v>77</v>
      </c>
      <c r="F58" s="51" cm="1">
        <f t="array" aca="1" ref="F58" ca="1">IF( $E58="", "", INDEX($R$52:$FQ$52, 1, MATCH(ROW()-ROW($C$50), $R$50:$FQ$50, 0)+1) )</f>
        <v>-3985</v>
      </c>
      <c r="G58" s="52" cm="1">
        <f t="array" aca="1" ref="G58" ca="1">IF( $E58="", "", INDEX($FS$52:$LR$52, 1, MATCH(ROW()-ROW($C$50), $R$50:$FQ$50, 0)+1) )</f>
        <v>-5255</v>
      </c>
      <c r="H58" s="53" cm="1">
        <f t="array" aca="1" ref="H58" ca="1">IF( $D58=0, "", _xll.IMDP("IDX",$D58,"외국인합순매수금액",TODAY()-1,"fill=true") )</f>
        <v>-628</v>
      </c>
      <c r="I58" s="51" cm="1">
        <f t="array" aca="1" ref="I58" ca="1">IF( $H58="", "", INDEX($R$52:$FQ$52, 1, MATCH(ROW()-ROW($C$50), $R$50:$FQ$50, 0)+2))</f>
        <v>-401</v>
      </c>
      <c r="J58" s="54" cm="1">
        <f t="array" aca="1" ref="J58" ca="1">IF( $H58="", "", INDEX($FS$52:$LR$52, 1, MATCH(ROW()-ROW($C$50), $R$50:$FQ$50, 0)+2))</f>
        <v>-3258</v>
      </c>
      <c r="K58" s="55" cm="1">
        <f t="array" aca="1" ref="K58" ca="1">IF( $D58=0, "", _xll.IMDP("IDX",$D58,"개인순매수금액",TODAY()-1,"fill=true"))</f>
        <v>578</v>
      </c>
      <c r="L58" s="51" cm="1">
        <f t="array" aca="1" ref="L58" ca="1">IF( $K58="", "", INDEX($R$52:$FQ$52, 1, MATCH(ROW()-ROW($C$50), $R$50:$FQ$50, 0)+3))</f>
        <v>-112</v>
      </c>
      <c r="M58" s="56" cm="1">
        <f t="array" aca="1" ref="M58" ca="1">IF( $K58="", "", INDEX($FS$52:$LR$52, 1, MATCH(ROW()-ROW($C$50), $R$50:$FQ$50, 0)+3))</f>
        <v>-4385</v>
      </c>
      <c r="R58" s="3">
        <v>45475</v>
      </c>
      <c r="S58">
        <v>-351313</v>
      </c>
      <c r="T58">
        <v>-30116</v>
      </c>
      <c r="U58">
        <v>393177</v>
      </c>
      <c r="V58" s="3">
        <v>45475</v>
      </c>
      <c r="W58">
        <v>-352346</v>
      </c>
      <c r="X58">
        <v>-12286</v>
      </c>
      <c r="Y58">
        <v>373686</v>
      </c>
      <c r="Z58" s="3">
        <v>45475</v>
      </c>
      <c r="AA58">
        <v>-22</v>
      </c>
      <c r="AB58">
        <v>-400</v>
      </c>
      <c r="AC58">
        <v>249</v>
      </c>
      <c r="AD58" s="3">
        <v>45475</v>
      </c>
      <c r="AE58">
        <v>6</v>
      </c>
      <c r="AF58">
        <v>36</v>
      </c>
      <c r="AG58">
        <v>152</v>
      </c>
      <c r="AH58" s="3">
        <v>45475</v>
      </c>
      <c r="AI58">
        <v>55</v>
      </c>
      <c r="AJ58">
        <v>43</v>
      </c>
      <c r="AK58">
        <v>-74</v>
      </c>
      <c r="AL58" s="3">
        <v>45475</v>
      </c>
      <c r="AM58">
        <v>-750</v>
      </c>
      <c r="AN58">
        <v>-1073</v>
      </c>
      <c r="AO58">
        <v>1793</v>
      </c>
      <c r="AP58" s="3">
        <v>45475</v>
      </c>
      <c r="AQ58">
        <v>115</v>
      </c>
      <c r="AR58">
        <v>-511</v>
      </c>
      <c r="AS58">
        <v>354</v>
      </c>
      <c r="AT58" s="3">
        <v>45475</v>
      </c>
      <c r="AU58">
        <v>100</v>
      </c>
      <c r="AV58">
        <v>-125</v>
      </c>
      <c r="AW58">
        <v>-160</v>
      </c>
      <c r="AX58" s="3">
        <v>45475</v>
      </c>
      <c r="AY58">
        <v>-3229</v>
      </c>
      <c r="AZ58">
        <v>23</v>
      </c>
      <c r="BA58">
        <v>3380</v>
      </c>
      <c r="BB58" s="3">
        <v>45475</v>
      </c>
      <c r="BC58">
        <v>-1114</v>
      </c>
      <c r="BD58">
        <v>-903</v>
      </c>
      <c r="BE58">
        <v>1478</v>
      </c>
      <c r="BF58" s="3">
        <v>45475</v>
      </c>
      <c r="BG58">
        <v>-1277</v>
      </c>
      <c r="BH58">
        <v>1146</v>
      </c>
      <c r="BI58">
        <v>313</v>
      </c>
      <c r="BJ58" s="3">
        <v>45475</v>
      </c>
      <c r="BK58">
        <v>-65</v>
      </c>
      <c r="BL58">
        <v>-125</v>
      </c>
      <c r="BM58">
        <v>194</v>
      </c>
      <c r="BN58" s="3">
        <v>45475</v>
      </c>
      <c r="BO58">
        <v>-1037</v>
      </c>
      <c r="BP58">
        <v>-1769</v>
      </c>
      <c r="BQ58">
        <v>2789</v>
      </c>
      <c r="BR58" s="3">
        <v>45475</v>
      </c>
      <c r="BS58">
        <v>154</v>
      </c>
      <c r="BT58">
        <v>568</v>
      </c>
      <c r="BU58">
        <v>-586</v>
      </c>
      <c r="BV58" s="3">
        <v>45475</v>
      </c>
      <c r="BW58">
        <v>-850</v>
      </c>
      <c r="BX58">
        <v>-543</v>
      </c>
      <c r="BY58">
        <v>1335</v>
      </c>
      <c r="BZ58" s="3">
        <v>45475</v>
      </c>
      <c r="CA58">
        <v>-140</v>
      </c>
      <c r="CB58">
        <v>-383</v>
      </c>
      <c r="CC58">
        <v>513</v>
      </c>
      <c r="CD58" s="3">
        <v>45475</v>
      </c>
      <c r="CE58">
        <v>-3</v>
      </c>
      <c r="CF58">
        <v>-2552</v>
      </c>
      <c r="CG58">
        <v>2549</v>
      </c>
      <c r="CH58" s="3">
        <v>45475</v>
      </c>
      <c r="CI58">
        <v>-94</v>
      </c>
      <c r="CJ58">
        <v>-264</v>
      </c>
      <c r="CK58">
        <v>356</v>
      </c>
      <c r="CL58" s="3">
        <v>45475</v>
      </c>
      <c r="CM58">
        <v>1663</v>
      </c>
      <c r="CN58">
        <v>3572</v>
      </c>
      <c r="CO58">
        <v>-4723</v>
      </c>
      <c r="CP58" s="3">
        <v>45475</v>
      </c>
      <c r="CQ58">
        <v>257</v>
      </c>
      <c r="CR58">
        <v>328</v>
      </c>
      <c r="CS58">
        <v>-476</v>
      </c>
      <c r="CT58" s="3">
        <v>45475</v>
      </c>
      <c r="CU58">
        <v>620</v>
      </c>
      <c r="CV58">
        <v>1974</v>
      </c>
      <c r="CW58">
        <v>-2504</v>
      </c>
      <c r="CX58" s="3">
        <v>45475</v>
      </c>
      <c r="CY58">
        <v>-490</v>
      </c>
      <c r="CZ58">
        <v>-1317</v>
      </c>
      <c r="DA58">
        <v>1461</v>
      </c>
      <c r="DB58" s="3">
        <v>45475</v>
      </c>
      <c r="DC58">
        <v>-7382</v>
      </c>
      <c r="DD58">
        <v>-3588</v>
      </c>
      <c r="DE58">
        <v>10568</v>
      </c>
      <c r="DF58" s="3">
        <v>45475</v>
      </c>
      <c r="DG58">
        <v>-2464</v>
      </c>
      <c r="DH58">
        <v>-1254</v>
      </c>
      <c r="DI58">
        <v>3948</v>
      </c>
      <c r="DJ58" s="3">
        <v>45475</v>
      </c>
      <c r="DK58">
        <v>-804</v>
      </c>
      <c r="DL58">
        <v>-2627</v>
      </c>
      <c r="DM58">
        <v>3747</v>
      </c>
      <c r="DN58" s="3">
        <v>45475</v>
      </c>
      <c r="DO58">
        <v>-3453</v>
      </c>
      <c r="DP58">
        <v>-389</v>
      </c>
      <c r="DQ58">
        <v>3229</v>
      </c>
      <c r="DR58" s="3"/>
      <c r="DV58" s="3"/>
      <c r="DZ58" s="3"/>
      <c r="ED58" s="3"/>
      <c r="EH58" s="3"/>
      <c r="EL58" s="3"/>
      <c r="EP58" s="3"/>
      <c r="ET58" s="3"/>
      <c r="EX58" s="3"/>
      <c r="FB58" s="3"/>
      <c r="FF58" s="3"/>
      <c r="FJ58" s="3"/>
      <c r="FN58" s="3"/>
      <c r="FS58" s="3">
        <v>45475</v>
      </c>
      <c r="FT58">
        <v>-351313</v>
      </c>
      <c r="FU58">
        <v>-30116</v>
      </c>
      <c r="FV58">
        <v>393177</v>
      </c>
      <c r="FW58" s="3">
        <v>45475</v>
      </c>
      <c r="FX58">
        <v>-352346</v>
      </c>
      <c r="FY58">
        <v>-12286</v>
      </c>
      <c r="FZ58">
        <v>373686</v>
      </c>
      <c r="GA58" s="3">
        <v>45475</v>
      </c>
      <c r="GB58">
        <v>-23980</v>
      </c>
      <c r="GC58">
        <v>31997</v>
      </c>
      <c r="GD58">
        <v>-11709</v>
      </c>
      <c r="GE58" s="3">
        <v>45475</v>
      </c>
      <c r="GF58">
        <v>31</v>
      </c>
      <c r="GG58">
        <v>-913</v>
      </c>
      <c r="GH58">
        <v>1176</v>
      </c>
      <c r="GI58" s="3">
        <v>45475</v>
      </c>
      <c r="GJ58">
        <v>329</v>
      </c>
      <c r="GK58">
        <v>581</v>
      </c>
      <c r="GL58">
        <v>-705</v>
      </c>
      <c r="GM58" s="3">
        <v>45475</v>
      </c>
      <c r="GN58">
        <v>-750</v>
      </c>
      <c r="GO58">
        <v>-1073</v>
      </c>
      <c r="GP58">
        <v>1793</v>
      </c>
      <c r="GQ58" s="3">
        <v>45475</v>
      </c>
      <c r="GR58">
        <v>115</v>
      </c>
      <c r="GS58">
        <v>-511</v>
      </c>
      <c r="GT58">
        <v>354</v>
      </c>
      <c r="GU58" s="3">
        <v>45475</v>
      </c>
      <c r="GV58">
        <v>100</v>
      </c>
      <c r="GW58">
        <v>-125</v>
      </c>
      <c r="GX58">
        <v>-160</v>
      </c>
      <c r="GY58" s="3">
        <v>45475</v>
      </c>
      <c r="GZ58">
        <v>-3229</v>
      </c>
      <c r="HA58">
        <v>23</v>
      </c>
      <c r="HB58">
        <v>3380</v>
      </c>
      <c r="HC58" s="3">
        <v>45475</v>
      </c>
      <c r="HD58">
        <v>-1114</v>
      </c>
      <c r="HE58">
        <v>-903</v>
      </c>
      <c r="HF58">
        <v>1478</v>
      </c>
      <c r="HG58" s="3">
        <v>45475</v>
      </c>
      <c r="HH58">
        <v>-1277</v>
      </c>
      <c r="HI58">
        <v>1146</v>
      </c>
      <c r="HJ58">
        <v>313</v>
      </c>
      <c r="HK58" s="3">
        <v>45475</v>
      </c>
      <c r="HL58">
        <v>-65</v>
      </c>
      <c r="HM58">
        <v>-125</v>
      </c>
      <c r="HN58">
        <v>194</v>
      </c>
      <c r="HO58" s="3">
        <v>45475</v>
      </c>
      <c r="HP58">
        <v>-1037</v>
      </c>
      <c r="HQ58">
        <v>-1769</v>
      </c>
      <c r="HR58">
        <v>2789</v>
      </c>
      <c r="HS58" s="3">
        <v>45475</v>
      </c>
      <c r="HT58">
        <v>154</v>
      </c>
      <c r="HU58">
        <v>568</v>
      </c>
      <c r="HV58">
        <v>-586</v>
      </c>
      <c r="HW58" s="3">
        <v>45475</v>
      </c>
      <c r="HX58">
        <v>-850</v>
      </c>
      <c r="HY58">
        <v>-543</v>
      </c>
      <c r="HZ58">
        <v>1335</v>
      </c>
      <c r="IA58" s="3">
        <v>45475</v>
      </c>
      <c r="IB58">
        <v>-140</v>
      </c>
      <c r="IC58">
        <v>-383</v>
      </c>
      <c r="ID58">
        <v>513</v>
      </c>
      <c r="IE58" s="3">
        <v>45475</v>
      </c>
      <c r="IF58">
        <v>-3</v>
      </c>
      <c r="IG58">
        <v>-2552</v>
      </c>
      <c r="IH58">
        <v>2549</v>
      </c>
      <c r="II58" s="3">
        <v>45475</v>
      </c>
      <c r="IJ58">
        <v>-94</v>
      </c>
      <c r="IK58">
        <v>-264</v>
      </c>
      <c r="IL58">
        <v>356</v>
      </c>
      <c r="IM58" s="3">
        <v>45475</v>
      </c>
      <c r="IN58">
        <v>1663</v>
      </c>
      <c r="IO58">
        <v>3572</v>
      </c>
      <c r="IP58">
        <v>-4723</v>
      </c>
      <c r="IQ58" s="3">
        <v>45475</v>
      </c>
      <c r="IR58">
        <v>257</v>
      </c>
      <c r="IS58">
        <v>328</v>
      </c>
      <c r="IT58">
        <v>-476</v>
      </c>
      <c r="IU58" s="3">
        <v>45475</v>
      </c>
      <c r="IV58">
        <v>620</v>
      </c>
      <c r="IW58">
        <v>1974</v>
      </c>
      <c r="IX58">
        <v>-2504</v>
      </c>
      <c r="IY58" s="3">
        <v>45475</v>
      </c>
      <c r="IZ58">
        <v>-490</v>
      </c>
      <c r="JA58">
        <v>-1317</v>
      </c>
      <c r="JB58">
        <v>1461</v>
      </c>
      <c r="JC58" s="3">
        <v>45475</v>
      </c>
      <c r="JD58">
        <v>-7382</v>
      </c>
      <c r="JE58">
        <v>-3588</v>
      </c>
      <c r="JF58">
        <v>10568</v>
      </c>
      <c r="JG58" s="3">
        <v>45475</v>
      </c>
      <c r="JH58">
        <v>-2464</v>
      </c>
      <c r="JI58">
        <v>-1254</v>
      </c>
      <c r="JJ58">
        <v>3948</v>
      </c>
      <c r="JK58" s="3">
        <v>45475</v>
      </c>
      <c r="JL58">
        <v>-804</v>
      </c>
      <c r="JM58">
        <v>-2627</v>
      </c>
      <c r="JN58">
        <v>3747</v>
      </c>
      <c r="JO58" s="3">
        <v>45475</v>
      </c>
      <c r="JP58">
        <v>-3453</v>
      </c>
      <c r="JQ58">
        <v>-389</v>
      </c>
      <c r="JR58">
        <v>3229</v>
      </c>
      <c r="JS58" s="3"/>
      <c r="JW58" s="3"/>
      <c r="KA58" s="3"/>
      <c r="KE58" s="3"/>
      <c r="KI58" s="3"/>
      <c r="KM58" s="3"/>
      <c r="KQ58" s="3"/>
      <c r="KU58" s="3"/>
      <c r="KY58" s="3"/>
      <c r="LC58" s="3"/>
      <c r="LG58" s="3"/>
      <c r="LK58" s="3"/>
      <c r="LO58" s="3"/>
    </row>
    <row r="59" spans="3:330">
      <c r="C59" s="26" t="str">
        <f t="shared" ref="C59:D59" si="216">C14</f>
        <v>철강.금속</v>
      </c>
      <c r="D59" s="27" t="str">
        <f t="shared" si="216"/>
        <v>011</v>
      </c>
      <c r="E59" s="50" cm="1">
        <f t="array" aca="1" ref="E59" ca="1">IF( $D59=0, "", _xll.IMDP("IDX",$D59,"기관순매수금액",TODAY()-1,"fill=true") )</f>
        <v>-14323</v>
      </c>
      <c r="F59" s="51" cm="1">
        <f t="array" aca="1" ref="F59" ca="1">IF( $E59="", "", INDEX($R$52:$FQ$52, 1, MATCH(ROW()-ROW($C$50), $R$50:$FQ$50, 0)+1) )</f>
        <v>-22954</v>
      </c>
      <c r="G59" s="52" cm="1">
        <f t="array" aca="1" ref="G59" ca="1">IF( $E59="", "", INDEX($FS$52:$LR$52, 1, MATCH(ROW()-ROW($C$50), $R$50:$FQ$50, 0)+1) )</f>
        <v>-22099</v>
      </c>
      <c r="H59" s="53" cm="1">
        <f t="array" aca="1" ref="H59" ca="1">IF( $D59=0, "", _xll.IMDP("IDX",$D59,"외국인합순매수금액",TODAY()-1,"fill=true") )</f>
        <v>-16651</v>
      </c>
      <c r="I59" s="51" cm="1">
        <f t="array" aca="1" ref="I59" ca="1">IF( $H59="", "", INDEX($R$52:$FQ$52, 1, MATCH(ROW()-ROW($C$50), $R$50:$FQ$50, 0)+2))</f>
        <v>-3509</v>
      </c>
      <c r="J59" s="54" cm="1">
        <f t="array" aca="1" ref="J59" ca="1">IF( $H59="", "", INDEX($FS$52:$LR$52, 1, MATCH(ROW()-ROW($C$50), $R$50:$FQ$50, 0)+2))</f>
        <v>-8178</v>
      </c>
      <c r="K59" s="55" cm="1">
        <f t="array" aca="1" ref="K59" ca="1">IF( $D59=0, "", _xll.IMDP("IDX",$D59,"개인순매수금액",TODAY()-1,"fill=true"))</f>
        <v>31108</v>
      </c>
      <c r="L59" s="51" cm="1">
        <f t="array" aca="1" ref="L59" ca="1">IF( $K59="", "", INDEX($R$52:$FQ$52, 1, MATCH(ROW()-ROW($C$50), $R$50:$FQ$50, 0)+3))</f>
        <v>32511</v>
      </c>
      <c r="M59" s="56" cm="1">
        <f t="array" aca="1" ref="M59" ca="1">IF( $K59="", "", INDEX($FS$52:$LR$52, 1, MATCH(ROW()-ROW($C$50), $R$50:$FQ$50, 0)+3))</f>
        <v>36995</v>
      </c>
      <c r="R59" s="3">
        <v>45474</v>
      </c>
      <c r="S59">
        <v>54164</v>
      </c>
      <c r="T59">
        <v>-64175</v>
      </c>
      <c r="U59">
        <v>-7621</v>
      </c>
      <c r="V59" s="3">
        <v>45474</v>
      </c>
      <c r="W59">
        <v>99819</v>
      </c>
      <c r="X59">
        <v>-53283</v>
      </c>
      <c r="Y59">
        <v>-64190</v>
      </c>
      <c r="Z59" s="3">
        <v>45474</v>
      </c>
      <c r="AA59">
        <v>-8</v>
      </c>
      <c r="AB59">
        <v>-579</v>
      </c>
      <c r="AC59">
        <v>553</v>
      </c>
      <c r="AD59" s="3">
        <v>45474</v>
      </c>
      <c r="AE59">
        <v>18</v>
      </c>
      <c r="AF59">
        <v>-91</v>
      </c>
      <c r="AG59">
        <v>429</v>
      </c>
      <c r="AH59" s="3">
        <v>45474</v>
      </c>
      <c r="AI59">
        <v>35</v>
      </c>
      <c r="AJ59">
        <v>120</v>
      </c>
      <c r="AK59">
        <v>-155</v>
      </c>
      <c r="AL59" s="3">
        <v>45474</v>
      </c>
      <c r="AM59">
        <v>-505</v>
      </c>
      <c r="AN59">
        <v>654</v>
      </c>
      <c r="AO59">
        <v>-280</v>
      </c>
      <c r="AP59" s="3">
        <v>45474</v>
      </c>
      <c r="AQ59">
        <v>177</v>
      </c>
      <c r="AR59">
        <v>918</v>
      </c>
      <c r="AS59">
        <v>-957</v>
      </c>
      <c r="AT59" s="3">
        <v>45474</v>
      </c>
      <c r="AU59">
        <v>19</v>
      </c>
      <c r="AV59">
        <v>-72</v>
      </c>
      <c r="AW59">
        <v>-5</v>
      </c>
      <c r="AX59" s="3">
        <v>45474</v>
      </c>
      <c r="AY59">
        <v>95</v>
      </c>
      <c r="AZ59">
        <v>-672</v>
      </c>
      <c r="BA59">
        <v>553</v>
      </c>
      <c r="BB59" s="3">
        <v>45474</v>
      </c>
      <c r="BC59">
        <v>-148</v>
      </c>
      <c r="BD59">
        <v>-431</v>
      </c>
      <c r="BE59">
        <v>-191</v>
      </c>
      <c r="BF59" s="3">
        <v>45474</v>
      </c>
      <c r="BG59">
        <v>1364</v>
      </c>
      <c r="BH59">
        <v>-562</v>
      </c>
      <c r="BI59">
        <v>-760</v>
      </c>
      <c r="BJ59" s="3">
        <v>45474</v>
      </c>
      <c r="BK59">
        <v>-242</v>
      </c>
      <c r="BL59">
        <v>50</v>
      </c>
      <c r="BM59">
        <v>231</v>
      </c>
      <c r="BN59" s="3">
        <v>45474</v>
      </c>
      <c r="BO59">
        <v>269</v>
      </c>
      <c r="BP59">
        <v>15</v>
      </c>
      <c r="BQ59">
        <v>-333</v>
      </c>
      <c r="BR59" s="3">
        <v>45474</v>
      </c>
      <c r="BS59">
        <v>65</v>
      </c>
      <c r="BT59">
        <v>-742</v>
      </c>
      <c r="BU59">
        <v>823</v>
      </c>
      <c r="BV59" s="3">
        <v>45474</v>
      </c>
      <c r="BW59">
        <v>116</v>
      </c>
      <c r="BX59">
        <v>-599</v>
      </c>
      <c r="BY59">
        <v>467</v>
      </c>
      <c r="BZ59" s="3">
        <v>45474</v>
      </c>
      <c r="CA59">
        <v>480</v>
      </c>
      <c r="CB59">
        <v>61</v>
      </c>
      <c r="CC59">
        <v>-463</v>
      </c>
      <c r="CD59" s="3">
        <v>45474</v>
      </c>
      <c r="CE59">
        <v>146</v>
      </c>
      <c r="CF59">
        <v>-2646</v>
      </c>
      <c r="CG59">
        <v>2506</v>
      </c>
      <c r="CH59" s="3">
        <v>45474</v>
      </c>
      <c r="CI59">
        <v>16</v>
      </c>
      <c r="CJ59">
        <v>-339</v>
      </c>
      <c r="CK59">
        <v>350</v>
      </c>
      <c r="CL59" s="3">
        <v>45474</v>
      </c>
      <c r="CM59">
        <v>-3924</v>
      </c>
      <c r="CN59">
        <v>-3902</v>
      </c>
      <c r="CO59">
        <v>7967</v>
      </c>
      <c r="CP59" s="3">
        <v>45474</v>
      </c>
      <c r="CQ59">
        <v>29</v>
      </c>
      <c r="CR59">
        <v>-506</v>
      </c>
      <c r="CS59">
        <v>520</v>
      </c>
      <c r="CT59" s="3">
        <v>45474</v>
      </c>
      <c r="CU59">
        <v>497</v>
      </c>
      <c r="CV59">
        <v>-215</v>
      </c>
      <c r="CW59">
        <v>-290</v>
      </c>
      <c r="CX59" s="3">
        <v>45474</v>
      </c>
      <c r="CY59">
        <v>118</v>
      </c>
      <c r="CZ59">
        <v>-621</v>
      </c>
      <c r="DA59">
        <v>348</v>
      </c>
      <c r="DB59" s="3">
        <v>45474</v>
      </c>
      <c r="DC59">
        <v>947</v>
      </c>
      <c r="DD59">
        <v>-696</v>
      </c>
      <c r="DE59">
        <v>-723</v>
      </c>
      <c r="DF59" s="3">
        <v>45474</v>
      </c>
      <c r="DG59">
        <v>2769</v>
      </c>
      <c r="DH59">
        <v>-447</v>
      </c>
      <c r="DI59">
        <v>-2567</v>
      </c>
      <c r="DJ59" s="3">
        <v>45474</v>
      </c>
      <c r="DK59">
        <v>110</v>
      </c>
      <c r="DL59">
        <v>-3667</v>
      </c>
      <c r="DM59">
        <v>3741</v>
      </c>
      <c r="DN59" s="3">
        <v>45474</v>
      </c>
      <c r="DO59">
        <v>-23</v>
      </c>
      <c r="DP59">
        <v>-3877</v>
      </c>
      <c r="DQ59">
        <v>3592</v>
      </c>
      <c r="DR59" s="3"/>
      <c r="DV59" s="3"/>
      <c r="DZ59" s="3"/>
      <c r="ED59" s="3"/>
      <c r="EH59" s="3"/>
      <c r="EL59" s="3"/>
      <c r="EP59" s="3"/>
      <c r="ET59" s="3"/>
      <c r="EX59" s="3"/>
      <c r="FB59" s="3"/>
      <c r="FF59" s="3"/>
      <c r="FJ59" s="3"/>
      <c r="FN59" s="3"/>
      <c r="FS59" s="3">
        <v>45474</v>
      </c>
      <c r="FT59">
        <v>54164</v>
      </c>
      <c r="FU59">
        <v>-64175</v>
      </c>
      <c r="FV59">
        <v>-7621</v>
      </c>
      <c r="FW59" s="3">
        <v>45474</v>
      </c>
      <c r="FX59">
        <v>99819</v>
      </c>
      <c r="FY59">
        <v>-53283</v>
      </c>
      <c r="FZ59">
        <v>-64190</v>
      </c>
      <c r="GA59" s="3">
        <v>45474</v>
      </c>
      <c r="GB59">
        <v>-25373</v>
      </c>
      <c r="GC59">
        <v>-5797</v>
      </c>
      <c r="GD59">
        <v>29586</v>
      </c>
      <c r="GE59" s="3">
        <v>45474</v>
      </c>
      <c r="GF59">
        <v>709</v>
      </c>
      <c r="GG59">
        <v>-1336</v>
      </c>
      <c r="GH59">
        <v>1012</v>
      </c>
      <c r="GI59" s="3">
        <v>45474</v>
      </c>
      <c r="GJ59">
        <v>283</v>
      </c>
      <c r="GK59">
        <v>51</v>
      </c>
      <c r="GL59">
        <v>-335</v>
      </c>
      <c r="GM59" s="3">
        <v>45474</v>
      </c>
      <c r="GN59">
        <v>-505</v>
      </c>
      <c r="GO59">
        <v>654</v>
      </c>
      <c r="GP59">
        <v>-280</v>
      </c>
      <c r="GQ59" s="3">
        <v>45474</v>
      </c>
      <c r="GR59">
        <v>177</v>
      </c>
      <c r="GS59">
        <v>918</v>
      </c>
      <c r="GT59">
        <v>-957</v>
      </c>
      <c r="GU59" s="3">
        <v>45474</v>
      </c>
      <c r="GV59">
        <v>19</v>
      </c>
      <c r="GW59">
        <v>-72</v>
      </c>
      <c r="GX59">
        <v>-5</v>
      </c>
      <c r="GY59" s="3">
        <v>45474</v>
      </c>
      <c r="GZ59">
        <v>95</v>
      </c>
      <c r="HA59">
        <v>-672</v>
      </c>
      <c r="HB59">
        <v>553</v>
      </c>
      <c r="HC59" s="3">
        <v>45474</v>
      </c>
      <c r="HD59">
        <v>-148</v>
      </c>
      <c r="HE59">
        <v>-431</v>
      </c>
      <c r="HF59">
        <v>-191</v>
      </c>
      <c r="HG59" s="3">
        <v>45474</v>
      </c>
      <c r="HH59">
        <v>1364</v>
      </c>
      <c r="HI59">
        <v>-562</v>
      </c>
      <c r="HJ59">
        <v>-760</v>
      </c>
      <c r="HK59" s="3">
        <v>45474</v>
      </c>
      <c r="HL59">
        <v>-242</v>
      </c>
      <c r="HM59">
        <v>50</v>
      </c>
      <c r="HN59">
        <v>231</v>
      </c>
      <c r="HO59" s="3">
        <v>45474</v>
      </c>
      <c r="HP59">
        <v>269</v>
      </c>
      <c r="HQ59">
        <v>15</v>
      </c>
      <c r="HR59">
        <v>-333</v>
      </c>
      <c r="HS59" s="3">
        <v>45474</v>
      </c>
      <c r="HT59">
        <v>65</v>
      </c>
      <c r="HU59">
        <v>-742</v>
      </c>
      <c r="HV59">
        <v>823</v>
      </c>
      <c r="HW59" s="3">
        <v>45474</v>
      </c>
      <c r="HX59">
        <v>116</v>
      </c>
      <c r="HY59">
        <v>-599</v>
      </c>
      <c r="HZ59">
        <v>467</v>
      </c>
      <c r="IA59" s="3">
        <v>45474</v>
      </c>
      <c r="IB59">
        <v>480</v>
      </c>
      <c r="IC59">
        <v>61</v>
      </c>
      <c r="ID59">
        <v>-463</v>
      </c>
      <c r="IE59" s="3">
        <v>45474</v>
      </c>
      <c r="IF59">
        <v>146</v>
      </c>
      <c r="IG59">
        <v>-2646</v>
      </c>
      <c r="IH59">
        <v>2506</v>
      </c>
      <c r="II59" s="3">
        <v>45474</v>
      </c>
      <c r="IJ59">
        <v>16</v>
      </c>
      <c r="IK59">
        <v>-339</v>
      </c>
      <c r="IL59">
        <v>350</v>
      </c>
      <c r="IM59" s="3">
        <v>45474</v>
      </c>
      <c r="IN59">
        <v>-3924</v>
      </c>
      <c r="IO59">
        <v>-3902</v>
      </c>
      <c r="IP59">
        <v>7967</v>
      </c>
      <c r="IQ59" s="3">
        <v>45474</v>
      </c>
      <c r="IR59">
        <v>29</v>
      </c>
      <c r="IS59">
        <v>-506</v>
      </c>
      <c r="IT59">
        <v>520</v>
      </c>
      <c r="IU59" s="3">
        <v>45474</v>
      </c>
      <c r="IV59">
        <v>497</v>
      </c>
      <c r="IW59">
        <v>-215</v>
      </c>
      <c r="IX59">
        <v>-290</v>
      </c>
      <c r="IY59" s="3">
        <v>45474</v>
      </c>
      <c r="IZ59">
        <v>118</v>
      </c>
      <c r="JA59">
        <v>-621</v>
      </c>
      <c r="JB59">
        <v>348</v>
      </c>
      <c r="JC59" s="3">
        <v>45474</v>
      </c>
      <c r="JD59">
        <v>947</v>
      </c>
      <c r="JE59">
        <v>-696</v>
      </c>
      <c r="JF59">
        <v>-723</v>
      </c>
      <c r="JG59" s="3">
        <v>45474</v>
      </c>
      <c r="JH59">
        <v>2769</v>
      </c>
      <c r="JI59">
        <v>-447</v>
      </c>
      <c r="JJ59">
        <v>-2567</v>
      </c>
      <c r="JK59" s="3">
        <v>45474</v>
      </c>
      <c r="JL59">
        <v>110</v>
      </c>
      <c r="JM59">
        <v>-3667</v>
      </c>
      <c r="JN59">
        <v>3741</v>
      </c>
      <c r="JO59" s="3">
        <v>45474</v>
      </c>
      <c r="JP59">
        <v>-23</v>
      </c>
      <c r="JQ59">
        <v>-3877</v>
      </c>
      <c r="JR59">
        <v>3592</v>
      </c>
      <c r="JS59" s="3"/>
      <c r="JW59" s="3"/>
      <c r="KA59" s="3"/>
      <c r="KE59" s="3"/>
      <c r="KI59" s="3"/>
      <c r="KM59" s="3"/>
      <c r="KQ59" s="3"/>
      <c r="KU59" s="3"/>
      <c r="KY59" s="3"/>
      <c r="LC59" s="3"/>
      <c r="LG59" s="3"/>
      <c r="LK59" s="3"/>
      <c r="LO59" s="3"/>
    </row>
    <row r="60" spans="3:330">
      <c r="C60" s="26" t="str">
        <f t="shared" ref="C60:D60" si="217">C15</f>
        <v>기계</v>
      </c>
      <c r="D60" s="27" t="str">
        <f t="shared" si="217"/>
        <v>012</v>
      </c>
      <c r="E60" s="50" cm="1">
        <f t="array" aca="1" ref="E60" ca="1">IF( $D60=0, "", _xll.IMDP("IDX",$D60,"기관순매수금액",TODAY()-1,"fill=true") )</f>
        <v>-32620</v>
      </c>
      <c r="F60" s="51" cm="1">
        <f t="array" aca="1" ref="F60" ca="1">IF( $E60="", "", INDEX($R$52:$FQ$52, 1, MATCH(ROW()-ROW($C$50), $R$50:$FQ$50, 0)+1) )</f>
        <v>-4982</v>
      </c>
      <c r="G60" s="52" cm="1">
        <f t="array" aca="1" ref="G60" ca="1">IF( $E60="", "", INDEX($FS$52:$LR$52, 1, MATCH(ROW()-ROW($C$50), $R$50:$FQ$50, 0)+1) )</f>
        <v>2789</v>
      </c>
      <c r="H60" s="53" cm="1">
        <f t="array" aca="1" ref="H60" ca="1">IF( $D60=0, "", _xll.IMDP("IDX",$D60,"외국인합순매수금액",TODAY()-1,"fill=true") )</f>
        <v>-69476</v>
      </c>
      <c r="I60" s="51" cm="1">
        <f t="array" aca="1" ref="I60" ca="1">IF( $H60="", "", INDEX($R$52:$FQ$52, 1, MATCH(ROW()-ROW($C$50), $R$50:$FQ$50, 0)+2))</f>
        <v>-7824</v>
      </c>
      <c r="J60" s="54" cm="1">
        <f t="array" aca="1" ref="J60" ca="1">IF( $H60="", "", INDEX($FS$52:$LR$52, 1, MATCH(ROW()-ROW($C$50), $R$50:$FQ$50, 0)+2))</f>
        <v>-11419</v>
      </c>
      <c r="K60" s="55" cm="1">
        <f t="array" aca="1" ref="K60" ca="1">IF( $D60=0, "", _xll.IMDP("IDX",$D60,"개인순매수금액",TODAY()-1,"fill=true"))</f>
        <v>101770</v>
      </c>
      <c r="L60" s="51" cm="1">
        <f t="array" aca="1" ref="L60" ca="1">IF( $K60="", "", INDEX($R$52:$FQ$52, 1, MATCH(ROW()-ROW($C$50), $R$50:$FQ$50, 0)+3))</f>
        <v>-4918</v>
      </c>
      <c r="M60" s="56" cm="1">
        <f t="array" aca="1" ref="M60" ca="1">IF( $K60="", "", INDEX($FS$52:$LR$52, 1, MATCH(ROW()-ROW($C$50), $R$50:$FQ$50, 0)+3))</f>
        <v>-7411</v>
      </c>
      <c r="R60" s="3">
        <v>45471</v>
      </c>
      <c r="S60">
        <v>240486</v>
      </c>
      <c r="T60">
        <v>29511</v>
      </c>
      <c r="U60">
        <v>-284726</v>
      </c>
      <c r="V60" s="3">
        <v>45471</v>
      </c>
      <c r="W60">
        <v>218522</v>
      </c>
      <c r="X60">
        <v>482</v>
      </c>
      <c r="Y60">
        <v>-228797</v>
      </c>
      <c r="Z60" s="3">
        <v>45471</v>
      </c>
      <c r="AA60">
        <v>134</v>
      </c>
      <c r="AB60">
        <v>-738</v>
      </c>
      <c r="AC60">
        <v>568</v>
      </c>
      <c r="AD60" s="3">
        <v>45471</v>
      </c>
      <c r="AE60">
        <v>71</v>
      </c>
      <c r="AF60">
        <v>161</v>
      </c>
      <c r="AG60">
        <v>-131</v>
      </c>
      <c r="AH60" s="3">
        <v>45471</v>
      </c>
      <c r="AI60">
        <v>42</v>
      </c>
      <c r="AJ60">
        <v>-26</v>
      </c>
      <c r="AK60">
        <v>-14</v>
      </c>
      <c r="AL60" s="3">
        <v>45471</v>
      </c>
      <c r="AM60">
        <v>219</v>
      </c>
      <c r="AN60">
        <v>918</v>
      </c>
      <c r="AO60">
        <v>-1139</v>
      </c>
      <c r="AP60" s="3">
        <v>45471</v>
      </c>
      <c r="AQ60">
        <v>-123</v>
      </c>
      <c r="AR60">
        <v>-294</v>
      </c>
      <c r="AS60">
        <v>382</v>
      </c>
      <c r="AT60" s="3">
        <v>45471</v>
      </c>
      <c r="AU60">
        <v>-37</v>
      </c>
      <c r="AV60">
        <v>20</v>
      </c>
      <c r="AW60">
        <v>13</v>
      </c>
      <c r="AX60" s="3">
        <v>45471</v>
      </c>
      <c r="AY60">
        <v>15</v>
      </c>
      <c r="AZ60">
        <v>462</v>
      </c>
      <c r="BA60">
        <v>-305</v>
      </c>
      <c r="BB60" s="3">
        <v>45471</v>
      </c>
      <c r="BC60">
        <v>647</v>
      </c>
      <c r="BD60">
        <v>-85</v>
      </c>
      <c r="BE60">
        <v>-1011</v>
      </c>
      <c r="BF60" s="3">
        <v>45471</v>
      </c>
      <c r="BG60">
        <v>2101</v>
      </c>
      <c r="BH60">
        <v>-915</v>
      </c>
      <c r="BI60">
        <v>-1461</v>
      </c>
      <c r="BJ60" s="3">
        <v>45471</v>
      </c>
      <c r="BK60">
        <v>-36</v>
      </c>
      <c r="BL60">
        <v>-82</v>
      </c>
      <c r="BM60">
        <v>111</v>
      </c>
      <c r="BN60" s="3">
        <v>45471</v>
      </c>
      <c r="BO60">
        <v>209</v>
      </c>
      <c r="BP60">
        <v>-570</v>
      </c>
      <c r="BQ60">
        <v>334</v>
      </c>
      <c r="BR60" s="3">
        <v>45471</v>
      </c>
      <c r="BS60">
        <v>205</v>
      </c>
      <c r="BT60">
        <v>-164</v>
      </c>
      <c r="BU60">
        <v>-31</v>
      </c>
      <c r="BV60" s="3">
        <v>45471</v>
      </c>
      <c r="BW60">
        <v>-201</v>
      </c>
      <c r="BX60">
        <v>223</v>
      </c>
      <c r="BY60">
        <v>-152</v>
      </c>
      <c r="BZ60" s="3">
        <v>45471</v>
      </c>
      <c r="CA60">
        <v>82</v>
      </c>
      <c r="CB60">
        <v>377</v>
      </c>
      <c r="CC60">
        <v>-503</v>
      </c>
      <c r="CD60" s="3">
        <v>45471</v>
      </c>
      <c r="CE60">
        <v>-698</v>
      </c>
      <c r="CF60">
        <v>9580</v>
      </c>
      <c r="CG60">
        <v>-8818</v>
      </c>
      <c r="CH60" s="3">
        <v>45471</v>
      </c>
      <c r="CI60">
        <v>-61</v>
      </c>
      <c r="CJ60">
        <v>347</v>
      </c>
      <c r="CK60">
        <v>-280</v>
      </c>
      <c r="CL60" s="3">
        <v>45471</v>
      </c>
      <c r="CM60">
        <v>2628</v>
      </c>
      <c r="CN60">
        <v>923</v>
      </c>
      <c r="CO60">
        <v>-4018</v>
      </c>
      <c r="CP60" s="3">
        <v>45471</v>
      </c>
      <c r="CQ60">
        <v>582</v>
      </c>
      <c r="CR60">
        <v>533</v>
      </c>
      <c r="CS60">
        <v>-1189</v>
      </c>
      <c r="CT60" s="3">
        <v>45471</v>
      </c>
      <c r="CU60">
        <v>717</v>
      </c>
      <c r="CV60">
        <v>-1125</v>
      </c>
      <c r="CW60">
        <v>343</v>
      </c>
      <c r="CX60" s="3">
        <v>45471</v>
      </c>
      <c r="CY60">
        <v>255</v>
      </c>
      <c r="CZ60">
        <v>667</v>
      </c>
      <c r="DA60">
        <v>-594</v>
      </c>
      <c r="DB60" s="3">
        <v>45471</v>
      </c>
      <c r="DC60">
        <v>3197</v>
      </c>
      <c r="DD60">
        <v>-963</v>
      </c>
      <c r="DE60">
        <v>-2789</v>
      </c>
      <c r="DF60" s="3">
        <v>45471</v>
      </c>
      <c r="DG60">
        <v>3543</v>
      </c>
      <c r="DH60">
        <v>2851</v>
      </c>
      <c r="DI60">
        <v>-6504</v>
      </c>
      <c r="DJ60" s="3">
        <v>45471</v>
      </c>
      <c r="DK60">
        <v>641</v>
      </c>
      <c r="DL60">
        <v>7753</v>
      </c>
      <c r="DM60">
        <v>-8491</v>
      </c>
      <c r="DN60" s="3">
        <v>45471</v>
      </c>
      <c r="DO60">
        <v>1120</v>
      </c>
      <c r="DP60">
        <v>784</v>
      </c>
      <c r="DQ60">
        <v>-2426</v>
      </c>
      <c r="DR60" s="3"/>
      <c r="DV60" s="3"/>
      <c r="DZ60" s="3"/>
      <c r="ED60" s="3"/>
      <c r="EH60" s="3"/>
      <c r="EL60" s="3"/>
      <c r="EP60" s="3"/>
      <c r="ET60" s="3"/>
      <c r="EX60" s="3"/>
      <c r="FB60" s="3"/>
      <c r="FF60" s="3"/>
      <c r="FJ60" s="3"/>
      <c r="FN60" s="3"/>
      <c r="FS60" s="3">
        <v>45471</v>
      </c>
      <c r="FT60">
        <v>240486</v>
      </c>
      <c r="FU60">
        <v>29511</v>
      </c>
      <c r="FV60">
        <v>-284726</v>
      </c>
      <c r="FW60" s="3">
        <v>45471</v>
      </c>
      <c r="FX60">
        <v>218522</v>
      </c>
      <c r="FY60">
        <v>482</v>
      </c>
      <c r="FZ60">
        <v>-228797</v>
      </c>
      <c r="GA60" s="3">
        <v>45471</v>
      </c>
      <c r="GB60">
        <v>3917</v>
      </c>
      <c r="GC60">
        <v>1538</v>
      </c>
      <c r="GD60">
        <v>-5967</v>
      </c>
      <c r="GE60" s="3">
        <v>45471</v>
      </c>
      <c r="GF60">
        <v>2129</v>
      </c>
      <c r="GG60">
        <v>-689</v>
      </c>
      <c r="GH60">
        <v>-1271</v>
      </c>
      <c r="GI60" s="3">
        <v>45471</v>
      </c>
      <c r="GJ60">
        <v>339</v>
      </c>
      <c r="GK60">
        <v>-64</v>
      </c>
      <c r="GL60">
        <v>-265</v>
      </c>
      <c r="GM60" s="3">
        <v>45471</v>
      </c>
      <c r="GN60">
        <v>219</v>
      </c>
      <c r="GO60">
        <v>918</v>
      </c>
      <c r="GP60">
        <v>-1139</v>
      </c>
      <c r="GQ60" s="3">
        <v>45471</v>
      </c>
      <c r="GR60">
        <v>-123</v>
      </c>
      <c r="GS60">
        <v>-294</v>
      </c>
      <c r="GT60">
        <v>382</v>
      </c>
      <c r="GU60" s="3">
        <v>45471</v>
      </c>
      <c r="GV60">
        <v>-37</v>
      </c>
      <c r="GW60">
        <v>20</v>
      </c>
      <c r="GX60">
        <v>13</v>
      </c>
      <c r="GY60" s="3">
        <v>45471</v>
      </c>
      <c r="GZ60">
        <v>15</v>
      </c>
      <c r="HA60">
        <v>462</v>
      </c>
      <c r="HB60">
        <v>-305</v>
      </c>
      <c r="HC60" s="3">
        <v>45471</v>
      </c>
      <c r="HD60">
        <v>647</v>
      </c>
      <c r="HE60">
        <v>-85</v>
      </c>
      <c r="HF60">
        <v>-1011</v>
      </c>
      <c r="HG60" s="3">
        <v>45471</v>
      </c>
      <c r="HH60">
        <v>2101</v>
      </c>
      <c r="HI60">
        <v>-915</v>
      </c>
      <c r="HJ60">
        <v>-1461</v>
      </c>
      <c r="HK60" s="3">
        <v>45471</v>
      </c>
      <c r="HL60">
        <v>-36</v>
      </c>
      <c r="HM60">
        <v>-82</v>
      </c>
      <c r="HN60">
        <v>111</v>
      </c>
      <c r="HO60" s="3">
        <v>45471</v>
      </c>
      <c r="HP60">
        <v>209</v>
      </c>
      <c r="HQ60">
        <v>-570</v>
      </c>
      <c r="HR60">
        <v>334</v>
      </c>
      <c r="HS60" s="3">
        <v>45471</v>
      </c>
      <c r="HT60">
        <v>205</v>
      </c>
      <c r="HU60">
        <v>-164</v>
      </c>
      <c r="HV60">
        <v>-31</v>
      </c>
      <c r="HW60" s="3">
        <v>45471</v>
      </c>
      <c r="HX60">
        <v>-201</v>
      </c>
      <c r="HY60">
        <v>223</v>
      </c>
      <c r="HZ60">
        <v>-152</v>
      </c>
      <c r="IA60" s="3">
        <v>45471</v>
      </c>
      <c r="IB60">
        <v>82</v>
      </c>
      <c r="IC60">
        <v>377</v>
      </c>
      <c r="ID60">
        <v>-503</v>
      </c>
      <c r="IE60" s="3">
        <v>45471</v>
      </c>
      <c r="IF60">
        <v>-698</v>
      </c>
      <c r="IG60">
        <v>9580</v>
      </c>
      <c r="IH60">
        <v>-8818</v>
      </c>
      <c r="II60" s="3">
        <v>45471</v>
      </c>
      <c r="IJ60">
        <v>-61</v>
      </c>
      <c r="IK60">
        <v>347</v>
      </c>
      <c r="IL60">
        <v>-280</v>
      </c>
      <c r="IM60" s="3">
        <v>45471</v>
      </c>
      <c r="IN60">
        <v>2628</v>
      </c>
      <c r="IO60">
        <v>923</v>
      </c>
      <c r="IP60">
        <v>-4018</v>
      </c>
      <c r="IQ60" s="3">
        <v>45471</v>
      </c>
      <c r="IR60">
        <v>582</v>
      </c>
      <c r="IS60">
        <v>533</v>
      </c>
      <c r="IT60">
        <v>-1189</v>
      </c>
      <c r="IU60" s="3">
        <v>45471</v>
      </c>
      <c r="IV60">
        <v>717</v>
      </c>
      <c r="IW60">
        <v>-1125</v>
      </c>
      <c r="IX60">
        <v>343</v>
      </c>
      <c r="IY60" s="3">
        <v>45471</v>
      </c>
      <c r="IZ60">
        <v>255</v>
      </c>
      <c r="JA60">
        <v>667</v>
      </c>
      <c r="JB60">
        <v>-594</v>
      </c>
      <c r="JC60" s="3">
        <v>45471</v>
      </c>
      <c r="JD60">
        <v>3197</v>
      </c>
      <c r="JE60">
        <v>-963</v>
      </c>
      <c r="JF60">
        <v>-2789</v>
      </c>
      <c r="JG60" s="3">
        <v>45471</v>
      </c>
      <c r="JH60">
        <v>3543</v>
      </c>
      <c r="JI60">
        <v>2851</v>
      </c>
      <c r="JJ60">
        <v>-6504</v>
      </c>
      <c r="JK60" s="3">
        <v>45471</v>
      </c>
      <c r="JL60">
        <v>641</v>
      </c>
      <c r="JM60">
        <v>7753</v>
      </c>
      <c r="JN60">
        <v>-8491</v>
      </c>
      <c r="JO60" s="3">
        <v>45471</v>
      </c>
      <c r="JP60">
        <v>1120</v>
      </c>
      <c r="JQ60">
        <v>784</v>
      </c>
      <c r="JR60">
        <v>-2426</v>
      </c>
      <c r="JS60" s="3"/>
      <c r="JW60" s="3"/>
      <c r="KA60" s="3"/>
      <c r="KE60" s="3"/>
      <c r="KI60" s="3"/>
      <c r="KM60" s="3"/>
      <c r="KQ60" s="3"/>
      <c r="KU60" s="3"/>
      <c r="KY60" s="3"/>
      <c r="LC60" s="3"/>
      <c r="LG60" s="3"/>
      <c r="LK60" s="3"/>
      <c r="LO60" s="3"/>
    </row>
    <row r="61" spans="3:330">
      <c r="C61" s="26" t="str">
        <f t="shared" ref="C61:D61" si="218">C16</f>
        <v>전기.전자</v>
      </c>
      <c r="D61" s="27" t="str">
        <f t="shared" si="218"/>
        <v>013</v>
      </c>
      <c r="E61" s="50" cm="1">
        <f t="array" aca="1" ref="E61" ca="1">IF( $D61=0, "", _xll.IMDP("IDX",$D61,"기관순매수금액",TODAY()-1,"fill=true") )</f>
        <v>-173606</v>
      </c>
      <c r="F61" s="51" cm="1">
        <f t="array" aca="1" ref="F61" ca="1">IF( $E61="", "", INDEX($R$52:$FQ$52, 1, MATCH(ROW()-ROW($C$50), $R$50:$FQ$50, 0)+1) )</f>
        <v>-3933</v>
      </c>
      <c r="G61" s="52" cm="1">
        <f t="array" aca="1" ref="G61" ca="1">IF( $E61="", "", INDEX($FS$52:$LR$52, 1, MATCH(ROW()-ROW($C$50), $R$50:$FQ$50, 0)+1) )</f>
        <v>-26141</v>
      </c>
      <c r="H61" s="53" cm="1">
        <f t="array" aca="1" ref="H61" ca="1">IF( $D61=0, "", _xll.IMDP("IDX",$D61,"외국인합순매수금액",TODAY()-1,"fill=true") )</f>
        <v>187913</v>
      </c>
      <c r="I61" s="51" cm="1">
        <f t="array" aca="1" ref="I61" ca="1">IF( $H61="", "", INDEX($R$52:$FQ$52, 1, MATCH(ROW()-ROW($C$50), $R$50:$FQ$50, 0)+2))</f>
        <v>38844</v>
      </c>
      <c r="J61" s="54" cm="1">
        <f t="array" aca="1" ref="J61" ca="1">IF( $H61="", "", INDEX($FS$52:$LR$52, 1, MATCH(ROW()-ROW($C$50), $R$50:$FQ$50, 0)+2))</f>
        <v>20079</v>
      </c>
      <c r="K61" s="55" cm="1">
        <f t="array" aca="1" ref="K61" ca="1">IF( $D61=0, "", _xll.IMDP("IDX",$D61,"개인순매수금액",TODAY()-1,"fill=true"))</f>
        <v>-8918</v>
      </c>
      <c r="L61" s="51" cm="1">
        <f t="array" aca="1" ref="L61" ca="1">IF( $K61="", "", INDEX($R$52:$FQ$52, 1, MATCH(ROW()-ROW($C$50), $R$50:$FQ$50, 0)+3))</f>
        <v>-33941</v>
      </c>
      <c r="M61" s="56" cm="1">
        <f t="array" aca="1" ref="M61" ca="1">IF( $K61="", "", INDEX($FS$52:$LR$52, 1, MATCH(ROW()-ROW($C$50), $R$50:$FQ$50, 0)+3))</f>
        <v>10037</v>
      </c>
      <c r="R61" s="3">
        <v>45470</v>
      </c>
      <c r="S61">
        <v>-771142</v>
      </c>
      <c r="T61">
        <v>515565</v>
      </c>
      <c r="U61">
        <v>254733</v>
      </c>
      <c r="V61" s="3">
        <v>45470</v>
      </c>
      <c r="W61">
        <v>-778773</v>
      </c>
      <c r="X61">
        <v>561478</v>
      </c>
      <c r="Y61">
        <v>210566</v>
      </c>
      <c r="Z61" s="3">
        <v>45470</v>
      </c>
      <c r="AA61">
        <v>-241</v>
      </c>
      <c r="AB61">
        <v>-450</v>
      </c>
      <c r="AC61">
        <v>671</v>
      </c>
      <c r="AD61" s="3">
        <v>45470</v>
      </c>
      <c r="AE61">
        <v>-66</v>
      </c>
      <c r="AF61">
        <v>-74</v>
      </c>
      <c r="AG61">
        <v>149</v>
      </c>
      <c r="AH61" s="3">
        <v>45470</v>
      </c>
      <c r="AI61">
        <v>62</v>
      </c>
      <c r="AJ61">
        <v>-77</v>
      </c>
      <c r="AK61">
        <v>9</v>
      </c>
      <c r="AL61" s="3">
        <v>45470</v>
      </c>
      <c r="AM61">
        <v>-866</v>
      </c>
      <c r="AN61">
        <v>-953</v>
      </c>
      <c r="AO61">
        <v>1791</v>
      </c>
      <c r="AP61" s="3">
        <v>45470</v>
      </c>
      <c r="AQ61">
        <v>-446</v>
      </c>
      <c r="AR61">
        <v>-98</v>
      </c>
      <c r="AS61">
        <v>533</v>
      </c>
      <c r="AT61" s="3">
        <v>45470</v>
      </c>
      <c r="AU61">
        <v>-16</v>
      </c>
      <c r="AV61">
        <v>-166</v>
      </c>
      <c r="AW61">
        <v>160</v>
      </c>
      <c r="AX61" s="3">
        <v>45470</v>
      </c>
      <c r="AY61">
        <v>-406</v>
      </c>
      <c r="AZ61">
        <v>268</v>
      </c>
      <c r="BA61">
        <v>178</v>
      </c>
      <c r="BB61" s="3">
        <v>45470</v>
      </c>
      <c r="BC61">
        <v>-932</v>
      </c>
      <c r="BD61">
        <v>-572</v>
      </c>
      <c r="BE61">
        <v>1221</v>
      </c>
      <c r="BF61" s="3">
        <v>45470</v>
      </c>
      <c r="BG61">
        <v>-3718</v>
      </c>
      <c r="BH61">
        <v>2186</v>
      </c>
      <c r="BI61">
        <v>1389</v>
      </c>
      <c r="BJ61" s="3">
        <v>45470</v>
      </c>
      <c r="BK61">
        <v>62</v>
      </c>
      <c r="BL61">
        <v>-160</v>
      </c>
      <c r="BM61">
        <v>111</v>
      </c>
      <c r="BN61" s="3">
        <v>45470</v>
      </c>
      <c r="BO61">
        <v>-145</v>
      </c>
      <c r="BP61">
        <v>1115</v>
      </c>
      <c r="BQ61">
        <v>-858</v>
      </c>
      <c r="BR61" s="3">
        <v>45470</v>
      </c>
      <c r="BS61">
        <v>519</v>
      </c>
      <c r="BT61">
        <v>-534</v>
      </c>
      <c r="BU61">
        <v>103</v>
      </c>
      <c r="BV61" s="3">
        <v>45470</v>
      </c>
      <c r="BW61">
        <v>-545</v>
      </c>
      <c r="BX61">
        <v>273</v>
      </c>
      <c r="BY61">
        <v>194</v>
      </c>
      <c r="BZ61" s="3">
        <v>45470</v>
      </c>
      <c r="CA61">
        <v>-317</v>
      </c>
      <c r="CB61">
        <v>-573</v>
      </c>
      <c r="CC61">
        <v>953</v>
      </c>
      <c r="CD61" s="3">
        <v>45470</v>
      </c>
      <c r="CE61">
        <v>-353</v>
      </c>
      <c r="CF61">
        <v>755</v>
      </c>
      <c r="CG61">
        <v>-462</v>
      </c>
      <c r="CH61" s="3">
        <v>45470</v>
      </c>
      <c r="CI61">
        <v>-558</v>
      </c>
      <c r="CJ61">
        <v>-133</v>
      </c>
      <c r="CK61">
        <v>702</v>
      </c>
      <c r="CL61" s="3">
        <v>45470</v>
      </c>
      <c r="CM61">
        <v>-4031</v>
      </c>
      <c r="CN61">
        <v>-74</v>
      </c>
      <c r="CO61">
        <v>3944</v>
      </c>
      <c r="CP61" s="3">
        <v>45470</v>
      </c>
      <c r="CQ61">
        <v>-115</v>
      </c>
      <c r="CR61">
        <v>-52</v>
      </c>
      <c r="CS61">
        <v>144</v>
      </c>
      <c r="CT61" s="3">
        <v>45470</v>
      </c>
      <c r="CU61">
        <v>139</v>
      </c>
      <c r="CV61">
        <v>298</v>
      </c>
      <c r="CW61">
        <v>-418</v>
      </c>
      <c r="CX61" s="3">
        <v>45470</v>
      </c>
      <c r="CY61">
        <v>-1397</v>
      </c>
      <c r="CZ61">
        <v>-1533</v>
      </c>
      <c r="DA61">
        <v>2983</v>
      </c>
      <c r="DB61" s="3">
        <v>45470</v>
      </c>
      <c r="DC61">
        <v>-6986</v>
      </c>
      <c r="DD61">
        <v>855</v>
      </c>
      <c r="DE61">
        <v>5796</v>
      </c>
      <c r="DF61" s="3">
        <v>45470</v>
      </c>
      <c r="DG61">
        <v>-11748</v>
      </c>
      <c r="DH61">
        <v>5428</v>
      </c>
      <c r="DI61">
        <v>6087</v>
      </c>
      <c r="DJ61" s="3">
        <v>45470</v>
      </c>
      <c r="DK61">
        <v>-3526</v>
      </c>
      <c r="DL61">
        <v>-563</v>
      </c>
      <c r="DM61">
        <v>4176</v>
      </c>
      <c r="DN61" s="3">
        <v>45470</v>
      </c>
      <c r="DO61">
        <v>1481</v>
      </c>
      <c r="DP61">
        <v>-5372</v>
      </c>
      <c r="DQ61">
        <v>3620</v>
      </c>
      <c r="DR61" s="3"/>
      <c r="DV61" s="3"/>
      <c r="DZ61" s="3"/>
      <c r="ED61" s="3"/>
      <c r="EH61" s="3"/>
      <c r="EL61" s="3"/>
      <c r="EP61" s="3"/>
      <c r="ET61" s="3"/>
      <c r="EX61" s="3"/>
      <c r="FB61" s="3"/>
      <c r="FF61" s="3"/>
      <c r="FJ61" s="3"/>
      <c r="FN61" s="3"/>
      <c r="FS61" s="3">
        <v>45470</v>
      </c>
      <c r="FT61">
        <v>-771142</v>
      </c>
      <c r="FU61">
        <v>515565</v>
      </c>
      <c r="FV61">
        <v>254733</v>
      </c>
      <c r="FW61" s="3">
        <v>45470</v>
      </c>
      <c r="FX61">
        <v>-778773</v>
      </c>
      <c r="FY61">
        <v>561478</v>
      </c>
      <c r="FZ61">
        <v>210566</v>
      </c>
      <c r="GA61" s="3">
        <v>45470</v>
      </c>
      <c r="GB61">
        <v>-18566</v>
      </c>
      <c r="GC61">
        <v>14952</v>
      </c>
      <c r="GD61">
        <v>2072</v>
      </c>
      <c r="GE61" s="3">
        <v>45470</v>
      </c>
      <c r="GF61">
        <v>-1724</v>
      </c>
      <c r="GG61">
        <v>-1684</v>
      </c>
      <c r="GH61">
        <v>3008</v>
      </c>
      <c r="GI61" s="3">
        <v>45470</v>
      </c>
      <c r="GJ61">
        <v>524</v>
      </c>
      <c r="GK61">
        <v>-127</v>
      </c>
      <c r="GL61">
        <v>-411</v>
      </c>
      <c r="GM61" s="3">
        <v>45470</v>
      </c>
      <c r="GN61">
        <v>-866</v>
      </c>
      <c r="GO61">
        <v>-953</v>
      </c>
      <c r="GP61">
        <v>1791</v>
      </c>
      <c r="GQ61" s="3">
        <v>45470</v>
      </c>
      <c r="GR61">
        <v>-446</v>
      </c>
      <c r="GS61">
        <v>-98</v>
      </c>
      <c r="GT61">
        <v>533</v>
      </c>
      <c r="GU61" s="3">
        <v>45470</v>
      </c>
      <c r="GV61">
        <v>-16</v>
      </c>
      <c r="GW61">
        <v>-166</v>
      </c>
      <c r="GX61">
        <v>160</v>
      </c>
      <c r="GY61" s="3">
        <v>45470</v>
      </c>
      <c r="GZ61">
        <v>-406</v>
      </c>
      <c r="HA61">
        <v>268</v>
      </c>
      <c r="HB61">
        <v>178</v>
      </c>
      <c r="HC61" s="3">
        <v>45470</v>
      </c>
      <c r="HD61">
        <v>-932</v>
      </c>
      <c r="HE61">
        <v>-572</v>
      </c>
      <c r="HF61">
        <v>1221</v>
      </c>
      <c r="HG61" s="3">
        <v>45470</v>
      </c>
      <c r="HH61">
        <v>-3718</v>
      </c>
      <c r="HI61">
        <v>2186</v>
      </c>
      <c r="HJ61">
        <v>1389</v>
      </c>
      <c r="HK61" s="3">
        <v>45470</v>
      </c>
      <c r="HL61">
        <v>62</v>
      </c>
      <c r="HM61">
        <v>-160</v>
      </c>
      <c r="HN61">
        <v>111</v>
      </c>
      <c r="HO61" s="3">
        <v>45470</v>
      </c>
      <c r="HP61">
        <v>-145</v>
      </c>
      <c r="HQ61">
        <v>1115</v>
      </c>
      <c r="HR61">
        <v>-858</v>
      </c>
      <c r="HS61" s="3">
        <v>45470</v>
      </c>
      <c r="HT61">
        <v>519</v>
      </c>
      <c r="HU61">
        <v>-534</v>
      </c>
      <c r="HV61">
        <v>103</v>
      </c>
      <c r="HW61" s="3">
        <v>45470</v>
      </c>
      <c r="HX61">
        <v>-545</v>
      </c>
      <c r="HY61">
        <v>273</v>
      </c>
      <c r="HZ61">
        <v>194</v>
      </c>
      <c r="IA61" s="3">
        <v>45470</v>
      </c>
      <c r="IB61">
        <v>-317</v>
      </c>
      <c r="IC61">
        <v>-573</v>
      </c>
      <c r="ID61">
        <v>953</v>
      </c>
      <c r="IE61" s="3">
        <v>45470</v>
      </c>
      <c r="IF61">
        <v>-353</v>
      </c>
      <c r="IG61">
        <v>755</v>
      </c>
      <c r="IH61">
        <v>-462</v>
      </c>
      <c r="II61" s="3">
        <v>45470</v>
      </c>
      <c r="IJ61">
        <v>-558</v>
      </c>
      <c r="IK61">
        <v>-133</v>
      </c>
      <c r="IL61">
        <v>702</v>
      </c>
      <c r="IM61" s="3">
        <v>45470</v>
      </c>
      <c r="IN61">
        <v>-4031</v>
      </c>
      <c r="IO61">
        <v>-74</v>
      </c>
      <c r="IP61">
        <v>3944</v>
      </c>
      <c r="IQ61" s="3">
        <v>45470</v>
      </c>
      <c r="IR61">
        <v>-115</v>
      </c>
      <c r="IS61">
        <v>-52</v>
      </c>
      <c r="IT61">
        <v>144</v>
      </c>
      <c r="IU61" s="3">
        <v>45470</v>
      </c>
      <c r="IV61">
        <v>139</v>
      </c>
      <c r="IW61">
        <v>298</v>
      </c>
      <c r="IX61">
        <v>-418</v>
      </c>
      <c r="IY61" s="3">
        <v>45470</v>
      </c>
      <c r="IZ61">
        <v>-1397</v>
      </c>
      <c r="JA61">
        <v>-1533</v>
      </c>
      <c r="JB61">
        <v>2983</v>
      </c>
      <c r="JC61" s="3">
        <v>45470</v>
      </c>
      <c r="JD61">
        <v>-6986</v>
      </c>
      <c r="JE61">
        <v>855</v>
      </c>
      <c r="JF61">
        <v>5796</v>
      </c>
      <c r="JG61" s="3">
        <v>45470</v>
      </c>
      <c r="JH61">
        <v>-11748</v>
      </c>
      <c r="JI61">
        <v>5428</v>
      </c>
      <c r="JJ61">
        <v>6087</v>
      </c>
      <c r="JK61" s="3">
        <v>45470</v>
      </c>
      <c r="JL61">
        <v>-3526</v>
      </c>
      <c r="JM61">
        <v>-563</v>
      </c>
      <c r="JN61">
        <v>4176</v>
      </c>
      <c r="JO61" s="3">
        <v>45470</v>
      </c>
      <c r="JP61">
        <v>1481</v>
      </c>
      <c r="JQ61">
        <v>-5372</v>
      </c>
      <c r="JR61">
        <v>3620</v>
      </c>
      <c r="JS61" s="3"/>
      <c r="JW61" s="3"/>
      <c r="KA61" s="3"/>
      <c r="KE61" s="3"/>
      <c r="KI61" s="3"/>
      <c r="KM61" s="3"/>
      <c r="KQ61" s="3"/>
      <c r="KU61" s="3"/>
      <c r="KY61" s="3"/>
      <c r="LC61" s="3"/>
      <c r="LG61" s="3"/>
      <c r="LK61" s="3"/>
      <c r="LO61" s="3"/>
    </row>
    <row r="62" spans="3:330">
      <c r="C62" s="26" t="str">
        <f t="shared" ref="C62:D62" si="219">C17</f>
        <v>의료정밀</v>
      </c>
      <c r="D62" s="27" t="str">
        <f t="shared" si="219"/>
        <v>014</v>
      </c>
      <c r="E62" s="50" cm="1">
        <f t="array" aca="1" ref="E62" ca="1">IF( $D62=0, "", _xll.IMDP("IDX",$D62,"기관순매수금액",TODAY()-1,"fill=true") )</f>
        <v>-1961</v>
      </c>
      <c r="F62" s="51" cm="1">
        <f t="array" aca="1" ref="F62" ca="1">IF( $E62="", "", INDEX($R$52:$FQ$52, 1, MATCH(ROW()-ROW($C$50), $R$50:$FQ$50, 0)+1) )</f>
        <v>1285</v>
      </c>
      <c r="G62" s="52" cm="1">
        <f t="array" aca="1" ref="G62" ca="1">IF( $E62="", "", INDEX($FS$52:$LR$52, 1, MATCH(ROW()-ROW($C$50), $R$50:$FQ$50, 0)+1) )</f>
        <v>2165</v>
      </c>
      <c r="H62" s="53" cm="1">
        <f t="array" aca="1" ref="H62" ca="1">IF( $D62=0, "", _xll.IMDP("IDX",$D62,"외국인합순매수금액",TODAY()-1,"fill=true") )</f>
        <v>-3957</v>
      </c>
      <c r="I62" s="51" cm="1">
        <f t="array" aca="1" ref="I62" ca="1">IF( $H62="", "", INDEX($R$52:$FQ$52, 1, MATCH(ROW()-ROW($C$50), $R$50:$FQ$50, 0)+2))</f>
        <v>-1141</v>
      </c>
      <c r="J62" s="54" cm="1">
        <f t="array" aca="1" ref="J62" ca="1">IF( $H62="", "", INDEX($FS$52:$LR$52, 1, MATCH(ROW()-ROW($C$50), $R$50:$FQ$50, 0)+2))</f>
        <v>-1824</v>
      </c>
      <c r="K62" s="55" cm="1">
        <f t="array" aca="1" ref="K62" ca="1">IF( $D62=0, "", _xll.IMDP("IDX",$D62,"개인순매수금액",TODAY()-1,"fill=true"))</f>
        <v>5892</v>
      </c>
      <c r="L62" s="51" cm="1">
        <f t="array" aca="1" ref="L62" ca="1">IF( $K62="", "", INDEX($R$52:$FQ$52, 1, MATCH(ROW()-ROW($C$50), $R$50:$FQ$50, 0)+3))</f>
        <v>-58</v>
      </c>
      <c r="M62" s="56" cm="1">
        <f t="array" aca="1" ref="M62" ca="1">IF( $K62="", "", INDEX($FS$52:$LR$52, 1, MATCH(ROW()-ROW($C$50), $R$50:$FQ$50, 0)+3))</f>
        <v>-112</v>
      </c>
      <c r="R62" s="3">
        <v>45469</v>
      </c>
      <c r="S62">
        <v>-304985</v>
      </c>
      <c r="T62">
        <v>433497</v>
      </c>
      <c r="U62">
        <v>-155656</v>
      </c>
      <c r="V62" s="3">
        <v>45469</v>
      </c>
      <c r="W62">
        <v>-340231</v>
      </c>
      <c r="X62">
        <v>411886</v>
      </c>
      <c r="Y62">
        <v>-97750</v>
      </c>
      <c r="Z62" s="3">
        <v>45469</v>
      </c>
      <c r="AA62">
        <v>-165</v>
      </c>
      <c r="AB62">
        <v>-60</v>
      </c>
      <c r="AC62">
        <v>225</v>
      </c>
      <c r="AD62" s="3">
        <v>45469</v>
      </c>
      <c r="AE62">
        <v>-14</v>
      </c>
      <c r="AF62">
        <v>-108</v>
      </c>
      <c r="AG62">
        <v>99</v>
      </c>
      <c r="AH62" s="3">
        <v>45469</v>
      </c>
      <c r="AI62">
        <v>38</v>
      </c>
      <c r="AJ62">
        <v>18</v>
      </c>
      <c r="AK62">
        <v>-60</v>
      </c>
      <c r="AL62" s="3">
        <v>45469</v>
      </c>
      <c r="AM62">
        <v>-601</v>
      </c>
      <c r="AN62">
        <v>-738</v>
      </c>
      <c r="AO62">
        <v>1317</v>
      </c>
      <c r="AP62" s="3">
        <v>45469</v>
      </c>
      <c r="AQ62">
        <v>-263</v>
      </c>
      <c r="AR62">
        <v>-299</v>
      </c>
      <c r="AS62">
        <v>540</v>
      </c>
      <c r="AT62" s="3">
        <v>45469</v>
      </c>
      <c r="AU62">
        <v>12</v>
      </c>
      <c r="AV62">
        <v>-241</v>
      </c>
      <c r="AW62">
        <v>106</v>
      </c>
      <c r="AX62" s="3">
        <v>45469</v>
      </c>
      <c r="AY62">
        <v>-225</v>
      </c>
      <c r="AZ62">
        <v>707</v>
      </c>
      <c r="BA62">
        <v>-387</v>
      </c>
      <c r="BB62" s="3">
        <v>45469</v>
      </c>
      <c r="BC62">
        <v>-738</v>
      </c>
      <c r="BD62">
        <v>-521</v>
      </c>
      <c r="BE62">
        <v>678</v>
      </c>
      <c r="BF62" s="3">
        <v>45469</v>
      </c>
      <c r="BG62">
        <v>-1386</v>
      </c>
      <c r="BH62">
        <v>4611</v>
      </c>
      <c r="BI62">
        <v>-3409</v>
      </c>
      <c r="BJ62" s="3">
        <v>45469</v>
      </c>
      <c r="BK62">
        <v>100</v>
      </c>
      <c r="BL62">
        <v>153</v>
      </c>
      <c r="BM62">
        <v>-256</v>
      </c>
      <c r="BN62" s="3">
        <v>45469</v>
      </c>
      <c r="BO62">
        <v>-68</v>
      </c>
      <c r="BP62">
        <v>102</v>
      </c>
      <c r="BQ62">
        <v>-47</v>
      </c>
      <c r="BR62" s="3">
        <v>45469</v>
      </c>
      <c r="BS62">
        <v>272</v>
      </c>
      <c r="BT62">
        <v>-304</v>
      </c>
      <c r="BU62">
        <v>163</v>
      </c>
      <c r="BV62" s="3">
        <v>45469</v>
      </c>
      <c r="BW62">
        <v>-252</v>
      </c>
      <c r="BX62">
        <v>262</v>
      </c>
      <c r="BY62">
        <v>-98</v>
      </c>
      <c r="BZ62" s="3">
        <v>45469</v>
      </c>
      <c r="CA62">
        <v>-40</v>
      </c>
      <c r="CB62">
        <v>-182</v>
      </c>
      <c r="CC62">
        <v>225</v>
      </c>
      <c r="CD62" s="3">
        <v>45469</v>
      </c>
      <c r="CE62">
        <v>-326</v>
      </c>
      <c r="CF62">
        <v>760</v>
      </c>
      <c r="CG62">
        <v>-530</v>
      </c>
      <c r="CH62" s="3">
        <v>45469</v>
      </c>
      <c r="CI62">
        <v>-91</v>
      </c>
      <c r="CJ62">
        <v>-270</v>
      </c>
      <c r="CK62">
        <v>445</v>
      </c>
      <c r="CL62" s="3">
        <v>45469</v>
      </c>
      <c r="CM62">
        <v>-948</v>
      </c>
      <c r="CN62">
        <v>-2</v>
      </c>
      <c r="CO62">
        <v>839</v>
      </c>
      <c r="CP62" s="3">
        <v>45469</v>
      </c>
      <c r="CQ62">
        <v>59</v>
      </c>
      <c r="CR62">
        <v>-67</v>
      </c>
      <c r="CS62">
        <v>72</v>
      </c>
      <c r="CT62" s="3">
        <v>45469</v>
      </c>
      <c r="CU62">
        <v>244</v>
      </c>
      <c r="CV62">
        <v>115</v>
      </c>
      <c r="CW62">
        <v>-285</v>
      </c>
      <c r="CX62" s="3">
        <v>45469</v>
      </c>
      <c r="CY62">
        <v>105</v>
      </c>
      <c r="CZ62">
        <v>402</v>
      </c>
      <c r="DA62">
        <v>-277</v>
      </c>
      <c r="DB62" s="3">
        <v>45469</v>
      </c>
      <c r="DC62">
        <v>-3325</v>
      </c>
      <c r="DD62">
        <v>3627</v>
      </c>
      <c r="DE62">
        <v>-1232</v>
      </c>
      <c r="DF62" s="3">
        <v>45469</v>
      </c>
      <c r="DG62">
        <v>-4358</v>
      </c>
      <c r="DH62">
        <v>2984</v>
      </c>
      <c r="DI62">
        <v>1055</v>
      </c>
      <c r="DJ62" s="3">
        <v>45469</v>
      </c>
      <c r="DK62">
        <v>-901</v>
      </c>
      <c r="DL62">
        <v>-559</v>
      </c>
      <c r="DM62">
        <v>1604</v>
      </c>
      <c r="DN62" s="3">
        <v>45469</v>
      </c>
      <c r="DO62">
        <v>604</v>
      </c>
      <c r="DP62">
        <v>2069</v>
      </c>
      <c r="DQ62">
        <v>-3181</v>
      </c>
      <c r="DR62" s="3"/>
      <c r="DV62" s="3"/>
      <c r="DZ62" s="3"/>
      <c r="ED62" s="3"/>
      <c r="EH62" s="3"/>
      <c r="EL62" s="3"/>
      <c r="EP62" s="3"/>
      <c r="ET62" s="3"/>
      <c r="EX62" s="3"/>
      <c r="FB62" s="3"/>
      <c r="FF62" s="3"/>
      <c r="FJ62" s="3"/>
      <c r="FN62" s="3"/>
      <c r="FS62" s="3">
        <v>45469</v>
      </c>
      <c r="FT62">
        <v>-304985</v>
      </c>
      <c r="FU62">
        <v>433497</v>
      </c>
      <c r="FV62">
        <v>-155656</v>
      </c>
      <c r="FW62" s="3">
        <v>45469</v>
      </c>
      <c r="FX62">
        <v>-340231</v>
      </c>
      <c r="FY62">
        <v>411886</v>
      </c>
      <c r="FZ62">
        <v>-97750</v>
      </c>
      <c r="GA62" s="3">
        <v>45469</v>
      </c>
      <c r="GB62">
        <v>-22618</v>
      </c>
      <c r="GC62">
        <v>17802</v>
      </c>
      <c r="GD62">
        <v>4797</v>
      </c>
      <c r="GE62" s="3">
        <v>45469</v>
      </c>
      <c r="GF62">
        <v>-1002</v>
      </c>
      <c r="GG62">
        <v>-3114</v>
      </c>
      <c r="GH62">
        <v>2766</v>
      </c>
      <c r="GI62" s="3">
        <v>45469</v>
      </c>
      <c r="GJ62">
        <v>244</v>
      </c>
      <c r="GK62">
        <v>-36</v>
      </c>
      <c r="GL62">
        <v>-220</v>
      </c>
      <c r="GM62" s="3">
        <v>45469</v>
      </c>
      <c r="GN62">
        <v>-601</v>
      </c>
      <c r="GO62">
        <v>-738</v>
      </c>
      <c r="GP62">
        <v>1317</v>
      </c>
      <c r="GQ62" s="3">
        <v>45469</v>
      </c>
      <c r="GR62">
        <v>-263</v>
      </c>
      <c r="GS62">
        <v>-299</v>
      </c>
      <c r="GT62">
        <v>540</v>
      </c>
      <c r="GU62" s="3">
        <v>45469</v>
      </c>
      <c r="GV62">
        <v>12</v>
      </c>
      <c r="GW62">
        <v>-241</v>
      </c>
      <c r="GX62">
        <v>106</v>
      </c>
      <c r="GY62" s="3">
        <v>45469</v>
      </c>
      <c r="GZ62">
        <v>-225</v>
      </c>
      <c r="HA62">
        <v>707</v>
      </c>
      <c r="HB62">
        <v>-387</v>
      </c>
      <c r="HC62" s="3">
        <v>45469</v>
      </c>
      <c r="HD62">
        <v>-738</v>
      </c>
      <c r="HE62">
        <v>-521</v>
      </c>
      <c r="HF62">
        <v>678</v>
      </c>
      <c r="HG62" s="3">
        <v>45469</v>
      </c>
      <c r="HH62">
        <v>-1386</v>
      </c>
      <c r="HI62">
        <v>4611</v>
      </c>
      <c r="HJ62">
        <v>-3409</v>
      </c>
      <c r="HK62" s="3">
        <v>45469</v>
      </c>
      <c r="HL62">
        <v>100</v>
      </c>
      <c r="HM62">
        <v>153</v>
      </c>
      <c r="HN62">
        <v>-256</v>
      </c>
      <c r="HO62" s="3">
        <v>45469</v>
      </c>
      <c r="HP62">
        <v>-68</v>
      </c>
      <c r="HQ62">
        <v>102</v>
      </c>
      <c r="HR62">
        <v>-47</v>
      </c>
      <c r="HS62" s="3">
        <v>45469</v>
      </c>
      <c r="HT62">
        <v>272</v>
      </c>
      <c r="HU62">
        <v>-304</v>
      </c>
      <c r="HV62">
        <v>163</v>
      </c>
      <c r="HW62" s="3">
        <v>45469</v>
      </c>
      <c r="HX62">
        <v>-252</v>
      </c>
      <c r="HY62">
        <v>262</v>
      </c>
      <c r="HZ62">
        <v>-98</v>
      </c>
      <c r="IA62" s="3">
        <v>45469</v>
      </c>
      <c r="IB62">
        <v>-40</v>
      </c>
      <c r="IC62">
        <v>-182</v>
      </c>
      <c r="ID62">
        <v>225</v>
      </c>
      <c r="IE62" s="3">
        <v>45469</v>
      </c>
      <c r="IF62">
        <v>-326</v>
      </c>
      <c r="IG62">
        <v>760</v>
      </c>
      <c r="IH62">
        <v>-530</v>
      </c>
      <c r="II62" s="3">
        <v>45469</v>
      </c>
      <c r="IJ62">
        <v>-91</v>
      </c>
      <c r="IK62">
        <v>-270</v>
      </c>
      <c r="IL62">
        <v>445</v>
      </c>
      <c r="IM62" s="3">
        <v>45469</v>
      </c>
      <c r="IN62">
        <v>-948</v>
      </c>
      <c r="IO62">
        <v>-2</v>
      </c>
      <c r="IP62">
        <v>839</v>
      </c>
      <c r="IQ62" s="3">
        <v>45469</v>
      </c>
      <c r="IR62">
        <v>59</v>
      </c>
      <c r="IS62">
        <v>-67</v>
      </c>
      <c r="IT62">
        <v>72</v>
      </c>
      <c r="IU62" s="3">
        <v>45469</v>
      </c>
      <c r="IV62">
        <v>244</v>
      </c>
      <c r="IW62">
        <v>115</v>
      </c>
      <c r="IX62">
        <v>-285</v>
      </c>
      <c r="IY62" s="3">
        <v>45469</v>
      </c>
      <c r="IZ62">
        <v>105</v>
      </c>
      <c r="JA62">
        <v>402</v>
      </c>
      <c r="JB62">
        <v>-277</v>
      </c>
      <c r="JC62" s="3">
        <v>45469</v>
      </c>
      <c r="JD62">
        <v>-3325</v>
      </c>
      <c r="JE62">
        <v>3627</v>
      </c>
      <c r="JF62">
        <v>-1232</v>
      </c>
      <c r="JG62" s="3">
        <v>45469</v>
      </c>
      <c r="JH62">
        <v>-4358</v>
      </c>
      <c r="JI62">
        <v>2984</v>
      </c>
      <c r="JJ62">
        <v>1055</v>
      </c>
      <c r="JK62" s="3">
        <v>45469</v>
      </c>
      <c r="JL62">
        <v>-901</v>
      </c>
      <c r="JM62">
        <v>-559</v>
      </c>
      <c r="JN62">
        <v>1604</v>
      </c>
      <c r="JO62" s="3">
        <v>45469</v>
      </c>
      <c r="JP62">
        <v>604</v>
      </c>
      <c r="JQ62">
        <v>2069</v>
      </c>
      <c r="JR62">
        <v>-3181</v>
      </c>
      <c r="JS62" s="3"/>
      <c r="JW62" s="3"/>
      <c r="KA62" s="3"/>
      <c r="KE62" s="3"/>
      <c r="KI62" s="3"/>
      <c r="KM62" s="3"/>
      <c r="KQ62" s="3"/>
      <c r="KU62" s="3"/>
      <c r="KY62" s="3"/>
      <c r="LC62" s="3"/>
      <c r="LG62" s="3"/>
      <c r="LK62" s="3"/>
      <c r="LO62" s="3"/>
    </row>
    <row r="63" spans="3:330">
      <c r="C63" s="26" t="str">
        <f t="shared" ref="C63:D63" si="220">C18</f>
        <v>운수.장비</v>
      </c>
      <c r="D63" s="27" t="str">
        <f t="shared" si="220"/>
        <v>015</v>
      </c>
      <c r="E63" s="50" cm="1">
        <f t="array" aca="1" ref="E63" ca="1">IF( $D63=0, "", _xll.IMDP("IDX",$D63,"기관순매수금액",TODAY()-1,"fill=true") )</f>
        <v>-118906</v>
      </c>
      <c r="F63" s="51" cm="1">
        <f t="array" aca="1" ref="F63" ca="1">IF( $E63="", "", INDEX($R$52:$FQ$52, 1, MATCH(ROW()-ROW($C$50), $R$50:$FQ$50, 0)+1) )</f>
        <v>-947</v>
      </c>
      <c r="G63" s="52" cm="1">
        <f t="array" aca="1" ref="G63" ca="1">IF( $E63="", "", INDEX($FS$52:$LR$52, 1, MATCH(ROW()-ROW($C$50), $R$50:$FQ$50, 0)+1) )</f>
        <v>-5239</v>
      </c>
      <c r="H63" s="53" cm="1">
        <f t="array" aca="1" ref="H63" ca="1">IF( $D63=0, "", _xll.IMDP("IDX",$D63,"외국인합순매수금액",TODAY()-1,"fill=true") )</f>
        <v>-137553</v>
      </c>
      <c r="I63" s="51" cm="1">
        <f t="array" aca="1" ref="I63" ca="1">IF( $H63="", "", INDEX($R$52:$FQ$52, 1, MATCH(ROW()-ROW($C$50), $R$50:$FQ$50, 0)+2))</f>
        <v>5918</v>
      </c>
      <c r="J63" s="54" cm="1">
        <f t="array" aca="1" ref="J63" ca="1">IF( $H63="", "", INDEX($FS$52:$LR$52, 1, MATCH(ROW()-ROW($C$50), $R$50:$FQ$50, 0)+2))</f>
        <v>37747</v>
      </c>
      <c r="K63" s="55" cm="1">
        <f t="array" aca="1" ref="K63" ca="1">IF( $D63=0, "", _xll.IMDP("IDX",$D63,"개인순매수금액",TODAY()-1,"fill=true"))</f>
        <v>256512</v>
      </c>
      <c r="L63" s="51" cm="1">
        <f t="array" aca="1" ref="L63" ca="1">IF( $K63="", "", INDEX($R$52:$FQ$52, 1, MATCH(ROW()-ROW($C$50), $R$50:$FQ$50, 0)+3))</f>
        <v>-4913</v>
      </c>
      <c r="M63" s="56" cm="1">
        <f t="array" aca="1" ref="M63" ca="1">IF( $K63="", "", INDEX($FS$52:$LR$52, 1, MATCH(ROW()-ROW($C$50), $R$50:$FQ$50, 0)+3))</f>
        <v>-30531</v>
      </c>
      <c r="R63" s="3">
        <v>45468</v>
      </c>
      <c r="S63">
        <v>243422</v>
      </c>
      <c r="T63">
        <v>58999</v>
      </c>
      <c r="U63">
        <v>-297252</v>
      </c>
      <c r="V63" s="3">
        <v>45468</v>
      </c>
      <c r="W63">
        <v>214321</v>
      </c>
      <c r="X63">
        <v>31774</v>
      </c>
      <c r="Y63">
        <v>-240478</v>
      </c>
      <c r="Z63" s="3">
        <v>45468</v>
      </c>
      <c r="AA63">
        <v>-56</v>
      </c>
      <c r="AB63">
        <v>272</v>
      </c>
      <c r="AC63">
        <v>-185</v>
      </c>
      <c r="AD63" s="3">
        <v>45468</v>
      </c>
      <c r="AE63">
        <v>16</v>
      </c>
      <c r="AF63">
        <v>-2</v>
      </c>
      <c r="AG63">
        <v>-18</v>
      </c>
      <c r="AH63" s="3">
        <v>45468</v>
      </c>
      <c r="AI63">
        <v>35</v>
      </c>
      <c r="AJ63">
        <v>177</v>
      </c>
      <c r="AK63">
        <v>-214</v>
      </c>
      <c r="AL63" s="3">
        <v>45468</v>
      </c>
      <c r="AM63">
        <v>305</v>
      </c>
      <c r="AN63">
        <v>-119</v>
      </c>
      <c r="AO63">
        <v>-223</v>
      </c>
      <c r="AP63" s="3">
        <v>45468</v>
      </c>
      <c r="AQ63">
        <v>-98</v>
      </c>
      <c r="AR63">
        <v>180</v>
      </c>
      <c r="AS63">
        <v>-93</v>
      </c>
      <c r="AT63" s="3">
        <v>45468</v>
      </c>
      <c r="AU63">
        <v>7</v>
      </c>
      <c r="AV63">
        <v>218</v>
      </c>
      <c r="AW63">
        <v>-224</v>
      </c>
      <c r="AX63" s="3">
        <v>45468</v>
      </c>
      <c r="AY63">
        <v>-887</v>
      </c>
      <c r="AZ63">
        <v>-41</v>
      </c>
      <c r="BA63">
        <v>576</v>
      </c>
      <c r="BB63" s="3">
        <v>45468</v>
      </c>
      <c r="BC63">
        <v>-639</v>
      </c>
      <c r="BD63">
        <v>641</v>
      </c>
      <c r="BE63">
        <v>-1463</v>
      </c>
      <c r="BF63" s="3">
        <v>45468</v>
      </c>
      <c r="BG63">
        <v>498</v>
      </c>
      <c r="BH63">
        <v>1278</v>
      </c>
      <c r="BI63">
        <v>-1458</v>
      </c>
      <c r="BJ63" s="3">
        <v>45468</v>
      </c>
      <c r="BK63">
        <v>-11</v>
      </c>
      <c r="BL63">
        <v>-256</v>
      </c>
      <c r="BM63">
        <v>254</v>
      </c>
      <c r="BN63" s="3">
        <v>45468</v>
      </c>
      <c r="BO63">
        <v>2389</v>
      </c>
      <c r="BP63">
        <v>3388</v>
      </c>
      <c r="BQ63">
        <v>-5881</v>
      </c>
      <c r="BR63" s="3">
        <v>45468</v>
      </c>
      <c r="BS63">
        <v>425</v>
      </c>
      <c r="BT63">
        <v>1090</v>
      </c>
      <c r="BU63">
        <v>-1489</v>
      </c>
      <c r="BV63" s="3">
        <v>45468</v>
      </c>
      <c r="BW63">
        <v>-9</v>
      </c>
      <c r="BX63">
        <v>-271</v>
      </c>
      <c r="BY63">
        <v>297</v>
      </c>
      <c r="BZ63" s="3">
        <v>45468</v>
      </c>
      <c r="CA63">
        <v>140</v>
      </c>
      <c r="CB63">
        <v>337</v>
      </c>
      <c r="CC63">
        <v>-484</v>
      </c>
      <c r="CD63" s="3">
        <v>45468</v>
      </c>
      <c r="CE63">
        <v>-210</v>
      </c>
      <c r="CF63">
        <v>505</v>
      </c>
      <c r="CG63">
        <v>-426</v>
      </c>
      <c r="CH63" s="3">
        <v>45468</v>
      </c>
      <c r="CI63">
        <v>176</v>
      </c>
      <c r="CJ63">
        <v>-321</v>
      </c>
      <c r="CK63">
        <v>125</v>
      </c>
      <c r="CL63" s="3">
        <v>45468</v>
      </c>
      <c r="CM63">
        <v>1041</v>
      </c>
      <c r="CN63">
        <v>603</v>
      </c>
      <c r="CO63">
        <v>-1456</v>
      </c>
      <c r="CP63" s="3">
        <v>45468</v>
      </c>
      <c r="CQ63">
        <v>234</v>
      </c>
      <c r="CR63">
        <v>134</v>
      </c>
      <c r="CS63">
        <v>-151</v>
      </c>
      <c r="CT63" s="3">
        <v>45468</v>
      </c>
      <c r="CU63">
        <v>341</v>
      </c>
      <c r="CV63">
        <v>276</v>
      </c>
      <c r="CW63">
        <v>-612</v>
      </c>
      <c r="CX63" s="3">
        <v>45468</v>
      </c>
      <c r="CY63">
        <v>76</v>
      </c>
      <c r="CZ63">
        <v>-438</v>
      </c>
      <c r="DA63">
        <v>371</v>
      </c>
      <c r="DB63" s="3">
        <v>45468</v>
      </c>
      <c r="DC63">
        <v>1661</v>
      </c>
      <c r="DD63">
        <v>5684</v>
      </c>
      <c r="DE63">
        <v>-9016</v>
      </c>
      <c r="DF63" s="3">
        <v>45468</v>
      </c>
      <c r="DG63">
        <v>2092</v>
      </c>
      <c r="DH63">
        <v>2911</v>
      </c>
      <c r="DI63">
        <v>-4708</v>
      </c>
      <c r="DJ63" s="3">
        <v>45468</v>
      </c>
      <c r="DK63">
        <v>1560</v>
      </c>
      <c r="DL63">
        <v>2036</v>
      </c>
      <c r="DM63">
        <v>-3493</v>
      </c>
      <c r="DN63" s="3">
        <v>45468</v>
      </c>
      <c r="DO63">
        <v>-269</v>
      </c>
      <c r="DP63">
        <v>2194</v>
      </c>
      <c r="DQ63">
        <v>-3860</v>
      </c>
      <c r="DR63" s="3"/>
      <c r="DV63" s="3"/>
      <c r="DZ63" s="3"/>
      <c r="ED63" s="3"/>
      <c r="EH63" s="3"/>
      <c r="EL63" s="3"/>
      <c r="EP63" s="3"/>
      <c r="ET63" s="3"/>
      <c r="EX63" s="3"/>
      <c r="FB63" s="3"/>
      <c r="FF63" s="3"/>
      <c r="FJ63" s="3"/>
      <c r="FN63" s="3"/>
      <c r="FS63" s="3">
        <v>45468</v>
      </c>
      <c r="FT63">
        <v>243422</v>
      </c>
      <c r="FU63">
        <v>58999</v>
      </c>
      <c r="FV63">
        <v>-297252</v>
      </c>
      <c r="FW63" s="3">
        <v>45468</v>
      </c>
      <c r="FX63">
        <v>214321</v>
      </c>
      <c r="FY63">
        <v>31774</v>
      </c>
      <c r="FZ63">
        <v>-240478</v>
      </c>
      <c r="GA63" s="3">
        <v>45468</v>
      </c>
      <c r="GB63">
        <v>-5931</v>
      </c>
      <c r="GC63">
        <v>3664</v>
      </c>
      <c r="GD63">
        <v>2988</v>
      </c>
      <c r="GE63" s="3">
        <v>45468</v>
      </c>
      <c r="GF63">
        <v>-193</v>
      </c>
      <c r="GG63">
        <v>-1102</v>
      </c>
      <c r="GH63">
        <v>1358</v>
      </c>
      <c r="GI63" s="3">
        <v>45468</v>
      </c>
      <c r="GJ63">
        <v>261</v>
      </c>
      <c r="GK63">
        <v>741</v>
      </c>
      <c r="GL63">
        <v>-1000</v>
      </c>
      <c r="GM63" s="3">
        <v>45468</v>
      </c>
      <c r="GN63">
        <v>305</v>
      </c>
      <c r="GO63">
        <v>-119</v>
      </c>
      <c r="GP63">
        <v>-223</v>
      </c>
      <c r="GQ63" s="3">
        <v>45468</v>
      </c>
      <c r="GR63">
        <v>-98</v>
      </c>
      <c r="GS63">
        <v>180</v>
      </c>
      <c r="GT63">
        <v>-93</v>
      </c>
      <c r="GU63" s="3">
        <v>45468</v>
      </c>
      <c r="GV63">
        <v>7</v>
      </c>
      <c r="GW63">
        <v>218</v>
      </c>
      <c r="GX63">
        <v>-224</v>
      </c>
      <c r="GY63" s="3">
        <v>45468</v>
      </c>
      <c r="GZ63">
        <v>-887</v>
      </c>
      <c r="HA63">
        <v>-41</v>
      </c>
      <c r="HB63">
        <v>576</v>
      </c>
      <c r="HC63" s="3">
        <v>45468</v>
      </c>
      <c r="HD63">
        <v>-639</v>
      </c>
      <c r="HE63">
        <v>641</v>
      </c>
      <c r="HF63">
        <v>-1463</v>
      </c>
      <c r="HG63" s="3">
        <v>45468</v>
      </c>
      <c r="HH63">
        <v>498</v>
      </c>
      <c r="HI63">
        <v>1278</v>
      </c>
      <c r="HJ63">
        <v>-1458</v>
      </c>
      <c r="HK63" s="3">
        <v>45468</v>
      </c>
      <c r="HL63">
        <v>-11</v>
      </c>
      <c r="HM63">
        <v>-256</v>
      </c>
      <c r="HN63">
        <v>254</v>
      </c>
      <c r="HO63" s="3">
        <v>45468</v>
      </c>
      <c r="HP63">
        <v>2389</v>
      </c>
      <c r="HQ63">
        <v>3388</v>
      </c>
      <c r="HR63">
        <v>-5881</v>
      </c>
      <c r="HS63" s="3">
        <v>45468</v>
      </c>
      <c r="HT63">
        <v>425</v>
      </c>
      <c r="HU63">
        <v>1090</v>
      </c>
      <c r="HV63">
        <v>-1489</v>
      </c>
      <c r="HW63" s="3">
        <v>45468</v>
      </c>
      <c r="HX63">
        <v>-9</v>
      </c>
      <c r="HY63">
        <v>-271</v>
      </c>
      <c r="HZ63">
        <v>297</v>
      </c>
      <c r="IA63" s="3">
        <v>45468</v>
      </c>
      <c r="IB63">
        <v>140</v>
      </c>
      <c r="IC63">
        <v>337</v>
      </c>
      <c r="ID63">
        <v>-484</v>
      </c>
      <c r="IE63" s="3">
        <v>45468</v>
      </c>
      <c r="IF63">
        <v>-210</v>
      </c>
      <c r="IG63">
        <v>505</v>
      </c>
      <c r="IH63">
        <v>-426</v>
      </c>
      <c r="II63" s="3">
        <v>45468</v>
      </c>
      <c r="IJ63">
        <v>176</v>
      </c>
      <c r="IK63">
        <v>-321</v>
      </c>
      <c r="IL63">
        <v>125</v>
      </c>
      <c r="IM63" s="3">
        <v>45468</v>
      </c>
      <c r="IN63">
        <v>1041</v>
      </c>
      <c r="IO63">
        <v>603</v>
      </c>
      <c r="IP63">
        <v>-1456</v>
      </c>
      <c r="IQ63" s="3">
        <v>45468</v>
      </c>
      <c r="IR63">
        <v>234</v>
      </c>
      <c r="IS63">
        <v>134</v>
      </c>
      <c r="IT63">
        <v>-151</v>
      </c>
      <c r="IU63" s="3">
        <v>45468</v>
      </c>
      <c r="IV63">
        <v>341</v>
      </c>
      <c r="IW63">
        <v>276</v>
      </c>
      <c r="IX63">
        <v>-612</v>
      </c>
      <c r="IY63" s="3">
        <v>45468</v>
      </c>
      <c r="IZ63">
        <v>76</v>
      </c>
      <c r="JA63">
        <v>-438</v>
      </c>
      <c r="JB63">
        <v>371</v>
      </c>
      <c r="JC63" s="3">
        <v>45468</v>
      </c>
      <c r="JD63">
        <v>1661</v>
      </c>
      <c r="JE63">
        <v>5684</v>
      </c>
      <c r="JF63">
        <v>-9016</v>
      </c>
      <c r="JG63" s="3">
        <v>45468</v>
      </c>
      <c r="JH63">
        <v>2092</v>
      </c>
      <c r="JI63">
        <v>2911</v>
      </c>
      <c r="JJ63">
        <v>-4708</v>
      </c>
      <c r="JK63" s="3">
        <v>45468</v>
      </c>
      <c r="JL63">
        <v>1560</v>
      </c>
      <c r="JM63">
        <v>2036</v>
      </c>
      <c r="JN63">
        <v>-3493</v>
      </c>
      <c r="JO63" s="3">
        <v>45468</v>
      </c>
      <c r="JP63">
        <v>-269</v>
      </c>
      <c r="JQ63">
        <v>2194</v>
      </c>
      <c r="JR63">
        <v>-3860</v>
      </c>
      <c r="JS63" s="3"/>
      <c r="JW63" s="3"/>
      <c r="KA63" s="3"/>
      <c r="KE63" s="3"/>
      <c r="KI63" s="3"/>
      <c r="KM63" s="3"/>
      <c r="KQ63" s="3"/>
      <c r="KU63" s="3"/>
      <c r="KY63" s="3"/>
      <c r="LC63" s="3"/>
      <c r="LG63" s="3"/>
      <c r="LK63" s="3"/>
      <c r="LO63" s="3"/>
    </row>
    <row r="64" spans="3:330">
      <c r="C64" s="26" t="str">
        <f t="shared" ref="C64:D64" si="221">C19</f>
        <v>유통업</v>
      </c>
      <c r="D64" s="27" t="str">
        <f t="shared" si="221"/>
        <v>016</v>
      </c>
      <c r="E64" s="50" cm="1">
        <f t="array" aca="1" ref="E64" ca="1">IF( $D64=0, "", _xll.IMDP("IDX",$D64,"기관순매수금액",TODAY()-1,"fill=true") )</f>
        <v>-11769</v>
      </c>
      <c r="F64" s="51" cm="1">
        <f t="array" aca="1" ref="F64" ca="1">IF( $E64="", "", INDEX($R$52:$FQ$52, 1, MATCH(ROW()-ROW($C$50), $R$50:$FQ$50, 0)+1) )</f>
        <v>4675</v>
      </c>
      <c r="G64" s="52" cm="1">
        <f t="array" aca="1" ref="G64" ca="1">IF( $E64="", "", INDEX($FS$52:$LR$52, 1, MATCH(ROW()-ROW($C$50), $R$50:$FQ$50, 0)+1) )</f>
        <v>-2131</v>
      </c>
      <c r="H64" s="53" cm="1">
        <f t="array" aca="1" ref="H64" ca="1">IF( $D64=0, "", _xll.IMDP("IDX",$D64,"외국인합순매수금액",TODAY()-1,"fill=true") )</f>
        <v>8761</v>
      </c>
      <c r="I64" s="51" cm="1">
        <f t="array" aca="1" ref="I64" ca="1">IF( $H64="", "", INDEX($R$52:$FQ$52, 1, MATCH(ROW()-ROW($C$50), $R$50:$FQ$50, 0)+2))</f>
        <v>-3032</v>
      </c>
      <c r="J64" s="54" cm="1">
        <f t="array" aca="1" ref="J64" ca="1">IF( $H64="", "", INDEX($FS$52:$LR$52, 1, MATCH(ROW()-ROW($C$50), $R$50:$FQ$50, 0)+2))</f>
        <v>-261</v>
      </c>
      <c r="K64" s="55" cm="1">
        <f t="array" aca="1" ref="K64" ca="1">IF( $D64=0, "", _xll.IMDP("IDX",$D64,"개인순매수금액",TODAY()-1,"fill=true"))</f>
        <v>2557</v>
      </c>
      <c r="L64" s="51" cm="1">
        <f t="array" aca="1" ref="L64" ca="1">IF( $K64="", "", INDEX($R$52:$FQ$52, 1, MATCH(ROW()-ROW($C$50), $R$50:$FQ$50, 0)+3))</f>
        <v>1612</v>
      </c>
      <c r="M64" s="56" cm="1">
        <f t="array" aca="1" ref="M64" ca="1">IF( $K64="", "", INDEX($FS$52:$LR$52, 1, MATCH(ROW()-ROW($C$50), $R$50:$FQ$50, 0)+3))</f>
        <v>4650</v>
      </c>
      <c r="R64" s="3">
        <v>45467</v>
      </c>
      <c r="S64">
        <v>45732</v>
      </c>
      <c r="T64">
        <v>-528888</v>
      </c>
      <c r="U64">
        <v>467343</v>
      </c>
      <c r="V64" s="3">
        <v>45467</v>
      </c>
      <c r="W64">
        <v>59357</v>
      </c>
      <c r="X64">
        <v>-487764</v>
      </c>
      <c r="Y64">
        <v>411958</v>
      </c>
      <c r="Z64" s="3">
        <v>45467</v>
      </c>
      <c r="AA64">
        <v>-177</v>
      </c>
      <c r="AB64">
        <v>31</v>
      </c>
      <c r="AC64">
        <v>191</v>
      </c>
      <c r="AD64" s="3">
        <v>45467</v>
      </c>
      <c r="AE64">
        <v>-25</v>
      </c>
      <c r="AF64">
        <v>-150</v>
      </c>
      <c r="AG64">
        <v>408</v>
      </c>
      <c r="AH64" s="3">
        <v>45467</v>
      </c>
      <c r="AI64">
        <v>27</v>
      </c>
      <c r="AJ64">
        <v>29</v>
      </c>
      <c r="AK64">
        <v>-77</v>
      </c>
      <c r="AL64" s="3">
        <v>45467</v>
      </c>
      <c r="AM64">
        <v>-331</v>
      </c>
      <c r="AN64">
        <v>-1031</v>
      </c>
      <c r="AO64">
        <v>1319</v>
      </c>
      <c r="AP64" s="3">
        <v>45467</v>
      </c>
      <c r="AQ64">
        <v>-118</v>
      </c>
      <c r="AR64">
        <v>-250</v>
      </c>
      <c r="AS64">
        <v>349</v>
      </c>
      <c r="AT64" s="3">
        <v>45467</v>
      </c>
      <c r="AU64">
        <v>17</v>
      </c>
      <c r="AV64">
        <v>-51</v>
      </c>
      <c r="AW64">
        <v>42</v>
      </c>
      <c r="AX64" s="3">
        <v>45467</v>
      </c>
      <c r="AY64">
        <v>112</v>
      </c>
      <c r="AZ64">
        <v>-417</v>
      </c>
      <c r="BA64">
        <v>315</v>
      </c>
      <c r="BB64" s="3">
        <v>45467</v>
      </c>
      <c r="BC64">
        <v>286</v>
      </c>
      <c r="BD64">
        <v>-1409</v>
      </c>
      <c r="BE64">
        <v>160</v>
      </c>
      <c r="BF64" s="3">
        <v>45467</v>
      </c>
      <c r="BG64">
        <v>1335</v>
      </c>
      <c r="BH64">
        <v>-2054</v>
      </c>
      <c r="BI64">
        <v>325</v>
      </c>
      <c r="BJ64" s="3">
        <v>45467</v>
      </c>
      <c r="BK64">
        <v>114</v>
      </c>
      <c r="BL64">
        <v>173</v>
      </c>
      <c r="BM64">
        <v>-238</v>
      </c>
      <c r="BN64" s="3">
        <v>45467</v>
      </c>
      <c r="BO64">
        <v>-927</v>
      </c>
      <c r="BP64">
        <v>1302</v>
      </c>
      <c r="BQ64">
        <v>-483</v>
      </c>
      <c r="BR64" s="3">
        <v>45467</v>
      </c>
      <c r="BS64">
        <v>1489</v>
      </c>
      <c r="BT64">
        <v>-2782</v>
      </c>
      <c r="BU64">
        <v>1484</v>
      </c>
      <c r="BV64" s="3">
        <v>45467</v>
      </c>
      <c r="BW64">
        <v>-376</v>
      </c>
      <c r="BX64">
        <v>46</v>
      </c>
      <c r="BY64">
        <v>385</v>
      </c>
      <c r="BZ64" s="3">
        <v>45467</v>
      </c>
      <c r="CA64">
        <v>-135</v>
      </c>
      <c r="CB64">
        <v>-658</v>
      </c>
      <c r="CC64">
        <v>777</v>
      </c>
      <c r="CD64" s="3">
        <v>45467</v>
      </c>
      <c r="CE64">
        <v>-327</v>
      </c>
      <c r="CF64">
        <v>-1399</v>
      </c>
      <c r="CG64">
        <v>1688</v>
      </c>
      <c r="CH64" s="3">
        <v>45467</v>
      </c>
      <c r="CI64">
        <v>389</v>
      </c>
      <c r="CJ64">
        <v>6</v>
      </c>
      <c r="CK64">
        <v>-404</v>
      </c>
      <c r="CL64" s="3">
        <v>45467</v>
      </c>
      <c r="CM64">
        <v>936</v>
      </c>
      <c r="CN64">
        <v>-287</v>
      </c>
      <c r="CO64">
        <v>-859</v>
      </c>
      <c r="CP64" s="3">
        <v>45467</v>
      </c>
      <c r="CQ64">
        <v>-17</v>
      </c>
      <c r="CR64">
        <v>-356</v>
      </c>
      <c r="CS64">
        <v>290</v>
      </c>
      <c r="CT64" s="3">
        <v>45467</v>
      </c>
      <c r="CU64">
        <v>857</v>
      </c>
      <c r="CV64">
        <v>-432</v>
      </c>
      <c r="CW64">
        <v>-417</v>
      </c>
      <c r="CX64" s="3">
        <v>45467</v>
      </c>
      <c r="CY64">
        <v>-503</v>
      </c>
      <c r="CZ64">
        <v>-982</v>
      </c>
      <c r="DA64">
        <v>1585</v>
      </c>
      <c r="DB64" s="3">
        <v>45467</v>
      </c>
      <c r="DC64">
        <v>301</v>
      </c>
      <c r="DD64">
        <v>-3721</v>
      </c>
      <c r="DE64">
        <v>2197</v>
      </c>
      <c r="DF64" s="3">
        <v>45467</v>
      </c>
      <c r="DG64">
        <v>696</v>
      </c>
      <c r="DH64">
        <v>332</v>
      </c>
      <c r="DI64">
        <v>-1325</v>
      </c>
      <c r="DJ64" s="3">
        <v>45467</v>
      </c>
      <c r="DK64">
        <v>81</v>
      </c>
      <c r="DL64">
        <v>-4729</v>
      </c>
      <c r="DM64">
        <v>4604</v>
      </c>
      <c r="DN64" s="3">
        <v>45467</v>
      </c>
      <c r="DO64">
        <v>1503</v>
      </c>
      <c r="DP64">
        <v>-5808</v>
      </c>
      <c r="DQ64">
        <v>3617</v>
      </c>
      <c r="DR64" s="3"/>
      <c r="DV64" s="3"/>
      <c r="DZ64" s="3"/>
      <c r="ED64" s="3"/>
      <c r="EH64" s="3"/>
      <c r="EL64" s="3"/>
      <c r="EP64" s="3"/>
      <c r="ET64" s="3"/>
      <c r="EX64" s="3"/>
      <c r="FB64" s="3"/>
      <c r="FF64" s="3"/>
      <c r="FJ64" s="3"/>
      <c r="FN64" s="3"/>
      <c r="FS64" s="3">
        <v>45467</v>
      </c>
      <c r="FT64">
        <v>45732</v>
      </c>
      <c r="FU64">
        <v>-528888</v>
      </c>
      <c r="FV64">
        <v>467343</v>
      </c>
      <c r="FW64" s="3">
        <v>45467</v>
      </c>
      <c r="FX64">
        <v>59357</v>
      </c>
      <c r="FY64">
        <v>-487764</v>
      </c>
      <c r="FZ64">
        <v>411958</v>
      </c>
      <c r="GA64" s="3">
        <v>45467</v>
      </c>
      <c r="GB64">
        <v>-9821</v>
      </c>
      <c r="GC64">
        <v>-30364</v>
      </c>
      <c r="GD64">
        <v>41214</v>
      </c>
      <c r="GE64" s="3">
        <v>45467</v>
      </c>
      <c r="GF64">
        <v>-272</v>
      </c>
      <c r="GG64">
        <v>-1917</v>
      </c>
      <c r="GH64">
        <v>2468</v>
      </c>
      <c r="GI64" s="3">
        <v>45467</v>
      </c>
      <c r="GJ64">
        <v>256</v>
      </c>
      <c r="GK64">
        <v>136</v>
      </c>
      <c r="GL64">
        <v>-459</v>
      </c>
      <c r="GM64" s="3">
        <v>45467</v>
      </c>
      <c r="GN64">
        <v>-331</v>
      </c>
      <c r="GO64">
        <v>-1031</v>
      </c>
      <c r="GP64">
        <v>1319</v>
      </c>
      <c r="GQ64" s="3">
        <v>45467</v>
      </c>
      <c r="GR64">
        <v>-118</v>
      </c>
      <c r="GS64">
        <v>-250</v>
      </c>
      <c r="GT64">
        <v>349</v>
      </c>
      <c r="GU64" s="3">
        <v>45467</v>
      </c>
      <c r="GV64">
        <v>17</v>
      </c>
      <c r="GW64">
        <v>-51</v>
      </c>
      <c r="GX64">
        <v>42</v>
      </c>
      <c r="GY64" s="3">
        <v>45467</v>
      </c>
      <c r="GZ64">
        <v>112</v>
      </c>
      <c r="HA64">
        <v>-417</v>
      </c>
      <c r="HB64">
        <v>315</v>
      </c>
      <c r="HC64" s="3">
        <v>45467</v>
      </c>
      <c r="HD64">
        <v>286</v>
      </c>
      <c r="HE64">
        <v>-1409</v>
      </c>
      <c r="HF64">
        <v>160</v>
      </c>
      <c r="HG64" s="3">
        <v>45467</v>
      </c>
      <c r="HH64">
        <v>1335</v>
      </c>
      <c r="HI64">
        <v>-2054</v>
      </c>
      <c r="HJ64">
        <v>325</v>
      </c>
      <c r="HK64" s="3">
        <v>45467</v>
      </c>
      <c r="HL64">
        <v>114</v>
      </c>
      <c r="HM64">
        <v>173</v>
      </c>
      <c r="HN64">
        <v>-238</v>
      </c>
      <c r="HO64" s="3">
        <v>45467</v>
      </c>
      <c r="HP64">
        <v>-927</v>
      </c>
      <c r="HQ64">
        <v>1302</v>
      </c>
      <c r="HR64">
        <v>-483</v>
      </c>
      <c r="HS64" s="3">
        <v>45467</v>
      </c>
      <c r="HT64">
        <v>1489</v>
      </c>
      <c r="HU64">
        <v>-2782</v>
      </c>
      <c r="HV64">
        <v>1484</v>
      </c>
      <c r="HW64" s="3">
        <v>45467</v>
      </c>
      <c r="HX64">
        <v>-376</v>
      </c>
      <c r="HY64">
        <v>46</v>
      </c>
      <c r="HZ64">
        <v>385</v>
      </c>
      <c r="IA64" s="3">
        <v>45467</v>
      </c>
      <c r="IB64">
        <v>-135</v>
      </c>
      <c r="IC64">
        <v>-658</v>
      </c>
      <c r="ID64">
        <v>777</v>
      </c>
      <c r="IE64" s="3">
        <v>45467</v>
      </c>
      <c r="IF64">
        <v>-327</v>
      </c>
      <c r="IG64">
        <v>-1399</v>
      </c>
      <c r="IH64">
        <v>1688</v>
      </c>
      <c r="II64" s="3">
        <v>45467</v>
      </c>
      <c r="IJ64">
        <v>389</v>
      </c>
      <c r="IK64">
        <v>6</v>
      </c>
      <c r="IL64">
        <v>-404</v>
      </c>
      <c r="IM64" s="3">
        <v>45467</v>
      </c>
      <c r="IN64">
        <v>936</v>
      </c>
      <c r="IO64">
        <v>-287</v>
      </c>
      <c r="IP64">
        <v>-859</v>
      </c>
      <c r="IQ64" s="3">
        <v>45467</v>
      </c>
      <c r="IR64">
        <v>-17</v>
      </c>
      <c r="IS64">
        <v>-356</v>
      </c>
      <c r="IT64">
        <v>290</v>
      </c>
      <c r="IU64" s="3">
        <v>45467</v>
      </c>
      <c r="IV64">
        <v>857</v>
      </c>
      <c r="IW64">
        <v>-432</v>
      </c>
      <c r="IX64">
        <v>-417</v>
      </c>
      <c r="IY64" s="3">
        <v>45467</v>
      </c>
      <c r="IZ64">
        <v>-503</v>
      </c>
      <c r="JA64">
        <v>-982</v>
      </c>
      <c r="JB64">
        <v>1585</v>
      </c>
      <c r="JC64" s="3">
        <v>45467</v>
      </c>
      <c r="JD64">
        <v>301</v>
      </c>
      <c r="JE64">
        <v>-3721</v>
      </c>
      <c r="JF64">
        <v>2197</v>
      </c>
      <c r="JG64" s="3">
        <v>45467</v>
      </c>
      <c r="JH64">
        <v>696</v>
      </c>
      <c r="JI64">
        <v>332</v>
      </c>
      <c r="JJ64">
        <v>-1325</v>
      </c>
      <c r="JK64" s="3">
        <v>45467</v>
      </c>
      <c r="JL64">
        <v>81</v>
      </c>
      <c r="JM64">
        <v>-4729</v>
      </c>
      <c r="JN64">
        <v>4604</v>
      </c>
      <c r="JO64" s="3">
        <v>45467</v>
      </c>
      <c r="JP64">
        <v>1503</v>
      </c>
      <c r="JQ64">
        <v>-5808</v>
      </c>
      <c r="JR64">
        <v>3617</v>
      </c>
      <c r="JS64" s="3"/>
      <c r="JW64" s="3"/>
      <c r="KA64" s="3"/>
      <c r="KE64" s="3"/>
      <c r="KI64" s="3"/>
      <c r="KM64" s="3"/>
      <c r="KQ64" s="3"/>
      <c r="KU64" s="3"/>
      <c r="KY64" s="3"/>
      <c r="LC64" s="3"/>
      <c r="LG64" s="3"/>
      <c r="LK64" s="3"/>
      <c r="LO64" s="3"/>
    </row>
    <row r="65" spans="3:327">
      <c r="C65" s="26" t="str">
        <f t="shared" ref="C65:D65" si="222">C20</f>
        <v>전기.가스업</v>
      </c>
      <c r="D65" s="27" t="str">
        <f t="shared" si="222"/>
        <v>017</v>
      </c>
      <c r="E65" s="50" cm="1">
        <f t="array" aca="1" ref="E65" ca="1">IF( $D65=0, "", _xll.IMDP("IDX",$D65,"기관순매수금액",TODAY()-1,"fill=true") )</f>
        <v>-28991</v>
      </c>
      <c r="F65" s="51" cm="1">
        <f t="array" aca="1" ref="F65" ca="1">IF( $E65="", "", INDEX($R$52:$FQ$52, 1, MATCH(ROW()-ROW($C$50), $R$50:$FQ$50, 0)+1) )</f>
        <v>-6945</v>
      </c>
      <c r="G65" s="52" cm="1">
        <f t="array" aca="1" ref="G65" ca="1">IF( $E65="", "", INDEX($FS$52:$LR$52, 1, MATCH(ROW()-ROW($C$50), $R$50:$FQ$50, 0)+1) )</f>
        <v>-14834</v>
      </c>
      <c r="H65" s="53" cm="1">
        <f t="array" aca="1" ref="H65" ca="1">IF( $D65=0, "", _xll.IMDP("IDX",$D65,"외국인합순매수금액",TODAY()-1,"fill=true") )</f>
        <v>-15764</v>
      </c>
      <c r="I65" s="51" cm="1">
        <f t="array" aca="1" ref="I65" ca="1">IF( $H65="", "", INDEX($R$52:$FQ$52, 1, MATCH(ROW()-ROW($C$50), $R$50:$FQ$50, 0)+2))</f>
        <v>292</v>
      </c>
      <c r="J65" s="54" cm="1">
        <f t="array" aca="1" ref="J65" ca="1">IF( $H65="", "", INDEX($FS$52:$LR$52, 1, MATCH(ROW()-ROW($C$50), $R$50:$FQ$50, 0)+2))</f>
        <v>-1681</v>
      </c>
      <c r="K65" s="55" cm="1">
        <f t="array" aca="1" ref="K65" ca="1">IF( $D65=0, "", _xll.IMDP("IDX",$D65,"개인순매수금액",TODAY()-1,"fill=true"))</f>
        <v>44082</v>
      </c>
      <c r="L65" s="51" cm="1">
        <f t="array" aca="1" ref="L65" ca="1">IF( $K65="", "", INDEX($R$52:$FQ$52, 1, MATCH(ROW()-ROW($C$50), $R$50:$FQ$50, 0)+3))</f>
        <v>6355</v>
      </c>
      <c r="M65" s="56" cm="1">
        <f t="array" aca="1" ref="M65" ca="1">IF( $K65="", "", INDEX($FS$52:$LR$52, 1, MATCH(ROW()-ROW($C$50), $R$50:$FQ$50, 0)+3))</f>
        <v>15786</v>
      </c>
      <c r="R65" s="3">
        <v>45464</v>
      </c>
      <c r="S65">
        <v>-27987</v>
      </c>
      <c r="T65">
        <v>-340323</v>
      </c>
      <c r="U65">
        <v>379109</v>
      </c>
      <c r="V65" s="3">
        <v>45464</v>
      </c>
      <c r="W65">
        <v>-44700</v>
      </c>
      <c r="X65">
        <v>-371855</v>
      </c>
      <c r="Y65">
        <v>426808</v>
      </c>
      <c r="Z65" s="3">
        <v>45464</v>
      </c>
      <c r="AA65">
        <v>-302</v>
      </c>
      <c r="AB65">
        <v>-35</v>
      </c>
      <c r="AC65">
        <v>282</v>
      </c>
      <c r="AD65" s="3">
        <v>45464</v>
      </c>
      <c r="AE65">
        <v>-43</v>
      </c>
      <c r="AF65">
        <v>-49</v>
      </c>
      <c r="AG65">
        <v>877</v>
      </c>
      <c r="AH65" s="3">
        <v>45464</v>
      </c>
      <c r="AI65">
        <v>48</v>
      </c>
      <c r="AJ65">
        <v>-19</v>
      </c>
      <c r="AK65">
        <v>-38</v>
      </c>
      <c r="AL65" s="3">
        <v>45464</v>
      </c>
      <c r="AM65">
        <v>100</v>
      </c>
      <c r="AN65">
        <v>-924</v>
      </c>
      <c r="AO65">
        <v>782</v>
      </c>
      <c r="AP65" s="3">
        <v>45464</v>
      </c>
      <c r="AQ65">
        <v>-69</v>
      </c>
      <c r="AR65">
        <v>-824</v>
      </c>
      <c r="AS65">
        <v>904</v>
      </c>
      <c r="AT65" s="3">
        <v>45464</v>
      </c>
      <c r="AU65">
        <v>6</v>
      </c>
      <c r="AV65">
        <v>-3</v>
      </c>
      <c r="AW65">
        <v>-15</v>
      </c>
      <c r="AX65" s="3">
        <v>45464</v>
      </c>
      <c r="AY65">
        <v>-3</v>
      </c>
      <c r="AZ65">
        <v>-144</v>
      </c>
      <c r="BA65">
        <v>407</v>
      </c>
      <c r="BB65" s="3">
        <v>45464</v>
      </c>
      <c r="BC65">
        <v>-2084</v>
      </c>
      <c r="BD65">
        <v>-452</v>
      </c>
      <c r="BE65">
        <v>2240</v>
      </c>
      <c r="BF65" s="3">
        <v>45464</v>
      </c>
      <c r="BG65">
        <v>297</v>
      </c>
      <c r="BH65">
        <v>-573</v>
      </c>
      <c r="BI65">
        <v>380</v>
      </c>
      <c r="BJ65" s="3">
        <v>45464</v>
      </c>
      <c r="BK65">
        <v>245</v>
      </c>
      <c r="BL65">
        <v>-238</v>
      </c>
      <c r="BM65">
        <v>7</v>
      </c>
      <c r="BN65" s="3">
        <v>45464</v>
      </c>
      <c r="BO65">
        <v>-1168</v>
      </c>
      <c r="BP65">
        <v>-1885</v>
      </c>
      <c r="BQ65">
        <v>3061</v>
      </c>
      <c r="BR65" s="3">
        <v>45464</v>
      </c>
      <c r="BS65">
        <v>1515</v>
      </c>
      <c r="BT65">
        <v>-1006</v>
      </c>
      <c r="BU65">
        <v>-120</v>
      </c>
      <c r="BV65" s="3">
        <v>45464</v>
      </c>
      <c r="BW65">
        <v>-1271</v>
      </c>
      <c r="BX65">
        <v>-1624</v>
      </c>
      <c r="BY65">
        <v>2844</v>
      </c>
      <c r="BZ65" s="3">
        <v>45464</v>
      </c>
      <c r="CA65">
        <v>-82</v>
      </c>
      <c r="CB65">
        <v>265</v>
      </c>
      <c r="CC65">
        <v>-195</v>
      </c>
      <c r="CD65" s="3">
        <v>45464</v>
      </c>
      <c r="CE65">
        <v>-185</v>
      </c>
      <c r="CF65">
        <v>-1337</v>
      </c>
      <c r="CG65">
        <v>1303</v>
      </c>
      <c r="CH65" s="3">
        <v>45464</v>
      </c>
      <c r="CI65">
        <v>362</v>
      </c>
      <c r="CJ65">
        <v>237</v>
      </c>
      <c r="CK65">
        <v>-583</v>
      </c>
      <c r="CL65" s="3">
        <v>45464</v>
      </c>
      <c r="CM65">
        <v>864</v>
      </c>
      <c r="CN65">
        <v>-1538</v>
      </c>
      <c r="CO65">
        <v>176</v>
      </c>
      <c r="CP65" s="3">
        <v>45464</v>
      </c>
      <c r="CQ65">
        <v>68</v>
      </c>
      <c r="CR65">
        <v>-617</v>
      </c>
      <c r="CS65">
        <v>461</v>
      </c>
      <c r="CT65" s="3">
        <v>45464</v>
      </c>
      <c r="CU65">
        <v>471</v>
      </c>
      <c r="CV65">
        <v>47</v>
      </c>
      <c r="CW65">
        <v>-513</v>
      </c>
      <c r="CX65" s="3">
        <v>45464</v>
      </c>
      <c r="CY65">
        <v>-506</v>
      </c>
      <c r="CZ65">
        <v>778</v>
      </c>
      <c r="DA65">
        <v>-523</v>
      </c>
      <c r="DB65" s="3">
        <v>45464</v>
      </c>
      <c r="DC65">
        <v>-2995</v>
      </c>
      <c r="DD65">
        <v>-5366</v>
      </c>
      <c r="DE65">
        <v>9108</v>
      </c>
      <c r="DF65" s="3">
        <v>45464</v>
      </c>
      <c r="DG65">
        <v>-1507</v>
      </c>
      <c r="DH65">
        <v>-8275</v>
      </c>
      <c r="DI65">
        <v>9592</v>
      </c>
      <c r="DJ65" s="3">
        <v>45464</v>
      </c>
      <c r="DK65">
        <v>229</v>
      </c>
      <c r="DL65">
        <v>-674</v>
      </c>
      <c r="DM65">
        <v>472</v>
      </c>
      <c r="DN65" s="3">
        <v>45464</v>
      </c>
      <c r="DO65">
        <v>-966</v>
      </c>
      <c r="DP65">
        <v>-543</v>
      </c>
      <c r="DQ65">
        <v>1812</v>
      </c>
      <c r="DR65" s="3"/>
      <c r="DV65" s="3"/>
      <c r="DZ65" s="3"/>
      <c r="ED65" s="3"/>
      <c r="EH65" s="3"/>
      <c r="EL65" s="3"/>
      <c r="EP65" s="3"/>
      <c r="ET65" s="3"/>
      <c r="EX65" s="3"/>
      <c r="FB65" s="3"/>
      <c r="FF65" s="3"/>
      <c r="FJ65" s="3"/>
      <c r="FN65" s="3"/>
      <c r="FS65" s="3">
        <v>45464</v>
      </c>
      <c r="FT65">
        <v>-27987</v>
      </c>
      <c r="FU65">
        <v>-340323</v>
      </c>
      <c r="FV65">
        <v>379109</v>
      </c>
      <c r="FW65" s="3">
        <v>45464</v>
      </c>
      <c r="FX65">
        <v>-44700</v>
      </c>
      <c r="FY65">
        <v>-371855</v>
      </c>
      <c r="FZ65">
        <v>426808</v>
      </c>
      <c r="GA65" s="3">
        <v>45464</v>
      </c>
      <c r="GB65">
        <v>1137</v>
      </c>
      <c r="GC65">
        <v>36226</v>
      </c>
      <c r="GD65">
        <v>-40784</v>
      </c>
      <c r="GE65" s="3">
        <v>45464</v>
      </c>
      <c r="GF65">
        <v>-1006</v>
      </c>
      <c r="GG65">
        <v>-2683</v>
      </c>
      <c r="GH65">
        <v>4199</v>
      </c>
      <c r="GI65" s="3">
        <v>45464</v>
      </c>
      <c r="GJ65">
        <v>480</v>
      </c>
      <c r="GK65">
        <v>-110</v>
      </c>
      <c r="GL65">
        <v>-394</v>
      </c>
      <c r="GM65" s="3">
        <v>45464</v>
      </c>
      <c r="GN65">
        <v>100</v>
      </c>
      <c r="GO65">
        <v>-924</v>
      </c>
      <c r="GP65">
        <v>782</v>
      </c>
      <c r="GQ65" s="3">
        <v>45464</v>
      </c>
      <c r="GR65">
        <v>-69</v>
      </c>
      <c r="GS65">
        <v>-824</v>
      </c>
      <c r="GT65">
        <v>904</v>
      </c>
      <c r="GU65" s="3">
        <v>45464</v>
      </c>
      <c r="GV65">
        <v>6</v>
      </c>
      <c r="GW65">
        <v>-3</v>
      </c>
      <c r="GX65">
        <v>-15</v>
      </c>
      <c r="GY65" s="3">
        <v>45464</v>
      </c>
      <c r="GZ65">
        <v>-3</v>
      </c>
      <c r="HA65">
        <v>-144</v>
      </c>
      <c r="HB65">
        <v>407</v>
      </c>
      <c r="HC65" s="3">
        <v>45464</v>
      </c>
      <c r="HD65">
        <v>-2084</v>
      </c>
      <c r="HE65">
        <v>-452</v>
      </c>
      <c r="HF65">
        <v>2240</v>
      </c>
      <c r="HG65" s="3">
        <v>45464</v>
      </c>
      <c r="HH65">
        <v>297</v>
      </c>
      <c r="HI65">
        <v>-573</v>
      </c>
      <c r="HJ65">
        <v>380</v>
      </c>
      <c r="HK65" s="3">
        <v>45464</v>
      </c>
      <c r="HL65">
        <v>245</v>
      </c>
      <c r="HM65">
        <v>-238</v>
      </c>
      <c r="HN65">
        <v>7</v>
      </c>
      <c r="HO65" s="3">
        <v>45464</v>
      </c>
      <c r="HP65">
        <v>-1168</v>
      </c>
      <c r="HQ65">
        <v>-1885</v>
      </c>
      <c r="HR65">
        <v>3061</v>
      </c>
      <c r="HS65" s="3">
        <v>45464</v>
      </c>
      <c r="HT65">
        <v>1515</v>
      </c>
      <c r="HU65">
        <v>-1006</v>
      </c>
      <c r="HV65">
        <v>-120</v>
      </c>
      <c r="HW65" s="3">
        <v>45464</v>
      </c>
      <c r="HX65">
        <v>-1271</v>
      </c>
      <c r="HY65">
        <v>-1624</v>
      </c>
      <c r="HZ65">
        <v>2844</v>
      </c>
      <c r="IA65" s="3">
        <v>45464</v>
      </c>
      <c r="IB65">
        <v>-82</v>
      </c>
      <c r="IC65">
        <v>265</v>
      </c>
      <c r="ID65">
        <v>-195</v>
      </c>
      <c r="IE65" s="3">
        <v>45464</v>
      </c>
      <c r="IF65">
        <v>-185</v>
      </c>
      <c r="IG65">
        <v>-1337</v>
      </c>
      <c r="IH65">
        <v>1303</v>
      </c>
      <c r="II65" s="3">
        <v>45464</v>
      </c>
      <c r="IJ65">
        <v>362</v>
      </c>
      <c r="IK65">
        <v>237</v>
      </c>
      <c r="IL65">
        <v>-583</v>
      </c>
      <c r="IM65" s="3">
        <v>45464</v>
      </c>
      <c r="IN65">
        <v>864</v>
      </c>
      <c r="IO65">
        <v>-1538</v>
      </c>
      <c r="IP65">
        <v>176</v>
      </c>
      <c r="IQ65" s="3">
        <v>45464</v>
      </c>
      <c r="IR65">
        <v>68</v>
      </c>
      <c r="IS65">
        <v>-617</v>
      </c>
      <c r="IT65">
        <v>461</v>
      </c>
      <c r="IU65" s="3">
        <v>45464</v>
      </c>
      <c r="IV65">
        <v>471</v>
      </c>
      <c r="IW65">
        <v>47</v>
      </c>
      <c r="IX65">
        <v>-513</v>
      </c>
      <c r="IY65" s="3">
        <v>45464</v>
      </c>
      <c r="IZ65">
        <v>-506</v>
      </c>
      <c r="JA65">
        <v>778</v>
      </c>
      <c r="JB65">
        <v>-523</v>
      </c>
      <c r="JC65" s="3">
        <v>45464</v>
      </c>
      <c r="JD65">
        <v>-2995</v>
      </c>
      <c r="JE65">
        <v>-5366</v>
      </c>
      <c r="JF65">
        <v>9108</v>
      </c>
      <c r="JG65" s="3">
        <v>45464</v>
      </c>
      <c r="JH65">
        <v>-1507</v>
      </c>
      <c r="JI65">
        <v>-8275</v>
      </c>
      <c r="JJ65">
        <v>9592</v>
      </c>
      <c r="JK65" s="3">
        <v>45464</v>
      </c>
      <c r="JL65">
        <v>229</v>
      </c>
      <c r="JM65">
        <v>-674</v>
      </c>
      <c r="JN65">
        <v>472</v>
      </c>
      <c r="JO65" s="3">
        <v>45464</v>
      </c>
      <c r="JP65">
        <v>-966</v>
      </c>
      <c r="JQ65">
        <v>-543</v>
      </c>
      <c r="JR65">
        <v>1812</v>
      </c>
      <c r="JS65" s="3"/>
      <c r="JW65" s="3"/>
      <c r="KA65" s="3"/>
      <c r="KE65" s="3"/>
      <c r="KI65" s="3"/>
      <c r="KM65" s="3"/>
      <c r="KQ65" s="3"/>
      <c r="KU65" s="3"/>
      <c r="KY65" s="3"/>
      <c r="LC65" s="3"/>
      <c r="LG65" s="3"/>
      <c r="LK65" s="3"/>
      <c r="LO65" s="3"/>
    </row>
    <row r="66" spans="3:327">
      <c r="C66" s="26" t="str">
        <f t="shared" ref="C66:D66" si="223">C21</f>
        <v>건설업</v>
      </c>
      <c r="D66" s="27" t="str">
        <f t="shared" si="223"/>
        <v>018</v>
      </c>
      <c r="E66" s="50" cm="1">
        <f t="array" aca="1" ref="E66" ca="1">IF( $D66=0, "", _xll.IMDP("IDX",$D66,"기관순매수금액",TODAY()-1,"fill=true") )</f>
        <v>-3337</v>
      </c>
      <c r="F66" s="51" cm="1">
        <f t="array" aca="1" ref="F66" ca="1">IF( $E66="", "", INDEX($R$52:$FQ$52, 1, MATCH(ROW()-ROW($C$50), $R$50:$FQ$50, 0)+1) )</f>
        <v>-1406</v>
      </c>
      <c r="G66" s="52" cm="1">
        <f t="array" aca="1" ref="G66" ca="1">IF( $E66="", "", INDEX($FS$52:$LR$52, 1, MATCH(ROW()-ROW($C$50), $R$50:$FQ$50, 0)+1) )</f>
        <v>-5057</v>
      </c>
      <c r="H66" s="53" cm="1">
        <f t="array" aca="1" ref="H66" ca="1">IF( $D66=0, "", _xll.IMDP("IDX",$D66,"외국인합순매수금액",TODAY()-1,"fill=true") )</f>
        <v>-5264</v>
      </c>
      <c r="I66" s="51" cm="1">
        <f t="array" aca="1" ref="I66" ca="1">IF( $H66="", "", INDEX($R$52:$FQ$52, 1, MATCH(ROW()-ROW($C$50), $R$50:$FQ$50, 0)+2))</f>
        <v>-7727</v>
      </c>
      <c r="J66" s="54" cm="1">
        <f t="array" aca="1" ref="J66" ca="1">IF( $H66="", "", INDEX($FS$52:$LR$52, 1, MATCH(ROW()-ROW($C$50), $R$50:$FQ$50, 0)+2))</f>
        <v>-5222</v>
      </c>
      <c r="K66" s="55" cm="1">
        <f t="array" aca="1" ref="K66" ca="1">IF( $D66=0, "", _xll.IMDP("IDX",$D66,"개인순매수금액",TODAY()-1,"fill=true"))</f>
        <v>8436</v>
      </c>
      <c r="L66" s="51" cm="1">
        <f t="array" aca="1" ref="L66" ca="1">IF( $K66="", "", INDEX($R$52:$FQ$52, 1, MATCH(ROW()-ROW($C$50), $R$50:$FQ$50, 0)+3))</f>
        <v>8973</v>
      </c>
      <c r="M66" s="56" cm="1">
        <f t="array" aca="1" ref="M66" ca="1">IF( $K66="", "", INDEX($FS$52:$LR$52, 1, MATCH(ROW()-ROW($C$50), $R$50:$FQ$50, 0)+3))</f>
        <v>10383</v>
      </c>
      <c r="R66" s="3">
        <v>45463</v>
      </c>
      <c r="S66">
        <v>165375</v>
      </c>
      <c r="T66">
        <v>494063</v>
      </c>
      <c r="U66">
        <v>-584548</v>
      </c>
      <c r="V66" s="3">
        <v>45463</v>
      </c>
      <c r="W66">
        <v>191180</v>
      </c>
      <c r="X66">
        <v>401615</v>
      </c>
      <c r="Y66">
        <v>-521563</v>
      </c>
      <c r="Z66" s="3">
        <v>45463</v>
      </c>
      <c r="AA66">
        <v>-165</v>
      </c>
      <c r="AB66">
        <v>464</v>
      </c>
      <c r="AC66">
        <v>-329</v>
      </c>
      <c r="AD66" s="3">
        <v>45463</v>
      </c>
      <c r="AE66">
        <v>-1</v>
      </c>
      <c r="AF66">
        <v>43</v>
      </c>
      <c r="AG66">
        <v>135</v>
      </c>
      <c r="AH66" s="3">
        <v>45463</v>
      </c>
      <c r="AI66">
        <v>-30</v>
      </c>
      <c r="AJ66">
        <v>-193</v>
      </c>
      <c r="AK66">
        <v>279</v>
      </c>
      <c r="AL66" s="3">
        <v>45463</v>
      </c>
      <c r="AM66">
        <v>277</v>
      </c>
      <c r="AN66">
        <v>315</v>
      </c>
      <c r="AO66">
        <v>-469</v>
      </c>
      <c r="AP66" s="3">
        <v>45463</v>
      </c>
      <c r="AQ66">
        <v>-116</v>
      </c>
      <c r="AR66">
        <v>-182</v>
      </c>
      <c r="AS66">
        <v>279</v>
      </c>
      <c r="AT66" s="3">
        <v>45463</v>
      </c>
      <c r="AU66">
        <v>-275</v>
      </c>
      <c r="AV66">
        <v>-74</v>
      </c>
      <c r="AW66">
        <v>-203</v>
      </c>
      <c r="AX66" s="3">
        <v>45463</v>
      </c>
      <c r="AY66">
        <v>-1615</v>
      </c>
      <c r="AZ66">
        <v>-220</v>
      </c>
      <c r="BA66">
        <v>1860</v>
      </c>
      <c r="BB66" s="3">
        <v>45463</v>
      </c>
      <c r="BC66">
        <v>-138</v>
      </c>
      <c r="BD66">
        <v>-1513</v>
      </c>
      <c r="BE66">
        <v>1176</v>
      </c>
      <c r="BF66" s="3">
        <v>45463</v>
      </c>
      <c r="BG66">
        <v>3632</v>
      </c>
      <c r="BH66">
        <v>5179</v>
      </c>
      <c r="BI66">
        <v>-8075</v>
      </c>
      <c r="BJ66" s="3">
        <v>45463</v>
      </c>
      <c r="BK66">
        <v>43</v>
      </c>
      <c r="BL66">
        <v>-125</v>
      </c>
      <c r="BM66">
        <v>52</v>
      </c>
      <c r="BN66" s="3">
        <v>45463</v>
      </c>
      <c r="BO66">
        <v>-2603</v>
      </c>
      <c r="BP66">
        <v>-1351</v>
      </c>
      <c r="BQ66">
        <v>4109</v>
      </c>
      <c r="BR66" s="3">
        <v>45463</v>
      </c>
      <c r="BS66">
        <v>-31</v>
      </c>
      <c r="BT66">
        <v>-150</v>
      </c>
      <c r="BU66">
        <v>635</v>
      </c>
      <c r="BV66" s="3">
        <v>45463</v>
      </c>
      <c r="BW66">
        <v>-94</v>
      </c>
      <c r="BX66">
        <v>572</v>
      </c>
      <c r="BY66">
        <v>-423</v>
      </c>
      <c r="BZ66" s="3">
        <v>45463</v>
      </c>
      <c r="CA66">
        <v>295</v>
      </c>
      <c r="CB66">
        <v>774</v>
      </c>
      <c r="CC66">
        <v>-1056</v>
      </c>
      <c r="CD66" s="3">
        <v>45463</v>
      </c>
      <c r="CE66">
        <v>595</v>
      </c>
      <c r="CF66">
        <v>737</v>
      </c>
      <c r="CG66">
        <v>-2238</v>
      </c>
      <c r="CH66" s="3">
        <v>45463</v>
      </c>
      <c r="CI66">
        <v>194</v>
      </c>
      <c r="CJ66">
        <v>-197</v>
      </c>
      <c r="CK66">
        <v>19</v>
      </c>
      <c r="CL66" s="3">
        <v>45463</v>
      </c>
      <c r="CM66">
        <v>1090</v>
      </c>
      <c r="CN66">
        <v>3115</v>
      </c>
      <c r="CO66">
        <v>-4575</v>
      </c>
      <c r="CP66" s="3">
        <v>45463</v>
      </c>
      <c r="CQ66">
        <v>190</v>
      </c>
      <c r="CR66">
        <v>335</v>
      </c>
      <c r="CS66">
        <v>-744</v>
      </c>
      <c r="CT66" s="3">
        <v>45463</v>
      </c>
      <c r="CU66">
        <v>518</v>
      </c>
      <c r="CV66">
        <v>1300</v>
      </c>
      <c r="CW66">
        <v>-1666</v>
      </c>
      <c r="CX66" s="3">
        <v>45463</v>
      </c>
      <c r="CY66">
        <v>-1247</v>
      </c>
      <c r="CZ66">
        <v>1248</v>
      </c>
      <c r="DA66">
        <v>2257</v>
      </c>
      <c r="DB66" s="3">
        <v>45463</v>
      </c>
      <c r="DC66">
        <v>-1015</v>
      </c>
      <c r="DD66">
        <v>2358</v>
      </c>
      <c r="DE66">
        <v>-1169</v>
      </c>
      <c r="DF66" s="3">
        <v>45463</v>
      </c>
      <c r="DG66">
        <v>4001</v>
      </c>
      <c r="DH66">
        <v>3294</v>
      </c>
      <c r="DI66">
        <v>-7055</v>
      </c>
      <c r="DJ66" s="3">
        <v>45463</v>
      </c>
      <c r="DK66">
        <v>420</v>
      </c>
      <c r="DL66">
        <v>4184</v>
      </c>
      <c r="DM66">
        <v>-4497</v>
      </c>
      <c r="DN66" s="3">
        <v>45463</v>
      </c>
      <c r="DO66">
        <v>-4572</v>
      </c>
      <c r="DP66">
        <v>352</v>
      </c>
      <c r="DQ66">
        <v>5564</v>
      </c>
      <c r="DR66" s="3"/>
      <c r="DV66" s="3"/>
      <c r="DZ66" s="3"/>
      <c r="ED66" s="3"/>
      <c r="EH66" s="3"/>
      <c r="EL66" s="3"/>
      <c r="EP66" s="3"/>
      <c r="ET66" s="3"/>
      <c r="EX66" s="3"/>
      <c r="FB66" s="3"/>
      <c r="FF66" s="3"/>
      <c r="FJ66" s="3"/>
      <c r="FN66" s="3"/>
      <c r="FS66" s="3">
        <v>45463</v>
      </c>
      <c r="FT66">
        <v>165375</v>
      </c>
      <c r="FU66">
        <v>494063</v>
      </c>
      <c r="FV66">
        <v>-584548</v>
      </c>
      <c r="FW66" s="3">
        <v>45463</v>
      </c>
      <c r="FX66">
        <v>191180</v>
      </c>
      <c r="FY66">
        <v>401615</v>
      </c>
      <c r="FZ66">
        <v>-521563</v>
      </c>
      <c r="GA66" s="3">
        <v>45463</v>
      </c>
      <c r="GB66">
        <v>-19029</v>
      </c>
      <c r="GC66">
        <v>15920</v>
      </c>
      <c r="GD66">
        <v>2576</v>
      </c>
      <c r="GE66" s="3">
        <v>45463</v>
      </c>
      <c r="GF66">
        <v>93</v>
      </c>
      <c r="GG66">
        <v>-2215</v>
      </c>
      <c r="GH66">
        <v>1727</v>
      </c>
      <c r="GI66" s="3">
        <v>45463</v>
      </c>
      <c r="GJ66">
        <v>-87</v>
      </c>
      <c r="GK66">
        <v>-738</v>
      </c>
      <c r="GL66">
        <v>1005</v>
      </c>
      <c r="GM66" s="3">
        <v>45463</v>
      </c>
      <c r="GN66">
        <v>277</v>
      </c>
      <c r="GO66">
        <v>315</v>
      </c>
      <c r="GP66">
        <v>-469</v>
      </c>
      <c r="GQ66" s="3">
        <v>45463</v>
      </c>
      <c r="GR66">
        <v>-116</v>
      </c>
      <c r="GS66">
        <v>-182</v>
      </c>
      <c r="GT66">
        <v>279</v>
      </c>
      <c r="GU66" s="3">
        <v>45463</v>
      </c>
      <c r="GV66">
        <v>-275</v>
      </c>
      <c r="GW66">
        <v>-74</v>
      </c>
      <c r="GX66">
        <v>-203</v>
      </c>
      <c r="GY66" s="3">
        <v>45463</v>
      </c>
      <c r="GZ66">
        <v>-1615</v>
      </c>
      <c r="HA66">
        <v>-220</v>
      </c>
      <c r="HB66">
        <v>1860</v>
      </c>
      <c r="HC66" s="3">
        <v>45463</v>
      </c>
      <c r="HD66">
        <v>-138</v>
      </c>
      <c r="HE66">
        <v>-1513</v>
      </c>
      <c r="HF66">
        <v>1176</v>
      </c>
      <c r="HG66" s="3">
        <v>45463</v>
      </c>
      <c r="HH66">
        <v>3632</v>
      </c>
      <c r="HI66">
        <v>5179</v>
      </c>
      <c r="HJ66">
        <v>-8075</v>
      </c>
      <c r="HK66" s="3">
        <v>45463</v>
      </c>
      <c r="HL66">
        <v>43</v>
      </c>
      <c r="HM66">
        <v>-125</v>
      </c>
      <c r="HN66">
        <v>52</v>
      </c>
      <c r="HO66" s="3">
        <v>45463</v>
      </c>
      <c r="HP66">
        <v>-2603</v>
      </c>
      <c r="HQ66">
        <v>-1351</v>
      </c>
      <c r="HR66">
        <v>4109</v>
      </c>
      <c r="HS66" s="3">
        <v>45463</v>
      </c>
      <c r="HT66">
        <v>-31</v>
      </c>
      <c r="HU66">
        <v>-150</v>
      </c>
      <c r="HV66">
        <v>635</v>
      </c>
      <c r="HW66" s="3">
        <v>45463</v>
      </c>
      <c r="HX66">
        <v>-94</v>
      </c>
      <c r="HY66">
        <v>572</v>
      </c>
      <c r="HZ66">
        <v>-423</v>
      </c>
      <c r="IA66" s="3">
        <v>45463</v>
      </c>
      <c r="IB66">
        <v>295</v>
      </c>
      <c r="IC66">
        <v>774</v>
      </c>
      <c r="ID66">
        <v>-1056</v>
      </c>
      <c r="IE66" s="3">
        <v>45463</v>
      </c>
      <c r="IF66">
        <v>595</v>
      </c>
      <c r="IG66">
        <v>737</v>
      </c>
      <c r="IH66">
        <v>-2238</v>
      </c>
      <c r="II66" s="3">
        <v>45463</v>
      </c>
      <c r="IJ66">
        <v>194</v>
      </c>
      <c r="IK66">
        <v>-197</v>
      </c>
      <c r="IL66">
        <v>19</v>
      </c>
      <c r="IM66" s="3">
        <v>45463</v>
      </c>
      <c r="IN66">
        <v>1090</v>
      </c>
      <c r="IO66">
        <v>3115</v>
      </c>
      <c r="IP66">
        <v>-4575</v>
      </c>
      <c r="IQ66" s="3">
        <v>45463</v>
      </c>
      <c r="IR66">
        <v>190</v>
      </c>
      <c r="IS66">
        <v>335</v>
      </c>
      <c r="IT66">
        <v>-744</v>
      </c>
      <c r="IU66" s="3">
        <v>45463</v>
      </c>
      <c r="IV66">
        <v>518</v>
      </c>
      <c r="IW66">
        <v>1300</v>
      </c>
      <c r="IX66">
        <v>-1666</v>
      </c>
      <c r="IY66" s="3">
        <v>45463</v>
      </c>
      <c r="IZ66">
        <v>-1247</v>
      </c>
      <c r="JA66">
        <v>1248</v>
      </c>
      <c r="JB66">
        <v>2257</v>
      </c>
      <c r="JC66" s="3">
        <v>45463</v>
      </c>
      <c r="JD66">
        <v>-1015</v>
      </c>
      <c r="JE66">
        <v>2358</v>
      </c>
      <c r="JF66">
        <v>-1169</v>
      </c>
      <c r="JG66" s="3">
        <v>45463</v>
      </c>
      <c r="JH66">
        <v>4001</v>
      </c>
      <c r="JI66">
        <v>3294</v>
      </c>
      <c r="JJ66">
        <v>-7055</v>
      </c>
      <c r="JK66" s="3">
        <v>45463</v>
      </c>
      <c r="JL66">
        <v>420</v>
      </c>
      <c r="JM66">
        <v>4184</v>
      </c>
      <c r="JN66">
        <v>-4497</v>
      </c>
      <c r="JO66" s="3">
        <v>45463</v>
      </c>
      <c r="JP66">
        <v>-4572</v>
      </c>
      <c r="JQ66">
        <v>352</v>
      </c>
      <c r="JR66">
        <v>5564</v>
      </c>
      <c r="JS66" s="3"/>
      <c r="JW66" s="3"/>
      <c r="KA66" s="3"/>
      <c r="KE66" s="3"/>
      <c r="KI66" s="3"/>
      <c r="KM66" s="3"/>
      <c r="KQ66" s="3"/>
      <c r="KU66" s="3"/>
      <c r="KY66" s="3"/>
      <c r="LC66" s="3"/>
      <c r="LG66" s="3"/>
      <c r="LK66" s="3"/>
      <c r="LO66" s="3"/>
    </row>
    <row r="67" spans="3:327">
      <c r="C67" s="26" t="str">
        <f t="shared" ref="C67:D67" si="224">C22</f>
        <v>운수.창고</v>
      </c>
      <c r="D67" s="27" t="str">
        <f t="shared" si="224"/>
        <v>019</v>
      </c>
      <c r="E67" s="50" cm="1">
        <f t="array" aca="1" ref="E67" ca="1">IF( $D67=0, "", _xll.IMDP("IDX",$D67,"기관순매수금액",TODAY()-1,"fill=true") )</f>
        <v>-3802</v>
      </c>
      <c r="F67" s="51" cm="1">
        <f t="array" aca="1" ref="F67" ca="1">IF( $E67="", "", INDEX($R$52:$FQ$52, 1, MATCH(ROW()-ROW($C$50), $R$50:$FQ$50, 0)+1) )</f>
        <v>-3669</v>
      </c>
      <c r="G67" s="52" cm="1">
        <f t="array" aca="1" ref="G67" ca="1">IF( $E67="", "", INDEX($FS$52:$LR$52, 1, MATCH(ROW()-ROW($C$50), $R$50:$FQ$50, 0)+1) )</f>
        <v>-872</v>
      </c>
      <c r="H67" s="53" cm="1">
        <f t="array" aca="1" ref="H67" ca="1">IF( $D67=0, "", _xll.IMDP("IDX",$D67,"외국인합순매수금액",TODAY()-1,"fill=true") )</f>
        <v>-5633</v>
      </c>
      <c r="I67" s="51" cm="1">
        <f t="array" aca="1" ref="I67" ca="1">IF( $H67="", "", INDEX($R$52:$FQ$52, 1, MATCH(ROW()-ROW($C$50), $R$50:$FQ$50, 0)+2))</f>
        <v>5308</v>
      </c>
      <c r="J67" s="54" cm="1">
        <f t="array" aca="1" ref="J67" ca="1">IF( $H67="", "", INDEX($FS$52:$LR$52, 1, MATCH(ROW()-ROW($C$50), $R$50:$FQ$50, 0)+2))</f>
        <v>19296</v>
      </c>
      <c r="K67" s="55" cm="1">
        <f t="array" aca="1" ref="K67" ca="1">IF( $D67=0, "", _xll.IMDP("IDX",$D67,"개인순매수금액",TODAY()-1,"fill=true"))</f>
        <v>10569</v>
      </c>
      <c r="L67" s="51" cm="1">
        <f t="array" aca="1" ref="L67" ca="1">IF( $K67="", "", INDEX($R$52:$FQ$52, 1, MATCH(ROW()-ROW($C$50), $R$50:$FQ$50, 0)+3))</f>
        <v>-3546</v>
      </c>
      <c r="M67" s="56" cm="1">
        <f t="array" aca="1" ref="M67" ca="1">IF( $K67="", "", INDEX($FS$52:$LR$52, 1, MATCH(ROW()-ROW($C$50), $R$50:$FQ$50, 0)+3))</f>
        <v>2145</v>
      </c>
      <c r="R67" s="3">
        <v>45462</v>
      </c>
      <c r="S67">
        <v>549328</v>
      </c>
      <c r="T67">
        <v>273596</v>
      </c>
      <c r="U67">
        <v>-751003</v>
      </c>
      <c r="V67" s="3">
        <v>45462</v>
      </c>
      <c r="W67">
        <v>538671</v>
      </c>
      <c r="X67">
        <v>343205</v>
      </c>
      <c r="Y67">
        <v>-816222</v>
      </c>
      <c r="Z67" s="3">
        <v>45462</v>
      </c>
      <c r="AA67">
        <v>-698</v>
      </c>
      <c r="AB67">
        <v>-599</v>
      </c>
      <c r="AC67">
        <v>1321</v>
      </c>
      <c r="AD67" s="3">
        <v>45462</v>
      </c>
      <c r="AE67">
        <v>-440</v>
      </c>
      <c r="AF67">
        <v>-527</v>
      </c>
      <c r="AG67">
        <v>964</v>
      </c>
      <c r="AH67" s="3">
        <v>45462</v>
      </c>
      <c r="AI67">
        <v>-7</v>
      </c>
      <c r="AJ67">
        <v>12</v>
      </c>
      <c r="AK67">
        <v>-11</v>
      </c>
      <c r="AL67" s="3">
        <v>45462</v>
      </c>
      <c r="AM67">
        <v>-290</v>
      </c>
      <c r="AN67">
        <v>57</v>
      </c>
      <c r="AO67">
        <v>400</v>
      </c>
      <c r="AP67" s="3">
        <v>45462</v>
      </c>
      <c r="AQ67">
        <v>-5</v>
      </c>
      <c r="AR67">
        <v>-264</v>
      </c>
      <c r="AS67">
        <v>206</v>
      </c>
      <c r="AT67" s="3">
        <v>45462</v>
      </c>
      <c r="AU67">
        <v>-109</v>
      </c>
      <c r="AV67">
        <v>-290</v>
      </c>
      <c r="AW67">
        <v>206</v>
      </c>
      <c r="AX67" s="3">
        <v>45462</v>
      </c>
      <c r="AY67">
        <v>-889</v>
      </c>
      <c r="AZ67">
        <v>-252</v>
      </c>
      <c r="BA67">
        <v>2352</v>
      </c>
      <c r="BB67" s="3">
        <v>45462</v>
      </c>
      <c r="BC67">
        <v>2087</v>
      </c>
      <c r="BD67">
        <v>-1235</v>
      </c>
      <c r="BE67">
        <v>-1070</v>
      </c>
      <c r="BF67" s="3">
        <v>45462</v>
      </c>
      <c r="BG67">
        <v>5020</v>
      </c>
      <c r="BH67">
        <v>-106</v>
      </c>
      <c r="BI67">
        <v>-4188</v>
      </c>
      <c r="BJ67" s="3">
        <v>45462</v>
      </c>
      <c r="BK67">
        <v>279</v>
      </c>
      <c r="BL67">
        <v>86</v>
      </c>
      <c r="BM67">
        <v>-400</v>
      </c>
      <c r="BN67" s="3">
        <v>45462</v>
      </c>
      <c r="BO67">
        <v>845</v>
      </c>
      <c r="BP67">
        <v>526</v>
      </c>
      <c r="BQ67">
        <v>-1336</v>
      </c>
      <c r="BR67" s="3">
        <v>45462</v>
      </c>
      <c r="BS67">
        <v>-88</v>
      </c>
      <c r="BT67">
        <v>41</v>
      </c>
      <c r="BU67">
        <v>25</v>
      </c>
      <c r="BV67" s="3">
        <v>45462</v>
      </c>
      <c r="BW67">
        <v>16</v>
      </c>
      <c r="BX67">
        <v>-319</v>
      </c>
      <c r="BY67">
        <v>324</v>
      </c>
      <c r="BZ67" s="3">
        <v>45462</v>
      </c>
      <c r="CA67">
        <v>97</v>
      </c>
      <c r="CB67">
        <v>350</v>
      </c>
      <c r="CC67">
        <v>-469</v>
      </c>
      <c r="CD67" s="3">
        <v>45462</v>
      </c>
      <c r="CE67">
        <v>331</v>
      </c>
      <c r="CF67">
        <v>58</v>
      </c>
      <c r="CG67">
        <v>-344</v>
      </c>
      <c r="CH67" s="3">
        <v>45462</v>
      </c>
      <c r="CI67">
        <v>68</v>
      </c>
      <c r="CJ67">
        <v>-685</v>
      </c>
      <c r="CK67">
        <v>616</v>
      </c>
      <c r="CL67" s="3">
        <v>45462</v>
      </c>
      <c r="CM67">
        <v>1973</v>
      </c>
      <c r="CN67">
        <v>354</v>
      </c>
      <c r="CO67">
        <v>-2386</v>
      </c>
      <c r="CP67" s="3">
        <v>45462</v>
      </c>
      <c r="CQ67">
        <v>365</v>
      </c>
      <c r="CR67">
        <v>-125</v>
      </c>
      <c r="CS67">
        <v>-270</v>
      </c>
      <c r="CT67" s="3">
        <v>45462</v>
      </c>
      <c r="CU67">
        <v>1205</v>
      </c>
      <c r="CV67">
        <v>1032</v>
      </c>
      <c r="CW67">
        <v>-2176</v>
      </c>
      <c r="CX67" s="3">
        <v>45462</v>
      </c>
      <c r="CY67">
        <v>-588</v>
      </c>
      <c r="CZ67">
        <v>-891</v>
      </c>
      <c r="DA67">
        <v>1478</v>
      </c>
      <c r="DB67" s="3">
        <v>45462</v>
      </c>
      <c r="DC67">
        <v>5773</v>
      </c>
      <c r="DD67">
        <v>-2901</v>
      </c>
      <c r="DE67">
        <v>-1226</v>
      </c>
      <c r="DF67" s="3">
        <v>45462</v>
      </c>
      <c r="DG67">
        <v>8018</v>
      </c>
      <c r="DH67">
        <v>5151</v>
      </c>
      <c r="DI67">
        <v>-12636</v>
      </c>
      <c r="DJ67" s="3">
        <v>45462</v>
      </c>
      <c r="DK67">
        <v>1452</v>
      </c>
      <c r="DL67">
        <v>-2342</v>
      </c>
      <c r="DM67">
        <v>1008</v>
      </c>
      <c r="DN67" s="3">
        <v>45462</v>
      </c>
      <c r="DO67">
        <v>-2078</v>
      </c>
      <c r="DP67">
        <v>-6477</v>
      </c>
      <c r="DQ67">
        <v>9515</v>
      </c>
      <c r="DR67" s="3"/>
      <c r="DV67" s="3"/>
      <c r="DZ67" s="3"/>
      <c r="ED67" s="3"/>
      <c r="EH67" s="3"/>
      <c r="EL67" s="3"/>
      <c r="EP67" s="3"/>
      <c r="ET67" s="3"/>
      <c r="EX67" s="3"/>
      <c r="FB67" s="3"/>
      <c r="FF67" s="3"/>
      <c r="FJ67" s="3"/>
      <c r="FN67" s="3"/>
      <c r="FS67" s="3">
        <v>45462</v>
      </c>
      <c r="FT67">
        <v>549328</v>
      </c>
      <c r="FU67">
        <v>273596</v>
      </c>
      <c r="FV67">
        <v>-751003</v>
      </c>
      <c r="FW67" s="3">
        <v>45462</v>
      </c>
      <c r="FX67">
        <v>538671</v>
      </c>
      <c r="FY67">
        <v>343205</v>
      </c>
      <c r="FZ67">
        <v>-816222</v>
      </c>
      <c r="GA67" s="3">
        <v>45462</v>
      </c>
      <c r="GB67">
        <v>-26308</v>
      </c>
      <c r="GC67">
        <v>-48475</v>
      </c>
      <c r="GD67">
        <v>70376</v>
      </c>
      <c r="GE67" s="3">
        <v>45462</v>
      </c>
      <c r="GF67">
        <v>-414</v>
      </c>
      <c r="GG67">
        <v>-1779</v>
      </c>
      <c r="GH67">
        <v>2226</v>
      </c>
      <c r="GI67" s="3">
        <v>45462</v>
      </c>
      <c r="GJ67">
        <v>127</v>
      </c>
      <c r="GK67">
        <v>-27</v>
      </c>
      <c r="GL67">
        <v>-92</v>
      </c>
      <c r="GM67" s="3">
        <v>45462</v>
      </c>
      <c r="GN67">
        <v>-290</v>
      </c>
      <c r="GO67">
        <v>57</v>
      </c>
      <c r="GP67">
        <v>400</v>
      </c>
      <c r="GQ67" s="3">
        <v>45462</v>
      </c>
      <c r="GR67">
        <v>-5</v>
      </c>
      <c r="GS67">
        <v>-264</v>
      </c>
      <c r="GT67">
        <v>206</v>
      </c>
      <c r="GU67" s="3">
        <v>45462</v>
      </c>
      <c r="GV67">
        <v>-109</v>
      </c>
      <c r="GW67">
        <v>-290</v>
      </c>
      <c r="GX67">
        <v>206</v>
      </c>
      <c r="GY67" s="3">
        <v>45462</v>
      </c>
      <c r="GZ67">
        <v>-889</v>
      </c>
      <c r="HA67">
        <v>-252</v>
      </c>
      <c r="HB67">
        <v>2352</v>
      </c>
      <c r="HC67" s="3">
        <v>45462</v>
      </c>
      <c r="HD67">
        <v>2087</v>
      </c>
      <c r="HE67">
        <v>-1235</v>
      </c>
      <c r="HF67">
        <v>-1070</v>
      </c>
      <c r="HG67" s="3">
        <v>45462</v>
      </c>
      <c r="HH67">
        <v>5020</v>
      </c>
      <c r="HI67">
        <v>-106</v>
      </c>
      <c r="HJ67">
        <v>-4188</v>
      </c>
      <c r="HK67" s="3">
        <v>45462</v>
      </c>
      <c r="HL67">
        <v>279</v>
      </c>
      <c r="HM67">
        <v>86</v>
      </c>
      <c r="HN67">
        <v>-400</v>
      </c>
      <c r="HO67" s="3">
        <v>45462</v>
      </c>
      <c r="HP67">
        <v>845</v>
      </c>
      <c r="HQ67">
        <v>526</v>
      </c>
      <c r="HR67">
        <v>-1336</v>
      </c>
      <c r="HS67" s="3">
        <v>45462</v>
      </c>
      <c r="HT67">
        <v>-88</v>
      </c>
      <c r="HU67">
        <v>41</v>
      </c>
      <c r="HV67">
        <v>25</v>
      </c>
      <c r="HW67" s="3">
        <v>45462</v>
      </c>
      <c r="HX67">
        <v>16</v>
      </c>
      <c r="HY67">
        <v>-319</v>
      </c>
      <c r="HZ67">
        <v>324</v>
      </c>
      <c r="IA67" s="3">
        <v>45462</v>
      </c>
      <c r="IB67">
        <v>97</v>
      </c>
      <c r="IC67">
        <v>350</v>
      </c>
      <c r="ID67">
        <v>-469</v>
      </c>
      <c r="IE67" s="3">
        <v>45462</v>
      </c>
      <c r="IF67">
        <v>331</v>
      </c>
      <c r="IG67">
        <v>58</v>
      </c>
      <c r="IH67">
        <v>-344</v>
      </c>
      <c r="II67" s="3">
        <v>45462</v>
      </c>
      <c r="IJ67">
        <v>68</v>
      </c>
      <c r="IK67">
        <v>-685</v>
      </c>
      <c r="IL67">
        <v>616</v>
      </c>
      <c r="IM67" s="3">
        <v>45462</v>
      </c>
      <c r="IN67">
        <v>1973</v>
      </c>
      <c r="IO67">
        <v>354</v>
      </c>
      <c r="IP67">
        <v>-2386</v>
      </c>
      <c r="IQ67" s="3">
        <v>45462</v>
      </c>
      <c r="IR67">
        <v>365</v>
      </c>
      <c r="IS67">
        <v>-125</v>
      </c>
      <c r="IT67">
        <v>-270</v>
      </c>
      <c r="IU67" s="3">
        <v>45462</v>
      </c>
      <c r="IV67">
        <v>1205</v>
      </c>
      <c r="IW67">
        <v>1032</v>
      </c>
      <c r="IX67">
        <v>-2176</v>
      </c>
      <c r="IY67" s="3">
        <v>45462</v>
      </c>
      <c r="IZ67">
        <v>-588</v>
      </c>
      <c r="JA67">
        <v>-891</v>
      </c>
      <c r="JB67">
        <v>1478</v>
      </c>
      <c r="JC67" s="3">
        <v>45462</v>
      </c>
      <c r="JD67">
        <v>5773</v>
      </c>
      <c r="JE67">
        <v>-2901</v>
      </c>
      <c r="JF67">
        <v>-1226</v>
      </c>
      <c r="JG67" s="3">
        <v>45462</v>
      </c>
      <c r="JH67">
        <v>8018</v>
      </c>
      <c r="JI67">
        <v>5151</v>
      </c>
      <c r="JJ67">
        <v>-12636</v>
      </c>
      <c r="JK67" s="3">
        <v>45462</v>
      </c>
      <c r="JL67">
        <v>1452</v>
      </c>
      <c r="JM67">
        <v>-2342</v>
      </c>
      <c r="JN67">
        <v>1008</v>
      </c>
      <c r="JO67" s="3">
        <v>45462</v>
      </c>
      <c r="JP67">
        <v>-2078</v>
      </c>
      <c r="JQ67">
        <v>-6477</v>
      </c>
      <c r="JR67">
        <v>9515</v>
      </c>
      <c r="JS67" s="3"/>
      <c r="JW67" s="3"/>
      <c r="KA67" s="3"/>
      <c r="KE67" s="3"/>
      <c r="KI67" s="3"/>
      <c r="KM67" s="3"/>
      <c r="KQ67" s="3"/>
      <c r="KU67" s="3"/>
      <c r="KY67" s="3"/>
      <c r="LC67" s="3"/>
      <c r="LG67" s="3"/>
      <c r="LK67" s="3"/>
      <c r="LO67" s="3"/>
    </row>
    <row r="68" spans="3:327">
      <c r="C68" s="26" t="str">
        <f t="shared" ref="C68:D68" si="225">C23</f>
        <v>통신업</v>
      </c>
      <c r="D68" s="27" t="str">
        <f t="shared" si="225"/>
        <v>020</v>
      </c>
      <c r="E68" s="50" cm="1">
        <f t="array" aca="1" ref="E68" ca="1">IF( $D68=0, "", _xll.IMDP("IDX",$D68,"기관순매수금액",TODAY()-1,"fill=true") )</f>
        <v>-3514</v>
      </c>
      <c r="F68" s="51" cm="1">
        <f t="array" aca="1" ref="F68" ca="1">IF( $E68="", "", INDEX($R$52:$FQ$52, 1, MATCH(ROW()-ROW($C$50), $R$50:$FQ$50, 0)+1) )</f>
        <v>-15</v>
      </c>
      <c r="G68" s="52" cm="1">
        <f t="array" aca="1" ref="G68" ca="1">IF( $E68="", "", INDEX($FS$52:$LR$52, 1, MATCH(ROW()-ROW($C$50), $R$50:$FQ$50, 0)+1) )</f>
        <v>-427</v>
      </c>
      <c r="H68" s="53" cm="1">
        <f t="array" aca="1" ref="H68" ca="1">IF( $D68=0, "", _xll.IMDP("IDX",$D68,"외국인합순매수금액",TODAY()-1,"fill=true") )</f>
        <v>-2319</v>
      </c>
      <c r="I68" s="51" cm="1">
        <f t="array" aca="1" ref="I68" ca="1">IF( $H68="", "", INDEX($R$52:$FQ$52, 1, MATCH(ROW()-ROW($C$50), $R$50:$FQ$50, 0)+2))</f>
        <v>-3747</v>
      </c>
      <c r="J68" s="54" cm="1">
        <f t="array" aca="1" ref="J68" ca="1">IF( $H68="", "", INDEX($FS$52:$LR$52, 1, MATCH(ROW()-ROW($C$50), $R$50:$FQ$50, 0)+2))</f>
        <v>-9583</v>
      </c>
      <c r="K68" s="55" cm="1">
        <f t="array" aca="1" ref="K68" ca="1">IF( $D68=0, "", _xll.IMDP("IDX",$D68,"개인순매수금액",TODAY()-1,"fill=true"))</f>
        <v>5726</v>
      </c>
      <c r="L68" s="51" cm="1">
        <f t="array" aca="1" ref="L68" ca="1">IF( $K68="", "", INDEX($R$52:$FQ$52, 1, MATCH(ROW()-ROW($C$50), $R$50:$FQ$50, 0)+3))</f>
        <v>3810</v>
      </c>
      <c r="M68" s="56" cm="1">
        <f t="array" aca="1" ref="M68" ca="1">IF( $K68="", "", INDEX($FS$52:$LR$52, 1, MATCH(ROW()-ROW($C$50), $R$50:$FQ$50, 0)+3))</f>
        <v>10105</v>
      </c>
      <c r="R68" s="3">
        <v>45461</v>
      </c>
      <c r="S68">
        <v>-224026</v>
      </c>
      <c r="T68">
        <v>651083</v>
      </c>
      <c r="U68">
        <v>-342793</v>
      </c>
      <c r="V68" s="3">
        <v>45461</v>
      </c>
      <c r="W68">
        <v>-270030</v>
      </c>
      <c r="X68">
        <v>590032</v>
      </c>
      <c r="Y68">
        <v>-261231</v>
      </c>
      <c r="Z68" s="3">
        <v>45461</v>
      </c>
      <c r="AA68">
        <v>322</v>
      </c>
      <c r="AB68">
        <v>673</v>
      </c>
      <c r="AC68">
        <v>-901</v>
      </c>
      <c r="AD68" s="3">
        <v>45461</v>
      </c>
      <c r="AE68">
        <v>-16</v>
      </c>
      <c r="AF68">
        <v>-94</v>
      </c>
      <c r="AG68">
        <v>55</v>
      </c>
      <c r="AH68" s="3">
        <v>45461</v>
      </c>
      <c r="AI68">
        <v>26</v>
      </c>
      <c r="AJ68">
        <v>50</v>
      </c>
      <c r="AK68">
        <v>-77</v>
      </c>
      <c r="AL68" s="3">
        <v>45461</v>
      </c>
      <c r="AM68">
        <v>-563</v>
      </c>
      <c r="AN68">
        <v>401</v>
      </c>
      <c r="AO68">
        <v>182</v>
      </c>
      <c r="AP68" s="3">
        <v>45461</v>
      </c>
      <c r="AQ68">
        <v>-368</v>
      </c>
      <c r="AR68">
        <v>-446</v>
      </c>
      <c r="AS68">
        <v>747</v>
      </c>
      <c r="AT68" s="3">
        <v>45461</v>
      </c>
      <c r="AU68">
        <v>-387</v>
      </c>
      <c r="AV68">
        <v>-282</v>
      </c>
      <c r="AW68">
        <v>191</v>
      </c>
      <c r="AX68" s="3">
        <v>45461</v>
      </c>
      <c r="AY68">
        <v>-1689</v>
      </c>
      <c r="AZ68">
        <v>-247</v>
      </c>
      <c r="BA68">
        <v>2055</v>
      </c>
      <c r="BB68" s="3">
        <v>45461</v>
      </c>
      <c r="BC68">
        <v>696</v>
      </c>
      <c r="BD68">
        <v>182</v>
      </c>
      <c r="BE68">
        <v>-720</v>
      </c>
      <c r="BF68" s="3">
        <v>45461</v>
      </c>
      <c r="BG68">
        <v>-560</v>
      </c>
      <c r="BH68">
        <v>9735</v>
      </c>
      <c r="BI68">
        <v>-8692</v>
      </c>
      <c r="BJ68" s="3">
        <v>45461</v>
      </c>
      <c r="BK68">
        <v>151</v>
      </c>
      <c r="BL68">
        <v>114</v>
      </c>
      <c r="BM68">
        <v>-268</v>
      </c>
      <c r="BN68" s="3">
        <v>45461</v>
      </c>
      <c r="BO68">
        <v>-219</v>
      </c>
      <c r="BP68">
        <v>-1916</v>
      </c>
      <c r="BQ68">
        <v>2103</v>
      </c>
      <c r="BR68" s="3">
        <v>45461</v>
      </c>
      <c r="BS68">
        <v>683</v>
      </c>
      <c r="BT68">
        <v>923</v>
      </c>
      <c r="BU68">
        <v>-1455</v>
      </c>
      <c r="BV68" s="3">
        <v>45461</v>
      </c>
      <c r="BW68">
        <v>-799</v>
      </c>
      <c r="BX68">
        <v>414</v>
      </c>
      <c r="BY68">
        <v>325</v>
      </c>
      <c r="BZ68" s="3">
        <v>45461</v>
      </c>
      <c r="CA68">
        <v>-231</v>
      </c>
      <c r="CB68">
        <v>-631</v>
      </c>
      <c r="CC68">
        <v>805</v>
      </c>
      <c r="CD68" s="3">
        <v>45461</v>
      </c>
      <c r="CE68">
        <v>56</v>
      </c>
      <c r="CF68">
        <v>31</v>
      </c>
      <c r="CG68">
        <v>-130</v>
      </c>
      <c r="CH68" s="3">
        <v>45461</v>
      </c>
      <c r="CI68">
        <v>660</v>
      </c>
      <c r="CJ68">
        <v>-212</v>
      </c>
      <c r="CK68">
        <v>-473</v>
      </c>
      <c r="CL68" s="3">
        <v>45461</v>
      </c>
      <c r="CM68">
        <v>488</v>
      </c>
      <c r="CN68">
        <v>1584</v>
      </c>
      <c r="CO68">
        <v>-2088</v>
      </c>
      <c r="CP68" s="3">
        <v>45461</v>
      </c>
      <c r="CQ68">
        <v>790</v>
      </c>
      <c r="CR68">
        <v>28</v>
      </c>
      <c r="CS68">
        <v>-937</v>
      </c>
      <c r="CT68" s="3">
        <v>45461</v>
      </c>
      <c r="CU68">
        <v>1467</v>
      </c>
      <c r="CV68">
        <v>616</v>
      </c>
      <c r="CW68">
        <v>-1856</v>
      </c>
      <c r="CX68" s="3">
        <v>45461</v>
      </c>
      <c r="CY68">
        <v>-1152</v>
      </c>
      <c r="CZ68">
        <v>-119</v>
      </c>
      <c r="DA68">
        <v>1399</v>
      </c>
      <c r="DB68" s="3">
        <v>45461</v>
      </c>
      <c r="DC68">
        <v>-2660</v>
      </c>
      <c r="DD68">
        <v>10023</v>
      </c>
      <c r="DE68">
        <v>-5109</v>
      </c>
      <c r="DF68" s="3">
        <v>45461</v>
      </c>
      <c r="DG68">
        <v>-2597</v>
      </c>
      <c r="DH68">
        <v>8850</v>
      </c>
      <c r="DI68">
        <v>-6142</v>
      </c>
      <c r="DJ68" s="3">
        <v>45461</v>
      </c>
      <c r="DK68">
        <v>406</v>
      </c>
      <c r="DL68">
        <v>2580</v>
      </c>
      <c r="DM68">
        <v>-779</v>
      </c>
      <c r="DN68" s="3">
        <v>45461</v>
      </c>
      <c r="DO68">
        <v>-885</v>
      </c>
      <c r="DP68">
        <v>1025</v>
      </c>
      <c r="DQ68">
        <v>-25</v>
      </c>
      <c r="DR68" s="3"/>
      <c r="DV68" s="3"/>
      <c r="DZ68" s="3"/>
      <c r="ED68" s="3"/>
      <c r="EH68" s="3"/>
      <c r="EL68" s="3"/>
      <c r="EP68" s="3"/>
      <c r="ET68" s="3"/>
      <c r="EX68" s="3"/>
      <c r="FB68" s="3"/>
      <c r="FF68" s="3"/>
      <c r="FJ68" s="3"/>
      <c r="FN68" s="3"/>
      <c r="FS68" s="3">
        <v>45461</v>
      </c>
      <c r="FT68">
        <v>-224026</v>
      </c>
      <c r="FU68">
        <v>651083</v>
      </c>
      <c r="FV68">
        <v>-342793</v>
      </c>
      <c r="FW68" s="3">
        <v>45461</v>
      </c>
      <c r="FX68">
        <v>-270030</v>
      </c>
      <c r="FY68">
        <v>590032</v>
      </c>
      <c r="FZ68">
        <v>-261231</v>
      </c>
      <c r="GA68" s="3">
        <v>45461</v>
      </c>
      <c r="GB68">
        <v>3947</v>
      </c>
      <c r="GC68">
        <v>-19687</v>
      </c>
      <c r="GD68">
        <v>16907</v>
      </c>
      <c r="GE68" s="3">
        <v>45461</v>
      </c>
      <c r="GF68">
        <v>-49</v>
      </c>
      <c r="GG68">
        <v>-882</v>
      </c>
      <c r="GH68">
        <v>770</v>
      </c>
      <c r="GI68" s="3">
        <v>45461</v>
      </c>
      <c r="GJ68">
        <v>289</v>
      </c>
      <c r="GK68">
        <v>83</v>
      </c>
      <c r="GL68">
        <v>-374</v>
      </c>
      <c r="GM68" s="3">
        <v>45461</v>
      </c>
      <c r="GN68">
        <v>-563</v>
      </c>
      <c r="GO68">
        <v>401</v>
      </c>
      <c r="GP68">
        <v>182</v>
      </c>
      <c r="GQ68" s="3">
        <v>45461</v>
      </c>
      <c r="GR68">
        <v>-368</v>
      </c>
      <c r="GS68">
        <v>-446</v>
      </c>
      <c r="GT68">
        <v>747</v>
      </c>
      <c r="GU68" s="3">
        <v>45461</v>
      </c>
      <c r="GV68">
        <v>-387</v>
      </c>
      <c r="GW68">
        <v>-282</v>
      </c>
      <c r="GX68">
        <v>191</v>
      </c>
      <c r="GY68" s="3">
        <v>45461</v>
      </c>
      <c r="GZ68">
        <v>-1689</v>
      </c>
      <c r="HA68">
        <v>-247</v>
      </c>
      <c r="HB68">
        <v>2055</v>
      </c>
      <c r="HC68" s="3">
        <v>45461</v>
      </c>
      <c r="HD68">
        <v>696</v>
      </c>
      <c r="HE68">
        <v>182</v>
      </c>
      <c r="HF68">
        <v>-720</v>
      </c>
      <c r="HG68" s="3">
        <v>45461</v>
      </c>
      <c r="HH68">
        <v>-560</v>
      </c>
      <c r="HI68">
        <v>9735</v>
      </c>
      <c r="HJ68">
        <v>-8692</v>
      </c>
      <c r="HK68" s="3">
        <v>45461</v>
      </c>
      <c r="HL68">
        <v>151</v>
      </c>
      <c r="HM68">
        <v>114</v>
      </c>
      <c r="HN68">
        <v>-268</v>
      </c>
      <c r="HO68" s="3">
        <v>45461</v>
      </c>
      <c r="HP68">
        <v>-219</v>
      </c>
      <c r="HQ68">
        <v>-1916</v>
      </c>
      <c r="HR68">
        <v>2103</v>
      </c>
      <c r="HS68" s="3">
        <v>45461</v>
      </c>
      <c r="HT68">
        <v>683</v>
      </c>
      <c r="HU68">
        <v>923</v>
      </c>
      <c r="HV68">
        <v>-1455</v>
      </c>
      <c r="HW68" s="3">
        <v>45461</v>
      </c>
      <c r="HX68">
        <v>-799</v>
      </c>
      <c r="HY68">
        <v>414</v>
      </c>
      <c r="HZ68">
        <v>325</v>
      </c>
      <c r="IA68" s="3">
        <v>45461</v>
      </c>
      <c r="IB68">
        <v>-231</v>
      </c>
      <c r="IC68">
        <v>-631</v>
      </c>
      <c r="ID68">
        <v>805</v>
      </c>
      <c r="IE68" s="3">
        <v>45461</v>
      </c>
      <c r="IF68">
        <v>56</v>
      </c>
      <c r="IG68">
        <v>31</v>
      </c>
      <c r="IH68">
        <v>-130</v>
      </c>
      <c r="II68" s="3">
        <v>45461</v>
      </c>
      <c r="IJ68">
        <v>660</v>
      </c>
      <c r="IK68">
        <v>-212</v>
      </c>
      <c r="IL68">
        <v>-473</v>
      </c>
      <c r="IM68" s="3">
        <v>45461</v>
      </c>
      <c r="IN68">
        <v>488</v>
      </c>
      <c r="IO68">
        <v>1584</v>
      </c>
      <c r="IP68">
        <v>-2088</v>
      </c>
      <c r="IQ68" s="3">
        <v>45461</v>
      </c>
      <c r="IR68">
        <v>790</v>
      </c>
      <c r="IS68">
        <v>28</v>
      </c>
      <c r="IT68">
        <v>-937</v>
      </c>
      <c r="IU68" s="3">
        <v>45461</v>
      </c>
      <c r="IV68">
        <v>1467</v>
      </c>
      <c r="IW68">
        <v>616</v>
      </c>
      <c r="IX68">
        <v>-1856</v>
      </c>
      <c r="IY68" s="3">
        <v>45461</v>
      </c>
      <c r="IZ68">
        <v>-1152</v>
      </c>
      <c r="JA68">
        <v>-119</v>
      </c>
      <c r="JB68">
        <v>1399</v>
      </c>
      <c r="JC68" s="3">
        <v>45461</v>
      </c>
      <c r="JD68">
        <v>-2660</v>
      </c>
      <c r="JE68">
        <v>10023</v>
      </c>
      <c r="JF68">
        <v>-5109</v>
      </c>
      <c r="JG68" s="3">
        <v>45461</v>
      </c>
      <c r="JH68">
        <v>-2597</v>
      </c>
      <c r="JI68">
        <v>8850</v>
      </c>
      <c r="JJ68">
        <v>-6142</v>
      </c>
      <c r="JK68" s="3">
        <v>45461</v>
      </c>
      <c r="JL68">
        <v>406</v>
      </c>
      <c r="JM68">
        <v>2580</v>
      </c>
      <c r="JN68">
        <v>-779</v>
      </c>
      <c r="JO68" s="3">
        <v>45461</v>
      </c>
      <c r="JP68">
        <v>-885</v>
      </c>
      <c r="JQ68">
        <v>1025</v>
      </c>
      <c r="JR68">
        <v>-25</v>
      </c>
      <c r="JS68" s="3"/>
      <c r="JW68" s="3"/>
      <c r="KA68" s="3"/>
      <c r="KE68" s="3"/>
      <c r="KI68" s="3"/>
      <c r="KM68" s="3"/>
      <c r="KQ68" s="3"/>
      <c r="KU68" s="3"/>
      <c r="KY68" s="3"/>
      <c r="LC68" s="3"/>
      <c r="LG68" s="3"/>
      <c r="LK68" s="3"/>
      <c r="LO68" s="3"/>
    </row>
    <row r="69" spans="3:327">
      <c r="C69" s="26" t="str">
        <f t="shared" ref="C69:D69" si="226">C24</f>
        <v>금융업</v>
      </c>
      <c r="D69" s="27" t="str">
        <f t="shared" si="226"/>
        <v>021</v>
      </c>
      <c r="E69" s="50" cm="1">
        <f t="array" aca="1" ref="E69" ca="1">IF( $D69=0, "", _xll.IMDP("IDX",$D69,"기관순매수금액",TODAY()-1,"fill=true") )</f>
        <v>76242</v>
      </c>
      <c r="F69" s="51" cm="1">
        <f t="array" aca="1" ref="F69" ca="1">IF( $E69="", "", INDEX($R$52:$FQ$52, 1, MATCH(ROW()-ROW($C$50), $R$50:$FQ$50, 0)+1) )</f>
        <v>-13166</v>
      </c>
      <c r="G69" s="52" cm="1">
        <f t="array" aca="1" ref="G69" ca="1">IF( $E69="", "", INDEX($FS$52:$LR$52, 1, MATCH(ROW()-ROW($C$50), $R$50:$FQ$50, 0)+1) )</f>
        <v>-26022</v>
      </c>
      <c r="H69" s="53" cm="1">
        <f t="array" aca="1" ref="H69" ca="1">IF( $D69=0, "", _xll.IMDP("IDX",$D69,"외국인합순매수금액",TODAY()-1,"fill=true") )</f>
        <v>78956</v>
      </c>
      <c r="I69" s="51" cm="1">
        <f t="array" aca="1" ref="I69" ca="1">IF( $H69="", "", INDEX($R$52:$FQ$52, 1, MATCH(ROW()-ROW($C$50), $R$50:$FQ$50, 0)+2))</f>
        <v>670</v>
      </c>
      <c r="J69" s="54" cm="1">
        <f t="array" aca="1" ref="J69" ca="1">IF( $H69="", "", INDEX($FS$52:$LR$52, 1, MATCH(ROW()-ROW($C$50), $R$50:$FQ$50, 0)+2))</f>
        <v>13905</v>
      </c>
      <c r="K69" s="55" cm="1">
        <f t="array" aca="1" ref="K69" ca="1">IF( $D69=0, "", _xll.IMDP("IDX",$D69,"개인순매수금액",TODAY()-1,"fill=true"))</f>
        <v>-135900</v>
      </c>
      <c r="L69" s="51" cm="1">
        <f t="array" aca="1" ref="L69" ca="1">IF( $K69="", "", INDEX($R$52:$FQ$52, 1, MATCH(ROW()-ROW($C$50), $R$50:$FQ$50, 0)+3))</f>
        <v>9769</v>
      </c>
      <c r="M69" s="56" cm="1">
        <f t="array" aca="1" ref="M69" ca="1">IF( $K69="", "", INDEX($FS$52:$LR$52, 1, MATCH(ROW()-ROW($C$50), $R$50:$FQ$50, 0)+3))</f>
        <v>10280</v>
      </c>
      <c r="R69" s="3">
        <v>45460</v>
      </c>
      <c r="S69">
        <v>-139842</v>
      </c>
      <c r="T69">
        <v>-137360</v>
      </c>
      <c r="U69">
        <v>313128</v>
      </c>
      <c r="V69" s="3">
        <v>45460</v>
      </c>
      <c r="W69">
        <v>-194881</v>
      </c>
      <c r="X69">
        <v>-81126</v>
      </c>
      <c r="Y69">
        <v>313744</v>
      </c>
      <c r="Z69" s="3">
        <v>45460</v>
      </c>
      <c r="AA69">
        <v>366</v>
      </c>
      <c r="AB69">
        <v>-2300</v>
      </c>
      <c r="AC69">
        <v>1865</v>
      </c>
      <c r="AD69" s="3">
        <v>45460</v>
      </c>
      <c r="AE69">
        <v>23</v>
      </c>
      <c r="AF69">
        <v>-94</v>
      </c>
      <c r="AG69">
        <v>69</v>
      </c>
      <c r="AH69" s="3">
        <v>45460</v>
      </c>
      <c r="AI69">
        <v>31</v>
      </c>
      <c r="AJ69">
        <v>-284</v>
      </c>
      <c r="AK69">
        <v>245</v>
      </c>
      <c r="AL69" s="3">
        <v>45460</v>
      </c>
      <c r="AM69">
        <v>-423</v>
      </c>
      <c r="AN69">
        <v>-628</v>
      </c>
      <c r="AO69">
        <v>1036</v>
      </c>
      <c r="AP69" s="3">
        <v>45460</v>
      </c>
      <c r="AQ69">
        <v>-250</v>
      </c>
      <c r="AR69">
        <v>-373</v>
      </c>
      <c r="AS69">
        <v>495</v>
      </c>
      <c r="AT69" s="3">
        <v>45460</v>
      </c>
      <c r="AU69">
        <v>-316</v>
      </c>
      <c r="AV69">
        <v>-124</v>
      </c>
      <c r="AW69">
        <v>35</v>
      </c>
      <c r="AX69" s="3">
        <v>45460</v>
      </c>
      <c r="AY69">
        <v>-1417</v>
      </c>
      <c r="AZ69">
        <v>-890</v>
      </c>
      <c r="BA69">
        <v>2267</v>
      </c>
      <c r="BB69" s="3">
        <v>45460</v>
      </c>
      <c r="BC69">
        <v>1063</v>
      </c>
      <c r="BD69">
        <v>-1200</v>
      </c>
      <c r="BE69">
        <v>-1346</v>
      </c>
      <c r="BF69" s="3">
        <v>45460</v>
      </c>
      <c r="BG69">
        <v>1</v>
      </c>
      <c r="BH69">
        <v>847</v>
      </c>
      <c r="BI69">
        <v>-888</v>
      </c>
      <c r="BJ69" s="3">
        <v>45460</v>
      </c>
      <c r="BK69">
        <v>31</v>
      </c>
      <c r="BL69">
        <v>-90</v>
      </c>
      <c r="BM69">
        <v>53</v>
      </c>
      <c r="BN69" s="3">
        <v>45460</v>
      </c>
      <c r="BO69">
        <v>2121</v>
      </c>
      <c r="BP69">
        <v>756</v>
      </c>
      <c r="BQ69">
        <v>-2701</v>
      </c>
      <c r="BR69" s="3">
        <v>45460</v>
      </c>
      <c r="BS69">
        <v>-138</v>
      </c>
      <c r="BT69">
        <v>142</v>
      </c>
      <c r="BU69">
        <v>214</v>
      </c>
      <c r="BV69" s="3">
        <v>45460</v>
      </c>
      <c r="BW69">
        <v>-29</v>
      </c>
      <c r="BX69">
        <v>-38</v>
      </c>
      <c r="BY69">
        <v>58</v>
      </c>
      <c r="BZ69" s="3">
        <v>45460</v>
      </c>
      <c r="CA69">
        <v>-163</v>
      </c>
      <c r="CB69">
        <v>-212</v>
      </c>
      <c r="CC69">
        <v>348</v>
      </c>
      <c r="CD69" s="3">
        <v>45460</v>
      </c>
      <c r="CE69">
        <v>-773</v>
      </c>
      <c r="CF69">
        <v>-2175</v>
      </c>
      <c r="CG69">
        <v>2851</v>
      </c>
      <c r="CH69" s="3">
        <v>45460</v>
      </c>
      <c r="CI69">
        <v>-10</v>
      </c>
      <c r="CJ69">
        <v>-356</v>
      </c>
      <c r="CK69">
        <v>362</v>
      </c>
      <c r="CL69" s="3">
        <v>45460</v>
      </c>
      <c r="CM69">
        <v>-887</v>
      </c>
      <c r="CN69">
        <v>-2649</v>
      </c>
      <c r="CO69">
        <v>3332</v>
      </c>
      <c r="CP69" s="3">
        <v>45460</v>
      </c>
      <c r="CQ69">
        <v>254</v>
      </c>
      <c r="CR69">
        <v>-594</v>
      </c>
      <c r="CS69">
        <v>297</v>
      </c>
      <c r="CT69" s="3">
        <v>45460</v>
      </c>
      <c r="CU69">
        <v>197</v>
      </c>
      <c r="CV69">
        <v>49</v>
      </c>
      <c r="CW69">
        <v>-274</v>
      </c>
      <c r="CX69" s="3">
        <v>45460</v>
      </c>
      <c r="CY69">
        <v>-975</v>
      </c>
      <c r="CZ69">
        <v>-346</v>
      </c>
      <c r="DA69">
        <v>1375</v>
      </c>
      <c r="DB69" s="3">
        <v>45460</v>
      </c>
      <c r="DC69">
        <v>1177</v>
      </c>
      <c r="DD69">
        <v>-4554</v>
      </c>
      <c r="DE69">
        <v>1354</v>
      </c>
      <c r="DF69" s="3">
        <v>45460</v>
      </c>
      <c r="DG69">
        <v>-2512</v>
      </c>
      <c r="DH69">
        <v>-3338</v>
      </c>
      <c r="DI69">
        <v>5480</v>
      </c>
      <c r="DJ69" s="3">
        <v>45460</v>
      </c>
      <c r="DK69">
        <v>737</v>
      </c>
      <c r="DL69">
        <v>-2084</v>
      </c>
      <c r="DM69">
        <v>1342</v>
      </c>
      <c r="DN69" s="3">
        <v>45460</v>
      </c>
      <c r="DO69">
        <v>-71</v>
      </c>
      <c r="DP69">
        <v>-4196</v>
      </c>
      <c r="DQ69">
        <v>2535</v>
      </c>
      <c r="DR69" s="3"/>
      <c r="DV69" s="3"/>
      <c r="DZ69" s="3"/>
      <c r="ED69" s="3"/>
      <c r="EH69" s="3"/>
      <c r="EL69" s="3"/>
      <c r="EP69" s="3"/>
      <c r="ET69" s="3"/>
      <c r="EX69" s="3"/>
      <c r="FB69" s="3"/>
      <c r="FF69" s="3"/>
      <c r="FJ69" s="3"/>
      <c r="FN69" s="3"/>
      <c r="FS69" s="3">
        <v>45460</v>
      </c>
      <c r="FT69">
        <v>-139842</v>
      </c>
      <c r="FU69">
        <v>-137360</v>
      </c>
      <c r="FV69">
        <v>313128</v>
      </c>
      <c r="FW69" s="3">
        <v>45460</v>
      </c>
      <c r="FX69">
        <v>-194881</v>
      </c>
      <c r="FY69">
        <v>-81126</v>
      </c>
      <c r="FZ69">
        <v>313744</v>
      </c>
      <c r="GA69" s="3">
        <v>45460</v>
      </c>
      <c r="GB69">
        <v>25265</v>
      </c>
      <c r="GC69">
        <v>-33452</v>
      </c>
      <c r="GD69">
        <v>10070</v>
      </c>
      <c r="GE69" s="3">
        <v>45460</v>
      </c>
      <c r="GF69">
        <v>-1060</v>
      </c>
      <c r="GG69">
        <v>917</v>
      </c>
      <c r="GH69">
        <v>134</v>
      </c>
      <c r="GI69" s="3">
        <v>45460</v>
      </c>
      <c r="GJ69">
        <v>329</v>
      </c>
      <c r="GK69">
        <v>-1138</v>
      </c>
      <c r="GL69">
        <v>804</v>
      </c>
      <c r="GM69" s="3">
        <v>45460</v>
      </c>
      <c r="GN69">
        <v>-423</v>
      </c>
      <c r="GO69">
        <v>-628</v>
      </c>
      <c r="GP69">
        <v>1036</v>
      </c>
      <c r="GQ69" s="3">
        <v>45460</v>
      </c>
      <c r="GR69">
        <v>-250</v>
      </c>
      <c r="GS69">
        <v>-373</v>
      </c>
      <c r="GT69">
        <v>495</v>
      </c>
      <c r="GU69" s="3">
        <v>45460</v>
      </c>
      <c r="GV69">
        <v>-316</v>
      </c>
      <c r="GW69">
        <v>-124</v>
      </c>
      <c r="GX69">
        <v>35</v>
      </c>
      <c r="GY69" s="3">
        <v>45460</v>
      </c>
      <c r="GZ69">
        <v>-1417</v>
      </c>
      <c r="HA69">
        <v>-890</v>
      </c>
      <c r="HB69">
        <v>2267</v>
      </c>
      <c r="HC69" s="3">
        <v>45460</v>
      </c>
      <c r="HD69">
        <v>1063</v>
      </c>
      <c r="HE69">
        <v>-1200</v>
      </c>
      <c r="HF69">
        <v>-1346</v>
      </c>
      <c r="HG69" s="3">
        <v>45460</v>
      </c>
      <c r="HH69">
        <v>1</v>
      </c>
      <c r="HI69">
        <v>847</v>
      </c>
      <c r="HJ69">
        <v>-888</v>
      </c>
      <c r="HK69" s="3">
        <v>45460</v>
      </c>
      <c r="HL69">
        <v>31</v>
      </c>
      <c r="HM69">
        <v>-90</v>
      </c>
      <c r="HN69">
        <v>53</v>
      </c>
      <c r="HO69" s="3">
        <v>45460</v>
      </c>
      <c r="HP69">
        <v>2121</v>
      </c>
      <c r="HQ69">
        <v>756</v>
      </c>
      <c r="HR69">
        <v>-2701</v>
      </c>
      <c r="HS69" s="3">
        <v>45460</v>
      </c>
      <c r="HT69">
        <v>-138</v>
      </c>
      <c r="HU69">
        <v>142</v>
      </c>
      <c r="HV69">
        <v>214</v>
      </c>
      <c r="HW69" s="3">
        <v>45460</v>
      </c>
      <c r="HX69">
        <v>-29</v>
      </c>
      <c r="HY69">
        <v>-38</v>
      </c>
      <c r="HZ69">
        <v>58</v>
      </c>
      <c r="IA69" s="3">
        <v>45460</v>
      </c>
      <c r="IB69">
        <v>-163</v>
      </c>
      <c r="IC69">
        <v>-212</v>
      </c>
      <c r="ID69">
        <v>348</v>
      </c>
      <c r="IE69" s="3">
        <v>45460</v>
      </c>
      <c r="IF69">
        <v>-773</v>
      </c>
      <c r="IG69">
        <v>-2175</v>
      </c>
      <c r="IH69">
        <v>2851</v>
      </c>
      <c r="II69" s="3">
        <v>45460</v>
      </c>
      <c r="IJ69">
        <v>-10</v>
      </c>
      <c r="IK69">
        <v>-356</v>
      </c>
      <c r="IL69">
        <v>362</v>
      </c>
      <c r="IM69" s="3">
        <v>45460</v>
      </c>
      <c r="IN69">
        <v>-887</v>
      </c>
      <c r="IO69">
        <v>-2649</v>
      </c>
      <c r="IP69">
        <v>3332</v>
      </c>
      <c r="IQ69" s="3">
        <v>45460</v>
      </c>
      <c r="IR69">
        <v>254</v>
      </c>
      <c r="IS69">
        <v>-594</v>
      </c>
      <c r="IT69">
        <v>297</v>
      </c>
      <c r="IU69" s="3">
        <v>45460</v>
      </c>
      <c r="IV69">
        <v>197</v>
      </c>
      <c r="IW69">
        <v>49</v>
      </c>
      <c r="IX69">
        <v>-274</v>
      </c>
      <c r="IY69" s="3">
        <v>45460</v>
      </c>
      <c r="IZ69">
        <v>-975</v>
      </c>
      <c r="JA69">
        <v>-346</v>
      </c>
      <c r="JB69">
        <v>1375</v>
      </c>
      <c r="JC69" s="3">
        <v>45460</v>
      </c>
      <c r="JD69">
        <v>1177</v>
      </c>
      <c r="JE69">
        <v>-4554</v>
      </c>
      <c r="JF69">
        <v>1354</v>
      </c>
      <c r="JG69" s="3">
        <v>45460</v>
      </c>
      <c r="JH69">
        <v>-2512</v>
      </c>
      <c r="JI69">
        <v>-3338</v>
      </c>
      <c r="JJ69">
        <v>5480</v>
      </c>
      <c r="JK69" s="3">
        <v>45460</v>
      </c>
      <c r="JL69">
        <v>737</v>
      </c>
      <c r="JM69">
        <v>-2084</v>
      </c>
      <c r="JN69">
        <v>1342</v>
      </c>
      <c r="JO69" s="3">
        <v>45460</v>
      </c>
      <c r="JP69">
        <v>-71</v>
      </c>
      <c r="JQ69">
        <v>-4196</v>
      </c>
      <c r="JR69">
        <v>2535</v>
      </c>
      <c r="JS69" s="3"/>
      <c r="JW69" s="3"/>
      <c r="KA69" s="3"/>
      <c r="KE69" s="3"/>
      <c r="KI69" s="3"/>
      <c r="KM69" s="3"/>
      <c r="KQ69" s="3"/>
      <c r="KU69" s="3"/>
      <c r="KY69" s="3"/>
      <c r="LC69" s="3"/>
      <c r="LG69" s="3"/>
      <c r="LK69" s="3"/>
      <c r="LO69" s="3"/>
    </row>
    <row r="70" spans="3:327">
      <c r="C70" s="26" t="str">
        <f t="shared" ref="C70:D70" si="227">C25</f>
        <v>증권</v>
      </c>
      <c r="D70" s="27" t="str">
        <f t="shared" si="227"/>
        <v>024</v>
      </c>
      <c r="E70" s="50" cm="1">
        <f t="array" aca="1" ref="E70" ca="1">IF( $D70=0, "", _xll.IMDP("IDX",$D70,"기관순매수금액",TODAY()-1,"fill=true") )</f>
        <v>10800</v>
      </c>
      <c r="F70" s="51" cm="1">
        <f t="array" aca="1" ref="F70" ca="1">IF( $E70="", "", INDEX($R$52:$FQ$52, 1, MATCH(ROW()-ROW($C$50), $R$50:$FQ$50, 0)+1) )</f>
        <v>1521</v>
      </c>
      <c r="G70" s="52" cm="1">
        <f t="array" aca="1" ref="G70" ca="1">IF( $E70="", "", INDEX($FS$52:$LR$52, 1, MATCH(ROW()-ROW($C$50), $R$50:$FQ$50, 0)+1) )</f>
        <v>2932</v>
      </c>
      <c r="H70" s="53" cm="1">
        <f t="array" aca="1" ref="H70" ca="1">IF( $D70=0, "", _xll.IMDP("IDX",$D70,"외국인합순매수금액",TODAY()-1,"fill=true") )</f>
        <v>5589</v>
      </c>
      <c r="I70" s="51" cm="1">
        <f t="array" aca="1" ref="I70" ca="1">IF( $H70="", "", INDEX($R$52:$FQ$52, 1, MATCH(ROW()-ROW($C$50), $R$50:$FQ$50, 0)+2))</f>
        <v>-4384</v>
      </c>
      <c r="J70" s="54" cm="1">
        <f t="array" aca="1" ref="J70" ca="1">IF( $H70="", "", INDEX($FS$52:$LR$52, 1, MATCH(ROW()-ROW($C$50), $R$50:$FQ$50, 0)+2))</f>
        <v>-9479</v>
      </c>
      <c r="K70" s="55" cm="1">
        <f t="array" aca="1" ref="K70" ca="1">IF( $D70=0, "", _xll.IMDP("IDX",$D70,"개인순매수금액",TODAY()-1,"fill=true"))</f>
        <v>-15600</v>
      </c>
      <c r="L70" s="51" cm="1">
        <f t="array" aca="1" ref="L70" ca="1">IF( $K70="", "", INDEX($R$52:$FQ$52, 1, MATCH(ROW()-ROW($C$50), $R$50:$FQ$50, 0)+3))</f>
        <v>1876</v>
      </c>
      <c r="M70" s="56" cm="1">
        <f t="array" aca="1" ref="M70" ca="1">IF( $K70="", "", INDEX($FS$52:$LR$52, 1, MATCH(ROW()-ROW($C$50), $R$50:$FQ$50, 0)+3))</f>
        <v>5633</v>
      </c>
      <c r="R70" s="3">
        <v>45457</v>
      </c>
      <c r="S70">
        <v>-467226</v>
      </c>
      <c r="T70">
        <v>729521</v>
      </c>
      <c r="U70">
        <v>-213615</v>
      </c>
      <c r="V70" s="3">
        <v>45457</v>
      </c>
      <c r="W70">
        <v>-504935</v>
      </c>
      <c r="X70">
        <v>699403</v>
      </c>
      <c r="Y70">
        <v>-156988</v>
      </c>
      <c r="Z70" s="3">
        <v>45457</v>
      </c>
      <c r="AA70">
        <v>227</v>
      </c>
      <c r="AB70">
        <v>1233</v>
      </c>
      <c r="AC70">
        <v>-1748</v>
      </c>
      <c r="AD70" s="3">
        <v>45457</v>
      </c>
      <c r="AE70">
        <v>-8</v>
      </c>
      <c r="AF70">
        <v>-41</v>
      </c>
      <c r="AG70">
        <v>157</v>
      </c>
      <c r="AH70" s="3">
        <v>45457</v>
      </c>
      <c r="AI70">
        <v>149</v>
      </c>
      <c r="AJ70">
        <v>-51</v>
      </c>
      <c r="AK70">
        <v>-71</v>
      </c>
      <c r="AL70" s="3">
        <v>45457</v>
      </c>
      <c r="AM70">
        <v>-1244</v>
      </c>
      <c r="AN70">
        <v>-1382</v>
      </c>
      <c r="AO70">
        <v>2662</v>
      </c>
      <c r="AP70" s="3">
        <v>45457</v>
      </c>
      <c r="AQ70">
        <v>-333</v>
      </c>
      <c r="AR70">
        <v>-547</v>
      </c>
      <c r="AS70">
        <v>818</v>
      </c>
      <c r="AT70" s="3">
        <v>45457</v>
      </c>
      <c r="AU70">
        <v>-70</v>
      </c>
      <c r="AV70">
        <v>-24</v>
      </c>
      <c r="AW70">
        <v>-132</v>
      </c>
      <c r="AX70" s="3">
        <v>45457</v>
      </c>
      <c r="AY70">
        <v>-3169</v>
      </c>
      <c r="AZ70">
        <v>-112</v>
      </c>
      <c r="BA70">
        <v>3334</v>
      </c>
      <c r="BB70" s="3">
        <v>45457</v>
      </c>
      <c r="BC70">
        <v>-1209</v>
      </c>
      <c r="BD70">
        <v>-660</v>
      </c>
      <c r="BE70">
        <v>1168</v>
      </c>
      <c r="BF70" s="3">
        <v>45457</v>
      </c>
      <c r="BG70">
        <v>-1933</v>
      </c>
      <c r="BH70">
        <v>7606</v>
      </c>
      <c r="BI70">
        <v>-5919</v>
      </c>
      <c r="BJ70" s="3">
        <v>45457</v>
      </c>
      <c r="BK70">
        <v>303</v>
      </c>
      <c r="BL70">
        <v>-186</v>
      </c>
      <c r="BM70">
        <v>-107</v>
      </c>
      <c r="BN70" s="3">
        <v>45457</v>
      </c>
      <c r="BO70">
        <v>42</v>
      </c>
      <c r="BP70">
        <v>1139</v>
      </c>
      <c r="BQ70">
        <v>-1382</v>
      </c>
      <c r="BR70" s="3">
        <v>45457</v>
      </c>
      <c r="BS70">
        <v>190</v>
      </c>
      <c r="BT70">
        <v>264</v>
      </c>
      <c r="BU70">
        <v>-260</v>
      </c>
      <c r="BV70" s="3">
        <v>45457</v>
      </c>
      <c r="BW70">
        <v>-641</v>
      </c>
      <c r="BX70">
        <v>673</v>
      </c>
      <c r="BY70">
        <v>5</v>
      </c>
      <c r="BZ70" s="3">
        <v>45457</v>
      </c>
      <c r="CA70">
        <v>-140</v>
      </c>
      <c r="CB70">
        <v>-381</v>
      </c>
      <c r="CC70">
        <v>472</v>
      </c>
      <c r="CD70" s="3">
        <v>45457</v>
      </c>
      <c r="CE70">
        <v>12</v>
      </c>
      <c r="CF70">
        <v>883</v>
      </c>
      <c r="CG70">
        <v>-1012</v>
      </c>
      <c r="CH70" s="3">
        <v>45457</v>
      </c>
      <c r="CI70">
        <v>-297</v>
      </c>
      <c r="CJ70">
        <v>-41</v>
      </c>
      <c r="CK70">
        <v>347</v>
      </c>
      <c r="CL70" s="3">
        <v>45457</v>
      </c>
      <c r="CM70">
        <v>-1589</v>
      </c>
      <c r="CN70">
        <v>284</v>
      </c>
      <c r="CO70">
        <v>1126</v>
      </c>
      <c r="CP70" s="3">
        <v>45457</v>
      </c>
      <c r="CQ70">
        <v>-620</v>
      </c>
      <c r="CR70">
        <v>-432</v>
      </c>
      <c r="CS70">
        <v>927</v>
      </c>
      <c r="CT70" s="3">
        <v>45457</v>
      </c>
      <c r="CU70">
        <v>-123</v>
      </c>
      <c r="CV70">
        <v>246</v>
      </c>
      <c r="CW70">
        <v>-45</v>
      </c>
      <c r="CX70" s="3">
        <v>45457</v>
      </c>
      <c r="CY70">
        <v>-99</v>
      </c>
      <c r="CZ70">
        <v>-1568</v>
      </c>
      <c r="DA70">
        <v>1574</v>
      </c>
      <c r="DB70" s="3">
        <v>45457</v>
      </c>
      <c r="DC70">
        <v>-7493</v>
      </c>
      <c r="DD70">
        <v>7091</v>
      </c>
      <c r="DE70">
        <v>-1074</v>
      </c>
      <c r="DF70" s="3">
        <v>45457</v>
      </c>
      <c r="DG70">
        <v>-6234</v>
      </c>
      <c r="DH70">
        <v>7575</v>
      </c>
      <c r="DI70">
        <v>-1561</v>
      </c>
      <c r="DJ70" s="3">
        <v>45457</v>
      </c>
      <c r="DK70">
        <v>-1310</v>
      </c>
      <c r="DL70">
        <v>504</v>
      </c>
      <c r="DM70">
        <v>573</v>
      </c>
      <c r="DN70" s="3">
        <v>45457</v>
      </c>
      <c r="DO70">
        <v>-2634</v>
      </c>
      <c r="DP70">
        <v>-1441</v>
      </c>
      <c r="DQ70">
        <v>2847</v>
      </c>
      <c r="DR70" s="3"/>
      <c r="DV70" s="3"/>
      <c r="DZ70" s="3"/>
      <c r="ED70" s="3"/>
      <c r="EH70" s="3"/>
      <c r="EL70" s="3"/>
      <c r="EP70" s="3"/>
      <c r="ET70" s="3"/>
      <c r="EX70" s="3"/>
      <c r="FB70" s="3"/>
      <c r="FF70" s="3"/>
      <c r="FJ70" s="3"/>
      <c r="FN70" s="3"/>
      <c r="FS70" s="3">
        <v>45457</v>
      </c>
      <c r="FT70">
        <v>-467226</v>
      </c>
      <c r="FU70">
        <v>729521</v>
      </c>
      <c r="FV70">
        <v>-213615</v>
      </c>
      <c r="FW70" s="3">
        <v>45457</v>
      </c>
      <c r="FX70">
        <v>-504935</v>
      </c>
      <c r="FY70">
        <v>699403</v>
      </c>
      <c r="FZ70">
        <v>-156988</v>
      </c>
      <c r="GA70" s="3">
        <v>45457</v>
      </c>
      <c r="GB70">
        <v>-9029</v>
      </c>
      <c r="GC70">
        <v>8094</v>
      </c>
      <c r="GD70">
        <v>3273</v>
      </c>
      <c r="GE70" s="3">
        <v>45457</v>
      </c>
      <c r="GF70">
        <v>599</v>
      </c>
      <c r="GG70">
        <v>-909</v>
      </c>
      <c r="GH70">
        <v>665</v>
      </c>
      <c r="GI70" s="3">
        <v>45457</v>
      </c>
      <c r="GJ70">
        <v>1048</v>
      </c>
      <c r="GK70">
        <v>283</v>
      </c>
      <c r="GL70">
        <v>-904</v>
      </c>
      <c r="GM70" s="3">
        <v>45457</v>
      </c>
      <c r="GN70">
        <v>-1244</v>
      </c>
      <c r="GO70">
        <v>-1382</v>
      </c>
      <c r="GP70">
        <v>2662</v>
      </c>
      <c r="GQ70" s="3">
        <v>45457</v>
      </c>
      <c r="GR70">
        <v>-333</v>
      </c>
      <c r="GS70">
        <v>-547</v>
      </c>
      <c r="GT70">
        <v>818</v>
      </c>
      <c r="GU70" s="3">
        <v>45457</v>
      </c>
      <c r="GV70">
        <v>-70</v>
      </c>
      <c r="GW70">
        <v>-24</v>
      </c>
      <c r="GX70">
        <v>-132</v>
      </c>
      <c r="GY70" s="3">
        <v>45457</v>
      </c>
      <c r="GZ70">
        <v>-3169</v>
      </c>
      <c r="HA70">
        <v>-112</v>
      </c>
      <c r="HB70">
        <v>3334</v>
      </c>
      <c r="HC70" s="3">
        <v>45457</v>
      </c>
      <c r="HD70">
        <v>-1209</v>
      </c>
      <c r="HE70">
        <v>-660</v>
      </c>
      <c r="HF70">
        <v>1168</v>
      </c>
      <c r="HG70" s="3">
        <v>45457</v>
      </c>
      <c r="HH70">
        <v>-1933</v>
      </c>
      <c r="HI70">
        <v>7606</v>
      </c>
      <c r="HJ70">
        <v>-5919</v>
      </c>
      <c r="HK70" s="3">
        <v>45457</v>
      </c>
      <c r="HL70">
        <v>303</v>
      </c>
      <c r="HM70">
        <v>-186</v>
      </c>
      <c r="HN70">
        <v>-107</v>
      </c>
      <c r="HO70" s="3">
        <v>45457</v>
      </c>
      <c r="HP70">
        <v>42</v>
      </c>
      <c r="HQ70">
        <v>1139</v>
      </c>
      <c r="HR70">
        <v>-1382</v>
      </c>
      <c r="HS70" s="3">
        <v>45457</v>
      </c>
      <c r="HT70">
        <v>190</v>
      </c>
      <c r="HU70">
        <v>264</v>
      </c>
      <c r="HV70">
        <v>-260</v>
      </c>
      <c r="HW70" s="3">
        <v>45457</v>
      </c>
      <c r="HX70">
        <v>-641</v>
      </c>
      <c r="HY70">
        <v>673</v>
      </c>
      <c r="HZ70">
        <v>5</v>
      </c>
      <c r="IA70" s="3">
        <v>45457</v>
      </c>
      <c r="IB70">
        <v>-140</v>
      </c>
      <c r="IC70">
        <v>-381</v>
      </c>
      <c r="ID70">
        <v>472</v>
      </c>
      <c r="IE70" s="3">
        <v>45457</v>
      </c>
      <c r="IF70">
        <v>12</v>
      </c>
      <c r="IG70">
        <v>883</v>
      </c>
      <c r="IH70">
        <v>-1012</v>
      </c>
      <c r="II70" s="3">
        <v>45457</v>
      </c>
      <c r="IJ70">
        <v>-297</v>
      </c>
      <c r="IK70">
        <v>-41</v>
      </c>
      <c r="IL70">
        <v>347</v>
      </c>
      <c r="IM70" s="3">
        <v>45457</v>
      </c>
      <c r="IN70">
        <v>-1589</v>
      </c>
      <c r="IO70">
        <v>284</v>
      </c>
      <c r="IP70">
        <v>1126</v>
      </c>
      <c r="IQ70" s="3">
        <v>45457</v>
      </c>
      <c r="IR70">
        <v>-620</v>
      </c>
      <c r="IS70">
        <v>-432</v>
      </c>
      <c r="IT70">
        <v>927</v>
      </c>
      <c r="IU70" s="3">
        <v>45457</v>
      </c>
      <c r="IV70">
        <v>-123</v>
      </c>
      <c r="IW70">
        <v>246</v>
      </c>
      <c r="IX70">
        <v>-45</v>
      </c>
      <c r="IY70" s="3">
        <v>45457</v>
      </c>
      <c r="IZ70">
        <v>-99</v>
      </c>
      <c r="JA70">
        <v>-1568</v>
      </c>
      <c r="JB70">
        <v>1574</v>
      </c>
      <c r="JC70" s="3">
        <v>45457</v>
      </c>
      <c r="JD70">
        <v>-7493</v>
      </c>
      <c r="JE70">
        <v>7091</v>
      </c>
      <c r="JF70">
        <v>-1074</v>
      </c>
      <c r="JG70" s="3">
        <v>45457</v>
      </c>
      <c r="JH70">
        <v>-6234</v>
      </c>
      <c r="JI70">
        <v>7575</v>
      </c>
      <c r="JJ70">
        <v>-1561</v>
      </c>
      <c r="JK70" s="3">
        <v>45457</v>
      </c>
      <c r="JL70">
        <v>-1310</v>
      </c>
      <c r="JM70">
        <v>504</v>
      </c>
      <c r="JN70">
        <v>573</v>
      </c>
      <c r="JO70" s="3">
        <v>45457</v>
      </c>
      <c r="JP70">
        <v>-2634</v>
      </c>
      <c r="JQ70">
        <v>-1441</v>
      </c>
      <c r="JR70">
        <v>2847</v>
      </c>
      <c r="JS70" s="3"/>
      <c r="JW70" s="3"/>
      <c r="KA70" s="3"/>
      <c r="KE70" s="3"/>
      <c r="KI70" s="3"/>
      <c r="KM70" s="3"/>
      <c r="KQ70" s="3"/>
      <c r="KU70" s="3"/>
      <c r="KY70" s="3"/>
      <c r="LC70" s="3"/>
      <c r="LG70" s="3"/>
      <c r="LK70" s="3"/>
      <c r="LO70" s="3"/>
    </row>
    <row r="71" spans="3:327">
      <c r="C71" s="26" t="str">
        <f t="shared" ref="C71:D71" si="228">C26</f>
        <v>보험</v>
      </c>
      <c r="D71" s="27" t="str">
        <f t="shared" si="228"/>
        <v>025</v>
      </c>
      <c r="E71" s="50" cm="1">
        <f t="array" aca="1" ref="E71" ca="1">IF( $D71=0, "", _xll.IMDP("IDX",$D71,"기관순매수금액",TODAY()-1,"fill=true") )</f>
        <v>10898</v>
      </c>
      <c r="F71" s="51" cm="1">
        <f t="array" aca="1" ref="F71" ca="1">IF( $E71="", "", INDEX($R$52:$FQ$52, 1, MATCH(ROW()-ROW($C$50), $R$50:$FQ$50, 0)+1) )</f>
        <v>6027</v>
      </c>
      <c r="G71" s="52" cm="1">
        <f t="array" aca="1" ref="G71" ca="1">IF( $E71="", "", INDEX($FS$52:$LR$52, 1, MATCH(ROW()-ROW($C$50), $R$50:$FQ$50, 0)+1) )</f>
        <v>2183</v>
      </c>
      <c r="H71" s="53" cm="1">
        <f t="array" aca="1" ref="H71" ca="1">IF( $D71=0, "", _xll.IMDP("IDX",$D71,"외국인합순매수금액",TODAY()-1,"fill=true") )</f>
        <v>19112</v>
      </c>
      <c r="I71" s="51" cm="1">
        <f t="array" aca="1" ref="I71" ca="1">IF( $H71="", "", INDEX($R$52:$FQ$52, 1, MATCH(ROW()-ROW($C$50), $R$50:$FQ$50, 0)+2))</f>
        <v>4147</v>
      </c>
      <c r="J71" s="54" cm="1">
        <f t="array" aca="1" ref="J71" ca="1">IF( $H71="", "", INDEX($FS$52:$LR$52, 1, MATCH(ROW()-ROW($C$50), $R$50:$FQ$50, 0)+2))</f>
        <v>13756</v>
      </c>
      <c r="K71" s="55" cm="1">
        <f t="array" aca="1" ref="K71" ca="1">IF( $D71=0, "", _xll.IMDP("IDX",$D71,"개인순매수금액",TODAY()-1,"fill=true"))</f>
        <v>-18265</v>
      </c>
      <c r="L71" s="51" cm="1">
        <f t="array" aca="1" ref="L71" ca="1">IF( $K71="", "", INDEX($R$52:$FQ$52, 1, MATCH(ROW()-ROW($C$50), $R$50:$FQ$50, 0)+3))</f>
        <v>-9749</v>
      </c>
      <c r="M71" s="56" cm="1">
        <f t="array" aca="1" ref="M71" ca="1">IF( $K71="", "", INDEX($FS$52:$LR$52, 1, MATCH(ROW()-ROW($C$50), $R$50:$FQ$50, 0)+3))</f>
        <v>-14429</v>
      </c>
      <c r="R71" s="3">
        <v>45456</v>
      </c>
      <c r="S71">
        <v>-105501</v>
      </c>
      <c r="T71">
        <v>1538715</v>
      </c>
      <c r="U71">
        <v>-1407227</v>
      </c>
      <c r="V71" s="3">
        <v>45456</v>
      </c>
      <c r="W71">
        <v>-560302</v>
      </c>
      <c r="X71">
        <v>1635260</v>
      </c>
      <c r="Y71">
        <v>-1063519</v>
      </c>
      <c r="Z71" s="3">
        <v>45456</v>
      </c>
      <c r="AA71">
        <v>389</v>
      </c>
      <c r="AB71">
        <v>517</v>
      </c>
      <c r="AC71">
        <v>-934</v>
      </c>
      <c r="AD71" s="3">
        <v>45456</v>
      </c>
      <c r="AE71">
        <v>-34</v>
      </c>
      <c r="AF71">
        <v>-112</v>
      </c>
      <c r="AG71">
        <v>129</v>
      </c>
      <c r="AH71" s="3">
        <v>45456</v>
      </c>
      <c r="AI71">
        <v>48</v>
      </c>
      <c r="AJ71">
        <v>43</v>
      </c>
      <c r="AK71">
        <v>-133</v>
      </c>
      <c r="AL71" s="3">
        <v>45456</v>
      </c>
      <c r="AM71">
        <v>1205</v>
      </c>
      <c r="AN71">
        <v>-682</v>
      </c>
      <c r="AO71">
        <v>-508</v>
      </c>
      <c r="AP71" s="3">
        <v>45456</v>
      </c>
      <c r="AQ71">
        <v>-899</v>
      </c>
      <c r="AR71">
        <v>399</v>
      </c>
      <c r="AS71">
        <v>601</v>
      </c>
      <c r="AT71" s="3">
        <v>45456</v>
      </c>
      <c r="AU71">
        <v>-1849</v>
      </c>
      <c r="AV71">
        <v>618</v>
      </c>
      <c r="AW71">
        <v>-270</v>
      </c>
      <c r="AX71" s="3">
        <v>45456</v>
      </c>
      <c r="AY71">
        <v>-7429</v>
      </c>
      <c r="AZ71">
        <v>-1250</v>
      </c>
      <c r="BA71">
        <v>14879</v>
      </c>
      <c r="BB71" s="3">
        <v>45456</v>
      </c>
      <c r="BC71">
        <v>-2371</v>
      </c>
      <c r="BD71">
        <v>-910</v>
      </c>
      <c r="BE71">
        <v>-3479</v>
      </c>
      <c r="BF71" s="3">
        <v>45456</v>
      </c>
      <c r="BG71">
        <v>-2207</v>
      </c>
      <c r="BH71">
        <v>13628</v>
      </c>
      <c r="BI71">
        <v>-11316</v>
      </c>
      <c r="BJ71" s="3">
        <v>45456</v>
      </c>
      <c r="BK71">
        <v>342</v>
      </c>
      <c r="BL71">
        <v>312</v>
      </c>
      <c r="BM71">
        <v>-664</v>
      </c>
      <c r="BN71" s="3">
        <v>45456</v>
      </c>
      <c r="BO71">
        <v>-1325</v>
      </c>
      <c r="BP71">
        <v>2514</v>
      </c>
      <c r="BQ71">
        <v>-1112</v>
      </c>
      <c r="BR71" s="3">
        <v>45456</v>
      </c>
      <c r="BS71">
        <v>159</v>
      </c>
      <c r="BT71">
        <v>17</v>
      </c>
      <c r="BU71">
        <v>-116</v>
      </c>
      <c r="BV71" s="3">
        <v>45456</v>
      </c>
      <c r="BW71">
        <v>-278</v>
      </c>
      <c r="BX71">
        <v>254</v>
      </c>
      <c r="BY71">
        <v>-120</v>
      </c>
      <c r="BZ71" s="3">
        <v>45456</v>
      </c>
      <c r="CA71">
        <v>-383</v>
      </c>
      <c r="CB71">
        <v>681</v>
      </c>
      <c r="CC71">
        <v>-63</v>
      </c>
      <c r="CD71" s="3">
        <v>45456</v>
      </c>
      <c r="CE71">
        <v>-890</v>
      </c>
      <c r="CF71">
        <v>764</v>
      </c>
      <c r="CG71">
        <v>104</v>
      </c>
      <c r="CH71" s="3">
        <v>45456</v>
      </c>
      <c r="CI71">
        <v>-53</v>
      </c>
      <c r="CJ71">
        <v>-263</v>
      </c>
      <c r="CK71">
        <v>313</v>
      </c>
      <c r="CL71" s="3">
        <v>45456</v>
      </c>
      <c r="CM71">
        <v>-4058</v>
      </c>
      <c r="CN71">
        <v>1166</v>
      </c>
      <c r="CO71">
        <v>2459</v>
      </c>
      <c r="CP71" s="3">
        <v>45456</v>
      </c>
      <c r="CQ71">
        <v>-458</v>
      </c>
      <c r="CR71">
        <v>198</v>
      </c>
      <c r="CS71">
        <v>-22</v>
      </c>
      <c r="CT71" s="3">
        <v>45456</v>
      </c>
      <c r="CU71">
        <v>-1009</v>
      </c>
      <c r="CV71">
        <v>-97</v>
      </c>
      <c r="CW71">
        <v>1052</v>
      </c>
      <c r="CX71" s="3">
        <v>45456</v>
      </c>
      <c r="CY71">
        <v>520</v>
      </c>
      <c r="CZ71">
        <v>251</v>
      </c>
      <c r="DA71">
        <v>-772</v>
      </c>
      <c r="DB71" s="3">
        <v>45456</v>
      </c>
      <c r="DC71">
        <v>-14207</v>
      </c>
      <c r="DD71">
        <v>14700</v>
      </c>
      <c r="DE71">
        <v>-2384</v>
      </c>
      <c r="DF71" s="3">
        <v>45456</v>
      </c>
      <c r="DG71">
        <v>-9752</v>
      </c>
      <c r="DH71">
        <v>17643</v>
      </c>
      <c r="DI71">
        <v>-9286</v>
      </c>
      <c r="DJ71" s="3">
        <v>45456</v>
      </c>
      <c r="DK71">
        <v>-2457</v>
      </c>
      <c r="DL71">
        <v>1794</v>
      </c>
      <c r="DM71">
        <v>398</v>
      </c>
      <c r="DN71" s="3">
        <v>45456</v>
      </c>
      <c r="DO71">
        <v>-7065</v>
      </c>
      <c r="DP71">
        <v>-2175</v>
      </c>
      <c r="DQ71">
        <v>8852</v>
      </c>
      <c r="DR71" s="3"/>
      <c r="DV71" s="3"/>
      <c r="DZ71" s="3"/>
      <c r="ED71" s="3"/>
      <c r="EH71" s="3"/>
      <c r="EL71" s="3"/>
      <c r="EP71" s="3"/>
      <c r="ET71" s="3"/>
      <c r="EX71" s="3"/>
      <c r="FB71" s="3"/>
      <c r="FF71" s="3"/>
      <c r="FJ71" s="3"/>
      <c r="FN71" s="3"/>
      <c r="FS71" s="3">
        <v>45456</v>
      </c>
      <c r="FT71">
        <v>-105501</v>
      </c>
      <c r="FU71">
        <v>1538715</v>
      </c>
      <c r="FV71">
        <v>-1407227</v>
      </c>
      <c r="FW71" s="3">
        <v>45456</v>
      </c>
      <c r="FX71">
        <v>-560302</v>
      </c>
      <c r="FY71">
        <v>1635260</v>
      </c>
      <c r="FZ71">
        <v>-1063519</v>
      </c>
      <c r="GA71" s="3">
        <v>45456</v>
      </c>
      <c r="GB71">
        <v>-1639</v>
      </c>
      <c r="GC71">
        <v>20133</v>
      </c>
      <c r="GD71">
        <v>-20465</v>
      </c>
      <c r="GE71" s="3">
        <v>45456</v>
      </c>
      <c r="GF71">
        <v>-2596</v>
      </c>
      <c r="GG71">
        <v>-418</v>
      </c>
      <c r="GH71">
        <v>2990</v>
      </c>
      <c r="GI71" s="3">
        <v>45456</v>
      </c>
      <c r="GJ71">
        <v>439</v>
      </c>
      <c r="GK71">
        <v>409</v>
      </c>
      <c r="GL71">
        <v>-943</v>
      </c>
      <c r="GM71" s="3">
        <v>45456</v>
      </c>
      <c r="GN71">
        <v>1205</v>
      </c>
      <c r="GO71">
        <v>-682</v>
      </c>
      <c r="GP71">
        <v>-508</v>
      </c>
      <c r="GQ71" s="3">
        <v>45456</v>
      </c>
      <c r="GR71">
        <v>-899</v>
      </c>
      <c r="GS71">
        <v>399</v>
      </c>
      <c r="GT71">
        <v>601</v>
      </c>
      <c r="GU71" s="3">
        <v>45456</v>
      </c>
      <c r="GV71">
        <v>-1849</v>
      </c>
      <c r="GW71">
        <v>618</v>
      </c>
      <c r="GX71">
        <v>-270</v>
      </c>
      <c r="GY71" s="3">
        <v>45456</v>
      </c>
      <c r="GZ71">
        <v>-7429</v>
      </c>
      <c r="HA71">
        <v>-1250</v>
      </c>
      <c r="HB71">
        <v>14879</v>
      </c>
      <c r="HC71" s="3">
        <v>45456</v>
      </c>
      <c r="HD71">
        <v>-2371</v>
      </c>
      <c r="HE71">
        <v>-910</v>
      </c>
      <c r="HF71">
        <v>-3479</v>
      </c>
      <c r="HG71" s="3">
        <v>45456</v>
      </c>
      <c r="HH71">
        <v>-2207</v>
      </c>
      <c r="HI71">
        <v>13628</v>
      </c>
      <c r="HJ71">
        <v>-11316</v>
      </c>
      <c r="HK71" s="3">
        <v>45456</v>
      </c>
      <c r="HL71">
        <v>342</v>
      </c>
      <c r="HM71">
        <v>312</v>
      </c>
      <c r="HN71">
        <v>-664</v>
      </c>
      <c r="HO71" s="3">
        <v>45456</v>
      </c>
      <c r="HP71">
        <v>-1325</v>
      </c>
      <c r="HQ71">
        <v>2514</v>
      </c>
      <c r="HR71">
        <v>-1112</v>
      </c>
      <c r="HS71" s="3">
        <v>45456</v>
      </c>
      <c r="HT71">
        <v>159</v>
      </c>
      <c r="HU71">
        <v>17</v>
      </c>
      <c r="HV71">
        <v>-116</v>
      </c>
      <c r="HW71" s="3">
        <v>45456</v>
      </c>
      <c r="HX71">
        <v>-278</v>
      </c>
      <c r="HY71">
        <v>254</v>
      </c>
      <c r="HZ71">
        <v>-120</v>
      </c>
      <c r="IA71" s="3">
        <v>45456</v>
      </c>
      <c r="IB71">
        <v>-383</v>
      </c>
      <c r="IC71">
        <v>681</v>
      </c>
      <c r="ID71">
        <v>-63</v>
      </c>
      <c r="IE71" s="3">
        <v>45456</v>
      </c>
      <c r="IF71">
        <v>-890</v>
      </c>
      <c r="IG71">
        <v>764</v>
      </c>
      <c r="IH71">
        <v>104</v>
      </c>
      <c r="II71" s="3">
        <v>45456</v>
      </c>
      <c r="IJ71">
        <v>-53</v>
      </c>
      <c r="IK71">
        <v>-263</v>
      </c>
      <c r="IL71">
        <v>313</v>
      </c>
      <c r="IM71" s="3">
        <v>45456</v>
      </c>
      <c r="IN71">
        <v>-4058</v>
      </c>
      <c r="IO71">
        <v>1166</v>
      </c>
      <c r="IP71">
        <v>2459</v>
      </c>
      <c r="IQ71" s="3">
        <v>45456</v>
      </c>
      <c r="IR71">
        <v>-458</v>
      </c>
      <c r="IS71">
        <v>198</v>
      </c>
      <c r="IT71">
        <v>-22</v>
      </c>
      <c r="IU71" s="3">
        <v>45456</v>
      </c>
      <c r="IV71">
        <v>-1009</v>
      </c>
      <c r="IW71">
        <v>-97</v>
      </c>
      <c r="IX71">
        <v>1052</v>
      </c>
      <c r="IY71" s="3">
        <v>45456</v>
      </c>
      <c r="IZ71">
        <v>520</v>
      </c>
      <c r="JA71">
        <v>251</v>
      </c>
      <c r="JB71">
        <v>-772</v>
      </c>
      <c r="JC71" s="3">
        <v>45456</v>
      </c>
      <c r="JD71">
        <v>-14207</v>
      </c>
      <c r="JE71">
        <v>14700</v>
      </c>
      <c r="JF71">
        <v>-2384</v>
      </c>
      <c r="JG71" s="3">
        <v>45456</v>
      </c>
      <c r="JH71">
        <v>-9752</v>
      </c>
      <c r="JI71">
        <v>17643</v>
      </c>
      <c r="JJ71">
        <v>-9286</v>
      </c>
      <c r="JK71" s="3">
        <v>45456</v>
      </c>
      <c r="JL71">
        <v>-2457</v>
      </c>
      <c r="JM71">
        <v>1794</v>
      </c>
      <c r="JN71">
        <v>398</v>
      </c>
      <c r="JO71" s="3">
        <v>45456</v>
      </c>
      <c r="JP71">
        <v>-7065</v>
      </c>
      <c r="JQ71">
        <v>-2175</v>
      </c>
      <c r="JR71">
        <v>8852</v>
      </c>
      <c r="JS71" s="3"/>
      <c r="JW71" s="3"/>
      <c r="KA71" s="3"/>
      <c r="KE71" s="3"/>
      <c r="KI71" s="3"/>
      <c r="KM71" s="3"/>
      <c r="KQ71" s="3"/>
      <c r="KU71" s="3"/>
      <c r="KY71" s="3"/>
      <c r="LC71" s="3"/>
      <c r="LG71" s="3"/>
      <c r="LK71" s="3"/>
      <c r="LO71" s="3"/>
    </row>
    <row r="72" spans="3:327">
      <c r="C72" s="26" t="str">
        <f t="shared" ref="C72:D72" si="229">C27</f>
        <v>서비스업</v>
      </c>
      <c r="D72" s="27" t="str">
        <f t="shared" si="229"/>
        <v>026</v>
      </c>
      <c r="E72" s="50" cm="1">
        <f t="array" aca="1" ref="E72" ca="1">IF( $D72=0, "", _xll.IMDP("IDX",$D72,"기관순매수금액",TODAY()-1,"fill=true") )</f>
        <v>-44799</v>
      </c>
      <c r="F72" s="51" cm="1">
        <f t="array" aca="1" ref="F72" ca="1">IF( $E72="", "", INDEX($R$52:$FQ$52, 1, MATCH(ROW()-ROW($C$50), $R$50:$FQ$50, 0)+1) )</f>
        <v>-6508</v>
      </c>
      <c r="G72" s="52" cm="1">
        <f t="array" aca="1" ref="G72" ca="1">IF( $E72="", "", INDEX($FS$52:$LR$52, 1, MATCH(ROW()-ROW($C$50), $R$50:$FQ$50, 0)+1) )</f>
        <v>-11041</v>
      </c>
      <c r="H72" s="53" cm="1">
        <f t="array" aca="1" ref="H72" ca="1">IF( $D72=0, "", _xll.IMDP("IDX",$D72,"외국인합순매수금액",TODAY()-1,"fill=true") )</f>
        <v>-48179</v>
      </c>
      <c r="I72" s="51" cm="1">
        <f t="array" aca="1" ref="I72" ca="1">IF( $H72="", "", INDEX($R$52:$FQ$52, 1, MATCH(ROW()-ROW($C$50), $R$50:$FQ$50, 0)+2))</f>
        <v>-7620</v>
      </c>
      <c r="J72" s="54" cm="1">
        <f t="array" aca="1" ref="J72" ca="1">IF( $H72="", "", INDEX($FS$52:$LR$52, 1, MATCH(ROW()-ROW($C$50), $R$50:$FQ$50, 0)+2))</f>
        <v>-20518</v>
      </c>
      <c r="K72" s="55" cm="1">
        <f t="array" aca="1" ref="K72" ca="1">IF( $D72=0, "", _xll.IMDP("IDX",$D72,"개인순매수금액",TODAY()-1,"fill=true"))</f>
        <v>87020</v>
      </c>
      <c r="L72" s="51" cm="1">
        <f t="array" aca="1" ref="L72" ca="1">IF( $K72="", "", INDEX($R$52:$FQ$52, 1, MATCH(ROW()-ROW($C$50), $R$50:$FQ$50, 0)+3))</f>
        <v>15053</v>
      </c>
      <c r="M72" s="56" cm="1">
        <f t="array" aca="1" ref="M72" ca="1">IF( $K72="", "", INDEX($FS$52:$LR$52, 1, MATCH(ROW()-ROW($C$50), $R$50:$FQ$50, 0)+3))</f>
        <v>34903</v>
      </c>
      <c r="R72" s="3">
        <v>45455</v>
      </c>
      <c r="S72">
        <v>9876</v>
      </c>
      <c r="T72">
        <v>235948</v>
      </c>
      <c r="U72">
        <v>-242976</v>
      </c>
      <c r="V72" s="3">
        <v>45455</v>
      </c>
      <c r="W72">
        <v>-42402</v>
      </c>
      <c r="X72">
        <v>65023</v>
      </c>
      <c r="Y72">
        <v>-24340</v>
      </c>
      <c r="Z72" s="3">
        <v>45455</v>
      </c>
      <c r="AA72">
        <v>492</v>
      </c>
      <c r="AB72">
        <v>850</v>
      </c>
      <c r="AC72">
        <v>-1129</v>
      </c>
      <c r="AD72" s="3">
        <v>45455</v>
      </c>
      <c r="AE72">
        <v>21</v>
      </c>
      <c r="AF72">
        <v>-293</v>
      </c>
      <c r="AG72">
        <v>294</v>
      </c>
      <c r="AH72" s="3">
        <v>45455</v>
      </c>
      <c r="AI72">
        <v>47</v>
      </c>
      <c r="AJ72">
        <v>1</v>
      </c>
      <c r="AK72">
        <v>-51</v>
      </c>
      <c r="AL72" s="3">
        <v>45455</v>
      </c>
      <c r="AM72">
        <v>1362</v>
      </c>
      <c r="AN72">
        <v>569</v>
      </c>
      <c r="AO72">
        <v>-2025</v>
      </c>
      <c r="AP72" s="3">
        <v>45455</v>
      </c>
      <c r="AQ72">
        <v>-516</v>
      </c>
      <c r="AR72">
        <v>-424</v>
      </c>
      <c r="AS72">
        <v>466</v>
      </c>
      <c r="AT72" s="3">
        <v>45455</v>
      </c>
      <c r="AU72">
        <v>-259</v>
      </c>
      <c r="AV72">
        <v>-5</v>
      </c>
      <c r="AW72">
        <v>-87</v>
      </c>
      <c r="AX72" s="3">
        <v>45455</v>
      </c>
      <c r="AY72">
        <v>-8</v>
      </c>
      <c r="AZ72">
        <v>-571</v>
      </c>
      <c r="BA72">
        <v>663</v>
      </c>
      <c r="BB72" s="3">
        <v>45455</v>
      </c>
      <c r="BC72">
        <v>1021</v>
      </c>
      <c r="BD72">
        <v>3479</v>
      </c>
      <c r="BE72">
        <v>-6112</v>
      </c>
      <c r="BF72" s="3">
        <v>45455</v>
      </c>
      <c r="BG72">
        <v>383</v>
      </c>
      <c r="BH72">
        <v>-53</v>
      </c>
      <c r="BI72">
        <v>-379</v>
      </c>
      <c r="BJ72" s="3">
        <v>45455</v>
      </c>
      <c r="BK72">
        <v>-121</v>
      </c>
      <c r="BL72">
        <v>-118</v>
      </c>
      <c r="BM72">
        <v>260</v>
      </c>
      <c r="BN72" s="3">
        <v>45455</v>
      </c>
      <c r="BO72">
        <v>269</v>
      </c>
      <c r="BP72">
        <v>692</v>
      </c>
      <c r="BQ72">
        <v>-883</v>
      </c>
      <c r="BR72" s="3">
        <v>45455</v>
      </c>
      <c r="BS72">
        <v>138</v>
      </c>
      <c r="BT72">
        <v>-541</v>
      </c>
      <c r="BU72">
        <v>1051</v>
      </c>
      <c r="BV72" s="3">
        <v>45455</v>
      </c>
      <c r="BW72">
        <v>-173</v>
      </c>
      <c r="BX72">
        <v>54</v>
      </c>
      <c r="BY72">
        <v>97</v>
      </c>
      <c r="BZ72" s="3">
        <v>45455</v>
      </c>
      <c r="CA72">
        <v>-83</v>
      </c>
      <c r="CB72">
        <v>-2719</v>
      </c>
      <c r="CC72">
        <v>2662</v>
      </c>
      <c r="CD72" s="3">
        <v>45455</v>
      </c>
      <c r="CE72">
        <v>-814</v>
      </c>
      <c r="CF72">
        <v>-218</v>
      </c>
      <c r="CG72">
        <v>1026</v>
      </c>
      <c r="CH72" s="3">
        <v>45455</v>
      </c>
      <c r="CI72">
        <v>-155</v>
      </c>
      <c r="CJ72">
        <v>-34</v>
      </c>
      <c r="CK72">
        <v>176</v>
      </c>
      <c r="CL72" s="3">
        <v>45455</v>
      </c>
      <c r="CM72">
        <v>-1200</v>
      </c>
      <c r="CN72">
        <v>41</v>
      </c>
      <c r="CO72">
        <v>1120</v>
      </c>
      <c r="CP72" s="3">
        <v>45455</v>
      </c>
      <c r="CQ72">
        <v>-339</v>
      </c>
      <c r="CR72">
        <v>-294</v>
      </c>
      <c r="CS72">
        <v>535</v>
      </c>
      <c r="CT72" s="3">
        <v>45455</v>
      </c>
      <c r="CU72">
        <v>-141</v>
      </c>
      <c r="CV72">
        <v>-101</v>
      </c>
      <c r="CW72">
        <v>194</v>
      </c>
      <c r="CX72" s="3">
        <v>45455</v>
      </c>
      <c r="CY72">
        <v>-8</v>
      </c>
      <c r="CZ72">
        <v>-345</v>
      </c>
      <c r="DA72">
        <v>71</v>
      </c>
      <c r="DB72" s="3">
        <v>45455</v>
      </c>
      <c r="DC72">
        <v>2601</v>
      </c>
      <c r="DD72">
        <v>4186</v>
      </c>
      <c r="DE72">
        <v>-8956</v>
      </c>
      <c r="DF72" s="3">
        <v>45455</v>
      </c>
      <c r="DG72">
        <v>61</v>
      </c>
      <c r="DH72">
        <v>-132</v>
      </c>
      <c r="DI72">
        <v>-360</v>
      </c>
      <c r="DJ72" s="3">
        <v>45455</v>
      </c>
      <c r="DK72">
        <v>-244</v>
      </c>
      <c r="DL72">
        <v>-2449</v>
      </c>
      <c r="DM72">
        <v>2420</v>
      </c>
      <c r="DN72" s="3">
        <v>45455</v>
      </c>
      <c r="DO72">
        <v>495</v>
      </c>
      <c r="DP72">
        <v>3402</v>
      </c>
      <c r="DQ72">
        <v>-5220</v>
      </c>
      <c r="DR72" s="3"/>
      <c r="DV72" s="3"/>
      <c r="DZ72" s="3"/>
      <c r="ED72" s="3"/>
      <c r="EH72" s="3"/>
      <c r="EL72" s="3"/>
      <c r="EP72" s="3"/>
      <c r="ET72" s="3"/>
      <c r="EX72" s="3"/>
      <c r="FB72" s="3"/>
      <c r="FF72" s="3"/>
      <c r="FJ72" s="3"/>
      <c r="FN72" s="3"/>
      <c r="FS72" s="3">
        <v>45455</v>
      </c>
      <c r="FT72">
        <v>9876</v>
      </c>
      <c r="FU72">
        <v>235948</v>
      </c>
      <c r="FV72">
        <v>-242976</v>
      </c>
      <c r="FW72" s="3">
        <v>45455</v>
      </c>
      <c r="FX72">
        <v>-42402</v>
      </c>
      <c r="FY72">
        <v>65023</v>
      </c>
      <c r="FZ72">
        <v>-24340</v>
      </c>
      <c r="GA72" s="3">
        <v>45455</v>
      </c>
      <c r="GB72">
        <v>25387</v>
      </c>
      <c r="GC72">
        <v>4274</v>
      </c>
      <c r="GD72">
        <v>-26953</v>
      </c>
      <c r="GE72" s="3">
        <v>45455</v>
      </c>
      <c r="GF72">
        <v>828</v>
      </c>
      <c r="GG72">
        <v>-486</v>
      </c>
      <c r="GH72">
        <v>-186</v>
      </c>
      <c r="GI72" s="3">
        <v>45455</v>
      </c>
      <c r="GJ72">
        <v>395</v>
      </c>
      <c r="GK72">
        <v>-120</v>
      </c>
      <c r="GL72">
        <v>-255</v>
      </c>
      <c r="GM72" s="3">
        <v>45455</v>
      </c>
      <c r="GN72">
        <v>1362</v>
      </c>
      <c r="GO72">
        <v>569</v>
      </c>
      <c r="GP72">
        <v>-2025</v>
      </c>
      <c r="GQ72" s="3">
        <v>45455</v>
      </c>
      <c r="GR72">
        <v>-516</v>
      </c>
      <c r="GS72">
        <v>-424</v>
      </c>
      <c r="GT72">
        <v>466</v>
      </c>
      <c r="GU72" s="3">
        <v>45455</v>
      </c>
      <c r="GV72">
        <v>-259</v>
      </c>
      <c r="GW72">
        <v>-5</v>
      </c>
      <c r="GX72">
        <v>-87</v>
      </c>
      <c r="GY72" s="3">
        <v>45455</v>
      </c>
      <c r="GZ72">
        <v>-8</v>
      </c>
      <c r="HA72">
        <v>-571</v>
      </c>
      <c r="HB72">
        <v>663</v>
      </c>
      <c r="HC72" s="3">
        <v>45455</v>
      </c>
      <c r="HD72">
        <v>1021</v>
      </c>
      <c r="HE72">
        <v>3479</v>
      </c>
      <c r="HF72">
        <v>-6112</v>
      </c>
      <c r="HG72" s="3">
        <v>45455</v>
      </c>
      <c r="HH72">
        <v>383</v>
      </c>
      <c r="HI72">
        <v>-53</v>
      </c>
      <c r="HJ72">
        <v>-379</v>
      </c>
      <c r="HK72" s="3">
        <v>45455</v>
      </c>
      <c r="HL72">
        <v>-121</v>
      </c>
      <c r="HM72">
        <v>-118</v>
      </c>
      <c r="HN72">
        <v>260</v>
      </c>
      <c r="HO72" s="3">
        <v>45455</v>
      </c>
      <c r="HP72">
        <v>269</v>
      </c>
      <c r="HQ72">
        <v>692</v>
      </c>
      <c r="HR72">
        <v>-883</v>
      </c>
      <c r="HS72" s="3">
        <v>45455</v>
      </c>
      <c r="HT72">
        <v>138</v>
      </c>
      <c r="HU72">
        <v>-541</v>
      </c>
      <c r="HV72">
        <v>1051</v>
      </c>
      <c r="HW72" s="3">
        <v>45455</v>
      </c>
      <c r="HX72">
        <v>-173</v>
      </c>
      <c r="HY72">
        <v>54</v>
      </c>
      <c r="HZ72">
        <v>97</v>
      </c>
      <c r="IA72" s="3">
        <v>45455</v>
      </c>
      <c r="IB72">
        <v>-83</v>
      </c>
      <c r="IC72">
        <v>-2719</v>
      </c>
      <c r="ID72">
        <v>2662</v>
      </c>
      <c r="IE72" s="3">
        <v>45455</v>
      </c>
      <c r="IF72">
        <v>-814</v>
      </c>
      <c r="IG72">
        <v>-218</v>
      </c>
      <c r="IH72">
        <v>1026</v>
      </c>
      <c r="II72" s="3">
        <v>45455</v>
      </c>
      <c r="IJ72">
        <v>-155</v>
      </c>
      <c r="IK72">
        <v>-34</v>
      </c>
      <c r="IL72">
        <v>176</v>
      </c>
      <c r="IM72" s="3">
        <v>45455</v>
      </c>
      <c r="IN72">
        <v>-1200</v>
      </c>
      <c r="IO72">
        <v>41</v>
      </c>
      <c r="IP72">
        <v>1120</v>
      </c>
      <c r="IQ72" s="3">
        <v>45455</v>
      </c>
      <c r="IR72">
        <v>-339</v>
      </c>
      <c r="IS72">
        <v>-294</v>
      </c>
      <c r="IT72">
        <v>535</v>
      </c>
      <c r="IU72" s="3">
        <v>45455</v>
      </c>
      <c r="IV72">
        <v>-141</v>
      </c>
      <c r="IW72">
        <v>-101</v>
      </c>
      <c r="IX72">
        <v>194</v>
      </c>
      <c r="IY72" s="3">
        <v>45455</v>
      </c>
      <c r="IZ72">
        <v>-8</v>
      </c>
      <c r="JA72">
        <v>-345</v>
      </c>
      <c r="JB72">
        <v>71</v>
      </c>
      <c r="JC72" s="3">
        <v>45455</v>
      </c>
      <c r="JD72">
        <v>2601</v>
      </c>
      <c r="JE72">
        <v>4186</v>
      </c>
      <c r="JF72">
        <v>-8956</v>
      </c>
      <c r="JG72" s="3">
        <v>45455</v>
      </c>
      <c r="JH72">
        <v>61</v>
      </c>
      <c r="JI72">
        <v>-132</v>
      </c>
      <c r="JJ72">
        <v>-360</v>
      </c>
      <c r="JK72" s="3">
        <v>45455</v>
      </c>
      <c r="JL72">
        <v>-244</v>
      </c>
      <c r="JM72">
        <v>-2449</v>
      </c>
      <c r="JN72">
        <v>2420</v>
      </c>
      <c r="JO72" s="3">
        <v>45455</v>
      </c>
      <c r="JP72">
        <v>495</v>
      </c>
      <c r="JQ72">
        <v>3402</v>
      </c>
      <c r="JR72">
        <v>-5220</v>
      </c>
      <c r="JS72" s="3"/>
      <c r="JW72" s="3"/>
      <c r="KA72" s="3"/>
      <c r="KE72" s="3"/>
      <c r="KI72" s="3"/>
      <c r="KM72" s="3"/>
      <c r="KQ72" s="3"/>
      <c r="KU72" s="3"/>
      <c r="KY72" s="3"/>
      <c r="LC72" s="3"/>
      <c r="LG72" s="3"/>
      <c r="LK72" s="3"/>
      <c r="LO72" s="3"/>
    </row>
    <row r="73" spans="3:327">
      <c r="C73" s="26" t="str">
        <f t="shared" ref="C73:D73" si="230">C28</f>
        <v>제조업</v>
      </c>
      <c r="D73" s="27" t="str">
        <f t="shared" si="230"/>
        <v>027</v>
      </c>
      <c r="E73" s="50" cm="1">
        <f t="array" aca="1" ref="E73" ca="1">IF( $D73=0, "", _xll.IMDP("IDX",$D73,"기관순매수금액",TODAY()-1,"fill=true") )</f>
        <v>-331295</v>
      </c>
      <c r="F73" s="51" cm="1">
        <f t="array" aca="1" ref="F73" ca="1">IF( $E73="", "", INDEX($R$52:$FQ$52, 1, MATCH(ROW()-ROW($C$50), $R$50:$FQ$50, 0)+1) )</f>
        <v>-40654</v>
      </c>
      <c r="G73" s="52" cm="1">
        <f t="array" aca="1" ref="G73" ca="1">IF( $E73="", "", INDEX($FS$52:$LR$52, 1, MATCH(ROW()-ROW($C$50), $R$50:$FQ$50, 0)+1) )</f>
        <v>-49301</v>
      </c>
      <c r="H73" s="53" cm="1">
        <f t="array" aca="1" ref="H73" ca="1">IF( $D73=0, "", _xll.IMDP("IDX",$D73,"외국인합순매수금액",TODAY()-1,"fill=true") )</f>
        <v>-41091</v>
      </c>
      <c r="I73" s="51" cm="1">
        <f t="array" aca="1" ref="I73" ca="1">IF( $H73="", "", INDEX($R$52:$FQ$52, 1, MATCH(ROW()-ROW($C$50), $R$50:$FQ$50, 0)+2))</f>
        <v>23144</v>
      </c>
      <c r="J73" s="54" cm="1">
        <f t="array" aca="1" ref="J73" ca="1">IF( $H73="", "", INDEX($FS$52:$LR$52, 1, MATCH(ROW()-ROW($C$50), $R$50:$FQ$50, 0)+2))</f>
        <v>19718</v>
      </c>
      <c r="K73" s="55" cm="1">
        <f t="array" aca="1" ref="K73" ca="1">IF( $D73=0, "", _xll.IMDP("IDX",$D73,"개인순매수금액",TODAY()-1,"fill=true"))</f>
        <v>371090</v>
      </c>
      <c r="L73" s="51" cm="1">
        <f t="array" aca="1" ref="L73" ca="1">IF( $K73="", "", INDEX($R$52:$FQ$52, 1, MATCH(ROW()-ROW($C$50), $R$50:$FQ$50, 0)+3))</f>
        <v>5258</v>
      </c>
      <c r="M73" s="56" cm="1">
        <f t="array" aca="1" ref="M73" ca="1">IF( $K73="", "", INDEX($FS$52:$LR$52, 1, MATCH(ROW()-ROW($C$50), $R$50:$FQ$50, 0)+3))</f>
        <v>8909</v>
      </c>
      <c r="R73" s="3">
        <v>45454</v>
      </c>
      <c r="S73">
        <v>-118424</v>
      </c>
      <c r="T73">
        <v>-223452</v>
      </c>
      <c r="U73">
        <v>343628</v>
      </c>
      <c r="V73" s="3">
        <v>45454</v>
      </c>
      <c r="W73">
        <v>-159323</v>
      </c>
      <c r="X73">
        <v>-161037</v>
      </c>
      <c r="Y73">
        <v>326369</v>
      </c>
      <c r="Z73" s="3">
        <v>45454</v>
      </c>
      <c r="AA73">
        <v>166</v>
      </c>
      <c r="AB73">
        <v>-212</v>
      </c>
      <c r="AC73">
        <v>-148</v>
      </c>
      <c r="AD73" s="3">
        <v>45454</v>
      </c>
      <c r="AE73">
        <v>48</v>
      </c>
      <c r="AF73">
        <v>-324</v>
      </c>
      <c r="AG73">
        <v>284</v>
      </c>
      <c r="AH73" s="3">
        <v>45454</v>
      </c>
      <c r="AI73">
        <v>34</v>
      </c>
      <c r="AJ73">
        <v>-249</v>
      </c>
      <c r="AK73">
        <v>220</v>
      </c>
      <c r="AL73" s="3">
        <v>45454</v>
      </c>
      <c r="AM73">
        <v>802</v>
      </c>
      <c r="AN73">
        <v>-403</v>
      </c>
      <c r="AO73">
        <v>-439</v>
      </c>
      <c r="AP73" s="3">
        <v>45454</v>
      </c>
      <c r="AQ73">
        <v>-216</v>
      </c>
      <c r="AR73">
        <v>-502</v>
      </c>
      <c r="AS73">
        <v>731</v>
      </c>
      <c r="AT73" s="3">
        <v>45454</v>
      </c>
      <c r="AU73">
        <v>-167</v>
      </c>
      <c r="AV73">
        <v>59</v>
      </c>
      <c r="AW73">
        <v>-65</v>
      </c>
      <c r="AX73" s="3">
        <v>45454</v>
      </c>
      <c r="AY73">
        <v>-195</v>
      </c>
      <c r="AZ73">
        <v>-771</v>
      </c>
      <c r="BA73">
        <v>845</v>
      </c>
      <c r="BB73" s="3">
        <v>45454</v>
      </c>
      <c r="BC73">
        <v>277</v>
      </c>
      <c r="BD73">
        <v>-810</v>
      </c>
      <c r="BE73">
        <v>-163</v>
      </c>
      <c r="BF73" s="3">
        <v>45454</v>
      </c>
      <c r="BG73">
        <v>-1404</v>
      </c>
      <c r="BH73">
        <v>-3391</v>
      </c>
      <c r="BI73">
        <v>4753</v>
      </c>
      <c r="BJ73" s="3">
        <v>45454</v>
      </c>
      <c r="BK73">
        <v>77</v>
      </c>
      <c r="BL73">
        <v>91</v>
      </c>
      <c r="BM73">
        <v>-163</v>
      </c>
      <c r="BN73" s="3">
        <v>45454</v>
      </c>
      <c r="BO73">
        <v>-290</v>
      </c>
      <c r="BP73">
        <v>-1460</v>
      </c>
      <c r="BQ73">
        <v>1760</v>
      </c>
      <c r="BR73" s="3">
        <v>45454</v>
      </c>
      <c r="BS73">
        <v>-11</v>
      </c>
      <c r="BT73">
        <v>-1042</v>
      </c>
      <c r="BU73">
        <v>1281</v>
      </c>
      <c r="BV73" s="3">
        <v>45454</v>
      </c>
      <c r="BW73">
        <v>-387</v>
      </c>
      <c r="BX73">
        <v>68</v>
      </c>
      <c r="BY73">
        <v>329</v>
      </c>
      <c r="BZ73" s="3">
        <v>45454</v>
      </c>
      <c r="CA73">
        <v>-123</v>
      </c>
      <c r="CB73">
        <v>-891</v>
      </c>
      <c r="CC73">
        <v>864</v>
      </c>
      <c r="CD73" s="3">
        <v>45454</v>
      </c>
      <c r="CE73">
        <v>-702</v>
      </c>
      <c r="CF73">
        <v>-1639</v>
      </c>
      <c r="CG73">
        <v>2395</v>
      </c>
      <c r="CH73" s="3">
        <v>45454</v>
      </c>
      <c r="CI73">
        <v>-159</v>
      </c>
      <c r="CJ73">
        <v>-365</v>
      </c>
      <c r="CK73">
        <v>518</v>
      </c>
      <c r="CL73" s="3">
        <v>45454</v>
      </c>
      <c r="CM73">
        <v>-1150</v>
      </c>
      <c r="CN73">
        <v>-1117</v>
      </c>
      <c r="CO73">
        <v>1972</v>
      </c>
      <c r="CP73" s="3">
        <v>45454</v>
      </c>
      <c r="CQ73">
        <v>-73</v>
      </c>
      <c r="CR73">
        <v>-543</v>
      </c>
      <c r="CS73">
        <v>510</v>
      </c>
      <c r="CT73" s="3">
        <v>45454</v>
      </c>
      <c r="CU73">
        <v>75</v>
      </c>
      <c r="CV73">
        <v>-163</v>
      </c>
      <c r="CW73">
        <v>68</v>
      </c>
      <c r="CX73" s="3">
        <v>45454</v>
      </c>
      <c r="CY73">
        <v>-20</v>
      </c>
      <c r="CZ73">
        <v>-886</v>
      </c>
      <c r="DA73">
        <v>830</v>
      </c>
      <c r="DB73" s="3">
        <v>45454</v>
      </c>
      <c r="DC73">
        <v>-954</v>
      </c>
      <c r="DD73">
        <v>-7868</v>
      </c>
      <c r="DE73">
        <v>7592</v>
      </c>
      <c r="DF73" s="3">
        <v>45454</v>
      </c>
      <c r="DG73">
        <v>-3034</v>
      </c>
      <c r="DH73">
        <v>-5542</v>
      </c>
      <c r="DI73">
        <v>8177</v>
      </c>
      <c r="DJ73" s="3">
        <v>45454</v>
      </c>
      <c r="DK73">
        <v>-1221</v>
      </c>
      <c r="DL73">
        <v>-3519</v>
      </c>
      <c r="DM73">
        <v>4401</v>
      </c>
      <c r="DN73" s="3">
        <v>45454</v>
      </c>
      <c r="DO73">
        <v>794</v>
      </c>
      <c r="DP73">
        <v>-4202</v>
      </c>
      <c r="DQ73">
        <v>2712</v>
      </c>
      <c r="DR73" s="3"/>
      <c r="DV73" s="3"/>
      <c r="DZ73" s="3"/>
      <c r="ED73" s="3"/>
      <c r="EH73" s="3"/>
      <c r="EL73" s="3"/>
      <c r="EP73" s="3"/>
      <c r="ET73" s="3"/>
      <c r="EX73" s="3"/>
      <c r="FB73" s="3"/>
      <c r="FF73" s="3"/>
      <c r="FJ73" s="3"/>
      <c r="FN73" s="3"/>
      <c r="FS73" s="3">
        <v>45454</v>
      </c>
      <c r="FT73">
        <v>-118424</v>
      </c>
      <c r="FU73">
        <v>-223452</v>
      </c>
      <c r="FV73">
        <v>343628</v>
      </c>
      <c r="FW73" s="3">
        <v>45454</v>
      </c>
      <c r="FX73">
        <v>-159323</v>
      </c>
      <c r="FY73">
        <v>-161037</v>
      </c>
      <c r="FZ73">
        <v>326369</v>
      </c>
      <c r="GA73" s="3">
        <v>45454</v>
      </c>
      <c r="GB73">
        <v>-616</v>
      </c>
      <c r="GC73">
        <v>-20042</v>
      </c>
      <c r="GD73">
        <v>22853</v>
      </c>
      <c r="GE73" s="3">
        <v>45454</v>
      </c>
      <c r="GF73">
        <v>1020</v>
      </c>
      <c r="GG73">
        <v>-630</v>
      </c>
      <c r="GH73">
        <v>-347</v>
      </c>
      <c r="GI73" s="3">
        <v>45454</v>
      </c>
      <c r="GJ73">
        <v>310</v>
      </c>
      <c r="GK73">
        <v>-832</v>
      </c>
      <c r="GL73">
        <v>532</v>
      </c>
      <c r="GM73" s="3">
        <v>45454</v>
      </c>
      <c r="GN73">
        <v>802</v>
      </c>
      <c r="GO73">
        <v>-403</v>
      </c>
      <c r="GP73">
        <v>-439</v>
      </c>
      <c r="GQ73" s="3">
        <v>45454</v>
      </c>
      <c r="GR73">
        <v>-216</v>
      </c>
      <c r="GS73">
        <v>-502</v>
      </c>
      <c r="GT73">
        <v>731</v>
      </c>
      <c r="GU73" s="3">
        <v>45454</v>
      </c>
      <c r="GV73">
        <v>-167</v>
      </c>
      <c r="GW73">
        <v>59</v>
      </c>
      <c r="GX73">
        <v>-65</v>
      </c>
      <c r="GY73" s="3">
        <v>45454</v>
      </c>
      <c r="GZ73">
        <v>-195</v>
      </c>
      <c r="HA73">
        <v>-771</v>
      </c>
      <c r="HB73">
        <v>845</v>
      </c>
      <c r="HC73" s="3">
        <v>45454</v>
      </c>
      <c r="HD73">
        <v>277</v>
      </c>
      <c r="HE73">
        <v>-810</v>
      </c>
      <c r="HF73">
        <v>-163</v>
      </c>
      <c r="HG73" s="3">
        <v>45454</v>
      </c>
      <c r="HH73">
        <v>-1404</v>
      </c>
      <c r="HI73">
        <v>-3391</v>
      </c>
      <c r="HJ73">
        <v>4753</v>
      </c>
      <c r="HK73" s="3">
        <v>45454</v>
      </c>
      <c r="HL73">
        <v>77</v>
      </c>
      <c r="HM73">
        <v>91</v>
      </c>
      <c r="HN73">
        <v>-163</v>
      </c>
      <c r="HO73" s="3">
        <v>45454</v>
      </c>
      <c r="HP73">
        <v>-290</v>
      </c>
      <c r="HQ73">
        <v>-1460</v>
      </c>
      <c r="HR73">
        <v>1760</v>
      </c>
      <c r="HS73" s="3">
        <v>45454</v>
      </c>
      <c r="HT73">
        <v>-11</v>
      </c>
      <c r="HU73">
        <v>-1042</v>
      </c>
      <c r="HV73">
        <v>1281</v>
      </c>
      <c r="HW73" s="3">
        <v>45454</v>
      </c>
      <c r="HX73">
        <v>-387</v>
      </c>
      <c r="HY73">
        <v>68</v>
      </c>
      <c r="HZ73">
        <v>329</v>
      </c>
      <c r="IA73" s="3">
        <v>45454</v>
      </c>
      <c r="IB73">
        <v>-123</v>
      </c>
      <c r="IC73">
        <v>-891</v>
      </c>
      <c r="ID73">
        <v>864</v>
      </c>
      <c r="IE73" s="3">
        <v>45454</v>
      </c>
      <c r="IF73">
        <v>-702</v>
      </c>
      <c r="IG73">
        <v>-1639</v>
      </c>
      <c r="IH73">
        <v>2395</v>
      </c>
      <c r="II73" s="3">
        <v>45454</v>
      </c>
      <c r="IJ73">
        <v>-159</v>
      </c>
      <c r="IK73">
        <v>-365</v>
      </c>
      <c r="IL73">
        <v>518</v>
      </c>
      <c r="IM73" s="3">
        <v>45454</v>
      </c>
      <c r="IN73">
        <v>-1150</v>
      </c>
      <c r="IO73">
        <v>-1117</v>
      </c>
      <c r="IP73">
        <v>1972</v>
      </c>
      <c r="IQ73" s="3">
        <v>45454</v>
      </c>
      <c r="IR73">
        <v>-73</v>
      </c>
      <c r="IS73">
        <v>-543</v>
      </c>
      <c r="IT73">
        <v>510</v>
      </c>
      <c r="IU73" s="3">
        <v>45454</v>
      </c>
      <c r="IV73">
        <v>75</v>
      </c>
      <c r="IW73">
        <v>-163</v>
      </c>
      <c r="IX73">
        <v>68</v>
      </c>
      <c r="IY73" s="3">
        <v>45454</v>
      </c>
      <c r="IZ73">
        <v>-20</v>
      </c>
      <c r="JA73">
        <v>-886</v>
      </c>
      <c r="JB73">
        <v>830</v>
      </c>
      <c r="JC73" s="3">
        <v>45454</v>
      </c>
      <c r="JD73">
        <v>-954</v>
      </c>
      <c r="JE73">
        <v>-7868</v>
      </c>
      <c r="JF73">
        <v>7592</v>
      </c>
      <c r="JG73" s="3">
        <v>45454</v>
      </c>
      <c r="JH73">
        <v>-3034</v>
      </c>
      <c r="JI73">
        <v>-5542</v>
      </c>
      <c r="JJ73">
        <v>8177</v>
      </c>
      <c r="JK73" s="3">
        <v>45454</v>
      </c>
      <c r="JL73">
        <v>-1221</v>
      </c>
      <c r="JM73">
        <v>-3519</v>
      </c>
      <c r="JN73">
        <v>4401</v>
      </c>
      <c r="JO73" s="3">
        <v>45454</v>
      </c>
      <c r="JP73">
        <v>794</v>
      </c>
      <c r="JQ73">
        <v>-4202</v>
      </c>
      <c r="JR73">
        <v>2712</v>
      </c>
      <c r="JS73" s="3"/>
      <c r="JW73" s="3"/>
      <c r="KA73" s="3"/>
      <c r="KE73" s="3"/>
      <c r="KI73" s="3"/>
      <c r="KM73" s="3"/>
      <c r="KQ73" s="3"/>
      <c r="KU73" s="3"/>
      <c r="KY73" s="3"/>
      <c r="LC73" s="3"/>
      <c r="LG73" s="3"/>
      <c r="LK73" s="3"/>
      <c r="LO73" s="3"/>
    </row>
    <row r="74" spans="3:327">
      <c r="C74" s="26" t="str">
        <f t="shared" ref="C74:D74" si="231">C29</f>
        <v>KOSPI 대형주</v>
      </c>
      <c r="D74" s="27" t="str">
        <f t="shared" si="231"/>
        <v>201</v>
      </c>
      <c r="E74" s="50" cm="1">
        <f t="array" aca="1" ref="E74" ca="1">IF( $D74=0, "", _xll.IMDP("IDX",$D74,"기관순매수금액",TODAY()-1,"fill=true") )</f>
        <v>-249625</v>
      </c>
      <c r="F74" s="51" cm="1">
        <f t="array" aca="1" ref="F74" ca="1">IF( $E74="", "", INDEX($R$52:$FQ$52, 1, MATCH(ROW()-ROW($C$50), $R$50:$FQ$50, 0)+1) )</f>
        <v>-33315</v>
      </c>
      <c r="G74" s="52" cm="1">
        <f t="array" aca="1" ref="G74" ca="1">IF( $E74="", "", INDEX($FS$52:$LR$52, 1, MATCH(ROW()-ROW($C$50), $R$50:$FQ$50, 0)+1) )</f>
        <v>-78364</v>
      </c>
      <c r="H74" s="53" cm="1">
        <f t="array" aca="1" ref="H74" ca="1">IF( $D74=0, "", _xll.IMDP("IDX",$D74,"외국인합순매수금액",TODAY()-1,"fill=true") )</f>
        <v>20328</v>
      </c>
      <c r="I74" s="51" cm="1">
        <f t="array" aca="1" ref="I74" ca="1">IF( $H74="", "", INDEX($R$52:$FQ$52, 1, MATCH(ROW()-ROW($C$50), $R$50:$FQ$50, 0)+2))</f>
        <v>35449</v>
      </c>
      <c r="J74" s="54" cm="1">
        <f t="array" aca="1" ref="J74" ca="1">IF( $H74="", "", INDEX($FS$52:$LR$52, 1, MATCH(ROW()-ROW($C$50), $R$50:$FQ$50, 0)+2))</f>
        <v>15266</v>
      </c>
      <c r="K74" s="55" cm="1">
        <f t="array" aca="1" ref="K74" ca="1">IF( $D74=0, "", _xll.IMDP("IDX",$D74,"개인순매수금액",TODAY()-1,"fill=true"))</f>
        <v>237800</v>
      </c>
      <c r="L74" s="51" cm="1">
        <f t="array" aca="1" ref="L74" ca="1">IF( $K74="", "", INDEX($R$52:$FQ$52, 1, MATCH(ROW()-ROW($C$50), $R$50:$FQ$50, 0)+3))</f>
        <v>-5686</v>
      </c>
      <c r="M74" s="56" cm="1">
        <f t="array" aca="1" ref="M74" ca="1">IF( $K74="", "", INDEX($FS$52:$LR$52, 1, MATCH(ROW()-ROW($C$50), $R$50:$FQ$50, 0)+3))</f>
        <v>52276</v>
      </c>
      <c r="R74" s="3">
        <v>45453</v>
      </c>
      <c r="S74">
        <v>-566989</v>
      </c>
      <c r="T74">
        <v>17915</v>
      </c>
      <c r="U74">
        <v>556561</v>
      </c>
      <c r="V74" s="3">
        <v>45453</v>
      </c>
      <c r="W74">
        <v>-574042</v>
      </c>
      <c r="X74">
        <v>-42367</v>
      </c>
      <c r="Y74">
        <v>618299</v>
      </c>
      <c r="Z74" s="3">
        <v>45453</v>
      </c>
      <c r="AA74">
        <v>338</v>
      </c>
      <c r="AB74">
        <v>333</v>
      </c>
      <c r="AC74">
        <v>-508</v>
      </c>
      <c r="AD74" s="3">
        <v>45453</v>
      </c>
      <c r="AE74">
        <v>-3</v>
      </c>
      <c r="AF74">
        <v>718</v>
      </c>
      <c r="AG74">
        <v>-758</v>
      </c>
      <c r="AH74" s="3">
        <v>45453</v>
      </c>
      <c r="AI74">
        <v>82</v>
      </c>
      <c r="AJ74">
        <v>-156</v>
      </c>
      <c r="AK74">
        <v>39</v>
      </c>
      <c r="AL74" s="3">
        <v>45453</v>
      </c>
      <c r="AM74">
        <v>-345</v>
      </c>
      <c r="AN74">
        <v>-208</v>
      </c>
      <c r="AO74">
        <v>646</v>
      </c>
      <c r="AP74" s="3">
        <v>45453</v>
      </c>
      <c r="AQ74">
        <v>-188</v>
      </c>
      <c r="AR74">
        <v>-511</v>
      </c>
      <c r="AS74">
        <v>740</v>
      </c>
      <c r="AT74" s="3">
        <v>45453</v>
      </c>
      <c r="AU74">
        <v>33</v>
      </c>
      <c r="AV74">
        <v>117</v>
      </c>
      <c r="AW74">
        <v>-285</v>
      </c>
      <c r="AX74" s="3">
        <v>45453</v>
      </c>
      <c r="AY74">
        <v>-389</v>
      </c>
      <c r="AZ74">
        <v>-510</v>
      </c>
      <c r="BA74">
        <v>904</v>
      </c>
      <c r="BB74" s="3">
        <v>45453</v>
      </c>
      <c r="BC74">
        <v>-69</v>
      </c>
      <c r="BD74">
        <v>-1750</v>
      </c>
      <c r="BE74">
        <v>1361</v>
      </c>
      <c r="BF74" s="3">
        <v>45453</v>
      </c>
      <c r="BG74">
        <v>-3728</v>
      </c>
      <c r="BH74">
        <v>-3027</v>
      </c>
      <c r="BI74">
        <v>6619</v>
      </c>
      <c r="BJ74" s="3">
        <v>45453</v>
      </c>
      <c r="BK74">
        <v>46</v>
      </c>
      <c r="BL74">
        <v>-97</v>
      </c>
      <c r="BM74">
        <v>65</v>
      </c>
      <c r="BN74" s="3">
        <v>45453</v>
      </c>
      <c r="BO74">
        <v>-353</v>
      </c>
      <c r="BP74">
        <v>1249</v>
      </c>
      <c r="BQ74">
        <v>-879</v>
      </c>
      <c r="BR74" s="3">
        <v>45453</v>
      </c>
      <c r="BS74">
        <v>-411</v>
      </c>
      <c r="BT74">
        <v>1325</v>
      </c>
      <c r="BU74">
        <v>-604</v>
      </c>
      <c r="BV74" s="3">
        <v>45453</v>
      </c>
      <c r="BW74">
        <v>-88</v>
      </c>
      <c r="BX74">
        <v>-247</v>
      </c>
      <c r="BY74">
        <v>328</v>
      </c>
      <c r="BZ74" s="3">
        <v>45453</v>
      </c>
      <c r="CA74">
        <v>-247</v>
      </c>
      <c r="CB74">
        <v>-1231</v>
      </c>
      <c r="CC74">
        <v>1478</v>
      </c>
      <c r="CD74" s="3">
        <v>45453</v>
      </c>
      <c r="CE74">
        <v>-1224</v>
      </c>
      <c r="CF74">
        <v>-243</v>
      </c>
      <c r="CG74">
        <v>1348</v>
      </c>
      <c r="CH74" s="3">
        <v>45453</v>
      </c>
      <c r="CI74">
        <v>-201</v>
      </c>
      <c r="CJ74">
        <v>-169</v>
      </c>
      <c r="CK74">
        <v>362</v>
      </c>
      <c r="CL74" s="3">
        <v>45453</v>
      </c>
      <c r="CM74">
        <v>-2311</v>
      </c>
      <c r="CN74">
        <v>841</v>
      </c>
      <c r="CO74">
        <v>1381</v>
      </c>
      <c r="CP74" s="3">
        <v>45453</v>
      </c>
      <c r="CQ74">
        <v>-140</v>
      </c>
      <c r="CR74">
        <v>-109</v>
      </c>
      <c r="CS74">
        <v>179</v>
      </c>
      <c r="CT74" s="3">
        <v>45453</v>
      </c>
      <c r="CU74">
        <v>-9</v>
      </c>
      <c r="CV74">
        <v>548</v>
      </c>
      <c r="CW74">
        <v>-533</v>
      </c>
      <c r="CX74" s="3">
        <v>45453</v>
      </c>
      <c r="CY74">
        <v>-727</v>
      </c>
      <c r="CZ74">
        <v>-1091</v>
      </c>
      <c r="DA74">
        <v>1766</v>
      </c>
      <c r="DB74" s="3">
        <v>45453</v>
      </c>
      <c r="DC74">
        <v>-4690</v>
      </c>
      <c r="DD74">
        <v>-3642</v>
      </c>
      <c r="DE74">
        <v>7831</v>
      </c>
      <c r="DF74" s="3">
        <v>45453</v>
      </c>
      <c r="DG74">
        <v>-8069</v>
      </c>
      <c r="DH74">
        <v>-3603</v>
      </c>
      <c r="DI74">
        <v>11599</v>
      </c>
      <c r="DJ74" s="3">
        <v>45453</v>
      </c>
      <c r="DK74">
        <v>-2298</v>
      </c>
      <c r="DL74">
        <v>-1076</v>
      </c>
      <c r="DM74">
        <v>3249</v>
      </c>
      <c r="DN74" s="3">
        <v>45453</v>
      </c>
      <c r="DO74">
        <v>545</v>
      </c>
      <c r="DP74">
        <v>3</v>
      </c>
      <c r="DQ74">
        <v>-820</v>
      </c>
      <c r="DR74" s="3"/>
      <c r="DV74" s="3"/>
      <c r="DZ74" s="3"/>
      <c r="ED74" s="3"/>
      <c r="EH74" s="3"/>
      <c r="EL74" s="3"/>
      <c r="EP74" s="3"/>
      <c r="ET74" s="3"/>
      <c r="EX74" s="3"/>
      <c r="FB74" s="3"/>
      <c r="FF74" s="3"/>
      <c r="FJ74" s="3"/>
      <c r="FN74" s="3"/>
      <c r="FS74" s="3">
        <v>45453</v>
      </c>
      <c r="FT74">
        <v>-566989</v>
      </c>
      <c r="FU74">
        <v>17915</v>
      </c>
      <c r="FV74">
        <v>556561</v>
      </c>
      <c r="FW74" s="3">
        <v>45453</v>
      </c>
      <c r="FX74">
        <v>-574042</v>
      </c>
      <c r="FY74">
        <v>-42367</v>
      </c>
      <c r="FZ74">
        <v>618299</v>
      </c>
      <c r="GA74" s="3">
        <v>45453</v>
      </c>
      <c r="GB74">
        <v>39355</v>
      </c>
      <c r="GC74">
        <v>823</v>
      </c>
      <c r="GD74">
        <v>-25457</v>
      </c>
      <c r="GE74" s="3">
        <v>45453</v>
      </c>
      <c r="GF74">
        <v>-663</v>
      </c>
      <c r="GG74">
        <v>101</v>
      </c>
      <c r="GH74">
        <v>328</v>
      </c>
      <c r="GI74" s="3">
        <v>45453</v>
      </c>
      <c r="GJ74">
        <v>727</v>
      </c>
      <c r="GK74">
        <v>-276</v>
      </c>
      <c r="GL74">
        <v>-559</v>
      </c>
      <c r="GM74" s="3">
        <v>45453</v>
      </c>
      <c r="GN74">
        <v>-345</v>
      </c>
      <c r="GO74">
        <v>-208</v>
      </c>
      <c r="GP74">
        <v>646</v>
      </c>
      <c r="GQ74" s="3">
        <v>45453</v>
      </c>
      <c r="GR74">
        <v>-188</v>
      </c>
      <c r="GS74">
        <v>-511</v>
      </c>
      <c r="GT74">
        <v>740</v>
      </c>
      <c r="GU74" s="3">
        <v>45453</v>
      </c>
      <c r="GV74">
        <v>33</v>
      </c>
      <c r="GW74">
        <v>117</v>
      </c>
      <c r="GX74">
        <v>-285</v>
      </c>
      <c r="GY74" s="3">
        <v>45453</v>
      </c>
      <c r="GZ74">
        <v>-389</v>
      </c>
      <c r="HA74">
        <v>-510</v>
      </c>
      <c r="HB74">
        <v>904</v>
      </c>
      <c r="HC74" s="3">
        <v>45453</v>
      </c>
      <c r="HD74">
        <v>-69</v>
      </c>
      <c r="HE74">
        <v>-1750</v>
      </c>
      <c r="HF74">
        <v>1361</v>
      </c>
      <c r="HG74" s="3">
        <v>45453</v>
      </c>
      <c r="HH74">
        <v>-3728</v>
      </c>
      <c r="HI74">
        <v>-3027</v>
      </c>
      <c r="HJ74">
        <v>6619</v>
      </c>
      <c r="HK74" s="3">
        <v>45453</v>
      </c>
      <c r="HL74">
        <v>46</v>
      </c>
      <c r="HM74">
        <v>-97</v>
      </c>
      <c r="HN74">
        <v>65</v>
      </c>
      <c r="HO74" s="3">
        <v>45453</v>
      </c>
      <c r="HP74">
        <v>-353</v>
      </c>
      <c r="HQ74">
        <v>1249</v>
      </c>
      <c r="HR74">
        <v>-879</v>
      </c>
      <c r="HS74" s="3">
        <v>45453</v>
      </c>
      <c r="HT74">
        <v>-411</v>
      </c>
      <c r="HU74">
        <v>1325</v>
      </c>
      <c r="HV74">
        <v>-604</v>
      </c>
      <c r="HW74" s="3">
        <v>45453</v>
      </c>
      <c r="HX74">
        <v>-88</v>
      </c>
      <c r="HY74">
        <v>-247</v>
      </c>
      <c r="HZ74">
        <v>328</v>
      </c>
      <c r="IA74" s="3">
        <v>45453</v>
      </c>
      <c r="IB74">
        <v>-247</v>
      </c>
      <c r="IC74">
        <v>-1231</v>
      </c>
      <c r="ID74">
        <v>1478</v>
      </c>
      <c r="IE74" s="3">
        <v>45453</v>
      </c>
      <c r="IF74">
        <v>-1224</v>
      </c>
      <c r="IG74">
        <v>-243</v>
      </c>
      <c r="IH74">
        <v>1348</v>
      </c>
      <c r="II74" s="3">
        <v>45453</v>
      </c>
      <c r="IJ74">
        <v>-201</v>
      </c>
      <c r="IK74">
        <v>-169</v>
      </c>
      <c r="IL74">
        <v>362</v>
      </c>
      <c r="IM74" s="3">
        <v>45453</v>
      </c>
      <c r="IN74">
        <v>-2311</v>
      </c>
      <c r="IO74">
        <v>841</v>
      </c>
      <c r="IP74">
        <v>1381</v>
      </c>
      <c r="IQ74" s="3">
        <v>45453</v>
      </c>
      <c r="IR74">
        <v>-140</v>
      </c>
      <c r="IS74">
        <v>-109</v>
      </c>
      <c r="IT74">
        <v>179</v>
      </c>
      <c r="IU74" s="3">
        <v>45453</v>
      </c>
      <c r="IV74">
        <v>-9</v>
      </c>
      <c r="IW74">
        <v>548</v>
      </c>
      <c r="IX74">
        <v>-533</v>
      </c>
      <c r="IY74" s="3">
        <v>45453</v>
      </c>
      <c r="IZ74">
        <v>-727</v>
      </c>
      <c r="JA74">
        <v>-1091</v>
      </c>
      <c r="JB74">
        <v>1766</v>
      </c>
      <c r="JC74" s="3">
        <v>45453</v>
      </c>
      <c r="JD74">
        <v>-4690</v>
      </c>
      <c r="JE74">
        <v>-3642</v>
      </c>
      <c r="JF74">
        <v>7831</v>
      </c>
      <c r="JG74" s="3">
        <v>45453</v>
      </c>
      <c r="JH74">
        <v>-8069</v>
      </c>
      <c r="JI74">
        <v>-3603</v>
      </c>
      <c r="JJ74">
        <v>11599</v>
      </c>
      <c r="JK74" s="3">
        <v>45453</v>
      </c>
      <c r="JL74">
        <v>-2298</v>
      </c>
      <c r="JM74">
        <v>-1076</v>
      </c>
      <c r="JN74">
        <v>3249</v>
      </c>
      <c r="JO74" s="3">
        <v>45453</v>
      </c>
      <c r="JP74">
        <v>545</v>
      </c>
      <c r="JQ74">
        <v>3</v>
      </c>
      <c r="JR74">
        <v>-820</v>
      </c>
      <c r="JS74" s="3"/>
      <c r="JW74" s="3"/>
      <c r="KA74" s="3"/>
      <c r="KE74" s="3"/>
      <c r="KI74" s="3"/>
      <c r="KM74" s="3"/>
      <c r="KQ74" s="3"/>
      <c r="KU74" s="3"/>
      <c r="KY74" s="3"/>
      <c r="LC74" s="3"/>
      <c r="LG74" s="3"/>
      <c r="LK74" s="3"/>
      <c r="LO74" s="3"/>
    </row>
    <row r="75" spans="3:327">
      <c r="C75" s="26" t="str">
        <f t="shared" ref="C75:D75" si="232">C30</f>
        <v>KOSPI 중형주</v>
      </c>
      <c r="D75" s="27" t="str">
        <f t="shared" si="232"/>
        <v>202</v>
      </c>
      <c r="E75" s="50" cm="1">
        <f t="array" aca="1" ref="E75" ca="1">IF( $D75=0, "", _xll.IMDP("IDX",$D75,"기관순매수금액",TODAY()-1,"fill=true") )</f>
        <v>-82632</v>
      </c>
      <c r="F75" s="51" cm="1">
        <f t="array" aca="1" ref="F75" ca="1">IF( $E75="", "", INDEX($R$52:$FQ$52, 1, MATCH(ROW()-ROW($C$50), $R$50:$FQ$50, 0)+1) )</f>
        <v>-11371</v>
      </c>
      <c r="G75" s="52" cm="1">
        <f t="array" aca="1" ref="G75" ca="1">IF( $E75="", "", INDEX($FS$52:$LR$52, 1, MATCH(ROW()-ROW($C$50), $R$50:$FQ$50, 0)+1) )</f>
        <v>-14889</v>
      </c>
      <c r="H75" s="53" cm="1">
        <f t="array" aca="1" ref="H75" ca="1">IF( $D75=0, "", _xll.IMDP("IDX",$D75,"외국인합순매수금액",TODAY()-1,"fill=true") )</f>
        <v>-49360</v>
      </c>
      <c r="I75" s="51" cm="1">
        <f t="array" aca="1" ref="I75" ca="1">IF( $H75="", "", INDEX($R$52:$FQ$52, 1, MATCH(ROW()-ROW($C$50), $R$50:$FQ$50, 0)+2))</f>
        <v>-7593</v>
      </c>
      <c r="J75" s="54" cm="1">
        <f t="array" aca="1" ref="J75" ca="1">IF( $H75="", "", INDEX($FS$52:$LR$52, 1, MATCH(ROW()-ROW($C$50), $R$50:$FQ$50, 0)+2))</f>
        <v>42208</v>
      </c>
      <c r="K75" s="55" cm="1">
        <f t="array" aca="1" ref="K75" ca="1">IF( $D75=0, "", _xll.IMDP("IDX",$D75,"개인순매수금액",TODAY()-1,"fill=true"))</f>
        <v>134180</v>
      </c>
      <c r="L75" s="51" cm="1">
        <f t="array" aca="1" ref="L75" ca="1">IF( $K75="", "", INDEX($R$52:$FQ$52, 1, MATCH(ROW()-ROW($C$50), $R$50:$FQ$50, 0)+3))</f>
        <v>21118</v>
      </c>
      <c r="M75" s="56" cm="1">
        <f t="array" aca="1" ref="M75" ca="1">IF( $K75="", "", INDEX($FS$52:$LR$52, 1, MATCH(ROW()-ROW($C$50), $R$50:$FQ$50, 0)+3))</f>
        <v>-1134</v>
      </c>
      <c r="R75" s="3">
        <v>45450</v>
      </c>
      <c r="S75">
        <v>158198</v>
      </c>
      <c r="T75">
        <v>287289</v>
      </c>
      <c r="U75">
        <v>-471534</v>
      </c>
      <c r="V75" s="3">
        <v>45450</v>
      </c>
      <c r="W75">
        <v>164236</v>
      </c>
      <c r="X75">
        <v>213760</v>
      </c>
      <c r="Y75">
        <v>-404998</v>
      </c>
      <c r="Z75" s="3">
        <v>45450</v>
      </c>
      <c r="AA75">
        <v>296</v>
      </c>
      <c r="AB75">
        <v>-456</v>
      </c>
      <c r="AC75">
        <v>151</v>
      </c>
      <c r="AD75" s="3">
        <v>45450</v>
      </c>
      <c r="AE75">
        <v>25</v>
      </c>
      <c r="AF75">
        <v>-75</v>
      </c>
      <c r="AG75">
        <v>55</v>
      </c>
      <c r="AH75" s="3">
        <v>45450</v>
      </c>
      <c r="AI75">
        <v>3</v>
      </c>
      <c r="AJ75">
        <v>358</v>
      </c>
      <c r="AK75">
        <v>-378</v>
      </c>
      <c r="AL75" s="3">
        <v>45450</v>
      </c>
      <c r="AM75">
        <v>281</v>
      </c>
      <c r="AN75">
        <v>271</v>
      </c>
      <c r="AO75">
        <v>-334</v>
      </c>
      <c r="AP75" s="3">
        <v>45450</v>
      </c>
      <c r="AQ75">
        <v>-5</v>
      </c>
      <c r="AR75">
        <v>204</v>
      </c>
      <c r="AS75">
        <v>-261</v>
      </c>
      <c r="AT75" s="3">
        <v>45450</v>
      </c>
      <c r="AU75">
        <v>43</v>
      </c>
      <c r="AV75">
        <v>102</v>
      </c>
      <c r="AW75">
        <v>-210</v>
      </c>
      <c r="AX75" s="3">
        <v>45450</v>
      </c>
      <c r="AY75">
        <v>-142</v>
      </c>
      <c r="AZ75">
        <v>-774</v>
      </c>
      <c r="BA75">
        <v>712</v>
      </c>
      <c r="BB75" s="3">
        <v>45450</v>
      </c>
      <c r="BC75">
        <v>-155</v>
      </c>
      <c r="BD75">
        <v>1173</v>
      </c>
      <c r="BE75">
        <v>-1222</v>
      </c>
      <c r="BF75" s="3">
        <v>45450</v>
      </c>
      <c r="BG75">
        <v>1736</v>
      </c>
      <c r="BH75">
        <v>-3039</v>
      </c>
      <c r="BI75">
        <v>1163</v>
      </c>
      <c r="BJ75" s="3">
        <v>45450</v>
      </c>
      <c r="BK75">
        <v>-200</v>
      </c>
      <c r="BL75">
        <v>-12</v>
      </c>
      <c r="BM75">
        <v>189</v>
      </c>
      <c r="BN75" s="3">
        <v>45450</v>
      </c>
      <c r="BO75">
        <v>300</v>
      </c>
      <c r="BP75">
        <v>604</v>
      </c>
      <c r="BQ75">
        <v>-948</v>
      </c>
      <c r="BR75" s="3">
        <v>45450</v>
      </c>
      <c r="BS75">
        <v>-139</v>
      </c>
      <c r="BT75">
        <v>-299</v>
      </c>
      <c r="BU75">
        <v>488</v>
      </c>
      <c r="BV75" s="3">
        <v>45450</v>
      </c>
      <c r="BW75">
        <v>-351</v>
      </c>
      <c r="BX75">
        <v>371</v>
      </c>
      <c r="BY75">
        <v>-8</v>
      </c>
      <c r="BZ75" s="3">
        <v>45450</v>
      </c>
      <c r="CA75">
        <v>5</v>
      </c>
      <c r="CB75">
        <v>-381</v>
      </c>
      <c r="CC75">
        <v>363</v>
      </c>
      <c r="CD75" s="3">
        <v>45450</v>
      </c>
      <c r="CE75">
        <v>114</v>
      </c>
      <c r="CF75">
        <v>4376</v>
      </c>
      <c r="CG75">
        <v>-4510</v>
      </c>
      <c r="CH75" s="3">
        <v>45450</v>
      </c>
      <c r="CI75">
        <v>11</v>
      </c>
      <c r="CJ75">
        <v>-106</v>
      </c>
      <c r="CK75">
        <v>76</v>
      </c>
      <c r="CL75" s="3">
        <v>45450</v>
      </c>
      <c r="CM75">
        <v>313</v>
      </c>
      <c r="CN75">
        <v>1697</v>
      </c>
      <c r="CO75">
        <v>-2087</v>
      </c>
      <c r="CP75" s="3">
        <v>45450</v>
      </c>
      <c r="CQ75">
        <v>161</v>
      </c>
      <c r="CR75">
        <v>-373</v>
      </c>
      <c r="CS75">
        <v>229</v>
      </c>
      <c r="CT75" s="3">
        <v>45450</v>
      </c>
      <c r="CU75">
        <v>365</v>
      </c>
      <c r="CV75">
        <v>383</v>
      </c>
      <c r="CW75">
        <v>-751</v>
      </c>
      <c r="CX75" s="3">
        <v>45450</v>
      </c>
      <c r="CY75">
        <v>-231</v>
      </c>
      <c r="CZ75">
        <v>1004</v>
      </c>
      <c r="DA75">
        <v>-1003</v>
      </c>
      <c r="DB75" s="3">
        <v>45450</v>
      </c>
      <c r="DC75">
        <v>2141</v>
      </c>
      <c r="DD75">
        <v>-1565</v>
      </c>
      <c r="DE75">
        <v>-1133</v>
      </c>
      <c r="DF75" s="3">
        <v>45450</v>
      </c>
      <c r="DG75">
        <v>1953</v>
      </c>
      <c r="DH75">
        <v>790</v>
      </c>
      <c r="DI75">
        <v>-3077</v>
      </c>
      <c r="DJ75" s="3">
        <v>45450</v>
      </c>
      <c r="DK75">
        <v>607</v>
      </c>
      <c r="DL75">
        <v>2409</v>
      </c>
      <c r="DM75">
        <v>-2873</v>
      </c>
      <c r="DN75" s="3">
        <v>45450</v>
      </c>
      <c r="DO75">
        <v>-678</v>
      </c>
      <c r="DP75">
        <v>1863</v>
      </c>
      <c r="DQ75">
        <v>-1820</v>
      </c>
      <c r="DR75" s="3"/>
      <c r="DV75" s="3"/>
      <c r="DZ75" s="3"/>
      <c r="ED75" s="3"/>
      <c r="EH75" s="3"/>
      <c r="EL75" s="3"/>
      <c r="EP75" s="3"/>
      <c r="ET75" s="3"/>
      <c r="EX75" s="3"/>
      <c r="FB75" s="3"/>
      <c r="FF75" s="3"/>
      <c r="FJ75" s="3"/>
      <c r="FN75" s="3"/>
      <c r="FS75" s="3">
        <v>45450</v>
      </c>
      <c r="FT75">
        <v>158198</v>
      </c>
      <c r="FU75">
        <v>287289</v>
      </c>
      <c r="FV75">
        <v>-471534</v>
      </c>
      <c r="FW75" s="3">
        <v>45450</v>
      </c>
      <c r="FX75">
        <v>164236</v>
      </c>
      <c r="FY75">
        <v>213760</v>
      </c>
      <c r="FZ75">
        <v>-404998</v>
      </c>
      <c r="GA75" s="3">
        <v>45450</v>
      </c>
      <c r="GB75">
        <v>-6138</v>
      </c>
      <c r="GC75">
        <v>-5586</v>
      </c>
      <c r="GD75">
        <v>12747</v>
      </c>
      <c r="GE75" s="3">
        <v>45450</v>
      </c>
      <c r="GF75">
        <v>-1212</v>
      </c>
      <c r="GG75">
        <v>3232</v>
      </c>
      <c r="GH75">
        <v>-2100</v>
      </c>
      <c r="GI75" s="3">
        <v>45450</v>
      </c>
      <c r="GJ75">
        <v>-8</v>
      </c>
      <c r="GK75">
        <v>1230</v>
      </c>
      <c r="GL75">
        <v>-1255</v>
      </c>
      <c r="GM75" s="3">
        <v>45450</v>
      </c>
      <c r="GN75">
        <v>281</v>
      </c>
      <c r="GO75">
        <v>271</v>
      </c>
      <c r="GP75">
        <v>-334</v>
      </c>
      <c r="GQ75" s="3">
        <v>45450</v>
      </c>
      <c r="GR75">
        <v>-5</v>
      </c>
      <c r="GS75">
        <v>204</v>
      </c>
      <c r="GT75">
        <v>-261</v>
      </c>
      <c r="GU75" s="3">
        <v>45450</v>
      </c>
      <c r="GV75">
        <v>43</v>
      </c>
      <c r="GW75">
        <v>102</v>
      </c>
      <c r="GX75">
        <v>-210</v>
      </c>
      <c r="GY75" s="3">
        <v>45450</v>
      </c>
      <c r="GZ75">
        <v>-142</v>
      </c>
      <c r="HA75">
        <v>-774</v>
      </c>
      <c r="HB75">
        <v>712</v>
      </c>
      <c r="HC75" s="3">
        <v>45450</v>
      </c>
      <c r="HD75">
        <v>-155</v>
      </c>
      <c r="HE75">
        <v>1173</v>
      </c>
      <c r="HF75">
        <v>-1222</v>
      </c>
      <c r="HG75" s="3">
        <v>45450</v>
      </c>
      <c r="HH75">
        <v>1736</v>
      </c>
      <c r="HI75">
        <v>-3039</v>
      </c>
      <c r="HJ75">
        <v>1163</v>
      </c>
      <c r="HK75" s="3">
        <v>45450</v>
      </c>
      <c r="HL75">
        <v>-200</v>
      </c>
      <c r="HM75">
        <v>-12</v>
      </c>
      <c r="HN75">
        <v>189</v>
      </c>
      <c r="HO75" s="3">
        <v>45450</v>
      </c>
      <c r="HP75">
        <v>300</v>
      </c>
      <c r="HQ75">
        <v>604</v>
      </c>
      <c r="HR75">
        <v>-948</v>
      </c>
      <c r="HS75" s="3">
        <v>45450</v>
      </c>
      <c r="HT75">
        <v>-139</v>
      </c>
      <c r="HU75">
        <v>-299</v>
      </c>
      <c r="HV75">
        <v>488</v>
      </c>
      <c r="HW75" s="3">
        <v>45450</v>
      </c>
      <c r="HX75">
        <v>-351</v>
      </c>
      <c r="HY75">
        <v>371</v>
      </c>
      <c r="HZ75">
        <v>-8</v>
      </c>
      <c r="IA75" s="3">
        <v>45450</v>
      </c>
      <c r="IB75">
        <v>5</v>
      </c>
      <c r="IC75">
        <v>-381</v>
      </c>
      <c r="ID75">
        <v>363</v>
      </c>
      <c r="IE75" s="3">
        <v>45450</v>
      </c>
      <c r="IF75">
        <v>114</v>
      </c>
      <c r="IG75">
        <v>4376</v>
      </c>
      <c r="IH75">
        <v>-4510</v>
      </c>
      <c r="II75" s="3">
        <v>45450</v>
      </c>
      <c r="IJ75">
        <v>11</v>
      </c>
      <c r="IK75">
        <v>-106</v>
      </c>
      <c r="IL75">
        <v>76</v>
      </c>
      <c r="IM75" s="3">
        <v>45450</v>
      </c>
      <c r="IN75">
        <v>313</v>
      </c>
      <c r="IO75">
        <v>1697</v>
      </c>
      <c r="IP75">
        <v>-2087</v>
      </c>
      <c r="IQ75" s="3">
        <v>45450</v>
      </c>
      <c r="IR75">
        <v>161</v>
      </c>
      <c r="IS75">
        <v>-373</v>
      </c>
      <c r="IT75">
        <v>229</v>
      </c>
      <c r="IU75" s="3">
        <v>45450</v>
      </c>
      <c r="IV75">
        <v>365</v>
      </c>
      <c r="IW75">
        <v>383</v>
      </c>
      <c r="IX75">
        <v>-751</v>
      </c>
      <c r="IY75" s="3">
        <v>45450</v>
      </c>
      <c r="IZ75">
        <v>-231</v>
      </c>
      <c r="JA75">
        <v>1004</v>
      </c>
      <c r="JB75">
        <v>-1003</v>
      </c>
      <c r="JC75" s="3">
        <v>45450</v>
      </c>
      <c r="JD75">
        <v>2141</v>
      </c>
      <c r="JE75">
        <v>-1565</v>
      </c>
      <c r="JF75">
        <v>-1133</v>
      </c>
      <c r="JG75" s="3">
        <v>45450</v>
      </c>
      <c r="JH75">
        <v>1953</v>
      </c>
      <c r="JI75">
        <v>790</v>
      </c>
      <c r="JJ75">
        <v>-3077</v>
      </c>
      <c r="JK75" s="3">
        <v>45450</v>
      </c>
      <c r="JL75">
        <v>607</v>
      </c>
      <c r="JM75">
        <v>2409</v>
      </c>
      <c r="JN75">
        <v>-2873</v>
      </c>
      <c r="JO75" s="3">
        <v>45450</v>
      </c>
      <c r="JP75">
        <v>-678</v>
      </c>
      <c r="JQ75">
        <v>1863</v>
      </c>
      <c r="JR75">
        <v>-1820</v>
      </c>
      <c r="JS75" s="3"/>
      <c r="JW75" s="3"/>
      <c r="KA75" s="3"/>
      <c r="KE75" s="3"/>
      <c r="KI75" s="3"/>
      <c r="KM75" s="3"/>
      <c r="KQ75" s="3"/>
      <c r="KU75" s="3"/>
      <c r="KY75" s="3"/>
      <c r="LC75" s="3"/>
      <c r="LG75" s="3"/>
      <c r="LK75" s="3"/>
      <c r="LO75" s="3"/>
    </row>
    <row r="76" spans="3:327">
      <c r="C76" s="26" t="str">
        <f t="shared" ref="C76:D76" si="233">C31</f>
        <v>KOSPI 소형주</v>
      </c>
      <c r="D76" s="27" t="str">
        <f t="shared" si="233"/>
        <v>203</v>
      </c>
      <c r="E76" s="50" cm="1">
        <f t="array" aca="1" ref="E76" ca="1">IF( $D76=0, "", _xll.IMDP("IDX",$D76,"기관순매수금액",TODAY()-1,"fill=true") )</f>
        <v>-8772</v>
      </c>
      <c r="F76" s="51" cm="1">
        <f t="array" aca="1" ref="F76" ca="1">IF( $E76="", "", INDEX($R$52:$FQ$52, 1, MATCH(ROW()-ROW($C$50), $R$50:$FQ$50, 0)+1) )</f>
        <v>-17839</v>
      </c>
      <c r="G76" s="52" cm="1">
        <f t="array" aca="1" ref="G76" ca="1">IF( $E76="", "", INDEX($FS$52:$LR$52, 1, MATCH(ROW()-ROW($C$50), $R$50:$FQ$50, 0)+1) )</f>
        <v>-10378</v>
      </c>
      <c r="H76" s="53" cm="1">
        <f t="array" aca="1" ref="H76" ca="1">IF( $D76=0, "", _xll.IMDP("IDX",$D76,"외국인합순매수금액",TODAY()-1,"fill=true") )</f>
        <v>575</v>
      </c>
      <c r="I76" s="51" cm="1">
        <f t="array" aca="1" ref="I76" ca="1">IF( $H76="", "", INDEX($R$52:$FQ$52, 1, MATCH(ROW()-ROW($C$50), $R$50:$FQ$50, 0)+2))</f>
        <v>-17199</v>
      </c>
      <c r="J76" s="54" cm="1">
        <f t="array" aca="1" ref="J76" ca="1">IF( $H76="", "", INDEX($FS$52:$LR$52, 1, MATCH(ROW()-ROW($C$50), $R$50:$FQ$50, 0)+2))</f>
        <v>-37373</v>
      </c>
      <c r="K76" s="55" cm="1">
        <f t="array" aca="1" ref="K76" ca="1">IF( $D76=0, "", _xll.IMDP("IDX",$D76,"개인순매수금액",TODAY()-1,"fill=true"))</f>
        <v>8680</v>
      </c>
      <c r="L76" s="51" cm="1">
        <f t="array" aca="1" ref="L76" ca="1">IF( $K76="", "", INDEX($R$52:$FQ$52, 1, MATCH(ROW()-ROW($C$50), $R$50:$FQ$50, 0)+3))</f>
        <v>24061</v>
      </c>
      <c r="M76" s="56" cm="1">
        <f t="array" aca="1" ref="M76" ca="1">IF( $K76="", "", INDEX($FS$52:$LR$52, 1, MATCH(ROW()-ROW($C$50), $R$50:$FQ$50, 0)+3))</f>
        <v>36371</v>
      </c>
      <c r="R76" s="3">
        <v>45448</v>
      </c>
      <c r="S76">
        <v>-259625</v>
      </c>
      <c r="T76">
        <v>590086</v>
      </c>
      <c r="U76">
        <v>-330579</v>
      </c>
      <c r="V76" s="3">
        <v>45448</v>
      </c>
      <c r="W76">
        <v>-267504</v>
      </c>
      <c r="X76">
        <v>593562</v>
      </c>
      <c r="Y76">
        <v>-341588</v>
      </c>
      <c r="Z76" s="3">
        <v>45448</v>
      </c>
      <c r="AA76">
        <v>-135</v>
      </c>
      <c r="AB76">
        <v>-51</v>
      </c>
      <c r="AC76">
        <v>147</v>
      </c>
      <c r="AD76" s="3">
        <v>45448</v>
      </c>
      <c r="AE76">
        <v>-35</v>
      </c>
      <c r="AF76">
        <v>-11</v>
      </c>
      <c r="AG76">
        <v>28</v>
      </c>
      <c r="AH76" s="3">
        <v>45448</v>
      </c>
      <c r="AI76">
        <v>-8</v>
      </c>
      <c r="AJ76">
        <v>-103</v>
      </c>
      <c r="AK76">
        <v>249</v>
      </c>
      <c r="AL76" s="3">
        <v>45448</v>
      </c>
      <c r="AM76">
        <v>-222</v>
      </c>
      <c r="AN76">
        <v>1052</v>
      </c>
      <c r="AO76">
        <v>-744</v>
      </c>
      <c r="AP76" s="3">
        <v>45448</v>
      </c>
      <c r="AQ76">
        <v>198</v>
      </c>
      <c r="AR76">
        <v>129</v>
      </c>
      <c r="AS76">
        <v>-301</v>
      </c>
      <c r="AT76" s="3">
        <v>45448</v>
      </c>
      <c r="AU76">
        <v>-617</v>
      </c>
      <c r="AV76">
        <v>-309</v>
      </c>
      <c r="AW76">
        <v>1135</v>
      </c>
      <c r="AX76" s="3">
        <v>45448</v>
      </c>
      <c r="AY76">
        <v>-1090</v>
      </c>
      <c r="AZ76">
        <v>1084</v>
      </c>
      <c r="BA76">
        <v>623</v>
      </c>
      <c r="BB76" s="3">
        <v>45448</v>
      </c>
      <c r="BC76">
        <v>-252</v>
      </c>
      <c r="BD76">
        <v>1128</v>
      </c>
      <c r="BE76">
        <v>528</v>
      </c>
      <c r="BF76" s="3">
        <v>45448</v>
      </c>
      <c r="BG76">
        <v>-3800</v>
      </c>
      <c r="BH76">
        <v>5237</v>
      </c>
      <c r="BI76">
        <v>-1533</v>
      </c>
      <c r="BJ76" s="3">
        <v>45448</v>
      </c>
      <c r="BK76">
        <v>46</v>
      </c>
      <c r="BL76">
        <v>-420</v>
      </c>
      <c r="BM76">
        <v>399</v>
      </c>
      <c r="BN76" s="3">
        <v>45448</v>
      </c>
      <c r="BO76">
        <v>9</v>
      </c>
      <c r="BP76">
        <v>-293</v>
      </c>
      <c r="BQ76">
        <v>447</v>
      </c>
      <c r="BR76" s="3">
        <v>45448</v>
      </c>
      <c r="BS76">
        <v>-428</v>
      </c>
      <c r="BT76">
        <v>163</v>
      </c>
      <c r="BU76">
        <v>245</v>
      </c>
      <c r="BV76" s="3">
        <v>45448</v>
      </c>
      <c r="BW76">
        <v>400</v>
      </c>
      <c r="BX76">
        <v>-5</v>
      </c>
      <c r="BY76">
        <v>-250</v>
      </c>
      <c r="BZ76" s="3">
        <v>45448</v>
      </c>
      <c r="CA76">
        <v>-160</v>
      </c>
      <c r="CB76">
        <v>-1200</v>
      </c>
      <c r="CC76">
        <v>1359</v>
      </c>
      <c r="CD76" s="3">
        <v>45448</v>
      </c>
      <c r="CE76">
        <v>-250</v>
      </c>
      <c r="CF76">
        <v>-2241</v>
      </c>
      <c r="CG76">
        <v>2519</v>
      </c>
      <c r="CH76" s="3">
        <v>45448</v>
      </c>
      <c r="CI76">
        <v>-158</v>
      </c>
      <c r="CJ76">
        <v>-16</v>
      </c>
      <c r="CK76">
        <v>183</v>
      </c>
      <c r="CL76" s="3">
        <v>45448</v>
      </c>
      <c r="CM76">
        <v>-2092</v>
      </c>
      <c r="CN76">
        <v>362</v>
      </c>
      <c r="CO76">
        <v>1634</v>
      </c>
      <c r="CP76" s="3">
        <v>45448</v>
      </c>
      <c r="CQ76">
        <v>238</v>
      </c>
      <c r="CR76">
        <v>-167</v>
      </c>
      <c r="CS76">
        <v>-82</v>
      </c>
      <c r="CT76" s="3">
        <v>45448</v>
      </c>
      <c r="CU76">
        <v>-339</v>
      </c>
      <c r="CV76">
        <v>-226</v>
      </c>
      <c r="CW76">
        <v>544</v>
      </c>
      <c r="CX76" s="3">
        <v>45448</v>
      </c>
      <c r="CY76">
        <v>-393</v>
      </c>
      <c r="CZ76">
        <v>836</v>
      </c>
      <c r="DA76">
        <v>-1022</v>
      </c>
      <c r="DB76" s="3">
        <v>45448</v>
      </c>
      <c r="DC76">
        <v>-6026</v>
      </c>
      <c r="DD76">
        <v>7273</v>
      </c>
      <c r="DE76">
        <v>1244</v>
      </c>
      <c r="DF76" s="3">
        <v>45448</v>
      </c>
      <c r="DG76">
        <v>-5316</v>
      </c>
      <c r="DH76">
        <v>5276</v>
      </c>
      <c r="DI76">
        <v>69</v>
      </c>
      <c r="DJ76" s="3">
        <v>45448</v>
      </c>
      <c r="DK76">
        <v>-2317</v>
      </c>
      <c r="DL76">
        <v>-1501</v>
      </c>
      <c r="DM76">
        <v>3839</v>
      </c>
      <c r="DN76" s="3">
        <v>45448</v>
      </c>
      <c r="DO76">
        <v>-1689</v>
      </c>
      <c r="DP76">
        <v>1663</v>
      </c>
      <c r="DQ76">
        <v>1955</v>
      </c>
      <c r="DR76" s="3"/>
      <c r="DV76" s="3"/>
      <c r="DZ76" s="3"/>
      <c r="ED76" s="3"/>
      <c r="EH76" s="3"/>
      <c r="EL76" s="3"/>
      <c r="EP76" s="3"/>
      <c r="ET76" s="3"/>
      <c r="EX76" s="3"/>
      <c r="FB76" s="3"/>
      <c r="FF76" s="3"/>
      <c r="FJ76" s="3"/>
      <c r="FN76" s="3"/>
      <c r="FS76" s="3">
        <v>45448</v>
      </c>
      <c r="FT76">
        <v>-259625</v>
      </c>
      <c r="FU76">
        <v>590086</v>
      </c>
      <c r="FV76">
        <v>-330579</v>
      </c>
      <c r="FW76" s="3">
        <v>45448</v>
      </c>
      <c r="FX76">
        <v>-267504</v>
      </c>
      <c r="FY76">
        <v>593562</v>
      </c>
      <c r="FZ76">
        <v>-341588</v>
      </c>
      <c r="GA76" s="3">
        <v>45448</v>
      </c>
      <c r="GB76">
        <v>-5110</v>
      </c>
      <c r="GC76">
        <v>13580</v>
      </c>
      <c r="GD76">
        <v>-9458</v>
      </c>
      <c r="GE76" s="3">
        <v>45448</v>
      </c>
      <c r="GF76">
        <v>-433</v>
      </c>
      <c r="GG76">
        <v>1726</v>
      </c>
      <c r="GH76">
        <v>-1545</v>
      </c>
      <c r="GI76" s="3">
        <v>45448</v>
      </c>
      <c r="GJ76">
        <v>-54</v>
      </c>
      <c r="GK76">
        <v>-681</v>
      </c>
      <c r="GL76">
        <v>1555</v>
      </c>
      <c r="GM76" s="3">
        <v>45448</v>
      </c>
      <c r="GN76">
        <v>-222</v>
      </c>
      <c r="GO76">
        <v>1052</v>
      </c>
      <c r="GP76">
        <v>-744</v>
      </c>
      <c r="GQ76" s="3">
        <v>45448</v>
      </c>
      <c r="GR76">
        <v>198</v>
      </c>
      <c r="GS76">
        <v>129</v>
      </c>
      <c r="GT76">
        <v>-301</v>
      </c>
      <c r="GU76" s="3">
        <v>45448</v>
      </c>
      <c r="GV76">
        <v>-617</v>
      </c>
      <c r="GW76">
        <v>-309</v>
      </c>
      <c r="GX76">
        <v>1135</v>
      </c>
      <c r="GY76" s="3">
        <v>45448</v>
      </c>
      <c r="GZ76">
        <v>-1090</v>
      </c>
      <c r="HA76">
        <v>1084</v>
      </c>
      <c r="HB76">
        <v>623</v>
      </c>
      <c r="HC76" s="3">
        <v>45448</v>
      </c>
      <c r="HD76">
        <v>-252</v>
      </c>
      <c r="HE76">
        <v>1128</v>
      </c>
      <c r="HF76">
        <v>528</v>
      </c>
      <c r="HG76" s="3">
        <v>45448</v>
      </c>
      <c r="HH76">
        <v>-3800</v>
      </c>
      <c r="HI76">
        <v>5237</v>
      </c>
      <c r="HJ76">
        <v>-1533</v>
      </c>
      <c r="HK76" s="3">
        <v>45448</v>
      </c>
      <c r="HL76">
        <v>46</v>
      </c>
      <c r="HM76">
        <v>-420</v>
      </c>
      <c r="HN76">
        <v>399</v>
      </c>
      <c r="HO76" s="3">
        <v>45448</v>
      </c>
      <c r="HP76">
        <v>9</v>
      </c>
      <c r="HQ76">
        <v>-293</v>
      </c>
      <c r="HR76">
        <v>447</v>
      </c>
      <c r="HS76" s="3">
        <v>45448</v>
      </c>
      <c r="HT76">
        <v>-428</v>
      </c>
      <c r="HU76">
        <v>163</v>
      </c>
      <c r="HV76">
        <v>245</v>
      </c>
      <c r="HW76" s="3">
        <v>45448</v>
      </c>
      <c r="HX76">
        <v>400</v>
      </c>
      <c r="HY76">
        <v>-5</v>
      </c>
      <c r="HZ76">
        <v>-250</v>
      </c>
      <c r="IA76" s="3">
        <v>45448</v>
      </c>
      <c r="IB76">
        <v>-160</v>
      </c>
      <c r="IC76">
        <v>-1200</v>
      </c>
      <c r="ID76">
        <v>1359</v>
      </c>
      <c r="IE76" s="3">
        <v>45448</v>
      </c>
      <c r="IF76">
        <v>-250</v>
      </c>
      <c r="IG76">
        <v>-2241</v>
      </c>
      <c r="IH76">
        <v>2519</v>
      </c>
      <c r="II76" s="3">
        <v>45448</v>
      </c>
      <c r="IJ76">
        <v>-158</v>
      </c>
      <c r="IK76">
        <v>-16</v>
      </c>
      <c r="IL76">
        <v>183</v>
      </c>
      <c r="IM76" s="3">
        <v>45448</v>
      </c>
      <c r="IN76">
        <v>-2092</v>
      </c>
      <c r="IO76">
        <v>362</v>
      </c>
      <c r="IP76">
        <v>1634</v>
      </c>
      <c r="IQ76" s="3">
        <v>45448</v>
      </c>
      <c r="IR76">
        <v>238</v>
      </c>
      <c r="IS76">
        <v>-167</v>
      </c>
      <c r="IT76">
        <v>-82</v>
      </c>
      <c r="IU76" s="3">
        <v>45448</v>
      </c>
      <c r="IV76">
        <v>-339</v>
      </c>
      <c r="IW76">
        <v>-226</v>
      </c>
      <c r="IX76">
        <v>544</v>
      </c>
      <c r="IY76" s="3">
        <v>45448</v>
      </c>
      <c r="IZ76">
        <v>-393</v>
      </c>
      <c r="JA76">
        <v>836</v>
      </c>
      <c r="JB76">
        <v>-1022</v>
      </c>
      <c r="JC76" s="3">
        <v>45448</v>
      </c>
      <c r="JD76">
        <v>-6026</v>
      </c>
      <c r="JE76">
        <v>7273</v>
      </c>
      <c r="JF76">
        <v>1244</v>
      </c>
      <c r="JG76" s="3">
        <v>45448</v>
      </c>
      <c r="JH76">
        <v>-5316</v>
      </c>
      <c r="JI76">
        <v>5276</v>
      </c>
      <c r="JJ76">
        <v>69</v>
      </c>
      <c r="JK76" s="3">
        <v>45448</v>
      </c>
      <c r="JL76">
        <v>-2317</v>
      </c>
      <c r="JM76">
        <v>-1501</v>
      </c>
      <c r="JN76">
        <v>3839</v>
      </c>
      <c r="JO76" s="3">
        <v>45448</v>
      </c>
      <c r="JP76">
        <v>-1689</v>
      </c>
      <c r="JQ76">
        <v>1663</v>
      </c>
      <c r="JR76">
        <v>1955</v>
      </c>
      <c r="JS76" s="3"/>
      <c r="JW76" s="3"/>
      <c r="KA76" s="3"/>
      <c r="KE76" s="3"/>
      <c r="KI76" s="3"/>
      <c r="KM76" s="3"/>
      <c r="KQ76" s="3"/>
      <c r="KU76" s="3"/>
      <c r="KY76" s="3"/>
      <c r="LC76" s="3"/>
      <c r="LG76" s="3"/>
      <c r="LK76" s="3"/>
      <c r="LO76" s="3"/>
    </row>
    <row r="77" spans="3:327">
      <c r="C77" s="26" t="str">
        <f t="shared" ref="C77:D77" si="234">C32</f>
        <v>K200 건설</v>
      </c>
      <c r="D77" s="27" t="str">
        <f t="shared" si="234"/>
        <v>212</v>
      </c>
      <c r="E77" s="50" t="str" cm="1">
        <f t="array" aca="1" ref="E77" ca="1">IF( $D77=0, "", _xll.IMDP("IDX",$D77,"기관순매수금액",TODAY()-1,"fill=true") )</f>
        <v/>
      </c>
      <c r="F77" s="51" t="str" cm="1">
        <f t="array" aca="1" ref="F77" ca="1">IF( $E77="", "", INDEX($R$52:$FQ$52, 1, MATCH(ROW()-ROW($C$50), $R$50:$FQ$50, 0)+1) )</f>
        <v/>
      </c>
      <c r="G77" s="52" t="str" cm="1">
        <f t="array" aca="1" ref="G77" ca="1">IF( $E77="", "", INDEX($FS$52:$LR$52, 1, MATCH(ROW()-ROW($C$50), $R$50:$FQ$50, 0)+1) )</f>
        <v/>
      </c>
      <c r="H77" s="53" t="str" cm="1">
        <f t="array" aca="1" ref="H77" ca="1">IF( $D77=0, "", _xll.IMDP("IDX",$D77,"외국인합순매수금액",TODAY()-1,"fill=true") )</f>
        <v/>
      </c>
      <c r="I77" s="51" t="str" cm="1">
        <f t="array" aca="1" ref="I77" ca="1">IF( $H77="", "", INDEX($R$52:$FQ$52, 1, MATCH(ROW()-ROW($C$50), $R$50:$FQ$50, 0)+2))</f>
        <v/>
      </c>
      <c r="J77" s="54" t="str" cm="1">
        <f t="array" aca="1" ref="J77" ca="1">IF( $H77="", "", INDEX($FS$52:$LR$52, 1, MATCH(ROW()-ROW($C$50), $R$50:$FQ$50, 0)+2))</f>
        <v/>
      </c>
      <c r="K77" s="55" t="str" cm="1">
        <f t="array" aca="1" ref="K77" ca="1">IF( $D77=0, "", _xll.IMDP("IDX",$D77,"개인순매수금액",TODAY()-1,"fill=true"))</f>
        <v/>
      </c>
      <c r="L77" s="51" t="str" cm="1">
        <f t="array" aca="1" ref="L77" ca="1">IF( $K77="", "", INDEX($R$52:$FQ$52, 1, MATCH(ROW()-ROW($C$50), $R$50:$FQ$50, 0)+3))</f>
        <v/>
      </c>
      <c r="M77" s="56" t="str" cm="1">
        <f t="array" aca="1" ref="M77" ca="1">IF( $K77="", "", INDEX($FS$52:$LR$52, 1, MATCH(ROW()-ROW($C$50), $R$50:$FQ$50, 0)+3))</f>
        <v/>
      </c>
      <c r="Q77" s="9"/>
      <c r="R77" s="3">
        <v>45447</v>
      </c>
      <c r="S77">
        <v>-316038</v>
      </c>
      <c r="T77">
        <v>-203755</v>
      </c>
      <c r="U77">
        <v>516732</v>
      </c>
      <c r="V77" s="3">
        <v>45447</v>
      </c>
      <c r="W77">
        <v>-295190</v>
      </c>
      <c r="X77">
        <v>-204920</v>
      </c>
      <c r="Y77">
        <v>487602</v>
      </c>
      <c r="Z77" s="3">
        <v>45447</v>
      </c>
      <c r="AA77">
        <v>-80</v>
      </c>
      <c r="AB77">
        <v>-726</v>
      </c>
      <c r="AC77">
        <v>773</v>
      </c>
      <c r="AD77" s="3">
        <v>45447</v>
      </c>
      <c r="AE77">
        <v>-35</v>
      </c>
      <c r="AF77">
        <v>-379</v>
      </c>
      <c r="AG77">
        <v>423</v>
      </c>
      <c r="AH77" s="3">
        <v>45447</v>
      </c>
      <c r="AI77">
        <v>27</v>
      </c>
      <c r="AJ77">
        <v>-314</v>
      </c>
      <c r="AK77">
        <v>117</v>
      </c>
      <c r="AL77" s="3">
        <v>45447</v>
      </c>
      <c r="AM77">
        <v>-432</v>
      </c>
      <c r="AN77">
        <v>630</v>
      </c>
      <c r="AO77">
        <v>-205</v>
      </c>
      <c r="AP77" s="3">
        <v>45447</v>
      </c>
      <c r="AQ77">
        <v>469</v>
      </c>
      <c r="AR77">
        <v>306</v>
      </c>
      <c r="AS77">
        <v>-825</v>
      </c>
      <c r="AT77" s="3">
        <v>45447</v>
      </c>
      <c r="AU77">
        <v>-110</v>
      </c>
      <c r="AV77">
        <v>118</v>
      </c>
      <c r="AW77">
        <v>-137</v>
      </c>
      <c r="AX77" s="3">
        <v>45447</v>
      </c>
      <c r="AY77">
        <v>-305</v>
      </c>
      <c r="AZ77">
        <v>416</v>
      </c>
      <c r="BA77">
        <v>-1812</v>
      </c>
      <c r="BB77" s="3">
        <v>45447</v>
      </c>
      <c r="BC77">
        <v>-855</v>
      </c>
      <c r="BD77">
        <v>-3275</v>
      </c>
      <c r="BE77">
        <v>5181</v>
      </c>
      <c r="BF77" s="3">
        <v>45447</v>
      </c>
      <c r="BG77">
        <v>-1261</v>
      </c>
      <c r="BH77">
        <v>-658</v>
      </c>
      <c r="BI77">
        <v>1910</v>
      </c>
      <c r="BJ77" s="3">
        <v>45447</v>
      </c>
      <c r="BK77">
        <v>55</v>
      </c>
      <c r="BL77">
        <v>-61</v>
      </c>
      <c r="BM77">
        <v>18</v>
      </c>
      <c r="BN77" s="3">
        <v>45447</v>
      </c>
      <c r="BO77">
        <v>-1636</v>
      </c>
      <c r="BP77">
        <v>-1744</v>
      </c>
      <c r="BQ77">
        <v>3402</v>
      </c>
      <c r="BR77" s="3">
        <v>45447</v>
      </c>
      <c r="BS77">
        <v>-520</v>
      </c>
      <c r="BT77">
        <v>-739</v>
      </c>
      <c r="BU77">
        <v>1290</v>
      </c>
      <c r="BV77" s="3">
        <v>45447</v>
      </c>
      <c r="BW77">
        <v>-1951</v>
      </c>
      <c r="BX77">
        <v>-262</v>
      </c>
      <c r="BY77">
        <v>2157</v>
      </c>
      <c r="BZ77" s="3">
        <v>45447</v>
      </c>
      <c r="CA77">
        <v>-340</v>
      </c>
      <c r="CB77">
        <v>-799</v>
      </c>
      <c r="CC77">
        <v>1075</v>
      </c>
      <c r="CD77" s="3">
        <v>45447</v>
      </c>
      <c r="CE77">
        <v>573</v>
      </c>
      <c r="CF77">
        <v>-224</v>
      </c>
      <c r="CG77">
        <v>-256</v>
      </c>
      <c r="CH77" s="3">
        <v>45447</v>
      </c>
      <c r="CI77">
        <v>-185</v>
      </c>
      <c r="CJ77">
        <v>-515</v>
      </c>
      <c r="CK77">
        <v>683</v>
      </c>
      <c r="CL77" s="3">
        <v>45447</v>
      </c>
      <c r="CM77">
        <v>-1995</v>
      </c>
      <c r="CN77">
        <v>-3841</v>
      </c>
      <c r="CO77">
        <v>5567</v>
      </c>
      <c r="CP77" s="3">
        <v>45447</v>
      </c>
      <c r="CQ77">
        <v>-219</v>
      </c>
      <c r="CR77">
        <v>-1314</v>
      </c>
      <c r="CS77">
        <v>1486</v>
      </c>
      <c r="CT77" s="3">
        <v>45447</v>
      </c>
      <c r="CU77">
        <v>-26</v>
      </c>
      <c r="CV77">
        <v>-484</v>
      </c>
      <c r="CW77">
        <v>415</v>
      </c>
      <c r="CX77" s="3">
        <v>45447</v>
      </c>
      <c r="CY77">
        <v>31</v>
      </c>
      <c r="CZ77">
        <v>-1161</v>
      </c>
      <c r="DA77">
        <v>832</v>
      </c>
      <c r="DB77" s="3">
        <v>45447</v>
      </c>
      <c r="DC77">
        <v>-4114</v>
      </c>
      <c r="DD77">
        <v>-5549</v>
      </c>
      <c r="DE77">
        <v>8735</v>
      </c>
      <c r="DF77" s="3">
        <v>45447</v>
      </c>
      <c r="DG77">
        <v>-4663</v>
      </c>
      <c r="DH77">
        <v>-6953</v>
      </c>
      <c r="DI77">
        <v>11528</v>
      </c>
      <c r="DJ77" s="3">
        <v>45447</v>
      </c>
      <c r="DK77">
        <v>-3147</v>
      </c>
      <c r="DL77">
        <v>-3000</v>
      </c>
      <c r="DM77">
        <v>6066</v>
      </c>
      <c r="DN77" s="3">
        <v>45447</v>
      </c>
      <c r="DO77">
        <v>-656</v>
      </c>
      <c r="DP77">
        <v>-2732</v>
      </c>
      <c r="DQ77">
        <v>2114</v>
      </c>
      <c r="DR77" s="3"/>
      <c r="DV77" s="3"/>
      <c r="DZ77" s="3"/>
      <c r="ED77" s="3"/>
      <c r="EH77" s="3"/>
      <c r="EL77" s="3"/>
      <c r="EP77" s="3"/>
      <c r="ET77" s="3"/>
      <c r="EX77" s="3"/>
      <c r="FB77" s="3"/>
      <c r="FF77" s="3"/>
      <c r="FJ77" s="3"/>
      <c r="FN77" s="3"/>
      <c r="FS77" s="3">
        <v>45447</v>
      </c>
      <c r="FT77">
        <v>-316038</v>
      </c>
      <c r="FU77">
        <v>-203755</v>
      </c>
      <c r="FV77">
        <v>516732</v>
      </c>
      <c r="FW77" s="3">
        <v>45447</v>
      </c>
      <c r="FX77">
        <v>-295190</v>
      </c>
      <c r="FY77">
        <v>-204920</v>
      </c>
      <c r="FZ77">
        <v>487602</v>
      </c>
      <c r="GA77" s="3">
        <v>45447</v>
      </c>
      <c r="GB77">
        <v>2609</v>
      </c>
      <c r="GC77">
        <v>-19217</v>
      </c>
      <c r="GD77">
        <v>16853</v>
      </c>
      <c r="GE77" s="3">
        <v>45447</v>
      </c>
      <c r="GF77">
        <v>-734</v>
      </c>
      <c r="GG77">
        <v>-1004</v>
      </c>
      <c r="GH77">
        <v>1508</v>
      </c>
      <c r="GI77" s="3">
        <v>45447</v>
      </c>
      <c r="GJ77">
        <v>162</v>
      </c>
      <c r="GK77">
        <v>-1569</v>
      </c>
      <c r="GL77">
        <v>393</v>
      </c>
      <c r="GM77" s="3">
        <v>45447</v>
      </c>
      <c r="GN77">
        <v>-432</v>
      </c>
      <c r="GO77">
        <v>630</v>
      </c>
      <c r="GP77">
        <v>-205</v>
      </c>
      <c r="GQ77" s="3">
        <v>45447</v>
      </c>
      <c r="GR77">
        <v>469</v>
      </c>
      <c r="GS77">
        <v>306</v>
      </c>
      <c r="GT77">
        <v>-825</v>
      </c>
      <c r="GU77" s="3">
        <v>45447</v>
      </c>
      <c r="GV77">
        <v>-110</v>
      </c>
      <c r="GW77">
        <v>118</v>
      </c>
      <c r="GX77">
        <v>-137</v>
      </c>
      <c r="GY77" s="3">
        <v>45447</v>
      </c>
      <c r="GZ77">
        <v>-305</v>
      </c>
      <c r="HA77">
        <v>416</v>
      </c>
      <c r="HB77">
        <v>-1812</v>
      </c>
      <c r="HC77" s="3">
        <v>45447</v>
      </c>
      <c r="HD77">
        <v>-855</v>
      </c>
      <c r="HE77">
        <v>-3275</v>
      </c>
      <c r="HF77">
        <v>5181</v>
      </c>
      <c r="HG77" s="3">
        <v>45447</v>
      </c>
      <c r="HH77">
        <v>-1261</v>
      </c>
      <c r="HI77">
        <v>-658</v>
      </c>
      <c r="HJ77">
        <v>1910</v>
      </c>
      <c r="HK77" s="3">
        <v>45447</v>
      </c>
      <c r="HL77">
        <v>55</v>
      </c>
      <c r="HM77">
        <v>-61</v>
      </c>
      <c r="HN77">
        <v>18</v>
      </c>
      <c r="HO77" s="3">
        <v>45447</v>
      </c>
      <c r="HP77">
        <v>-1636</v>
      </c>
      <c r="HQ77">
        <v>-1744</v>
      </c>
      <c r="HR77">
        <v>3402</v>
      </c>
      <c r="HS77" s="3">
        <v>45447</v>
      </c>
      <c r="HT77">
        <v>-520</v>
      </c>
      <c r="HU77">
        <v>-739</v>
      </c>
      <c r="HV77">
        <v>1290</v>
      </c>
      <c r="HW77" s="3">
        <v>45447</v>
      </c>
      <c r="HX77">
        <v>-1951</v>
      </c>
      <c r="HY77">
        <v>-262</v>
      </c>
      <c r="HZ77">
        <v>2157</v>
      </c>
      <c r="IA77" s="3">
        <v>45447</v>
      </c>
      <c r="IB77">
        <v>-340</v>
      </c>
      <c r="IC77">
        <v>-799</v>
      </c>
      <c r="ID77">
        <v>1075</v>
      </c>
      <c r="IE77" s="3">
        <v>45447</v>
      </c>
      <c r="IF77">
        <v>573</v>
      </c>
      <c r="IG77">
        <v>-224</v>
      </c>
      <c r="IH77">
        <v>-256</v>
      </c>
      <c r="II77" s="3">
        <v>45447</v>
      </c>
      <c r="IJ77">
        <v>-185</v>
      </c>
      <c r="IK77">
        <v>-515</v>
      </c>
      <c r="IL77">
        <v>683</v>
      </c>
      <c r="IM77" s="3">
        <v>45447</v>
      </c>
      <c r="IN77">
        <v>-1995</v>
      </c>
      <c r="IO77">
        <v>-3841</v>
      </c>
      <c r="IP77">
        <v>5567</v>
      </c>
      <c r="IQ77" s="3">
        <v>45447</v>
      </c>
      <c r="IR77">
        <v>-219</v>
      </c>
      <c r="IS77">
        <v>-1314</v>
      </c>
      <c r="IT77">
        <v>1486</v>
      </c>
      <c r="IU77" s="3">
        <v>45447</v>
      </c>
      <c r="IV77">
        <v>-26</v>
      </c>
      <c r="IW77">
        <v>-484</v>
      </c>
      <c r="IX77">
        <v>415</v>
      </c>
      <c r="IY77" s="3">
        <v>45447</v>
      </c>
      <c r="IZ77">
        <v>31</v>
      </c>
      <c r="JA77">
        <v>-1161</v>
      </c>
      <c r="JB77">
        <v>832</v>
      </c>
      <c r="JC77" s="3">
        <v>45447</v>
      </c>
      <c r="JD77">
        <v>-4114</v>
      </c>
      <c r="JE77">
        <v>-5549</v>
      </c>
      <c r="JF77">
        <v>8735</v>
      </c>
      <c r="JG77" s="3">
        <v>45447</v>
      </c>
      <c r="JH77">
        <v>-4663</v>
      </c>
      <c r="JI77">
        <v>-6953</v>
      </c>
      <c r="JJ77">
        <v>11528</v>
      </c>
      <c r="JK77" s="3">
        <v>45447</v>
      </c>
      <c r="JL77">
        <v>-3147</v>
      </c>
      <c r="JM77">
        <v>-3000</v>
      </c>
      <c r="JN77">
        <v>6066</v>
      </c>
      <c r="JO77" s="3">
        <v>45447</v>
      </c>
      <c r="JP77">
        <v>-656</v>
      </c>
      <c r="JQ77">
        <v>-2732</v>
      </c>
      <c r="JR77">
        <v>2114</v>
      </c>
      <c r="JS77" s="3"/>
      <c r="JW77" s="3"/>
      <c r="KA77" s="3"/>
      <c r="KE77" s="3"/>
      <c r="KI77" s="3"/>
      <c r="KM77" s="3"/>
      <c r="KQ77" s="3"/>
      <c r="KU77" s="3"/>
      <c r="KY77" s="3"/>
      <c r="LC77" s="3"/>
      <c r="LG77" s="3"/>
      <c r="LK77" s="3"/>
      <c r="LO77" s="3"/>
    </row>
    <row r="78" spans="3:327">
      <c r="C78" s="26" t="str">
        <f t="shared" ref="C78:D78" si="235">C33</f>
        <v>K200 중공업</v>
      </c>
      <c r="D78" s="27" t="str">
        <f t="shared" si="235"/>
        <v>213</v>
      </c>
      <c r="E78" s="50" t="str" cm="1">
        <f t="array" aca="1" ref="E78" ca="1">IF( $D78=0, "", _xll.IMDP("IDX",$D78,"기관순매수금액",TODAY()-1,"fill=true") )</f>
        <v/>
      </c>
      <c r="F78" s="51" t="str" cm="1">
        <f t="array" aca="1" ref="F78" ca="1">IF( $E78="", "", INDEX($R$52:$FQ$52, 1, MATCH(ROW()-ROW($C$50), $R$50:$FQ$50, 0)+1) )</f>
        <v/>
      </c>
      <c r="G78" s="52" t="str" cm="1">
        <f t="array" aca="1" ref="G78" ca="1">IF( $E78="", "", INDEX($FS$52:$LR$52, 1, MATCH(ROW()-ROW($C$50), $R$50:$FQ$50, 0)+1) )</f>
        <v/>
      </c>
      <c r="H78" s="53" t="str" cm="1">
        <f t="array" aca="1" ref="H78" ca="1">IF( $D78=0, "", _xll.IMDP("IDX",$D78,"외국인합순매수금액",TODAY()-1,"fill=true") )</f>
        <v/>
      </c>
      <c r="I78" s="51" t="str" cm="1">
        <f t="array" aca="1" ref="I78" ca="1">IF( $H78="", "", INDEX($R$52:$FQ$52, 1, MATCH(ROW()-ROW($C$50), $R$50:$FQ$50, 0)+2))</f>
        <v/>
      </c>
      <c r="J78" s="54" t="str" cm="1">
        <f t="array" aca="1" ref="J78" ca="1">IF( $H78="", "", INDEX($FS$52:$LR$52, 1, MATCH(ROW()-ROW($C$50), $R$50:$FQ$50, 0)+2))</f>
        <v/>
      </c>
      <c r="K78" s="55" t="str" cm="1">
        <f t="array" aca="1" ref="K78" ca="1">IF( $D78=0, "", _xll.IMDP("IDX",$D78,"개인순매수금액",TODAY()-1,"fill=true"))</f>
        <v/>
      </c>
      <c r="L78" s="51" t="str" cm="1">
        <f t="array" aca="1" ref="L78" ca="1">IF( $K78="", "", INDEX($R$52:$FQ$52, 1, MATCH(ROW()-ROW($C$50), $R$50:$FQ$50, 0)+3))</f>
        <v/>
      </c>
      <c r="M78" s="56" t="str" cm="1">
        <f t="array" aca="1" ref="M78" ca="1">IF( $K78="", "", INDEX($FS$52:$LR$52, 1, MATCH(ROW()-ROW($C$50), $R$50:$FQ$50, 0)+3))</f>
        <v/>
      </c>
      <c r="Q78" s="9"/>
      <c r="R78" s="3">
        <v>45446</v>
      </c>
      <c r="S78">
        <v>233848</v>
      </c>
      <c r="T78">
        <v>182825</v>
      </c>
      <c r="U78">
        <v>-423020</v>
      </c>
      <c r="V78" s="3">
        <v>45446</v>
      </c>
      <c r="W78">
        <v>257378</v>
      </c>
      <c r="X78">
        <v>251813</v>
      </c>
      <c r="Y78">
        <v>-512103</v>
      </c>
      <c r="Z78" s="3">
        <v>45446</v>
      </c>
      <c r="AA78">
        <v>89</v>
      </c>
      <c r="AB78">
        <v>601</v>
      </c>
      <c r="AC78">
        <v>-629</v>
      </c>
      <c r="AD78" s="3">
        <v>45446</v>
      </c>
      <c r="AE78">
        <v>19</v>
      </c>
      <c r="AF78">
        <v>17</v>
      </c>
      <c r="AG78">
        <v>-51</v>
      </c>
      <c r="AH78" s="3">
        <v>45446</v>
      </c>
      <c r="AI78">
        <v>17</v>
      </c>
      <c r="AJ78">
        <v>202</v>
      </c>
      <c r="AK78">
        <v>-223</v>
      </c>
      <c r="AL78" s="3">
        <v>45446</v>
      </c>
      <c r="AM78">
        <v>256</v>
      </c>
      <c r="AN78">
        <v>-568</v>
      </c>
      <c r="AO78">
        <v>338</v>
      </c>
      <c r="AP78" s="3">
        <v>45446</v>
      </c>
      <c r="AQ78">
        <v>122</v>
      </c>
      <c r="AR78">
        <v>490</v>
      </c>
      <c r="AS78">
        <v>-619</v>
      </c>
      <c r="AT78" s="3">
        <v>45446</v>
      </c>
      <c r="AU78">
        <v>-10</v>
      </c>
      <c r="AV78">
        <v>113</v>
      </c>
      <c r="AW78">
        <v>-207</v>
      </c>
      <c r="AX78" s="3">
        <v>45446</v>
      </c>
      <c r="AY78">
        <v>-89</v>
      </c>
      <c r="AZ78">
        <v>402</v>
      </c>
      <c r="BA78">
        <v>-888</v>
      </c>
      <c r="BB78" s="3">
        <v>45446</v>
      </c>
      <c r="BC78">
        <v>-355</v>
      </c>
      <c r="BD78">
        <v>1299</v>
      </c>
      <c r="BE78">
        <v>-3332</v>
      </c>
      <c r="BF78" s="3">
        <v>45446</v>
      </c>
      <c r="BG78">
        <v>974</v>
      </c>
      <c r="BH78">
        <v>1769</v>
      </c>
      <c r="BI78">
        <v>-2715</v>
      </c>
      <c r="BJ78" s="3">
        <v>45446</v>
      </c>
      <c r="BK78">
        <v>66</v>
      </c>
      <c r="BL78">
        <v>-150</v>
      </c>
      <c r="BM78">
        <v>94</v>
      </c>
      <c r="BN78" s="3">
        <v>45446</v>
      </c>
      <c r="BO78">
        <v>2371</v>
      </c>
      <c r="BP78">
        <v>3504</v>
      </c>
      <c r="BQ78">
        <v>-6075</v>
      </c>
      <c r="BR78" s="3">
        <v>45446</v>
      </c>
      <c r="BS78">
        <v>627</v>
      </c>
      <c r="BT78">
        <v>738</v>
      </c>
      <c r="BU78">
        <v>-1529</v>
      </c>
      <c r="BV78" s="3">
        <v>45446</v>
      </c>
      <c r="BW78">
        <v>818</v>
      </c>
      <c r="BX78">
        <v>990</v>
      </c>
      <c r="BY78">
        <v>-1739</v>
      </c>
      <c r="BZ78" s="3">
        <v>45446</v>
      </c>
      <c r="CA78">
        <v>79</v>
      </c>
      <c r="CB78">
        <v>-331</v>
      </c>
      <c r="CC78">
        <v>312</v>
      </c>
      <c r="CD78" s="3">
        <v>45446</v>
      </c>
      <c r="CE78">
        <v>1259</v>
      </c>
      <c r="CF78">
        <v>1533</v>
      </c>
      <c r="CG78">
        <v>-3109</v>
      </c>
      <c r="CH78" s="3">
        <v>45446</v>
      </c>
      <c r="CI78">
        <v>131</v>
      </c>
      <c r="CJ78">
        <v>-51</v>
      </c>
      <c r="CK78">
        <v>-83</v>
      </c>
      <c r="CL78" s="3">
        <v>45446</v>
      </c>
      <c r="CM78">
        <v>23</v>
      </c>
      <c r="CN78">
        <v>-462</v>
      </c>
      <c r="CO78">
        <v>444</v>
      </c>
      <c r="CP78" s="3">
        <v>45446</v>
      </c>
      <c r="CQ78">
        <v>275</v>
      </c>
      <c r="CR78">
        <v>-391</v>
      </c>
      <c r="CS78">
        <v>97</v>
      </c>
      <c r="CT78" s="3">
        <v>45446</v>
      </c>
      <c r="CU78">
        <v>-39</v>
      </c>
      <c r="CV78">
        <v>106</v>
      </c>
      <c r="CW78">
        <v>-25</v>
      </c>
      <c r="CX78" s="3">
        <v>45446</v>
      </c>
      <c r="CY78">
        <v>723</v>
      </c>
      <c r="CZ78">
        <v>-1508</v>
      </c>
      <c r="DA78">
        <v>914</v>
      </c>
      <c r="DB78" s="3">
        <v>45446</v>
      </c>
      <c r="DC78">
        <v>3395</v>
      </c>
      <c r="DD78">
        <v>7760</v>
      </c>
      <c r="DE78">
        <v>-14356</v>
      </c>
      <c r="DF78" s="3">
        <v>45446</v>
      </c>
      <c r="DG78">
        <v>5806</v>
      </c>
      <c r="DH78">
        <v>1908</v>
      </c>
      <c r="DI78">
        <v>-8000</v>
      </c>
      <c r="DJ78" s="3">
        <v>45446</v>
      </c>
      <c r="DK78">
        <v>611</v>
      </c>
      <c r="DL78">
        <v>-63</v>
      </c>
      <c r="DM78">
        <v>-389</v>
      </c>
      <c r="DN78" s="3">
        <v>45446</v>
      </c>
      <c r="DO78">
        <v>658</v>
      </c>
      <c r="DP78">
        <v>6658</v>
      </c>
      <c r="DQ78">
        <v>-10551</v>
      </c>
      <c r="DR78" s="3"/>
      <c r="DV78" s="3"/>
      <c r="DZ78" s="3"/>
      <c r="ED78" s="3"/>
      <c r="EH78" s="3"/>
      <c r="EL78" s="3"/>
      <c r="EP78" s="3"/>
      <c r="ET78" s="3"/>
      <c r="EX78" s="3"/>
      <c r="FB78" s="3"/>
      <c r="FF78" s="3"/>
      <c r="FJ78" s="3"/>
      <c r="FN78" s="3"/>
      <c r="FS78" s="3">
        <v>45446</v>
      </c>
      <c r="FT78">
        <v>233848</v>
      </c>
      <c r="FU78">
        <v>182825</v>
      </c>
      <c r="FV78">
        <v>-423020</v>
      </c>
      <c r="FW78" s="3">
        <v>45446</v>
      </c>
      <c r="FX78">
        <v>257378</v>
      </c>
      <c r="FY78">
        <v>251813</v>
      </c>
      <c r="FZ78">
        <v>-512103</v>
      </c>
      <c r="GA78" s="3">
        <v>45446</v>
      </c>
      <c r="GB78">
        <v>13177</v>
      </c>
      <c r="GC78">
        <v>-1460</v>
      </c>
      <c r="GD78">
        <v>-13408</v>
      </c>
      <c r="GE78" s="3">
        <v>45446</v>
      </c>
      <c r="GF78">
        <v>-196</v>
      </c>
      <c r="GG78">
        <v>-5670</v>
      </c>
      <c r="GH78">
        <v>4763</v>
      </c>
      <c r="GI78" s="3">
        <v>45446</v>
      </c>
      <c r="GJ78">
        <v>139</v>
      </c>
      <c r="GK78">
        <v>409</v>
      </c>
      <c r="GL78">
        <v>-579</v>
      </c>
      <c r="GM78" s="3">
        <v>45446</v>
      </c>
      <c r="GN78">
        <v>256</v>
      </c>
      <c r="GO78">
        <v>-568</v>
      </c>
      <c r="GP78">
        <v>338</v>
      </c>
      <c r="GQ78" s="3">
        <v>45446</v>
      </c>
      <c r="GR78">
        <v>122</v>
      </c>
      <c r="GS78">
        <v>490</v>
      </c>
      <c r="GT78">
        <v>-619</v>
      </c>
      <c r="GU78" s="3">
        <v>45446</v>
      </c>
      <c r="GV78">
        <v>-10</v>
      </c>
      <c r="GW78">
        <v>113</v>
      </c>
      <c r="GX78">
        <v>-207</v>
      </c>
      <c r="GY78" s="3">
        <v>45446</v>
      </c>
      <c r="GZ78">
        <v>-89</v>
      </c>
      <c r="HA78">
        <v>402</v>
      </c>
      <c r="HB78">
        <v>-888</v>
      </c>
      <c r="HC78" s="3">
        <v>45446</v>
      </c>
      <c r="HD78">
        <v>-355</v>
      </c>
      <c r="HE78">
        <v>1299</v>
      </c>
      <c r="HF78">
        <v>-3332</v>
      </c>
      <c r="HG78" s="3">
        <v>45446</v>
      </c>
      <c r="HH78">
        <v>974</v>
      </c>
      <c r="HI78">
        <v>1769</v>
      </c>
      <c r="HJ78">
        <v>-2715</v>
      </c>
      <c r="HK78" s="3">
        <v>45446</v>
      </c>
      <c r="HL78">
        <v>66</v>
      </c>
      <c r="HM78">
        <v>-150</v>
      </c>
      <c r="HN78">
        <v>94</v>
      </c>
      <c r="HO78" s="3">
        <v>45446</v>
      </c>
      <c r="HP78">
        <v>2371</v>
      </c>
      <c r="HQ78">
        <v>3504</v>
      </c>
      <c r="HR78">
        <v>-6075</v>
      </c>
      <c r="HS78" s="3">
        <v>45446</v>
      </c>
      <c r="HT78">
        <v>627</v>
      </c>
      <c r="HU78">
        <v>738</v>
      </c>
      <c r="HV78">
        <v>-1529</v>
      </c>
      <c r="HW78" s="3">
        <v>45446</v>
      </c>
      <c r="HX78">
        <v>818</v>
      </c>
      <c r="HY78">
        <v>990</v>
      </c>
      <c r="HZ78">
        <v>-1739</v>
      </c>
      <c r="IA78" s="3">
        <v>45446</v>
      </c>
      <c r="IB78">
        <v>79</v>
      </c>
      <c r="IC78">
        <v>-331</v>
      </c>
      <c r="ID78">
        <v>312</v>
      </c>
      <c r="IE78" s="3">
        <v>45446</v>
      </c>
      <c r="IF78">
        <v>1259</v>
      </c>
      <c r="IG78">
        <v>1533</v>
      </c>
      <c r="IH78">
        <v>-3109</v>
      </c>
      <c r="II78" s="3">
        <v>45446</v>
      </c>
      <c r="IJ78">
        <v>131</v>
      </c>
      <c r="IK78">
        <v>-51</v>
      </c>
      <c r="IL78">
        <v>-83</v>
      </c>
      <c r="IM78" s="3">
        <v>45446</v>
      </c>
      <c r="IN78">
        <v>23</v>
      </c>
      <c r="IO78">
        <v>-462</v>
      </c>
      <c r="IP78">
        <v>444</v>
      </c>
      <c r="IQ78" s="3">
        <v>45446</v>
      </c>
      <c r="IR78">
        <v>275</v>
      </c>
      <c r="IS78">
        <v>-391</v>
      </c>
      <c r="IT78">
        <v>97</v>
      </c>
      <c r="IU78" s="3">
        <v>45446</v>
      </c>
      <c r="IV78">
        <v>-39</v>
      </c>
      <c r="IW78">
        <v>106</v>
      </c>
      <c r="IX78">
        <v>-25</v>
      </c>
      <c r="IY78" s="3">
        <v>45446</v>
      </c>
      <c r="IZ78">
        <v>723</v>
      </c>
      <c r="JA78">
        <v>-1508</v>
      </c>
      <c r="JB78">
        <v>914</v>
      </c>
      <c r="JC78" s="3">
        <v>45446</v>
      </c>
      <c r="JD78">
        <v>3395</v>
      </c>
      <c r="JE78">
        <v>7760</v>
      </c>
      <c r="JF78">
        <v>-14356</v>
      </c>
      <c r="JG78" s="3">
        <v>45446</v>
      </c>
      <c r="JH78">
        <v>5806</v>
      </c>
      <c r="JI78">
        <v>1908</v>
      </c>
      <c r="JJ78">
        <v>-8000</v>
      </c>
      <c r="JK78" s="3">
        <v>45446</v>
      </c>
      <c r="JL78">
        <v>611</v>
      </c>
      <c r="JM78">
        <v>-63</v>
      </c>
      <c r="JN78">
        <v>-389</v>
      </c>
      <c r="JO78" s="3">
        <v>45446</v>
      </c>
      <c r="JP78">
        <v>658</v>
      </c>
      <c r="JQ78">
        <v>6658</v>
      </c>
      <c r="JR78">
        <v>-10551</v>
      </c>
      <c r="JS78" s="3"/>
      <c r="JW78" s="3"/>
      <c r="KA78" s="3"/>
      <c r="KE78" s="3"/>
      <c r="KI78" s="3"/>
      <c r="KM78" s="3"/>
      <c r="KQ78" s="3"/>
      <c r="KU78" s="3"/>
      <c r="KY78" s="3"/>
      <c r="LC78" s="3"/>
      <c r="LG78" s="3"/>
      <c r="LK78" s="3"/>
      <c r="LO78" s="3"/>
    </row>
    <row r="79" spans="3:327">
      <c r="C79" s="26" t="str">
        <f t="shared" ref="C79:D79" si="236">C34</f>
        <v>K200 철강소재</v>
      </c>
      <c r="D79" s="27" t="str">
        <f t="shared" si="236"/>
        <v>214</v>
      </c>
      <c r="E79" s="50" t="str" cm="1">
        <f t="array" aca="1" ref="E79" ca="1">IF( $D79=0, "", _xll.IMDP("IDX",$D79,"기관순매수금액",TODAY()-1,"fill=true") )</f>
        <v/>
      </c>
      <c r="F79" s="51" t="str" cm="1">
        <f t="array" aca="1" ref="F79" ca="1">IF( $E79="", "", INDEX($R$52:$FQ$52, 1, MATCH(ROW()-ROW($C$50), $R$50:$FQ$50, 0)+1) )</f>
        <v/>
      </c>
      <c r="G79" s="52" t="str" cm="1">
        <f t="array" aca="1" ref="G79" ca="1">IF( $E79="", "", INDEX($FS$52:$LR$52, 1, MATCH(ROW()-ROW($C$50), $R$50:$FQ$50, 0)+1) )</f>
        <v/>
      </c>
      <c r="H79" s="53" t="str" cm="1">
        <f t="array" aca="1" ref="H79" ca="1">IF( $D79=0, "", _xll.IMDP("IDX",$D79,"외국인합순매수금액",TODAY()-1,"fill=true") )</f>
        <v/>
      </c>
      <c r="I79" s="51" t="str" cm="1">
        <f t="array" aca="1" ref="I79" ca="1">IF( $H79="", "", INDEX($R$52:$FQ$52, 1, MATCH(ROW()-ROW($C$50), $R$50:$FQ$50, 0)+2))</f>
        <v/>
      </c>
      <c r="J79" s="54" t="str" cm="1">
        <f t="array" aca="1" ref="J79" ca="1">IF( $H79="", "", INDEX($FS$52:$LR$52, 1, MATCH(ROW()-ROW($C$50), $R$50:$FQ$50, 0)+2))</f>
        <v/>
      </c>
      <c r="K79" s="55" t="str" cm="1">
        <f t="array" aca="1" ref="K79" ca="1">IF( $D79=0, "", _xll.IMDP("IDX",$D79,"개인순매수금액",TODAY()-1,"fill=true"))</f>
        <v/>
      </c>
      <c r="L79" s="51" t="str" cm="1">
        <f t="array" aca="1" ref="L79" ca="1">IF( $K79="", "", INDEX($R$52:$FQ$52, 1, MATCH(ROW()-ROW($C$50), $R$50:$FQ$50, 0)+3))</f>
        <v/>
      </c>
      <c r="M79" s="56" t="str" cm="1">
        <f t="array" aca="1" ref="M79" ca="1">IF( $K79="", "", INDEX($FS$52:$LR$52, 1, MATCH(ROW()-ROW($C$50), $R$50:$FQ$50, 0)+3))</f>
        <v/>
      </c>
      <c r="Q79" s="9"/>
      <c r="R79" s="3"/>
      <c r="V79" s="3"/>
      <c r="Z79" s="3"/>
      <c r="AD79" s="3"/>
      <c r="AH79" s="3"/>
      <c r="AL79" s="3"/>
      <c r="AP79" s="3"/>
      <c r="AT79" s="3"/>
      <c r="AX79" s="3"/>
      <c r="BB79" s="3"/>
      <c r="BF79" s="3"/>
      <c r="BJ79" s="3"/>
      <c r="BN79" s="3"/>
      <c r="BR79" s="3"/>
      <c r="BV79" s="3"/>
      <c r="BZ79" s="3"/>
      <c r="CD79" s="3"/>
      <c r="CH79" s="3"/>
      <c r="CL79" s="3"/>
      <c r="CP79" s="3"/>
      <c r="CT79" s="3"/>
      <c r="CX79" s="3"/>
      <c r="DB79" s="3"/>
      <c r="DF79" s="3"/>
      <c r="DJ79" s="3"/>
      <c r="DN79" s="3"/>
      <c r="DR79" s="3"/>
      <c r="DV79" s="3"/>
      <c r="DZ79" s="3"/>
      <c r="ED79" s="3"/>
      <c r="EH79" s="3"/>
      <c r="EL79" s="3"/>
      <c r="EP79" s="3"/>
      <c r="ET79" s="3"/>
      <c r="EX79" s="3"/>
      <c r="FB79" s="3"/>
      <c r="FF79" s="3"/>
      <c r="FJ79" s="3"/>
      <c r="FN79" s="3"/>
      <c r="FS79" s="3">
        <v>45443</v>
      </c>
      <c r="FT79">
        <v>1065402</v>
      </c>
      <c r="FU79">
        <v>-1339927</v>
      </c>
      <c r="FV79">
        <v>281198</v>
      </c>
      <c r="FW79" s="3">
        <v>45443</v>
      </c>
      <c r="FX79">
        <v>1035923</v>
      </c>
      <c r="FY79">
        <v>-1334827</v>
      </c>
      <c r="FZ79">
        <v>302061</v>
      </c>
      <c r="GA79" s="3">
        <v>45443</v>
      </c>
      <c r="GB79">
        <v>5880</v>
      </c>
      <c r="GC79">
        <v>257</v>
      </c>
      <c r="GD79">
        <v>-5031</v>
      </c>
      <c r="GE79" s="3">
        <v>45443</v>
      </c>
      <c r="GF79">
        <v>152</v>
      </c>
      <c r="GG79">
        <v>7898</v>
      </c>
      <c r="GH79">
        <v>-7203</v>
      </c>
      <c r="GI79" s="3">
        <v>45443</v>
      </c>
      <c r="GJ79">
        <v>211</v>
      </c>
      <c r="GK79">
        <v>366</v>
      </c>
      <c r="GL79">
        <v>-579</v>
      </c>
      <c r="GM79" s="3">
        <v>45443</v>
      </c>
      <c r="GN79">
        <v>1480</v>
      </c>
      <c r="GO79">
        <v>538</v>
      </c>
      <c r="GP79">
        <v>-2096</v>
      </c>
      <c r="GQ79" s="3">
        <v>45443</v>
      </c>
      <c r="GR79">
        <v>-105</v>
      </c>
      <c r="GS79">
        <v>-759</v>
      </c>
      <c r="GT79">
        <v>848</v>
      </c>
      <c r="GU79" s="3">
        <v>45443</v>
      </c>
      <c r="GV79">
        <v>42</v>
      </c>
      <c r="GW79">
        <v>24</v>
      </c>
      <c r="GX79">
        <v>-185</v>
      </c>
      <c r="GY79" s="3">
        <v>45443</v>
      </c>
      <c r="GZ79">
        <v>152</v>
      </c>
      <c r="HA79">
        <v>-110</v>
      </c>
      <c r="HB79">
        <v>38</v>
      </c>
      <c r="HC79" s="3">
        <v>45443</v>
      </c>
      <c r="HD79">
        <v>1714</v>
      </c>
      <c r="HE79">
        <v>559</v>
      </c>
      <c r="HF79">
        <v>-1706</v>
      </c>
      <c r="HG79" s="3">
        <v>45443</v>
      </c>
      <c r="HH79">
        <v>4895</v>
      </c>
      <c r="HI79">
        <v>-9161</v>
      </c>
      <c r="HJ79">
        <v>4185</v>
      </c>
      <c r="HK79" s="3">
        <v>45443</v>
      </c>
      <c r="HL79">
        <v>397</v>
      </c>
      <c r="HM79">
        <v>187</v>
      </c>
      <c r="HN79">
        <v>-584</v>
      </c>
      <c r="HO79" s="3">
        <v>45443</v>
      </c>
      <c r="HP79">
        <v>1186</v>
      </c>
      <c r="HQ79">
        <v>-1353</v>
      </c>
      <c r="HR79">
        <v>177</v>
      </c>
      <c r="HS79" s="3">
        <v>45443</v>
      </c>
      <c r="HT79">
        <v>634</v>
      </c>
      <c r="HU79">
        <v>-644</v>
      </c>
      <c r="HV79">
        <v>-5</v>
      </c>
      <c r="HW79" s="3">
        <v>45443</v>
      </c>
      <c r="HX79">
        <v>292</v>
      </c>
      <c r="HY79">
        <v>97</v>
      </c>
      <c r="HZ79">
        <v>-388</v>
      </c>
      <c r="IA79" s="3">
        <v>45443</v>
      </c>
      <c r="IB79">
        <v>392</v>
      </c>
      <c r="IC79">
        <v>-1311</v>
      </c>
      <c r="ID79">
        <v>933</v>
      </c>
      <c r="IE79" s="3">
        <v>45443</v>
      </c>
      <c r="IF79">
        <v>1841</v>
      </c>
      <c r="IG79">
        <v>6254</v>
      </c>
      <c r="IH79">
        <v>-8225</v>
      </c>
      <c r="II79" s="3">
        <v>45443</v>
      </c>
      <c r="IJ79">
        <v>519</v>
      </c>
      <c r="IK79">
        <v>-395</v>
      </c>
      <c r="IL79">
        <v>-130</v>
      </c>
      <c r="IM79" s="3">
        <v>45443</v>
      </c>
      <c r="IN79">
        <v>4371</v>
      </c>
      <c r="IO79">
        <v>-3509</v>
      </c>
      <c r="IP79">
        <v>-957</v>
      </c>
      <c r="IQ79" s="3">
        <v>45443</v>
      </c>
      <c r="IR79">
        <v>947</v>
      </c>
      <c r="IS79">
        <v>-1583</v>
      </c>
      <c r="IT79">
        <v>609</v>
      </c>
      <c r="IU79" s="3">
        <v>45443</v>
      </c>
      <c r="IV79">
        <v>296</v>
      </c>
      <c r="IW79">
        <v>-470</v>
      </c>
      <c r="IX79">
        <v>98</v>
      </c>
      <c r="IY79" s="3">
        <v>45443</v>
      </c>
      <c r="IZ79">
        <v>1306</v>
      </c>
      <c r="JA79">
        <v>-52</v>
      </c>
      <c r="JB79">
        <v>-1052</v>
      </c>
      <c r="JC79" s="3">
        <v>45443</v>
      </c>
      <c r="JD79">
        <v>9485</v>
      </c>
      <c r="JE79">
        <v>-10166</v>
      </c>
      <c r="JF79">
        <v>1026</v>
      </c>
      <c r="JG79" s="3">
        <v>45443</v>
      </c>
      <c r="JH79">
        <v>14105</v>
      </c>
      <c r="JI79">
        <v>-18508</v>
      </c>
      <c r="JJ79">
        <v>4328</v>
      </c>
      <c r="JK79" s="3">
        <v>45443</v>
      </c>
      <c r="JL79">
        <v>4872</v>
      </c>
      <c r="JM79">
        <v>6438</v>
      </c>
      <c r="JN79">
        <v>-11279</v>
      </c>
      <c r="JO79" s="3">
        <v>45443</v>
      </c>
      <c r="JP79">
        <v>-216</v>
      </c>
      <c r="JQ79">
        <v>2768</v>
      </c>
      <c r="JR79">
        <v>-2230</v>
      </c>
      <c r="JS79" s="3"/>
      <c r="JW79" s="3"/>
      <c r="KA79" s="3"/>
      <c r="KE79" s="3"/>
      <c r="KI79" s="3"/>
      <c r="KM79" s="3"/>
      <c r="KQ79" s="3"/>
      <c r="KU79" s="3"/>
      <c r="KY79" s="3"/>
      <c r="LC79" s="3"/>
      <c r="LG79" s="3"/>
      <c r="LK79" s="3"/>
      <c r="LO79" s="3"/>
    </row>
    <row r="80" spans="3:327">
      <c r="C80" s="26" t="str">
        <f t="shared" ref="C80:D80" si="237">C35</f>
        <v>K200 에너지화학</v>
      </c>
      <c r="D80" s="27" t="str">
        <f t="shared" si="237"/>
        <v>215</v>
      </c>
      <c r="E80" s="50" t="str" cm="1">
        <f t="array" aca="1" ref="E80" ca="1">IF( $D80=0, "", _xll.IMDP("IDX",$D80,"기관순매수금액",TODAY()-1,"fill=true") )</f>
        <v/>
      </c>
      <c r="F80" s="51" t="str" cm="1">
        <f t="array" aca="1" ref="F80" ca="1">IF( $E80="", "", INDEX($R$52:$FQ$52, 1, MATCH(ROW()-ROW($C$50), $R$50:$FQ$50, 0)+1) )</f>
        <v/>
      </c>
      <c r="G80" s="52" t="str" cm="1">
        <f t="array" aca="1" ref="G80" ca="1">IF( $E80="", "", INDEX($FS$52:$LR$52, 1, MATCH(ROW()-ROW($C$50), $R$50:$FQ$50, 0)+1) )</f>
        <v/>
      </c>
      <c r="H80" s="53" t="str" cm="1">
        <f t="array" aca="1" ref="H80" ca="1">IF( $D80=0, "", _xll.IMDP("IDX",$D80,"외국인합순매수금액",TODAY()-1,"fill=true") )</f>
        <v/>
      </c>
      <c r="I80" s="51" t="str" cm="1">
        <f t="array" aca="1" ref="I80" ca="1">IF( $H80="", "", INDEX($R$52:$FQ$52, 1, MATCH(ROW()-ROW($C$50), $R$50:$FQ$50, 0)+2))</f>
        <v/>
      </c>
      <c r="J80" s="54" t="str" cm="1">
        <f t="array" aca="1" ref="J80" ca="1">IF( $H80="", "", INDEX($FS$52:$LR$52, 1, MATCH(ROW()-ROW($C$50), $R$50:$FQ$50, 0)+2))</f>
        <v/>
      </c>
      <c r="K80" s="55" t="str" cm="1">
        <f t="array" aca="1" ref="K80" ca="1">IF( $D80=0, "", _xll.IMDP("IDX",$D80,"개인순매수금액",TODAY()-1,"fill=true"))</f>
        <v/>
      </c>
      <c r="L80" s="51" t="str" cm="1">
        <f t="array" aca="1" ref="L80" ca="1">IF( $K80="", "", INDEX($R$52:$FQ$52, 1, MATCH(ROW()-ROW($C$50), $R$50:$FQ$50, 0)+3))</f>
        <v/>
      </c>
      <c r="M80" s="56" t="str" cm="1">
        <f t="array" aca="1" ref="M80" ca="1">IF( $K80="", "", INDEX($FS$52:$LR$52, 1, MATCH(ROW()-ROW($C$50), $R$50:$FQ$50, 0)+3))</f>
        <v/>
      </c>
      <c r="Q80" s="9"/>
      <c r="R80" s="3"/>
      <c r="V80" s="3"/>
      <c r="Z80" s="3"/>
      <c r="AD80" s="3"/>
      <c r="AH80" s="3"/>
      <c r="AL80" s="3"/>
      <c r="AP80" s="3"/>
      <c r="AT80" s="3"/>
      <c r="AX80" s="3"/>
      <c r="BB80" s="3"/>
      <c r="BF80" s="3"/>
      <c r="BJ80" s="3"/>
      <c r="BN80" s="3"/>
      <c r="BR80" s="3"/>
      <c r="BV80" s="3"/>
      <c r="BZ80" s="3"/>
      <c r="CD80" s="3"/>
      <c r="CH80" s="3"/>
      <c r="CL80" s="3"/>
      <c r="CP80" s="3"/>
      <c r="CT80" s="3"/>
      <c r="CX80" s="3"/>
      <c r="DB80" s="3"/>
      <c r="DF80" s="3"/>
      <c r="DJ80" s="3"/>
      <c r="DN80" s="3"/>
      <c r="DR80" s="3"/>
      <c r="DV80" s="3"/>
      <c r="DZ80" s="3"/>
      <c r="ED80" s="3"/>
      <c r="EH80" s="3"/>
      <c r="EL80" s="3"/>
      <c r="EP80" s="3"/>
      <c r="ET80" s="3"/>
      <c r="EX80" s="3"/>
      <c r="FB80" s="3"/>
      <c r="FF80" s="3"/>
      <c r="FJ80" s="3"/>
      <c r="FN80" s="3"/>
      <c r="FS80" s="3">
        <v>45442</v>
      </c>
      <c r="FT80">
        <v>-447740</v>
      </c>
      <c r="FU80">
        <v>-777613</v>
      </c>
      <c r="FV80">
        <v>1190685</v>
      </c>
      <c r="FW80" s="3">
        <v>45442</v>
      </c>
      <c r="FX80">
        <v>-479111</v>
      </c>
      <c r="FY80">
        <v>-720779</v>
      </c>
      <c r="FZ80">
        <v>1162365</v>
      </c>
      <c r="GA80" s="3">
        <v>45442</v>
      </c>
      <c r="GB80">
        <v>483</v>
      </c>
      <c r="GC80">
        <v>103</v>
      </c>
      <c r="GD80">
        <v>508</v>
      </c>
      <c r="GE80" s="3">
        <v>45442</v>
      </c>
      <c r="GF80">
        <v>794</v>
      </c>
      <c r="GG80">
        <v>-1197</v>
      </c>
      <c r="GH80">
        <v>508</v>
      </c>
      <c r="GI80" s="3">
        <v>45442</v>
      </c>
      <c r="GJ80">
        <v>483</v>
      </c>
      <c r="GK80">
        <v>-125</v>
      </c>
      <c r="GL80">
        <v>-355</v>
      </c>
      <c r="GM80" s="3">
        <v>45442</v>
      </c>
      <c r="GN80">
        <v>153</v>
      </c>
      <c r="GO80">
        <v>-1131</v>
      </c>
      <c r="GP80">
        <v>907</v>
      </c>
      <c r="GQ80" s="3">
        <v>45442</v>
      </c>
      <c r="GR80">
        <v>-271</v>
      </c>
      <c r="GS80">
        <v>-277</v>
      </c>
      <c r="GT80">
        <v>528</v>
      </c>
      <c r="GU80" s="3">
        <v>45442</v>
      </c>
      <c r="GV80">
        <v>-70</v>
      </c>
      <c r="GW80">
        <v>-116</v>
      </c>
      <c r="GX80">
        <v>-27</v>
      </c>
      <c r="GY80" s="3">
        <v>45442</v>
      </c>
      <c r="GZ80">
        <v>-245</v>
      </c>
      <c r="HA80">
        <v>-113</v>
      </c>
      <c r="HB80">
        <v>366</v>
      </c>
      <c r="HC80" s="3">
        <v>45442</v>
      </c>
      <c r="HD80">
        <v>216</v>
      </c>
      <c r="HE80">
        <v>-409</v>
      </c>
      <c r="HF80">
        <v>-32</v>
      </c>
      <c r="HG80" s="3">
        <v>45442</v>
      </c>
      <c r="HH80">
        <v>-3708</v>
      </c>
      <c r="HI80">
        <v>-7354</v>
      </c>
      <c r="HJ80">
        <v>10552</v>
      </c>
      <c r="HK80" s="3">
        <v>45442</v>
      </c>
      <c r="HL80">
        <v>-7</v>
      </c>
      <c r="HM80">
        <v>166</v>
      </c>
      <c r="HN80">
        <v>-158</v>
      </c>
      <c r="HO80" s="3">
        <v>45442</v>
      </c>
      <c r="HP80">
        <v>-1000</v>
      </c>
      <c r="HQ80">
        <v>-213</v>
      </c>
      <c r="HR80">
        <v>1168</v>
      </c>
      <c r="HS80" s="3">
        <v>45442</v>
      </c>
      <c r="HT80">
        <v>-155</v>
      </c>
      <c r="HU80">
        <v>-716</v>
      </c>
      <c r="HV80">
        <v>871</v>
      </c>
      <c r="HW80" s="3">
        <v>45442</v>
      </c>
      <c r="HX80">
        <v>-653</v>
      </c>
      <c r="HY80">
        <v>-308</v>
      </c>
      <c r="HZ80">
        <v>960</v>
      </c>
      <c r="IA80" s="3">
        <v>45442</v>
      </c>
      <c r="IB80">
        <v>-380</v>
      </c>
      <c r="IC80">
        <v>-1223</v>
      </c>
      <c r="ID80">
        <v>1534</v>
      </c>
      <c r="IE80" s="3">
        <v>45442</v>
      </c>
      <c r="IF80">
        <v>-305</v>
      </c>
      <c r="IG80">
        <v>-539</v>
      </c>
      <c r="IH80">
        <v>824</v>
      </c>
      <c r="II80" s="3">
        <v>45442</v>
      </c>
      <c r="IJ80">
        <v>-109</v>
      </c>
      <c r="IK80">
        <v>-118</v>
      </c>
      <c r="IL80">
        <v>287</v>
      </c>
      <c r="IM80" s="3">
        <v>45442</v>
      </c>
      <c r="IN80">
        <v>-978</v>
      </c>
      <c r="IO80">
        <v>-577</v>
      </c>
      <c r="IP80">
        <v>1182</v>
      </c>
      <c r="IQ80" s="3">
        <v>45442</v>
      </c>
      <c r="IR80">
        <v>48</v>
      </c>
      <c r="IS80">
        <v>-147</v>
      </c>
      <c r="IT80">
        <v>-18</v>
      </c>
      <c r="IU80" s="3">
        <v>45442</v>
      </c>
      <c r="IV80">
        <v>-80</v>
      </c>
      <c r="IW80">
        <v>139</v>
      </c>
      <c r="IX80">
        <v>-80</v>
      </c>
      <c r="IY80" s="3">
        <v>45442</v>
      </c>
      <c r="IZ80">
        <v>-175</v>
      </c>
      <c r="JA80">
        <v>-606</v>
      </c>
      <c r="JB80">
        <v>726</v>
      </c>
      <c r="JC80" s="3">
        <v>45442</v>
      </c>
      <c r="JD80">
        <v>-4991</v>
      </c>
      <c r="JE80">
        <v>-9398</v>
      </c>
      <c r="JF80">
        <v>13295</v>
      </c>
      <c r="JG80" s="3">
        <v>45442</v>
      </c>
      <c r="JH80">
        <v>-6190</v>
      </c>
      <c r="JI80">
        <v>-9375</v>
      </c>
      <c r="JJ80">
        <v>14708</v>
      </c>
      <c r="JK80" s="3">
        <v>45442</v>
      </c>
      <c r="JL80">
        <v>-973</v>
      </c>
      <c r="JM80">
        <v>-2136</v>
      </c>
      <c r="JN80">
        <v>2924</v>
      </c>
      <c r="JO80" s="3">
        <v>45442</v>
      </c>
      <c r="JP80">
        <v>-552</v>
      </c>
      <c r="JQ80">
        <v>-1830</v>
      </c>
      <c r="JR80">
        <v>2026</v>
      </c>
      <c r="JS80" s="3"/>
      <c r="JW80" s="3"/>
      <c r="KA80" s="3"/>
      <c r="KE80" s="3"/>
      <c r="KI80" s="3"/>
      <c r="KM80" s="3"/>
      <c r="KQ80" s="3"/>
      <c r="KU80" s="3"/>
      <c r="KY80" s="3"/>
      <c r="LC80" s="3"/>
      <c r="LG80" s="3"/>
      <c r="LK80" s="3"/>
      <c r="LO80" s="3"/>
    </row>
    <row r="81" spans="3:327">
      <c r="C81" s="26" t="str">
        <f t="shared" ref="C81:D81" si="238">C36</f>
        <v>K200 정보기술</v>
      </c>
      <c r="D81" s="27" t="str">
        <f t="shared" si="238"/>
        <v>216</v>
      </c>
      <c r="E81" s="50" t="str" cm="1">
        <f t="array" aca="1" ref="E81" ca="1">IF( $D81=0, "", _xll.IMDP("IDX",$D81,"기관순매수금액",TODAY()-1,"fill=true") )</f>
        <v/>
      </c>
      <c r="F81" s="51" t="str" cm="1">
        <f t="array" aca="1" ref="F81" ca="1">IF( $E81="", "", INDEX($R$52:$FQ$52, 1, MATCH(ROW()-ROW($C$50), $R$50:$FQ$50, 0)+1) )</f>
        <v/>
      </c>
      <c r="G81" s="52" t="str" cm="1">
        <f t="array" aca="1" ref="G81" ca="1">IF( $E81="", "", INDEX($FS$52:$LR$52, 1, MATCH(ROW()-ROW($C$50), $R$50:$FQ$50, 0)+1) )</f>
        <v/>
      </c>
      <c r="H81" s="53" t="str" cm="1">
        <f t="array" aca="1" ref="H81" ca="1">IF( $D81=0, "", _xll.IMDP("IDX",$D81,"외국인합순매수금액",TODAY()-1,"fill=true") )</f>
        <v/>
      </c>
      <c r="I81" s="51" t="str" cm="1">
        <f t="array" aca="1" ref="I81" ca="1">IF( $H81="", "", INDEX($R$52:$FQ$52, 1, MATCH(ROW()-ROW($C$50), $R$50:$FQ$50, 0)+2))</f>
        <v/>
      </c>
      <c r="J81" s="54" t="str" cm="1">
        <f t="array" aca="1" ref="J81" ca="1">IF( $H81="", "", INDEX($FS$52:$LR$52, 1, MATCH(ROW()-ROW($C$50), $R$50:$FQ$50, 0)+2))</f>
        <v/>
      </c>
      <c r="K81" s="55" t="str" cm="1">
        <f t="array" aca="1" ref="K81" ca="1">IF( $D81=0, "", _xll.IMDP("IDX",$D81,"개인순매수금액",TODAY()-1,"fill=true"))</f>
        <v/>
      </c>
      <c r="L81" s="51" t="str" cm="1">
        <f t="array" aca="1" ref="L81" ca="1">IF( $K81="", "", INDEX($R$52:$FQ$52, 1, MATCH(ROW()-ROW($C$50), $R$50:$FQ$50, 0)+3))</f>
        <v/>
      </c>
      <c r="M81" s="56" t="str" cm="1">
        <f t="array" aca="1" ref="M81" ca="1">IF( $K81="", "", INDEX($FS$52:$LR$52, 1, MATCH(ROW()-ROW($C$50), $R$50:$FQ$50, 0)+3))</f>
        <v/>
      </c>
      <c r="Q81" s="9"/>
      <c r="R81" s="3"/>
      <c r="V81" s="3"/>
      <c r="Z81" s="3"/>
      <c r="AD81" s="3"/>
      <c r="AH81" s="3"/>
      <c r="AL81" s="3"/>
      <c r="AP81" s="3"/>
      <c r="AT81" s="3"/>
      <c r="AX81" s="3"/>
      <c r="BB81" s="3"/>
      <c r="BF81" s="3"/>
      <c r="BJ81" s="3"/>
      <c r="BN81" s="3"/>
      <c r="BR81" s="3"/>
      <c r="BV81" s="3"/>
      <c r="BZ81" s="3"/>
      <c r="CD81" s="3"/>
      <c r="CH81" s="3"/>
      <c r="CL81" s="3"/>
      <c r="CP81" s="3"/>
      <c r="CT81" s="3"/>
      <c r="CX81" s="3"/>
      <c r="DB81" s="3"/>
      <c r="DF81" s="3"/>
      <c r="DJ81" s="3"/>
      <c r="DN81" s="3"/>
      <c r="DR81" s="3"/>
      <c r="DV81" s="3"/>
      <c r="DZ81" s="3"/>
      <c r="ED81" s="3"/>
      <c r="EH81" s="3"/>
      <c r="EL81" s="3"/>
      <c r="EP81" s="3"/>
      <c r="ET81" s="3"/>
      <c r="EX81" s="3"/>
      <c r="FB81" s="3"/>
      <c r="FF81" s="3"/>
      <c r="FJ81" s="3"/>
      <c r="FN81" s="3"/>
      <c r="FS81" s="3">
        <v>45441</v>
      </c>
      <c r="FT81">
        <v>-258168</v>
      </c>
      <c r="FU81">
        <v>-1022024</v>
      </c>
      <c r="FV81">
        <v>1272413</v>
      </c>
      <c r="FW81" s="3">
        <v>45441</v>
      </c>
      <c r="FX81">
        <v>-248383</v>
      </c>
      <c r="FY81">
        <v>-961412</v>
      </c>
      <c r="FZ81">
        <v>1180941</v>
      </c>
      <c r="GA81" s="3">
        <v>45441</v>
      </c>
      <c r="GB81">
        <v>425</v>
      </c>
      <c r="GC81">
        <v>-10061</v>
      </c>
      <c r="GD81">
        <v>7061</v>
      </c>
      <c r="GE81" s="3">
        <v>45441</v>
      </c>
      <c r="GF81">
        <v>-1072</v>
      </c>
      <c r="GG81">
        <v>-870</v>
      </c>
      <c r="GH81">
        <v>916</v>
      </c>
      <c r="GI81" s="3">
        <v>45441</v>
      </c>
      <c r="GJ81">
        <v>333</v>
      </c>
      <c r="GK81">
        <v>-494</v>
      </c>
      <c r="GL81">
        <v>214</v>
      </c>
      <c r="GM81" s="3">
        <v>45441</v>
      </c>
      <c r="GN81">
        <v>2</v>
      </c>
      <c r="GO81">
        <v>69</v>
      </c>
      <c r="GP81">
        <v>121</v>
      </c>
      <c r="GQ81" s="3">
        <v>45441</v>
      </c>
      <c r="GR81">
        <v>-135</v>
      </c>
      <c r="GS81">
        <v>-568</v>
      </c>
      <c r="GT81">
        <v>673</v>
      </c>
      <c r="GU81" s="3">
        <v>45441</v>
      </c>
      <c r="GV81">
        <v>-55</v>
      </c>
      <c r="GW81">
        <v>-307</v>
      </c>
      <c r="GX81">
        <v>145</v>
      </c>
      <c r="GY81" s="3">
        <v>45441</v>
      </c>
      <c r="GZ81">
        <v>10</v>
      </c>
      <c r="HA81">
        <v>-1016</v>
      </c>
      <c r="HB81">
        <v>1199</v>
      </c>
      <c r="HC81" s="3">
        <v>45441</v>
      </c>
      <c r="HD81">
        <v>-412</v>
      </c>
      <c r="HE81">
        <v>-931</v>
      </c>
      <c r="HF81">
        <v>1288</v>
      </c>
      <c r="HG81" s="3">
        <v>45441</v>
      </c>
      <c r="HH81">
        <v>536</v>
      </c>
      <c r="HI81">
        <v>-9083</v>
      </c>
      <c r="HJ81">
        <v>8254</v>
      </c>
      <c r="HK81" s="3">
        <v>45441</v>
      </c>
      <c r="HL81">
        <v>-406</v>
      </c>
      <c r="HM81">
        <v>-177</v>
      </c>
      <c r="HN81">
        <v>618</v>
      </c>
      <c r="HO81" s="3">
        <v>45441</v>
      </c>
      <c r="HP81">
        <v>-863</v>
      </c>
      <c r="HQ81">
        <v>-926</v>
      </c>
      <c r="HR81">
        <v>1814</v>
      </c>
      <c r="HS81" s="3">
        <v>45441</v>
      </c>
      <c r="HT81">
        <v>-413</v>
      </c>
      <c r="HU81">
        <v>-577</v>
      </c>
      <c r="HV81">
        <v>908</v>
      </c>
      <c r="HW81" s="3">
        <v>45441</v>
      </c>
      <c r="HX81">
        <v>-376</v>
      </c>
      <c r="HY81">
        <v>-290</v>
      </c>
      <c r="HZ81">
        <v>615</v>
      </c>
      <c r="IA81" s="3">
        <v>45441</v>
      </c>
      <c r="IB81">
        <v>-178</v>
      </c>
      <c r="IC81">
        <v>-1180</v>
      </c>
      <c r="ID81">
        <v>1367</v>
      </c>
      <c r="IE81" s="3">
        <v>45441</v>
      </c>
      <c r="IF81">
        <v>-53</v>
      </c>
      <c r="IG81">
        <v>-1063</v>
      </c>
      <c r="IH81">
        <v>1032</v>
      </c>
      <c r="II81" s="3">
        <v>45441</v>
      </c>
      <c r="IJ81">
        <v>-34</v>
      </c>
      <c r="IK81">
        <v>-187</v>
      </c>
      <c r="IL81">
        <v>208</v>
      </c>
      <c r="IM81" s="3">
        <v>45441</v>
      </c>
      <c r="IN81">
        <v>-892</v>
      </c>
      <c r="IO81">
        <v>-1078</v>
      </c>
      <c r="IP81">
        <v>1751</v>
      </c>
      <c r="IQ81" s="3">
        <v>45441</v>
      </c>
      <c r="IR81">
        <v>3</v>
      </c>
      <c r="IS81">
        <v>-637</v>
      </c>
      <c r="IT81">
        <v>515</v>
      </c>
      <c r="IU81" s="3">
        <v>45441</v>
      </c>
      <c r="IV81">
        <v>-550</v>
      </c>
      <c r="IW81">
        <v>38</v>
      </c>
      <c r="IX81">
        <v>463</v>
      </c>
      <c r="IY81" s="3">
        <v>45441</v>
      </c>
      <c r="IZ81">
        <v>-284</v>
      </c>
      <c r="JA81">
        <v>-1353</v>
      </c>
      <c r="JB81">
        <v>1655</v>
      </c>
      <c r="JC81" s="3">
        <v>45441</v>
      </c>
      <c r="JD81">
        <v>-1370</v>
      </c>
      <c r="JE81">
        <v>-13747</v>
      </c>
      <c r="JF81">
        <v>14965</v>
      </c>
      <c r="JG81" s="3">
        <v>45441</v>
      </c>
      <c r="JH81">
        <v>-2310</v>
      </c>
      <c r="JI81">
        <v>-10875</v>
      </c>
      <c r="JJ81">
        <v>12654</v>
      </c>
      <c r="JK81" s="3">
        <v>45441</v>
      </c>
      <c r="JL81">
        <v>-890</v>
      </c>
      <c r="JM81">
        <v>-2848</v>
      </c>
      <c r="JN81">
        <v>3721</v>
      </c>
      <c r="JO81" s="3">
        <v>45441</v>
      </c>
      <c r="JP81">
        <v>-217</v>
      </c>
      <c r="JQ81">
        <v>-5027</v>
      </c>
      <c r="JR81">
        <v>5132</v>
      </c>
      <c r="JS81" s="3"/>
      <c r="JW81" s="3"/>
      <c r="KA81" s="3"/>
      <c r="KE81" s="3"/>
      <c r="KI81" s="3"/>
      <c r="KM81" s="3"/>
      <c r="KQ81" s="3"/>
      <c r="KU81" s="3"/>
      <c r="KY81" s="3"/>
      <c r="LC81" s="3"/>
      <c r="LG81" s="3"/>
      <c r="LK81" s="3"/>
      <c r="LO81" s="3"/>
    </row>
    <row r="82" spans="3:327">
      <c r="C82" s="26" t="str">
        <f t="shared" ref="C82:D82" si="239">C37</f>
        <v>K200 금융</v>
      </c>
      <c r="D82" s="27" t="str">
        <f t="shared" si="239"/>
        <v>217</v>
      </c>
      <c r="E82" s="50" t="str" cm="1">
        <f t="array" aca="1" ref="E82" ca="1">IF( $D82=0, "", _xll.IMDP("IDX",$D82,"기관순매수금액",TODAY()-1,"fill=true") )</f>
        <v/>
      </c>
      <c r="F82" s="51" t="str" cm="1">
        <f t="array" aca="1" ref="F82" ca="1">IF( $E82="", "", INDEX($R$52:$FQ$52, 1, MATCH(ROW()-ROW($C$50), $R$50:$FQ$50, 0)+1) )</f>
        <v/>
      </c>
      <c r="G82" s="52" t="str" cm="1">
        <f t="array" aca="1" ref="G82" ca="1">IF( $E82="", "", INDEX($FS$52:$LR$52, 1, MATCH(ROW()-ROW($C$50), $R$50:$FQ$50, 0)+1) )</f>
        <v/>
      </c>
      <c r="H82" s="53" t="str" cm="1">
        <f t="array" aca="1" ref="H82" ca="1">IF( $D82=0, "", _xll.IMDP("IDX",$D82,"외국인합순매수금액",TODAY()-1,"fill=true") )</f>
        <v/>
      </c>
      <c r="I82" s="51" t="str" cm="1">
        <f t="array" aca="1" ref="I82" ca="1">IF( $H82="", "", INDEX($R$52:$FQ$52, 1, MATCH(ROW()-ROW($C$50), $R$50:$FQ$50, 0)+2))</f>
        <v/>
      </c>
      <c r="J82" s="54" t="str" cm="1">
        <f t="array" aca="1" ref="J82" ca="1">IF( $H82="", "", INDEX($FS$52:$LR$52, 1, MATCH(ROW()-ROW($C$50), $R$50:$FQ$50, 0)+2))</f>
        <v/>
      </c>
      <c r="K82" s="55" t="str" cm="1">
        <f t="array" aca="1" ref="K82" ca="1">IF( $D82=0, "", _xll.IMDP("IDX",$D82,"개인순매수금액",TODAY()-1,"fill=true"))</f>
        <v/>
      </c>
      <c r="L82" s="51" t="str" cm="1">
        <f t="array" aca="1" ref="L82" ca="1">IF( $K82="", "", INDEX($R$52:$FQ$52, 1, MATCH(ROW()-ROW($C$50), $R$50:$FQ$50, 0)+3))</f>
        <v/>
      </c>
      <c r="M82" s="56" t="str" cm="1">
        <f t="array" aca="1" ref="M82" ca="1">IF( $K82="", "", INDEX($FS$52:$LR$52, 1, MATCH(ROW()-ROW($C$50), $R$50:$FQ$50, 0)+3))</f>
        <v/>
      </c>
      <c r="Q82" s="9"/>
      <c r="R82" s="3"/>
      <c r="V82" s="3"/>
      <c r="Z82" s="3"/>
      <c r="AD82" s="3"/>
      <c r="AH82" s="3"/>
      <c r="AL82" s="3"/>
      <c r="AP82" s="3"/>
      <c r="AT82" s="3"/>
      <c r="AX82" s="3"/>
      <c r="BB82" s="3"/>
      <c r="BF82" s="3"/>
      <c r="BJ82" s="3"/>
      <c r="BN82" s="3"/>
      <c r="BR82" s="3"/>
      <c r="BV82" s="3"/>
      <c r="BZ82" s="3"/>
      <c r="CD82" s="3"/>
      <c r="CH82" s="3"/>
      <c r="CL82" s="3"/>
      <c r="CP82" s="3"/>
      <c r="CT82" s="3"/>
      <c r="CX82" s="3"/>
      <c r="DB82" s="3"/>
      <c r="DF82" s="3"/>
      <c r="DJ82" s="3"/>
      <c r="DN82" s="3"/>
      <c r="DR82" s="3"/>
      <c r="DV82" s="3"/>
      <c r="DZ82" s="3"/>
      <c r="ED82" s="3"/>
      <c r="EH82" s="3"/>
      <c r="EL82" s="3"/>
      <c r="EP82" s="3"/>
      <c r="ET82" s="3"/>
      <c r="EX82" s="3"/>
      <c r="FB82" s="3"/>
      <c r="FF82" s="3"/>
      <c r="FJ82" s="3"/>
      <c r="FN82" s="3"/>
      <c r="FS82" s="3">
        <v>45440</v>
      </c>
      <c r="FT82">
        <v>119560</v>
      </c>
      <c r="FU82">
        <v>45321</v>
      </c>
      <c r="FV82">
        <v>-153567</v>
      </c>
      <c r="FW82" s="3">
        <v>45440</v>
      </c>
      <c r="FX82">
        <v>75930</v>
      </c>
      <c r="FY82">
        <v>20487</v>
      </c>
      <c r="FZ82">
        <v>-83793</v>
      </c>
      <c r="GA82" s="3">
        <v>45440</v>
      </c>
      <c r="GB82">
        <v>-7890</v>
      </c>
      <c r="GC82">
        <v>1043</v>
      </c>
      <c r="GD82">
        <v>6373</v>
      </c>
      <c r="GE82" s="3">
        <v>45440</v>
      </c>
      <c r="GF82">
        <v>-401</v>
      </c>
      <c r="GG82">
        <v>-1245</v>
      </c>
      <c r="GH82">
        <v>1535</v>
      </c>
      <c r="GI82" s="3">
        <v>45440</v>
      </c>
      <c r="GJ82">
        <v>106</v>
      </c>
      <c r="GK82">
        <v>-197</v>
      </c>
      <c r="GL82">
        <v>131</v>
      </c>
      <c r="GM82" s="3">
        <v>45440</v>
      </c>
      <c r="GN82">
        <v>-427</v>
      </c>
      <c r="GO82">
        <v>-937</v>
      </c>
      <c r="GP82">
        <v>1348</v>
      </c>
      <c r="GQ82" s="3">
        <v>45440</v>
      </c>
      <c r="GR82">
        <v>-179</v>
      </c>
      <c r="GS82">
        <v>-12</v>
      </c>
      <c r="GT82">
        <v>222</v>
      </c>
      <c r="GU82" s="3">
        <v>45440</v>
      </c>
      <c r="GV82">
        <v>-58</v>
      </c>
      <c r="GW82">
        <v>-85</v>
      </c>
      <c r="GX82">
        <v>9</v>
      </c>
      <c r="GY82" s="3">
        <v>45440</v>
      </c>
      <c r="GZ82">
        <v>11</v>
      </c>
      <c r="HA82">
        <v>-547</v>
      </c>
      <c r="HB82">
        <v>591</v>
      </c>
      <c r="HC82" s="3">
        <v>45440</v>
      </c>
      <c r="HD82">
        <v>856</v>
      </c>
      <c r="HE82">
        <v>172</v>
      </c>
      <c r="HF82">
        <v>-860</v>
      </c>
      <c r="HG82" s="3">
        <v>45440</v>
      </c>
      <c r="HH82">
        <v>3519</v>
      </c>
      <c r="HI82">
        <v>1102</v>
      </c>
      <c r="HJ82">
        <v>-4618</v>
      </c>
      <c r="HK82" s="3">
        <v>45440</v>
      </c>
      <c r="HL82">
        <v>-97</v>
      </c>
      <c r="HM82">
        <v>-118</v>
      </c>
      <c r="HN82">
        <v>174</v>
      </c>
      <c r="HO82" s="3">
        <v>45440</v>
      </c>
      <c r="HP82">
        <v>102</v>
      </c>
      <c r="HQ82">
        <v>633</v>
      </c>
      <c r="HR82">
        <v>-532</v>
      </c>
      <c r="HS82" s="3">
        <v>45440</v>
      </c>
      <c r="HT82">
        <v>-258</v>
      </c>
      <c r="HU82">
        <v>-224</v>
      </c>
      <c r="HV82">
        <v>467</v>
      </c>
      <c r="HW82" s="3">
        <v>45440</v>
      </c>
      <c r="HX82">
        <v>-198</v>
      </c>
      <c r="HY82">
        <v>-75</v>
      </c>
      <c r="HZ82">
        <v>219</v>
      </c>
      <c r="IA82" s="3">
        <v>45440</v>
      </c>
      <c r="IB82">
        <v>68</v>
      </c>
      <c r="IC82">
        <v>-644</v>
      </c>
      <c r="ID82">
        <v>645</v>
      </c>
      <c r="IE82" s="3">
        <v>45440</v>
      </c>
      <c r="IF82">
        <v>405</v>
      </c>
      <c r="IG82">
        <v>98</v>
      </c>
      <c r="IH82">
        <v>-527</v>
      </c>
      <c r="II82" s="3">
        <v>45440</v>
      </c>
      <c r="IJ82">
        <v>35</v>
      </c>
      <c r="IK82">
        <v>-306</v>
      </c>
      <c r="IL82">
        <v>254</v>
      </c>
      <c r="IM82" s="3">
        <v>45440</v>
      </c>
      <c r="IN82">
        <v>-1284</v>
      </c>
      <c r="IO82">
        <v>-184</v>
      </c>
      <c r="IP82">
        <v>1140</v>
      </c>
      <c r="IQ82" s="3">
        <v>45440</v>
      </c>
      <c r="IR82">
        <v>-86</v>
      </c>
      <c r="IS82">
        <v>-112</v>
      </c>
      <c r="IT82">
        <v>73</v>
      </c>
      <c r="IU82" s="3">
        <v>45440</v>
      </c>
      <c r="IV82">
        <v>-217</v>
      </c>
      <c r="IW82">
        <v>459</v>
      </c>
      <c r="IX82">
        <v>-366</v>
      </c>
      <c r="IY82" s="3">
        <v>45440</v>
      </c>
      <c r="IZ82">
        <v>-963</v>
      </c>
      <c r="JA82">
        <v>-764</v>
      </c>
      <c r="JB82">
        <v>1702</v>
      </c>
      <c r="JC82" s="3">
        <v>45440</v>
      </c>
      <c r="JD82">
        <v>3572</v>
      </c>
      <c r="JE82">
        <v>300</v>
      </c>
      <c r="JF82">
        <v>-3590</v>
      </c>
      <c r="JG82" s="3">
        <v>45440</v>
      </c>
      <c r="JH82">
        <v>2232</v>
      </c>
      <c r="JI82">
        <v>1002</v>
      </c>
      <c r="JJ82">
        <v>-3282</v>
      </c>
      <c r="JK82" s="3">
        <v>45440</v>
      </c>
      <c r="JL82">
        <v>-1273</v>
      </c>
      <c r="JM82">
        <v>-1320</v>
      </c>
      <c r="JN82">
        <v>2579</v>
      </c>
      <c r="JO82" s="3">
        <v>45440</v>
      </c>
      <c r="JP82">
        <v>477</v>
      </c>
      <c r="JQ82">
        <v>-1056</v>
      </c>
      <c r="JR82">
        <v>579</v>
      </c>
      <c r="JS82" s="3"/>
      <c r="JW82" s="3"/>
      <c r="KA82" s="3"/>
      <c r="KE82" s="3"/>
      <c r="KI82" s="3"/>
      <c r="KM82" s="3"/>
      <c r="KQ82" s="3"/>
      <c r="KU82" s="3"/>
      <c r="KY82" s="3"/>
      <c r="LC82" s="3"/>
      <c r="LG82" s="3"/>
      <c r="LK82" s="3"/>
      <c r="LO82" s="3"/>
    </row>
    <row r="83" spans="3:327">
      <c r="C83" s="26" t="str">
        <f t="shared" ref="C83:D83" si="240">C38</f>
        <v>K200 생활소비재</v>
      </c>
      <c r="D83" s="27" t="str">
        <f t="shared" si="240"/>
        <v>218</v>
      </c>
      <c r="E83" s="50" t="str" cm="1">
        <f t="array" aca="1" ref="E83" ca="1">IF( $D83=0, "", _xll.IMDP("IDX",$D83,"기관순매수금액",TODAY()-1,"fill=true") )</f>
        <v/>
      </c>
      <c r="F83" s="51" t="str" cm="1">
        <f t="array" aca="1" ref="F83" ca="1">IF( $E83="", "", INDEX($R$52:$FQ$52, 1, MATCH(ROW()-ROW($C$50), $R$50:$FQ$50, 0)+1) )</f>
        <v/>
      </c>
      <c r="G83" s="52" t="str" cm="1">
        <f t="array" aca="1" ref="G83" ca="1">IF( $E83="", "", INDEX($FS$52:$LR$52, 1, MATCH(ROW()-ROW($C$50), $R$50:$FQ$50, 0)+1) )</f>
        <v/>
      </c>
      <c r="H83" s="53" t="str" cm="1">
        <f t="array" aca="1" ref="H83" ca="1">IF( $D83=0, "", _xll.IMDP("IDX",$D83,"외국인합순매수금액",TODAY()-1,"fill=true") )</f>
        <v/>
      </c>
      <c r="I83" s="51" t="str" cm="1">
        <f t="array" aca="1" ref="I83" ca="1">IF( $H83="", "", INDEX($R$52:$FQ$52, 1, MATCH(ROW()-ROW($C$50), $R$50:$FQ$50, 0)+2))</f>
        <v/>
      </c>
      <c r="J83" s="54" t="str" cm="1">
        <f t="array" aca="1" ref="J83" ca="1">IF( $H83="", "", INDEX($FS$52:$LR$52, 1, MATCH(ROW()-ROW($C$50), $R$50:$FQ$50, 0)+2))</f>
        <v/>
      </c>
      <c r="K83" s="55" t="str" cm="1">
        <f t="array" aca="1" ref="K83" ca="1">IF( $D83=0, "", _xll.IMDP("IDX",$D83,"개인순매수금액",TODAY()-1,"fill=true"))</f>
        <v/>
      </c>
      <c r="L83" s="51" t="str" cm="1">
        <f t="array" aca="1" ref="L83" ca="1">IF( $K83="", "", INDEX($R$52:$FQ$52, 1, MATCH(ROW()-ROW($C$50), $R$50:$FQ$50, 0)+3))</f>
        <v/>
      </c>
      <c r="M83" s="56" t="str" cm="1">
        <f t="array" aca="1" ref="M83" ca="1">IF( $K83="", "", INDEX($FS$52:$LR$52, 1, MATCH(ROW()-ROW($C$50), $R$50:$FQ$50, 0)+3))</f>
        <v/>
      </c>
      <c r="Q83" s="9"/>
      <c r="R83" s="3"/>
      <c r="V83" s="3"/>
      <c r="Z83" s="3"/>
      <c r="AD83" s="3"/>
      <c r="AH83" s="3"/>
      <c r="AL83" s="3"/>
      <c r="AP83" s="3"/>
      <c r="AT83" s="3"/>
      <c r="AX83" s="3"/>
      <c r="BB83" s="3"/>
      <c r="BF83" s="3"/>
      <c r="BJ83" s="3"/>
      <c r="BN83" s="3"/>
      <c r="BR83" s="3"/>
      <c r="BV83" s="3"/>
      <c r="BZ83" s="3"/>
      <c r="CD83" s="3"/>
      <c r="CH83" s="3"/>
      <c r="CL83" s="3"/>
      <c r="CP83" s="3"/>
      <c r="CT83" s="3"/>
      <c r="CX83" s="3"/>
      <c r="DB83" s="3"/>
      <c r="DF83" s="3"/>
      <c r="DJ83" s="3"/>
      <c r="DN83" s="3"/>
      <c r="DR83" s="3"/>
      <c r="DV83" s="3"/>
      <c r="DZ83" s="3"/>
      <c r="ED83" s="3"/>
      <c r="EH83" s="3"/>
      <c r="EL83" s="3"/>
      <c r="EP83" s="3"/>
      <c r="ET83" s="3"/>
      <c r="EX83" s="3"/>
      <c r="FB83" s="3"/>
      <c r="FF83" s="3"/>
      <c r="FJ83" s="3"/>
      <c r="FN83" s="3"/>
      <c r="FS83" s="3">
        <v>45439</v>
      </c>
      <c r="FT83">
        <v>325929</v>
      </c>
      <c r="FU83">
        <v>-141030</v>
      </c>
      <c r="FV83">
        <v>-175991</v>
      </c>
      <c r="FW83" s="3">
        <v>45439</v>
      </c>
      <c r="FX83">
        <v>331493</v>
      </c>
      <c r="FY83">
        <v>-181282</v>
      </c>
      <c r="FZ83">
        <v>-139141</v>
      </c>
      <c r="GA83" s="3">
        <v>45439</v>
      </c>
      <c r="GB83">
        <v>14054</v>
      </c>
      <c r="GC83">
        <v>-6372</v>
      </c>
      <c r="GD83">
        <v>-11874</v>
      </c>
      <c r="GE83" s="3">
        <v>45439</v>
      </c>
      <c r="GF83">
        <v>621</v>
      </c>
      <c r="GG83">
        <v>-274</v>
      </c>
      <c r="GH83">
        <v>-358</v>
      </c>
      <c r="GI83" s="3">
        <v>45439</v>
      </c>
      <c r="GJ83">
        <v>266</v>
      </c>
      <c r="GK83">
        <v>-529</v>
      </c>
      <c r="GL83">
        <v>245</v>
      </c>
      <c r="GM83" s="3">
        <v>45439</v>
      </c>
      <c r="GN83">
        <v>787</v>
      </c>
      <c r="GO83">
        <v>505</v>
      </c>
      <c r="GP83">
        <v>-1329</v>
      </c>
      <c r="GQ83" s="3">
        <v>45439</v>
      </c>
      <c r="GR83">
        <v>-88</v>
      </c>
      <c r="GS83">
        <v>-805</v>
      </c>
      <c r="GT83">
        <v>858</v>
      </c>
      <c r="GU83" s="3">
        <v>45439</v>
      </c>
      <c r="GV83">
        <v>-42</v>
      </c>
      <c r="GW83">
        <v>-90</v>
      </c>
      <c r="GX83">
        <v>-87</v>
      </c>
      <c r="GY83" s="3">
        <v>45439</v>
      </c>
      <c r="GZ83">
        <v>-13</v>
      </c>
      <c r="HA83">
        <v>288</v>
      </c>
      <c r="HB83">
        <v>-152</v>
      </c>
      <c r="HC83" s="3">
        <v>45439</v>
      </c>
      <c r="HD83">
        <v>3015</v>
      </c>
      <c r="HE83">
        <v>7655</v>
      </c>
      <c r="HF83">
        <v>-10489</v>
      </c>
      <c r="HG83" s="3">
        <v>45439</v>
      </c>
      <c r="HH83">
        <v>2882</v>
      </c>
      <c r="HI83">
        <v>-7793</v>
      </c>
      <c r="HJ83">
        <v>4909</v>
      </c>
      <c r="HK83" s="3">
        <v>45439</v>
      </c>
      <c r="HL83">
        <v>-182</v>
      </c>
      <c r="HM83">
        <v>154</v>
      </c>
      <c r="HN83">
        <v>85</v>
      </c>
      <c r="HO83" s="3">
        <v>45439</v>
      </c>
      <c r="HP83">
        <v>493</v>
      </c>
      <c r="HQ83">
        <v>439</v>
      </c>
      <c r="HR83">
        <v>-887</v>
      </c>
      <c r="HS83" s="3">
        <v>45439</v>
      </c>
      <c r="HT83">
        <v>271</v>
      </c>
      <c r="HU83">
        <v>192</v>
      </c>
      <c r="HV83">
        <v>-564</v>
      </c>
      <c r="HW83" s="3">
        <v>45439</v>
      </c>
      <c r="HX83">
        <v>-62</v>
      </c>
      <c r="HY83">
        <v>-63</v>
      </c>
      <c r="HZ83">
        <v>65</v>
      </c>
      <c r="IA83" s="3">
        <v>45439</v>
      </c>
      <c r="IB83">
        <v>201</v>
      </c>
      <c r="IC83">
        <v>283</v>
      </c>
      <c r="ID83">
        <v>-564</v>
      </c>
      <c r="IE83" s="3">
        <v>45439</v>
      </c>
      <c r="IF83">
        <v>838</v>
      </c>
      <c r="IG83">
        <v>-645</v>
      </c>
      <c r="IH83">
        <v>-277</v>
      </c>
      <c r="II83" s="3">
        <v>45439</v>
      </c>
      <c r="IJ83">
        <v>115</v>
      </c>
      <c r="IK83">
        <v>-331</v>
      </c>
      <c r="IL83">
        <v>183</v>
      </c>
      <c r="IM83" s="3">
        <v>45439</v>
      </c>
      <c r="IN83">
        <v>-63</v>
      </c>
      <c r="IO83">
        <v>-2239</v>
      </c>
      <c r="IP83">
        <v>2180</v>
      </c>
      <c r="IQ83" s="3">
        <v>45439</v>
      </c>
      <c r="IR83">
        <v>153</v>
      </c>
      <c r="IS83">
        <v>-464</v>
      </c>
      <c r="IT83">
        <v>179</v>
      </c>
      <c r="IU83" s="3">
        <v>45439</v>
      </c>
      <c r="IV83">
        <v>-550</v>
      </c>
      <c r="IW83">
        <v>-480</v>
      </c>
      <c r="IX83">
        <v>1049</v>
      </c>
      <c r="IY83" s="3">
        <v>45439</v>
      </c>
      <c r="IZ83">
        <v>-26</v>
      </c>
      <c r="JA83">
        <v>99</v>
      </c>
      <c r="JB83">
        <v>-97</v>
      </c>
      <c r="JC83" s="3">
        <v>45439</v>
      </c>
      <c r="JD83">
        <v>7152</v>
      </c>
      <c r="JE83">
        <v>539</v>
      </c>
      <c r="JF83">
        <v>-7541</v>
      </c>
      <c r="JG83" s="3">
        <v>45439</v>
      </c>
      <c r="JH83">
        <v>6867</v>
      </c>
      <c r="JI83">
        <v>-2623</v>
      </c>
      <c r="JJ83">
        <v>-4636</v>
      </c>
      <c r="JK83" s="3">
        <v>45439</v>
      </c>
      <c r="JL83">
        <v>739</v>
      </c>
      <c r="JM83">
        <v>1717</v>
      </c>
      <c r="JN83">
        <v>-2452</v>
      </c>
      <c r="JO83" s="3">
        <v>45439</v>
      </c>
      <c r="JP83">
        <v>1067</v>
      </c>
      <c r="JQ83">
        <v>42</v>
      </c>
      <c r="JR83">
        <v>-1020</v>
      </c>
      <c r="JS83" s="3"/>
      <c r="JW83" s="3"/>
      <c r="KA83" s="3"/>
      <c r="KE83" s="3"/>
      <c r="KI83" s="3"/>
      <c r="KM83" s="3"/>
      <c r="KQ83" s="3"/>
      <c r="KU83" s="3"/>
      <c r="KY83" s="3"/>
      <c r="LC83" s="3"/>
      <c r="LG83" s="3"/>
      <c r="LK83" s="3"/>
      <c r="LO83" s="3"/>
    </row>
    <row r="84" spans="3:327">
      <c r="C84" s="26" t="str">
        <f t="shared" ref="C84:D84" si="241">C39</f>
        <v>K200 경기소비재</v>
      </c>
      <c r="D84" s="27" t="str">
        <f t="shared" si="241"/>
        <v>219</v>
      </c>
      <c r="E84" s="50" t="str" cm="1">
        <f t="array" aca="1" ref="E84" ca="1">IF( $D84=0, "", _xll.IMDP("IDX",$D84,"기관순매수금액",TODAY()-1,"fill=true") )</f>
        <v/>
      </c>
      <c r="F84" s="51" t="str" cm="1">
        <f t="array" aca="1" ref="F84" ca="1">IF( $E84="", "", INDEX($R$52:$FQ$52, 1, MATCH(ROW()-ROW($C$50), $R$50:$FQ$50, 0)+1) )</f>
        <v/>
      </c>
      <c r="G84" s="52" t="str" cm="1">
        <f t="array" aca="1" ref="G84" ca="1">IF( $E84="", "", INDEX($FS$52:$LR$52, 1, MATCH(ROW()-ROW($C$50), $R$50:$FQ$50, 0)+1) )</f>
        <v/>
      </c>
      <c r="H84" s="53" t="str" cm="1">
        <f t="array" aca="1" ref="H84" ca="1">IF( $D84=0, "", _xll.IMDP("IDX",$D84,"외국인합순매수금액",TODAY()-1,"fill=true") )</f>
        <v/>
      </c>
      <c r="I84" s="51" t="str" cm="1">
        <f t="array" aca="1" ref="I84" ca="1">IF( $H84="", "", INDEX($R$52:$FQ$52, 1, MATCH(ROW()-ROW($C$50), $R$50:$FQ$50, 0)+2))</f>
        <v/>
      </c>
      <c r="J84" s="54" t="str" cm="1">
        <f t="array" aca="1" ref="J84" ca="1">IF( $H84="", "", INDEX($FS$52:$LR$52, 1, MATCH(ROW()-ROW($C$50), $R$50:$FQ$50, 0)+2))</f>
        <v/>
      </c>
      <c r="K84" s="55" t="str" cm="1">
        <f t="array" aca="1" ref="K84" ca="1">IF( $D84=0, "", _xll.IMDP("IDX",$D84,"개인순매수금액",TODAY()-1,"fill=true"))</f>
        <v/>
      </c>
      <c r="L84" s="51" t="str" cm="1">
        <f t="array" aca="1" ref="L84" ca="1">IF( $K84="", "", INDEX($R$52:$FQ$52, 1, MATCH(ROW()-ROW($C$50), $R$50:$FQ$50, 0)+3))</f>
        <v/>
      </c>
      <c r="M84" s="56" t="str" cm="1">
        <f t="array" aca="1" ref="M84" ca="1">IF( $K84="", "", INDEX($FS$52:$LR$52, 1, MATCH(ROW()-ROW($C$50), $R$50:$FQ$50, 0)+3))</f>
        <v/>
      </c>
      <c r="Q84" s="9"/>
      <c r="R84" s="3"/>
      <c r="V84" s="3"/>
      <c r="Z84" s="3"/>
      <c r="AD84" s="3"/>
      <c r="AH84" s="3"/>
      <c r="AL84" s="3"/>
      <c r="AP84" s="3"/>
      <c r="AT84" s="3"/>
      <c r="AX84" s="3"/>
      <c r="BB84" s="3"/>
      <c r="BF84" s="3"/>
      <c r="BJ84" s="3"/>
      <c r="BN84" s="3"/>
      <c r="BR84" s="3"/>
      <c r="BV84" s="3"/>
      <c r="BZ84" s="3"/>
      <c r="CD84" s="3"/>
      <c r="CH84" s="3"/>
      <c r="CL84" s="3"/>
      <c r="CP84" s="3"/>
      <c r="CT84" s="3"/>
      <c r="CX84" s="3"/>
      <c r="DB84" s="3"/>
      <c r="DF84" s="3"/>
      <c r="DJ84" s="3"/>
      <c r="DN84" s="3"/>
      <c r="DR84" s="3"/>
      <c r="DV84" s="3"/>
      <c r="DZ84" s="3"/>
      <c r="ED84" s="3"/>
      <c r="EH84" s="3"/>
      <c r="EL84" s="3"/>
      <c r="EP84" s="3"/>
      <c r="ET84" s="3"/>
      <c r="EX84" s="3"/>
      <c r="FB84" s="3"/>
      <c r="FF84" s="3"/>
      <c r="FJ84" s="3"/>
      <c r="FN84" s="3"/>
      <c r="FS84" s="3">
        <v>45436</v>
      </c>
      <c r="FT84">
        <v>-922089</v>
      </c>
      <c r="FU84">
        <v>-308015</v>
      </c>
      <c r="FV84">
        <v>1240624</v>
      </c>
      <c r="FW84" s="3">
        <v>45436</v>
      </c>
      <c r="FX84">
        <v>-895657</v>
      </c>
      <c r="FY84">
        <v>-274503</v>
      </c>
      <c r="FZ84">
        <v>1170082</v>
      </c>
      <c r="GA84" s="3">
        <v>45436</v>
      </c>
      <c r="GB84">
        <v>13527</v>
      </c>
      <c r="GC84">
        <v>18184</v>
      </c>
      <c r="GD84">
        <v>-32965</v>
      </c>
      <c r="GE84" s="3">
        <v>45436</v>
      </c>
      <c r="GF84">
        <v>-417</v>
      </c>
      <c r="GG84">
        <v>-380</v>
      </c>
      <c r="GH84">
        <v>685</v>
      </c>
      <c r="GI84" s="3">
        <v>45436</v>
      </c>
      <c r="GJ84">
        <v>268</v>
      </c>
      <c r="GK84">
        <v>-254</v>
      </c>
      <c r="GL84">
        <v>38</v>
      </c>
      <c r="GM84" s="3">
        <v>45436</v>
      </c>
      <c r="GN84">
        <v>-799</v>
      </c>
      <c r="GO84">
        <v>-853</v>
      </c>
      <c r="GP84">
        <v>1663</v>
      </c>
      <c r="GQ84" s="3">
        <v>45436</v>
      </c>
      <c r="GR84">
        <v>-378</v>
      </c>
      <c r="GS84">
        <v>-100</v>
      </c>
      <c r="GT84">
        <v>476</v>
      </c>
      <c r="GU84" s="3">
        <v>45436</v>
      </c>
      <c r="GV84">
        <v>-128</v>
      </c>
      <c r="GW84">
        <v>-189</v>
      </c>
      <c r="GX84">
        <v>8</v>
      </c>
      <c r="GY84" s="3">
        <v>45436</v>
      </c>
      <c r="GZ84">
        <v>-369</v>
      </c>
      <c r="HA84">
        <v>-1092</v>
      </c>
      <c r="HB84">
        <v>1404</v>
      </c>
      <c r="HC84" s="3">
        <v>45436</v>
      </c>
      <c r="HD84">
        <v>-149</v>
      </c>
      <c r="HE84">
        <v>254</v>
      </c>
      <c r="HF84">
        <v>790</v>
      </c>
      <c r="HG84" s="3">
        <v>45436</v>
      </c>
      <c r="HH84">
        <v>-5277</v>
      </c>
      <c r="HI84">
        <v>-6328</v>
      </c>
      <c r="HJ84">
        <v>11556</v>
      </c>
      <c r="HK84" s="3">
        <v>45436</v>
      </c>
      <c r="HL84">
        <v>18</v>
      </c>
      <c r="HM84">
        <v>-249</v>
      </c>
      <c r="HN84">
        <v>226</v>
      </c>
      <c r="HO84" s="3">
        <v>45436</v>
      </c>
      <c r="HP84">
        <v>-675</v>
      </c>
      <c r="HQ84">
        <v>1723</v>
      </c>
      <c r="HR84">
        <v>-1064</v>
      </c>
      <c r="HS84" s="3">
        <v>45436</v>
      </c>
      <c r="HT84">
        <v>-403</v>
      </c>
      <c r="HU84">
        <v>80</v>
      </c>
      <c r="HV84">
        <v>277</v>
      </c>
      <c r="HW84" s="3">
        <v>45436</v>
      </c>
      <c r="HX84">
        <v>-332</v>
      </c>
      <c r="HY84">
        <v>-336</v>
      </c>
      <c r="HZ84">
        <v>654</v>
      </c>
      <c r="IA84" s="3">
        <v>45436</v>
      </c>
      <c r="IB84">
        <v>-2655</v>
      </c>
      <c r="IC84">
        <v>1902</v>
      </c>
      <c r="ID84">
        <v>812</v>
      </c>
      <c r="IE84" s="3">
        <v>45436</v>
      </c>
      <c r="IF84">
        <v>-687</v>
      </c>
      <c r="IG84">
        <v>-499</v>
      </c>
      <c r="IH84">
        <v>1110</v>
      </c>
      <c r="II84" s="3">
        <v>45436</v>
      </c>
      <c r="IJ84">
        <v>-130</v>
      </c>
      <c r="IK84">
        <v>-119</v>
      </c>
      <c r="IL84">
        <v>239</v>
      </c>
      <c r="IM84" s="3">
        <v>45436</v>
      </c>
      <c r="IN84">
        <v>-2874</v>
      </c>
      <c r="IO84">
        <v>456</v>
      </c>
      <c r="IP84">
        <v>2124</v>
      </c>
      <c r="IQ84" s="3">
        <v>45436</v>
      </c>
      <c r="IR84">
        <v>-195</v>
      </c>
      <c r="IS84">
        <v>-331</v>
      </c>
      <c r="IT84">
        <v>431</v>
      </c>
      <c r="IU84" s="3">
        <v>45436</v>
      </c>
      <c r="IV84">
        <v>-539</v>
      </c>
      <c r="IW84">
        <v>92</v>
      </c>
      <c r="IX84">
        <v>442</v>
      </c>
      <c r="IY84" s="3">
        <v>45436</v>
      </c>
      <c r="IZ84">
        <v>-1025</v>
      </c>
      <c r="JA84">
        <v>93</v>
      </c>
      <c r="JB84">
        <v>900</v>
      </c>
      <c r="JC84" s="3">
        <v>45436</v>
      </c>
      <c r="JD84">
        <v>-7822</v>
      </c>
      <c r="JE84">
        <v>-6433</v>
      </c>
      <c r="JF84">
        <v>14745</v>
      </c>
      <c r="JG84" s="3">
        <v>45436</v>
      </c>
      <c r="JH84">
        <v>-11274</v>
      </c>
      <c r="JI84">
        <v>-5833</v>
      </c>
      <c r="JJ84">
        <v>16329</v>
      </c>
      <c r="JK84" s="3">
        <v>45436</v>
      </c>
      <c r="JL84">
        <v>-2636</v>
      </c>
      <c r="JM84">
        <v>673</v>
      </c>
      <c r="JN84">
        <v>1952</v>
      </c>
      <c r="JO84" s="3">
        <v>45436</v>
      </c>
      <c r="JP84">
        <v>499</v>
      </c>
      <c r="JQ84">
        <v>-636</v>
      </c>
      <c r="JR84">
        <v>989</v>
      </c>
      <c r="JS84" s="3"/>
      <c r="JW84" s="3"/>
      <c r="KA84" s="3"/>
      <c r="KE84" s="3"/>
      <c r="KI84" s="3"/>
      <c r="KM84" s="3"/>
      <c r="KQ84" s="3"/>
      <c r="KU84" s="3"/>
      <c r="KY84" s="3"/>
      <c r="LC84" s="3"/>
      <c r="LG84" s="3"/>
      <c r="LK84" s="3"/>
      <c r="LO84" s="3"/>
    </row>
    <row r="85" spans="3:327">
      <c r="C85" s="26" t="str">
        <f t="shared" ref="C85:D85" si="242">C40</f>
        <v>K200 커뮤니케이션서비스</v>
      </c>
      <c r="D85" s="27" t="str">
        <f t="shared" si="242"/>
        <v>220</v>
      </c>
      <c r="E85" s="50" t="str" cm="1">
        <f t="array" aca="1" ref="E85" ca="1">IF( $D85=0, "", _xll.IMDP("IDX",$D85,"기관순매수금액",TODAY()-1,"fill=true") )</f>
        <v/>
      </c>
      <c r="F85" s="51" t="str" cm="1">
        <f t="array" aca="1" ref="F85" ca="1">IF( $E85="", "", INDEX($R$52:$FQ$52, 1, MATCH(ROW()-ROW($C$50), $R$50:$FQ$50, 0)+1) )</f>
        <v/>
      </c>
      <c r="G85" s="52" t="str" cm="1">
        <f t="array" aca="1" ref="G85" ca="1">IF( $E85="", "", INDEX($FS$52:$LR$52, 1, MATCH(ROW()-ROW($C$50), $R$50:$FQ$50, 0)+1) )</f>
        <v/>
      </c>
      <c r="H85" s="53" t="str" cm="1">
        <f t="array" aca="1" ref="H85" ca="1">IF( $D85=0, "", _xll.IMDP("IDX",$D85,"외국인합순매수금액",TODAY()-1,"fill=true") )</f>
        <v/>
      </c>
      <c r="I85" s="51" t="str" cm="1">
        <f t="array" aca="1" ref="I85" ca="1">IF( $H85="", "", INDEX($R$52:$FQ$52, 1, MATCH(ROW()-ROW($C$50), $R$50:$FQ$50, 0)+2))</f>
        <v/>
      </c>
      <c r="J85" s="54" t="str" cm="1">
        <f t="array" aca="1" ref="J85" ca="1">IF( $H85="", "", INDEX($FS$52:$LR$52, 1, MATCH(ROW()-ROW($C$50), $R$50:$FQ$50, 0)+2))</f>
        <v/>
      </c>
      <c r="K85" s="55" t="str" cm="1">
        <f t="array" aca="1" ref="K85" ca="1">IF( $D85=0, "", _xll.IMDP("IDX",$D85,"개인순매수금액",TODAY()-1,"fill=true"))</f>
        <v/>
      </c>
      <c r="L85" s="51" t="str" cm="1">
        <f t="array" aca="1" ref="L85" ca="1">IF( $K85="", "", INDEX($R$52:$FQ$52, 1, MATCH(ROW()-ROW($C$50), $R$50:$FQ$50, 0)+3))</f>
        <v/>
      </c>
      <c r="M85" s="56" t="str" cm="1">
        <f t="array" aca="1" ref="M85" ca="1">IF( $K85="", "", INDEX($FS$52:$LR$52, 1, MATCH(ROW()-ROW($C$50), $R$50:$FQ$50, 0)+3))</f>
        <v/>
      </c>
      <c r="Q85" s="9"/>
      <c r="R85" s="3"/>
      <c r="V85" s="3"/>
      <c r="Z85" s="3"/>
      <c r="AD85" s="3"/>
      <c r="AH85" s="3"/>
      <c r="AL85" s="3"/>
      <c r="AP85" s="3"/>
      <c r="AT85" s="3"/>
      <c r="AX85" s="3"/>
      <c r="BB85" s="3"/>
      <c r="BF85" s="3"/>
      <c r="BJ85" s="3"/>
      <c r="BN85" s="3"/>
      <c r="BR85" s="3"/>
      <c r="BV85" s="3"/>
      <c r="BZ85" s="3"/>
      <c r="CD85" s="3"/>
      <c r="CH85" s="3"/>
      <c r="CL85" s="3"/>
      <c r="CP85" s="3"/>
      <c r="CT85" s="3"/>
      <c r="CX85" s="3"/>
      <c r="DB85" s="3"/>
      <c r="DF85" s="3"/>
      <c r="DJ85" s="3"/>
      <c r="DN85" s="3"/>
      <c r="DR85" s="3"/>
      <c r="DV85" s="3"/>
      <c r="DZ85" s="3"/>
      <c r="ED85" s="3"/>
      <c r="EH85" s="3"/>
      <c r="EL85" s="3"/>
      <c r="EP85" s="3"/>
      <c r="ET85" s="3"/>
      <c r="EX85" s="3"/>
      <c r="FB85" s="3"/>
      <c r="FF85" s="3"/>
      <c r="FJ85" s="3"/>
      <c r="FN85" s="3"/>
      <c r="FS85" s="3">
        <v>45435</v>
      </c>
      <c r="FT85">
        <v>-371056</v>
      </c>
      <c r="FU85">
        <v>356731</v>
      </c>
      <c r="FV85">
        <v>-15925</v>
      </c>
      <c r="FW85" s="3">
        <v>45435</v>
      </c>
      <c r="FX85">
        <v>-403003</v>
      </c>
      <c r="FY85">
        <v>385969</v>
      </c>
      <c r="FZ85">
        <v>-14331</v>
      </c>
      <c r="GA85" s="3">
        <v>45435</v>
      </c>
      <c r="GB85">
        <v>-7333</v>
      </c>
      <c r="GC85">
        <v>4490</v>
      </c>
      <c r="GD85">
        <v>2564</v>
      </c>
      <c r="GE85" s="3">
        <v>45435</v>
      </c>
      <c r="GF85">
        <v>-3161</v>
      </c>
      <c r="GG85">
        <v>-2329</v>
      </c>
      <c r="GH85">
        <v>3007</v>
      </c>
      <c r="GI85" s="3">
        <v>45435</v>
      </c>
      <c r="GJ85">
        <v>678</v>
      </c>
      <c r="GK85">
        <v>29</v>
      </c>
      <c r="GL85">
        <v>-721</v>
      </c>
      <c r="GM85" s="3">
        <v>45435</v>
      </c>
      <c r="GN85">
        <v>548</v>
      </c>
      <c r="GO85">
        <v>-161</v>
      </c>
      <c r="GP85">
        <v>-502</v>
      </c>
      <c r="GQ85" s="3">
        <v>45435</v>
      </c>
      <c r="GR85">
        <v>-179</v>
      </c>
      <c r="GS85">
        <v>-245</v>
      </c>
      <c r="GT85">
        <v>405</v>
      </c>
      <c r="GU85" s="3">
        <v>45435</v>
      </c>
      <c r="GV85">
        <v>-49</v>
      </c>
      <c r="GW85">
        <v>106</v>
      </c>
      <c r="GX85">
        <v>-257</v>
      </c>
      <c r="GY85" s="3">
        <v>45435</v>
      </c>
      <c r="GZ85">
        <v>-222</v>
      </c>
      <c r="HA85">
        <v>976</v>
      </c>
      <c r="HB85">
        <v>-770</v>
      </c>
      <c r="HC85" s="3">
        <v>45435</v>
      </c>
      <c r="HD85">
        <v>-14</v>
      </c>
      <c r="HE85">
        <v>-84</v>
      </c>
      <c r="HF85">
        <v>95</v>
      </c>
      <c r="HG85" s="3">
        <v>45435</v>
      </c>
      <c r="HH85">
        <v>-1414</v>
      </c>
      <c r="HI85">
        <v>2894</v>
      </c>
      <c r="HJ85">
        <v>-1424</v>
      </c>
      <c r="HK85" s="3">
        <v>45435</v>
      </c>
      <c r="HL85">
        <v>226</v>
      </c>
      <c r="HM85">
        <v>-64</v>
      </c>
      <c r="HN85">
        <v>-159</v>
      </c>
      <c r="HO85" s="3">
        <v>45435</v>
      </c>
      <c r="HP85">
        <v>157</v>
      </c>
      <c r="HQ85">
        <v>239</v>
      </c>
      <c r="HR85">
        <v>-545</v>
      </c>
      <c r="HS85" s="3">
        <v>45435</v>
      </c>
      <c r="HT85">
        <v>-348</v>
      </c>
      <c r="HU85">
        <v>-645</v>
      </c>
      <c r="HV85">
        <v>1005</v>
      </c>
      <c r="HW85" s="3">
        <v>45435</v>
      </c>
      <c r="HX85">
        <v>-283</v>
      </c>
      <c r="HY85">
        <v>108</v>
      </c>
      <c r="HZ85">
        <v>161</v>
      </c>
      <c r="IA85" s="3">
        <v>45435</v>
      </c>
      <c r="IB85">
        <v>-100</v>
      </c>
      <c r="IC85">
        <v>-127</v>
      </c>
      <c r="ID85">
        <v>217</v>
      </c>
      <c r="IE85" s="3">
        <v>45435</v>
      </c>
      <c r="IF85">
        <v>-275</v>
      </c>
      <c r="IG85">
        <v>600</v>
      </c>
      <c r="IH85">
        <v>-312</v>
      </c>
      <c r="II85" s="3">
        <v>45435</v>
      </c>
      <c r="IJ85">
        <v>-86</v>
      </c>
      <c r="IK85">
        <v>-239</v>
      </c>
      <c r="IL85">
        <v>318</v>
      </c>
      <c r="IM85" s="3">
        <v>45435</v>
      </c>
      <c r="IN85">
        <v>-2309</v>
      </c>
      <c r="IO85">
        <v>-356</v>
      </c>
      <c r="IP85">
        <v>2446</v>
      </c>
      <c r="IQ85" s="3">
        <v>45435</v>
      </c>
      <c r="IR85">
        <v>-319</v>
      </c>
      <c r="IS85">
        <v>-117</v>
      </c>
      <c r="IT85">
        <v>350</v>
      </c>
      <c r="IU85" s="3">
        <v>45435</v>
      </c>
      <c r="IV85">
        <v>-403</v>
      </c>
      <c r="IW85">
        <v>123</v>
      </c>
      <c r="IX85">
        <v>208</v>
      </c>
      <c r="IY85" s="3">
        <v>45435</v>
      </c>
      <c r="IZ85">
        <v>-351</v>
      </c>
      <c r="JA85">
        <v>-181</v>
      </c>
      <c r="JB85">
        <v>523</v>
      </c>
      <c r="JC85" s="3">
        <v>45435</v>
      </c>
      <c r="JD85">
        <v>-1100</v>
      </c>
      <c r="JE85">
        <v>3418</v>
      </c>
      <c r="JF85">
        <v>-2964</v>
      </c>
      <c r="JG85" s="3">
        <v>45435</v>
      </c>
      <c r="JH85">
        <v>-3878</v>
      </c>
      <c r="JI85">
        <v>1730</v>
      </c>
      <c r="JJ85">
        <v>1643</v>
      </c>
      <c r="JK85" s="3">
        <v>45435</v>
      </c>
      <c r="JL85">
        <v>-1431</v>
      </c>
      <c r="JM85">
        <v>-1</v>
      </c>
      <c r="JN85">
        <v>1272</v>
      </c>
      <c r="JO85" s="3">
        <v>45435</v>
      </c>
      <c r="JP85">
        <v>383</v>
      </c>
      <c r="JQ85">
        <v>1021</v>
      </c>
      <c r="JR85">
        <v>-1542</v>
      </c>
      <c r="JS85" s="3"/>
      <c r="JW85" s="3"/>
      <c r="KA85" s="3"/>
      <c r="KE85" s="3"/>
      <c r="KI85" s="3"/>
      <c r="KM85" s="3"/>
      <c r="KQ85" s="3"/>
      <c r="KU85" s="3"/>
      <c r="KY85" s="3"/>
      <c r="LC85" s="3"/>
      <c r="LG85" s="3"/>
      <c r="LK85" s="3"/>
      <c r="LO85" s="3"/>
    </row>
    <row r="86" spans="3:327">
      <c r="C86" s="26" t="str">
        <f t="shared" ref="C86:D86" si="243">C41</f>
        <v>K200 중소형주지수</v>
      </c>
      <c r="D86" s="27" t="str">
        <f t="shared" si="243"/>
        <v>250</v>
      </c>
      <c r="E86" s="50" t="str" cm="1">
        <f t="array" aca="1" ref="E86" ca="1">IF( $D86=0, "", _xll.IMDP("IDX",$D86,"기관순매수금액",TODAY()-1,"fill=true") )</f>
        <v/>
      </c>
      <c r="F86" s="51" t="str" cm="1">
        <f t="array" aca="1" ref="F86" ca="1">IF( $E86="", "", INDEX($R$52:$FQ$52, 1, MATCH(ROW()-ROW($C$50), $R$50:$FQ$50, 0)+1) )</f>
        <v/>
      </c>
      <c r="G86" s="52" t="str" cm="1">
        <f t="array" aca="1" ref="G86" ca="1">IF( $E86="", "", INDEX($FS$52:$LR$52, 1, MATCH(ROW()-ROW($C$50), $R$50:$FQ$50, 0)+1) )</f>
        <v/>
      </c>
      <c r="H86" s="53" t="str" cm="1">
        <f t="array" aca="1" ref="H86" ca="1">IF( $D86=0, "", _xll.IMDP("IDX",$D86,"외국인합순매수금액",TODAY()-1,"fill=true") )</f>
        <v/>
      </c>
      <c r="I86" s="51" t="str" cm="1">
        <f t="array" aca="1" ref="I86" ca="1">IF( $H86="", "", INDEX($R$52:$FQ$52, 1, MATCH(ROW()-ROW($C$50), $R$50:$FQ$50, 0)+2))</f>
        <v/>
      </c>
      <c r="J86" s="54" t="str" cm="1">
        <f t="array" aca="1" ref="J86" ca="1">IF( $H86="", "", INDEX($FS$52:$LR$52, 1, MATCH(ROW()-ROW($C$50), $R$50:$FQ$50, 0)+2))</f>
        <v/>
      </c>
      <c r="K86" s="55" t="str" cm="1">
        <f t="array" aca="1" ref="K86" ca="1">IF( $D86=0, "", _xll.IMDP("IDX",$D86,"개인순매수금액",TODAY()-1,"fill=true"))</f>
        <v/>
      </c>
      <c r="L86" s="51" t="str" cm="1">
        <f t="array" aca="1" ref="L86" ca="1">IF( $K86="", "", INDEX($R$52:$FQ$52, 1, MATCH(ROW()-ROW($C$50), $R$50:$FQ$50, 0)+3))</f>
        <v/>
      </c>
      <c r="M86" s="56" t="str" cm="1">
        <f t="array" aca="1" ref="M86" ca="1">IF( $K86="", "", INDEX($FS$52:$LR$52, 1, MATCH(ROW()-ROW($C$50), $R$50:$FQ$50, 0)+3))</f>
        <v/>
      </c>
      <c r="Q86" s="9"/>
      <c r="R86" s="3"/>
      <c r="V86" s="3"/>
      <c r="Z86" s="3"/>
      <c r="AD86" s="3"/>
      <c r="AH86" s="3"/>
      <c r="AL86" s="3"/>
      <c r="AP86" s="3"/>
      <c r="AT86" s="3"/>
      <c r="AX86" s="3"/>
      <c r="BB86" s="3"/>
      <c r="BF86" s="3"/>
      <c r="BJ86" s="3"/>
      <c r="BN86" s="3"/>
      <c r="BR86" s="3"/>
      <c r="BV86" s="3"/>
      <c r="BZ86" s="3"/>
      <c r="CD86" s="3"/>
      <c r="CH86" s="3"/>
      <c r="CL86" s="3"/>
      <c r="CP86" s="3"/>
      <c r="CT86" s="3"/>
      <c r="CX86" s="3"/>
      <c r="DB86" s="3"/>
      <c r="DF86" s="3"/>
      <c r="DJ86" s="3"/>
      <c r="DN86" s="3"/>
      <c r="DR86" s="3"/>
      <c r="DV86" s="3"/>
      <c r="DZ86" s="3"/>
      <c r="ED86" s="3"/>
      <c r="EH86" s="3"/>
      <c r="EL86" s="3"/>
      <c r="EP86" s="3"/>
      <c r="ET86" s="3"/>
      <c r="EX86" s="3"/>
      <c r="FB86" s="3"/>
      <c r="FF86" s="3"/>
      <c r="FJ86" s="3"/>
      <c r="FN86" s="3"/>
      <c r="FS86" s="3">
        <v>45434</v>
      </c>
      <c r="FT86">
        <v>-33003</v>
      </c>
      <c r="FU86">
        <v>296794</v>
      </c>
      <c r="FV86">
        <v>-264656</v>
      </c>
      <c r="FW86" s="3">
        <v>45434</v>
      </c>
      <c r="FX86">
        <v>-72468</v>
      </c>
      <c r="FY86">
        <v>260505</v>
      </c>
      <c r="FZ86">
        <v>-184046</v>
      </c>
      <c r="GA86" s="3">
        <v>45434</v>
      </c>
      <c r="GB86">
        <v>22774</v>
      </c>
      <c r="GC86">
        <v>4106</v>
      </c>
      <c r="GD86">
        <v>-24534</v>
      </c>
      <c r="GE86" s="3">
        <v>45434</v>
      </c>
      <c r="GF86">
        <v>-666</v>
      </c>
      <c r="GG86">
        <v>-453</v>
      </c>
      <c r="GH86">
        <v>1205</v>
      </c>
      <c r="GI86" s="3">
        <v>45434</v>
      </c>
      <c r="GJ86">
        <v>652</v>
      </c>
      <c r="GK86">
        <v>-460</v>
      </c>
      <c r="GL86">
        <v>-141</v>
      </c>
      <c r="GM86" s="3">
        <v>45434</v>
      </c>
      <c r="GN86">
        <v>534</v>
      </c>
      <c r="GO86">
        <v>-395</v>
      </c>
      <c r="GP86">
        <v>-257</v>
      </c>
      <c r="GQ86" s="3">
        <v>45434</v>
      </c>
      <c r="GR86">
        <v>-92</v>
      </c>
      <c r="GS86">
        <v>-560</v>
      </c>
      <c r="GT86">
        <v>684</v>
      </c>
      <c r="GU86" s="3">
        <v>45434</v>
      </c>
      <c r="GV86">
        <v>-104</v>
      </c>
      <c r="GW86">
        <v>-217</v>
      </c>
      <c r="GX86">
        <v>17</v>
      </c>
      <c r="GY86" s="3">
        <v>45434</v>
      </c>
      <c r="GZ86">
        <v>92</v>
      </c>
      <c r="HA86">
        <v>-1033</v>
      </c>
      <c r="HB86">
        <v>842</v>
      </c>
      <c r="HC86" s="3">
        <v>45434</v>
      </c>
      <c r="HD86">
        <v>6</v>
      </c>
      <c r="HE86">
        <v>-561</v>
      </c>
      <c r="HF86">
        <v>1482</v>
      </c>
      <c r="HG86" s="3">
        <v>45434</v>
      </c>
      <c r="HH86">
        <v>-451</v>
      </c>
      <c r="HI86">
        <v>-4170</v>
      </c>
      <c r="HJ86">
        <v>4332</v>
      </c>
      <c r="HK86" s="3">
        <v>45434</v>
      </c>
      <c r="HL86">
        <v>78</v>
      </c>
      <c r="HM86">
        <v>-121</v>
      </c>
      <c r="HN86">
        <v>43</v>
      </c>
      <c r="HO86" s="3">
        <v>45434</v>
      </c>
      <c r="HP86">
        <v>-1682</v>
      </c>
      <c r="HQ86">
        <v>779</v>
      </c>
      <c r="HR86">
        <v>785</v>
      </c>
      <c r="HS86" s="3">
        <v>45434</v>
      </c>
      <c r="HT86">
        <v>-261</v>
      </c>
      <c r="HU86">
        <v>-783</v>
      </c>
      <c r="HV86">
        <v>1072</v>
      </c>
      <c r="HW86" s="3">
        <v>45434</v>
      </c>
      <c r="HX86">
        <v>-1</v>
      </c>
      <c r="HY86">
        <v>548</v>
      </c>
      <c r="HZ86">
        <v>-550</v>
      </c>
      <c r="IA86" s="3">
        <v>45434</v>
      </c>
      <c r="IB86">
        <v>201</v>
      </c>
      <c r="IC86">
        <v>-55</v>
      </c>
      <c r="ID86">
        <v>-237</v>
      </c>
      <c r="IE86" s="3">
        <v>45434</v>
      </c>
      <c r="IF86">
        <v>221</v>
      </c>
      <c r="IG86">
        <v>-749</v>
      </c>
      <c r="IH86">
        <v>536</v>
      </c>
      <c r="II86" s="3">
        <v>45434</v>
      </c>
      <c r="IJ86">
        <v>28</v>
      </c>
      <c r="IK86">
        <v>156</v>
      </c>
      <c r="IL86">
        <v>-175</v>
      </c>
      <c r="IM86" s="3">
        <v>45434</v>
      </c>
      <c r="IN86">
        <v>-893</v>
      </c>
      <c r="IO86">
        <v>-1183</v>
      </c>
      <c r="IP86">
        <v>1745</v>
      </c>
      <c r="IQ86" s="3">
        <v>45434</v>
      </c>
      <c r="IR86">
        <v>214</v>
      </c>
      <c r="IS86">
        <v>-518</v>
      </c>
      <c r="IT86">
        <v>237</v>
      </c>
      <c r="IU86" s="3">
        <v>45434</v>
      </c>
      <c r="IV86">
        <v>-323</v>
      </c>
      <c r="IW86">
        <v>-402</v>
      </c>
      <c r="IX86">
        <v>673</v>
      </c>
      <c r="IY86" s="3">
        <v>45434</v>
      </c>
      <c r="IZ86">
        <v>-54</v>
      </c>
      <c r="JA86">
        <v>-994</v>
      </c>
      <c r="JB86">
        <v>1015</v>
      </c>
      <c r="JC86" s="3">
        <v>45434</v>
      </c>
      <c r="JD86">
        <v>-1123</v>
      </c>
      <c r="JE86">
        <v>-6604</v>
      </c>
      <c r="JF86">
        <v>7837</v>
      </c>
      <c r="JG86" s="3">
        <v>45434</v>
      </c>
      <c r="JH86">
        <v>-1614</v>
      </c>
      <c r="JI86">
        <v>-1140</v>
      </c>
      <c r="JJ86">
        <v>2324</v>
      </c>
      <c r="JK86" s="3">
        <v>45434</v>
      </c>
      <c r="JL86">
        <v>-170</v>
      </c>
      <c r="JM86">
        <v>-1628</v>
      </c>
      <c r="JN86">
        <v>1841</v>
      </c>
      <c r="JO86" s="3">
        <v>45434</v>
      </c>
      <c r="JP86">
        <v>-375</v>
      </c>
      <c r="JQ86">
        <v>-6786</v>
      </c>
      <c r="JR86">
        <v>7418</v>
      </c>
      <c r="JS86" s="3"/>
      <c r="JW86" s="3"/>
      <c r="KA86" s="3"/>
      <c r="KE86" s="3"/>
      <c r="KI86" s="3"/>
      <c r="KM86" s="3"/>
      <c r="KQ86" s="3"/>
      <c r="KU86" s="3"/>
      <c r="KY86" s="3"/>
      <c r="LC86" s="3"/>
      <c r="LG86" s="3"/>
      <c r="LK86" s="3"/>
      <c r="LO86" s="3"/>
    </row>
    <row r="87" spans="3:327">
      <c r="C87" s="26" t="str">
        <f t="shared" ref="C87:D87" si="244">C42</f>
        <v>K200 경기방어소비재</v>
      </c>
      <c r="D87" s="27" t="str">
        <f t="shared" si="244"/>
        <v>251</v>
      </c>
      <c r="E87" s="50" t="str" cm="1">
        <f t="array" aca="1" ref="E87" ca="1">IF( $D87=0, "", _xll.IMDP("IDX",$D87,"기관순매수금액",TODAY()-1,"fill=true") )</f>
        <v/>
      </c>
      <c r="F87" s="51" t="str" cm="1">
        <f t="array" aca="1" ref="F87" ca="1">IF( $E87="", "", INDEX($R$52:$FQ$52, 1, MATCH(ROW()-ROW($C$50), $R$50:$FQ$50, 0)+1) )</f>
        <v/>
      </c>
      <c r="G87" s="52" t="str" cm="1">
        <f t="array" aca="1" ref="G87" ca="1">IF( $E87="", "", INDEX($FS$52:$LR$52, 1, MATCH(ROW()-ROW($C$50), $R$50:$FQ$50, 0)+1) )</f>
        <v/>
      </c>
      <c r="H87" s="53" t="str" cm="1">
        <f t="array" aca="1" ref="H87" ca="1">IF( $D87=0, "", _xll.IMDP("IDX",$D87,"외국인합순매수금액",TODAY()-1,"fill=true") )</f>
        <v/>
      </c>
      <c r="I87" s="51" t="str" cm="1">
        <f t="array" aca="1" ref="I87" ca="1">IF( $H87="", "", INDEX($R$52:$FQ$52, 1, MATCH(ROW()-ROW($C$50), $R$50:$FQ$50, 0)+2))</f>
        <v/>
      </c>
      <c r="J87" s="54" t="str" cm="1">
        <f t="array" aca="1" ref="J87" ca="1">IF( $H87="", "", INDEX($FS$52:$LR$52, 1, MATCH(ROW()-ROW($C$50), $R$50:$FQ$50, 0)+2))</f>
        <v/>
      </c>
      <c r="K87" s="55" t="str" cm="1">
        <f t="array" aca="1" ref="K87" ca="1">IF( $D87=0, "", _xll.IMDP("IDX",$D87,"개인순매수금액",TODAY()-1,"fill=true"))</f>
        <v/>
      </c>
      <c r="L87" s="51" t="str" cm="1">
        <f t="array" aca="1" ref="L87" ca="1">IF( $K87="", "", INDEX($R$52:$FQ$52, 1, MATCH(ROW()-ROW($C$50), $R$50:$FQ$50, 0)+3))</f>
        <v/>
      </c>
      <c r="M87" s="56" t="str" cm="1">
        <f t="array" aca="1" ref="M87" ca="1">IF( $K87="", "", INDEX($FS$52:$LR$52, 1, MATCH(ROW()-ROW($C$50), $R$50:$FQ$50, 0)+3))</f>
        <v/>
      </c>
      <c r="R87" s="3"/>
      <c r="V87" s="3"/>
      <c r="Z87" s="3"/>
      <c r="AD87" s="3"/>
      <c r="AH87" s="3"/>
      <c r="AL87" s="3"/>
      <c r="AP87" s="3"/>
      <c r="AT87" s="3"/>
      <c r="AX87" s="3"/>
      <c r="BB87" s="3"/>
      <c r="BF87" s="3"/>
      <c r="BJ87" s="3"/>
      <c r="BN87" s="3"/>
      <c r="BR87" s="3"/>
      <c r="BV87" s="3"/>
      <c r="BZ87" s="3"/>
      <c r="CD87" s="3"/>
      <c r="CH87" s="3"/>
      <c r="CL87" s="3"/>
      <c r="CP87" s="3"/>
      <c r="CT87" s="3"/>
      <c r="CX87" s="3"/>
      <c r="DB87" s="3"/>
      <c r="DF87" s="3"/>
      <c r="DJ87" s="3"/>
      <c r="DN87" s="3"/>
      <c r="DR87" s="3"/>
      <c r="DV87" s="3"/>
      <c r="DZ87" s="3"/>
      <c r="ED87" s="3"/>
      <c r="EH87" s="3"/>
      <c r="EL87" s="3"/>
      <c r="EP87" s="3"/>
      <c r="ET87" s="3"/>
      <c r="EX87" s="3"/>
      <c r="FB87" s="3"/>
      <c r="FF87" s="3"/>
      <c r="FJ87" s="3"/>
      <c r="FN87" s="3"/>
      <c r="FS87" s="3">
        <v>45433</v>
      </c>
      <c r="FT87">
        <v>-327243</v>
      </c>
      <c r="FU87">
        <v>-105786</v>
      </c>
      <c r="FV87">
        <v>500155</v>
      </c>
      <c r="FW87" s="3">
        <v>45433</v>
      </c>
      <c r="FX87">
        <v>-322748</v>
      </c>
      <c r="FY87">
        <v>-26318</v>
      </c>
      <c r="FZ87">
        <v>411369</v>
      </c>
      <c r="GA87" s="3">
        <v>45433</v>
      </c>
      <c r="GB87">
        <v>3080</v>
      </c>
      <c r="GC87">
        <v>-4619</v>
      </c>
      <c r="GD87">
        <v>407</v>
      </c>
      <c r="GE87" s="3">
        <v>45433</v>
      </c>
      <c r="GF87">
        <v>-1302</v>
      </c>
      <c r="GG87">
        <v>-1506</v>
      </c>
      <c r="GH87">
        <v>1380</v>
      </c>
      <c r="GI87" s="3">
        <v>45433</v>
      </c>
      <c r="GJ87">
        <v>668</v>
      </c>
      <c r="GK87">
        <v>-216</v>
      </c>
      <c r="GL87">
        <v>-457</v>
      </c>
      <c r="GM87" s="3">
        <v>45433</v>
      </c>
      <c r="GN87">
        <v>-431</v>
      </c>
      <c r="GO87">
        <v>123</v>
      </c>
      <c r="GP87">
        <v>971</v>
      </c>
      <c r="GQ87" s="3">
        <v>45433</v>
      </c>
      <c r="GR87">
        <v>-64</v>
      </c>
      <c r="GS87">
        <v>-667</v>
      </c>
      <c r="GT87">
        <v>625</v>
      </c>
      <c r="GU87" s="3">
        <v>45433</v>
      </c>
      <c r="GV87">
        <v>-29</v>
      </c>
      <c r="GW87">
        <v>-218</v>
      </c>
      <c r="GX87">
        <v>82</v>
      </c>
      <c r="GY87" s="3">
        <v>45433</v>
      </c>
      <c r="GZ87">
        <v>8</v>
      </c>
      <c r="HA87">
        <v>-1703</v>
      </c>
      <c r="HB87">
        <v>2621</v>
      </c>
      <c r="HC87" s="3">
        <v>45433</v>
      </c>
      <c r="HD87">
        <v>145</v>
      </c>
      <c r="HE87">
        <v>-362</v>
      </c>
      <c r="HF87">
        <v>490</v>
      </c>
      <c r="HG87" s="3">
        <v>45433</v>
      </c>
      <c r="HH87">
        <v>-2929</v>
      </c>
      <c r="HI87">
        <v>85</v>
      </c>
      <c r="HJ87">
        <v>3034</v>
      </c>
      <c r="HK87" s="3">
        <v>45433</v>
      </c>
      <c r="HL87">
        <v>98</v>
      </c>
      <c r="HM87">
        <v>-53</v>
      </c>
      <c r="HN87">
        <v>-53</v>
      </c>
      <c r="HO87" s="3">
        <v>45433</v>
      </c>
      <c r="HP87">
        <v>-24</v>
      </c>
      <c r="HQ87">
        <v>-763</v>
      </c>
      <c r="HR87">
        <v>831</v>
      </c>
      <c r="HS87" s="3">
        <v>45433</v>
      </c>
      <c r="HT87">
        <v>-2</v>
      </c>
      <c r="HU87">
        <v>-280</v>
      </c>
      <c r="HV87">
        <v>260</v>
      </c>
      <c r="HW87" s="3">
        <v>45433</v>
      </c>
      <c r="HX87">
        <v>-113</v>
      </c>
      <c r="HY87">
        <v>183</v>
      </c>
      <c r="HZ87">
        <v>-99</v>
      </c>
      <c r="IA87" s="3">
        <v>45433</v>
      </c>
      <c r="IB87">
        <v>-100</v>
      </c>
      <c r="IC87">
        <v>-1061</v>
      </c>
      <c r="ID87">
        <v>1169</v>
      </c>
      <c r="IE87" s="3">
        <v>45433</v>
      </c>
      <c r="IF87">
        <v>23</v>
      </c>
      <c r="IG87">
        <v>-1129</v>
      </c>
      <c r="IH87">
        <v>1023</v>
      </c>
      <c r="II87" s="3">
        <v>45433</v>
      </c>
      <c r="IJ87">
        <v>-87</v>
      </c>
      <c r="IK87">
        <v>-324</v>
      </c>
      <c r="IL87">
        <v>407</v>
      </c>
      <c r="IM87" s="3">
        <v>45433</v>
      </c>
      <c r="IN87">
        <v>-987</v>
      </c>
      <c r="IO87">
        <v>-1419</v>
      </c>
      <c r="IP87">
        <v>2259</v>
      </c>
      <c r="IQ87" s="3">
        <v>45433</v>
      </c>
      <c r="IR87">
        <v>268</v>
      </c>
      <c r="IS87">
        <v>-1585</v>
      </c>
      <c r="IT87">
        <v>1177</v>
      </c>
      <c r="IU87" s="3">
        <v>45433</v>
      </c>
      <c r="IV87">
        <v>-270</v>
      </c>
      <c r="IW87">
        <v>221</v>
      </c>
      <c r="IX87">
        <v>-6</v>
      </c>
      <c r="IY87" s="3">
        <v>45433</v>
      </c>
      <c r="IZ87">
        <v>-847</v>
      </c>
      <c r="JA87">
        <v>-1728</v>
      </c>
      <c r="JB87">
        <v>2366</v>
      </c>
      <c r="JC87" s="3">
        <v>45433</v>
      </c>
      <c r="JD87">
        <v>-3025</v>
      </c>
      <c r="JE87">
        <v>-3621</v>
      </c>
      <c r="JF87">
        <v>8467</v>
      </c>
      <c r="JG87" s="3">
        <v>45433</v>
      </c>
      <c r="JH87">
        <v>-3675</v>
      </c>
      <c r="JI87">
        <v>-1152</v>
      </c>
      <c r="JJ87">
        <v>5412</v>
      </c>
      <c r="JK87" s="3">
        <v>45433</v>
      </c>
      <c r="JL87">
        <v>-1288</v>
      </c>
      <c r="JM87">
        <v>-4878</v>
      </c>
      <c r="JN87">
        <v>6316</v>
      </c>
      <c r="JO87" s="3">
        <v>45433</v>
      </c>
      <c r="JP87">
        <v>-95</v>
      </c>
      <c r="JQ87">
        <v>-2980</v>
      </c>
      <c r="JR87">
        <v>3909</v>
      </c>
      <c r="JS87" s="3"/>
      <c r="JW87" s="3"/>
      <c r="KA87" s="3"/>
      <c r="KE87" s="3"/>
      <c r="KI87" s="3"/>
      <c r="KM87" s="3"/>
      <c r="KQ87" s="3"/>
      <c r="KU87" s="3"/>
      <c r="KY87" s="3"/>
      <c r="LC87" s="3"/>
      <c r="LG87" s="3"/>
      <c r="LK87" s="3"/>
      <c r="LO87" s="3"/>
    </row>
    <row r="88" spans="3:327">
      <c r="C88" s="26" t="str">
        <f t="shared" ref="C88:D88" si="245">C43</f>
        <v>K200 산업재</v>
      </c>
      <c r="D88" s="27" t="str">
        <f t="shared" si="245"/>
        <v>252</v>
      </c>
      <c r="E88" s="50" t="str" cm="1">
        <f t="array" aca="1" ref="E88" ca="1">IF( $D88=0, "", _xll.IMDP("IDX",$D88,"기관순매수금액",TODAY()-1,"fill=true") )</f>
        <v/>
      </c>
      <c r="F88" s="51" t="str" cm="1">
        <f t="array" aca="1" ref="F88" ca="1">IF( $E88="", "", INDEX($R$52:$FQ$52, 1, MATCH(ROW()-ROW($C$50), $R$50:$FQ$50, 0)+1) )</f>
        <v/>
      </c>
      <c r="G88" s="52" t="str" cm="1">
        <f t="array" aca="1" ref="G88" ca="1">IF( $E88="", "", INDEX($FS$52:$LR$52, 1, MATCH(ROW()-ROW($C$50), $R$50:$FQ$50, 0)+1) )</f>
        <v/>
      </c>
      <c r="H88" s="53" t="str" cm="1">
        <f t="array" aca="1" ref="H88" ca="1">IF( $D88=0, "", _xll.IMDP("IDX",$D88,"외국인합순매수금액",TODAY()-1,"fill=true") )</f>
        <v/>
      </c>
      <c r="I88" s="51" t="str" cm="1">
        <f t="array" aca="1" ref="I88" ca="1">IF( $H88="", "", INDEX($R$52:$FQ$52, 1, MATCH(ROW()-ROW($C$50), $R$50:$FQ$50, 0)+2))</f>
        <v/>
      </c>
      <c r="J88" s="54" t="str" cm="1">
        <f t="array" aca="1" ref="J88" ca="1">IF( $H88="", "", INDEX($FS$52:$LR$52, 1, MATCH(ROW()-ROW($C$50), $R$50:$FQ$50, 0)+2))</f>
        <v/>
      </c>
      <c r="K88" s="55" t="str" cm="1">
        <f t="array" aca="1" ref="K88" ca="1">IF( $D88=0, "", _xll.IMDP("IDX",$D88,"개인순매수금액",TODAY()-1,"fill=true"))</f>
        <v/>
      </c>
      <c r="L88" s="51" t="str" cm="1">
        <f t="array" aca="1" ref="L88" ca="1">IF( $K88="", "", INDEX($R$52:$FQ$52, 1, MATCH(ROW()-ROW($C$50), $R$50:$FQ$50, 0)+3))</f>
        <v/>
      </c>
      <c r="M88" s="56" t="str" cm="1">
        <f t="array" aca="1" ref="M88" ca="1">IF( $K88="", "", INDEX($FS$52:$LR$52, 1, MATCH(ROW()-ROW($C$50), $R$50:$FQ$50, 0)+3))</f>
        <v/>
      </c>
      <c r="R88" s="3"/>
      <c r="V88" s="3"/>
      <c r="Z88" s="3"/>
      <c r="AD88" s="3"/>
      <c r="AH88" s="3"/>
      <c r="AL88" s="3"/>
      <c r="AP88" s="3"/>
      <c r="AT88" s="3"/>
      <c r="AX88" s="3"/>
      <c r="BB88" s="3"/>
      <c r="BF88" s="3"/>
      <c r="BJ88" s="3"/>
      <c r="BN88" s="3"/>
      <c r="BR88" s="3"/>
      <c r="BV88" s="3"/>
      <c r="BZ88" s="3"/>
      <c r="CD88" s="3"/>
      <c r="CH88" s="3"/>
      <c r="CL88" s="3"/>
      <c r="CP88" s="3"/>
      <c r="CT88" s="3"/>
      <c r="CX88" s="3"/>
      <c r="DB88" s="3"/>
      <c r="DF88" s="3"/>
      <c r="DJ88" s="3"/>
      <c r="DN88" s="3"/>
      <c r="DR88" s="3"/>
      <c r="DV88" s="3"/>
      <c r="DZ88" s="3"/>
      <c r="ED88" s="3"/>
      <c r="EH88" s="3"/>
      <c r="EL88" s="3"/>
      <c r="EP88" s="3"/>
      <c r="ET88" s="3"/>
      <c r="EX88" s="3"/>
      <c r="FB88" s="3"/>
      <c r="FF88" s="3"/>
      <c r="FJ88" s="3"/>
      <c r="FN88" s="3"/>
      <c r="FS88" s="3">
        <v>45432</v>
      </c>
      <c r="FT88">
        <v>396662</v>
      </c>
      <c r="FU88">
        <v>-16860</v>
      </c>
      <c r="FV88">
        <v>-371968</v>
      </c>
      <c r="FW88" s="3">
        <v>45432</v>
      </c>
      <c r="FX88">
        <v>369264</v>
      </c>
      <c r="FY88">
        <v>3844</v>
      </c>
      <c r="FZ88">
        <v>-374081</v>
      </c>
      <c r="GA88" s="3">
        <v>45432</v>
      </c>
      <c r="GB88">
        <v>6237</v>
      </c>
      <c r="GC88">
        <v>-10034</v>
      </c>
      <c r="GD88">
        <v>5780</v>
      </c>
      <c r="GE88" s="3">
        <v>45432</v>
      </c>
      <c r="GF88">
        <v>-1945</v>
      </c>
      <c r="GG88">
        <v>-1465</v>
      </c>
      <c r="GH88">
        <v>2127</v>
      </c>
      <c r="GI88" s="3">
        <v>45432</v>
      </c>
      <c r="GJ88">
        <v>1600</v>
      </c>
      <c r="GK88">
        <v>-182</v>
      </c>
      <c r="GL88">
        <v>-1397</v>
      </c>
      <c r="GM88" s="3">
        <v>45432</v>
      </c>
      <c r="GN88">
        <v>697</v>
      </c>
      <c r="GO88">
        <v>424</v>
      </c>
      <c r="GP88">
        <v>-1152</v>
      </c>
      <c r="GQ88" s="3">
        <v>45432</v>
      </c>
      <c r="GR88">
        <v>-78</v>
      </c>
      <c r="GS88">
        <v>-735</v>
      </c>
      <c r="GT88">
        <v>748</v>
      </c>
      <c r="GU88" s="3">
        <v>45432</v>
      </c>
      <c r="GV88">
        <v>-111</v>
      </c>
      <c r="GW88">
        <v>-290</v>
      </c>
      <c r="GX88">
        <v>-218</v>
      </c>
      <c r="GY88" s="3">
        <v>45432</v>
      </c>
      <c r="GZ88">
        <v>322</v>
      </c>
      <c r="HA88">
        <v>966</v>
      </c>
      <c r="HB88">
        <v>-2220</v>
      </c>
      <c r="HC88" s="3">
        <v>45432</v>
      </c>
      <c r="HD88">
        <v>113</v>
      </c>
      <c r="HE88">
        <v>-7</v>
      </c>
      <c r="HF88">
        <v>826</v>
      </c>
      <c r="HG88" s="3">
        <v>45432</v>
      </c>
      <c r="HH88">
        <v>2580</v>
      </c>
      <c r="HI88">
        <v>-265</v>
      </c>
      <c r="HJ88">
        <v>-2048</v>
      </c>
      <c r="HK88" s="3">
        <v>45432</v>
      </c>
      <c r="HL88">
        <v>3</v>
      </c>
      <c r="HM88">
        <v>-189</v>
      </c>
      <c r="HN88">
        <v>192</v>
      </c>
      <c r="HO88" s="3">
        <v>45432</v>
      </c>
      <c r="HP88">
        <v>60</v>
      </c>
      <c r="HQ88">
        <v>506</v>
      </c>
      <c r="HR88">
        <v>-604</v>
      </c>
      <c r="HS88" s="3">
        <v>45432</v>
      </c>
      <c r="HT88">
        <v>341</v>
      </c>
      <c r="HU88">
        <v>-129</v>
      </c>
      <c r="HV88">
        <v>-202</v>
      </c>
      <c r="HW88" s="3">
        <v>45432</v>
      </c>
      <c r="HX88">
        <v>29</v>
      </c>
      <c r="HY88">
        <v>53</v>
      </c>
      <c r="HZ88">
        <v>-111</v>
      </c>
      <c r="IA88" s="3">
        <v>45432</v>
      </c>
      <c r="IB88">
        <v>40</v>
      </c>
      <c r="IC88">
        <v>23</v>
      </c>
      <c r="ID88">
        <v>-50</v>
      </c>
      <c r="IE88" s="3">
        <v>45432</v>
      </c>
      <c r="IF88">
        <v>913</v>
      </c>
      <c r="IG88">
        <v>-1139</v>
      </c>
      <c r="IH88">
        <v>117</v>
      </c>
      <c r="II88" s="3">
        <v>45432</v>
      </c>
      <c r="IJ88">
        <v>-35</v>
      </c>
      <c r="IK88">
        <v>-91</v>
      </c>
      <c r="IL88">
        <v>115</v>
      </c>
      <c r="IM88" s="3">
        <v>45432</v>
      </c>
      <c r="IN88">
        <v>1349</v>
      </c>
      <c r="IO88">
        <v>486</v>
      </c>
      <c r="IP88">
        <v>-1673</v>
      </c>
      <c r="IQ88" s="3">
        <v>45432</v>
      </c>
      <c r="IR88">
        <v>14</v>
      </c>
      <c r="IS88">
        <v>-109</v>
      </c>
      <c r="IT88">
        <v>-22</v>
      </c>
      <c r="IU88" s="3">
        <v>45432</v>
      </c>
      <c r="IV88">
        <v>380</v>
      </c>
      <c r="IW88">
        <v>139</v>
      </c>
      <c r="IX88">
        <v>-570</v>
      </c>
      <c r="IY88" s="3">
        <v>45432</v>
      </c>
      <c r="IZ88">
        <v>-67</v>
      </c>
      <c r="JA88">
        <v>-1701</v>
      </c>
      <c r="JB88">
        <v>1803</v>
      </c>
      <c r="JC88" s="3">
        <v>45432</v>
      </c>
      <c r="JD88">
        <v>4116</v>
      </c>
      <c r="JE88">
        <v>-564</v>
      </c>
      <c r="JF88">
        <v>-3769</v>
      </c>
      <c r="JG88" s="3">
        <v>45432</v>
      </c>
      <c r="JH88">
        <v>4712</v>
      </c>
      <c r="JI88">
        <v>1456</v>
      </c>
      <c r="JJ88">
        <v>-6763</v>
      </c>
      <c r="JK88" s="3">
        <v>45432</v>
      </c>
      <c r="JL88">
        <v>1374</v>
      </c>
      <c r="JM88">
        <v>-2485</v>
      </c>
      <c r="JN88">
        <v>1650</v>
      </c>
      <c r="JO88" s="3">
        <v>45432</v>
      </c>
      <c r="JP88">
        <v>570</v>
      </c>
      <c r="JQ88">
        <v>-2025</v>
      </c>
      <c r="JR88">
        <v>1544</v>
      </c>
      <c r="JS88" s="3"/>
      <c r="JW88" s="3"/>
      <c r="KA88" s="3"/>
      <c r="KE88" s="3"/>
      <c r="KI88" s="3"/>
      <c r="KM88" s="3"/>
      <c r="KQ88" s="3"/>
      <c r="KU88" s="3"/>
      <c r="KY88" s="3"/>
      <c r="LC88" s="3"/>
      <c r="LG88" s="3"/>
      <c r="LK88" s="3"/>
      <c r="LO88" s="3"/>
    </row>
    <row r="89" spans="3:327">
      <c r="C89" s="26" t="str">
        <f t="shared" ref="C89:D89" si="246">C44</f>
        <v>K200 헬스케어</v>
      </c>
      <c r="D89" s="27" t="str">
        <f t="shared" si="246"/>
        <v>253</v>
      </c>
      <c r="E89" s="57" t="str" cm="1">
        <f t="array" aca="1" ref="E89" ca="1">IF( $D89=0, "", _xll.IMDP("IDX",$D89,"기관순매수금액",TODAY()-1,"fill=true") )</f>
        <v/>
      </c>
      <c r="F89" s="58" t="str" cm="1">
        <f t="array" aca="1" ref="F89" ca="1">IF( $E89="", "", INDEX($R$52:$FQ$52, 1, MATCH(ROW()-ROW($C$50), $R$50:$FQ$50, 0)+1) )</f>
        <v/>
      </c>
      <c r="G89" s="59" t="str" cm="1">
        <f t="array" aca="1" ref="G89" ca="1">IF( $E89="", "", INDEX($FS$52:$LR$52, 1, MATCH(ROW()-ROW($C$50), $R$50:$FQ$50, 0)+1) )</f>
        <v/>
      </c>
      <c r="H89" s="60" t="str" cm="1">
        <f t="array" aca="1" ref="H89" ca="1">IF( $D89=0, "", _xll.IMDP("IDX",$D89,"외국인합순매수금액",TODAY()-1,"fill=true") )</f>
        <v/>
      </c>
      <c r="I89" s="58" t="str" cm="1">
        <f t="array" aca="1" ref="I89" ca="1">IF( $H89="", "", INDEX($R$52:$FQ$52, 1, MATCH(ROW()-ROW($C$50), $R$50:$FQ$50, 0)+2))</f>
        <v/>
      </c>
      <c r="J89" s="61" t="str" cm="1">
        <f t="array" aca="1" ref="J89" ca="1">IF( $H89="", "", INDEX($FS$52:$LR$52, 1, MATCH(ROW()-ROW($C$50), $R$50:$FQ$50, 0)+2))</f>
        <v/>
      </c>
      <c r="K89" s="62" t="str" cm="1">
        <f t="array" aca="1" ref="K89" ca="1">IF( $D89=0, "", _xll.IMDP("IDX",$D89,"개인순매수금액",TODAY()-1,"fill=true"))</f>
        <v/>
      </c>
      <c r="L89" s="58" t="str" cm="1">
        <f t="array" aca="1" ref="L89" ca="1">IF( $K89="", "", INDEX($R$52:$FQ$52, 1, MATCH(ROW()-ROW($C$50), $R$50:$FQ$50, 0)+3))</f>
        <v/>
      </c>
      <c r="M89" s="63" t="str" cm="1">
        <f t="array" aca="1" ref="M89" ca="1">IF( $K89="", "", INDEX($FS$52:$LR$52, 1, MATCH(ROW()-ROW($C$50), $R$50:$FQ$50, 0)+3))</f>
        <v/>
      </c>
      <c r="R89" s="3"/>
      <c r="V89" s="3"/>
      <c r="Z89" s="3"/>
      <c r="AD89" s="3"/>
      <c r="AH89" s="3"/>
      <c r="AL89" s="3"/>
      <c r="AP89" s="3"/>
      <c r="AT89" s="3"/>
      <c r="AX89" s="3"/>
      <c r="BB89" s="3"/>
      <c r="BF89" s="3"/>
      <c r="BJ89" s="3"/>
      <c r="BN89" s="3"/>
      <c r="BR89" s="3"/>
      <c r="BV89" s="3"/>
      <c r="BZ89" s="3"/>
      <c r="CD89" s="3"/>
      <c r="CH89" s="3"/>
      <c r="CL89" s="3"/>
      <c r="CP89" s="3"/>
      <c r="CT89" s="3"/>
      <c r="CX89" s="3"/>
      <c r="DB89" s="3"/>
      <c r="DF89" s="3"/>
      <c r="DJ89" s="3"/>
      <c r="DN89" s="3"/>
      <c r="DR89" s="3"/>
      <c r="DV89" s="3"/>
      <c r="DZ89" s="3"/>
      <c r="ED89" s="3"/>
      <c r="EH89" s="3"/>
      <c r="EL89" s="3"/>
      <c r="EP89" s="3"/>
      <c r="ET89" s="3"/>
      <c r="EX89" s="3"/>
      <c r="FB89" s="3"/>
      <c r="FF89" s="3"/>
      <c r="FJ89" s="3"/>
      <c r="FN89" s="3"/>
      <c r="FS89" s="3">
        <v>45429</v>
      </c>
      <c r="FT89">
        <v>-149627</v>
      </c>
      <c r="FU89">
        <v>-240947</v>
      </c>
      <c r="FV89">
        <v>719387</v>
      </c>
      <c r="FW89" s="3">
        <v>45429</v>
      </c>
      <c r="FX89">
        <v>-172218</v>
      </c>
      <c r="FY89">
        <v>-160308</v>
      </c>
      <c r="FZ89">
        <v>662737</v>
      </c>
      <c r="GA89" s="3">
        <v>45429</v>
      </c>
      <c r="GB89">
        <v>-12861</v>
      </c>
      <c r="GC89">
        <v>5476</v>
      </c>
      <c r="GD89">
        <v>8068</v>
      </c>
      <c r="GE89" s="3">
        <v>45429</v>
      </c>
      <c r="GF89">
        <v>732</v>
      </c>
      <c r="GG89">
        <v>-214</v>
      </c>
      <c r="GH89">
        <v>-867</v>
      </c>
      <c r="GI89" s="3">
        <v>45429</v>
      </c>
      <c r="GJ89">
        <v>435</v>
      </c>
      <c r="GK89">
        <v>-382</v>
      </c>
      <c r="GL89">
        <v>-70</v>
      </c>
      <c r="GM89" s="3">
        <v>45429</v>
      </c>
      <c r="GN89">
        <v>216</v>
      </c>
      <c r="GO89">
        <v>-694</v>
      </c>
      <c r="GP89">
        <v>435</v>
      </c>
      <c r="GQ89" s="3">
        <v>45429</v>
      </c>
      <c r="GR89">
        <v>70</v>
      </c>
      <c r="GS89">
        <v>453</v>
      </c>
      <c r="GT89">
        <v>-570</v>
      </c>
      <c r="GU89" s="3">
        <v>45429</v>
      </c>
      <c r="GV89">
        <v>-47</v>
      </c>
      <c r="GW89">
        <v>-573</v>
      </c>
      <c r="GX89">
        <v>218</v>
      </c>
      <c r="GY89" s="3">
        <v>45429</v>
      </c>
      <c r="GZ89">
        <v>-105</v>
      </c>
      <c r="HA89">
        <v>-1151</v>
      </c>
      <c r="HB89">
        <v>1260</v>
      </c>
      <c r="HC89" s="3">
        <v>45429</v>
      </c>
      <c r="HD89">
        <v>-552</v>
      </c>
      <c r="HE89">
        <v>-1058</v>
      </c>
      <c r="HF89">
        <v>1613</v>
      </c>
      <c r="HG89" s="3">
        <v>45429</v>
      </c>
      <c r="HH89">
        <v>-1031</v>
      </c>
      <c r="HI89">
        <v>-7546</v>
      </c>
      <c r="HJ89">
        <v>9887</v>
      </c>
      <c r="HK89" s="3">
        <v>45429</v>
      </c>
      <c r="HL89">
        <v>66</v>
      </c>
      <c r="HM89">
        <v>127</v>
      </c>
      <c r="HN89">
        <v>-191</v>
      </c>
      <c r="HO89" s="3">
        <v>45429</v>
      </c>
      <c r="HP89">
        <v>-594</v>
      </c>
      <c r="HQ89">
        <v>1471</v>
      </c>
      <c r="HR89">
        <v>1859</v>
      </c>
      <c r="HS89" s="3">
        <v>45429</v>
      </c>
      <c r="HT89">
        <v>-222</v>
      </c>
      <c r="HU89">
        <v>20</v>
      </c>
      <c r="HV89">
        <v>210</v>
      </c>
      <c r="HW89" s="3">
        <v>45429</v>
      </c>
      <c r="HX89">
        <v>-56</v>
      </c>
      <c r="HY89">
        <v>200</v>
      </c>
      <c r="HZ89">
        <v>-165</v>
      </c>
      <c r="IA89" s="3">
        <v>45429</v>
      </c>
      <c r="IB89">
        <v>-230</v>
      </c>
      <c r="IC89">
        <v>-1055</v>
      </c>
      <c r="ID89">
        <v>1254</v>
      </c>
      <c r="IE89" s="3">
        <v>45429</v>
      </c>
      <c r="IF89">
        <v>-897</v>
      </c>
      <c r="IG89">
        <v>-1788</v>
      </c>
      <c r="IH89">
        <v>2694</v>
      </c>
      <c r="II89" s="3">
        <v>45429</v>
      </c>
      <c r="IJ89">
        <v>-80</v>
      </c>
      <c r="IK89">
        <v>-99</v>
      </c>
      <c r="IL89">
        <v>157</v>
      </c>
      <c r="IM89" s="3">
        <v>45429</v>
      </c>
      <c r="IN89">
        <v>-836</v>
      </c>
      <c r="IO89">
        <v>-1860</v>
      </c>
      <c r="IP89">
        <v>2626</v>
      </c>
      <c r="IQ89" s="3">
        <v>45429</v>
      </c>
      <c r="IR89">
        <v>105</v>
      </c>
      <c r="IS89">
        <v>-228</v>
      </c>
      <c r="IT89">
        <v>28</v>
      </c>
      <c r="IU89" s="3">
        <v>45429</v>
      </c>
      <c r="IV89">
        <v>-264</v>
      </c>
      <c r="IW89">
        <v>-711</v>
      </c>
      <c r="IX89">
        <v>1061</v>
      </c>
      <c r="IY89" s="3">
        <v>45429</v>
      </c>
      <c r="IZ89">
        <v>-424</v>
      </c>
      <c r="JA89">
        <v>-509</v>
      </c>
      <c r="JB89">
        <v>766</v>
      </c>
      <c r="JC89" s="3">
        <v>45429</v>
      </c>
      <c r="JD89">
        <v>-1957</v>
      </c>
      <c r="JE89">
        <v>-9584</v>
      </c>
      <c r="JF89">
        <v>15217</v>
      </c>
      <c r="JG89" s="3">
        <v>45429</v>
      </c>
      <c r="JH89">
        <v>-1993</v>
      </c>
      <c r="JI89">
        <v>-4895</v>
      </c>
      <c r="JJ89">
        <v>9120</v>
      </c>
      <c r="JK89" s="3">
        <v>45429</v>
      </c>
      <c r="JL89">
        <v>-2125</v>
      </c>
      <c r="JM89">
        <v>-6781</v>
      </c>
      <c r="JN89">
        <v>8946</v>
      </c>
      <c r="JO89" s="3">
        <v>45429</v>
      </c>
      <c r="JP89">
        <v>-630</v>
      </c>
      <c r="JQ89">
        <v>-2861</v>
      </c>
      <c r="JR89">
        <v>4708</v>
      </c>
      <c r="JS89" s="3"/>
      <c r="JW89" s="3"/>
      <c r="KA89" s="3"/>
      <c r="KE89" s="3"/>
      <c r="KI89" s="3"/>
      <c r="KM89" s="3"/>
      <c r="KQ89" s="3"/>
      <c r="KU89" s="3"/>
      <c r="KY89" s="3"/>
      <c r="LC89" s="3"/>
      <c r="LG89" s="3"/>
      <c r="LK89" s="3"/>
      <c r="LO89" s="3"/>
    </row>
    <row r="90" spans="3:327">
      <c r="R90" s="3"/>
      <c r="V90" s="3"/>
      <c r="Z90" s="3"/>
      <c r="AD90" s="3"/>
      <c r="AH90" s="3"/>
      <c r="AL90" s="3"/>
      <c r="AP90" s="3"/>
      <c r="AT90" s="3"/>
      <c r="AX90" s="3"/>
      <c r="BB90" s="3"/>
      <c r="BF90" s="3"/>
      <c r="BJ90" s="3"/>
      <c r="BN90" s="3"/>
      <c r="BR90" s="3"/>
      <c r="BV90" s="3"/>
      <c r="BZ90" s="3"/>
      <c r="CD90" s="3"/>
      <c r="CH90" s="3"/>
      <c r="CL90" s="3"/>
      <c r="CP90" s="3"/>
      <c r="CT90" s="3"/>
      <c r="CX90" s="3"/>
      <c r="DB90" s="3"/>
      <c r="DF90" s="3"/>
      <c r="DJ90" s="3"/>
      <c r="DN90" s="3"/>
      <c r="DR90" s="3"/>
      <c r="DV90" s="3"/>
      <c r="DZ90" s="3"/>
      <c r="ED90" s="3"/>
      <c r="EH90" s="3"/>
      <c r="EL90" s="3"/>
      <c r="EP90" s="3"/>
      <c r="ET90" s="3"/>
      <c r="EX90" s="3"/>
      <c r="FB90" s="3"/>
      <c r="FF90" s="3"/>
      <c r="FJ90" s="3"/>
      <c r="FN90" s="3"/>
      <c r="FS90" s="3">
        <v>45428</v>
      </c>
      <c r="FT90">
        <v>593791</v>
      </c>
      <c r="FU90">
        <v>425869</v>
      </c>
      <c r="FV90">
        <v>-964779</v>
      </c>
      <c r="FW90" s="3">
        <v>45428</v>
      </c>
      <c r="FX90">
        <v>545808</v>
      </c>
      <c r="FY90">
        <v>223099</v>
      </c>
      <c r="FZ90">
        <v>-712125</v>
      </c>
      <c r="GA90" s="3">
        <v>45428</v>
      </c>
      <c r="GB90">
        <v>1852</v>
      </c>
      <c r="GC90">
        <v>-4787</v>
      </c>
      <c r="GD90">
        <v>1654</v>
      </c>
      <c r="GE90" s="3">
        <v>45428</v>
      </c>
      <c r="GF90">
        <v>579</v>
      </c>
      <c r="GG90">
        <v>-950</v>
      </c>
      <c r="GH90">
        <v>218</v>
      </c>
      <c r="GI90" s="3">
        <v>45428</v>
      </c>
      <c r="GJ90">
        <v>86</v>
      </c>
      <c r="GK90">
        <v>-513</v>
      </c>
      <c r="GL90">
        <v>431</v>
      </c>
      <c r="GM90" s="3">
        <v>45428</v>
      </c>
      <c r="GN90">
        <v>618</v>
      </c>
      <c r="GO90">
        <v>-450</v>
      </c>
      <c r="GP90">
        <v>-297</v>
      </c>
      <c r="GQ90" s="3">
        <v>45428</v>
      </c>
      <c r="GR90">
        <v>280</v>
      </c>
      <c r="GS90">
        <v>160</v>
      </c>
      <c r="GT90">
        <v>-471</v>
      </c>
      <c r="GU90" s="3">
        <v>45428</v>
      </c>
      <c r="GV90">
        <v>85</v>
      </c>
      <c r="GW90">
        <v>99</v>
      </c>
      <c r="GX90">
        <v>-443</v>
      </c>
      <c r="GY90" s="3">
        <v>45428</v>
      </c>
      <c r="GZ90">
        <v>291</v>
      </c>
      <c r="HA90">
        <v>1336</v>
      </c>
      <c r="HB90">
        <v>-1654</v>
      </c>
      <c r="HC90" s="3">
        <v>45428</v>
      </c>
      <c r="HD90">
        <v>1248</v>
      </c>
      <c r="HE90">
        <v>-458</v>
      </c>
      <c r="HF90">
        <v>-978</v>
      </c>
      <c r="HG90" s="3">
        <v>45428</v>
      </c>
      <c r="HH90">
        <v>3186</v>
      </c>
      <c r="HI90">
        <v>4255</v>
      </c>
      <c r="HJ90">
        <v>-7348</v>
      </c>
      <c r="HK90" s="3">
        <v>45428</v>
      </c>
      <c r="HL90">
        <v>105</v>
      </c>
      <c r="HM90">
        <v>265</v>
      </c>
      <c r="HN90">
        <v>-355</v>
      </c>
      <c r="HO90" s="3">
        <v>45428</v>
      </c>
      <c r="HP90">
        <v>548</v>
      </c>
      <c r="HQ90">
        <v>1112</v>
      </c>
      <c r="HR90">
        <v>-1614</v>
      </c>
      <c r="HS90" s="3">
        <v>45428</v>
      </c>
      <c r="HT90">
        <v>86</v>
      </c>
      <c r="HU90">
        <v>453</v>
      </c>
      <c r="HV90">
        <v>-570</v>
      </c>
      <c r="HW90" s="3">
        <v>45428</v>
      </c>
      <c r="HX90">
        <v>-174</v>
      </c>
      <c r="HY90">
        <v>-150</v>
      </c>
      <c r="HZ90">
        <v>338</v>
      </c>
      <c r="IA90" s="3">
        <v>45428</v>
      </c>
      <c r="IB90">
        <v>188</v>
      </c>
      <c r="IC90">
        <v>646</v>
      </c>
      <c r="ID90">
        <v>-839</v>
      </c>
      <c r="IE90" s="3">
        <v>45428</v>
      </c>
      <c r="IF90">
        <v>-1160</v>
      </c>
      <c r="IG90">
        <v>-3172</v>
      </c>
      <c r="IH90">
        <v>4565</v>
      </c>
      <c r="II90" s="3">
        <v>45428</v>
      </c>
      <c r="IJ90">
        <v>102</v>
      </c>
      <c r="IK90">
        <v>-191</v>
      </c>
      <c r="IL90">
        <v>66</v>
      </c>
      <c r="IM90" s="3">
        <v>45428</v>
      </c>
      <c r="IN90">
        <v>2308</v>
      </c>
      <c r="IO90">
        <v>2157</v>
      </c>
      <c r="IP90">
        <v>-3832</v>
      </c>
      <c r="IQ90" s="3">
        <v>45428</v>
      </c>
      <c r="IR90">
        <v>250</v>
      </c>
      <c r="IS90">
        <v>284</v>
      </c>
      <c r="IT90">
        <v>-500</v>
      </c>
      <c r="IU90" s="3">
        <v>45428</v>
      </c>
      <c r="IV90">
        <v>670</v>
      </c>
      <c r="IW90">
        <v>1426</v>
      </c>
      <c r="IX90">
        <v>-1640</v>
      </c>
      <c r="IY90" s="3">
        <v>45428</v>
      </c>
      <c r="IZ90">
        <v>264</v>
      </c>
      <c r="JA90">
        <v>-1036</v>
      </c>
      <c r="JB90">
        <v>758</v>
      </c>
      <c r="JC90" s="3">
        <v>45428</v>
      </c>
      <c r="JD90">
        <v>7291</v>
      </c>
      <c r="JE90">
        <v>7055</v>
      </c>
      <c r="JF90">
        <v>-15093</v>
      </c>
      <c r="JG90" s="3">
        <v>45428</v>
      </c>
      <c r="JH90">
        <v>6188</v>
      </c>
      <c r="JI90">
        <v>-6243</v>
      </c>
      <c r="JJ90">
        <v>252</v>
      </c>
      <c r="JK90" s="3">
        <v>45428</v>
      </c>
      <c r="JL90">
        <v>2215</v>
      </c>
      <c r="JM90">
        <v>6542</v>
      </c>
      <c r="JN90">
        <v>-8448</v>
      </c>
      <c r="JO90" s="3">
        <v>45428</v>
      </c>
      <c r="JP90">
        <v>312</v>
      </c>
      <c r="JQ90">
        <v>5412</v>
      </c>
      <c r="JR90">
        <v>-6091</v>
      </c>
      <c r="JS90" s="3"/>
      <c r="JW90" s="3"/>
      <c r="KA90" s="3"/>
      <c r="KE90" s="3"/>
      <c r="KI90" s="3"/>
      <c r="KM90" s="3"/>
      <c r="KQ90" s="3"/>
      <c r="KU90" s="3"/>
      <c r="KY90" s="3"/>
      <c r="LC90" s="3"/>
      <c r="LG90" s="3"/>
      <c r="LK90" s="3"/>
      <c r="LO90" s="3"/>
    </row>
    <row r="91" spans="3:327" hidden="1">
      <c r="R91" s="3"/>
      <c r="V91" s="3"/>
      <c r="Z91" s="3"/>
      <c r="AD91" s="3"/>
      <c r="AH91" s="3"/>
      <c r="AL91" s="3"/>
      <c r="AP91" s="3"/>
      <c r="AT91" s="3"/>
      <c r="AX91" s="3"/>
      <c r="BB91" s="3"/>
      <c r="BF91" s="3"/>
      <c r="BJ91" s="3"/>
      <c r="BN91" s="3"/>
      <c r="BR91" s="3"/>
      <c r="BV91" s="3"/>
      <c r="BZ91" s="3"/>
      <c r="CD91" s="3"/>
      <c r="CH91" s="3"/>
      <c r="CL91" s="3"/>
      <c r="CP91" s="3"/>
      <c r="CT91" s="3"/>
      <c r="CX91" s="3"/>
      <c r="DB91" s="3"/>
      <c r="DF91" s="3"/>
      <c r="DJ91" s="3"/>
      <c r="DN91" s="3"/>
      <c r="DR91" s="3"/>
      <c r="DV91" s="3"/>
      <c r="DZ91" s="3"/>
      <c r="ED91" s="3"/>
      <c r="EH91" s="3"/>
      <c r="EL91" s="3"/>
      <c r="EP91" s="3"/>
      <c r="ET91" s="3"/>
      <c r="EX91" s="3"/>
      <c r="FB91" s="3"/>
      <c r="FF91" s="3"/>
      <c r="FJ91" s="3"/>
      <c r="FN91" s="3"/>
      <c r="FS91" s="3">
        <v>45426</v>
      </c>
      <c r="FT91">
        <v>122645</v>
      </c>
      <c r="FU91">
        <v>80109</v>
      </c>
      <c r="FV91">
        <v>-190807</v>
      </c>
      <c r="FW91" s="3">
        <v>45426</v>
      </c>
      <c r="FX91">
        <v>96027</v>
      </c>
      <c r="FY91">
        <v>58297</v>
      </c>
      <c r="FZ91">
        <v>-142357</v>
      </c>
      <c r="GA91" s="3">
        <v>45426</v>
      </c>
      <c r="GB91">
        <v>-12761</v>
      </c>
      <c r="GC91">
        <v>-13805</v>
      </c>
      <c r="GD91">
        <v>26045</v>
      </c>
      <c r="GE91" s="3">
        <v>45426</v>
      </c>
      <c r="GF91">
        <v>-1183</v>
      </c>
      <c r="GG91">
        <v>892</v>
      </c>
      <c r="GH91">
        <v>-604</v>
      </c>
      <c r="GI91" s="3">
        <v>45426</v>
      </c>
      <c r="GJ91">
        <v>-304</v>
      </c>
      <c r="GK91">
        <v>363</v>
      </c>
      <c r="GL91">
        <v>-63</v>
      </c>
      <c r="GM91" s="3">
        <v>45426</v>
      </c>
      <c r="GN91">
        <v>45</v>
      </c>
      <c r="GO91">
        <v>342</v>
      </c>
      <c r="GP91">
        <v>-434</v>
      </c>
      <c r="GQ91" s="3">
        <v>45426</v>
      </c>
      <c r="GR91">
        <v>24</v>
      </c>
      <c r="GS91">
        <v>185</v>
      </c>
      <c r="GT91">
        <v>-233</v>
      </c>
      <c r="GU91" s="3">
        <v>45426</v>
      </c>
      <c r="GV91">
        <v>23</v>
      </c>
      <c r="GW91">
        <v>47</v>
      </c>
      <c r="GX91">
        <v>-337</v>
      </c>
      <c r="GY91" s="3">
        <v>45426</v>
      </c>
      <c r="GZ91">
        <v>316</v>
      </c>
      <c r="HA91">
        <v>-456</v>
      </c>
      <c r="HB91">
        <v>155</v>
      </c>
      <c r="HC91" s="3">
        <v>45426</v>
      </c>
      <c r="HD91">
        <v>491</v>
      </c>
      <c r="HE91">
        <v>-359</v>
      </c>
      <c r="HF91">
        <v>-335</v>
      </c>
      <c r="HG91" s="3">
        <v>45426</v>
      </c>
      <c r="HH91">
        <v>-469</v>
      </c>
      <c r="HI91">
        <v>1123</v>
      </c>
      <c r="HJ91">
        <v>-250</v>
      </c>
      <c r="HK91" s="3">
        <v>45426</v>
      </c>
      <c r="HL91">
        <v>-21</v>
      </c>
      <c r="HM91">
        <v>21</v>
      </c>
      <c r="HN91">
        <v>-20</v>
      </c>
      <c r="HO91" s="3">
        <v>45426</v>
      </c>
      <c r="HP91">
        <v>-558</v>
      </c>
      <c r="HQ91">
        <v>320</v>
      </c>
      <c r="HR91">
        <v>184</v>
      </c>
      <c r="HS91" s="3">
        <v>45426</v>
      </c>
      <c r="HT91">
        <v>58</v>
      </c>
      <c r="HU91">
        <v>-327</v>
      </c>
      <c r="HV91">
        <v>219</v>
      </c>
      <c r="HW91" s="3">
        <v>45426</v>
      </c>
      <c r="HX91">
        <v>153</v>
      </c>
      <c r="HY91">
        <v>-224</v>
      </c>
      <c r="HZ91">
        <v>77</v>
      </c>
      <c r="IA91" s="3">
        <v>45426</v>
      </c>
      <c r="IB91">
        <v>158</v>
      </c>
      <c r="IC91">
        <v>762</v>
      </c>
      <c r="ID91">
        <v>-975</v>
      </c>
      <c r="IE91" s="3">
        <v>45426</v>
      </c>
      <c r="IF91">
        <v>647</v>
      </c>
      <c r="IG91">
        <v>-1268</v>
      </c>
      <c r="IH91">
        <v>779</v>
      </c>
      <c r="II91" s="3">
        <v>45426</v>
      </c>
      <c r="IJ91">
        <v>-69</v>
      </c>
      <c r="IK91">
        <v>171</v>
      </c>
      <c r="IL91">
        <v>-113</v>
      </c>
      <c r="IM91" s="3">
        <v>45426</v>
      </c>
      <c r="IN91">
        <v>839</v>
      </c>
      <c r="IO91">
        <v>-452</v>
      </c>
      <c r="IP91">
        <v>-237</v>
      </c>
      <c r="IQ91" s="3">
        <v>45426</v>
      </c>
      <c r="IR91">
        <v>-160</v>
      </c>
      <c r="IS91">
        <v>-47</v>
      </c>
      <c r="IT91">
        <v>171</v>
      </c>
      <c r="IU91" s="3">
        <v>45426</v>
      </c>
      <c r="IV91">
        <v>1020</v>
      </c>
      <c r="IW91">
        <v>722</v>
      </c>
      <c r="IX91">
        <v>-1486</v>
      </c>
      <c r="IY91" s="3">
        <v>45426</v>
      </c>
      <c r="IZ91">
        <v>-249</v>
      </c>
      <c r="JA91">
        <v>-693</v>
      </c>
      <c r="JB91">
        <v>913</v>
      </c>
      <c r="JC91" s="3">
        <v>45426</v>
      </c>
      <c r="JD91">
        <v>-52</v>
      </c>
      <c r="JE91">
        <v>1846</v>
      </c>
      <c r="JF91">
        <v>-2197</v>
      </c>
      <c r="JG91" s="3">
        <v>45426</v>
      </c>
      <c r="JH91">
        <v>1000</v>
      </c>
      <c r="JI91">
        <v>-1141</v>
      </c>
      <c r="JJ91">
        <v>-84</v>
      </c>
      <c r="JK91" s="3">
        <v>45426</v>
      </c>
      <c r="JL91">
        <v>857</v>
      </c>
      <c r="JM91">
        <v>-1309</v>
      </c>
      <c r="JN91">
        <v>848</v>
      </c>
      <c r="JO91" s="3">
        <v>45426</v>
      </c>
      <c r="JP91">
        <v>-483</v>
      </c>
      <c r="JQ91">
        <v>2427</v>
      </c>
      <c r="JR91">
        <v>-2273</v>
      </c>
      <c r="JS91" s="3"/>
      <c r="JW91" s="3"/>
      <c r="KA91" s="3"/>
      <c r="KE91" s="3"/>
      <c r="KI91" s="3"/>
      <c r="KM91" s="3"/>
      <c r="KQ91" s="3"/>
      <c r="KU91" s="3"/>
      <c r="KY91" s="3"/>
      <c r="LC91" s="3"/>
      <c r="LG91" s="3"/>
      <c r="LK91" s="3"/>
      <c r="LO91" s="3"/>
    </row>
    <row r="92" spans="3:327" hidden="1">
      <c r="R92" s="3"/>
      <c r="V92" s="3"/>
      <c r="Z92" s="3"/>
      <c r="AD92" s="3"/>
      <c r="AH92" s="3"/>
      <c r="AL92" s="3"/>
      <c r="AP92" s="3"/>
      <c r="AT92" s="3"/>
      <c r="AX92" s="3"/>
      <c r="BB92" s="3"/>
      <c r="BF92" s="3"/>
      <c r="BJ92" s="3"/>
      <c r="BN92" s="3"/>
      <c r="BR92" s="3"/>
      <c r="BV92" s="3"/>
      <c r="BZ92" s="3"/>
      <c r="CD92" s="3"/>
      <c r="CH92" s="3"/>
      <c r="CL92" s="3"/>
      <c r="CP92" s="3"/>
      <c r="CT92" s="3"/>
      <c r="CX92" s="3"/>
      <c r="DB92" s="3"/>
      <c r="DF92" s="3"/>
      <c r="DJ92" s="3"/>
      <c r="DN92" s="3"/>
      <c r="DR92" s="3"/>
      <c r="DV92" s="3"/>
      <c r="DZ92" s="3"/>
      <c r="ED92" s="3"/>
      <c r="EH92" s="3"/>
      <c r="EL92" s="3"/>
      <c r="EP92" s="3"/>
      <c r="ET92" s="3"/>
      <c r="EX92" s="3"/>
      <c r="FB92" s="3"/>
      <c r="FF92" s="3"/>
      <c r="FJ92" s="3"/>
      <c r="FN92" s="3"/>
      <c r="FS92" s="3">
        <v>45425</v>
      </c>
      <c r="FT92">
        <v>16993</v>
      </c>
      <c r="FU92">
        <v>17496</v>
      </c>
      <c r="FV92">
        <v>-17575</v>
      </c>
      <c r="FW92" s="3">
        <v>45425</v>
      </c>
      <c r="FX92">
        <v>-42309</v>
      </c>
      <c r="FY92">
        <v>70814</v>
      </c>
      <c r="FZ92">
        <v>-20637</v>
      </c>
      <c r="GA92" s="3">
        <v>45425</v>
      </c>
      <c r="GB92">
        <v>19165</v>
      </c>
      <c r="GC92">
        <v>3311</v>
      </c>
      <c r="GD92">
        <v>-21671</v>
      </c>
      <c r="GE92" s="3">
        <v>45425</v>
      </c>
      <c r="GF92">
        <v>-2846</v>
      </c>
      <c r="GG92">
        <v>926</v>
      </c>
      <c r="GH92">
        <v>1580</v>
      </c>
      <c r="GI92" s="3">
        <v>45425</v>
      </c>
      <c r="GJ92">
        <v>265</v>
      </c>
      <c r="GK92">
        <v>-19</v>
      </c>
      <c r="GL92">
        <v>-362</v>
      </c>
      <c r="GM92" s="3">
        <v>45425</v>
      </c>
      <c r="GN92">
        <v>-11</v>
      </c>
      <c r="GO92">
        <v>-262</v>
      </c>
      <c r="GP92">
        <v>194</v>
      </c>
      <c r="GQ92" s="3">
        <v>45425</v>
      </c>
      <c r="GR92">
        <v>-11</v>
      </c>
      <c r="GS92">
        <v>-490</v>
      </c>
      <c r="GT92">
        <v>514</v>
      </c>
      <c r="GU92" s="3">
        <v>45425</v>
      </c>
      <c r="GV92">
        <v>69</v>
      </c>
      <c r="GW92">
        <v>-287</v>
      </c>
      <c r="GX92">
        <v>-136</v>
      </c>
      <c r="GY92" s="3">
        <v>45425</v>
      </c>
      <c r="GZ92">
        <v>-132</v>
      </c>
      <c r="HA92">
        <v>-289</v>
      </c>
      <c r="HB92">
        <v>431</v>
      </c>
      <c r="HC92" s="3">
        <v>45425</v>
      </c>
      <c r="HD92">
        <v>933</v>
      </c>
      <c r="HE92">
        <v>-567</v>
      </c>
      <c r="HF92">
        <v>-443</v>
      </c>
      <c r="HG92" s="3">
        <v>45425</v>
      </c>
      <c r="HH92">
        <v>-98</v>
      </c>
      <c r="HI92">
        <v>-1953</v>
      </c>
      <c r="HJ92">
        <v>1874</v>
      </c>
      <c r="HK92" s="3">
        <v>45425</v>
      </c>
      <c r="HL92">
        <v>-49</v>
      </c>
      <c r="HM92">
        <v>207</v>
      </c>
      <c r="HN92">
        <v>-138</v>
      </c>
      <c r="HO92" s="3">
        <v>45425</v>
      </c>
      <c r="HP92">
        <v>1069</v>
      </c>
      <c r="HQ92">
        <v>3097</v>
      </c>
      <c r="HR92">
        <v>-4093</v>
      </c>
      <c r="HS92" s="3">
        <v>45425</v>
      </c>
      <c r="HT92">
        <v>-48</v>
      </c>
      <c r="HU92">
        <v>-653</v>
      </c>
      <c r="HV92">
        <v>685</v>
      </c>
      <c r="HW92" s="3">
        <v>45425</v>
      </c>
      <c r="HX92">
        <v>-4236</v>
      </c>
      <c r="HY92">
        <v>-1794</v>
      </c>
      <c r="HZ92">
        <v>6066</v>
      </c>
      <c r="IA92" s="3">
        <v>45425</v>
      </c>
      <c r="IB92">
        <v>-9</v>
      </c>
      <c r="IC92">
        <v>-878</v>
      </c>
      <c r="ID92">
        <v>1226</v>
      </c>
      <c r="IE92" s="3">
        <v>45425</v>
      </c>
      <c r="IF92">
        <v>1070</v>
      </c>
      <c r="IG92">
        <v>-798</v>
      </c>
      <c r="IH92">
        <v>-263</v>
      </c>
      <c r="II92" s="3">
        <v>45425</v>
      </c>
      <c r="IJ92">
        <v>242</v>
      </c>
      <c r="IK92">
        <v>-329</v>
      </c>
      <c r="IL92">
        <v>91</v>
      </c>
      <c r="IM92" s="3">
        <v>45425</v>
      </c>
      <c r="IN92">
        <v>1263</v>
      </c>
      <c r="IO92">
        <v>-84</v>
      </c>
      <c r="IP92">
        <v>-786</v>
      </c>
      <c r="IQ92" s="3">
        <v>45425</v>
      </c>
      <c r="IR92">
        <v>122</v>
      </c>
      <c r="IS92">
        <v>-340</v>
      </c>
      <c r="IT92">
        <v>309</v>
      </c>
      <c r="IU92" s="3">
        <v>45425</v>
      </c>
      <c r="IV92">
        <v>515</v>
      </c>
      <c r="IW92">
        <v>452</v>
      </c>
      <c r="IX92">
        <v>-755</v>
      </c>
      <c r="IY92" s="3">
        <v>45425</v>
      </c>
      <c r="IZ92">
        <v>0</v>
      </c>
      <c r="JA92">
        <v>-790</v>
      </c>
      <c r="JB92">
        <v>754</v>
      </c>
      <c r="JC92" s="3">
        <v>45425</v>
      </c>
      <c r="JD92">
        <v>1904</v>
      </c>
      <c r="JE92">
        <v>-375</v>
      </c>
      <c r="JF92">
        <v>-2113</v>
      </c>
      <c r="JG92" s="3">
        <v>45425</v>
      </c>
      <c r="JH92">
        <v>-2617</v>
      </c>
      <c r="JI92">
        <v>125</v>
      </c>
      <c r="JJ92">
        <v>2245</v>
      </c>
      <c r="JK92" s="3">
        <v>45425</v>
      </c>
      <c r="JL92">
        <v>2000</v>
      </c>
      <c r="JM92">
        <v>394</v>
      </c>
      <c r="JN92">
        <v>-2548</v>
      </c>
      <c r="JO92" s="3">
        <v>45425</v>
      </c>
      <c r="JP92">
        <v>645</v>
      </c>
      <c r="JQ92">
        <v>-6090</v>
      </c>
      <c r="JR92">
        <v>6025</v>
      </c>
      <c r="JS92" s="3"/>
      <c r="JW92" s="3"/>
      <c r="KA92" s="3"/>
      <c r="KE92" s="3"/>
      <c r="KI92" s="3"/>
      <c r="KM92" s="3"/>
      <c r="KQ92" s="3"/>
      <c r="KU92" s="3"/>
      <c r="KY92" s="3"/>
      <c r="LC92" s="3"/>
      <c r="LG92" s="3"/>
      <c r="LK92" s="3"/>
      <c r="LO92" s="3"/>
    </row>
    <row r="93" spans="3:327" hidden="1">
      <c r="R93" s="3"/>
      <c r="V93" s="3"/>
      <c r="Z93" s="3"/>
      <c r="AD93" s="3"/>
      <c r="AH93" s="3"/>
      <c r="AL93" s="3"/>
      <c r="AP93" s="3"/>
      <c r="AT93" s="3"/>
      <c r="AX93" s="3"/>
      <c r="BB93" s="3"/>
      <c r="BF93" s="3"/>
      <c r="BJ93" s="3"/>
      <c r="BN93" s="3"/>
      <c r="BR93" s="3"/>
      <c r="BV93" s="3"/>
      <c r="BZ93" s="3"/>
      <c r="CD93" s="3"/>
      <c r="CH93" s="3"/>
      <c r="CL93" s="3"/>
      <c r="CP93" s="3"/>
      <c r="CT93" s="3"/>
      <c r="CX93" s="3"/>
      <c r="DB93" s="3"/>
      <c r="DF93" s="3"/>
      <c r="DJ93" s="3"/>
      <c r="DN93" s="3"/>
      <c r="DR93" s="3"/>
      <c r="DV93" s="3"/>
      <c r="DZ93" s="3"/>
      <c r="ED93" s="3"/>
      <c r="EH93" s="3"/>
      <c r="EL93" s="3"/>
      <c r="EP93" s="3"/>
      <c r="ET93" s="3"/>
      <c r="EX93" s="3"/>
      <c r="FB93" s="3"/>
      <c r="FF93" s="3"/>
      <c r="FJ93" s="3"/>
      <c r="FN93" s="3"/>
      <c r="FS93" s="3">
        <v>45422</v>
      </c>
      <c r="FT93">
        <v>355505</v>
      </c>
      <c r="FU93">
        <v>148202</v>
      </c>
      <c r="FV93">
        <v>-488717</v>
      </c>
      <c r="FW93" s="3">
        <v>45422</v>
      </c>
      <c r="FX93">
        <v>306822</v>
      </c>
      <c r="FY93">
        <v>167880</v>
      </c>
      <c r="FZ93">
        <v>-468783</v>
      </c>
      <c r="GA93" s="3">
        <v>45422</v>
      </c>
      <c r="GB93">
        <v>4769</v>
      </c>
      <c r="GC93">
        <v>-3119</v>
      </c>
      <c r="GD93">
        <v>-2827</v>
      </c>
      <c r="GE93" s="3">
        <v>45422</v>
      </c>
      <c r="GF93">
        <v>-1709</v>
      </c>
      <c r="GG93">
        <v>977</v>
      </c>
      <c r="GH93">
        <v>681</v>
      </c>
      <c r="GI93" s="3">
        <v>45422</v>
      </c>
      <c r="GJ93">
        <v>191</v>
      </c>
      <c r="GK93">
        <v>223</v>
      </c>
      <c r="GL93">
        <v>-411</v>
      </c>
      <c r="GM93" s="3">
        <v>45422</v>
      </c>
      <c r="GN93">
        <v>927</v>
      </c>
      <c r="GO93">
        <v>-208</v>
      </c>
      <c r="GP93">
        <v>-775</v>
      </c>
      <c r="GQ93" s="3">
        <v>45422</v>
      </c>
      <c r="GR93">
        <v>69</v>
      </c>
      <c r="GS93">
        <v>-83</v>
      </c>
      <c r="GT93">
        <v>-117</v>
      </c>
      <c r="GU93" s="3">
        <v>45422</v>
      </c>
      <c r="GV93">
        <v>23</v>
      </c>
      <c r="GW93">
        <v>52</v>
      </c>
      <c r="GX93">
        <v>-702</v>
      </c>
      <c r="GY93" s="3">
        <v>45422</v>
      </c>
      <c r="GZ93">
        <v>145</v>
      </c>
      <c r="HA93">
        <v>-665</v>
      </c>
      <c r="HB93">
        <v>582</v>
      </c>
      <c r="HC93" s="3">
        <v>45422</v>
      </c>
      <c r="HD93">
        <v>-8</v>
      </c>
      <c r="HE93">
        <v>-380</v>
      </c>
      <c r="HF93">
        <v>497</v>
      </c>
      <c r="HG93" s="3">
        <v>45422</v>
      </c>
      <c r="HH93">
        <v>-427</v>
      </c>
      <c r="HI93">
        <v>1337</v>
      </c>
      <c r="HJ93">
        <v>-1132</v>
      </c>
      <c r="HK93" s="3">
        <v>45422</v>
      </c>
      <c r="HL93">
        <v>-388</v>
      </c>
      <c r="HM93">
        <v>406</v>
      </c>
      <c r="HN93">
        <v>-1</v>
      </c>
      <c r="HO93" s="3">
        <v>45422</v>
      </c>
      <c r="HP93">
        <v>97</v>
      </c>
      <c r="HQ93">
        <v>660</v>
      </c>
      <c r="HR93">
        <v>-822</v>
      </c>
      <c r="HS93" s="3">
        <v>45422</v>
      </c>
      <c r="HT93">
        <v>294</v>
      </c>
      <c r="HU93">
        <v>577</v>
      </c>
      <c r="HV93">
        <v>-868</v>
      </c>
      <c r="HW93" s="3">
        <v>45422</v>
      </c>
      <c r="HX93">
        <v>-682</v>
      </c>
      <c r="HY93">
        <v>-456</v>
      </c>
      <c r="HZ93">
        <v>1171</v>
      </c>
      <c r="IA93" s="3">
        <v>45422</v>
      </c>
      <c r="IB93">
        <v>79</v>
      </c>
      <c r="IC93">
        <v>11</v>
      </c>
      <c r="ID93">
        <v>-35</v>
      </c>
      <c r="IE93" s="3">
        <v>45422</v>
      </c>
      <c r="IF93">
        <v>2691</v>
      </c>
      <c r="IG93">
        <v>5151</v>
      </c>
      <c r="IH93">
        <v>-8392</v>
      </c>
      <c r="II93" s="3">
        <v>45422</v>
      </c>
      <c r="IJ93">
        <v>183</v>
      </c>
      <c r="IK93">
        <v>118</v>
      </c>
      <c r="IL93">
        <v>-341</v>
      </c>
      <c r="IM93" s="3">
        <v>45422</v>
      </c>
      <c r="IN93">
        <v>2597</v>
      </c>
      <c r="IO93">
        <v>3946</v>
      </c>
      <c r="IP93">
        <v>-5924</v>
      </c>
      <c r="IQ93" s="3">
        <v>45422</v>
      </c>
      <c r="IR93">
        <v>894</v>
      </c>
      <c r="IS93">
        <v>1486</v>
      </c>
      <c r="IT93">
        <v>-2310</v>
      </c>
      <c r="IU93" s="3">
        <v>45422</v>
      </c>
      <c r="IV93">
        <v>667</v>
      </c>
      <c r="IW93">
        <v>1077</v>
      </c>
      <c r="IX93">
        <v>-1361</v>
      </c>
      <c r="IY93" s="3">
        <v>45422</v>
      </c>
      <c r="IZ93">
        <v>-61</v>
      </c>
      <c r="JA93">
        <v>352</v>
      </c>
      <c r="JB93">
        <v>-196</v>
      </c>
      <c r="JC93" s="3">
        <v>45422</v>
      </c>
      <c r="JD93">
        <v>386</v>
      </c>
      <c r="JE93">
        <v>1454</v>
      </c>
      <c r="JF93">
        <v>-2733</v>
      </c>
      <c r="JG93" s="3">
        <v>45422</v>
      </c>
      <c r="JH93">
        <v>2721</v>
      </c>
      <c r="JI93">
        <v>2584</v>
      </c>
      <c r="JJ93">
        <v>-5677</v>
      </c>
      <c r="JK93" s="3">
        <v>45422</v>
      </c>
      <c r="JL93">
        <v>2585</v>
      </c>
      <c r="JM93">
        <v>7534</v>
      </c>
      <c r="JN93">
        <v>-10493</v>
      </c>
      <c r="JO93" s="3">
        <v>45422</v>
      </c>
      <c r="JP93">
        <v>-259</v>
      </c>
      <c r="JQ93">
        <v>1273</v>
      </c>
      <c r="JR93">
        <v>-870</v>
      </c>
      <c r="JS93" s="3"/>
      <c r="JW93" s="3"/>
      <c r="KA93" s="3"/>
      <c r="KE93" s="3"/>
      <c r="KI93" s="3"/>
      <c r="KM93" s="3"/>
      <c r="KQ93" s="3"/>
      <c r="KU93" s="3"/>
      <c r="KY93" s="3"/>
      <c r="LC93" s="3"/>
      <c r="LG93" s="3"/>
      <c r="LK93" s="3"/>
      <c r="LO93" s="3"/>
    </row>
    <row r="94" spans="3:327" hidden="1">
      <c r="R94" s="3"/>
      <c r="V94" s="3"/>
      <c r="Z94" s="3"/>
      <c r="AD94" s="3"/>
      <c r="AH94" s="3"/>
      <c r="AL94" s="3"/>
      <c r="AP94" s="3"/>
      <c r="AT94" s="3"/>
      <c r="AX94" s="3"/>
      <c r="BB94" s="3"/>
      <c r="BF94" s="3"/>
      <c r="BJ94" s="3"/>
      <c r="BN94" s="3"/>
      <c r="BR94" s="3"/>
      <c r="BV94" s="3"/>
      <c r="BZ94" s="3"/>
      <c r="CD94" s="3"/>
      <c r="CH94" s="3"/>
      <c r="CL94" s="3"/>
      <c r="CP94" s="3"/>
      <c r="CT94" s="3"/>
      <c r="CX94" s="3"/>
      <c r="DB94" s="3"/>
      <c r="DF94" s="3"/>
      <c r="DJ94" s="3"/>
      <c r="DN94" s="3"/>
      <c r="DR94" s="3"/>
      <c r="DV94" s="3"/>
      <c r="DZ94" s="3"/>
      <c r="ED94" s="3"/>
      <c r="EH94" s="3"/>
      <c r="EL94" s="3"/>
      <c r="EP94" s="3"/>
      <c r="ET94" s="3"/>
      <c r="EX94" s="3"/>
      <c r="FB94" s="3"/>
      <c r="FF94" s="3"/>
      <c r="FJ94" s="3"/>
      <c r="FN94" s="3"/>
      <c r="FS94" s="3">
        <v>45421</v>
      </c>
      <c r="FT94">
        <v>-69129</v>
      </c>
      <c r="FU94">
        <v>-354636</v>
      </c>
      <c r="FV94">
        <v>414034</v>
      </c>
      <c r="FW94" s="3">
        <v>45421</v>
      </c>
      <c r="FX94">
        <v>-57578</v>
      </c>
      <c r="FY94">
        <v>-333250</v>
      </c>
      <c r="FZ94">
        <v>371690</v>
      </c>
      <c r="GA94" s="3">
        <v>45421</v>
      </c>
      <c r="GB94">
        <v>5220</v>
      </c>
      <c r="GC94">
        <v>-6236</v>
      </c>
      <c r="GD94">
        <v>5445</v>
      </c>
      <c r="GE94" s="3">
        <v>45421</v>
      </c>
      <c r="GF94">
        <v>-1405</v>
      </c>
      <c r="GG94">
        <v>-366</v>
      </c>
      <c r="GH94">
        <v>1117</v>
      </c>
      <c r="GI94" s="3">
        <v>45421</v>
      </c>
      <c r="GJ94">
        <v>97</v>
      </c>
      <c r="GK94">
        <v>-272</v>
      </c>
      <c r="GL94">
        <v>116</v>
      </c>
      <c r="GM94" s="3">
        <v>45421</v>
      </c>
      <c r="GN94">
        <v>-262</v>
      </c>
      <c r="GO94">
        <v>-878</v>
      </c>
      <c r="GP94">
        <v>1158</v>
      </c>
      <c r="GQ94" s="3">
        <v>45421</v>
      </c>
      <c r="GR94">
        <v>-142</v>
      </c>
      <c r="GS94">
        <v>-235</v>
      </c>
      <c r="GT94">
        <v>330</v>
      </c>
      <c r="GU94" s="3">
        <v>45421</v>
      </c>
      <c r="GV94">
        <v>-104</v>
      </c>
      <c r="GW94">
        <v>-22</v>
      </c>
      <c r="GX94">
        <v>-202</v>
      </c>
      <c r="GY94" s="3">
        <v>45421</v>
      </c>
      <c r="GZ94">
        <v>-124</v>
      </c>
      <c r="HA94">
        <v>-170</v>
      </c>
      <c r="HB94">
        <v>216</v>
      </c>
      <c r="HC94" s="3">
        <v>45421</v>
      </c>
      <c r="HD94">
        <v>922</v>
      </c>
      <c r="HE94">
        <v>-301</v>
      </c>
      <c r="HF94">
        <v>-577</v>
      </c>
      <c r="HG94" s="3">
        <v>45421</v>
      </c>
      <c r="HH94">
        <v>173</v>
      </c>
      <c r="HI94">
        <v>-5485</v>
      </c>
      <c r="HJ94">
        <v>5196</v>
      </c>
      <c r="HK94" s="3">
        <v>45421</v>
      </c>
      <c r="HL94">
        <v>-105</v>
      </c>
      <c r="HM94">
        <v>-135</v>
      </c>
      <c r="HN94">
        <v>238</v>
      </c>
      <c r="HO94" s="3">
        <v>45421</v>
      </c>
      <c r="HP94">
        <v>-657</v>
      </c>
      <c r="HQ94">
        <v>1564</v>
      </c>
      <c r="HR94">
        <v>-1024</v>
      </c>
      <c r="HS94" s="3">
        <v>45421</v>
      </c>
      <c r="HT94">
        <v>-224</v>
      </c>
      <c r="HU94">
        <v>-542</v>
      </c>
      <c r="HV94">
        <v>697</v>
      </c>
      <c r="HW94" s="3">
        <v>45421</v>
      </c>
      <c r="HX94">
        <v>252</v>
      </c>
      <c r="HY94">
        <v>84</v>
      </c>
      <c r="HZ94">
        <v>-337</v>
      </c>
      <c r="IA94" s="3">
        <v>45421</v>
      </c>
      <c r="IB94">
        <v>-110</v>
      </c>
      <c r="IC94">
        <v>1463</v>
      </c>
      <c r="ID94">
        <v>-1463</v>
      </c>
      <c r="IE94" s="3">
        <v>45421</v>
      </c>
      <c r="IF94">
        <v>824</v>
      </c>
      <c r="IG94">
        <v>2801</v>
      </c>
      <c r="IH94">
        <v>-3650</v>
      </c>
      <c r="II94" s="3">
        <v>45421</v>
      </c>
      <c r="IJ94">
        <v>191</v>
      </c>
      <c r="IK94">
        <v>-1</v>
      </c>
      <c r="IL94">
        <v>-158</v>
      </c>
      <c r="IM94" s="3">
        <v>45421</v>
      </c>
      <c r="IN94">
        <v>88</v>
      </c>
      <c r="IO94">
        <v>-2782</v>
      </c>
      <c r="IP94">
        <v>2566</v>
      </c>
      <c r="IQ94" s="3">
        <v>45421</v>
      </c>
      <c r="IR94">
        <v>10</v>
      </c>
      <c r="IS94">
        <v>-460</v>
      </c>
      <c r="IT94">
        <v>402</v>
      </c>
      <c r="IU94" s="3">
        <v>45421</v>
      </c>
      <c r="IV94">
        <v>-69</v>
      </c>
      <c r="IW94">
        <v>259</v>
      </c>
      <c r="IX94">
        <v>-172</v>
      </c>
      <c r="IY94" s="3">
        <v>45421</v>
      </c>
      <c r="IZ94">
        <v>-759</v>
      </c>
      <c r="JA94">
        <v>-336</v>
      </c>
      <c r="JB94">
        <v>1135</v>
      </c>
      <c r="JC94" s="3">
        <v>45421</v>
      </c>
      <c r="JD94">
        <v>-249</v>
      </c>
      <c r="JE94">
        <v>-6012</v>
      </c>
      <c r="JF94">
        <v>5756</v>
      </c>
      <c r="JG94" s="3">
        <v>45421</v>
      </c>
      <c r="JH94">
        <v>734</v>
      </c>
      <c r="JI94">
        <v>-2590</v>
      </c>
      <c r="JJ94">
        <v>1079</v>
      </c>
      <c r="JK94" s="3">
        <v>45421</v>
      </c>
      <c r="JL94">
        <v>-254</v>
      </c>
      <c r="JM94">
        <v>2596</v>
      </c>
      <c r="JN94">
        <v>-2456</v>
      </c>
      <c r="JO94" s="3">
        <v>45421</v>
      </c>
      <c r="JP94">
        <v>-344</v>
      </c>
      <c r="JQ94">
        <v>-4961</v>
      </c>
      <c r="JR94">
        <v>5479</v>
      </c>
      <c r="JS94" s="3"/>
      <c r="JW94" s="3"/>
      <c r="KA94" s="3"/>
      <c r="KE94" s="3"/>
      <c r="KI94" s="3"/>
      <c r="KM94" s="3"/>
      <c r="KQ94" s="3"/>
      <c r="KU94" s="3"/>
      <c r="KY94" s="3"/>
      <c r="LC94" s="3"/>
      <c r="LG94" s="3"/>
      <c r="LK94" s="3"/>
      <c r="LO94" s="3"/>
    </row>
    <row r="95" spans="3:327" hidden="1">
      <c r="R95" s="3"/>
      <c r="V95" s="3"/>
      <c r="Z95" s="3"/>
      <c r="AD95" s="3"/>
      <c r="AH95" s="3"/>
      <c r="AL95" s="3"/>
      <c r="AP95" s="3"/>
      <c r="AT95" s="3"/>
      <c r="AX95" s="3"/>
      <c r="BB95" s="3"/>
      <c r="BF95" s="3"/>
      <c r="BJ95" s="3"/>
      <c r="BN95" s="3"/>
      <c r="BR95" s="3"/>
      <c r="BV95" s="3"/>
      <c r="BZ95" s="3"/>
      <c r="CD95" s="3"/>
      <c r="CH95" s="3"/>
      <c r="CL95" s="3"/>
      <c r="CP95" s="3"/>
      <c r="CT95" s="3"/>
      <c r="CX95" s="3"/>
      <c r="DB95" s="3"/>
      <c r="DF95" s="3"/>
      <c r="DJ95" s="3"/>
      <c r="DN95" s="3"/>
      <c r="DR95" s="3"/>
      <c r="DV95" s="3"/>
      <c r="DZ95" s="3"/>
      <c r="ED95" s="3"/>
      <c r="EH95" s="3"/>
      <c r="EL95" s="3"/>
      <c r="EP95" s="3"/>
      <c r="ET95" s="3"/>
      <c r="EX95" s="3"/>
      <c r="FB95" s="3"/>
      <c r="FF95" s="3"/>
      <c r="FJ95" s="3"/>
      <c r="FN95" s="3"/>
      <c r="FS95" s="3">
        <v>45420</v>
      </c>
      <c r="FT95">
        <v>41134</v>
      </c>
      <c r="FU95">
        <v>399580</v>
      </c>
      <c r="FV95">
        <v>-404374</v>
      </c>
      <c r="FW95" s="3">
        <v>45420</v>
      </c>
      <c r="FX95">
        <v>-93335</v>
      </c>
      <c r="FY95">
        <v>413664</v>
      </c>
      <c r="FZ95">
        <v>-298568</v>
      </c>
      <c r="GA95" s="3">
        <v>45420</v>
      </c>
      <c r="GB95">
        <v>-6074</v>
      </c>
      <c r="GC95">
        <v>2844</v>
      </c>
      <c r="GD95">
        <v>4983</v>
      </c>
      <c r="GE95" s="3">
        <v>45420</v>
      </c>
      <c r="GF95">
        <v>-34</v>
      </c>
      <c r="GG95">
        <v>212</v>
      </c>
      <c r="GH95">
        <v>-244</v>
      </c>
      <c r="GI95" s="3">
        <v>45420</v>
      </c>
      <c r="GJ95">
        <v>26</v>
      </c>
      <c r="GK95">
        <v>190</v>
      </c>
      <c r="GL95">
        <v>-215</v>
      </c>
      <c r="GM95" s="3">
        <v>45420</v>
      </c>
      <c r="GN95">
        <v>1136</v>
      </c>
      <c r="GO95">
        <v>-118</v>
      </c>
      <c r="GP95">
        <v>-1072</v>
      </c>
      <c r="GQ95" s="3">
        <v>45420</v>
      </c>
      <c r="GR95">
        <v>-2</v>
      </c>
      <c r="GS95">
        <v>197</v>
      </c>
      <c r="GT95">
        <v>-205</v>
      </c>
      <c r="GU95" s="3">
        <v>45420</v>
      </c>
      <c r="GV95">
        <v>-104</v>
      </c>
      <c r="GW95">
        <v>35</v>
      </c>
      <c r="GX95">
        <v>-259</v>
      </c>
      <c r="GY95" s="3">
        <v>45420</v>
      </c>
      <c r="GZ95">
        <v>-165</v>
      </c>
      <c r="HA95">
        <v>226</v>
      </c>
      <c r="HB95">
        <v>25</v>
      </c>
      <c r="HC95" s="3">
        <v>45420</v>
      </c>
      <c r="HD95">
        <v>1392</v>
      </c>
      <c r="HE95">
        <v>-579</v>
      </c>
      <c r="HF95">
        <v>-676</v>
      </c>
      <c r="HG95" s="3">
        <v>45420</v>
      </c>
      <c r="HH95">
        <v>-98</v>
      </c>
      <c r="HI95">
        <v>1088</v>
      </c>
      <c r="HJ95">
        <v>200</v>
      </c>
      <c r="HK95" s="3">
        <v>45420</v>
      </c>
      <c r="HL95">
        <v>-66</v>
      </c>
      <c r="HM95">
        <v>79</v>
      </c>
      <c r="HN95">
        <v>3</v>
      </c>
      <c r="HO95" s="3">
        <v>45420</v>
      </c>
      <c r="HP95">
        <v>-101</v>
      </c>
      <c r="HQ95">
        <v>1745</v>
      </c>
      <c r="HR95">
        <v>-1567</v>
      </c>
      <c r="HS95" s="3">
        <v>45420</v>
      </c>
      <c r="HT95">
        <v>-136</v>
      </c>
      <c r="HU95">
        <v>871</v>
      </c>
      <c r="HV95">
        <v>-763</v>
      </c>
      <c r="HW95" s="3">
        <v>45420</v>
      </c>
      <c r="HX95">
        <v>2</v>
      </c>
      <c r="HY95">
        <v>-345</v>
      </c>
      <c r="HZ95">
        <v>367</v>
      </c>
      <c r="IA95" s="3">
        <v>45420</v>
      </c>
      <c r="IB95">
        <v>134</v>
      </c>
      <c r="IC95">
        <v>118</v>
      </c>
      <c r="ID95">
        <v>-222</v>
      </c>
      <c r="IE95" s="3">
        <v>45420</v>
      </c>
      <c r="IF95">
        <v>874</v>
      </c>
      <c r="IG95">
        <v>3896</v>
      </c>
      <c r="IH95">
        <v>-4828</v>
      </c>
      <c r="II95" s="3">
        <v>45420</v>
      </c>
      <c r="IJ95">
        <v>85</v>
      </c>
      <c r="IK95">
        <v>633</v>
      </c>
      <c r="IL95">
        <v>-618</v>
      </c>
      <c r="IM95" s="3">
        <v>45420</v>
      </c>
      <c r="IN95">
        <v>-235</v>
      </c>
      <c r="IO95">
        <v>4431</v>
      </c>
      <c r="IP95">
        <v>-3617</v>
      </c>
      <c r="IQ95" s="3">
        <v>45420</v>
      </c>
      <c r="IR95">
        <v>29</v>
      </c>
      <c r="IS95">
        <v>569</v>
      </c>
      <c r="IT95">
        <v>-625</v>
      </c>
      <c r="IU95" s="3">
        <v>45420</v>
      </c>
      <c r="IV95">
        <v>-179</v>
      </c>
      <c r="IW95">
        <v>785</v>
      </c>
      <c r="IX95">
        <v>-464</v>
      </c>
      <c r="IY95" s="3">
        <v>45420</v>
      </c>
      <c r="IZ95">
        <v>312</v>
      </c>
      <c r="JA95">
        <v>873</v>
      </c>
      <c r="JB95">
        <v>-1060</v>
      </c>
      <c r="JC95" s="3">
        <v>45420</v>
      </c>
      <c r="JD95">
        <v>1742</v>
      </c>
      <c r="JE95">
        <v>3581</v>
      </c>
      <c r="JF95">
        <v>-4102</v>
      </c>
      <c r="JG95" s="3">
        <v>45420</v>
      </c>
      <c r="JH95">
        <v>283</v>
      </c>
      <c r="JI95">
        <v>5791</v>
      </c>
      <c r="JJ95">
        <v>-6153</v>
      </c>
      <c r="JK95" s="3">
        <v>45420</v>
      </c>
      <c r="JL95">
        <v>313</v>
      </c>
      <c r="JM95">
        <v>7867</v>
      </c>
      <c r="JN95">
        <v>-7581</v>
      </c>
      <c r="JO95" s="3">
        <v>45420</v>
      </c>
      <c r="JP95">
        <v>1083</v>
      </c>
      <c r="JQ95">
        <v>944</v>
      </c>
      <c r="JR95">
        <v>-550</v>
      </c>
      <c r="JS95" s="3"/>
      <c r="JW95" s="3"/>
      <c r="KA95" s="3"/>
      <c r="KE95" s="3"/>
      <c r="KI95" s="3"/>
      <c r="KM95" s="3"/>
      <c r="KQ95" s="3"/>
      <c r="KU95" s="3"/>
      <c r="KY95" s="3"/>
      <c r="LC95" s="3"/>
      <c r="LG95" s="3"/>
      <c r="LK95" s="3"/>
      <c r="LO95" s="3"/>
    </row>
    <row r="96" spans="3:327" hidden="1">
      <c r="R96" s="3"/>
      <c r="V96" s="3"/>
      <c r="Z96" s="3"/>
      <c r="AD96" s="3"/>
      <c r="AH96" s="3"/>
      <c r="AL96" s="3"/>
      <c r="AP96" s="3"/>
      <c r="AT96" s="3"/>
      <c r="AX96" s="3"/>
      <c r="BB96" s="3"/>
      <c r="BF96" s="3"/>
      <c r="BJ96" s="3"/>
      <c r="BN96" s="3"/>
      <c r="BR96" s="3"/>
      <c r="BV96" s="3"/>
      <c r="BZ96" s="3"/>
      <c r="CD96" s="3"/>
      <c r="CH96" s="3"/>
      <c r="CL96" s="3"/>
      <c r="CP96" s="3"/>
      <c r="CT96" s="3"/>
      <c r="CX96" s="3"/>
      <c r="DB96" s="3"/>
      <c r="DF96" s="3"/>
      <c r="DJ96" s="3"/>
      <c r="DN96" s="3"/>
      <c r="DR96" s="3"/>
      <c r="DV96" s="3"/>
      <c r="DZ96" s="3"/>
      <c r="ED96" s="3"/>
      <c r="EH96" s="3"/>
      <c r="EL96" s="3"/>
      <c r="EP96" s="3"/>
      <c r="ET96" s="3"/>
      <c r="EX96" s="3"/>
      <c r="FB96" s="3"/>
      <c r="FF96" s="3"/>
      <c r="FJ96" s="3"/>
      <c r="FN96" s="3"/>
      <c r="FS96" s="3">
        <v>45419</v>
      </c>
      <c r="FT96">
        <v>774766</v>
      </c>
      <c r="FU96">
        <v>1107283</v>
      </c>
      <c r="FV96">
        <v>-1840381</v>
      </c>
      <c r="FW96" s="3">
        <v>45419</v>
      </c>
      <c r="FX96">
        <v>782153</v>
      </c>
      <c r="FY96">
        <v>951225</v>
      </c>
      <c r="FZ96">
        <v>-1695720</v>
      </c>
      <c r="GA96" s="3">
        <v>45419</v>
      </c>
      <c r="GB96">
        <v>9559</v>
      </c>
      <c r="GC96">
        <v>-13418</v>
      </c>
      <c r="GD96">
        <v>4308</v>
      </c>
      <c r="GE96" s="3">
        <v>45419</v>
      </c>
      <c r="GF96">
        <v>796</v>
      </c>
      <c r="GG96">
        <v>-1420</v>
      </c>
      <c r="GH96">
        <v>552</v>
      </c>
      <c r="GI96" s="3">
        <v>45419</v>
      </c>
      <c r="GJ96">
        <v>31</v>
      </c>
      <c r="GK96">
        <v>264</v>
      </c>
      <c r="GL96">
        <v>-373</v>
      </c>
      <c r="GM96" s="3">
        <v>45419</v>
      </c>
      <c r="GN96">
        <v>728</v>
      </c>
      <c r="GO96">
        <v>-1279</v>
      </c>
      <c r="GP96">
        <v>364</v>
      </c>
      <c r="GQ96" s="3">
        <v>45419</v>
      </c>
      <c r="GR96">
        <v>-128</v>
      </c>
      <c r="GS96">
        <v>-25</v>
      </c>
      <c r="GT96">
        <v>51</v>
      </c>
      <c r="GU96" s="3">
        <v>45419</v>
      </c>
      <c r="GV96">
        <v>75</v>
      </c>
      <c r="GW96">
        <v>-315</v>
      </c>
      <c r="GX96">
        <v>143</v>
      </c>
      <c r="GY96" s="3">
        <v>45419</v>
      </c>
      <c r="GZ96">
        <v>76</v>
      </c>
      <c r="HA96">
        <v>313</v>
      </c>
      <c r="HB96">
        <v>-352</v>
      </c>
      <c r="HC96" s="3">
        <v>45419</v>
      </c>
      <c r="HD96">
        <v>255</v>
      </c>
      <c r="HE96">
        <v>-3749</v>
      </c>
      <c r="HF96">
        <v>3440</v>
      </c>
      <c r="HG96" s="3">
        <v>45419</v>
      </c>
      <c r="HH96">
        <v>4018</v>
      </c>
      <c r="HI96">
        <v>16019</v>
      </c>
      <c r="HJ96">
        <v>-19695</v>
      </c>
      <c r="HK96" s="3">
        <v>45419</v>
      </c>
      <c r="HL96">
        <v>97</v>
      </c>
      <c r="HM96">
        <v>90</v>
      </c>
      <c r="HN96">
        <v>-160</v>
      </c>
      <c r="HO96" s="3">
        <v>45419</v>
      </c>
      <c r="HP96">
        <v>1238</v>
      </c>
      <c r="HQ96">
        <v>2245</v>
      </c>
      <c r="HR96">
        <v>-3416</v>
      </c>
      <c r="HS96" s="3">
        <v>45419</v>
      </c>
      <c r="HT96">
        <v>266</v>
      </c>
      <c r="HU96">
        <v>446</v>
      </c>
      <c r="HV96">
        <v>-754</v>
      </c>
      <c r="HW96" s="3">
        <v>45419</v>
      </c>
      <c r="HX96">
        <v>429</v>
      </c>
      <c r="HY96">
        <v>183</v>
      </c>
      <c r="HZ96">
        <v>-597</v>
      </c>
      <c r="IA96" s="3">
        <v>45419</v>
      </c>
      <c r="IB96">
        <v>281</v>
      </c>
      <c r="IC96">
        <v>445</v>
      </c>
      <c r="ID96">
        <v>-681</v>
      </c>
      <c r="IE96" s="3">
        <v>45419</v>
      </c>
      <c r="IF96">
        <v>700</v>
      </c>
      <c r="IG96">
        <v>1420</v>
      </c>
      <c r="IH96">
        <v>-2064</v>
      </c>
      <c r="II96" s="3">
        <v>45419</v>
      </c>
      <c r="IJ96">
        <v>518</v>
      </c>
      <c r="IK96">
        <v>-217</v>
      </c>
      <c r="IL96">
        <v>-192</v>
      </c>
      <c r="IM96" s="3">
        <v>45419</v>
      </c>
      <c r="IN96">
        <v>984</v>
      </c>
      <c r="IO96">
        <v>532</v>
      </c>
      <c r="IP96">
        <v>-1637</v>
      </c>
      <c r="IQ96" s="3">
        <v>45419</v>
      </c>
      <c r="IR96">
        <v>-83</v>
      </c>
      <c r="IS96">
        <v>-541</v>
      </c>
      <c r="IT96">
        <v>398</v>
      </c>
      <c r="IU96" s="3">
        <v>45419</v>
      </c>
      <c r="IV96">
        <v>395</v>
      </c>
      <c r="IW96">
        <v>864</v>
      </c>
      <c r="IX96">
        <v>-1273</v>
      </c>
      <c r="IY96" s="3">
        <v>45419</v>
      </c>
      <c r="IZ96">
        <v>797</v>
      </c>
      <c r="JA96">
        <v>-465</v>
      </c>
      <c r="JB96">
        <v>-319</v>
      </c>
      <c r="JC96" s="3">
        <v>45419</v>
      </c>
      <c r="JD96">
        <v>6188</v>
      </c>
      <c r="JE96">
        <v>13323</v>
      </c>
      <c r="JF96">
        <v>-19577</v>
      </c>
      <c r="JG96" s="3">
        <v>45419</v>
      </c>
      <c r="JH96">
        <v>8872</v>
      </c>
      <c r="JI96">
        <v>5821</v>
      </c>
      <c r="JJ96">
        <v>-14434</v>
      </c>
      <c r="JK96" s="3">
        <v>45419</v>
      </c>
      <c r="JL96">
        <v>2586</v>
      </c>
      <c r="JM96">
        <v>3995</v>
      </c>
      <c r="JN96">
        <v>-6541</v>
      </c>
      <c r="JO96" s="3">
        <v>45419</v>
      </c>
      <c r="JP96">
        <v>-811</v>
      </c>
      <c r="JQ96">
        <v>5224</v>
      </c>
      <c r="JR96">
        <v>-4479</v>
      </c>
      <c r="JS96" s="3"/>
      <c r="JW96" s="3"/>
      <c r="KA96" s="3"/>
      <c r="KE96" s="3"/>
      <c r="KI96" s="3"/>
      <c r="KM96" s="3"/>
      <c r="KQ96" s="3"/>
      <c r="KU96" s="3"/>
      <c r="KY96" s="3"/>
      <c r="LC96" s="3"/>
      <c r="LG96" s="3"/>
      <c r="LK96" s="3"/>
      <c r="LO96" s="3"/>
    </row>
    <row r="97" spans="18:327" hidden="1">
      <c r="R97" s="3"/>
      <c r="V97" s="3"/>
      <c r="Z97" s="3"/>
      <c r="AD97" s="3"/>
      <c r="AH97" s="3"/>
      <c r="AL97" s="3"/>
      <c r="AP97" s="3"/>
      <c r="AT97" s="3"/>
      <c r="AX97" s="3"/>
      <c r="BB97" s="3"/>
      <c r="BF97" s="3"/>
      <c r="BJ97" s="3"/>
      <c r="BN97" s="3"/>
      <c r="BR97" s="3"/>
      <c r="BV97" s="3"/>
      <c r="BZ97" s="3"/>
      <c r="CD97" s="3"/>
      <c r="CH97" s="3"/>
      <c r="CL97" s="3"/>
      <c r="CP97" s="3"/>
      <c r="CT97" s="3"/>
      <c r="CX97" s="3"/>
      <c r="DB97" s="3"/>
      <c r="DF97" s="3"/>
      <c r="DJ97" s="3"/>
      <c r="DN97" s="3"/>
      <c r="DR97" s="3"/>
      <c r="DV97" s="3"/>
      <c r="DZ97" s="3"/>
      <c r="ED97" s="3"/>
      <c r="EH97" s="3"/>
      <c r="EL97" s="3"/>
      <c r="EP97" s="3"/>
      <c r="ET97" s="3"/>
      <c r="EX97" s="3"/>
      <c r="FB97" s="3"/>
      <c r="FF97" s="3"/>
      <c r="FJ97" s="3"/>
      <c r="FN97" s="3"/>
      <c r="FS97" s="3">
        <v>45415</v>
      </c>
      <c r="FT97">
        <v>-6485</v>
      </c>
      <c r="FU97">
        <v>89817</v>
      </c>
      <c r="FV97">
        <v>-118157</v>
      </c>
      <c r="FW97" s="3">
        <v>45415</v>
      </c>
      <c r="FX97">
        <v>-9519</v>
      </c>
      <c r="FY97">
        <v>107239</v>
      </c>
      <c r="FZ97">
        <v>-135838</v>
      </c>
      <c r="GA97" s="3">
        <v>45415</v>
      </c>
      <c r="GB97">
        <v>6184</v>
      </c>
      <c r="GC97">
        <v>-4703</v>
      </c>
      <c r="GD97">
        <v>-1642</v>
      </c>
      <c r="GE97" s="3">
        <v>45415</v>
      </c>
      <c r="GF97">
        <v>5757</v>
      </c>
      <c r="GG97">
        <v>-992</v>
      </c>
      <c r="GH97">
        <v>-4088</v>
      </c>
      <c r="GI97" s="3">
        <v>45415</v>
      </c>
      <c r="GJ97">
        <v>237</v>
      </c>
      <c r="GK97">
        <v>251</v>
      </c>
      <c r="GL97">
        <v>-484</v>
      </c>
      <c r="GM97" s="3">
        <v>45415</v>
      </c>
      <c r="GN97">
        <v>-309</v>
      </c>
      <c r="GO97">
        <v>296</v>
      </c>
      <c r="GP97">
        <v>-10</v>
      </c>
      <c r="GQ97" s="3">
        <v>45415</v>
      </c>
      <c r="GR97">
        <v>-6</v>
      </c>
      <c r="GS97">
        <v>-37</v>
      </c>
      <c r="GT97">
        <v>-24</v>
      </c>
      <c r="GU97" s="3">
        <v>45415</v>
      </c>
      <c r="GV97">
        <v>-79</v>
      </c>
      <c r="GW97">
        <v>68</v>
      </c>
      <c r="GX97">
        <v>-115</v>
      </c>
      <c r="GY97" s="3">
        <v>45415</v>
      </c>
      <c r="GZ97">
        <v>-3</v>
      </c>
      <c r="HA97">
        <v>642</v>
      </c>
      <c r="HB97">
        <v>-680</v>
      </c>
      <c r="HC97" s="3">
        <v>45415</v>
      </c>
      <c r="HD97">
        <v>202</v>
      </c>
      <c r="HE97">
        <v>1180</v>
      </c>
      <c r="HF97">
        <v>1600</v>
      </c>
      <c r="HG97" s="3">
        <v>45415</v>
      </c>
      <c r="HH97">
        <v>297</v>
      </c>
      <c r="HI97">
        <v>-932</v>
      </c>
      <c r="HJ97">
        <v>419</v>
      </c>
      <c r="HK97" s="3">
        <v>45415</v>
      </c>
      <c r="HL97">
        <v>122</v>
      </c>
      <c r="HM97">
        <v>-116</v>
      </c>
      <c r="HN97">
        <v>6</v>
      </c>
      <c r="HO97" s="3">
        <v>45415</v>
      </c>
      <c r="HP97">
        <v>-1780</v>
      </c>
      <c r="HQ97">
        <v>88</v>
      </c>
      <c r="HR97">
        <v>1743</v>
      </c>
      <c r="HS97" s="3">
        <v>45415</v>
      </c>
      <c r="HT97">
        <v>-229</v>
      </c>
      <c r="HU97">
        <v>44</v>
      </c>
      <c r="HV97">
        <v>153</v>
      </c>
      <c r="HW97" s="3">
        <v>45415</v>
      </c>
      <c r="HX97">
        <v>35</v>
      </c>
      <c r="HY97">
        <v>-51</v>
      </c>
      <c r="HZ97">
        <v>20</v>
      </c>
      <c r="IA97" s="3">
        <v>45415</v>
      </c>
      <c r="IB97">
        <v>-65</v>
      </c>
      <c r="IC97">
        <v>113</v>
      </c>
      <c r="ID97">
        <v>59</v>
      </c>
      <c r="IE97" s="3">
        <v>45415</v>
      </c>
      <c r="IF97">
        <v>292</v>
      </c>
      <c r="IG97">
        <v>-936</v>
      </c>
      <c r="IH97">
        <v>441</v>
      </c>
      <c r="II97" s="3">
        <v>45415</v>
      </c>
      <c r="IJ97">
        <v>-46</v>
      </c>
      <c r="IK97">
        <v>-107</v>
      </c>
      <c r="IL97">
        <v>155</v>
      </c>
      <c r="IM97" s="3">
        <v>45415</v>
      </c>
      <c r="IN97">
        <v>-1067</v>
      </c>
      <c r="IO97">
        <v>1403</v>
      </c>
      <c r="IP97">
        <v>-244</v>
      </c>
      <c r="IQ97" s="3">
        <v>45415</v>
      </c>
      <c r="IR97">
        <v>-137</v>
      </c>
      <c r="IS97">
        <v>331</v>
      </c>
      <c r="IT97">
        <v>-206</v>
      </c>
      <c r="IU97" s="3">
        <v>45415</v>
      </c>
      <c r="IV97">
        <v>-394</v>
      </c>
      <c r="IW97">
        <v>68</v>
      </c>
      <c r="IX97">
        <v>357</v>
      </c>
      <c r="IY97" s="3">
        <v>45415</v>
      </c>
      <c r="IZ97">
        <v>413</v>
      </c>
      <c r="JA97">
        <v>1010</v>
      </c>
      <c r="JB97">
        <v>-1452</v>
      </c>
      <c r="JC97" s="3">
        <v>45415</v>
      </c>
      <c r="JD97">
        <v>-1788</v>
      </c>
      <c r="JE97">
        <v>1679</v>
      </c>
      <c r="JF97">
        <v>2651</v>
      </c>
      <c r="JG97" s="3">
        <v>45415</v>
      </c>
      <c r="JH97">
        <v>-993</v>
      </c>
      <c r="JI97">
        <v>668</v>
      </c>
      <c r="JJ97">
        <v>135</v>
      </c>
      <c r="JK97" s="3">
        <v>45415</v>
      </c>
      <c r="JL97">
        <v>-534</v>
      </c>
      <c r="JM97">
        <v>1016</v>
      </c>
      <c r="JN97">
        <v>-515</v>
      </c>
      <c r="JO97" s="3">
        <v>45415</v>
      </c>
      <c r="JP97">
        <v>-955</v>
      </c>
      <c r="JQ97">
        <v>1621</v>
      </c>
      <c r="JR97">
        <v>2016</v>
      </c>
      <c r="JS97" s="3"/>
      <c r="JW97" s="3"/>
      <c r="KA97" s="3"/>
      <c r="KE97" s="3"/>
      <c r="KI97" s="3"/>
      <c r="KM97" s="3"/>
      <c r="KQ97" s="3"/>
      <c r="KU97" s="3"/>
      <c r="KY97" s="3"/>
      <c r="LC97" s="3"/>
      <c r="LG97" s="3"/>
      <c r="LK97" s="3"/>
      <c r="LO97" s="3"/>
    </row>
    <row r="98" spans="18:327" hidden="1">
      <c r="R98" s="3"/>
      <c r="V98" s="3"/>
      <c r="Z98" s="3"/>
      <c r="AD98" s="3"/>
      <c r="AH98" s="3"/>
      <c r="AL98" s="3"/>
      <c r="AP98" s="3"/>
      <c r="AT98" s="3"/>
      <c r="AX98" s="3"/>
      <c r="BB98" s="3"/>
      <c r="BF98" s="3"/>
      <c r="BJ98" s="3"/>
      <c r="BN98" s="3"/>
      <c r="BR98" s="3"/>
      <c r="BV98" s="3"/>
      <c r="BZ98" s="3"/>
      <c r="CD98" s="3"/>
      <c r="CH98" s="3"/>
      <c r="CL98" s="3"/>
      <c r="CP98" s="3"/>
      <c r="CT98" s="3"/>
      <c r="CX98" s="3"/>
      <c r="DB98" s="3"/>
      <c r="DF98" s="3"/>
      <c r="DJ98" s="3"/>
      <c r="DN98" s="3"/>
      <c r="DR98" s="3"/>
      <c r="DV98" s="3"/>
      <c r="DZ98" s="3"/>
      <c r="ED98" s="3"/>
      <c r="EH98" s="3"/>
      <c r="EL98" s="3"/>
      <c r="EP98" s="3"/>
      <c r="ET98" s="3"/>
      <c r="EX98" s="3"/>
      <c r="FB98" s="3"/>
      <c r="FF98" s="3"/>
      <c r="FJ98" s="3"/>
      <c r="FN98" s="3"/>
      <c r="FS98" s="3">
        <v>45414</v>
      </c>
      <c r="FT98">
        <v>-141785</v>
      </c>
      <c r="FU98">
        <v>6349</v>
      </c>
      <c r="FV98">
        <v>145397</v>
      </c>
      <c r="FW98" s="3">
        <v>45414</v>
      </c>
      <c r="FX98">
        <v>-144103</v>
      </c>
      <c r="FY98">
        <v>33992</v>
      </c>
      <c r="FZ98">
        <v>81659</v>
      </c>
      <c r="GA98" s="3">
        <v>45414</v>
      </c>
      <c r="GB98">
        <v>5507</v>
      </c>
      <c r="GC98">
        <v>5879</v>
      </c>
      <c r="GD98">
        <v>-10526</v>
      </c>
      <c r="GE98" s="3">
        <v>45414</v>
      </c>
      <c r="GF98">
        <v>4183</v>
      </c>
      <c r="GG98">
        <v>979</v>
      </c>
      <c r="GH98">
        <v>-5274</v>
      </c>
      <c r="GI98" s="3">
        <v>45414</v>
      </c>
      <c r="GJ98">
        <v>314</v>
      </c>
      <c r="GK98">
        <v>520</v>
      </c>
      <c r="GL98">
        <v>-798</v>
      </c>
      <c r="GM98" s="3">
        <v>45414</v>
      </c>
      <c r="GN98">
        <v>170</v>
      </c>
      <c r="GO98">
        <v>421</v>
      </c>
      <c r="GP98">
        <v>-432</v>
      </c>
      <c r="GQ98" s="3">
        <v>45414</v>
      </c>
      <c r="GR98">
        <v>-13</v>
      </c>
      <c r="GS98">
        <v>-182</v>
      </c>
      <c r="GT98">
        <v>190</v>
      </c>
      <c r="GU98" s="3">
        <v>45414</v>
      </c>
      <c r="GV98">
        <v>-2</v>
      </c>
      <c r="GW98">
        <v>-135</v>
      </c>
      <c r="GX98">
        <v>-83</v>
      </c>
      <c r="GY98" s="3">
        <v>45414</v>
      </c>
      <c r="GZ98">
        <v>-386</v>
      </c>
      <c r="HA98">
        <v>-1899</v>
      </c>
      <c r="HB98">
        <v>2221</v>
      </c>
      <c r="HC98" s="3">
        <v>45414</v>
      </c>
      <c r="HD98">
        <v>-375</v>
      </c>
      <c r="HE98">
        <v>-1986</v>
      </c>
      <c r="HF98">
        <v>3585</v>
      </c>
      <c r="HG98" s="3">
        <v>45414</v>
      </c>
      <c r="HH98">
        <v>-657</v>
      </c>
      <c r="HI98">
        <v>-79</v>
      </c>
      <c r="HJ98">
        <v>560</v>
      </c>
      <c r="HK98" s="3">
        <v>45414</v>
      </c>
      <c r="HL98">
        <v>-124</v>
      </c>
      <c r="HM98">
        <v>-80</v>
      </c>
      <c r="HN98">
        <v>240</v>
      </c>
      <c r="HO98" s="3">
        <v>45414</v>
      </c>
      <c r="HP98">
        <v>-1096</v>
      </c>
      <c r="HQ98">
        <v>1134</v>
      </c>
      <c r="HR98">
        <v>119</v>
      </c>
      <c r="HS98" s="3">
        <v>45414</v>
      </c>
      <c r="HT98">
        <v>-585</v>
      </c>
      <c r="HU98">
        <v>282</v>
      </c>
      <c r="HV98">
        <v>390</v>
      </c>
      <c r="HW98" s="3">
        <v>45414</v>
      </c>
      <c r="HX98">
        <v>109</v>
      </c>
      <c r="HY98">
        <v>45</v>
      </c>
      <c r="HZ98">
        <v>-143</v>
      </c>
      <c r="IA98" s="3">
        <v>45414</v>
      </c>
      <c r="IB98">
        <v>-87</v>
      </c>
      <c r="IC98">
        <v>-604</v>
      </c>
      <c r="ID98">
        <v>741</v>
      </c>
      <c r="IE98" s="3">
        <v>45414</v>
      </c>
      <c r="IF98">
        <v>515</v>
      </c>
      <c r="IG98">
        <v>1194</v>
      </c>
      <c r="IH98">
        <v>-1770</v>
      </c>
      <c r="II98" s="3">
        <v>45414</v>
      </c>
      <c r="IJ98">
        <v>-54</v>
      </c>
      <c r="IK98">
        <v>-269</v>
      </c>
      <c r="IL98">
        <v>318</v>
      </c>
      <c r="IM98" s="3">
        <v>45414</v>
      </c>
      <c r="IN98">
        <v>-2856</v>
      </c>
      <c r="IO98">
        <v>-181</v>
      </c>
      <c r="IP98">
        <v>2823</v>
      </c>
      <c r="IQ98" s="3">
        <v>45414</v>
      </c>
      <c r="IR98">
        <v>-490</v>
      </c>
      <c r="IS98">
        <v>-256</v>
      </c>
      <c r="IT98">
        <v>692</v>
      </c>
      <c r="IU98" s="3">
        <v>45414</v>
      </c>
      <c r="IV98">
        <v>-508</v>
      </c>
      <c r="IW98">
        <v>172</v>
      </c>
      <c r="IX98">
        <v>272</v>
      </c>
      <c r="IY98" s="3">
        <v>45414</v>
      </c>
      <c r="IZ98">
        <v>-269</v>
      </c>
      <c r="JA98">
        <v>-529</v>
      </c>
      <c r="JB98">
        <v>820</v>
      </c>
      <c r="JC98" s="3">
        <v>45414</v>
      </c>
      <c r="JD98">
        <v>-2614</v>
      </c>
      <c r="JE98">
        <v>-2302</v>
      </c>
      <c r="JF98">
        <v>5585</v>
      </c>
      <c r="JG98" s="3">
        <v>45414</v>
      </c>
      <c r="JH98">
        <v>-3944</v>
      </c>
      <c r="JI98">
        <v>-533</v>
      </c>
      <c r="JJ98">
        <v>4091</v>
      </c>
      <c r="JK98" s="3">
        <v>45414</v>
      </c>
      <c r="JL98">
        <v>-205</v>
      </c>
      <c r="JM98">
        <v>1559</v>
      </c>
      <c r="JN98">
        <v>-1279</v>
      </c>
      <c r="JO98" s="3">
        <v>45414</v>
      </c>
      <c r="JP98">
        <v>-1712</v>
      </c>
      <c r="JQ98">
        <v>-3205</v>
      </c>
      <c r="JR98">
        <v>5745</v>
      </c>
      <c r="JS98" s="3"/>
      <c r="JW98" s="3"/>
      <c r="KA98" s="3"/>
      <c r="KE98" s="3"/>
      <c r="KI98" s="3"/>
      <c r="KM98" s="3"/>
      <c r="KQ98" s="3"/>
      <c r="KU98" s="3"/>
      <c r="KY98" s="3"/>
      <c r="LC98" s="3"/>
      <c r="LG98" s="3"/>
      <c r="LK98" s="3"/>
      <c r="LO98" s="3"/>
    </row>
    <row r="99" spans="18:327" hidden="1">
      <c r="R99" s="3"/>
      <c r="V99" s="3"/>
      <c r="Z99" s="3"/>
      <c r="AD99" s="3"/>
      <c r="AH99" s="3"/>
      <c r="AL99" s="3"/>
      <c r="AP99" s="3"/>
      <c r="AT99" s="3"/>
      <c r="AX99" s="3"/>
      <c r="BB99" s="3"/>
      <c r="BF99" s="3"/>
      <c r="BJ99" s="3"/>
      <c r="BN99" s="3"/>
      <c r="BR99" s="3"/>
      <c r="BV99" s="3"/>
      <c r="BZ99" s="3"/>
      <c r="CD99" s="3"/>
      <c r="CH99" s="3"/>
      <c r="CL99" s="3"/>
      <c r="CP99" s="3"/>
      <c r="CT99" s="3"/>
      <c r="CX99" s="3"/>
      <c r="DB99" s="3"/>
      <c r="DF99" s="3"/>
      <c r="DJ99" s="3"/>
      <c r="DN99" s="3"/>
      <c r="DR99" s="3"/>
      <c r="DV99" s="3"/>
      <c r="DZ99" s="3"/>
      <c r="ED99" s="3"/>
      <c r="EH99" s="3"/>
      <c r="EL99" s="3"/>
      <c r="EP99" s="3"/>
      <c r="ET99" s="3"/>
      <c r="EX99" s="3"/>
      <c r="FB99" s="3"/>
      <c r="FF99" s="3"/>
      <c r="FJ99" s="3"/>
      <c r="FN99" s="3"/>
      <c r="FS99" s="3">
        <v>45412</v>
      </c>
      <c r="FT99">
        <v>283563</v>
      </c>
      <c r="FU99">
        <v>241205</v>
      </c>
      <c r="FV99">
        <v>-529782</v>
      </c>
      <c r="FW99" s="3">
        <v>45412</v>
      </c>
      <c r="FX99">
        <v>247124</v>
      </c>
      <c r="FY99">
        <v>205815</v>
      </c>
      <c r="FZ99">
        <v>-459271</v>
      </c>
      <c r="GA99" s="3">
        <v>45412</v>
      </c>
      <c r="GB99">
        <v>2321</v>
      </c>
      <c r="GC99">
        <v>-2306</v>
      </c>
      <c r="GD99">
        <v>607</v>
      </c>
      <c r="GE99" s="3">
        <v>45412</v>
      </c>
      <c r="GF99">
        <v>1047</v>
      </c>
      <c r="GG99">
        <v>-1158</v>
      </c>
      <c r="GH99">
        <v>-175</v>
      </c>
      <c r="GI99" s="3">
        <v>45412</v>
      </c>
      <c r="GJ99">
        <v>269</v>
      </c>
      <c r="GK99">
        <v>408</v>
      </c>
      <c r="GL99">
        <v>-639</v>
      </c>
      <c r="GM99" s="3">
        <v>45412</v>
      </c>
      <c r="GN99">
        <v>845</v>
      </c>
      <c r="GO99">
        <v>694</v>
      </c>
      <c r="GP99">
        <v>-1510</v>
      </c>
      <c r="GQ99" s="3">
        <v>45412</v>
      </c>
      <c r="GR99">
        <v>345</v>
      </c>
      <c r="GS99">
        <v>622</v>
      </c>
      <c r="GT99">
        <v>-1046</v>
      </c>
      <c r="GU99" s="3">
        <v>45412</v>
      </c>
      <c r="GV99">
        <v>51</v>
      </c>
      <c r="GW99">
        <v>172</v>
      </c>
      <c r="GX99">
        <v>-352</v>
      </c>
      <c r="GY99" s="3">
        <v>45412</v>
      </c>
      <c r="GZ99">
        <v>78</v>
      </c>
      <c r="HA99">
        <v>43</v>
      </c>
      <c r="HB99">
        <v>-99</v>
      </c>
      <c r="HC99" s="3">
        <v>45412</v>
      </c>
      <c r="HD99">
        <v>90</v>
      </c>
      <c r="HE99">
        <v>2873</v>
      </c>
      <c r="HF99">
        <v>-2841</v>
      </c>
      <c r="HG99" s="3">
        <v>45412</v>
      </c>
      <c r="HH99">
        <v>1516</v>
      </c>
      <c r="HI99">
        <v>1814</v>
      </c>
      <c r="HJ99">
        <v>-3283</v>
      </c>
      <c r="HK99" s="3">
        <v>45412</v>
      </c>
      <c r="HL99">
        <v>130</v>
      </c>
      <c r="HM99">
        <v>-181</v>
      </c>
      <c r="HN99">
        <v>66</v>
      </c>
      <c r="HO99" s="3">
        <v>45412</v>
      </c>
      <c r="HP99">
        <v>-4026</v>
      </c>
      <c r="HQ99">
        <v>2211</v>
      </c>
      <c r="HR99">
        <v>1835</v>
      </c>
      <c r="HS99" s="3">
        <v>45412</v>
      </c>
      <c r="HT99">
        <v>-92</v>
      </c>
      <c r="HU99">
        <v>352</v>
      </c>
      <c r="HV99">
        <v>-303</v>
      </c>
      <c r="HW99" s="3">
        <v>45412</v>
      </c>
      <c r="HX99">
        <v>-61</v>
      </c>
      <c r="HY99">
        <v>-107</v>
      </c>
      <c r="HZ99">
        <v>119</v>
      </c>
      <c r="IA99" s="3">
        <v>45412</v>
      </c>
      <c r="IB99">
        <v>296</v>
      </c>
      <c r="IC99">
        <v>1439</v>
      </c>
      <c r="ID99">
        <v>-1829</v>
      </c>
      <c r="IE99" s="3">
        <v>45412</v>
      </c>
      <c r="IF99">
        <v>-526</v>
      </c>
      <c r="IG99">
        <v>-350</v>
      </c>
      <c r="IH99">
        <v>856</v>
      </c>
      <c r="II99" s="3">
        <v>45412</v>
      </c>
      <c r="IJ99">
        <v>69</v>
      </c>
      <c r="IK99">
        <v>-225</v>
      </c>
      <c r="IL99">
        <v>145</v>
      </c>
      <c r="IM99" s="3">
        <v>45412</v>
      </c>
      <c r="IN99">
        <v>-529</v>
      </c>
      <c r="IO99">
        <v>666</v>
      </c>
      <c r="IP99">
        <v>-96</v>
      </c>
      <c r="IQ99" s="3">
        <v>45412</v>
      </c>
      <c r="IR99">
        <v>211</v>
      </c>
      <c r="IS99">
        <v>-145</v>
      </c>
      <c r="IT99">
        <v>-132</v>
      </c>
      <c r="IU99" s="3">
        <v>45412</v>
      </c>
      <c r="IV99">
        <v>-219</v>
      </c>
      <c r="IW99">
        <v>293</v>
      </c>
      <c r="IX99">
        <v>-55</v>
      </c>
      <c r="IY99" s="3">
        <v>45412</v>
      </c>
      <c r="IZ99">
        <v>403</v>
      </c>
      <c r="JA99">
        <v>-722</v>
      </c>
      <c r="JB99">
        <v>350</v>
      </c>
      <c r="JC99" s="3">
        <v>45412</v>
      </c>
      <c r="JD99">
        <v>-896</v>
      </c>
      <c r="JE99">
        <v>8402</v>
      </c>
      <c r="JF99">
        <v>-7734</v>
      </c>
      <c r="JG99" s="3">
        <v>45412</v>
      </c>
      <c r="JH99">
        <v>-2463</v>
      </c>
      <c r="JI99">
        <v>3036</v>
      </c>
      <c r="JJ99">
        <v>-684</v>
      </c>
      <c r="JK99" s="3">
        <v>45412</v>
      </c>
      <c r="JL99">
        <v>166</v>
      </c>
      <c r="JM99">
        <v>1388</v>
      </c>
      <c r="JN99">
        <v>-1612</v>
      </c>
      <c r="JO99" s="3">
        <v>45412</v>
      </c>
      <c r="JP99">
        <v>804</v>
      </c>
      <c r="JQ99">
        <v>4784</v>
      </c>
      <c r="JR99">
        <v>-5766</v>
      </c>
      <c r="JS99" s="3"/>
      <c r="JW99" s="3"/>
      <c r="KA99" s="3"/>
      <c r="KE99" s="3"/>
      <c r="KI99" s="3"/>
      <c r="KM99" s="3"/>
      <c r="KQ99" s="3"/>
      <c r="KU99" s="3"/>
      <c r="KY99" s="3"/>
      <c r="LC99" s="3"/>
      <c r="LG99" s="3"/>
      <c r="LK99" s="3"/>
      <c r="LO99" s="3"/>
    </row>
    <row r="100" spans="18:327" hidden="1">
      <c r="R100" s="3"/>
      <c r="V100" s="3"/>
      <c r="Z100" s="3"/>
      <c r="AD100" s="3"/>
      <c r="AH100" s="3"/>
      <c r="AL100" s="3"/>
      <c r="AP100" s="3"/>
      <c r="AT100" s="3"/>
      <c r="AX100" s="3"/>
      <c r="BB100" s="3"/>
      <c r="BF100" s="3"/>
      <c r="BJ100" s="3"/>
      <c r="BN100" s="3"/>
      <c r="BR100" s="3"/>
      <c r="BV100" s="3"/>
      <c r="BZ100" s="3"/>
      <c r="CD100" s="3"/>
      <c r="CH100" s="3"/>
      <c r="CL100" s="3"/>
      <c r="CP100" s="3"/>
      <c r="CT100" s="3"/>
      <c r="CX100" s="3"/>
      <c r="DB100" s="3"/>
      <c r="DF100" s="3"/>
      <c r="DJ100" s="3"/>
      <c r="DN100" s="3"/>
      <c r="DR100" s="3"/>
      <c r="DV100" s="3"/>
      <c r="DZ100" s="3"/>
      <c r="ED100" s="3"/>
      <c r="EH100" s="3"/>
      <c r="EL100" s="3"/>
      <c r="EP100" s="3"/>
      <c r="ET100" s="3"/>
      <c r="EX100" s="3"/>
      <c r="FB100" s="3"/>
      <c r="FF100" s="3"/>
      <c r="FJ100" s="3"/>
      <c r="FN100" s="3"/>
      <c r="FS100" s="3">
        <v>45411</v>
      </c>
      <c r="FT100">
        <v>330805</v>
      </c>
      <c r="FU100">
        <v>342248</v>
      </c>
      <c r="FV100">
        <v>-692180</v>
      </c>
      <c r="FW100" s="3">
        <v>45411</v>
      </c>
      <c r="FX100">
        <v>314243</v>
      </c>
      <c r="FY100">
        <v>312075</v>
      </c>
      <c r="FZ100">
        <v>-622124</v>
      </c>
      <c r="GA100" s="3">
        <v>45411</v>
      </c>
      <c r="GB100">
        <v>12</v>
      </c>
      <c r="GC100">
        <v>11142</v>
      </c>
      <c r="GD100">
        <v>-11855</v>
      </c>
      <c r="GE100" s="3">
        <v>45411</v>
      </c>
      <c r="GF100">
        <v>-143</v>
      </c>
      <c r="GG100">
        <v>3065</v>
      </c>
      <c r="GH100">
        <v>-2945</v>
      </c>
      <c r="GI100" s="3">
        <v>45411</v>
      </c>
      <c r="GJ100">
        <v>517</v>
      </c>
      <c r="GK100">
        <v>1073</v>
      </c>
      <c r="GL100">
        <v>-1557</v>
      </c>
      <c r="GM100" s="3">
        <v>45411</v>
      </c>
      <c r="GN100">
        <v>1002</v>
      </c>
      <c r="GO100">
        <v>3351</v>
      </c>
      <c r="GP100">
        <v>-4346</v>
      </c>
      <c r="GQ100" s="3">
        <v>45411</v>
      </c>
      <c r="GR100">
        <v>194</v>
      </c>
      <c r="GS100">
        <v>789</v>
      </c>
      <c r="GT100">
        <v>-998</v>
      </c>
      <c r="GU100" s="3">
        <v>45411</v>
      </c>
      <c r="GV100">
        <v>-4</v>
      </c>
      <c r="GW100">
        <v>172</v>
      </c>
      <c r="GX100">
        <v>-285</v>
      </c>
      <c r="GY100" s="3">
        <v>45411</v>
      </c>
      <c r="GZ100">
        <v>569</v>
      </c>
      <c r="HA100">
        <v>1898</v>
      </c>
      <c r="HB100">
        <v>-2381</v>
      </c>
      <c r="HC100" s="3">
        <v>45411</v>
      </c>
      <c r="HD100">
        <v>374</v>
      </c>
      <c r="HE100">
        <v>2641</v>
      </c>
      <c r="HF100">
        <v>-3077</v>
      </c>
      <c r="HG100" s="3">
        <v>45411</v>
      </c>
      <c r="HH100">
        <v>586</v>
      </c>
      <c r="HI100">
        <v>-769</v>
      </c>
      <c r="HJ100">
        <v>695</v>
      </c>
      <c r="HK100" s="3">
        <v>45411</v>
      </c>
      <c r="HL100">
        <v>135</v>
      </c>
      <c r="HM100">
        <v>95</v>
      </c>
      <c r="HN100">
        <v>-290</v>
      </c>
      <c r="HO100" s="3">
        <v>45411</v>
      </c>
      <c r="HP100">
        <v>102</v>
      </c>
      <c r="HQ100">
        <v>-1109</v>
      </c>
      <c r="HR100">
        <v>1095</v>
      </c>
      <c r="HS100" s="3">
        <v>45411</v>
      </c>
      <c r="HT100">
        <v>69</v>
      </c>
      <c r="HU100">
        <v>1150</v>
      </c>
      <c r="HV100">
        <v>-1285</v>
      </c>
      <c r="HW100" s="3">
        <v>45411</v>
      </c>
      <c r="HX100">
        <v>172</v>
      </c>
      <c r="HY100">
        <v>58</v>
      </c>
      <c r="HZ100">
        <v>-281</v>
      </c>
      <c r="IA100" s="3">
        <v>45411</v>
      </c>
      <c r="IB100">
        <v>182</v>
      </c>
      <c r="IC100">
        <v>1761</v>
      </c>
      <c r="ID100">
        <v>-1933</v>
      </c>
      <c r="IE100" s="3">
        <v>45411</v>
      </c>
      <c r="IF100">
        <v>856</v>
      </c>
      <c r="IG100">
        <v>3234</v>
      </c>
      <c r="IH100">
        <v>-4178</v>
      </c>
      <c r="II100" s="3">
        <v>45411</v>
      </c>
      <c r="IJ100">
        <v>80</v>
      </c>
      <c r="IK100">
        <v>-35</v>
      </c>
      <c r="IL100">
        <v>-59</v>
      </c>
      <c r="IM100" s="3">
        <v>45411</v>
      </c>
      <c r="IN100">
        <v>1013</v>
      </c>
      <c r="IO100">
        <v>1416</v>
      </c>
      <c r="IP100">
        <v>-2371</v>
      </c>
      <c r="IQ100" s="3">
        <v>45411</v>
      </c>
      <c r="IR100">
        <v>-62</v>
      </c>
      <c r="IS100">
        <v>526</v>
      </c>
      <c r="IT100">
        <v>-529</v>
      </c>
      <c r="IU100" s="3">
        <v>45411</v>
      </c>
      <c r="IV100">
        <v>99</v>
      </c>
      <c r="IW100">
        <v>484</v>
      </c>
      <c r="IX100">
        <v>-585</v>
      </c>
      <c r="IY100" s="3">
        <v>45411</v>
      </c>
      <c r="IZ100">
        <v>455</v>
      </c>
      <c r="JA100">
        <v>697</v>
      </c>
      <c r="JB100">
        <v>-2301</v>
      </c>
      <c r="JC100" s="3">
        <v>45411</v>
      </c>
      <c r="JD100">
        <v>2934</v>
      </c>
      <c r="JE100">
        <v>8771</v>
      </c>
      <c r="JF100">
        <v>-11619</v>
      </c>
      <c r="JG100" s="3">
        <v>45411</v>
      </c>
      <c r="JH100">
        <v>3819</v>
      </c>
      <c r="JI100">
        <v>327</v>
      </c>
      <c r="JJ100">
        <v>-4206</v>
      </c>
      <c r="JK100" s="3">
        <v>45411</v>
      </c>
      <c r="JL100">
        <v>1873</v>
      </c>
      <c r="JM100">
        <v>9486</v>
      </c>
      <c r="JN100">
        <v>-12583</v>
      </c>
      <c r="JO100" s="3">
        <v>45411</v>
      </c>
      <c r="JP100">
        <v>129</v>
      </c>
      <c r="JQ100">
        <v>6746</v>
      </c>
      <c r="JR100">
        <v>-6961</v>
      </c>
      <c r="JS100" s="3"/>
      <c r="JW100" s="3"/>
      <c r="KA100" s="3"/>
      <c r="KE100" s="3"/>
      <c r="KI100" s="3"/>
      <c r="KM100" s="3"/>
      <c r="KQ100" s="3"/>
      <c r="KU100" s="3"/>
      <c r="KY100" s="3"/>
      <c r="LC100" s="3"/>
      <c r="LG100" s="3"/>
      <c r="LK100" s="3"/>
      <c r="LO100" s="3"/>
    </row>
    <row r="101" spans="18:327" hidden="1">
      <c r="R101" s="3"/>
      <c r="V101" s="3"/>
      <c r="Z101" s="3"/>
      <c r="AD101" s="3"/>
      <c r="AH101" s="3"/>
      <c r="AL101" s="3"/>
      <c r="AP101" s="3"/>
      <c r="AT101" s="3"/>
      <c r="AX101" s="3"/>
      <c r="BB101" s="3"/>
      <c r="BF101" s="3"/>
      <c r="BJ101" s="3"/>
      <c r="BN101" s="3"/>
      <c r="BR101" s="3"/>
      <c r="BV101" s="3"/>
      <c r="BZ101" s="3"/>
      <c r="CD101" s="3"/>
      <c r="CH101" s="3"/>
      <c r="CL101" s="3"/>
      <c r="CP101" s="3"/>
      <c r="CT101" s="3"/>
      <c r="CX101" s="3"/>
      <c r="DB101" s="3"/>
      <c r="DF101" s="3"/>
      <c r="DJ101" s="3"/>
      <c r="DN101" s="3"/>
      <c r="DR101" s="3"/>
      <c r="DV101" s="3"/>
      <c r="DZ101" s="3"/>
      <c r="ED101" s="3"/>
      <c r="EH101" s="3"/>
      <c r="EL101" s="3"/>
      <c r="EP101" s="3"/>
      <c r="ET101" s="3"/>
      <c r="EX101" s="3"/>
      <c r="FB101" s="3"/>
      <c r="FF101" s="3"/>
      <c r="FJ101" s="3"/>
      <c r="FN101" s="3"/>
      <c r="FS101" s="3">
        <v>45408</v>
      </c>
      <c r="FT101">
        <v>68386</v>
      </c>
      <c r="FU101">
        <v>470447</v>
      </c>
      <c r="FV101">
        <v>-561532</v>
      </c>
      <c r="FW101" s="3">
        <v>45408</v>
      </c>
      <c r="FX101">
        <v>18492</v>
      </c>
      <c r="FY101">
        <v>467149</v>
      </c>
      <c r="FZ101">
        <v>-500882</v>
      </c>
      <c r="GA101" s="3">
        <v>45408</v>
      </c>
      <c r="GB101">
        <v>-5224</v>
      </c>
      <c r="GC101">
        <v>2808</v>
      </c>
      <c r="GD101">
        <v>774</v>
      </c>
      <c r="GE101" s="3">
        <v>45408</v>
      </c>
      <c r="GF101">
        <v>-67</v>
      </c>
      <c r="GG101">
        <v>-802</v>
      </c>
      <c r="GH101">
        <v>-341</v>
      </c>
      <c r="GI101" s="3">
        <v>45408</v>
      </c>
      <c r="GJ101">
        <v>357</v>
      </c>
      <c r="GK101">
        <v>-853</v>
      </c>
      <c r="GL101">
        <v>381</v>
      </c>
      <c r="GM101" s="3">
        <v>45408</v>
      </c>
      <c r="GN101">
        <v>-465</v>
      </c>
      <c r="GO101">
        <v>-262</v>
      </c>
      <c r="GP101">
        <v>615</v>
      </c>
      <c r="GQ101" s="3">
        <v>45408</v>
      </c>
      <c r="GR101">
        <v>-12</v>
      </c>
      <c r="GS101">
        <v>-124</v>
      </c>
      <c r="GT101">
        <v>109</v>
      </c>
      <c r="GU101" s="3">
        <v>45408</v>
      </c>
      <c r="GV101">
        <v>29</v>
      </c>
      <c r="GW101">
        <v>35</v>
      </c>
      <c r="GX101">
        <v>-156</v>
      </c>
      <c r="GY101" s="3">
        <v>45408</v>
      </c>
      <c r="GZ101">
        <v>111</v>
      </c>
      <c r="HA101">
        <v>1491</v>
      </c>
      <c r="HB101">
        <v>-1692</v>
      </c>
      <c r="HC101" s="3">
        <v>45408</v>
      </c>
      <c r="HD101">
        <v>395</v>
      </c>
      <c r="HE101">
        <v>-1063</v>
      </c>
      <c r="HF101">
        <v>-354</v>
      </c>
      <c r="HG101" s="3">
        <v>45408</v>
      </c>
      <c r="HH101">
        <v>998</v>
      </c>
      <c r="HI101">
        <v>8420</v>
      </c>
      <c r="HJ101">
        <v>-9722</v>
      </c>
      <c r="HK101" s="3">
        <v>45408</v>
      </c>
      <c r="HL101">
        <v>123</v>
      </c>
      <c r="HM101">
        <v>-18</v>
      </c>
      <c r="HN101">
        <v>-133</v>
      </c>
      <c r="HO101" s="3">
        <v>45408</v>
      </c>
      <c r="HP101">
        <v>-233</v>
      </c>
      <c r="HQ101">
        <v>1790</v>
      </c>
      <c r="HR101">
        <v>-1615</v>
      </c>
      <c r="HS101" s="3">
        <v>45408</v>
      </c>
      <c r="HT101">
        <v>-214</v>
      </c>
      <c r="HU101">
        <v>189</v>
      </c>
      <c r="HV101">
        <v>-5</v>
      </c>
      <c r="HW101" s="3">
        <v>45408</v>
      </c>
      <c r="HX101">
        <v>49</v>
      </c>
      <c r="HY101">
        <v>-158</v>
      </c>
      <c r="HZ101">
        <v>63</v>
      </c>
      <c r="IA101" s="3">
        <v>45408</v>
      </c>
      <c r="IB101">
        <v>5</v>
      </c>
      <c r="IC101">
        <v>-66</v>
      </c>
      <c r="ID101">
        <v>58</v>
      </c>
      <c r="IE101" s="3">
        <v>45408</v>
      </c>
      <c r="IF101">
        <v>-158</v>
      </c>
      <c r="IG101">
        <v>-664</v>
      </c>
      <c r="IH101">
        <v>821</v>
      </c>
      <c r="II101" s="3">
        <v>45408</v>
      </c>
      <c r="IJ101">
        <v>-28</v>
      </c>
      <c r="IK101">
        <v>-168</v>
      </c>
      <c r="IL101">
        <v>168</v>
      </c>
      <c r="IM101" s="3">
        <v>45408</v>
      </c>
      <c r="IN101">
        <v>1464</v>
      </c>
      <c r="IO101">
        <v>3021</v>
      </c>
      <c r="IP101">
        <v>-4516</v>
      </c>
      <c r="IQ101" s="3">
        <v>45408</v>
      </c>
      <c r="IR101">
        <v>537</v>
      </c>
      <c r="IS101">
        <v>456</v>
      </c>
      <c r="IT101">
        <v>-1013</v>
      </c>
      <c r="IU101" s="3">
        <v>45408</v>
      </c>
      <c r="IV101">
        <v>-248</v>
      </c>
      <c r="IW101">
        <v>532</v>
      </c>
      <c r="IX101">
        <v>-357</v>
      </c>
      <c r="IY101" s="3">
        <v>45408</v>
      </c>
      <c r="IZ101">
        <v>-271</v>
      </c>
      <c r="JA101">
        <v>-346</v>
      </c>
      <c r="JB101">
        <v>495</v>
      </c>
      <c r="JC101" s="3">
        <v>45408</v>
      </c>
      <c r="JD101">
        <v>822</v>
      </c>
      <c r="JE101">
        <v>9652</v>
      </c>
      <c r="JF101">
        <v>-12393</v>
      </c>
      <c r="JG101" s="3">
        <v>45408</v>
      </c>
      <c r="JH101">
        <v>672</v>
      </c>
      <c r="JI101">
        <v>7209</v>
      </c>
      <c r="JJ101">
        <v>-8164</v>
      </c>
      <c r="JK101" s="3">
        <v>45408</v>
      </c>
      <c r="JL101">
        <v>291</v>
      </c>
      <c r="JM101">
        <v>3753</v>
      </c>
      <c r="JN101">
        <v>-4179</v>
      </c>
      <c r="JO101" s="3">
        <v>45408</v>
      </c>
      <c r="JP101">
        <v>609</v>
      </c>
      <c r="JQ101">
        <v>524</v>
      </c>
      <c r="JR101">
        <v>-2834</v>
      </c>
      <c r="JS101" s="3"/>
      <c r="JW101" s="3"/>
      <c r="KA101" s="3"/>
      <c r="KE101" s="3"/>
      <c r="KI101" s="3"/>
      <c r="KM101" s="3"/>
      <c r="KQ101" s="3"/>
      <c r="KU101" s="3"/>
      <c r="KY101" s="3"/>
      <c r="LC101" s="3"/>
      <c r="LG101" s="3"/>
      <c r="LK101" s="3"/>
      <c r="LO101" s="3"/>
    </row>
    <row r="102" spans="18:327" hidden="1">
      <c r="R102" s="3"/>
      <c r="V102" s="3"/>
      <c r="Z102" s="3"/>
      <c r="AD102" s="3"/>
      <c r="AH102" s="3"/>
      <c r="AL102" s="3"/>
      <c r="AP102" s="3"/>
      <c r="AT102" s="3"/>
      <c r="AX102" s="3"/>
      <c r="BB102" s="3"/>
      <c r="BF102" s="3"/>
      <c r="BJ102" s="3"/>
      <c r="BN102" s="3"/>
      <c r="BR102" s="3"/>
      <c r="BV102" s="3"/>
      <c r="BZ102" s="3"/>
      <c r="CD102" s="3"/>
      <c r="CH102" s="3"/>
      <c r="CL102" s="3"/>
      <c r="CP102" s="3"/>
      <c r="CT102" s="3"/>
      <c r="CX102" s="3"/>
      <c r="DB102" s="3"/>
      <c r="DF102" s="3"/>
      <c r="DJ102" s="3"/>
      <c r="DN102" s="3"/>
      <c r="DR102" s="3"/>
      <c r="DV102" s="3"/>
      <c r="DZ102" s="3"/>
      <c r="ED102" s="3"/>
      <c r="EH102" s="3"/>
      <c r="EL102" s="3"/>
      <c r="EP102" s="3"/>
      <c r="ET102" s="3"/>
      <c r="EX102" s="3"/>
      <c r="FB102" s="3"/>
      <c r="FF102" s="3"/>
      <c r="FJ102" s="3"/>
      <c r="FN102" s="3"/>
      <c r="FS102" s="3">
        <v>45407</v>
      </c>
      <c r="FT102">
        <v>-507126</v>
      </c>
      <c r="FU102">
        <v>-284452</v>
      </c>
      <c r="FV102">
        <v>836868</v>
      </c>
      <c r="FW102" s="3">
        <v>45407</v>
      </c>
      <c r="FX102">
        <v>-559091</v>
      </c>
      <c r="FY102">
        <v>-249594</v>
      </c>
      <c r="FZ102">
        <v>824527</v>
      </c>
      <c r="GA102" s="3">
        <v>45407</v>
      </c>
      <c r="GB102">
        <v>-1775</v>
      </c>
      <c r="GC102">
        <v>14007</v>
      </c>
      <c r="GD102">
        <v>-11147</v>
      </c>
      <c r="GE102" s="3">
        <v>45407</v>
      </c>
      <c r="GF102">
        <v>-2088</v>
      </c>
      <c r="GG102">
        <v>807</v>
      </c>
      <c r="GH102">
        <v>17</v>
      </c>
      <c r="GI102" s="3">
        <v>45407</v>
      </c>
      <c r="GJ102">
        <v>167</v>
      </c>
      <c r="GK102">
        <v>-603</v>
      </c>
      <c r="GL102">
        <v>363</v>
      </c>
      <c r="GM102" s="3">
        <v>45407</v>
      </c>
      <c r="GN102">
        <v>-194</v>
      </c>
      <c r="GO102">
        <v>-573</v>
      </c>
      <c r="GP102">
        <v>632</v>
      </c>
      <c r="GQ102" s="3">
        <v>45407</v>
      </c>
      <c r="GR102">
        <v>-84</v>
      </c>
      <c r="GS102">
        <v>-144</v>
      </c>
      <c r="GT102">
        <v>197</v>
      </c>
      <c r="GU102" s="3">
        <v>45407</v>
      </c>
      <c r="GV102">
        <v>-19</v>
      </c>
      <c r="GW102">
        <v>-182</v>
      </c>
      <c r="GX102">
        <v>139</v>
      </c>
      <c r="GY102" s="3">
        <v>45407</v>
      </c>
      <c r="GZ102">
        <v>124</v>
      </c>
      <c r="HA102">
        <v>-734</v>
      </c>
      <c r="HB102">
        <v>536</v>
      </c>
      <c r="HC102" s="3">
        <v>45407</v>
      </c>
      <c r="HD102">
        <v>272</v>
      </c>
      <c r="HE102">
        <v>-3491</v>
      </c>
      <c r="HF102">
        <v>2573</v>
      </c>
      <c r="HG102" s="3">
        <v>45407</v>
      </c>
      <c r="HH102">
        <v>-3329</v>
      </c>
      <c r="HI102">
        <v>-3143</v>
      </c>
      <c r="HJ102">
        <v>6645</v>
      </c>
      <c r="HK102" s="3">
        <v>45407</v>
      </c>
      <c r="HL102">
        <v>-11</v>
      </c>
      <c r="HM102">
        <v>5</v>
      </c>
      <c r="HN102">
        <v>-26</v>
      </c>
      <c r="HO102" s="3">
        <v>45407</v>
      </c>
      <c r="HP102">
        <v>-1483</v>
      </c>
      <c r="HQ102">
        <v>991</v>
      </c>
      <c r="HR102">
        <v>580</v>
      </c>
      <c r="HS102" s="3">
        <v>45407</v>
      </c>
      <c r="HT102">
        <v>-373</v>
      </c>
      <c r="HU102">
        <v>-1008</v>
      </c>
      <c r="HV102">
        <v>1346</v>
      </c>
      <c r="HW102" s="3">
        <v>45407</v>
      </c>
      <c r="HX102">
        <v>69</v>
      </c>
      <c r="HY102">
        <v>-75</v>
      </c>
      <c r="HZ102">
        <v>-4</v>
      </c>
      <c r="IA102" s="3">
        <v>45407</v>
      </c>
      <c r="IB102">
        <v>-81</v>
      </c>
      <c r="IC102">
        <v>32</v>
      </c>
      <c r="ID102">
        <v>65</v>
      </c>
      <c r="IE102" s="3">
        <v>45407</v>
      </c>
      <c r="IF102">
        <v>-513</v>
      </c>
      <c r="IG102">
        <v>10470</v>
      </c>
      <c r="IH102">
        <v>6</v>
      </c>
      <c r="II102" s="3">
        <v>45407</v>
      </c>
      <c r="IJ102">
        <v>-140</v>
      </c>
      <c r="IK102">
        <v>293</v>
      </c>
      <c r="IL102">
        <v>-146</v>
      </c>
      <c r="IM102" s="3">
        <v>45407</v>
      </c>
      <c r="IN102">
        <v>-1114</v>
      </c>
      <c r="IO102">
        <v>3082</v>
      </c>
      <c r="IP102">
        <v>-1437</v>
      </c>
      <c r="IQ102" s="3">
        <v>45407</v>
      </c>
      <c r="IR102">
        <v>3</v>
      </c>
      <c r="IS102">
        <v>414</v>
      </c>
      <c r="IT102">
        <v>-384</v>
      </c>
      <c r="IU102" s="3">
        <v>45407</v>
      </c>
      <c r="IV102">
        <v>-102</v>
      </c>
      <c r="IW102">
        <v>845</v>
      </c>
      <c r="IX102">
        <v>-380</v>
      </c>
      <c r="IY102" s="3">
        <v>45407</v>
      </c>
      <c r="IZ102">
        <v>-757</v>
      </c>
      <c r="JA102">
        <v>-230</v>
      </c>
      <c r="JB102">
        <v>1012</v>
      </c>
      <c r="JC102" s="3">
        <v>45407</v>
      </c>
      <c r="JD102">
        <v>-5035</v>
      </c>
      <c r="JE102">
        <v>-7101</v>
      </c>
      <c r="JF102">
        <v>11256</v>
      </c>
      <c r="JG102" s="3">
        <v>45407</v>
      </c>
      <c r="JH102">
        <v>-7241</v>
      </c>
      <c r="JI102">
        <v>-457</v>
      </c>
      <c r="JJ102">
        <v>7990</v>
      </c>
      <c r="JK102" s="3">
        <v>45407</v>
      </c>
      <c r="JL102">
        <v>-606</v>
      </c>
      <c r="JM102">
        <v>11680</v>
      </c>
      <c r="JN102">
        <v>-793</v>
      </c>
      <c r="JO102" s="3">
        <v>45407</v>
      </c>
      <c r="JP102">
        <v>-181</v>
      </c>
      <c r="JQ102">
        <v>-5764</v>
      </c>
      <c r="JR102">
        <v>4969</v>
      </c>
      <c r="JS102" s="3"/>
      <c r="JW102" s="3"/>
      <c r="KA102" s="3"/>
      <c r="KE102" s="3"/>
      <c r="KI102" s="3"/>
      <c r="KM102" s="3"/>
      <c r="KQ102" s="3"/>
      <c r="KU102" s="3"/>
      <c r="KY102" s="3"/>
      <c r="LC102" s="3"/>
      <c r="LG102" s="3"/>
      <c r="LK102" s="3"/>
      <c r="LO102" s="3"/>
    </row>
    <row r="103" spans="18:327" hidden="1">
      <c r="R103" s="3"/>
      <c r="V103" s="3"/>
      <c r="Z103" s="3"/>
      <c r="AD103" s="3"/>
      <c r="AH103" s="3"/>
      <c r="AL103" s="3"/>
      <c r="AP103" s="3"/>
      <c r="AT103" s="3"/>
      <c r="AX103" s="3"/>
      <c r="BB103" s="3"/>
      <c r="BF103" s="3"/>
      <c r="BJ103" s="3"/>
      <c r="BN103" s="3"/>
      <c r="BR103" s="3"/>
      <c r="BV103" s="3"/>
      <c r="BZ103" s="3"/>
      <c r="CD103" s="3"/>
      <c r="CH103" s="3"/>
      <c r="CL103" s="3"/>
      <c r="CP103" s="3"/>
      <c r="CT103" s="3"/>
      <c r="CX103" s="3"/>
      <c r="DB103" s="3"/>
      <c r="DF103" s="3"/>
      <c r="DJ103" s="3"/>
      <c r="DN103" s="3"/>
      <c r="DR103" s="3"/>
      <c r="DV103" s="3"/>
      <c r="DZ103" s="3"/>
      <c r="ED103" s="3"/>
      <c r="EH103" s="3"/>
      <c r="EL103" s="3"/>
      <c r="EP103" s="3"/>
      <c r="ET103" s="3"/>
      <c r="EX103" s="3"/>
      <c r="FB103" s="3"/>
      <c r="FF103" s="3"/>
      <c r="FJ103" s="3"/>
      <c r="FN103" s="3"/>
      <c r="FS103" s="3">
        <v>45406</v>
      </c>
      <c r="FT103">
        <v>362321</v>
      </c>
      <c r="FU103">
        <v>489048</v>
      </c>
      <c r="FV103">
        <v>-866211</v>
      </c>
      <c r="FW103" s="3">
        <v>45406</v>
      </c>
      <c r="FX103">
        <v>315772</v>
      </c>
      <c r="FY103">
        <v>431646</v>
      </c>
      <c r="FZ103">
        <v>-760498</v>
      </c>
      <c r="GA103" s="3">
        <v>45406</v>
      </c>
      <c r="GB103">
        <v>-3123</v>
      </c>
      <c r="GC103">
        <v>5898</v>
      </c>
      <c r="GD103">
        <v>-3804</v>
      </c>
      <c r="GE103" s="3">
        <v>45406</v>
      </c>
      <c r="GF103">
        <v>-1653</v>
      </c>
      <c r="GG103">
        <v>387</v>
      </c>
      <c r="GH103">
        <v>475</v>
      </c>
      <c r="GI103" s="3">
        <v>45406</v>
      </c>
      <c r="GJ103">
        <v>241</v>
      </c>
      <c r="GK103">
        <v>262</v>
      </c>
      <c r="GL103">
        <v>-622</v>
      </c>
      <c r="GM103" s="3">
        <v>45406</v>
      </c>
      <c r="GN103">
        <v>133</v>
      </c>
      <c r="GO103">
        <v>80</v>
      </c>
      <c r="GP103">
        <v>-268</v>
      </c>
      <c r="GQ103" s="3">
        <v>45406</v>
      </c>
      <c r="GR103">
        <v>87</v>
      </c>
      <c r="GS103">
        <v>-166</v>
      </c>
      <c r="GT103">
        <v>50</v>
      </c>
      <c r="GU103" s="3">
        <v>45406</v>
      </c>
      <c r="GV103">
        <v>-50</v>
      </c>
      <c r="GW103">
        <v>126</v>
      </c>
      <c r="GX103">
        <v>-139</v>
      </c>
      <c r="GY103" s="3">
        <v>45406</v>
      </c>
      <c r="GZ103">
        <v>-41</v>
      </c>
      <c r="HA103">
        <v>-182</v>
      </c>
      <c r="HB103">
        <v>225</v>
      </c>
      <c r="HC103" s="3">
        <v>45406</v>
      </c>
      <c r="HD103">
        <v>597</v>
      </c>
      <c r="HE103">
        <v>4957</v>
      </c>
      <c r="HF103">
        <v>-5117</v>
      </c>
      <c r="HG103" s="3">
        <v>45406</v>
      </c>
      <c r="HH103">
        <v>1391</v>
      </c>
      <c r="HI103">
        <v>5213</v>
      </c>
      <c r="HJ103">
        <v>-6673</v>
      </c>
      <c r="HK103" s="3">
        <v>45406</v>
      </c>
      <c r="HL103">
        <v>25</v>
      </c>
      <c r="HM103">
        <v>115</v>
      </c>
      <c r="HN103">
        <v>-137</v>
      </c>
      <c r="HO103" s="3">
        <v>45406</v>
      </c>
      <c r="HP103">
        <v>172</v>
      </c>
      <c r="HQ103">
        <v>946</v>
      </c>
      <c r="HR103">
        <v>-1059</v>
      </c>
      <c r="HS103" s="3">
        <v>45406</v>
      </c>
      <c r="HT103">
        <v>-131</v>
      </c>
      <c r="HU103">
        <v>578</v>
      </c>
      <c r="HV103">
        <v>-520</v>
      </c>
      <c r="HW103" s="3">
        <v>45406</v>
      </c>
      <c r="HX103">
        <v>139</v>
      </c>
      <c r="HY103">
        <v>-629</v>
      </c>
      <c r="HZ103">
        <v>464</v>
      </c>
      <c r="IA103" s="3">
        <v>45406</v>
      </c>
      <c r="IB103">
        <v>123</v>
      </c>
      <c r="IC103">
        <v>1417</v>
      </c>
      <c r="ID103">
        <v>-1561</v>
      </c>
      <c r="IE103" s="3">
        <v>45406</v>
      </c>
      <c r="IF103">
        <v>-1616</v>
      </c>
      <c r="IG103">
        <v>713</v>
      </c>
      <c r="IH103">
        <v>756</v>
      </c>
      <c r="II103" s="3">
        <v>45406</v>
      </c>
      <c r="IJ103">
        <v>3</v>
      </c>
      <c r="IK103">
        <v>-45</v>
      </c>
      <c r="IL103">
        <v>77</v>
      </c>
      <c r="IM103" s="3">
        <v>45406</v>
      </c>
      <c r="IN103">
        <v>288</v>
      </c>
      <c r="IO103">
        <v>1081</v>
      </c>
      <c r="IP103">
        <v>-1401</v>
      </c>
      <c r="IQ103" s="3">
        <v>45406</v>
      </c>
      <c r="IR103">
        <v>364</v>
      </c>
      <c r="IS103">
        <v>-232</v>
      </c>
      <c r="IT103">
        <v>-159</v>
      </c>
      <c r="IU103" s="3">
        <v>45406</v>
      </c>
      <c r="IV103">
        <v>-51</v>
      </c>
      <c r="IW103">
        <v>1085</v>
      </c>
      <c r="IX103">
        <v>-1052</v>
      </c>
      <c r="IY103" s="3">
        <v>45406</v>
      </c>
      <c r="IZ103">
        <v>430</v>
      </c>
      <c r="JA103">
        <v>-435</v>
      </c>
      <c r="JB103">
        <v>13</v>
      </c>
      <c r="JC103" s="3">
        <v>45406</v>
      </c>
      <c r="JD103">
        <v>2261</v>
      </c>
      <c r="JE103">
        <v>11979</v>
      </c>
      <c r="JF103">
        <v>-14087</v>
      </c>
      <c r="JG103" s="3">
        <v>45406</v>
      </c>
      <c r="JH103">
        <v>1247</v>
      </c>
      <c r="JI103">
        <v>3230</v>
      </c>
      <c r="JJ103">
        <v>-4472</v>
      </c>
      <c r="JK103" s="3">
        <v>45406</v>
      </c>
      <c r="JL103">
        <v>-504</v>
      </c>
      <c r="JM103">
        <v>3821</v>
      </c>
      <c r="JN103">
        <v>-3447</v>
      </c>
      <c r="JO103" s="3">
        <v>45406</v>
      </c>
      <c r="JP103">
        <v>494</v>
      </c>
      <c r="JQ103">
        <v>7701</v>
      </c>
      <c r="JR103">
        <v>-8152</v>
      </c>
      <c r="JS103" s="3"/>
      <c r="JW103" s="3"/>
      <c r="KA103" s="3"/>
      <c r="KE103" s="3"/>
      <c r="KI103" s="3"/>
      <c r="KM103" s="3"/>
      <c r="KQ103" s="3"/>
      <c r="KU103" s="3"/>
      <c r="KY103" s="3"/>
      <c r="LC103" s="3"/>
      <c r="LG103" s="3"/>
      <c r="LK103" s="3"/>
      <c r="LO103" s="3"/>
    </row>
    <row r="104" spans="18:327" hidden="1">
      <c r="R104" s="3"/>
      <c r="V104" s="3"/>
      <c r="Z104" s="3"/>
      <c r="AD104" s="3"/>
      <c r="AH104" s="3"/>
      <c r="AL104" s="3"/>
      <c r="AP104" s="3"/>
      <c r="AT104" s="3"/>
      <c r="AX104" s="3"/>
      <c r="BB104" s="3"/>
      <c r="BF104" s="3"/>
      <c r="BJ104" s="3"/>
      <c r="BN104" s="3"/>
      <c r="BR104" s="3"/>
      <c r="BV104" s="3"/>
      <c r="BZ104" s="3"/>
      <c r="CD104" s="3"/>
      <c r="CH104" s="3"/>
      <c r="CL104" s="3"/>
      <c r="CP104" s="3"/>
      <c r="CT104" s="3"/>
      <c r="CX104" s="3"/>
      <c r="DB104" s="3"/>
      <c r="DF104" s="3"/>
      <c r="DJ104" s="3"/>
      <c r="DN104" s="3"/>
      <c r="DR104" s="3"/>
      <c r="DV104" s="3"/>
      <c r="DZ104" s="3"/>
      <c r="ED104" s="3"/>
      <c r="EH104" s="3"/>
      <c r="EL104" s="3"/>
      <c r="EP104" s="3"/>
      <c r="ET104" s="3"/>
      <c r="EX104" s="3"/>
      <c r="FB104" s="3"/>
      <c r="FF104" s="3"/>
      <c r="FJ104" s="3"/>
      <c r="FN104" s="3"/>
      <c r="FS104" s="3">
        <v>45405</v>
      </c>
      <c r="FT104">
        <v>86531</v>
      </c>
      <c r="FU104">
        <v>-24720</v>
      </c>
      <c r="FV104">
        <v>203894</v>
      </c>
      <c r="FW104" s="3">
        <v>45405</v>
      </c>
      <c r="FX104">
        <v>81513</v>
      </c>
      <c r="FY104">
        <v>-18069</v>
      </c>
      <c r="FZ104">
        <v>177751</v>
      </c>
      <c r="GA104" s="3">
        <v>45405</v>
      </c>
      <c r="GB104">
        <v>88</v>
      </c>
      <c r="GC104">
        <v>-7053</v>
      </c>
      <c r="GD104">
        <v>4559</v>
      </c>
      <c r="GE104" s="3">
        <v>45405</v>
      </c>
      <c r="GF104">
        <v>974</v>
      </c>
      <c r="GG104">
        <v>-1162</v>
      </c>
      <c r="GH104">
        <v>48</v>
      </c>
      <c r="GI104" s="3">
        <v>45405</v>
      </c>
      <c r="GJ104">
        <v>250</v>
      </c>
      <c r="GK104">
        <v>-594</v>
      </c>
      <c r="GL104">
        <v>302</v>
      </c>
      <c r="GM104" s="3">
        <v>45405</v>
      </c>
      <c r="GN104">
        <v>201</v>
      </c>
      <c r="GO104">
        <v>-1062</v>
      </c>
      <c r="GP104">
        <v>832</v>
      </c>
      <c r="GQ104" s="3">
        <v>45405</v>
      </c>
      <c r="GR104">
        <v>143</v>
      </c>
      <c r="GS104">
        <v>-58</v>
      </c>
      <c r="GT104">
        <v>-9</v>
      </c>
      <c r="GU104" s="3">
        <v>45405</v>
      </c>
      <c r="GV104">
        <v>-191</v>
      </c>
      <c r="GW104">
        <v>67</v>
      </c>
      <c r="GX104">
        <v>-261</v>
      </c>
      <c r="GY104" s="3">
        <v>45405</v>
      </c>
      <c r="GZ104">
        <v>21</v>
      </c>
      <c r="HA104">
        <v>123</v>
      </c>
      <c r="HB104">
        <v>410</v>
      </c>
      <c r="HC104" s="3">
        <v>45405</v>
      </c>
      <c r="HD104">
        <v>367</v>
      </c>
      <c r="HE104">
        <v>-324</v>
      </c>
      <c r="HF104">
        <v>-135</v>
      </c>
      <c r="HG104" s="3">
        <v>45405</v>
      </c>
      <c r="HH104">
        <v>39</v>
      </c>
      <c r="HI104">
        <v>-2769</v>
      </c>
      <c r="HJ104">
        <v>2581</v>
      </c>
      <c r="HK104" s="3">
        <v>45405</v>
      </c>
      <c r="HL104">
        <v>55</v>
      </c>
      <c r="HM104">
        <v>32</v>
      </c>
      <c r="HN104">
        <v>-87</v>
      </c>
      <c r="HO104" s="3">
        <v>45405</v>
      </c>
      <c r="HP104">
        <v>1327</v>
      </c>
      <c r="HQ104">
        <v>1115</v>
      </c>
      <c r="HR104">
        <v>-2435</v>
      </c>
      <c r="HS104" s="3">
        <v>45405</v>
      </c>
      <c r="HT104">
        <v>-27</v>
      </c>
      <c r="HU104">
        <v>-294</v>
      </c>
      <c r="HV104">
        <v>283</v>
      </c>
      <c r="HW104" s="3">
        <v>45405</v>
      </c>
      <c r="HX104">
        <v>865</v>
      </c>
      <c r="HY104">
        <v>-194</v>
      </c>
      <c r="HZ104">
        <v>-726</v>
      </c>
      <c r="IA104" s="3">
        <v>45405</v>
      </c>
      <c r="IB104">
        <v>-44</v>
      </c>
      <c r="IC104">
        <v>-409</v>
      </c>
      <c r="ID104">
        <v>501</v>
      </c>
      <c r="IE104" s="3">
        <v>45405</v>
      </c>
      <c r="IF104">
        <v>-1222</v>
      </c>
      <c r="IG104">
        <v>-1587</v>
      </c>
      <c r="IH104">
        <v>2768</v>
      </c>
      <c r="II104" s="3">
        <v>45405</v>
      </c>
      <c r="IJ104">
        <v>121</v>
      </c>
      <c r="IK104">
        <v>-146</v>
      </c>
      <c r="IL104">
        <v>30</v>
      </c>
      <c r="IM104" s="3">
        <v>45405</v>
      </c>
      <c r="IN104">
        <v>2018</v>
      </c>
      <c r="IO104">
        <v>1083</v>
      </c>
      <c r="IP104">
        <v>-1875</v>
      </c>
      <c r="IQ104" s="3">
        <v>45405</v>
      </c>
      <c r="IR104">
        <v>372</v>
      </c>
      <c r="IS104">
        <v>-543</v>
      </c>
      <c r="IT104">
        <v>762</v>
      </c>
      <c r="IU104" s="3">
        <v>45405</v>
      </c>
      <c r="IV104">
        <v>-173</v>
      </c>
      <c r="IW104">
        <v>173</v>
      </c>
      <c r="IX104">
        <v>-85</v>
      </c>
      <c r="IY104" s="3">
        <v>45405</v>
      </c>
      <c r="IZ104">
        <v>-790</v>
      </c>
      <c r="JA104">
        <v>273</v>
      </c>
      <c r="JB104">
        <v>2566</v>
      </c>
      <c r="JC104" s="3">
        <v>45405</v>
      </c>
      <c r="JD104">
        <v>1864</v>
      </c>
      <c r="JE104">
        <v>-3507</v>
      </c>
      <c r="JF104">
        <v>1474</v>
      </c>
      <c r="JG104" s="3">
        <v>45405</v>
      </c>
      <c r="JH104">
        <v>1845</v>
      </c>
      <c r="JI104">
        <v>-3590</v>
      </c>
      <c r="JJ104">
        <v>2240</v>
      </c>
      <c r="JK104" s="3">
        <v>45405</v>
      </c>
      <c r="JL104">
        <v>-11</v>
      </c>
      <c r="JM104">
        <v>88</v>
      </c>
      <c r="JN104">
        <v>1500</v>
      </c>
      <c r="JO104" s="3">
        <v>45405</v>
      </c>
      <c r="JP104">
        <v>816</v>
      </c>
      <c r="JQ104">
        <v>-1026</v>
      </c>
      <c r="JR104">
        <v>553</v>
      </c>
      <c r="JS104" s="3"/>
      <c r="JW104" s="3"/>
      <c r="KA104" s="3"/>
      <c r="KE104" s="3"/>
      <c r="KI104" s="3"/>
      <c r="KM104" s="3"/>
      <c r="KQ104" s="3"/>
      <c r="KU104" s="3"/>
      <c r="KY104" s="3"/>
      <c r="LC104" s="3"/>
      <c r="LG104" s="3"/>
      <c r="LK104" s="3"/>
      <c r="LO104" s="3"/>
    </row>
    <row r="105" spans="18:327" hidden="1">
      <c r="R105" s="3"/>
      <c r="V105" s="3"/>
      <c r="Z105" s="3"/>
      <c r="AD105" s="3"/>
      <c r="AH105" s="3"/>
      <c r="AL105" s="3"/>
      <c r="AP105" s="3"/>
      <c r="AT105" s="3"/>
      <c r="AX105" s="3"/>
      <c r="BB105" s="3"/>
      <c r="BF105" s="3"/>
      <c r="BJ105" s="3"/>
      <c r="BN105" s="3"/>
      <c r="BR105" s="3"/>
      <c r="BV105" s="3"/>
      <c r="BZ105" s="3"/>
      <c r="CD105" s="3"/>
      <c r="CH105" s="3"/>
      <c r="CL105" s="3"/>
      <c r="CP105" s="3"/>
      <c r="CT105" s="3"/>
      <c r="CX105" s="3"/>
      <c r="DB105" s="3"/>
      <c r="DF105" s="3"/>
      <c r="DJ105" s="3"/>
      <c r="DN105" s="3"/>
      <c r="DR105" s="3"/>
      <c r="DV105" s="3"/>
      <c r="DZ105" s="3"/>
      <c r="ED105" s="3"/>
      <c r="EH105" s="3"/>
      <c r="EL105" s="3"/>
      <c r="EP105" s="3"/>
      <c r="ET105" s="3"/>
      <c r="EX105" s="3"/>
      <c r="FB105" s="3"/>
      <c r="FF105" s="3"/>
      <c r="FJ105" s="3"/>
      <c r="FN105" s="3"/>
      <c r="FS105" s="3">
        <v>45404</v>
      </c>
      <c r="FT105">
        <v>783552</v>
      </c>
      <c r="FU105">
        <v>-749501</v>
      </c>
      <c r="FV105">
        <v>-58290</v>
      </c>
      <c r="FW105" s="3">
        <v>45404</v>
      </c>
      <c r="FX105">
        <v>799090</v>
      </c>
      <c r="FY105">
        <v>-718356</v>
      </c>
      <c r="FZ105">
        <v>-109721</v>
      </c>
      <c r="GA105" s="3">
        <v>45404</v>
      </c>
      <c r="GB105">
        <v>20857</v>
      </c>
      <c r="GC105">
        <v>22917</v>
      </c>
      <c r="GD105">
        <v>-43785</v>
      </c>
      <c r="GE105" s="3">
        <v>45404</v>
      </c>
      <c r="GF105">
        <v>3575</v>
      </c>
      <c r="GG105">
        <v>561</v>
      </c>
      <c r="GH105">
        <v>-4040</v>
      </c>
      <c r="GI105" s="3">
        <v>45404</v>
      </c>
      <c r="GJ105">
        <v>518</v>
      </c>
      <c r="GK105">
        <v>-751</v>
      </c>
      <c r="GL105">
        <v>174</v>
      </c>
      <c r="GM105" s="3">
        <v>45404</v>
      </c>
      <c r="GN105">
        <v>900</v>
      </c>
      <c r="GO105">
        <v>-172</v>
      </c>
      <c r="GP105">
        <v>-807</v>
      </c>
      <c r="GQ105" s="3">
        <v>45404</v>
      </c>
      <c r="GR105">
        <v>226</v>
      </c>
      <c r="GS105">
        <v>383</v>
      </c>
      <c r="GT105">
        <v>-470</v>
      </c>
      <c r="GU105" s="3">
        <v>45404</v>
      </c>
      <c r="GV105">
        <v>29</v>
      </c>
      <c r="GW105">
        <v>-15</v>
      </c>
      <c r="GX105">
        <v>-94</v>
      </c>
      <c r="GY105" s="3">
        <v>45404</v>
      </c>
      <c r="GZ105">
        <v>197</v>
      </c>
      <c r="HA105">
        <v>37</v>
      </c>
      <c r="HB105">
        <v>-201</v>
      </c>
      <c r="HC105" s="3">
        <v>45404</v>
      </c>
      <c r="HD105">
        <v>611</v>
      </c>
      <c r="HE105">
        <v>-368</v>
      </c>
      <c r="HF105">
        <v>2854</v>
      </c>
      <c r="HG105" s="3">
        <v>45404</v>
      </c>
      <c r="HH105">
        <v>3204</v>
      </c>
      <c r="HI105">
        <v>-11038</v>
      </c>
      <c r="HJ105">
        <v>7695</v>
      </c>
      <c r="HK105" s="3">
        <v>45404</v>
      </c>
      <c r="HL105">
        <v>-371</v>
      </c>
      <c r="HM105">
        <v>12</v>
      </c>
      <c r="HN105">
        <v>371</v>
      </c>
      <c r="HO105" s="3">
        <v>45404</v>
      </c>
      <c r="HP105">
        <v>434</v>
      </c>
      <c r="HQ105">
        <v>-806</v>
      </c>
      <c r="HR105">
        <v>506</v>
      </c>
      <c r="HS105" s="3">
        <v>45404</v>
      </c>
      <c r="HT105">
        <v>-829</v>
      </c>
      <c r="HU105">
        <v>6735</v>
      </c>
      <c r="HV105">
        <v>-5937</v>
      </c>
      <c r="HW105" s="3">
        <v>45404</v>
      </c>
      <c r="HX105">
        <v>651</v>
      </c>
      <c r="HY105">
        <v>-63</v>
      </c>
      <c r="HZ105">
        <v>-602</v>
      </c>
      <c r="IA105" s="3">
        <v>45404</v>
      </c>
      <c r="IB105">
        <v>269</v>
      </c>
      <c r="IC105">
        <v>970</v>
      </c>
      <c r="ID105">
        <v>-1310</v>
      </c>
      <c r="IE105" s="3">
        <v>45404</v>
      </c>
      <c r="IF105">
        <v>1708</v>
      </c>
      <c r="IG105">
        <v>-176</v>
      </c>
      <c r="IH105">
        <v>-1487</v>
      </c>
      <c r="II105" s="3">
        <v>45404</v>
      </c>
      <c r="IJ105">
        <v>377</v>
      </c>
      <c r="IK105">
        <v>-264</v>
      </c>
      <c r="IL105">
        <v>18</v>
      </c>
      <c r="IM105" s="3">
        <v>45404</v>
      </c>
      <c r="IN105">
        <v>5015</v>
      </c>
      <c r="IO105">
        <v>-4</v>
      </c>
      <c r="IP105">
        <v>-5016</v>
      </c>
      <c r="IQ105" s="3">
        <v>45404</v>
      </c>
      <c r="IR105">
        <v>388</v>
      </c>
      <c r="IS105">
        <v>288</v>
      </c>
      <c r="IT105">
        <v>-654</v>
      </c>
      <c r="IU105" s="3">
        <v>45404</v>
      </c>
      <c r="IV105">
        <v>1008</v>
      </c>
      <c r="IW105">
        <v>407</v>
      </c>
      <c r="IX105">
        <v>-1217</v>
      </c>
      <c r="IY105" s="3">
        <v>45404</v>
      </c>
      <c r="IZ105">
        <v>387</v>
      </c>
      <c r="JA105">
        <v>180</v>
      </c>
      <c r="JB105">
        <v>-671</v>
      </c>
      <c r="JC105" s="3">
        <v>45404</v>
      </c>
      <c r="JD105">
        <v>6048</v>
      </c>
      <c r="JE105">
        <v>-11582</v>
      </c>
      <c r="JF105">
        <v>7837</v>
      </c>
      <c r="JG105" s="3">
        <v>45404</v>
      </c>
      <c r="JH105">
        <v>11599</v>
      </c>
      <c r="JI105">
        <v>-11656</v>
      </c>
      <c r="JJ105">
        <v>-636</v>
      </c>
      <c r="JK105" s="3">
        <v>45404</v>
      </c>
      <c r="JL105">
        <v>1666</v>
      </c>
      <c r="JM105">
        <v>7928</v>
      </c>
      <c r="JN105">
        <v>-9085</v>
      </c>
      <c r="JO105" s="3">
        <v>45404</v>
      </c>
      <c r="JP105">
        <v>465</v>
      </c>
      <c r="JQ105">
        <v>-687</v>
      </c>
      <c r="JR105">
        <v>2641</v>
      </c>
      <c r="JS105" s="3"/>
      <c r="JW105" s="3"/>
      <c r="KA105" s="3"/>
      <c r="KE105" s="3"/>
      <c r="KI105" s="3"/>
      <c r="KM105" s="3"/>
      <c r="KQ105" s="3"/>
      <c r="KU105" s="3"/>
      <c r="KY105" s="3"/>
      <c r="LC105" s="3"/>
      <c r="LG105" s="3"/>
      <c r="LK105" s="3"/>
      <c r="LO105" s="3"/>
    </row>
    <row r="106" spans="18:327" hidden="1">
      <c r="R106" s="3"/>
      <c r="V106" s="3"/>
      <c r="Z106" s="3"/>
      <c r="AD106" s="3"/>
      <c r="AH106" s="3"/>
      <c r="AL106" s="3"/>
      <c r="AP106" s="3"/>
      <c r="AT106" s="3"/>
      <c r="AX106" s="3"/>
      <c r="BB106" s="3"/>
      <c r="BF106" s="3"/>
      <c r="BJ106" s="3"/>
      <c r="BN106" s="3"/>
      <c r="BR106" s="3"/>
      <c r="BV106" s="3"/>
      <c r="BZ106" s="3"/>
      <c r="CD106" s="3"/>
      <c r="CH106" s="3"/>
      <c r="CL106" s="3"/>
      <c r="CP106" s="3"/>
      <c r="CT106" s="3"/>
      <c r="CX106" s="3"/>
      <c r="DB106" s="3"/>
      <c r="DF106" s="3"/>
      <c r="DJ106" s="3"/>
      <c r="DN106" s="3"/>
      <c r="DR106" s="3"/>
      <c r="DV106" s="3"/>
      <c r="DZ106" s="3"/>
      <c r="ED106" s="3"/>
      <c r="EH106" s="3"/>
      <c r="EL106" s="3"/>
      <c r="EP106" s="3"/>
      <c r="ET106" s="3"/>
      <c r="EX106" s="3"/>
      <c r="FB106" s="3"/>
      <c r="FF106" s="3"/>
      <c r="FJ106" s="3"/>
      <c r="FN106" s="3"/>
      <c r="FS106" s="3">
        <v>45401</v>
      </c>
      <c r="FT106">
        <v>-667220</v>
      </c>
      <c r="FU106">
        <v>-343623</v>
      </c>
      <c r="FV106">
        <v>924518</v>
      </c>
      <c r="FW106" s="3">
        <v>45401</v>
      </c>
      <c r="FX106">
        <v>-682147</v>
      </c>
      <c r="FY106">
        <v>-244730</v>
      </c>
      <c r="FZ106">
        <v>845420</v>
      </c>
      <c r="GA106" s="3">
        <v>45401</v>
      </c>
      <c r="GB106">
        <v>617</v>
      </c>
      <c r="GC106">
        <v>-1964</v>
      </c>
      <c r="GD106">
        <v>1053</v>
      </c>
      <c r="GE106" s="3">
        <v>45401</v>
      </c>
      <c r="GF106">
        <v>-353</v>
      </c>
      <c r="GG106">
        <v>495</v>
      </c>
      <c r="GH106">
        <v>-342</v>
      </c>
      <c r="GI106" s="3">
        <v>45401</v>
      </c>
      <c r="GJ106">
        <v>-7</v>
      </c>
      <c r="GK106">
        <v>-496</v>
      </c>
      <c r="GL106">
        <v>308</v>
      </c>
      <c r="GM106" s="3">
        <v>45401</v>
      </c>
      <c r="GN106">
        <v>-64</v>
      </c>
      <c r="GO106">
        <v>-255</v>
      </c>
      <c r="GP106">
        <v>302</v>
      </c>
      <c r="GQ106" s="3">
        <v>45401</v>
      </c>
      <c r="GR106">
        <v>-267</v>
      </c>
      <c r="GS106">
        <v>40</v>
      </c>
      <c r="GT106">
        <v>270</v>
      </c>
      <c r="GU106" s="3">
        <v>45401</v>
      </c>
      <c r="GV106">
        <v>-30</v>
      </c>
      <c r="GW106">
        <v>-81</v>
      </c>
      <c r="GX106">
        <v>-58</v>
      </c>
      <c r="GY106" s="3">
        <v>45401</v>
      </c>
      <c r="GZ106">
        <v>64</v>
      </c>
      <c r="HA106">
        <v>-998</v>
      </c>
      <c r="HB106">
        <v>908</v>
      </c>
      <c r="HC106" s="3">
        <v>45401</v>
      </c>
      <c r="HD106">
        <v>-584</v>
      </c>
      <c r="HE106">
        <v>-1176</v>
      </c>
      <c r="HF106">
        <v>644</v>
      </c>
      <c r="HG106" s="3">
        <v>45401</v>
      </c>
      <c r="HH106">
        <v>-4630</v>
      </c>
      <c r="HI106">
        <v>-3002</v>
      </c>
      <c r="HJ106">
        <v>6950</v>
      </c>
      <c r="HK106" s="3">
        <v>45401</v>
      </c>
      <c r="HL106">
        <v>-77</v>
      </c>
      <c r="HM106">
        <v>-791</v>
      </c>
      <c r="HN106">
        <v>837</v>
      </c>
      <c r="HO106" s="3">
        <v>45401</v>
      </c>
      <c r="HP106">
        <v>42</v>
      </c>
      <c r="HQ106">
        <v>-1318</v>
      </c>
      <c r="HR106">
        <v>876</v>
      </c>
      <c r="HS106" s="3">
        <v>45401</v>
      </c>
      <c r="HT106">
        <v>-234</v>
      </c>
      <c r="HU106">
        <v>20</v>
      </c>
      <c r="HV106">
        <v>186</v>
      </c>
      <c r="HW106" s="3">
        <v>45401</v>
      </c>
      <c r="HX106">
        <v>-54</v>
      </c>
      <c r="HY106">
        <v>-74</v>
      </c>
      <c r="HZ106">
        <v>69</v>
      </c>
      <c r="IA106" s="3">
        <v>45401</v>
      </c>
      <c r="IB106">
        <v>-101</v>
      </c>
      <c r="IC106">
        <v>82</v>
      </c>
      <c r="ID106">
        <v>-32</v>
      </c>
      <c r="IE106" s="3">
        <v>45401</v>
      </c>
      <c r="IF106">
        <v>539</v>
      </c>
      <c r="IG106">
        <v>-7522</v>
      </c>
      <c r="IH106">
        <v>6845</v>
      </c>
      <c r="II106" s="3">
        <v>45401</v>
      </c>
      <c r="IJ106">
        <v>-464</v>
      </c>
      <c r="IK106">
        <v>226</v>
      </c>
      <c r="IL106">
        <v>241</v>
      </c>
      <c r="IM106" s="3">
        <v>45401</v>
      </c>
      <c r="IN106">
        <v>-2336</v>
      </c>
      <c r="IO106">
        <v>1080</v>
      </c>
      <c r="IP106">
        <v>1334</v>
      </c>
      <c r="IQ106" s="3">
        <v>45401</v>
      </c>
      <c r="IR106">
        <v>-476</v>
      </c>
      <c r="IS106">
        <v>486</v>
      </c>
      <c r="IT106">
        <v>248</v>
      </c>
      <c r="IU106" s="3">
        <v>45401</v>
      </c>
      <c r="IV106">
        <v>-139</v>
      </c>
      <c r="IW106">
        <v>32</v>
      </c>
      <c r="IX106">
        <v>30</v>
      </c>
      <c r="IY106" s="3">
        <v>45401</v>
      </c>
      <c r="IZ106">
        <v>-605</v>
      </c>
      <c r="JA106">
        <v>-973</v>
      </c>
      <c r="JB106">
        <v>1404</v>
      </c>
      <c r="JC106" s="3">
        <v>45401</v>
      </c>
      <c r="JD106">
        <v>-5456</v>
      </c>
      <c r="JE106">
        <v>-7745</v>
      </c>
      <c r="JF106">
        <v>10674</v>
      </c>
      <c r="JG106" s="3">
        <v>45401</v>
      </c>
      <c r="JH106">
        <v>-8824</v>
      </c>
      <c r="JI106">
        <v>-2399</v>
      </c>
      <c r="JJ106">
        <v>9852</v>
      </c>
      <c r="JK106" s="3">
        <v>45401</v>
      </c>
      <c r="JL106">
        <v>-428</v>
      </c>
      <c r="JM106">
        <v>-8294</v>
      </c>
      <c r="JN106">
        <v>8323</v>
      </c>
      <c r="JO106" s="3">
        <v>45401</v>
      </c>
      <c r="JP106">
        <v>717</v>
      </c>
      <c r="JQ106">
        <v>-4598</v>
      </c>
      <c r="JR106">
        <v>2801</v>
      </c>
      <c r="JS106" s="3"/>
      <c r="JW106" s="3"/>
      <c r="KA106" s="3"/>
      <c r="KE106" s="3"/>
      <c r="KI106" s="3"/>
      <c r="KM106" s="3"/>
      <c r="KQ106" s="3"/>
      <c r="KU106" s="3"/>
      <c r="KY106" s="3"/>
      <c r="LC106" s="3"/>
      <c r="LG106" s="3"/>
      <c r="LK106" s="3"/>
      <c r="LO106" s="3"/>
    </row>
    <row r="107" spans="18:327" hidden="1">
      <c r="R107" s="3"/>
      <c r="V107" s="3"/>
      <c r="Z107" s="3"/>
      <c r="AD107" s="3"/>
      <c r="AH107" s="3"/>
      <c r="AL107" s="3"/>
      <c r="AP107" s="3"/>
      <c r="AT107" s="3"/>
      <c r="AX107" s="3"/>
      <c r="BB107" s="3"/>
      <c r="BF107" s="3"/>
      <c r="BJ107" s="3"/>
      <c r="BN107" s="3"/>
      <c r="BR107" s="3"/>
      <c r="BV107" s="3"/>
      <c r="BZ107" s="3"/>
      <c r="CD107" s="3"/>
      <c r="CH107" s="3"/>
      <c r="CL107" s="3"/>
      <c r="CP107" s="3"/>
      <c r="CT107" s="3"/>
      <c r="CX107" s="3"/>
      <c r="DB107" s="3"/>
      <c r="DF107" s="3"/>
      <c r="DJ107" s="3"/>
      <c r="DN107" s="3"/>
      <c r="DR107" s="3"/>
      <c r="DV107" s="3"/>
      <c r="DZ107" s="3"/>
      <c r="ED107" s="3"/>
      <c r="EH107" s="3"/>
      <c r="EL107" s="3"/>
      <c r="EP107" s="3"/>
      <c r="ET107" s="3"/>
      <c r="EX107" s="3"/>
      <c r="FB107" s="3"/>
      <c r="FF107" s="3"/>
      <c r="FJ107" s="3"/>
      <c r="FN107" s="3"/>
      <c r="FS107" s="3">
        <v>45400</v>
      </c>
      <c r="FT107">
        <v>24654</v>
      </c>
      <c r="FU107">
        <v>574231</v>
      </c>
      <c r="FV107">
        <v>-604755</v>
      </c>
      <c r="FW107" s="3">
        <v>45400</v>
      </c>
      <c r="FX107">
        <v>-12845</v>
      </c>
      <c r="FY107">
        <v>491646</v>
      </c>
      <c r="FZ107">
        <v>-491247</v>
      </c>
      <c r="GA107" s="3">
        <v>45400</v>
      </c>
      <c r="GB107">
        <v>-4150</v>
      </c>
      <c r="GC107">
        <v>5651</v>
      </c>
      <c r="GD107">
        <v>-1824</v>
      </c>
      <c r="GE107" s="3">
        <v>45400</v>
      </c>
      <c r="GF107">
        <v>657</v>
      </c>
      <c r="GG107">
        <v>189</v>
      </c>
      <c r="GH107">
        <v>-846</v>
      </c>
      <c r="GI107" s="3">
        <v>45400</v>
      </c>
      <c r="GJ107">
        <v>184</v>
      </c>
      <c r="GK107">
        <v>1023</v>
      </c>
      <c r="GL107">
        <v>-1248</v>
      </c>
      <c r="GM107" s="3">
        <v>45400</v>
      </c>
      <c r="GN107">
        <v>1819</v>
      </c>
      <c r="GO107">
        <v>908</v>
      </c>
      <c r="GP107">
        <v>-2744</v>
      </c>
      <c r="GQ107" s="3">
        <v>45400</v>
      </c>
      <c r="GR107">
        <v>28</v>
      </c>
      <c r="GS107">
        <v>533</v>
      </c>
      <c r="GT107">
        <v>-571</v>
      </c>
      <c r="GU107" s="3">
        <v>45400</v>
      </c>
      <c r="GV107">
        <v>-5</v>
      </c>
      <c r="GW107">
        <v>151</v>
      </c>
      <c r="GX107">
        <v>-253</v>
      </c>
      <c r="GY107" s="3">
        <v>45400</v>
      </c>
      <c r="GZ107">
        <v>41</v>
      </c>
      <c r="HA107">
        <v>1162</v>
      </c>
      <c r="HB107">
        <v>-899</v>
      </c>
      <c r="HC107" s="3">
        <v>45400</v>
      </c>
      <c r="HD107">
        <v>-233</v>
      </c>
      <c r="HE107">
        <v>3121</v>
      </c>
      <c r="HF107">
        <v>-3228</v>
      </c>
      <c r="HG107" s="3">
        <v>45400</v>
      </c>
      <c r="HH107">
        <v>-382</v>
      </c>
      <c r="HI107">
        <v>2933</v>
      </c>
      <c r="HJ107">
        <v>-2898</v>
      </c>
      <c r="HK107" s="3">
        <v>45400</v>
      </c>
      <c r="HL107">
        <v>42</v>
      </c>
      <c r="HM107">
        <v>289</v>
      </c>
      <c r="HN107">
        <v>-336</v>
      </c>
      <c r="HO107" s="3">
        <v>45400</v>
      </c>
      <c r="HP107">
        <v>1739</v>
      </c>
      <c r="HQ107">
        <v>13146</v>
      </c>
      <c r="HR107">
        <v>-14815</v>
      </c>
      <c r="HS107" s="3">
        <v>45400</v>
      </c>
      <c r="HT107">
        <v>-143</v>
      </c>
      <c r="HU107">
        <v>-64</v>
      </c>
      <c r="HV107">
        <v>201</v>
      </c>
      <c r="HW107" s="3">
        <v>45400</v>
      </c>
      <c r="HX107">
        <v>124</v>
      </c>
      <c r="HY107">
        <v>205</v>
      </c>
      <c r="HZ107">
        <v>-343</v>
      </c>
      <c r="IA107" s="3">
        <v>45400</v>
      </c>
      <c r="IB107">
        <v>-44</v>
      </c>
      <c r="IC107">
        <v>594</v>
      </c>
      <c r="ID107">
        <v>-547</v>
      </c>
      <c r="IE107" s="3">
        <v>45400</v>
      </c>
      <c r="IF107">
        <v>-973</v>
      </c>
      <c r="IG107">
        <v>1890</v>
      </c>
      <c r="IH107">
        <v>-862</v>
      </c>
      <c r="II107" s="3">
        <v>45400</v>
      </c>
      <c r="IJ107">
        <v>-231</v>
      </c>
      <c r="IK107">
        <v>196</v>
      </c>
      <c r="IL107">
        <v>24</v>
      </c>
      <c r="IM107" s="3">
        <v>45400</v>
      </c>
      <c r="IN107">
        <v>-1069</v>
      </c>
      <c r="IO107">
        <v>2242</v>
      </c>
      <c r="IP107">
        <v>-1142</v>
      </c>
      <c r="IQ107" s="3">
        <v>45400</v>
      </c>
      <c r="IR107">
        <v>-72</v>
      </c>
      <c r="IS107">
        <v>235</v>
      </c>
      <c r="IT107">
        <v>-24</v>
      </c>
      <c r="IU107" s="3">
        <v>45400</v>
      </c>
      <c r="IV107">
        <v>-272</v>
      </c>
      <c r="IW107">
        <v>151</v>
      </c>
      <c r="IX107">
        <v>58</v>
      </c>
      <c r="IY107" s="3">
        <v>45400</v>
      </c>
      <c r="IZ107">
        <v>982</v>
      </c>
      <c r="JA107">
        <v>142</v>
      </c>
      <c r="JB107">
        <v>-944</v>
      </c>
      <c r="JC107" s="3">
        <v>45400</v>
      </c>
      <c r="JD107">
        <v>3565</v>
      </c>
      <c r="JE107">
        <v>23217</v>
      </c>
      <c r="JF107">
        <v>-27260</v>
      </c>
      <c r="JG107" s="3">
        <v>45400</v>
      </c>
      <c r="JH107">
        <v>653</v>
      </c>
      <c r="JI107">
        <v>16737</v>
      </c>
      <c r="JJ107">
        <v>-17593</v>
      </c>
      <c r="JK107" s="3">
        <v>45400</v>
      </c>
      <c r="JL107">
        <v>59</v>
      </c>
      <c r="JM107">
        <v>5114</v>
      </c>
      <c r="JN107">
        <v>-5271</v>
      </c>
      <c r="JO107" s="3">
        <v>45400</v>
      </c>
      <c r="JP107">
        <v>1542</v>
      </c>
      <c r="JQ107">
        <v>6472</v>
      </c>
      <c r="JR107">
        <v>-7977</v>
      </c>
      <c r="JS107" s="3"/>
      <c r="JW107" s="3"/>
      <c r="KA107" s="3"/>
      <c r="KE107" s="3"/>
      <c r="KI107" s="3"/>
      <c r="KM107" s="3"/>
      <c r="KQ107" s="3"/>
      <c r="KU107" s="3"/>
      <c r="KY107" s="3"/>
      <c r="LC107" s="3"/>
      <c r="LG107" s="3"/>
      <c r="LK107" s="3"/>
      <c r="LO107" s="3"/>
    </row>
    <row r="108" spans="18:327" hidden="1">
      <c r="R108" s="3"/>
      <c r="V108" s="3"/>
      <c r="Z108" s="3"/>
      <c r="AD108" s="3"/>
      <c r="AH108" s="3"/>
      <c r="AL108" s="3"/>
      <c r="AP108" s="3"/>
      <c r="AT108" s="3"/>
      <c r="AX108" s="3"/>
      <c r="BB108" s="3"/>
      <c r="BF108" s="3"/>
      <c r="BJ108" s="3"/>
      <c r="BN108" s="3"/>
      <c r="BR108" s="3"/>
      <c r="BV108" s="3"/>
      <c r="BZ108" s="3"/>
      <c r="CD108" s="3"/>
      <c r="CH108" s="3"/>
      <c r="CL108" s="3"/>
      <c r="CP108" s="3"/>
      <c r="CT108" s="3"/>
      <c r="CX108" s="3"/>
      <c r="DB108" s="3"/>
      <c r="DF108" s="3"/>
      <c r="DJ108" s="3"/>
      <c r="DN108" s="3"/>
      <c r="DR108" s="3"/>
      <c r="DV108" s="3"/>
      <c r="DZ108" s="3"/>
      <c r="ED108" s="3"/>
      <c r="EH108" s="3"/>
      <c r="EL108" s="3"/>
      <c r="EP108" s="3"/>
      <c r="ET108" s="3"/>
      <c r="EX108" s="3"/>
      <c r="FB108" s="3"/>
      <c r="FF108" s="3"/>
      <c r="FJ108" s="3"/>
      <c r="FN108" s="3"/>
      <c r="FS108" s="3">
        <v>45399</v>
      </c>
      <c r="FT108">
        <v>-213860</v>
      </c>
      <c r="FU108">
        <v>-165070</v>
      </c>
      <c r="FV108">
        <v>360124</v>
      </c>
      <c r="FW108" s="3">
        <v>45399</v>
      </c>
      <c r="FX108">
        <v>-221119</v>
      </c>
      <c r="FY108">
        <v>-192453</v>
      </c>
      <c r="FZ108">
        <v>399676</v>
      </c>
      <c r="GA108" s="3">
        <v>45399</v>
      </c>
      <c r="GB108">
        <v>1237</v>
      </c>
      <c r="GC108">
        <v>-6857</v>
      </c>
      <c r="GD108">
        <v>5320</v>
      </c>
      <c r="GE108" s="3">
        <v>45399</v>
      </c>
      <c r="GF108">
        <v>2603</v>
      </c>
      <c r="GG108">
        <v>3430</v>
      </c>
      <c r="GH108">
        <v>-5644</v>
      </c>
      <c r="GI108" s="3">
        <v>45399</v>
      </c>
      <c r="GJ108">
        <v>269</v>
      </c>
      <c r="GK108">
        <v>-47</v>
      </c>
      <c r="GL108">
        <v>-242</v>
      </c>
      <c r="GM108" s="3">
        <v>45399</v>
      </c>
      <c r="GN108">
        <v>68</v>
      </c>
      <c r="GO108">
        <v>489</v>
      </c>
      <c r="GP108">
        <v>-718</v>
      </c>
      <c r="GQ108" s="3">
        <v>45399</v>
      </c>
      <c r="GR108">
        <v>-103</v>
      </c>
      <c r="GS108">
        <v>-418</v>
      </c>
      <c r="GT108">
        <v>453</v>
      </c>
      <c r="GU108" s="3">
        <v>45399</v>
      </c>
      <c r="GV108">
        <v>-29</v>
      </c>
      <c r="GW108">
        <v>-45</v>
      </c>
      <c r="GX108">
        <v>-14</v>
      </c>
      <c r="GY108" s="3">
        <v>45399</v>
      </c>
      <c r="GZ108">
        <v>75</v>
      </c>
      <c r="HA108">
        <v>26</v>
      </c>
      <c r="HB108">
        <v>-701</v>
      </c>
      <c r="HC108" s="3">
        <v>45399</v>
      </c>
      <c r="HD108">
        <v>-591</v>
      </c>
      <c r="HE108">
        <v>-1282</v>
      </c>
      <c r="HF108">
        <v>1266</v>
      </c>
      <c r="HG108" s="3">
        <v>45399</v>
      </c>
      <c r="HH108">
        <v>-690</v>
      </c>
      <c r="HI108">
        <v>1658</v>
      </c>
      <c r="HJ108">
        <v>-1040</v>
      </c>
      <c r="HK108" s="3">
        <v>45399</v>
      </c>
      <c r="HL108">
        <v>127</v>
      </c>
      <c r="HM108">
        <v>241</v>
      </c>
      <c r="HN108">
        <v>-235</v>
      </c>
      <c r="HO108" s="3">
        <v>45399</v>
      </c>
      <c r="HP108">
        <v>871</v>
      </c>
      <c r="HQ108">
        <v>-1621</v>
      </c>
      <c r="HR108">
        <v>825</v>
      </c>
      <c r="HS108" s="3">
        <v>45399</v>
      </c>
      <c r="HT108">
        <v>-336</v>
      </c>
      <c r="HU108">
        <v>625</v>
      </c>
      <c r="HV108">
        <v>-349</v>
      </c>
      <c r="HW108" s="3">
        <v>45399</v>
      </c>
      <c r="HX108">
        <v>-660</v>
      </c>
      <c r="HY108">
        <v>-281</v>
      </c>
      <c r="HZ108">
        <v>932</v>
      </c>
      <c r="IA108" s="3">
        <v>45399</v>
      </c>
      <c r="IB108">
        <v>-363</v>
      </c>
      <c r="IC108">
        <v>-184</v>
      </c>
      <c r="ID108">
        <v>524</v>
      </c>
      <c r="IE108" s="3">
        <v>45399</v>
      </c>
      <c r="IF108">
        <v>-191</v>
      </c>
      <c r="IG108">
        <v>-531</v>
      </c>
      <c r="IH108">
        <v>709</v>
      </c>
      <c r="II108" s="3">
        <v>45399</v>
      </c>
      <c r="IJ108">
        <v>-137</v>
      </c>
      <c r="IK108">
        <v>-128</v>
      </c>
      <c r="IL108">
        <v>253</v>
      </c>
      <c r="IM108" s="3">
        <v>45399</v>
      </c>
      <c r="IN108">
        <v>-1202</v>
      </c>
      <c r="IO108">
        <v>-41</v>
      </c>
      <c r="IP108">
        <v>1168</v>
      </c>
      <c r="IQ108" s="3">
        <v>45399</v>
      </c>
      <c r="IR108">
        <v>-36</v>
      </c>
      <c r="IS108">
        <v>-219</v>
      </c>
      <c r="IT108">
        <v>285</v>
      </c>
      <c r="IU108" s="3">
        <v>45399</v>
      </c>
      <c r="IV108">
        <v>27</v>
      </c>
      <c r="IW108">
        <v>-236</v>
      </c>
      <c r="IX108">
        <v>265</v>
      </c>
      <c r="IY108" s="3">
        <v>45399</v>
      </c>
      <c r="IZ108">
        <v>-183</v>
      </c>
      <c r="JA108">
        <v>793</v>
      </c>
      <c r="JB108">
        <v>-603</v>
      </c>
      <c r="JC108" s="3">
        <v>45399</v>
      </c>
      <c r="JD108">
        <v>331</v>
      </c>
      <c r="JE108">
        <v>-762</v>
      </c>
      <c r="JF108">
        <v>-1049</v>
      </c>
      <c r="JG108" s="3">
        <v>45399</v>
      </c>
      <c r="JH108">
        <v>-2887</v>
      </c>
      <c r="JI108">
        <v>-4652</v>
      </c>
      <c r="JJ108">
        <v>7416</v>
      </c>
      <c r="JK108" s="3">
        <v>45399</v>
      </c>
      <c r="JL108">
        <v>-66</v>
      </c>
      <c r="JM108">
        <v>-855</v>
      </c>
      <c r="JN108">
        <v>897</v>
      </c>
      <c r="JO108" s="3">
        <v>45399</v>
      </c>
      <c r="JP108">
        <v>283</v>
      </c>
      <c r="JQ108">
        <v>4797</v>
      </c>
      <c r="JR108">
        <v>-6566</v>
      </c>
      <c r="JS108" s="3"/>
      <c r="JW108" s="3"/>
      <c r="KA108" s="3"/>
      <c r="KE108" s="3"/>
      <c r="KI108" s="3"/>
      <c r="KM108" s="3"/>
      <c r="KQ108" s="3"/>
      <c r="KU108" s="3"/>
      <c r="KY108" s="3"/>
      <c r="LC108" s="3"/>
      <c r="LG108" s="3"/>
      <c r="LK108" s="3"/>
      <c r="LO108" s="3"/>
    </row>
    <row r="109" spans="18:327" hidden="1">
      <c r="R109" s="3"/>
      <c r="V109" s="3"/>
      <c r="Z109" s="3"/>
      <c r="AD109" s="3"/>
      <c r="AH109" s="3"/>
      <c r="AL109" s="3"/>
      <c r="AP109" s="3"/>
      <c r="AT109" s="3"/>
      <c r="AX109" s="3"/>
      <c r="BB109" s="3"/>
      <c r="BF109" s="3"/>
      <c r="BJ109" s="3"/>
      <c r="BN109" s="3"/>
      <c r="BR109" s="3"/>
      <c r="BV109" s="3"/>
      <c r="BZ109" s="3"/>
      <c r="CD109" s="3"/>
      <c r="CH109" s="3"/>
      <c r="CL109" s="3"/>
      <c r="CP109" s="3"/>
      <c r="CT109" s="3"/>
      <c r="CX109" s="3"/>
      <c r="DB109" s="3"/>
      <c r="DF109" s="3"/>
      <c r="DJ109" s="3"/>
      <c r="DN109" s="3"/>
      <c r="DR109" s="3"/>
      <c r="DV109" s="3"/>
      <c r="DZ109" s="3"/>
      <c r="ED109" s="3"/>
      <c r="EH109" s="3"/>
      <c r="EL109" s="3"/>
      <c r="EP109" s="3"/>
      <c r="ET109" s="3"/>
      <c r="EX109" s="3"/>
      <c r="FB109" s="3"/>
      <c r="FF109" s="3"/>
      <c r="FJ109" s="3"/>
      <c r="FN109" s="3"/>
      <c r="FS109" s="3">
        <v>45398</v>
      </c>
      <c r="FT109">
        <v>-236386</v>
      </c>
      <c r="FU109">
        <v>-267775</v>
      </c>
      <c r="FV109">
        <v>494346</v>
      </c>
      <c r="FW109" s="3">
        <v>45398</v>
      </c>
      <c r="FX109">
        <v>-190372</v>
      </c>
      <c r="FY109">
        <v>-250729</v>
      </c>
      <c r="FZ109">
        <v>427601</v>
      </c>
      <c r="GA109" s="3">
        <v>45398</v>
      </c>
      <c r="GB109">
        <v>19638</v>
      </c>
      <c r="GC109">
        <v>-2403</v>
      </c>
      <c r="GD109">
        <v>-18288</v>
      </c>
      <c r="GE109" s="3">
        <v>45398</v>
      </c>
      <c r="GF109">
        <v>-456</v>
      </c>
      <c r="GG109">
        <v>997</v>
      </c>
      <c r="GH109">
        <v>-1009</v>
      </c>
      <c r="GI109" s="3">
        <v>45398</v>
      </c>
      <c r="GJ109">
        <v>283</v>
      </c>
      <c r="GK109">
        <v>-950</v>
      </c>
      <c r="GL109">
        <v>632</v>
      </c>
      <c r="GM109" s="3">
        <v>45398</v>
      </c>
      <c r="GN109">
        <v>44</v>
      </c>
      <c r="GO109">
        <v>-370</v>
      </c>
      <c r="GP109">
        <v>226</v>
      </c>
      <c r="GQ109" s="3">
        <v>45398</v>
      </c>
      <c r="GR109">
        <v>-57</v>
      </c>
      <c r="GS109">
        <v>-387</v>
      </c>
      <c r="GT109">
        <v>409</v>
      </c>
      <c r="GU109" s="3">
        <v>45398</v>
      </c>
      <c r="GV109">
        <v>-9</v>
      </c>
      <c r="GW109">
        <v>-218</v>
      </c>
      <c r="GX109">
        <v>81</v>
      </c>
      <c r="GY109" s="3">
        <v>45398</v>
      </c>
      <c r="GZ109">
        <v>-278</v>
      </c>
      <c r="HA109">
        <v>-1052</v>
      </c>
      <c r="HB109">
        <v>1449</v>
      </c>
      <c r="HC109" s="3">
        <v>45398</v>
      </c>
      <c r="HD109">
        <v>171</v>
      </c>
      <c r="HE109">
        <v>-2873</v>
      </c>
      <c r="HF109">
        <v>2061</v>
      </c>
      <c r="HG109" s="3">
        <v>45398</v>
      </c>
      <c r="HH109">
        <v>-3903</v>
      </c>
      <c r="HI109">
        <v>599</v>
      </c>
      <c r="HJ109">
        <v>5141</v>
      </c>
      <c r="HK109" s="3">
        <v>45398</v>
      </c>
      <c r="HL109">
        <v>-233</v>
      </c>
      <c r="HM109">
        <v>-165</v>
      </c>
      <c r="HN109">
        <v>395</v>
      </c>
      <c r="HO109" s="3">
        <v>45398</v>
      </c>
      <c r="HP109">
        <v>447</v>
      </c>
      <c r="HQ109">
        <v>-2077</v>
      </c>
      <c r="HR109">
        <v>1712</v>
      </c>
      <c r="HS109" s="3">
        <v>45398</v>
      </c>
      <c r="HT109">
        <v>-210</v>
      </c>
      <c r="HU109">
        <v>-905</v>
      </c>
      <c r="HV109">
        <v>1022</v>
      </c>
      <c r="HW109" s="3">
        <v>45398</v>
      </c>
      <c r="HX109">
        <v>73</v>
      </c>
      <c r="HY109">
        <v>-444</v>
      </c>
      <c r="HZ109">
        <v>397</v>
      </c>
      <c r="IA109" s="3">
        <v>45398</v>
      </c>
      <c r="IB109">
        <v>-280</v>
      </c>
      <c r="IC109">
        <v>-16</v>
      </c>
      <c r="ID109">
        <v>243</v>
      </c>
      <c r="IE109" s="3">
        <v>45398</v>
      </c>
      <c r="IF109">
        <v>-809</v>
      </c>
      <c r="IG109">
        <v>-3969</v>
      </c>
      <c r="IH109">
        <v>4749</v>
      </c>
      <c r="II109" s="3">
        <v>45398</v>
      </c>
      <c r="IJ109">
        <v>24</v>
      </c>
      <c r="IK109">
        <v>-261</v>
      </c>
      <c r="IL109">
        <v>247</v>
      </c>
      <c r="IM109" s="3">
        <v>45398</v>
      </c>
      <c r="IN109">
        <v>-1656</v>
      </c>
      <c r="IO109">
        <v>-592</v>
      </c>
      <c r="IP109">
        <v>1863</v>
      </c>
      <c r="IQ109" s="3">
        <v>45398</v>
      </c>
      <c r="IR109">
        <v>-364</v>
      </c>
      <c r="IS109">
        <v>-473</v>
      </c>
      <c r="IT109">
        <v>705</v>
      </c>
      <c r="IU109" s="3">
        <v>45398</v>
      </c>
      <c r="IV109">
        <v>-96</v>
      </c>
      <c r="IW109">
        <v>-494</v>
      </c>
      <c r="IX109">
        <v>521</v>
      </c>
      <c r="IY109" s="3">
        <v>45398</v>
      </c>
      <c r="IZ109">
        <v>-7</v>
      </c>
      <c r="JA109">
        <v>-1084</v>
      </c>
      <c r="JB109">
        <v>967</v>
      </c>
      <c r="JC109" s="3">
        <v>45398</v>
      </c>
      <c r="JD109">
        <v>-3644</v>
      </c>
      <c r="JE109">
        <v>-7046</v>
      </c>
      <c r="JF109">
        <v>11580</v>
      </c>
      <c r="JG109" s="3">
        <v>45398</v>
      </c>
      <c r="JH109">
        <v>-3895</v>
      </c>
      <c r="JI109">
        <v>-3721</v>
      </c>
      <c r="JJ109">
        <v>7486</v>
      </c>
      <c r="JK109" s="3">
        <v>45398</v>
      </c>
      <c r="JL109">
        <v>-1256</v>
      </c>
      <c r="JM109">
        <v>-5579</v>
      </c>
      <c r="JN109">
        <v>6773</v>
      </c>
      <c r="JO109" s="3">
        <v>45398</v>
      </c>
      <c r="JP109">
        <v>-1110</v>
      </c>
      <c r="JQ109">
        <v>-5663</v>
      </c>
      <c r="JR109">
        <v>7285</v>
      </c>
      <c r="JS109" s="3"/>
      <c r="JW109" s="3"/>
      <c r="KA109" s="3"/>
      <c r="KE109" s="3"/>
      <c r="KI109" s="3"/>
      <c r="KM109" s="3"/>
      <c r="KQ109" s="3"/>
      <c r="KU109" s="3"/>
      <c r="KY109" s="3"/>
      <c r="LC109" s="3"/>
      <c r="LG109" s="3"/>
      <c r="LK109" s="3"/>
      <c r="LO109" s="3"/>
    </row>
    <row r="110" spans="18:327" hidden="1">
      <c r="R110" s="3"/>
      <c r="V110" s="3"/>
      <c r="Z110" s="3"/>
      <c r="AD110" s="3"/>
      <c r="AH110" s="3"/>
      <c r="AL110" s="3"/>
      <c r="AP110" s="3"/>
      <c r="AT110" s="3"/>
      <c r="AX110" s="3"/>
      <c r="BB110" s="3"/>
      <c r="BF110" s="3"/>
      <c r="BJ110" s="3"/>
      <c r="BN110" s="3"/>
      <c r="BR110" s="3"/>
      <c r="BV110" s="3"/>
      <c r="BZ110" s="3"/>
      <c r="CD110" s="3"/>
      <c r="CH110" s="3"/>
      <c r="CL110" s="3"/>
      <c r="CP110" s="3"/>
      <c r="CT110" s="3"/>
      <c r="CX110" s="3"/>
      <c r="DB110" s="3"/>
      <c r="DF110" s="3"/>
      <c r="DJ110" s="3"/>
      <c r="DN110" s="3"/>
      <c r="DR110" s="3"/>
      <c r="DV110" s="3"/>
      <c r="DZ110" s="3"/>
      <c r="ED110" s="3"/>
      <c r="EH110" s="3"/>
      <c r="EL110" s="3"/>
      <c r="EP110" s="3"/>
      <c r="ET110" s="3"/>
      <c r="EX110" s="3"/>
      <c r="FB110" s="3"/>
      <c r="FF110" s="3"/>
      <c r="FJ110" s="3"/>
      <c r="FN110" s="3"/>
      <c r="FS110" s="3">
        <v>45397</v>
      </c>
      <c r="FT110">
        <v>-26671</v>
      </c>
      <c r="FU110">
        <v>-238737</v>
      </c>
      <c r="FV110">
        <v>244281</v>
      </c>
      <c r="FW110" s="3">
        <v>45397</v>
      </c>
      <c r="FX110">
        <v>-12004</v>
      </c>
      <c r="FY110">
        <v>-169908</v>
      </c>
      <c r="FZ110">
        <v>163653</v>
      </c>
      <c r="GA110" s="3">
        <v>45397</v>
      </c>
      <c r="GB110">
        <v>6256</v>
      </c>
      <c r="GC110">
        <v>15699</v>
      </c>
      <c r="GD110">
        <v>-23406</v>
      </c>
      <c r="GE110" s="3">
        <v>45397</v>
      </c>
      <c r="GF110">
        <v>-488</v>
      </c>
      <c r="GG110">
        <v>-2409</v>
      </c>
      <c r="GH110">
        <v>2734</v>
      </c>
      <c r="GI110" s="3">
        <v>45397</v>
      </c>
      <c r="GJ110">
        <v>186</v>
      </c>
      <c r="GK110">
        <v>781</v>
      </c>
      <c r="GL110">
        <v>-1113</v>
      </c>
      <c r="GM110" s="3">
        <v>45397</v>
      </c>
      <c r="GN110">
        <v>-397</v>
      </c>
      <c r="GO110">
        <v>-88</v>
      </c>
      <c r="GP110">
        <v>427</v>
      </c>
      <c r="GQ110" s="3">
        <v>45397</v>
      </c>
      <c r="GR110">
        <v>-183</v>
      </c>
      <c r="GS110">
        <v>-427</v>
      </c>
      <c r="GT110">
        <v>592</v>
      </c>
      <c r="GU110" s="3">
        <v>45397</v>
      </c>
      <c r="GV110">
        <v>0</v>
      </c>
      <c r="GW110">
        <v>36</v>
      </c>
      <c r="GX110">
        <v>-129</v>
      </c>
      <c r="GY110" s="3">
        <v>45397</v>
      </c>
      <c r="GZ110">
        <v>386</v>
      </c>
      <c r="HA110">
        <v>-2373</v>
      </c>
      <c r="HB110">
        <v>2038</v>
      </c>
      <c r="HC110" s="3">
        <v>45397</v>
      </c>
      <c r="HD110">
        <v>299</v>
      </c>
      <c r="HE110">
        <v>36</v>
      </c>
      <c r="HF110">
        <v>-427</v>
      </c>
      <c r="HG110" s="3">
        <v>45397</v>
      </c>
      <c r="HH110">
        <v>-1765</v>
      </c>
      <c r="HI110">
        <v>-4403</v>
      </c>
      <c r="HJ110">
        <v>5972</v>
      </c>
      <c r="HK110" s="3">
        <v>45397</v>
      </c>
      <c r="HL110">
        <v>156</v>
      </c>
      <c r="HM110">
        <v>-3</v>
      </c>
      <c r="HN110">
        <v>-104</v>
      </c>
      <c r="HO110" s="3">
        <v>45397</v>
      </c>
      <c r="HP110">
        <v>992</v>
      </c>
      <c r="HQ110">
        <v>604</v>
      </c>
      <c r="HR110">
        <v>-1820</v>
      </c>
      <c r="HS110" s="3">
        <v>45397</v>
      </c>
      <c r="HT110">
        <v>-219</v>
      </c>
      <c r="HU110">
        <v>61</v>
      </c>
      <c r="HV110">
        <v>99</v>
      </c>
      <c r="HW110" s="3">
        <v>45397</v>
      </c>
      <c r="HX110">
        <v>217</v>
      </c>
      <c r="HY110">
        <v>503</v>
      </c>
      <c r="HZ110">
        <v>-682</v>
      </c>
      <c r="IA110" s="3">
        <v>45397</v>
      </c>
      <c r="IB110">
        <v>-85</v>
      </c>
      <c r="IC110">
        <v>248</v>
      </c>
      <c r="ID110">
        <v>-174</v>
      </c>
      <c r="IE110" s="3">
        <v>45397</v>
      </c>
      <c r="IF110">
        <v>50</v>
      </c>
      <c r="IG110">
        <v>-3172</v>
      </c>
      <c r="IH110">
        <v>3062</v>
      </c>
      <c r="II110" s="3">
        <v>45397</v>
      </c>
      <c r="IJ110">
        <v>157</v>
      </c>
      <c r="IK110">
        <v>-299</v>
      </c>
      <c r="IL110">
        <v>139</v>
      </c>
      <c r="IM110" s="3">
        <v>45397</v>
      </c>
      <c r="IN110">
        <v>-1653</v>
      </c>
      <c r="IO110">
        <v>2260</v>
      </c>
      <c r="IP110">
        <v>-434</v>
      </c>
      <c r="IQ110" s="3">
        <v>45397</v>
      </c>
      <c r="IR110">
        <v>5</v>
      </c>
      <c r="IS110">
        <v>-619</v>
      </c>
      <c r="IT110">
        <v>698</v>
      </c>
      <c r="IU110" s="3">
        <v>45397</v>
      </c>
      <c r="IV110">
        <v>-666</v>
      </c>
      <c r="IW110">
        <v>992</v>
      </c>
      <c r="IX110">
        <v>-175</v>
      </c>
      <c r="IY110" s="3">
        <v>45397</v>
      </c>
      <c r="IZ110">
        <v>-203</v>
      </c>
      <c r="JA110">
        <v>-372</v>
      </c>
      <c r="JB110">
        <v>347</v>
      </c>
      <c r="JC110" s="3">
        <v>45397</v>
      </c>
      <c r="JD110">
        <v>-345</v>
      </c>
      <c r="JE110">
        <v>-6033</v>
      </c>
      <c r="JF110">
        <v>5406</v>
      </c>
      <c r="JG110" s="3">
        <v>45397</v>
      </c>
      <c r="JH110">
        <v>-1342</v>
      </c>
      <c r="JI110">
        <v>-654</v>
      </c>
      <c r="JJ110">
        <v>1731</v>
      </c>
      <c r="JK110" s="3">
        <v>45397</v>
      </c>
      <c r="JL110">
        <v>-863</v>
      </c>
      <c r="JM110">
        <v>-3586</v>
      </c>
      <c r="JN110">
        <v>4404</v>
      </c>
      <c r="JO110" s="3">
        <v>45397</v>
      </c>
      <c r="JP110">
        <v>112</v>
      </c>
      <c r="JQ110">
        <v>-2714</v>
      </c>
      <c r="JR110">
        <v>1807</v>
      </c>
      <c r="JS110" s="3"/>
      <c r="JW110" s="3"/>
      <c r="KA110" s="3"/>
      <c r="KE110" s="3"/>
      <c r="KI110" s="3"/>
      <c r="KM110" s="3"/>
      <c r="KQ110" s="3"/>
      <c r="KU110" s="3"/>
      <c r="KY110" s="3"/>
      <c r="LC110" s="3"/>
      <c r="LG110" s="3"/>
      <c r="LK110" s="3"/>
      <c r="LO110" s="3"/>
    </row>
    <row r="111" spans="18:327" hidden="1">
      <c r="R111" s="3"/>
      <c r="V111" s="3"/>
      <c r="Z111" s="3"/>
      <c r="AD111" s="3"/>
      <c r="AH111" s="3"/>
      <c r="AL111" s="3"/>
      <c r="AP111" s="3"/>
      <c r="AT111" s="3"/>
      <c r="AX111" s="3"/>
      <c r="BB111" s="3"/>
      <c r="BF111" s="3"/>
      <c r="BJ111" s="3"/>
      <c r="BN111" s="3"/>
      <c r="BR111" s="3"/>
      <c r="BV111" s="3"/>
      <c r="BZ111" s="3"/>
      <c r="CD111" s="3"/>
      <c r="CH111" s="3"/>
      <c r="CL111" s="3"/>
      <c r="CP111" s="3"/>
      <c r="CT111" s="3"/>
      <c r="CX111" s="3"/>
      <c r="DB111" s="3"/>
      <c r="DF111" s="3"/>
      <c r="DJ111" s="3"/>
      <c r="DN111" s="3"/>
      <c r="DR111" s="3"/>
      <c r="DV111" s="3"/>
      <c r="DZ111" s="3"/>
      <c r="ED111" s="3"/>
      <c r="EH111" s="3"/>
      <c r="EL111" s="3"/>
      <c r="EP111" s="3"/>
      <c r="ET111" s="3"/>
      <c r="EX111" s="3"/>
      <c r="FB111" s="3"/>
      <c r="FF111" s="3"/>
      <c r="FJ111" s="3"/>
      <c r="FN111" s="3"/>
      <c r="FS111" s="3">
        <v>45394</v>
      </c>
      <c r="FT111">
        <v>-628448</v>
      </c>
      <c r="FU111">
        <v>16642</v>
      </c>
      <c r="FV111">
        <v>590888</v>
      </c>
      <c r="FW111" s="3">
        <v>45394</v>
      </c>
      <c r="FX111">
        <v>-638609</v>
      </c>
      <c r="FY111">
        <v>13174</v>
      </c>
      <c r="FZ111">
        <v>603055</v>
      </c>
      <c r="GA111" s="3">
        <v>45394</v>
      </c>
      <c r="GB111">
        <v>-4894</v>
      </c>
      <c r="GC111">
        <v>-10244</v>
      </c>
      <c r="GD111">
        <v>15307</v>
      </c>
      <c r="GE111" s="3">
        <v>45394</v>
      </c>
      <c r="GF111">
        <v>-7158</v>
      </c>
      <c r="GG111">
        <v>-5491</v>
      </c>
      <c r="GH111">
        <v>8907</v>
      </c>
      <c r="GI111" s="3">
        <v>45394</v>
      </c>
      <c r="GJ111">
        <v>212</v>
      </c>
      <c r="GK111">
        <v>595</v>
      </c>
      <c r="GL111">
        <v>-840</v>
      </c>
      <c r="GM111" s="3">
        <v>45394</v>
      </c>
      <c r="GN111">
        <v>-807</v>
      </c>
      <c r="GO111">
        <v>-168</v>
      </c>
      <c r="GP111">
        <v>930</v>
      </c>
      <c r="GQ111" s="3">
        <v>45394</v>
      </c>
      <c r="GR111">
        <v>46</v>
      </c>
      <c r="GS111">
        <v>23</v>
      </c>
      <c r="GT111">
        <v>14</v>
      </c>
      <c r="GU111" s="3">
        <v>45394</v>
      </c>
      <c r="GV111">
        <v>-53</v>
      </c>
      <c r="GW111">
        <v>-162</v>
      </c>
      <c r="GX111">
        <v>15</v>
      </c>
      <c r="GY111" s="3">
        <v>45394</v>
      </c>
      <c r="GZ111">
        <v>-206</v>
      </c>
      <c r="HA111">
        <v>1265</v>
      </c>
      <c r="HB111">
        <v>-1042</v>
      </c>
      <c r="HC111" s="3">
        <v>45394</v>
      </c>
      <c r="HD111">
        <v>-313</v>
      </c>
      <c r="HE111">
        <v>609</v>
      </c>
      <c r="HF111">
        <v>-1492</v>
      </c>
      <c r="HG111" s="3">
        <v>45394</v>
      </c>
      <c r="HH111">
        <v>-2801</v>
      </c>
      <c r="HI111">
        <v>1188</v>
      </c>
      <c r="HJ111">
        <v>1712</v>
      </c>
      <c r="HK111" s="3">
        <v>45394</v>
      </c>
      <c r="HL111">
        <v>327</v>
      </c>
      <c r="HM111">
        <v>-273</v>
      </c>
      <c r="HN111">
        <v>-63</v>
      </c>
      <c r="HO111" s="3">
        <v>45394</v>
      </c>
      <c r="HP111">
        <v>874</v>
      </c>
      <c r="HQ111">
        <v>2085</v>
      </c>
      <c r="HR111">
        <v>-3106</v>
      </c>
      <c r="HS111" s="3">
        <v>45394</v>
      </c>
      <c r="HT111">
        <v>-883</v>
      </c>
      <c r="HU111">
        <v>-497</v>
      </c>
      <c r="HV111">
        <v>1429</v>
      </c>
      <c r="HW111" s="3">
        <v>45394</v>
      </c>
      <c r="HX111">
        <v>-1471</v>
      </c>
      <c r="HY111">
        <v>302</v>
      </c>
      <c r="HZ111">
        <v>1186</v>
      </c>
      <c r="IA111" s="3">
        <v>45394</v>
      </c>
      <c r="IB111">
        <v>-245</v>
      </c>
      <c r="IC111">
        <v>-588</v>
      </c>
      <c r="ID111">
        <v>824</v>
      </c>
      <c r="IE111" s="3">
        <v>45394</v>
      </c>
      <c r="IF111">
        <v>-504</v>
      </c>
      <c r="IG111">
        <v>-5176</v>
      </c>
      <c r="IH111">
        <v>5621</v>
      </c>
      <c r="II111" s="3">
        <v>45394</v>
      </c>
      <c r="IJ111">
        <v>-437</v>
      </c>
      <c r="IK111">
        <v>-164</v>
      </c>
      <c r="IL111">
        <v>597</v>
      </c>
      <c r="IM111" s="3">
        <v>45394</v>
      </c>
      <c r="IN111">
        <v>-4500</v>
      </c>
      <c r="IO111">
        <v>-595</v>
      </c>
      <c r="IP111">
        <v>4739</v>
      </c>
      <c r="IQ111" s="3">
        <v>45394</v>
      </c>
      <c r="IR111">
        <v>-225</v>
      </c>
      <c r="IS111">
        <v>-700</v>
      </c>
      <c r="IT111">
        <v>912</v>
      </c>
      <c r="IU111" s="3">
        <v>45394</v>
      </c>
      <c r="IV111">
        <v>-897</v>
      </c>
      <c r="IW111">
        <v>-608</v>
      </c>
      <c r="IX111">
        <v>1351</v>
      </c>
      <c r="IY111" s="3">
        <v>45394</v>
      </c>
      <c r="IZ111">
        <v>836</v>
      </c>
      <c r="JA111">
        <v>-189</v>
      </c>
      <c r="JB111">
        <v>1180</v>
      </c>
      <c r="JC111" s="3">
        <v>45394</v>
      </c>
      <c r="JD111">
        <v>-3221</v>
      </c>
      <c r="JE111">
        <v>4774</v>
      </c>
      <c r="JF111">
        <v>-3139</v>
      </c>
      <c r="JG111" s="3">
        <v>45394</v>
      </c>
      <c r="JH111">
        <v>-9596</v>
      </c>
      <c r="JI111">
        <v>2255</v>
      </c>
      <c r="JJ111">
        <v>7053</v>
      </c>
      <c r="JK111" s="3">
        <v>45394</v>
      </c>
      <c r="JL111">
        <v>-2664</v>
      </c>
      <c r="JM111">
        <v>-6382</v>
      </c>
      <c r="JN111">
        <v>8680</v>
      </c>
      <c r="JO111" s="3">
        <v>45394</v>
      </c>
      <c r="JP111">
        <v>1838</v>
      </c>
      <c r="JQ111">
        <v>1832</v>
      </c>
      <c r="JR111">
        <v>-3093</v>
      </c>
      <c r="JS111" s="3"/>
      <c r="JW111" s="3"/>
      <c r="KA111" s="3"/>
      <c r="KE111" s="3"/>
      <c r="KI111" s="3"/>
      <c r="KM111" s="3"/>
      <c r="KQ111" s="3"/>
      <c r="KU111" s="3"/>
      <c r="KY111" s="3"/>
      <c r="LC111" s="3"/>
      <c r="LG111" s="3"/>
      <c r="LK111" s="3"/>
      <c r="LO111" s="3"/>
    </row>
    <row r="112" spans="18:327" hidden="1">
      <c r="R112" s="3"/>
      <c r="V112" s="3"/>
      <c r="Z112" s="3"/>
      <c r="AD112" s="3"/>
      <c r="AH112" s="3"/>
      <c r="AL112" s="3"/>
      <c r="AP112" s="3"/>
      <c r="AT112" s="3"/>
      <c r="AX112" s="3"/>
      <c r="BB112" s="3"/>
      <c r="BF112" s="3"/>
      <c r="BJ112" s="3"/>
      <c r="BN112" s="3"/>
      <c r="BR112" s="3"/>
      <c r="BV112" s="3"/>
      <c r="BZ112" s="3"/>
      <c r="CD112" s="3"/>
      <c r="CH112" s="3"/>
      <c r="CL112" s="3"/>
      <c r="CP112" s="3"/>
      <c r="CT112" s="3"/>
      <c r="CX112" s="3"/>
      <c r="DB112" s="3"/>
      <c r="DF112" s="3"/>
      <c r="DJ112" s="3"/>
      <c r="DN112" s="3"/>
      <c r="DR112" s="3"/>
      <c r="DV112" s="3"/>
      <c r="DZ112" s="3"/>
      <c r="ED112" s="3"/>
      <c r="EH112" s="3"/>
      <c r="EL112" s="3"/>
      <c r="EP112" s="3"/>
      <c r="ET112" s="3"/>
      <c r="EX112" s="3"/>
      <c r="FB112" s="3"/>
      <c r="FF112" s="3"/>
      <c r="FJ112" s="3"/>
      <c r="FN112" s="3"/>
      <c r="FS112" s="3">
        <v>45393</v>
      </c>
      <c r="FT112">
        <v>-1080260</v>
      </c>
      <c r="FU112">
        <v>1062810</v>
      </c>
      <c r="FV112">
        <v>31121</v>
      </c>
      <c r="FW112" s="3">
        <v>45393</v>
      </c>
      <c r="FX112">
        <v>-1114253</v>
      </c>
      <c r="FY112">
        <v>976706</v>
      </c>
      <c r="FZ112">
        <v>121042</v>
      </c>
      <c r="GA112" s="3">
        <v>45393</v>
      </c>
      <c r="GB112">
        <v>7693</v>
      </c>
      <c r="GC112">
        <v>-4371</v>
      </c>
      <c r="GD112">
        <v>-2729</v>
      </c>
      <c r="GE112" s="3">
        <v>45393</v>
      </c>
      <c r="GF112">
        <v>-3096</v>
      </c>
      <c r="GG112">
        <v>524</v>
      </c>
      <c r="GH112">
        <v>967</v>
      </c>
      <c r="GI112" s="3">
        <v>45393</v>
      </c>
      <c r="GJ112">
        <v>193</v>
      </c>
      <c r="GK112">
        <v>-752</v>
      </c>
      <c r="GL112">
        <v>567</v>
      </c>
      <c r="GM112" s="3">
        <v>45393</v>
      </c>
      <c r="GN112">
        <v>10</v>
      </c>
      <c r="GO112">
        <v>-68</v>
      </c>
      <c r="GP112">
        <v>-714</v>
      </c>
      <c r="GQ112" s="3">
        <v>45393</v>
      </c>
      <c r="GR112">
        <v>-230</v>
      </c>
      <c r="GS112">
        <v>-262</v>
      </c>
      <c r="GT112">
        <v>479</v>
      </c>
      <c r="GU112" s="3">
        <v>45393</v>
      </c>
      <c r="GV112">
        <v>-38</v>
      </c>
      <c r="GW112">
        <v>-194</v>
      </c>
      <c r="GX112">
        <v>-9</v>
      </c>
      <c r="GY112" s="3">
        <v>45393</v>
      </c>
      <c r="GZ112">
        <v>-304</v>
      </c>
      <c r="HA112">
        <v>302</v>
      </c>
      <c r="HB112">
        <v>-140</v>
      </c>
      <c r="HC112" s="3">
        <v>45393</v>
      </c>
      <c r="HD112">
        <v>-2510</v>
      </c>
      <c r="HE112">
        <v>-547</v>
      </c>
      <c r="HF112">
        <v>2663</v>
      </c>
      <c r="HG112" s="3">
        <v>45393</v>
      </c>
      <c r="HH112">
        <v>-6676</v>
      </c>
      <c r="HI112">
        <v>7493</v>
      </c>
      <c r="HJ112">
        <v>-531</v>
      </c>
      <c r="HK112" s="3">
        <v>45393</v>
      </c>
      <c r="HL112">
        <v>121</v>
      </c>
      <c r="HM112">
        <v>-205</v>
      </c>
      <c r="HN112">
        <v>46</v>
      </c>
      <c r="HO112" s="3">
        <v>45393</v>
      </c>
      <c r="HP112">
        <v>-1825</v>
      </c>
      <c r="HQ112">
        <v>2474</v>
      </c>
      <c r="HR112">
        <v>-678</v>
      </c>
      <c r="HS112" s="3">
        <v>45393</v>
      </c>
      <c r="HT112">
        <v>-752</v>
      </c>
      <c r="HU112">
        <v>-23</v>
      </c>
      <c r="HV112">
        <v>737</v>
      </c>
      <c r="HW112" s="3">
        <v>45393</v>
      </c>
      <c r="HX112">
        <v>-937</v>
      </c>
      <c r="HY112">
        <v>589</v>
      </c>
      <c r="HZ112">
        <v>345</v>
      </c>
      <c r="IA112" s="3">
        <v>45393</v>
      </c>
      <c r="IB112">
        <v>-537</v>
      </c>
      <c r="IC112">
        <v>313</v>
      </c>
      <c r="ID112">
        <v>232</v>
      </c>
      <c r="IE112" s="3">
        <v>45393</v>
      </c>
      <c r="IF112">
        <v>-507</v>
      </c>
      <c r="IG112">
        <v>14895</v>
      </c>
      <c r="IH112">
        <v>-412</v>
      </c>
      <c r="II112" s="3">
        <v>45393</v>
      </c>
      <c r="IJ112">
        <v>-417</v>
      </c>
      <c r="IK112">
        <v>-828</v>
      </c>
      <c r="IL112">
        <v>1167</v>
      </c>
      <c r="IM112" s="3">
        <v>45393</v>
      </c>
      <c r="IN112">
        <v>-4531</v>
      </c>
      <c r="IO112">
        <v>1283</v>
      </c>
      <c r="IP112">
        <v>2535</v>
      </c>
      <c r="IQ112" s="3">
        <v>45393</v>
      </c>
      <c r="IR112">
        <v>-542</v>
      </c>
      <c r="IS112">
        <v>44</v>
      </c>
      <c r="IT112">
        <v>469</v>
      </c>
      <c r="IU112" s="3">
        <v>45393</v>
      </c>
      <c r="IV112">
        <v>-749</v>
      </c>
      <c r="IW112">
        <v>288</v>
      </c>
      <c r="IX112">
        <v>319</v>
      </c>
      <c r="IY112" s="3">
        <v>45393</v>
      </c>
      <c r="IZ112">
        <v>-1873</v>
      </c>
      <c r="JA112">
        <v>745</v>
      </c>
      <c r="JB112">
        <v>2308</v>
      </c>
      <c r="JC112" s="3">
        <v>45393</v>
      </c>
      <c r="JD112">
        <v>-11451</v>
      </c>
      <c r="JE112">
        <v>8840</v>
      </c>
      <c r="JF112">
        <v>995</v>
      </c>
      <c r="JG112" s="3">
        <v>45393</v>
      </c>
      <c r="JH112">
        <v>-17874</v>
      </c>
      <c r="JI112">
        <v>8938</v>
      </c>
      <c r="JJ112">
        <v>8327</v>
      </c>
      <c r="JK112" s="3">
        <v>45393</v>
      </c>
      <c r="JL112">
        <v>-3768</v>
      </c>
      <c r="JM112">
        <v>17813</v>
      </c>
      <c r="JN112">
        <v>-542</v>
      </c>
      <c r="JO112" s="3">
        <v>45393</v>
      </c>
      <c r="JP112">
        <v>538</v>
      </c>
      <c r="JQ112">
        <v>-1297</v>
      </c>
      <c r="JR112">
        <v>644</v>
      </c>
      <c r="JS112" s="3"/>
      <c r="JW112" s="3"/>
      <c r="KA112" s="3"/>
      <c r="KE112" s="3"/>
      <c r="KI112" s="3"/>
      <c r="KM112" s="3"/>
      <c r="KQ112" s="3"/>
      <c r="KU112" s="3"/>
      <c r="KY112" s="3"/>
      <c r="LC112" s="3"/>
      <c r="LG112" s="3"/>
      <c r="LK112" s="3"/>
      <c r="LO112" s="3"/>
    </row>
    <row r="113" spans="18:327" hidden="1">
      <c r="R113" s="3"/>
      <c r="V113" s="3"/>
      <c r="Z113" s="3"/>
      <c r="AD113" s="3"/>
      <c r="AH113" s="3"/>
      <c r="AL113" s="3"/>
      <c r="AP113" s="3"/>
      <c r="AT113" s="3"/>
      <c r="AX113" s="3"/>
      <c r="BB113" s="3"/>
      <c r="BF113" s="3"/>
      <c r="BJ113" s="3"/>
      <c r="BN113" s="3"/>
      <c r="BR113" s="3"/>
      <c r="BV113" s="3"/>
      <c r="BZ113" s="3"/>
      <c r="CD113" s="3"/>
      <c r="CH113" s="3"/>
      <c r="CL113" s="3"/>
      <c r="CP113" s="3"/>
      <c r="CT113" s="3"/>
      <c r="CX113" s="3"/>
      <c r="DB113" s="3"/>
      <c r="DF113" s="3"/>
      <c r="DJ113" s="3"/>
      <c r="DN113" s="3"/>
      <c r="DR113" s="3"/>
      <c r="DV113" s="3"/>
      <c r="DZ113" s="3"/>
      <c r="ED113" s="3"/>
      <c r="EH113" s="3"/>
      <c r="EL113" s="3"/>
      <c r="EP113" s="3"/>
      <c r="ET113" s="3"/>
      <c r="EX113" s="3"/>
      <c r="FB113" s="3"/>
      <c r="FF113" s="3"/>
      <c r="FJ113" s="3"/>
      <c r="FN113" s="3"/>
      <c r="FS113" s="3">
        <v>45391</v>
      </c>
      <c r="FT113">
        <v>-313182</v>
      </c>
      <c r="FU113">
        <v>306915</v>
      </c>
      <c r="FV113">
        <v>-18279</v>
      </c>
      <c r="FW113" s="3">
        <v>45391</v>
      </c>
      <c r="FX113">
        <v>-324732</v>
      </c>
      <c r="FY113">
        <v>319722</v>
      </c>
      <c r="FZ113">
        <v>-15035</v>
      </c>
      <c r="GA113" s="3">
        <v>45391</v>
      </c>
      <c r="GB113">
        <v>13168</v>
      </c>
      <c r="GC113">
        <v>1193</v>
      </c>
      <c r="GD113">
        <v>-14179</v>
      </c>
      <c r="GE113" s="3">
        <v>45391</v>
      </c>
      <c r="GF113">
        <v>-737</v>
      </c>
      <c r="GG113">
        <v>-3214</v>
      </c>
      <c r="GH113">
        <v>2020</v>
      </c>
      <c r="GI113" s="3">
        <v>45391</v>
      </c>
      <c r="GJ113">
        <v>-190</v>
      </c>
      <c r="GK113">
        <v>-159</v>
      </c>
      <c r="GL113">
        <v>340</v>
      </c>
      <c r="GM113" s="3">
        <v>45391</v>
      </c>
      <c r="GN113">
        <v>7</v>
      </c>
      <c r="GO113">
        <v>349</v>
      </c>
      <c r="GP113">
        <v>-447</v>
      </c>
      <c r="GQ113" s="3">
        <v>45391</v>
      </c>
      <c r="GR113">
        <v>66</v>
      </c>
      <c r="GS113">
        <v>-451</v>
      </c>
      <c r="GT113">
        <v>389</v>
      </c>
      <c r="GU113" s="3">
        <v>45391</v>
      </c>
      <c r="GV113">
        <v>4</v>
      </c>
      <c r="GW113">
        <v>175</v>
      </c>
      <c r="GX113">
        <v>-315</v>
      </c>
      <c r="GY113" s="3">
        <v>45391</v>
      </c>
      <c r="GZ113">
        <v>156</v>
      </c>
      <c r="HA113">
        <v>399</v>
      </c>
      <c r="HB113">
        <v>-429</v>
      </c>
      <c r="HC113" s="3">
        <v>45391</v>
      </c>
      <c r="HD113">
        <v>223</v>
      </c>
      <c r="HE113">
        <v>-1676</v>
      </c>
      <c r="HF113">
        <v>954</v>
      </c>
      <c r="HG113" s="3">
        <v>45391</v>
      </c>
      <c r="HH113">
        <v>-4624</v>
      </c>
      <c r="HI113">
        <v>5649</v>
      </c>
      <c r="HJ113">
        <v>-1106</v>
      </c>
      <c r="HK113" s="3">
        <v>45391</v>
      </c>
      <c r="HL113">
        <v>55</v>
      </c>
      <c r="HM113">
        <v>-76</v>
      </c>
      <c r="HN113">
        <v>41</v>
      </c>
      <c r="HO113" s="3">
        <v>45391</v>
      </c>
      <c r="HP113">
        <v>1141</v>
      </c>
      <c r="HQ113">
        <v>1700</v>
      </c>
      <c r="HR113">
        <v>-3085</v>
      </c>
      <c r="HS113" s="3">
        <v>45391</v>
      </c>
      <c r="HT113">
        <v>-17</v>
      </c>
      <c r="HU113">
        <v>-225</v>
      </c>
      <c r="HV113">
        <v>171</v>
      </c>
      <c r="HW113" s="3">
        <v>45391</v>
      </c>
      <c r="HX113">
        <v>-60</v>
      </c>
      <c r="HY113">
        <v>153</v>
      </c>
      <c r="HZ113">
        <v>-97</v>
      </c>
      <c r="IA113" s="3">
        <v>45391</v>
      </c>
      <c r="IB113">
        <v>71</v>
      </c>
      <c r="IC113">
        <v>-505</v>
      </c>
      <c r="ID113">
        <v>436</v>
      </c>
      <c r="IE113" s="3">
        <v>45391</v>
      </c>
      <c r="IF113">
        <v>540</v>
      </c>
      <c r="IG113">
        <v>229</v>
      </c>
      <c r="IH113">
        <v>-788</v>
      </c>
      <c r="II113" s="3">
        <v>45391</v>
      </c>
      <c r="IJ113">
        <v>56</v>
      </c>
      <c r="IK113">
        <v>-620</v>
      </c>
      <c r="IL113">
        <v>572</v>
      </c>
      <c r="IM113" s="3">
        <v>45391</v>
      </c>
      <c r="IN113">
        <v>730</v>
      </c>
      <c r="IO113">
        <v>-2231</v>
      </c>
      <c r="IP113">
        <v>1361</v>
      </c>
      <c r="IQ113" s="3">
        <v>45391</v>
      </c>
      <c r="IR113">
        <v>101</v>
      </c>
      <c r="IS113">
        <v>-488</v>
      </c>
      <c r="IT113">
        <v>301</v>
      </c>
      <c r="IU113" s="3">
        <v>45391</v>
      </c>
      <c r="IV113">
        <v>222</v>
      </c>
      <c r="IW113">
        <v>-333</v>
      </c>
      <c r="IX113">
        <v>51</v>
      </c>
      <c r="IY113" s="3">
        <v>45391</v>
      </c>
      <c r="IZ113">
        <v>-23</v>
      </c>
      <c r="JA113">
        <v>-535</v>
      </c>
      <c r="JB113">
        <v>489</v>
      </c>
      <c r="JC113" s="3">
        <v>45391</v>
      </c>
      <c r="JD113">
        <v>-2673</v>
      </c>
      <c r="JE113">
        <v>6052</v>
      </c>
      <c r="JF113">
        <v>-4602</v>
      </c>
      <c r="JG113" s="3">
        <v>45391</v>
      </c>
      <c r="JH113">
        <v>-2844</v>
      </c>
      <c r="JI113">
        <v>4193</v>
      </c>
      <c r="JJ113">
        <v>-1579</v>
      </c>
      <c r="JK113" s="3">
        <v>45391</v>
      </c>
      <c r="JL113">
        <v>994</v>
      </c>
      <c r="JM113">
        <v>-311</v>
      </c>
      <c r="JN113">
        <v>-908</v>
      </c>
      <c r="JO113" s="3">
        <v>45391</v>
      </c>
      <c r="JP113">
        <v>608</v>
      </c>
      <c r="JQ113">
        <v>-2010</v>
      </c>
      <c r="JR113">
        <v>438</v>
      </c>
      <c r="JS113" s="3"/>
      <c r="JW113" s="3"/>
      <c r="KA113" s="3"/>
      <c r="KE113" s="3"/>
      <c r="KI113" s="3"/>
      <c r="KM113" s="3"/>
      <c r="KQ113" s="3"/>
      <c r="KU113" s="3"/>
      <c r="KY113" s="3"/>
      <c r="LC113" s="3"/>
      <c r="LG113" s="3"/>
      <c r="LK113" s="3"/>
      <c r="LO113" s="3"/>
    </row>
    <row r="114" spans="18:327" hidden="1">
      <c r="R114" s="3"/>
      <c r="V114" s="3"/>
      <c r="Z114" s="3"/>
      <c r="AD114" s="3"/>
      <c r="AH114" s="3"/>
      <c r="AL114" s="3"/>
      <c r="AP114" s="3"/>
      <c r="AT114" s="3"/>
      <c r="AX114" s="3"/>
      <c r="BB114" s="3"/>
      <c r="BF114" s="3"/>
      <c r="BJ114" s="3"/>
      <c r="BN114" s="3"/>
      <c r="BR114" s="3"/>
      <c r="BV114" s="3"/>
      <c r="BZ114" s="3"/>
      <c r="CD114" s="3"/>
      <c r="CH114" s="3"/>
      <c r="CL114" s="3"/>
      <c r="CP114" s="3"/>
      <c r="CT114" s="3"/>
      <c r="CX114" s="3"/>
      <c r="DB114" s="3"/>
      <c r="DF114" s="3"/>
      <c r="DJ114" s="3"/>
      <c r="DN114" s="3"/>
      <c r="DR114" s="3"/>
      <c r="DV114" s="3"/>
      <c r="DZ114" s="3"/>
      <c r="ED114" s="3"/>
      <c r="EH114" s="3"/>
      <c r="EL114" s="3"/>
      <c r="EP114" s="3"/>
      <c r="ET114" s="3"/>
      <c r="EX114" s="3"/>
      <c r="FB114" s="3"/>
      <c r="FF114" s="3"/>
      <c r="FJ114" s="3"/>
      <c r="FN114" s="3"/>
      <c r="FS114" s="3">
        <v>45390</v>
      </c>
      <c r="FT114">
        <v>-112531</v>
      </c>
      <c r="FU114">
        <v>206402</v>
      </c>
      <c r="FV114">
        <v>-93336</v>
      </c>
      <c r="FW114" s="3">
        <v>45390</v>
      </c>
      <c r="FX114">
        <v>-114037</v>
      </c>
      <c r="FY114">
        <v>209663</v>
      </c>
      <c r="FZ114">
        <v>-89741</v>
      </c>
      <c r="GA114" s="3">
        <v>45390</v>
      </c>
      <c r="GB114">
        <v>11790</v>
      </c>
      <c r="GC114">
        <v>-5534</v>
      </c>
      <c r="GD114">
        <v>-6705</v>
      </c>
      <c r="GE114" s="3">
        <v>45390</v>
      </c>
      <c r="GF114">
        <v>435</v>
      </c>
      <c r="GG114">
        <v>-427</v>
      </c>
      <c r="GH114">
        <v>-484</v>
      </c>
      <c r="GI114" s="3">
        <v>45390</v>
      </c>
      <c r="GJ114">
        <v>-258</v>
      </c>
      <c r="GK114">
        <v>-1818</v>
      </c>
      <c r="GL114">
        <v>1961</v>
      </c>
      <c r="GM114" s="3">
        <v>45390</v>
      </c>
      <c r="GN114">
        <v>-123</v>
      </c>
      <c r="GO114">
        <v>-369</v>
      </c>
      <c r="GP114">
        <v>454</v>
      </c>
      <c r="GQ114" s="3">
        <v>45390</v>
      </c>
      <c r="GR114">
        <v>55</v>
      </c>
      <c r="GS114">
        <v>-24</v>
      </c>
      <c r="GT114">
        <v>41</v>
      </c>
      <c r="GU114" s="3">
        <v>45390</v>
      </c>
      <c r="GV114">
        <v>-66</v>
      </c>
      <c r="GW114">
        <v>-86</v>
      </c>
      <c r="GX114">
        <v>13</v>
      </c>
      <c r="GY114" s="3">
        <v>45390</v>
      </c>
      <c r="GZ114">
        <v>-38</v>
      </c>
      <c r="HA114">
        <v>-570</v>
      </c>
      <c r="HB114">
        <v>609</v>
      </c>
      <c r="HC114" s="3">
        <v>45390</v>
      </c>
      <c r="HD114">
        <v>-634</v>
      </c>
      <c r="HE114">
        <v>-961</v>
      </c>
      <c r="HF114">
        <v>1264</v>
      </c>
      <c r="HG114" s="3">
        <v>45390</v>
      </c>
      <c r="HH114">
        <v>-633</v>
      </c>
      <c r="HI114">
        <v>1286</v>
      </c>
      <c r="HJ114">
        <v>-558</v>
      </c>
      <c r="HK114" s="3">
        <v>45390</v>
      </c>
      <c r="HL114">
        <v>-6</v>
      </c>
      <c r="HM114">
        <v>12</v>
      </c>
      <c r="HN114">
        <v>-3</v>
      </c>
      <c r="HO114" s="3">
        <v>45390</v>
      </c>
      <c r="HP114">
        <v>-562</v>
      </c>
      <c r="HQ114">
        <v>418</v>
      </c>
      <c r="HR114">
        <v>-26</v>
      </c>
      <c r="HS114" s="3">
        <v>45390</v>
      </c>
      <c r="HT114">
        <v>-346</v>
      </c>
      <c r="HU114">
        <v>-896</v>
      </c>
      <c r="HV114">
        <v>1238</v>
      </c>
      <c r="HW114" s="3">
        <v>45390</v>
      </c>
      <c r="HX114">
        <v>-114</v>
      </c>
      <c r="HY114">
        <v>-59</v>
      </c>
      <c r="HZ114">
        <v>154</v>
      </c>
      <c r="IA114" s="3">
        <v>45390</v>
      </c>
      <c r="IB114">
        <v>-80</v>
      </c>
      <c r="IC114">
        <v>85</v>
      </c>
      <c r="ID114">
        <v>114</v>
      </c>
      <c r="IE114" s="3">
        <v>45390</v>
      </c>
      <c r="IF114">
        <v>-543</v>
      </c>
      <c r="IG114">
        <v>-197</v>
      </c>
      <c r="IH114">
        <v>677</v>
      </c>
      <c r="II114" s="3">
        <v>45390</v>
      </c>
      <c r="IJ114">
        <v>-108</v>
      </c>
      <c r="IK114">
        <v>-357</v>
      </c>
      <c r="IL114">
        <v>441</v>
      </c>
      <c r="IM114" s="3">
        <v>45390</v>
      </c>
      <c r="IN114">
        <v>-55</v>
      </c>
      <c r="IO114">
        <v>1155</v>
      </c>
      <c r="IP114">
        <v>-935</v>
      </c>
      <c r="IQ114" s="3">
        <v>45390</v>
      </c>
      <c r="IR114">
        <v>-197</v>
      </c>
      <c r="IS114">
        <v>442</v>
      </c>
      <c r="IT114">
        <v>-223</v>
      </c>
      <c r="IU114" s="3">
        <v>45390</v>
      </c>
      <c r="IV114">
        <v>316</v>
      </c>
      <c r="IW114">
        <v>349</v>
      </c>
      <c r="IX114">
        <v>-479</v>
      </c>
      <c r="IY114" s="3">
        <v>45390</v>
      </c>
      <c r="IZ114">
        <v>-229</v>
      </c>
      <c r="JA114">
        <v>-571</v>
      </c>
      <c r="JB114">
        <v>1026</v>
      </c>
      <c r="JC114" s="3">
        <v>45390</v>
      </c>
      <c r="JD114">
        <v>-1925</v>
      </c>
      <c r="JE114">
        <v>-1672</v>
      </c>
      <c r="JF114">
        <v>2757</v>
      </c>
      <c r="JG114" s="3">
        <v>45390</v>
      </c>
      <c r="JH114">
        <v>-3003</v>
      </c>
      <c r="JI114">
        <v>2902</v>
      </c>
      <c r="JJ114">
        <v>82</v>
      </c>
      <c r="JK114" s="3">
        <v>45390</v>
      </c>
      <c r="JL114">
        <v>5</v>
      </c>
      <c r="JM114">
        <v>315</v>
      </c>
      <c r="JN114">
        <v>-87</v>
      </c>
      <c r="JO114" s="3">
        <v>45390</v>
      </c>
      <c r="JP114">
        <v>-440</v>
      </c>
      <c r="JQ114">
        <v>-6047</v>
      </c>
      <c r="JR114">
        <v>5864</v>
      </c>
      <c r="JS114" s="3"/>
      <c r="JW114" s="3"/>
      <c r="KA114" s="3"/>
      <c r="KE114" s="3"/>
      <c r="KI114" s="3"/>
      <c r="KM114" s="3"/>
      <c r="KQ114" s="3"/>
      <c r="KU114" s="3"/>
      <c r="KY114" s="3"/>
      <c r="LC114" s="3"/>
      <c r="LG114" s="3"/>
      <c r="LK114" s="3"/>
      <c r="LO114" s="3"/>
    </row>
    <row r="115" spans="18:327" hidden="1">
      <c r="R115" s="3"/>
      <c r="V115" s="3"/>
      <c r="Z115" s="3"/>
      <c r="AD115" s="3"/>
      <c r="AH115" s="3"/>
      <c r="AL115" s="3"/>
      <c r="AP115" s="3"/>
      <c r="AT115" s="3"/>
      <c r="AX115" s="3"/>
      <c r="BB115" s="3"/>
      <c r="BF115" s="3"/>
      <c r="BJ115" s="3"/>
      <c r="BN115" s="3"/>
      <c r="BR115" s="3"/>
      <c r="BV115" s="3"/>
      <c r="BZ115" s="3"/>
      <c r="CD115" s="3"/>
      <c r="CH115" s="3"/>
      <c r="CL115" s="3"/>
      <c r="CP115" s="3"/>
      <c r="CT115" s="3"/>
      <c r="CX115" s="3"/>
      <c r="DB115" s="3"/>
      <c r="DF115" s="3"/>
      <c r="DJ115" s="3"/>
      <c r="DN115" s="3"/>
      <c r="DR115" s="3"/>
      <c r="DV115" s="3"/>
      <c r="DZ115" s="3"/>
      <c r="ED115" s="3"/>
      <c r="EH115" s="3"/>
      <c r="EL115" s="3"/>
      <c r="EP115" s="3"/>
      <c r="ET115" s="3"/>
      <c r="EX115" s="3"/>
      <c r="FB115" s="3"/>
      <c r="FF115" s="3"/>
      <c r="FJ115" s="3"/>
      <c r="FN115" s="3"/>
      <c r="FS115" s="3">
        <v>45387</v>
      </c>
      <c r="FT115">
        <v>-470202</v>
      </c>
      <c r="FU115">
        <v>-115361</v>
      </c>
      <c r="FV115">
        <v>613623</v>
      </c>
      <c r="FW115" s="3">
        <v>45387</v>
      </c>
      <c r="FX115">
        <v>-386917</v>
      </c>
      <c r="FY115">
        <v>-35735</v>
      </c>
      <c r="FZ115">
        <v>454966</v>
      </c>
      <c r="GA115" s="3">
        <v>45387</v>
      </c>
      <c r="GB115">
        <v>2563</v>
      </c>
      <c r="GC115">
        <v>2914</v>
      </c>
      <c r="GD115">
        <v>-6353</v>
      </c>
      <c r="GE115" s="3">
        <v>45387</v>
      </c>
      <c r="GF115">
        <v>-1254</v>
      </c>
      <c r="GG115">
        <v>1102</v>
      </c>
      <c r="GH115">
        <v>-251</v>
      </c>
      <c r="GI115" s="3">
        <v>45387</v>
      </c>
      <c r="GJ115">
        <v>-348</v>
      </c>
      <c r="GK115">
        <v>-414</v>
      </c>
      <c r="GL115">
        <v>747</v>
      </c>
      <c r="GM115" s="3">
        <v>45387</v>
      </c>
      <c r="GN115">
        <v>-149</v>
      </c>
      <c r="GO115">
        <v>-369</v>
      </c>
      <c r="GP115">
        <v>473</v>
      </c>
      <c r="GQ115" s="3">
        <v>45387</v>
      </c>
      <c r="GR115">
        <v>-187</v>
      </c>
      <c r="GS115">
        <v>14</v>
      </c>
      <c r="GT115">
        <v>235</v>
      </c>
      <c r="GU115" s="3">
        <v>45387</v>
      </c>
      <c r="GV115">
        <v>-52</v>
      </c>
      <c r="GW115">
        <v>-105</v>
      </c>
      <c r="GX115">
        <v>-35</v>
      </c>
      <c r="GY115" s="3">
        <v>45387</v>
      </c>
      <c r="GZ115">
        <v>-23</v>
      </c>
      <c r="HA115">
        <v>-325</v>
      </c>
      <c r="HB115">
        <v>294</v>
      </c>
      <c r="HC115" s="3">
        <v>45387</v>
      </c>
      <c r="HD115">
        <v>-955</v>
      </c>
      <c r="HE115">
        <v>-1177</v>
      </c>
      <c r="HF115">
        <v>304</v>
      </c>
      <c r="HG115" s="3">
        <v>45387</v>
      </c>
      <c r="HH115">
        <v>-3286</v>
      </c>
      <c r="HI115">
        <v>-5132</v>
      </c>
      <c r="HJ115">
        <v>8680</v>
      </c>
      <c r="HK115" s="3">
        <v>45387</v>
      </c>
      <c r="HL115">
        <v>-134</v>
      </c>
      <c r="HM115">
        <v>148</v>
      </c>
      <c r="HN115">
        <v>-42</v>
      </c>
      <c r="HO115" s="3">
        <v>45387</v>
      </c>
      <c r="HP115">
        <v>-408</v>
      </c>
      <c r="HQ115">
        <v>-15</v>
      </c>
      <c r="HR115">
        <v>330</v>
      </c>
      <c r="HS115" s="3">
        <v>45387</v>
      </c>
      <c r="HT115">
        <v>-135</v>
      </c>
      <c r="HU115">
        <v>-222</v>
      </c>
      <c r="HV115">
        <v>506</v>
      </c>
      <c r="HW115" s="3">
        <v>45387</v>
      </c>
      <c r="HX115">
        <v>-258</v>
      </c>
      <c r="HY115">
        <v>261</v>
      </c>
      <c r="HZ115">
        <v>31</v>
      </c>
      <c r="IA115" s="3">
        <v>45387</v>
      </c>
      <c r="IB115">
        <v>-24</v>
      </c>
      <c r="IC115">
        <v>-313</v>
      </c>
      <c r="ID115">
        <v>293</v>
      </c>
      <c r="IE115" s="3">
        <v>45387</v>
      </c>
      <c r="IF115">
        <v>-1110</v>
      </c>
      <c r="IG115">
        <v>-1725</v>
      </c>
      <c r="IH115">
        <v>2958</v>
      </c>
      <c r="II115" s="3">
        <v>45387</v>
      </c>
      <c r="IJ115">
        <v>-174</v>
      </c>
      <c r="IK115">
        <v>-208</v>
      </c>
      <c r="IL115">
        <v>358</v>
      </c>
      <c r="IM115" s="3">
        <v>45387</v>
      </c>
      <c r="IN115">
        <v>-1256</v>
      </c>
      <c r="IO115">
        <v>-695</v>
      </c>
      <c r="IP115">
        <v>1722</v>
      </c>
      <c r="IQ115" s="3">
        <v>45387</v>
      </c>
      <c r="IR115">
        <v>-275</v>
      </c>
      <c r="IS115">
        <v>-152</v>
      </c>
      <c r="IT115">
        <v>373</v>
      </c>
      <c r="IU115" s="3">
        <v>45387</v>
      </c>
      <c r="IV115">
        <v>-524</v>
      </c>
      <c r="IW115">
        <v>-166</v>
      </c>
      <c r="IX115">
        <v>571</v>
      </c>
      <c r="IY115" s="3">
        <v>45387</v>
      </c>
      <c r="IZ115">
        <v>7</v>
      </c>
      <c r="JA115">
        <v>-350</v>
      </c>
      <c r="JB115">
        <v>102</v>
      </c>
      <c r="JC115" s="3">
        <v>45387</v>
      </c>
      <c r="JD115">
        <v>-5373</v>
      </c>
      <c r="JE115">
        <v>-7186</v>
      </c>
      <c r="JF115">
        <v>10540</v>
      </c>
      <c r="JG115" s="3">
        <v>45387</v>
      </c>
      <c r="JH115">
        <v>-5971</v>
      </c>
      <c r="JI115">
        <v>88</v>
      </c>
      <c r="JJ115">
        <v>5929</v>
      </c>
      <c r="JK115" s="3">
        <v>45387</v>
      </c>
      <c r="JL115">
        <v>-2021</v>
      </c>
      <c r="JM115">
        <v>-4857</v>
      </c>
      <c r="JN115">
        <v>6556</v>
      </c>
      <c r="JO115" s="3">
        <v>45387</v>
      </c>
      <c r="JP115">
        <v>-335</v>
      </c>
      <c r="JQ115">
        <v>-5588</v>
      </c>
      <c r="JR115">
        <v>4044</v>
      </c>
      <c r="JS115" s="3"/>
      <c r="JW115" s="3"/>
      <c r="KA115" s="3"/>
      <c r="KE115" s="3"/>
      <c r="KI115" s="3"/>
      <c r="KM115" s="3"/>
      <c r="KQ115" s="3"/>
      <c r="KU115" s="3"/>
      <c r="KY115" s="3"/>
      <c r="LC115" s="3"/>
      <c r="LG115" s="3"/>
      <c r="LK115" s="3"/>
      <c r="LO115" s="3"/>
    </row>
    <row r="116" spans="18:327" hidden="1">
      <c r="R116" s="3"/>
      <c r="V116" s="3"/>
      <c r="Z116" s="3"/>
      <c r="AD116" s="3"/>
      <c r="AH116" s="3"/>
      <c r="AL116" s="3"/>
      <c r="AP116" s="3"/>
      <c r="AT116" s="3"/>
      <c r="AX116" s="3"/>
      <c r="BB116" s="3"/>
      <c r="BF116" s="3"/>
      <c r="BJ116" s="3"/>
      <c r="BN116" s="3"/>
      <c r="BR116" s="3"/>
      <c r="BV116" s="3"/>
      <c r="BZ116" s="3"/>
      <c r="CD116" s="3"/>
      <c r="CH116" s="3"/>
      <c r="CL116" s="3"/>
      <c r="CP116" s="3"/>
      <c r="CT116" s="3"/>
      <c r="CX116" s="3"/>
      <c r="DB116" s="3"/>
      <c r="DF116" s="3"/>
      <c r="DJ116" s="3"/>
      <c r="DN116" s="3"/>
      <c r="DR116" s="3"/>
      <c r="DV116" s="3"/>
      <c r="DZ116" s="3"/>
      <c r="ED116" s="3"/>
      <c r="EH116" s="3"/>
      <c r="EL116" s="3"/>
      <c r="EP116" s="3"/>
      <c r="ET116" s="3"/>
      <c r="EX116" s="3"/>
      <c r="FB116" s="3"/>
      <c r="FF116" s="3"/>
      <c r="FJ116" s="3"/>
      <c r="FN116" s="3"/>
      <c r="FS116" s="3">
        <v>45386</v>
      </c>
      <c r="FT116">
        <v>-14667</v>
      </c>
      <c r="FU116">
        <v>587525</v>
      </c>
      <c r="FV116">
        <v>-564019</v>
      </c>
      <c r="FW116" s="3">
        <v>45386</v>
      </c>
      <c r="FX116">
        <v>-18563</v>
      </c>
      <c r="FY116">
        <v>606349</v>
      </c>
      <c r="FZ116">
        <v>-572735</v>
      </c>
      <c r="GA116" s="3">
        <v>45386</v>
      </c>
      <c r="GB116">
        <v>18449</v>
      </c>
      <c r="GC116">
        <v>-6109</v>
      </c>
      <c r="GD116">
        <v>-12964</v>
      </c>
      <c r="GE116" s="3">
        <v>45386</v>
      </c>
      <c r="GF116">
        <v>1046</v>
      </c>
      <c r="GG116">
        <v>-3627</v>
      </c>
      <c r="GH116">
        <v>2209</v>
      </c>
      <c r="GI116" s="3">
        <v>45386</v>
      </c>
      <c r="GJ116">
        <v>-220</v>
      </c>
      <c r="GK116">
        <v>18</v>
      </c>
      <c r="GL116">
        <v>187</v>
      </c>
      <c r="GM116" s="3">
        <v>45386</v>
      </c>
      <c r="GN116">
        <v>-45</v>
      </c>
      <c r="GO116">
        <v>-116</v>
      </c>
      <c r="GP116">
        <v>148</v>
      </c>
      <c r="GQ116" s="3">
        <v>45386</v>
      </c>
      <c r="GR116">
        <v>-224</v>
      </c>
      <c r="GS116">
        <v>-582</v>
      </c>
      <c r="GT116">
        <v>764</v>
      </c>
      <c r="GU116" s="3">
        <v>45386</v>
      </c>
      <c r="GV116">
        <v>-48</v>
      </c>
      <c r="GW116">
        <v>-118</v>
      </c>
      <c r="GX116">
        <v>34</v>
      </c>
      <c r="GY116" s="3">
        <v>45386</v>
      </c>
      <c r="GZ116">
        <v>220</v>
      </c>
      <c r="HA116">
        <v>1283</v>
      </c>
      <c r="HB116">
        <v>-1450</v>
      </c>
      <c r="HC116" s="3">
        <v>45386</v>
      </c>
      <c r="HD116">
        <v>245</v>
      </c>
      <c r="HE116">
        <v>-25</v>
      </c>
      <c r="HF116">
        <v>-485</v>
      </c>
      <c r="HG116" s="3">
        <v>45386</v>
      </c>
      <c r="HH116">
        <v>1273</v>
      </c>
      <c r="HI116">
        <v>7568</v>
      </c>
      <c r="HJ116">
        <v>-8742</v>
      </c>
      <c r="HK116" s="3">
        <v>45386</v>
      </c>
      <c r="HL116">
        <v>355</v>
      </c>
      <c r="HM116">
        <v>20</v>
      </c>
      <c r="HN116">
        <v>-386</v>
      </c>
      <c r="HO116" s="3">
        <v>45386</v>
      </c>
      <c r="HP116">
        <v>73</v>
      </c>
      <c r="HQ116">
        <v>-1668</v>
      </c>
      <c r="HR116">
        <v>1367</v>
      </c>
      <c r="HS116" s="3">
        <v>45386</v>
      </c>
      <c r="HT116">
        <v>-329</v>
      </c>
      <c r="HU116">
        <v>-1252</v>
      </c>
      <c r="HV116">
        <v>1569</v>
      </c>
      <c r="HW116" s="3">
        <v>45386</v>
      </c>
      <c r="HX116">
        <v>-112</v>
      </c>
      <c r="HY116">
        <v>222</v>
      </c>
      <c r="HZ116">
        <v>-137</v>
      </c>
      <c r="IA116" s="3">
        <v>45386</v>
      </c>
      <c r="IB116">
        <v>-236</v>
      </c>
      <c r="IC116">
        <v>-588</v>
      </c>
      <c r="ID116">
        <v>802</v>
      </c>
      <c r="IE116" s="3">
        <v>45386</v>
      </c>
      <c r="IF116">
        <v>-579</v>
      </c>
      <c r="IG116">
        <v>-442</v>
      </c>
      <c r="IH116">
        <v>1016</v>
      </c>
      <c r="II116" s="3">
        <v>45386</v>
      </c>
      <c r="IJ116">
        <v>-74</v>
      </c>
      <c r="IK116">
        <v>-208</v>
      </c>
      <c r="IL116">
        <v>259</v>
      </c>
      <c r="IM116" s="3">
        <v>45386</v>
      </c>
      <c r="IN116">
        <v>-67</v>
      </c>
      <c r="IO116">
        <v>453</v>
      </c>
      <c r="IP116">
        <v>-480</v>
      </c>
      <c r="IQ116" s="3">
        <v>45386</v>
      </c>
      <c r="IR116">
        <v>137</v>
      </c>
      <c r="IS116">
        <v>301</v>
      </c>
      <c r="IT116">
        <v>-483</v>
      </c>
      <c r="IU116" s="3">
        <v>45386</v>
      </c>
      <c r="IV116">
        <v>-273</v>
      </c>
      <c r="IW116">
        <v>303</v>
      </c>
      <c r="IX116">
        <v>-10</v>
      </c>
      <c r="IY116" s="3">
        <v>45386</v>
      </c>
      <c r="IZ116">
        <v>-218</v>
      </c>
      <c r="JA116">
        <v>275</v>
      </c>
      <c r="JB116">
        <v>-65</v>
      </c>
      <c r="JC116" s="3">
        <v>45386</v>
      </c>
      <c r="JD116">
        <v>1859</v>
      </c>
      <c r="JE116">
        <v>5536</v>
      </c>
      <c r="JF116">
        <v>-8312</v>
      </c>
      <c r="JG116" s="3">
        <v>45386</v>
      </c>
      <c r="JH116">
        <v>-1451</v>
      </c>
      <c r="JI116">
        <v>4886</v>
      </c>
      <c r="JJ116">
        <v>-3526</v>
      </c>
      <c r="JK116" s="3">
        <v>45386</v>
      </c>
      <c r="JL116">
        <v>-185</v>
      </c>
      <c r="JM116">
        <v>-815</v>
      </c>
      <c r="JN116">
        <v>999</v>
      </c>
      <c r="JO116" s="3">
        <v>45386</v>
      </c>
      <c r="JP116">
        <v>1689</v>
      </c>
      <c r="JQ116">
        <v>-357</v>
      </c>
      <c r="JR116">
        <v>-2314</v>
      </c>
      <c r="JS116" s="3"/>
      <c r="JW116" s="3"/>
      <c r="KA116" s="3"/>
      <c r="KE116" s="3"/>
      <c r="KI116" s="3"/>
      <c r="KM116" s="3"/>
      <c r="KQ116" s="3"/>
      <c r="KU116" s="3"/>
      <c r="KY116" s="3"/>
      <c r="LC116" s="3"/>
      <c r="LG116" s="3"/>
      <c r="LK116" s="3"/>
      <c r="LO116" s="3"/>
    </row>
    <row r="117" spans="18:327" hidden="1">
      <c r="R117" s="3"/>
      <c r="V117" s="3"/>
      <c r="Z117" s="3"/>
      <c r="AD117" s="3"/>
      <c r="AH117" s="3"/>
      <c r="AL117" s="3"/>
      <c r="AP117" s="3"/>
      <c r="AT117" s="3"/>
      <c r="AX117" s="3"/>
      <c r="BB117" s="3"/>
      <c r="BF117" s="3"/>
      <c r="BJ117" s="3"/>
      <c r="BN117" s="3"/>
      <c r="BR117" s="3"/>
      <c r="BV117" s="3"/>
      <c r="BZ117" s="3"/>
      <c r="CD117" s="3"/>
      <c r="CH117" s="3"/>
      <c r="CL117" s="3"/>
      <c r="CP117" s="3"/>
      <c r="CT117" s="3"/>
      <c r="CX117" s="3"/>
      <c r="DB117" s="3"/>
      <c r="DF117" s="3"/>
      <c r="DJ117" s="3"/>
      <c r="DN117" s="3"/>
      <c r="DR117" s="3"/>
      <c r="DV117" s="3"/>
      <c r="DZ117" s="3"/>
      <c r="ED117" s="3"/>
      <c r="EH117" s="3"/>
      <c r="EL117" s="3"/>
      <c r="EP117" s="3"/>
      <c r="ET117" s="3"/>
      <c r="EX117" s="3"/>
      <c r="FB117" s="3"/>
      <c r="FF117" s="3"/>
      <c r="FJ117" s="3"/>
      <c r="FN117" s="3"/>
      <c r="FS117" s="3">
        <v>45385</v>
      </c>
      <c r="FT117">
        <v>-674599</v>
      </c>
      <c r="FU117">
        <v>3413</v>
      </c>
      <c r="FV117">
        <v>677666</v>
      </c>
      <c r="FW117" s="3">
        <v>45385</v>
      </c>
      <c r="FX117">
        <v>-690482</v>
      </c>
      <c r="FY117">
        <v>72210</v>
      </c>
      <c r="FZ117">
        <v>602719</v>
      </c>
      <c r="GA117" s="3">
        <v>45385</v>
      </c>
      <c r="GB117">
        <v>17907</v>
      </c>
      <c r="GC117">
        <v>10394</v>
      </c>
      <c r="GD117">
        <v>-28460</v>
      </c>
      <c r="GE117" s="3">
        <v>45385</v>
      </c>
      <c r="GF117">
        <v>1658</v>
      </c>
      <c r="GG117">
        <v>-931</v>
      </c>
      <c r="GH117">
        <v>-896</v>
      </c>
      <c r="GI117" s="3">
        <v>45385</v>
      </c>
      <c r="GJ117">
        <v>205</v>
      </c>
      <c r="GK117">
        <v>-179</v>
      </c>
      <c r="GL117">
        <v>131</v>
      </c>
      <c r="GM117" s="3">
        <v>45385</v>
      </c>
      <c r="GN117">
        <v>185</v>
      </c>
      <c r="GO117">
        <v>1180</v>
      </c>
      <c r="GP117">
        <v>-1208</v>
      </c>
      <c r="GQ117" s="3">
        <v>45385</v>
      </c>
      <c r="GR117">
        <v>-565</v>
      </c>
      <c r="GS117">
        <v>207</v>
      </c>
      <c r="GT117">
        <v>342</v>
      </c>
      <c r="GU117" s="3">
        <v>45385</v>
      </c>
      <c r="GV117">
        <v>-124</v>
      </c>
      <c r="GW117">
        <v>-172</v>
      </c>
      <c r="GX117">
        <v>-26</v>
      </c>
      <c r="GY117" s="3">
        <v>45385</v>
      </c>
      <c r="GZ117">
        <v>44</v>
      </c>
      <c r="HA117">
        <v>-967</v>
      </c>
      <c r="HB117">
        <v>926</v>
      </c>
      <c r="HC117" s="3">
        <v>45385</v>
      </c>
      <c r="HD117">
        <v>-51</v>
      </c>
      <c r="HE117">
        <v>-898</v>
      </c>
      <c r="HF117">
        <v>470</v>
      </c>
      <c r="HG117" s="3">
        <v>45385</v>
      </c>
      <c r="HH117">
        <v>-4023</v>
      </c>
      <c r="HI117">
        <v>-84</v>
      </c>
      <c r="HJ117">
        <v>4017</v>
      </c>
      <c r="HK117" s="3">
        <v>45385</v>
      </c>
      <c r="HL117">
        <v>296</v>
      </c>
      <c r="HM117">
        <v>-340</v>
      </c>
      <c r="HN117">
        <v>26</v>
      </c>
      <c r="HO117" s="3">
        <v>45385</v>
      </c>
      <c r="HP117">
        <v>111</v>
      </c>
      <c r="HQ117">
        <v>-1537</v>
      </c>
      <c r="HR117">
        <v>1383</v>
      </c>
      <c r="HS117" s="3">
        <v>45385</v>
      </c>
      <c r="HT117">
        <v>-271</v>
      </c>
      <c r="HU117">
        <v>1002</v>
      </c>
      <c r="HV117">
        <v>-838</v>
      </c>
      <c r="HW117" s="3">
        <v>45385</v>
      </c>
      <c r="HX117">
        <v>-656</v>
      </c>
      <c r="HY117">
        <v>409</v>
      </c>
      <c r="HZ117">
        <v>220</v>
      </c>
      <c r="IA117" s="3">
        <v>45385</v>
      </c>
      <c r="IB117">
        <v>-305</v>
      </c>
      <c r="IC117">
        <v>605</v>
      </c>
      <c r="ID117">
        <v>-187</v>
      </c>
      <c r="IE117" s="3">
        <v>45385</v>
      </c>
      <c r="IF117">
        <v>-122</v>
      </c>
      <c r="IG117">
        <v>379</v>
      </c>
      <c r="IH117">
        <v>-239</v>
      </c>
      <c r="II117" s="3">
        <v>45385</v>
      </c>
      <c r="IJ117">
        <v>-377</v>
      </c>
      <c r="IK117">
        <v>-350</v>
      </c>
      <c r="IL117">
        <v>693</v>
      </c>
      <c r="IM117" s="3">
        <v>45385</v>
      </c>
      <c r="IN117">
        <v>-1941</v>
      </c>
      <c r="IO117">
        <v>1064</v>
      </c>
      <c r="IP117">
        <v>1557</v>
      </c>
      <c r="IQ117" s="3">
        <v>45385</v>
      </c>
      <c r="IR117">
        <v>-45</v>
      </c>
      <c r="IS117">
        <v>89</v>
      </c>
      <c r="IT117">
        <v>715</v>
      </c>
      <c r="IU117" s="3">
        <v>45385</v>
      </c>
      <c r="IV117">
        <v>-704</v>
      </c>
      <c r="IW117">
        <v>539</v>
      </c>
      <c r="IX117">
        <v>99</v>
      </c>
      <c r="IY117" s="3">
        <v>45385</v>
      </c>
      <c r="IZ117">
        <v>-412</v>
      </c>
      <c r="JA117">
        <v>-886</v>
      </c>
      <c r="JB117">
        <v>515</v>
      </c>
      <c r="JC117" s="3">
        <v>45385</v>
      </c>
      <c r="JD117">
        <v>-4057</v>
      </c>
      <c r="JE117">
        <v>-2404</v>
      </c>
      <c r="JF117">
        <v>5462</v>
      </c>
      <c r="JG117" s="3">
        <v>45385</v>
      </c>
      <c r="JH117">
        <v>-6719</v>
      </c>
      <c r="JI117">
        <v>-1124</v>
      </c>
      <c r="JJ117">
        <v>7425</v>
      </c>
      <c r="JK117" s="3">
        <v>45385</v>
      </c>
      <c r="JL117">
        <v>-1962</v>
      </c>
      <c r="JM117">
        <v>2149</v>
      </c>
      <c r="JN117">
        <v>-334</v>
      </c>
      <c r="JO117" s="3">
        <v>45385</v>
      </c>
      <c r="JP117">
        <v>496</v>
      </c>
      <c r="JQ117">
        <v>-554</v>
      </c>
      <c r="JR117">
        <v>-1588</v>
      </c>
      <c r="JS117" s="3"/>
      <c r="JW117" s="3"/>
      <c r="KA117" s="3"/>
      <c r="KE117" s="3"/>
      <c r="KI117" s="3"/>
      <c r="KM117" s="3"/>
      <c r="KQ117" s="3"/>
      <c r="KU117" s="3"/>
      <c r="KY117" s="3"/>
      <c r="LC117" s="3"/>
      <c r="LG117" s="3"/>
      <c r="LK117" s="3"/>
      <c r="LO117" s="3"/>
    </row>
    <row r="118" spans="18:327" hidden="1">
      <c r="R118" s="3"/>
      <c r="V118" s="3"/>
      <c r="Z118" s="3"/>
      <c r="AD118" s="3"/>
      <c r="AH118" s="3"/>
      <c r="AL118" s="3"/>
      <c r="AP118" s="3"/>
      <c r="AT118" s="3"/>
      <c r="AX118" s="3"/>
      <c r="BB118" s="3"/>
      <c r="BF118" s="3"/>
      <c r="BJ118" s="3"/>
      <c r="BN118" s="3"/>
      <c r="BR118" s="3"/>
      <c r="BV118" s="3"/>
      <c r="BZ118" s="3"/>
      <c r="CD118" s="3"/>
      <c r="CH118" s="3"/>
      <c r="CL118" s="3"/>
      <c r="CP118" s="3"/>
      <c r="CT118" s="3"/>
      <c r="CX118" s="3"/>
      <c r="DB118" s="3"/>
      <c r="DF118" s="3"/>
      <c r="DJ118" s="3"/>
      <c r="DN118" s="3"/>
      <c r="DR118" s="3"/>
      <c r="DV118" s="3"/>
      <c r="DZ118" s="3"/>
      <c r="ED118" s="3"/>
      <c r="EH118" s="3"/>
      <c r="EL118" s="3"/>
      <c r="EP118" s="3"/>
      <c r="ET118" s="3"/>
      <c r="EX118" s="3"/>
      <c r="FB118" s="3"/>
      <c r="FF118" s="3"/>
      <c r="FJ118" s="3"/>
      <c r="FN118" s="3"/>
      <c r="FS118" s="3"/>
      <c r="FW118" s="3"/>
      <c r="GA118" s="3"/>
      <c r="GE118" s="3"/>
      <c r="GI118" s="3"/>
      <c r="GM118" s="3"/>
      <c r="GQ118" s="3"/>
      <c r="GU118" s="3"/>
      <c r="GY118" s="3"/>
      <c r="HC118" s="3"/>
      <c r="HG118" s="3"/>
      <c r="HK118" s="3"/>
      <c r="HO118" s="3"/>
      <c r="HS118" s="3"/>
      <c r="HW118" s="3"/>
      <c r="IA118" s="3"/>
      <c r="IE118" s="3"/>
      <c r="II118" s="3"/>
      <c r="IM118" s="3"/>
      <c r="IQ118" s="3"/>
      <c r="IU118" s="3"/>
      <c r="IY118" s="3"/>
      <c r="JC118" s="3"/>
      <c r="JG118" s="3"/>
      <c r="JK118" s="3"/>
      <c r="JO118" s="3"/>
      <c r="JS118" s="3"/>
      <c r="JW118" s="3"/>
      <c r="KA118" s="3"/>
      <c r="KE118" s="3"/>
      <c r="KI118" s="3"/>
      <c r="KM118" s="3"/>
      <c r="KQ118" s="3"/>
      <c r="KU118" s="3"/>
      <c r="KY118" s="3"/>
      <c r="LC118" s="3"/>
      <c r="LG118" s="3"/>
      <c r="LK118" s="3"/>
      <c r="LO118" s="3"/>
    </row>
    <row r="119" spans="18:327" hidden="1">
      <c r="R119" s="3"/>
      <c r="V119" s="3"/>
      <c r="Z119" s="3"/>
      <c r="AD119" s="3"/>
      <c r="AH119" s="3"/>
      <c r="AL119" s="3"/>
      <c r="AP119" s="3"/>
      <c r="AT119" s="3"/>
      <c r="AX119" s="3"/>
      <c r="BB119" s="3"/>
      <c r="BF119" s="3"/>
      <c r="BJ119" s="3"/>
      <c r="BN119" s="3"/>
      <c r="BR119" s="3"/>
      <c r="BV119" s="3"/>
      <c r="BZ119" s="3"/>
      <c r="CD119" s="3"/>
      <c r="CH119" s="3"/>
      <c r="CL119" s="3"/>
      <c r="CP119" s="3"/>
      <c r="CT119" s="3"/>
      <c r="CX119" s="3"/>
      <c r="DB119" s="3"/>
      <c r="DF119" s="3"/>
      <c r="DJ119" s="3"/>
      <c r="DN119" s="3"/>
      <c r="DR119" s="3"/>
      <c r="DV119" s="3"/>
      <c r="DZ119" s="3"/>
      <c r="ED119" s="3"/>
      <c r="EH119" s="3"/>
      <c r="EL119" s="3"/>
      <c r="EP119" s="3"/>
      <c r="ET119" s="3"/>
      <c r="EX119" s="3"/>
      <c r="FB119" s="3"/>
      <c r="FF119" s="3"/>
      <c r="FJ119" s="3"/>
      <c r="FN119" s="3"/>
      <c r="FS119" s="3"/>
      <c r="FW119" s="3"/>
      <c r="GA119" s="3"/>
      <c r="GE119" s="3"/>
      <c r="GI119" s="3"/>
      <c r="GM119" s="3"/>
      <c r="GQ119" s="3"/>
      <c r="GU119" s="3"/>
      <c r="GY119" s="3"/>
      <c r="HC119" s="3"/>
      <c r="HG119" s="3"/>
      <c r="HK119" s="3"/>
      <c r="HO119" s="3"/>
      <c r="HS119" s="3"/>
      <c r="HW119" s="3"/>
      <c r="IA119" s="3"/>
      <c r="IE119" s="3"/>
      <c r="II119" s="3"/>
      <c r="IM119" s="3"/>
      <c r="IQ119" s="3"/>
      <c r="IU119" s="3"/>
      <c r="IY119" s="3"/>
      <c r="JC119" s="3"/>
      <c r="JG119" s="3"/>
      <c r="JK119" s="3"/>
      <c r="JO119" s="3"/>
      <c r="JS119" s="3"/>
      <c r="JW119" s="3"/>
      <c r="KA119" s="3"/>
      <c r="KE119" s="3"/>
      <c r="KI119" s="3"/>
      <c r="KM119" s="3"/>
      <c r="KQ119" s="3"/>
      <c r="KU119" s="3"/>
      <c r="KY119" s="3"/>
      <c r="LC119" s="3"/>
      <c r="LG119" s="3"/>
      <c r="LK119" s="3"/>
      <c r="LO119" s="3"/>
    </row>
    <row r="120" spans="18:327" hidden="1">
      <c r="R120" s="3"/>
      <c r="V120" s="3"/>
      <c r="Z120" s="3"/>
      <c r="AD120" s="3"/>
      <c r="AH120" s="3"/>
      <c r="AL120" s="3"/>
      <c r="AP120" s="3"/>
      <c r="AT120" s="3"/>
      <c r="AX120" s="3"/>
      <c r="BB120" s="3"/>
      <c r="BF120" s="3"/>
      <c r="BJ120" s="3"/>
      <c r="BN120" s="3"/>
      <c r="BR120" s="3"/>
      <c r="BV120" s="3"/>
      <c r="BZ120" s="3"/>
      <c r="CD120" s="3"/>
      <c r="CH120" s="3"/>
      <c r="CL120" s="3"/>
      <c r="CP120" s="3"/>
      <c r="CT120" s="3"/>
      <c r="CX120" s="3"/>
      <c r="DB120" s="3"/>
      <c r="DF120" s="3"/>
      <c r="DJ120" s="3"/>
      <c r="DN120" s="3"/>
      <c r="DR120" s="3"/>
      <c r="DV120" s="3"/>
      <c r="DZ120" s="3"/>
      <c r="ED120" s="3"/>
      <c r="EH120" s="3"/>
      <c r="EL120" s="3"/>
      <c r="EP120" s="3"/>
      <c r="ET120" s="3"/>
      <c r="EX120" s="3"/>
      <c r="FB120" s="3"/>
      <c r="FF120" s="3"/>
      <c r="FJ120" s="3"/>
      <c r="FN120" s="3"/>
      <c r="FS120" s="3"/>
      <c r="FW120" s="3"/>
      <c r="GA120" s="3"/>
      <c r="GE120" s="3"/>
      <c r="GI120" s="3"/>
      <c r="GM120" s="3"/>
      <c r="GQ120" s="3"/>
      <c r="GU120" s="3"/>
      <c r="GY120" s="3"/>
      <c r="HC120" s="3"/>
      <c r="HG120" s="3"/>
      <c r="HK120" s="3"/>
      <c r="HO120" s="3"/>
      <c r="HS120" s="3"/>
      <c r="HW120" s="3"/>
      <c r="IA120" s="3"/>
      <c r="IE120" s="3"/>
      <c r="II120" s="3"/>
      <c r="IM120" s="3"/>
      <c r="IQ120" s="3"/>
      <c r="IU120" s="3"/>
      <c r="IY120" s="3"/>
      <c r="JC120" s="3"/>
      <c r="JG120" s="3"/>
      <c r="JK120" s="3"/>
      <c r="JO120" s="3"/>
      <c r="JS120" s="3"/>
      <c r="JW120" s="3"/>
      <c r="KA120" s="3"/>
      <c r="KE120" s="3"/>
      <c r="KI120" s="3"/>
      <c r="KM120" s="3"/>
      <c r="KQ120" s="3"/>
      <c r="KU120" s="3"/>
      <c r="KY120" s="3"/>
      <c r="LC120" s="3"/>
      <c r="LG120" s="3"/>
      <c r="LK120" s="3"/>
      <c r="LO120" s="3"/>
    </row>
    <row r="121" spans="18:327" hidden="1">
      <c r="R121" s="3"/>
      <c r="V121" s="3"/>
      <c r="Z121" s="3"/>
      <c r="AD121" s="3"/>
      <c r="AH121" s="3"/>
      <c r="AL121" s="3"/>
      <c r="AP121" s="3"/>
      <c r="AT121" s="3"/>
      <c r="AX121" s="3"/>
      <c r="BB121" s="3"/>
      <c r="BF121" s="3"/>
      <c r="BJ121" s="3"/>
      <c r="BN121" s="3"/>
      <c r="BR121" s="3"/>
      <c r="BV121" s="3"/>
      <c r="BZ121" s="3"/>
      <c r="CD121" s="3"/>
      <c r="CH121" s="3"/>
      <c r="CL121" s="3"/>
      <c r="CP121" s="3"/>
      <c r="CT121" s="3"/>
      <c r="CX121" s="3"/>
      <c r="DB121" s="3"/>
      <c r="DF121" s="3"/>
      <c r="DJ121" s="3"/>
      <c r="DN121" s="3"/>
      <c r="DR121" s="3"/>
      <c r="DV121" s="3"/>
      <c r="DZ121" s="3"/>
      <c r="ED121" s="3"/>
      <c r="EH121" s="3"/>
      <c r="EL121" s="3"/>
      <c r="EP121" s="3"/>
      <c r="ET121" s="3"/>
      <c r="EX121" s="3"/>
      <c r="FB121" s="3"/>
      <c r="FF121" s="3"/>
      <c r="FJ121" s="3"/>
      <c r="FN121" s="3"/>
      <c r="FS121" s="3"/>
      <c r="FW121" s="3"/>
      <c r="GA121" s="3"/>
      <c r="GE121" s="3"/>
      <c r="GI121" s="3"/>
      <c r="GM121" s="3"/>
      <c r="GQ121" s="3"/>
      <c r="GU121" s="3"/>
      <c r="GY121" s="3"/>
      <c r="HC121" s="3"/>
      <c r="HG121" s="3"/>
      <c r="HK121" s="3"/>
      <c r="HO121" s="3"/>
      <c r="HS121" s="3"/>
      <c r="HW121" s="3"/>
      <c r="IA121" s="3"/>
      <c r="IE121" s="3"/>
      <c r="II121" s="3"/>
      <c r="IM121" s="3"/>
      <c r="IQ121" s="3"/>
      <c r="IU121" s="3"/>
      <c r="IY121" s="3"/>
      <c r="JC121" s="3"/>
      <c r="JG121" s="3"/>
      <c r="JK121" s="3"/>
      <c r="JO121" s="3"/>
      <c r="JS121" s="3"/>
      <c r="JW121" s="3"/>
      <c r="KA121" s="3"/>
      <c r="KE121" s="3"/>
      <c r="KI121" s="3"/>
      <c r="KM121" s="3"/>
      <c r="KQ121" s="3"/>
      <c r="KU121" s="3"/>
      <c r="KY121" s="3"/>
      <c r="LC121" s="3"/>
      <c r="LG121" s="3"/>
      <c r="LK121" s="3"/>
      <c r="LO121" s="3"/>
    </row>
    <row r="122" spans="18:327" hidden="1">
      <c r="R122" s="3"/>
      <c r="V122" s="3"/>
      <c r="Z122" s="3"/>
      <c r="AD122" s="3"/>
      <c r="AH122" s="3"/>
      <c r="AL122" s="3"/>
      <c r="AP122" s="3"/>
      <c r="AT122" s="3"/>
      <c r="AX122" s="3"/>
      <c r="BB122" s="3"/>
      <c r="BF122" s="3"/>
      <c r="BJ122" s="3"/>
      <c r="BN122" s="3"/>
      <c r="BR122" s="3"/>
      <c r="BV122" s="3"/>
      <c r="BZ122" s="3"/>
      <c r="CD122" s="3"/>
      <c r="CH122" s="3"/>
      <c r="CL122" s="3"/>
      <c r="CP122" s="3"/>
      <c r="CT122" s="3"/>
      <c r="CX122" s="3"/>
      <c r="DB122" s="3"/>
      <c r="DF122" s="3"/>
      <c r="DJ122" s="3"/>
      <c r="DN122" s="3"/>
      <c r="DR122" s="3"/>
      <c r="DV122" s="3"/>
      <c r="DZ122" s="3"/>
      <c r="ED122" s="3"/>
      <c r="EH122" s="3"/>
      <c r="EL122" s="3"/>
      <c r="EP122" s="3"/>
      <c r="ET122" s="3"/>
      <c r="EX122" s="3"/>
      <c r="FB122" s="3"/>
      <c r="FF122" s="3"/>
      <c r="FJ122" s="3"/>
      <c r="FN122" s="3"/>
      <c r="FS122" s="3"/>
      <c r="FW122" s="3"/>
      <c r="GA122" s="3"/>
      <c r="GE122" s="3"/>
      <c r="GI122" s="3"/>
      <c r="GM122" s="3"/>
      <c r="GQ122" s="3"/>
      <c r="GU122" s="3"/>
      <c r="GY122" s="3"/>
      <c r="HC122" s="3"/>
      <c r="HG122" s="3"/>
      <c r="HK122" s="3"/>
      <c r="HO122" s="3"/>
      <c r="HS122" s="3"/>
      <c r="HW122" s="3"/>
      <c r="IA122" s="3"/>
      <c r="IE122" s="3"/>
      <c r="II122" s="3"/>
      <c r="IM122" s="3"/>
      <c r="IQ122" s="3"/>
      <c r="IU122" s="3"/>
      <c r="IY122" s="3"/>
      <c r="JC122" s="3"/>
      <c r="JG122" s="3"/>
      <c r="JK122" s="3"/>
      <c r="JO122" s="3"/>
      <c r="JS122" s="3"/>
      <c r="JW122" s="3"/>
      <c r="KA122" s="3"/>
      <c r="KE122" s="3"/>
      <c r="KI122" s="3"/>
      <c r="KM122" s="3"/>
      <c r="KQ122" s="3"/>
      <c r="KU122" s="3"/>
      <c r="KY122" s="3"/>
      <c r="LC122" s="3"/>
      <c r="LG122" s="3"/>
      <c r="LK122" s="3"/>
      <c r="LO122" s="3"/>
    </row>
    <row r="123" spans="18:327" hidden="1">
      <c r="R123" s="3"/>
      <c r="V123" s="3"/>
      <c r="Z123" s="3"/>
      <c r="AD123" s="3"/>
      <c r="AH123" s="3"/>
      <c r="AL123" s="3"/>
      <c r="AP123" s="3"/>
      <c r="AT123" s="3"/>
      <c r="AX123" s="3"/>
      <c r="BB123" s="3"/>
      <c r="BF123" s="3"/>
      <c r="BJ123" s="3"/>
      <c r="BN123" s="3"/>
      <c r="BR123" s="3"/>
      <c r="BV123" s="3"/>
      <c r="BZ123" s="3"/>
      <c r="CD123" s="3"/>
      <c r="CH123" s="3"/>
      <c r="CL123" s="3"/>
      <c r="CP123" s="3"/>
      <c r="CT123" s="3"/>
      <c r="CX123" s="3"/>
      <c r="DB123" s="3"/>
      <c r="DF123" s="3"/>
      <c r="DJ123" s="3"/>
      <c r="DN123" s="3"/>
      <c r="DR123" s="3"/>
      <c r="DV123" s="3"/>
      <c r="DZ123" s="3"/>
      <c r="ED123" s="3"/>
      <c r="EH123" s="3"/>
      <c r="EL123" s="3"/>
      <c r="EP123" s="3"/>
      <c r="ET123" s="3"/>
      <c r="EX123" s="3"/>
      <c r="FB123" s="3"/>
      <c r="FF123" s="3"/>
      <c r="FJ123" s="3"/>
      <c r="FN123" s="3"/>
      <c r="FS123" s="3"/>
      <c r="FW123" s="3"/>
      <c r="GA123" s="3"/>
      <c r="GE123" s="3"/>
      <c r="GI123" s="3"/>
      <c r="GM123" s="3"/>
      <c r="GQ123" s="3"/>
      <c r="GU123" s="3"/>
      <c r="GY123" s="3"/>
      <c r="HC123" s="3"/>
      <c r="HG123" s="3"/>
      <c r="HK123" s="3"/>
      <c r="HO123" s="3"/>
      <c r="HS123" s="3"/>
      <c r="HW123" s="3"/>
      <c r="IA123" s="3"/>
      <c r="IE123" s="3"/>
      <c r="II123" s="3"/>
      <c r="IM123" s="3"/>
      <c r="IQ123" s="3"/>
      <c r="IU123" s="3"/>
      <c r="IY123" s="3"/>
      <c r="JC123" s="3"/>
      <c r="JG123" s="3"/>
      <c r="JK123" s="3"/>
      <c r="JO123" s="3"/>
      <c r="JS123" s="3"/>
      <c r="JW123" s="3"/>
      <c r="KA123" s="3"/>
      <c r="KE123" s="3"/>
      <c r="KI123" s="3"/>
      <c r="KM123" s="3"/>
      <c r="KQ123" s="3"/>
      <c r="KU123" s="3"/>
      <c r="KY123" s="3"/>
      <c r="LC123" s="3"/>
      <c r="LG123" s="3"/>
      <c r="LK123" s="3"/>
      <c r="LO123" s="3"/>
    </row>
    <row r="124" spans="18:327" hidden="1">
      <c r="R124" s="3"/>
      <c r="V124" s="3"/>
      <c r="Z124" s="3"/>
      <c r="AD124" s="3"/>
      <c r="AH124" s="3"/>
      <c r="AL124" s="3"/>
      <c r="AP124" s="3"/>
      <c r="AT124" s="3"/>
      <c r="AX124" s="3"/>
      <c r="BB124" s="3"/>
      <c r="BF124" s="3"/>
      <c r="BJ124" s="3"/>
      <c r="BN124" s="3"/>
      <c r="BR124" s="3"/>
      <c r="BV124" s="3"/>
      <c r="BZ124" s="3"/>
      <c r="CD124" s="3"/>
      <c r="CH124" s="3"/>
      <c r="CL124" s="3"/>
      <c r="CP124" s="3"/>
      <c r="CT124" s="3"/>
      <c r="CX124" s="3"/>
      <c r="DB124" s="3"/>
      <c r="DF124" s="3"/>
      <c r="DJ124" s="3"/>
      <c r="DN124" s="3"/>
      <c r="DR124" s="3"/>
      <c r="DV124" s="3"/>
      <c r="DZ124" s="3"/>
      <c r="ED124" s="3"/>
      <c r="EH124" s="3"/>
      <c r="EL124" s="3"/>
      <c r="EP124" s="3"/>
      <c r="ET124" s="3"/>
      <c r="EX124" s="3"/>
      <c r="FB124" s="3"/>
      <c r="FF124" s="3"/>
      <c r="FJ124" s="3"/>
      <c r="FN124" s="3"/>
      <c r="FS124" s="3"/>
      <c r="FW124" s="3"/>
      <c r="GA124" s="3"/>
      <c r="GE124" s="3"/>
      <c r="GI124" s="3"/>
      <c r="GM124" s="3"/>
      <c r="GQ124" s="3"/>
      <c r="GU124" s="3"/>
      <c r="GY124" s="3"/>
      <c r="HC124" s="3"/>
      <c r="HG124" s="3"/>
      <c r="HK124" s="3"/>
      <c r="HO124" s="3"/>
      <c r="HS124" s="3"/>
      <c r="HW124" s="3"/>
      <c r="IA124" s="3"/>
      <c r="IE124" s="3"/>
      <c r="II124" s="3"/>
      <c r="IM124" s="3"/>
      <c r="IQ124" s="3"/>
      <c r="IU124" s="3"/>
      <c r="IY124" s="3"/>
      <c r="JC124" s="3"/>
      <c r="JG124" s="3"/>
      <c r="JK124" s="3"/>
      <c r="JO124" s="3"/>
      <c r="JS124" s="3"/>
      <c r="JW124" s="3"/>
      <c r="KA124" s="3"/>
      <c r="KE124" s="3"/>
      <c r="KI124" s="3"/>
      <c r="KM124" s="3"/>
      <c r="KQ124" s="3"/>
      <c r="KU124" s="3"/>
      <c r="KY124" s="3"/>
      <c r="LC124" s="3"/>
      <c r="LG124" s="3"/>
      <c r="LK124" s="3"/>
      <c r="LO124" s="3"/>
    </row>
    <row r="125" spans="18:327" hidden="1">
      <c r="R125" s="3"/>
      <c r="V125" s="3"/>
      <c r="Z125" s="3"/>
      <c r="AD125" s="3"/>
      <c r="AH125" s="3"/>
      <c r="AL125" s="3"/>
      <c r="AP125" s="3"/>
      <c r="AT125" s="3"/>
      <c r="AX125" s="3"/>
      <c r="BB125" s="3"/>
      <c r="BF125" s="3"/>
      <c r="BJ125" s="3"/>
      <c r="BN125" s="3"/>
      <c r="BR125" s="3"/>
      <c r="BV125" s="3"/>
      <c r="BZ125" s="3"/>
      <c r="CD125" s="3"/>
      <c r="CH125" s="3"/>
      <c r="CL125" s="3"/>
      <c r="CP125" s="3"/>
      <c r="CT125" s="3"/>
      <c r="CX125" s="3"/>
      <c r="DB125" s="3"/>
      <c r="DF125" s="3"/>
      <c r="DJ125" s="3"/>
      <c r="DN125" s="3"/>
      <c r="DR125" s="3"/>
      <c r="DV125" s="3"/>
      <c r="DZ125" s="3"/>
      <c r="ED125" s="3"/>
      <c r="EH125" s="3"/>
      <c r="EL125" s="3"/>
      <c r="EP125" s="3"/>
      <c r="ET125" s="3"/>
      <c r="EX125" s="3"/>
      <c r="FB125" s="3"/>
      <c r="FF125" s="3"/>
      <c r="FJ125" s="3"/>
      <c r="FN125" s="3"/>
      <c r="FS125" s="3"/>
      <c r="FW125" s="3"/>
      <c r="GA125" s="3"/>
      <c r="GE125" s="3"/>
      <c r="GI125" s="3"/>
      <c r="GM125" s="3"/>
      <c r="GQ125" s="3"/>
      <c r="GU125" s="3"/>
      <c r="GY125" s="3"/>
      <c r="HC125" s="3"/>
      <c r="HG125" s="3"/>
      <c r="HK125" s="3"/>
      <c r="HO125" s="3"/>
      <c r="HS125" s="3"/>
      <c r="HW125" s="3"/>
      <c r="IA125" s="3"/>
      <c r="IE125" s="3"/>
      <c r="II125" s="3"/>
      <c r="IM125" s="3"/>
      <c r="IQ125" s="3"/>
      <c r="IU125" s="3"/>
      <c r="IY125" s="3"/>
      <c r="JC125" s="3"/>
      <c r="JG125" s="3"/>
      <c r="JK125" s="3"/>
      <c r="JO125" s="3"/>
      <c r="JS125" s="3"/>
      <c r="JW125" s="3"/>
      <c r="KA125" s="3"/>
      <c r="KE125" s="3"/>
      <c r="KI125" s="3"/>
      <c r="KM125" s="3"/>
      <c r="KQ125" s="3"/>
      <c r="KU125" s="3"/>
      <c r="KY125" s="3"/>
      <c r="LC125" s="3"/>
      <c r="LG125" s="3"/>
      <c r="LK125" s="3"/>
      <c r="LO125" s="3"/>
    </row>
    <row r="126" spans="18:327" hidden="1">
      <c r="R126" s="3"/>
      <c r="V126" s="3"/>
      <c r="Z126" s="3"/>
      <c r="AD126" s="3"/>
      <c r="AH126" s="3"/>
      <c r="AL126" s="3"/>
      <c r="AP126" s="3"/>
      <c r="AT126" s="3"/>
      <c r="AX126" s="3"/>
      <c r="BB126" s="3"/>
      <c r="BF126" s="3"/>
      <c r="BJ126" s="3"/>
      <c r="BN126" s="3"/>
      <c r="BR126" s="3"/>
      <c r="BV126" s="3"/>
      <c r="BZ126" s="3"/>
      <c r="CD126" s="3"/>
      <c r="CH126" s="3"/>
      <c r="CL126" s="3"/>
      <c r="CP126" s="3"/>
      <c r="CT126" s="3"/>
      <c r="CX126" s="3"/>
      <c r="DB126" s="3"/>
      <c r="DF126" s="3"/>
      <c r="DJ126" s="3"/>
      <c r="DN126" s="3"/>
      <c r="DR126" s="3"/>
      <c r="DV126" s="3"/>
      <c r="DZ126" s="3"/>
      <c r="ED126" s="3"/>
      <c r="EH126" s="3"/>
      <c r="EL126" s="3"/>
      <c r="EP126" s="3"/>
      <c r="ET126" s="3"/>
      <c r="EX126" s="3"/>
      <c r="FB126" s="3"/>
      <c r="FF126" s="3"/>
      <c r="FJ126" s="3"/>
      <c r="FN126" s="3"/>
      <c r="FS126" s="3"/>
      <c r="FW126" s="3"/>
      <c r="GA126" s="3"/>
      <c r="GE126" s="3"/>
      <c r="GI126" s="3"/>
      <c r="GM126" s="3"/>
      <c r="GQ126" s="3"/>
      <c r="GU126" s="3"/>
      <c r="GY126" s="3"/>
      <c r="HC126" s="3"/>
      <c r="HG126" s="3"/>
      <c r="HK126" s="3"/>
      <c r="HO126" s="3"/>
      <c r="HS126" s="3"/>
      <c r="HW126" s="3"/>
      <c r="IA126" s="3"/>
      <c r="IE126" s="3"/>
      <c r="II126" s="3"/>
      <c r="IM126" s="3"/>
      <c r="IQ126" s="3"/>
      <c r="IU126" s="3"/>
      <c r="IY126" s="3"/>
      <c r="JC126" s="3"/>
      <c r="JG126" s="3"/>
      <c r="JK126" s="3"/>
      <c r="JO126" s="3"/>
      <c r="JS126" s="3"/>
      <c r="JW126" s="3"/>
      <c r="KA126" s="3"/>
      <c r="KE126" s="3"/>
      <c r="KI126" s="3"/>
      <c r="KM126" s="3"/>
      <c r="KQ126" s="3"/>
      <c r="KU126" s="3"/>
      <c r="KY126" s="3"/>
      <c r="LC126" s="3"/>
      <c r="LG126" s="3"/>
      <c r="LK126" s="3"/>
      <c r="LO126" s="3"/>
    </row>
    <row r="127" spans="18:327" hidden="1">
      <c r="R127" s="3"/>
      <c r="V127" s="3"/>
      <c r="Z127" s="3"/>
      <c r="AD127" s="3"/>
      <c r="AH127" s="3"/>
      <c r="AL127" s="3"/>
      <c r="AP127" s="3"/>
      <c r="AT127" s="3"/>
      <c r="AX127" s="3"/>
      <c r="BB127" s="3"/>
      <c r="BF127" s="3"/>
      <c r="BJ127" s="3"/>
      <c r="BN127" s="3"/>
      <c r="BR127" s="3"/>
      <c r="BV127" s="3"/>
      <c r="BZ127" s="3"/>
      <c r="CD127" s="3"/>
      <c r="CH127" s="3"/>
      <c r="CL127" s="3"/>
      <c r="CP127" s="3"/>
      <c r="CT127" s="3"/>
      <c r="CX127" s="3"/>
      <c r="DB127" s="3"/>
      <c r="DF127" s="3"/>
      <c r="DJ127" s="3"/>
      <c r="DN127" s="3"/>
      <c r="DR127" s="3"/>
      <c r="DV127" s="3"/>
      <c r="DZ127" s="3"/>
      <c r="ED127" s="3"/>
      <c r="EH127" s="3"/>
      <c r="EL127" s="3"/>
      <c r="EP127" s="3"/>
      <c r="ET127" s="3"/>
      <c r="EX127" s="3"/>
      <c r="FB127" s="3"/>
      <c r="FF127" s="3"/>
      <c r="FJ127" s="3"/>
      <c r="FN127" s="3"/>
      <c r="FS127" s="3"/>
      <c r="FW127" s="3"/>
      <c r="GA127" s="3"/>
      <c r="GE127" s="3"/>
      <c r="GI127" s="3"/>
      <c r="GM127" s="3"/>
      <c r="GQ127" s="3"/>
      <c r="GU127" s="3"/>
      <c r="GY127" s="3"/>
      <c r="HC127" s="3"/>
      <c r="HG127" s="3"/>
      <c r="HK127" s="3"/>
      <c r="HO127" s="3"/>
      <c r="HS127" s="3"/>
      <c r="HW127" s="3"/>
      <c r="IA127" s="3"/>
      <c r="IE127" s="3"/>
      <c r="II127" s="3"/>
      <c r="IM127" s="3"/>
      <c r="IQ127" s="3"/>
      <c r="IU127" s="3"/>
      <c r="IY127" s="3"/>
      <c r="JC127" s="3"/>
      <c r="JG127" s="3"/>
      <c r="JK127" s="3"/>
      <c r="JO127" s="3"/>
      <c r="JS127" s="3"/>
      <c r="JW127" s="3"/>
      <c r="KA127" s="3"/>
      <c r="KE127" s="3"/>
      <c r="KI127" s="3"/>
      <c r="KM127" s="3"/>
      <c r="KQ127" s="3"/>
      <c r="KU127" s="3"/>
      <c r="KY127" s="3"/>
      <c r="LC127" s="3"/>
      <c r="LG127" s="3"/>
      <c r="LK127" s="3"/>
      <c r="LO127" s="3"/>
    </row>
    <row r="128" spans="18:327" hidden="1">
      <c r="R128" s="3"/>
      <c r="V128" s="3"/>
      <c r="Z128" s="3"/>
      <c r="AD128" s="3"/>
      <c r="AH128" s="3"/>
      <c r="AL128" s="3"/>
      <c r="AP128" s="3"/>
      <c r="AT128" s="3"/>
      <c r="AX128" s="3"/>
      <c r="BB128" s="3"/>
      <c r="BF128" s="3"/>
      <c r="BJ128" s="3"/>
      <c r="BN128" s="3"/>
      <c r="BR128" s="3"/>
      <c r="BV128" s="3"/>
      <c r="BZ128" s="3"/>
      <c r="CD128" s="3"/>
      <c r="CH128" s="3"/>
      <c r="CL128" s="3"/>
      <c r="CP128" s="3"/>
      <c r="CT128" s="3"/>
      <c r="CX128" s="3"/>
      <c r="DB128" s="3"/>
      <c r="DF128" s="3"/>
      <c r="DJ128" s="3"/>
      <c r="DN128" s="3"/>
      <c r="DR128" s="3"/>
      <c r="DV128" s="3"/>
      <c r="DZ128" s="3"/>
      <c r="ED128" s="3"/>
      <c r="EH128" s="3"/>
      <c r="EL128" s="3"/>
      <c r="EP128" s="3"/>
      <c r="ET128" s="3"/>
      <c r="EX128" s="3"/>
      <c r="FB128" s="3"/>
      <c r="FF128" s="3"/>
      <c r="FJ128" s="3"/>
      <c r="FN128" s="3"/>
      <c r="FS128" s="3"/>
      <c r="FW128" s="3"/>
      <c r="GA128" s="3"/>
      <c r="GE128" s="3"/>
      <c r="GI128" s="3"/>
      <c r="GM128" s="3"/>
      <c r="GQ128" s="3"/>
      <c r="GU128" s="3"/>
      <c r="GY128" s="3"/>
      <c r="HC128" s="3"/>
      <c r="HG128" s="3"/>
      <c r="HK128" s="3"/>
      <c r="HO128" s="3"/>
      <c r="HS128" s="3"/>
      <c r="HW128" s="3"/>
      <c r="IA128" s="3"/>
      <c r="IE128" s="3"/>
      <c r="II128" s="3"/>
      <c r="IM128" s="3"/>
      <c r="IQ128" s="3"/>
      <c r="IU128" s="3"/>
      <c r="IY128" s="3"/>
      <c r="JC128" s="3"/>
      <c r="JG128" s="3"/>
      <c r="JK128" s="3"/>
      <c r="JO128" s="3"/>
      <c r="JS128" s="3"/>
      <c r="JW128" s="3"/>
      <c r="KA128" s="3"/>
      <c r="KE128" s="3"/>
      <c r="KI128" s="3"/>
      <c r="KM128" s="3"/>
      <c r="KQ128" s="3"/>
      <c r="KU128" s="3"/>
      <c r="KY128" s="3"/>
      <c r="LC128" s="3"/>
      <c r="LG128" s="3"/>
      <c r="LK128" s="3"/>
      <c r="LO128" s="3"/>
    </row>
    <row r="129" spans="18:327" hidden="1">
      <c r="R129" s="3"/>
      <c r="V129" s="3"/>
      <c r="Z129" s="3"/>
      <c r="AD129" s="3"/>
      <c r="AH129" s="3"/>
      <c r="AL129" s="3"/>
      <c r="AP129" s="3"/>
      <c r="AT129" s="3"/>
      <c r="AX129" s="3"/>
      <c r="BB129" s="3"/>
      <c r="BF129" s="3"/>
      <c r="BJ129" s="3"/>
      <c r="BN129" s="3"/>
      <c r="BR129" s="3"/>
      <c r="BV129" s="3"/>
      <c r="BZ129" s="3"/>
      <c r="CD129" s="3"/>
      <c r="CH129" s="3"/>
      <c r="CL129" s="3"/>
      <c r="CP129" s="3"/>
      <c r="CT129" s="3"/>
      <c r="CX129" s="3"/>
      <c r="DB129" s="3"/>
      <c r="DF129" s="3"/>
      <c r="DJ129" s="3"/>
      <c r="DN129" s="3"/>
      <c r="DR129" s="3"/>
      <c r="DV129" s="3"/>
      <c r="DZ129" s="3"/>
      <c r="ED129" s="3"/>
      <c r="EH129" s="3"/>
      <c r="EL129" s="3"/>
      <c r="EP129" s="3"/>
      <c r="ET129" s="3"/>
      <c r="EX129" s="3"/>
      <c r="FB129" s="3"/>
      <c r="FF129" s="3"/>
      <c r="FJ129" s="3"/>
      <c r="FN129" s="3"/>
      <c r="FS129" s="3"/>
      <c r="FW129" s="3"/>
      <c r="GA129" s="3"/>
      <c r="GE129" s="3"/>
      <c r="GI129" s="3"/>
      <c r="GM129" s="3"/>
      <c r="GQ129" s="3"/>
      <c r="GU129" s="3"/>
      <c r="GY129" s="3"/>
      <c r="HC129" s="3"/>
      <c r="HG129" s="3"/>
      <c r="HK129" s="3"/>
      <c r="HO129" s="3"/>
      <c r="HS129" s="3"/>
      <c r="HW129" s="3"/>
      <c r="IA129" s="3"/>
      <c r="IE129" s="3"/>
      <c r="II129" s="3"/>
      <c r="IM129" s="3"/>
      <c r="IQ129" s="3"/>
      <c r="IU129" s="3"/>
      <c r="IY129" s="3"/>
      <c r="JC129" s="3"/>
      <c r="JG129" s="3"/>
      <c r="JK129" s="3"/>
      <c r="JO129" s="3"/>
      <c r="JS129" s="3"/>
      <c r="JW129" s="3"/>
      <c r="KA129" s="3"/>
      <c r="KE129" s="3"/>
      <c r="KI129" s="3"/>
      <c r="KM129" s="3"/>
      <c r="KQ129" s="3"/>
      <c r="KU129" s="3"/>
      <c r="KY129" s="3"/>
      <c r="LC129" s="3"/>
      <c r="LG129" s="3"/>
      <c r="LK129" s="3"/>
      <c r="LO129" s="3"/>
    </row>
    <row r="130" spans="18:327" hidden="1">
      <c r="R130" s="3"/>
      <c r="V130" s="3"/>
      <c r="Z130" s="3"/>
      <c r="AD130" s="3"/>
      <c r="AH130" s="3"/>
      <c r="AL130" s="3"/>
      <c r="AP130" s="3"/>
      <c r="AT130" s="3"/>
      <c r="AX130" s="3"/>
      <c r="BB130" s="3"/>
      <c r="BF130" s="3"/>
      <c r="BJ130" s="3"/>
      <c r="BN130" s="3"/>
      <c r="BR130" s="3"/>
      <c r="BV130" s="3"/>
      <c r="BZ130" s="3"/>
      <c r="CD130" s="3"/>
      <c r="CH130" s="3"/>
      <c r="CL130" s="3"/>
      <c r="CP130" s="3"/>
      <c r="CT130" s="3"/>
      <c r="CX130" s="3"/>
      <c r="DB130" s="3"/>
      <c r="DF130" s="3"/>
      <c r="DJ130" s="3"/>
      <c r="DN130" s="3"/>
      <c r="DR130" s="3"/>
      <c r="DV130" s="3"/>
      <c r="DZ130" s="3"/>
      <c r="ED130" s="3"/>
      <c r="EH130" s="3"/>
      <c r="EL130" s="3"/>
      <c r="EP130" s="3"/>
      <c r="ET130" s="3"/>
      <c r="EX130" s="3"/>
      <c r="FB130" s="3"/>
      <c r="FF130" s="3"/>
      <c r="FJ130" s="3"/>
      <c r="FN130" s="3"/>
      <c r="FS130" s="3"/>
      <c r="FW130" s="3"/>
      <c r="GA130" s="3"/>
      <c r="GE130" s="3"/>
      <c r="GI130" s="3"/>
      <c r="GM130" s="3"/>
      <c r="GQ130" s="3"/>
      <c r="GU130" s="3"/>
      <c r="GY130" s="3"/>
      <c r="HC130" s="3"/>
      <c r="HG130" s="3"/>
      <c r="HK130" s="3"/>
      <c r="HO130" s="3"/>
      <c r="HS130" s="3"/>
      <c r="HW130" s="3"/>
      <c r="IA130" s="3"/>
      <c r="IE130" s="3"/>
      <c r="II130" s="3"/>
      <c r="IM130" s="3"/>
      <c r="IQ130" s="3"/>
      <c r="IU130" s="3"/>
      <c r="IY130" s="3"/>
      <c r="JC130" s="3"/>
      <c r="JG130" s="3"/>
      <c r="JK130" s="3"/>
      <c r="JO130" s="3"/>
      <c r="JS130" s="3"/>
      <c r="JW130" s="3"/>
      <c r="KA130" s="3"/>
      <c r="KE130" s="3"/>
      <c r="KI130" s="3"/>
      <c r="KM130" s="3"/>
      <c r="KQ130" s="3"/>
      <c r="KU130" s="3"/>
      <c r="KY130" s="3"/>
      <c r="LC130" s="3"/>
      <c r="LG130" s="3"/>
      <c r="LK130" s="3"/>
      <c r="LO130" s="3"/>
    </row>
    <row r="131" spans="18:327" hidden="1">
      <c r="R131" s="3"/>
      <c r="V131" s="3"/>
      <c r="Z131" s="3"/>
      <c r="AD131" s="3"/>
      <c r="AH131" s="3"/>
      <c r="AL131" s="3"/>
      <c r="AP131" s="3"/>
      <c r="AT131" s="3"/>
      <c r="AX131" s="3"/>
      <c r="BB131" s="3"/>
      <c r="BF131" s="3"/>
      <c r="BJ131" s="3"/>
      <c r="BN131" s="3"/>
      <c r="BR131" s="3"/>
      <c r="BV131" s="3"/>
      <c r="BZ131" s="3"/>
      <c r="CD131" s="3"/>
      <c r="CH131" s="3"/>
      <c r="CL131" s="3"/>
      <c r="CP131" s="3"/>
      <c r="CT131" s="3"/>
      <c r="CX131" s="3"/>
      <c r="DB131" s="3"/>
      <c r="DF131" s="3"/>
      <c r="DJ131" s="3"/>
      <c r="DN131" s="3"/>
      <c r="DR131" s="3"/>
      <c r="DV131" s="3"/>
      <c r="DZ131" s="3"/>
      <c r="ED131" s="3"/>
      <c r="EH131" s="3"/>
      <c r="EL131" s="3"/>
      <c r="EP131" s="3"/>
      <c r="ET131" s="3"/>
      <c r="EX131" s="3"/>
      <c r="FB131" s="3"/>
      <c r="FF131" s="3"/>
      <c r="FJ131" s="3"/>
      <c r="FN131" s="3"/>
      <c r="FS131" s="3"/>
      <c r="FW131" s="3"/>
      <c r="GA131" s="3"/>
      <c r="GE131" s="3"/>
      <c r="GI131" s="3"/>
      <c r="GM131" s="3"/>
      <c r="GQ131" s="3"/>
      <c r="GU131" s="3"/>
      <c r="GY131" s="3"/>
      <c r="HC131" s="3"/>
      <c r="HG131" s="3"/>
      <c r="HK131" s="3"/>
      <c r="HO131" s="3"/>
      <c r="HS131" s="3"/>
      <c r="HW131" s="3"/>
      <c r="IA131" s="3"/>
      <c r="IE131" s="3"/>
      <c r="II131" s="3"/>
      <c r="IM131" s="3"/>
      <c r="IQ131" s="3"/>
      <c r="IU131" s="3"/>
      <c r="IY131" s="3"/>
      <c r="JC131" s="3"/>
      <c r="JG131" s="3"/>
      <c r="JK131" s="3"/>
      <c r="JO131" s="3"/>
      <c r="JS131" s="3"/>
      <c r="JW131" s="3"/>
      <c r="KA131" s="3"/>
      <c r="KE131" s="3"/>
      <c r="KI131" s="3"/>
      <c r="KM131" s="3"/>
      <c r="KQ131" s="3"/>
      <c r="KU131" s="3"/>
      <c r="KY131" s="3"/>
      <c r="LC131" s="3"/>
      <c r="LG131" s="3"/>
      <c r="LK131" s="3"/>
      <c r="LO131" s="3"/>
    </row>
    <row r="132" spans="18:327" hidden="1">
      <c r="R132" s="3"/>
      <c r="V132" s="3"/>
      <c r="Z132" s="3"/>
      <c r="AD132" s="3"/>
      <c r="AH132" s="3"/>
      <c r="AL132" s="3"/>
      <c r="AP132" s="3"/>
      <c r="AT132" s="3"/>
      <c r="AX132" s="3"/>
      <c r="BB132" s="3"/>
      <c r="BF132" s="3"/>
      <c r="BJ132" s="3"/>
      <c r="BN132" s="3"/>
      <c r="BR132" s="3"/>
      <c r="BV132" s="3"/>
      <c r="BZ132" s="3"/>
      <c r="CD132" s="3"/>
      <c r="CH132" s="3"/>
      <c r="CL132" s="3"/>
      <c r="CP132" s="3"/>
      <c r="CT132" s="3"/>
      <c r="CX132" s="3"/>
      <c r="DB132" s="3"/>
      <c r="DF132" s="3"/>
      <c r="DJ132" s="3"/>
      <c r="DN132" s="3"/>
      <c r="DR132" s="3"/>
      <c r="DV132" s="3"/>
      <c r="DZ132" s="3"/>
      <c r="ED132" s="3"/>
      <c r="EH132" s="3"/>
      <c r="EL132" s="3"/>
      <c r="EP132" s="3"/>
      <c r="ET132" s="3"/>
      <c r="EX132" s="3"/>
      <c r="FB132" s="3"/>
      <c r="FF132" s="3"/>
      <c r="FJ132" s="3"/>
      <c r="FN132" s="3"/>
      <c r="FS132" s="3"/>
      <c r="FW132" s="3"/>
      <c r="GA132" s="3"/>
      <c r="GE132" s="3"/>
      <c r="GI132" s="3"/>
      <c r="GM132" s="3"/>
      <c r="GQ132" s="3"/>
      <c r="GU132" s="3"/>
      <c r="GY132" s="3"/>
      <c r="HC132" s="3"/>
      <c r="HG132" s="3"/>
      <c r="HK132" s="3"/>
      <c r="HO132" s="3"/>
      <c r="HS132" s="3"/>
      <c r="HW132" s="3"/>
      <c r="IA132" s="3"/>
      <c r="IE132" s="3"/>
      <c r="II132" s="3"/>
      <c r="IM132" s="3"/>
      <c r="IQ132" s="3"/>
      <c r="IU132" s="3"/>
      <c r="IY132" s="3"/>
      <c r="JC132" s="3"/>
      <c r="JG132" s="3"/>
      <c r="JK132" s="3"/>
      <c r="JO132" s="3"/>
      <c r="JS132" s="3"/>
      <c r="JW132" s="3"/>
      <c r="KA132" s="3"/>
      <c r="KE132" s="3"/>
      <c r="KI132" s="3"/>
      <c r="KM132" s="3"/>
      <c r="KQ132" s="3"/>
      <c r="KU132" s="3"/>
      <c r="KY132" s="3"/>
      <c r="LC132" s="3"/>
      <c r="LG132" s="3"/>
      <c r="LK132" s="3"/>
      <c r="LO132" s="3"/>
    </row>
    <row r="133" spans="18:327" hidden="1">
      <c r="R133" s="3"/>
      <c r="V133" s="3"/>
      <c r="Z133" s="3"/>
      <c r="AD133" s="3"/>
      <c r="AH133" s="3"/>
      <c r="AL133" s="3"/>
      <c r="AP133" s="3"/>
      <c r="AT133" s="3"/>
      <c r="AX133" s="3"/>
      <c r="BB133" s="3"/>
      <c r="BF133" s="3"/>
      <c r="BJ133" s="3"/>
      <c r="BN133" s="3"/>
      <c r="BR133" s="3"/>
      <c r="BV133" s="3"/>
      <c r="BZ133" s="3"/>
      <c r="CD133" s="3"/>
      <c r="CH133" s="3"/>
      <c r="CL133" s="3"/>
      <c r="CP133" s="3"/>
      <c r="CT133" s="3"/>
      <c r="CX133" s="3"/>
      <c r="DB133" s="3"/>
      <c r="DF133" s="3"/>
      <c r="DJ133" s="3"/>
      <c r="DN133" s="3"/>
      <c r="DR133" s="3"/>
      <c r="DV133" s="3"/>
      <c r="DZ133" s="3"/>
      <c r="ED133" s="3"/>
      <c r="EH133" s="3"/>
      <c r="EL133" s="3"/>
      <c r="EP133" s="3"/>
      <c r="ET133" s="3"/>
      <c r="EX133" s="3"/>
      <c r="FB133" s="3"/>
      <c r="FF133" s="3"/>
      <c r="FJ133" s="3"/>
      <c r="FN133" s="3"/>
      <c r="FS133" s="3"/>
      <c r="FW133" s="3"/>
      <c r="GA133" s="3"/>
      <c r="GE133" s="3"/>
      <c r="GI133" s="3"/>
      <c r="GM133" s="3"/>
      <c r="GQ133" s="3"/>
      <c r="GU133" s="3"/>
      <c r="GY133" s="3"/>
      <c r="HC133" s="3"/>
      <c r="HG133" s="3"/>
      <c r="HK133" s="3"/>
      <c r="HO133" s="3"/>
      <c r="HS133" s="3"/>
      <c r="HW133" s="3"/>
      <c r="IA133" s="3"/>
      <c r="IE133" s="3"/>
      <c r="II133" s="3"/>
      <c r="IM133" s="3"/>
      <c r="IQ133" s="3"/>
      <c r="IU133" s="3"/>
      <c r="IY133" s="3"/>
      <c r="JC133" s="3"/>
      <c r="JG133" s="3"/>
      <c r="JK133" s="3"/>
      <c r="JO133" s="3"/>
      <c r="JS133" s="3"/>
      <c r="JW133" s="3"/>
      <c r="KA133" s="3"/>
      <c r="KE133" s="3"/>
      <c r="KI133" s="3"/>
      <c r="KM133" s="3"/>
      <c r="KQ133" s="3"/>
      <c r="KU133" s="3"/>
      <c r="KY133" s="3"/>
      <c r="LC133" s="3"/>
      <c r="LG133" s="3"/>
      <c r="LK133" s="3"/>
      <c r="LO133" s="3"/>
    </row>
    <row r="134" spans="18:327" hidden="1">
      <c r="R134" s="3"/>
      <c r="V134" s="3"/>
      <c r="Z134" s="3"/>
      <c r="AD134" s="3"/>
      <c r="AH134" s="3"/>
      <c r="AL134" s="3"/>
      <c r="AP134" s="3"/>
      <c r="AT134" s="3"/>
      <c r="AX134" s="3"/>
      <c r="BB134" s="3"/>
      <c r="BF134" s="3"/>
      <c r="BJ134" s="3"/>
      <c r="BN134" s="3"/>
      <c r="BR134" s="3"/>
      <c r="BV134" s="3"/>
      <c r="BZ134" s="3"/>
      <c r="CD134" s="3"/>
      <c r="CH134" s="3"/>
      <c r="CL134" s="3"/>
      <c r="CP134" s="3"/>
      <c r="CT134" s="3"/>
      <c r="CX134" s="3"/>
      <c r="DB134" s="3"/>
      <c r="DF134" s="3"/>
      <c r="DJ134" s="3"/>
      <c r="DN134" s="3"/>
      <c r="DR134" s="3"/>
      <c r="DV134" s="3"/>
      <c r="DZ134" s="3"/>
      <c r="ED134" s="3"/>
      <c r="EH134" s="3"/>
      <c r="EL134" s="3"/>
      <c r="EP134" s="3"/>
      <c r="ET134" s="3"/>
      <c r="EX134" s="3"/>
      <c r="FB134" s="3"/>
      <c r="FF134" s="3"/>
      <c r="FJ134" s="3"/>
      <c r="FN134" s="3"/>
      <c r="FS134" s="3"/>
      <c r="FW134" s="3"/>
      <c r="GA134" s="3"/>
      <c r="GE134" s="3"/>
      <c r="GI134" s="3"/>
      <c r="GM134" s="3"/>
      <c r="GQ134" s="3"/>
      <c r="GU134" s="3"/>
      <c r="GY134" s="3"/>
      <c r="HC134" s="3"/>
      <c r="HG134" s="3"/>
      <c r="HK134" s="3"/>
      <c r="HO134" s="3"/>
      <c r="HS134" s="3"/>
      <c r="HW134" s="3"/>
      <c r="IA134" s="3"/>
      <c r="IE134" s="3"/>
      <c r="II134" s="3"/>
      <c r="IM134" s="3"/>
      <c r="IQ134" s="3"/>
      <c r="IU134" s="3"/>
      <c r="IY134" s="3"/>
      <c r="JC134" s="3"/>
      <c r="JG134" s="3"/>
      <c r="JK134" s="3"/>
      <c r="JO134" s="3"/>
      <c r="JS134" s="3"/>
      <c r="JW134" s="3"/>
      <c r="KA134" s="3"/>
      <c r="KE134" s="3"/>
      <c r="KI134" s="3"/>
      <c r="KM134" s="3"/>
      <c r="KQ134" s="3"/>
      <c r="KU134" s="3"/>
      <c r="KY134" s="3"/>
      <c r="LC134" s="3"/>
      <c r="LG134" s="3"/>
      <c r="LK134" s="3"/>
      <c r="LO134" s="3"/>
    </row>
    <row r="135" spans="18:327" hidden="1">
      <c r="R135" s="3"/>
      <c r="V135" s="3"/>
      <c r="Z135" s="3"/>
      <c r="AD135" s="3"/>
      <c r="AH135" s="3"/>
      <c r="AL135" s="3"/>
      <c r="AP135" s="3"/>
      <c r="AT135" s="3"/>
      <c r="AX135" s="3"/>
      <c r="BB135" s="3"/>
      <c r="BF135" s="3"/>
      <c r="BJ135" s="3"/>
      <c r="BN135" s="3"/>
      <c r="BR135" s="3"/>
      <c r="BV135" s="3"/>
      <c r="BZ135" s="3"/>
      <c r="CD135" s="3"/>
      <c r="CH135" s="3"/>
      <c r="CL135" s="3"/>
      <c r="CP135" s="3"/>
      <c r="CT135" s="3"/>
      <c r="CX135" s="3"/>
      <c r="DB135" s="3"/>
      <c r="DF135" s="3"/>
      <c r="DJ135" s="3"/>
      <c r="DN135" s="3"/>
      <c r="DR135" s="3"/>
      <c r="DV135" s="3"/>
      <c r="DZ135" s="3"/>
      <c r="ED135" s="3"/>
      <c r="EH135" s="3"/>
      <c r="EL135" s="3"/>
      <c r="EP135" s="3"/>
      <c r="ET135" s="3"/>
      <c r="EX135" s="3"/>
      <c r="FB135" s="3"/>
      <c r="FF135" s="3"/>
      <c r="FJ135" s="3"/>
      <c r="FN135" s="3"/>
      <c r="FS135" s="3"/>
      <c r="FW135" s="3"/>
      <c r="GA135" s="3"/>
      <c r="GE135" s="3"/>
      <c r="GI135" s="3"/>
      <c r="GM135" s="3"/>
      <c r="GQ135" s="3"/>
      <c r="GU135" s="3"/>
      <c r="GY135" s="3"/>
      <c r="HC135" s="3"/>
      <c r="HG135" s="3"/>
      <c r="HK135" s="3"/>
      <c r="HO135" s="3"/>
      <c r="HS135" s="3"/>
      <c r="HW135" s="3"/>
      <c r="IA135" s="3"/>
      <c r="IE135" s="3"/>
      <c r="II135" s="3"/>
      <c r="IM135" s="3"/>
      <c r="IQ135" s="3"/>
      <c r="IU135" s="3"/>
      <c r="IY135" s="3"/>
      <c r="JC135" s="3"/>
      <c r="JG135" s="3"/>
      <c r="JK135" s="3"/>
      <c r="JO135" s="3"/>
      <c r="JS135" s="3"/>
      <c r="JW135" s="3"/>
      <c r="KA135" s="3"/>
      <c r="KE135" s="3"/>
      <c r="KI135" s="3"/>
      <c r="KM135" s="3"/>
      <c r="KQ135" s="3"/>
      <c r="KU135" s="3"/>
      <c r="KY135" s="3"/>
      <c r="LC135" s="3"/>
      <c r="LG135" s="3"/>
      <c r="LK135" s="3"/>
      <c r="LO135" s="3"/>
    </row>
    <row r="136" spans="18:327" hidden="1">
      <c r="R136" s="3"/>
      <c r="V136" s="3"/>
      <c r="Z136" s="3"/>
      <c r="AD136" s="3"/>
      <c r="AH136" s="3"/>
      <c r="AL136" s="3"/>
      <c r="AP136" s="3"/>
      <c r="AT136" s="3"/>
      <c r="AX136" s="3"/>
      <c r="BB136" s="3"/>
      <c r="BF136" s="3"/>
      <c r="BJ136" s="3"/>
      <c r="BN136" s="3"/>
      <c r="BR136" s="3"/>
      <c r="BV136" s="3"/>
      <c r="BZ136" s="3"/>
      <c r="CD136" s="3"/>
      <c r="CH136" s="3"/>
      <c r="CL136" s="3"/>
      <c r="CP136" s="3"/>
      <c r="CT136" s="3"/>
      <c r="CX136" s="3"/>
      <c r="DB136" s="3"/>
      <c r="DF136" s="3"/>
      <c r="DJ136" s="3"/>
      <c r="DN136" s="3"/>
      <c r="DR136" s="3"/>
      <c r="DV136" s="3"/>
      <c r="DZ136" s="3"/>
      <c r="ED136" s="3"/>
      <c r="EH136" s="3"/>
      <c r="EL136" s="3"/>
      <c r="EP136" s="3"/>
      <c r="ET136" s="3"/>
      <c r="EX136" s="3"/>
      <c r="FB136" s="3"/>
      <c r="FF136" s="3"/>
      <c r="FJ136" s="3"/>
      <c r="FN136" s="3"/>
      <c r="FS136" s="3"/>
      <c r="FW136" s="3"/>
      <c r="GA136" s="3"/>
      <c r="GE136" s="3"/>
      <c r="GI136" s="3"/>
      <c r="GM136" s="3"/>
      <c r="GQ136" s="3"/>
      <c r="GU136" s="3"/>
      <c r="GY136" s="3"/>
      <c r="HC136" s="3"/>
      <c r="HG136" s="3"/>
      <c r="HK136" s="3"/>
      <c r="HO136" s="3"/>
      <c r="HS136" s="3"/>
      <c r="HW136" s="3"/>
      <c r="IA136" s="3"/>
      <c r="IE136" s="3"/>
      <c r="II136" s="3"/>
      <c r="IM136" s="3"/>
      <c r="IQ136" s="3"/>
      <c r="IU136" s="3"/>
      <c r="IY136" s="3"/>
      <c r="JC136" s="3"/>
      <c r="JG136" s="3"/>
      <c r="JK136" s="3"/>
      <c r="JO136" s="3"/>
      <c r="JS136" s="3"/>
      <c r="JW136" s="3"/>
      <c r="KA136" s="3"/>
      <c r="KE136" s="3"/>
      <c r="KI136" s="3"/>
      <c r="KM136" s="3"/>
      <c r="KQ136" s="3"/>
      <c r="KU136" s="3"/>
      <c r="KY136" s="3"/>
      <c r="LC136" s="3"/>
      <c r="LG136" s="3"/>
      <c r="LK136" s="3"/>
      <c r="LO136" s="3"/>
    </row>
    <row r="137" spans="18:327" hidden="1">
      <c r="R137" s="3"/>
      <c r="V137" s="3"/>
      <c r="Z137" s="3"/>
      <c r="AD137" s="3"/>
      <c r="AH137" s="3"/>
      <c r="AL137" s="3"/>
      <c r="AP137" s="3"/>
      <c r="AT137" s="3"/>
      <c r="AX137" s="3"/>
      <c r="BB137" s="3"/>
      <c r="BF137" s="3"/>
      <c r="BJ137" s="3"/>
      <c r="BN137" s="3"/>
      <c r="BR137" s="3"/>
      <c r="BV137" s="3"/>
      <c r="BZ137" s="3"/>
      <c r="CD137" s="3"/>
      <c r="CH137" s="3"/>
      <c r="CL137" s="3"/>
      <c r="CP137" s="3"/>
      <c r="CT137" s="3"/>
      <c r="CX137" s="3"/>
      <c r="DB137" s="3"/>
      <c r="DF137" s="3"/>
      <c r="DJ137" s="3"/>
      <c r="DN137" s="3"/>
      <c r="DR137" s="3"/>
      <c r="DV137" s="3"/>
      <c r="DZ137" s="3"/>
      <c r="ED137" s="3"/>
      <c r="EH137" s="3"/>
      <c r="EL137" s="3"/>
      <c r="EP137" s="3"/>
      <c r="ET137" s="3"/>
      <c r="EX137" s="3"/>
      <c r="FB137" s="3"/>
      <c r="FF137" s="3"/>
      <c r="FJ137" s="3"/>
      <c r="FN137" s="3"/>
      <c r="FS137" s="3"/>
      <c r="FW137" s="3"/>
      <c r="GA137" s="3"/>
      <c r="GE137" s="3"/>
      <c r="GI137" s="3"/>
      <c r="GM137" s="3"/>
      <c r="GQ137" s="3"/>
      <c r="GU137" s="3"/>
      <c r="GY137" s="3"/>
      <c r="HC137" s="3"/>
      <c r="HG137" s="3"/>
      <c r="HK137" s="3"/>
      <c r="HO137" s="3"/>
      <c r="HS137" s="3"/>
      <c r="HW137" s="3"/>
      <c r="IA137" s="3"/>
      <c r="IE137" s="3"/>
      <c r="II137" s="3"/>
      <c r="IM137" s="3"/>
      <c r="IQ137" s="3"/>
      <c r="IU137" s="3"/>
      <c r="IY137" s="3"/>
      <c r="JC137" s="3"/>
      <c r="JG137" s="3"/>
      <c r="JK137" s="3"/>
      <c r="JO137" s="3"/>
      <c r="JS137" s="3"/>
      <c r="JW137" s="3"/>
      <c r="KA137" s="3"/>
      <c r="KE137" s="3"/>
      <c r="KI137" s="3"/>
      <c r="KM137" s="3"/>
      <c r="KQ137" s="3"/>
      <c r="KU137" s="3"/>
      <c r="KY137" s="3"/>
      <c r="LC137" s="3"/>
      <c r="LG137" s="3"/>
      <c r="LK137" s="3"/>
      <c r="LO137" s="3"/>
    </row>
    <row r="138" spans="18:327" hidden="1">
      <c r="R138" s="3"/>
      <c r="V138" s="3"/>
      <c r="Z138" s="3"/>
      <c r="AD138" s="3"/>
      <c r="AH138" s="3"/>
      <c r="AL138" s="3"/>
      <c r="AP138" s="3"/>
      <c r="AT138" s="3"/>
      <c r="AX138" s="3"/>
      <c r="BB138" s="3"/>
      <c r="BF138" s="3"/>
      <c r="BJ138" s="3"/>
      <c r="BN138" s="3"/>
      <c r="BR138" s="3"/>
      <c r="BV138" s="3"/>
      <c r="BZ138" s="3"/>
      <c r="CD138" s="3"/>
      <c r="CH138" s="3"/>
      <c r="CL138" s="3"/>
      <c r="CP138" s="3"/>
      <c r="CT138" s="3"/>
      <c r="CX138" s="3"/>
      <c r="DB138" s="3"/>
      <c r="DF138" s="3"/>
      <c r="DJ138" s="3"/>
      <c r="DN138" s="3"/>
      <c r="DR138" s="3"/>
      <c r="DV138" s="3"/>
      <c r="DZ138" s="3"/>
      <c r="ED138" s="3"/>
      <c r="EH138" s="3"/>
      <c r="EL138" s="3"/>
      <c r="EP138" s="3"/>
      <c r="ET138" s="3"/>
      <c r="EX138" s="3"/>
      <c r="FB138" s="3"/>
      <c r="FF138" s="3"/>
      <c r="FJ138" s="3"/>
      <c r="FN138" s="3"/>
      <c r="FS138" s="3"/>
      <c r="FW138" s="3"/>
      <c r="GA138" s="3"/>
      <c r="GE138" s="3"/>
      <c r="GI138" s="3"/>
      <c r="GM138" s="3"/>
      <c r="GQ138" s="3"/>
      <c r="GU138" s="3"/>
      <c r="GY138" s="3"/>
      <c r="HC138" s="3"/>
      <c r="HG138" s="3"/>
      <c r="HK138" s="3"/>
      <c r="HO138" s="3"/>
      <c r="HS138" s="3"/>
      <c r="HW138" s="3"/>
      <c r="IA138" s="3"/>
      <c r="IE138" s="3"/>
      <c r="II138" s="3"/>
      <c r="IM138" s="3"/>
      <c r="IQ138" s="3"/>
      <c r="IU138" s="3"/>
      <c r="IY138" s="3"/>
      <c r="JC138" s="3"/>
      <c r="JG138" s="3"/>
      <c r="JK138" s="3"/>
      <c r="JO138" s="3"/>
      <c r="JS138" s="3"/>
      <c r="JW138" s="3"/>
      <c r="KA138" s="3"/>
      <c r="KE138" s="3"/>
      <c r="KI138" s="3"/>
      <c r="KM138" s="3"/>
      <c r="KQ138" s="3"/>
      <c r="KU138" s="3"/>
      <c r="KY138" s="3"/>
      <c r="LC138" s="3"/>
      <c r="LG138" s="3"/>
      <c r="LK138" s="3"/>
      <c r="LO138" s="3"/>
    </row>
    <row r="139" spans="18:327" hidden="1">
      <c r="R139" s="3"/>
      <c r="V139" s="3"/>
      <c r="Z139" s="3"/>
      <c r="AD139" s="3"/>
      <c r="AH139" s="3"/>
      <c r="AL139" s="3"/>
      <c r="AP139" s="3"/>
      <c r="AT139" s="3"/>
      <c r="AX139" s="3"/>
      <c r="BB139" s="3"/>
      <c r="BF139" s="3"/>
      <c r="BJ139" s="3"/>
      <c r="BN139" s="3"/>
      <c r="BR139" s="3"/>
      <c r="BV139" s="3"/>
      <c r="BZ139" s="3"/>
      <c r="CD139" s="3"/>
      <c r="CH139" s="3"/>
      <c r="CL139" s="3"/>
      <c r="CP139" s="3"/>
      <c r="CT139" s="3"/>
      <c r="CX139" s="3"/>
      <c r="DB139" s="3"/>
      <c r="DF139" s="3"/>
      <c r="DJ139" s="3"/>
      <c r="DN139" s="3"/>
      <c r="DR139" s="3"/>
      <c r="DV139" s="3"/>
      <c r="DZ139" s="3"/>
      <c r="ED139" s="3"/>
      <c r="EH139" s="3"/>
      <c r="EL139" s="3"/>
      <c r="EP139" s="3"/>
      <c r="ET139" s="3"/>
      <c r="EX139" s="3"/>
      <c r="FB139" s="3"/>
      <c r="FF139" s="3"/>
      <c r="FJ139" s="3"/>
      <c r="FN139" s="3"/>
      <c r="FS139" s="3"/>
      <c r="FW139" s="3"/>
      <c r="GA139" s="3"/>
      <c r="GE139" s="3"/>
      <c r="GI139" s="3"/>
      <c r="GM139" s="3"/>
      <c r="GQ139" s="3"/>
      <c r="GU139" s="3"/>
      <c r="GY139" s="3"/>
      <c r="HC139" s="3"/>
      <c r="HG139" s="3"/>
      <c r="HK139" s="3"/>
      <c r="HO139" s="3"/>
      <c r="HS139" s="3"/>
      <c r="HW139" s="3"/>
      <c r="IA139" s="3"/>
      <c r="IE139" s="3"/>
      <c r="II139" s="3"/>
      <c r="IM139" s="3"/>
      <c r="IQ139" s="3"/>
      <c r="IU139" s="3"/>
      <c r="IY139" s="3"/>
      <c r="JC139" s="3"/>
      <c r="JG139" s="3"/>
      <c r="JK139" s="3"/>
      <c r="JO139" s="3"/>
      <c r="JS139" s="3"/>
      <c r="JW139" s="3"/>
      <c r="KA139" s="3"/>
      <c r="KE139" s="3"/>
      <c r="KI139" s="3"/>
      <c r="KM139" s="3"/>
      <c r="KQ139" s="3"/>
      <c r="KU139" s="3"/>
      <c r="KY139" s="3"/>
      <c r="LC139" s="3"/>
      <c r="LG139" s="3"/>
      <c r="LK139" s="3"/>
      <c r="LO139" s="3"/>
    </row>
    <row r="140" spans="18:327" hidden="1">
      <c r="R140" s="3"/>
      <c r="V140" s="3"/>
      <c r="Z140" s="3"/>
      <c r="AD140" s="3"/>
      <c r="AH140" s="3"/>
      <c r="AL140" s="3"/>
      <c r="AP140" s="3"/>
      <c r="AT140" s="3"/>
      <c r="AX140" s="3"/>
      <c r="BB140" s="3"/>
      <c r="BF140" s="3"/>
      <c r="BJ140" s="3"/>
      <c r="BN140" s="3"/>
      <c r="BR140" s="3"/>
      <c r="BV140" s="3"/>
      <c r="BZ140" s="3"/>
      <c r="CD140" s="3"/>
      <c r="CH140" s="3"/>
      <c r="CL140" s="3"/>
      <c r="CP140" s="3"/>
      <c r="CT140" s="3"/>
      <c r="CX140" s="3"/>
      <c r="DB140" s="3"/>
      <c r="DF140" s="3"/>
      <c r="DJ140" s="3"/>
      <c r="DN140" s="3"/>
      <c r="DR140" s="3"/>
      <c r="DV140" s="3"/>
      <c r="DZ140" s="3"/>
      <c r="ED140" s="3"/>
      <c r="EH140" s="3"/>
      <c r="EL140" s="3"/>
      <c r="EP140" s="3"/>
      <c r="ET140" s="3"/>
      <c r="EX140" s="3"/>
      <c r="FB140" s="3"/>
      <c r="FF140" s="3"/>
      <c r="FJ140" s="3"/>
      <c r="FN140" s="3"/>
      <c r="FS140" s="3"/>
      <c r="FW140" s="3"/>
      <c r="GA140" s="3"/>
      <c r="GE140" s="3"/>
      <c r="GI140" s="3"/>
      <c r="GM140" s="3"/>
      <c r="GQ140" s="3"/>
      <c r="GU140" s="3"/>
      <c r="GY140" s="3"/>
      <c r="HC140" s="3"/>
      <c r="HG140" s="3"/>
      <c r="HK140" s="3"/>
      <c r="HO140" s="3"/>
      <c r="HS140" s="3"/>
      <c r="HW140" s="3"/>
      <c r="IA140" s="3"/>
      <c r="IE140" s="3"/>
      <c r="II140" s="3"/>
      <c r="IM140" s="3"/>
      <c r="IQ140" s="3"/>
      <c r="IU140" s="3"/>
      <c r="IY140" s="3"/>
      <c r="JC140" s="3"/>
      <c r="JG140" s="3"/>
      <c r="JK140" s="3"/>
      <c r="JO140" s="3"/>
      <c r="JS140" s="3"/>
      <c r="JW140" s="3"/>
      <c r="KA140" s="3"/>
      <c r="KE140" s="3"/>
      <c r="KI140" s="3"/>
      <c r="KM140" s="3"/>
      <c r="KQ140" s="3"/>
      <c r="KU140" s="3"/>
      <c r="KY140" s="3"/>
      <c r="LC140" s="3"/>
      <c r="LG140" s="3"/>
      <c r="LK140" s="3"/>
      <c r="LO140" s="3"/>
    </row>
    <row r="141" spans="18:327" hidden="1">
      <c r="R141" s="3"/>
      <c r="V141" s="3"/>
      <c r="Z141" s="3"/>
      <c r="AD141" s="3"/>
      <c r="AH141" s="3"/>
      <c r="AL141" s="3"/>
      <c r="AP141" s="3"/>
      <c r="AT141" s="3"/>
      <c r="AX141" s="3"/>
      <c r="BB141" s="3"/>
      <c r="BF141" s="3"/>
      <c r="BJ141" s="3"/>
      <c r="BN141" s="3"/>
      <c r="BR141" s="3"/>
      <c r="BV141" s="3"/>
      <c r="BZ141" s="3"/>
      <c r="CD141" s="3"/>
      <c r="CH141" s="3"/>
      <c r="CL141" s="3"/>
      <c r="CP141" s="3"/>
      <c r="CT141" s="3"/>
      <c r="CX141" s="3"/>
      <c r="DB141" s="3"/>
      <c r="DF141" s="3"/>
      <c r="DJ141" s="3"/>
      <c r="DN141" s="3"/>
      <c r="DR141" s="3"/>
      <c r="DV141" s="3"/>
      <c r="DZ141" s="3"/>
      <c r="ED141" s="3"/>
      <c r="EH141" s="3"/>
      <c r="EL141" s="3"/>
      <c r="EP141" s="3"/>
      <c r="ET141" s="3"/>
      <c r="EX141" s="3"/>
      <c r="FB141" s="3"/>
      <c r="FF141" s="3"/>
      <c r="FJ141" s="3"/>
      <c r="FN141" s="3"/>
      <c r="FS141" s="3"/>
      <c r="FW141" s="3"/>
      <c r="GA141" s="3"/>
      <c r="GE141" s="3"/>
      <c r="GI141" s="3"/>
      <c r="GM141" s="3"/>
      <c r="GQ141" s="3"/>
      <c r="GU141" s="3"/>
      <c r="GY141" s="3"/>
      <c r="HC141" s="3"/>
      <c r="HG141" s="3"/>
      <c r="HK141" s="3"/>
      <c r="HO141" s="3"/>
      <c r="HS141" s="3"/>
      <c r="HW141" s="3"/>
      <c r="IA141" s="3"/>
      <c r="IE141" s="3"/>
      <c r="II141" s="3"/>
      <c r="IM141" s="3"/>
      <c r="IQ141" s="3"/>
      <c r="IU141" s="3"/>
      <c r="IY141" s="3"/>
      <c r="JC141" s="3"/>
      <c r="JG141" s="3"/>
      <c r="JK141" s="3"/>
      <c r="JO141" s="3"/>
      <c r="JS141" s="3"/>
      <c r="JW141" s="3"/>
      <c r="KA141" s="3"/>
      <c r="KE141" s="3"/>
      <c r="KI141" s="3"/>
      <c r="KM141" s="3"/>
      <c r="KQ141" s="3"/>
      <c r="KU141" s="3"/>
      <c r="KY141" s="3"/>
      <c r="LC141" s="3"/>
      <c r="LG141" s="3"/>
      <c r="LK141" s="3"/>
      <c r="LO141" s="3"/>
    </row>
    <row r="142" spans="18:327" hidden="1">
      <c r="R142" s="3"/>
      <c r="V142" s="3"/>
      <c r="Z142" s="3"/>
      <c r="AD142" s="3"/>
      <c r="AH142" s="3"/>
      <c r="AL142" s="3"/>
      <c r="AP142" s="3"/>
      <c r="AT142" s="3"/>
      <c r="AX142" s="3"/>
      <c r="BB142" s="3"/>
      <c r="BF142" s="3"/>
      <c r="BJ142" s="3"/>
      <c r="BN142" s="3"/>
      <c r="BR142" s="3"/>
      <c r="BV142" s="3"/>
      <c r="BZ142" s="3"/>
      <c r="CD142" s="3"/>
      <c r="CH142" s="3"/>
      <c r="CL142" s="3"/>
      <c r="CP142" s="3"/>
      <c r="CT142" s="3"/>
      <c r="CX142" s="3"/>
      <c r="DB142" s="3"/>
      <c r="DF142" s="3"/>
      <c r="DJ142" s="3"/>
      <c r="DN142" s="3"/>
      <c r="DR142" s="3"/>
      <c r="DV142" s="3"/>
      <c r="DZ142" s="3"/>
      <c r="ED142" s="3"/>
      <c r="EH142" s="3"/>
      <c r="EL142" s="3"/>
      <c r="EP142" s="3"/>
      <c r="ET142" s="3"/>
      <c r="EX142" s="3"/>
      <c r="FB142" s="3"/>
      <c r="FF142" s="3"/>
      <c r="FJ142" s="3"/>
      <c r="FN142" s="3"/>
      <c r="FS142" s="3"/>
      <c r="FW142" s="3"/>
      <c r="GA142" s="3"/>
      <c r="GE142" s="3"/>
      <c r="GI142" s="3"/>
      <c r="GM142" s="3"/>
      <c r="GQ142" s="3"/>
      <c r="GU142" s="3"/>
      <c r="GY142" s="3"/>
      <c r="HC142" s="3"/>
      <c r="HG142" s="3"/>
      <c r="HK142" s="3"/>
      <c r="HO142" s="3"/>
      <c r="HS142" s="3"/>
      <c r="HW142" s="3"/>
      <c r="IA142" s="3"/>
      <c r="IE142" s="3"/>
      <c r="II142" s="3"/>
      <c r="IM142" s="3"/>
      <c r="IQ142" s="3"/>
      <c r="IU142" s="3"/>
      <c r="IY142" s="3"/>
      <c r="JC142" s="3"/>
      <c r="JG142" s="3"/>
      <c r="JK142" s="3"/>
      <c r="JO142" s="3"/>
      <c r="JS142" s="3"/>
      <c r="JW142" s="3"/>
      <c r="KA142" s="3"/>
      <c r="KE142" s="3"/>
      <c r="KI142" s="3"/>
      <c r="KM142" s="3"/>
      <c r="KQ142" s="3"/>
      <c r="KU142" s="3"/>
      <c r="KY142" s="3"/>
      <c r="LC142" s="3"/>
      <c r="LG142" s="3"/>
      <c r="LK142" s="3"/>
      <c r="LO142" s="3"/>
    </row>
    <row r="143" spans="18:327" hidden="1">
      <c r="R143" s="3"/>
      <c r="V143" s="3"/>
      <c r="Z143" s="3"/>
      <c r="AD143" s="3"/>
      <c r="AH143" s="3"/>
      <c r="AL143" s="3"/>
      <c r="AP143" s="3"/>
      <c r="AT143" s="3"/>
      <c r="AX143" s="3"/>
      <c r="BB143" s="3"/>
      <c r="BF143" s="3"/>
      <c r="BJ143" s="3"/>
      <c r="BN143" s="3"/>
      <c r="BR143" s="3"/>
      <c r="BV143" s="3"/>
      <c r="BZ143" s="3"/>
      <c r="CD143" s="3"/>
      <c r="CH143" s="3"/>
      <c r="CL143" s="3"/>
      <c r="CP143" s="3"/>
      <c r="CT143" s="3"/>
      <c r="CX143" s="3"/>
      <c r="DB143" s="3"/>
      <c r="DF143" s="3"/>
      <c r="DJ143" s="3"/>
      <c r="DN143" s="3"/>
      <c r="DR143" s="3"/>
      <c r="DV143" s="3"/>
      <c r="DZ143" s="3"/>
      <c r="ED143" s="3"/>
      <c r="EH143" s="3"/>
      <c r="EL143" s="3"/>
      <c r="EP143" s="3"/>
      <c r="ET143" s="3"/>
      <c r="EX143" s="3"/>
      <c r="FB143" s="3"/>
      <c r="FF143" s="3"/>
      <c r="FJ143" s="3"/>
      <c r="FN143" s="3"/>
      <c r="FS143" s="3"/>
      <c r="FW143" s="3"/>
      <c r="GA143" s="3"/>
      <c r="GE143" s="3"/>
      <c r="GI143" s="3"/>
      <c r="GM143" s="3"/>
      <c r="GQ143" s="3"/>
      <c r="GU143" s="3"/>
      <c r="GY143" s="3"/>
      <c r="HC143" s="3"/>
      <c r="HG143" s="3"/>
      <c r="HK143" s="3"/>
      <c r="HO143" s="3"/>
      <c r="HS143" s="3"/>
      <c r="HW143" s="3"/>
      <c r="IA143" s="3"/>
      <c r="IE143" s="3"/>
      <c r="II143" s="3"/>
      <c r="IM143" s="3"/>
      <c r="IQ143" s="3"/>
      <c r="IU143" s="3"/>
      <c r="IY143" s="3"/>
      <c r="JC143" s="3"/>
      <c r="JG143" s="3"/>
      <c r="JK143" s="3"/>
      <c r="JO143" s="3"/>
      <c r="JS143" s="3"/>
      <c r="JW143" s="3"/>
      <c r="KA143" s="3"/>
      <c r="KE143" s="3"/>
      <c r="KI143" s="3"/>
      <c r="KM143" s="3"/>
      <c r="KQ143" s="3"/>
      <c r="KU143" s="3"/>
      <c r="KY143" s="3"/>
      <c r="LC143" s="3"/>
      <c r="LG143" s="3"/>
      <c r="LK143" s="3"/>
      <c r="LO143" s="3"/>
    </row>
    <row r="144" spans="18:327" hidden="1">
      <c r="R144" s="3"/>
      <c r="V144" s="3"/>
      <c r="Z144" s="3"/>
      <c r="AD144" s="3"/>
      <c r="AH144" s="3"/>
      <c r="AL144" s="3"/>
      <c r="AP144" s="3"/>
      <c r="AT144" s="3"/>
      <c r="AX144" s="3"/>
      <c r="BB144" s="3"/>
      <c r="BF144" s="3"/>
      <c r="BJ144" s="3"/>
      <c r="BN144" s="3"/>
      <c r="BR144" s="3"/>
      <c r="BV144" s="3"/>
      <c r="BZ144" s="3"/>
      <c r="CD144" s="3"/>
      <c r="CH144" s="3"/>
      <c r="CL144" s="3"/>
      <c r="CP144" s="3"/>
      <c r="CT144" s="3"/>
      <c r="CX144" s="3"/>
      <c r="DB144" s="3"/>
      <c r="DF144" s="3"/>
      <c r="DJ144" s="3"/>
      <c r="DN144" s="3"/>
      <c r="DR144" s="3"/>
      <c r="DV144" s="3"/>
      <c r="DZ144" s="3"/>
      <c r="ED144" s="3"/>
      <c r="EH144" s="3"/>
      <c r="EL144" s="3"/>
      <c r="EP144" s="3"/>
      <c r="ET144" s="3"/>
      <c r="EX144" s="3"/>
      <c r="FB144" s="3"/>
      <c r="FF144" s="3"/>
      <c r="FJ144" s="3"/>
      <c r="FN144" s="3"/>
      <c r="FS144" s="3"/>
      <c r="FW144" s="3"/>
      <c r="GA144" s="3"/>
      <c r="GE144" s="3"/>
      <c r="GI144" s="3"/>
      <c r="GM144" s="3"/>
      <c r="GQ144" s="3"/>
      <c r="GU144" s="3"/>
      <c r="GY144" s="3"/>
      <c r="HC144" s="3"/>
      <c r="HG144" s="3"/>
      <c r="HK144" s="3"/>
      <c r="HO144" s="3"/>
      <c r="HS144" s="3"/>
      <c r="HW144" s="3"/>
      <c r="IA144" s="3"/>
      <c r="IE144" s="3"/>
      <c r="II144" s="3"/>
      <c r="IM144" s="3"/>
      <c r="IQ144" s="3"/>
      <c r="IU144" s="3"/>
      <c r="IY144" s="3"/>
      <c r="JC144" s="3"/>
      <c r="JG144" s="3"/>
      <c r="JK144" s="3"/>
      <c r="JO144" s="3"/>
      <c r="JS144" s="3"/>
      <c r="JW144" s="3"/>
      <c r="KA144" s="3"/>
      <c r="KE144" s="3"/>
      <c r="KI144" s="3"/>
      <c r="KM144" s="3"/>
      <c r="KQ144" s="3"/>
      <c r="KU144" s="3"/>
      <c r="KY144" s="3"/>
      <c r="LC144" s="3"/>
      <c r="LG144" s="3"/>
      <c r="LK144" s="3"/>
      <c r="LO144" s="3"/>
    </row>
    <row r="145" spans="18:327" hidden="1">
      <c r="R145" s="3"/>
      <c r="V145" s="3"/>
      <c r="Z145" s="3"/>
      <c r="AD145" s="3"/>
      <c r="AH145" s="3"/>
      <c r="AL145" s="3"/>
      <c r="AP145" s="3"/>
      <c r="AT145" s="3"/>
      <c r="AX145" s="3"/>
      <c r="BB145" s="3"/>
      <c r="BF145" s="3"/>
      <c r="BJ145" s="3"/>
      <c r="BN145" s="3"/>
      <c r="BR145" s="3"/>
      <c r="BV145" s="3"/>
      <c r="BZ145" s="3"/>
      <c r="CD145" s="3"/>
      <c r="CH145" s="3"/>
      <c r="CL145" s="3"/>
      <c r="CP145" s="3"/>
      <c r="CT145" s="3"/>
      <c r="CX145" s="3"/>
      <c r="DB145" s="3"/>
      <c r="DF145" s="3"/>
      <c r="DJ145" s="3"/>
      <c r="DN145" s="3"/>
      <c r="DR145" s="3"/>
      <c r="DV145" s="3"/>
      <c r="DZ145" s="3"/>
      <c r="ED145" s="3"/>
      <c r="EH145" s="3"/>
      <c r="EL145" s="3"/>
      <c r="EP145" s="3"/>
      <c r="ET145" s="3"/>
      <c r="EX145" s="3"/>
      <c r="FB145" s="3"/>
      <c r="FF145" s="3"/>
      <c r="FJ145" s="3"/>
      <c r="FN145" s="3"/>
      <c r="FS145" s="3"/>
      <c r="FW145" s="3"/>
      <c r="GA145" s="3"/>
      <c r="GE145" s="3"/>
      <c r="GI145" s="3"/>
      <c r="GM145" s="3"/>
      <c r="GQ145" s="3"/>
      <c r="GU145" s="3"/>
      <c r="GY145" s="3"/>
      <c r="HC145" s="3"/>
      <c r="HG145" s="3"/>
      <c r="HK145" s="3"/>
      <c r="HO145" s="3"/>
      <c r="HS145" s="3"/>
      <c r="HW145" s="3"/>
      <c r="IA145" s="3"/>
      <c r="IE145" s="3"/>
      <c r="II145" s="3"/>
      <c r="IM145" s="3"/>
      <c r="IQ145" s="3"/>
      <c r="IU145" s="3"/>
      <c r="IY145" s="3"/>
      <c r="JC145" s="3"/>
      <c r="JG145" s="3"/>
      <c r="JK145" s="3"/>
      <c r="JO145" s="3"/>
      <c r="JS145" s="3"/>
      <c r="JW145" s="3"/>
      <c r="KA145" s="3"/>
      <c r="KE145" s="3"/>
      <c r="KI145" s="3"/>
      <c r="KM145" s="3"/>
      <c r="KQ145" s="3"/>
      <c r="KU145" s="3"/>
      <c r="KY145" s="3"/>
      <c r="LC145" s="3"/>
      <c r="LG145" s="3"/>
      <c r="LK145" s="3"/>
      <c r="LO145" s="3"/>
    </row>
    <row r="146" spans="18:327" hidden="1">
      <c r="R146" s="3"/>
      <c r="V146" s="3"/>
      <c r="Z146" s="3"/>
      <c r="AD146" s="3"/>
      <c r="AH146" s="3"/>
      <c r="AL146" s="3"/>
      <c r="AP146" s="3"/>
      <c r="AT146" s="3"/>
      <c r="AX146" s="3"/>
      <c r="BB146" s="3"/>
      <c r="BF146" s="3"/>
      <c r="BJ146" s="3"/>
      <c r="BN146" s="3"/>
      <c r="BR146" s="3"/>
      <c r="BV146" s="3"/>
      <c r="BZ146" s="3"/>
      <c r="CD146" s="3"/>
      <c r="CH146" s="3"/>
      <c r="CL146" s="3"/>
      <c r="CP146" s="3"/>
      <c r="CT146" s="3"/>
      <c r="CX146" s="3"/>
      <c r="DB146" s="3"/>
      <c r="DF146" s="3"/>
      <c r="DJ146" s="3"/>
      <c r="DN146" s="3"/>
      <c r="DR146" s="3"/>
      <c r="DV146" s="3"/>
      <c r="DZ146" s="3"/>
      <c r="ED146" s="3"/>
      <c r="EH146" s="3"/>
      <c r="EL146" s="3"/>
      <c r="EP146" s="3"/>
      <c r="ET146" s="3"/>
      <c r="EX146" s="3"/>
      <c r="FB146" s="3"/>
      <c r="FF146" s="3"/>
      <c r="FJ146" s="3"/>
      <c r="FN146" s="3"/>
      <c r="FS146" s="3"/>
      <c r="FW146" s="3"/>
      <c r="GA146" s="3"/>
      <c r="GE146" s="3"/>
      <c r="GI146" s="3"/>
      <c r="GM146" s="3"/>
      <c r="GQ146" s="3"/>
      <c r="GU146" s="3"/>
      <c r="GY146" s="3"/>
      <c r="HC146" s="3"/>
      <c r="HG146" s="3"/>
      <c r="HK146" s="3"/>
      <c r="HO146" s="3"/>
      <c r="HS146" s="3"/>
      <c r="HW146" s="3"/>
      <c r="IA146" s="3"/>
      <c r="IE146" s="3"/>
      <c r="II146" s="3"/>
      <c r="IM146" s="3"/>
      <c r="IQ146" s="3"/>
      <c r="IU146" s="3"/>
      <c r="IY146" s="3"/>
      <c r="JC146" s="3"/>
      <c r="JG146" s="3"/>
      <c r="JK146" s="3"/>
      <c r="JO146" s="3"/>
      <c r="JS146" s="3"/>
      <c r="JW146" s="3"/>
      <c r="KA146" s="3"/>
      <c r="KE146" s="3"/>
      <c r="KI146" s="3"/>
      <c r="KM146" s="3"/>
      <c r="KQ146" s="3"/>
      <c r="KU146" s="3"/>
      <c r="KY146" s="3"/>
      <c r="LC146" s="3"/>
      <c r="LG146" s="3"/>
      <c r="LK146" s="3"/>
      <c r="LO146" s="3"/>
    </row>
    <row r="147" spans="18:327" hidden="1">
      <c r="R147" s="3"/>
      <c r="V147" s="3"/>
      <c r="Z147" s="3"/>
      <c r="AD147" s="3"/>
      <c r="AH147" s="3"/>
      <c r="AL147" s="3"/>
      <c r="AP147" s="3"/>
      <c r="AT147" s="3"/>
      <c r="AX147" s="3"/>
      <c r="BB147" s="3"/>
      <c r="BF147" s="3"/>
      <c r="BJ147" s="3"/>
      <c r="BN147" s="3"/>
      <c r="BR147" s="3"/>
      <c r="BV147" s="3"/>
      <c r="BZ147" s="3"/>
      <c r="CD147" s="3"/>
      <c r="CH147" s="3"/>
      <c r="CL147" s="3"/>
      <c r="CP147" s="3"/>
      <c r="CT147" s="3"/>
      <c r="CX147" s="3"/>
      <c r="DB147" s="3"/>
      <c r="DF147" s="3"/>
      <c r="DJ147" s="3"/>
      <c r="DN147" s="3"/>
      <c r="DR147" s="3"/>
      <c r="DV147" s="3"/>
      <c r="DZ147" s="3"/>
      <c r="ED147" s="3"/>
      <c r="EH147" s="3"/>
      <c r="EL147" s="3"/>
      <c r="EP147" s="3"/>
      <c r="ET147" s="3"/>
      <c r="EX147" s="3"/>
      <c r="FB147" s="3"/>
      <c r="FF147" s="3"/>
      <c r="FJ147" s="3"/>
      <c r="FN147" s="3"/>
      <c r="FS147" s="3"/>
      <c r="FW147" s="3"/>
      <c r="GA147" s="3"/>
      <c r="GE147" s="3"/>
      <c r="GI147" s="3"/>
      <c r="GM147" s="3"/>
      <c r="GQ147" s="3"/>
      <c r="GU147" s="3"/>
      <c r="GY147" s="3"/>
      <c r="HC147" s="3"/>
      <c r="HG147" s="3"/>
      <c r="HK147" s="3"/>
      <c r="HO147" s="3"/>
      <c r="HS147" s="3"/>
      <c r="HW147" s="3"/>
      <c r="IA147" s="3"/>
      <c r="IE147" s="3"/>
      <c r="II147" s="3"/>
      <c r="IM147" s="3"/>
      <c r="IQ147" s="3"/>
      <c r="IU147" s="3"/>
      <c r="IY147" s="3"/>
      <c r="JC147" s="3"/>
      <c r="JG147" s="3"/>
      <c r="JK147" s="3"/>
      <c r="JO147" s="3"/>
      <c r="JS147" s="3"/>
      <c r="JW147" s="3"/>
      <c r="KA147" s="3"/>
      <c r="KE147" s="3"/>
      <c r="KI147" s="3"/>
      <c r="KM147" s="3"/>
      <c r="KQ147" s="3"/>
      <c r="KU147" s="3"/>
      <c r="KY147" s="3"/>
      <c r="LC147" s="3"/>
      <c r="LG147" s="3"/>
      <c r="LK147" s="3"/>
      <c r="LO147" s="3"/>
    </row>
    <row r="148" spans="18:327" hidden="1">
      <c r="R148" s="3"/>
      <c r="V148" s="3"/>
      <c r="Z148" s="3"/>
      <c r="AD148" s="3"/>
      <c r="AH148" s="3"/>
      <c r="AL148" s="3"/>
      <c r="AP148" s="3"/>
      <c r="AT148" s="3"/>
      <c r="AX148" s="3"/>
      <c r="BB148" s="3"/>
      <c r="BF148" s="3"/>
      <c r="BJ148" s="3"/>
      <c r="BN148" s="3"/>
      <c r="BR148" s="3"/>
      <c r="BV148" s="3"/>
      <c r="BZ148" s="3"/>
      <c r="CD148" s="3"/>
      <c r="CH148" s="3"/>
      <c r="CL148" s="3"/>
      <c r="CP148" s="3"/>
      <c r="CT148" s="3"/>
      <c r="CX148" s="3"/>
      <c r="DB148" s="3"/>
      <c r="DF148" s="3"/>
      <c r="DJ148" s="3"/>
      <c r="DN148" s="3"/>
      <c r="DR148" s="3"/>
      <c r="DV148" s="3"/>
      <c r="DZ148" s="3"/>
      <c r="ED148" s="3"/>
      <c r="EH148" s="3"/>
      <c r="EL148" s="3"/>
      <c r="EP148" s="3"/>
      <c r="ET148" s="3"/>
      <c r="EX148" s="3"/>
      <c r="FB148" s="3"/>
      <c r="FF148" s="3"/>
      <c r="FJ148" s="3"/>
      <c r="FN148" s="3"/>
      <c r="FS148" s="3"/>
      <c r="FW148" s="3"/>
      <c r="GA148" s="3"/>
      <c r="GE148" s="3"/>
      <c r="GI148" s="3"/>
      <c r="GM148" s="3"/>
      <c r="GQ148" s="3"/>
      <c r="GU148" s="3"/>
      <c r="GY148" s="3"/>
      <c r="HC148" s="3"/>
      <c r="HG148" s="3"/>
      <c r="HK148" s="3"/>
      <c r="HO148" s="3"/>
      <c r="HS148" s="3"/>
      <c r="HW148" s="3"/>
      <c r="IA148" s="3"/>
      <c r="IE148" s="3"/>
      <c r="II148" s="3"/>
      <c r="IM148" s="3"/>
      <c r="IQ148" s="3"/>
      <c r="IU148" s="3"/>
      <c r="IY148" s="3"/>
      <c r="JC148" s="3"/>
      <c r="JG148" s="3"/>
      <c r="JK148" s="3"/>
      <c r="JO148" s="3"/>
      <c r="JS148" s="3"/>
      <c r="JW148" s="3"/>
      <c r="KA148" s="3"/>
      <c r="KE148" s="3"/>
      <c r="KI148" s="3"/>
      <c r="KM148" s="3"/>
      <c r="KQ148" s="3"/>
      <c r="KU148" s="3"/>
      <c r="KY148" s="3"/>
      <c r="LC148" s="3"/>
      <c r="LG148" s="3"/>
      <c r="LK148" s="3"/>
      <c r="LO148" s="3"/>
    </row>
    <row r="149" spans="18:327" hidden="1">
      <c r="R149" s="3"/>
      <c r="V149" s="3"/>
      <c r="Z149" s="3"/>
      <c r="AD149" s="3"/>
      <c r="AH149" s="3"/>
      <c r="AL149" s="3"/>
      <c r="AP149" s="3"/>
      <c r="AT149" s="3"/>
      <c r="AX149" s="3"/>
      <c r="BB149" s="3"/>
      <c r="BF149" s="3"/>
      <c r="BJ149" s="3"/>
      <c r="BN149" s="3"/>
      <c r="BR149" s="3"/>
      <c r="BV149" s="3"/>
      <c r="BZ149" s="3"/>
      <c r="CD149" s="3"/>
      <c r="CH149" s="3"/>
      <c r="CL149" s="3"/>
      <c r="CP149" s="3"/>
      <c r="CT149" s="3"/>
      <c r="CX149" s="3"/>
      <c r="DB149" s="3"/>
      <c r="DF149" s="3"/>
      <c r="DJ149" s="3"/>
      <c r="DN149" s="3"/>
      <c r="DR149" s="3"/>
      <c r="DV149" s="3"/>
      <c r="DZ149" s="3"/>
      <c r="ED149" s="3"/>
      <c r="EH149" s="3"/>
      <c r="EL149" s="3"/>
      <c r="EP149" s="3"/>
      <c r="ET149" s="3"/>
      <c r="EX149" s="3"/>
      <c r="FB149" s="3"/>
      <c r="FF149" s="3"/>
      <c r="FJ149" s="3"/>
      <c r="FN149" s="3"/>
      <c r="FS149" s="3"/>
      <c r="FW149" s="3"/>
      <c r="GA149" s="3"/>
      <c r="GE149" s="3"/>
      <c r="GI149" s="3"/>
      <c r="GM149" s="3"/>
      <c r="GQ149" s="3"/>
      <c r="GU149" s="3"/>
      <c r="GY149" s="3"/>
      <c r="HC149" s="3"/>
      <c r="HG149" s="3"/>
      <c r="HK149" s="3"/>
      <c r="HO149" s="3"/>
      <c r="HS149" s="3"/>
      <c r="HW149" s="3"/>
      <c r="IA149" s="3"/>
      <c r="IE149" s="3"/>
      <c r="II149" s="3"/>
      <c r="IM149" s="3"/>
      <c r="IQ149" s="3"/>
      <c r="IU149" s="3"/>
      <c r="IY149" s="3"/>
      <c r="JC149" s="3"/>
      <c r="JG149" s="3"/>
      <c r="JK149" s="3"/>
      <c r="JO149" s="3"/>
      <c r="JS149" s="3"/>
      <c r="JW149" s="3"/>
      <c r="KA149" s="3"/>
      <c r="KE149" s="3"/>
      <c r="KI149" s="3"/>
      <c r="KM149" s="3"/>
      <c r="KQ149" s="3"/>
      <c r="KU149" s="3"/>
      <c r="KY149" s="3"/>
      <c r="LC149" s="3"/>
      <c r="LG149" s="3"/>
      <c r="LK149" s="3"/>
      <c r="LO149" s="3"/>
    </row>
    <row r="150" spans="18:327" hidden="1">
      <c r="R150" s="3"/>
      <c r="V150" s="3"/>
      <c r="Z150" s="3"/>
      <c r="AD150" s="3"/>
      <c r="AH150" s="3"/>
      <c r="AL150" s="3"/>
      <c r="AP150" s="3"/>
      <c r="AT150" s="3"/>
      <c r="AX150" s="3"/>
      <c r="BB150" s="3"/>
      <c r="BF150" s="3"/>
      <c r="BJ150" s="3"/>
      <c r="BN150" s="3"/>
      <c r="BR150" s="3"/>
      <c r="BV150" s="3"/>
      <c r="BZ150" s="3"/>
      <c r="CD150" s="3"/>
      <c r="CH150" s="3"/>
      <c r="CL150" s="3"/>
      <c r="CP150" s="3"/>
      <c r="CT150" s="3"/>
      <c r="CX150" s="3"/>
      <c r="DB150" s="3"/>
      <c r="DF150" s="3"/>
      <c r="DJ150" s="3"/>
      <c r="DN150" s="3"/>
      <c r="DR150" s="3"/>
      <c r="DV150" s="3"/>
      <c r="DZ150" s="3"/>
      <c r="ED150" s="3"/>
      <c r="EH150" s="3"/>
      <c r="EL150" s="3"/>
      <c r="EP150" s="3"/>
      <c r="ET150" s="3"/>
      <c r="EX150" s="3"/>
      <c r="FB150" s="3"/>
      <c r="FF150" s="3"/>
      <c r="FJ150" s="3"/>
      <c r="FN150" s="3"/>
      <c r="FS150" s="3"/>
      <c r="FW150" s="3"/>
      <c r="GA150" s="3"/>
      <c r="GE150" s="3"/>
      <c r="GI150" s="3"/>
      <c r="GM150" s="3"/>
      <c r="GQ150" s="3"/>
      <c r="GU150" s="3"/>
      <c r="GY150" s="3"/>
      <c r="HC150" s="3"/>
      <c r="HG150" s="3"/>
      <c r="HK150" s="3"/>
      <c r="HO150" s="3"/>
      <c r="HS150" s="3"/>
      <c r="HW150" s="3"/>
      <c r="IA150" s="3"/>
      <c r="IE150" s="3"/>
      <c r="II150" s="3"/>
      <c r="IM150" s="3"/>
      <c r="IQ150" s="3"/>
      <c r="IU150" s="3"/>
      <c r="IY150" s="3"/>
      <c r="JC150" s="3"/>
      <c r="JG150" s="3"/>
      <c r="JK150" s="3"/>
      <c r="JO150" s="3"/>
      <c r="JS150" s="3"/>
      <c r="JW150" s="3"/>
      <c r="KA150" s="3"/>
      <c r="KE150" s="3"/>
      <c r="KI150" s="3"/>
      <c r="KM150" s="3"/>
      <c r="KQ150" s="3"/>
      <c r="KU150" s="3"/>
      <c r="KY150" s="3"/>
      <c r="LC150" s="3"/>
      <c r="LG150" s="3"/>
      <c r="LK150" s="3"/>
      <c r="LO150" s="3"/>
    </row>
    <row r="151" spans="18:327" hidden="1">
      <c r="R151" s="3"/>
      <c r="V151" s="3"/>
      <c r="Z151" s="3"/>
      <c r="AD151" s="3"/>
      <c r="AH151" s="3"/>
      <c r="AL151" s="3"/>
      <c r="AP151" s="3"/>
      <c r="AT151" s="3"/>
      <c r="AX151" s="3"/>
      <c r="BB151" s="3"/>
      <c r="BF151" s="3"/>
      <c r="BJ151" s="3"/>
      <c r="BN151" s="3"/>
      <c r="BR151" s="3"/>
      <c r="BV151" s="3"/>
      <c r="BZ151" s="3"/>
      <c r="CD151" s="3"/>
      <c r="CH151" s="3"/>
      <c r="CL151" s="3"/>
      <c r="CP151" s="3"/>
      <c r="CT151" s="3"/>
      <c r="CX151" s="3"/>
      <c r="DB151" s="3"/>
      <c r="DF151" s="3"/>
      <c r="DJ151" s="3"/>
      <c r="DN151" s="3"/>
      <c r="DR151" s="3"/>
      <c r="DV151" s="3"/>
      <c r="DZ151" s="3"/>
      <c r="ED151" s="3"/>
      <c r="EH151" s="3"/>
      <c r="EL151" s="3"/>
      <c r="EP151" s="3"/>
      <c r="ET151" s="3"/>
      <c r="EX151" s="3"/>
      <c r="FB151" s="3"/>
      <c r="FF151" s="3"/>
      <c r="FJ151" s="3"/>
      <c r="FN151" s="3"/>
      <c r="FS151" s="3"/>
      <c r="FW151" s="3"/>
      <c r="GA151" s="3"/>
      <c r="GE151" s="3"/>
      <c r="GI151" s="3"/>
      <c r="GM151" s="3"/>
      <c r="GQ151" s="3"/>
      <c r="GU151" s="3"/>
      <c r="GY151" s="3"/>
      <c r="HC151" s="3"/>
      <c r="HG151" s="3"/>
      <c r="HK151" s="3"/>
      <c r="HO151" s="3"/>
      <c r="HS151" s="3"/>
      <c r="HW151" s="3"/>
      <c r="IA151" s="3"/>
      <c r="IE151" s="3"/>
      <c r="II151" s="3"/>
      <c r="IM151" s="3"/>
      <c r="IQ151" s="3"/>
      <c r="IU151" s="3"/>
      <c r="IY151" s="3"/>
      <c r="JC151" s="3"/>
      <c r="JG151" s="3"/>
      <c r="JK151" s="3"/>
      <c r="JO151" s="3"/>
      <c r="JS151" s="3"/>
      <c r="JW151" s="3"/>
      <c r="KA151" s="3"/>
      <c r="KE151" s="3"/>
      <c r="KI151" s="3"/>
      <c r="KM151" s="3"/>
      <c r="KQ151" s="3"/>
      <c r="KU151" s="3"/>
      <c r="KY151" s="3"/>
      <c r="LC151" s="3"/>
      <c r="LG151" s="3"/>
      <c r="LK151" s="3"/>
      <c r="LO151" s="3"/>
    </row>
    <row r="152" spans="18:327" hidden="1">
      <c r="R152" s="3"/>
      <c r="V152" s="3"/>
      <c r="Z152" s="3"/>
      <c r="AD152" s="3"/>
      <c r="AH152" s="3"/>
      <c r="AL152" s="3"/>
      <c r="AP152" s="3"/>
      <c r="AT152" s="3"/>
      <c r="AX152" s="3"/>
      <c r="BB152" s="3"/>
      <c r="BF152" s="3"/>
      <c r="BJ152" s="3"/>
      <c r="BN152" s="3"/>
      <c r="BR152" s="3"/>
      <c r="BV152" s="3"/>
      <c r="BZ152" s="3"/>
      <c r="CD152" s="3"/>
      <c r="CH152" s="3"/>
      <c r="CL152" s="3"/>
      <c r="CP152" s="3"/>
      <c r="CT152" s="3"/>
      <c r="CX152" s="3"/>
      <c r="DB152" s="3"/>
      <c r="DF152" s="3"/>
      <c r="DJ152" s="3"/>
      <c r="DN152" s="3"/>
      <c r="DR152" s="3"/>
      <c r="DV152" s="3"/>
      <c r="DZ152" s="3"/>
      <c r="ED152" s="3"/>
      <c r="EH152" s="3"/>
      <c r="EL152" s="3"/>
      <c r="EP152" s="3"/>
      <c r="ET152" s="3"/>
      <c r="EX152" s="3"/>
      <c r="FB152" s="3"/>
      <c r="FF152" s="3"/>
      <c r="FJ152" s="3"/>
      <c r="FN152" s="3"/>
      <c r="FS152" s="3"/>
      <c r="FW152" s="3"/>
      <c r="GA152" s="3"/>
      <c r="GE152" s="3"/>
      <c r="GI152" s="3"/>
      <c r="GM152" s="3"/>
      <c r="GQ152" s="3"/>
      <c r="GU152" s="3"/>
      <c r="GY152" s="3"/>
      <c r="HC152" s="3"/>
      <c r="HG152" s="3"/>
      <c r="HK152" s="3"/>
      <c r="HO152" s="3"/>
      <c r="HS152" s="3"/>
      <c r="HW152" s="3"/>
      <c r="IA152" s="3"/>
      <c r="IE152" s="3"/>
      <c r="II152" s="3"/>
      <c r="IM152" s="3"/>
      <c r="IQ152" s="3"/>
      <c r="IU152" s="3"/>
      <c r="IY152" s="3"/>
      <c r="JC152" s="3"/>
      <c r="JG152" s="3"/>
      <c r="JK152" s="3"/>
      <c r="JO152" s="3"/>
      <c r="JS152" s="3"/>
      <c r="JW152" s="3"/>
      <c r="KA152" s="3"/>
      <c r="KE152" s="3"/>
      <c r="KI152" s="3"/>
      <c r="KM152" s="3"/>
      <c r="KQ152" s="3"/>
      <c r="KU152" s="3"/>
      <c r="KY152" s="3"/>
      <c r="LC152" s="3"/>
      <c r="LG152" s="3"/>
      <c r="LK152" s="3"/>
      <c r="LO152" s="3"/>
    </row>
    <row r="153" spans="18:327" hidden="1">
      <c r="R153" s="3"/>
      <c r="V153" s="3"/>
      <c r="Z153" s="3"/>
      <c r="AD153" s="3"/>
      <c r="AH153" s="3"/>
      <c r="AL153" s="3"/>
      <c r="AP153" s="3"/>
      <c r="AT153" s="3"/>
      <c r="AX153" s="3"/>
      <c r="BB153" s="3"/>
      <c r="BF153" s="3"/>
      <c r="BJ153" s="3"/>
      <c r="BN153" s="3"/>
      <c r="BR153" s="3"/>
      <c r="BV153" s="3"/>
      <c r="BZ153" s="3"/>
      <c r="CD153" s="3"/>
      <c r="CH153" s="3"/>
      <c r="CL153" s="3"/>
      <c r="CP153" s="3"/>
      <c r="CT153" s="3"/>
      <c r="CX153" s="3"/>
      <c r="DB153" s="3"/>
      <c r="DF153" s="3"/>
      <c r="DJ153" s="3"/>
      <c r="DN153" s="3"/>
      <c r="DR153" s="3"/>
      <c r="DV153" s="3"/>
      <c r="DZ153" s="3"/>
      <c r="ED153" s="3"/>
      <c r="EH153" s="3"/>
      <c r="EL153" s="3"/>
      <c r="EP153" s="3"/>
      <c r="ET153" s="3"/>
      <c r="EX153" s="3"/>
      <c r="FB153" s="3"/>
      <c r="FF153" s="3"/>
      <c r="FJ153" s="3"/>
      <c r="FN153" s="3"/>
      <c r="FS153" s="3"/>
      <c r="FW153" s="3"/>
      <c r="GA153" s="3"/>
      <c r="GE153" s="3"/>
      <c r="GI153" s="3"/>
      <c r="GM153" s="3"/>
      <c r="GQ153" s="3"/>
      <c r="GU153" s="3"/>
      <c r="GY153" s="3"/>
      <c r="HC153" s="3"/>
      <c r="HG153" s="3"/>
      <c r="HK153" s="3"/>
      <c r="HO153" s="3"/>
      <c r="HS153" s="3"/>
      <c r="HW153" s="3"/>
      <c r="IA153" s="3"/>
      <c r="IE153" s="3"/>
      <c r="II153" s="3"/>
      <c r="IM153" s="3"/>
      <c r="IQ153" s="3"/>
      <c r="IU153" s="3"/>
      <c r="IY153" s="3"/>
      <c r="JC153" s="3"/>
      <c r="JG153" s="3"/>
      <c r="JK153" s="3"/>
      <c r="JO153" s="3"/>
      <c r="JS153" s="3"/>
      <c r="JW153" s="3"/>
      <c r="KA153" s="3"/>
      <c r="KE153" s="3"/>
      <c r="KI153" s="3"/>
      <c r="KM153" s="3"/>
      <c r="KQ153" s="3"/>
      <c r="KU153" s="3"/>
      <c r="KY153" s="3"/>
      <c r="LC153" s="3"/>
      <c r="LG153" s="3"/>
      <c r="LK153" s="3"/>
      <c r="LO153" s="3"/>
    </row>
    <row r="154" spans="18:327" hidden="1">
      <c r="R154" s="3"/>
      <c r="V154" s="3"/>
      <c r="Z154" s="3"/>
      <c r="AD154" s="3"/>
      <c r="AH154" s="3"/>
      <c r="AL154" s="3"/>
      <c r="AP154" s="3"/>
      <c r="AT154" s="3"/>
      <c r="AX154" s="3"/>
      <c r="BB154" s="3"/>
      <c r="BF154" s="3"/>
      <c r="BJ154" s="3"/>
      <c r="BN154" s="3"/>
      <c r="BR154" s="3"/>
      <c r="BV154" s="3"/>
      <c r="BZ154" s="3"/>
      <c r="CD154" s="3"/>
      <c r="CH154" s="3"/>
      <c r="CL154" s="3"/>
      <c r="CP154" s="3"/>
      <c r="CT154" s="3"/>
      <c r="CX154" s="3"/>
      <c r="DB154" s="3"/>
      <c r="DF154" s="3"/>
      <c r="DJ154" s="3"/>
      <c r="DN154" s="3"/>
      <c r="DR154" s="3"/>
      <c r="DV154" s="3"/>
      <c r="DZ154" s="3"/>
      <c r="ED154" s="3"/>
      <c r="EH154" s="3"/>
      <c r="EL154" s="3"/>
      <c r="EP154" s="3"/>
      <c r="ET154" s="3"/>
      <c r="EX154" s="3"/>
      <c r="FB154" s="3"/>
      <c r="FF154" s="3"/>
      <c r="FJ154" s="3"/>
      <c r="FN154" s="3"/>
      <c r="FS154" s="3"/>
      <c r="FW154" s="3"/>
      <c r="GA154" s="3"/>
      <c r="GE154" s="3"/>
      <c r="GI154" s="3"/>
      <c r="GM154" s="3"/>
      <c r="GQ154" s="3"/>
      <c r="GU154" s="3"/>
      <c r="GY154" s="3"/>
      <c r="HC154" s="3"/>
      <c r="HG154" s="3"/>
      <c r="HK154" s="3"/>
      <c r="HO154" s="3"/>
      <c r="HS154" s="3"/>
      <c r="HW154" s="3"/>
      <c r="IA154" s="3"/>
      <c r="IE154" s="3"/>
      <c r="II154" s="3"/>
      <c r="IM154" s="3"/>
      <c r="IQ154" s="3"/>
      <c r="IU154" s="3"/>
      <c r="IY154" s="3"/>
      <c r="JC154" s="3"/>
      <c r="JG154" s="3"/>
      <c r="JK154" s="3"/>
      <c r="JO154" s="3"/>
      <c r="JS154" s="3"/>
      <c r="JW154" s="3"/>
      <c r="KA154" s="3"/>
      <c r="KE154" s="3"/>
      <c r="KI154" s="3"/>
      <c r="KM154" s="3"/>
      <c r="KQ154" s="3"/>
      <c r="KU154" s="3"/>
      <c r="KY154" s="3"/>
      <c r="LC154" s="3"/>
      <c r="LG154" s="3"/>
      <c r="LK154" s="3"/>
      <c r="LO154" s="3"/>
    </row>
    <row r="155" spans="18:327" hidden="1">
      <c r="R155" s="3"/>
      <c r="V155" s="3"/>
      <c r="Z155" s="3"/>
      <c r="AD155" s="3"/>
      <c r="AH155" s="3"/>
      <c r="AL155" s="3"/>
      <c r="AP155" s="3"/>
      <c r="AT155" s="3"/>
      <c r="AX155" s="3"/>
      <c r="BB155" s="3"/>
      <c r="BF155" s="3"/>
      <c r="BJ155" s="3"/>
      <c r="BN155" s="3"/>
      <c r="BR155" s="3"/>
      <c r="BV155" s="3"/>
      <c r="BZ155" s="3"/>
      <c r="CD155" s="3"/>
      <c r="CH155" s="3"/>
      <c r="CL155" s="3"/>
      <c r="CP155" s="3"/>
      <c r="CT155" s="3"/>
      <c r="CX155" s="3"/>
      <c r="DB155" s="3"/>
      <c r="DF155" s="3"/>
      <c r="DJ155" s="3"/>
      <c r="DN155" s="3"/>
      <c r="DR155" s="3"/>
      <c r="DV155" s="3"/>
      <c r="DZ155" s="3"/>
      <c r="ED155" s="3"/>
      <c r="EH155" s="3"/>
      <c r="EL155" s="3"/>
      <c r="EP155" s="3"/>
      <c r="ET155" s="3"/>
      <c r="EX155" s="3"/>
      <c r="FB155" s="3"/>
      <c r="FF155" s="3"/>
      <c r="FJ155" s="3"/>
      <c r="FN155" s="3"/>
      <c r="FS155" s="3"/>
      <c r="FW155" s="3"/>
      <c r="GA155" s="3"/>
      <c r="GE155" s="3"/>
      <c r="GI155" s="3"/>
      <c r="GM155" s="3"/>
      <c r="GQ155" s="3"/>
      <c r="GU155" s="3"/>
      <c r="GY155" s="3"/>
      <c r="HC155" s="3"/>
      <c r="HG155" s="3"/>
      <c r="HK155" s="3"/>
      <c r="HO155" s="3"/>
      <c r="HS155" s="3"/>
      <c r="HW155" s="3"/>
      <c r="IA155" s="3"/>
      <c r="IE155" s="3"/>
      <c r="II155" s="3"/>
      <c r="IM155" s="3"/>
      <c r="IQ155" s="3"/>
      <c r="IU155" s="3"/>
      <c r="IY155" s="3"/>
      <c r="JC155" s="3"/>
      <c r="JG155" s="3"/>
      <c r="JK155" s="3"/>
      <c r="JO155" s="3"/>
      <c r="JS155" s="3"/>
      <c r="JW155" s="3"/>
      <c r="KA155" s="3"/>
      <c r="KE155" s="3"/>
      <c r="KI155" s="3"/>
      <c r="KM155" s="3"/>
      <c r="KQ155" s="3"/>
      <c r="KU155" s="3"/>
      <c r="KY155" s="3"/>
      <c r="LC155" s="3"/>
      <c r="LG155" s="3"/>
      <c r="LK155" s="3"/>
      <c r="LO155" s="3"/>
    </row>
    <row r="156" spans="18:327" hidden="1">
      <c r="R156" s="3"/>
      <c r="V156" s="3"/>
      <c r="Z156" s="3"/>
      <c r="AD156" s="3"/>
      <c r="AH156" s="3"/>
      <c r="AL156" s="3"/>
      <c r="AP156" s="3"/>
      <c r="AT156" s="3"/>
      <c r="AX156" s="3"/>
      <c r="BB156" s="3"/>
      <c r="BF156" s="3"/>
      <c r="BJ156" s="3"/>
      <c r="BN156" s="3"/>
      <c r="BR156" s="3"/>
      <c r="BV156" s="3"/>
      <c r="BZ156" s="3"/>
      <c r="CD156" s="3"/>
      <c r="CH156" s="3"/>
      <c r="CL156" s="3"/>
      <c r="CP156" s="3"/>
      <c r="CT156" s="3"/>
      <c r="CX156" s="3"/>
      <c r="DB156" s="3"/>
      <c r="DF156" s="3"/>
      <c r="DJ156" s="3"/>
      <c r="DN156" s="3"/>
      <c r="DR156" s="3"/>
      <c r="DV156" s="3"/>
      <c r="DZ156" s="3"/>
      <c r="ED156" s="3"/>
      <c r="EH156" s="3"/>
      <c r="EL156" s="3"/>
      <c r="EP156" s="3"/>
      <c r="ET156" s="3"/>
      <c r="EX156" s="3"/>
      <c r="FB156" s="3"/>
      <c r="FF156" s="3"/>
      <c r="FJ156" s="3"/>
      <c r="FN156" s="3"/>
      <c r="FS156" s="3"/>
      <c r="FW156" s="3"/>
      <c r="GA156" s="3"/>
      <c r="GE156" s="3"/>
      <c r="GI156" s="3"/>
      <c r="GM156" s="3"/>
      <c r="GQ156" s="3"/>
      <c r="GU156" s="3"/>
      <c r="GY156" s="3"/>
      <c r="HC156" s="3"/>
      <c r="HG156" s="3"/>
      <c r="HK156" s="3"/>
      <c r="HO156" s="3"/>
      <c r="HS156" s="3"/>
      <c r="HW156" s="3"/>
      <c r="IA156" s="3"/>
      <c r="IE156" s="3"/>
      <c r="II156" s="3"/>
      <c r="IM156" s="3"/>
      <c r="IQ156" s="3"/>
      <c r="IU156" s="3"/>
      <c r="IY156" s="3"/>
      <c r="JC156" s="3"/>
      <c r="JG156" s="3"/>
      <c r="JK156" s="3"/>
      <c r="JO156" s="3"/>
      <c r="JS156" s="3"/>
      <c r="JW156" s="3"/>
      <c r="KA156" s="3"/>
      <c r="KE156" s="3"/>
      <c r="KI156" s="3"/>
      <c r="KM156" s="3"/>
      <c r="KQ156" s="3"/>
      <c r="KU156" s="3"/>
      <c r="KY156" s="3"/>
      <c r="LC156" s="3"/>
      <c r="LG156" s="3"/>
      <c r="LK156" s="3"/>
      <c r="LO156" s="3"/>
    </row>
    <row r="157" spans="18:327" hidden="1">
      <c r="R157" s="3"/>
      <c r="V157" s="3"/>
      <c r="Z157" s="3"/>
      <c r="AD157" s="3"/>
      <c r="AH157" s="3"/>
      <c r="AL157" s="3"/>
      <c r="AP157" s="3"/>
      <c r="AT157" s="3"/>
      <c r="AX157" s="3"/>
      <c r="BB157" s="3"/>
      <c r="BF157" s="3"/>
      <c r="BJ157" s="3"/>
      <c r="BN157" s="3"/>
      <c r="BR157" s="3"/>
      <c r="BV157" s="3"/>
      <c r="BZ157" s="3"/>
      <c r="CD157" s="3"/>
      <c r="CH157" s="3"/>
      <c r="CL157" s="3"/>
      <c r="CP157" s="3"/>
      <c r="CT157" s="3"/>
      <c r="CX157" s="3"/>
      <c r="DB157" s="3"/>
      <c r="DF157" s="3"/>
      <c r="DJ157" s="3"/>
      <c r="DN157" s="3"/>
      <c r="DR157" s="3"/>
      <c r="DV157" s="3"/>
      <c r="DZ157" s="3"/>
      <c r="ED157" s="3"/>
      <c r="EH157" s="3"/>
      <c r="EL157" s="3"/>
      <c r="EP157" s="3"/>
      <c r="ET157" s="3"/>
      <c r="EX157" s="3"/>
      <c r="FB157" s="3"/>
      <c r="FF157" s="3"/>
      <c r="FJ157" s="3"/>
      <c r="FN157" s="3"/>
      <c r="FS157" s="3"/>
      <c r="FW157" s="3"/>
      <c r="GA157" s="3"/>
      <c r="GE157" s="3"/>
      <c r="GI157" s="3"/>
      <c r="GM157" s="3"/>
      <c r="GQ157" s="3"/>
      <c r="GU157" s="3"/>
      <c r="GY157" s="3"/>
      <c r="HC157" s="3"/>
      <c r="HG157" s="3"/>
      <c r="HK157" s="3"/>
      <c r="HO157" s="3"/>
      <c r="HS157" s="3"/>
      <c r="HW157" s="3"/>
      <c r="IA157" s="3"/>
      <c r="IE157" s="3"/>
      <c r="II157" s="3"/>
      <c r="IM157" s="3"/>
      <c r="IQ157" s="3"/>
      <c r="IU157" s="3"/>
      <c r="IY157" s="3"/>
      <c r="JC157" s="3"/>
      <c r="JG157" s="3"/>
      <c r="JK157" s="3"/>
      <c r="JO157" s="3"/>
      <c r="JS157" s="3"/>
      <c r="JW157" s="3"/>
      <c r="KA157" s="3"/>
      <c r="KE157" s="3"/>
      <c r="KI157" s="3"/>
      <c r="KM157" s="3"/>
      <c r="KQ157" s="3"/>
      <c r="KU157" s="3"/>
      <c r="KY157" s="3"/>
      <c r="LC157" s="3"/>
      <c r="LG157" s="3"/>
      <c r="LK157" s="3"/>
      <c r="LO157" s="3"/>
    </row>
    <row r="158" spans="18:327" hidden="1">
      <c r="FS158" s="3"/>
      <c r="FW158" s="3"/>
      <c r="GA158" s="3"/>
      <c r="GE158" s="3"/>
      <c r="GI158" s="3"/>
      <c r="GM158" s="3"/>
      <c r="GQ158" s="3"/>
      <c r="GU158" s="3"/>
      <c r="GY158" s="3"/>
      <c r="HC158" s="3"/>
      <c r="HG158" s="3"/>
      <c r="HK158" s="3"/>
      <c r="HO158" s="3"/>
      <c r="HS158" s="3"/>
      <c r="HW158" s="3"/>
      <c r="IA158" s="3"/>
      <c r="IE158" s="3"/>
      <c r="II158" s="3"/>
      <c r="IM158" s="3"/>
      <c r="IQ158" s="3"/>
      <c r="IU158" s="3"/>
      <c r="IY158" s="3"/>
      <c r="JC158" s="3"/>
      <c r="JG158" s="3"/>
      <c r="JK158" s="3"/>
      <c r="JO158" s="3"/>
      <c r="JS158" s="3"/>
      <c r="JW158" s="3"/>
      <c r="KA158" s="3"/>
      <c r="KE158" s="3"/>
      <c r="KI158" s="3"/>
      <c r="KM158" s="3"/>
      <c r="KQ158" s="3"/>
      <c r="KU158" s="3"/>
      <c r="KY158" s="3"/>
      <c r="LC158" s="3"/>
      <c r="LG158" s="3"/>
      <c r="LK158" s="3"/>
      <c r="LO158" s="3"/>
    </row>
    <row r="159" spans="18:327" hidden="1">
      <c r="FS159" s="3"/>
      <c r="FW159" s="3"/>
      <c r="GA159" s="3"/>
      <c r="GE159" s="3"/>
      <c r="GI159" s="3"/>
      <c r="GM159" s="3"/>
      <c r="GQ159" s="3"/>
      <c r="GU159" s="3"/>
      <c r="GY159" s="3"/>
      <c r="HC159" s="3"/>
      <c r="HG159" s="3"/>
      <c r="HK159" s="3"/>
      <c r="HO159" s="3"/>
      <c r="HS159" s="3"/>
      <c r="HW159" s="3"/>
      <c r="IA159" s="3"/>
      <c r="IE159" s="3"/>
      <c r="II159" s="3"/>
      <c r="IM159" s="3"/>
      <c r="IQ159" s="3"/>
      <c r="IU159" s="3"/>
      <c r="IY159" s="3"/>
      <c r="JC159" s="3"/>
      <c r="JG159" s="3"/>
      <c r="JK159" s="3"/>
      <c r="JO159" s="3"/>
      <c r="JS159" s="3"/>
      <c r="JW159" s="3"/>
      <c r="KA159" s="3"/>
      <c r="KE159" s="3"/>
      <c r="KI159" s="3"/>
      <c r="KM159" s="3"/>
      <c r="KQ159" s="3"/>
      <c r="KU159" s="3"/>
      <c r="KY159" s="3"/>
      <c r="LC159" s="3"/>
      <c r="LG159" s="3"/>
      <c r="LK159" s="3"/>
      <c r="LO159" s="3"/>
    </row>
    <row r="160" spans="18:327" hidden="1">
      <c r="FS160" s="3"/>
      <c r="FW160" s="3"/>
      <c r="GA160" s="3"/>
      <c r="GE160" s="3"/>
      <c r="GI160" s="3"/>
      <c r="GM160" s="3"/>
      <c r="GQ160" s="3"/>
      <c r="GU160" s="3"/>
      <c r="GY160" s="3"/>
      <c r="HC160" s="3"/>
      <c r="HG160" s="3"/>
      <c r="HK160" s="3"/>
      <c r="HO160" s="3"/>
      <c r="HS160" s="3"/>
      <c r="HW160" s="3"/>
      <c r="IA160" s="3"/>
      <c r="IE160" s="3"/>
      <c r="II160" s="3"/>
      <c r="IM160" s="3"/>
      <c r="IQ160" s="3"/>
      <c r="IU160" s="3"/>
      <c r="IY160" s="3"/>
      <c r="JC160" s="3"/>
      <c r="JG160" s="3"/>
      <c r="JK160" s="3"/>
      <c r="JO160" s="3"/>
      <c r="JS160" s="3"/>
      <c r="JW160" s="3"/>
      <c r="KA160" s="3"/>
      <c r="KE160" s="3"/>
      <c r="KI160" s="3"/>
      <c r="KM160" s="3"/>
      <c r="KQ160" s="3"/>
      <c r="KU160" s="3"/>
      <c r="KY160" s="3"/>
      <c r="LC160" s="3"/>
      <c r="LG160" s="3"/>
      <c r="LK160" s="3"/>
      <c r="LO160" s="3"/>
    </row>
    <row r="161" spans="175:327" hidden="1">
      <c r="FS161" s="3"/>
      <c r="FW161" s="3"/>
      <c r="GA161" s="3"/>
      <c r="GE161" s="3"/>
      <c r="GI161" s="3"/>
      <c r="GM161" s="3"/>
      <c r="GQ161" s="3"/>
      <c r="GU161" s="3"/>
      <c r="GY161" s="3"/>
      <c r="HC161" s="3"/>
      <c r="HG161" s="3"/>
      <c r="HK161" s="3"/>
      <c r="HO161" s="3"/>
      <c r="HS161" s="3"/>
      <c r="HW161" s="3"/>
      <c r="IA161" s="3"/>
      <c r="IE161" s="3"/>
      <c r="II161" s="3"/>
      <c r="IM161" s="3"/>
      <c r="IQ161" s="3"/>
      <c r="IU161" s="3"/>
      <c r="IY161" s="3"/>
      <c r="JC161" s="3"/>
      <c r="JG161" s="3"/>
      <c r="JK161" s="3"/>
      <c r="JO161" s="3"/>
      <c r="JS161" s="3"/>
      <c r="JW161" s="3"/>
      <c r="KA161" s="3"/>
      <c r="KE161" s="3"/>
      <c r="KI161" s="3"/>
      <c r="KM161" s="3"/>
      <c r="KQ161" s="3"/>
      <c r="KU161" s="3"/>
      <c r="KY161" s="3"/>
      <c r="LC161" s="3"/>
      <c r="LG161" s="3"/>
      <c r="LK161" s="3"/>
      <c r="LO161" s="3"/>
    </row>
    <row r="162" spans="175:327" hidden="1">
      <c r="FS162" s="3"/>
      <c r="FW162" s="3"/>
      <c r="GA162" s="3"/>
      <c r="GE162" s="3"/>
      <c r="GI162" s="3"/>
      <c r="GM162" s="3"/>
      <c r="GQ162" s="3"/>
      <c r="GU162" s="3"/>
      <c r="GY162" s="3"/>
      <c r="HC162" s="3"/>
      <c r="HG162" s="3"/>
      <c r="HK162" s="3"/>
      <c r="HO162" s="3"/>
      <c r="HS162" s="3"/>
      <c r="HW162" s="3"/>
      <c r="IA162" s="3"/>
      <c r="IE162" s="3"/>
      <c r="II162" s="3"/>
      <c r="IM162" s="3"/>
      <c r="IQ162" s="3"/>
      <c r="IU162" s="3"/>
      <c r="IY162" s="3"/>
      <c r="JC162" s="3"/>
      <c r="JG162" s="3"/>
      <c r="JK162" s="3"/>
      <c r="JO162" s="3"/>
      <c r="JS162" s="3"/>
      <c r="JW162" s="3"/>
      <c r="KA162" s="3"/>
      <c r="KE162" s="3"/>
      <c r="KI162" s="3"/>
      <c r="KM162" s="3"/>
      <c r="KQ162" s="3"/>
      <c r="KU162" s="3"/>
      <c r="KY162" s="3"/>
      <c r="LC162" s="3"/>
      <c r="LG162" s="3"/>
      <c r="LK162" s="3"/>
      <c r="LO162" s="3"/>
    </row>
    <row r="163" spans="175:327" hidden="1">
      <c r="FS163" s="3"/>
      <c r="FW163" s="3"/>
      <c r="GA163" s="3"/>
      <c r="GE163" s="3"/>
      <c r="GI163" s="3"/>
      <c r="GM163" s="3"/>
      <c r="GQ163" s="3"/>
      <c r="GU163" s="3"/>
      <c r="GY163" s="3"/>
      <c r="HC163" s="3"/>
      <c r="HG163" s="3"/>
      <c r="HK163" s="3"/>
      <c r="HO163" s="3"/>
      <c r="HS163" s="3"/>
      <c r="HW163" s="3"/>
      <c r="IA163" s="3"/>
      <c r="IE163" s="3"/>
      <c r="II163" s="3"/>
      <c r="IM163" s="3"/>
      <c r="IQ163" s="3"/>
      <c r="IU163" s="3"/>
      <c r="IY163" s="3"/>
      <c r="JC163" s="3"/>
      <c r="JG163" s="3"/>
      <c r="JK163" s="3"/>
      <c r="JO163" s="3"/>
      <c r="JS163" s="3"/>
      <c r="JW163" s="3"/>
      <c r="KA163" s="3"/>
      <c r="KE163" s="3"/>
      <c r="KI163" s="3"/>
      <c r="KM163" s="3"/>
      <c r="KQ163" s="3"/>
      <c r="KU163" s="3"/>
      <c r="KY163" s="3"/>
      <c r="LC163" s="3"/>
      <c r="LG163" s="3"/>
      <c r="LK163" s="3"/>
      <c r="LO163" s="3"/>
    </row>
    <row r="164" spans="175:327" hidden="1">
      <c r="FS164" s="3"/>
      <c r="FW164" s="3"/>
      <c r="GA164" s="3"/>
      <c r="GE164" s="3"/>
      <c r="GI164" s="3"/>
      <c r="GM164" s="3"/>
      <c r="GQ164" s="3"/>
      <c r="GU164" s="3"/>
      <c r="GY164" s="3"/>
      <c r="HC164" s="3"/>
      <c r="HG164" s="3"/>
      <c r="HK164" s="3"/>
      <c r="HO164" s="3"/>
      <c r="HS164" s="3"/>
      <c r="HW164" s="3"/>
      <c r="IA164" s="3"/>
      <c r="IE164" s="3"/>
      <c r="II164" s="3"/>
      <c r="IM164" s="3"/>
      <c r="IQ164" s="3"/>
      <c r="IU164" s="3"/>
      <c r="IY164" s="3"/>
      <c r="JC164" s="3"/>
      <c r="JG164" s="3"/>
      <c r="JK164" s="3"/>
      <c r="JO164" s="3"/>
      <c r="JS164" s="3"/>
      <c r="JW164" s="3"/>
      <c r="KA164" s="3"/>
      <c r="KE164" s="3"/>
      <c r="KI164" s="3"/>
      <c r="KM164" s="3"/>
      <c r="KQ164" s="3"/>
      <c r="KU164" s="3"/>
      <c r="KY164" s="3"/>
      <c r="LC164" s="3"/>
      <c r="LG164" s="3"/>
      <c r="LK164" s="3"/>
      <c r="LO164" s="3"/>
    </row>
    <row r="165" spans="175:327" hidden="1">
      <c r="FS165" s="3"/>
      <c r="FW165" s="3"/>
      <c r="GA165" s="3"/>
      <c r="GE165" s="3"/>
      <c r="GI165" s="3"/>
      <c r="GM165" s="3"/>
      <c r="GQ165" s="3"/>
      <c r="GU165" s="3"/>
      <c r="GY165" s="3"/>
      <c r="HC165" s="3"/>
      <c r="HG165" s="3"/>
      <c r="HK165" s="3"/>
      <c r="HO165" s="3"/>
      <c r="HS165" s="3"/>
      <c r="HW165" s="3"/>
      <c r="IA165" s="3"/>
      <c r="IE165" s="3"/>
      <c r="II165" s="3"/>
      <c r="IM165" s="3"/>
      <c r="IQ165" s="3"/>
      <c r="IU165" s="3"/>
      <c r="IY165" s="3"/>
      <c r="JC165" s="3"/>
      <c r="JG165" s="3"/>
      <c r="JK165" s="3"/>
      <c r="JO165" s="3"/>
      <c r="JS165" s="3"/>
      <c r="JW165" s="3"/>
      <c r="KA165" s="3"/>
      <c r="KE165" s="3"/>
      <c r="KI165" s="3"/>
      <c r="KM165" s="3"/>
      <c r="KQ165" s="3"/>
      <c r="KU165" s="3"/>
      <c r="KY165" s="3"/>
      <c r="LC165" s="3"/>
      <c r="LG165" s="3"/>
      <c r="LK165" s="3"/>
      <c r="LO165" s="3"/>
    </row>
    <row r="166" spans="175:327" hidden="1">
      <c r="FS166" s="3"/>
      <c r="FW166" s="3"/>
      <c r="GA166" s="3"/>
      <c r="GE166" s="3"/>
      <c r="GI166" s="3"/>
      <c r="GM166" s="3"/>
      <c r="GQ166" s="3"/>
      <c r="GU166" s="3"/>
      <c r="GY166" s="3"/>
      <c r="HC166" s="3"/>
      <c r="HG166" s="3"/>
      <c r="HK166" s="3"/>
      <c r="HO166" s="3"/>
      <c r="HS166" s="3"/>
      <c r="HW166" s="3"/>
      <c r="IA166" s="3"/>
      <c r="IE166" s="3"/>
      <c r="II166" s="3"/>
      <c r="IM166" s="3"/>
      <c r="IQ166" s="3"/>
      <c r="IU166" s="3"/>
      <c r="IY166" s="3"/>
      <c r="JC166" s="3"/>
      <c r="JG166" s="3"/>
      <c r="JK166" s="3"/>
      <c r="JO166" s="3"/>
      <c r="JS166" s="3"/>
      <c r="JW166" s="3"/>
      <c r="KA166" s="3"/>
      <c r="KE166" s="3"/>
      <c r="KI166" s="3"/>
      <c r="KM166" s="3"/>
      <c r="KQ166" s="3"/>
      <c r="KU166" s="3"/>
      <c r="KY166" s="3"/>
      <c r="LC166" s="3"/>
      <c r="LG166" s="3"/>
      <c r="LK166" s="3"/>
      <c r="LO166" s="3"/>
    </row>
    <row r="167" spans="175:327" hidden="1">
      <c r="FS167" s="3"/>
      <c r="FW167" s="3"/>
      <c r="GA167" s="3"/>
      <c r="GE167" s="3"/>
      <c r="GI167" s="3"/>
      <c r="GM167" s="3"/>
      <c r="GQ167" s="3"/>
      <c r="GU167" s="3"/>
      <c r="GY167" s="3"/>
      <c r="HC167" s="3"/>
      <c r="HG167" s="3"/>
      <c r="HK167" s="3"/>
      <c r="HO167" s="3"/>
      <c r="HS167" s="3"/>
      <c r="HW167" s="3"/>
      <c r="IA167" s="3"/>
      <c r="IE167" s="3"/>
      <c r="II167" s="3"/>
      <c r="IM167" s="3"/>
      <c r="IQ167" s="3"/>
      <c r="IU167" s="3"/>
      <c r="IY167" s="3"/>
      <c r="JC167" s="3"/>
      <c r="JG167" s="3"/>
      <c r="JK167" s="3"/>
      <c r="JO167" s="3"/>
      <c r="JS167" s="3"/>
      <c r="JW167" s="3"/>
      <c r="KA167" s="3"/>
      <c r="KE167" s="3"/>
      <c r="KI167" s="3"/>
      <c r="KM167" s="3"/>
      <c r="KQ167" s="3"/>
      <c r="KU167" s="3"/>
      <c r="KY167" s="3"/>
      <c r="LC167" s="3"/>
      <c r="LG167" s="3"/>
      <c r="LK167" s="3"/>
      <c r="LO167" s="3"/>
    </row>
    <row r="168" spans="175:327" hidden="1">
      <c r="FS168" s="3"/>
      <c r="FW168" s="3"/>
      <c r="GA168" s="3"/>
      <c r="GE168" s="3"/>
      <c r="GI168" s="3"/>
      <c r="GM168" s="3"/>
      <c r="GQ168" s="3"/>
      <c r="GU168" s="3"/>
      <c r="GY168" s="3"/>
      <c r="HC168" s="3"/>
      <c r="HG168" s="3"/>
      <c r="HK168" s="3"/>
      <c r="HO168" s="3"/>
      <c r="HS168" s="3"/>
      <c r="HW168" s="3"/>
      <c r="IA168" s="3"/>
      <c r="IE168" s="3"/>
      <c r="II168" s="3"/>
      <c r="IM168" s="3"/>
      <c r="IQ168" s="3"/>
      <c r="IU168" s="3"/>
      <c r="IY168" s="3"/>
      <c r="JC168" s="3"/>
      <c r="JG168" s="3"/>
      <c r="JK168" s="3"/>
      <c r="JO168" s="3"/>
      <c r="JS168" s="3"/>
      <c r="JW168" s="3"/>
      <c r="KA168" s="3"/>
      <c r="KE168" s="3"/>
      <c r="KI168" s="3"/>
      <c r="KM168" s="3"/>
      <c r="KQ168" s="3"/>
      <c r="KU168" s="3"/>
      <c r="KY168" s="3"/>
      <c r="LC168" s="3"/>
      <c r="LG168" s="3"/>
      <c r="LK168" s="3"/>
      <c r="LO168" s="3"/>
    </row>
    <row r="169" spans="175:327" hidden="1">
      <c r="FS169" s="3"/>
      <c r="FW169" s="3"/>
      <c r="GA169" s="3"/>
      <c r="GE169" s="3"/>
      <c r="GI169" s="3"/>
      <c r="GM169" s="3"/>
      <c r="GQ169" s="3"/>
      <c r="GU169" s="3"/>
      <c r="GY169" s="3"/>
      <c r="HC169" s="3"/>
      <c r="HG169" s="3"/>
      <c r="HK169" s="3"/>
      <c r="HO169" s="3"/>
      <c r="HS169" s="3"/>
      <c r="HW169" s="3"/>
      <c r="IA169" s="3"/>
      <c r="IE169" s="3"/>
      <c r="II169" s="3"/>
      <c r="IM169" s="3"/>
      <c r="IQ169" s="3"/>
      <c r="IU169" s="3"/>
      <c r="IY169" s="3"/>
      <c r="JC169" s="3"/>
      <c r="JG169" s="3"/>
      <c r="JK169" s="3"/>
      <c r="JO169" s="3"/>
      <c r="JS169" s="3"/>
      <c r="JW169" s="3"/>
      <c r="KA169" s="3"/>
      <c r="KE169" s="3"/>
      <c r="KI169" s="3"/>
      <c r="KM169" s="3"/>
      <c r="KQ169" s="3"/>
      <c r="KU169" s="3"/>
      <c r="KY169" s="3"/>
      <c r="LC169" s="3"/>
      <c r="LG169" s="3"/>
      <c r="LK169" s="3"/>
      <c r="LO169" s="3"/>
    </row>
    <row r="170" spans="175:327" hidden="1">
      <c r="FS170" s="3"/>
      <c r="FW170" s="3"/>
      <c r="GA170" s="3"/>
      <c r="GE170" s="3"/>
      <c r="GI170" s="3"/>
      <c r="GM170" s="3"/>
      <c r="GQ170" s="3"/>
      <c r="GU170" s="3"/>
      <c r="GY170" s="3"/>
      <c r="HC170" s="3"/>
      <c r="HG170" s="3"/>
      <c r="HK170" s="3"/>
      <c r="HO170" s="3"/>
      <c r="HS170" s="3"/>
      <c r="HW170" s="3"/>
      <c r="IA170" s="3"/>
      <c r="IE170" s="3"/>
      <c r="II170" s="3"/>
      <c r="IM170" s="3"/>
      <c r="IQ170" s="3"/>
      <c r="IU170" s="3"/>
      <c r="IY170" s="3"/>
      <c r="JC170" s="3"/>
      <c r="JG170" s="3"/>
      <c r="JK170" s="3"/>
      <c r="JO170" s="3"/>
      <c r="JS170" s="3"/>
      <c r="JW170" s="3"/>
      <c r="KA170" s="3"/>
      <c r="KE170" s="3"/>
      <c r="KI170" s="3"/>
      <c r="KM170" s="3"/>
      <c r="KQ170" s="3"/>
      <c r="KU170" s="3"/>
      <c r="KY170" s="3"/>
      <c r="LC170" s="3"/>
      <c r="LG170" s="3"/>
      <c r="LK170" s="3"/>
      <c r="LO170" s="3"/>
    </row>
    <row r="171" spans="175:327" hidden="1">
      <c r="FS171" s="3"/>
      <c r="FW171" s="3"/>
      <c r="GA171" s="3"/>
      <c r="GE171" s="3"/>
      <c r="GI171" s="3"/>
      <c r="GM171" s="3"/>
      <c r="GQ171" s="3"/>
      <c r="GU171" s="3"/>
      <c r="GY171" s="3"/>
      <c r="HC171" s="3"/>
      <c r="HG171" s="3"/>
      <c r="HK171" s="3"/>
      <c r="HO171" s="3"/>
      <c r="HS171" s="3"/>
      <c r="HW171" s="3"/>
      <c r="IA171" s="3"/>
      <c r="IE171" s="3"/>
      <c r="II171" s="3"/>
      <c r="IM171" s="3"/>
      <c r="IQ171" s="3"/>
      <c r="IU171" s="3"/>
      <c r="IY171" s="3"/>
      <c r="JC171" s="3"/>
      <c r="JG171" s="3"/>
      <c r="JK171" s="3"/>
      <c r="JO171" s="3"/>
      <c r="JS171" s="3"/>
      <c r="JW171" s="3"/>
      <c r="KA171" s="3"/>
      <c r="KE171" s="3"/>
      <c r="KI171" s="3"/>
      <c r="KM171" s="3"/>
      <c r="KQ171" s="3"/>
      <c r="KU171" s="3"/>
      <c r="KY171" s="3"/>
      <c r="LC171" s="3"/>
      <c r="LG171" s="3"/>
      <c r="LK171" s="3"/>
      <c r="LO171" s="3"/>
    </row>
    <row r="172" spans="175:327" hidden="1">
      <c r="FS172" s="3"/>
      <c r="FW172" s="3"/>
      <c r="GA172" s="3"/>
      <c r="GE172" s="3"/>
      <c r="GI172" s="3"/>
      <c r="GM172" s="3"/>
      <c r="GQ172" s="3"/>
      <c r="GU172" s="3"/>
      <c r="GY172" s="3"/>
      <c r="HC172" s="3"/>
      <c r="HG172" s="3"/>
      <c r="HK172" s="3"/>
      <c r="HO172" s="3"/>
      <c r="HS172" s="3"/>
      <c r="HW172" s="3"/>
      <c r="IA172" s="3"/>
      <c r="IE172" s="3"/>
      <c r="II172" s="3"/>
      <c r="IM172" s="3"/>
      <c r="IQ172" s="3"/>
      <c r="IU172" s="3"/>
      <c r="IY172" s="3"/>
      <c r="JC172" s="3"/>
      <c r="JG172" s="3"/>
      <c r="JK172" s="3"/>
      <c r="JO172" s="3"/>
      <c r="JS172" s="3"/>
      <c r="JW172" s="3"/>
      <c r="KA172" s="3"/>
      <c r="KE172" s="3"/>
      <c r="KI172" s="3"/>
      <c r="KM172" s="3"/>
      <c r="KQ172" s="3"/>
      <c r="KU172" s="3"/>
      <c r="KY172" s="3"/>
      <c r="LC172" s="3"/>
      <c r="LG172" s="3"/>
      <c r="LK172" s="3"/>
      <c r="LO172" s="3"/>
    </row>
    <row r="173" spans="175:327" hidden="1">
      <c r="FS173" s="3"/>
      <c r="FW173" s="3"/>
      <c r="GA173" s="3"/>
      <c r="GE173" s="3"/>
      <c r="GI173" s="3"/>
      <c r="GM173" s="3"/>
      <c r="GQ173" s="3"/>
      <c r="GU173" s="3"/>
      <c r="GY173" s="3"/>
      <c r="HC173" s="3"/>
      <c r="HG173" s="3"/>
      <c r="HK173" s="3"/>
      <c r="HO173" s="3"/>
      <c r="HS173" s="3"/>
      <c r="HW173" s="3"/>
      <c r="IA173" s="3"/>
      <c r="IE173" s="3"/>
      <c r="II173" s="3"/>
      <c r="IM173" s="3"/>
      <c r="IQ173" s="3"/>
      <c r="IU173" s="3"/>
      <c r="IY173" s="3"/>
      <c r="JC173" s="3"/>
      <c r="JG173" s="3"/>
      <c r="JK173" s="3"/>
      <c r="JO173" s="3"/>
      <c r="JS173" s="3"/>
      <c r="JW173" s="3"/>
      <c r="KA173" s="3"/>
      <c r="KE173" s="3"/>
      <c r="KI173" s="3"/>
      <c r="KM173" s="3"/>
      <c r="KQ173" s="3"/>
      <c r="KU173" s="3"/>
      <c r="KY173" s="3"/>
      <c r="LC173" s="3"/>
      <c r="LG173" s="3"/>
      <c r="LK173" s="3"/>
      <c r="LO173" s="3"/>
    </row>
    <row r="174" spans="175:327" hidden="1">
      <c r="FS174" s="3"/>
      <c r="FW174" s="3"/>
      <c r="GA174" s="3"/>
      <c r="GE174" s="3"/>
      <c r="GI174" s="3"/>
      <c r="GM174" s="3"/>
      <c r="GQ174" s="3"/>
      <c r="GU174" s="3"/>
      <c r="GY174" s="3"/>
      <c r="HC174" s="3"/>
      <c r="HG174" s="3"/>
      <c r="HK174" s="3"/>
      <c r="HO174" s="3"/>
      <c r="HS174" s="3"/>
      <c r="HW174" s="3"/>
      <c r="IA174" s="3"/>
      <c r="IE174" s="3"/>
      <c r="II174" s="3"/>
      <c r="IM174" s="3"/>
      <c r="IQ174" s="3"/>
      <c r="IU174" s="3"/>
      <c r="IY174" s="3"/>
      <c r="JC174" s="3"/>
      <c r="JG174" s="3"/>
      <c r="JK174" s="3"/>
      <c r="JO174" s="3"/>
      <c r="JS174" s="3"/>
      <c r="JW174" s="3"/>
      <c r="KA174" s="3"/>
      <c r="KE174" s="3"/>
      <c r="KI174" s="3"/>
      <c r="KM174" s="3"/>
      <c r="KQ174" s="3"/>
      <c r="KU174" s="3"/>
      <c r="KY174" s="3"/>
      <c r="LC174" s="3"/>
      <c r="LG174" s="3"/>
      <c r="LK174" s="3"/>
      <c r="LO174" s="3"/>
    </row>
    <row r="175" spans="175:327" hidden="1">
      <c r="FS175" s="3"/>
      <c r="FW175" s="3"/>
      <c r="GA175" s="3"/>
      <c r="GE175" s="3"/>
      <c r="GI175" s="3"/>
      <c r="GM175" s="3"/>
      <c r="GQ175" s="3"/>
      <c r="GU175" s="3"/>
      <c r="GY175" s="3"/>
      <c r="HC175" s="3"/>
      <c r="HG175" s="3"/>
      <c r="HK175" s="3"/>
      <c r="HO175" s="3"/>
      <c r="HS175" s="3"/>
      <c r="HW175" s="3"/>
      <c r="IA175" s="3"/>
      <c r="IE175" s="3"/>
      <c r="II175" s="3"/>
      <c r="IM175" s="3"/>
      <c r="IQ175" s="3"/>
      <c r="IU175" s="3"/>
      <c r="IY175" s="3"/>
      <c r="JC175" s="3"/>
      <c r="JG175" s="3"/>
      <c r="JK175" s="3"/>
      <c r="JO175" s="3"/>
      <c r="JS175" s="3"/>
      <c r="JW175" s="3"/>
      <c r="KA175" s="3"/>
      <c r="KE175" s="3"/>
      <c r="KI175" s="3"/>
      <c r="KM175" s="3"/>
      <c r="KQ175" s="3"/>
      <c r="KU175" s="3"/>
      <c r="KY175" s="3"/>
      <c r="LC175" s="3"/>
      <c r="LG175" s="3"/>
      <c r="LK175" s="3"/>
      <c r="LO175" s="3"/>
    </row>
    <row r="176" spans="175:327" hidden="1">
      <c r="FS176" s="3"/>
      <c r="FW176" s="3"/>
      <c r="GA176" s="3"/>
      <c r="GE176" s="3"/>
      <c r="GI176" s="3"/>
      <c r="GM176" s="3"/>
      <c r="GQ176" s="3"/>
      <c r="GU176" s="3"/>
      <c r="GY176" s="3"/>
      <c r="HC176" s="3"/>
      <c r="HG176" s="3"/>
      <c r="HK176" s="3"/>
      <c r="HO176" s="3"/>
      <c r="HS176" s="3"/>
      <c r="HW176" s="3"/>
      <c r="IA176" s="3"/>
      <c r="IE176" s="3"/>
      <c r="II176" s="3"/>
      <c r="IM176" s="3"/>
      <c r="IQ176" s="3"/>
      <c r="IU176" s="3"/>
      <c r="IY176" s="3"/>
      <c r="JC176" s="3"/>
      <c r="JG176" s="3"/>
      <c r="JK176" s="3"/>
      <c r="JO176" s="3"/>
      <c r="JS176" s="3"/>
      <c r="JW176" s="3"/>
      <c r="KA176" s="3"/>
      <c r="KE176" s="3"/>
      <c r="KI176" s="3"/>
      <c r="KM176" s="3"/>
      <c r="KQ176" s="3"/>
      <c r="KU176" s="3"/>
      <c r="KY176" s="3"/>
      <c r="LC176" s="3"/>
      <c r="LG176" s="3"/>
      <c r="LK176" s="3"/>
      <c r="LO176" s="3"/>
    </row>
    <row r="177" spans="175:327" hidden="1">
      <c r="FS177" s="3"/>
      <c r="FW177" s="3"/>
      <c r="GA177" s="3"/>
      <c r="GE177" s="3"/>
      <c r="GI177" s="3"/>
      <c r="GM177" s="3"/>
      <c r="GQ177" s="3"/>
      <c r="GU177" s="3"/>
      <c r="GY177" s="3"/>
      <c r="HC177" s="3"/>
      <c r="HG177" s="3"/>
      <c r="HK177" s="3"/>
      <c r="HO177" s="3"/>
      <c r="HS177" s="3"/>
      <c r="HW177" s="3"/>
      <c r="IA177" s="3"/>
      <c r="IE177" s="3"/>
      <c r="II177" s="3"/>
      <c r="IM177" s="3"/>
      <c r="IQ177" s="3"/>
      <c r="IU177" s="3"/>
      <c r="IY177" s="3"/>
      <c r="JC177" s="3"/>
      <c r="JG177" s="3"/>
      <c r="JK177" s="3"/>
      <c r="JO177" s="3"/>
      <c r="JS177" s="3"/>
      <c r="JW177" s="3"/>
      <c r="KA177" s="3"/>
      <c r="KE177" s="3"/>
      <c r="KI177" s="3"/>
      <c r="KM177" s="3"/>
      <c r="KQ177" s="3"/>
      <c r="KU177" s="3"/>
      <c r="KY177" s="3"/>
      <c r="LC177" s="3"/>
      <c r="LG177" s="3"/>
      <c r="LK177" s="3"/>
      <c r="LO177" s="3"/>
    </row>
    <row r="178" spans="175:327" hidden="1">
      <c r="FS178" s="3"/>
      <c r="FW178" s="3"/>
      <c r="GA178" s="3"/>
      <c r="GE178" s="3"/>
      <c r="GI178" s="3"/>
      <c r="GM178" s="3"/>
      <c r="GQ178" s="3"/>
      <c r="GU178" s="3"/>
      <c r="GY178" s="3"/>
      <c r="HC178" s="3"/>
      <c r="HG178" s="3"/>
      <c r="HK178" s="3"/>
      <c r="HO178" s="3"/>
      <c r="HS178" s="3"/>
      <c r="HW178" s="3"/>
      <c r="IA178" s="3"/>
      <c r="IE178" s="3"/>
      <c r="II178" s="3"/>
      <c r="IM178" s="3"/>
      <c r="IQ178" s="3"/>
      <c r="IU178" s="3"/>
      <c r="IY178" s="3"/>
      <c r="JC178" s="3"/>
      <c r="JG178" s="3"/>
      <c r="JK178" s="3"/>
      <c r="JO178" s="3"/>
      <c r="JS178" s="3"/>
      <c r="JW178" s="3"/>
      <c r="KA178" s="3"/>
      <c r="KE178" s="3"/>
      <c r="KI178" s="3"/>
      <c r="KM178" s="3"/>
      <c r="KQ178" s="3"/>
      <c r="KU178" s="3"/>
      <c r="KY178" s="3"/>
      <c r="LC178" s="3"/>
      <c r="LG178" s="3"/>
      <c r="LK178" s="3"/>
      <c r="LO178" s="3"/>
    </row>
    <row r="179" spans="175:327" hidden="1">
      <c r="FS179" s="3"/>
      <c r="FW179" s="3"/>
      <c r="GA179" s="3"/>
      <c r="GE179" s="3"/>
      <c r="GI179" s="3"/>
      <c r="GM179" s="3"/>
      <c r="GQ179" s="3"/>
      <c r="GU179" s="3"/>
      <c r="GY179" s="3"/>
      <c r="HC179" s="3"/>
      <c r="HG179" s="3"/>
      <c r="HK179" s="3"/>
      <c r="HO179" s="3"/>
      <c r="HS179" s="3"/>
      <c r="HW179" s="3"/>
      <c r="IA179" s="3"/>
      <c r="IE179" s="3"/>
      <c r="II179" s="3"/>
      <c r="IM179" s="3"/>
      <c r="IQ179" s="3"/>
      <c r="IU179" s="3"/>
      <c r="IY179" s="3"/>
      <c r="JC179" s="3"/>
      <c r="JG179" s="3"/>
      <c r="JK179" s="3"/>
      <c r="JO179" s="3"/>
      <c r="JS179" s="3"/>
      <c r="JW179" s="3"/>
      <c r="KA179" s="3"/>
      <c r="KE179" s="3"/>
      <c r="KI179" s="3"/>
      <c r="KM179" s="3"/>
      <c r="KQ179" s="3"/>
      <c r="KU179" s="3"/>
      <c r="KY179" s="3"/>
      <c r="LC179" s="3"/>
      <c r="LG179" s="3"/>
      <c r="LK179" s="3"/>
      <c r="LO179" s="3"/>
    </row>
    <row r="180" spans="175:327" hidden="1">
      <c r="FS180" s="3"/>
      <c r="FW180" s="3"/>
      <c r="GA180" s="3"/>
      <c r="GE180" s="3"/>
      <c r="GI180" s="3"/>
      <c r="GM180" s="3"/>
      <c r="GQ180" s="3"/>
      <c r="GU180" s="3"/>
      <c r="GY180" s="3"/>
      <c r="HC180" s="3"/>
      <c r="HG180" s="3"/>
      <c r="HK180" s="3"/>
      <c r="HO180" s="3"/>
      <c r="HS180" s="3"/>
      <c r="HW180" s="3"/>
      <c r="IA180" s="3"/>
      <c r="IE180" s="3"/>
      <c r="II180" s="3"/>
      <c r="IM180" s="3"/>
      <c r="IQ180" s="3"/>
      <c r="IU180" s="3"/>
      <c r="IY180" s="3"/>
      <c r="JC180" s="3"/>
      <c r="JG180" s="3"/>
      <c r="JK180" s="3"/>
      <c r="JO180" s="3"/>
      <c r="JS180" s="3"/>
      <c r="JW180" s="3"/>
      <c r="KA180" s="3"/>
      <c r="KE180" s="3"/>
      <c r="KI180" s="3"/>
      <c r="KM180" s="3"/>
      <c r="KQ180" s="3"/>
      <c r="KU180" s="3"/>
      <c r="KY180" s="3"/>
      <c r="LC180" s="3"/>
      <c r="LG180" s="3"/>
      <c r="LK180" s="3"/>
      <c r="LO180" s="3"/>
    </row>
    <row r="181" spans="175:327" hidden="1">
      <c r="FS181" s="3"/>
      <c r="FW181" s="3"/>
      <c r="GA181" s="3"/>
      <c r="GE181" s="3"/>
      <c r="GI181" s="3"/>
      <c r="GM181" s="3"/>
      <c r="GQ181" s="3"/>
      <c r="GU181" s="3"/>
      <c r="GY181" s="3"/>
      <c r="HC181" s="3"/>
      <c r="HG181" s="3"/>
      <c r="HK181" s="3"/>
      <c r="HO181" s="3"/>
      <c r="HS181" s="3"/>
      <c r="HW181" s="3"/>
      <c r="IA181" s="3"/>
      <c r="IE181" s="3"/>
      <c r="II181" s="3"/>
      <c r="IM181" s="3"/>
      <c r="IQ181" s="3"/>
      <c r="IU181" s="3"/>
      <c r="IY181" s="3"/>
      <c r="JC181" s="3"/>
      <c r="JG181" s="3"/>
      <c r="JK181" s="3"/>
      <c r="JO181" s="3"/>
      <c r="JS181" s="3"/>
      <c r="JW181" s="3"/>
      <c r="KA181" s="3"/>
      <c r="KE181" s="3"/>
      <c r="KI181" s="3"/>
      <c r="KM181" s="3"/>
      <c r="KQ181" s="3"/>
      <c r="KU181" s="3"/>
      <c r="KY181" s="3"/>
      <c r="LC181" s="3"/>
      <c r="LG181" s="3"/>
      <c r="LK181" s="3"/>
      <c r="LO181" s="3"/>
    </row>
    <row r="182" spans="175:327" hidden="1">
      <c r="FS182" s="3"/>
      <c r="FW182" s="3"/>
      <c r="GA182" s="3"/>
      <c r="GE182" s="3"/>
      <c r="GI182" s="3"/>
      <c r="GM182" s="3"/>
      <c r="GQ182" s="3"/>
      <c r="GU182" s="3"/>
      <c r="GY182" s="3"/>
      <c r="HC182" s="3"/>
      <c r="HG182" s="3"/>
      <c r="HK182" s="3"/>
      <c r="HO182" s="3"/>
      <c r="HS182" s="3"/>
      <c r="HW182" s="3"/>
      <c r="IA182" s="3"/>
      <c r="IE182" s="3"/>
      <c r="II182" s="3"/>
      <c r="IM182" s="3"/>
      <c r="IQ182" s="3"/>
      <c r="IU182" s="3"/>
      <c r="IY182" s="3"/>
      <c r="JC182" s="3"/>
      <c r="JG182" s="3"/>
      <c r="JK182" s="3"/>
      <c r="JO182" s="3"/>
      <c r="JS182" s="3"/>
      <c r="JW182" s="3"/>
      <c r="KA182" s="3"/>
      <c r="KE182" s="3"/>
      <c r="KI182" s="3"/>
      <c r="KM182" s="3"/>
      <c r="KQ182" s="3"/>
      <c r="KU182" s="3"/>
      <c r="KY182" s="3"/>
      <c r="LC182" s="3"/>
      <c r="LG182" s="3"/>
      <c r="LK182" s="3"/>
      <c r="LO182" s="3"/>
    </row>
    <row r="183" spans="175:327" hidden="1">
      <c r="FS183" s="3"/>
      <c r="FW183" s="3"/>
      <c r="GA183" s="3"/>
      <c r="GE183" s="3"/>
      <c r="GI183" s="3"/>
      <c r="GM183" s="3"/>
      <c r="GQ183" s="3"/>
      <c r="GU183" s="3"/>
      <c r="GY183" s="3"/>
      <c r="HC183" s="3"/>
      <c r="HG183" s="3"/>
      <c r="HK183" s="3"/>
      <c r="HO183" s="3"/>
      <c r="HS183" s="3"/>
      <c r="HW183" s="3"/>
      <c r="IA183" s="3"/>
      <c r="IE183" s="3"/>
      <c r="II183" s="3"/>
      <c r="IM183" s="3"/>
      <c r="IQ183" s="3"/>
      <c r="IU183" s="3"/>
      <c r="IY183" s="3"/>
      <c r="JC183" s="3"/>
      <c r="JG183" s="3"/>
      <c r="JK183" s="3"/>
      <c r="JO183" s="3"/>
      <c r="JS183" s="3"/>
      <c r="JW183" s="3"/>
      <c r="KA183" s="3"/>
      <c r="KE183" s="3"/>
      <c r="KI183" s="3"/>
      <c r="KM183" s="3"/>
      <c r="KQ183" s="3"/>
      <c r="KU183" s="3"/>
      <c r="KY183" s="3"/>
      <c r="LC183" s="3"/>
      <c r="LG183" s="3"/>
      <c r="LK183" s="3"/>
      <c r="LO183" s="3"/>
    </row>
    <row r="184" spans="175:327" hidden="1">
      <c r="FS184" s="3"/>
      <c r="FW184" s="3"/>
      <c r="GA184" s="3"/>
      <c r="GE184" s="3"/>
      <c r="GI184" s="3"/>
      <c r="GM184" s="3"/>
      <c r="GQ184" s="3"/>
      <c r="GU184" s="3"/>
      <c r="GY184" s="3"/>
      <c r="HC184" s="3"/>
      <c r="HG184" s="3"/>
      <c r="HK184" s="3"/>
      <c r="HO184" s="3"/>
      <c r="HS184" s="3"/>
      <c r="HW184" s="3"/>
      <c r="IA184" s="3"/>
      <c r="IE184" s="3"/>
      <c r="II184" s="3"/>
      <c r="IM184" s="3"/>
      <c r="IQ184" s="3"/>
      <c r="IU184" s="3"/>
      <c r="IY184" s="3"/>
      <c r="JC184" s="3"/>
      <c r="JG184" s="3"/>
      <c r="JK184" s="3"/>
      <c r="JO184" s="3"/>
      <c r="JS184" s="3"/>
      <c r="JW184" s="3"/>
      <c r="KA184" s="3"/>
      <c r="KE184" s="3"/>
      <c r="KI184" s="3"/>
      <c r="KM184" s="3"/>
      <c r="KQ184" s="3"/>
      <c r="KU184" s="3"/>
      <c r="KY184" s="3"/>
      <c r="LC184" s="3"/>
      <c r="LG184" s="3"/>
      <c r="LK184" s="3"/>
      <c r="LO184" s="3"/>
    </row>
    <row r="185" spans="175:327" hidden="1">
      <c r="FS185" s="3"/>
      <c r="FW185" s="3"/>
      <c r="GA185" s="3"/>
      <c r="GE185" s="3"/>
      <c r="GI185" s="3"/>
      <c r="GM185" s="3"/>
      <c r="GQ185" s="3"/>
      <c r="GU185" s="3"/>
      <c r="GY185" s="3"/>
      <c r="HC185" s="3"/>
      <c r="HG185" s="3"/>
      <c r="HK185" s="3"/>
      <c r="HO185" s="3"/>
      <c r="HS185" s="3"/>
      <c r="HW185" s="3"/>
      <c r="IA185" s="3"/>
      <c r="IE185" s="3"/>
      <c r="II185" s="3"/>
      <c r="IM185" s="3"/>
      <c r="IQ185" s="3"/>
      <c r="IU185" s="3"/>
      <c r="IY185" s="3"/>
      <c r="JC185" s="3"/>
      <c r="JG185" s="3"/>
      <c r="JK185" s="3"/>
      <c r="JO185" s="3"/>
      <c r="JS185" s="3"/>
      <c r="JW185" s="3"/>
      <c r="KA185" s="3"/>
      <c r="KE185" s="3"/>
      <c r="KI185" s="3"/>
      <c r="KM185" s="3"/>
      <c r="KQ185" s="3"/>
      <c r="KU185" s="3"/>
      <c r="KY185" s="3"/>
      <c r="LC185" s="3"/>
      <c r="LG185" s="3"/>
      <c r="LK185" s="3"/>
      <c r="LO185" s="3"/>
    </row>
    <row r="186" spans="175:327" hidden="1">
      <c r="FS186" s="3"/>
      <c r="FW186" s="3"/>
      <c r="GA186" s="3"/>
      <c r="GE186" s="3"/>
      <c r="GI186" s="3"/>
      <c r="GM186" s="3"/>
      <c r="GQ186" s="3"/>
      <c r="GU186" s="3"/>
      <c r="GY186" s="3"/>
      <c r="HC186" s="3"/>
      <c r="HG186" s="3"/>
      <c r="HK186" s="3"/>
      <c r="HO186" s="3"/>
      <c r="HS186" s="3"/>
      <c r="HW186" s="3"/>
      <c r="IA186" s="3"/>
      <c r="IE186" s="3"/>
      <c r="II186" s="3"/>
      <c r="IM186" s="3"/>
      <c r="IQ186" s="3"/>
      <c r="IU186" s="3"/>
      <c r="IY186" s="3"/>
      <c r="JC186" s="3"/>
      <c r="JG186" s="3"/>
      <c r="JK186" s="3"/>
      <c r="JO186" s="3"/>
      <c r="JS186" s="3"/>
      <c r="JW186" s="3"/>
      <c r="KA186" s="3"/>
      <c r="KE186" s="3"/>
      <c r="KI186" s="3"/>
      <c r="KM186" s="3"/>
      <c r="KQ186" s="3"/>
      <c r="KU186" s="3"/>
      <c r="KY186" s="3"/>
      <c r="LC186" s="3"/>
      <c r="LG186" s="3"/>
      <c r="LK186" s="3"/>
      <c r="LO186" s="3"/>
    </row>
    <row r="187" spans="175:327" hidden="1">
      <c r="FS187" s="3"/>
      <c r="FW187" s="3"/>
      <c r="GA187" s="3"/>
      <c r="GE187" s="3"/>
      <c r="GI187" s="3"/>
      <c r="GM187" s="3"/>
      <c r="GQ187" s="3"/>
      <c r="GU187" s="3"/>
      <c r="GY187" s="3"/>
      <c r="HC187" s="3"/>
      <c r="HG187" s="3"/>
      <c r="HK187" s="3"/>
      <c r="HO187" s="3"/>
      <c r="HS187" s="3"/>
      <c r="HW187" s="3"/>
      <c r="IA187" s="3"/>
      <c r="IE187" s="3"/>
      <c r="II187" s="3"/>
      <c r="IM187" s="3"/>
      <c r="IQ187" s="3"/>
      <c r="IU187" s="3"/>
      <c r="IY187" s="3"/>
      <c r="JC187" s="3"/>
      <c r="JG187" s="3"/>
      <c r="JK187" s="3"/>
      <c r="JO187" s="3"/>
      <c r="JS187" s="3"/>
      <c r="JW187" s="3"/>
      <c r="KA187" s="3"/>
      <c r="KE187" s="3"/>
      <c r="KI187" s="3"/>
      <c r="KM187" s="3"/>
      <c r="KQ187" s="3"/>
      <c r="KU187" s="3"/>
      <c r="KY187" s="3"/>
      <c r="LC187" s="3"/>
      <c r="LG187" s="3"/>
      <c r="LK187" s="3"/>
      <c r="LO187" s="3"/>
    </row>
    <row r="188" spans="175:327" hidden="1">
      <c r="FS188" s="3"/>
      <c r="FW188" s="3"/>
      <c r="GA188" s="3"/>
      <c r="GE188" s="3"/>
      <c r="GI188" s="3"/>
      <c r="GM188" s="3"/>
      <c r="GQ188" s="3"/>
      <c r="GU188" s="3"/>
      <c r="GY188" s="3"/>
      <c r="HC188" s="3"/>
      <c r="HG188" s="3"/>
      <c r="HK188" s="3"/>
      <c r="HO188" s="3"/>
      <c r="HS188" s="3"/>
      <c r="HW188" s="3"/>
      <c r="IA188" s="3"/>
      <c r="IE188" s="3"/>
      <c r="II188" s="3"/>
      <c r="IM188" s="3"/>
      <c r="IQ188" s="3"/>
      <c r="IU188" s="3"/>
      <c r="IY188" s="3"/>
      <c r="JC188" s="3"/>
      <c r="JG188" s="3"/>
      <c r="JK188" s="3"/>
      <c r="JO188" s="3"/>
      <c r="JS188" s="3"/>
      <c r="JW188" s="3"/>
      <c r="KA188" s="3"/>
      <c r="KE188" s="3"/>
      <c r="KI188" s="3"/>
      <c r="KM188" s="3"/>
      <c r="KQ188" s="3"/>
      <c r="KU188" s="3"/>
      <c r="KY188" s="3"/>
      <c r="LC188" s="3"/>
      <c r="LG188" s="3"/>
      <c r="LK188" s="3"/>
      <c r="LO188" s="3"/>
    </row>
    <row r="189" spans="175:327" hidden="1">
      <c r="FS189" s="3"/>
      <c r="FW189" s="3"/>
      <c r="GA189" s="3"/>
      <c r="GE189" s="3"/>
      <c r="GI189" s="3"/>
      <c r="GM189" s="3"/>
      <c r="GQ189" s="3"/>
      <c r="GU189" s="3"/>
      <c r="GY189" s="3"/>
      <c r="HC189" s="3"/>
      <c r="HG189" s="3"/>
      <c r="HK189" s="3"/>
      <c r="HO189" s="3"/>
      <c r="HS189" s="3"/>
      <c r="HW189" s="3"/>
      <c r="IA189" s="3"/>
      <c r="IE189" s="3"/>
      <c r="II189" s="3"/>
      <c r="IM189" s="3"/>
      <c r="IQ189" s="3"/>
      <c r="IU189" s="3"/>
      <c r="IY189" s="3"/>
      <c r="JC189" s="3"/>
      <c r="JG189" s="3"/>
      <c r="JK189" s="3"/>
      <c r="JO189" s="3"/>
      <c r="JS189" s="3"/>
      <c r="JW189" s="3"/>
      <c r="KA189" s="3"/>
      <c r="KE189" s="3"/>
      <c r="KI189" s="3"/>
      <c r="KM189" s="3"/>
      <c r="KQ189" s="3"/>
      <c r="KU189" s="3"/>
      <c r="KY189" s="3"/>
      <c r="LC189" s="3"/>
      <c r="LG189" s="3"/>
      <c r="LK189" s="3"/>
      <c r="LO189" s="3"/>
    </row>
    <row r="190" spans="175:327" hidden="1">
      <c r="FS190" s="3"/>
      <c r="FW190" s="3"/>
      <c r="GA190" s="3"/>
      <c r="GE190" s="3"/>
      <c r="GI190" s="3"/>
      <c r="GM190" s="3"/>
      <c r="GQ190" s="3"/>
      <c r="GU190" s="3"/>
      <c r="GY190" s="3"/>
      <c r="HC190" s="3"/>
      <c r="HG190" s="3"/>
      <c r="HK190" s="3"/>
      <c r="HO190" s="3"/>
      <c r="HS190" s="3"/>
      <c r="HW190" s="3"/>
      <c r="IA190" s="3"/>
      <c r="IE190" s="3"/>
      <c r="II190" s="3"/>
      <c r="IM190" s="3"/>
      <c r="IQ190" s="3"/>
      <c r="IU190" s="3"/>
      <c r="IY190" s="3"/>
      <c r="JC190" s="3"/>
      <c r="JG190" s="3"/>
      <c r="JK190" s="3"/>
      <c r="JO190" s="3"/>
      <c r="JS190" s="3"/>
      <c r="JW190" s="3"/>
      <c r="KA190" s="3"/>
      <c r="KE190" s="3"/>
      <c r="KI190" s="3"/>
      <c r="KM190" s="3"/>
      <c r="KQ190" s="3"/>
      <c r="KU190" s="3"/>
      <c r="KY190" s="3"/>
      <c r="LC190" s="3"/>
      <c r="LG190" s="3"/>
      <c r="LK190" s="3"/>
      <c r="LO190" s="3"/>
    </row>
    <row r="191" spans="175:327" hidden="1">
      <c r="FS191" s="3"/>
      <c r="FW191" s="3"/>
      <c r="GA191" s="3"/>
      <c r="GE191" s="3"/>
      <c r="GI191" s="3"/>
      <c r="GM191" s="3"/>
      <c r="GQ191" s="3"/>
      <c r="GU191" s="3"/>
      <c r="GY191" s="3"/>
      <c r="HC191" s="3"/>
      <c r="HG191" s="3"/>
      <c r="HK191" s="3"/>
      <c r="HO191" s="3"/>
      <c r="HS191" s="3"/>
      <c r="HW191" s="3"/>
      <c r="IA191" s="3"/>
      <c r="IE191" s="3"/>
      <c r="II191" s="3"/>
      <c r="IM191" s="3"/>
      <c r="IQ191" s="3"/>
      <c r="IU191" s="3"/>
      <c r="IY191" s="3"/>
      <c r="JC191" s="3"/>
      <c r="JG191" s="3"/>
      <c r="JK191" s="3"/>
      <c r="JO191" s="3"/>
      <c r="JS191" s="3"/>
      <c r="JW191" s="3"/>
      <c r="KA191" s="3"/>
      <c r="KE191" s="3"/>
      <c r="KI191" s="3"/>
      <c r="KM191" s="3"/>
      <c r="KQ191" s="3"/>
      <c r="KU191" s="3"/>
      <c r="KY191" s="3"/>
      <c r="LC191" s="3"/>
      <c r="LG191" s="3"/>
      <c r="LK191" s="3"/>
      <c r="LO191" s="3"/>
    </row>
    <row r="192" spans="175:327" hidden="1">
      <c r="FS192" s="3"/>
      <c r="FW192" s="3"/>
      <c r="GA192" s="3"/>
      <c r="GE192" s="3"/>
      <c r="GI192" s="3"/>
      <c r="GM192" s="3"/>
      <c r="GQ192" s="3"/>
      <c r="GU192" s="3"/>
      <c r="GY192" s="3"/>
      <c r="HC192" s="3"/>
      <c r="HG192" s="3"/>
      <c r="HK192" s="3"/>
      <c r="HO192" s="3"/>
      <c r="HS192" s="3"/>
      <c r="HW192" s="3"/>
      <c r="IA192" s="3"/>
      <c r="IE192" s="3"/>
      <c r="II192" s="3"/>
      <c r="IM192" s="3"/>
      <c r="IQ192" s="3"/>
      <c r="IU192" s="3"/>
      <c r="IY192" s="3"/>
      <c r="JC192" s="3"/>
      <c r="JG192" s="3"/>
      <c r="JK192" s="3"/>
      <c r="JO192" s="3"/>
      <c r="JS192" s="3"/>
      <c r="JW192" s="3"/>
      <c r="KA192" s="3"/>
      <c r="KE192" s="3"/>
      <c r="KI192" s="3"/>
      <c r="KM192" s="3"/>
      <c r="KQ192" s="3"/>
      <c r="KU192" s="3"/>
      <c r="KY192" s="3"/>
      <c r="LC192" s="3"/>
      <c r="LG192" s="3"/>
      <c r="LK192" s="3"/>
      <c r="LO192" s="3"/>
    </row>
    <row r="193" spans="175:327" hidden="1">
      <c r="FS193" s="3"/>
      <c r="FW193" s="3"/>
      <c r="GA193" s="3"/>
      <c r="GE193" s="3"/>
      <c r="GI193" s="3"/>
      <c r="GM193" s="3"/>
      <c r="GQ193" s="3"/>
      <c r="GU193" s="3"/>
      <c r="GY193" s="3"/>
      <c r="HC193" s="3"/>
      <c r="HG193" s="3"/>
      <c r="HK193" s="3"/>
      <c r="HO193" s="3"/>
      <c r="HS193" s="3"/>
      <c r="HW193" s="3"/>
      <c r="IA193" s="3"/>
      <c r="IE193" s="3"/>
      <c r="II193" s="3"/>
      <c r="IM193" s="3"/>
      <c r="IQ193" s="3"/>
      <c r="IU193" s="3"/>
      <c r="IY193" s="3"/>
      <c r="JC193" s="3"/>
      <c r="JG193" s="3"/>
      <c r="JK193" s="3"/>
      <c r="JO193" s="3"/>
      <c r="JS193" s="3"/>
      <c r="JW193" s="3"/>
      <c r="KA193" s="3"/>
      <c r="KE193" s="3"/>
      <c r="KI193" s="3"/>
      <c r="KM193" s="3"/>
      <c r="KQ193" s="3"/>
      <c r="KU193" s="3"/>
      <c r="KY193" s="3"/>
      <c r="LC193" s="3"/>
      <c r="LG193" s="3"/>
      <c r="LK193" s="3"/>
      <c r="LO193" s="3"/>
    </row>
    <row r="194" spans="175:327" hidden="1">
      <c r="FS194" s="3"/>
      <c r="FW194" s="3"/>
      <c r="GA194" s="3"/>
      <c r="GE194" s="3"/>
      <c r="GI194" s="3"/>
      <c r="GM194" s="3"/>
      <c r="GQ194" s="3"/>
      <c r="GU194" s="3"/>
      <c r="GY194" s="3"/>
      <c r="HC194" s="3"/>
      <c r="HG194" s="3"/>
      <c r="HK194" s="3"/>
      <c r="HO194" s="3"/>
      <c r="HS194" s="3"/>
      <c r="HW194" s="3"/>
      <c r="IA194" s="3"/>
      <c r="IE194" s="3"/>
      <c r="II194" s="3"/>
      <c r="IM194" s="3"/>
      <c r="IQ194" s="3"/>
      <c r="IU194" s="3"/>
      <c r="IY194" s="3"/>
      <c r="JC194" s="3"/>
      <c r="JG194" s="3"/>
      <c r="JK194" s="3"/>
      <c r="JO194" s="3"/>
      <c r="JS194" s="3"/>
      <c r="JW194" s="3"/>
      <c r="KA194" s="3"/>
      <c r="KE194" s="3"/>
      <c r="KI194" s="3"/>
      <c r="KM194" s="3"/>
      <c r="KQ194" s="3"/>
      <c r="KU194" s="3"/>
      <c r="KY194" s="3"/>
      <c r="LC194" s="3"/>
      <c r="LG194" s="3"/>
      <c r="LK194" s="3"/>
      <c r="LO194" s="3"/>
    </row>
    <row r="195" spans="175:327" hidden="1">
      <c r="FS195" s="3"/>
      <c r="FW195" s="3"/>
      <c r="GA195" s="3"/>
      <c r="GE195" s="3"/>
      <c r="GI195" s="3"/>
      <c r="GM195" s="3"/>
      <c r="GQ195" s="3"/>
      <c r="GU195" s="3"/>
      <c r="GY195" s="3"/>
      <c r="HC195" s="3"/>
      <c r="HG195" s="3"/>
      <c r="HK195" s="3"/>
      <c r="HO195" s="3"/>
      <c r="HS195" s="3"/>
      <c r="HW195" s="3"/>
      <c r="IA195" s="3"/>
      <c r="IE195" s="3"/>
      <c r="II195" s="3"/>
      <c r="IM195" s="3"/>
      <c r="IQ195" s="3"/>
      <c r="IU195" s="3"/>
      <c r="IY195" s="3"/>
      <c r="JC195" s="3"/>
      <c r="JG195" s="3"/>
      <c r="JK195" s="3"/>
      <c r="JO195" s="3"/>
      <c r="JS195" s="3"/>
      <c r="JW195" s="3"/>
      <c r="KA195" s="3"/>
      <c r="KE195" s="3"/>
      <c r="KI195" s="3"/>
      <c r="KM195" s="3"/>
      <c r="KQ195" s="3"/>
      <c r="KU195" s="3"/>
      <c r="KY195" s="3"/>
      <c r="LC195" s="3"/>
      <c r="LG195" s="3"/>
      <c r="LK195" s="3"/>
      <c r="LO195" s="3"/>
    </row>
    <row r="196" spans="175:327" hidden="1">
      <c r="FS196" s="3"/>
      <c r="FW196" s="3"/>
      <c r="GA196" s="3"/>
      <c r="GE196" s="3"/>
      <c r="GI196" s="3"/>
      <c r="GM196" s="3"/>
      <c r="GQ196" s="3"/>
      <c r="GU196" s="3"/>
      <c r="GY196" s="3"/>
      <c r="HC196" s="3"/>
      <c r="HG196" s="3"/>
      <c r="HK196" s="3"/>
      <c r="HO196" s="3"/>
      <c r="HS196" s="3"/>
      <c r="HW196" s="3"/>
      <c r="IA196" s="3"/>
      <c r="IE196" s="3"/>
      <c r="II196" s="3"/>
      <c r="IM196" s="3"/>
      <c r="IQ196" s="3"/>
      <c r="IU196" s="3"/>
      <c r="IY196" s="3"/>
      <c r="JC196" s="3"/>
      <c r="JG196" s="3"/>
      <c r="JK196" s="3"/>
      <c r="JO196" s="3"/>
      <c r="JS196" s="3"/>
      <c r="JW196" s="3"/>
      <c r="KA196" s="3"/>
      <c r="KE196" s="3"/>
      <c r="KI196" s="3"/>
      <c r="KM196" s="3"/>
      <c r="KQ196" s="3"/>
      <c r="KU196" s="3"/>
      <c r="KY196" s="3"/>
      <c r="LC196" s="3"/>
      <c r="LG196" s="3"/>
      <c r="LK196" s="3"/>
      <c r="LO196" s="3"/>
    </row>
    <row r="197" spans="175:327" hidden="1">
      <c r="FS197" s="3"/>
      <c r="FW197" s="3"/>
      <c r="GA197" s="3"/>
      <c r="GE197" s="3"/>
      <c r="GI197" s="3"/>
      <c r="GM197" s="3"/>
      <c r="GQ197" s="3"/>
      <c r="GU197" s="3"/>
      <c r="GY197" s="3"/>
      <c r="HC197" s="3"/>
      <c r="HG197" s="3"/>
      <c r="HK197" s="3"/>
      <c r="HO197" s="3"/>
      <c r="HS197" s="3"/>
      <c r="HW197" s="3"/>
      <c r="IA197" s="3"/>
      <c r="IE197" s="3"/>
      <c r="II197" s="3"/>
      <c r="IM197" s="3"/>
      <c r="IQ197" s="3"/>
      <c r="IU197" s="3"/>
      <c r="IY197" s="3"/>
      <c r="JC197" s="3"/>
      <c r="JG197" s="3"/>
      <c r="JK197" s="3"/>
      <c r="JO197" s="3"/>
      <c r="JS197" s="3"/>
      <c r="JW197" s="3"/>
      <c r="KA197" s="3"/>
      <c r="KE197" s="3"/>
      <c r="KI197" s="3"/>
      <c r="KM197" s="3"/>
      <c r="KQ197" s="3"/>
      <c r="KU197" s="3"/>
      <c r="KY197" s="3"/>
      <c r="LC197" s="3"/>
      <c r="LG197" s="3"/>
      <c r="LK197" s="3"/>
      <c r="LO197" s="3"/>
    </row>
    <row r="198" spans="175:327" hidden="1">
      <c r="FS198" s="3"/>
      <c r="FW198" s="3"/>
      <c r="GA198" s="3"/>
      <c r="GE198" s="3"/>
      <c r="GI198" s="3"/>
      <c r="GM198" s="3"/>
      <c r="GQ198" s="3"/>
      <c r="GU198" s="3"/>
      <c r="GY198" s="3"/>
      <c r="HC198" s="3"/>
      <c r="HG198" s="3"/>
      <c r="HK198" s="3"/>
      <c r="HO198" s="3"/>
      <c r="HS198" s="3"/>
      <c r="HW198" s="3"/>
      <c r="IA198" s="3"/>
      <c r="IE198" s="3"/>
      <c r="II198" s="3"/>
      <c r="IM198" s="3"/>
      <c r="IQ198" s="3"/>
      <c r="IU198" s="3"/>
      <c r="IY198" s="3"/>
      <c r="JC198" s="3"/>
      <c r="JG198" s="3"/>
      <c r="JK198" s="3"/>
      <c r="JO198" s="3"/>
      <c r="JS198" s="3"/>
      <c r="JW198" s="3"/>
      <c r="KA198" s="3"/>
      <c r="KE198" s="3"/>
      <c r="KI198" s="3"/>
      <c r="KM198" s="3"/>
      <c r="KQ198" s="3"/>
      <c r="KU198" s="3"/>
      <c r="KY198" s="3"/>
      <c r="LC198" s="3"/>
      <c r="LG198" s="3"/>
      <c r="LK198" s="3"/>
      <c r="LO198" s="3"/>
    </row>
    <row r="199" spans="175:327" hidden="1">
      <c r="FS199" s="3"/>
      <c r="FW199" s="3"/>
      <c r="GA199" s="3"/>
      <c r="GE199" s="3"/>
      <c r="GI199" s="3"/>
      <c r="GM199" s="3"/>
      <c r="GQ199" s="3"/>
      <c r="GU199" s="3"/>
      <c r="GY199" s="3"/>
      <c r="HC199" s="3"/>
      <c r="HG199" s="3"/>
      <c r="HK199" s="3"/>
      <c r="HO199" s="3"/>
      <c r="HS199" s="3"/>
      <c r="HW199" s="3"/>
      <c r="IA199" s="3"/>
      <c r="IE199" s="3"/>
      <c r="II199" s="3"/>
      <c r="IM199" s="3"/>
      <c r="IQ199" s="3"/>
      <c r="IU199" s="3"/>
      <c r="IY199" s="3"/>
      <c r="JC199" s="3"/>
      <c r="JG199" s="3"/>
      <c r="JK199" s="3"/>
      <c r="JO199" s="3"/>
      <c r="JS199" s="3"/>
      <c r="JW199" s="3"/>
      <c r="KA199" s="3"/>
      <c r="KE199" s="3"/>
      <c r="KI199" s="3"/>
      <c r="KM199" s="3"/>
      <c r="KQ199" s="3"/>
      <c r="KU199" s="3"/>
      <c r="KY199" s="3"/>
      <c r="LC199" s="3"/>
      <c r="LG199" s="3"/>
      <c r="LK199" s="3"/>
      <c r="LO199" s="3"/>
    </row>
    <row r="200" spans="175:327" hidden="1">
      <c r="FS200" s="3"/>
      <c r="FW200" s="3"/>
      <c r="GA200" s="3"/>
      <c r="GE200" s="3"/>
      <c r="GI200" s="3"/>
      <c r="GM200" s="3"/>
      <c r="GQ200" s="3"/>
      <c r="GU200" s="3"/>
      <c r="GY200" s="3"/>
      <c r="HC200" s="3"/>
      <c r="HG200" s="3"/>
      <c r="HK200" s="3"/>
      <c r="HO200" s="3"/>
      <c r="HS200" s="3"/>
      <c r="HW200" s="3"/>
      <c r="IA200" s="3"/>
      <c r="IE200" s="3"/>
      <c r="II200" s="3"/>
      <c r="IM200" s="3"/>
      <c r="IQ200" s="3"/>
      <c r="IU200" s="3"/>
      <c r="IY200" s="3"/>
      <c r="JC200" s="3"/>
      <c r="JG200" s="3"/>
      <c r="JK200" s="3"/>
      <c r="JO200" s="3"/>
      <c r="JS200" s="3"/>
      <c r="JW200" s="3"/>
      <c r="KA200" s="3"/>
      <c r="KE200" s="3"/>
      <c r="KI200" s="3"/>
      <c r="KM200" s="3"/>
      <c r="KQ200" s="3"/>
      <c r="KU200" s="3"/>
      <c r="KY200" s="3"/>
      <c r="LC200" s="3"/>
      <c r="LG200" s="3"/>
      <c r="LK200" s="3"/>
      <c r="LO200" s="3"/>
    </row>
    <row r="201" spans="175:327" hidden="1">
      <c r="FS201" s="3"/>
      <c r="FW201" s="3"/>
      <c r="GA201" s="3"/>
      <c r="GE201" s="3"/>
      <c r="GI201" s="3"/>
      <c r="GM201" s="3"/>
      <c r="GQ201" s="3"/>
      <c r="GU201" s="3"/>
      <c r="GY201" s="3"/>
      <c r="HC201" s="3"/>
      <c r="HG201" s="3"/>
      <c r="HK201" s="3"/>
      <c r="HO201" s="3"/>
      <c r="HS201" s="3"/>
      <c r="HW201" s="3"/>
      <c r="IA201" s="3"/>
      <c r="IE201" s="3"/>
      <c r="II201" s="3"/>
      <c r="IM201" s="3"/>
      <c r="IQ201" s="3"/>
      <c r="IU201" s="3"/>
      <c r="IY201" s="3"/>
      <c r="JC201" s="3"/>
      <c r="JG201" s="3"/>
      <c r="JK201" s="3"/>
      <c r="JO201" s="3"/>
      <c r="JS201" s="3"/>
      <c r="JW201" s="3"/>
      <c r="KA201" s="3"/>
      <c r="KE201" s="3"/>
      <c r="KI201" s="3"/>
      <c r="KM201" s="3"/>
      <c r="KQ201" s="3"/>
      <c r="KU201" s="3"/>
      <c r="KY201" s="3"/>
      <c r="LC201" s="3"/>
      <c r="LG201" s="3"/>
      <c r="LK201" s="3"/>
      <c r="LO201" s="3"/>
    </row>
    <row r="202" spans="175:327" hidden="1">
      <c r="FS202" s="3"/>
      <c r="FW202" s="3"/>
      <c r="GA202" s="3"/>
      <c r="GE202" s="3"/>
      <c r="GI202" s="3"/>
      <c r="GM202" s="3"/>
      <c r="GQ202" s="3"/>
      <c r="GU202" s="3"/>
      <c r="GY202" s="3"/>
      <c r="HC202" s="3"/>
      <c r="HG202" s="3"/>
      <c r="HK202" s="3"/>
      <c r="HO202" s="3"/>
      <c r="HS202" s="3"/>
      <c r="HW202" s="3"/>
      <c r="IA202" s="3"/>
      <c r="IE202" s="3"/>
      <c r="II202" s="3"/>
      <c r="IM202" s="3"/>
      <c r="IQ202" s="3"/>
      <c r="IU202" s="3"/>
      <c r="IY202" s="3"/>
      <c r="JC202" s="3"/>
      <c r="JG202" s="3"/>
      <c r="JK202" s="3"/>
      <c r="JO202" s="3"/>
      <c r="JS202" s="3"/>
      <c r="JW202" s="3"/>
      <c r="KA202" s="3"/>
      <c r="KE202" s="3"/>
      <c r="KI202" s="3"/>
      <c r="KM202" s="3"/>
      <c r="KQ202" s="3"/>
      <c r="KU202" s="3"/>
      <c r="KY202" s="3"/>
      <c r="LC202" s="3"/>
      <c r="LG202" s="3"/>
      <c r="LK202" s="3"/>
      <c r="LO202" s="3"/>
    </row>
    <row r="203" spans="175:327" hidden="1">
      <c r="FS203" s="3"/>
      <c r="FW203" s="3"/>
      <c r="GA203" s="3"/>
      <c r="GE203" s="3"/>
      <c r="GI203" s="3"/>
      <c r="GM203" s="3"/>
      <c r="GQ203" s="3"/>
      <c r="GU203" s="3"/>
      <c r="GY203" s="3"/>
      <c r="HC203" s="3"/>
      <c r="HG203" s="3"/>
      <c r="HK203" s="3"/>
      <c r="HO203" s="3"/>
      <c r="HS203" s="3"/>
      <c r="HW203" s="3"/>
      <c r="IA203" s="3"/>
      <c r="IE203" s="3"/>
      <c r="II203" s="3"/>
      <c r="IM203" s="3"/>
      <c r="IQ203" s="3"/>
      <c r="IU203" s="3"/>
      <c r="IY203" s="3"/>
      <c r="JC203" s="3"/>
      <c r="JG203" s="3"/>
      <c r="JK203" s="3"/>
      <c r="JO203" s="3"/>
      <c r="JS203" s="3"/>
      <c r="JW203" s="3"/>
      <c r="KA203" s="3"/>
      <c r="KE203" s="3"/>
      <c r="KI203" s="3"/>
      <c r="KM203" s="3"/>
      <c r="KQ203" s="3"/>
      <c r="KU203" s="3"/>
      <c r="KY203" s="3"/>
      <c r="LC203" s="3"/>
      <c r="LG203" s="3"/>
      <c r="LK203" s="3"/>
      <c r="LO203" s="3"/>
    </row>
    <row r="204" spans="175:327" hidden="1">
      <c r="FS204" s="3"/>
      <c r="FW204" s="3"/>
      <c r="GA204" s="3"/>
      <c r="GE204" s="3"/>
      <c r="GI204" s="3"/>
      <c r="GM204" s="3"/>
      <c r="GQ204" s="3"/>
      <c r="GU204" s="3"/>
      <c r="GY204" s="3"/>
      <c r="HC204" s="3"/>
      <c r="HG204" s="3"/>
      <c r="HK204" s="3"/>
      <c r="HO204" s="3"/>
      <c r="HS204" s="3"/>
      <c r="HW204" s="3"/>
      <c r="IA204" s="3"/>
      <c r="IE204" s="3"/>
      <c r="II204" s="3"/>
      <c r="IM204" s="3"/>
      <c r="IQ204" s="3"/>
      <c r="IU204" s="3"/>
      <c r="IY204" s="3"/>
      <c r="JC204" s="3"/>
      <c r="JG204" s="3"/>
      <c r="JK204" s="3"/>
      <c r="JO204" s="3"/>
      <c r="JS204" s="3"/>
      <c r="JW204" s="3"/>
      <c r="KA204" s="3"/>
      <c r="KE204" s="3"/>
      <c r="KI204" s="3"/>
      <c r="KM204" s="3"/>
      <c r="KQ204" s="3"/>
      <c r="KU204" s="3"/>
      <c r="KY204" s="3"/>
      <c r="LC204" s="3"/>
      <c r="LG204" s="3"/>
      <c r="LK204" s="3"/>
      <c r="LO204" s="3"/>
    </row>
    <row r="205" spans="175:327" hidden="1">
      <c r="FS205" s="3"/>
      <c r="FW205" s="3"/>
      <c r="GA205" s="3"/>
      <c r="GE205" s="3"/>
      <c r="GI205" s="3"/>
      <c r="GM205" s="3"/>
      <c r="GQ205" s="3"/>
      <c r="GU205" s="3"/>
      <c r="GY205" s="3"/>
      <c r="HC205" s="3"/>
      <c r="HG205" s="3"/>
      <c r="HK205" s="3"/>
      <c r="HO205" s="3"/>
      <c r="HS205" s="3"/>
      <c r="HW205" s="3"/>
      <c r="IA205" s="3"/>
      <c r="IE205" s="3"/>
      <c r="II205" s="3"/>
      <c r="IM205" s="3"/>
      <c r="IQ205" s="3"/>
      <c r="IU205" s="3"/>
      <c r="IY205" s="3"/>
      <c r="JC205" s="3"/>
      <c r="JG205" s="3"/>
      <c r="JK205" s="3"/>
      <c r="JO205" s="3"/>
      <c r="JS205" s="3"/>
      <c r="JW205" s="3"/>
      <c r="KA205" s="3"/>
      <c r="KE205" s="3"/>
      <c r="KI205" s="3"/>
      <c r="KM205" s="3"/>
      <c r="KQ205" s="3"/>
      <c r="KU205" s="3"/>
      <c r="KY205" s="3"/>
      <c r="LC205" s="3"/>
      <c r="LG205" s="3"/>
      <c r="LK205" s="3"/>
      <c r="LO205" s="3"/>
    </row>
    <row r="206" spans="175:327" hidden="1">
      <c r="FS206" s="3"/>
      <c r="FW206" s="3"/>
      <c r="GA206" s="3"/>
      <c r="GE206" s="3"/>
      <c r="GI206" s="3"/>
      <c r="GM206" s="3"/>
      <c r="GQ206" s="3"/>
      <c r="GU206" s="3"/>
      <c r="GY206" s="3"/>
      <c r="HC206" s="3"/>
      <c r="HG206" s="3"/>
      <c r="HK206" s="3"/>
      <c r="HO206" s="3"/>
      <c r="HS206" s="3"/>
      <c r="HW206" s="3"/>
      <c r="IA206" s="3"/>
      <c r="IE206" s="3"/>
      <c r="II206" s="3"/>
      <c r="IM206" s="3"/>
      <c r="IQ206" s="3"/>
      <c r="IU206" s="3"/>
      <c r="IY206" s="3"/>
      <c r="JC206" s="3"/>
      <c r="JG206" s="3"/>
      <c r="JK206" s="3"/>
      <c r="JO206" s="3"/>
      <c r="JS206" s="3"/>
      <c r="JW206" s="3"/>
      <c r="KA206" s="3"/>
      <c r="KE206" s="3"/>
      <c r="KI206" s="3"/>
      <c r="KM206" s="3"/>
      <c r="KQ206" s="3"/>
      <c r="KU206" s="3"/>
      <c r="KY206" s="3"/>
      <c r="LC206" s="3"/>
      <c r="LG206" s="3"/>
      <c r="LK206" s="3"/>
      <c r="LO206" s="3"/>
    </row>
    <row r="207" spans="175:327" hidden="1">
      <c r="FS207" s="3"/>
      <c r="FW207" s="3"/>
      <c r="GA207" s="3"/>
      <c r="GE207" s="3"/>
      <c r="GI207" s="3"/>
      <c r="GM207" s="3"/>
      <c r="GQ207" s="3"/>
      <c r="GU207" s="3"/>
      <c r="GY207" s="3"/>
      <c r="HC207" s="3"/>
      <c r="HG207" s="3"/>
      <c r="HK207" s="3"/>
      <c r="HO207" s="3"/>
      <c r="HS207" s="3"/>
      <c r="HW207" s="3"/>
      <c r="IA207" s="3"/>
      <c r="IE207" s="3"/>
      <c r="II207" s="3"/>
      <c r="IM207" s="3"/>
      <c r="IQ207" s="3"/>
      <c r="IU207" s="3"/>
      <c r="IY207" s="3"/>
      <c r="JC207" s="3"/>
      <c r="JG207" s="3"/>
      <c r="JK207" s="3"/>
      <c r="JO207" s="3"/>
      <c r="JS207" s="3"/>
      <c r="JW207" s="3"/>
      <c r="KA207" s="3"/>
      <c r="KE207" s="3"/>
      <c r="KI207" s="3"/>
      <c r="KM207" s="3"/>
      <c r="KQ207" s="3"/>
      <c r="KU207" s="3"/>
      <c r="KY207" s="3"/>
      <c r="LC207" s="3"/>
      <c r="LG207" s="3"/>
      <c r="LK207" s="3"/>
      <c r="LO207" s="3"/>
    </row>
    <row r="208" spans="175:327" hidden="1">
      <c r="FS208" s="3"/>
      <c r="FW208" s="3"/>
      <c r="GA208" s="3"/>
      <c r="GE208" s="3"/>
      <c r="GI208" s="3"/>
      <c r="GM208" s="3"/>
      <c r="GQ208" s="3"/>
      <c r="GU208" s="3"/>
      <c r="GY208" s="3"/>
      <c r="HC208" s="3"/>
      <c r="HG208" s="3"/>
      <c r="HK208" s="3"/>
      <c r="HO208" s="3"/>
      <c r="HS208" s="3"/>
      <c r="HW208" s="3"/>
      <c r="IA208" s="3"/>
      <c r="IE208" s="3"/>
      <c r="II208" s="3"/>
      <c r="IM208" s="3"/>
      <c r="IQ208" s="3"/>
      <c r="IU208" s="3"/>
      <c r="IY208" s="3"/>
      <c r="JC208" s="3"/>
      <c r="JG208" s="3"/>
      <c r="JK208" s="3"/>
      <c r="JO208" s="3"/>
      <c r="JS208" s="3"/>
      <c r="JW208" s="3"/>
      <c r="KA208" s="3"/>
      <c r="KE208" s="3"/>
      <c r="KI208" s="3"/>
      <c r="KM208" s="3"/>
      <c r="KQ208" s="3"/>
      <c r="KU208" s="3"/>
      <c r="KY208" s="3"/>
      <c r="LC208" s="3"/>
      <c r="LG208" s="3"/>
      <c r="LK208" s="3"/>
      <c r="LO208" s="3"/>
    </row>
    <row r="209" spans="175:327" hidden="1">
      <c r="FS209" s="3"/>
      <c r="FW209" s="3"/>
      <c r="GA209" s="3"/>
      <c r="GE209" s="3"/>
      <c r="GI209" s="3"/>
      <c r="GM209" s="3"/>
      <c r="GQ209" s="3"/>
      <c r="GU209" s="3"/>
      <c r="GY209" s="3"/>
      <c r="HC209" s="3"/>
      <c r="HG209" s="3"/>
      <c r="HK209" s="3"/>
      <c r="HO209" s="3"/>
      <c r="HS209" s="3"/>
      <c r="HW209" s="3"/>
      <c r="IA209" s="3"/>
      <c r="IE209" s="3"/>
      <c r="II209" s="3"/>
      <c r="IM209" s="3"/>
      <c r="IQ209" s="3"/>
      <c r="IU209" s="3"/>
      <c r="IY209" s="3"/>
      <c r="JC209" s="3"/>
      <c r="JG209" s="3"/>
      <c r="JK209" s="3"/>
      <c r="JO209" s="3"/>
      <c r="JS209" s="3"/>
      <c r="JW209" s="3"/>
      <c r="KA209" s="3"/>
      <c r="KE209" s="3"/>
      <c r="KI209" s="3"/>
      <c r="KM209" s="3"/>
      <c r="KQ209" s="3"/>
      <c r="KU209" s="3"/>
      <c r="KY209" s="3"/>
      <c r="LC209" s="3"/>
      <c r="LG209" s="3"/>
      <c r="LK209" s="3"/>
      <c r="LO209" s="3"/>
    </row>
    <row r="210" spans="175:327" hidden="1">
      <c r="FS210" s="3"/>
      <c r="FW210" s="3"/>
      <c r="GA210" s="3"/>
      <c r="GE210" s="3"/>
      <c r="GI210" s="3"/>
      <c r="GM210" s="3"/>
      <c r="GQ210" s="3"/>
      <c r="GU210" s="3"/>
      <c r="GY210" s="3"/>
      <c r="HC210" s="3"/>
      <c r="HG210" s="3"/>
      <c r="HK210" s="3"/>
      <c r="HO210" s="3"/>
      <c r="HS210" s="3"/>
      <c r="HW210" s="3"/>
      <c r="IA210" s="3"/>
      <c r="IE210" s="3"/>
      <c r="II210" s="3"/>
      <c r="IM210" s="3"/>
      <c r="IQ210" s="3"/>
      <c r="IU210" s="3"/>
      <c r="IY210" s="3"/>
      <c r="JC210" s="3"/>
      <c r="JG210" s="3"/>
      <c r="JK210" s="3"/>
      <c r="JO210" s="3"/>
      <c r="JS210" s="3"/>
      <c r="JW210" s="3"/>
      <c r="KA210" s="3"/>
      <c r="KE210" s="3"/>
      <c r="KI210" s="3"/>
      <c r="KM210" s="3"/>
      <c r="KQ210" s="3"/>
      <c r="KU210" s="3"/>
      <c r="KY210" s="3"/>
      <c r="LC210" s="3"/>
      <c r="LG210" s="3"/>
      <c r="LK210" s="3"/>
      <c r="LO210" s="3"/>
    </row>
    <row r="211" spans="175:327" hidden="1">
      <c r="FS211" s="3"/>
      <c r="FW211" s="3"/>
      <c r="GA211" s="3"/>
      <c r="GE211" s="3"/>
      <c r="GI211" s="3"/>
      <c r="GM211" s="3"/>
      <c r="GQ211" s="3"/>
      <c r="GU211" s="3"/>
      <c r="GY211" s="3"/>
      <c r="HC211" s="3"/>
      <c r="HG211" s="3"/>
      <c r="HK211" s="3"/>
      <c r="HO211" s="3"/>
      <c r="HS211" s="3"/>
      <c r="HW211" s="3"/>
      <c r="IA211" s="3"/>
      <c r="IE211" s="3"/>
      <c r="II211" s="3"/>
      <c r="IM211" s="3"/>
      <c r="IQ211" s="3"/>
      <c r="IU211" s="3"/>
      <c r="IY211" s="3"/>
      <c r="JC211" s="3"/>
      <c r="JG211" s="3"/>
      <c r="JK211" s="3"/>
      <c r="JO211" s="3"/>
      <c r="JS211" s="3"/>
      <c r="JW211" s="3"/>
      <c r="KA211" s="3"/>
      <c r="KE211" s="3"/>
      <c r="KI211" s="3"/>
      <c r="KM211" s="3"/>
      <c r="KQ211" s="3"/>
      <c r="KU211" s="3"/>
      <c r="KY211" s="3"/>
      <c r="LC211" s="3"/>
      <c r="LG211" s="3"/>
      <c r="LK211" s="3"/>
      <c r="LO211" s="3"/>
    </row>
    <row r="212" spans="175:327" hidden="1">
      <c r="FS212" s="3"/>
      <c r="FW212" s="3"/>
      <c r="GA212" s="3"/>
      <c r="GE212" s="3"/>
      <c r="GI212" s="3"/>
      <c r="GM212" s="3"/>
      <c r="GQ212" s="3"/>
      <c r="GU212" s="3"/>
      <c r="GY212" s="3"/>
      <c r="HC212" s="3"/>
      <c r="HG212" s="3"/>
      <c r="HK212" s="3"/>
      <c r="HO212" s="3"/>
      <c r="HS212" s="3"/>
      <c r="HW212" s="3"/>
      <c r="IA212" s="3"/>
      <c r="IE212" s="3"/>
      <c r="II212" s="3"/>
      <c r="IM212" s="3"/>
      <c r="IQ212" s="3"/>
      <c r="IU212" s="3"/>
      <c r="IY212" s="3"/>
      <c r="JC212" s="3"/>
      <c r="JG212" s="3"/>
      <c r="JK212" s="3"/>
      <c r="JO212" s="3"/>
      <c r="JS212" s="3"/>
      <c r="JW212" s="3"/>
      <c r="KA212" s="3"/>
      <c r="KE212" s="3"/>
      <c r="KI212" s="3"/>
      <c r="KM212" s="3"/>
      <c r="KQ212" s="3"/>
      <c r="KU212" s="3"/>
      <c r="KY212" s="3"/>
      <c r="LC212" s="3"/>
      <c r="LG212" s="3"/>
      <c r="LK212" s="3"/>
      <c r="LO212" s="3"/>
    </row>
    <row r="213" spans="175:327" hidden="1">
      <c r="FS213" s="3"/>
      <c r="FW213" s="3"/>
      <c r="GA213" s="3"/>
      <c r="GE213" s="3"/>
      <c r="GI213" s="3"/>
      <c r="GM213" s="3"/>
      <c r="GQ213" s="3"/>
      <c r="GU213" s="3"/>
      <c r="GY213" s="3"/>
      <c r="HC213" s="3"/>
      <c r="HG213" s="3"/>
      <c r="HK213" s="3"/>
      <c r="HO213" s="3"/>
      <c r="HS213" s="3"/>
      <c r="HW213" s="3"/>
      <c r="IA213" s="3"/>
      <c r="IE213" s="3"/>
      <c r="II213" s="3"/>
      <c r="IM213" s="3"/>
      <c r="IQ213" s="3"/>
      <c r="IU213" s="3"/>
      <c r="IY213" s="3"/>
      <c r="JC213" s="3"/>
      <c r="JG213" s="3"/>
      <c r="JK213" s="3"/>
      <c r="JO213" s="3"/>
      <c r="JS213" s="3"/>
      <c r="JW213" s="3"/>
      <c r="KA213" s="3"/>
      <c r="KE213" s="3"/>
      <c r="KI213" s="3"/>
      <c r="KM213" s="3"/>
      <c r="KQ213" s="3"/>
      <c r="KU213" s="3"/>
      <c r="KY213" s="3"/>
      <c r="LC213" s="3"/>
      <c r="LG213" s="3"/>
      <c r="LK213" s="3"/>
      <c r="LO213" s="3"/>
    </row>
    <row r="214" spans="175:327" hidden="1">
      <c r="FS214" s="3"/>
      <c r="FW214" s="3"/>
      <c r="GA214" s="3"/>
      <c r="GE214" s="3"/>
      <c r="GI214" s="3"/>
      <c r="GM214" s="3"/>
      <c r="GQ214" s="3"/>
      <c r="GU214" s="3"/>
      <c r="GY214" s="3"/>
      <c r="HC214" s="3"/>
      <c r="HG214" s="3"/>
      <c r="HK214" s="3"/>
      <c r="HO214" s="3"/>
      <c r="HS214" s="3"/>
      <c r="HW214" s="3"/>
      <c r="IA214" s="3"/>
      <c r="IE214" s="3"/>
      <c r="II214" s="3"/>
      <c r="IM214" s="3"/>
      <c r="IQ214" s="3"/>
      <c r="IU214" s="3"/>
      <c r="IY214" s="3"/>
      <c r="JC214" s="3"/>
      <c r="JG214" s="3"/>
      <c r="JK214" s="3"/>
      <c r="JO214" s="3"/>
      <c r="JS214" s="3"/>
      <c r="JW214" s="3"/>
      <c r="KA214" s="3"/>
      <c r="KE214" s="3"/>
      <c r="KI214" s="3"/>
      <c r="KM214" s="3"/>
      <c r="KQ214" s="3"/>
      <c r="KU214" s="3"/>
      <c r="KY214" s="3"/>
      <c r="LC214" s="3"/>
      <c r="LG214" s="3"/>
      <c r="LK214" s="3"/>
      <c r="LO214" s="3"/>
    </row>
    <row r="215" spans="175:327" hidden="1">
      <c r="FS215" s="3"/>
      <c r="FW215" s="3"/>
      <c r="GA215" s="3"/>
      <c r="GE215" s="3"/>
      <c r="GI215" s="3"/>
      <c r="GM215" s="3"/>
      <c r="GQ215" s="3"/>
      <c r="GU215" s="3"/>
      <c r="GY215" s="3"/>
      <c r="HC215" s="3"/>
      <c r="HG215" s="3"/>
      <c r="HK215" s="3"/>
      <c r="HO215" s="3"/>
      <c r="HS215" s="3"/>
      <c r="HW215" s="3"/>
      <c r="IA215" s="3"/>
      <c r="IE215" s="3"/>
      <c r="II215" s="3"/>
      <c r="IM215" s="3"/>
      <c r="IQ215" s="3"/>
      <c r="IU215" s="3"/>
      <c r="IY215" s="3"/>
      <c r="JC215" s="3"/>
      <c r="JG215" s="3"/>
      <c r="JK215" s="3"/>
      <c r="JO215" s="3"/>
      <c r="JS215" s="3"/>
      <c r="JW215" s="3"/>
      <c r="KA215" s="3"/>
      <c r="KE215" s="3"/>
      <c r="KI215" s="3"/>
      <c r="KM215" s="3"/>
      <c r="KQ215" s="3"/>
      <c r="KU215" s="3"/>
      <c r="KY215" s="3"/>
      <c r="LC215" s="3"/>
      <c r="LG215" s="3"/>
      <c r="LK215" s="3"/>
      <c r="LO215" s="3"/>
    </row>
    <row r="216" spans="175:327" hidden="1">
      <c r="FS216" s="3"/>
      <c r="FW216" s="3"/>
      <c r="GA216" s="3"/>
      <c r="GE216" s="3"/>
      <c r="GI216" s="3"/>
      <c r="GM216" s="3"/>
      <c r="GQ216" s="3"/>
      <c r="GU216" s="3"/>
      <c r="GY216" s="3"/>
      <c r="HC216" s="3"/>
      <c r="HG216" s="3"/>
      <c r="HK216" s="3"/>
      <c r="HO216" s="3"/>
      <c r="HS216" s="3"/>
      <c r="HW216" s="3"/>
      <c r="IA216" s="3"/>
      <c r="IE216" s="3"/>
      <c r="II216" s="3"/>
      <c r="IM216" s="3"/>
      <c r="IQ216" s="3"/>
      <c r="IU216" s="3"/>
      <c r="IY216" s="3"/>
      <c r="JC216" s="3"/>
      <c r="JG216" s="3"/>
      <c r="JK216" s="3"/>
      <c r="JO216" s="3"/>
      <c r="JS216" s="3"/>
      <c r="JW216" s="3"/>
      <c r="KA216" s="3"/>
      <c r="KE216" s="3"/>
      <c r="KI216" s="3"/>
      <c r="KM216" s="3"/>
      <c r="KQ216" s="3"/>
      <c r="KU216" s="3"/>
      <c r="KY216" s="3"/>
      <c r="LC216" s="3"/>
      <c r="LG216" s="3"/>
      <c r="LK216" s="3"/>
      <c r="LO216" s="3"/>
    </row>
    <row r="217" spans="175:327" hidden="1">
      <c r="FS217" s="3"/>
      <c r="FW217" s="3"/>
      <c r="GA217" s="3"/>
      <c r="GE217" s="3"/>
      <c r="GI217" s="3"/>
      <c r="GM217" s="3"/>
      <c r="GQ217" s="3"/>
      <c r="GU217" s="3"/>
      <c r="GY217" s="3"/>
      <c r="HC217" s="3"/>
      <c r="HG217" s="3"/>
      <c r="HK217" s="3"/>
      <c r="HO217" s="3"/>
      <c r="HS217" s="3"/>
      <c r="HW217" s="3"/>
      <c r="IA217" s="3"/>
      <c r="IE217" s="3"/>
      <c r="II217" s="3"/>
      <c r="IM217" s="3"/>
      <c r="IQ217" s="3"/>
      <c r="IU217" s="3"/>
      <c r="IY217" s="3"/>
      <c r="JC217" s="3"/>
      <c r="JG217" s="3"/>
      <c r="JK217" s="3"/>
      <c r="JO217" s="3"/>
      <c r="JS217" s="3"/>
      <c r="JW217" s="3"/>
      <c r="KA217" s="3"/>
      <c r="KE217" s="3"/>
      <c r="KI217" s="3"/>
      <c r="KM217" s="3"/>
      <c r="KQ217" s="3"/>
      <c r="KU217" s="3"/>
      <c r="KY217" s="3"/>
      <c r="LC217" s="3"/>
      <c r="LG217" s="3"/>
      <c r="LK217" s="3"/>
      <c r="LO217" s="3"/>
    </row>
    <row r="218" spans="175:327" hidden="1">
      <c r="FS218" s="3"/>
      <c r="FW218" s="3"/>
      <c r="GA218" s="3"/>
      <c r="GE218" s="3"/>
      <c r="GI218" s="3"/>
      <c r="GM218" s="3"/>
      <c r="GQ218" s="3"/>
      <c r="GU218" s="3"/>
      <c r="GY218" s="3"/>
      <c r="HC218" s="3"/>
      <c r="HG218" s="3"/>
      <c r="HK218" s="3"/>
      <c r="HO218" s="3"/>
      <c r="HS218" s="3"/>
      <c r="HW218" s="3"/>
      <c r="IA218" s="3"/>
      <c r="IE218" s="3"/>
      <c r="II218" s="3"/>
      <c r="IM218" s="3"/>
      <c r="IQ218" s="3"/>
      <c r="IU218" s="3"/>
      <c r="IY218" s="3"/>
      <c r="JC218" s="3"/>
      <c r="JG218" s="3"/>
      <c r="JK218" s="3"/>
      <c r="JO218" s="3"/>
      <c r="JS218" s="3"/>
      <c r="JW218" s="3"/>
      <c r="KA218" s="3"/>
      <c r="KE218" s="3"/>
      <c r="KI218" s="3"/>
      <c r="KM218" s="3"/>
      <c r="KQ218" s="3"/>
      <c r="KU218" s="3"/>
      <c r="KY218" s="3"/>
      <c r="LC218" s="3"/>
      <c r="LG218" s="3"/>
      <c r="LK218" s="3"/>
      <c r="LO218" s="3"/>
    </row>
    <row r="219" spans="175:327" hidden="1">
      <c r="FS219" s="3"/>
      <c r="FW219" s="3"/>
      <c r="GA219" s="3"/>
      <c r="GE219" s="3"/>
      <c r="GI219" s="3"/>
      <c r="GM219" s="3"/>
      <c r="GQ219" s="3"/>
      <c r="GU219" s="3"/>
      <c r="GY219" s="3"/>
      <c r="HC219" s="3"/>
      <c r="HG219" s="3"/>
      <c r="HK219" s="3"/>
      <c r="HO219" s="3"/>
      <c r="HS219" s="3"/>
      <c r="HW219" s="3"/>
      <c r="IA219" s="3"/>
      <c r="IE219" s="3"/>
      <c r="II219" s="3"/>
      <c r="IM219" s="3"/>
      <c r="IQ219" s="3"/>
      <c r="IU219" s="3"/>
      <c r="IY219" s="3"/>
      <c r="JC219" s="3"/>
      <c r="JG219" s="3"/>
      <c r="JK219" s="3"/>
      <c r="JO219" s="3"/>
      <c r="JS219" s="3"/>
      <c r="JW219" s="3"/>
      <c r="KA219" s="3"/>
      <c r="KE219" s="3"/>
      <c r="KI219" s="3"/>
      <c r="KM219" s="3"/>
      <c r="KQ219" s="3"/>
      <c r="KU219" s="3"/>
      <c r="KY219" s="3"/>
      <c r="LC219" s="3"/>
      <c r="LG219" s="3"/>
      <c r="LK219" s="3"/>
      <c r="LO219" s="3"/>
    </row>
    <row r="220" spans="175:327" hidden="1">
      <c r="FS220" s="3"/>
      <c r="FW220" s="3"/>
      <c r="GA220" s="3"/>
      <c r="GE220" s="3"/>
      <c r="GI220" s="3"/>
      <c r="GM220" s="3"/>
      <c r="GQ220" s="3"/>
      <c r="GU220" s="3"/>
      <c r="GY220" s="3"/>
      <c r="HC220" s="3"/>
      <c r="HG220" s="3"/>
      <c r="HK220" s="3"/>
      <c r="HO220" s="3"/>
      <c r="HS220" s="3"/>
      <c r="HW220" s="3"/>
      <c r="IA220" s="3"/>
      <c r="IE220" s="3"/>
      <c r="II220" s="3"/>
      <c r="IM220" s="3"/>
      <c r="IQ220" s="3"/>
      <c r="IU220" s="3"/>
      <c r="IY220" s="3"/>
      <c r="JC220" s="3"/>
      <c r="JG220" s="3"/>
      <c r="JK220" s="3"/>
      <c r="JO220" s="3"/>
      <c r="JS220" s="3"/>
      <c r="JW220" s="3"/>
      <c r="KA220" s="3"/>
      <c r="KE220" s="3"/>
      <c r="KI220" s="3"/>
      <c r="KM220" s="3"/>
      <c r="KQ220" s="3"/>
      <c r="KU220" s="3"/>
      <c r="KY220" s="3"/>
      <c r="LC220" s="3"/>
      <c r="LG220" s="3"/>
      <c r="LK220" s="3"/>
      <c r="LO220" s="3"/>
    </row>
    <row r="221" spans="175:327" hidden="1">
      <c r="FS221" s="3"/>
      <c r="FW221" s="3"/>
      <c r="GA221" s="3"/>
      <c r="GE221" s="3"/>
      <c r="GI221" s="3"/>
      <c r="GM221" s="3"/>
      <c r="GQ221" s="3"/>
      <c r="GU221" s="3"/>
      <c r="GY221" s="3"/>
      <c r="HC221" s="3"/>
      <c r="HG221" s="3"/>
      <c r="HK221" s="3"/>
      <c r="HO221" s="3"/>
      <c r="HS221" s="3"/>
      <c r="HW221" s="3"/>
      <c r="IA221" s="3"/>
      <c r="IE221" s="3"/>
      <c r="II221" s="3"/>
      <c r="IM221" s="3"/>
      <c r="IQ221" s="3"/>
      <c r="IU221" s="3"/>
      <c r="IY221" s="3"/>
      <c r="JC221" s="3"/>
      <c r="JG221" s="3"/>
      <c r="JK221" s="3"/>
      <c r="JO221" s="3"/>
      <c r="JS221" s="3"/>
      <c r="JW221" s="3"/>
      <c r="KA221" s="3"/>
      <c r="KE221" s="3"/>
      <c r="KI221" s="3"/>
      <c r="KM221" s="3"/>
      <c r="KQ221" s="3"/>
      <c r="KU221" s="3"/>
      <c r="KY221" s="3"/>
      <c r="LC221" s="3"/>
      <c r="LG221" s="3"/>
      <c r="LK221" s="3"/>
      <c r="LO221" s="3"/>
    </row>
    <row r="222" spans="175:327" hidden="1">
      <c r="FS222" s="3"/>
      <c r="FW222" s="3"/>
      <c r="GA222" s="3"/>
      <c r="GE222" s="3"/>
      <c r="GI222" s="3"/>
      <c r="GM222" s="3"/>
      <c r="GQ222" s="3"/>
      <c r="GU222" s="3"/>
      <c r="GY222" s="3"/>
      <c r="HC222" s="3"/>
      <c r="HG222" s="3"/>
      <c r="HK222" s="3"/>
      <c r="HO222" s="3"/>
      <c r="HS222" s="3"/>
      <c r="HW222" s="3"/>
      <c r="IA222" s="3"/>
      <c r="IE222" s="3"/>
      <c r="II222" s="3"/>
      <c r="IM222" s="3"/>
      <c r="IQ222" s="3"/>
      <c r="IU222" s="3"/>
      <c r="IY222" s="3"/>
      <c r="JC222" s="3"/>
      <c r="JG222" s="3"/>
      <c r="JK222" s="3"/>
      <c r="JO222" s="3"/>
      <c r="JS222" s="3"/>
      <c r="JW222" s="3"/>
      <c r="KA222" s="3"/>
      <c r="KE222" s="3"/>
      <c r="KI222" s="3"/>
      <c r="KM222" s="3"/>
      <c r="KQ222" s="3"/>
      <c r="KU222" s="3"/>
      <c r="KY222" s="3"/>
      <c r="LC222" s="3"/>
      <c r="LG222" s="3"/>
      <c r="LK222" s="3"/>
      <c r="LO222" s="3"/>
    </row>
    <row r="223" spans="175:327" hidden="1">
      <c r="FS223" s="3"/>
      <c r="FW223" s="3"/>
      <c r="GA223" s="3"/>
      <c r="GE223" s="3"/>
      <c r="GI223" s="3"/>
      <c r="GM223" s="3"/>
      <c r="GQ223" s="3"/>
      <c r="GU223" s="3"/>
      <c r="GY223" s="3"/>
      <c r="HC223" s="3"/>
      <c r="HG223" s="3"/>
      <c r="HK223" s="3"/>
      <c r="HO223" s="3"/>
      <c r="HS223" s="3"/>
      <c r="HW223" s="3"/>
      <c r="IA223" s="3"/>
      <c r="IE223" s="3"/>
      <c r="II223" s="3"/>
      <c r="IM223" s="3"/>
      <c r="IQ223" s="3"/>
      <c r="IU223" s="3"/>
      <c r="IY223" s="3"/>
      <c r="JC223" s="3"/>
      <c r="JG223" s="3"/>
      <c r="JK223" s="3"/>
      <c r="JO223" s="3"/>
      <c r="JS223" s="3"/>
      <c r="JW223" s="3"/>
      <c r="KA223" s="3"/>
      <c r="KE223" s="3"/>
      <c r="KI223" s="3"/>
      <c r="KM223" s="3"/>
      <c r="KQ223" s="3"/>
      <c r="KU223" s="3"/>
      <c r="KY223" s="3"/>
      <c r="LC223" s="3"/>
      <c r="LG223" s="3"/>
      <c r="LK223" s="3"/>
      <c r="LO223" s="3"/>
    </row>
    <row r="224" spans="175:327" hidden="1">
      <c r="FS224" s="3"/>
      <c r="FW224" s="3"/>
      <c r="GA224" s="3"/>
      <c r="GE224" s="3"/>
      <c r="GI224" s="3"/>
      <c r="GM224" s="3"/>
      <c r="GQ224" s="3"/>
      <c r="GU224" s="3"/>
      <c r="GY224" s="3"/>
      <c r="HC224" s="3"/>
      <c r="HG224" s="3"/>
      <c r="HK224" s="3"/>
      <c r="HO224" s="3"/>
      <c r="HS224" s="3"/>
      <c r="HW224" s="3"/>
      <c r="IA224" s="3"/>
      <c r="IE224" s="3"/>
      <c r="II224" s="3"/>
      <c r="IM224" s="3"/>
      <c r="IQ224" s="3"/>
      <c r="IU224" s="3"/>
      <c r="IY224" s="3"/>
      <c r="JC224" s="3"/>
      <c r="JG224" s="3"/>
      <c r="JK224" s="3"/>
      <c r="JO224" s="3"/>
      <c r="JS224" s="3"/>
      <c r="JW224" s="3"/>
      <c r="KA224" s="3"/>
      <c r="KE224" s="3"/>
      <c r="KI224" s="3"/>
      <c r="KM224" s="3"/>
      <c r="KQ224" s="3"/>
      <c r="KU224" s="3"/>
      <c r="KY224" s="3"/>
      <c r="LC224" s="3"/>
      <c r="LG224" s="3"/>
      <c r="LK224" s="3"/>
      <c r="LO224" s="3"/>
    </row>
    <row r="225" spans="175:327" hidden="1">
      <c r="FS225" s="3"/>
      <c r="FW225" s="3"/>
      <c r="GA225" s="3"/>
      <c r="GE225" s="3"/>
      <c r="GI225" s="3"/>
      <c r="GM225" s="3"/>
      <c r="GQ225" s="3"/>
      <c r="GU225" s="3"/>
      <c r="GY225" s="3"/>
      <c r="HC225" s="3"/>
      <c r="HG225" s="3"/>
      <c r="HK225" s="3"/>
      <c r="HO225" s="3"/>
      <c r="HS225" s="3"/>
      <c r="HW225" s="3"/>
      <c r="IA225" s="3"/>
      <c r="IE225" s="3"/>
      <c r="II225" s="3"/>
      <c r="IM225" s="3"/>
      <c r="IQ225" s="3"/>
      <c r="IU225" s="3"/>
      <c r="IY225" s="3"/>
      <c r="JC225" s="3"/>
      <c r="JG225" s="3"/>
      <c r="JK225" s="3"/>
      <c r="JO225" s="3"/>
      <c r="JS225" s="3"/>
      <c r="JW225" s="3"/>
      <c r="KA225" s="3"/>
      <c r="KE225" s="3"/>
      <c r="KI225" s="3"/>
      <c r="KM225" s="3"/>
      <c r="KQ225" s="3"/>
      <c r="KU225" s="3"/>
      <c r="KY225" s="3"/>
      <c r="LC225" s="3"/>
      <c r="LG225" s="3"/>
      <c r="LK225" s="3"/>
      <c r="LO225" s="3"/>
    </row>
    <row r="226" spans="175:327" hidden="1">
      <c r="FS226" s="3"/>
      <c r="FW226" s="3"/>
      <c r="GA226" s="3"/>
      <c r="GE226" s="3"/>
      <c r="GI226" s="3"/>
      <c r="GM226" s="3"/>
      <c r="GQ226" s="3"/>
      <c r="GU226" s="3"/>
      <c r="GY226" s="3"/>
      <c r="HC226" s="3"/>
      <c r="HG226" s="3"/>
      <c r="HK226" s="3"/>
      <c r="HO226" s="3"/>
      <c r="HS226" s="3"/>
      <c r="HW226" s="3"/>
      <c r="IA226" s="3"/>
      <c r="IE226" s="3"/>
      <c r="II226" s="3"/>
      <c r="IM226" s="3"/>
      <c r="IQ226" s="3"/>
      <c r="IU226" s="3"/>
      <c r="IY226" s="3"/>
      <c r="JC226" s="3"/>
      <c r="JG226" s="3"/>
      <c r="JK226" s="3"/>
      <c r="JO226" s="3"/>
      <c r="JS226" s="3"/>
      <c r="JW226" s="3"/>
      <c r="KA226" s="3"/>
      <c r="KE226" s="3"/>
      <c r="KI226" s="3"/>
      <c r="KM226" s="3"/>
      <c r="KQ226" s="3"/>
      <c r="KU226" s="3"/>
      <c r="KY226" s="3"/>
      <c r="LC226" s="3"/>
      <c r="LG226" s="3"/>
      <c r="LK226" s="3"/>
      <c r="LO226" s="3"/>
    </row>
    <row r="227" spans="175:327" hidden="1">
      <c r="FS227" s="3"/>
      <c r="FW227" s="3"/>
      <c r="GA227" s="3"/>
      <c r="GE227" s="3"/>
      <c r="GI227" s="3"/>
      <c r="GM227" s="3"/>
      <c r="GQ227" s="3"/>
      <c r="GU227" s="3"/>
      <c r="GY227" s="3"/>
      <c r="HC227" s="3"/>
      <c r="HG227" s="3"/>
      <c r="HK227" s="3"/>
      <c r="HO227" s="3"/>
      <c r="HS227" s="3"/>
      <c r="HW227" s="3"/>
      <c r="IA227" s="3"/>
      <c r="IE227" s="3"/>
      <c r="II227" s="3"/>
      <c r="IM227" s="3"/>
      <c r="IQ227" s="3"/>
      <c r="IU227" s="3"/>
      <c r="IY227" s="3"/>
      <c r="JC227" s="3"/>
      <c r="JG227" s="3"/>
      <c r="JK227" s="3"/>
      <c r="JO227" s="3"/>
      <c r="JS227" s="3"/>
      <c r="JW227" s="3"/>
      <c r="KA227" s="3"/>
      <c r="KE227" s="3"/>
      <c r="KI227" s="3"/>
      <c r="KM227" s="3"/>
      <c r="KQ227" s="3"/>
      <c r="KU227" s="3"/>
      <c r="KY227" s="3"/>
      <c r="LC227" s="3"/>
      <c r="LG227" s="3"/>
      <c r="LK227" s="3"/>
      <c r="LO227" s="3"/>
    </row>
    <row r="228" spans="175:327" hidden="1">
      <c r="FS228" s="3"/>
      <c r="FW228" s="3"/>
      <c r="GA228" s="3"/>
      <c r="GE228" s="3"/>
      <c r="GI228" s="3"/>
      <c r="GM228" s="3"/>
      <c r="GQ228" s="3"/>
      <c r="GU228" s="3"/>
      <c r="GY228" s="3"/>
      <c r="HC228" s="3"/>
      <c r="HG228" s="3"/>
      <c r="HK228" s="3"/>
      <c r="HO228" s="3"/>
      <c r="HS228" s="3"/>
      <c r="HW228" s="3"/>
      <c r="IA228" s="3"/>
      <c r="IE228" s="3"/>
      <c r="II228" s="3"/>
      <c r="IM228" s="3"/>
      <c r="IQ228" s="3"/>
      <c r="IU228" s="3"/>
      <c r="IY228" s="3"/>
      <c r="JC228" s="3"/>
      <c r="JG228" s="3"/>
      <c r="JK228" s="3"/>
      <c r="JO228" s="3"/>
      <c r="JS228" s="3"/>
      <c r="JW228" s="3"/>
      <c r="KA228" s="3"/>
      <c r="KE228" s="3"/>
      <c r="KI228" s="3"/>
      <c r="KM228" s="3"/>
      <c r="KQ228" s="3"/>
      <c r="KU228" s="3"/>
      <c r="KY228" s="3"/>
      <c r="LC228" s="3"/>
      <c r="LG228" s="3"/>
      <c r="LK228" s="3"/>
      <c r="LO228" s="3"/>
    </row>
    <row r="229" spans="175:327" hidden="1">
      <c r="FS229" s="3"/>
      <c r="FW229" s="3"/>
      <c r="GA229" s="3"/>
      <c r="GE229" s="3"/>
      <c r="GI229" s="3"/>
      <c r="GM229" s="3"/>
      <c r="GQ229" s="3"/>
      <c r="GU229" s="3"/>
      <c r="GY229" s="3"/>
      <c r="HC229" s="3"/>
      <c r="HG229" s="3"/>
      <c r="HK229" s="3"/>
      <c r="HO229" s="3"/>
      <c r="HS229" s="3"/>
      <c r="HW229" s="3"/>
      <c r="IA229" s="3"/>
      <c r="IE229" s="3"/>
      <c r="II229" s="3"/>
      <c r="IM229" s="3"/>
      <c r="IQ229" s="3"/>
      <c r="IU229" s="3"/>
      <c r="IY229" s="3"/>
      <c r="JC229" s="3"/>
      <c r="JG229" s="3"/>
      <c r="JK229" s="3"/>
      <c r="JO229" s="3"/>
      <c r="JS229" s="3"/>
      <c r="JW229" s="3"/>
      <c r="KA229" s="3"/>
      <c r="KE229" s="3"/>
      <c r="KI229" s="3"/>
      <c r="KM229" s="3"/>
      <c r="KQ229" s="3"/>
      <c r="KU229" s="3"/>
      <c r="KY229" s="3"/>
      <c r="LC229" s="3"/>
      <c r="LG229" s="3"/>
      <c r="LK229" s="3"/>
      <c r="LO229" s="3"/>
    </row>
    <row r="230" spans="175:327" hidden="1">
      <c r="FS230" s="3"/>
      <c r="FW230" s="3"/>
      <c r="GA230" s="3"/>
      <c r="GE230" s="3"/>
      <c r="GI230" s="3"/>
      <c r="GM230" s="3"/>
      <c r="GQ230" s="3"/>
      <c r="GU230" s="3"/>
      <c r="GY230" s="3"/>
      <c r="HC230" s="3"/>
      <c r="HG230" s="3"/>
      <c r="HK230" s="3"/>
      <c r="HO230" s="3"/>
      <c r="HS230" s="3"/>
      <c r="HW230" s="3"/>
      <c r="IA230" s="3"/>
      <c r="IE230" s="3"/>
      <c r="II230" s="3"/>
      <c r="IM230" s="3"/>
      <c r="IQ230" s="3"/>
      <c r="IU230" s="3"/>
      <c r="IY230" s="3"/>
      <c r="JC230" s="3"/>
      <c r="JG230" s="3"/>
      <c r="JK230" s="3"/>
      <c r="JO230" s="3"/>
      <c r="JS230" s="3"/>
      <c r="JW230" s="3"/>
      <c r="KA230" s="3"/>
      <c r="KE230" s="3"/>
      <c r="KI230" s="3"/>
      <c r="KM230" s="3"/>
      <c r="KQ230" s="3"/>
      <c r="KU230" s="3"/>
      <c r="KY230" s="3"/>
      <c r="LC230" s="3"/>
      <c r="LG230" s="3"/>
      <c r="LK230" s="3"/>
      <c r="LO230" s="3"/>
    </row>
    <row r="231" spans="175:327" hidden="1">
      <c r="FS231" s="3"/>
      <c r="FW231" s="3"/>
      <c r="GA231" s="3"/>
      <c r="GE231" s="3"/>
      <c r="GI231" s="3"/>
      <c r="GM231" s="3"/>
      <c r="GQ231" s="3"/>
      <c r="GU231" s="3"/>
      <c r="GY231" s="3"/>
      <c r="HC231" s="3"/>
      <c r="HG231" s="3"/>
      <c r="HK231" s="3"/>
      <c r="HO231" s="3"/>
      <c r="HS231" s="3"/>
      <c r="HW231" s="3"/>
      <c r="IA231" s="3"/>
      <c r="IE231" s="3"/>
      <c r="II231" s="3"/>
      <c r="IM231" s="3"/>
      <c r="IQ231" s="3"/>
      <c r="IU231" s="3"/>
      <c r="IY231" s="3"/>
      <c r="JC231" s="3"/>
      <c r="JG231" s="3"/>
      <c r="JK231" s="3"/>
      <c r="JO231" s="3"/>
      <c r="JS231" s="3"/>
      <c r="JW231" s="3"/>
      <c r="KA231" s="3"/>
      <c r="KE231" s="3"/>
      <c r="KI231" s="3"/>
      <c r="KM231" s="3"/>
      <c r="KQ231" s="3"/>
      <c r="KU231" s="3"/>
      <c r="KY231" s="3"/>
      <c r="LC231" s="3"/>
      <c r="LG231" s="3"/>
      <c r="LK231" s="3"/>
      <c r="LO231" s="3"/>
    </row>
    <row r="232" spans="175:327" hidden="1">
      <c r="FS232" s="3"/>
      <c r="FW232" s="3"/>
      <c r="GA232" s="3"/>
      <c r="GE232" s="3"/>
      <c r="GI232" s="3"/>
      <c r="GM232" s="3"/>
      <c r="GQ232" s="3"/>
      <c r="GU232" s="3"/>
      <c r="GY232" s="3"/>
      <c r="HC232" s="3"/>
      <c r="HG232" s="3"/>
      <c r="HK232" s="3"/>
      <c r="HO232" s="3"/>
      <c r="HS232" s="3"/>
      <c r="HW232" s="3"/>
      <c r="IA232" s="3"/>
      <c r="IE232" s="3"/>
      <c r="II232" s="3"/>
      <c r="IM232" s="3"/>
      <c r="IQ232" s="3"/>
      <c r="IU232" s="3"/>
      <c r="IY232" s="3"/>
      <c r="JC232" s="3"/>
      <c r="JG232" s="3"/>
      <c r="JK232" s="3"/>
      <c r="JO232" s="3"/>
      <c r="JS232" s="3"/>
      <c r="JW232" s="3"/>
      <c r="KA232" s="3"/>
      <c r="KE232" s="3"/>
      <c r="KI232" s="3"/>
      <c r="KM232" s="3"/>
      <c r="KQ232" s="3"/>
      <c r="KU232" s="3"/>
      <c r="KY232" s="3"/>
      <c r="LC232" s="3"/>
      <c r="LG232" s="3"/>
      <c r="LK232" s="3"/>
      <c r="LO232" s="3"/>
    </row>
    <row r="233" spans="175:327" hidden="1">
      <c r="FS233" s="3"/>
      <c r="FW233" s="3"/>
      <c r="GA233" s="3"/>
      <c r="GE233" s="3"/>
      <c r="GI233" s="3"/>
      <c r="GM233" s="3"/>
      <c r="GQ233" s="3"/>
      <c r="GU233" s="3"/>
      <c r="GY233" s="3"/>
      <c r="HC233" s="3"/>
      <c r="HG233" s="3"/>
      <c r="HK233" s="3"/>
      <c r="HO233" s="3"/>
      <c r="HS233" s="3"/>
      <c r="HW233" s="3"/>
      <c r="IA233" s="3"/>
      <c r="IE233" s="3"/>
      <c r="II233" s="3"/>
      <c r="IM233" s="3"/>
      <c r="IQ233" s="3"/>
      <c r="IU233" s="3"/>
      <c r="IY233" s="3"/>
      <c r="JC233" s="3"/>
      <c r="JG233" s="3"/>
      <c r="JK233" s="3"/>
      <c r="JO233" s="3"/>
      <c r="JS233" s="3"/>
      <c r="JW233" s="3"/>
      <c r="KA233" s="3"/>
      <c r="KE233" s="3"/>
      <c r="KI233" s="3"/>
      <c r="KM233" s="3"/>
      <c r="KQ233" s="3"/>
      <c r="KU233" s="3"/>
      <c r="KY233" s="3"/>
      <c r="LC233" s="3"/>
      <c r="LG233" s="3"/>
      <c r="LK233" s="3"/>
      <c r="LO233" s="3"/>
    </row>
    <row r="234" spans="175:327" hidden="1">
      <c r="FS234" s="3"/>
      <c r="FW234" s="3"/>
      <c r="GA234" s="3"/>
      <c r="GE234" s="3"/>
      <c r="GI234" s="3"/>
      <c r="GM234" s="3"/>
      <c r="GQ234" s="3"/>
      <c r="GU234" s="3"/>
      <c r="GY234" s="3"/>
      <c r="HC234" s="3"/>
      <c r="HG234" s="3"/>
      <c r="HK234" s="3"/>
      <c r="HO234" s="3"/>
      <c r="HS234" s="3"/>
      <c r="HW234" s="3"/>
      <c r="IA234" s="3"/>
      <c r="IE234" s="3"/>
      <c r="II234" s="3"/>
      <c r="IM234" s="3"/>
      <c r="IQ234" s="3"/>
      <c r="IU234" s="3"/>
      <c r="IY234" s="3"/>
      <c r="JC234" s="3"/>
      <c r="JG234" s="3"/>
      <c r="JK234" s="3"/>
      <c r="JO234" s="3"/>
      <c r="JS234" s="3"/>
      <c r="JW234" s="3"/>
      <c r="KA234" s="3"/>
      <c r="KE234" s="3"/>
      <c r="KI234" s="3"/>
      <c r="KM234" s="3"/>
      <c r="KQ234" s="3"/>
      <c r="KU234" s="3"/>
      <c r="KY234" s="3"/>
      <c r="LC234" s="3"/>
      <c r="LG234" s="3"/>
      <c r="LK234" s="3"/>
      <c r="LO234" s="3"/>
    </row>
    <row r="235" spans="175:327" hidden="1">
      <c r="FS235" s="3"/>
      <c r="FW235" s="3"/>
      <c r="GA235" s="3"/>
      <c r="GE235" s="3"/>
      <c r="GI235" s="3"/>
      <c r="GM235" s="3"/>
      <c r="GQ235" s="3"/>
      <c r="GU235" s="3"/>
      <c r="GY235" s="3"/>
      <c r="HC235" s="3"/>
      <c r="HG235" s="3"/>
      <c r="HK235" s="3"/>
      <c r="HO235" s="3"/>
      <c r="HS235" s="3"/>
      <c r="HW235" s="3"/>
      <c r="IA235" s="3"/>
      <c r="IE235" s="3"/>
      <c r="II235" s="3"/>
      <c r="IM235" s="3"/>
      <c r="IQ235" s="3"/>
      <c r="IU235" s="3"/>
      <c r="IY235" s="3"/>
      <c r="JC235" s="3"/>
      <c r="JG235" s="3"/>
      <c r="JK235" s="3"/>
      <c r="JO235" s="3"/>
      <c r="JS235" s="3"/>
      <c r="JW235" s="3"/>
      <c r="KA235" s="3"/>
      <c r="KE235" s="3"/>
      <c r="KI235" s="3"/>
      <c r="KM235" s="3"/>
      <c r="KQ235" s="3"/>
      <c r="KU235" s="3"/>
      <c r="KY235" s="3"/>
      <c r="LC235" s="3"/>
      <c r="LG235" s="3"/>
      <c r="LK235" s="3"/>
      <c r="LO235" s="3"/>
    </row>
    <row r="236" spans="175:327" hidden="1">
      <c r="FS236" s="3"/>
      <c r="FW236" s="3"/>
      <c r="GA236" s="3"/>
      <c r="GE236" s="3"/>
      <c r="GI236" s="3"/>
      <c r="GM236" s="3"/>
      <c r="GQ236" s="3"/>
      <c r="GU236" s="3"/>
      <c r="GY236" s="3"/>
      <c r="HC236" s="3"/>
      <c r="HG236" s="3"/>
      <c r="HK236" s="3"/>
      <c r="HO236" s="3"/>
      <c r="HS236" s="3"/>
      <c r="HW236" s="3"/>
      <c r="IA236" s="3"/>
      <c r="IE236" s="3"/>
      <c r="II236" s="3"/>
      <c r="IM236" s="3"/>
      <c r="IQ236" s="3"/>
      <c r="IU236" s="3"/>
      <c r="IY236" s="3"/>
      <c r="JC236" s="3"/>
      <c r="JG236" s="3"/>
      <c r="JK236" s="3"/>
      <c r="JO236" s="3"/>
      <c r="JS236" s="3"/>
      <c r="JW236" s="3"/>
      <c r="KA236" s="3"/>
      <c r="KE236" s="3"/>
      <c r="KI236" s="3"/>
      <c r="KM236" s="3"/>
      <c r="KQ236" s="3"/>
      <c r="KU236" s="3"/>
      <c r="KY236" s="3"/>
      <c r="LC236" s="3"/>
      <c r="LG236" s="3"/>
      <c r="LK236" s="3"/>
      <c r="LO236" s="3"/>
    </row>
    <row r="237" spans="175:327" hidden="1">
      <c r="FS237" s="3"/>
      <c r="FW237" s="3"/>
      <c r="GA237" s="3"/>
      <c r="GE237" s="3"/>
      <c r="GI237" s="3"/>
      <c r="GM237" s="3"/>
      <c r="GQ237" s="3"/>
      <c r="GU237" s="3"/>
      <c r="GY237" s="3"/>
      <c r="HC237" s="3"/>
      <c r="HG237" s="3"/>
      <c r="HK237" s="3"/>
      <c r="HO237" s="3"/>
      <c r="HS237" s="3"/>
      <c r="HW237" s="3"/>
      <c r="IA237" s="3"/>
      <c r="IE237" s="3"/>
      <c r="II237" s="3"/>
      <c r="IM237" s="3"/>
      <c r="IQ237" s="3"/>
      <c r="IU237" s="3"/>
      <c r="IY237" s="3"/>
      <c r="JC237" s="3"/>
      <c r="JG237" s="3"/>
      <c r="JK237" s="3"/>
      <c r="JO237" s="3"/>
      <c r="JS237" s="3"/>
      <c r="JW237" s="3"/>
      <c r="KA237" s="3"/>
      <c r="KE237" s="3"/>
      <c r="KI237" s="3"/>
      <c r="KM237" s="3"/>
      <c r="KQ237" s="3"/>
      <c r="KU237" s="3"/>
      <c r="KY237" s="3"/>
      <c r="LC237" s="3"/>
      <c r="LG237" s="3"/>
      <c r="LK237" s="3"/>
      <c r="LO237" s="3"/>
    </row>
    <row r="238" spans="175:327" hidden="1">
      <c r="FS238" s="3"/>
      <c r="FW238" s="3"/>
      <c r="GA238" s="3"/>
      <c r="GE238" s="3"/>
      <c r="GI238" s="3"/>
      <c r="GM238" s="3"/>
      <c r="GQ238" s="3"/>
      <c r="GU238" s="3"/>
      <c r="GY238" s="3"/>
      <c r="HC238" s="3"/>
      <c r="HG238" s="3"/>
      <c r="HK238" s="3"/>
      <c r="HO238" s="3"/>
      <c r="HS238" s="3"/>
      <c r="HW238" s="3"/>
      <c r="IA238" s="3"/>
      <c r="IE238" s="3"/>
      <c r="II238" s="3"/>
      <c r="IM238" s="3"/>
      <c r="IQ238" s="3"/>
      <c r="IU238" s="3"/>
      <c r="IY238" s="3"/>
      <c r="JC238" s="3"/>
      <c r="JG238" s="3"/>
      <c r="JK238" s="3"/>
      <c r="JO238" s="3"/>
      <c r="JS238" s="3"/>
      <c r="JW238" s="3"/>
      <c r="KA238" s="3"/>
      <c r="KE238" s="3"/>
      <c r="KI238" s="3"/>
      <c r="KM238" s="3"/>
      <c r="KQ238" s="3"/>
      <c r="KU238" s="3"/>
      <c r="KY238" s="3"/>
      <c r="LC238" s="3"/>
      <c r="LG238" s="3"/>
      <c r="LK238" s="3"/>
      <c r="LO238" s="3"/>
    </row>
    <row r="239" spans="175:327" hidden="1">
      <c r="FS239" s="3"/>
      <c r="FW239" s="3"/>
      <c r="GA239" s="3"/>
      <c r="GE239" s="3"/>
      <c r="GI239" s="3"/>
      <c r="GM239" s="3"/>
      <c r="GQ239" s="3"/>
      <c r="GU239" s="3"/>
      <c r="GY239" s="3"/>
      <c r="HC239" s="3"/>
      <c r="HG239" s="3"/>
      <c r="HK239" s="3"/>
      <c r="HO239" s="3"/>
      <c r="HS239" s="3"/>
      <c r="HW239" s="3"/>
      <c r="IA239" s="3"/>
      <c r="IE239" s="3"/>
      <c r="II239" s="3"/>
      <c r="IM239" s="3"/>
      <c r="IQ239" s="3"/>
      <c r="IU239" s="3"/>
      <c r="IY239" s="3"/>
      <c r="JC239" s="3"/>
      <c r="JG239" s="3"/>
      <c r="JK239" s="3"/>
      <c r="JO239" s="3"/>
      <c r="JS239" s="3"/>
      <c r="JW239" s="3"/>
      <c r="KA239" s="3"/>
      <c r="KE239" s="3"/>
      <c r="KI239" s="3"/>
      <c r="KM239" s="3"/>
      <c r="KQ239" s="3"/>
      <c r="KU239" s="3"/>
      <c r="KY239" s="3"/>
      <c r="LC239" s="3"/>
      <c r="LG239" s="3"/>
      <c r="LK239" s="3"/>
      <c r="LO239" s="3"/>
    </row>
    <row r="240" spans="175:327" hidden="1">
      <c r="FS240" s="3"/>
      <c r="FW240" s="3"/>
      <c r="GA240" s="3"/>
      <c r="GE240" s="3"/>
      <c r="GI240" s="3"/>
      <c r="GM240" s="3"/>
      <c r="GQ240" s="3"/>
      <c r="GU240" s="3"/>
      <c r="GY240" s="3"/>
      <c r="HC240" s="3"/>
      <c r="HG240" s="3"/>
      <c r="HK240" s="3"/>
      <c r="HO240" s="3"/>
      <c r="HS240" s="3"/>
      <c r="HW240" s="3"/>
      <c r="IA240" s="3"/>
      <c r="IE240" s="3"/>
      <c r="II240" s="3"/>
      <c r="IM240" s="3"/>
      <c r="IQ240" s="3"/>
      <c r="IU240" s="3"/>
      <c r="IY240" s="3"/>
      <c r="JC240" s="3"/>
      <c r="JG240" s="3"/>
      <c r="JK240" s="3"/>
      <c r="JO240" s="3"/>
      <c r="JS240" s="3"/>
      <c r="JW240" s="3"/>
      <c r="KA240" s="3"/>
      <c r="KE240" s="3"/>
      <c r="KI240" s="3"/>
      <c r="KM240" s="3"/>
      <c r="KQ240" s="3"/>
      <c r="KU240" s="3"/>
      <c r="KY240" s="3"/>
      <c r="LC240" s="3"/>
      <c r="LG240" s="3"/>
      <c r="LK240" s="3"/>
      <c r="LO240" s="3"/>
    </row>
    <row r="241" spans="175:327" hidden="1">
      <c r="FS241" s="3"/>
      <c r="FW241" s="3"/>
      <c r="GA241" s="3"/>
      <c r="GE241" s="3"/>
      <c r="GI241" s="3"/>
      <c r="GM241" s="3"/>
      <c r="GQ241" s="3"/>
      <c r="GU241" s="3"/>
      <c r="GY241" s="3"/>
      <c r="HC241" s="3"/>
      <c r="HG241" s="3"/>
      <c r="HK241" s="3"/>
      <c r="HO241" s="3"/>
      <c r="HS241" s="3"/>
      <c r="HW241" s="3"/>
      <c r="IA241" s="3"/>
      <c r="IE241" s="3"/>
      <c r="II241" s="3"/>
      <c r="IM241" s="3"/>
      <c r="IQ241" s="3"/>
      <c r="IU241" s="3"/>
      <c r="IY241" s="3"/>
      <c r="JC241" s="3"/>
      <c r="JG241" s="3"/>
      <c r="JK241" s="3"/>
      <c r="JO241" s="3"/>
      <c r="JS241" s="3"/>
      <c r="JW241" s="3"/>
      <c r="KA241" s="3"/>
      <c r="KE241" s="3"/>
      <c r="KI241" s="3"/>
      <c r="KM241" s="3"/>
      <c r="KQ241" s="3"/>
      <c r="KU241" s="3"/>
      <c r="KY241" s="3"/>
      <c r="LC241" s="3"/>
      <c r="LG241" s="3"/>
      <c r="LK241" s="3"/>
      <c r="LO241" s="3"/>
    </row>
    <row r="242" spans="175:327" hidden="1">
      <c r="FS242" s="3"/>
      <c r="FW242" s="3"/>
      <c r="GA242" s="3"/>
      <c r="GE242" s="3"/>
      <c r="GI242" s="3"/>
      <c r="GM242" s="3"/>
      <c r="GQ242" s="3"/>
      <c r="GU242" s="3"/>
      <c r="GY242" s="3"/>
      <c r="HC242" s="3"/>
      <c r="HG242" s="3"/>
      <c r="HK242" s="3"/>
      <c r="HO242" s="3"/>
      <c r="HS242" s="3"/>
      <c r="HW242" s="3"/>
      <c r="IA242" s="3"/>
      <c r="IE242" s="3"/>
      <c r="II242" s="3"/>
      <c r="IM242" s="3"/>
      <c r="IQ242" s="3"/>
      <c r="IU242" s="3"/>
      <c r="IY242" s="3"/>
      <c r="JC242" s="3"/>
      <c r="JG242" s="3"/>
      <c r="JK242" s="3"/>
      <c r="JO242" s="3"/>
      <c r="JS242" s="3"/>
      <c r="JW242" s="3"/>
      <c r="KA242" s="3"/>
      <c r="KE242" s="3"/>
      <c r="KI242" s="3"/>
      <c r="KM242" s="3"/>
      <c r="KQ242" s="3"/>
      <c r="KU242" s="3"/>
      <c r="KY242" s="3"/>
      <c r="LC242" s="3"/>
      <c r="LG242" s="3"/>
      <c r="LK242" s="3"/>
      <c r="LO242" s="3"/>
    </row>
    <row r="243" spans="175:327" hidden="1">
      <c r="FS243" s="3"/>
      <c r="FW243" s="3"/>
      <c r="GA243" s="3"/>
      <c r="GE243" s="3"/>
      <c r="GI243" s="3"/>
      <c r="GM243" s="3"/>
      <c r="GQ243" s="3"/>
      <c r="GU243" s="3"/>
      <c r="GY243" s="3"/>
      <c r="HC243" s="3"/>
      <c r="HG243" s="3"/>
      <c r="HK243" s="3"/>
      <c r="HO243" s="3"/>
      <c r="HS243" s="3"/>
      <c r="HW243" s="3"/>
      <c r="IA243" s="3"/>
      <c r="IE243" s="3"/>
      <c r="II243" s="3"/>
      <c r="IM243" s="3"/>
      <c r="IQ243" s="3"/>
      <c r="IU243" s="3"/>
      <c r="IY243" s="3"/>
      <c r="JC243" s="3"/>
      <c r="JG243" s="3"/>
      <c r="JK243" s="3"/>
      <c r="JO243" s="3"/>
      <c r="JS243" s="3"/>
      <c r="JW243" s="3"/>
      <c r="KA243" s="3"/>
      <c r="KE243" s="3"/>
      <c r="KI243" s="3"/>
      <c r="KM243" s="3"/>
      <c r="KQ243" s="3"/>
      <c r="KU243" s="3"/>
      <c r="KY243" s="3"/>
      <c r="LC243" s="3"/>
      <c r="LG243" s="3"/>
      <c r="LK243" s="3"/>
      <c r="LO243" s="3"/>
    </row>
    <row r="244" spans="175:327" hidden="1">
      <c r="FS244" s="3"/>
      <c r="FW244" s="3"/>
      <c r="GA244" s="3"/>
      <c r="GE244" s="3"/>
      <c r="GI244" s="3"/>
      <c r="GM244" s="3"/>
      <c r="GQ244" s="3"/>
      <c r="GU244" s="3"/>
      <c r="GY244" s="3"/>
      <c r="HC244" s="3"/>
      <c r="HG244" s="3"/>
      <c r="HK244" s="3"/>
      <c r="HO244" s="3"/>
      <c r="HS244" s="3"/>
      <c r="HW244" s="3"/>
      <c r="IA244" s="3"/>
      <c r="IE244" s="3"/>
      <c r="II244" s="3"/>
      <c r="IM244" s="3"/>
      <c r="IQ244" s="3"/>
      <c r="IU244" s="3"/>
      <c r="IY244" s="3"/>
      <c r="JC244" s="3"/>
      <c r="JG244" s="3"/>
      <c r="JK244" s="3"/>
      <c r="JO244" s="3"/>
      <c r="JS244" s="3"/>
      <c r="JW244" s="3"/>
      <c r="KA244" s="3"/>
      <c r="KE244" s="3"/>
      <c r="KI244" s="3"/>
      <c r="KM244" s="3"/>
      <c r="KQ244" s="3"/>
      <c r="KU244" s="3"/>
      <c r="KY244" s="3"/>
      <c r="LC244" s="3"/>
      <c r="LG244" s="3"/>
      <c r="LK244" s="3"/>
      <c r="LO244" s="3"/>
    </row>
    <row r="245" spans="175:327" hidden="1">
      <c r="FS245" s="3"/>
      <c r="FW245" s="3"/>
      <c r="GA245" s="3"/>
      <c r="GE245" s="3"/>
      <c r="GI245" s="3"/>
      <c r="GM245" s="3"/>
      <c r="GQ245" s="3"/>
      <c r="GU245" s="3"/>
      <c r="GY245" s="3"/>
      <c r="HC245" s="3"/>
      <c r="HG245" s="3"/>
      <c r="HK245" s="3"/>
      <c r="HO245" s="3"/>
      <c r="HS245" s="3"/>
      <c r="HW245" s="3"/>
      <c r="IA245" s="3"/>
      <c r="IE245" s="3"/>
      <c r="II245" s="3"/>
      <c r="IM245" s="3"/>
      <c r="IQ245" s="3"/>
      <c r="IU245" s="3"/>
      <c r="IY245" s="3"/>
      <c r="JC245" s="3"/>
      <c r="JG245" s="3"/>
      <c r="JK245" s="3"/>
      <c r="JO245" s="3"/>
      <c r="JS245" s="3"/>
      <c r="JW245" s="3"/>
      <c r="KA245" s="3"/>
      <c r="KE245" s="3"/>
      <c r="KI245" s="3"/>
      <c r="KM245" s="3"/>
      <c r="KQ245" s="3"/>
      <c r="KU245" s="3"/>
      <c r="KY245" s="3"/>
      <c r="LC245" s="3"/>
      <c r="LG245" s="3"/>
      <c r="LK245" s="3"/>
      <c r="LO245" s="3"/>
    </row>
    <row r="246" spans="175:327" hidden="1">
      <c r="FS246" s="3"/>
      <c r="FW246" s="3"/>
      <c r="GA246" s="3"/>
      <c r="GE246" s="3"/>
      <c r="GI246" s="3"/>
      <c r="GM246" s="3"/>
      <c r="GQ246" s="3"/>
      <c r="GU246" s="3"/>
      <c r="GY246" s="3"/>
      <c r="HC246" s="3"/>
      <c r="HG246" s="3"/>
      <c r="HK246" s="3"/>
      <c r="HO246" s="3"/>
      <c r="HS246" s="3"/>
      <c r="HW246" s="3"/>
      <c r="IA246" s="3"/>
      <c r="IE246" s="3"/>
      <c r="II246" s="3"/>
      <c r="IM246" s="3"/>
      <c r="IQ246" s="3"/>
      <c r="IU246" s="3"/>
      <c r="IY246" s="3"/>
      <c r="JC246" s="3"/>
      <c r="JG246" s="3"/>
      <c r="JK246" s="3"/>
      <c r="JO246" s="3"/>
      <c r="JS246" s="3"/>
      <c r="JW246" s="3"/>
      <c r="KA246" s="3"/>
      <c r="KE246" s="3"/>
      <c r="KI246" s="3"/>
      <c r="KM246" s="3"/>
      <c r="KQ246" s="3"/>
      <c r="KU246" s="3"/>
      <c r="KY246" s="3"/>
      <c r="LC246" s="3"/>
      <c r="LG246" s="3"/>
      <c r="LK246" s="3"/>
      <c r="LO246" s="3"/>
    </row>
    <row r="247" spans="175:327" hidden="1">
      <c r="FS247" s="3"/>
      <c r="FW247" s="3"/>
      <c r="GA247" s="3"/>
      <c r="GE247" s="3"/>
      <c r="GI247" s="3"/>
      <c r="GM247" s="3"/>
      <c r="GQ247" s="3"/>
      <c r="GU247" s="3"/>
      <c r="GY247" s="3"/>
      <c r="HC247" s="3"/>
      <c r="HG247" s="3"/>
      <c r="HK247" s="3"/>
      <c r="HO247" s="3"/>
      <c r="HS247" s="3"/>
      <c r="HW247" s="3"/>
      <c r="IA247" s="3"/>
      <c r="IE247" s="3"/>
      <c r="II247" s="3"/>
      <c r="IM247" s="3"/>
      <c r="IQ247" s="3"/>
      <c r="IU247" s="3"/>
      <c r="IY247" s="3"/>
      <c r="JC247" s="3"/>
      <c r="JG247" s="3"/>
      <c r="JK247" s="3"/>
      <c r="JO247" s="3"/>
      <c r="JS247" s="3"/>
      <c r="JW247" s="3"/>
      <c r="KA247" s="3"/>
      <c r="KE247" s="3"/>
      <c r="KI247" s="3"/>
      <c r="KM247" s="3"/>
      <c r="KQ247" s="3"/>
      <c r="KU247" s="3"/>
      <c r="KY247" s="3"/>
      <c r="LC247" s="3"/>
      <c r="LG247" s="3"/>
      <c r="LK247" s="3"/>
      <c r="LO247" s="3"/>
    </row>
    <row r="248" spans="175:327" hidden="1">
      <c r="FS248" s="3"/>
      <c r="FW248" s="3"/>
      <c r="GA248" s="3"/>
      <c r="GE248" s="3"/>
      <c r="GI248" s="3"/>
      <c r="GM248" s="3"/>
      <c r="GQ248" s="3"/>
      <c r="GU248" s="3"/>
      <c r="GY248" s="3"/>
      <c r="HC248" s="3"/>
      <c r="HG248" s="3"/>
      <c r="HK248" s="3"/>
      <c r="HO248" s="3"/>
      <c r="HS248" s="3"/>
      <c r="HW248" s="3"/>
      <c r="IA248" s="3"/>
      <c r="IE248" s="3"/>
      <c r="II248" s="3"/>
      <c r="IM248" s="3"/>
      <c r="IQ248" s="3"/>
      <c r="IU248" s="3"/>
      <c r="IY248" s="3"/>
      <c r="JC248" s="3"/>
      <c r="JG248" s="3"/>
      <c r="JK248" s="3"/>
      <c r="JO248" s="3"/>
      <c r="JS248" s="3"/>
      <c r="JW248" s="3"/>
      <c r="KA248" s="3"/>
      <c r="KE248" s="3"/>
      <c r="KI248" s="3"/>
      <c r="KM248" s="3"/>
      <c r="KQ248" s="3"/>
      <c r="KU248" s="3"/>
      <c r="KY248" s="3"/>
      <c r="LC248" s="3"/>
      <c r="LG248" s="3"/>
      <c r="LK248" s="3"/>
      <c r="LO248" s="3"/>
    </row>
    <row r="249" spans="175:327" hidden="1">
      <c r="FS249" s="3"/>
      <c r="FW249" s="3"/>
      <c r="GA249" s="3"/>
      <c r="GE249" s="3"/>
      <c r="GI249" s="3"/>
      <c r="GM249" s="3"/>
      <c r="GQ249" s="3"/>
      <c r="GU249" s="3"/>
      <c r="GY249" s="3"/>
      <c r="HC249" s="3"/>
      <c r="HG249" s="3"/>
      <c r="HK249" s="3"/>
      <c r="HO249" s="3"/>
      <c r="HS249" s="3"/>
      <c r="HW249" s="3"/>
      <c r="IA249" s="3"/>
      <c r="IE249" s="3"/>
      <c r="II249" s="3"/>
      <c r="IM249" s="3"/>
      <c r="IQ249" s="3"/>
      <c r="IU249" s="3"/>
      <c r="IY249" s="3"/>
      <c r="JC249" s="3"/>
      <c r="JG249" s="3"/>
      <c r="JK249" s="3"/>
      <c r="JO249" s="3"/>
      <c r="JS249" s="3"/>
      <c r="JW249" s="3"/>
      <c r="KA249" s="3"/>
      <c r="KE249" s="3"/>
      <c r="KI249" s="3"/>
      <c r="KM249" s="3"/>
      <c r="KQ249" s="3"/>
      <c r="KU249" s="3"/>
      <c r="KY249" s="3"/>
      <c r="LC249" s="3"/>
      <c r="LG249" s="3"/>
      <c r="LK249" s="3"/>
      <c r="LO249" s="3"/>
    </row>
    <row r="250" spans="175:327" hidden="1">
      <c r="FS250" s="3"/>
      <c r="FW250" s="3"/>
      <c r="GA250" s="3"/>
      <c r="GE250" s="3"/>
      <c r="GI250" s="3"/>
      <c r="GM250" s="3"/>
      <c r="GQ250" s="3"/>
      <c r="GU250" s="3"/>
      <c r="GY250" s="3"/>
      <c r="HC250" s="3"/>
      <c r="HG250" s="3"/>
      <c r="HK250" s="3"/>
      <c r="HO250" s="3"/>
      <c r="HS250" s="3"/>
      <c r="HW250" s="3"/>
      <c r="IA250" s="3"/>
      <c r="IE250" s="3"/>
      <c r="II250" s="3"/>
      <c r="IM250" s="3"/>
      <c r="IQ250" s="3"/>
      <c r="IU250" s="3"/>
      <c r="IY250" s="3"/>
      <c r="JC250" s="3"/>
      <c r="JG250" s="3"/>
      <c r="JK250" s="3"/>
      <c r="JO250" s="3"/>
      <c r="JS250" s="3"/>
      <c r="JW250" s="3"/>
      <c r="KA250" s="3"/>
      <c r="KE250" s="3"/>
      <c r="KI250" s="3"/>
      <c r="KM250" s="3"/>
      <c r="KQ250" s="3"/>
      <c r="KU250" s="3"/>
      <c r="KY250" s="3"/>
      <c r="LC250" s="3"/>
      <c r="LG250" s="3"/>
      <c r="LK250" s="3"/>
      <c r="LO250" s="3"/>
    </row>
    <row r="251" spans="175:327" hidden="1">
      <c r="FS251" s="3"/>
      <c r="FW251" s="3"/>
      <c r="GA251" s="3"/>
      <c r="GE251" s="3"/>
      <c r="GI251" s="3"/>
      <c r="GM251" s="3"/>
      <c r="GQ251" s="3"/>
      <c r="GU251" s="3"/>
      <c r="GY251" s="3"/>
      <c r="HC251" s="3"/>
      <c r="HG251" s="3"/>
      <c r="HK251" s="3"/>
      <c r="HO251" s="3"/>
      <c r="HS251" s="3"/>
      <c r="HW251" s="3"/>
      <c r="IA251" s="3"/>
      <c r="IE251" s="3"/>
      <c r="II251" s="3"/>
      <c r="IM251" s="3"/>
      <c r="IQ251" s="3"/>
      <c r="IU251" s="3"/>
      <c r="IY251" s="3"/>
      <c r="JC251" s="3"/>
      <c r="JG251" s="3"/>
      <c r="JK251" s="3"/>
      <c r="JO251" s="3"/>
      <c r="JS251" s="3"/>
      <c r="JW251" s="3"/>
      <c r="KA251" s="3"/>
      <c r="KE251" s="3"/>
      <c r="KI251" s="3"/>
      <c r="KM251" s="3"/>
      <c r="KQ251" s="3"/>
      <c r="KU251" s="3"/>
      <c r="KY251" s="3"/>
      <c r="LC251" s="3"/>
      <c r="LG251" s="3"/>
      <c r="LK251" s="3"/>
      <c r="LO251" s="3"/>
    </row>
    <row r="252" spans="175:327" hidden="1">
      <c r="FS252" s="3"/>
      <c r="FW252" s="3"/>
      <c r="GA252" s="3"/>
      <c r="GE252" s="3"/>
      <c r="GI252" s="3"/>
      <c r="GM252" s="3"/>
      <c r="GQ252" s="3"/>
      <c r="GU252" s="3"/>
      <c r="GY252" s="3"/>
      <c r="HC252" s="3"/>
      <c r="HG252" s="3"/>
      <c r="HK252" s="3"/>
      <c r="HO252" s="3"/>
      <c r="HS252" s="3"/>
      <c r="HW252" s="3"/>
      <c r="IA252" s="3"/>
      <c r="IE252" s="3"/>
      <c r="II252" s="3"/>
      <c r="IM252" s="3"/>
      <c r="IQ252" s="3"/>
      <c r="IU252" s="3"/>
      <c r="IY252" s="3"/>
      <c r="JC252" s="3"/>
      <c r="JG252" s="3"/>
      <c r="JK252" s="3"/>
      <c r="JO252" s="3"/>
      <c r="JS252" s="3"/>
      <c r="JW252" s="3"/>
      <c r="KA252" s="3"/>
      <c r="KE252" s="3"/>
      <c r="KI252" s="3"/>
      <c r="KM252" s="3"/>
      <c r="KQ252" s="3"/>
      <c r="KU252" s="3"/>
      <c r="KY252" s="3"/>
      <c r="LC252" s="3"/>
      <c r="LG252" s="3"/>
      <c r="LK252" s="3"/>
      <c r="LO252" s="3"/>
    </row>
    <row r="253" spans="175:327" hidden="1">
      <c r="FS253" s="3"/>
      <c r="FW253" s="3"/>
      <c r="GA253" s="3"/>
      <c r="GE253" s="3"/>
      <c r="GI253" s="3"/>
      <c r="GM253" s="3"/>
      <c r="GQ253" s="3"/>
      <c r="GU253" s="3"/>
      <c r="GY253" s="3"/>
      <c r="HC253" s="3"/>
      <c r="HG253" s="3"/>
      <c r="HK253" s="3"/>
      <c r="HO253" s="3"/>
      <c r="HS253" s="3"/>
      <c r="HW253" s="3"/>
      <c r="IA253" s="3"/>
      <c r="IE253" s="3"/>
      <c r="II253" s="3"/>
      <c r="IM253" s="3"/>
      <c r="IQ253" s="3"/>
      <c r="IU253" s="3"/>
      <c r="IY253" s="3"/>
      <c r="JC253" s="3"/>
      <c r="JG253" s="3"/>
      <c r="JK253" s="3"/>
      <c r="JO253" s="3"/>
      <c r="JS253" s="3"/>
      <c r="JW253" s="3"/>
      <c r="KA253" s="3"/>
      <c r="KE253" s="3"/>
      <c r="KI253" s="3"/>
      <c r="KM253" s="3"/>
      <c r="KQ253" s="3"/>
      <c r="KU253" s="3"/>
      <c r="KY253" s="3"/>
      <c r="LC253" s="3"/>
      <c r="LG253" s="3"/>
      <c r="LK253" s="3"/>
      <c r="LO253" s="3"/>
    </row>
    <row r="254" spans="175:327" hidden="1">
      <c r="FS254" s="3"/>
      <c r="FW254" s="3"/>
      <c r="GA254" s="3"/>
      <c r="GE254" s="3"/>
      <c r="GI254" s="3"/>
      <c r="GM254" s="3"/>
      <c r="GQ254" s="3"/>
      <c r="GU254" s="3"/>
      <c r="GY254" s="3"/>
      <c r="HC254" s="3"/>
      <c r="HG254" s="3"/>
      <c r="HK254" s="3"/>
      <c r="HO254" s="3"/>
      <c r="HS254" s="3"/>
      <c r="HW254" s="3"/>
      <c r="IA254" s="3"/>
      <c r="IE254" s="3"/>
      <c r="II254" s="3"/>
      <c r="IM254" s="3"/>
      <c r="IQ254" s="3"/>
      <c r="IU254" s="3"/>
      <c r="IY254" s="3"/>
      <c r="JC254" s="3"/>
      <c r="JG254" s="3"/>
      <c r="JK254" s="3"/>
      <c r="JO254" s="3"/>
      <c r="JS254" s="3"/>
      <c r="JW254" s="3"/>
      <c r="KA254" s="3"/>
      <c r="KE254" s="3"/>
      <c r="KI254" s="3"/>
      <c r="KM254" s="3"/>
      <c r="KQ254" s="3"/>
      <c r="KU254" s="3"/>
      <c r="KY254" s="3"/>
      <c r="LC254" s="3"/>
      <c r="LG254" s="3"/>
      <c r="LK254" s="3"/>
      <c r="LO254" s="3"/>
    </row>
    <row r="255" spans="175:327" hidden="1">
      <c r="FS255" s="3"/>
      <c r="FW255" s="3"/>
      <c r="GA255" s="3"/>
      <c r="GE255" s="3"/>
      <c r="GI255" s="3"/>
      <c r="GM255" s="3"/>
      <c r="GQ255" s="3"/>
      <c r="GU255" s="3"/>
      <c r="GY255" s="3"/>
      <c r="HC255" s="3"/>
      <c r="HG255" s="3"/>
      <c r="HK255" s="3"/>
      <c r="HO255" s="3"/>
      <c r="HS255" s="3"/>
      <c r="HW255" s="3"/>
      <c r="IA255" s="3"/>
      <c r="IE255" s="3"/>
      <c r="II255" s="3"/>
      <c r="IM255" s="3"/>
      <c r="IQ255" s="3"/>
      <c r="IU255" s="3"/>
      <c r="IY255" s="3"/>
      <c r="JC255" s="3"/>
      <c r="JG255" s="3"/>
      <c r="JK255" s="3"/>
      <c r="JO255" s="3"/>
      <c r="JS255" s="3"/>
      <c r="JW255" s="3"/>
      <c r="KA255" s="3"/>
      <c r="KE255" s="3"/>
      <c r="KI255" s="3"/>
      <c r="KM255" s="3"/>
      <c r="KQ255" s="3"/>
      <c r="KU255" s="3"/>
      <c r="KY255" s="3"/>
      <c r="LC255" s="3"/>
      <c r="LG255" s="3"/>
      <c r="LK255" s="3"/>
      <c r="LO255" s="3"/>
    </row>
    <row r="256" spans="175:327" hidden="1">
      <c r="FS256" s="3"/>
      <c r="FW256" s="3"/>
      <c r="GA256" s="3"/>
      <c r="GE256" s="3"/>
      <c r="GI256" s="3"/>
      <c r="GM256" s="3"/>
      <c r="GQ256" s="3"/>
      <c r="GU256" s="3"/>
      <c r="GY256" s="3"/>
      <c r="HC256" s="3"/>
      <c r="HG256" s="3"/>
      <c r="HK256" s="3"/>
      <c r="HO256" s="3"/>
      <c r="HS256" s="3"/>
      <c r="HW256" s="3"/>
      <c r="IA256" s="3"/>
      <c r="IE256" s="3"/>
      <c r="II256" s="3"/>
      <c r="IM256" s="3"/>
      <c r="IQ256" s="3"/>
      <c r="IU256" s="3"/>
      <c r="IY256" s="3"/>
      <c r="JC256" s="3"/>
      <c r="JG256" s="3"/>
      <c r="JK256" s="3"/>
      <c r="JO256" s="3"/>
      <c r="JS256" s="3"/>
      <c r="JW256" s="3"/>
      <c r="KA256" s="3"/>
      <c r="KE256" s="3"/>
      <c r="KI256" s="3"/>
      <c r="KM256" s="3"/>
      <c r="KQ256" s="3"/>
      <c r="KU256" s="3"/>
      <c r="KY256" s="3"/>
      <c r="LC256" s="3"/>
      <c r="LG256" s="3"/>
      <c r="LK256" s="3"/>
      <c r="LO256" s="3"/>
    </row>
    <row r="257" spans="175:327" hidden="1">
      <c r="FS257" s="3"/>
      <c r="FW257" s="3"/>
      <c r="GA257" s="3"/>
      <c r="GE257" s="3"/>
      <c r="GI257" s="3"/>
      <c r="GM257" s="3"/>
      <c r="GQ257" s="3"/>
      <c r="GU257" s="3"/>
      <c r="GY257" s="3"/>
      <c r="HC257" s="3"/>
      <c r="HG257" s="3"/>
      <c r="HK257" s="3"/>
      <c r="HO257" s="3"/>
      <c r="HS257" s="3"/>
      <c r="HW257" s="3"/>
      <c r="IA257" s="3"/>
      <c r="IE257" s="3"/>
      <c r="II257" s="3"/>
      <c r="IM257" s="3"/>
      <c r="IQ257" s="3"/>
      <c r="IU257" s="3"/>
      <c r="IY257" s="3"/>
      <c r="JC257" s="3"/>
      <c r="JG257" s="3"/>
      <c r="JK257" s="3"/>
      <c r="JO257" s="3"/>
      <c r="JS257" s="3"/>
      <c r="JW257" s="3"/>
      <c r="KA257" s="3"/>
      <c r="KE257" s="3"/>
      <c r="KI257" s="3"/>
      <c r="KM257" s="3"/>
      <c r="KQ257" s="3"/>
      <c r="KU257" s="3"/>
      <c r="KY257" s="3"/>
      <c r="LC257" s="3"/>
      <c r="LG257" s="3"/>
      <c r="LK257" s="3"/>
      <c r="LO257" s="3"/>
    </row>
    <row r="258" spans="175:327" hidden="1">
      <c r="FS258" s="3"/>
      <c r="FW258" s="3"/>
      <c r="GA258" s="3"/>
      <c r="GE258" s="3"/>
      <c r="GI258" s="3"/>
      <c r="GM258" s="3"/>
      <c r="GQ258" s="3"/>
      <c r="GU258" s="3"/>
      <c r="GY258" s="3"/>
      <c r="HC258" s="3"/>
      <c r="HG258" s="3"/>
      <c r="HK258" s="3"/>
      <c r="HO258" s="3"/>
      <c r="HS258" s="3"/>
      <c r="HW258" s="3"/>
      <c r="IA258" s="3"/>
      <c r="IE258" s="3"/>
      <c r="II258" s="3"/>
      <c r="IM258" s="3"/>
      <c r="IQ258" s="3"/>
      <c r="IU258" s="3"/>
      <c r="IY258" s="3"/>
      <c r="JC258" s="3"/>
      <c r="JG258" s="3"/>
      <c r="JK258" s="3"/>
      <c r="JO258" s="3"/>
      <c r="JS258" s="3"/>
      <c r="JW258" s="3"/>
      <c r="KA258" s="3"/>
      <c r="KE258" s="3"/>
      <c r="KI258" s="3"/>
      <c r="KM258" s="3"/>
      <c r="KQ258" s="3"/>
      <c r="KU258" s="3"/>
      <c r="KY258" s="3"/>
      <c r="LC258" s="3"/>
      <c r="LG258" s="3"/>
      <c r="LK258" s="3"/>
      <c r="LO258" s="3"/>
    </row>
    <row r="259" spans="175:327" hidden="1">
      <c r="FS259" s="3"/>
      <c r="FW259" s="3"/>
      <c r="GA259" s="3"/>
      <c r="GE259" s="3"/>
      <c r="GI259" s="3"/>
      <c r="GM259" s="3"/>
      <c r="GQ259" s="3"/>
      <c r="GU259" s="3"/>
      <c r="GY259" s="3"/>
      <c r="HC259" s="3"/>
      <c r="HG259" s="3"/>
      <c r="HK259" s="3"/>
      <c r="HO259" s="3"/>
      <c r="HS259" s="3"/>
      <c r="HW259" s="3"/>
      <c r="IA259" s="3"/>
      <c r="IE259" s="3"/>
      <c r="II259" s="3"/>
      <c r="IM259" s="3"/>
      <c r="IQ259" s="3"/>
      <c r="IU259" s="3"/>
      <c r="IY259" s="3"/>
      <c r="JC259" s="3"/>
      <c r="JG259" s="3"/>
      <c r="JK259" s="3"/>
      <c r="JO259" s="3"/>
      <c r="JS259" s="3"/>
      <c r="JW259" s="3"/>
      <c r="KA259" s="3"/>
      <c r="KE259" s="3"/>
      <c r="KI259" s="3"/>
      <c r="KM259" s="3"/>
      <c r="KQ259" s="3"/>
      <c r="KU259" s="3"/>
      <c r="KY259" s="3"/>
      <c r="LC259" s="3"/>
      <c r="LG259" s="3"/>
      <c r="LK259" s="3"/>
      <c r="LO259" s="3"/>
    </row>
    <row r="260" spans="175:327" hidden="1">
      <c r="FS260" s="3"/>
      <c r="FW260" s="3"/>
      <c r="GA260" s="3"/>
      <c r="GE260" s="3"/>
      <c r="GI260" s="3"/>
      <c r="GM260" s="3"/>
      <c r="GQ260" s="3"/>
      <c r="GU260" s="3"/>
      <c r="GY260" s="3"/>
      <c r="HC260" s="3"/>
      <c r="HG260" s="3"/>
      <c r="HK260" s="3"/>
      <c r="HO260" s="3"/>
      <c r="HS260" s="3"/>
      <c r="HW260" s="3"/>
      <c r="IA260" s="3"/>
      <c r="IE260" s="3"/>
      <c r="II260" s="3"/>
      <c r="IM260" s="3"/>
      <c r="IQ260" s="3"/>
      <c r="IU260" s="3"/>
      <c r="IY260" s="3"/>
      <c r="JC260" s="3"/>
      <c r="JG260" s="3"/>
      <c r="JK260" s="3"/>
      <c r="JO260" s="3"/>
      <c r="JS260" s="3"/>
      <c r="JW260" s="3"/>
      <c r="KA260" s="3"/>
      <c r="KE260" s="3"/>
      <c r="KI260" s="3"/>
      <c r="KM260" s="3"/>
      <c r="KQ260" s="3"/>
      <c r="KU260" s="3"/>
      <c r="KY260" s="3"/>
      <c r="LC260" s="3"/>
      <c r="LG260" s="3"/>
      <c r="LK260" s="3"/>
      <c r="LO260" s="3"/>
    </row>
    <row r="261" spans="175:327" hidden="1">
      <c r="FS261" s="3"/>
      <c r="FW261" s="3"/>
      <c r="GA261" s="3"/>
      <c r="GE261" s="3"/>
      <c r="GI261" s="3"/>
      <c r="GM261" s="3"/>
      <c r="GQ261" s="3"/>
      <c r="GU261" s="3"/>
      <c r="GY261" s="3"/>
      <c r="HC261" s="3"/>
      <c r="HG261" s="3"/>
      <c r="HK261" s="3"/>
      <c r="HO261" s="3"/>
      <c r="HS261" s="3"/>
      <c r="HW261" s="3"/>
      <c r="IA261" s="3"/>
      <c r="IE261" s="3"/>
      <c r="II261" s="3"/>
      <c r="IM261" s="3"/>
      <c r="IQ261" s="3"/>
      <c r="IU261" s="3"/>
      <c r="IY261" s="3"/>
      <c r="JC261" s="3"/>
      <c r="JG261" s="3"/>
      <c r="JK261" s="3"/>
      <c r="JO261" s="3"/>
      <c r="JS261" s="3"/>
      <c r="JW261" s="3"/>
      <c r="KA261" s="3"/>
      <c r="KE261" s="3"/>
      <c r="KI261" s="3"/>
      <c r="KM261" s="3"/>
      <c r="KQ261" s="3"/>
      <c r="KU261" s="3"/>
      <c r="KY261" s="3"/>
      <c r="LC261" s="3"/>
      <c r="LG261" s="3"/>
      <c r="LK261" s="3"/>
      <c r="LO261" s="3"/>
    </row>
    <row r="262" spans="175:327" hidden="1">
      <c r="FS262" s="3"/>
      <c r="FW262" s="3"/>
      <c r="GA262" s="3"/>
      <c r="GE262" s="3"/>
      <c r="GI262" s="3"/>
      <c r="GM262" s="3"/>
      <c r="GQ262" s="3"/>
      <c r="GU262" s="3"/>
      <c r="GY262" s="3"/>
      <c r="HC262" s="3"/>
      <c r="HG262" s="3"/>
      <c r="HK262" s="3"/>
      <c r="HO262" s="3"/>
      <c r="HS262" s="3"/>
      <c r="HW262" s="3"/>
      <c r="IA262" s="3"/>
      <c r="IE262" s="3"/>
      <c r="II262" s="3"/>
      <c r="IM262" s="3"/>
      <c r="IQ262" s="3"/>
      <c r="IU262" s="3"/>
      <c r="IY262" s="3"/>
      <c r="JC262" s="3"/>
      <c r="JG262" s="3"/>
      <c r="JK262" s="3"/>
      <c r="JO262" s="3"/>
      <c r="JS262" s="3"/>
      <c r="JW262" s="3"/>
      <c r="KA262" s="3"/>
      <c r="KE262" s="3"/>
      <c r="KI262" s="3"/>
      <c r="KM262" s="3"/>
      <c r="KQ262" s="3"/>
      <c r="KU262" s="3"/>
      <c r="KY262" s="3"/>
      <c r="LC262" s="3"/>
      <c r="LG262" s="3"/>
      <c r="LK262" s="3"/>
      <c r="LO262" s="3"/>
    </row>
    <row r="263" spans="175:327" hidden="1">
      <c r="FS263" s="3"/>
      <c r="FW263" s="3"/>
      <c r="GA263" s="3"/>
      <c r="GE263" s="3"/>
      <c r="GI263" s="3"/>
      <c r="GM263" s="3"/>
      <c r="GQ263" s="3"/>
      <c r="GU263" s="3"/>
      <c r="GY263" s="3"/>
      <c r="HC263" s="3"/>
      <c r="HG263" s="3"/>
      <c r="HK263" s="3"/>
      <c r="HO263" s="3"/>
      <c r="HS263" s="3"/>
      <c r="HW263" s="3"/>
      <c r="IA263" s="3"/>
      <c r="IE263" s="3"/>
      <c r="II263" s="3"/>
      <c r="IM263" s="3"/>
      <c r="IQ263" s="3"/>
      <c r="IU263" s="3"/>
      <c r="IY263" s="3"/>
      <c r="JC263" s="3"/>
      <c r="JG263" s="3"/>
      <c r="JK263" s="3"/>
      <c r="JO263" s="3"/>
      <c r="JS263" s="3"/>
      <c r="JW263" s="3"/>
      <c r="KA263" s="3"/>
      <c r="KE263" s="3"/>
      <c r="KI263" s="3"/>
      <c r="KM263" s="3"/>
      <c r="KQ263" s="3"/>
      <c r="KU263" s="3"/>
      <c r="KY263" s="3"/>
      <c r="LC263" s="3"/>
      <c r="LG263" s="3"/>
      <c r="LK263" s="3"/>
      <c r="LO263" s="3"/>
    </row>
    <row r="264" spans="175:327" hidden="1">
      <c r="FS264" s="3"/>
      <c r="FW264" s="3"/>
      <c r="GA264" s="3"/>
      <c r="GE264" s="3"/>
      <c r="GI264" s="3"/>
      <c r="GM264" s="3"/>
      <c r="GQ264" s="3"/>
      <c r="GU264" s="3"/>
      <c r="GY264" s="3"/>
      <c r="HC264" s="3"/>
      <c r="HG264" s="3"/>
      <c r="HK264" s="3"/>
      <c r="HO264" s="3"/>
      <c r="HS264" s="3"/>
      <c r="HW264" s="3"/>
      <c r="IA264" s="3"/>
      <c r="IE264" s="3"/>
      <c r="II264" s="3"/>
      <c r="IM264" s="3"/>
      <c r="IQ264" s="3"/>
      <c r="IU264" s="3"/>
      <c r="IY264" s="3"/>
      <c r="JC264" s="3"/>
      <c r="JG264" s="3"/>
      <c r="JK264" s="3"/>
      <c r="JO264" s="3"/>
      <c r="JS264" s="3"/>
      <c r="JW264" s="3"/>
      <c r="KA264" s="3"/>
      <c r="KE264" s="3"/>
      <c r="KI264" s="3"/>
      <c r="KM264" s="3"/>
      <c r="KQ264" s="3"/>
      <c r="KU264" s="3"/>
      <c r="KY264" s="3"/>
      <c r="LC264" s="3"/>
      <c r="LG264" s="3"/>
      <c r="LK264" s="3"/>
      <c r="LO264" s="3"/>
    </row>
    <row r="265" spans="175:327" hidden="1">
      <c r="FS265" s="3"/>
      <c r="FW265" s="3"/>
      <c r="GA265" s="3"/>
      <c r="GE265" s="3"/>
      <c r="GI265" s="3"/>
      <c r="GM265" s="3"/>
      <c r="GQ265" s="3"/>
      <c r="GU265" s="3"/>
      <c r="GY265" s="3"/>
      <c r="HC265" s="3"/>
      <c r="HG265" s="3"/>
      <c r="HK265" s="3"/>
      <c r="HO265" s="3"/>
      <c r="HS265" s="3"/>
      <c r="HW265" s="3"/>
      <c r="IA265" s="3"/>
      <c r="IE265" s="3"/>
      <c r="II265" s="3"/>
      <c r="IM265" s="3"/>
      <c r="IQ265" s="3"/>
      <c r="IU265" s="3"/>
      <c r="IY265" s="3"/>
      <c r="JC265" s="3"/>
      <c r="JG265" s="3"/>
      <c r="JK265" s="3"/>
      <c r="JO265" s="3"/>
      <c r="JS265" s="3"/>
      <c r="JW265" s="3"/>
      <c r="KA265" s="3"/>
      <c r="KE265" s="3"/>
      <c r="KI265" s="3"/>
      <c r="KM265" s="3"/>
      <c r="KQ265" s="3"/>
      <c r="KU265" s="3"/>
      <c r="KY265" s="3"/>
      <c r="LC265" s="3"/>
      <c r="LG265" s="3"/>
      <c r="LK265" s="3"/>
      <c r="LO265" s="3"/>
    </row>
    <row r="266" spans="175:327" hidden="1">
      <c r="FS266" s="3"/>
      <c r="FW266" s="3"/>
      <c r="GA266" s="3"/>
      <c r="GE266" s="3"/>
      <c r="GI266" s="3"/>
      <c r="GM266" s="3"/>
      <c r="GQ266" s="3"/>
      <c r="GU266" s="3"/>
      <c r="GY266" s="3"/>
      <c r="HC266" s="3"/>
      <c r="HG266" s="3"/>
      <c r="HK266" s="3"/>
      <c r="HO266" s="3"/>
      <c r="HS266" s="3"/>
      <c r="HW266" s="3"/>
      <c r="IA266" s="3"/>
      <c r="IE266" s="3"/>
      <c r="II266" s="3"/>
      <c r="IM266" s="3"/>
      <c r="IQ266" s="3"/>
      <c r="IU266" s="3"/>
      <c r="IY266" s="3"/>
      <c r="JC266" s="3"/>
      <c r="JG266" s="3"/>
      <c r="JK266" s="3"/>
      <c r="JO266" s="3"/>
      <c r="JS266" s="3"/>
      <c r="JW266" s="3"/>
      <c r="KA266" s="3"/>
      <c r="KE266" s="3"/>
      <c r="KI266" s="3"/>
      <c r="KM266" s="3"/>
      <c r="KQ266" s="3"/>
      <c r="KU266" s="3"/>
      <c r="KY266" s="3"/>
      <c r="LC266" s="3"/>
      <c r="LG266" s="3"/>
      <c r="LK266" s="3"/>
      <c r="LO266" s="3"/>
    </row>
    <row r="267" spans="175:327" hidden="1">
      <c r="FS267" s="3"/>
      <c r="FW267" s="3"/>
      <c r="GA267" s="3"/>
      <c r="GE267" s="3"/>
      <c r="GI267" s="3"/>
      <c r="GM267" s="3"/>
      <c r="GQ267" s="3"/>
      <c r="GU267" s="3"/>
      <c r="GY267" s="3"/>
      <c r="HC267" s="3"/>
      <c r="HG267" s="3"/>
      <c r="HK267" s="3"/>
      <c r="HO267" s="3"/>
      <c r="HS267" s="3"/>
      <c r="HW267" s="3"/>
      <c r="IA267" s="3"/>
      <c r="IE267" s="3"/>
      <c r="II267" s="3"/>
      <c r="IM267" s="3"/>
      <c r="IQ267" s="3"/>
      <c r="IU267" s="3"/>
      <c r="IY267" s="3"/>
      <c r="JC267" s="3"/>
      <c r="JG267" s="3"/>
      <c r="JK267" s="3"/>
      <c r="JO267" s="3"/>
      <c r="JS267" s="3"/>
      <c r="JW267" s="3"/>
      <c r="KA267" s="3"/>
      <c r="KE267" s="3"/>
      <c r="KI267" s="3"/>
      <c r="KM267" s="3"/>
      <c r="KQ267" s="3"/>
      <c r="KU267" s="3"/>
      <c r="KY267" s="3"/>
      <c r="LC267" s="3"/>
      <c r="LG267" s="3"/>
      <c r="LK267" s="3"/>
      <c r="LO267" s="3"/>
    </row>
    <row r="268" spans="175:327" hidden="1">
      <c r="FS268" s="3"/>
      <c r="FW268" s="3"/>
      <c r="GA268" s="3"/>
      <c r="GE268" s="3"/>
      <c r="GI268" s="3"/>
      <c r="GM268" s="3"/>
      <c r="GQ268" s="3"/>
      <c r="GU268" s="3"/>
      <c r="GY268" s="3"/>
      <c r="HC268" s="3"/>
      <c r="HG268" s="3"/>
      <c r="HK268" s="3"/>
      <c r="HO268" s="3"/>
      <c r="HS268" s="3"/>
      <c r="HW268" s="3"/>
      <c r="IA268" s="3"/>
      <c r="IE268" s="3"/>
      <c r="II268" s="3"/>
      <c r="IM268" s="3"/>
      <c r="IQ268" s="3"/>
      <c r="IU268" s="3"/>
      <c r="IY268" s="3"/>
      <c r="JC268" s="3"/>
      <c r="JG268" s="3"/>
      <c r="JK268" s="3"/>
      <c r="JO268" s="3"/>
      <c r="JS268" s="3"/>
      <c r="JW268" s="3"/>
      <c r="KA268" s="3"/>
      <c r="KE268" s="3"/>
      <c r="KI268" s="3"/>
      <c r="KM268" s="3"/>
      <c r="KQ268" s="3"/>
      <c r="KU268" s="3"/>
      <c r="KY268" s="3"/>
      <c r="LC268" s="3"/>
      <c r="LG268" s="3"/>
      <c r="LK268" s="3"/>
      <c r="LO268" s="3"/>
    </row>
    <row r="269" spans="175:327" hidden="1">
      <c r="FS269" s="3"/>
      <c r="FW269" s="3"/>
      <c r="GA269" s="3"/>
      <c r="GE269" s="3"/>
      <c r="GI269" s="3"/>
      <c r="GM269" s="3"/>
      <c r="GQ269" s="3"/>
      <c r="GU269" s="3"/>
      <c r="GY269" s="3"/>
      <c r="HC269" s="3"/>
      <c r="HG269" s="3"/>
      <c r="HK269" s="3"/>
      <c r="HO269" s="3"/>
      <c r="HS269" s="3"/>
      <c r="HW269" s="3"/>
      <c r="IA269" s="3"/>
      <c r="IE269" s="3"/>
      <c r="II269" s="3"/>
      <c r="IM269" s="3"/>
      <c r="IQ269" s="3"/>
      <c r="IU269" s="3"/>
      <c r="IY269" s="3"/>
      <c r="JC269" s="3"/>
      <c r="JG269" s="3"/>
      <c r="JK269" s="3"/>
      <c r="JO269" s="3"/>
      <c r="JS269" s="3"/>
      <c r="JW269" s="3"/>
      <c r="KA269" s="3"/>
      <c r="KE269" s="3"/>
      <c r="KI269" s="3"/>
      <c r="KM269" s="3"/>
      <c r="KQ269" s="3"/>
      <c r="KU269" s="3"/>
      <c r="KY269" s="3"/>
      <c r="LC269" s="3"/>
      <c r="LG269" s="3"/>
      <c r="LK269" s="3"/>
      <c r="LO269" s="3"/>
    </row>
    <row r="270" spans="175:327" hidden="1">
      <c r="FS270" s="3"/>
      <c r="FW270" s="3"/>
      <c r="GA270" s="3"/>
      <c r="GE270" s="3"/>
      <c r="GI270" s="3"/>
      <c r="GM270" s="3"/>
      <c r="GQ270" s="3"/>
      <c r="GU270" s="3"/>
      <c r="GY270" s="3"/>
      <c r="HC270" s="3"/>
      <c r="HG270" s="3"/>
      <c r="HK270" s="3"/>
      <c r="HO270" s="3"/>
      <c r="HS270" s="3"/>
      <c r="HW270" s="3"/>
      <c r="IA270" s="3"/>
      <c r="IE270" s="3"/>
      <c r="II270" s="3"/>
      <c r="IM270" s="3"/>
      <c r="IQ270" s="3"/>
      <c r="IU270" s="3"/>
      <c r="IY270" s="3"/>
      <c r="JC270" s="3"/>
      <c r="JG270" s="3"/>
      <c r="JK270" s="3"/>
      <c r="JO270" s="3"/>
      <c r="JS270" s="3"/>
      <c r="JW270" s="3"/>
      <c r="KA270" s="3"/>
      <c r="KE270" s="3"/>
      <c r="KI270" s="3"/>
      <c r="KM270" s="3"/>
      <c r="KQ270" s="3"/>
      <c r="KU270" s="3"/>
      <c r="KY270" s="3"/>
      <c r="LC270" s="3"/>
      <c r="LG270" s="3"/>
      <c r="LK270" s="3"/>
      <c r="LO270" s="3"/>
    </row>
    <row r="271" spans="175:327" hidden="1">
      <c r="FS271" s="3"/>
      <c r="FW271" s="3"/>
      <c r="GA271" s="3"/>
      <c r="GE271" s="3"/>
      <c r="GI271" s="3"/>
      <c r="GM271" s="3"/>
      <c r="GQ271" s="3"/>
      <c r="GU271" s="3"/>
      <c r="GY271" s="3"/>
      <c r="HC271" s="3"/>
      <c r="HG271" s="3"/>
      <c r="HK271" s="3"/>
      <c r="HO271" s="3"/>
      <c r="HS271" s="3"/>
      <c r="HW271" s="3"/>
      <c r="IA271" s="3"/>
      <c r="IE271" s="3"/>
      <c r="II271" s="3"/>
      <c r="IM271" s="3"/>
      <c r="IQ271" s="3"/>
      <c r="IU271" s="3"/>
      <c r="IY271" s="3"/>
      <c r="JC271" s="3"/>
      <c r="JG271" s="3"/>
      <c r="JK271" s="3"/>
      <c r="JO271" s="3"/>
      <c r="JS271" s="3"/>
      <c r="JW271" s="3"/>
      <c r="KA271" s="3"/>
      <c r="KE271" s="3"/>
      <c r="KI271" s="3"/>
      <c r="KM271" s="3"/>
      <c r="KQ271" s="3"/>
      <c r="KU271" s="3"/>
      <c r="KY271" s="3"/>
      <c r="LC271" s="3"/>
      <c r="LG271" s="3"/>
      <c r="LK271" s="3"/>
      <c r="LO271" s="3"/>
    </row>
    <row r="272" spans="175:327" hidden="1">
      <c r="FS272" s="3"/>
      <c r="FW272" s="3"/>
      <c r="GA272" s="3"/>
      <c r="GE272" s="3"/>
      <c r="GI272" s="3"/>
      <c r="GM272" s="3"/>
      <c r="GQ272" s="3"/>
      <c r="GU272" s="3"/>
      <c r="GY272" s="3"/>
      <c r="HC272" s="3"/>
      <c r="HG272" s="3"/>
      <c r="HK272" s="3"/>
      <c r="HO272" s="3"/>
      <c r="HS272" s="3"/>
      <c r="HW272" s="3"/>
      <c r="IA272" s="3"/>
      <c r="IE272" s="3"/>
      <c r="II272" s="3"/>
      <c r="IM272" s="3"/>
      <c r="IQ272" s="3"/>
      <c r="IU272" s="3"/>
      <c r="IY272" s="3"/>
      <c r="JC272" s="3"/>
      <c r="JG272" s="3"/>
      <c r="JK272" s="3"/>
      <c r="JO272" s="3"/>
      <c r="JS272" s="3"/>
      <c r="JW272" s="3"/>
      <c r="KA272" s="3"/>
      <c r="KE272" s="3"/>
      <c r="KI272" s="3"/>
      <c r="KM272" s="3"/>
      <c r="KQ272" s="3"/>
      <c r="KU272" s="3"/>
      <c r="KY272" s="3"/>
      <c r="LC272" s="3"/>
      <c r="LG272" s="3"/>
      <c r="LK272" s="3"/>
      <c r="LO272" s="3"/>
    </row>
    <row r="273" spans="175:327" hidden="1">
      <c r="FS273" s="3"/>
      <c r="FW273" s="3"/>
      <c r="GA273" s="3"/>
      <c r="GE273" s="3"/>
      <c r="GI273" s="3"/>
      <c r="GM273" s="3"/>
      <c r="GQ273" s="3"/>
      <c r="GU273" s="3"/>
      <c r="GY273" s="3"/>
      <c r="HC273" s="3"/>
      <c r="HG273" s="3"/>
      <c r="HK273" s="3"/>
      <c r="HO273" s="3"/>
      <c r="HS273" s="3"/>
      <c r="HW273" s="3"/>
      <c r="IA273" s="3"/>
      <c r="IE273" s="3"/>
      <c r="II273" s="3"/>
      <c r="IM273" s="3"/>
      <c r="IQ273" s="3"/>
      <c r="IU273" s="3"/>
      <c r="IY273" s="3"/>
      <c r="JC273" s="3"/>
      <c r="JG273" s="3"/>
      <c r="JK273" s="3"/>
      <c r="JO273" s="3"/>
      <c r="JS273" s="3"/>
      <c r="JW273" s="3"/>
      <c r="KA273" s="3"/>
      <c r="KE273" s="3"/>
      <c r="KI273" s="3"/>
      <c r="KM273" s="3"/>
      <c r="KQ273" s="3"/>
      <c r="KU273" s="3"/>
      <c r="KY273" s="3"/>
      <c r="LC273" s="3"/>
      <c r="LG273" s="3"/>
      <c r="LK273" s="3"/>
      <c r="LO273" s="3"/>
    </row>
    <row r="274" spans="175:327" hidden="1">
      <c r="FS274" s="3"/>
      <c r="FW274" s="3"/>
      <c r="GA274" s="3"/>
      <c r="GE274" s="3"/>
      <c r="GI274" s="3"/>
      <c r="GM274" s="3"/>
      <c r="GQ274" s="3"/>
      <c r="GU274" s="3"/>
      <c r="GY274" s="3"/>
      <c r="HC274" s="3"/>
      <c r="HG274" s="3"/>
      <c r="HK274" s="3"/>
      <c r="HO274" s="3"/>
      <c r="HS274" s="3"/>
      <c r="HW274" s="3"/>
      <c r="IA274" s="3"/>
      <c r="IE274" s="3"/>
      <c r="II274" s="3"/>
      <c r="IM274" s="3"/>
      <c r="IQ274" s="3"/>
      <c r="IU274" s="3"/>
      <c r="IY274" s="3"/>
      <c r="JC274" s="3"/>
      <c r="JG274" s="3"/>
      <c r="JK274" s="3"/>
      <c r="JO274" s="3"/>
      <c r="JS274" s="3"/>
      <c r="JW274" s="3"/>
      <c r="KA274" s="3"/>
      <c r="KE274" s="3"/>
      <c r="KI274" s="3"/>
      <c r="KM274" s="3"/>
      <c r="KQ274" s="3"/>
      <c r="KU274" s="3"/>
      <c r="KY274" s="3"/>
      <c r="LC274" s="3"/>
      <c r="LG274" s="3"/>
      <c r="LK274" s="3"/>
      <c r="LO274" s="3"/>
    </row>
    <row r="275" spans="175:327" hidden="1">
      <c r="FS275" s="3"/>
      <c r="FW275" s="3"/>
      <c r="GA275" s="3"/>
      <c r="GE275" s="3"/>
      <c r="GI275" s="3"/>
      <c r="GM275" s="3"/>
      <c r="GQ275" s="3"/>
      <c r="GU275" s="3"/>
      <c r="GY275" s="3"/>
      <c r="HC275" s="3"/>
      <c r="HG275" s="3"/>
      <c r="HK275" s="3"/>
      <c r="HO275" s="3"/>
      <c r="HS275" s="3"/>
      <c r="HW275" s="3"/>
      <c r="IA275" s="3"/>
      <c r="IE275" s="3"/>
      <c r="II275" s="3"/>
      <c r="IM275" s="3"/>
      <c r="IQ275" s="3"/>
      <c r="IU275" s="3"/>
      <c r="IY275" s="3"/>
      <c r="JC275" s="3"/>
      <c r="JG275" s="3"/>
      <c r="JK275" s="3"/>
      <c r="JO275" s="3"/>
      <c r="JS275" s="3"/>
      <c r="JW275" s="3"/>
      <c r="KA275" s="3"/>
      <c r="KE275" s="3"/>
      <c r="KI275" s="3"/>
      <c r="KM275" s="3"/>
      <c r="KQ275" s="3"/>
      <c r="KU275" s="3"/>
      <c r="KY275" s="3"/>
      <c r="LC275" s="3"/>
      <c r="LG275" s="3"/>
      <c r="LK275" s="3"/>
      <c r="LO275" s="3"/>
    </row>
    <row r="276" spans="175:327" hidden="1">
      <c r="FS276" s="3"/>
      <c r="FW276" s="3"/>
      <c r="GA276" s="3"/>
      <c r="GE276" s="3"/>
      <c r="GI276" s="3"/>
      <c r="GM276" s="3"/>
      <c r="GQ276" s="3"/>
      <c r="GU276" s="3"/>
      <c r="GY276" s="3"/>
      <c r="HC276" s="3"/>
      <c r="HG276" s="3"/>
      <c r="HK276" s="3"/>
      <c r="HO276" s="3"/>
      <c r="HS276" s="3"/>
      <c r="HW276" s="3"/>
      <c r="IA276" s="3"/>
      <c r="IE276" s="3"/>
      <c r="II276" s="3"/>
      <c r="IM276" s="3"/>
      <c r="IQ276" s="3"/>
      <c r="IU276" s="3"/>
      <c r="IY276" s="3"/>
      <c r="JC276" s="3"/>
      <c r="JG276" s="3"/>
      <c r="JK276" s="3"/>
      <c r="JO276" s="3"/>
      <c r="JS276" s="3"/>
      <c r="JW276" s="3"/>
      <c r="KA276" s="3"/>
      <c r="KE276" s="3"/>
      <c r="KI276" s="3"/>
      <c r="KM276" s="3"/>
      <c r="KQ276" s="3"/>
      <c r="KU276" s="3"/>
      <c r="KY276" s="3"/>
      <c r="LC276" s="3"/>
      <c r="LG276" s="3"/>
      <c r="LK276" s="3"/>
      <c r="LO276" s="3"/>
    </row>
    <row r="277" spans="175:327" hidden="1">
      <c r="FS277" s="3"/>
      <c r="FW277" s="3"/>
      <c r="GA277" s="3"/>
      <c r="GE277" s="3"/>
      <c r="GI277" s="3"/>
      <c r="GM277" s="3"/>
      <c r="GQ277" s="3"/>
      <c r="GU277" s="3"/>
      <c r="GY277" s="3"/>
      <c r="HC277" s="3"/>
      <c r="HG277" s="3"/>
      <c r="HK277" s="3"/>
      <c r="HO277" s="3"/>
      <c r="HS277" s="3"/>
      <c r="HW277" s="3"/>
      <c r="IA277" s="3"/>
      <c r="IE277" s="3"/>
      <c r="II277" s="3"/>
      <c r="IM277" s="3"/>
      <c r="IQ277" s="3"/>
      <c r="IU277" s="3"/>
      <c r="IY277" s="3"/>
      <c r="JC277" s="3"/>
      <c r="JG277" s="3"/>
      <c r="JK277" s="3"/>
      <c r="JO277" s="3"/>
      <c r="JS277" s="3"/>
      <c r="JW277" s="3"/>
      <c r="KA277" s="3"/>
      <c r="KE277" s="3"/>
      <c r="KI277" s="3"/>
      <c r="KM277" s="3"/>
      <c r="KQ277" s="3"/>
      <c r="KU277" s="3"/>
      <c r="KY277" s="3"/>
      <c r="LC277" s="3"/>
      <c r="LG277" s="3"/>
      <c r="LK277" s="3"/>
      <c r="LO277" s="3"/>
    </row>
    <row r="278" spans="175:327" hidden="1">
      <c r="FS278" s="3"/>
      <c r="FW278" s="3"/>
      <c r="GA278" s="3"/>
      <c r="GE278" s="3"/>
      <c r="GI278" s="3"/>
      <c r="GM278" s="3"/>
      <c r="GQ278" s="3"/>
      <c r="GU278" s="3"/>
      <c r="GY278" s="3"/>
      <c r="HC278" s="3"/>
      <c r="HG278" s="3"/>
      <c r="HK278" s="3"/>
      <c r="HO278" s="3"/>
      <c r="HS278" s="3"/>
      <c r="HW278" s="3"/>
      <c r="IA278" s="3"/>
      <c r="IE278" s="3"/>
      <c r="II278" s="3"/>
      <c r="IM278" s="3"/>
      <c r="IQ278" s="3"/>
      <c r="IU278" s="3"/>
      <c r="IY278" s="3"/>
      <c r="JC278" s="3"/>
      <c r="JG278" s="3"/>
      <c r="JK278" s="3"/>
      <c r="JO278" s="3"/>
      <c r="JS278" s="3"/>
      <c r="JW278" s="3"/>
      <c r="KA278" s="3"/>
      <c r="KE278" s="3"/>
      <c r="KI278" s="3"/>
      <c r="KM278" s="3"/>
      <c r="KQ278" s="3"/>
      <c r="KU278" s="3"/>
      <c r="KY278" s="3"/>
      <c r="LC278" s="3"/>
      <c r="LG278" s="3"/>
      <c r="LK278" s="3"/>
      <c r="LO278" s="3"/>
    </row>
    <row r="279" spans="175:327" hidden="1">
      <c r="FS279" s="3"/>
      <c r="FW279" s="3"/>
      <c r="GA279" s="3"/>
      <c r="GE279" s="3"/>
      <c r="GI279" s="3"/>
      <c r="GM279" s="3"/>
      <c r="GQ279" s="3"/>
      <c r="GU279" s="3"/>
      <c r="GY279" s="3"/>
      <c r="HC279" s="3"/>
      <c r="HG279" s="3"/>
      <c r="HK279" s="3"/>
      <c r="HO279" s="3"/>
      <c r="HS279" s="3"/>
      <c r="HW279" s="3"/>
      <c r="IA279" s="3"/>
      <c r="IE279" s="3"/>
      <c r="II279" s="3"/>
      <c r="IM279" s="3"/>
      <c r="IQ279" s="3"/>
      <c r="IU279" s="3"/>
      <c r="IY279" s="3"/>
      <c r="JC279" s="3"/>
      <c r="JG279" s="3"/>
      <c r="JK279" s="3"/>
      <c r="JO279" s="3"/>
      <c r="JS279" s="3"/>
      <c r="JW279" s="3"/>
      <c r="KA279" s="3"/>
      <c r="KE279" s="3"/>
      <c r="KI279" s="3"/>
      <c r="KM279" s="3"/>
      <c r="KQ279" s="3"/>
      <c r="KU279" s="3"/>
      <c r="KY279" s="3"/>
      <c r="LC279" s="3"/>
      <c r="LG279" s="3"/>
      <c r="LK279" s="3"/>
      <c r="LO279" s="3"/>
    </row>
    <row r="280" spans="175:327" hidden="1">
      <c r="FS280" s="3"/>
      <c r="FW280" s="3"/>
      <c r="GA280" s="3"/>
      <c r="GE280" s="3"/>
      <c r="GI280" s="3"/>
      <c r="GM280" s="3"/>
      <c r="GQ280" s="3"/>
      <c r="GU280" s="3"/>
      <c r="GY280" s="3"/>
      <c r="HC280" s="3"/>
      <c r="HG280" s="3"/>
      <c r="HK280" s="3"/>
      <c r="HO280" s="3"/>
      <c r="HS280" s="3"/>
      <c r="HW280" s="3"/>
      <c r="IA280" s="3"/>
      <c r="IE280" s="3"/>
      <c r="II280" s="3"/>
      <c r="IM280" s="3"/>
      <c r="IQ280" s="3"/>
      <c r="IU280" s="3"/>
      <c r="IY280" s="3"/>
      <c r="JC280" s="3"/>
      <c r="JG280" s="3"/>
      <c r="JK280" s="3"/>
      <c r="JO280" s="3"/>
      <c r="JS280" s="3"/>
      <c r="JW280" s="3"/>
      <c r="KA280" s="3"/>
      <c r="KE280" s="3"/>
      <c r="KI280" s="3"/>
      <c r="KM280" s="3"/>
      <c r="KQ280" s="3"/>
      <c r="KU280" s="3"/>
      <c r="KY280" s="3"/>
      <c r="LC280" s="3"/>
      <c r="LG280" s="3"/>
      <c r="LK280" s="3"/>
      <c r="LO280" s="3"/>
    </row>
    <row r="281" spans="175:327" hidden="1">
      <c r="FS281" s="3"/>
      <c r="FW281" s="3"/>
      <c r="GA281" s="3"/>
      <c r="GE281" s="3"/>
      <c r="GI281" s="3"/>
      <c r="GM281" s="3"/>
      <c r="GQ281" s="3"/>
      <c r="GU281" s="3"/>
      <c r="GY281" s="3"/>
      <c r="HC281" s="3"/>
      <c r="HG281" s="3"/>
      <c r="HK281" s="3"/>
      <c r="HO281" s="3"/>
      <c r="HS281" s="3"/>
      <c r="HW281" s="3"/>
      <c r="IA281" s="3"/>
      <c r="IE281" s="3"/>
      <c r="II281" s="3"/>
      <c r="IM281" s="3"/>
      <c r="IQ281" s="3"/>
      <c r="IU281" s="3"/>
      <c r="IY281" s="3"/>
      <c r="JC281" s="3"/>
      <c r="JG281" s="3"/>
      <c r="JK281" s="3"/>
      <c r="JO281" s="3"/>
      <c r="JS281" s="3"/>
      <c r="JW281" s="3"/>
      <c r="KA281" s="3"/>
      <c r="KE281" s="3"/>
      <c r="KI281" s="3"/>
      <c r="KM281" s="3"/>
      <c r="KQ281" s="3"/>
      <c r="KU281" s="3"/>
      <c r="KY281" s="3"/>
      <c r="LC281" s="3"/>
      <c r="LG281" s="3"/>
      <c r="LK281" s="3"/>
      <c r="LO281" s="3"/>
    </row>
    <row r="282" spans="175:327" hidden="1">
      <c r="FS282" s="3"/>
      <c r="FW282" s="3"/>
      <c r="GA282" s="3"/>
      <c r="GE282" s="3"/>
      <c r="GI282" s="3"/>
      <c r="GM282" s="3"/>
      <c r="GQ282" s="3"/>
      <c r="GU282" s="3"/>
      <c r="GY282" s="3"/>
      <c r="HC282" s="3"/>
      <c r="HG282" s="3"/>
      <c r="HK282" s="3"/>
      <c r="HO282" s="3"/>
      <c r="HS282" s="3"/>
      <c r="HW282" s="3"/>
      <c r="IA282" s="3"/>
      <c r="IE282" s="3"/>
      <c r="II282" s="3"/>
      <c r="IM282" s="3"/>
      <c r="IQ282" s="3"/>
      <c r="IU282" s="3"/>
      <c r="IY282" s="3"/>
      <c r="JC282" s="3"/>
      <c r="JG282" s="3"/>
      <c r="JK282" s="3"/>
      <c r="JO282" s="3"/>
      <c r="JS282" s="3"/>
      <c r="JW282" s="3"/>
      <c r="KA282" s="3"/>
      <c r="KE282" s="3"/>
      <c r="KI282" s="3"/>
      <c r="KM282" s="3"/>
      <c r="KQ282" s="3"/>
      <c r="KU282" s="3"/>
      <c r="KY282" s="3"/>
      <c r="LC282" s="3"/>
      <c r="LG282" s="3"/>
      <c r="LK282" s="3"/>
      <c r="LO282" s="3"/>
    </row>
    <row r="283" spans="175:327" hidden="1">
      <c r="FS283" s="3"/>
      <c r="FW283" s="3"/>
      <c r="GA283" s="3"/>
      <c r="GE283" s="3"/>
      <c r="GI283" s="3"/>
      <c r="GM283" s="3"/>
      <c r="GQ283" s="3"/>
      <c r="GU283" s="3"/>
      <c r="GY283" s="3"/>
      <c r="HC283" s="3"/>
      <c r="HG283" s="3"/>
      <c r="HK283" s="3"/>
      <c r="HO283" s="3"/>
      <c r="HS283" s="3"/>
      <c r="HW283" s="3"/>
      <c r="IA283" s="3"/>
      <c r="IE283" s="3"/>
      <c r="II283" s="3"/>
      <c r="IM283" s="3"/>
      <c r="IQ283" s="3"/>
      <c r="IU283" s="3"/>
      <c r="IY283" s="3"/>
      <c r="JC283" s="3"/>
      <c r="JG283" s="3"/>
      <c r="JK283" s="3"/>
      <c r="JO283" s="3"/>
      <c r="JS283" s="3"/>
      <c r="JW283" s="3"/>
      <c r="KA283" s="3"/>
      <c r="KE283" s="3"/>
      <c r="KI283" s="3"/>
      <c r="KM283" s="3"/>
      <c r="KQ283" s="3"/>
      <c r="KU283" s="3"/>
      <c r="KY283" s="3"/>
      <c r="LC283" s="3"/>
      <c r="LG283" s="3"/>
      <c r="LK283" s="3"/>
      <c r="LO283" s="3"/>
    </row>
    <row r="284" spans="175:327" hidden="1">
      <c r="FS284" s="3"/>
      <c r="FW284" s="3"/>
      <c r="GA284" s="3"/>
      <c r="GE284" s="3"/>
      <c r="GI284" s="3"/>
      <c r="GM284" s="3"/>
      <c r="GQ284" s="3"/>
      <c r="GU284" s="3"/>
      <c r="GY284" s="3"/>
      <c r="HC284" s="3"/>
      <c r="HG284" s="3"/>
      <c r="HK284" s="3"/>
      <c r="HO284" s="3"/>
      <c r="HS284" s="3"/>
      <c r="HW284" s="3"/>
      <c r="IA284" s="3"/>
      <c r="IE284" s="3"/>
      <c r="II284" s="3"/>
      <c r="IM284" s="3"/>
      <c r="IQ284" s="3"/>
      <c r="IU284" s="3"/>
      <c r="IY284" s="3"/>
      <c r="JC284" s="3"/>
      <c r="JG284" s="3"/>
      <c r="JK284" s="3"/>
      <c r="JO284" s="3"/>
      <c r="JS284" s="3"/>
      <c r="JW284" s="3"/>
      <c r="KA284" s="3"/>
      <c r="KE284" s="3"/>
      <c r="KI284" s="3"/>
      <c r="KM284" s="3"/>
      <c r="KQ284" s="3"/>
      <c r="KU284" s="3"/>
      <c r="KY284" s="3"/>
      <c r="LC284" s="3"/>
      <c r="LG284" s="3"/>
      <c r="LK284" s="3"/>
      <c r="LO284" s="3"/>
    </row>
    <row r="285" spans="175:327" hidden="1">
      <c r="FS285" s="3"/>
      <c r="FW285" s="3"/>
      <c r="GA285" s="3"/>
      <c r="GE285" s="3"/>
      <c r="GI285" s="3"/>
      <c r="GM285" s="3"/>
      <c r="GQ285" s="3"/>
      <c r="GU285" s="3"/>
      <c r="GY285" s="3"/>
      <c r="HC285" s="3"/>
      <c r="HG285" s="3"/>
      <c r="HK285" s="3"/>
      <c r="HO285" s="3"/>
      <c r="HS285" s="3"/>
      <c r="HW285" s="3"/>
      <c r="IA285" s="3"/>
      <c r="IE285" s="3"/>
      <c r="II285" s="3"/>
      <c r="IM285" s="3"/>
      <c r="IQ285" s="3"/>
      <c r="IU285" s="3"/>
      <c r="IY285" s="3"/>
      <c r="JC285" s="3"/>
      <c r="JG285" s="3"/>
      <c r="JK285" s="3"/>
      <c r="JO285" s="3"/>
      <c r="JS285" s="3"/>
      <c r="JW285" s="3"/>
      <c r="KA285" s="3"/>
      <c r="KE285" s="3"/>
      <c r="KI285" s="3"/>
      <c r="KM285" s="3"/>
      <c r="KQ285" s="3"/>
      <c r="KU285" s="3"/>
      <c r="KY285" s="3"/>
      <c r="LC285" s="3"/>
      <c r="LG285" s="3"/>
      <c r="LK285" s="3"/>
      <c r="LO285" s="3"/>
    </row>
    <row r="286" spans="175:327" hidden="1">
      <c r="FS286" s="3"/>
      <c r="FW286" s="3"/>
      <c r="GA286" s="3"/>
      <c r="GE286" s="3"/>
      <c r="GI286" s="3"/>
      <c r="GM286" s="3"/>
      <c r="GQ286" s="3"/>
      <c r="GU286" s="3"/>
      <c r="GY286" s="3"/>
      <c r="HC286" s="3"/>
      <c r="HG286" s="3"/>
      <c r="HK286" s="3"/>
      <c r="HO286" s="3"/>
      <c r="HS286" s="3"/>
      <c r="HW286" s="3"/>
      <c r="IA286" s="3"/>
      <c r="IE286" s="3"/>
      <c r="II286" s="3"/>
      <c r="IM286" s="3"/>
      <c r="IQ286" s="3"/>
      <c r="IU286" s="3"/>
      <c r="IY286" s="3"/>
      <c r="JC286" s="3"/>
      <c r="JG286" s="3"/>
      <c r="JK286" s="3"/>
      <c r="JO286" s="3"/>
      <c r="JS286" s="3"/>
      <c r="JW286" s="3"/>
      <c r="KA286" s="3"/>
      <c r="KE286" s="3"/>
      <c r="KI286" s="3"/>
      <c r="KM286" s="3"/>
      <c r="KQ286" s="3"/>
      <c r="KU286" s="3"/>
      <c r="KY286" s="3"/>
      <c r="LC286" s="3"/>
      <c r="LG286" s="3"/>
      <c r="LK286" s="3"/>
      <c r="LO286" s="3"/>
    </row>
    <row r="287" spans="175:327" hidden="1">
      <c r="FS287" s="3"/>
      <c r="FW287" s="3"/>
      <c r="GA287" s="3"/>
      <c r="GE287" s="3"/>
      <c r="GI287" s="3"/>
      <c r="GM287" s="3"/>
      <c r="GQ287" s="3"/>
      <c r="GU287" s="3"/>
      <c r="GY287" s="3"/>
      <c r="HC287" s="3"/>
      <c r="HG287" s="3"/>
      <c r="HK287" s="3"/>
      <c r="HO287" s="3"/>
      <c r="HS287" s="3"/>
      <c r="HW287" s="3"/>
      <c r="IA287" s="3"/>
      <c r="IE287" s="3"/>
      <c r="II287" s="3"/>
      <c r="IM287" s="3"/>
      <c r="IQ287" s="3"/>
      <c r="IU287" s="3"/>
      <c r="IY287" s="3"/>
      <c r="JC287" s="3"/>
      <c r="JG287" s="3"/>
      <c r="JK287" s="3"/>
      <c r="JO287" s="3"/>
      <c r="JS287" s="3"/>
      <c r="JW287" s="3"/>
      <c r="KA287" s="3"/>
      <c r="KE287" s="3"/>
      <c r="KI287" s="3"/>
      <c r="KM287" s="3"/>
      <c r="KQ287" s="3"/>
      <c r="KU287" s="3"/>
      <c r="KY287" s="3"/>
      <c r="LC287" s="3"/>
      <c r="LG287" s="3"/>
      <c r="LK287" s="3"/>
      <c r="LO287" s="3"/>
    </row>
    <row r="288" spans="175:327" hidden="1">
      <c r="FS288" s="3"/>
      <c r="FW288" s="3"/>
      <c r="GA288" s="3"/>
      <c r="GE288" s="3"/>
      <c r="GI288" s="3"/>
      <c r="GM288" s="3"/>
      <c r="GQ288" s="3"/>
      <c r="GU288" s="3"/>
      <c r="GY288" s="3"/>
      <c r="HC288" s="3"/>
      <c r="HG288" s="3"/>
      <c r="HK288" s="3"/>
      <c r="HO288" s="3"/>
      <c r="HS288" s="3"/>
      <c r="HW288" s="3"/>
      <c r="IA288" s="3"/>
      <c r="IE288" s="3"/>
      <c r="II288" s="3"/>
      <c r="IM288" s="3"/>
      <c r="IQ288" s="3"/>
      <c r="IU288" s="3"/>
      <c r="IY288" s="3"/>
      <c r="JC288" s="3"/>
      <c r="JG288" s="3"/>
      <c r="JK288" s="3"/>
      <c r="JO288" s="3"/>
      <c r="JS288" s="3"/>
      <c r="JW288" s="3"/>
      <c r="KA288" s="3"/>
      <c r="KE288" s="3"/>
      <c r="KI288" s="3"/>
      <c r="KM288" s="3"/>
      <c r="KQ288" s="3"/>
      <c r="KU288" s="3"/>
      <c r="KY288" s="3"/>
      <c r="LC288" s="3"/>
      <c r="LG288" s="3"/>
      <c r="LK288" s="3"/>
      <c r="LO288" s="3"/>
    </row>
    <row r="289" spans="175:327" hidden="1">
      <c r="FS289" s="3"/>
      <c r="FW289" s="3"/>
      <c r="GA289" s="3"/>
      <c r="GE289" s="3"/>
      <c r="GI289" s="3"/>
      <c r="GM289" s="3"/>
      <c r="GQ289" s="3"/>
      <c r="GU289" s="3"/>
      <c r="GY289" s="3"/>
      <c r="HC289" s="3"/>
      <c r="HG289" s="3"/>
      <c r="HK289" s="3"/>
      <c r="HO289" s="3"/>
      <c r="HS289" s="3"/>
      <c r="HW289" s="3"/>
      <c r="IA289" s="3"/>
      <c r="IE289" s="3"/>
      <c r="II289" s="3"/>
      <c r="IM289" s="3"/>
      <c r="IQ289" s="3"/>
      <c r="IU289" s="3"/>
      <c r="IY289" s="3"/>
      <c r="JC289" s="3"/>
      <c r="JG289" s="3"/>
      <c r="JK289" s="3"/>
      <c r="JO289" s="3"/>
      <c r="JS289" s="3"/>
      <c r="JW289" s="3"/>
      <c r="KA289" s="3"/>
      <c r="KE289" s="3"/>
      <c r="KI289" s="3"/>
      <c r="KM289" s="3"/>
      <c r="KQ289" s="3"/>
      <c r="KU289" s="3"/>
      <c r="KY289" s="3"/>
      <c r="LC289" s="3"/>
      <c r="LG289" s="3"/>
      <c r="LK289" s="3"/>
      <c r="LO289" s="3"/>
    </row>
    <row r="290" spans="175:327" hidden="1">
      <c r="FS290" s="3"/>
      <c r="FW290" s="3"/>
      <c r="GA290" s="3"/>
      <c r="GE290" s="3"/>
      <c r="GI290" s="3"/>
      <c r="GM290" s="3"/>
      <c r="GQ290" s="3"/>
      <c r="GU290" s="3"/>
      <c r="GY290" s="3"/>
      <c r="HC290" s="3"/>
      <c r="HG290" s="3"/>
      <c r="HK290" s="3"/>
      <c r="HO290" s="3"/>
      <c r="HS290" s="3"/>
      <c r="HW290" s="3"/>
      <c r="IA290" s="3"/>
      <c r="IE290" s="3"/>
      <c r="II290" s="3"/>
      <c r="IM290" s="3"/>
      <c r="IQ290" s="3"/>
      <c r="IU290" s="3"/>
      <c r="IY290" s="3"/>
      <c r="JC290" s="3"/>
      <c r="JG290" s="3"/>
      <c r="JK290" s="3"/>
      <c r="JO290" s="3"/>
      <c r="JS290" s="3"/>
      <c r="JW290" s="3"/>
      <c r="KA290" s="3"/>
      <c r="KE290" s="3"/>
      <c r="KI290" s="3"/>
      <c r="KM290" s="3"/>
      <c r="KQ290" s="3"/>
      <c r="KU290" s="3"/>
      <c r="KY290" s="3"/>
      <c r="LC290" s="3"/>
      <c r="LG290" s="3"/>
      <c r="LK290" s="3"/>
      <c r="LO290" s="3"/>
    </row>
    <row r="291" spans="175:327" hidden="1">
      <c r="FS291" s="3"/>
      <c r="FW291" s="3"/>
      <c r="GA291" s="3"/>
      <c r="GE291" s="3"/>
      <c r="GI291" s="3"/>
      <c r="GM291" s="3"/>
      <c r="GQ291" s="3"/>
      <c r="GU291" s="3"/>
      <c r="GY291" s="3"/>
      <c r="HC291" s="3"/>
      <c r="HG291" s="3"/>
      <c r="HK291" s="3"/>
      <c r="HO291" s="3"/>
      <c r="HS291" s="3"/>
      <c r="HW291" s="3"/>
      <c r="IA291" s="3"/>
      <c r="IE291" s="3"/>
      <c r="II291" s="3"/>
      <c r="IM291" s="3"/>
      <c r="IQ291" s="3"/>
      <c r="IU291" s="3"/>
      <c r="IY291" s="3"/>
      <c r="JC291" s="3"/>
      <c r="JG291" s="3"/>
      <c r="JK291" s="3"/>
      <c r="JO291" s="3"/>
      <c r="JS291" s="3"/>
      <c r="JW291" s="3"/>
      <c r="KA291" s="3"/>
      <c r="KE291" s="3"/>
      <c r="KI291" s="3"/>
      <c r="KM291" s="3"/>
      <c r="KQ291" s="3"/>
      <c r="KU291" s="3"/>
      <c r="KY291" s="3"/>
      <c r="LC291" s="3"/>
      <c r="LG291" s="3"/>
      <c r="LK291" s="3"/>
      <c r="LO291" s="3"/>
    </row>
    <row r="292" spans="175:327" hidden="1">
      <c r="FS292" s="3"/>
      <c r="FW292" s="3"/>
      <c r="GA292" s="3"/>
      <c r="GE292" s="3"/>
      <c r="GI292" s="3"/>
      <c r="GM292" s="3"/>
      <c r="GQ292" s="3"/>
      <c r="GU292" s="3"/>
      <c r="GY292" s="3"/>
      <c r="HC292" s="3"/>
      <c r="HG292" s="3"/>
      <c r="HK292" s="3"/>
      <c r="HO292" s="3"/>
      <c r="HS292" s="3"/>
      <c r="HW292" s="3"/>
      <c r="IA292" s="3"/>
      <c r="IE292" s="3"/>
      <c r="II292" s="3"/>
      <c r="IM292" s="3"/>
      <c r="IQ292" s="3"/>
      <c r="IU292" s="3"/>
      <c r="IY292" s="3"/>
      <c r="JC292" s="3"/>
      <c r="JG292" s="3"/>
      <c r="JK292" s="3"/>
      <c r="JO292" s="3"/>
      <c r="JS292" s="3"/>
      <c r="JW292" s="3"/>
      <c r="KA292" s="3"/>
      <c r="KE292" s="3"/>
      <c r="KI292" s="3"/>
      <c r="KM292" s="3"/>
      <c r="KQ292" s="3"/>
      <c r="KU292" s="3"/>
      <c r="KY292" s="3"/>
      <c r="LC292" s="3"/>
      <c r="LG292" s="3"/>
      <c r="LK292" s="3"/>
      <c r="LO292" s="3"/>
    </row>
    <row r="293" spans="175:327" hidden="1">
      <c r="FS293" s="3"/>
      <c r="FW293" s="3"/>
      <c r="GA293" s="3"/>
      <c r="GE293" s="3"/>
      <c r="GI293" s="3"/>
      <c r="GM293" s="3"/>
      <c r="GQ293" s="3"/>
      <c r="GU293" s="3"/>
      <c r="GY293" s="3"/>
      <c r="HC293" s="3"/>
      <c r="HG293" s="3"/>
      <c r="HK293" s="3"/>
      <c r="HO293" s="3"/>
      <c r="HS293" s="3"/>
      <c r="HW293" s="3"/>
      <c r="IA293" s="3"/>
      <c r="IE293" s="3"/>
      <c r="II293" s="3"/>
      <c r="IM293" s="3"/>
      <c r="IQ293" s="3"/>
      <c r="IU293" s="3"/>
      <c r="IY293" s="3"/>
      <c r="JC293" s="3"/>
      <c r="JG293" s="3"/>
      <c r="JK293" s="3"/>
      <c r="JO293" s="3"/>
      <c r="JS293" s="3"/>
      <c r="JW293" s="3"/>
      <c r="KA293" s="3"/>
      <c r="KE293" s="3"/>
      <c r="KI293" s="3"/>
      <c r="KM293" s="3"/>
      <c r="KQ293" s="3"/>
      <c r="KU293" s="3"/>
      <c r="KY293" s="3"/>
      <c r="LC293" s="3"/>
      <c r="LG293" s="3"/>
      <c r="LK293" s="3"/>
      <c r="LO293" s="3"/>
    </row>
    <row r="294" spans="175:327" hidden="1">
      <c r="FS294" s="3"/>
      <c r="FW294" s="3"/>
      <c r="GA294" s="3"/>
      <c r="GE294" s="3"/>
      <c r="GI294" s="3"/>
      <c r="GM294" s="3"/>
      <c r="GQ294" s="3"/>
      <c r="GU294" s="3"/>
      <c r="GY294" s="3"/>
      <c r="HC294" s="3"/>
      <c r="HG294" s="3"/>
      <c r="HK294" s="3"/>
      <c r="HO294" s="3"/>
      <c r="HS294" s="3"/>
      <c r="HW294" s="3"/>
      <c r="IA294" s="3"/>
      <c r="IE294" s="3"/>
      <c r="II294" s="3"/>
      <c r="IM294" s="3"/>
      <c r="IQ294" s="3"/>
      <c r="IU294" s="3"/>
      <c r="IY294" s="3"/>
      <c r="JC294" s="3"/>
      <c r="JG294" s="3"/>
      <c r="JK294" s="3"/>
      <c r="JO294" s="3"/>
      <c r="JS294" s="3"/>
      <c r="JW294" s="3"/>
      <c r="KA294" s="3"/>
      <c r="KE294" s="3"/>
      <c r="KI294" s="3"/>
      <c r="KM294" s="3"/>
      <c r="KQ294" s="3"/>
      <c r="KU294" s="3"/>
      <c r="KY294" s="3"/>
      <c r="LC294" s="3"/>
      <c r="LG294" s="3"/>
      <c r="LK294" s="3"/>
      <c r="LO294" s="3"/>
    </row>
    <row r="295" spans="175:327" hidden="1">
      <c r="FS295" s="3"/>
      <c r="FW295" s="3"/>
      <c r="GA295" s="3"/>
      <c r="GE295" s="3"/>
      <c r="GI295" s="3"/>
      <c r="GM295" s="3"/>
      <c r="GQ295" s="3"/>
      <c r="GU295" s="3"/>
      <c r="GY295" s="3"/>
      <c r="HC295" s="3"/>
      <c r="HG295" s="3"/>
      <c r="HK295" s="3"/>
      <c r="HO295" s="3"/>
      <c r="HS295" s="3"/>
      <c r="HW295" s="3"/>
      <c r="IA295" s="3"/>
      <c r="IE295" s="3"/>
      <c r="II295" s="3"/>
      <c r="IM295" s="3"/>
      <c r="IQ295" s="3"/>
      <c r="IU295" s="3"/>
      <c r="IY295" s="3"/>
      <c r="JC295" s="3"/>
      <c r="JG295" s="3"/>
      <c r="JK295" s="3"/>
      <c r="JO295" s="3"/>
      <c r="JS295" s="3"/>
      <c r="JW295" s="3"/>
      <c r="KA295" s="3"/>
      <c r="KE295" s="3"/>
      <c r="KI295" s="3"/>
      <c r="KM295" s="3"/>
      <c r="KQ295" s="3"/>
      <c r="KU295" s="3"/>
      <c r="KY295" s="3"/>
      <c r="LC295" s="3"/>
      <c r="LG295" s="3"/>
      <c r="LK295" s="3"/>
      <c r="LO295" s="3"/>
    </row>
    <row r="296" spans="175:327" hidden="1">
      <c r="FS296" s="3"/>
      <c r="FW296" s="3"/>
      <c r="GA296" s="3"/>
      <c r="GE296" s="3"/>
      <c r="GI296" s="3"/>
      <c r="GM296" s="3"/>
      <c r="GQ296" s="3"/>
      <c r="GU296" s="3"/>
      <c r="GY296" s="3"/>
      <c r="HC296" s="3"/>
      <c r="HG296" s="3"/>
      <c r="HK296" s="3"/>
      <c r="HO296" s="3"/>
      <c r="HS296" s="3"/>
      <c r="HW296" s="3"/>
      <c r="IA296" s="3"/>
      <c r="IE296" s="3"/>
      <c r="II296" s="3"/>
      <c r="IM296" s="3"/>
      <c r="IQ296" s="3"/>
      <c r="IU296" s="3"/>
      <c r="IY296" s="3"/>
      <c r="JC296" s="3"/>
      <c r="JG296" s="3"/>
      <c r="JK296" s="3"/>
      <c r="JO296" s="3"/>
      <c r="JS296" s="3"/>
      <c r="JW296" s="3"/>
      <c r="KA296" s="3"/>
      <c r="KE296" s="3"/>
      <c r="KI296" s="3"/>
      <c r="KM296" s="3"/>
      <c r="KQ296" s="3"/>
      <c r="KU296" s="3"/>
      <c r="KY296" s="3"/>
      <c r="LC296" s="3"/>
      <c r="LG296" s="3"/>
      <c r="LK296" s="3"/>
      <c r="LO296" s="3"/>
    </row>
    <row r="297" spans="175:327" hidden="1">
      <c r="FS297" s="3"/>
      <c r="FW297" s="3"/>
      <c r="GA297" s="3"/>
      <c r="GE297" s="3"/>
      <c r="GI297" s="3"/>
      <c r="GM297" s="3"/>
      <c r="GQ297" s="3"/>
      <c r="GU297" s="3"/>
      <c r="GY297" s="3"/>
      <c r="HC297" s="3"/>
      <c r="HG297" s="3"/>
      <c r="HK297" s="3"/>
      <c r="HO297" s="3"/>
      <c r="HS297" s="3"/>
      <c r="HW297" s="3"/>
      <c r="IA297" s="3"/>
      <c r="IE297" s="3"/>
      <c r="II297" s="3"/>
      <c r="IM297" s="3"/>
      <c r="IQ297" s="3"/>
      <c r="IU297" s="3"/>
      <c r="IY297" s="3"/>
      <c r="JC297" s="3"/>
      <c r="JG297" s="3"/>
      <c r="JK297" s="3"/>
      <c r="JO297" s="3"/>
      <c r="JS297" s="3"/>
      <c r="JW297" s="3"/>
      <c r="KA297" s="3"/>
      <c r="KE297" s="3"/>
      <c r="KI297" s="3"/>
      <c r="KM297" s="3"/>
      <c r="KQ297" s="3"/>
      <c r="KU297" s="3"/>
      <c r="KY297" s="3"/>
      <c r="LC297" s="3"/>
      <c r="LG297" s="3"/>
      <c r="LK297" s="3"/>
      <c r="LO297" s="3"/>
    </row>
    <row r="298" spans="175:327" hidden="1">
      <c r="FS298" s="3"/>
      <c r="FW298" s="3"/>
      <c r="GA298" s="3"/>
      <c r="GE298" s="3"/>
      <c r="GI298" s="3"/>
      <c r="GM298" s="3"/>
      <c r="GQ298" s="3"/>
      <c r="GU298" s="3"/>
      <c r="GY298" s="3"/>
      <c r="HC298" s="3"/>
      <c r="HG298" s="3"/>
      <c r="HK298" s="3"/>
      <c r="HO298" s="3"/>
      <c r="HS298" s="3"/>
      <c r="HW298" s="3"/>
      <c r="IA298" s="3"/>
      <c r="IE298" s="3"/>
      <c r="II298" s="3"/>
      <c r="IM298" s="3"/>
      <c r="IQ298" s="3"/>
      <c r="IU298" s="3"/>
      <c r="IY298" s="3"/>
      <c r="JC298" s="3"/>
      <c r="JG298" s="3"/>
      <c r="JK298" s="3"/>
      <c r="JO298" s="3"/>
      <c r="JS298" s="3"/>
      <c r="JW298" s="3"/>
      <c r="KA298" s="3"/>
      <c r="KE298" s="3"/>
      <c r="KI298" s="3"/>
      <c r="KM298" s="3"/>
      <c r="KQ298" s="3"/>
      <c r="KU298" s="3"/>
      <c r="KY298" s="3"/>
      <c r="LC298" s="3"/>
      <c r="LG298" s="3"/>
      <c r="LK298" s="3"/>
      <c r="LO298" s="3"/>
    </row>
    <row r="299" spans="175:327" hidden="1">
      <c r="FS299" s="3"/>
      <c r="FW299" s="3"/>
      <c r="GA299" s="3"/>
      <c r="GE299" s="3"/>
      <c r="GI299" s="3"/>
      <c r="GM299" s="3"/>
      <c r="GQ299" s="3"/>
      <c r="GU299" s="3"/>
      <c r="GY299" s="3"/>
      <c r="HC299" s="3"/>
      <c r="HG299" s="3"/>
      <c r="HK299" s="3"/>
      <c r="HO299" s="3"/>
      <c r="HS299" s="3"/>
      <c r="HW299" s="3"/>
      <c r="IA299" s="3"/>
      <c r="IE299" s="3"/>
      <c r="II299" s="3"/>
      <c r="IM299" s="3"/>
      <c r="IQ299" s="3"/>
      <c r="IU299" s="3"/>
      <c r="IY299" s="3"/>
      <c r="JC299" s="3"/>
      <c r="JG299" s="3"/>
      <c r="JK299" s="3"/>
      <c r="JO299" s="3"/>
      <c r="JS299" s="3"/>
      <c r="JW299" s="3"/>
      <c r="KA299" s="3"/>
      <c r="KE299" s="3"/>
      <c r="KI299" s="3"/>
      <c r="KM299" s="3"/>
      <c r="KQ299" s="3"/>
      <c r="KU299" s="3"/>
      <c r="KY299" s="3"/>
      <c r="LC299" s="3"/>
      <c r="LG299" s="3"/>
      <c r="LK299" s="3"/>
      <c r="LO299" s="3"/>
    </row>
    <row r="300" spans="175:327" hidden="1">
      <c r="FS300" s="3"/>
      <c r="FW300" s="3"/>
      <c r="GA300" s="3"/>
      <c r="GE300" s="3"/>
      <c r="GI300" s="3"/>
      <c r="GM300" s="3"/>
      <c r="GQ300" s="3"/>
      <c r="GU300" s="3"/>
      <c r="GY300" s="3"/>
      <c r="HC300" s="3"/>
      <c r="HG300" s="3"/>
      <c r="HK300" s="3"/>
      <c r="HO300" s="3"/>
      <c r="HS300" s="3"/>
      <c r="HW300" s="3"/>
      <c r="IA300" s="3"/>
      <c r="IE300" s="3"/>
      <c r="II300" s="3"/>
      <c r="IM300" s="3"/>
      <c r="IQ300" s="3"/>
      <c r="IU300" s="3"/>
      <c r="IY300" s="3"/>
      <c r="JC300" s="3"/>
      <c r="JG300" s="3"/>
      <c r="JK300" s="3"/>
      <c r="JO300" s="3"/>
      <c r="JS300" s="3"/>
      <c r="JW300" s="3"/>
      <c r="KA300" s="3"/>
      <c r="KE300" s="3"/>
      <c r="KI300" s="3"/>
      <c r="KM300" s="3"/>
      <c r="KQ300" s="3"/>
      <c r="KU300" s="3"/>
      <c r="KY300" s="3"/>
      <c r="LC300" s="3"/>
      <c r="LG300" s="3"/>
      <c r="LK300" s="3"/>
      <c r="LO300" s="3"/>
    </row>
    <row r="301" spans="175:327" hidden="1">
      <c r="FS301" s="3"/>
      <c r="FW301" s="3"/>
      <c r="GA301" s="3"/>
      <c r="GE301" s="3"/>
      <c r="GI301" s="3"/>
      <c r="GM301" s="3"/>
      <c r="GQ301" s="3"/>
      <c r="GU301" s="3"/>
      <c r="GY301" s="3"/>
      <c r="HC301" s="3"/>
      <c r="HG301" s="3"/>
      <c r="HK301" s="3"/>
      <c r="HO301" s="3"/>
      <c r="HS301" s="3"/>
      <c r="HW301" s="3"/>
      <c r="IA301" s="3"/>
      <c r="IE301" s="3"/>
      <c r="II301" s="3"/>
      <c r="IM301" s="3"/>
      <c r="IQ301" s="3"/>
      <c r="IU301" s="3"/>
      <c r="IY301" s="3"/>
      <c r="JC301" s="3"/>
      <c r="JG301" s="3"/>
      <c r="JK301" s="3"/>
      <c r="JO301" s="3"/>
      <c r="JS301" s="3"/>
      <c r="JW301" s="3"/>
      <c r="KA301" s="3"/>
      <c r="KE301" s="3"/>
      <c r="KI301" s="3"/>
      <c r="KM301" s="3"/>
      <c r="KQ301" s="3"/>
      <c r="KU301" s="3"/>
      <c r="KY301" s="3"/>
      <c r="LC301" s="3"/>
      <c r="LG301" s="3"/>
      <c r="LK301" s="3"/>
      <c r="LO301" s="3"/>
    </row>
    <row r="302" spans="175:327" hidden="1">
      <c r="FS302" s="3"/>
      <c r="FW302" s="3"/>
      <c r="GA302" s="3"/>
      <c r="GE302" s="3"/>
      <c r="GI302" s="3"/>
      <c r="GM302" s="3"/>
      <c r="GQ302" s="3"/>
      <c r="GU302" s="3"/>
      <c r="GY302" s="3"/>
      <c r="HC302" s="3"/>
      <c r="HG302" s="3"/>
      <c r="HK302" s="3"/>
      <c r="HO302" s="3"/>
      <c r="HS302" s="3"/>
      <c r="HW302" s="3"/>
      <c r="IA302" s="3"/>
      <c r="IE302" s="3"/>
      <c r="II302" s="3"/>
      <c r="IM302" s="3"/>
      <c r="IQ302" s="3"/>
      <c r="IU302" s="3"/>
      <c r="IY302" s="3"/>
      <c r="JC302" s="3"/>
      <c r="JG302" s="3"/>
      <c r="JK302" s="3"/>
      <c r="JO302" s="3"/>
      <c r="JS302" s="3"/>
      <c r="JW302" s="3"/>
      <c r="KA302" s="3"/>
      <c r="KE302" s="3"/>
      <c r="KI302" s="3"/>
      <c r="KM302" s="3"/>
      <c r="KQ302" s="3"/>
      <c r="KU302" s="3"/>
      <c r="KY302" s="3"/>
      <c r="LC302" s="3"/>
      <c r="LG302" s="3"/>
      <c r="LK302" s="3"/>
      <c r="LO302" s="3"/>
    </row>
    <row r="303" spans="175:327" hidden="1">
      <c r="FS303" s="3"/>
      <c r="FW303" s="3"/>
      <c r="GA303" s="3"/>
      <c r="GE303" s="3"/>
      <c r="GI303" s="3"/>
      <c r="GM303" s="3"/>
      <c r="GQ303" s="3"/>
      <c r="GU303" s="3"/>
      <c r="GY303" s="3"/>
      <c r="HC303" s="3"/>
      <c r="HG303" s="3"/>
      <c r="HK303" s="3"/>
      <c r="HO303" s="3"/>
      <c r="HS303" s="3"/>
      <c r="HW303" s="3"/>
      <c r="IA303" s="3"/>
      <c r="IE303" s="3"/>
      <c r="II303" s="3"/>
      <c r="IM303" s="3"/>
      <c r="IQ303" s="3"/>
      <c r="IU303" s="3"/>
      <c r="IY303" s="3"/>
      <c r="JC303" s="3"/>
      <c r="JG303" s="3"/>
      <c r="JK303" s="3"/>
      <c r="JO303" s="3"/>
      <c r="JS303" s="3"/>
      <c r="JW303" s="3"/>
      <c r="KA303" s="3"/>
      <c r="KE303" s="3"/>
      <c r="KI303" s="3"/>
      <c r="KM303" s="3"/>
      <c r="KQ303" s="3"/>
      <c r="KU303" s="3"/>
      <c r="KY303" s="3"/>
      <c r="LC303" s="3"/>
      <c r="LG303" s="3"/>
      <c r="LK303" s="3"/>
      <c r="LO303" s="3"/>
    </row>
    <row r="304" spans="175:327" hidden="1">
      <c r="FS304" s="3"/>
      <c r="FW304" s="3"/>
      <c r="GA304" s="3"/>
      <c r="GE304" s="3"/>
      <c r="GI304" s="3"/>
      <c r="GM304" s="3"/>
      <c r="GQ304" s="3"/>
      <c r="GU304" s="3"/>
      <c r="GY304" s="3"/>
      <c r="HC304" s="3"/>
      <c r="HG304" s="3"/>
      <c r="HK304" s="3"/>
      <c r="HO304" s="3"/>
      <c r="HS304" s="3"/>
      <c r="HW304" s="3"/>
      <c r="IA304" s="3"/>
      <c r="IE304" s="3"/>
      <c r="II304" s="3"/>
      <c r="IM304" s="3"/>
      <c r="IQ304" s="3"/>
      <c r="IU304" s="3"/>
      <c r="IY304" s="3"/>
      <c r="JC304" s="3"/>
      <c r="JG304" s="3"/>
      <c r="JK304" s="3"/>
      <c r="JO304" s="3"/>
      <c r="JS304" s="3"/>
      <c r="JW304" s="3"/>
      <c r="KA304" s="3"/>
      <c r="KE304" s="3"/>
      <c r="KI304" s="3"/>
      <c r="KM304" s="3"/>
      <c r="KQ304" s="3"/>
      <c r="KU304" s="3"/>
      <c r="KY304" s="3"/>
      <c r="LC304" s="3"/>
      <c r="LG304" s="3"/>
      <c r="LK304" s="3"/>
      <c r="LO304" s="3"/>
    </row>
    <row r="305" spans="175:327" hidden="1">
      <c r="FS305" s="3"/>
      <c r="FW305" s="3"/>
      <c r="GA305" s="3"/>
      <c r="GE305" s="3"/>
      <c r="GI305" s="3"/>
      <c r="GM305" s="3"/>
      <c r="GQ305" s="3"/>
      <c r="GU305" s="3"/>
      <c r="GY305" s="3"/>
      <c r="HC305" s="3"/>
      <c r="HG305" s="3"/>
      <c r="HK305" s="3"/>
      <c r="HO305" s="3"/>
      <c r="HS305" s="3"/>
      <c r="HW305" s="3"/>
      <c r="IA305" s="3"/>
      <c r="IE305" s="3"/>
      <c r="II305" s="3"/>
      <c r="IM305" s="3"/>
      <c r="IQ305" s="3"/>
      <c r="IU305" s="3"/>
      <c r="IY305" s="3"/>
      <c r="JC305" s="3"/>
      <c r="JG305" s="3"/>
      <c r="JK305" s="3"/>
      <c r="JO305" s="3"/>
      <c r="JS305" s="3"/>
      <c r="JW305" s="3"/>
      <c r="KA305" s="3"/>
      <c r="KE305" s="3"/>
      <c r="KI305" s="3"/>
      <c r="KM305" s="3"/>
      <c r="KQ305" s="3"/>
      <c r="KU305" s="3"/>
      <c r="KY305" s="3"/>
      <c r="LC305" s="3"/>
      <c r="LG305" s="3"/>
      <c r="LK305" s="3"/>
      <c r="LO305" s="3"/>
    </row>
    <row r="306" spans="175:327" hidden="1">
      <c r="FS306" s="3"/>
      <c r="FW306" s="3"/>
      <c r="GA306" s="3"/>
      <c r="GE306" s="3"/>
      <c r="GI306" s="3"/>
      <c r="GM306" s="3"/>
      <c r="GQ306" s="3"/>
      <c r="GU306" s="3"/>
      <c r="GY306" s="3"/>
      <c r="HC306" s="3"/>
      <c r="HG306" s="3"/>
      <c r="HK306" s="3"/>
      <c r="HO306" s="3"/>
      <c r="HS306" s="3"/>
      <c r="HW306" s="3"/>
      <c r="IA306" s="3"/>
      <c r="IE306" s="3"/>
      <c r="II306" s="3"/>
      <c r="IM306" s="3"/>
      <c r="IQ306" s="3"/>
      <c r="IU306" s="3"/>
      <c r="IY306" s="3"/>
      <c r="JC306" s="3"/>
      <c r="JG306" s="3"/>
      <c r="JK306" s="3"/>
      <c r="JO306" s="3"/>
      <c r="JS306" s="3"/>
      <c r="JW306" s="3"/>
      <c r="KA306" s="3"/>
      <c r="KE306" s="3"/>
      <c r="KI306" s="3"/>
      <c r="KM306" s="3"/>
      <c r="KQ306" s="3"/>
      <c r="KU306" s="3"/>
      <c r="KY306" s="3"/>
      <c r="LC306" s="3"/>
      <c r="LG306" s="3"/>
      <c r="LK306" s="3"/>
      <c r="LO306" s="3"/>
    </row>
    <row r="307" spans="175:327" hidden="1">
      <c r="FS307" s="3"/>
      <c r="FW307" s="3"/>
      <c r="GA307" s="3"/>
      <c r="GE307" s="3"/>
      <c r="GI307" s="3"/>
      <c r="GM307" s="3"/>
      <c r="GQ307" s="3"/>
      <c r="GU307" s="3"/>
      <c r="GY307" s="3"/>
      <c r="HC307" s="3"/>
      <c r="HG307" s="3"/>
      <c r="HK307" s="3"/>
      <c r="HO307" s="3"/>
      <c r="HS307" s="3"/>
      <c r="HW307" s="3"/>
      <c r="IA307" s="3"/>
      <c r="IE307" s="3"/>
      <c r="II307" s="3"/>
      <c r="IM307" s="3"/>
      <c r="IQ307" s="3"/>
      <c r="IU307" s="3"/>
      <c r="IY307" s="3"/>
      <c r="JC307" s="3"/>
      <c r="JG307" s="3"/>
      <c r="JK307" s="3"/>
      <c r="JO307" s="3"/>
      <c r="JS307" s="3"/>
      <c r="JW307" s="3"/>
      <c r="KA307" s="3"/>
      <c r="KE307" s="3"/>
      <c r="KI307" s="3"/>
      <c r="KM307" s="3"/>
      <c r="KQ307" s="3"/>
      <c r="KU307" s="3"/>
      <c r="KY307" s="3"/>
      <c r="LC307" s="3"/>
      <c r="LG307" s="3"/>
      <c r="LK307" s="3"/>
      <c r="LO307" s="3"/>
    </row>
    <row r="308" spans="175:327" hidden="1">
      <c r="FS308" s="3"/>
      <c r="FW308" s="3"/>
      <c r="GA308" s="3"/>
      <c r="GE308" s="3"/>
      <c r="GI308" s="3"/>
      <c r="GM308" s="3"/>
      <c r="GQ308" s="3"/>
      <c r="GU308" s="3"/>
      <c r="GY308" s="3"/>
      <c r="HC308" s="3"/>
      <c r="HG308" s="3"/>
      <c r="HK308" s="3"/>
      <c r="HO308" s="3"/>
      <c r="HS308" s="3"/>
      <c r="HW308" s="3"/>
      <c r="IA308" s="3"/>
      <c r="IE308" s="3"/>
      <c r="II308" s="3"/>
      <c r="IM308" s="3"/>
      <c r="IQ308" s="3"/>
      <c r="IU308" s="3"/>
      <c r="IY308" s="3"/>
      <c r="JC308" s="3"/>
      <c r="JG308" s="3"/>
      <c r="JK308" s="3"/>
      <c r="JO308" s="3"/>
      <c r="JS308" s="3"/>
      <c r="JW308" s="3"/>
      <c r="KA308" s="3"/>
      <c r="KE308" s="3"/>
      <c r="KI308" s="3"/>
      <c r="KM308" s="3"/>
      <c r="KQ308" s="3"/>
      <c r="KU308" s="3"/>
      <c r="KY308" s="3"/>
      <c r="LC308" s="3"/>
      <c r="LG308" s="3"/>
      <c r="LK308" s="3"/>
      <c r="LO308" s="3"/>
    </row>
    <row r="309" spans="175:327" hidden="1">
      <c r="FS309" s="3"/>
      <c r="FW309" s="3"/>
      <c r="GA309" s="3"/>
      <c r="GE309" s="3"/>
      <c r="GI309" s="3"/>
      <c r="GM309" s="3"/>
      <c r="GQ309" s="3"/>
      <c r="GU309" s="3"/>
      <c r="GY309" s="3"/>
      <c r="HC309" s="3"/>
      <c r="HG309" s="3"/>
      <c r="HK309" s="3"/>
      <c r="HO309" s="3"/>
      <c r="HS309" s="3"/>
      <c r="HW309" s="3"/>
      <c r="IA309" s="3"/>
      <c r="IE309" s="3"/>
      <c r="II309" s="3"/>
      <c r="IM309" s="3"/>
      <c r="IQ309" s="3"/>
      <c r="IU309" s="3"/>
      <c r="IY309" s="3"/>
      <c r="JC309" s="3"/>
      <c r="JG309" s="3"/>
      <c r="JK309" s="3"/>
      <c r="JO309" s="3"/>
      <c r="JS309" s="3"/>
      <c r="JW309" s="3"/>
      <c r="KA309" s="3"/>
      <c r="KE309" s="3"/>
      <c r="KI309" s="3"/>
      <c r="KM309" s="3"/>
      <c r="KQ309" s="3"/>
      <c r="KU309" s="3"/>
      <c r="KY309" s="3"/>
      <c r="LC309" s="3"/>
      <c r="LG309" s="3"/>
      <c r="LK309" s="3"/>
      <c r="LO309" s="3"/>
    </row>
    <row r="310" spans="175:327" hidden="1">
      <c r="FS310" s="3"/>
      <c r="FW310" s="3"/>
      <c r="GA310" s="3"/>
      <c r="GE310" s="3"/>
      <c r="GI310" s="3"/>
      <c r="GM310" s="3"/>
      <c r="GQ310" s="3"/>
      <c r="GU310" s="3"/>
      <c r="GY310" s="3"/>
      <c r="HC310" s="3"/>
      <c r="HG310" s="3"/>
      <c r="HK310" s="3"/>
      <c r="HO310" s="3"/>
      <c r="HS310" s="3"/>
      <c r="HW310" s="3"/>
      <c r="IA310" s="3"/>
      <c r="IE310" s="3"/>
      <c r="II310" s="3"/>
      <c r="IM310" s="3"/>
      <c r="IQ310" s="3"/>
      <c r="IU310" s="3"/>
      <c r="IY310" s="3"/>
      <c r="JC310" s="3"/>
      <c r="JG310" s="3"/>
      <c r="JK310" s="3"/>
      <c r="JO310" s="3"/>
      <c r="JS310" s="3"/>
      <c r="JW310" s="3"/>
      <c r="KA310" s="3"/>
      <c r="KE310" s="3"/>
      <c r="KI310" s="3"/>
      <c r="KM310" s="3"/>
      <c r="KQ310" s="3"/>
      <c r="KU310" s="3"/>
      <c r="KY310" s="3"/>
      <c r="LC310" s="3"/>
      <c r="LG310" s="3"/>
      <c r="LK310" s="3"/>
      <c r="LO310" s="3"/>
    </row>
    <row r="311" spans="175:327" hidden="1">
      <c r="FS311" s="3"/>
      <c r="FW311" s="3"/>
      <c r="GA311" s="3"/>
      <c r="GE311" s="3"/>
      <c r="GI311" s="3"/>
      <c r="GM311" s="3"/>
      <c r="GQ311" s="3"/>
      <c r="GU311" s="3"/>
      <c r="GY311" s="3"/>
      <c r="HC311" s="3"/>
      <c r="HG311" s="3"/>
      <c r="HK311" s="3"/>
      <c r="HO311" s="3"/>
      <c r="HS311" s="3"/>
      <c r="HW311" s="3"/>
      <c r="IA311" s="3"/>
      <c r="IE311" s="3"/>
      <c r="II311" s="3"/>
      <c r="IM311" s="3"/>
      <c r="IQ311" s="3"/>
      <c r="IU311" s="3"/>
      <c r="IY311" s="3"/>
      <c r="JC311" s="3"/>
      <c r="JG311" s="3"/>
      <c r="JK311" s="3"/>
      <c r="JO311" s="3"/>
      <c r="JS311" s="3"/>
      <c r="JW311" s="3"/>
      <c r="KA311" s="3"/>
      <c r="KE311" s="3"/>
      <c r="KI311" s="3"/>
      <c r="KM311" s="3"/>
      <c r="KQ311" s="3"/>
      <c r="KU311" s="3"/>
      <c r="KY311" s="3"/>
      <c r="LC311" s="3"/>
      <c r="LG311" s="3"/>
      <c r="LK311" s="3"/>
      <c r="LO311" s="3"/>
    </row>
    <row r="312" spans="175:327" hidden="1">
      <c r="FS312" s="3"/>
      <c r="FW312" s="3"/>
      <c r="GA312" s="3"/>
      <c r="GE312" s="3"/>
      <c r="GI312" s="3"/>
      <c r="GM312" s="3"/>
      <c r="GQ312" s="3"/>
      <c r="GU312" s="3"/>
      <c r="GY312" s="3"/>
      <c r="HC312" s="3"/>
      <c r="HG312" s="3"/>
      <c r="HK312" s="3"/>
      <c r="HO312" s="3"/>
      <c r="HS312" s="3"/>
      <c r="HW312" s="3"/>
      <c r="IA312" s="3"/>
      <c r="IE312" s="3"/>
      <c r="II312" s="3"/>
      <c r="IM312" s="3"/>
      <c r="IQ312" s="3"/>
      <c r="IU312" s="3"/>
      <c r="IY312" s="3"/>
      <c r="JC312" s="3"/>
      <c r="JG312" s="3"/>
      <c r="JK312" s="3"/>
      <c r="JO312" s="3"/>
      <c r="JS312" s="3"/>
      <c r="JW312" s="3"/>
      <c r="KA312" s="3"/>
      <c r="KE312" s="3"/>
      <c r="KI312" s="3"/>
      <c r="KM312" s="3"/>
      <c r="KQ312" s="3"/>
      <c r="KU312" s="3"/>
      <c r="KY312" s="3"/>
      <c r="LC312" s="3"/>
      <c r="LG312" s="3"/>
      <c r="LK312" s="3"/>
      <c r="LO312" s="3"/>
    </row>
    <row r="313" spans="175:327" hidden="1">
      <c r="FS313" s="3"/>
      <c r="FW313" s="3"/>
      <c r="GA313" s="3"/>
      <c r="GE313" s="3"/>
      <c r="GI313" s="3"/>
      <c r="GM313" s="3"/>
      <c r="GQ313" s="3"/>
      <c r="GU313" s="3"/>
      <c r="GY313" s="3"/>
      <c r="HC313" s="3"/>
      <c r="HG313" s="3"/>
      <c r="HK313" s="3"/>
      <c r="HO313" s="3"/>
      <c r="HS313" s="3"/>
      <c r="HW313" s="3"/>
      <c r="IA313" s="3"/>
      <c r="IE313" s="3"/>
      <c r="II313" s="3"/>
      <c r="IM313" s="3"/>
      <c r="IQ313" s="3"/>
      <c r="IU313" s="3"/>
      <c r="IY313" s="3"/>
      <c r="JC313" s="3"/>
      <c r="JG313" s="3"/>
      <c r="JK313" s="3"/>
      <c r="JO313" s="3"/>
      <c r="JS313" s="3"/>
      <c r="JW313" s="3"/>
      <c r="KA313" s="3"/>
      <c r="KE313" s="3"/>
      <c r="KI313" s="3"/>
      <c r="KM313" s="3"/>
      <c r="KQ313" s="3"/>
      <c r="KU313" s="3"/>
      <c r="KY313" s="3"/>
      <c r="LC313" s="3"/>
      <c r="LG313" s="3"/>
      <c r="LK313" s="3"/>
      <c r="LO313" s="3"/>
    </row>
    <row r="314" spans="175:327" hidden="1">
      <c r="FS314" s="3"/>
      <c r="FW314" s="3"/>
      <c r="GA314" s="3"/>
      <c r="GE314" s="3"/>
      <c r="GI314" s="3"/>
      <c r="GM314" s="3"/>
      <c r="GQ314" s="3"/>
      <c r="GU314" s="3"/>
      <c r="GY314" s="3"/>
      <c r="HC314" s="3"/>
      <c r="HG314" s="3"/>
      <c r="HK314" s="3"/>
      <c r="HO314" s="3"/>
      <c r="HS314" s="3"/>
      <c r="HW314" s="3"/>
      <c r="IA314" s="3"/>
      <c r="IE314" s="3"/>
      <c r="II314" s="3"/>
      <c r="IM314" s="3"/>
      <c r="IQ314" s="3"/>
      <c r="IU314" s="3"/>
      <c r="IY314" s="3"/>
      <c r="JC314" s="3"/>
      <c r="JG314" s="3"/>
      <c r="JK314" s="3"/>
      <c r="JO314" s="3"/>
      <c r="JS314" s="3"/>
      <c r="JW314" s="3"/>
      <c r="KA314" s="3"/>
      <c r="KE314" s="3"/>
      <c r="KI314" s="3"/>
      <c r="KM314" s="3"/>
      <c r="KQ314" s="3"/>
      <c r="KU314" s="3"/>
      <c r="KY314" s="3"/>
      <c r="LC314" s="3"/>
      <c r="LG314" s="3"/>
      <c r="LK314" s="3"/>
      <c r="LO314" s="3"/>
    </row>
    <row r="315" spans="175:327" hidden="1">
      <c r="FS315" s="3"/>
      <c r="FW315" s="3"/>
      <c r="GA315" s="3"/>
      <c r="GE315" s="3"/>
      <c r="GI315" s="3"/>
      <c r="GM315" s="3"/>
      <c r="GQ315" s="3"/>
      <c r="GU315" s="3"/>
      <c r="GY315" s="3"/>
      <c r="HC315" s="3"/>
      <c r="HG315" s="3"/>
      <c r="HK315" s="3"/>
      <c r="HO315" s="3"/>
      <c r="HS315" s="3"/>
      <c r="HW315" s="3"/>
      <c r="IA315" s="3"/>
      <c r="IE315" s="3"/>
      <c r="II315" s="3"/>
      <c r="IM315" s="3"/>
      <c r="IQ315" s="3"/>
      <c r="IU315" s="3"/>
      <c r="IY315" s="3"/>
      <c r="JC315" s="3"/>
      <c r="JG315" s="3"/>
      <c r="JK315" s="3"/>
      <c r="JO315" s="3"/>
      <c r="JS315" s="3"/>
      <c r="JW315" s="3"/>
      <c r="KA315" s="3"/>
      <c r="KE315" s="3"/>
      <c r="KI315" s="3"/>
      <c r="KM315" s="3"/>
      <c r="KQ315" s="3"/>
      <c r="KU315" s="3"/>
      <c r="KY315" s="3"/>
      <c r="LC315" s="3"/>
      <c r="LG315" s="3"/>
      <c r="LK315" s="3"/>
      <c r="LO315" s="3"/>
    </row>
    <row r="316" spans="175:327" hidden="1">
      <c r="FS316" s="3"/>
      <c r="FW316" s="3"/>
      <c r="GA316" s="3"/>
      <c r="GE316" s="3"/>
      <c r="GI316" s="3"/>
      <c r="GM316" s="3"/>
      <c r="GQ316" s="3"/>
      <c r="GU316" s="3"/>
      <c r="GY316" s="3"/>
      <c r="HC316" s="3"/>
      <c r="HG316" s="3"/>
      <c r="HK316" s="3"/>
      <c r="HO316" s="3"/>
      <c r="HS316" s="3"/>
      <c r="HW316" s="3"/>
      <c r="IA316" s="3"/>
      <c r="IE316" s="3"/>
      <c r="II316" s="3"/>
      <c r="IM316" s="3"/>
      <c r="IQ316" s="3"/>
      <c r="IU316" s="3"/>
      <c r="IY316" s="3"/>
      <c r="JC316" s="3"/>
      <c r="JG316" s="3"/>
      <c r="JK316" s="3"/>
      <c r="JO316" s="3"/>
      <c r="JS316" s="3"/>
      <c r="JW316" s="3"/>
      <c r="KA316" s="3"/>
      <c r="KE316" s="3"/>
      <c r="KI316" s="3"/>
      <c r="KM316" s="3"/>
      <c r="KQ316" s="3"/>
      <c r="KU316" s="3"/>
      <c r="KY316" s="3"/>
      <c r="LC316" s="3"/>
      <c r="LG316" s="3"/>
      <c r="LK316" s="3"/>
      <c r="LO316" s="3"/>
    </row>
    <row r="317" spans="175:327" hidden="1">
      <c r="FS317" s="3"/>
      <c r="FW317" s="3"/>
      <c r="GA317" s="3"/>
      <c r="GE317" s="3"/>
      <c r="GI317" s="3"/>
      <c r="GM317" s="3"/>
      <c r="GQ317" s="3"/>
      <c r="GU317" s="3"/>
      <c r="GY317" s="3"/>
      <c r="HC317" s="3"/>
      <c r="HG317" s="3"/>
      <c r="HK317" s="3"/>
      <c r="HO317" s="3"/>
      <c r="HS317" s="3"/>
      <c r="HW317" s="3"/>
      <c r="IA317" s="3"/>
      <c r="IE317" s="3"/>
      <c r="II317" s="3"/>
      <c r="IM317" s="3"/>
      <c r="IQ317" s="3"/>
      <c r="IU317" s="3"/>
      <c r="IY317" s="3"/>
      <c r="JC317" s="3"/>
      <c r="JG317" s="3"/>
      <c r="JK317" s="3"/>
      <c r="JO317" s="3"/>
      <c r="JS317" s="3"/>
      <c r="JW317" s="3"/>
      <c r="KA317" s="3"/>
      <c r="KE317" s="3"/>
      <c r="KI317" s="3"/>
      <c r="KM317" s="3"/>
      <c r="KQ317" s="3"/>
      <c r="KU317" s="3"/>
      <c r="KY317" s="3"/>
      <c r="LC317" s="3"/>
      <c r="LG317" s="3"/>
      <c r="LK317" s="3"/>
      <c r="LO317" s="3"/>
    </row>
    <row r="318" spans="175:327" hidden="1">
      <c r="FS318" s="3"/>
      <c r="FW318" s="3"/>
      <c r="GA318" s="3"/>
      <c r="GE318" s="3"/>
      <c r="GI318" s="3"/>
      <c r="GM318" s="3"/>
      <c r="GQ318" s="3"/>
      <c r="GU318" s="3"/>
      <c r="GY318" s="3"/>
      <c r="HC318" s="3"/>
      <c r="HG318" s="3"/>
      <c r="HK318" s="3"/>
      <c r="HO318" s="3"/>
      <c r="HS318" s="3"/>
      <c r="HW318" s="3"/>
      <c r="IA318" s="3"/>
      <c r="IE318" s="3"/>
      <c r="II318" s="3"/>
      <c r="IM318" s="3"/>
      <c r="IQ318" s="3"/>
      <c r="IU318" s="3"/>
      <c r="IY318" s="3"/>
      <c r="JC318" s="3"/>
      <c r="JG318" s="3"/>
      <c r="JK318" s="3"/>
      <c r="JO318" s="3"/>
      <c r="JS318" s="3"/>
      <c r="JW318" s="3"/>
      <c r="KA318" s="3"/>
      <c r="KE318" s="3"/>
      <c r="KI318" s="3"/>
      <c r="KM318" s="3"/>
      <c r="KQ318" s="3"/>
      <c r="KU318" s="3"/>
      <c r="KY318" s="3"/>
      <c r="LC318" s="3"/>
      <c r="LG318" s="3"/>
      <c r="LK318" s="3"/>
      <c r="LO318" s="3"/>
    </row>
    <row r="319" spans="175:327" hidden="1">
      <c r="FS319" s="3"/>
      <c r="FW319" s="3"/>
      <c r="GA319" s="3"/>
      <c r="GE319" s="3"/>
      <c r="GI319" s="3"/>
      <c r="GM319" s="3"/>
      <c r="GQ319" s="3"/>
      <c r="GU319" s="3"/>
      <c r="GY319" s="3"/>
      <c r="HC319" s="3"/>
      <c r="HG319" s="3"/>
      <c r="HK319" s="3"/>
      <c r="HO319" s="3"/>
      <c r="HS319" s="3"/>
      <c r="HW319" s="3"/>
      <c r="IA319" s="3"/>
      <c r="IE319" s="3"/>
      <c r="II319" s="3"/>
      <c r="IM319" s="3"/>
      <c r="IQ319" s="3"/>
      <c r="IU319" s="3"/>
      <c r="IY319" s="3"/>
      <c r="JC319" s="3"/>
      <c r="JG319" s="3"/>
      <c r="JK319" s="3"/>
      <c r="JO319" s="3"/>
      <c r="JS319" s="3"/>
      <c r="JW319" s="3"/>
      <c r="KA319" s="3"/>
      <c r="KE319" s="3"/>
      <c r="KI319" s="3"/>
      <c r="KM319" s="3"/>
      <c r="KQ319" s="3"/>
      <c r="KU319" s="3"/>
      <c r="KY319" s="3"/>
      <c r="LC319" s="3"/>
      <c r="LG319" s="3"/>
      <c r="LK319" s="3"/>
      <c r="LO319" s="3"/>
    </row>
    <row r="320" spans="175:327" hidden="1">
      <c r="FS320" s="3"/>
      <c r="FW320" s="3"/>
      <c r="GA320" s="3"/>
      <c r="GE320" s="3"/>
      <c r="GI320" s="3"/>
      <c r="GM320" s="3"/>
      <c r="GQ320" s="3"/>
      <c r="GU320" s="3"/>
      <c r="GY320" s="3"/>
      <c r="HC320" s="3"/>
      <c r="HG320" s="3"/>
      <c r="HK320" s="3"/>
      <c r="HO320" s="3"/>
      <c r="HS320" s="3"/>
      <c r="HW320" s="3"/>
      <c r="IA320" s="3"/>
      <c r="IE320" s="3"/>
      <c r="II320" s="3"/>
      <c r="IM320" s="3"/>
      <c r="IQ320" s="3"/>
      <c r="IU320" s="3"/>
      <c r="IY320" s="3"/>
      <c r="JC320" s="3"/>
      <c r="JG320" s="3"/>
      <c r="JK320" s="3"/>
      <c r="JO320" s="3"/>
      <c r="JS320" s="3"/>
      <c r="JW320" s="3"/>
      <c r="KA320" s="3"/>
      <c r="KE320" s="3"/>
      <c r="KI320" s="3"/>
      <c r="KM320" s="3"/>
      <c r="KQ320" s="3"/>
      <c r="KU320" s="3"/>
      <c r="KY320" s="3"/>
      <c r="LC320" s="3"/>
      <c r="LG320" s="3"/>
      <c r="LK320" s="3"/>
      <c r="LO320" s="3"/>
    </row>
    <row r="321" spans="175:327" hidden="1">
      <c r="FS321" s="3"/>
      <c r="FW321" s="3"/>
      <c r="GA321" s="3"/>
      <c r="GE321" s="3"/>
      <c r="GI321" s="3"/>
      <c r="GM321" s="3"/>
      <c r="GQ321" s="3"/>
      <c r="GU321" s="3"/>
      <c r="GY321" s="3"/>
      <c r="HC321" s="3"/>
      <c r="HG321" s="3"/>
      <c r="HK321" s="3"/>
      <c r="HO321" s="3"/>
      <c r="HS321" s="3"/>
      <c r="HW321" s="3"/>
      <c r="IA321" s="3"/>
      <c r="IE321" s="3"/>
      <c r="II321" s="3"/>
      <c r="IM321" s="3"/>
      <c r="IQ321" s="3"/>
      <c r="IU321" s="3"/>
      <c r="IY321" s="3"/>
      <c r="JC321" s="3"/>
      <c r="JG321" s="3"/>
      <c r="JK321" s="3"/>
      <c r="JO321" s="3"/>
      <c r="JS321" s="3"/>
      <c r="JW321" s="3"/>
      <c r="KA321" s="3"/>
      <c r="KE321" s="3"/>
      <c r="KI321" s="3"/>
      <c r="KM321" s="3"/>
      <c r="KQ321" s="3"/>
      <c r="KU321" s="3"/>
      <c r="KY321" s="3"/>
      <c r="LC321" s="3"/>
      <c r="LG321" s="3"/>
      <c r="LK321" s="3"/>
      <c r="LO321" s="3"/>
    </row>
    <row r="322" spans="175:327" hidden="1">
      <c r="FS322" s="3"/>
      <c r="FW322" s="3"/>
      <c r="GA322" s="3"/>
      <c r="GE322" s="3"/>
      <c r="GI322" s="3"/>
      <c r="GM322" s="3"/>
      <c r="GQ322" s="3"/>
      <c r="GU322" s="3"/>
      <c r="GY322" s="3"/>
      <c r="HC322" s="3"/>
      <c r="HG322" s="3"/>
      <c r="HK322" s="3"/>
      <c r="HO322" s="3"/>
      <c r="HS322" s="3"/>
      <c r="HW322" s="3"/>
      <c r="IA322" s="3"/>
      <c r="IE322" s="3"/>
      <c r="II322" s="3"/>
      <c r="IM322" s="3"/>
      <c r="IQ322" s="3"/>
      <c r="IU322" s="3"/>
      <c r="IY322" s="3"/>
      <c r="JC322" s="3"/>
      <c r="JG322" s="3"/>
      <c r="JK322" s="3"/>
      <c r="JO322" s="3"/>
      <c r="JS322" s="3"/>
      <c r="JW322" s="3"/>
      <c r="KA322" s="3"/>
      <c r="KE322" s="3"/>
      <c r="KI322" s="3"/>
      <c r="KM322" s="3"/>
      <c r="KQ322" s="3"/>
      <c r="KU322" s="3"/>
      <c r="KY322" s="3"/>
      <c r="LC322" s="3"/>
      <c r="LG322" s="3"/>
      <c r="LK322" s="3"/>
      <c r="LO322" s="3"/>
    </row>
    <row r="323" spans="175:327" hidden="1">
      <c r="FS323" s="3"/>
      <c r="FW323" s="3"/>
      <c r="GA323" s="3"/>
      <c r="GE323" s="3"/>
      <c r="GI323" s="3"/>
      <c r="GM323" s="3"/>
      <c r="GQ323" s="3"/>
      <c r="GU323" s="3"/>
      <c r="GY323" s="3"/>
      <c r="HC323" s="3"/>
      <c r="HG323" s="3"/>
      <c r="HK323" s="3"/>
      <c r="HO323" s="3"/>
      <c r="HS323" s="3"/>
      <c r="HW323" s="3"/>
      <c r="IA323" s="3"/>
      <c r="IE323" s="3"/>
      <c r="II323" s="3"/>
      <c r="IM323" s="3"/>
      <c r="IQ323" s="3"/>
      <c r="IU323" s="3"/>
      <c r="IY323" s="3"/>
      <c r="JC323" s="3"/>
      <c r="JG323" s="3"/>
      <c r="JK323" s="3"/>
      <c r="JO323" s="3"/>
      <c r="JS323" s="3"/>
      <c r="JW323" s="3"/>
      <c r="KA323" s="3"/>
      <c r="KE323" s="3"/>
      <c r="KI323" s="3"/>
      <c r="KM323" s="3"/>
      <c r="KQ323" s="3"/>
      <c r="KU323" s="3"/>
      <c r="KY323" s="3"/>
      <c r="LC323" s="3"/>
      <c r="LG323" s="3"/>
      <c r="LK323" s="3"/>
      <c r="LO323" s="3"/>
    </row>
    <row r="324" spans="175:327" hidden="1">
      <c r="FS324" s="3"/>
      <c r="FW324" s="3"/>
      <c r="GA324" s="3"/>
      <c r="GE324" s="3"/>
      <c r="GI324" s="3"/>
      <c r="GM324" s="3"/>
      <c r="GQ324" s="3"/>
      <c r="GU324" s="3"/>
      <c r="GY324" s="3"/>
      <c r="HC324" s="3"/>
      <c r="HG324" s="3"/>
      <c r="HK324" s="3"/>
      <c r="HO324" s="3"/>
      <c r="HS324" s="3"/>
      <c r="HW324" s="3"/>
      <c r="IA324" s="3"/>
      <c r="IE324" s="3"/>
      <c r="II324" s="3"/>
      <c r="IM324" s="3"/>
      <c r="IQ324" s="3"/>
      <c r="IU324" s="3"/>
      <c r="IY324" s="3"/>
      <c r="JC324" s="3"/>
      <c r="JG324" s="3"/>
      <c r="JK324" s="3"/>
      <c r="JO324" s="3"/>
      <c r="JS324" s="3"/>
      <c r="JW324" s="3"/>
      <c r="KA324" s="3"/>
      <c r="KE324" s="3"/>
      <c r="KI324" s="3"/>
      <c r="KM324" s="3"/>
      <c r="KQ324" s="3"/>
      <c r="KU324" s="3"/>
      <c r="KY324" s="3"/>
      <c r="LC324" s="3"/>
      <c r="LG324" s="3"/>
      <c r="LK324" s="3"/>
      <c r="LO324" s="3"/>
    </row>
    <row r="325" spans="175:327" hidden="1">
      <c r="FS325" s="3"/>
      <c r="FW325" s="3"/>
      <c r="GA325" s="3"/>
      <c r="GE325" s="3"/>
      <c r="GI325" s="3"/>
      <c r="GM325" s="3"/>
      <c r="GQ325" s="3"/>
      <c r="GU325" s="3"/>
      <c r="GY325" s="3"/>
      <c r="HC325" s="3"/>
      <c r="HG325" s="3"/>
      <c r="HK325" s="3"/>
      <c r="HO325" s="3"/>
      <c r="HS325" s="3"/>
      <c r="HW325" s="3"/>
      <c r="IA325" s="3"/>
      <c r="IE325" s="3"/>
      <c r="II325" s="3"/>
      <c r="IM325" s="3"/>
      <c r="IQ325" s="3"/>
      <c r="IU325" s="3"/>
      <c r="IY325" s="3"/>
      <c r="JC325" s="3"/>
      <c r="JG325" s="3"/>
      <c r="JK325" s="3"/>
      <c r="JO325" s="3"/>
      <c r="JS325" s="3"/>
      <c r="JW325" s="3"/>
      <c r="KA325" s="3"/>
      <c r="KE325" s="3"/>
      <c r="KI325" s="3"/>
      <c r="KM325" s="3"/>
      <c r="KQ325" s="3"/>
      <c r="KU325" s="3"/>
      <c r="KY325" s="3"/>
      <c r="LC325" s="3"/>
      <c r="LG325" s="3"/>
      <c r="LK325" s="3"/>
      <c r="LO325" s="3"/>
    </row>
    <row r="326" spans="175:327" hidden="1">
      <c r="FS326" s="3"/>
      <c r="FW326" s="3"/>
      <c r="GA326" s="3"/>
      <c r="GE326" s="3"/>
      <c r="GI326" s="3"/>
      <c r="GM326" s="3"/>
      <c r="GQ326" s="3"/>
      <c r="GU326" s="3"/>
      <c r="GY326" s="3"/>
      <c r="HC326" s="3"/>
      <c r="HG326" s="3"/>
      <c r="HK326" s="3"/>
      <c r="HO326" s="3"/>
      <c r="HS326" s="3"/>
      <c r="HW326" s="3"/>
      <c r="IA326" s="3"/>
      <c r="IE326" s="3"/>
      <c r="II326" s="3"/>
      <c r="IM326" s="3"/>
      <c r="IQ326" s="3"/>
      <c r="IU326" s="3"/>
      <c r="IY326" s="3"/>
      <c r="JC326" s="3"/>
      <c r="JG326" s="3"/>
      <c r="JK326" s="3"/>
      <c r="JO326" s="3"/>
      <c r="JS326" s="3"/>
      <c r="JW326" s="3"/>
      <c r="KA326" s="3"/>
      <c r="KE326" s="3"/>
      <c r="KI326" s="3"/>
      <c r="KM326" s="3"/>
      <c r="KQ326" s="3"/>
      <c r="KU326" s="3"/>
      <c r="KY326" s="3"/>
      <c r="LC326" s="3"/>
      <c r="LG326" s="3"/>
      <c r="LK326" s="3"/>
      <c r="LO326" s="3"/>
    </row>
    <row r="327" spans="175:327" hidden="1">
      <c r="FS327" s="3"/>
      <c r="FW327" s="3"/>
      <c r="GA327" s="3"/>
      <c r="GE327" s="3"/>
      <c r="GI327" s="3"/>
      <c r="GM327" s="3"/>
      <c r="GQ327" s="3"/>
      <c r="GU327" s="3"/>
      <c r="GY327" s="3"/>
      <c r="HC327" s="3"/>
      <c r="HG327" s="3"/>
      <c r="HK327" s="3"/>
      <c r="HO327" s="3"/>
      <c r="HS327" s="3"/>
      <c r="HW327" s="3"/>
      <c r="IA327" s="3"/>
      <c r="IE327" s="3"/>
      <c r="II327" s="3"/>
      <c r="IM327" s="3"/>
      <c r="IQ327" s="3"/>
      <c r="IU327" s="3"/>
      <c r="IY327" s="3"/>
      <c r="JC327" s="3"/>
      <c r="JG327" s="3"/>
      <c r="JK327" s="3"/>
      <c r="JO327" s="3"/>
      <c r="JS327" s="3"/>
      <c r="JW327" s="3"/>
      <c r="KA327" s="3"/>
      <c r="KE327" s="3"/>
      <c r="KI327" s="3"/>
      <c r="KM327" s="3"/>
      <c r="KQ327" s="3"/>
      <c r="KU327" s="3"/>
      <c r="KY327" s="3"/>
      <c r="LC327" s="3"/>
      <c r="LG327" s="3"/>
      <c r="LK327" s="3"/>
      <c r="LO327" s="3"/>
    </row>
    <row r="328" spans="175:327" hidden="1">
      <c r="FS328" s="3"/>
      <c r="FW328" s="3"/>
      <c r="GA328" s="3"/>
      <c r="GE328" s="3"/>
      <c r="GI328" s="3"/>
      <c r="GM328" s="3"/>
      <c r="GQ328" s="3"/>
      <c r="GU328" s="3"/>
      <c r="GY328" s="3"/>
      <c r="HC328" s="3"/>
      <c r="HG328" s="3"/>
      <c r="HK328" s="3"/>
      <c r="HO328" s="3"/>
      <c r="HS328" s="3"/>
      <c r="HW328" s="3"/>
      <c r="IA328" s="3"/>
      <c r="IE328" s="3"/>
      <c r="II328" s="3"/>
      <c r="IM328" s="3"/>
      <c r="IQ328" s="3"/>
      <c r="IU328" s="3"/>
      <c r="IY328" s="3"/>
      <c r="JC328" s="3"/>
      <c r="JG328" s="3"/>
      <c r="JK328" s="3"/>
      <c r="JO328" s="3"/>
      <c r="JS328" s="3"/>
      <c r="JW328" s="3"/>
      <c r="KA328" s="3"/>
      <c r="KE328" s="3"/>
      <c r="KI328" s="3"/>
      <c r="KM328" s="3"/>
      <c r="KQ328" s="3"/>
      <c r="KU328" s="3"/>
      <c r="KY328" s="3"/>
      <c r="LC328" s="3"/>
      <c r="LG328" s="3"/>
      <c r="LK328" s="3"/>
      <c r="LO328" s="3"/>
    </row>
    <row r="329" spans="175:327" hidden="1">
      <c r="FS329" s="3"/>
      <c r="FW329" s="3"/>
      <c r="GA329" s="3"/>
      <c r="GE329" s="3"/>
      <c r="GI329" s="3"/>
      <c r="GM329" s="3"/>
      <c r="GQ329" s="3"/>
      <c r="GU329" s="3"/>
      <c r="GY329" s="3"/>
      <c r="HC329" s="3"/>
      <c r="HG329" s="3"/>
      <c r="HK329" s="3"/>
      <c r="HO329" s="3"/>
      <c r="HS329" s="3"/>
      <c r="HW329" s="3"/>
      <c r="IA329" s="3"/>
      <c r="IE329" s="3"/>
      <c r="II329" s="3"/>
      <c r="IM329" s="3"/>
      <c r="IQ329" s="3"/>
      <c r="IU329" s="3"/>
      <c r="IY329" s="3"/>
      <c r="JC329" s="3"/>
      <c r="JG329" s="3"/>
      <c r="JK329" s="3"/>
      <c r="JO329" s="3"/>
      <c r="JS329" s="3"/>
      <c r="JW329" s="3"/>
      <c r="KA329" s="3"/>
      <c r="KE329" s="3"/>
      <c r="KI329" s="3"/>
      <c r="KM329" s="3"/>
      <c r="KQ329" s="3"/>
      <c r="KU329" s="3"/>
      <c r="KY329" s="3"/>
      <c r="LC329" s="3"/>
      <c r="LG329" s="3"/>
      <c r="LK329" s="3"/>
      <c r="LO329" s="3"/>
    </row>
    <row r="330" spans="175:327" hidden="1">
      <c r="FS330" s="3"/>
      <c r="FW330" s="3"/>
      <c r="GA330" s="3"/>
      <c r="GE330" s="3"/>
      <c r="GI330" s="3"/>
      <c r="GM330" s="3"/>
      <c r="GQ330" s="3"/>
      <c r="GU330" s="3"/>
      <c r="GY330" s="3"/>
      <c r="HC330" s="3"/>
      <c r="HG330" s="3"/>
      <c r="HK330" s="3"/>
      <c r="HO330" s="3"/>
      <c r="HS330" s="3"/>
      <c r="HW330" s="3"/>
      <c r="IA330" s="3"/>
      <c r="IE330" s="3"/>
      <c r="II330" s="3"/>
      <c r="IM330" s="3"/>
      <c r="IQ330" s="3"/>
      <c r="IU330" s="3"/>
      <c r="IY330" s="3"/>
      <c r="JC330" s="3"/>
      <c r="JG330" s="3"/>
      <c r="JK330" s="3"/>
      <c r="JO330" s="3"/>
      <c r="JS330" s="3"/>
      <c r="JW330" s="3"/>
      <c r="KA330" s="3"/>
      <c r="KE330" s="3"/>
      <c r="KI330" s="3"/>
      <c r="KM330" s="3"/>
      <c r="KQ330" s="3"/>
      <c r="KU330" s="3"/>
      <c r="KY330" s="3"/>
      <c r="LC330" s="3"/>
      <c r="LG330" s="3"/>
      <c r="LK330" s="3"/>
      <c r="LO330" s="3"/>
    </row>
    <row r="331" spans="175:327" hidden="1">
      <c r="FS331" s="3"/>
      <c r="FW331" s="3"/>
      <c r="GA331" s="3"/>
      <c r="GE331" s="3"/>
      <c r="GI331" s="3"/>
      <c r="GM331" s="3"/>
      <c r="GQ331" s="3"/>
      <c r="GU331" s="3"/>
      <c r="GY331" s="3"/>
      <c r="HC331" s="3"/>
      <c r="HG331" s="3"/>
      <c r="HK331" s="3"/>
      <c r="HO331" s="3"/>
      <c r="HS331" s="3"/>
      <c r="HW331" s="3"/>
      <c r="IA331" s="3"/>
      <c r="IE331" s="3"/>
      <c r="II331" s="3"/>
      <c r="IM331" s="3"/>
      <c r="IQ331" s="3"/>
      <c r="IU331" s="3"/>
      <c r="IY331" s="3"/>
      <c r="JC331" s="3"/>
      <c r="JG331" s="3"/>
      <c r="JK331" s="3"/>
      <c r="JO331" s="3"/>
      <c r="JS331" s="3"/>
      <c r="JW331" s="3"/>
      <c r="KA331" s="3"/>
      <c r="KE331" s="3"/>
      <c r="KI331" s="3"/>
      <c r="KM331" s="3"/>
      <c r="KQ331" s="3"/>
      <c r="KU331" s="3"/>
      <c r="KY331" s="3"/>
      <c r="LC331" s="3"/>
      <c r="LG331" s="3"/>
      <c r="LK331" s="3"/>
      <c r="LO331" s="3"/>
    </row>
    <row r="332" spans="175:327" hidden="1">
      <c r="FS332" s="3"/>
      <c r="FW332" s="3"/>
      <c r="GA332" s="3"/>
      <c r="GE332" s="3"/>
      <c r="GI332" s="3"/>
      <c r="GM332" s="3"/>
      <c r="GQ332" s="3"/>
      <c r="GU332" s="3"/>
      <c r="GY332" s="3"/>
      <c r="HC332" s="3"/>
      <c r="HG332" s="3"/>
      <c r="HK332" s="3"/>
      <c r="HO332" s="3"/>
      <c r="HS332" s="3"/>
      <c r="HW332" s="3"/>
      <c r="IA332" s="3"/>
      <c r="IE332" s="3"/>
      <c r="II332" s="3"/>
      <c r="IM332" s="3"/>
      <c r="IQ332" s="3"/>
      <c r="IU332" s="3"/>
      <c r="IY332" s="3"/>
      <c r="JC332" s="3"/>
      <c r="JG332" s="3"/>
      <c r="JK332" s="3"/>
      <c r="JO332" s="3"/>
      <c r="JS332" s="3"/>
      <c r="JW332" s="3"/>
      <c r="KA332" s="3"/>
      <c r="KE332" s="3"/>
      <c r="KI332" s="3"/>
      <c r="KM332" s="3"/>
      <c r="KQ332" s="3"/>
      <c r="KU332" s="3"/>
      <c r="KY332" s="3"/>
      <c r="LC332" s="3"/>
      <c r="LG332" s="3"/>
      <c r="LK332" s="3"/>
      <c r="LO332" s="3"/>
    </row>
    <row r="333" spans="175:327" hidden="1">
      <c r="FS333" s="3"/>
      <c r="FW333" s="3"/>
      <c r="GA333" s="3"/>
      <c r="GE333" s="3"/>
      <c r="GI333" s="3"/>
      <c r="GM333" s="3"/>
      <c r="GQ333" s="3"/>
      <c r="GU333" s="3"/>
      <c r="GY333" s="3"/>
      <c r="HC333" s="3"/>
      <c r="HG333" s="3"/>
      <c r="HK333" s="3"/>
      <c r="HO333" s="3"/>
      <c r="HS333" s="3"/>
      <c r="HW333" s="3"/>
      <c r="IA333" s="3"/>
      <c r="IE333" s="3"/>
      <c r="II333" s="3"/>
      <c r="IM333" s="3"/>
      <c r="IQ333" s="3"/>
      <c r="IU333" s="3"/>
      <c r="IY333" s="3"/>
      <c r="JC333" s="3"/>
      <c r="JG333" s="3"/>
      <c r="JK333" s="3"/>
      <c r="JO333" s="3"/>
      <c r="JS333" s="3"/>
      <c r="JW333" s="3"/>
      <c r="KA333" s="3"/>
      <c r="KE333" s="3"/>
      <c r="KI333" s="3"/>
      <c r="KM333" s="3"/>
      <c r="KQ333" s="3"/>
      <c r="KU333" s="3"/>
      <c r="KY333" s="3"/>
      <c r="LC333" s="3"/>
      <c r="LG333" s="3"/>
      <c r="LK333" s="3"/>
      <c r="LO333" s="3"/>
    </row>
    <row r="334" spans="175:327" hidden="1">
      <c r="FS334" s="3"/>
      <c r="FW334" s="3"/>
      <c r="GA334" s="3"/>
      <c r="GE334" s="3"/>
      <c r="GI334" s="3"/>
      <c r="GM334" s="3"/>
      <c r="GQ334" s="3"/>
      <c r="GU334" s="3"/>
      <c r="GY334" s="3"/>
      <c r="HC334" s="3"/>
      <c r="HG334" s="3"/>
      <c r="HK334" s="3"/>
      <c r="HO334" s="3"/>
      <c r="HS334" s="3"/>
      <c r="HW334" s="3"/>
      <c r="IA334" s="3"/>
      <c r="IE334" s="3"/>
      <c r="II334" s="3"/>
      <c r="IM334" s="3"/>
      <c r="IQ334" s="3"/>
      <c r="IU334" s="3"/>
      <c r="IY334" s="3"/>
      <c r="JC334" s="3"/>
      <c r="JG334" s="3"/>
      <c r="JK334" s="3"/>
      <c r="JO334" s="3"/>
      <c r="JS334" s="3"/>
      <c r="JW334" s="3"/>
      <c r="KA334" s="3"/>
      <c r="KE334" s="3"/>
      <c r="KI334" s="3"/>
      <c r="KM334" s="3"/>
      <c r="KQ334" s="3"/>
      <c r="KU334" s="3"/>
      <c r="KY334" s="3"/>
      <c r="LC334" s="3"/>
      <c r="LG334" s="3"/>
      <c r="LK334" s="3"/>
      <c r="LO334" s="3"/>
    </row>
    <row r="335" spans="175:327" hidden="1">
      <c r="FS335" s="3"/>
      <c r="FW335" s="3"/>
      <c r="GA335" s="3"/>
      <c r="GE335" s="3"/>
      <c r="GI335" s="3"/>
      <c r="GM335" s="3"/>
      <c r="GQ335" s="3"/>
      <c r="GU335" s="3"/>
      <c r="GY335" s="3"/>
      <c r="HC335" s="3"/>
      <c r="HG335" s="3"/>
      <c r="HK335" s="3"/>
      <c r="HO335" s="3"/>
      <c r="HS335" s="3"/>
      <c r="HW335" s="3"/>
      <c r="IA335" s="3"/>
      <c r="IE335" s="3"/>
      <c r="II335" s="3"/>
      <c r="IM335" s="3"/>
      <c r="IQ335" s="3"/>
      <c r="IU335" s="3"/>
      <c r="IY335" s="3"/>
      <c r="JC335" s="3"/>
      <c r="JG335" s="3"/>
      <c r="JK335" s="3"/>
      <c r="JO335" s="3"/>
      <c r="JS335" s="3"/>
      <c r="JW335" s="3"/>
      <c r="KA335" s="3"/>
      <c r="KE335" s="3"/>
      <c r="KI335" s="3"/>
      <c r="KM335" s="3"/>
      <c r="KQ335" s="3"/>
      <c r="KU335" s="3"/>
      <c r="KY335" s="3"/>
      <c r="LC335" s="3"/>
      <c r="LG335" s="3"/>
      <c r="LK335" s="3"/>
      <c r="LO335" s="3"/>
    </row>
    <row r="336" spans="175:327" hidden="1">
      <c r="FS336" s="3"/>
      <c r="FW336" s="3"/>
      <c r="GA336" s="3"/>
      <c r="GE336" s="3"/>
      <c r="GI336" s="3"/>
      <c r="GM336" s="3"/>
      <c r="GQ336" s="3"/>
      <c r="GU336" s="3"/>
      <c r="GY336" s="3"/>
      <c r="HC336" s="3"/>
      <c r="HG336" s="3"/>
      <c r="HK336" s="3"/>
      <c r="HO336" s="3"/>
      <c r="HS336" s="3"/>
      <c r="HW336" s="3"/>
      <c r="IA336" s="3"/>
      <c r="IE336" s="3"/>
      <c r="II336" s="3"/>
      <c r="IM336" s="3"/>
      <c r="IQ336" s="3"/>
      <c r="IU336" s="3"/>
      <c r="IY336" s="3"/>
      <c r="JC336" s="3"/>
      <c r="JG336" s="3"/>
      <c r="JK336" s="3"/>
      <c r="JO336" s="3"/>
      <c r="JS336" s="3"/>
      <c r="JW336" s="3"/>
      <c r="KA336" s="3"/>
      <c r="KE336" s="3"/>
      <c r="KI336" s="3"/>
      <c r="KM336" s="3"/>
      <c r="KQ336" s="3"/>
      <c r="KU336" s="3"/>
      <c r="KY336" s="3"/>
      <c r="LC336" s="3"/>
      <c r="LG336" s="3"/>
      <c r="LK336" s="3"/>
      <c r="LO336" s="3"/>
    </row>
    <row r="337" spans="175:327" hidden="1">
      <c r="FS337" s="3"/>
      <c r="FW337" s="3"/>
      <c r="GA337" s="3"/>
      <c r="GE337" s="3"/>
      <c r="GI337" s="3"/>
      <c r="GM337" s="3"/>
      <c r="GQ337" s="3"/>
      <c r="GU337" s="3"/>
      <c r="GY337" s="3"/>
      <c r="HC337" s="3"/>
      <c r="HG337" s="3"/>
      <c r="HK337" s="3"/>
      <c r="HO337" s="3"/>
      <c r="HS337" s="3"/>
      <c r="HW337" s="3"/>
      <c r="IA337" s="3"/>
      <c r="IE337" s="3"/>
      <c r="II337" s="3"/>
      <c r="IM337" s="3"/>
      <c r="IQ337" s="3"/>
      <c r="IU337" s="3"/>
      <c r="IY337" s="3"/>
      <c r="JC337" s="3"/>
      <c r="JG337" s="3"/>
      <c r="JK337" s="3"/>
      <c r="JO337" s="3"/>
      <c r="JS337" s="3"/>
      <c r="JW337" s="3"/>
      <c r="KA337" s="3"/>
      <c r="KE337" s="3"/>
      <c r="KI337" s="3"/>
      <c r="KM337" s="3"/>
      <c r="KQ337" s="3"/>
      <c r="KU337" s="3"/>
      <c r="KY337" s="3"/>
      <c r="LC337" s="3"/>
      <c r="LG337" s="3"/>
      <c r="LK337" s="3"/>
      <c r="LO337" s="3"/>
    </row>
    <row r="338" spans="175:327" hidden="1">
      <c r="FS338" s="3"/>
      <c r="FW338" s="3"/>
      <c r="GA338" s="3"/>
      <c r="GE338" s="3"/>
      <c r="GI338" s="3"/>
      <c r="GM338" s="3"/>
      <c r="GQ338" s="3"/>
      <c r="GU338" s="3"/>
      <c r="GY338" s="3"/>
      <c r="HC338" s="3"/>
      <c r="HG338" s="3"/>
      <c r="HK338" s="3"/>
      <c r="HO338" s="3"/>
      <c r="HS338" s="3"/>
      <c r="HW338" s="3"/>
      <c r="IA338" s="3"/>
      <c r="IE338" s="3"/>
      <c r="II338" s="3"/>
      <c r="IM338" s="3"/>
      <c r="IQ338" s="3"/>
      <c r="IU338" s="3"/>
      <c r="IY338" s="3"/>
      <c r="JC338" s="3"/>
      <c r="JG338" s="3"/>
      <c r="JK338" s="3"/>
      <c r="JO338" s="3"/>
      <c r="JS338" s="3"/>
      <c r="JW338" s="3"/>
      <c r="KA338" s="3"/>
      <c r="KE338" s="3"/>
      <c r="KI338" s="3"/>
      <c r="KM338" s="3"/>
      <c r="KQ338" s="3"/>
      <c r="KU338" s="3"/>
      <c r="KY338" s="3"/>
      <c r="LC338" s="3"/>
      <c r="LG338" s="3"/>
      <c r="LK338" s="3"/>
      <c r="LO338" s="3"/>
    </row>
    <row r="339" spans="175:327" hidden="1">
      <c r="FS339" s="3"/>
      <c r="FW339" s="3"/>
      <c r="GA339" s="3"/>
      <c r="GE339" s="3"/>
      <c r="GI339" s="3"/>
      <c r="GM339" s="3"/>
      <c r="GQ339" s="3"/>
      <c r="GU339" s="3"/>
      <c r="GY339" s="3"/>
      <c r="HC339" s="3"/>
      <c r="HG339" s="3"/>
      <c r="HK339" s="3"/>
      <c r="HO339" s="3"/>
      <c r="HS339" s="3"/>
      <c r="HW339" s="3"/>
      <c r="IA339" s="3"/>
      <c r="IE339" s="3"/>
      <c r="II339" s="3"/>
      <c r="IM339" s="3"/>
      <c r="IQ339" s="3"/>
      <c r="IU339" s="3"/>
      <c r="IY339" s="3"/>
      <c r="JC339" s="3"/>
      <c r="JG339" s="3"/>
      <c r="JK339" s="3"/>
      <c r="JO339" s="3"/>
      <c r="JS339" s="3"/>
      <c r="JW339" s="3"/>
      <c r="KA339" s="3"/>
      <c r="KE339" s="3"/>
      <c r="KI339" s="3"/>
      <c r="KM339" s="3"/>
      <c r="KQ339" s="3"/>
      <c r="KU339" s="3"/>
      <c r="KY339" s="3"/>
      <c r="LC339" s="3"/>
      <c r="LG339" s="3"/>
      <c r="LK339" s="3"/>
      <c r="LO339" s="3"/>
    </row>
    <row r="340" spans="175:327" hidden="1">
      <c r="FS340" s="3"/>
      <c r="FW340" s="3"/>
      <c r="GA340" s="3"/>
      <c r="GE340" s="3"/>
      <c r="GI340" s="3"/>
      <c r="GM340" s="3"/>
      <c r="GQ340" s="3"/>
      <c r="GU340" s="3"/>
      <c r="GY340" s="3"/>
      <c r="HC340" s="3"/>
      <c r="HG340" s="3"/>
      <c r="HK340" s="3"/>
      <c r="HO340" s="3"/>
      <c r="HS340" s="3"/>
      <c r="HW340" s="3"/>
      <c r="IA340" s="3"/>
      <c r="IE340" s="3"/>
      <c r="II340" s="3"/>
      <c r="IM340" s="3"/>
      <c r="IQ340" s="3"/>
      <c r="IU340" s="3"/>
      <c r="IY340" s="3"/>
      <c r="JC340" s="3"/>
      <c r="JG340" s="3"/>
      <c r="JK340" s="3"/>
      <c r="JO340" s="3"/>
      <c r="JS340" s="3"/>
      <c r="JW340" s="3"/>
      <c r="KA340" s="3"/>
      <c r="KE340" s="3"/>
      <c r="KI340" s="3"/>
      <c r="KM340" s="3"/>
      <c r="KQ340" s="3"/>
      <c r="KU340" s="3"/>
      <c r="KY340" s="3"/>
      <c r="LC340" s="3"/>
      <c r="LG340" s="3"/>
      <c r="LK340" s="3"/>
      <c r="LO340" s="3"/>
    </row>
    <row r="341" spans="175:327" hidden="1">
      <c r="FS341" s="3"/>
      <c r="FW341" s="3"/>
      <c r="GA341" s="3"/>
      <c r="GE341" s="3"/>
      <c r="GI341" s="3"/>
      <c r="GM341" s="3"/>
      <c r="GQ341" s="3"/>
      <c r="GU341" s="3"/>
      <c r="GY341" s="3"/>
      <c r="HC341" s="3"/>
      <c r="HG341" s="3"/>
      <c r="HK341" s="3"/>
      <c r="HO341" s="3"/>
      <c r="HS341" s="3"/>
      <c r="HW341" s="3"/>
      <c r="IA341" s="3"/>
      <c r="IE341" s="3"/>
      <c r="II341" s="3"/>
      <c r="IM341" s="3"/>
      <c r="IQ341" s="3"/>
      <c r="IU341" s="3"/>
      <c r="IY341" s="3"/>
      <c r="JC341" s="3"/>
      <c r="JG341" s="3"/>
      <c r="JK341" s="3"/>
      <c r="JO341" s="3"/>
      <c r="JS341" s="3"/>
      <c r="JW341" s="3"/>
      <c r="KA341" s="3"/>
      <c r="KE341" s="3"/>
      <c r="KI341" s="3"/>
      <c r="KM341" s="3"/>
      <c r="KQ341" s="3"/>
      <c r="KU341" s="3"/>
      <c r="KY341" s="3"/>
      <c r="LC341" s="3"/>
      <c r="LG341" s="3"/>
      <c r="LK341" s="3"/>
      <c r="LO341" s="3"/>
    </row>
    <row r="342" spans="175:327" hidden="1">
      <c r="FS342" s="3"/>
      <c r="FW342" s="3"/>
      <c r="GA342" s="3"/>
      <c r="GE342" s="3"/>
      <c r="GI342" s="3"/>
      <c r="GM342" s="3"/>
      <c r="GQ342" s="3"/>
      <c r="GU342" s="3"/>
      <c r="GY342" s="3"/>
      <c r="HC342" s="3"/>
      <c r="HG342" s="3"/>
      <c r="HK342" s="3"/>
      <c r="HO342" s="3"/>
      <c r="HS342" s="3"/>
      <c r="HW342" s="3"/>
      <c r="IA342" s="3"/>
      <c r="IE342" s="3"/>
      <c r="II342" s="3"/>
      <c r="IM342" s="3"/>
      <c r="IQ342" s="3"/>
      <c r="IU342" s="3"/>
      <c r="IY342" s="3"/>
      <c r="JC342" s="3"/>
      <c r="JG342" s="3"/>
      <c r="JK342" s="3"/>
      <c r="JO342" s="3"/>
      <c r="JS342" s="3"/>
      <c r="JW342" s="3"/>
      <c r="KA342" s="3"/>
      <c r="KE342" s="3"/>
      <c r="KI342" s="3"/>
      <c r="KM342" s="3"/>
      <c r="KQ342" s="3"/>
      <c r="KU342" s="3"/>
      <c r="KY342" s="3"/>
      <c r="LC342" s="3"/>
      <c r="LG342" s="3"/>
      <c r="LK342" s="3"/>
      <c r="LO342" s="3"/>
    </row>
    <row r="343" spans="175:327" hidden="1">
      <c r="FS343" s="3"/>
      <c r="FW343" s="3"/>
      <c r="GA343" s="3"/>
      <c r="GE343" s="3"/>
      <c r="GI343" s="3"/>
      <c r="GM343" s="3"/>
      <c r="GQ343" s="3"/>
      <c r="GU343" s="3"/>
      <c r="GY343" s="3"/>
      <c r="HC343" s="3"/>
      <c r="HG343" s="3"/>
      <c r="HK343" s="3"/>
      <c r="HO343" s="3"/>
      <c r="HS343" s="3"/>
      <c r="HW343" s="3"/>
      <c r="IA343" s="3"/>
      <c r="IE343" s="3"/>
      <c r="II343" s="3"/>
      <c r="IM343" s="3"/>
      <c r="IQ343" s="3"/>
      <c r="IU343" s="3"/>
      <c r="IY343" s="3"/>
      <c r="JC343" s="3"/>
      <c r="JG343" s="3"/>
      <c r="JK343" s="3"/>
      <c r="JO343" s="3"/>
      <c r="JS343" s="3"/>
      <c r="JW343" s="3"/>
      <c r="KA343" s="3"/>
      <c r="KE343" s="3"/>
      <c r="KI343" s="3"/>
      <c r="KM343" s="3"/>
      <c r="KQ343" s="3"/>
      <c r="KU343" s="3"/>
      <c r="KY343" s="3"/>
      <c r="LC343" s="3"/>
      <c r="LG343" s="3"/>
      <c r="LK343" s="3"/>
      <c r="LO343" s="3"/>
    </row>
    <row r="344" spans="175:327" hidden="1">
      <c r="FS344" s="3"/>
      <c r="FW344" s="3"/>
      <c r="GA344" s="3"/>
      <c r="GE344" s="3"/>
      <c r="GI344" s="3"/>
      <c r="GM344" s="3"/>
      <c r="GQ344" s="3"/>
      <c r="GU344" s="3"/>
      <c r="GY344" s="3"/>
      <c r="HC344" s="3"/>
      <c r="HG344" s="3"/>
      <c r="HK344" s="3"/>
      <c r="HO344" s="3"/>
      <c r="HS344" s="3"/>
      <c r="HW344" s="3"/>
      <c r="IA344" s="3"/>
      <c r="IE344" s="3"/>
      <c r="II344" s="3"/>
      <c r="IM344" s="3"/>
      <c r="IQ344" s="3"/>
      <c r="IU344" s="3"/>
      <c r="IY344" s="3"/>
      <c r="JC344" s="3"/>
      <c r="JG344" s="3"/>
      <c r="JK344" s="3"/>
      <c r="JO344" s="3"/>
      <c r="JS344" s="3"/>
      <c r="JW344" s="3"/>
      <c r="KA344" s="3"/>
      <c r="KE344" s="3"/>
      <c r="KI344" s="3"/>
      <c r="KM344" s="3"/>
      <c r="KQ344" s="3"/>
      <c r="KU344" s="3"/>
      <c r="KY344" s="3"/>
      <c r="LC344" s="3"/>
      <c r="LG344" s="3"/>
      <c r="LK344" s="3"/>
      <c r="LO344" s="3"/>
    </row>
    <row r="345" spans="175:327" hidden="1">
      <c r="FS345" s="3"/>
      <c r="FW345" s="3"/>
      <c r="GA345" s="3"/>
      <c r="GE345" s="3"/>
      <c r="GI345" s="3"/>
      <c r="GM345" s="3"/>
      <c r="GQ345" s="3"/>
      <c r="GU345" s="3"/>
      <c r="GY345" s="3"/>
      <c r="HC345" s="3"/>
      <c r="HG345" s="3"/>
      <c r="HK345" s="3"/>
      <c r="HO345" s="3"/>
      <c r="HS345" s="3"/>
      <c r="HW345" s="3"/>
      <c r="IA345" s="3"/>
      <c r="IE345" s="3"/>
      <c r="II345" s="3"/>
      <c r="IM345" s="3"/>
      <c r="IQ345" s="3"/>
      <c r="IU345" s="3"/>
      <c r="IY345" s="3"/>
      <c r="JC345" s="3"/>
      <c r="JG345" s="3"/>
      <c r="JK345" s="3"/>
      <c r="JO345" s="3"/>
      <c r="JS345" s="3"/>
      <c r="JW345" s="3"/>
      <c r="KA345" s="3"/>
      <c r="KE345" s="3"/>
      <c r="KI345" s="3"/>
      <c r="KM345" s="3"/>
      <c r="KQ345" s="3"/>
      <c r="KU345" s="3"/>
      <c r="KY345" s="3"/>
      <c r="LC345" s="3"/>
      <c r="LG345" s="3"/>
      <c r="LK345" s="3"/>
      <c r="LO345" s="3"/>
    </row>
    <row r="346" spans="175:327" hidden="1">
      <c r="FS346" s="3"/>
      <c r="FW346" s="3"/>
      <c r="GA346" s="3"/>
      <c r="GE346" s="3"/>
      <c r="GI346" s="3"/>
      <c r="GM346" s="3"/>
      <c r="GQ346" s="3"/>
      <c r="GU346" s="3"/>
      <c r="GY346" s="3"/>
      <c r="HC346" s="3"/>
      <c r="HG346" s="3"/>
      <c r="HK346" s="3"/>
      <c r="HO346" s="3"/>
      <c r="HS346" s="3"/>
      <c r="HW346" s="3"/>
      <c r="IA346" s="3"/>
      <c r="IE346" s="3"/>
      <c r="II346" s="3"/>
      <c r="IM346" s="3"/>
      <c r="IQ346" s="3"/>
      <c r="IU346" s="3"/>
      <c r="IY346" s="3"/>
      <c r="JC346" s="3"/>
      <c r="JG346" s="3"/>
      <c r="JK346" s="3"/>
      <c r="JO346" s="3"/>
      <c r="JS346" s="3"/>
      <c r="JW346" s="3"/>
      <c r="KA346" s="3"/>
      <c r="KE346" s="3"/>
      <c r="KI346" s="3"/>
      <c r="KM346" s="3"/>
      <c r="KQ346" s="3"/>
      <c r="KU346" s="3"/>
      <c r="KY346" s="3"/>
      <c r="LC346" s="3"/>
      <c r="LG346" s="3"/>
      <c r="LK346" s="3"/>
      <c r="LO346" s="3"/>
    </row>
    <row r="347" spans="175:327" hidden="1">
      <c r="FS347" s="3"/>
      <c r="FW347" s="3"/>
      <c r="GA347" s="3"/>
      <c r="GE347" s="3"/>
      <c r="GI347" s="3"/>
      <c r="GM347" s="3"/>
      <c r="GQ347" s="3"/>
      <c r="GU347" s="3"/>
      <c r="GY347" s="3"/>
      <c r="HC347" s="3"/>
      <c r="HG347" s="3"/>
      <c r="HK347" s="3"/>
      <c r="HO347" s="3"/>
      <c r="HS347" s="3"/>
      <c r="HW347" s="3"/>
      <c r="IA347" s="3"/>
      <c r="IE347" s="3"/>
      <c r="II347" s="3"/>
      <c r="IM347" s="3"/>
      <c r="IQ347" s="3"/>
      <c r="IU347" s="3"/>
      <c r="IY347" s="3"/>
      <c r="JC347" s="3"/>
      <c r="JG347" s="3"/>
      <c r="JK347" s="3"/>
      <c r="JO347" s="3"/>
      <c r="JS347" s="3"/>
      <c r="JW347" s="3"/>
      <c r="KA347" s="3"/>
      <c r="KE347" s="3"/>
      <c r="KI347" s="3"/>
      <c r="KM347" s="3"/>
      <c r="KQ347" s="3"/>
      <c r="KU347" s="3"/>
      <c r="KY347" s="3"/>
      <c r="LC347" s="3"/>
      <c r="LG347" s="3"/>
      <c r="LK347" s="3"/>
      <c r="LO347" s="3"/>
    </row>
    <row r="348" spans="175:327" hidden="1">
      <c r="FS348" s="3"/>
      <c r="FW348" s="3"/>
      <c r="GA348" s="3"/>
      <c r="GE348" s="3"/>
      <c r="GI348" s="3"/>
      <c r="GM348" s="3"/>
      <c r="GQ348" s="3"/>
      <c r="GU348" s="3"/>
      <c r="GY348" s="3"/>
      <c r="HC348" s="3"/>
      <c r="HG348" s="3"/>
      <c r="HK348" s="3"/>
      <c r="HO348" s="3"/>
      <c r="HS348" s="3"/>
      <c r="HW348" s="3"/>
      <c r="IA348" s="3"/>
      <c r="IE348" s="3"/>
      <c r="II348" s="3"/>
      <c r="IM348" s="3"/>
      <c r="IQ348" s="3"/>
      <c r="IU348" s="3"/>
      <c r="IY348" s="3"/>
      <c r="JC348" s="3"/>
      <c r="JG348" s="3"/>
      <c r="JK348" s="3"/>
      <c r="JO348" s="3"/>
      <c r="JS348" s="3"/>
      <c r="JW348" s="3"/>
      <c r="KA348" s="3"/>
      <c r="KE348" s="3"/>
      <c r="KI348" s="3"/>
      <c r="KM348" s="3"/>
      <c r="KQ348" s="3"/>
      <c r="KU348" s="3"/>
      <c r="KY348" s="3"/>
      <c r="LC348" s="3"/>
      <c r="LG348" s="3"/>
      <c r="LK348" s="3"/>
      <c r="LO348" s="3"/>
    </row>
    <row r="349" spans="175:327" hidden="1">
      <c r="FS349" s="3"/>
      <c r="FW349" s="3"/>
      <c r="GA349" s="3"/>
      <c r="GE349" s="3"/>
      <c r="GI349" s="3"/>
      <c r="GM349" s="3"/>
      <c r="GQ349" s="3"/>
      <c r="GU349" s="3"/>
      <c r="GY349" s="3"/>
      <c r="HC349" s="3"/>
      <c r="HG349" s="3"/>
      <c r="HK349" s="3"/>
      <c r="HO349" s="3"/>
      <c r="HS349" s="3"/>
      <c r="HW349" s="3"/>
      <c r="IA349" s="3"/>
      <c r="IE349" s="3"/>
      <c r="II349" s="3"/>
      <c r="IM349" s="3"/>
      <c r="IQ349" s="3"/>
      <c r="IU349" s="3"/>
      <c r="IY349" s="3"/>
      <c r="JC349" s="3"/>
      <c r="JG349" s="3"/>
      <c r="JK349" s="3"/>
      <c r="JO349" s="3"/>
      <c r="JS349" s="3"/>
      <c r="JW349" s="3"/>
      <c r="KA349" s="3"/>
      <c r="KE349" s="3"/>
      <c r="KI349" s="3"/>
      <c r="KM349" s="3"/>
      <c r="KQ349" s="3"/>
      <c r="KU349" s="3"/>
      <c r="KY349" s="3"/>
      <c r="LC349" s="3"/>
      <c r="LG349" s="3"/>
      <c r="LK349" s="3"/>
      <c r="LO349" s="3"/>
    </row>
    <row r="350" spans="175:327" hidden="1">
      <c r="FS350" s="3"/>
      <c r="FW350" s="3"/>
      <c r="GA350" s="3"/>
      <c r="GE350" s="3"/>
      <c r="GI350" s="3"/>
      <c r="GM350" s="3"/>
      <c r="GQ350" s="3"/>
      <c r="GU350" s="3"/>
      <c r="GY350" s="3"/>
      <c r="HC350" s="3"/>
      <c r="HG350" s="3"/>
      <c r="HK350" s="3"/>
      <c r="HO350" s="3"/>
      <c r="HS350" s="3"/>
      <c r="HW350" s="3"/>
      <c r="IA350" s="3"/>
      <c r="IE350" s="3"/>
      <c r="II350" s="3"/>
      <c r="IM350" s="3"/>
      <c r="IQ350" s="3"/>
      <c r="IU350" s="3"/>
      <c r="IY350" s="3"/>
      <c r="JC350" s="3"/>
      <c r="JG350" s="3"/>
      <c r="JK350" s="3"/>
      <c r="JO350" s="3"/>
      <c r="JS350" s="3"/>
      <c r="JW350" s="3"/>
      <c r="KA350" s="3"/>
      <c r="KE350" s="3"/>
      <c r="KI350" s="3"/>
      <c r="KM350" s="3"/>
      <c r="KQ350" s="3"/>
      <c r="KU350" s="3"/>
      <c r="KY350" s="3"/>
      <c r="LC350" s="3"/>
      <c r="LG350" s="3"/>
      <c r="LK350" s="3"/>
      <c r="LO350" s="3"/>
    </row>
    <row r="351" spans="175:327" hidden="1">
      <c r="FS351" s="3"/>
      <c r="FW351" s="3"/>
      <c r="GA351" s="3"/>
      <c r="GE351" s="3"/>
      <c r="GI351" s="3"/>
      <c r="GM351" s="3"/>
      <c r="GQ351" s="3"/>
      <c r="GU351" s="3"/>
      <c r="GY351" s="3"/>
      <c r="HC351" s="3"/>
      <c r="HG351" s="3"/>
      <c r="HK351" s="3"/>
      <c r="HO351" s="3"/>
      <c r="HS351" s="3"/>
      <c r="HW351" s="3"/>
      <c r="IA351" s="3"/>
      <c r="IE351" s="3"/>
      <c r="II351" s="3"/>
      <c r="IM351" s="3"/>
      <c r="IQ351" s="3"/>
      <c r="IU351" s="3"/>
      <c r="IY351" s="3"/>
      <c r="JC351" s="3"/>
      <c r="JG351" s="3"/>
      <c r="JK351" s="3"/>
      <c r="JO351" s="3"/>
      <c r="JS351" s="3"/>
      <c r="JW351" s="3"/>
      <c r="KA351" s="3"/>
      <c r="KE351" s="3"/>
      <c r="KI351" s="3"/>
      <c r="KM351" s="3"/>
      <c r="KQ351" s="3"/>
      <c r="KU351" s="3"/>
      <c r="KY351" s="3"/>
      <c r="LC351" s="3"/>
      <c r="LG351" s="3"/>
      <c r="LK351" s="3"/>
      <c r="LO351" s="3"/>
    </row>
    <row r="352" spans="175:327" hidden="1">
      <c r="FS352" s="3"/>
      <c r="FW352" s="3"/>
      <c r="GA352" s="3"/>
      <c r="GE352" s="3"/>
      <c r="GI352" s="3"/>
      <c r="GM352" s="3"/>
      <c r="GQ352" s="3"/>
      <c r="GU352" s="3"/>
      <c r="GY352" s="3"/>
      <c r="HC352" s="3"/>
      <c r="HG352" s="3"/>
      <c r="HK352" s="3"/>
      <c r="HO352" s="3"/>
      <c r="HS352" s="3"/>
      <c r="HW352" s="3"/>
      <c r="IA352" s="3"/>
      <c r="IE352" s="3"/>
      <c r="II352" s="3"/>
      <c r="IM352" s="3"/>
      <c r="IQ352" s="3"/>
      <c r="IU352" s="3"/>
      <c r="IY352" s="3"/>
      <c r="JC352" s="3"/>
      <c r="JG352" s="3"/>
      <c r="JK352" s="3"/>
      <c r="JO352" s="3"/>
      <c r="JS352" s="3"/>
      <c r="JW352" s="3"/>
      <c r="KA352" s="3"/>
      <c r="KE352" s="3"/>
      <c r="KI352" s="3"/>
      <c r="KM352" s="3"/>
      <c r="KQ352" s="3"/>
      <c r="KU352" s="3"/>
      <c r="KY352" s="3"/>
      <c r="LC352" s="3"/>
      <c r="LG352" s="3"/>
      <c r="LK352" s="3"/>
      <c r="LO352" s="3"/>
    </row>
    <row r="353" spans="175:327" hidden="1">
      <c r="FS353" s="3"/>
      <c r="FW353" s="3"/>
      <c r="GA353" s="3"/>
      <c r="GE353" s="3"/>
      <c r="GI353" s="3"/>
      <c r="GM353" s="3"/>
      <c r="GQ353" s="3"/>
      <c r="GU353" s="3"/>
      <c r="GY353" s="3"/>
      <c r="HC353" s="3"/>
      <c r="HG353" s="3"/>
      <c r="HK353" s="3"/>
      <c r="HO353" s="3"/>
      <c r="HS353" s="3"/>
      <c r="HW353" s="3"/>
      <c r="IA353" s="3"/>
      <c r="IE353" s="3"/>
      <c r="II353" s="3"/>
      <c r="IM353" s="3"/>
      <c r="IQ353" s="3"/>
      <c r="IU353" s="3"/>
      <c r="IY353" s="3"/>
      <c r="JC353" s="3"/>
      <c r="JG353" s="3"/>
      <c r="JK353" s="3"/>
      <c r="JO353" s="3"/>
      <c r="JS353" s="3"/>
      <c r="JW353" s="3"/>
      <c r="KA353" s="3"/>
      <c r="KE353" s="3"/>
      <c r="KI353" s="3"/>
      <c r="KM353" s="3"/>
      <c r="KQ353" s="3"/>
      <c r="KU353" s="3"/>
      <c r="KY353" s="3"/>
      <c r="LC353" s="3"/>
      <c r="LG353" s="3"/>
      <c r="LK353" s="3"/>
      <c r="LO353" s="3"/>
    </row>
    <row r="354" spans="175:327" hidden="1">
      <c r="FS354" s="3"/>
      <c r="FW354" s="3"/>
      <c r="GA354" s="3"/>
      <c r="GE354" s="3"/>
      <c r="GI354" s="3"/>
      <c r="GM354" s="3"/>
      <c r="GQ354" s="3"/>
      <c r="GU354" s="3"/>
      <c r="GY354" s="3"/>
      <c r="HC354" s="3"/>
      <c r="HG354" s="3"/>
      <c r="HK354" s="3"/>
      <c r="HO354" s="3"/>
      <c r="HS354" s="3"/>
      <c r="HW354" s="3"/>
      <c r="IA354" s="3"/>
      <c r="IE354" s="3"/>
      <c r="II354" s="3"/>
      <c r="IM354" s="3"/>
      <c r="IQ354" s="3"/>
      <c r="IU354" s="3"/>
      <c r="IY354" s="3"/>
      <c r="JC354" s="3"/>
      <c r="JG354" s="3"/>
      <c r="JK354" s="3"/>
      <c r="JO354" s="3"/>
      <c r="JS354" s="3"/>
      <c r="JW354" s="3"/>
      <c r="KA354" s="3"/>
      <c r="KE354" s="3"/>
      <c r="KI354" s="3"/>
      <c r="KM354" s="3"/>
      <c r="KQ354" s="3"/>
      <c r="KU354" s="3"/>
      <c r="KY354" s="3"/>
      <c r="LC354" s="3"/>
      <c r="LG354" s="3"/>
      <c r="LK354" s="3"/>
      <c r="LO354" s="3"/>
    </row>
    <row r="355" spans="175:327" hidden="1">
      <c r="FS355" s="3"/>
      <c r="FW355" s="3"/>
      <c r="GA355" s="3"/>
      <c r="GE355" s="3"/>
      <c r="GI355" s="3"/>
      <c r="GM355" s="3"/>
      <c r="GQ355" s="3"/>
      <c r="GU355" s="3"/>
      <c r="GY355" s="3"/>
      <c r="HC355" s="3"/>
      <c r="HG355" s="3"/>
      <c r="HK355" s="3"/>
      <c r="HO355" s="3"/>
      <c r="HS355" s="3"/>
      <c r="HW355" s="3"/>
      <c r="IA355" s="3"/>
      <c r="IE355" s="3"/>
      <c r="II355" s="3"/>
      <c r="IM355" s="3"/>
      <c r="IQ355" s="3"/>
      <c r="IU355" s="3"/>
      <c r="IY355" s="3"/>
      <c r="JC355" s="3"/>
      <c r="JG355" s="3"/>
      <c r="JK355" s="3"/>
      <c r="JO355" s="3"/>
      <c r="JS355" s="3"/>
      <c r="JW355" s="3"/>
      <c r="KA355" s="3"/>
      <c r="KE355" s="3"/>
      <c r="KI355" s="3"/>
      <c r="KM355" s="3"/>
      <c r="KQ355" s="3"/>
      <c r="KU355" s="3"/>
      <c r="KY355" s="3"/>
      <c r="LC355" s="3"/>
      <c r="LG355" s="3"/>
      <c r="LK355" s="3"/>
      <c r="LO355" s="3"/>
    </row>
    <row r="356" spans="175:327" hidden="1">
      <c r="FS356" s="3"/>
      <c r="FW356" s="3"/>
      <c r="GA356" s="3"/>
      <c r="GE356" s="3"/>
      <c r="GI356" s="3"/>
      <c r="GM356" s="3"/>
      <c r="GQ356" s="3"/>
      <c r="GU356" s="3"/>
      <c r="GY356" s="3"/>
      <c r="HC356" s="3"/>
      <c r="HG356" s="3"/>
      <c r="HK356" s="3"/>
      <c r="HO356" s="3"/>
      <c r="HS356" s="3"/>
      <c r="HW356" s="3"/>
      <c r="IA356" s="3"/>
      <c r="IE356" s="3"/>
      <c r="II356" s="3"/>
      <c r="IM356" s="3"/>
      <c r="IQ356" s="3"/>
      <c r="IU356" s="3"/>
      <c r="IY356" s="3"/>
      <c r="JC356" s="3"/>
      <c r="JG356" s="3"/>
      <c r="JK356" s="3"/>
      <c r="JO356" s="3"/>
      <c r="JS356" s="3"/>
      <c r="JW356" s="3"/>
      <c r="KA356" s="3"/>
      <c r="KE356" s="3"/>
      <c r="KI356" s="3"/>
      <c r="KM356" s="3"/>
      <c r="KQ356" s="3"/>
      <c r="KU356" s="3"/>
      <c r="KY356" s="3"/>
      <c r="LC356" s="3"/>
      <c r="LG356" s="3"/>
      <c r="LK356" s="3"/>
      <c r="LO356" s="3"/>
    </row>
    <row r="357" spans="175:327" hidden="1">
      <c r="FS357" s="3"/>
      <c r="FW357" s="3"/>
      <c r="GA357" s="3"/>
      <c r="GE357" s="3"/>
      <c r="GI357" s="3"/>
      <c r="GM357" s="3"/>
      <c r="GQ357" s="3"/>
      <c r="GU357" s="3"/>
      <c r="GY357" s="3"/>
      <c r="HC357" s="3"/>
      <c r="HG357" s="3"/>
      <c r="HK357" s="3"/>
      <c r="HO357" s="3"/>
      <c r="HS357" s="3"/>
      <c r="HW357" s="3"/>
      <c r="IA357" s="3"/>
      <c r="IE357" s="3"/>
      <c r="II357" s="3"/>
      <c r="IM357" s="3"/>
      <c r="IQ357" s="3"/>
      <c r="IU357" s="3"/>
      <c r="IY357" s="3"/>
      <c r="JC357" s="3"/>
      <c r="JG357" s="3"/>
      <c r="JK357" s="3"/>
      <c r="JO357" s="3"/>
      <c r="JS357" s="3"/>
      <c r="JW357" s="3"/>
      <c r="KA357" s="3"/>
      <c r="KE357" s="3"/>
      <c r="KI357" s="3"/>
      <c r="KM357" s="3"/>
      <c r="KQ357" s="3"/>
      <c r="KU357" s="3"/>
      <c r="KY357" s="3"/>
      <c r="LC357" s="3"/>
      <c r="LG357" s="3"/>
      <c r="LK357" s="3"/>
      <c r="LO357" s="3"/>
    </row>
  </sheetData>
  <mergeCells count="5">
    <mergeCell ref="N5:O5"/>
    <mergeCell ref="C49:C50"/>
    <mergeCell ref="E49:G49"/>
    <mergeCell ref="H49:J49"/>
    <mergeCell ref="K49:M49"/>
  </mergeCells>
  <phoneticPr fontId="4" type="noConversion"/>
  <conditionalFormatting sqref="G6:G44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6:L28 H7:H44">
    <cfRule type="colorScale" priority="19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G6:L44">
    <cfRule type="colorScale" priority="17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H43:H44 G6:L43">
    <cfRule type="colorScale" priority="4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conditionalFormatting sqref="H6:L44">
    <cfRule type="colorScale" priority="13">
      <colorScale>
        <cfvo type="min" val="0"/>
        <cfvo type="percentile" val="50"/>
        <cfvo type="max" val="0"/>
        <color rgb="FF5A8AC6"/>
        <color rgb="FFFFEB84"/>
        <color rgb="FFF8696B"/>
      </colorScale>
    </cfRule>
  </conditionalFormatting>
  <dataValidations count="1">
    <dataValidation type="list" allowBlank="1" showInputMessage="1" showErrorMessage="1" sqref="E2">
      <formula1>$R$3:$R$4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업종비교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2015-05-14T23:42:35Z</dcterms:created>
  <dcterms:modified xsi:type="dcterms:W3CDTF">2024-07-03T04:11:36Z</dcterms:modified>
</cp:coreProperties>
</file>