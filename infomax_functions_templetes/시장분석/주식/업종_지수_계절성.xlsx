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120" yWindow="60" windowWidth="16020" windowHeight="10350"/>
  </bookViews>
  <sheets>
    <sheet name="계절성" sheetId="1" r:id="rId1"/>
  </sheets>
  <calcPr calcId="145621"/>
</workbook>
</file>

<file path=xl/calcChain.xml><?xml version="1.0" encoding="utf-8"?>
<calcChain xmlns="http://schemas.openxmlformats.org/spreadsheetml/2006/main">
  <c r="A6" i="1" l="1"/>
  <c r="AA19" i="1" l="1"/>
  <c r="AA18" i="1"/>
  <c r="AA17" i="1"/>
  <c r="AA16" i="1"/>
  <c r="AA15" i="1"/>
  <c r="AA14" i="1"/>
  <c r="AA13" i="1"/>
  <c r="AA12" i="1"/>
  <c r="AA11" i="1"/>
  <c r="AA10" i="1"/>
  <c r="AA9" i="1"/>
  <c r="AA8" i="1"/>
  <c r="Z19" i="1"/>
  <c r="Z18" i="1"/>
  <c r="Z17" i="1"/>
  <c r="Z16" i="1"/>
  <c r="Z15" i="1"/>
  <c r="Z14" i="1"/>
  <c r="Z13" i="1"/>
  <c r="Z12" i="1"/>
  <c r="Z11" i="1"/>
  <c r="Z10" i="1"/>
  <c r="Z9" i="1"/>
  <c r="Z8" i="1"/>
  <c r="Y19" i="1"/>
  <c r="Y18" i="1"/>
  <c r="Y17" i="1"/>
  <c r="Y16" i="1"/>
  <c r="Y15" i="1"/>
  <c r="Y14" i="1"/>
  <c r="Y13" i="1"/>
  <c r="Y12" i="1"/>
  <c r="Y11" i="1"/>
  <c r="Y10" i="1"/>
  <c r="Y9" i="1"/>
  <c r="Y8" i="1"/>
  <c r="X19" i="1"/>
  <c r="X18" i="1"/>
  <c r="X17" i="1"/>
  <c r="X16" i="1"/>
  <c r="X15" i="1"/>
  <c r="X14" i="1"/>
  <c r="X13" i="1"/>
  <c r="X12" i="1"/>
  <c r="X11" i="1"/>
  <c r="X10" i="1"/>
  <c r="X9" i="1"/>
  <c r="X8" i="1"/>
  <c r="W19" i="1"/>
  <c r="W18" i="1"/>
  <c r="W17" i="1"/>
  <c r="W16" i="1"/>
  <c r="W15" i="1"/>
  <c r="W14" i="1"/>
  <c r="W13" i="1"/>
  <c r="W12" i="1"/>
  <c r="W11" i="1"/>
  <c r="W10" i="1"/>
  <c r="W9" i="1"/>
  <c r="W8" i="1"/>
  <c r="V19" i="1"/>
  <c r="V18" i="1"/>
  <c r="V17" i="1"/>
  <c r="V16" i="1"/>
  <c r="V15" i="1"/>
  <c r="V14" i="1"/>
  <c r="V13" i="1"/>
  <c r="V12" i="1"/>
  <c r="V11" i="1"/>
  <c r="V10" i="1"/>
  <c r="V9" i="1"/>
  <c r="V8" i="1"/>
  <c r="AA7" i="1"/>
  <c r="AB7" i="1"/>
  <c r="U8" i="1"/>
  <c r="U9" i="1"/>
  <c r="U10" i="1"/>
  <c r="U11" i="1"/>
  <c r="U12" i="1"/>
  <c r="U13" i="1"/>
  <c r="U14" i="1"/>
  <c r="U15" i="1"/>
  <c r="U16" i="1"/>
  <c r="U17" i="1"/>
  <c r="U18" i="1"/>
  <c r="U19" i="1"/>
  <c r="A1" i="1"/>
  <c r="P19" i="1"/>
  <c r="AB19" i="1" s="1"/>
  <c r="P18" i="1"/>
  <c r="AB18" i="1" s="1"/>
  <c r="P17" i="1"/>
  <c r="AB17" i="1" s="1"/>
  <c r="P16" i="1"/>
  <c r="AB16" i="1" s="1"/>
  <c r="P15" i="1"/>
  <c r="AB15" i="1" s="1"/>
  <c r="P14" i="1"/>
  <c r="AB14" i="1" s="1"/>
  <c r="P13" i="1"/>
  <c r="AB13" i="1" s="1"/>
  <c r="P12" i="1"/>
  <c r="AB12" i="1" s="1"/>
  <c r="P11" i="1"/>
  <c r="AB11" i="1" s="1"/>
  <c r="P10" i="1"/>
  <c r="AB10" i="1" s="1"/>
  <c r="P9" i="1"/>
  <c r="AB9" i="1" s="1"/>
  <c r="P8" i="1"/>
  <c r="AB8" i="1" s="1"/>
  <c r="N8" i="1"/>
  <c r="N9" i="1"/>
  <c r="N10" i="1"/>
  <c r="N11" i="1"/>
  <c r="N12" i="1"/>
  <c r="N13" i="1"/>
  <c r="N14" i="1"/>
  <c r="N15" i="1"/>
  <c r="N16" i="1"/>
  <c r="N17" i="1"/>
  <c r="N18" i="1"/>
  <c r="N19" i="1"/>
  <c r="L7" i="1"/>
  <c r="J7" i="1" l="1"/>
  <c r="H7" i="1" s="1"/>
  <c r="F7" i="1" s="1"/>
  <c r="D7" i="1" s="1"/>
  <c r="V7" i="1" s="1"/>
  <c r="Z7" i="1"/>
  <c r="Q16" i="1"/>
  <c r="Q12" i="1"/>
  <c r="Q8" i="1"/>
  <c r="Q18" i="1"/>
  <c r="Q14" i="1"/>
  <c r="Q10" i="1"/>
  <c r="Q19" i="1"/>
  <c r="Q15" i="1"/>
  <c r="Q11" i="1"/>
  <c r="Q17" i="1"/>
  <c r="Q13" i="1"/>
  <c r="Q9" i="1"/>
  <c r="L6" i="1"/>
  <c r="F6" i="1"/>
  <c r="J6" i="1"/>
  <c r="D6" i="1"/>
  <c r="Y7" i="1" l="1"/>
  <c r="X7" i="1"/>
  <c r="W7" i="1"/>
  <c r="H6" i="1"/>
</calcChain>
</file>

<file path=xl/sharedStrings.xml><?xml version="1.0" encoding="utf-8"?>
<sst xmlns="http://schemas.openxmlformats.org/spreadsheetml/2006/main" count="59" uniqueCount="47">
  <si>
    <t>등락률</t>
    <phoneticPr fontId="1" type="noConversion"/>
  </si>
  <si>
    <t>평균</t>
    <phoneticPr fontId="1" type="noConversion"/>
  </si>
  <si>
    <t>중간값</t>
    <phoneticPr fontId="1" type="noConversion"/>
  </si>
  <si>
    <t xml:space="preserve">1월 </t>
    <phoneticPr fontId="1" type="noConversion"/>
  </si>
  <si>
    <t xml:space="preserve">2월 </t>
    <phoneticPr fontId="1" type="noConversion"/>
  </si>
  <si>
    <t xml:space="preserve">3월 </t>
    <phoneticPr fontId="1" type="noConversion"/>
  </si>
  <si>
    <t xml:space="preserve">4월 </t>
    <phoneticPr fontId="1" type="noConversion"/>
  </si>
  <si>
    <t xml:space="preserve">5월 </t>
    <phoneticPr fontId="1" type="noConversion"/>
  </si>
  <si>
    <t xml:space="preserve">6월 </t>
    <phoneticPr fontId="1" type="noConversion"/>
  </si>
  <si>
    <t xml:space="preserve">7월 </t>
    <phoneticPr fontId="1" type="noConversion"/>
  </si>
  <si>
    <t xml:space="preserve">8월 </t>
    <phoneticPr fontId="1" type="noConversion"/>
  </si>
  <si>
    <t xml:space="preserve">9월 </t>
    <phoneticPr fontId="1" type="noConversion"/>
  </si>
  <si>
    <t xml:space="preserve">10월 </t>
    <phoneticPr fontId="1" type="noConversion"/>
  </si>
  <si>
    <t xml:space="preserve">11월 </t>
    <phoneticPr fontId="1" type="noConversion"/>
  </si>
  <si>
    <t xml:space="preserve">12월 </t>
    <phoneticPr fontId="1" type="noConversion"/>
  </si>
  <si>
    <t>%</t>
    <phoneticPr fontId="1" type="noConversion"/>
  </si>
  <si>
    <t>KOSPI</t>
    <phoneticPr fontId="1" type="noConversion"/>
  </si>
  <si>
    <t>KOSPI200</t>
    <phoneticPr fontId="1" type="noConversion"/>
  </si>
  <si>
    <t>KOSDAQ</t>
    <phoneticPr fontId="1" type="noConversion"/>
  </si>
  <si>
    <t>211</t>
    <phoneticPr fontId="1" type="noConversion"/>
  </si>
  <si>
    <t>801</t>
    <phoneticPr fontId="1" type="noConversion"/>
  </si>
  <si>
    <t>IDX</t>
    <phoneticPr fontId="1" type="noConversion"/>
  </si>
  <si>
    <t>001</t>
    <phoneticPr fontId="1" type="noConversion"/>
  </si>
  <si>
    <t>FRN</t>
  </si>
  <si>
    <t>AUI:AORD</t>
  </si>
  <si>
    <t>DJI:DJI</t>
  </si>
  <si>
    <t>HSI:HSI</t>
  </si>
  <si>
    <t>NAS:IXIC</t>
  </si>
  <si>
    <t>NAS:NDX</t>
  </si>
  <si>
    <t>NII:NI225</t>
  </si>
  <si>
    <t>PAS:CAC40</t>
  </si>
  <si>
    <t>SHS:000001</t>
  </si>
  <si>
    <t>SPI:SPX</t>
  </si>
  <si>
    <t>TWS:TI01</t>
  </si>
  <si>
    <t>XTR:DAX30</t>
  </si>
  <si>
    <t>다우 산업</t>
    <phoneticPr fontId="1" type="noConversion"/>
  </si>
  <si>
    <t>나스닥 종합</t>
    <phoneticPr fontId="1" type="noConversion"/>
  </si>
  <si>
    <t>호주</t>
    <phoneticPr fontId="1" type="noConversion"/>
  </si>
  <si>
    <t>일본</t>
    <phoneticPr fontId="1" type="noConversion"/>
  </si>
  <si>
    <t>대만</t>
    <phoneticPr fontId="1" type="noConversion"/>
  </si>
  <si>
    <t>상해종합</t>
    <phoneticPr fontId="1" type="noConversion"/>
  </si>
  <si>
    <t>홍콩</t>
    <phoneticPr fontId="1" type="noConversion"/>
  </si>
  <si>
    <t>독일</t>
    <phoneticPr fontId="1" type="noConversion"/>
  </si>
  <si>
    <t>프랑스</t>
    <phoneticPr fontId="1" type="noConversion"/>
  </si>
  <si>
    <t>NASDAQ100</t>
    <phoneticPr fontId="1" type="noConversion"/>
  </si>
  <si>
    <t>S&amp;P500</t>
    <phoneticPr fontId="1" type="noConversion"/>
  </si>
  <si>
    <t xml:space="preserve"> 업종 지수 계절성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</si>
</sst>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NumberFormat="1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x1.EQYC</stp>
        <stp>886</stp>
        <stp>1513188</stp>
        <tr r="L6" s="1"/>
      </tp>
      <tp>
        <v>0</v>
        <stp/>
        <stp>H</stp>
        <stp>x3.EQYC</stp>
        <stp>888</stp>
        <stp>1513188</stp>
        <tr r="J6" s="1"/>
      </tp>
      <tp>
        <v>0</v>
        <stp/>
        <stp>H</stp>
        <stp>x2.EQYC</stp>
        <stp>887</stp>
        <stp>1513188</stp>
        <tr r="F6" s="1"/>
      </tp>
      <tp>
        <v>0</v>
        <stp/>
        <stp>H</stp>
        <stp>x5.EQYC</stp>
        <stp>890</stp>
        <stp>1513188</stp>
        <tr r="H6" s="1"/>
      </tp>
      <tp>
        <v>0</v>
        <stp/>
        <stp>H</stp>
        <stp>x4.EQYC</stp>
        <stp>889</stp>
        <stp>1513188</stp>
        <tr r="D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계절성!$V$7</c:f>
              <c:strCache>
                <c:ptCount val="1"/>
                <c:pt idx="0">
                  <c:v>2019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계절성!$V$8:$V$19</c:f>
              <c:numCache>
                <c:formatCode>@</c:formatCode>
                <c:ptCount val="12"/>
                <c:pt idx="0" formatCode="General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 formatCode="General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계절성!$W$7</c:f>
              <c:strCache>
                <c:ptCount val="1"/>
                <c:pt idx="0">
                  <c:v>2020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계절성!$W$8:$W$19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계절성!$X$7</c:f>
              <c:strCache>
                <c:ptCount val="1"/>
                <c:pt idx="0">
                  <c:v>2021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계절성!$X$8:$X$19</c:f>
              <c:numCache>
                <c:formatCode>General</c:formatCode>
                <c:ptCount val="12"/>
                <c:pt idx="0">
                  <c:v>3.92</c:v>
                </c:pt>
                <c:pt idx="1">
                  <c:v>1.32</c:v>
                </c:pt>
                <c:pt idx="2">
                  <c:v>1.25</c:v>
                </c:pt>
                <c:pt idx="3">
                  <c:v>1.76</c:v>
                </c:pt>
                <c:pt idx="4">
                  <c:v>1.31</c:v>
                </c:pt>
                <c:pt idx="5">
                  <c:v>2.5499999999999998</c:v>
                </c:pt>
                <c:pt idx="6">
                  <c:v>-3.4</c:v>
                </c:pt>
                <c:pt idx="7">
                  <c:v>-0.97</c:v>
                </c:pt>
                <c:pt idx="8">
                  <c:v>-4.4000000000000004</c:v>
                </c:pt>
                <c:pt idx="9">
                  <c:v>-3.2</c:v>
                </c:pt>
                <c:pt idx="10">
                  <c:v>-3.92</c:v>
                </c:pt>
                <c:pt idx="11">
                  <c:v>5.61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계절성!$Y$7</c:f>
              <c:strCache>
                <c:ptCount val="1"/>
                <c:pt idx="0">
                  <c:v>2022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계절성!$Y$8:$Y$19</c:f>
              <c:numCache>
                <c:formatCode>General</c:formatCode>
                <c:ptCount val="12"/>
                <c:pt idx="0">
                  <c:v>-9.19</c:v>
                </c:pt>
                <c:pt idx="1">
                  <c:v>0.99</c:v>
                </c:pt>
                <c:pt idx="2">
                  <c:v>1.1299999999999999</c:v>
                </c:pt>
                <c:pt idx="3">
                  <c:v>-2.88</c:v>
                </c:pt>
                <c:pt idx="4">
                  <c:v>-0.15</c:v>
                </c:pt>
                <c:pt idx="5">
                  <c:v>-13.35</c:v>
                </c:pt>
                <c:pt idx="6">
                  <c:v>5.24</c:v>
                </c:pt>
                <c:pt idx="7">
                  <c:v>-0.11</c:v>
                </c:pt>
                <c:pt idx="8">
                  <c:v>-12.88</c:v>
                </c:pt>
                <c:pt idx="9">
                  <c:v>6.48</c:v>
                </c:pt>
                <c:pt idx="10">
                  <c:v>7.15</c:v>
                </c:pt>
                <c:pt idx="11">
                  <c:v>-9.31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계절성!$Z$7</c:f>
              <c:strCache>
                <c:ptCount val="1"/>
                <c:pt idx="0">
                  <c:v>2023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계절성!$Z$8:$Z$19</c:f>
              <c:numCache>
                <c:formatCode>General</c:formatCode>
                <c:ptCount val="12"/>
                <c:pt idx="0">
                  <c:v>8.1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계절성!$AA$7</c:f>
              <c:strCache>
                <c:ptCount val="1"/>
                <c:pt idx="0">
                  <c:v>평균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계절성!$AA$8:$AA$19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계절성!$AB$7</c:f>
              <c:strCache>
                <c:ptCount val="1"/>
                <c:pt idx="0">
                  <c:v>중간값</c:v>
                </c:pt>
              </c:strCache>
            </c:strRef>
          </c:tx>
          <c:cat>
            <c:strRef>
              <c:f>계절성!$U$8:$U$19</c:f>
              <c:strCache>
                <c:ptCount val="12"/>
                <c:pt idx="0">
                  <c:v>1월 </c:v>
                </c:pt>
                <c:pt idx="1">
                  <c:v>2월 </c:v>
                </c:pt>
                <c:pt idx="2">
                  <c:v>3월 </c:v>
                </c:pt>
                <c:pt idx="3">
                  <c:v>4월 </c:v>
                </c:pt>
                <c:pt idx="4">
                  <c:v>5월 </c:v>
                </c:pt>
                <c:pt idx="5">
                  <c:v>6월 </c:v>
                </c:pt>
                <c:pt idx="6">
                  <c:v>7월 </c:v>
                </c:pt>
                <c:pt idx="7">
                  <c:v>8월 </c:v>
                </c:pt>
                <c:pt idx="8">
                  <c:v>9월 </c:v>
                </c:pt>
                <c:pt idx="9">
                  <c:v>10월 </c:v>
                </c:pt>
                <c:pt idx="10">
                  <c:v>11월 </c:v>
                </c:pt>
                <c:pt idx="11">
                  <c:v>12월 </c:v>
                </c:pt>
              </c:strCache>
            </c:strRef>
          </c:cat>
          <c:val>
            <c:numRef>
              <c:f>계절성!$AB$8:$AB$19</c:f>
              <c:numCache>
                <c:formatCode>General</c:formatCode>
                <c:ptCount val="12"/>
                <c:pt idx="0">
                  <c:v>3.92</c:v>
                </c:pt>
                <c:pt idx="1">
                  <c:v>0.13</c:v>
                </c:pt>
                <c:pt idx="2">
                  <c:v>-0.72500000000000009</c:v>
                </c:pt>
                <c:pt idx="3">
                  <c:v>2.4049999999999998</c:v>
                </c:pt>
                <c:pt idx="4">
                  <c:v>0.57999999999999996</c:v>
                </c:pt>
                <c:pt idx="5">
                  <c:v>3.4699999999999998</c:v>
                </c:pt>
                <c:pt idx="6">
                  <c:v>0.92000000000000037</c:v>
                </c:pt>
                <c:pt idx="7">
                  <c:v>-0.54</c:v>
                </c:pt>
                <c:pt idx="8">
                  <c:v>-1.8250000000000002</c:v>
                </c:pt>
                <c:pt idx="9">
                  <c:v>-0.84999999999999987</c:v>
                </c:pt>
                <c:pt idx="10">
                  <c:v>3.7500000000000004</c:v>
                </c:pt>
                <c:pt idx="11">
                  <c:v>5.875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69216"/>
        <c:axId val="138570752"/>
      </c:lineChart>
      <c:catAx>
        <c:axId val="138569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38570752"/>
        <c:crossesAt val="-100000"/>
        <c:auto val="1"/>
        <c:lblAlgn val="ctr"/>
        <c:lblOffset val="100"/>
        <c:noMultiLvlLbl val="0"/>
      </c:catAx>
      <c:valAx>
        <c:axId val="13857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569216"/>
        <c:crosses val="autoZero"/>
        <c:crossBetween val="between"/>
      </c:valAx>
    </c:plotArea>
    <c:legend>
      <c:legendPos val="t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5" fmlaLink="$A$7" fmlaRange="$A$8:$A$21" noThreeD="1" sel="2"/>
</file>

<file path=xl/ctrlProps/ctrlProp2.xml><?xml version="1.0" encoding="utf-8"?>
<formControlPr xmlns="http://schemas.microsoft.com/office/spreadsheetml/2009/9/main" objectType="CheckBox" fmlaLink="$V$5" lockText="1" noThreeD="1"/>
</file>

<file path=xl/ctrlProps/ctrlProp3.xml><?xml version="1.0" encoding="utf-8"?>
<formControlPr xmlns="http://schemas.microsoft.com/office/spreadsheetml/2009/9/main" objectType="CheckBox" fmlaLink="$W$5" lockText="1" noThreeD="1"/>
</file>

<file path=xl/ctrlProps/ctrlProp4.xml><?xml version="1.0" encoding="utf-8"?>
<formControlPr xmlns="http://schemas.microsoft.com/office/spreadsheetml/2009/9/main" objectType="CheckBox" checked="Checked" fmlaLink="$X$5" lockText="1" noThreeD="1"/>
</file>

<file path=xl/ctrlProps/ctrlProp5.xml><?xml version="1.0" encoding="utf-8"?>
<formControlPr xmlns="http://schemas.microsoft.com/office/spreadsheetml/2009/9/main" objectType="CheckBox" checked="Checked" fmlaLink="$Y$5" lockText="1" noThreeD="1"/>
</file>

<file path=xl/ctrlProps/ctrlProp6.xml><?xml version="1.0" encoding="utf-8"?>
<formControlPr xmlns="http://schemas.microsoft.com/office/spreadsheetml/2009/9/main" objectType="CheckBox" checked="Checked" fmlaLink="$Z$5" lockText="1" noThreeD="1"/>
</file>

<file path=xl/ctrlProps/ctrlProp7.xml><?xml version="1.0" encoding="utf-8"?>
<formControlPr xmlns="http://schemas.microsoft.com/office/spreadsheetml/2009/9/main" objectType="CheckBox" fmlaLink="$AA$5" lockText="1" noThreeD="1"/>
</file>

<file path=xl/ctrlProps/ctrlProp8.xml><?xml version="1.0" encoding="utf-8"?>
<formControlPr xmlns="http://schemas.microsoft.com/office/spreadsheetml/2009/9/main" objectType="CheckBox" checked="Checked" fmlaLink="$AB$5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19050</xdr:rowOff>
    </xdr:from>
    <xdr:to>
      <xdr:col>5</xdr:col>
      <xdr:colOff>647700</xdr:colOff>
      <xdr:row>4</xdr:row>
      <xdr:rowOff>133500</xdr:rowOff>
    </xdr:to>
    <xdr:grpSp>
      <xdr:nvGrpSpPr>
        <xdr:cNvPr id="5" name="그룹 4"/>
        <xdr:cNvGrpSpPr/>
      </xdr:nvGrpSpPr>
      <xdr:grpSpPr>
        <a:xfrm>
          <a:off x="142875" y="781050"/>
          <a:ext cx="1905000" cy="324000"/>
          <a:chOff x="2847975" y="695325"/>
          <a:chExt cx="1905000" cy="324000"/>
        </a:xfrm>
      </xdr:grpSpPr>
      <xdr:sp macro="" textlink="">
        <xdr:nvSpPr>
          <xdr:cNvPr id="4" name="직사각형 3"/>
          <xdr:cNvSpPr/>
        </xdr:nvSpPr>
        <xdr:spPr>
          <a:xfrm>
            <a:off x="2847975" y="695325"/>
            <a:ext cx="1905000" cy="324000"/>
          </a:xfrm>
          <a:prstGeom prst="rect">
            <a:avLst/>
          </a:prstGeom>
          <a:solidFill>
            <a:schemeClr val="bg1"/>
          </a:solidFill>
          <a:ln>
            <a:solidFill>
              <a:srgbClr val="00B0F0"/>
            </a:solidFill>
          </a:ln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ko-KR" altLang="en-US" sz="1100"/>
              <a:t>월 평균대비</a:t>
            </a:r>
          </a:p>
        </xdr:txBody>
      </xdr:sp>
      <xdr:pic>
        <xdr:nvPicPr>
          <xdr:cNvPr id="3" name="그림 2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14650" y="723900"/>
            <a:ext cx="962025" cy="285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361950</xdr:colOff>
          <xdr:row>3</xdr:row>
          <xdr:rowOff>123825</xdr:rowOff>
        </xdr:from>
        <xdr:to>
          <xdr:col>12</xdr:col>
          <xdr:colOff>9525</xdr:colOff>
          <xdr:row>4</xdr:row>
          <xdr:rowOff>104775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28</xdr:col>
      <xdr:colOff>257175</xdr:colOff>
      <xdr:row>3</xdr:row>
      <xdr:rowOff>9525</xdr:rowOff>
    </xdr:from>
    <xdr:to>
      <xdr:col>40</xdr:col>
      <xdr:colOff>295275</xdr:colOff>
      <xdr:row>20</xdr:row>
      <xdr:rowOff>76199</xdr:rowOff>
    </xdr:to>
    <xdr:grpSp>
      <xdr:nvGrpSpPr>
        <xdr:cNvPr id="16" name="그룹 15"/>
        <xdr:cNvGrpSpPr/>
      </xdr:nvGrpSpPr>
      <xdr:grpSpPr>
        <a:xfrm>
          <a:off x="6038850" y="771525"/>
          <a:ext cx="8724900" cy="5724524"/>
          <a:chOff x="3700462" y="1698078"/>
          <a:chExt cx="7920039" cy="4243386"/>
        </a:xfrm>
      </xdr:grpSpPr>
      <xdr:graphicFrame macro="">
        <xdr:nvGraphicFramePr>
          <xdr:cNvPr id="17" name="차트 16"/>
          <xdr:cNvGraphicFramePr/>
        </xdr:nvGraphicFramePr>
        <xdr:xfrm>
          <a:off x="3700462" y="1698078"/>
          <a:ext cx="7920039" cy="42433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pSp>
            <xdr:nvGrpSpPr>
              <xdr:cNvPr id="18" name="그룹 17"/>
              <xdr:cNvGrpSpPr/>
            </xdr:nvGrpSpPr>
            <xdr:grpSpPr>
              <a:xfrm>
                <a:off x="5586636" y="1830290"/>
                <a:ext cx="4194174" cy="200026"/>
                <a:chOff x="5586636" y="1830290"/>
                <a:chExt cx="4194174" cy="200026"/>
              </a:xfrm>
            </xdr:grpSpPr>
            <xdr:sp macro="" textlink="">
              <xdr:nvSpPr>
                <xdr:cNvPr id="1035" name="Check Box 11" hidden="1">
                  <a:extLst>
                    <a:ext uri="{63B3BB69-23CF-44E3-9099-C40C66FF867C}">
                      <a14:compatExt spid="_x0000_s1035"/>
                    </a:ext>
                  </a:extLst>
                </xdr:cNvPr>
                <xdr:cNvSpPr/>
              </xdr:nvSpPr>
              <xdr:spPr>
                <a:xfrm>
                  <a:off x="5586636" y="1830290"/>
                  <a:ext cx="504000" cy="200025"/>
                </a:xfrm>
                <a:prstGeom prst="rect">
                  <a:avLst/>
                </a:prstGeom>
              </xdr:spPr>
            </xdr:sp>
            <xdr:sp macro="" textlink="">
              <xdr:nvSpPr>
                <xdr:cNvPr id="1036" name="Check Box 12" hidden="1">
                  <a:extLst>
                    <a:ext uri="{63B3BB69-23CF-44E3-9099-C40C66FF867C}">
                      <a14:compatExt spid="_x0000_s1036"/>
                    </a:ext>
                  </a:extLst>
                </xdr:cNvPr>
                <xdr:cNvSpPr/>
              </xdr:nvSpPr>
              <xdr:spPr>
                <a:xfrm>
                  <a:off x="6199752" y="1830291"/>
                  <a:ext cx="504000" cy="200025"/>
                </a:xfrm>
                <a:prstGeom prst="rect">
                  <a:avLst/>
                </a:prstGeom>
              </xdr:spPr>
            </xdr:sp>
            <xdr:sp macro="" textlink="">
              <xdr:nvSpPr>
                <xdr:cNvPr id="1037" name="Check Box 13" hidden="1">
                  <a:extLst>
                    <a:ext uri="{63B3BB69-23CF-44E3-9099-C40C66FF867C}">
                      <a14:compatExt spid="_x0000_s1037"/>
                    </a:ext>
                  </a:extLst>
                </xdr:cNvPr>
                <xdr:cNvSpPr/>
              </xdr:nvSpPr>
              <xdr:spPr>
                <a:xfrm>
                  <a:off x="6804217" y="1830291"/>
                  <a:ext cx="504000" cy="200025"/>
                </a:xfrm>
                <a:prstGeom prst="rect">
                  <a:avLst/>
                </a:prstGeom>
              </xdr:spPr>
            </xdr:sp>
            <xdr:sp macro="" textlink="">
              <xdr:nvSpPr>
                <xdr:cNvPr id="1038" name="Check Box 14" hidden="1">
                  <a:extLst>
                    <a:ext uri="{63B3BB69-23CF-44E3-9099-C40C66FF867C}">
                      <a14:compatExt spid="_x0000_s1038"/>
                    </a:ext>
                  </a:extLst>
                </xdr:cNvPr>
                <xdr:cNvSpPr/>
              </xdr:nvSpPr>
              <xdr:spPr>
                <a:xfrm>
                  <a:off x="7408690" y="1830291"/>
                  <a:ext cx="504000" cy="200025"/>
                </a:xfrm>
                <a:prstGeom prst="rect">
                  <a:avLst/>
                </a:prstGeom>
              </xdr:spPr>
            </xdr:sp>
            <xdr:sp macro="" textlink="">
              <xdr:nvSpPr>
                <xdr:cNvPr id="1039" name="Check Box 15" hidden="1">
                  <a:extLst>
                    <a:ext uri="{63B3BB69-23CF-44E3-9099-C40C66FF867C}">
                      <a14:compatExt spid="_x0000_s1039"/>
                    </a:ext>
                  </a:extLst>
                </xdr:cNvPr>
                <xdr:cNvSpPr/>
              </xdr:nvSpPr>
              <xdr:spPr>
                <a:xfrm>
                  <a:off x="7995861" y="1830291"/>
                  <a:ext cx="504000" cy="200025"/>
                </a:xfrm>
                <a:prstGeom prst="rect">
                  <a:avLst/>
                </a:prstGeom>
              </xdr:spPr>
            </xdr:sp>
            <xdr:sp macro="" textlink="">
              <xdr:nvSpPr>
                <xdr:cNvPr id="1040" name="Check Box 16" hidden="1">
                  <a:extLst>
                    <a:ext uri="{63B3BB69-23CF-44E3-9099-C40C66FF867C}">
                      <a14:compatExt spid="_x0000_s1040"/>
                    </a:ext>
                  </a:extLst>
                </xdr:cNvPr>
                <xdr:cNvSpPr/>
              </xdr:nvSpPr>
              <xdr:spPr>
                <a:xfrm>
                  <a:off x="8600335" y="1830291"/>
                  <a:ext cx="504000" cy="200025"/>
                </a:xfrm>
                <a:prstGeom prst="rect">
                  <a:avLst/>
                </a:prstGeom>
              </xdr:spPr>
            </xdr:sp>
            <xdr:sp macro="" textlink="">
              <xdr:nvSpPr>
                <xdr:cNvPr id="1041" name="Check Box 17" hidden="1">
                  <a:extLst>
                    <a:ext uri="{63B3BB69-23CF-44E3-9099-C40C66FF867C}">
                      <a14:compatExt spid="_x0000_s1041"/>
                    </a:ext>
                  </a:extLst>
                </xdr:cNvPr>
                <xdr:cNvSpPr/>
              </xdr:nvSpPr>
              <xdr:spPr>
                <a:xfrm>
                  <a:off x="9204810" y="1830291"/>
                  <a:ext cx="576000" cy="200025"/>
                </a:xfrm>
                <a:prstGeom prst="rect">
                  <a:avLst/>
                </a:prstGeom>
              </xdr:spPr>
            </xdr:sp>
          </xdr:grp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N21"/>
  <sheetViews>
    <sheetView showGridLines="0" showRowColHeaders="0" tabSelected="1" topLeftCell="B1" workbookViewId="0">
      <selection activeCell="N4" sqref="N4"/>
    </sheetView>
  </sheetViews>
  <sheetFormatPr defaultRowHeight="16.5" x14ac:dyDescent="0.3"/>
  <cols>
    <col min="1" max="1" width="6.625" hidden="1" customWidth="1"/>
    <col min="2" max="2" width="1.875" customWidth="1"/>
    <col min="3" max="3" width="6.5" customWidth="1"/>
    <col min="4" max="4" width="9.5" customWidth="1"/>
    <col min="5" max="5" width="0.5" customWidth="1"/>
    <col min="7" max="7" width="0.5" customWidth="1"/>
    <col min="9" max="9" width="0.5" customWidth="1"/>
    <col min="11" max="11" width="0.5" customWidth="1"/>
    <col min="13" max="13" width="1.5" customWidth="1"/>
    <col min="15" max="15" width="0.5" customWidth="1"/>
    <col min="17" max="28" width="9" hidden="1" customWidth="1"/>
    <col min="40" max="40" width="15" customWidth="1"/>
  </cols>
  <sheetData>
    <row r="1" spans="1:40" ht="7.5" customHeight="1" x14ac:dyDescent="0.3">
      <c r="A1" t="str">
        <f>INDEX($S$8:$S$21,$A$7)</f>
        <v>IDX</v>
      </c>
    </row>
    <row r="2" spans="1:40" ht="36" customHeight="1" x14ac:dyDescent="0.3">
      <c r="C2" s="27" t="s">
        <v>46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</row>
    <row r="3" spans="1:40" x14ac:dyDescent="0.3">
      <c r="C3" s="2"/>
      <c r="D3" s="1"/>
      <c r="E3" s="1"/>
      <c r="G3" s="1"/>
      <c r="I3" s="1"/>
      <c r="K3" s="1"/>
      <c r="O3" s="1"/>
    </row>
    <row r="4" spans="1:40" x14ac:dyDescent="0.3">
      <c r="C4" s="2"/>
      <c r="D4" s="1"/>
      <c r="E4" s="1"/>
      <c r="G4" s="1"/>
      <c r="I4" s="1"/>
      <c r="K4" s="1"/>
      <c r="O4" s="1"/>
    </row>
    <row r="5" spans="1:40" ht="17.25" thickBot="1" x14ac:dyDescent="0.35">
      <c r="V5" t="b">
        <v>0</v>
      </c>
      <c r="W5" t="b">
        <v>0</v>
      </c>
      <c r="X5" t="b">
        <v>1</v>
      </c>
      <c r="Y5" t="b">
        <v>1</v>
      </c>
      <c r="Z5" t="b">
        <v>1</v>
      </c>
      <c r="AA5" t="b">
        <v>0</v>
      </c>
      <c r="AB5" t="b">
        <v>1</v>
      </c>
    </row>
    <row r="6" spans="1:40" ht="17.25" hidden="1" thickBot="1" x14ac:dyDescent="0.35">
      <c r="A6" t="str">
        <f>INDEX($T$8:$T$21,$A$7)</f>
        <v>211</v>
      </c>
      <c r="C6" s="1" t="s">
        <v>0</v>
      </c>
      <c r="D6" t="str">
        <f ca="1">_xll.IMDH($A$1,$A$6,$C$6,D$7&amp;"0101",D$7&amp;"1231",12,"Per=월, sort=A, real=true, Bizday=12,Quote=종가,Pos=20,Orient=V,DtFmt=1,TmFmt=1")</f>
        <v>조회[211]</v>
      </c>
      <c r="F6" t="str">
        <f ca="1">_xll.IMDH($A$1,$A$6,$C$6,F$7&amp;"0101",F$7&amp;"1231",12,"Per=월, sort=A, real=true, Bizday=12,Quote=종가,Pos=20,Orient=V,DtFmt=1,TmFmt=1")</f>
        <v>조회[211]</v>
      </c>
      <c r="H6" t="str">
        <f ca="1">_xll.IMDH($A$1,$A$6,$C$6,H$7&amp;"0101",H$7&amp;"1231",12,"Per=월, sort=A, real=true, Bizday=12,Quote=종가,Pos=20,Orient=V,DtFmt=1,TmFmt=1")</f>
        <v>조회[211]</v>
      </c>
      <c r="J6" t="str">
        <f ca="1">_xll.IMDH($A$1,$A$6,$C$6,J$7&amp;"0101",J$7&amp;"1231",12,"Per=월, sort=A, real=true, Bizday=12,Quote=종가,Pos=20,Orient=V,DtFmt=1,TmFmt=1")</f>
        <v>조회[211]</v>
      </c>
      <c r="L6" t="str">
        <f ca="1">_xll.IMDH($A$1,$A$6,$C$6,L$7&amp;"0101",L$7&amp;"1231",12,"Per=월, sort=A, real=true, Bizday=12,Quote=종가,Pos=20,Orient=V,DtFmt=1,TmFmt=1")</f>
        <v>조회[211]</v>
      </c>
    </row>
    <row r="7" spans="1:40" ht="17.25" thickBot="1" x14ac:dyDescent="0.35">
      <c r="A7">
        <v>2</v>
      </c>
      <c r="C7" s="23" t="s">
        <v>15</v>
      </c>
      <c r="D7" s="16">
        <f ca="1">F7-1</f>
        <v>2019</v>
      </c>
      <c r="E7" s="19"/>
      <c r="F7" s="17">
        <f ca="1">H7-1</f>
        <v>2020</v>
      </c>
      <c r="G7" s="19"/>
      <c r="H7" s="17">
        <f ca="1">J7-1</f>
        <v>2021</v>
      </c>
      <c r="I7" s="19"/>
      <c r="J7" s="17">
        <f ca="1">L7-1</f>
        <v>2022</v>
      </c>
      <c r="K7" s="19"/>
      <c r="L7" s="18">
        <f ca="1">YEAR(TODAY())</f>
        <v>2023</v>
      </c>
      <c r="M7" s="1"/>
      <c r="N7" s="16" t="s">
        <v>1</v>
      </c>
      <c r="O7" s="19"/>
      <c r="P7" s="18" t="s">
        <v>2</v>
      </c>
      <c r="U7" s="1"/>
      <c r="V7" s="1">
        <f ca="1">D7</f>
        <v>2019</v>
      </c>
      <c r="W7" s="1">
        <f ca="1">F7</f>
        <v>2020</v>
      </c>
      <c r="X7" s="1">
        <f ca="1">H7</f>
        <v>2021</v>
      </c>
      <c r="Y7" s="1">
        <f ca="1">J7</f>
        <v>2022</v>
      </c>
      <c r="Z7" s="1">
        <f ca="1">L7</f>
        <v>2023</v>
      </c>
      <c r="AA7" s="1" t="str">
        <f>N7</f>
        <v>평균</v>
      </c>
      <c r="AB7" s="1" t="str">
        <f>P7</f>
        <v>중간값</v>
      </c>
    </row>
    <row r="8" spans="1:40" ht="31.5" customHeight="1" x14ac:dyDescent="0.3">
      <c r="A8" t="s">
        <v>16</v>
      </c>
      <c r="C8" s="20" t="s">
        <v>3</v>
      </c>
      <c r="D8" s="6">
        <v>9.1300000000000008</v>
      </c>
      <c r="E8" s="6"/>
      <c r="F8" s="7">
        <v>-3.15</v>
      </c>
      <c r="G8" s="6"/>
      <c r="H8" s="7">
        <v>3.92</v>
      </c>
      <c r="I8" s="6"/>
      <c r="J8" s="7">
        <v>-9.19</v>
      </c>
      <c r="K8" s="6"/>
      <c r="L8" s="8">
        <v>8.1</v>
      </c>
      <c r="M8" s="3"/>
      <c r="N8" s="13">
        <f>AVERAGE(D8:L8)</f>
        <v>1.762</v>
      </c>
      <c r="O8" s="6"/>
      <c r="P8" s="8">
        <f>MEDIAN(D8:L8)</f>
        <v>3.92</v>
      </c>
      <c r="Q8">
        <f>ABS(N8-P8)</f>
        <v>2.1579999999999999</v>
      </c>
      <c r="S8" t="s">
        <v>21</v>
      </c>
      <c r="T8" s="2" t="s">
        <v>22</v>
      </c>
      <c r="U8" s="1" t="str">
        <f t="shared" ref="U8:U19" si="0">C8</f>
        <v xml:space="preserve">1월 </v>
      </c>
      <c r="V8" s="25" t="e">
        <f>IF(V$5,IF(ISBLANK(D8),NA(),D8),NA())</f>
        <v>#N/A</v>
      </c>
      <c r="W8" s="25" t="e">
        <f>IF(W$5,IF(ISBLANK(F8),NA(),F8),NA())</f>
        <v>#N/A</v>
      </c>
      <c r="X8" s="25">
        <f>IF(X$5,IF(ISBLANK(H8),NA(),H8),NA())</f>
        <v>3.92</v>
      </c>
      <c r="Y8" s="25">
        <f>IF(Y$5,IF(ISBLANK(J8),NA(),J8),NA())</f>
        <v>-9.19</v>
      </c>
      <c r="Z8" s="25">
        <f>IF(Z$5,IF(ISBLANK(L8),NA(),L8),NA())</f>
        <v>8.1</v>
      </c>
      <c r="AA8" s="25" t="e">
        <f>IF(AA$5,IF(ISBLANK(N8),NA(),N8),NA())</f>
        <v>#N/A</v>
      </c>
      <c r="AB8" s="25">
        <f>IF(AB$5,IF(ISBLANK(P8),NA(),P8),NA())</f>
        <v>3.92</v>
      </c>
    </row>
    <row r="9" spans="1:40" ht="31.5" customHeight="1" x14ac:dyDescent="0.3">
      <c r="A9" t="s">
        <v>17</v>
      </c>
      <c r="C9" s="21" t="s">
        <v>4</v>
      </c>
      <c r="D9" s="4">
        <v>-0.73</v>
      </c>
      <c r="E9" s="4"/>
      <c r="F9" s="5">
        <v>-5.8</v>
      </c>
      <c r="G9" s="4"/>
      <c r="H9" s="5">
        <v>1.32</v>
      </c>
      <c r="I9" s="4"/>
      <c r="J9" s="5">
        <v>0.99</v>
      </c>
      <c r="K9" s="4"/>
      <c r="L9" s="9"/>
      <c r="M9" s="3"/>
      <c r="N9" s="14">
        <f t="shared" ref="N9:N19" si="1">AVERAGE(D9:L9)</f>
        <v>-1.0549999999999997</v>
      </c>
      <c r="O9" s="4"/>
      <c r="P9" s="9">
        <f t="shared" ref="P9:P19" si="2">MEDIAN(D9:L9)</f>
        <v>0.13</v>
      </c>
      <c r="Q9">
        <f t="shared" ref="Q9:Q19" si="3">ABS(N9-P9)</f>
        <v>1.1849999999999996</v>
      </c>
      <c r="S9" t="s">
        <v>21</v>
      </c>
      <c r="T9" s="2" t="s">
        <v>19</v>
      </c>
      <c r="U9" s="1" t="str">
        <f t="shared" si="0"/>
        <v xml:space="preserve">2월 </v>
      </c>
      <c r="V9" s="26" t="e">
        <f t="shared" ref="V9:V19" si="4">IF(V$5,IF(ISBLANK(D9),NA(),D9),NA())</f>
        <v>#N/A</v>
      </c>
      <c r="W9" s="1" t="e">
        <f t="shared" ref="W9:W19" si="5">IF(W$5,IF(ISBLANK(F9),NA(),F9),NA())</f>
        <v>#N/A</v>
      </c>
      <c r="X9" s="1">
        <f t="shared" ref="X9:X19" si="6">IF(X$5,IF(ISBLANK(H9),NA(),H9),NA())</f>
        <v>1.32</v>
      </c>
      <c r="Y9" s="1">
        <f t="shared" ref="Y9:Y19" si="7">IF(Y$5,IF(ISBLANK(J9),NA(),J9),NA())</f>
        <v>0.99</v>
      </c>
      <c r="Z9" s="1" t="e">
        <f t="shared" ref="Z9:Z19" si="8">IF(Z$5,IF(ISBLANK(L9),NA(),L9),NA())</f>
        <v>#N/A</v>
      </c>
      <c r="AA9" s="1" t="e">
        <f t="shared" ref="AA9:AA19" si="9">IF(AA$5,IF(ISBLANK(N9),NA(),N9),NA())</f>
        <v>#N/A</v>
      </c>
      <c r="AB9" s="1">
        <f t="shared" ref="AB9:AB19" si="10">IF(AB$5,IF(ISBLANK(P9),NA(),P9),NA())</f>
        <v>0.13</v>
      </c>
    </row>
    <row r="10" spans="1:40" ht="31.5" customHeight="1" x14ac:dyDescent="0.3">
      <c r="A10" t="s">
        <v>18</v>
      </c>
      <c r="C10" s="21" t="s">
        <v>5</v>
      </c>
      <c r="D10" s="4">
        <v>-2.58</v>
      </c>
      <c r="E10" s="4"/>
      <c r="F10" s="5">
        <v>-11.64</v>
      </c>
      <c r="G10" s="4"/>
      <c r="H10" s="5">
        <v>1.25</v>
      </c>
      <c r="I10" s="4"/>
      <c r="J10" s="5">
        <v>1.1299999999999999</v>
      </c>
      <c r="K10" s="4"/>
      <c r="L10" s="9"/>
      <c r="M10" s="3"/>
      <c r="N10" s="14">
        <f t="shared" si="1"/>
        <v>-2.96</v>
      </c>
      <c r="O10" s="4"/>
      <c r="P10" s="9">
        <f t="shared" si="2"/>
        <v>-0.72500000000000009</v>
      </c>
      <c r="Q10">
        <f t="shared" si="3"/>
        <v>2.2349999999999999</v>
      </c>
      <c r="S10" t="s">
        <v>21</v>
      </c>
      <c r="T10" s="2" t="s">
        <v>20</v>
      </c>
      <c r="U10" s="1" t="str">
        <f t="shared" si="0"/>
        <v xml:space="preserve">3월 </v>
      </c>
      <c r="V10" s="26" t="e">
        <f t="shared" si="4"/>
        <v>#N/A</v>
      </c>
      <c r="W10" s="1" t="e">
        <f t="shared" si="5"/>
        <v>#N/A</v>
      </c>
      <c r="X10" s="1">
        <f t="shared" si="6"/>
        <v>1.25</v>
      </c>
      <c r="Y10" s="1">
        <f t="shared" si="7"/>
        <v>1.1299999999999999</v>
      </c>
      <c r="Z10" s="1" t="e">
        <f t="shared" si="8"/>
        <v>#N/A</v>
      </c>
      <c r="AA10" s="1" t="e">
        <f t="shared" si="9"/>
        <v>#N/A</v>
      </c>
      <c r="AB10" s="1">
        <f t="shared" si="10"/>
        <v>-0.72500000000000009</v>
      </c>
    </row>
    <row r="11" spans="1:40" ht="31.5" customHeight="1" x14ac:dyDescent="0.3">
      <c r="A11" t="s">
        <v>35</v>
      </c>
      <c r="C11" s="21" t="s">
        <v>6</v>
      </c>
      <c r="D11" s="4">
        <v>3.05</v>
      </c>
      <c r="E11" s="4"/>
      <c r="F11" s="5">
        <v>9.01</v>
      </c>
      <c r="G11" s="4"/>
      <c r="H11" s="5">
        <v>1.76</v>
      </c>
      <c r="I11" s="4"/>
      <c r="J11" s="5">
        <v>-2.88</v>
      </c>
      <c r="K11" s="4"/>
      <c r="L11" s="9"/>
      <c r="M11" s="3"/>
      <c r="N11" s="14">
        <f t="shared" si="1"/>
        <v>2.7349999999999994</v>
      </c>
      <c r="O11" s="4"/>
      <c r="P11" s="9">
        <f t="shared" si="2"/>
        <v>2.4049999999999998</v>
      </c>
      <c r="Q11">
        <f t="shared" si="3"/>
        <v>0.32999999999999963</v>
      </c>
      <c r="S11" s="24" t="s">
        <v>23</v>
      </c>
      <c r="T11" s="24" t="s">
        <v>25</v>
      </c>
      <c r="U11" s="1" t="str">
        <f t="shared" si="0"/>
        <v xml:space="preserve">4월 </v>
      </c>
      <c r="V11" s="26" t="e">
        <f t="shared" si="4"/>
        <v>#N/A</v>
      </c>
      <c r="W11" s="1" t="e">
        <f t="shared" si="5"/>
        <v>#N/A</v>
      </c>
      <c r="X11" s="1">
        <f t="shared" si="6"/>
        <v>1.76</v>
      </c>
      <c r="Y11" s="1">
        <f t="shared" si="7"/>
        <v>-2.88</v>
      </c>
      <c r="Z11" s="1" t="e">
        <f t="shared" si="8"/>
        <v>#N/A</v>
      </c>
      <c r="AA11" s="1" t="e">
        <f t="shared" si="9"/>
        <v>#N/A</v>
      </c>
      <c r="AB11" s="1">
        <f t="shared" si="10"/>
        <v>2.4049999999999998</v>
      </c>
    </row>
    <row r="12" spans="1:40" ht="31.5" customHeight="1" x14ac:dyDescent="0.3">
      <c r="A12" t="s">
        <v>36</v>
      </c>
      <c r="C12" s="21" t="s">
        <v>7</v>
      </c>
      <c r="D12" s="4">
        <v>-7.38</v>
      </c>
      <c r="E12" s="4"/>
      <c r="F12" s="5">
        <v>3.94</v>
      </c>
      <c r="G12" s="4"/>
      <c r="H12" s="5">
        <v>1.31</v>
      </c>
      <c r="I12" s="4"/>
      <c r="J12" s="5">
        <v>-0.15</v>
      </c>
      <c r="K12" s="4"/>
      <c r="L12" s="9"/>
      <c r="M12" s="3"/>
      <c r="N12" s="14">
        <f t="shared" si="1"/>
        <v>-0.56999999999999995</v>
      </c>
      <c r="O12" s="4"/>
      <c r="P12" s="9">
        <f t="shared" si="2"/>
        <v>0.57999999999999996</v>
      </c>
      <c r="Q12">
        <f t="shared" si="3"/>
        <v>1.1499999999999999</v>
      </c>
      <c r="S12" s="24" t="s">
        <v>23</v>
      </c>
      <c r="T12" s="24" t="s">
        <v>27</v>
      </c>
      <c r="U12" s="1" t="str">
        <f t="shared" si="0"/>
        <v xml:space="preserve">5월 </v>
      </c>
      <c r="V12" s="26" t="e">
        <f t="shared" si="4"/>
        <v>#N/A</v>
      </c>
      <c r="W12" s="1" t="e">
        <f t="shared" si="5"/>
        <v>#N/A</v>
      </c>
      <c r="X12" s="1">
        <f t="shared" si="6"/>
        <v>1.31</v>
      </c>
      <c r="Y12" s="1">
        <f t="shared" si="7"/>
        <v>-0.15</v>
      </c>
      <c r="Z12" s="1" t="e">
        <f t="shared" si="8"/>
        <v>#N/A</v>
      </c>
      <c r="AA12" s="1" t="e">
        <f t="shared" si="9"/>
        <v>#N/A</v>
      </c>
      <c r="AB12" s="1">
        <f t="shared" si="10"/>
        <v>0.57999999999999996</v>
      </c>
    </row>
    <row r="13" spans="1:40" ht="31.5" customHeight="1" x14ac:dyDescent="0.3">
      <c r="A13" t="s">
        <v>44</v>
      </c>
      <c r="C13" s="21" t="s">
        <v>8</v>
      </c>
      <c r="D13" s="4">
        <v>5.16</v>
      </c>
      <c r="E13" s="4"/>
      <c r="F13" s="5">
        <v>4.3899999999999997</v>
      </c>
      <c r="G13" s="4"/>
      <c r="H13" s="5">
        <v>2.5499999999999998</v>
      </c>
      <c r="I13" s="4"/>
      <c r="J13" s="5">
        <v>-13.35</v>
      </c>
      <c r="K13" s="4"/>
      <c r="L13" s="9"/>
      <c r="M13" s="3"/>
      <c r="N13" s="14">
        <f t="shared" si="1"/>
        <v>-0.31249999999999956</v>
      </c>
      <c r="O13" s="4"/>
      <c r="P13" s="9">
        <f t="shared" si="2"/>
        <v>3.4699999999999998</v>
      </c>
      <c r="Q13">
        <f t="shared" si="3"/>
        <v>3.7824999999999993</v>
      </c>
      <c r="S13" s="24" t="s">
        <v>23</v>
      </c>
      <c r="T13" s="24" t="s">
        <v>28</v>
      </c>
      <c r="U13" s="1" t="str">
        <f t="shared" si="0"/>
        <v xml:space="preserve">6월 </v>
      </c>
      <c r="V13" s="26" t="e">
        <f t="shared" si="4"/>
        <v>#N/A</v>
      </c>
      <c r="W13" s="1" t="e">
        <f t="shared" si="5"/>
        <v>#N/A</v>
      </c>
      <c r="X13" s="1">
        <f t="shared" si="6"/>
        <v>2.5499999999999998</v>
      </c>
      <c r="Y13" s="1">
        <f t="shared" si="7"/>
        <v>-13.35</v>
      </c>
      <c r="Z13" s="1" t="e">
        <f t="shared" si="8"/>
        <v>#N/A</v>
      </c>
      <c r="AA13" s="1" t="e">
        <f t="shared" si="9"/>
        <v>#N/A</v>
      </c>
      <c r="AB13" s="1">
        <f t="shared" si="10"/>
        <v>3.4699999999999998</v>
      </c>
    </row>
    <row r="14" spans="1:40" ht="31.5" customHeight="1" x14ac:dyDescent="0.3">
      <c r="A14" t="s">
        <v>45</v>
      </c>
      <c r="C14" s="21" t="s">
        <v>9</v>
      </c>
      <c r="D14" s="4">
        <v>-4.0199999999999996</v>
      </c>
      <c r="E14" s="4"/>
      <c r="F14" s="5">
        <v>6.87</v>
      </c>
      <c r="G14" s="4"/>
      <c r="H14" s="5">
        <v>-3.4</v>
      </c>
      <c r="I14" s="4"/>
      <c r="J14" s="5">
        <v>5.24</v>
      </c>
      <c r="K14" s="4"/>
      <c r="L14" s="9"/>
      <c r="M14" s="3"/>
      <c r="N14" s="14">
        <f t="shared" si="1"/>
        <v>1.1725000000000003</v>
      </c>
      <c r="O14" s="4"/>
      <c r="P14" s="9">
        <f t="shared" si="2"/>
        <v>0.92000000000000037</v>
      </c>
      <c r="Q14">
        <f t="shared" si="3"/>
        <v>0.25249999999999995</v>
      </c>
      <c r="S14" s="24" t="s">
        <v>23</v>
      </c>
      <c r="T14" s="24" t="s">
        <v>32</v>
      </c>
      <c r="U14" s="1" t="str">
        <f t="shared" si="0"/>
        <v xml:space="preserve">7월 </v>
      </c>
      <c r="V14" s="26" t="e">
        <f t="shared" si="4"/>
        <v>#N/A</v>
      </c>
      <c r="W14" s="1" t="e">
        <f t="shared" si="5"/>
        <v>#N/A</v>
      </c>
      <c r="X14" s="1">
        <f t="shared" si="6"/>
        <v>-3.4</v>
      </c>
      <c r="Y14" s="1">
        <f t="shared" si="7"/>
        <v>5.24</v>
      </c>
      <c r="Z14" s="1" t="e">
        <f t="shared" si="8"/>
        <v>#N/A</v>
      </c>
      <c r="AA14" s="1" t="e">
        <f t="shared" si="9"/>
        <v>#N/A</v>
      </c>
      <c r="AB14" s="1">
        <f t="shared" si="10"/>
        <v>0.92000000000000037</v>
      </c>
    </row>
    <row r="15" spans="1:40" ht="31.5" customHeight="1" x14ac:dyDescent="0.3">
      <c r="A15" t="s">
        <v>37</v>
      </c>
      <c r="C15" s="21" t="s">
        <v>10</v>
      </c>
      <c r="D15" s="4">
        <v>-2.76</v>
      </c>
      <c r="E15" s="4"/>
      <c r="F15" s="5">
        <v>2.61</v>
      </c>
      <c r="G15" s="4"/>
      <c r="H15" s="5">
        <v>-0.97</v>
      </c>
      <c r="I15" s="4"/>
      <c r="J15" s="5">
        <v>-0.11</v>
      </c>
      <c r="K15" s="4"/>
      <c r="L15" s="9"/>
      <c r="M15" s="3"/>
      <c r="N15" s="14">
        <f t="shared" si="1"/>
        <v>-0.3075</v>
      </c>
      <c r="O15" s="4"/>
      <c r="P15" s="9">
        <f t="shared" si="2"/>
        <v>-0.54</v>
      </c>
      <c r="Q15">
        <f t="shared" si="3"/>
        <v>0.23250000000000004</v>
      </c>
      <c r="S15" s="24" t="s">
        <v>23</v>
      </c>
      <c r="T15" s="24" t="s">
        <v>24</v>
      </c>
      <c r="U15" s="1" t="str">
        <f t="shared" si="0"/>
        <v xml:space="preserve">8월 </v>
      </c>
      <c r="V15" s="26" t="e">
        <f t="shared" si="4"/>
        <v>#N/A</v>
      </c>
      <c r="W15" s="1" t="e">
        <f t="shared" si="5"/>
        <v>#N/A</v>
      </c>
      <c r="X15" s="1">
        <f t="shared" si="6"/>
        <v>-0.97</v>
      </c>
      <c r="Y15" s="1">
        <f t="shared" si="7"/>
        <v>-0.11</v>
      </c>
      <c r="Z15" s="1" t="e">
        <f t="shared" si="8"/>
        <v>#N/A</v>
      </c>
      <c r="AA15" s="1" t="e">
        <f t="shared" si="9"/>
        <v>#N/A</v>
      </c>
      <c r="AB15" s="1">
        <f t="shared" si="10"/>
        <v>-0.54</v>
      </c>
    </row>
    <row r="16" spans="1:40" ht="31.5" customHeight="1" x14ac:dyDescent="0.3">
      <c r="A16" t="s">
        <v>38</v>
      </c>
      <c r="C16" s="21" t="s">
        <v>11</v>
      </c>
      <c r="D16" s="4">
        <v>5.62</v>
      </c>
      <c r="E16" s="4"/>
      <c r="F16" s="5">
        <v>0.75</v>
      </c>
      <c r="G16" s="4"/>
      <c r="H16" s="5">
        <v>-4.4000000000000004</v>
      </c>
      <c r="I16" s="4"/>
      <c r="J16" s="5">
        <v>-12.88</v>
      </c>
      <c r="K16" s="4"/>
      <c r="L16" s="9"/>
      <c r="M16" s="3"/>
      <c r="N16" s="14">
        <f t="shared" si="1"/>
        <v>-2.7275</v>
      </c>
      <c r="O16" s="4"/>
      <c r="P16" s="9">
        <f t="shared" si="2"/>
        <v>-1.8250000000000002</v>
      </c>
      <c r="Q16">
        <f t="shared" si="3"/>
        <v>0.90249999999999986</v>
      </c>
      <c r="S16" s="24" t="s">
        <v>23</v>
      </c>
      <c r="T16" s="24" t="s">
        <v>29</v>
      </c>
      <c r="U16" s="1" t="str">
        <f t="shared" si="0"/>
        <v xml:space="preserve">9월 </v>
      </c>
      <c r="V16" s="26" t="e">
        <f t="shared" si="4"/>
        <v>#N/A</v>
      </c>
      <c r="W16" s="1" t="e">
        <f t="shared" si="5"/>
        <v>#N/A</v>
      </c>
      <c r="X16" s="1">
        <f t="shared" si="6"/>
        <v>-4.4000000000000004</v>
      </c>
      <c r="Y16" s="1">
        <f t="shared" si="7"/>
        <v>-12.88</v>
      </c>
      <c r="Z16" s="1" t="e">
        <f t="shared" si="8"/>
        <v>#N/A</v>
      </c>
      <c r="AA16" s="1" t="e">
        <f t="shared" si="9"/>
        <v>#N/A</v>
      </c>
      <c r="AB16" s="1">
        <f t="shared" si="10"/>
        <v>-1.8250000000000002</v>
      </c>
    </row>
    <row r="17" spans="1:28" ht="31.5" customHeight="1" x14ac:dyDescent="0.3">
      <c r="A17" t="s">
        <v>39</v>
      </c>
      <c r="C17" s="21" t="s">
        <v>12</v>
      </c>
      <c r="D17" s="4">
        <v>0.83</v>
      </c>
      <c r="E17" s="4"/>
      <c r="F17" s="5">
        <v>-2.5299999999999998</v>
      </c>
      <c r="G17" s="4"/>
      <c r="H17" s="5">
        <v>-3.2</v>
      </c>
      <c r="I17" s="4"/>
      <c r="J17" s="5">
        <v>6.48</v>
      </c>
      <c r="K17" s="4"/>
      <c r="L17" s="9"/>
      <c r="M17" s="3"/>
      <c r="N17" s="14">
        <f t="shared" si="1"/>
        <v>0.39500000000000002</v>
      </c>
      <c r="O17" s="4"/>
      <c r="P17" s="9">
        <f t="shared" si="2"/>
        <v>-0.84999999999999987</v>
      </c>
      <c r="Q17">
        <f t="shared" si="3"/>
        <v>1.2449999999999999</v>
      </c>
      <c r="S17" s="24" t="s">
        <v>23</v>
      </c>
      <c r="T17" s="24" t="s">
        <v>33</v>
      </c>
      <c r="U17" s="1" t="str">
        <f t="shared" si="0"/>
        <v xml:space="preserve">10월 </v>
      </c>
      <c r="V17" s="26" t="e">
        <f t="shared" si="4"/>
        <v>#N/A</v>
      </c>
      <c r="W17" s="1" t="e">
        <f t="shared" si="5"/>
        <v>#N/A</v>
      </c>
      <c r="X17" s="1">
        <f t="shared" si="6"/>
        <v>-3.2</v>
      </c>
      <c r="Y17" s="1">
        <f t="shared" si="7"/>
        <v>6.48</v>
      </c>
      <c r="Z17" s="1" t="e">
        <f t="shared" si="8"/>
        <v>#N/A</v>
      </c>
      <c r="AA17" s="1" t="e">
        <f t="shared" si="9"/>
        <v>#N/A</v>
      </c>
      <c r="AB17" s="1">
        <f t="shared" si="10"/>
        <v>-0.84999999999999987</v>
      </c>
    </row>
    <row r="18" spans="1:28" ht="31.5" customHeight="1" x14ac:dyDescent="0.3">
      <c r="A18" t="s">
        <v>40</v>
      </c>
      <c r="C18" s="21" t="s">
        <v>13</v>
      </c>
      <c r="D18" s="4">
        <v>0.35</v>
      </c>
      <c r="E18" s="4"/>
      <c r="F18" s="5">
        <v>14.74</v>
      </c>
      <c r="G18" s="4"/>
      <c r="H18" s="5">
        <v>-3.92</v>
      </c>
      <c r="I18" s="4"/>
      <c r="J18" s="5">
        <v>7.15</v>
      </c>
      <c r="K18" s="4"/>
      <c r="L18" s="9"/>
      <c r="M18" s="3"/>
      <c r="N18" s="14">
        <f t="shared" si="1"/>
        <v>4.58</v>
      </c>
      <c r="O18" s="4"/>
      <c r="P18" s="9">
        <f t="shared" si="2"/>
        <v>3.7500000000000004</v>
      </c>
      <c r="Q18">
        <f t="shared" si="3"/>
        <v>0.82999999999999963</v>
      </c>
      <c r="S18" s="24" t="s">
        <v>23</v>
      </c>
      <c r="T18" s="24" t="s">
        <v>31</v>
      </c>
      <c r="U18" s="1" t="str">
        <f t="shared" si="0"/>
        <v xml:space="preserve">11월 </v>
      </c>
      <c r="V18" s="26" t="e">
        <f t="shared" si="4"/>
        <v>#N/A</v>
      </c>
      <c r="W18" s="1" t="e">
        <f t="shared" si="5"/>
        <v>#N/A</v>
      </c>
      <c r="X18" s="1">
        <f t="shared" si="6"/>
        <v>-3.92</v>
      </c>
      <c r="Y18" s="1">
        <f t="shared" si="7"/>
        <v>7.15</v>
      </c>
      <c r="Z18" s="1" t="e">
        <f t="shared" si="8"/>
        <v>#N/A</v>
      </c>
      <c r="AA18" s="1" t="e">
        <f t="shared" si="9"/>
        <v>#N/A</v>
      </c>
      <c r="AB18" s="1">
        <f t="shared" si="10"/>
        <v>3.7500000000000004</v>
      </c>
    </row>
    <row r="19" spans="1:28" ht="31.5" customHeight="1" thickBot="1" x14ac:dyDescent="0.35">
      <c r="A19" t="s">
        <v>41</v>
      </c>
      <c r="C19" s="22" t="s">
        <v>14</v>
      </c>
      <c r="D19" s="10">
        <v>6.14</v>
      </c>
      <c r="E19" s="10"/>
      <c r="F19" s="11">
        <v>12.5</v>
      </c>
      <c r="G19" s="10"/>
      <c r="H19" s="11">
        <v>5.61</v>
      </c>
      <c r="I19" s="10"/>
      <c r="J19" s="11">
        <v>-9.31</v>
      </c>
      <c r="K19" s="10"/>
      <c r="L19" s="12"/>
      <c r="M19" s="3"/>
      <c r="N19" s="15">
        <f t="shared" si="1"/>
        <v>3.7349999999999999</v>
      </c>
      <c r="O19" s="10"/>
      <c r="P19" s="12">
        <f t="shared" si="2"/>
        <v>5.875</v>
      </c>
      <c r="Q19">
        <f t="shared" si="3"/>
        <v>2.14</v>
      </c>
      <c r="S19" s="24" t="s">
        <v>23</v>
      </c>
      <c r="T19" s="24" t="s">
        <v>26</v>
      </c>
      <c r="U19" s="1" t="str">
        <f t="shared" si="0"/>
        <v xml:space="preserve">12월 </v>
      </c>
      <c r="V19" s="1" t="e">
        <f t="shared" si="4"/>
        <v>#N/A</v>
      </c>
      <c r="W19" s="1" t="e">
        <f t="shared" si="5"/>
        <v>#N/A</v>
      </c>
      <c r="X19" s="1">
        <f t="shared" si="6"/>
        <v>5.61</v>
      </c>
      <c r="Y19" s="1">
        <f t="shared" si="7"/>
        <v>-9.31</v>
      </c>
      <c r="Z19" s="1" t="e">
        <f t="shared" si="8"/>
        <v>#N/A</v>
      </c>
      <c r="AA19" s="1" t="e">
        <f t="shared" si="9"/>
        <v>#N/A</v>
      </c>
      <c r="AB19" s="1">
        <f t="shared" si="10"/>
        <v>5.875</v>
      </c>
    </row>
    <row r="20" spans="1:28" x14ac:dyDescent="0.3">
      <c r="A20" t="s">
        <v>42</v>
      </c>
      <c r="S20" s="24" t="s">
        <v>23</v>
      </c>
      <c r="T20" s="24" t="s">
        <v>34</v>
      </c>
    </row>
    <row r="21" spans="1:28" x14ac:dyDescent="0.3">
      <c r="A21" t="s">
        <v>43</v>
      </c>
      <c r="S21" s="24" t="s">
        <v>23</v>
      </c>
      <c r="T21" s="24" t="s">
        <v>30</v>
      </c>
    </row>
  </sheetData>
  <mergeCells count="1">
    <mergeCell ref="C2:AN2"/>
  </mergeCells>
  <phoneticPr fontId="1" type="noConversion"/>
  <conditionalFormatting sqref="D8:E19">
    <cfRule type="colorScale" priority="83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F8:F19">
    <cfRule type="colorScale" priority="82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H8:H18">
    <cfRule type="colorScale" priority="81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J8:J19">
    <cfRule type="colorScale" priority="80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L8:L19">
    <cfRule type="colorScale" priority="79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N8:N19">
    <cfRule type="colorScale" priority="66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D8:F8 H8 J8 L8">
    <cfRule type="iconSet" priority="65">
      <iconSet iconSet="4Arrows">
        <cfvo type="percent" val="0"/>
        <cfvo type="formula" val="$N$8-$Q$8"/>
        <cfvo type="formula" val="$N$8"/>
        <cfvo type="formula" val="$N$8+$Q$8"/>
      </iconSet>
    </cfRule>
  </conditionalFormatting>
  <conditionalFormatting sqref="D9:F9 H9 J9 L9">
    <cfRule type="iconSet" priority="64">
      <iconSet iconSet="4Arrows">
        <cfvo type="percent" val="0"/>
        <cfvo type="formula" val="$N$9-$Q$9"/>
        <cfvo type="formula" val="$N$9"/>
        <cfvo type="formula" val="$N$9+$Q$9"/>
      </iconSet>
    </cfRule>
  </conditionalFormatting>
  <conditionalFormatting sqref="D10:F10 H10 J10 L10">
    <cfRule type="iconSet" priority="63">
      <iconSet iconSet="4Arrows">
        <cfvo type="percent" val="0"/>
        <cfvo type="formula" val="$N$10-$Q$10"/>
        <cfvo type="formula" val="$N$10"/>
        <cfvo type="formula" val="$N$10+$Q$10"/>
      </iconSet>
    </cfRule>
  </conditionalFormatting>
  <conditionalFormatting sqref="D11:F11 H11 J11 L11">
    <cfRule type="iconSet" priority="62">
      <iconSet iconSet="4Arrows">
        <cfvo type="percent" val="0"/>
        <cfvo type="formula" val="$N$11-$Q$11"/>
        <cfvo type="formula" val="$N$11"/>
        <cfvo type="formula" val="$N$11+$Q$11"/>
      </iconSet>
    </cfRule>
  </conditionalFormatting>
  <conditionalFormatting sqref="D12:F12 H12 J12 L12">
    <cfRule type="iconSet" priority="61">
      <iconSet iconSet="4Arrows">
        <cfvo type="percent" val="0"/>
        <cfvo type="formula" val="$N$12-$Q$12"/>
        <cfvo type="formula" val="$N$12"/>
        <cfvo type="formula" val="$N$12+$Q$12"/>
      </iconSet>
    </cfRule>
  </conditionalFormatting>
  <conditionalFormatting sqref="D13:F13 H13 J13 L13">
    <cfRule type="iconSet" priority="60">
      <iconSet iconSet="4Arrows">
        <cfvo type="percent" val="0"/>
        <cfvo type="formula" val="$N$13-$Q$13"/>
        <cfvo type="formula" val="$N$13"/>
        <cfvo type="formula" val="$N$13+$Q$13"/>
      </iconSet>
    </cfRule>
  </conditionalFormatting>
  <conditionalFormatting sqref="D14:F14 H14 J14 L14">
    <cfRule type="iconSet" priority="59">
      <iconSet iconSet="4Arrows">
        <cfvo type="percent" val="0"/>
        <cfvo type="formula" val="$N$14-$Q$14"/>
        <cfvo type="formula" val="$N$14"/>
        <cfvo type="formula" val="$N$14+$Q$14"/>
      </iconSet>
    </cfRule>
  </conditionalFormatting>
  <conditionalFormatting sqref="D15:F15 H15 J15 L15">
    <cfRule type="iconSet" priority="58">
      <iconSet iconSet="4Arrows">
        <cfvo type="percent" val="0"/>
        <cfvo type="formula" val="$N$15-$Q$15"/>
        <cfvo type="formula" val="$N$15"/>
        <cfvo type="formula" val="$N$15+$Q$15"/>
      </iconSet>
    </cfRule>
  </conditionalFormatting>
  <conditionalFormatting sqref="D16:F16 H16 J16 L16">
    <cfRule type="iconSet" priority="57">
      <iconSet iconSet="4Arrows">
        <cfvo type="percent" val="0"/>
        <cfvo type="formula" val="$N$16-$Q$16"/>
        <cfvo type="formula" val="$N$16"/>
        <cfvo type="formula" val="$N$16+$Q$16"/>
      </iconSet>
    </cfRule>
  </conditionalFormatting>
  <conditionalFormatting sqref="D17:F17 H17 J17 L17">
    <cfRule type="iconSet" priority="56">
      <iconSet iconSet="4Arrows">
        <cfvo type="percent" val="0"/>
        <cfvo type="formula" val="$N$17-$Q$17"/>
        <cfvo type="formula" val="$N$17"/>
        <cfvo type="formula" val="$N$17+$Q$17"/>
      </iconSet>
    </cfRule>
  </conditionalFormatting>
  <conditionalFormatting sqref="D18:F18 H18 J18 L18">
    <cfRule type="iconSet" priority="55">
      <iconSet iconSet="4Arrows">
        <cfvo type="percent" val="0"/>
        <cfvo type="formula" val="$N$18-$Q$18"/>
        <cfvo type="formula" val="$N$18"/>
        <cfvo type="formula" val="$N$18+$Q$18"/>
      </iconSet>
    </cfRule>
  </conditionalFormatting>
  <conditionalFormatting sqref="D19:F19 H19 J19 L19">
    <cfRule type="iconSet" priority="54">
      <iconSet iconSet="4Arrows">
        <cfvo type="percent" val="0"/>
        <cfvo type="formula" val="$N$19-$Q$19"/>
        <cfvo type="formula" val="$N$19"/>
        <cfvo type="formula" val="$N$19+$Q$19"/>
      </iconSet>
    </cfRule>
  </conditionalFormatting>
  <conditionalFormatting sqref="P8:P19">
    <cfRule type="colorScale" priority="53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G8:G19">
    <cfRule type="colorScale" priority="52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G8">
    <cfRule type="iconSet" priority="51">
      <iconSet iconSet="4Arrows">
        <cfvo type="percent" val="0"/>
        <cfvo type="formula" val="$N$8-$Q$8"/>
        <cfvo type="formula" val="$N$8"/>
        <cfvo type="formula" val="$N$8+$Q$8"/>
      </iconSet>
    </cfRule>
  </conditionalFormatting>
  <conditionalFormatting sqref="G9">
    <cfRule type="iconSet" priority="50">
      <iconSet iconSet="4Arrows">
        <cfvo type="percent" val="0"/>
        <cfvo type="formula" val="$N$9-$Q$9"/>
        <cfvo type="formula" val="$N$9"/>
        <cfvo type="formula" val="$N$9+$Q$9"/>
      </iconSet>
    </cfRule>
  </conditionalFormatting>
  <conditionalFormatting sqref="G10">
    <cfRule type="iconSet" priority="49">
      <iconSet iconSet="4Arrows">
        <cfvo type="percent" val="0"/>
        <cfvo type="formula" val="$N$10-$Q$10"/>
        <cfvo type="formula" val="$N$10"/>
        <cfvo type="formula" val="$N$10+$Q$10"/>
      </iconSet>
    </cfRule>
  </conditionalFormatting>
  <conditionalFormatting sqref="G11">
    <cfRule type="iconSet" priority="48">
      <iconSet iconSet="4Arrows">
        <cfvo type="percent" val="0"/>
        <cfvo type="formula" val="$N$11-$Q$11"/>
        <cfvo type="formula" val="$N$11"/>
        <cfvo type="formula" val="$N$11+$Q$11"/>
      </iconSet>
    </cfRule>
  </conditionalFormatting>
  <conditionalFormatting sqref="G12">
    <cfRule type="iconSet" priority="47">
      <iconSet iconSet="4Arrows">
        <cfvo type="percent" val="0"/>
        <cfvo type="formula" val="$N$12-$Q$12"/>
        <cfvo type="formula" val="$N$12"/>
        <cfvo type="formula" val="$N$12+$Q$12"/>
      </iconSet>
    </cfRule>
  </conditionalFormatting>
  <conditionalFormatting sqref="G13">
    <cfRule type="iconSet" priority="46">
      <iconSet iconSet="4Arrows">
        <cfvo type="percent" val="0"/>
        <cfvo type="formula" val="$N$13-$Q$13"/>
        <cfvo type="formula" val="$N$13"/>
        <cfvo type="formula" val="$N$13+$Q$13"/>
      </iconSet>
    </cfRule>
  </conditionalFormatting>
  <conditionalFormatting sqref="G14">
    <cfRule type="iconSet" priority="45">
      <iconSet iconSet="4Arrows">
        <cfvo type="percent" val="0"/>
        <cfvo type="formula" val="$N$14-$Q$14"/>
        <cfvo type="formula" val="$N$14"/>
        <cfvo type="formula" val="$N$14+$Q$14"/>
      </iconSet>
    </cfRule>
  </conditionalFormatting>
  <conditionalFormatting sqref="G15">
    <cfRule type="iconSet" priority="44">
      <iconSet iconSet="4Arrows">
        <cfvo type="percent" val="0"/>
        <cfvo type="formula" val="$N$15-$Q$15"/>
        <cfvo type="formula" val="$N$15"/>
        <cfvo type="formula" val="$N$15+$Q$15"/>
      </iconSet>
    </cfRule>
  </conditionalFormatting>
  <conditionalFormatting sqref="G16">
    <cfRule type="iconSet" priority="43">
      <iconSet iconSet="4Arrows">
        <cfvo type="percent" val="0"/>
        <cfvo type="formula" val="$N$16-$Q$16"/>
        <cfvo type="formula" val="$N$16"/>
        <cfvo type="formula" val="$N$16+$Q$16"/>
      </iconSet>
    </cfRule>
  </conditionalFormatting>
  <conditionalFormatting sqref="G17">
    <cfRule type="iconSet" priority="42">
      <iconSet iconSet="4Arrows">
        <cfvo type="percent" val="0"/>
        <cfvo type="formula" val="$N$17-$Q$17"/>
        <cfvo type="formula" val="$N$17"/>
        <cfvo type="formula" val="$N$17+$Q$17"/>
      </iconSet>
    </cfRule>
  </conditionalFormatting>
  <conditionalFormatting sqref="G18">
    <cfRule type="iconSet" priority="41">
      <iconSet iconSet="4Arrows">
        <cfvo type="percent" val="0"/>
        <cfvo type="formula" val="$N$18-$Q$18"/>
        <cfvo type="formula" val="$N$18"/>
        <cfvo type="formula" val="$N$18+$Q$18"/>
      </iconSet>
    </cfRule>
  </conditionalFormatting>
  <conditionalFormatting sqref="G19">
    <cfRule type="iconSet" priority="40">
      <iconSet iconSet="4Arrows">
        <cfvo type="percent" val="0"/>
        <cfvo type="formula" val="$N$19-$Q$19"/>
        <cfvo type="formula" val="$N$19"/>
        <cfvo type="formula" val="$N$19+$Q$19"/>
      </iconSet>
    </cfRule>
  </conditionalFormatting>
  <conditionalFormatting sqref="I8:I19">
    <cfRule type="colorScale" priority="39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I8">
    <cfRule type="iconSet" priority="38">
      <iconSet iconSet="4Arrows">
        <cfvo type="percent" val="0"/>
        <cfvo type="formula" val="$N$8-$Q$8"/>
        <cfvo type="formula" val="$N$8"/>
        <cfvo type="formula" val="$N$8+$Q$8"/>
      </iconSet>
    </cfRule>
  </conditionalFormatting>
  <conditionalFormatting sqref="I9">
    <cfRule type="iconSet" priority="37">
      <iconSet iconSet="4Arrows">
        <cfvo type="percent" val="0"/>
        <cfvo type="formula" val="$N$9-$Q$9"/>
        <cfvo type="formula" val="$N$9"/>
        <cfvo type="formula" val="$N$9+$Q$9"/>
      </iconSet>
    </cfRule>
  </conditionalFormatting>
  <conditionalFormatting sqref="I10">
    <cfRule type="iconSet" priority="36">
      <iconSet iconSet="4Arrows">
        <cfvo type="percent" val="0"/>
        <cfvo type="formula" val="$N$10-$Q$10"/>
        <cfvo type="formula" val="$N$10"/>
        <cfvo type="formula" val="$N$10+$Q$10"/>
      </iconSet>
    </cfRule>
  </conditionalFormatting>
  <conditionalFormatting sqref="I11">
    <cfRule type="iconSet" priority="35">
      <iconSet iconSet="4Arrows">
        <cfvo type="percent" val="0"/>
        <cfvo type="formula" val="$N$11-$Q$11"/>
        <cfvo type="formula" val="$N$11"/>
        <cfvo type="formula" val="$N$11+$Q$11"/>
      </iconSet>
    </cfRule>
  </conditionalFormatting>
  <conditionalFormatting sqref="I12">
    <cfRule type="iconSet" priority="34">
      <iconSet iconSet="4Arrows">
        <cfvo type="percent" val="0"/>
        <cfvo type="formula" val="$N$12-$Q$12"/>
        <cfvo type="formula" val="$N$12"/>
        <cfvo type="formula" val="$N$12+$Q$12"/>
      </iconSet>
    </cfRule>
  </conditionalFormatting>
  <conditionalFormatting sqref="I13">
    <cfRule type="iconSet" priority="33">
      <iconSet iconSet="4Arrows">
        <cfvo type="percent" val="0"/>
        <cfvo type="formula" val="$N$13-$Q$13"/>
        <cfvo type="formula" val="$N$13"/>
        <cfvo type="formula" val="$N$13+$Q$13"/>
      </iconSet>
    </cfRule>
  </conditionalFormatting>
  <conditionalFormatting sqref="I14">
    <cfRule type="iconSet" priority="32">
      <iconSet iconSet="4Arrows">
        <cfvo type="percent" val="0"/>
        <cfvo type="formula" val="$N$14-$Q$14"/>
        <cfvo type="formula" val="$N$14"/>
        <cfvo type="formula" val="$N$14+$Q$14"/>
      </iconSet>
    </cfRule>
  </conditionalFormatting>
  <conditionalFormatting sqref="I15">
    <cfRule type="iconSet" priority="31">
      <iconSet iconSet="4Arrows">
        <cfvo type="percent" val="0"/>
        <cfvo type="formula" val="$N$15-$Q$15"/>
        <cfvo type="formula" val="$N$15"/>
        <cfvo type="formula" val="$N$15+$Q$15"/>
      </iconSet>
    </cfRule>
  </conditionalFormatting>
  <conditionalFormatting sqref="I16">
    <cfRule type="iconSet" priority="30">
      <iconSet iconSet="4Arrows">
        <cfvo type="percent" val="0"/>
        <cfvo type="formula" val="$N$16-$Q$16"/>
        <cfvo type="formula" val="$N$16"/>
        <cfvo type="formula" val="$N$16+$Q$16"/>
      </iconSet>
    </cfRule>
  </conditionalFormatting>
  <conditionalFormatting sqref="I17">
    <cfRule type="iconSet" priority="29">
      <iconSet iconSet="4Arrows">
        <cfvo type="percent" val="0"/>
        <cfvo type="formula" val="$N$17-$Q$17"/>
        <cfvo type="formula" val="$N$17"/>
        <cfvo type="formula" val="$N$17+$Q$17"/>
      </iconSet>
    </cfRule>
  </conditionalFormatting>
  <conditionalFormatting sqref="I18">
    <cfRule type="iconSet" priority="28">
      <iconSet iconSet="4Arrows">
        <cfvo type="percent" val="0"/>
        <cfvo type="formula" val="$N$18-$Q$18"/>
        <cfvo type="formula" val="$N$18"/>
        <cfvo type="formula" val="$N$18+$Q$18"/>
      </iconSet>
    </cfRule>
  </conditionalFormatting>
  <conditionalFormatting sqref="I19">
    <cfRule type="iconSet" priority="27">
      <iconSet iconSet="4Arrows">
        <cfvo type="percent" val="0"/>
        <cfvo type="formula" val="$N$19-$Q$19"/>
        <cfvo type="formula" val="$N$19"/>
        <cfvo type="formula" val="$N$19+$Q$19"/>
      </iconSet>
    </cfRule>
  </conditionalFormatting>
  <conditionalFormatting sqref="K8:K19">
    <cfRule type="colorScale" priority="26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K8">
    <cfRule type="iconSet" priority="25">
      <iconSet iconSet="4Arrows">
        <cfvo type="percent" val="0"/>
        <cfvo type="formula" val="$N$8-$Q$8"/>
        <cfvo type="formula" val="$N$8"/>
        <cfvo type="formula" val="$N$8+$Q$8"/>
      </iconSet>
    </cfRule>
  </conditionalFormatting>
  <conditionalFormatting sqref="K9">
    <cfRule type="iconSet" priority="24">
      <iconSet iconSet="4Arrows">
        <cfvo type="percent" val="0"/>
        <cfvo type="formula" val="$N$9-$Q$9"/>
        <cfvo type="formula" val="$N$9"/>
        <cfvo type="formula" val="$N$9+$Q$9"/>
      </iconSet>
    </cfRule>
  </conditionalFormatting>
  <conditionalFormatting sqref="K10">
    <cfRule type="iconSet" priority="23">
      <iconSet iconSet="4Arrows">
        <cfvo type="percent" val="0"/>
        <cfvo type="formula" val="$N$10-$Q$10"/>
        <cfvo type="formula" val="$N$10"/>
        <cfvo type="formula" val="$N$10+$Q$10"/>
      </iconSet>
    </cfRule>
  </conditionalFormatting>
  <conditionalFormatting sqref="K11">
    <cfRule type="iconSet" priority="22">
      <iconSet iconSet="4Arrows">
        <cfvo type="percent" val="0"/>
        <cfvo type="formula" val="$N$11-$Q$11"/>
        <cfvo type="formula" val="$N$11"/>
        <cfvo type="formula" val="$N$11+$Q$11"/>
      </iconSet>
    </cfRule>
  </conditionalFormatting>
  <conditionalFormatting sqref="K12">
    <cfRule type="iconSet" priority="21">
      <iconSet iconSet="4Arrows">
        <cfvo type="percent" val="0"/>
        <cfvo type="formula" val="$N$12-$Q$12"/>
        <cfvo type="formula" val="$N$12"/>
        <cfvo type="formula" val="$N$12+$Q$12"/>
      </iconSet>
    </cfRule>
  </conditionalFormatting>
  <conditionalFormatting sqref="K13">
    <cfRule type="iconSet" priority="20">
      <iconSet iconSet="4Arrows">
        <cfvo type="percent" val="0"/>
        <cfvo type="formula" val="$N$13-$Q$13"/>
        <cfvo type="formula" val="$N$13"/>
        <cfvo type="formula" val="$N$13+$Q$13"/>
      </iconSet>
    </cfRule>
  </conditionalFormatting>
  <conditionalFormatting sqref="K14">
    <cfRule type="iconSet" priority="19">
      <iconSet iconSet="4Arrows">
        <cfvo type="percent" val="0"/>
        <cfvo type="formula" val="$N$14-$Q$14"/>
        <cfvo type="formula" val="$N$14"/>
        <cfvo type="formula" val="$N$14+$Q$14"/>
      </iconSet>
    </cfRule>
  </conditionalFormatting>
  <conditionalFormatting sqref="K15">
    <cfRule type="iconSet" priority="18">
      <iconSet iconSet="4Arrows">
        <cfvo type="percent" val="0"/>
        <cfvo type="formula" val="$N$15-$Q$15"/>
        <cfvo type="formula" val="$N$15"/>
        <cfvo type="formula" val="$N$15+$Q$15"/>
      </iconSet>
    </cfRule>
  </conditionalFormatting>
  <conditionalFormatting sqref="K16">
    <cfRule type="iconSet" priority="17">
      <iconSet iconSet="4Arrows">
        <cfvo type="percent" val="0"/>
        <cfvo type="formula" val="$N$16-$Q$16"/>
        <cfvo type="formula" val="$N$16"/>
        <cfvo type="formula" val="$N$16+$Q$16"/>
      </iconSet>
    </cfRule>
  </conditionalFormatting>
  <conditionalFormatting sqref="K17">
    <cfRule type="iconSet" priority="16">
      <iconSet iconSet="4Arrows">
        <cfvo type="percent" val="0"/>
        <cfvo type="formula" val="$N$17-$Q$17"/>
        <cfvo type="formula" val="$N$17"/>
        <cfvo type="formula" val="$N$17+$Q$17"/>
      </iconSet>
    </cfRule>
  </conditionalFormatting>
  <conditionalFormatting sqref="K18">
    <cfRule type="iconSet" priority="15">
      <iconSet iconSet="4Arrows">
        <cfvo type="percent" val="0"/>
        <cfvo type="formula" val="$N$18-$Q$18"/>
        <cfvo type="formula" val="$N$18"/>
        <cfvo type="formula" val="$N$18+$Q$18"/>
      </iconSet>
    </cfRule>
  </conditionalFormatting>
  <conditionalFormatting sqref="K19">
    <cfRule type="iconSet" priority="14">
      <iconSet iconSet="4Arrows">
        <cfvo type="percent" val="0"/>
        <cfvo type="formula" val="$N$19-$Q$19"/>
        <cfvo type="formula" val="$N$19"/>
        <cfvo type="formula" val="$N$19+$Q$19"/>
      </iconSet>
    </cfRule>
  </conditionalFormatting>
  <conditionalFormatting sqref="O8:O19">
    <cfRule type="colorScale" priority="13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O8">
    <cfRule type="iconSet" priority="12">
      <iconSet iconSet="4Arrows">
        <cfvo type="percent" val="0"/>
        <cfvo type="formula" val="$N$8-$Q$8"/>
        <cfvo type="formula" val="$N$8"/>
        <cfvo type="formula" val="$N$8+$Q$8"/>
      </iconSet>
    </cfRule>
  </conditionalFormatting>
  <conditionalFormatting sqref="O9">
    <cfRule type="iconSet" priority="11">
      <iconSet iconSet="4Arrows">
        <cfvo type="percent" val="0"/>
        <cfvo type="formula" val="$N$9-$Q$9"/>
        <cfvo type="formula" val="$N$9"/>
        <cfvo type="formula" val="$N$9+$Q$9"/>
      </iconSet>
    </cfRule>
  </conditionalFormatting>
  <conditionalFormatting sqref="O10">
    <cfRule type="iconSet" priority="10">
      <iconSet iconSet="4Arrows">
        <cfvo type="percent" val="0"/>
        <cfvo type="formula" val="$N$10-$Q$10"/>
        <cfvo type="formula" val="$N$10"/>
        <cfvo type="formula" val="$N$10+$Q$10"/>
      </iconSet>
    </cfRule>
  </conditionalFormatting>
  <conditionalFormatting sqref="O11">
    <cfRule type="iconSet" priority="9">
      <iconSet iconSet="4Arrows">
        <cfvo type="percent" val="0"/>
        <cfvo type="formula" val="$N$11-$Q$11"/>
        <cfvo type="formula" val="$N$11"/>
        <cfvo type="formula" val="$N$11+$Q$11"/>
      </iconSet>
    </cfRule>
  </conditionalFormatting>
  <conditionalFormatting sqref="O12">
    <cfRule type="iconSet" priority="8">
      <iconSet iconSet="4Arrows">
        <cfvo type="percent" val="0"/>
        <cfvo type="formula" val="$N$12-$Q$12"/>
        <cfvo type="formula" val="$N$12"/>
        <cfvo type="formula" val="$N$12+$Q$12"/>
      </iconSet>
    </cfRule>
  </conditionalFormatting>
  <conditionalFormatting sqref="O13">
    <cfRule type="iconSet" priority="7">
      <iconSet iconSet="4Arrows">
        <cfvo type="percent" val="0"/>
        <cfvo type="formula" val="$N$13-$Q$13"/>
        <cfvo type="formula" val="$N$13"/>
        <cfvo type="formula" val="$N$13+$Q$13"/>
      </iconSet>
    </cfRule>
  </conditionalFormatting>
  <conditionalFormatting sqref="O14">
    <cfRule type="iconSet" priority="6">
      <iconSet iconSet="4Arrows">
        <cfvo type="percent" val="0"/>
        <cfvo type="formula" val="$N$14-$Q$14"/>
        <cfvo type="formula" val="$N$14"/>
        <cfvo type="formula" val="$N$14+$Q$14"/>
      </iconSet>
    </cfRule>
  </conditionalFormatting>
  <conditionalFormatting sqref="O15">
    <cfRule type="iconSet" priority="5">
      <iconSet iconSet="4Arrows">
        <cfvo type="percent" val="0"/>
        <cfvo type="formula" val="$N$15-$Q$15"/>
        <cfvo type="formula" val="$N$15"/>
        <cfvo type="formula" val="$N$15+$Q$15"/>
      </iconSet>
    </cfRule>
  </conditionalFormatting>
  <conditionalFormatting sqref="O16">
    <cfRule type="iconSet" priority="4">
      <iconSet iconSet="4Arrows">
        <cfvo type="percent" val="0"/>
        <cfvo type="formula" val="$N$16-$Q$16"/>
        <cfvo type="formula" val="$N$16"/>
        <cfvo type="formula" val="$N$16+$Q$16"/>
      </iconSet>
    </cfRule>
  </conditionalFormatting>
  <conditionalFormatting sqref="O17">
    <cfRule type="iconSet" priority="3">
      <iconSet iconSet="4Arrows">
        <cfvo type="percent" val="0"/>
        <cfvo type="formula" val="$N$17-$Q$17"/>
        <cfvo type="formula" val="$N$17"/>
        <cfvo type="formula" val="$N$17+$Q$17"/>
      </iconSet>
    </cfRule>
  </conditionalFormatting>
  <conditionalFormatting sqref="O18">
    <cfRule type="iconSet" priority="2">
      <iconSet iconSet="4Arrows">
        <cfvo type="percent" val="0"/>
        <cfvo type="formula" val="$N$18-$Q$18"/>
        <cfvo type="formula" val="$N$18"/>
        <cfvo type="formula" val="$N$18+$Q$18"/>
      </iconSet>
    </cfRule>
  </conditionalFormatting>
  <conditionalFormatting sqref="O19">
    <cfRule type="iconSet" priority="1">
      <iconSet iconSet="4Arrows">
        <cfvo type="percent" val="0"/>
        <cfvo type="formula" val="$N$19-$Q$19"/>
        <cfvo type="formula" val="$N$19"/>
        <cfvo type="formula" val="$N$19+$Q$19"/>
      </iconSe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9</xdr:col>
                    <xdr:colOff>361950</xdr:colOff>
                    <xdr:row>3</xdr:row>
                    <xdr:rowOff>123825</xdr:rowOff>
                  </from>
                  <to>
                    <xdr:col>12</xdr:col>
                    <xdr:colOff>9525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>
                <anchor moveWithCells="1">
                  <from>
                    <xdr:col>31</xdr:col>
                    <xdr:colOff>276225</xdr:colOff>
                    <xdr:row>3</xdr:row>
                    <xdr:rowOff>190500</xdr:rowOff>
                  </from>
                  <to>
                    <xdr:col>32</xdr:col>
                    <xdr:colOff>142875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32</xdr:col>
                    <xdr:colOff>266700</xdr:colOff>
                    <xdr:row>3</xdr:row>
                    <xdr:rowOff>190500</xdr:rowOff>
                  </from>
                  <to>
                    <xdr:col>33</xdr:col>
                    <xdr:colOff>133350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>
                <anchor moveWithCells="1">
                  <from>
                    <xdr:col>33</xdr:col>
                    <xdr:colOff>247650</xdr:colOff>
                    <xdr:row>3</xdr:row>
                    <xdr:rowOff>190500</xdr:rowOff>
                  </from>
                  <to>
                    <xdr:col>34</xdr:col>
                    <xdr:colOff>114300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34</xdr:col>
                    <xdr:colOff>228600</xdr:colOff>
                    <xdr:row>3</xdr:row>
                    <xdr:rowOff>190500</xdr:rowOff>
                  </from>
                  <to>
                    <xdr:col>35</xdr:col>
                    <xdr:colOff>95250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35</xdr:col>
                    <xdr:colOff>190500</xdr:colOff>
                    <xdr:row>3</xdr:row>
                    <xdr:rowOff>190500</xdr:rowOff>
                  </from>
                  <to>
                    <xdr:col>36</xdr:col>
                    <xdr:colOff>57150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36</xdr:col>
                    <xdr:colOff>171450</xdr:colOff>
                    <xdr:row>3</xdr:row>
                    <xdr:rowOff>190500</xdr:rowOff>
                  </from>
                  <to>
                    <xdr:col>37</xdr:col>
                    <xdr:colOff>38100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37</xdr:col>
                    <xdr:colOff>152400</xdr:colOff>
                    <xdr:row>3</xdr:row>
                    <xdr:rowOff>190500</xdr:rowOff>
                  </from>
                  <to>
                    <xdr:col>38</xdr:col>
                    <xdr:colOff>95250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계절성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2019-11-13T23:58:42Z</dcterms:created>
  <dcterms:modified xsi:type="dcterms:W3CDTF">2023-01-17T06:11:53Z</dcterms:modified>
</cp:coreProperties>
</file>