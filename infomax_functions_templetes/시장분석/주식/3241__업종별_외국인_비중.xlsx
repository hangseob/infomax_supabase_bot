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4320" yWindow="-195" windowWidth="13950" windowHeight="13320"/>
  </bookViews>
  <sheets>
    <sheet name="KOSPI" sheetId="2" r:id="rId1"/>
    <sheet name="지분율 증감" sheetId="3" r:id="rId2"/>
    <sheet name="Raw_시세" sheetId="1" state="hidden" r:id="rId3"/>
    <sheet name="Raw_비중" sheetId="4" state="hidden" r:id="rId4"/>
  </sheets>
  <calcPr calcId="145621"/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5" i="3"/>
  <c r="E26" i="3" l="1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H5" i="3"/>
  <c r="G5" i="3"/>
  <c r="F5" i="3"/>
  <c r="C5" i="3"/>
  <c r="B5" i="3"/>
  <c r="A4" i="2"/>
  <c r="B4" i="3" s="1"/>
  <c r="G4" i="3" s="1"/>
  <c r="F7" i="3"/>
  <c r="F6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A253" i="2"/>
  <c r="C4" i="3" s="1"/>
  <c r="H4" i="3" s="1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140" i="2"/>
  <c r="B140" i="2"/>
  <c r="C140" i="2"/>
  <c r="A141" i="2"/>
  <c r="B141" i="2"/>
  <c r="C141" i="2"/>
  <c r="A142" i="2"/>
  <c r="B142" i="2"/>
  <c r="C142" i="2"/>
  <c r="A143" i="2"/>
  <c r="B143" i="2"/>
  <c r="C143" i="2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A182" i="2"/>
  <c r="B182" i="2"/>
  <c r="C182" i="2"/>
  <c r="A183" i="2"/>
  <c r="B183" i="2"/>
  <c r="C183" i="2"/>
  <c r="A184" i="2"/>
  <c r="B184" i="2"/>
  <c r="C184" i="2"/>
  <c r="A185" i="2"/>
  <c r="B185" i="2"/>
  <c r="C185" i="2"/>
  <c r="A186" i="2"/>
  <c r="B186" i="2"/>
  <c r="C186" i="2"/>
  <c r="A187" i="2"/>
  <c r="B187" i="2"/>
  <c r="C187" i="2"/>
  <c r="A188" i="2"/>
  <c r="B188" i="2"/>
  <c r="C188" i="2"/>
  <c r="A189" i="2"/>
  <c r="B189" i="2"/>
  <c r="C189" i="2"/>
  <c r="A190" i="2"/>
  <c r="B190" i="2"/>
  <c r="C190" i="2"/>
  <c r="A191" i="2"/>
  <c r="B191" i="2"/>
  <c r="C191" i="2"/>
  <c r="A192" i="2"/>
  <c r="B192" i="2"/>
  <c r="C192" i="2"/>
  <c r="A193" i="2"/>
  <c r="B193" i="2"/>
  <c r="C193" i="2"/>
  <c r="A194" i="2"/>
  <c r="B194" i="2"/>
  <c r="C194" i="2"/>
  <c r="A195" i="2"/>
  <c r="B195" i="2"/>
  <c r="C195" i="2"/>
  <c r="A196" i="2"/>
  <c r="B196" i="2"/>
  <c r="C196" i="2"/>
  <c r="A197" i="2"/>
  <c r="B197" i="2"/>
  <c r="C197" i="2"/>
  <c r="A198" i="2"/>
  <c r="B198" i="2"/>
  <c r="C198" i="2"/>
  <c r="A199" i="2"/>
  <c r="B199" i="2"/>
  <c r="C199" i="2"/>
  <c r="A200" i="2"/>
  <c r="B200" i="2"/>
  <c r="C200" i="2"/>
  <c r="A201" i="2"/>
  <c r="B201" i="2"/>
  <c r="C201" i="2"/>
  <c r="A202" i="2"/>
  <c r="B202" i="2"/>
  <c r="C202" i="2"/>
  <c r="A203" i="2"/>
  <c r="B203" i="2"/>
  <c r="C203" i="2"/>
  <c r="A204" i="2"/>
  <c r="B204" i="2"/>
  <c r="C204" i="2"/>
  <c r="A205" i="2"/>
  <c r="B205" i="2"/>
  <c r="C205" i="2"/>
  <c r="A206" i="2"/>
  <c r="B206" i="2"/>
  <c r="C206" i="2"/>
  <c r="A207" i="2"/>
  <c r="B207" i="2"/>
  <c r="C207" i="2"/>
  <c r="A208" i="2"/>
  <c r="B208" i="2"/>
  <c r="C208" i="2"/>
  <c r="A209" i="2"/>
  <c r="B209" i="2"/>
  <c r="C209" i="2"/>
  <c r="A210" i="2"/>
  <c r="B210" i="2"/>
  <c r="C210" i="2"/>
  <c r="A211" i="2"/>
  <c r="B211" i="2"/>
  <c r="C211" i="2"/>
  <c r="A212" i="2"/>
  <c r="B212" i="2"/>
  <c r="C212" i="2"/>
  <c r="A213" i="2"/>
  <c r="B213" i="2"/>
  <c r="C213" i="2"/>
  <c r="A214" i="2"/>
  <c r="B214" i="2"/>
  <c r="C214" i="2"/>
  <c r="A215" i="2"/>
  <c r="B215" i="2"/>
  <c r="C215" i="2"/>
  <c r="A216" i="2"/>
  <c r="B216" i="2"/>
  <c r="C216" i="2"/>
  <c r="A217" i="2"/>
  <c r="B217" i="2"/>
  <c r="C217" i="2"/>
  <c r="A218" i="2"/>
  <c r="B218" i="2"/>
  <c r="C218" i="2"/>
  <c r="A219" i="2"/>
  <c r="B219" i="2"/>
  <c r="C219" i="2"/>
  <c r="A220" i="2"/>
  <c r="B220" i="2"/>
  <c r="C220" i="2"/>
  <c r="A221" i="2"/>
  <c r="B221" i="2"/>
  <c r="C221" i="2"/>
  <c r="A222" i="2"/>
  <c r="B222" i="2"/>
  <c r="C222" i="2"/>
  <c r="A223" i="2"/>
  <c r="B223" i="2"/>
  <c r="C223" i="2"/>
  <c r="A224" i="2"/>
  <c r="B224" i="2"/>
  <c r="C224" i="2"/>
  <c r="A225" i="2"/>
  <c r="B225" i="2"/>
  <c r="C225" i="2"/>
  <c r="A226" i="2"/>
  <c r="B226" i="2"/>
  <c r="C226" i="2"/>
  <c r="A227" i="2"/>
  <c r="B227" i="2"/>
  <c r="C227" i="2"/>
  <c r="A228" i="2"/>
  <c r="B228" i="2"/>
  <c r="C228" i="2"/>
  <c r="A229" i="2"/>
  <c r="B229" i="2"/>
  <c r="C229" i="2"/>
  <c r="A230" i="2"/>
  <c r="B230" i="2"/>
  <c r="C230" i="2"/>
  <c r="A231" i="2"/>
  <c r="B231" i="2"/>
  <c r="C231" i="2"/>
  <c r="A232" i="2"/>
  <c r="B232" i="2"/>
  <c r="C232" i="2"/>
  <c r="A233" i="2"/>
  <c r="B233" i="2"/>
  <c r="C233" i="2"/>
  <c r="A234" i="2"/>
  <c r="B234" i="2"/>
  <c r="C234" i="2"/>
  <c r="A235" i="2"/>
  <c r="B235" i="2"/>
  <c r="C235" i="2"/>
  <c r="A236" i="2"/>
  <c r="B236" i="2"/>
  <c r="C236" i="2"/>
  <c r="A237" i="2"/>
  <c r="B237" i="2"/>
  <c r="C237" i="2"/>
  <c r="A238" i="2"/>
  <c r="B238" i="2"/>
  <c r="C238" i="2"/>
  <c r="A239" i="2"/>
  <c r="B239" i="2"/>
  <c r="C239" i="2"/>
  <c r="A240" i="2"/>
  <c r="B240" i="2"/>
  <c r="C240" i="2"/>
  <c r="A241" i="2"/>
  <c r="B241" i="2"/>
  <c r="C241" i="2"/>
  <c r="A242" i="2"/>
  <c r="B242" i="2"/>
  <c r="C242" i="2"/>
  <c r="A243" i="2"/>
  <c r="B243" i="2"/>
  <c r="C243" i="2"/>
  <c r="A244" i="2"/>
  <c r="B244" i="2"/>
  <c r="C244" i="2"/>
  <c r="A245" i="2"/>
  <c r="B245" i="2"/>
  <c r="C245" i="2"/>
  <c r="A246" i="2"/>
  <c r="B246" i="2"/>
  <c r="C246" i="2"/>
  <c r="A247" i="2"/>
  <c r="B247" i="2"/>
  <c r="C247" i="2"/>
  <c r="A248" i="2"/>
  <c r="B248" i="2"/>
  <c r="C248" i="2"/>
  <c r="A249" i="2"/>
  <c r="B249" i="2"/>
  <c r="C249" i="2"/>
  <c r="A250" i="2"/>
  <c r="B250" i="2"/>
  <c r="C250" i="2"/>
  <c r="A251" i="2"/>
  <c r="B251" i="2"/>
  <c r="C251" i="2"/>
  <c r="A252" i="2"/>
  <c r="B252" i="2"/>
  <c r="C252" i="2"/>
  <c r="B253" i="2"/>
  <c r="C253" i="2"/>
  <c r="C4" i="2"/>
  <c r="B4" i="2"/>
  <c r="B1" i="4"/>
  <c r="B1" i="1"/>
  <c r="D1" i="1"/>
  <c r="D1" i="4"/>
  <c r="T3" i="4"/>
  <c r="H3" i="1"/>
  <c r="M3" i="4"/>
  <c r="E3" i="1"/>
  <c r="N3" i="1"/>
  <c r="S3" i="1"/>
  <c r="H3" i="4"/>
  <c r="S3" i="4"/>
  <c r="V3" i="4"/>
  <c r="J3" i="1"/>
  <c r="K3" i="4"/>
  <c r="R3" i="4"/>
  <c r="K3" i="1"/>
  <c r="N3" i="4"/>
  <c r="Q3" i="1"/>
  <c r="W3" i="1"/>
  <c r="L3" i="4"/>
  <c r="W3" i="4"/>
  <c r="C3" i="4"/>
  <c r="F3" i="1"/>
  <c r="T3" i="1"/>
  <c r="A3" i="1"/>
  <c r="Q3" i="4"/>
  <c r="O3" i="1"/>
  <c r="D3" i="4"/>
  <c r="O3" i="4"/>
  <c r="U3" i="1"/>
  <c r="J3" i="4"/>
  <c r="U3" i="4"/>
  <c r="C3" i="1"/>
  <c r="F3" i="4"/>
  <c r="G3" i="1"/>
  <c r="P3" i="1"/>
  <c r="G3" i="4"/>
  <c r="M3" i="1"/>
  <c r="A3" i="4"/>
  <c r="E3" i="4"/>
  <c r="P3" i="4"/>
  <c r="D3" i="1"/>
  <c r="I3" i="1"/>
  <c r="R3" i="1"/>
  <c r="I3" i="4"/>
  <c r="V3" i="1"/>
  <c r="L3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굴림"/>
            <family val="3"/>
            <charset val="129"/>
          </rPr>
          <t>0:거래일자 기준
1:토/일요일 제외
2:모든일자</t>
        </r>
      </text>
    </comment>
  </commentList>
</comments>
</file>

<file path=xl/comments2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굴림"/>
            <family val="3"/>
            <charset val="129"/>
          </rPr>
          <t>0:거래일자 기준
1:토/일요일 제외
2:모든일자</t>
        </r>
      </text>
    </comment>
  </commentList>
</comments>
</file>

<file path=xl/sharedStrings.xml><?xml version="1.0" encoding="utf-8"?>
<sst xmlns="http://schemas.openxmlformats.org/spreadsheetml/2006/main" count="142" uniqueCount="69">
  <si>
    <t>시작</t>
  </si>
  <si>
    <t>종료</t>
  </si>
  <si>
    <t>Data 개수</t>
  </si>
  <si>
    <t>주기</t>
  </si>
  <si>
    <t>일</t>
  </si>
  <si>
    <t>정렬</t>
  </si>
  <si>
    <t>영업일</t>
  </si>
  <si>
    <t>일자</t>
  </si>
  <si>
    <t>현재가</t>
  </si>
  <si>
    <t>001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</si>
  <si>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</si>
  <si>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</si>
  <si>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</si>
  <si>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</si>
  <si>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</si>
  <si>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</si>
  <si>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</si>
  <si>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</si>
  <si>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</si>
  <si>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</si>
  <si>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</si>
  <si>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</si>
  <si>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</si>
  <si>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</si>
  <si>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</si>
  <si>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</si>
  <si>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</si>
  <si>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</si>
  <si>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024</t>
  </si>
  <si>
    <t>025</t>
  </si>
  <si>
    <t>026</t>
  </si>
  <si>
    <t>외국인보유비중(시총)</t>
  </si>
  <si>
    <t>일자</t>
    <phoneticPr fontId="1" type="noConversion"/>
  </si>
  <si>
    <t>KOSPI</t>
  </si>
  <si>
    <t>(최근 250일)</t>
    <phoneticPr fontId="1" type="noConversion"/>
  </si>
  <si>
    <t>음식료품</t>
  </si>
  <si>
    <t>섬유.의복</t>
  </si>
  <si>
    <t>종이.목재</t>
  </si>
  <si>
    <t>화학</t>
  </si>
  <si>
    <t>의약품</t>
  </si>
  <si>
    <t>비금속광물</t>
  </si>
  <si>
    <t>철강.금속</t>
  </si>
  <si>
    <t>기계</t>
  </si>
  <si>
    <t>전기.전자</t>
  </si>
  <si>
    <t>의료정밀</t>
  </si>
  <si>
    <t>운수.장비</t>
  </si>
  <si>
    <t>유통업</t>
  </si>
  <si>
    <t>전기.가스업</t>
  </si>
  <si>
    <t>건설업</t>
  </si>
  <si>
    <t>운수.창고</t>
  </si>
  <si>
    <t>통신업</t>
  </si>
  <si>
    <t>금융업</t>
  </si>
  <si>
    <t>은행</t>
  </si>
  <si>
    <t>증권</t>
  </si>
  <si>
    <t>보험</t>
  </si>
  <si>
    <t>서비스업</t>
  </si>
  <si>
    <t>KOSPI(좌)</t>
    <phoneticPr fontId="1" type="noConversion"/>
  </si>
  <si>
    <t>외국인비중(우)</t>
    <phoneticPr fontId="1" type="noConversion"/>
  </si>
  <si>
    <t>업종</t>
    <phoneticPr fontId="1" type="noConversion"/>
  </si>
  <si>
    <t>외인지분</t>
    <phoneticPr fontId="1" type="noConversion"/>
  </si>
  <si>
    <t>지수</t>
    <phoneticPr fontId="1" type="noConversion"/>
  </si>
  <si>
    <t>증감</t>
    <phoneticPr fontId="1" type="noConversion"/>
  </si>
  <si>
    <t>최저</t>
    <phoneticPr fontId="1" type="noConversion"/>
  </si>
  <si>
    <t>최고</t>
    <phoneticPr fontId="1" type="noConversion"/>
  </si>
  <si>
    <t>대비</t>
    <phoneticPr fontId="1" type="noConversion"/>
  </si>
  <si>
    <t>등락률</t>
    <phoneticPr fontId="1" type="noConversion"/>
  </si>
  <si>
    <t>외국인 업종별 지분율 증감</t>
    <phoneticPr fontId="1" type="noConversion"/>
  </si>
  <si>
    <t>외국인 거래소 비중 추이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</si>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</sst>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12" x14ac:knownFonts="1">
    <font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굴림"/>
      <family val="3"/>
      <charset val="129"/>
    </font>
    <font>
      <b/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sz val="9"/>
      <color indexed="9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name val="굴림"/>
      <family val="3"/>
      <charset val="129"/>
    </font>
    <font>
      <sz val="9"/>
      <name val="맑은 고딕"/>
      <family val="3"/>
      <charset val="129"/>
    </font>
    <font>
      <b/>
      <sz val="9"/>
      <name val="굴림"/>
      <family val="3"/>
      <charset val="129"/>
    </font>
    <font>
      <b/>
      <sz val="14"/>
      <color indexed="9"/>
      <name val="굴림"/>
      <family val="3"/>
      <charset val="129"/>
    </font>
    <font>
      <sz val="14"/>
      <color indexed="9"/>
      <name val="굴림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</fills>
  <borders count="3">
    <border>
      <left/>
      <right/>
      <top/>
      <bottom/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  <xf numFmtId="49" fontId="0" fillId="8" borderId="0" xfId="0" applyNumberFormat="1" applyFill="1">
      <alignment vertical="center"/>
    </xf>
    <xf numFmtId="49" fontId="0" fillId="9" borderId="0" xfId="0" applyNumberFormat="1" applyFill="1">
      <alignment vertical="center"/>
    </xf>
    <xf numFmtId="49" fontId="0" fillId="10" borderId="0" xfId="0" applyNumberFormat="1" applyFill="1">
      <alignment vertical="center"/>
    </xf>
    <xf numFmtId="49" fontId="0" fillId="11" borderId="0" xfId="0" applyNumberFormat="1" applyFill="1">
      <alignment vertical="center"/>
    </xf>
    <xf numFmtId="49" fontId="0" fillId="12" borderId="0" xfId="0" applyNumberFormat="1" applyFill="1">
      <alignment vertical="center"/>
    </xf>
    <xf numFmtId="49" fontId="0" fillId="13" borderId="0" xfId="0" applyNumberFormat="1" applyFill="1">
      <alignment vertical="center"/>
    </xf>
    <xf numFmtId="49" fontId="0" fillId="14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7" fillId="15" borderId="1" xfId="0" applyFont="1" applyFill="1" applyBorder="1">
      <alignment vertical="center"/>
    </xf>
    <xf numFmtId="176" fontId="7" fillId="0" borderId="1" xfId="0" applyNumberFormat="1" applyFont="1" applyBorder="1">
      <alignment vertical="center"/>
    </xf>
    <xf numFmtId="14" fontId="9" fillId="15" borderId="1" xfId="0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76" fontId="5" fillId="16" borderId="2" xfId="0" applyNumberFormat="1" applyFont="1" applyFill="1" applyBorder="1" applyAlignment="1">
      <alignment horizontal="center" vertical="center"/>
    </xf>
    <xf numFmtId="14" fontId="6" fillId="15" borderId="1" xfId="0" applyNumberFormat="1" applyFont="1" applyFill="1" applyBorder="1" applyAlignment="1">
      <alignment horizontal="center" vertical="center"/>
    </xf>
    <xf numFmtId="0" fontId="10" fillId="17" borderId="0" xfId="0" applyFont="1" applyFill="1" applyAlignment="1">
      <alignment horizontal="left" vertical="center"/>
    </xf>
    <xf numFmtId="0" fontId="10" fillId="17" borderId="0" xfId="0" applyFont="1" applyFill="1">
      <alignment vertical="center"/>
    </xf>
    <xf numFmtId="176" fontId="11" fillId="17" borderId="0" xfId="0" applyNumberFormat="1" applyFont="1" applyFill="1">
      <alignment vertical="center"/>
    </xf>
    <xf numFmtId="0" fontId="3" fillId="0" borderId="0" xfId="0" applyFont="1" applyAlignment="1">
      <alignment horizontal="right" vertical="center"/>
    </xf>
    <xf numFmtId="0" fontId="5" fillId="16" borderId="1" xfId="0" applyFont="1" applyFill="1" applyBorder="1" applyAlignment="1">
      <alignment horizontal="center" vertical="center"/>
    </xf>
  </cellXfs>
  <cellStyles count="1">
    <cellStyle name="표준" xfId="0" builtinId="0"/>
  </cellStyles>
  <dxfs count="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7391A8"/>
      <rgbColor rgb="00FF00FF"/>
      <rgbColor rgb="0000FFFF"/>
      <rgbColor rgb="00800000"/>
      <rgbColor rgb="00EBF1DE"/>
      <rgbColor rgb="00000F7E"/>
      <rgbColor rgb="00CEE2F2"/>
      <rgbColor rgb="00B1A0C7"/>
      <rgbColor rgb="00D4FAFA"/>
      <rgbColor rgb="00C0C0C0"/>
      <rgbColor rgb="00808080"/>
      <rgbColor rgb="009999FF"/>
      <rgbColor rgb="00FF9966"/>
      <rgbColor rgb="00FFFFCC"/>
      <rgbColor rgb="00CCFFFF"/>
      <rgbColor rgb="00660066"/>
      <rgbColor rgb="00FFA7A7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D1E8FF"/>
      <rgbColor rgb="00FEEE8C"/>
      <rgbColor rgb="0099CCFF"/>
      <rgbColor rgb="00FF99CC"/>
      <rgbColor rgb="00EAEAEA"/>
      <rgbColor rgb="00DCFFB9"/>
      <rgbColor rgb="003366FF"/>
      <rgbColor rgb="0092CDDC"/>
      <rgbColor rgb="00B7C6D2"/>
      <rgbColor rgb="00FFCC00"/>
      <rgbColor rgb="00E7BCBB"/>
      <rgbColor rgb="00F7EAE9"/>
      <rgbColor rgb="00D7CFE3"/>
      <rgbColor rgb="00969696"/>
      <rgbColor rgb="004BACC6"/>
      <rgbColor rgb="00C4D79B"/>
      <rgbColor rgb="009BBB59"/>
      <rgbColor rgb="002E6AB8"/>
      <rgbColor rgb="00C0504D"/>
      <rgbColor rgb="00993366"/>
      <rgbColor rgb="003D05D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x2.EW571_0</stp>
        <stp>1090</stp>
        <stp>3017422</stp>
        <tr r="H3" s="1"/>
      </tp>
      <tp>
        <v>0</v>
        <stp/>
        <stp>H</stp>
        <stp>x6.EW571_0</stp>
        <stp>1093</stp>
        <stp>3017422</stp>
        <tr r="S3" s="1"/>
      </tp>
      <tp>
        <v>0</v>
        <stp/>
        <stp>H</stp>
        <stp>x5.EW571_0</stp>
        <stp>1092</stp>
        <stp>3017422</stp>
        <tr r="N3" s="1"/>
      </tp>
      <tp>
        <v>0</v>
        <stp/>
        <stp>H</stp>
        <stp>x4.EW571_0</stp>
        <stp>1091</stp>
        <stp>3017422</stp>
        <tr r="E3" s="1"/>
      </tp>
      <tp>
        <v>0</v>
        <stp/>
        <stp>H</stp>
        <stp>x9.EW571_0</stp>
        <stp>1116</stp>
        <stp>3017422</stp>
        <tr r="V3" s="4"/>
      </tp>
      <tp>
        <v>0</v>
        <stp/>
        <stp>H</stp>
        <stp>x8.EW571_0</stp>
        <stp>1115</stp>
        <stp>3017422</stp>
        <tr r="S3" s="4"/>
      </tp>
      <tp>
        <v>0</v>
        <stp/>
        <stp>H</stp>
        <stp>x3.EW571_0</stp>
        <stp>1113</stp>
        <stp>3017422</stp>
        <tr r="M3" s="4"/>
      </tp>
      <tp>
        <v>0</v>
        <stp/>
        <stp>H</stp>
        <stp>x1.EW571_0</stp>
        <stp>1112</stp>
        <stp>3017422</stp>
        <tr r="T3" s="4"/>
      </tp>
      <tp>
        <v>0</v>
        <stp/>
        <stp>H</stp>
        <stp>x7.EW571_0</stp>
        <stp>1114</stp>
        <stp>3017422</stp>
        <tr r="H3" s="4"/>
      </tp>
      <tp>
        <v>0</v>
        <stp/>
        <stp>H</stp>
        <stp>x34.EW571_0</stp>
        <stp>1129</stp>
        <stp>3017422</stp>
        <tr r="G3" s="4"/>
      </tp>
      <tp>
        <v>0</v>
        <stp/>
        <stp>H</stp>
        <stp>x35.EW571_0</stp>
        <stp>1106</stp>
        <stp>3017422</stp>
        <tr r="M3" s="1"/>
      </tp>
      <tp>
        <v>0</v>
        <stp/>
        <stp>H</stp>
        <stp>x36.EW571_0</stp>
        <stp>1130</stp>
        <stp>3017422</stp>
        <tr r="A3" s="4"/>
      </tp>
      <tp>
        <v>0</v>
        <stp/>
        <stp>H</stp>
        <stp>x37.EW571_0</stp>
        <stp>1131</stp>
        <stp>3017422</stp>
        <tr r="E3" s="4"/>
      </tp>
      <tp>
        <v>0</v>
        <stp/>
        <stp>H</stp>
        <stp>x31.EW571_0</stp>
        <stp>1128</stp>
        <stp>3017422</stp>
        <tr r="F3" s="4"/>
      </tp>
      <tp>
        <v>0</v>
        <stp/>
        <stp>H</stp>
        <stp>x33.EW571_0</stp>
        <stp>1105</stp>
        <stp>3017422</stp>
        <tr r="P3" s="1"/>
      </tp>
      <tp>
        <v>0</v>
        <stp/>
        <stp>H</stp>
        <stp>x32.EW571_0</stp>
        <stp>1104</stp>
        <stp>3017422</stp>
        <tr r="G3" s="1"/>
      </tp>
      <tp>
        <v>0</v>
        <stp/>
        <stp>H</stp>
        <stp>x30.EW571_0</stp>
        <stp>1103</stp>
        <stp>3017422</stp>
        <tr r="C3" s="1"/>
      </tp>
      <tp>
        <v>0</v>
        <stp/>
        <stp>H</stp>
        <stp>x38.EW571_0</stp>
        <stp>1132</stp>
        <stp>3017422</stp>
        <tr r="P3" s="4"/>
      </tp>
      <tp>
        <v>0</v>
        <stp/>
        <stp>H</stp>
        <stp>x20.EW571_0</stp>
        <stp>1098</stp>
        <stp>3017422</stp>
        <tr r="F3" s="1"/>
      </tp>
      <tp>
        <v>0</v>
        <stp/>
        <stp>H</stp>
        <stp>x39.EW571_0</stp>
        <stp>1107</stp>
        <stp>3017422</stp>
        <tr r="D3" s="1"/>
      </tp>
      <tp>
        <v>0</v>
        <stp/>
        <stp>H</stp>
        <stp>x21.EW571_0</stp>
        <stp>1099</stp>
        <stp>3017422</stp>
        <tr r="T3" s="1"/>
      </tp>
      <tp>
        <v>0</v>
        <stp/>
        <stp>H</stp>
        <stp>x25.EW571_0</stp>
        <stp>1124</stp>
        <stp>3017422</stp>
        <tr r="D3" s="4"/>
      </tp>
      <tp>
        <v>0</v>
        <stp/>
        <stp>H</stp>
        <stp>x27.EW571_0</stp>
        <stp>1102</stp>
        <stp>3017422</stp>
        <tr r="U3" s="1"/>
      </tp>
      <tp>
        <v>0</v>
        <stp/>
        <stp>H</stp>
        <stp>x26.EW571_0</stp>
        <stp>1125</stp>
        <stp>3017422</stp>
        <tr r="O3" s="4"/>
      </tp>
      <tp>
        <v>0</v>
        <stp/>
        <stp>H</stp>
        <stp>x24.EW571_0</stp>
        <stp>1101</stp>
        <stp>3017422</stp>
        <tr r="O3" s="1"/>
      </tp>
      <tp>
        <v>0</v>
        <stp/>
        <stp>H</stp>
        <stp>x22.EW571_0</stp>
        <stp>1100</stp>
        <stp>3017422</stp>
        <tr r="A3" s="1"/>
      </tp>
      <tp>
        <v>0</v>
        <stp/>
        <stp>H</stp>
        <stp>x23.EW571_0</stp>
        <stp>1123</stp>
        <stp>3017422</stp>
        <tr r="Q3" s="4"/>
      </tp>
      <tp>
        <v>0</v>
        <stp/>
        <stp>H</stp>
        <stp>x29.EW571_0</stp>
        <stp>1127</stp>
        <stp>3017422</stp>
        <tr r="U3" s="4"/>
      </tp>
      <tp>
        <v>0</v>
        <stp/>
        <stp>H</stp>
        <stp>x28.EW571_0</stp>
        <stp>1126</stp>
        <stp>3017422</stp>
        <tr r="J3" s="4"/>
      </tp>
      <tp>
        <v>0</v>
        <stp/>
        <stp>H</stp>
        <stp>x14.EW571_0</stp>
        <stp>1119</stp>
        <stp>3017422</stp>
        <tr r="N3" s="4"/>
      </tp>
      <tp>
        <v>0</v>
        <stp/>
        <stp>H</stp>
        <stp>x17.EW571_0</stp>
        <stp>1120</stp>
        <stp>3017422</stp>
        <tr r="L3" s="4"/>
      </tp>
      <tp>
        <v>0</v>
        <stp/>
        <stp>H</stp>
        <stp>x12.EW571_0</stp>
        <stp>1118</stp>
        <stp>3017422</stp>
        <tr r="R3" s="4"/>
      </tp>
      <tp>
        <v>0</v>
        <stp/>
        <stp>H</stp>
        <stp>x11.EW571_0</stp>
        <stp>1117</stp>
        <stp>3017422</stp>
        <tr r="K3" s="4"/>
      </tp>
      <tp>
        <v>0</v>
        <stp/>
        <stp>H</stp>
        <stp>x19.EW571_0</stp>
        <stp>1122</stp>
        <stp>3017422</stp>
        <tr r="C3" s="4"/>
      </tp>
      <tp>
        <v>0</v>
        <stp/>
        <stp>H</stp>
        <stp>x18.EW571_0</stp>
        <stp>1121</stp>
        <stp>3017422</stp>
        <tr r="W3" s="4"/>
      </tp>
      <tp>
        <v>0</v>
        <stp/>
        <stp>H</stp>
        <stp>x16.EW571_0</stp>
        <stp>1097</stp>
        <stp>3017422</stp>
        <tr r="W3" s="1"/>
      </tp>
      <tp>
        <v>0</v>
        <stp/>
        <stp>H</stp>
        <stp>x15.EW571_0</stp>
        <stp>1096</stp>
        <stp>3017422</stp>
        <tr r="Q3" s="1"/>
      </tp>
      <tp>
        <v>0</v>
        <stp/>
        <stp>H</stp>
        <stp>x13.EW571_0</stp>
        <stp>1095</stp>
        <stp>3017422</stp>
        <tr r="K3" s="1"/>
      </tp>
      <tp>
        <v>0</v>
        <stp/>
        <stp>H</stp>
        <stp>x10.EW571_0</stp>
        <stp>1094</stp>
        <stp>3017422</stp>
        <tr r="J3" s="1"/>
      </tp>
      <tp>
        <v>0</v>
        <stp/>
        <stp>H</stp>
        <stp>x44.EW571_0</stp>
        <stp>1111</stp>
        <stp>3017422</stp>
        <tr r="L3" s="1"/>
      </tp>
      <tp>
        <v>0</v>
        <stp/>
        <stp>H</stp>
        <stp>x43.EW571_0</stp>
        <stp>1110</stp>
        <stp>3017422</stp>
        <tr r="V3" s="1"/>
      </tp>
      <tp>
        <v>0</v>
        <stp/>
        <stp>H</stp>
        <stp>x41.EW571_0</stp>
        <stp>1109</stp>
        <stp>3017422</stp>
        <tr r="R3" s="1"/>
      </tp>
      <tp>
        <v>0</v>
        <stp/>
        <stp>H</stp>
        <stp>x42.EW571_0</stp>
        <stp>1133</stp>
        <stp>3017422</stp>
        <tr r="I3" s="4"/>
      </tp>
      <tp>
        <v>0</v>
        <stp/>
        <stp>H</stp>
        <stp>x40.EW571_0</stp>
        <stp>1108</stp>
        <stp>3017422</stp>
        <tr r="I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868048990744464E-2"/>
          <c:y val="4.7368451485693026E-2"/>
          <c:w val="0.89441668703238375"/>
          <c:h val="0.88026372344246218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KOSPI!$C$3</c:f>
              <c:strCache>
                <c:ptCount val="1"/>
                <c:pt idx="0">
                  <c:v>외국인비중(우)</c:v>
                </c:pt>
              </c:strCache>
            </c:strRef>
          </c:tx>
          <c:spPr>
            <a:solidFill>
              <a:srgbClr val="FF9966"/>
            </a:solidFill>
            <a:ln w="25400">
              <a:noFill/>
            </a:ln>
          </c:spPr>
          <c:invertIfNegative val="0"/>
          <c:cat>
            <c:numRef>
              <c:f>KOSPI!$A$4:$A$253</c:f>
              <c:numCache>
                <c:formatCode>m/d/yyyy</c:formatCode>
                <c:ptCount val="250"/>
                <c:pt idx="0">
                  <c:v>43601</c:v>
                </c:pt>
                <c:pt idx="1">
                  <c:v>43600</c:v>
                </c:pt>
                <c:pt idx="2">
                  <c:v>43599</c:v>
                </c:pt>
                <c:pt idx="3">
                  <c:v>43598</c:v>
                </c:pt>
                <c:pt idx="4">
                  <c:v>43595</c:v>
                </c:pt>
                <c:pt idx="5">
                  <c:v>43594</c:v>
                </c:pt>
                <c:pt idx="6">
                  <c:v>43593</c:v>
                </c:pt>
                <c:pt idx="7">
                  <c:v>43592</c:v>
                </c:pt>
                <c:pt idx="8">
                  <c:v>43588</c:v>
                </c:pt>
                <c:pt idx="9">
                  <c:v>43587</c:v>
                </c:pt>
                <c:pt idx="10">
                  <c:v>43585</c:v>
                </c:pt>
                <c:pt idx="11">
                  <c:v>43584</c:v>
                </c:pt>
                <c:pt idx="12">
                  <c:v>43581</c:v>
                </c:pt>
                <c:pt idx="13">
                  <c:v>43580</c:v>
                </c:pt>
                <c:pt idx="14">
                  <c:v>43579</c:v>
                </c:pt>
                <c:pt idx="15">
                  <c:v>43578</c:v>
                </c:pt>
                <c:pt idx="16">
                  <c:v>43577</c:v>
                </c:pt>
                <c:pt idx="17">
                  <c:v>43574</c:v>
                </c:pt>
                <c:pt idx="18">
                  <c:v>43573</c:v>
                </c:pt>
                <c:pt idx="19">
                  <c:v>43572</c:v>
                </c:pt>
                <c:pt idx="20">
                  <c:v>43571</c:v>
                </c:pt>
                <c:pt idx="21">
                  <c:v>43570</c:v>
                </c:pt>
                <c:pt idx="22">
                  <c:v>43567</c:v>
                </c:pt>
                <c:pt idx="23">
                  <c:v>43566</c:v>
                </c:pt>
                <c:pt idx="24">
                  <c:v>43565</c:v>
                </c:pt>
                <c:pt idx="25">
                  <c:v>43564</c:v>
                </c:pt>
                <c:pt idx="26">
                  <c:v>43563</c:v>
                </c:pt>
                <c:pt idx="27">
                  <c:v>43560</c:v>
                </c:pt>
                <c:pt idx="28">
                  <c:v>43559</c:v>
                </c:pt>
                <c:pt idx="29">
                  <c:v>43558</c:v>
                </c:pt>
                <c:pt idx="30">
                  <c:v>43557</c:v>
                </c:pt>
                <c:pt idx="31">
                  <c:v>43556</c:v>
                </c:pt>
                <c:pt idx="32">
                  <c:v>43553</c:v>
                </c:pt>
                <c:pt idx="33">
                  <c:v>43552</c:v>
                </c:pt>
                <c:pt idx="34">
                  <c:v>43551</c:v>
                </c:pt>
                <c:pt idx="35">
                  <c:v>43550</c:v>
                </c:pt>
                <c:pt idx="36">
                  <c:v>43549</c:v>
                </c:pt>
                <c:pt idx="37">
                  <c:v>43546</c:v>
                </c:pt>
                <c:pt idx="38">
                  <c:v>43545</c:v>
                </c:pt>
                <c:pt idx="39">
                  <c:v>43544</c:v>
                </c:pt>
                <c:pt idx="40">
                  <c:v>43543</c:v>
                </c:pt>
                <c:pt idx="41">
                  <c:v>43542</c:v>
                </c:pt>
                <c:pt idx="42">
                  <c:v>43539</c:v>
                </c:pt>
                <c:pt idx="43">
                  <c:v>43538</c:v>
                </c:pt>
                <c:pt idx="44">
                  <c:v>43537</c:v>
                </c:pt>
                <c:pt idx="45">
                  <c:v>43536</c:v>
                </c:pt>
                <c:pt idx="46">
                  <c:v>43535</c:v>
                </c:pt>
                <c:pt idx="47">
                  <c:v>43532</c:v>
                </c:pt>
                <c:pt idx="48">
                  <c:v>43531</c:v>
                </c:pt>
                <c:pt idx="49">
                  <c:v>43530</c:v>
                </c:pt>
                <c:pt idx="50">
                  <c:v>43529</c:v>
                </c:pt>
                <c:pt idx="51">
                  <c:v>43528</c:v>
                </c:pt>
                <c:pt idx="52">
                  <c:v>43524</c:v>
                </c:pt>
                <c:pt idx="53">
                  <c:v>43523</c:v>
                </c:pt>
                <c:pt idx="54">
                  <c:v>43522</c:v>
                </c:pt>
                <c:pt idx="55">
                  <c:v>43521</c:v>
                </c:pt>
                <c:pt idx="56">
                  <c:v>43518</c:v>
                </c:pt>
                <c:pt idx="57">
                  <c:v>43517</c:v>
                </c:pt>
                <c:pt idx="58">
                  <c:v>43516</c:v>
                </c:pt>
                <c:pt idx="59">
                  <c:v>43515</c:v>
                </c:pt>
                <c:pt idx="60">
                  <c:v>43514</c:v>
                </c:pt>
                <c:pt idx="61">
                  <c:v>43511</c:v>
                </c:pt>
                <c:pt idx="62">
                  <c:v>43510</c:v>
                </c:pt>
                <c:pt idx="63">
                  <c:v>43509</c:v>
                </c:pt>
                <c:pt idx="64">
                  <c:v>43508</c:v>
                </c:pt>
                <c:pt idx="65">
                  <c:v>43507</c:v>
                </c:pt>
                <c:pt idx="66">
                  <c:v>43504</c:v>
                </c:pt>
                <c:pt idx="67">
                  <c:v>43503</c:v>
                </c:pt>
                <c:pt idx="68">
                  <c:v>43497</c:v>
                </c:pt>
                <c:pt idx="69">
                  <c:v>43496</c:v>
                </c:pt>
                <c:pt idx="70">
                  <c:v>43495</c:v>
                </c:pt>
                <c:pt idx="71">
                  <c:v>43494</c:v>
                </c:pt>
                <c:pt idx="72">
                  <c:v>43493</c:v>
                </c:pt>
                <c:pt idx="73">
                  <c:v>43490</c:v>
                </c:pt>
                <c:pt idx="74">
                  <c:v>43489</c:v>
                </c:pt>
                <c:pt idx="75">
                  <c:v>43488</c:v>
                </c:pt>
                <c:pt idx="76">
                  <c:v>43487</c:v>
                </c:pt>
                <c:pt idx="77">
                  <c:v>43486</c:v>
                </c:pt>
                <c:pt idx="78">
                  <c:v>43483</c:v>
                </c:pt>
                <c:pt idx="79">
                  <c:v>43482</c:v>
                </c:pt>
                <c:pt idx="80">
                  <c:v>43481</c:v>
                </c:pt>
                <c:pt idx="81">
                  <c:v>43480</c:v>
                </c:pt>
                <c:pt idx="82">
                  <c:v>43479</c:v>
                </c:pt>
                <c:pt idx="83">
                  <c:v>43476</c:v>
                </c:pt>
                <c:pt idx="84">
                  <c:v>43475</c:v>
                </c:pt>
                <c:pt idx="85">
                  <c:v>43474</c:v>
                </c:pt>
                <c:pt idx="86">
                  <c:v>43473</c:v>
                </c:pt>
                <c:pt idx="87">
                  <c:v>43472</c:v>
                </c:pt>
                <c:pt idx="88">
                  <c:v>43469</c:v>
                </c:pt>
                <c:pt idx="89">
                  <c:v>43468</c:v>
                </c:pt>
                <c:pt idx="90">
                  <c:v>43467</c:v>
                </c:pt>
                <c:pt idx="91">
                  <c:v>43462</c:v>
                </c:pt>
                <c:pt idx="92">
                  <c:v>43461</c:v>
                </c:pt>
                <c:pt idx="93">
                  <c:v>43460</c:v>
                </c:pt>
                <c:pt idx="94">
                  <c:v>43458</c:v>
                </c:pt>
                <c:pt idx="95">
                  <c:v>43455</c:v>
                </c:pt>
                <c:pt idx="96">
                  <c:v>43454</c:v>
                </c:pt>
                <c:pt idx="97">
                  <c:v>43453</c:v>
                </c:pt>
                <c:pt idx="98">
                  <c:v>43452</c:v>
                </c:pt>
                <c:pt idx="99">
                  <c:v>43451</c:v>
                </c:pt>
                <c:pt idx="100">
                  <c:v>43448</c:v>
                </c:pt>
                <c:pt idx="101">
                  <c:v>43447</c:v>
                </c:pt>
                <c:pt idx="102">
                  <c:v>43446</c:v>
                </c:pt>
                <c:pt idx="103">
                  <c:v>43445</c:v>
                </c:pt>
                <c:pt idx="104">
                  <c:v>43444</c:v>
                </c:pt>
                <c:pt idx="105">
                  <c:v>43441</c:v>
                </c:pt>
                <c:pt idx="106">
                  <c:v>43440</c:v>
                </c:pt>
                <c:pt idx="107">
                  <c:v>43439</c:v>
                </c:pt>
                <c:pt idx="108">
                  <c:v>43438</c:v>
                </c:pt>
                <c:pt idx="109">
                  <c:v>43437</c:v>
                </c:pt>
                <c:pt idx="110">
                  <c:v>43434</c:v>
                </c:pt>
                <c:pt idx="111">
                  <c:v>43433</c:v>
                </c:pt>
                <c:pt idx="112">
                  <c:v>43432</c:v>
                </c:pt>
                <c:pt idx="113">
                  <c:v>43431</c:v>
                </c:pt>
                <c:pt idx="114">
                  <c:v>43430</c:v>
                </c:pt>
                <c:pt idx="115">
                  <c:v>43427</c:v>
                </c:pt>
                <c:pt idx="116">
                  <c:v>43426</c:v>
                </c:pt>
                <c:pt idx="117">
                  <c:v>43425</c:v>
                </c:pt>
                <c:pt idx="118">
                  <c:v>43424</c:v>
                </c:pt>
                <c:pt idx="119">
                  <c:v>43423</c:v>
                </c:pt>
                <c:pt idx="120">
                  <c:v>43420</c:v>
                </c:pt>
                <c:pt idx="121">
                  <c:v>43419</c:v>
                </c:pt>
                <c:pt idx="122">
                  <c:v>43418</c:v>
                </c:pt>
                <c:pt idx="123">
                  <c:v>43417</c:v>
                </c:pt>
                <c:pt idx="124">
                  <c:v>43416</c:v>
                </c:pt>
                <c:pt idx="125">
                  <c:v>43413</c:v>
                </c:pt>
                <c:pt idx="126">
                  <c:v>43412</c:v>
                </c:pt>
                <c:pt idx="127">
                  <c:v>43411</c:v>
                </c:pt>
                <c:pt idx="128">
                  <c:v>43410</c:v>
                </c:pt>
                <c:pt idx="129">
                  <c:v>43409</c:v>
                </c:pt>
                <c:pt idx="130">
                  <c:v>43406</c:v>
                </c:pt>
                <c:pt idx="131">
                  <c:v>43405</c:v>
                </c:pt>
                <c:pt idx="132">
                  <c:v>43404</c:v>
                </c:pt>
                <c:pt idx="133">
                  <c:v>43403</c:v>
                </c:pt>
                <c:pt idx="134">
                  <c:v>43402</c:v>
                </c:pt>
                <c:pt idx="135">
                  <c:v>43399</c:v>
                </c:pt>
                <c:pt idx="136">
                  <c:v>43398</c:v>
                </c:pt>
                <c:pt idx="137">
                  <c:v>43397</c:v>
                </c:pt>
                <c:pt idx="138">
                  <c:v>43396</c:v>
                </c:pt>
                <c:pt idx="139">
                  <c:v>43395</c:v>
                </c:pt>
                <c:pt idx="140">
                  <c:v>43392</c:v>
                </c:pt>
                <c:pt idx="141">
                  <c:v>43391</c:v>
                </c:pt>
                <c:pt idx="142">
                  <c:v>43390</c:v>
                </c:pt>
                <c:pt idx="143">
                  <c:v>43389</c:v>
                </c:pt>
                <c:pt idx="144">
                  <c:v>43388</c:v>
                </c:pt>
                <c:pt idx="145">
                  <c:v>43385</c:v>
                </c:pt>
                <c:pt idx="146">
                  <c:v>43384</c:v>
                </c:pt>
                <c:pt idx="147">
                  <c:v>43383</c:v>
                </c:pt>
                <c:pt idx="148">
                  <c:v>43381</c:v>
                </c:pt>
                <c:pt idx="149">
                  <c:v>43378</c:v>
                </c:pt>
                <c:pt idx="150">
                  <c:v>43377</c:v>
                </c:pt>
                <c:pt idx="151">
                  <c:v>43375</c:v>
                </c:pt>
                <c:pt idx="152">
                  <c:v>43374</c:v>
                </c:pt>
                <c:pt idx="153">
                  <c:v>43371</c:v>
                </c:pt>
                <c:pt idx="154">
                  <c:v>43370</c:v>
                </c:pt>
                <c:pt idx="155">
                  <c:v>43364</c:v>
                </c:pt>
                <c:pt idx="156">
                  <c:v>43363</c:v>
                </c:pt>
                <c:pt idx="157">
                  <c:v>43362</c:v>
                </c:pt>
                <c:pt idx="158">
                  <c:v>43361</c:v>
                </c:pt>
                <c:pt idx="159">
                  <c:v>43360</c:v>
                </c:pt>
                <c:pt idx="160">
                  <c:v>43357</c:v>
                </c:pt>
                <c:pt idx="161">
                  <c:v>43356</c:v>
                </c:pt>
                <c:pt idx="162">
                  <c:v>43355</c:v>
                </c:pt>
                <c:pt idx="163">
                  <c:v>43354</c:v>
                </c:pt>
                <c:pt idx="164">
                  <c:v>43353</c:v>
                </c:pt>
                <c:pt idx="165">
                  <c:v>43350</c:v>
                </c:pt>
                <c:pt idx="166">
                  <c:v>43349</c:v>
                </c:pt>
                <c:pt idx="167">
                  <c:v>43348</c:v>
                </c:pt>
                <c:pt idx="168">
                  <c:v>43347</c:v>
                </c:pt>
                <c:pt idx="169">
                  <c:v>43346</c:v>
                </c:pt>
                <c:pt idx="170">
                  <c:v>43343</c:v>
                </c:pt>
                <c:pt idx="171">
                  <c:v>43342</c:v>
                </c:pt>
                <c:pt idx="172">
                  <c:v>43341</c:v>
                </c:pt>
                <c:pt idx="173">
                  <c:v>43340</c:v>
                </c:pt>
                <c:pt idx="174">
                  <c:v>43339</c:v>
                </c:pt>
                <c:pt idx="175">
                  <c:v>43336</c:v>
                </c:pt>
                <c:pt idx="176">
                  <c:v>43335</c:v>
                </c:pt>
                <c:pt idx="177">
                  <c:v>43334</c:v>
                </c:pt>
                <c:pt idx="178">
                  <c:v>43333</c:v>
                </c:pt>
                <c:pt idx="179">
                  <c:v>43332</c:v>
                </c:pt>
                <c:pt idx="180">
                  <c:v>43329</c:v>
                </c:pt>
                <c:pt idx="181">
                  <c:v>43328</c:v>
                </c:pt>
                <c:pt idx="182">
                  <c:v>43326</c:v>
                </c:pt>
                <c:pt idx="183">
                  <c:v>43325</c:v>
                </c:pt>
                <c:pt idx="184">
                  <c:v>43322</c:v>
                </c:pt>
                <c:pt idx="185">
                  <c:v>43321</c:v>
                </c:pt>
                <c:pt idx="186">
                  <c:v>43320</c:v>
                </c:pt>
                <c:pt idx="187">
                  <c:v>43319</c:v>
                </c:pt>
                <c:pt idx="188">
                  <c:v>43318</c:v>
                </c:pt>
                <c:pt idx="189">
                  <c:v>43315</c:v>
                </c:pt>
                <c:pt idx="190">
                  <c:v>43314</c:v>
                </c:pt>
                <c:pt idx="191">
                  <c:v>43313</c:v>
                </c:pt>
                <c:pt idx="192">
                  <c:v>43312</c:v>
                </c:pt>
                <c:pt idx="193">
                  <c:v>43311</c:v>
                </c:pt>
                <c:pt idx="194">
                  <c:v>43308</c:v>
                </c:pt>
                <c:pt idx="195">
                  <c:v>43307</c:v>
                </c:pt>
                <c:pt idx="196">
                  <c:v>43306</c:v>
                </c:pt>
                <c:pt idx="197">
                  <c:v>43305</c:v>
                </c:pt>
                <c:pt idx="198">
                  <c:v>43304</c:v>
                </c:pt>
                <c:pt idx="199">
                  <c:v>43301</c:v>
                </c:pt>
                <c:pt idx="200">
                  <c:v>43300</c:v>
                </c:pt>
                <c:pt idx="201">
                  <c:v>43299</c:v>
                </c:pt>
                <c:pt idx="202">
                  <c:v>43298</c:v>
                </c:pt>
                <c:pt idx="203">
                  <c:v>43297</c:v>
                </c:pt>
                <c:pt idx="204">
                  <c:v>43294</c:v>
                </c:pt>
                <c:pt idx="205">
                  <c:v>43293</c:v>
                </c:pt>
                <c:pt idx="206">
                  <c:v>43292</c:v>
                </c:pt>
                <c:pt idx="207">
                  <c:v>43291</c:v>
                </c:pt>
                <c:pt idx="208">
                  <c:v>43290</c:v>
                </c:pt>
                <c:pt idx="209">
                  <c:v>43287</c:v>
                </c:pt>
                <c:pt idx="210">
                  <c:v>43286</c:v>
                </c:pt>
                <c:pt idx="211">
                  <c:v>43285</c:v>
                </c:pt>
                <c:pt idx="212">
                  <c:v>43284</c:v>
                </c:pt>
                <c:pt idx="213">
                  <c:v>43283</c:v>
                </c:pt>
                <c:pt idx="214">
                  <c:v>43280</c:v>
                </c:pt>
                <c:pt idx="215">
                  <c:v>43279</c:v>
                </c:pt>
                <c:pt idx="216">
                  <c:v>43278</c:v>
                </c:pt>
                <c:pt idx="217">
                  <c:v>43277</c:v>
                </c:pt>
                <c:pt idx="218">
                  <c:v>43276</c:v>
                </c:pt>
                <c:pt idx="219">
                  <c:v>43273</c:v>
                </c:pt>
                <c:pt idx="220">
                  <c:v>43272</c:v>
                </c:pt>
                <c:pt idx="221">
                  <c:v>43271</c:v>
                </c:pt>
                <c:pt idx="222">
                  <c:v>43270</c:v>
                </c:pt>
                <c:pt idx="223">
                  <c:v>43269</c:v>
                </c:pt>
                <c:pt idx="224">
                  <c:v>43266</c:v>
                </c:pt>
                <c:pt idx="225">
                  <c:v>43265</c:v>
                </c:pt>
                <c:pt idx="226">
                  <c:v>43263</c:v>
                </c:pt>
                <c:pt idx="227">
                  <c:v>43262</c:v>
                </c:pt>
                <c:pt idx="228">
                  <c:v>43259</c:v>
                </c:pt>
                <c:pt idx="229">
                  <c:v>43258</c:v>
                </c:pt>
                <c:pt idx="230">
                  <c:v>43256</c:v>
                </c:pt>
                <c:pt idx="231">
                  <c:v>43255</c:v>
                </c:pt>
                <c:pt idx="232">
                  <c:v>43252</c:v>
                </c:pt>
                <c:pt idx="233">
                  <c:v>43251</c:v>
                </c:pt>
                <c:pt idx="234">
                  <c:v>43250</c:v>
                </c:pt>
                <c:pt idx="235">
                  <c:v>43249</c:v>
                </c:pt>
                <c:pt idx="236">
                  <c:v>43248</c:v>
                </c:pt>
                <c:pt idx="237">
                  <c:v>43245</c:v>
                </c:pt>
                <c:pt idx="238">
                  <c:v>43244</c:v>
                </c:pt>
                <c:pt idx="239">
                  <c:v>43243</c:v>
                </c:pt>
                <c:pt idx="240">
                  <c:v>43241</c:v>
                </c:pt>
                <c:pt idx="241">
                  <c:v>43238</c:v>
                </c:pt>
                <c:pt idx="242">
                  <c:v>43237</c:v>
                </c:pt>
                <c:pt idx="243">
                  <c:v>43236</c:v>
                </c:pt>
                <c:pt idx="244">
                  <c:v>43235</c:v>
                </c:pt>
                <c:pt idx="245">
                  <c:v>43234</c:v>
                </c:pt>
                <c:pt idx="246">
                  <c:v>43231</c:v>
                </c:pt>
                <c:pt idx="247">
                  <c:v>43230</c:v>
                </c:pt>
                <c:pt idx="248">
                  <c:v>43229</c:v>
                </c:pt>
                <c:pt idx="249">
                  <c:v>43228</c:v>
                </c:pt>
              </c:numCache>
            </c:numRef>
          </c:cat>
          <c:val>
            <c:numRef>
              <c:f>KOSPI!$C$4:$C$253</c:f>
              <c:numCache>
                <c:formatCode>#,##0.00_ </c:formatCode>
                <c:ptCount val="250"/>
                <c:pt idx="0">
                  <c:v>37.090000000000003</c:v>
                </c:pt>
                <c:pt idx="1">
                  <c:v>37.200000000000003</c:v>
                </c:pt>
                <c:pt idx="2">
                  <c:v>37.270000000000003</c:v>
                </c:pt>
                <c:pt idx="3">
                  <c:v>37.369999999999997</c:v>
                </c:pt>
                <c:pt idx="4">
                  <c:v>37.29</c:v>
                </c:pt>
                <c:pt idx="5">
                  <c:v>37.26</c:v>
                </c:pt>
                <c:pt idx="6">
                  <c:v>37.380000000000003</c:v>
                </c:pt>
                <c:pt idx="7">
                  <c:v>37.409999999999997</c:v>
                </c:pt>
                <c:pt idx="8">
                  <c:v>37.380000000000003</c:v>
                </c:pt>
                <c:pt idx="9">
                  <c:v>37.380000000000003</c:v>
                </c:pt>
                <c:pt idx="10">
                  <c:v>37.39</c:v>
                </c:pt>
                <c:pt idx="11">
                  <c:v>37.35</c:v>
                </c:pt>
                <c:pt idx="12">
                  <c:v>37.25</c:v>
                </c:pt>
                <c:pt idx="13">
                  <c:v>37.25</c:v>
                </c:pt>
                <c:pt idx="14">
                  <c:v>37.159999999999997</c:v>
                </c:pt>
                <c:pt idx="15">
                  <c:v>37.11</c:v>
                </c:pt>
                <c:pt idx="16">
                  <c:v>37.1</c:v>
                </c:pt>
                <c:pt idx="17">
                  <c:v>37.119999999999997</c:v>
                </c:pt>
                <c:pt idx="18">
                  <c:v>37.200000000000003</c:v>
                </c:pt>
                <c:pt idx="19">
                  <c:v>37.26</c:v>
                </c:pt>
                <c:pt idx="20">
                  <c:v>37.24</c:v>
                </c:pt>
                <c:pt idx="21">
                  <c:v>37.200000000000003</c:v>
                </c:pt>
                <c:pt idx="22">
                  <c:v>37.18</c:v>
                </c:pt>
                <c:pt idx="23">
                  <c:v>37.17</c:v>
                </c:pt>
                <c:pt idx="24">
                  <c:v>37.229999999999997</c:v>
                </c:pt>
                <c:pt idx="25">
                  <c:v>37.29</c:v>
                </c:pt>
                <c:pt idx="26">
                  <c:v>37.32</c:v>
                </c:pt>
                <c:pt idx="27">
                  <c:v>37.32</c:v>
                </c:pt>
                <c:pt idx="28">
                  <c:v>37.299999999999997</c:v>
                </c:pt>
                <c:pt idx="29">
                  <c:v>37.229999999999997</c:v>
                </c:pt>
                <c:pt idx="30">
                  <c:v>37.15</c:v>
                </c:pt>
                <c:pt idx="31">
                  <c:v>37.090000000000003</c:v>
                </c:pt>
                <c:pt idx="32">
                  <c:v>37.049999999999997</c:v>
                </c:pt>
                <c:pt idx="33">
                  <c:v>37.1</c:v>
                </c:pt>
                <c:pt idx="34">
                  <c:v>37.14</c:v>
                </c:pt>
                <c:pt idx="35">
                  <c:v>37.119999999999997</c:v>
                </c:pt>
                <c:pt idx="36">
                  <c:v>37.159999999999997</c:v>
                </c:pt>
                <c:pt idx="37">
                  <c:v>37.21</c:v>
                </c:pt>
                <c:pt idx="38">
                  <c:v>37.049999999999997</c:v>
                </c:pt>
                <c:pt idx="39">
                  <c:v>36.69</c:v>
                </c:pt>
                <c:pt idx="40">
                  <c:v>36.630000000000003</c:v>
                </c:pt>
                <c:pt idx="41">
                  <c:v>36.590000000000003</c:v>
                </c:pt>
                <c:pt idx="42">
                  <c:v>36.65</c:v>
                </c:pt>
                <c:pt idx="43">
                  <c:v>36.58</c:v>
                </c:pt>
                <c:pt idx="44">
                  <c:v>36.6</c:v>
                </c:pt>
                <c:pt idx="45">
                  <c:v>36.67</c:v>
                </c:pt>
                <c:pt idx="46">
                  <c:v>36.619999999999997</c:v>
                </c:pt>
                <c:pt idx="47">
                  <c:v>36.65</c:v>
                </c:pt>
                <c:pt idx="48">
                  <c:v>36.729999999999997</c:v>
                </c:pt>
                <c:pt idx="49">
                  <c:v>36.61</c:v>
                </c:pt>
                <c:pt idx="50">
                  <c:v>36.590000000000003</c:v>
                </c:pt>
                <c:pt idx="51">
                  <c:v>36.700000000000003</c:v>
                </c:pt>
                <c:pt idx="52">
                  <c:v>36.79</c:v>
                </c:pt>
                <c:pt idx="53">
                  <c:v>36.83</c:v>
                </c:pt>
                <c:pt idx="54">
                  <c:v>36.869999999999997</c:v>
                </c:pt>
                <c:pt idx="55">
                  <c:v>36.93</c:v>
                </c:pt>
                <c:pt idx="56">
                  <c:v>36.93</c:v>
                </c:pt>
                <c:pt idx="57">
                  <c:v>36.909999999999997</c:v>
                </c:pt>
                <c:pt idx="58">
                  <c:v>36.85</c:v>
                </c:pt>
                <c:pt idx="59">
                  <c:v>36.729999999999997</c:v>
                </c:pt>
                <c:pt idx="60">
                  <c:v>36.799999999999997</c:v>
                </c:pt>
                <c:pt idx="61">
                  <c:v>36.81</c:v>
                </c:pt>
                <c:pt idx="62">
                  <c:v>36.979999999999997</c:v>
                </c:pt>
                <c:pt idx="63">
                  <c:v>36.869999999999997</c:v>
                </c:pt>
                <c:pt idx="64">
                  <c:v>36.869999999999997</c:v>
                </c:pt>
                <c:pt idx="65">
                  <c:v>36.770000000000003</c:v>
                </c:pt>
                <c:pt idx="66">
                  <c:v>36.78</c:v>
                </c:pt>
                <c:pt idx="67">
                  <c:v>36.979999999999997</c:v>
                </c:pt>
                <c:pt idx="68">
                  <c:v>37.020000000000003</c:v>
                </c:pt>
                <c:pt idx="69">
                  <c:v>36.950000000000003</c:v>
                </c:pt>
                <c:pt idx="70">
                  <c:v>36.97</c:v>
                </c:pt>
                <c:pt idx="71">
                  <c:v>36.86</c:v>
                </c:pt>
                <c:pt idx="72">
                  <c:v>36.74</c:v>
                </c:pt>
                <c:pt idx="73">
                  <c:v>36.71</c:v>
                </c:pt>
                <c:pt idx="74">
                  <c:v>36.51</c:v>
                </c:pt>
                <c:pt idx="75">
                  <c:v>36.33</c:v>
                </c:pt>
                <c:pt idx="76">
                  <c:v>36.4</c:v>
                </c:pt>
                <c:pt idx="77">
                  <c:v>36.479999999999997</c:v>
                </c:pt>
                <c:pt idx="78">
                  <c:v>36.43</c:v>
                </c:pt>
                <c:pt idx="79">
                  <c:v>36.49</c:v>
                </c:pt>
                <c:pt idx="80">
                  <c:v>36.299999999999997</c:v>
                </c:pt>
                <c:pt idx="81">
                  <c:v>36.21</c:v>
                </c:pt>
                <c:pt idx="82">
                  <c:v>36.03</c:v>
                </c:pt>
                <c:pt idx="83">
                  <c:v>36.119999999999997</c:v>
                </c:pt>
                <c:pt idx="84">
                  <c:v>36.07</c:v>
                </c:pt>
                <c:pt idx="85">
                  <c:v>36.04</c:v>
                </c:pt>
                <c:pt idx="86">
                  <c:v>35.82</c:v>
                </c:pt>
                <c:pt idx="87">
                  <c:v>35.92</c:v>
                </c:pt>
                <c:pt idx="88">
                  <c:v>35.76</c:v>
                </c:pt>
                <c:pt idx="89">
                  <c:v>35.869999999999997</c:v>
                </c:pt>
                <c:pt idx="90">
                  <c:v>35.909999999999997</c:v>
                </c:pt>
                <c:pt idx="91">
                  <c:v>35.83</c:v>
                </c:pt>
                <c:pt idx="92">
                  <c:v>35.840000000000003</c:v>
                </c:pt>
                <c:pt idx="93">
                  <c:v>35.97</c:v>
                </c:pt>
                <c:pt idx="94">
                  <c:v>36</c:v>
                </c:pt>
                <c:pt idx="95">
                  <c:v>35.97</c:v>
                </c:pt>
                <c:pt idx="96">
                  <c:v>36</c:v>
                </c:pt>
                <c:pt idx="97">
                  <c:v>36.03</c:v>
                </c:pt>
                <c:pt idx="98">
                  <c:v>36.06</c:v>
                </c:pt>
                <c:pt idx="99">
                  <c:v>36.1</c:v>
                </c:pt>
                <c:pt idx="100">
                  <c:v>36.090000000000003</c:v>
                </c:pt>
                <c:pt idx="101">
                  <c:v>36.18</c:v>
                </c:pt>
                <c:pt idx="102">
                  <c:v>36.28</c:v>
                </c:pt>
                <c:pt idx="103">
                  <c:v>35.770000000000003</c:v>
                </c:pt>
                <c:pt idx="104">
                  <c:v>35.81</c:v>
                </c:pt>
                <c:pt idx="105">
                  <c:v>35.9</c:v>
                </c:pt>
                <c:pt idx="106">
                  <c:v>35.9</c:v>
                </c:pt>
                <c:pt idx="107">
                  <c:v>35.94</c:v>
                </c:pt>
                <c:pt idx="108">
                  <c:v>36.01</c:v>
                </c:pt>
                <c:pt idx="109">
                  <c:v>36.1</c:v>
                </c:pt>
                <c:pt idx="110">
                  <c:v>36.01</c:v>
                </c:pt>
                <c:pt idx="111">
                  <c:v>36.130000000000003</c:v>
                </c:pt>
                <c:pt idx="112">
                  <c:v>36.14</c:v>
                </c:pt>
                <c:pt idx="113">
                  <c:v>36.130000000000003</c:v>
                </c:pt>
                <c:pt idx="114">
                  <c:v>36.08</c:v>
                </c:pt>
                <c:pt idx="115">
                  <c:v>36.159999999999997</c:v>
                </c:pt>
                <c:pt idx="116">
                  <c:v>36.119999999999997</c:v>
                </c:pt>
                <c:pt idx="117">
                  <c:v>36.01</c:v>
                </c:pt>
                <c:pt idx="118">
                  <c:v>36.17</c:v>
                </c:pt>
                <c:pt idx="119">
                  <c:v>36.32</c:v>
                </c:pt>
                <c:pt idx="120">
                  <c:v>36.47</c:v>
                </c:pt>
                <c:pt idx="121">
                  <c:v>36.57</c:v>
                </c:pt>
                <c:pt idx="122">
                  <c:v>36.64</c:v>
                </c:pt>
                <c:pt idx="123">
                  <c:v>36.74</c:v>
                </c:pt>
                <c:pt idx="124">
                  <c:v>36.89</c:v>
                </c:pt>
                <c:pt idx="125">
                  <c:v>36.659999999999997</c:v>
                </c:pt>
                <c:pt idx="126">
                  <c:v>36.6</c:v>
                </c:pt>
                <c:pt idx="127">
                  <c:v>36.659999999999997</c:v>
                </c:pt>
                <c:pt idx="128">
                  <c:v>36.54</c:v>
                </c:pt>
                <c:pt idx="129">
                  <c:v>36.590000000000003</c:v>
                </c:pt>
                <c:pt idx="130">
                  <c:v>36.64</c:v>
                </c:pt>
                <c:pt idx="131">
                  <c:v>36.630000000000003</c:v>
                </c:pt>
                <c:pt idx="132">
                  <c:v>36.71</c:v>
                </c:pt>
                <c:pt idx="133">
                  <c:v>36.700000000000003</c:v>
                </c:pt>
                <c:pt idx="134">
                  <c:v>36.81</c:v>
                </c:pt>
                <c:pt idx="135">
                  <c:v>36.56</c:v>
                </c:pt>
                <c:pt idx="136">
                  <c:v>36.340000000000003</c:v>
                </c:pt>
                <c:pt idx="137">
                  <c:v>36.47</c:v>
                </c:pt>
                <c:pt idx="138">
                  <c:v>36.450000000000003</c:v>
                </c:pt>
                <c:pt idx="139">
                  <c:v>36.35</c:v>
                </c:pt>
                <c:pt idx="140">
                  <c:v>36.32</c:v>
                </c:pt>
                <c:pt idx="141">
                  <c:v>36.39</c:v>
                </c:pt>
                <c:pt idx="142">
                  <c:v>36.380000000000003</c:v>
                </c:pt>
                <c:pt idx="143">
                  <c:v>36.31</c:v>
                </c:pt>
                <c:pt idx="144">
                  <c:v>36.369999999999997</c:v>
                </c:pt>
                <c:pt idx="145">
                  <c:v>36.36</c:v>
                </c:pt>
                <c:pt idx="146">
                  <c:v>36.35</c:v>
                </c:pt>
                <c:pt idx="147">
                  <c:v>36.340000000000003</c:v>
                </c:pt>
                <c:pt idx="148">
                  <c:v>36.11</c:v>
                </c:pt>
                <c:pt idx="149">
                  <c:v>36.049999999999997</c:v>
                </c:pt>
                <c:pt idx="150">
                  <c:v>36</c:v>
                </c:pt>
                <c:pt idx="151">
                  <c:v>36.1</c:v>
                </c:pt>
                <c:pt idx="152">
                  <c:v>36.159999999999997</c:v>
                </c:pt>
                <c:pt idx="153">
                  <c:v>36.1</c:v>
                </c:pt>
                <c:pt idx="154">
                  <c:v>36.159999999999997</c:v>
                </c:pt>
                <c:pt idx="155">
                  <c:v>36.15</c:v>
                </c:pt>
                <c:pt idx="156">
                  <c:v>36.130000000000003</c:v>
                </c:pt>
                <c:pt idx="157">
                  <c:v>36.01</c:v>
                </c:pt>
                <c:pt idx="158">
                  <c:v>35.85</c:v>
                </c:pt>
                <c:pt idx="159">
                  <c:v>35.83</c:v>
                </c:pt>
                <c:pt idx="160">
                  <c:v>35.9</c:v>
                </c:pt>
                <c:pt idx="161">
                  <c:v>35.729999999999997</c:v>
                </c:pt>
                <c:pt idx="162">
                  <c:v>35.83</c:v>
                </c:pt>
                <c:pt idx="163">
                  <c:v>35.93</c:v>
                </c:pt>
                <c:pt idx="164">
                  <c:v>36.020000000000003</c:v>
                </c:pt>
                <c:pt idx="165">
                  <c:v>36.01</c:v>
                </c:pt>
                <c:pt idx="166">
                  <c:v>36.229999999999997</c:v>
                </c:pt>
                <c:pt idx="167">
                  <c:v>36.31</c:v>
                </c:pt>
                <c:pt idx="168">
                  <c:v>36.44</c:v>
                </c:pt>
                <c:pt idx="169">
                  <c:v>36.44</c:v>
                </c:pt>
                <c:pt idx="170">
                  <c:v>36.56</c:v>
                </c:pt>
                <c:pt idx="171">
                  <c:v>36.5</c:v>
                </c:pt>
                <c:pt idx="172">
                  <c:v>36.43</c:v>
                </c:pt>
                <c:pt idx="173">
                  <c:v>36.44</c:v>
                </c:pt>
                <c:pt idx="174">
                  <c:v>36.42</c:v>
                </c:pt>
                <c:pt idx="175">
                  <c:v>36.33</c:v>
                </c:pt>
                <c:pt idx="176">
                  <c:v>36.35</c:v>
                </c:pt>
                <c:pt idx="177">
                  <c:v>36.340000000000003</c:v>
                </c:pt>
                <c:pt idx="178">
                  <c:v>36.200000000000003</c:v>
                </c:pt>
                <c:pt idx="179">
                  <c:v>36.15</c:v>
                </c:pt>
                <c:pt idx="180">
                  <c:v>36.18</c:v>
                </c:pt>
                <c:pt idx="181">
                  <c:v>36.229999999999997</c:v>
                </c:pt>
                <c:pt idx="182">
                  <c:v>36.33</c:v>
                </c:pt>
                <c:pt idx="183">
                  <c:v>36.369999999999997</c:v>
                </c:pt>
                <c:pt idx="184">
                  <c:v>36.24</c:v>
                </c:pt>
                <c:pt idx="185">
                  <c:v>36.450000000000003</c:v>
                </c:pt>
                <c:pt idx="186">
                  <c:v>36.479999999999997</c:v>
                </c:pt>
                <c:pt idx="187">
                  <c:v>36.46</c:v>
                </c:pt>
                <c:pt idx="188">
                  <c:v>36.44</c:v>
                </c:pt>
                <c:pt idx="189">
                  <c:v>36.409999999999997</c:v>
                </c:pt>
                <c:pt idx="190">
                  <c:v>36.46</c:v>
                </c:pt>
                <c:pt idx="191">
                  <c:v>36.54</c:v>
                </c:pt>
                <c:pt idx="192">
                  <c:v>36.590000000000003</c:v>
                </c:pt>
                <c:pt idx="193">
                  <c:v>36.67</c:v>
                </c:pt>
                <c:pt idx="194">
                  <c:v>36.67</c:v>
                </c:pt>
                <c:pt idx="195">
                  <c:v>36.67</c:v>
                </c:pt>
                <c:pt idx="196">
                  <c:v>36.659999999999997</c:v>
                </c:pt>
                <c:pt idx="197">
                  <c:v>36.6</c:v>
                </c:pt>
                <c:pt idx="198">
                  <c:v>36.69</c:v>
                </c:pt>
                <c:pt idx="199">
                  <c:v>36.69</c:v>
                </c:pt>
                <c:pt idx="200">
                  <c:v>36.71</c:v>
                </c:pt>
                <c:pt idx="201">
                  <c:v>36.64</c:v>
                </c:pt>
                <c:pt idx="202">
                  <c:v>36.479999999999997</c:v>
                </c:pt>
                <c:pt idx="203">
                  <c:v>36.49</c:v>
                </c:pt>
                <c:pt idx="204">
                  <c:v>36.49</c:v>
                </c:pt>
                <c:pt idx="205">
                  <c:v>36.26</c:v>
                </c:pt>
                <c:pt idx="206">
                  <c:v>36.409999999999997</c:v>
                </c:pt>
                <c:pt idx="207">
                  <c:v>36.39</c:v>
                </c:pt>
                <c:pt idx="208">
                  <c:v>36.36</c:v>
                </c:pt>
                <c:pt idx="209">
                  <c:v>36.270000000000003</c:v>
                </c:pt>
                <c:pt idx="210">
                  <c:v>36.47</c:v>
                </c:pt>
                <c:pt idx="211">
                  <c:v>36.380000000000003</c:v>
                </c:pt>
                <c:pt idx="212">
                  <c:v>36.380000000000003</c:v>
                </c:pt>
                <c:pt idx="213">
                  <c:v>36.340000000000003</c:v>
                </c:pt>
                <c:pt idx="214">
                  <c:v>36.299999999999997</c:v>
                </c:pt>
                <c:pt idx="215">
                  <c:v>36.340000000000003</c:v>
                </c:pt>
                <c:pt idx="216">
                  <c:v>36.46</c:v>
                </c:pt>
                <c:pt idx="217">
                  <c:v>36.31</c:v>
                </c:pt>
                <c:pt idx="218">
                  <c:v>36.270000000000003</c:v>
                </c:pt>
                <c:pt idx="219">
                  <c:v>36.340000000000003</c:v>
                </c:pt>
                <c:pt idx="220">
                  <c:v>36.35</c:v>
                </c:pt>
                <c:pt idx="221">
                  <c:v>36.28</c:v>
                </c:pt>
                <c:pt idx="222">
                  <c:v>36.39</c:v>
                </c:pt>
                <c:pt idx="223">
                  <c:v>36.22</c:v>
                </c:pt>
                <c:pt idx="224">
                  <c:v>36.19</c:v>
                </c:pt>
                <c:pt idx="225">
                  <c:v>36.28</c:v>
                </c:pt>
                <c:pt idx="226">
                  <c:v>36.270000000000003</c:v>
                </c:pt>
                <c:pt idx="227">
                  <c:v>36.33</c:v>
                </c:pt>
                <c:pt idx="228">
                  <c:v>36.380000000000003</c:v>
                </c:pt>
                <c:pt idx="229">
                  <c:v>36.39</c:v>
                </c:pt>
                <c:pt idx="230">
                  <c:v>36.46</c:v>
                </c:pt>
                <c:pt idx="231">
                  <c:v>36.44</c:v>
                </c:pt>
                <c:pt idx="232">
                  <c:v>36.54</c:v>
                </c:pt>
                <c:pt idx="233">
                  <c:v>36.5</c:v>
                </c:pt>
                <c:pt idx="234">
                  <c:v>36.36</c:v>
                </c:pt>
                <c:pt idx="235">
                  <c:v>36.56</c:v>
                </c:pt>
                <c:pt idx="236">
                  <c:v>36.6</c:v>
                </c:pt>
                <c:pt idx="237">
                  <c:v>36.86</c:v>
                </c:pt>
                <c:pt idx="238">
                  <c:v>36.619999999999997</c:v>
                </c:pt>
                <c:pt idx="239">
                  <c:v>36.67</c:v>
                </c:pt>
                <c:pt idx="240">
                  <c:v>36.4</c:v>
                </c:pt>
                <c:pt idx="241">
                  <c:v>36.369999999999997</c:v>
                </c:pt>
                <c:pt idx="242">
                  <c:v>36.409999999999997</c:v>
                </c:pt>
                <c:pt idx="243">
                  <c:v>36.47</c:v>
                </c:pt>
                <c:pt idx="244">
                  <c:v>36.31</c:v>
                </c:pt>
                <c:pt idx="245">
                  <c:v>36.46</c:v>
                </c:pt>
                <c:pt idx="246">
                  <c:v>36.619999999999997</c:v>
                </c:pt>
                <c:pt idx="247">
                  <c:v>36.72</c:v>
                </c:pt>
                <c:pt idx="248">
                  <c:v>36.71</c:v>
                </c:pt>
                <c:pt idx="249">
                  <c:v>36.96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1552"/>
        <c:axId val="112552576"/>
      </c:barChart>
      <c:lineChart>
        <c:grouping val="standard"/>
        <c:varyColors val="0"/>
        <c:ser>
          <c:idx val="1"/>
          <c:order val="0"/>
          <c:tx>
            <c:strRef>
              <c:f>KOSPI!$B$3</c:f>
              <c:strCache>
                <c:ptCount val="1"/>
                <c:pt idx="0">
                  <c:v>KOSPI(좌)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KOSPI!$A$4:$A$253</c:f>
              <c:numCache>
                <c:formatCode>m/d/yyyy</c:formatCode>
                <c:ptCount val="250"/>
                <c:pt idx="0">
                  <c:v>43601</c:v>
                </c:pt>
                <c:pt idx="1">
                  <c:v>43600</c:v>
                </c:pt>
                <c:pt idx="2">
                  <c:v>43599</c:v>
                </c:pt>
                <c:pt idx="3">
                  <c:v>43598</c:v>
                </c:pt>
                <c:pt idx="4">
                  <c:v>43595</c:v>
                </c:pt>
                <c:pt idx="5">
                  <c:v>43594</c:v>
                </c:pt>
                <c:pt idx="6">
                  <c:v>43593</c:v>
                </c:pt>
                <c:pt idx="7">
                  <c:v>43592</c:v>
                </c:pt>
                <c:pt idx="8">
                  <c:v>43588</c:v>
                </c:pt>
                <c:pt idx="9">
                  <c:v>43587</c:v>
                </c:pt>
                <c:pt idx="10">
                  <c:v>43585</c:v>
                </c:pt>
                <c:pt idx="11">
                  <c:v>43584</c:v>
                </c:pt>
                <c:pt idx="12">
                  <c:v>43581</c:v>
                </c:pt>
                <c:pt idx="13">
                  <c:v>43580</c:v>
                </c:pt>
                <c:pt idx="14">
                  <c:v>43579</c:v>
                </c:pt>
                <c:pt idx="15">
                  <c:v>43578</c:v>
                </c:pt>
                <c:pt idx="16">
                  <c:v>43577</c:v>
                </c:pt>
                <c:pt idx="17">
                  <c:v>43574</c:v>
                </c:pt>
                <c:pt idx="18">
                  <c:v>43573</c:v>
                </c:pt>
                <c:pt idx="19">
                  <c:v>43572</c:v>
                </c:pt>
                <c:pt idx="20">
                  <c:v>43571</c:v>
                </c:pt>
                <c:pt idx="21">
                  <c:v>43570</c:v>
                </c:pt>
                <c:pt idx="22">
                  <c:v>43567</c:v>
                </c:pt>
                <c:pt idx="23">
                  <c:v>43566</c:v>
                </c:pt>
                <c:pt idx="24">
                  <c:v>43565</c:v>
                </c:pt>
                <c:pt idx="25">
                  <c:v>43564</c:v>
                </c:pt>
                <c:pt idx="26">
                  <c:v>43563</c:v>
                </c:pt>
                <c:pt idx="27">
                  <c:v>43560</c:v>
                </c:pt>
                <c:pt idx="28">
                  <c:v>43559</c:v>
                </c:pt>
                <c:pt idx="29">
                  <c:v>43558</c:v>
                </c:pt>
                <c:pt idx="30">
                  <c:v>43557</c:v>
                </c:pt>
                <c:pt idx="31">
                  <c:v>43556</c:v>
                </c:pt>
                <c:pt idx="32">
                  <c:v>43553</c:v>
                </c:pt>
                <c:pt idx="33">
                  <c:v>43552</c:v>
                </c:pt>
                <c:pt idx="34">
                  <c:v>43551</c:v>
                </c:pt>
                <c:pt idx="35">
                  <c:v>43550</c:v>
                </c:pt>
                <c:pt idx="36">
                  <c:v>43549</c:v>
                </c:pt>
                <c:pt idx="37">
                  <c:v>43546</c:v>
                </c:pt>
                <c:pt idx="38">
                  <c:v>43545</c:v>
                </c:pt>
                <c:pt idx="39">
                  <c:v>43544</c:v>
                </c:pt>
                <c:pt idx="40">
                  <c:v>43543</c:v>
                </c:pt>
                <c:pt idx="41">
                  <c:v>43542</c:v>
                </c:pt>
                <c:pt idx="42">
                  <c:v>43539</c:v>
                </c:pt>
                <c:pt idx="43">
                  <c:v>43538</c:v>
                </c:pt>
                <c:pt idx="44">
                  <c:v>43537</c:v>
                </c:pt>
                <c:pt idx="45">
                  <c:v>43536</c:v>
                </c:pt>
                <c:pt idx="46">
                  <c:v>43535</c:v>
                </c:pt>
                <c:pt idx="47">
                  <c:v>43532</c:v>
                </c:pt>
                <c:pt idx="48">
                  <c:v>43531</c:v>
                </c:pt>
                <c:pt idx="49">
                  <c:v>43530</c:v>
                </c:pt>
                <c:pt idx="50">
                  <c:v>43529</c:v>
                </c:pt>
                <c:pt idx="51">
                  <c:v>43528</c:v>
                </c:pt>
                <c:pt idx="52">
                  <c:v>43524</c:v>
                </c:pt>
                <c:pt idx="53">
                  <c:v>43523</c:v>
                </c:pt>
                <c:pt idx="54">
                  <c:v>43522</c:v>
                </c:pt>
                <c:pt idx="55">
                  <c:v>43521</c:v>
                </c:pt>
                <c:pt idx="56">
                  <c:v>43518</c:v>
                </c:pt>
                <c:pt idx="57">
                  <c:v>43517</c:v>
                </c:pt>
                <c:pt idx="58">
                  <c:v>43516</c:v>
                </c:pt>
                <c:pt idx="59">
                  <c:v>43515</c:v>
                </c:pt>
                <c:pt idx="60">
                  <c:v>43514</c:v>
                </c:pt>
                <c:pt idx="61">
                  <c:v>43511</c:v>
                </c:pt>
                <c:pt idx="62">
                  <c:v>43510</c:v>
                </c:pt>
                <c:pt idx="63">
                  <c:v>43509</c:v>
                </c:pt>
                <c:pt idx="64">
                  <c:v>43508</c:v>
                </c:pt>
                <c:pt idx="65">
                  <c:v>43507</c:v>
                </c:pt>
                <c:pt idx="66">
                  <c:v>43504</c:v>
                </c:pt>
                <c:pt idx="67">
                  <c:v>43503</c:v>
                </c:pt>
                <c:pt idx="68">
                  <c:v>43497</c:v>
                </c:pt>
                <c:pt idx="69">
                  <c:v>43496</c:v>
                </c:pt>
                <c:pt idx="70">
                  <c:v>43495</c:v>
                </c:pt>
                <c:pt idx="71">
                  <c:v>43494</c:v>
                </c:pt>
                <c:pt idx="72">
                  <c:v>43493</c:v>
                </c:pt>
                <c:pt idx="73">
                  <c:v>43490</c:v>
                </c:pt>
                <c:pt idx="74">
                  <c:v>43489</c:v>
                </c:pt>
                <c:pt idx="75">
                  <c:v>43488</c:v>
                </c:pt>
                <c:pt idx="76">
                  <c:v>43487</c:v>
                </c:pt>
                <c:pt idx="77">
                  <c:v>43486</c:v>
                </c:pt>
                <c:pt idx="78">
                  <c:v>43483</c:v>
                </c:pt>
                <c:pt idx="79">
                  <c:v>43482</c:v>
                </c:pt>
                <c:pt idx="80">
                  <c:v>43481</c:v>
                </c:pt>
                <c:pt idx="81">
                  <c:v>43480</c:v>
                </c:pt>
                <c:pt idx="82">
                  <c:v>43479</c:v>
                </c:pt>
                <c:pt idx="83">
                  <c:v>43476</c:v>
                </c:pt>
                <c:pt idx="84">
                  <c:v>43475</c:v>
                </c:pt>
                <c:pt idx="85">
                  <c:v>43474</c:v>
                </c:pt>
                <c:pt idx="86">
                  <c:v>43473</c:v>
                </c:pt>
                <c:pt idx="87">
                  <c:v>43472</c:v>
                </c:pt>
                <c:pt idx="88">
                  <c:v>43469</c:v>
                </c:pt>
                <c:pt idx="89">
                  <c:v>43468</c:v>
                </c:pt>
                <c:pt idx="90">
                  <c:v>43467</c:v>
                </c:pt>
                <c:pt idx="91">
                  <c:v>43462</c:v>
                </c:pt>
                <c:pt idx="92">
                  <c:v>43461</c:v>
                </c:pt>
                <c:pt idx="93">
                  <c:v>43460</c:v>
                </c:pt>
                <c:pt idx="94">
                  <c:v>43458</c:v>
                </c:pt>
                <c:pt idx="95">
                  <c:v>43455</c:v>
                </c:pt>
                <c:pt idx="96">
                  <c:v>43454</c:v>
                </c:pt>
                <c:pt idx="97">
                  <c:v>43453</c:v>
                </c:pt>
                <c:pt idx="98">
                  <c:v>43452</c:v>
                </c:pt>
                <c:pt idx="99">
                  <c:v>43451</c:v>
                </c:pt>
                <c:pt idx="100">
                  <c:v>43448</c:v>
                </c:pt>
                <c:pt idx="101">
                  <c:v>43447</c:v>
                </c:pt>
                <c:pt idx="102">
                  <c:v>43446</c:v>
                </c:pt>
                <c:pt idx="103">
                  <c:v>43445</c:v>
                </c:pt>
                <c:pt idx="104">
                  <c:v>43444</c:v>
                </c:pt>
                <c:pt idx="105">
                  <c:v>43441</c:v>
                </c:pt>
                <c:pt idx="106">
                  <c:v>43440</c:v>
                </c:pt>
                <c:pt idx="107">
                  <c:v>43439</c:v>
                </c:pt>
                <c:pt idx="108">
                  <c:v>43438</c:v>
                </c:pt>
                <c:pt idx="109">
                  <c:v>43437</c:v>
                </c:pt>
                <c:pt idx="110">
                  <c:v>43434</c:v>
                </c:pt>
                <c:pt idx="111">
                  <c:v>43433</c:v>
                </c:pt>
                <c:pt idx="112">
                  <c:v>43432</c:v>
                </c:pt>
                <c:pt idx="113">
                  <c:v>43431</c:v>
                </c:pt>
                <c:pt idx="114">
                  <c:v>43430</c:v>
                </c:pt>
                <c:pt idx="115">
                  <c:v>43427</c:v>
                </c:pt>
                <c:pt idx="116">
                  <c:v>43426</c:v>
                </c:pt>
                <c:pt idx="117">
                  <c:v>43425</c:v>
                </c:pt>
                <c:pt idx="118">
                  <c:v>43424</c:v>
                </c:pt>
                <c:pt idx="119">
                  <c:v>43423</c:v>
                </c:pt>
                <c:pt idx="120">
                  <c:v>43420</c:v>
                </c:pt>
                <c:pt idx="121">
                  <c:v>43419</c:v>
                </c:pt>
                <c:pt idx="122">
                  <c:v>43418</c:v>
                </c:pt>
                <c:pt idx="123">
                  <c:v>43417</c:v>
                </c:pt>
                <c:pt idx="124">
                  <c:v>43416</c:v>
                </c:pt>
                <c:pt idx="125">
                  <c:v>43413</c:v>
                </c:pt>
                <c:pt idx="126">
                  <c:v>43412</c:v>
                </c:pt>
                <c:pt idx="127">
                  <c:v>43411</c:v>
                </c:pt>
                <c:pt idx="128">
                  <c:v>43410</c:v>
                </c:pt>
                <c:pt idx="129">
                  <c:v>43409</c:v>
                </c:pt>
                <c:pt idx="130">
                  <c:v>43406</c:v>
                </c:pt>
                <c:pt idx="131">
                  <c:v>43405</c:v>
                </c:pt>
                <c:pt idx="132">
                  <c:v>43404</c:v>
                </c:pt>
                <c:pt idx="133">
                  <c:v>43403</c:v>
                </c:pt>
                <c:pt idx="134">
                  <c:v>43402</c:v>
                </c:pt>
                <c:pt idx="135">
                  <c:v>43399</c:v>
                </c:pt>
                <c:pt idx="136">
                  <c:v>43398</c:v>
                </c:pt>
                <c:pt idx="137">
                  <c:v>43397</c:v>
                </c:pt>
                <c:pt idx="138">
                  <c:v>43396</c:v>
                </c:pt>
                <c:pt idx="139">
                  <c:v>43395</c:v>
                </c:pt>
                <c:pt idx="140">
                  <c:v>43392</c:v>
                </c:pt>
                <c:pt idx="141">
                  <c:v>43391</c:v>
                </c:pt>
                <c:pt idx="142">
                  <c:v>43390</c:v>
                </c:pt>
                <c:pt idx="143">
                  <c:v>43389</c:v>
                </c:pt>
                <c:pt idx="144">
                  <c:v>43388</c:v>
                </c:pt>
                <c:pt idx="145">
                  <c:v>43385</c:v>
                </c:pt>
                <c:pt idx="146">
                  <c:v>43384</c:v>
                </c:pt>
                <c:pt idx="147">
                  <c:v>43383</c:v>
                </c:pt>
                <c:pt idx="148">
                  <c:v>43381</c:v>
                </c:pt>
                <c:pt idx="149">
                  <c:v>43378</c:v>
                </c:pt>
                <c:pt idx="150">
                  <c:v>43377</c:v>
                </c:pt>
                <c:pt idx="151">
                  <c:v>43375</c:v>
                </c:pt>
                <c:pt idx="152">
                  <c:v>43374</c:v>
                </c:pt>
                <c:pt idx="153">
                  <c:v>43371</c:v>
                </c:pt>
                <c:pt idx="154">
                  <c:v>43370</c:v>
                </c:pt>
                <c:pt idx="155">
                  <c:v>43364</c:v>
                </c:pt>
                <c:pt idx="156">
                  <c:v>43363</c:v>
                </c:pt>
                <c:pt idx="157">
                  <c:v>43362</c:v>
                </c:pt>
                <c:pt idx="158">
                  <c:v>43361</c:v>
                </c:pt>
                <c:pt idx="159">
                  <c:v>43360</c:v>
                </c:pt>
                <c:pt idx="160">
                  <c:v>43357</c:v>
                </c:pt>
                <c:pt idx="161">
                  <c:v>43356</c:v>
                </c:pt>
                <c:pt idx="162">
                  <c:v>43355</c:v>
                </c:pt>
                <c:pt idx="163">
                  <c:v>43354</c:v>
                </c:pt>
                <c:pt idx="164">
                  <c:v>43353</c:v>
                </c:pt>
                <c:pt idx="165">
                  <c:v>43350</c:v>
                </c:pt>
                <c:pt idx="166">
                  <c:v>43349</c:v>
                </c:pt>
                <c:pt idx="167">
                  <c:v>43348</c:v>
                </c:pt>
                <c:pt idx="168">
                  <c:v>43347</c:v>
                </c:pt>
                <c:pt idx="169">
                  <c:v>43346</c:v>
                </c:pt>
                <c:pt idx="170">
                  <c:v>43343</c:v>
                </c:pt>
                <c:pt idx="171">
                  <c:v>43342</c:v>
                </c:pt>
                <c:pt idx="172">
                  <c:v>43341</c:v>
                </c:pt>
                <c:pt idx="173">
                  <c:v>43340</c:v>
                </c:pt>
                <c:pt idx="174">
                  <c:v>43339</c:v>
                </c:pt>
                <c:pt idx="175">
                  <c:v>43336</c:v>
                </c:pt>
                <c:pt idx="176">
                  <c:v>43335</c:v>
                </c:pt>
                <c:pt idx="177">
                  <c:v>43334</c:v>
                </c:pt>
                <c:pt idx="178">
                  <c:v>43333</c:v>
                </c:pt>
                <c:pt idx="179">
                  <c:v>43332</c:v>
                </c:pt>
                <c:pt idx="180">
                  <c:v>43329</c:v>
                </c:pt>
                <c:pt idx="181">
                  <c:v>43328</c:v>
                </c:pt>
                <c:pt idx="182">
                  <c:v>43326</c:v>
                </c:pt>
                <c:pt idx="183">
                  <c:v>43325</c:v>
                </c:pt>
                <c:pt idx="184">
                  <c:v>43322</c:v>
                </c:pt>
                <c:pt idx="185">
                  <c:v>43321</c:v>
                </c:pt>
                <c:pt idx="186">
                  <c:v>43320</c:v>
                </c:pt>
                <c:pt idx="187">
                  <c:v>43319</c:v>
                </c:pt>
                <c:pt idx="188">
                  <c:v>43318</c:v>
                </c:pt>
                <c:pt idx="189">
                  <c:v>43315</c:v>
                </c:pt>
                <c:pt idx="190">
                  <c:v>43314</c:v>
                </c:pt>
                <c:pt idx="191">
                  <c:v>43313</c:v>
                </c:pt>
                <c:pt idx="192">
                  <c:v>43312</c:v>
                </c:pt>
                <c:pt idx="193">
                  <c:v>43311</c:v>
                </c:pt>
                <c:pt idx="194">
                  <c:v>43308</c:v>
                </c:pt>
                <c:pt idx="195">
                  <c:v>43307</c:v>
                </c:pt>
                <c:pt idx="196">
                  <c:v>43306</c:v>
                </c:pt>
                <c:pt idx="197">
                  <c:v>43305</c:v>
                </c:pt>
                <c:pt idx="198">
                  <c:v>43304</c:v>
                </c:pt>
                <c:pt idx="199">
                  <c:v>43301</c:v>
                </c:pt>
                <c:pt idx="200">
                  <c:v>43300</c:v>
                </c:pt>
                <c:pt idx="201">
                  <c:v>43299</c:v>
                </c:pt>
                <c:pt idx="202">
                  <c:v>43298</c:v>
                </c:pt>
                <c:pt idx="203">
                  <c:v>43297</c:v>
                </c:pt>
                <c:pt idx="204">
                  <c:v>43294</c:v>
                </c:pt>
                <c:pt idx="205">
                  <c:v>43293</c:v>
                </c:pt>
                <c:pt idx="206">
                  <c:v>43292</c:v>
                </c:pt>
                <c:pt idx="207">
                  <c:v>43291</c:v>
                </c:pt>
                <c:pt idx="208">
                  <c:v>43290</c:v>
                </c:pt>
                <c:pt idx="209">
                  <c:v>43287</c:v>
                </c:pt>
                <c:pt idx="210">
                  <c:v>43286</c:v>
                </c:pt>
                <c:pt idx="211">
                  <c:v>43285</c:v>
                </c:pt>
                <c:pt idx="212">
                  <c:v>43284</c:v>
                </c:pt>
                <c:pt idx="213">
                  <c:v>43283</c:v>
                </c:pt>
                <c:pt idx="214">
                  <c:v>43280</c:v>
                </c:pt>
                <c:pt idx="215">
                  <c:v>43279</c:v>
                </c:pt>
                <c:pt idx="216">
                  <c:v>43278</c:v>
                </c:pt>
                <c:pt idx="217">
                  <c:v>43277</c:v>
                </c:pt>
                <c:pt idx="218">
                  <c:v>43276</c:v>
                </c:pt>
                <c:pt idx="219">
                  <c:v>43273</c:v>
                </c:pt>
                <c:pt idx="220">
                  <c:v>43272</c:v>
                </c:pt>
                <c:pt idx="221">
                  <c:v>43271</c:v>
                </c:pt>
                <c:pt idx="222">
                  <c:v>43270</c:v>
                </c:pt>
                <c:pt idx="223">
                  <c:v>43269</c:v>
                </c:pt>
                <c:pt idx="224">
                  <c:v>43266</c:v>
                </c:pt>
                <c:pt idx="225">
                  <c:v>43265</c:v>
                </c:pt>
                <c:pt idx="226">
                  <c:v>43263</c:v>
                </c:pt>
                <c:pt idx="227">
                  <c:v>43262</c:v>
                </c:pt>
                <c:pt idx="228">
                  <c:v>43259</c:v>
                </c:pt>
                <c:pt idx="229">
                  <c:v>43258</c:v>
                </c:pt>
                <c:pt idx="230">
                  <c:v>43256</c:v>
                </c:pt>
                <c:pt idx="231">
                  <c:v>43255</c:v>
                </c:pt>
                <c:pt idx="232">
                  <c:v>43252</c:v>
                </c:pt>
                <c:pt idx="233">
                  <c:v>43251</c:v>
                </c:pt>
                <c:pt idx="234">
                  <c:v>43250</c:v>
                </c:pt>
                <c:pt idx="235">
                  <c:v>43249</c:v>
                </c:pt>
                <c:pt idx="236">
                  <c:v>43248</c:v>
                </c:pt>
                <c:pt idx="237">
                  <c:v>43245</c:v>
                </c:pt>
                <c:pt idx="238">
                  <c:v>43244</c:v>
                </c:pt>
                <c:pt idx="239">
                  <c:v>43243</c:v>
                </c:pt>
                <c:pt idx="240">
                  <c:v>43241</c:v>
                </c:pt>
                <c:pt idx="241">
                  <c:v>43238</c:v>
                </c:pt>
                <c:pt idx="242">
                  <c:v>43237</c:v>
                </c:pt>
                <c:pt idx="243">
                  <c:v>43236</c:v>
                </c:pt>
                <c:pt idx="244">
                  <c:v>43235</c:v>
                </c:pt>
                <c:pt idx="245">
                  <c:v>43234</c:v>
                </c:pt>
                <c:pt idx="246">
                  <c:v>43231</c:v>
                </c:pt>
                <c:pt idx="247">
                  <c:v>43230</c:v>
                </c:pt>
                <c:pt idx="248">
                  <c:v>43229</c:v>
                </c:pt>
                <c:pt idx="249">
                  <c:v>43228</c:v>
                </c:pt>
              </c:numCache>
            </c:numRef>
          </c:cat>
          <c:val>
            <c:numRef>
              <c:f>KOSPI!$B$4:$B$253</c:f>
              <c:numCache>
                <c:formatCode>#,##0.00_ </c:formatCode>
                <c:ptCount val="250"/>
                <c:pt idx="0">
                  <c:v>2067.69</c:v>
                </c:pt>
                <c:pt idx="1">
                  <c:v>2092.7800000000002</c:v>
                </c:pt>
                <c:pt idx="2">
                  <c:v>2081.84</c:v>
                </c:pt>
                <c:pt idx="3">
                  <c:v>2079.0100000000002</c:v>
                </c:pt>
                <c:pt idx="4">
                  <c:v>2108.04</c:v>
                </c:pt>
                <c:pt idx="5">
                  <c:v>2102.0100000000002</c:v>
                </c:pt>
                <c:pt idx="6">
                  <c:v>2168.0100000000002</c:v>
                </c:pt>
                <c:pt idx="7">
                  <c:v>2176.9899999999998</c:v>
                </c:pt>
                <c:pt idx="8">
                  <c:v>2196.3200000000002</c:v>
                </c:pt>
                <c:pt idx="9">
                  <c:v>2212.75</c:v>
                </c:pt>
                <c:pt idx="10">
                  <c:v>2203.59</c:v>
                </c:pt>
                <c:pt idx="11">
                  <c:v>2216.4299999999998</c:v>
                </c:pt>
                <c:pt idx="12">
                  <c:v>2179.31</c:v>
                </c:pt>
                <c:pt idx="13">
                  <c:v>2190.5</c:v>
                </c:pt>
                <c:pt idx="14">
                  <c:v>2201.0300000000002</c:v>
                </c:pt>
                <c:pt idx="15">
                  <c:v>2220.5100000000002</c:v>
                </c:pt>
                <c:pt idx="16">
                  <c:v>2216.65</c:v>
                </c:pt>
                <c:pt idx="17">
                  <c:v>2216.15</c:v>
                </c:pt>
                <c:pt idx="18">
                  <c:v>2213.77</c:v>
                </c:pt>
                <c:pt idx="19">
                  <c:v>2245.89</c:v>
                </c:pt>
                <c:pt idx="20">
                  <c:v>2248.63</c:v>
                </c:pt>
                <c:pt idx="21">
                  <c:v>2242.88</c:v>
                </c:pt>
                <c:pt idx="22">
                  <c:v>2233.4499999999998</c:v>
                </c:pt>
                <c:pt idx="23">
                  <c:v>2224.44</c:v>
                </c:pt>
                <c:pt idx="24">
                  <c:v>2224.39</c:v>
                </c:pt>
                <c:pt idx="25">
                  <c:v>2213.56</c:v>
                </c:pt>
                <c:pt idx="26">
                  <c:v>2210.6</c:v>
                </c:pt>
                <c:pt idx="27">
                  <c:v>2209.61</c:v>
                </c:pt>
                <c:pt idx="28">
                  <c:v>2206.5300000000002</c:v>
                </c:pt>
                <c:pt idx="29">
                  <c:v>2203.27</c:v>
                </c:pt>
                <c:pt idx="30">
                  <c:v>2177.1799999999998</c:v>
                </c:pt>
                <c:pt idx="31">
                  <c:v>2168.2800000000002</c:v>
                </c:pt>
                <c:pt idx="32">
                  <c:v>2140.67</c:v>
                </c:pt>
                <c:pt idx="33">
                  <c:v>2128.1</c:v>
                </c:pt>
                <c:pt idx="34">
                  <c:v>2145.62</c:v>
                </c:pt>
                <c:pt idx="35">
                  <c:v>2148.8000000000002</c:v>
                </c:pt>
                <c:pt idx="36">
                  <c:v>2144.86</c:v>
                </c:pt>
                <c:pt idx="37">
                  <c:v>2186.9499999999998</c:v>
                </c:pt>
                <c:pt idx="38">
                  <c:v>2184.88</c:v>
                </c:pt>
                <c:pt idx="39">
                  <c:v>2177.1</c:v>
                </c:pt>
                <c:pt idx="40">
                  <c:v>2177.62</c:v>
                </c:pt>
                <c:pt idx="41">
                  <c:v>2179.4899999999998</c:v>
                </c:pt>
                <c:pt idx="42">
                  <c:v>2176.11</c:v>
                </c:pt>
                <c:pt idx="43">
                  <c:v>2155.6799999999998</c:v>
                </c:pt>
                <c:pt idx="44">
                  <c:v>2148.41</c:v>
                </c:pt>
                <c:pt idx="45">
                  <c:v>2157.1799999999998</c:v>
                </c:pt>
                <c:pt idx="46">
                  <c:v>2138.1</c:v>
                </c:pt>
                <c:pt idx="47">
                  <c:v>2137.44</c:v>
                </c:pt>
                <c:pt idx="48">
                  <c:v>2165.79</c:v>
                </c:pt>
                <c:pt idx="49">
                  <c:v>2175.6</c:v>
                </c:pt>
                <c:pt idx="50">
                  <c:v>2179.23</c:v>
                </c:pt>
                <c:pt idx="51">
                  <c:v>2190.66</c:v>
                </c:pt>
                <c:pt idx="52">
                  <c:v>2195.44</c:v>
                </c:pt>
                <c:pt idx="53">
                  <c:v>2234.79</c:v>
                </c:pt>
                <c:pt idx="54">
                  <c:v>2226.6</c:v>
                </c:pt>
                <c:pt idx="55">
                  <c:v>2232.56</c:v>
                </c:pt>
                <c:pt idx="56">
                  <c:v>2230.5</c:v>
                </c:pt>
                <c:pt idx="57">
                  <c:v>2228.66</c:v>
                </c:pt>
                <c:pt idx="58">
                  <c:v>2229.7600000000002</c:v>
                </c:pt>
                <c:pt idx="59">
                  <c:v>2205.63</c:v>
                </c:pt>
                <c:pt idx="60">
                  <c:v>2210.89</c:v>
                </c:pt>
                <c:pt idx="61">
                  <c:v>2196.09</c:v>
                </c:pt>
                <c:pt idx="62">
                  <c:v>2225.85</c:v>
                </c:pt>
                <c:pt idx="63">
                  <c:v>2201.48</c:v>
                </c:pt>
                <c:pt idx="64">
                  <c:v>2190.4699999999998</c:v>
                </c:pt>
                <c:pt idx="65">
                  <c:v>2180.73</c:v>
                </c:pt>
                <c:pt idx="66">
                  <c:v>2177.0500000000002</c:v>
                </c:pt>
                <c:pt idx="67">
                  <c:v>2203.42</c:v>
                </c:pt>
                <c:pt idx="68">
                  <c:v>2203.46</c:v>
                </c:pt>
                <c:pt idx="69">
                  <c:v>2204.85</c:v>
                </c:pt>
                <c:pt idx="70">
                  <c:v>2206.1999999999998</c:v>
                </c:pt>
                <c:pt idx="71">
                  <c:v>2183.36</c:v>
                </c:pt>
                <c:pt idx="72">
                  <c:v>2177.3000000000002</c:v>
                </c:pt>
                <c:pt idx="73">
                  <c:v>2177.73</c:v>
                </c:pt>
                <c:pt idx="74">
                  <c:v>2145.0300000000002</c:v>
                </c:pt>
                <c:pt idx="75">
                  <c:v>2127.7800000000002</c:v>
                </c:pt>
                <c:pt idx="76">
                  <c:v>2117.77</c:v>
                </c:pt>
                <c:pt idx="77">
                  <c:v>2124.61</c:v>
                </c:pt>
                <c:pt idx="78">
                  <c:v>2124.2800000000002</c:v>
                </c:pt>
                <c:pt idx="79">
                  <c:v>2107.06</c:v>
                </c:pt>
                <c:pt idx="80">
                  <c:v>2106.1</c:v>
                </c:pt>
                <c:pt idx="81">
                  <c:v>2097.1799999999998</c:v>
                </c:pt>
                <c:pt idx="82">
                  <c:v>2064.52</c:v>
                </c:pt>
                <c:pt idx="83">
                  <c:v>2075.5700000000002</c:v>
                </c:pt>
                <c:pt idx="84">
                  <c:v>2063.2800000000002</c:v>
                </c:pt>
                <c:pt idx="85">
                  <c:v>2064.71</c:v>
                </c:pt>
                <c:pt idx="86">
                  <c:v>2025.27</c:v>
                </c:pt>
                <c:pt idx="87">
                  <c:v>2037.1</c:v>
                </c:pt>
                <c:pt idx="88">
                  <c:v>2010.25</c:v>
                </c:pt>
                <c:pt idx="89">
                  <c:v>1993.7</c:v>
                </c:pt>
                <c:pt idx="90">
                  <c:v>2010</c:v>
                </c:pt>
                <c:pt idx="91">
                  <c:v>2041.04</c:v>
                </c:pt>
                <c:pt idx="92">
                  <c:v>2028.44</c:v>
                </c:pt>
                <c:pt idx="93">
                  <c:v>2028.01</c:v>
                </c:pt>
                <c:pt idx="94">
                  <c:v>2055.0100000000002</c:v>
                </c:pt>
                <c:pt idx="95">
                  <c:v>2061.4899999999998</c:v>
                </c:pt>
                <c:pt idx="96">
                  <c:v>2060.12</c:v>
                </c:pt>
                <c:pt idx="97">
                  <c:v>2078.84</c:v>
                </c:pt>
                <c:pt idx="98">
                  <c:v>2062.11</c:v>
                </c:pt>
                <c:pt idx="99">
                  <c:v>2071.09</c:v>
                </c:pt>
                <c:pt idx="100">
                  <c:v>2069.38</c:v>
                </c:pt>
                <c:pt idx="101">
                  <c:v>2095.5500000000002</c:v>
                </c:pt>
                <c:pt idx="102">
                  <c:v>2082.5700000000002</c:v>
                </c:pt>
                <c:pt idx="103">
                  <c:v>2052.9699999999998</c:v>
                </c:pt>
                <c:pt idx="104">
                  <c:v>2053.79</c:v>
                </c:pt>
                <c:pt idx="105">
                  <c:v>2075.7600000000002</c:v>
                </c:pt>
                <c:pt idx="106">
                  <c:v>2068.69</c:v>
                </c:pt>
                <c:pt idx="107">
                  <c:v>2101.31</c:v>
                </c:pt>
                <c:pt idx="108">
                  <c:v>2114.35</c:v>
                </c:pt>
                <c:pt idx="109">
                  <c:v>2131.9299999999998</c:v>
                </c:pt>
                <c:pt idx="110">
                  <c:v>2096.86</c:v>
                </c:pt>
                <c:pt idx="111">
                  <c:v>2114.1</c:v>
                </c:pt>
                <c:pt idx="112">
                  <c:v>2108.2199999999998</c:v>
                </c:pt>
                <c:pt idx="113">
                  <c:v>2099.42</c:v>
                </c:pt>
                <c:pt idx="114">
                  <c:v>2083.02</c:v>
                </c:pt>
                <c:pt idx="115">
                  <c:v>2057.48</c:v>
                </c:pt>
                <c:pt idx="116">
                  <c:v>2069.9499999999998</c:v>
                </c:pt>
                <c:pt idx="117">
                  <c:v>2076.5500000000002</c:v>
                </c:pt>
                <c:pt idx="118">
                  <c:v>2082.58</c:v>
                </c:pt>
                <c:pt idx="119">
                  <c:v>2100.56</c:v>
                </c:pt>
                <c:pt idx="120">
                  <c:v>2092.4</c:v>
                </c:pt>
                <c:pt idx="121">
                  <c:v>2088.06</c:v>
                </c:pt>
                <c:pt idx="122">
                  <c:v>2068.0500000000002</c:v>
                </c:pt>
                <c:pt idx="123">
                  <c:v>2071.23</c:v>
                </c:pt>
                <c:pt idx="124">
                  <c:v>2080.44</c:v>
                </c:pt>
                <c:pt idx="125">
                  <c:v>2086.09</c:v>
                </c:pt>
                <c:pt idx="126">
                  <c:v>2092.63</c:v>
                </c:pt>
                <c:pt idx="127">
                  <c:v>2078.69</c:v>
                </c:pt>
                <c:pt idx="128">
                  <c:v>2089.62</c:v>
                </c:pt>
                <c:pt idx="129">
                  <c:v>2076.92</c:v>
                </c:pt>
                <c:pt idx="130">
                  <c:v>2096</c:v>
                </c:pt>
                <c:pt idx="131">
                  <c:v>2024.46</c:v>
                </c:pt>
                <c:pt idx="132">
                  <c:v>2029.69</c:v>
                </c:pt>
                <c:pt idx="133">
                  <c:v>2014.69</c:v>
                </c:pt>
                <c:pt idx="134">
                  <c:v>1996.05</c:v>
                </c:pt>
                <c:pt idx="135">
                  <c:v>2027.15</c:v>
                </c:pt>
                <c:pt idx="136">
                  <c:v>2063.3000000000002</c:v>
                </c:pt>
                <c:pt idx="137">
                  <c:v>2097.58</c:v>
                </c:pt>
                <c:pt idx="138">
                  <c:v>2106.1</c:v>
                </c:pt>
                <c:pt idx="139">
                  <c:v>2161.71</c:v>
                </c:pt>
                <c:pt idx="140">
                  <c:v>2156.2600000000002</c:v>
                </c:pt>
                <c:pt idx="141">
                  <c:v>2148.31</c:v>
                </c:pt>
                <c:pt idx="142">
                  <c:v>2167.5100000000002</c:v>
                </c:pt>
                <c:pt idx="143">
                  <c:v>2145.12</c:v>
                </c:pt>
                <c:pt idx="144">
                  <c:v>2145.12</c:v>
                </c:pt>
                <c:pt idx="145">
                  <c:v>2161.85</c:v>
                </c:pt>
                <c:pt idx="146">
                  <c:v>2129.67</c:v>
                </c:pt>
                <c:pt idx="147">
                  <c:v>2228.61</c:v>
                </c:pt>
                <c:pt idx="148">
                  <c:v>2253.83</c:v>
                </c:pt>
                <c:pt idx="149">
                  <c:v>2267.52</c:v>
                </c:pt>
                <c:pt idx="150">
                  <c:v>2274.4899999999998</c:v>
                </c:pt>
                <c:pt idx="151">
                  <c:v>2309.5700000000002</c:v>
                </c:pt>
                <c:pt idx="152">
                  <c:v>2338.88</c:v>
                </c:pt>
                <c:pt idx="153">
                  <c:v>2343.0700000000002</c:v>
                </c:pt>
                <c:pt idx="154">
                  <c:v>2355.4299999999998</c:v>
                </c:pt>
                <c:pt idx="155">
                  <c:v>2339.17</c:v>
                </c:pt>
                <c:pt idx="156">
                  <c:v>2323.4499999999998</c:v>
                </c:pt>
                <c:pt idx="157">
                  <c:v>2308.46</c:v>
                </c:pt>
                <c:pt idx="158">
                  <c:v>2308.98</c:v>
                </c:pt>
                <c:pt idx="159">
                  <c:v>2303.0100000000002</c:v>
                </c:pt>
                <c:pt idx="160">
                  <c:v>2318.25</c:v>
                </c:pt>
                <c:pt idx="161">
                  <c:v>2286.23</c:v>
                </c:pt>
                <c:pt idx="162">
                  <c:v>2282.92</c:v>
                </c:pt>
                <c:pt idx="163">
                  <c:v>2283.1999999999998</c:v>
                </c:pt>
                <c:pt idx="164">
                  <c:v>2288.66</c:v>
                </c:pt>
                <c:pt idx="165">
                  <c:v>2281.58</c:v>
                </c:pt>
                <c:pt idx="166">
                  <c:v>2287.61</c:v>
                </c:pt>
                <c:pt idx="167">
                  <c:v>2291.77</c:v>
                </c:pt>
                <c:pt idx="168">
                  <c:v>2315.7199999999998</c:v>
                </c:pt>
                <c:pt idx="169">
                  <c:v>2307.0300000000002</c:v>
                </c:pt>
                <c:pt idx="170">
                  <c:v>2322.88</c:v>
                </c:pt>
                <c:pt idx="171">
                  <c:v>2307.35</c:v>
                </c:pt>
                <c:pt idx="172">
                  <c:v>2309.0300000000002</c:v>
                </c:pt>
                <c:pt idx="173">
                  <c:v>2303.12</c:v>
                </c:pt>
                <c:pt idx="174">
                  <c:v>2299.3000000000002</c:v>
                </c:pt>
                <c:pt idx="175">
                  <c:v>2293.21</c:v>
                </c:pt>
                <c:pt idx="176">
                  <c:v>2282.6</c:v>
                </c:pt>
                <c:pt idx="177">
                  <c:v>2273.33</c:v>
                </c:pt>
                <c:pt idx="178">
                  <c:v>2270.06</c:v>
                </c:pt>
                <c:pt idx="179">
                  <c:v>2247.88</c:v>
                </c:pt>
                <c:pt idx="180">
                  <c:v>2247.0500000000002</c:v>
                </c:pt>
                <c:pt idx="181">
                  <c:v>2240.8000000000002</c:v>
                </c:pt>
                <c:pt idx="182">
                  <c:v>2258.91</c:v>
                </c:pt>
                <c:pt idx="183">
                  <c:v>2248.4499999999998</c:v>
                </c:pt>
                <c:pt idx="184">
                  <c:v>2282.79</c:v>
                </c:pt>
                <c:pt idx="185">
                  <c:v>2303.71</c:v>
                </c:pt>
                <c:pt idx="186">
                  <c:v>2301.4499999999998</c:v>
                </c:pt>
                <c:pt idx="187">
                  <c:v>2300.16</c:v>
                </c:pt>
                <c:pt idx="188">
                  <c:v>2286.5</c:v>
                </c:pt>
                <c:pt idx="189">
                  <c:v>2287.6799999999998</c:v>
                </c:pt>
                <c:pt idx="190">
                  <c:v>2270.1999999999998</c:v>
                </c:pt>
                <c:pt idx="191">
                  <c:v>2307.0700000000002</c:v>
                </c:pt>
                <c:pt idx="192">
                  <c:v>2295.2600000000002</c:v>
                </c:pt>
                <c:pt idx="193">
                  <c:v>2293.5100000000002</c:v>
                </c:pt>
                <c:pt idx="194">
                  <c:v>2294.9899999999998</c:v>
                </c:pt>
                <c:pt idx="195">
                  <c:v>2289.06</c:v>
                </c:pt>
                <c:pt idx="196">
                  <c:v>2273.0300000000002</c:v>
                </c:pt>
                <c:pt idx="197">
                  <c:v>2280.1999999999998</c:v>
                </c:pt>
                <c:pt idx="198">
                  <c:v>2269.31</c:v>
                </c:pt>
                <c:pt idx="199">
                  <c:v>2289.19</c:v>
                </c:pt>
                <c:pt idx="200">
                  <c:v>2282.29</c:v>
                </c:pt>
                <c:pt idx="201">
                  <c:v>2290.11</c:v>
                </c:pt>
                <c:pt idx="202">
                  <c:v>2297.92</c:v>
                </c:pt>
                <c:pt idx="203">
                  <c:v>2301.9899999999998</c:v>
                </c:pt>
                <c:pt idx="204">
                  <c:v>2310.9</c:v>
                </c:pt>
                <c:pt idx="205">
                  <c:v>2285.06</c:v>
                </c:pt>
                <c:pt idx="206">
                  <c:v>2280.62</c:v>
                </c:pt>
                <c:pt idx="207">
                  <c:v>2294.16</c:v>
                </c:pt>
                <c:pt idx="208">
                  <c:v>2285.8000000000002</c:v>
                </c:pt>
                <c:pt idx="209">
                  <c:v>2272.87</c:v>
                </c:pt>
                <c:pt idx="210">
                  <c:v>2257.5500000000002</c:v>
                </c:pt>
                <c:pt idx="211">
                  <c:v>2265.46</c:v>
                </c:pt>
                <c:pt idx="212">
                  <c:v>2272.7600000000002</c:v>
                </c:pt>
                <c:pt idx="213">
                  <c:v>2271.54</c:v>
                </c:pt>
                <c:pt idx="214">
                  <c:v>2326.13</c:v>
                </c:pt>
                <c:pt idx="215">
                  <c:v>2314.2399999999998</c:v>
                </c:pt>
                <c:pt idx="216">
                  <c:v>2342.0300000000002</c:v>
                </c:pt>
                <c:pt idx="217">
                  <c:v>2350.92</c:v>
                </c:pt>
                <c:pt idx="218">
                  <c:v>2357.88</c:v>
                </c:pt>
                <c:pt idx="219">
                  <c:v>2357.2199999999998</c:v>
                </c:pt>
                <c:pt idx="220">
                  <c:v>2337.83</c:v>
                </c:pt>
                <c:pt idx="221">
                  <c:v>2363.91</c:v>
                </c:pt>
                <c:pt idx="222">
                  <c:v>2340.11</c:v>
                </c:pt>
                <c:pt idx="223">
                  <c:v>2376.2399999999998</c:v>
                </c:pt>
                <c:pt idx="224">
                  <c:v>2404.04</c:v>
                </c:pt>
                <c:pt idx="225">
                  <c:v>2423.48</c:v>
                </c:pt>
                <c:pt idx="226">
                  <c:v>2468.83</c:v>
                </c:pt>
                <c:pt idx="227">
                  <c:v>2470.15</c:v>
                </c:pt>
                <c:pt idx="228">
                  <c:v>2451.58</c:v>
                </c:pt>
                <c:pt idx="229">
                  <c:v>2470.58</c:v>
                </c:pt>
                <c:pt idx="230">
                  <c:v>2453.7600000000002</c:v>
                </c:pt>
                <c:pt idx="231">
                  <c:v>2447.7600000000002</c:v>
                </c:pt>
                <c:pt idx="232">
                  <c:v>2438.96</c:v>
                </c:pt>
                <c:pt idx="233">
                  <c:v>2423.0100000000002</c:v>
                </c:pt>
                <c:pt idx="234">
                  <c:v>2409.0300000000002</c:v>
                </c:pt>
                <c:pt idx="235">
                  <c:v>2457.25</c:v>
                </c:pt>
                <c:pt idx="236">
                  <c:v>2478.96</c:v>
                </c:pt>
                <c:pt idx="237">
                  <c:v>2460.8000000000002</c:v>
                </c:pt>
                <c:pt idx="238">
                  <c:v>2466.0100000000002</c:v>
                </c:pt>
                <c:pt idx="239">
                  <c:v>2471.91</c:v>
                </c:pt>
                <c:pt idx="240">
                  <c:v>2465.5700000000002</c:v>
                </c:pt>
                <c:pt idx="241">
                  <c:v>2460.65</c:v>
                </c:pt>
                <c:pt idx="242">
                  <c:v>2448.4499999999998</c:v>
                </c:pt>
                <c:pt idx="243">
                  <c:v>2459.8200000000002</c:v>
                </c:pt>
                <c:pt idx="244">
                  <c:v>2458.54</c:v>
                </c:pt>
                <c:pt idx="245">
                  <c:v>2476.11</c:v>
                </c:pt>
                <c:pt idx="246">
                  <c:v>2477.71</c:v>
                </c:pt>
                <c:pt idx="247">
                  <c:v>2464.16</c:v>
                </c:pt>
                <c:pt idx="248">
                  <c:v>2443.98</c:v>
                </c:pt>
                <c:pt idx="249">
                  <c:v>2449.81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2880"/>
        <c:axId val="86604800"/>
      </c:lineChart>
      <c:catAx>
        <c:axId val="86602880"/>
        <c:scaling>
          <c:orientation val="maxMin"/>
        </c:scaling>
        <c:delete val="0"/>
        <c:axPos val="b"/>
        <c:numFmt formatCode="yy/mm/dd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나눔고딕"/>
                <a:ea typeface="나눔고딕"/>
                <a:cs typeface="나눔고딕"/>
              </a:defRPr>
            </a:pPr>
            <a:endParaRPr lang="ko-KR"/>
          </a:p>
        </c:txPr>
        <c:crossAx val="86604800"/>
        <c:crosses val="autoZero"/>
        <c:auto val="0"/>
        <c:lblAlgn val="ctr"/>
        <c:lblOffset val="100"/>
        <c:tickLblSkip val="30"/>
        <c:tickMarkSkip val="1"/>
        <c:noMultiLvlLbl val="0"/>
      </c:catAx>
      <c:valAx>
        <c:axId val="86604800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나눔고딕"/>
                <a:ea typeface="나눔고딕"/>
                <a:cs typeface="나눔고딕"/>
              </a:defRPr>
            </a:pPr>
            <a:endParaRPr lang="ko-KR"/>
          </a:p>
        </c:txPr>
        <c:crossAx val="86602880"/>
        <c:crosses val="max"/>
        <c:crossBetween val="between"/>
        <c:majorUnit val="300"/>
      </c:valAx>
      <c:catAx>
        <c:axId val="105591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2552576"/>
        <c:crossesAt val="34"/>
        <c:auto val="0"/>
        <c:lblAlgn val="ctr"/>
        <c:lblOffset val="100"/>
        <c:noMultiLvlLbl val="0"/>
      </c:catAx>
      <c:valAx>
        <c:axId val="112552576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나눔고딕"/>
                <a:ea typeface="나눔고딕"/>
                <a:cs typeface="나눔고딕"/>
              </a:defRPr>
            </a:pPr>
            <a:endParaRPr lang="ko-KR"/>
          </a:p>
        </c:txPr>
        <c:crossAx val="105591552"/>
        <c:crosses val="max"/>
        <c:crossBetween val="between"/>
        <c:maj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/>
      <c:overlay val="0"/>
      <c:spPr>
        <a:noFill/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나눔고딕"/>
              <a:ea typeface="나눔고딕"/>
              <a:cs typeface="나눔고딕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EAEAEA"/>
    </a:solidFill>
    <a:ln w="3175">
      <a:solidFill>
        <a:srgbClr val="969696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28575</xdr:rowOff>
    </xdr:from>
    <xdr:to>
      <xdr:col>19</xdr:col>
      <xdr:colOff>76200</xdr:colOff>
      <xdr:row>44</xdr:row>
      <xdr:rowOff>66675</xdr:rowOff>
    </xdr:to>
    <xdr:graphicFrame macro="">
      <xdr:nvGraphicFramePr>
        <xdr:cNvPr id="3073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15"/>
  <sheetViews>
    <sheetView showGridLines="0" tabSelected="1" workbookViewId="0">
      <selection activeCell="T9" sqref="T9"/>
    </sheetView>
  </sheetViews>
  <sheetFormatPr defaultRowHeight="13.5" x14ac:dyDescent="0.25"/>
  <cols>
    <col min="1" max="1" width="12.42578125" style="17" customWidth="1"/>
    <col min="2" max="2" width="12.85546875" style="16" customWidth="1"/>
    <col min="3" max="3" width="14.5703125" style="16" customWidth="1"/>
    <col min="4" max="4" width="3.5703125" customWidth="1"/>
  </cols>
  <sheetData>
    <row r="1" spans="1:19" ht="18.75" x14ac:dyDescent="0.25">
      <c r="A1" s="30" t="s">
        <v>67</v>
      </c>
      <c r="B1" s="32"/>
      <c r="C1" s="32"/>
      <c r="Q1" s="33" t="s">
        <v>34</v>
      </c>
      <c r="R1" s="33"/>
      <c r="S1" s="33"/>
    </row>
    <row r="2" spans="1:19" ht="6" customHeight="1" x14ac:dyDescent="0.25"/>
    <row r="3" spans="1:19" x14ac:dyDescent="0.25">
      <c r="A3" s="27" t="s">
        <v>32</v>
      </c>
      <c r="B3" s="28" t="s">
        <v>56</v>
      </c>
      <c r="C3" s="28" t="s">
        <v>57</v>
      </c>
    </row>
    <row r="4" spans="1:19" x14ac:dyDescent="0.25">
      <c r="A4" s="29">
        <f>Raw_시세!A5</f>
        <v>43601</v>
      </c>
      <c r="B4" s="24">
        <f>Raw_시세!B5</f>
        <v>2067.69</v>
      </c>
      <c r="C4" s="24">
        <f>Raw_비중!B5</f>
        <v>37.090000000000003</v>
      </c>
    </row>
    <row r="5" spans="1:19" x14ac:dyDescent="0.25">
      <c r="A5" s="29">
        <f>Raw_시세!A6</f>
        <v>43600</v>
      </c>
      <c r="B5" s="24">
        <f>Raw_시세!B6</f>
        <v>2092.7800000000002</v>
      </c>
      <c r="C5" s="24">
        <f>Raw_비중!B6</f>
        <v>37.200000000000003</v>
      </c>
    </row>
    <row r="6" spans="1:19" x14ac:dyDescent="0.25">
      <c r="A6" s="29">
        <f>Raw_시세!A7</f>
        <v>43599</v>
      </c>
      <c r="B6" s="24">
        <f>Raw_시세!B7</f>
        <v>2081.84</v>
      </c>
      <c r="C6" s="24">
        <f>Raw_비중!B7</f>
        <v>37.270000000000003</v>
      </c>
    </row>
    <row r="7" spans="1:19" x14ac:dyDescent="0.25">
      <c r="A7" s="29">
        <f>Raw_시세!A8</f>
        <v>43598</v>
      </c>
      <c r="B7" s="24">
        <f>Raw_시세!B8</f>
        <v>2079.0100000000002</v>
      </c>
      <c r="C7" s="24">
        <f>Raw_비중!B8</f>
        <v>37.369999999999997</v>
      </c>
    </row>
    <row r="8" spans="1:19" x14ac:dyDescent="0.25">
      <c r="A8" s="29">
        <f>Raw_시세!A9</f>
        <v>43595</v>
      </c>
      <c r="B8" s="24">
        <f>Raw_시세!B9</f>
        <v>2108.04</v>
      </c>
      <c r="C8" s="24">
        <f>Raw_비중!B9</f>
        <v>37.29</v>
      </c>
    </row>
    <row r="9" spans="1:19" x14ac:dyDescent="0.25">
      <c r="A9" s="29">
        <f>Raw_시세!A10</f>
        <v>43594</v>
      </c>
      <c r="B9" s="24">
        <f>Raw_시세!B10</f>
        <v>2102.0100000000002</v>
      </c>
      <c r="C9" s="24">
        <f>Raw_비중!B10</f>
        <v>37.26</v>
      </c>
    </row>
    <row r="10" spans="1:19" x14ac:dyDescent="0.25">
      <c r="A10" s="29">
        <f>Raw_시세!A11</f>
        <v>43593</v>
      </c>
      <c r="B10" s="24">
        <f>Raw_시세!B11</f>
        <v>2168.0100000000002</v>
      </c>
      <c r="C10" s="24">
        <f>Raw_비중!B11</f>
        <v>37.380000000000003</v>
      </c>
    </row>
    <row r="11" spans="1:19" x14ac:dyDescent="0.25">
      <c r="A11" s="29">
        <f>Raw_시세!A12</f>
        <v>43592</v>
      </c>
      <c r="B11" s="24">
        <f>Raw_시세!B12</f>
        <v>2176.9899999999998</v>
      </c>
      <c r="C11" s="24">
        <f>Raw_비중!B12</f>
        <v>37.409999999999997</v>
      </c>
    </row>
    <row r="12" spans="1:19" x14ac:dyDescent="0.25">
      <c r="A12" s="29">
        <f>Raw_시세!A13</f>
        <v>43588</v>
      </c>
      <c r="B12" s="24">
        <f>Raw_시세!B13</f>
        <v>2196.3200000000002</v>
      </c>
      <c r="C12" s="24">
        <f>Raw_비중!B13</f>
        <v>37.380000000000003</v>
      </c>
    </row>
    <row r="13" spans="1:19" x14ac:dyDescent="0.25">
      <c r="A13" s="29">
        <f>Raw_시세!A14</f>
        <v>43587</v>
      </c>
      <c r="B13" s="24">
        <f>Raw_시세!B14</f>
        <v>2212.75</v>
      </c>
      <c r="C13" s="24">
        <f>Raw_비중!B14</f>
        <v>37.380000000000003</v>
      </c>
    </row>
    <row r="14" spans="1:19" x14ac:dyDescent="0.25">
      <c r="A14" s="29">
        <f>Raw_시세!A15</f>
        <v>43585</v>
      </c>
      <c r="B14" s="24">
        <f>Raw_시세!B15</f>
        <v>2203.59</v>
      </c>
      <c r="C14" s="24">
        <f>Raw_비중!B15</f>
        <v>37.39</v>
      </c>
    </row>
    <row r="15" spans="1:19" x14ac:dyDescent="0.25">
      <c r="A15" s="29">
        <f>Raw_시세!A16</f>
        <v>43584</v>
      </c>
      <c r="B15" s="24">
        <f>Raw_시세!B16</f>
        <v>2216.4299999999998</v>
      </c>
      <c r="C15" s="24">
        <f>Raw_비중!B16</f>
        <v>37.35</v>
      </c>
    </row>
    <row r="16" spans="1:19" x14ac:dyDescent="0.25">
      <c r="A16" s="29">
        <f>Raw_시세!A17</f>
        <v>43581</v>
      </c>
      <c r="B16" s="24">
        <f>Raw_시세!B17</f>
        <v>2179.31</v>
      </c>
      <c r="C16" s="24">
        <f>Raw_비중!B17</f>
        <v>37.25</v>
      </c>
    </row>
    <row r="17" spans="1:3" x14ac:dyDescent="0.25">
      <c r="A17" s="29">
        <f>Raw_시세!A18</f>
        <v>43580</v>
      </c>
      <c r="B17" s="24">
        <f>Raw_시세!B18</f>
        <v>2190.5</v>
      </c>
      <c r="C17" s="24">
        <f>Raw_비중!B18</f>
        <v>37.25</v>
      </c>
    </row>
    <row r="18" spans="1:3" x14ac:dyDescent="0.25">
      <c r="A18" s="29">
        <f>Raw_시세!A19</f>
        <v>43579</v>
      </c>
      <c r="B18" s="24">
        <f>Raw_시세!B19</f>
        <v>2201.0300000000002</v>
      </c>
      <c r="C18" s="24">
        <f>Raw_비중!B19</f>
        <v>37.159999999999997</v>
      </c>
    </row>
    <row r="19" spans="1:3" x14ac:dyDescent="0.25">
      <c r="A19" s="29">
        <f>Raw_시세!A20</f>
        <v>43578</v>
      </c>
      <c r="B19" s="24">
        <f>Raw_시세!B20</f>
        <v>2220.5100000000002</v>
      </c>
      <c r="C19" s="24">
        <f>Raw_비중!B20</f>
        <v>37.11</v>
      </c>
    </row>
    <row r="20" spans="1:3" x14ac:dyDescent="0.25">
      <c r="A20" s="29">
        <f>Raw_시세!A21</f>
        <v>43577</v>
      </c>
      <c r="B20" s="24">
        <f>Raw_시세!B21</f>
        <v>2216.65</v>
      </c>
      <c r="C20" s="24">
        <f>Raw_비중!B21</f>
        <v>37.1</v>
      </c>
    </row>
    <row r="21" spans="1:3" x14ac:dyDescent="0.25">
      <c r="A21" s="29">
        <f>Raw_시세!A22</f>
        <v>43574</v>
      </c>
      <c r="B21" s="24">
        <f>Raw_시세!B22</f>
        <v>2216.15</v>
      </c>
      <c r="C21" s="24">
        <f>Raw_비중!B22</f>
        <v>37.119999999999997</v>
      </c>
    </row>
    <row r="22" spans="1:3" x14ac:dyDescent="0.25">
      <c r="A22" s="29">
        <f>Raw_시세!A23</f>
        <v>43573</v>
      </c>
      <c r="B22" s="24">
        <f>Raw_시세!B23</f>
        <v>2213.77</v>
      </c>
      <c r="C22" s="24">
        <f>Raw_비중!B23</f>
        <v>37.200000000000003</v>
      </c>
    </row>
    <row r="23" spans="1:3" x14ac:dyDescent="0.25">
      <c r="A23" s="29">
        <f>Raw_시세!A24</f>
        <v>43572</v>
      </c>
      <c r="B23" s="24">
        <f>Raw_시세!B24</f>
        <v>2245.89</v>
      </c>
      <c r="C23" s="24">
        <f>Raw_비중!B24</f>
        <v>37.26</v>
      </c>
    </row>
    <row r="24" spans="1:3" x14ac:dyDescent="0.25">
      <c r="A24" s="29">
        <f>Raw_시세!A25</f>
        <v>43571</v>
      </c>
      <c r="B24" s="24">
        <f>Raw_시세!B25</f>
        <v>2248.63</v>
      </c>
      <c r="C24" s="24">
        <f>Raw_비중!B25</f>
        <v>37.24</v>
      </c>
    </row>
    <row r="25" spans="1:3" x14ac:dyDescent="0.25">
      <c r="A25" s="29">
        <f>Raw_시세!A26</f>
        <v>43570</v>
      </c>
      <c r="B25" s="24">
        <f>Raw_시세!B26</f>
        <v>2242.88</v>
      </c>
      <c r="C25" s="24">
        <f>Raw_비중!B26</f>
        <v>37.200000000000003</v>
      </c>
    </row>
    <row r="26" spans="1:3" x14ac:dyDescent="0.25">
      <c r="A26" s="29">
        <f>Raw_시세!A27</f>
        <v>43567</v>
      </c>
      <c r="B26" s="24">
        <f>Raw_시세!B27</f>
        <v>2233.4499999999998</v>
      </c>
      <c r="C26" s="24">
        <f>Raw_비중!B27</f>
        <v>37.18</v>
      </c>
    </row>
    <row r="27" spans="1:3" x14ac:dyDescent="0.25">
      <c r="A27" s="29">
        <f>Raw_시세!A28</f>
        <v>43566</v>
      </c>
      <c r="B27" s="24">
        <f>Raw_시세!B28</f>
        <v>2224.44</v>
      </c>
      <c r="C27" s="24">
        <f>Raw_비중!B28</f>
        <v>37.17</v>
      </c>
    </row>
    <row r="28" spans="1:3" x14ac:dyDescent="0.25">
      <c r="A28" s="29">
        <f>Raw_시세!A29</f>
        <v>43565</v>
      </c>
      <c r="B28" s="24">
        <f>Raw_시세!B29</f>
        <v>2224.39</v>
      </c>
      <c r="C28" s="24">
        <f>Raw_비중!B29</f>
        <v>37.229999999999997</v>
      </c>
    </row>
    <row r="29" spans="1:3" x14ac:dyDescent="0.25">
      <c r="A29" s="29">
        <f>Raw_시세!A30</f>
        <v>43564</v>
      </c>
      <c r="B29" s="24">
        <f>Raw_시세!B30</f>
        <v>2213.56</v>
      </c>
      <c r="C29" s="24">
        <f>Raw_비중!B30</f>
        <v>37.29</v>
      </c>
    </row>
    <row r="30" spans="1:3" x14ac:dyDescent="0.25">
      <c r="A30" s="29">
        <f>Raw_시세!A31</f>
        <v>43563</v>
      </c>
      <c r="B30" s="24">
        <f>Raw_시세!B31</f>
        <v>2210.6</v>
      </c>
      <c r="C30" s="24">
        <f>Raw_비중!B31</f>
        <v>37.32</v>
      </c>
    </row>
    <row r="31" spans="1:3" x14ac:dyDescent="0.25">
      <c r="A31" s="29">
        <f>Raw_시세!A32</f>
        <v>43560</v>
      </c>
      <c r="B31" s="24">
        <f>Raw_시세!B32</f>
        <v>2209.61</v>
      </c>
      <c r="C31" s="24">
        <f>Raw_비중!B32</f>
        <v>37.32</v>
      </c>
    </row>
    <row r="32" spans="1:3" x14ac:dyDescent="0.25">
      <c r="A32" s="29">
        <f>Raw_시세!A33</f>
        <v>43559</v>
      </c>
      <c r="B32" s="24">
        <f>Raw_시세!B33</f>
        <v>2206.5300000000002</v>
      </c>
      <c r="C32" s="24">
        <f>Raw_비중!B33</f>
        <v>37.299999999999997</v>
      </c>
    </row>
    <row r="33" spans="1:3" x14ac:dyDescent="0.25">
      <c r="A33" s="29">
        <f>Raw_시세!A34</f>
        <v>43558</v>
      </c>
      <c r="B33" s="24">
        <f>Raw_시세!B34</f>
        <v>2203.27</v>
      </c>
      <c r="C33" s="24">
        <f>Raw_비중!B34</f>
        <v>37.229999999999997</v>
      </c>
    </row>
    <row r="34" spans="1:3" x14ac:dyDescent="0.25">
      <c r="A34" s="29">
        <f>Raw_시세!A35</f>
        <v>43557</v>
      </c>
      <c r="B34" s="24">
        <f>Raw_시세!B35</f>
        <v>2177.1799999999998</v>
      </c>
      <c r="C34" s="24">
        <f>Raw_비중!B35</f>
        <v>37.15</v>
      </c>
    </row>
    <row r="35" spans="1:3" x14ac:dyDescent="0.25">
      <c r="A35" s="29">
        <f>Raw_시세!A36</f>
        <v>43556</v>
      </c>
      <c r="B35" s="24">
        <f>Raw_시세!B36</f>
        <v>2168.2800000000002</v>
      </c>
      <c r="C35" s="24">
        <f>Raw_비중!B36</f>
        <v>37.090000000000003</v>
      </c>
    </row>
    <row r="36" spans="1:3" x14ac:dyDescent="0.25">
      <c r="A36" s="29">
        <f>Raw_시세!A37</f>
        <v>43553</v>
      </c>
      <c r="B36" s="24">
        <f>Raw_시세!B37</f>
        <v>2140.67</v>
      </c>
      <c r="C36" s="24">
        <f>Raw_비중!B37</f>
        <v>37.049999999999997</v>
      </c>
    </row>
    <row r="37" spans="1:3" x14ac:dyDescent="0.25">
      <c r="A37" s="29">
        <f>Raw_시세!A38</f>
        <v>43552</v>
      </c>
      <c r="B37" s="24">
        <f>Raw_시세!B38</f>
        <v>2128.1</v>
      </c>
      <c r="C37" s="24">
        <f>Raw_비중!B38</f>
        <v>37.1</v>
      </c>
    </row>
    <row r="38" spans="1:3" x14ac:dyDescent="0.25">
      <c r="A38" s="29">
        <f>Raw_시세!A39</f>
        <v>43551</v>
      </c>
      <c r="B38" s="24">
        <f>Raw_시세!B39</f>
        <v>2145.62</v>
      </c>
      <c r="C38" s="24">
        <f>Raw_비중!B39</f>
        <v>37.14</v>
      </c>
    </row>
    <row r="39" spans="1:3" x14ac:dyDescent="0.25">
      <c r="A39" s="29">
        <f>Raw_시세!A40</f>
        <v>43550</v>
      </c>
      <c r="B39" s="24">
        <f>Raw_시세!B40</f>
        <v>2148.8000000000002</v>
      </c>
      <c r="C39" s="24">
        <f>Raw_비중!B40</f>
        <v>37.119999999999997</v>
      </c>
    </row>
    <row r="40" spans="1:3" x14ac:dyDescent="0.25">
      <c r="A40" s="29">
        <f>Raw_시세!A41</f>
        <v>43549</v>
      </c>
      <c r="B40" s="24">
        <f>Raw_시세!B41</f>
        <v>2144.86</v>
      </c>
      <c r="C40" s="24">
        <f>Raw_비중!B41</f>
        <v>37.159999999999997</v>
      </c>
    </row>
    <row r="41" spans="1:3" x14ac:dyDescent="0.25">
      <c r="A41" s="29">
        <f>Raw_시세!A42</f>
        <v>43546</v>
      </c>
      <c r="B41" s="24">
        <f>Raw_시세!B42</f>
        <v>2186.9499999999998</v>
      </c>
      <c r="C41" s="24">
        <f>Raw_비중!B42</f>
        <v>37.21</v>
      </c>
    </row>
    <row r="42" spans="1:3" x14ac:dyDescent="0.25">
      <c r="A42" s="29">
        <f>Raw_시세!A43</f>
        <v>43545</v>
      </c>
      <c r="B42" s="24">
        <f>Raw_시세!B43</f>
        <v>2184.88</v>
      </c>
      <c r="C42" s="24">
        <f>Raw_비중!B43</f>
        <v>37.049999999999997</v>
      </c>
    </row>
    <row r="43" spans="1:3" x14ac:dyDescent="0.25">
      <c r="A43" s="29">
        <f>Raw_시세!A44</f>
        <v>43544</v>
      </c>
      <c r="B43" s="24">
        <f>Raw_시세!B44</f>
        <v>2177.1</v>
      </c>
      <c r="C43" s="24">
        <f>Raw_비중!B44</f>
        <v>36.69</v>
      </c>
    </row>
    <row r="44" spans="1:3" x14ac:dyDescent="0.25">
      <c r="A44" s="29">
        <f>Raw_시세!A45</f>
        <v>43543</v>
      </c>
      <c r="B44" s="24">
        <f>Raw_시세!B45</f>
        <v>2177.62</v>
      </c>
      <c r="C44" s="24">
        <f>Raw_비중!B45</f>
        <v>36.630000000000003</v>
      </c>
    </row>
    <row r="45" spans="1:3" x14ac:dyDescent="0.25">
      <c r="A45" s="29">
        <f>Raw_시세!A46</f>
        <v>43542</v>
      </c>
      <c r="B45" s="24">
        <f>Raw_시세!B46</f>
        <v>2179.4899999999998</v>
      </c>
      <c r="C45" s="24">
        <f>Raw_비중!B46</f>
        <v>36.590000000000003</v>
      </c>
    </row>
    <row r="46" spans="1:3" x14ac:dyDescent="0.25">
      <c r="A46" s="29">
        <f>Raw_시세!A47</f>
        <v>43539</v>
      </c>
      <c r="B46" s="24">
        <f>Raw_시세!B47</f>
        <v>2176.11</v>
      </c>
      <c r="C46" s="24">
        <f>Raw_비중!B47</f>
        <v>36.65</v>
      </c>
    </row>
    <row r="47" spans="1:3" x14ac:dyDescent="0.25">
      <c r="A47" s="29">
        <f>Raw_시세!A48</f>
        <v>43538</v>
      </c>
      <c r="B47" s="24">
        <f>Raw_시세!B48</f>
        <v>2155.6799999999998</v>
      </c>
      <c r="C47" s="24">
        <f>Raw_비중!B48</f>
        <v>36.58</v>
      </c>
    </row>
    <row r="48" spans="1:3" x14ac:dyDescent="0.25">
      <c r="A48" s="29">
        <f>Raw_시세!A49</f>
        <v>43537</v>
      </c>
      <c r="B48" s="24">
        <f>Raw_시세!B49</f>
        <v>2148.41</v>
      </c>
      <c r="C48" s="24">
        <f>Raw_비중!B49</f>
        <v>36.6</v>
      </c>
    </row>
    <row r="49" spans="1:3" x14ac:dyDescent="0.25">
      <c r="A49" s="29">
        <f>Raw_시세!A50</f>
        <v>43536</v>
      </c>
      <c r="B49" s="24">
        <f>Raw_시세!B50</f>
        <v>2157.1799999999998</v>
      </c>
      <c r="C49" s="24">
        <f>Raw_비중!B50</f>
        <v>36.67</v>
      </c>
    </row>
    <row r="50" spans="1:3" x14ac:dyDescent="0.25">
      <c r="A50" s="29">
        <f>Raw_시세!A51</f>
        <v>43535</v>
      </c>
      <c r="B50" s="24">
        <f>Raw_시세!B51</f>
        <v>2138.1</v>
      </c>
      <c r="C50" s="24">
        <f>Raw_비중!B51</f>
        <v>36.619999999999997</v>
      </c>
    </row>
    <row r="51" spans="1:3" x14ac:dyDescent="0.25">
      <c r="A51" s="29">
        <f>Raw_시세!A52</f>
        <v>43532</v>
      </c>
      <c r="B51" s="24">
        <f>Raw_시세!B52</f>
        <v>2137.44</v>
      </c>
      <c r="C51" s="24">
        <f>Raw_비중!B52</f>
        <v>36.65</v>
      </c>
    </row>
    <row r="52" spans="1:3" x14ac:dyDescent="0.25">
      <c r="A52" s="29">
        <f>Raw_시세!A53</f>
        <v>43531</v>
      </c>
      <c r="B52" s="24">
        <f>Raw_시세!B53</f>
        <v>2165.79</v>
      </c>
      <c r="C52" s="24">
        <f>Raw_비중!B53</f>
        <v>36.729999999999997</v>
      </c>
    </row>
    <row r="53" spans="1:3" x14ac:dyDescent="0.25">
      <c r="A53" s="29">
        <f>Raw_시세!A54</f>
        <v>43530</v>
      </c>
      <c r="B53" s="24">
        <f>Raw_시세!B54</f>
        <v>2175.6</v>
      </c>
      <c r="C53" s="24">
        <f>Raw_비중!B54</f>
        <v>36.61</v>
      </c>
    </row>
    <row r="54" spans="1:3" x14ac:dyDescent="0.25">
      <c r="A54" s="29">
        <f>Raw_시세!A55</f>
        <v>43529</v>
      </c>
      <c r="B54" s="24">
        <f>Raw_시세!B55</f>
        <v>2179.23</v>
      </c>
      <c r="C54" s="24">
        <f>Raw_비중!B55</f>
        <v>36.590000000000003</v>
      </c>
    </row>
    <row r="55" spans="1:3" x14ac:dyDescent="0.25">
      <c r="A55" s="29">
        <f>Raw_시세!A56</f>
        <v>43528</v>
      </c>
      <c r="B55" s="24">
        <f>Raw_시세!B56</f>
        <v>2190.66</v>
      </c>
      <c r="C55" s="24">
        <f>Raw_비중!B56</f>
        <v>36.700000000000003</v>
      </c>
    </row>
    <row r="56" spans="1:3" x14ac:dyDescent="0.25">
      <c r="A56" s="29">
        <f>Raw_시세!A57</f>
        <v>43524</v>
      </c>
      <c r="B56" s="24">
        <f>Raw_시세!B57</f>
        <v>2195.44</v>
      </c>
      <c r="C56" s="24">
        <f>Raw_비중!B57</f>
        <v>36.79</v>
      </c>
    </row>
    <row r="57" spans="1:3" x14ac:dyDescent="0.25">
      <c r="A57" s="29">
        <f>Raw_시세!A58</f>
        <v>43523</v>
      </c>
      <c r="B57" s="24">
        <f>Raw_시세!B58</f>
        <v>2234.79</v>
      </c>
      <c r="C57" s="24">
        <f>Raw_비중!B58</f>
        <v>36.83</v>
      </c>
    </row>
    <row r="58" spans="1:3" x14ac:dyDescent="0.25">
      <c r="A58" s="29">
        <f>Raw_시세!A59</f>
        <v>43522</v>
      </c>
      <c r="B58" s="24">
        <f>Raw_시세!B59</f>
        <v>2226.6</v>
      </c>
      <c r="C58" s="24">
        <f>Raw_비중!B59</f>
        <v>36.869999999999997</v>
      </c>
    </row>
    <row r="59" spans="1:3" x14ac:dyDescent="0.25">
      <c r="A59" s="29">
        <f>Raw_시세!A60</f>
        <v>43521</v>
      </c>
      <c r="B59" s="24">
        <f>Raw_시세!B60</f>
        <v>2232.56</v>
      </c>
      <c r="C59" s="24">
        <f>Raw_비중!B60</f>
        <v>36.93</v>
      </c>
    </row>
    <row r="60" spans="1:3" x14ac:dyDescent="0.25">
      <c r="A60" s="29">
        <f>Raw_시세!A61</f>
        <v>43518</v>
      </c>
      <c r="B60" s="24">
        <f>Raw_시세!B61</f>
        <v>2230.5</v>
      </c>
      <c r="C60" s="24">
        <f>Raw_비중!B61</f>
        <v>36.93</v>
      </c>
    </row>
    <row r="61" spans="1:3" x14ac:dyDescent="0.25">
      <c r="A61" s="29">
        <f>Raw_시세!A62</f>
        <v>43517</v>
      </c>
      <c r="B61" s="24">
        <f>Raw_시세!B62</f>
        <v>2228.66</v>
      </c>
      <c r="C61" s="24">
        <f>Raw_비중!B62</f>
        <v>36.909999999999997</v>
      </c>
    </row>
    <row r="62" spans="1:3" x14ac:dyDescent="0.25">
      <c r="A62" s="29">
        <f>Raw_시세!A63</f>
        <v>43516</v>
      </c>
      <c r="B62" s="24">
        <f>Raw_시세!B63</f>
        <v>2229.7600000000002</v>
      </c>
      <c r="C62" s="24">
        <f>Raw_비중!B63</f>
        <v>36.85</v>
      </c>
    </row>
    <row r="63" spans="1:3" x14ac:dyDescent="0.25">
      <c r="A63" s="29">
        <f>Raw_시세!A64</f>
        <v>43515</v>
      </c>
      <c r="B63" s="24">
        <f>Raw_시세!B64</f>
        <v>2205.63</v>
      </c>
      <c r="C63" s="24">
        <f>Raw_비중!B64</f>
        <v>36.729999999999997</v>
      </c>
    </row>
    <row r="64" spans="1:3" x14ac:dyDescent="0.25">
      <c r="A64" s="29">
        <f>Raw_시세!A65</f>
        <v>43514</v>
      </c>
      <c r="B64" s="24">
        <f>Raw_시세!B65</f>
        <v>2210.89</v>
      </c>
      <c r="C64" s="24">
        <f>Raw_비중!B65</f>
        <v>36.799999999999997</v>
      </c>
    </row>
    <row r="65" spans="1:3" x14ac:dyDescent="0.25">
      <c r="A65" s="29">
        <f>Raw_시세!A66</f>
        <v>43511</v>
      </c>
      <c r="B65" s="24">
        <f>Raw_시세!B66</f>
        <v>2196.09</v>
      </c>
      <c r="C65" s="24">
        <f>Raw_비중!B66</f>
        <v>36.81</v>
      </c>
    </row>
    <row r="66" spans="1:3" x14ac:dyDescent="0.25">
      <c r="A66" s="29">
        <f>Raw_시세!A67</f>
        <v>43510</v>
      </c>
      <c r="B66" s="24">
        <f>Raw_시세!B67</f>
        <v>2225.85</v>
      </c>
      <c r="C66" s="24">
        <f>Raw_비중!B67</f>
        <v>36.979999999999997</v>
      </c>
    </row>
    <row r="67" spans="1:3" x14ac:dyDescent="0.25">
      <c r="A67" s="29">
        <f>Raw_시세!A68</f>
        <v>43509</v>
      </c>
      <c r="B67" s="24">
        <f>Raw_시세!B68</f>
        <v>2201.48</v>
      </c>
      <c r="C67" s="24">
        <f>Raw_비중!B68</f>
        <v>36.869999999999997</v>
      </c>
    </row>
    <row r="68" spans="1:3" x14ac:dyDescent="0.25">
      <c r="A68" s="29">
        <f>Raw_시세!A69</f>
        <v>43508</v>
      </c>
      <c r="B68" s="24">
        <f>Raw_시세!B69</f>
        <v>2190.4699999999998</v>
      </c>
      <c r="C68" s="24">
        <f>Raw_비중!B69</f>
        <v>36.869999999999997</v>
      </c>
    </row>
    <row r="69" spans="1:3" x14ac:dyDescent="0.25">
      <c r="A69" s="29">
        <f>Raw_시세!A70</f>
        <v>43507</v>
      </c>
      <c r="B69" s="24">
        <f>Raw_시세!B70</f>
        <v>2180.73</v>
      </c>
      <c r="C69" s="24">
        <f>Raw_비중!B70</f>
        <v>36.770000000000003</v>
      </c>
    </row>
    <row r="70" spans="1:3" x14ac:dyDescent="0.25">
      <c r="A70" s="29">
        <f>Raw_시세!A71</f>
        <v>43504</v>
      </c>
      <c r="B70" s="24">
        <f>Raw_시세!B71</f>
        <v>2177.0500000000002</v>
      </c>
      <c r="C70" s="24">
        <f>Raw_비중!B71</f>
        <v>36.78</v>
      </c>
    </row>
    <row r="71" spans="1:3" x14ac:dyDescent="0.25">
      <c r="A71" s="29">
        <f>Raw_시세!A72</f>
        <v>43503</v>
      </c>
      <c r="B71" s="24">
        <f>Raw_시세!B72</f>
        <v>2203.42</v>
      </c>
      <c r="C71" s="24">
        <f>Raw_비중!B72</f>
        <v>36.979999999999997</v>
      </c>
    </row>
    <row r="72" spans="1:3" x14ac:dyDescent="0.25">
      <c r="A72" s="29">
        <f>Raw_시세!A73</f>
        <v>43497</v>
      </c>
      <c r="B72" s="24">
        <f>Raw_시세!B73</f>
        <v>2203.46</v>
      </c>
      <c r="C72" s="24">
        <f>Raw_비중!B73</f>
        <v>37.020000000000003</v>
      </c>
    </row>
    <row r="73" spans="1:3" x14ac:dyDescent="0.25">
      <c r="A73" s="29">
        <f>Raw_시세!A74</f>
        <v>43496</v>
      </c>
      <c r="B73" s="24">
        <f>Raw_시세!B74</f>
        <v>2204.85</v>
      </c>
      <c r="C73" s="24">
        <f>Raw_비중!B74</f>
        <v>36.950000000000003</v>
      </c>
    </row>
    <row r="74" spans="1:3" x14ac:dyDescent="0.25">
      <c r="A74" s="29">
        <f>Raw_시세!A75</f>
        <v>43495</v>
      </c>
      <c r="B74" s="24">
        <f>Raw_시세!B75</f>
        <v>2206.1999999999998</v>
      </c>
      <c r="C74" s="24">
        <f>Raw_비중!B75</f>
        <v>36.97</v>
      </c>
    </row>
    <row r="75" spans="1:3" x14ac:dyDescent="0.25">
      <c r="A75" s="29">
        <f>Raw_시세!A76</f>
        <v>43494</v>
      </c>
      <c r="B75" s="24">
        <f>Raw_시세!B76</f>
        <v>2183.36</v>
      </c>
      <c r="C75" s="24">
        <f>Raw_비중!B76</f>
        <v>36.86</v>
      </c>
    </row>
    <row r="76" spans="1:3" x14ac:dyDescent="0.25">
      <c r="A76" s="29">
        <f>Raw_시세!A77</f>
        <v>43493</v>
      </c>
      <c r="B76" s="24">
        <f>Raw_시세!B77</f>
        <v>2177.3000000000002</v>
      </c>
      <c r="C76" s="24">
        <f>Raw_비중!B77</f>
        <v>36.74</v>
      </c>
    </row>
    <row r="77" spans="1:3" x14ac:dyDescent="0.25">
      <c r="A77" s="29">
        <f>Raw_시세!A78</f>
        <v>43490</v>
      </c>
      <c r="B77" s="24">
        <f>Raw_시세!B78</f>
        <v>2177.73</v>
      </c>
      <c r="C77" s="24">
        <f>Raw_비중!B78</f>
        <v>36.71</v>
      </c>
    </row>
    <row r="78" spans="1:3" x14ac:dyDescent="0.25">
      <c r="A78" s="29">
        <f>Raw_시세!A79</f>
        <v>43489</v>
      </c>
      <c r="B78" s="24">
        <f>Raw_시세!B79</f>
        <v>2145.0300000000002</v>
      </c>
      <c r="C78" s="24">
        <f>Raw_비중!B79</f>
        <v>36.51</v>
      </c>
    </row>
    <row r="79" spans="1:3" x14ac:dyDescent="0.25">
      <c r="A79" s="29">
        <f>Raw_시세!A80</f>
        <v>43488</v>
      </c>
      <c r="B79" s="24">
        <f>Raw_시세!B80</f>
        <v>2127.7800000000002</v>
      </c>
      <c r="C79" s="24">
        <f>Raw_비중!B80</f>
        <v>36.33</v>
      </c>
    </row>
    <row r="80" spans="1:3" x14ac:dyDescent="0.25">
      <c r="A80" s="29">
        <f>Raw_시세!A81</f>
        <v>43487</v>
      </c>
      <c r="B80" s="24">
        <f>Raw_시세!B81</f>
        <v>2117.77</v>
      </c>
      <c r="C80" s="24">
        <f>Raw_비중!B81</f>
        <v>36.4</v>
      </c>
    </row>
    <row r="81" spans="1:3" x14ac:dyDescent="0.25">
      <c r="A81" s="29">
        <f>Raw_시세!A82</f>
        <v>43486</v>
      </c>
      <c r="B81" s="24">
        <f>Raw_시세!B82</f>
        <v>2124.61</v>
      </c>
      <c r="C81" s="24">
        <f>Raw_비중!B82</f>
        <v>36.479999999999997</v>
      </c>
    </row>
    <row r="82" spans="1:3" x14ac:dyDescent="0.25">
      <c r="A82" s="29">
        <f>Raw_시세!A83</f>
        <v>43483</v>
      </c>
      <c r="B82" s="24">
        <f>Raw_시세!B83</f>
        <v>2124.2800000000002</v>
      </c>
      <c r="C82" s="24">
        <f>Raw_비중!B83</f>
        <v>36.43</v>
      </c>
    </row>
    <row r="83" spans="1:3" x14ac:dyDescent="0.25">
      <c r="A83" s="29">
        <f>Raw_시세!A84</f>
        <v>43482</v>
      </c>
      <c r="B83" s="24">
        <f>Raw_시세!B84</f>
        <v>2107.06</v>
      </c>
      <c r="C83" s="24">
        <f>Raw_비중!B84</f>
        <v>36.49</v>
      </c>
    </row>
    <row r="84" spans="1:3" x14ac:dyDescent="0.25">
      <c r="A84" s="29">
        <f>Raw_시세!A85</f>
        <v>43481</v>
      </c>
      <c r="B84" s="24">
        <f>Raw_시세!B85</f>
        <v>2106.1</v>
      </c>
      <c r="C84" s="24">
        <f>Raw_비중!B85</f>
        <v>36.299999999999997</v>
      </c>
    </row>
    <row r="85" spans="1:3" x14ac:dyDescent="0.25">
      <c r="A85" s="29">
        <f>Raw_시세!A86</f>
        <v>43480</v>
      </c>
      <c r="B85" s="24">
        <f>Raw_시세!B86</f>
        <v>2097.1799999999998</v>
      </c>
      <c r="C85" s="24">
        <f>Raw_비중!B86</f>
        <v>36.21</v>
      </c>
    </row>
    <row r="86" spans="1:3" x14ac:dyDescent="0.25">
      <c r="A86" s="29">
        <f>Raw_시세!A87</f>
        <v>43479</v>
      </c>
      <c r="B86" s="24">
        <f>Raw_시세!B87</f>
        <v>2064.52</v>
      </c>
      <c r="C86" s="24">
        <f>Raw_비중!B87</f>
        <v>36.03</v>
      </c>
    </row>
    <row r="87" spans="1:3" x14ac:dyDescent="0.25">
      <c r="A87" s="29">
        <f>Raw_시세!A88</f>
        <v>43476</v>
      </c>
      <c r="B87" s="24">
        <f>Raw_시세!B88</f>
        <v>2075.5700000000002</v>
      </c>
      <c r="C87" s="24">
        <f>Raw_비중!B88</f>
        <v>36.119999999999997</v>
      </c>
    </row>
    <row r="88" spans="1:3" x14ac:dyDescent="0.25">
      <c r="A88" s="29">
        <f>Raw_시세!A89</f>
        <v>43475</v>
      </c>
      <c r="B88" s="24">
        <f>Raw_시세!B89</f>
        <v>2063.2800000000002</v>
      </c>
      <c r="C88" s="24">
        <f>Raw_비중!B89</f>
        <v>36.07</v>
      </c>
    </row>
    <row r="89" spans="1:3" x14ac:dyDescent="0.25">
      <c r="A89" s="29">
        <f>Raw_시세!A90</f>
        <v>43474</v>
      </c>
      <c r="B89" s="24">
        <f>Raw_시세!B90</f>
        <v>2064.71</v>
      </c>
      <c r="C89" s="24">
        <f>Raw_비중!B90</f>
        <v>36.04</v>
      </c>
    </row>
    <row r="90" spans="1:3" x14ac:dyDescent="0.25">
      <c r="A90" s="29">
        <f>Raw_시세!A91</f>
        <v>43473</v>
      </c>
      <c r="B90" s="24">
        <f>Raw_시세!B91</f>
        <v>2025.27</v>
      </c>
      <c r="C90" s="24">
        <f>Raw_비중!B91</f>
        <v>35.82</v>
      </c>
    </row>
    <row r="91" spans="1:3" x14ac:dyDescent="0.25">
      <c r="A91" s="29">
        <f>Raw_시세!A92</f>
        <v>43472</v>
      </c>
      <c r="B91" s="24">
        <f>Raw_시세!B92</f>
        <v>2037.1</v>
      </c>
      <c r="C91" s="24">
        <f>Raw_비중!B92</f>
        <v>35.92</v>
      </c>
    </row>
    <row r="92" spans="1:3" x14ac:dyDescent="0.25">
      <c r="A92" s="29">
        <f>Raw_시세!A93</f>
        <v>43469</v>
      </c>
      <c r="B92" s="24">
        <f>Raw_시세!B93</f>
        <v>2010.25</v>
      </c>
      <c r="C92" s="24">
        <f>Raw_비중!B93</f>
        <v>35.76</v>
      </c>
    </row>
    <row r="93" spans="1:3" x14ac:dyDescent="0.25">
      <c r="A93" s="29">
        <f>Raw_시세!A94</f>
        <v>43468</v>
      </c>
      <c r="B93" s="24">
        <f>Raw_시세!B94</f>
        <v>1993.7</v>
      </c>
      <c r="C93" s="24">
        <f>Raw_비중!B94</f>
        <v>35.869999999999997</v>
      </c>
    </row>
    <row r="94" spans="1:3" x14ac:dyDescent="0.25">
      <c r="A94" s="29">
        <f>Raw_시세!A95</f>
        <v>43467</v>
      </c>
      <c r="B94" s="24">
        <f>Raw_시세!B95</f>
        <v>2010</v>
      </c>
      <c r="C94" s="24">
        <f>Raw_비중!B95</f>
        <v>35.909999999999997</v>
      </c>
    </row>
    <row r="95" spans="1:3" x14ac:dyDescent="0.25">
      <c r="A95" s="29">
        <f>Raw_시세!A96</f>
        <v>43462</v>
      </c>
      <c r="B95" s="24">
        <f>Raw_시세!B96</f>
        <v>2041.04</v>
      </c>
      <c r="C95" s="24">
        <f>Raw_비중!B96</f>
        <v>35.83</v>
      </c>
    </row>
    <row r="96" spans="1:3" x14ac:dyDescent="0.25">
      <c r="A96" s="29">
        <f>Raw_시세!A97</f>
        <v>43461</v>
      </c>
      <c r="B96" s="24">
        <f>Raw_시세!B97</f>
        <v>2028.44</v>
      </c>
      <c r="C96" s="24">
        <f>Raw_비중!B97</f>
        <v>35.840000000000003</v>
      </c>
    </row>
    <row r="97" spans="1:3" x14ac:dyDescent="0.25">
      <c r="A97" s="29">
        <f>Raw_시세!A98</f>
        <v>43460</v>
      </c>
      <c r="B97" s="24">
        <f>Raw_시세!B98</f>
        <v>2028.01</v>
      </c>
      <c r="C97" s="24">
        <f>Raw_비중!B98</f>
        <v>35.97</v>
      </c>
    </row>
    <row r="98" spans="1:3" x14ac:dyDescent="0.25">
      <c r="A98" s="29">
        <f>Raw_시세!A99</f>
        <v>43458</v>
      </c>
      <c r="B98" s="24">
        <f>Raw_시세!B99</f>
        <v>2055.0100000000002</v>
      </c>
      <c r="C98" s="24">
        <f>Raw_비중!B99</f>
        <v>36</v>
      </c>
    </row>
    <row r="99" spans="1:3" x14ac:dyDescent="0.25">
      <c r="A99" s="29">
        <f>Raw_시세!A100</f>
        <v>43455</v>
      </c>
      <c r="B99" s="24">
        <f>Raw_시세!B100</f>
        <v>2061.4899999999998</v>
      </c>
      <c r="C99" s="24">
        <f>Raw_비중!B100</f>
        <v>35.97</v>
      </c>
    </row>
    <row r="100" spans="1:3" x14ac:dyDescent="0.25">
      <c r="A100" s="29">
        <f>Raw_시세!A101</f>
        <v>43454</v>
      </c>
      <c r="B100" s="24">
        <f>Raw_시세!B101</f>
        <v>2060.12</v>
      </c>
      <c r="C100" s="24">
        <f>Raw_비중!B101</f>
        <v>36</v>
      </c>
    </row>
    <row r="101" spans="1:3" x14ac:dyDescent="0.25">
      <c r="A101" s="29">
        <f>Raw_시세!A102</f>
        <v>43453</v>
      </c>
      <c r="B101" s="24">
        <f>Raw_시세!B102</f>
        <v>2078.84</v>
      </c>
      <c r="C101" s="24">
        <f>Raw_비중!B102</f>
        <v>36.03</v>
      </c>
    </row>
    <row r="102" spans="1:3" x14ac:dyDescent="0.25">
      <c r="A102" s="29">
        <f>Raw_시세!A103</f>
        <v>43452</v>
      </c>
      <c r="B102" s="24">
        <f>Raw_시세!B103</f>
        <v>2062.11</v>
      </c>
      <c r="C102" s="24">
        <f>Raw_비중!B103</f>
        <v>36.06</v>
      </c>
    </row>
    <row r="103" spans="1:3" x14ac:dyDescent="0.25">
      <c r="A103" s="29">
        <f>Raw_시세!A104</f>
        <v>43451</v>
      </c>
      <c r="B103" s="24">
        <f>Raw_시세!B104</f>
        <v>2071.09</v>
      </c>
      <c r="C103" s="24">
        <f>Raw_비중!B104</f>
        <v>36.1</v>
      </c>
    </row>
    <row r="104" spans="1:3" x14ac:dyDescent="0.25">
      <c r="A104" s="29">
        <f>Raw_시세!A105</f>
        <v>43448</v>
      </c>
      <c r="B104" s="24">
        <f>Raw_시세!B105</f>
        <v>2069.38</v>
      </c>
      <c r="C104" s="24">
        <f>Raw_비중!B105</f>
        <v>36.090000000000003</v>
      </c>
    </row>
    <row r="105" spans="1:3" x14ac:dyDescent="0.25">
      <c r="A105" s="29">
        <f>Raw_시세!A106</f>
        <v>43447</v>
      </c>
      <c r="B105" s="24">
        <f>Raw_시세!B106</f>
        <v>2095.5500000000002</v>
      </c>
      <c r="C105" s="24">
        <f>Raw_비중!B106</f>
        <v>36.18</v>
      </c>
    </row>
    <row r="106" spans="1:3" x14ac:dyDescent="0.25">
      <c r="A106" s="29">
        <f>Raw_시세!A107</f>
        <v>43446</v>
      </c>
      <c r="B106" s="24">
        <f>Raw_시세!B107</f>
        <v>2082.5700000000002</v>
      </c>
      <c r="C106" s="24">
        <f>Raw_비중!B107</f>
        <v>36.28</v>
      </c>
    </row>
    <row r="107" spans="1:3" x14ac:dyDescent="0.25">
      <c r="A107" s="29">
        <f>Raw_시세!A108</f>
        <v>43445</v>
      </c>
      <c r="B107" s="24">
        <f>Raw_시세!B108</f>
        <v>2052.9699999999998</v>
      </c>
      <c r="C107" s="24">
        <f>Raw_비중!B108</f>
        <v>35.770000000000003</v>
      </c>
    </row>
    <row r="108" spans="1:3" x14ac:dyDescent="0.25">
      <c r="A108" s="29">
        <f>Raw_시세!A109</f>
        <v>43444</v>
      </c>
      <c r="B108" s="24">
        <f>Raw_시세!B109</f>
        <v>2053.79</v>
      </c>
      <c r="C108" s="24">
        <f>Raw_비중!B109</f>
        <v>35.81</v>
      </c>
    </row>
    <row r="109" spans="1:3" x14ac:dyDescent="0.25">
      <c r="A109" s="29">
        <f>Raw_시세!A110</f>
        <v>43441</v>
      </c>
      <c r="B109" s="24">
        <f>Raw_시세!B110</f>
        <v>2075.7600000000002</v>
      </c>
      <c r="C109" s="24">
        <f>Raw_비중!B110</f>
        <v>35.9</v>
      </c>
    </row>
    <row r="110" spans="1:3" x14ac:dyDescent="0.25">
      <c r="A110" s="29">
        <f>Raw_시세!A111</f>
        <v>43440</v>
      </c>
      <c r="B110" s="24">
        <f>Raw_시세!B111</f>
        <v>2068.69</v>
      </c>
      <c r="C110" s="24">
        <f>Raw_비중!B111</f>
        <v>35.9</v>
      </c>
    </row>
    <row r="111" spans="1:3" x14ac:dyDescent="0.25">
      <c r="A111" s="29">
        <f>Raw_시세!A112</f>
        <v>43439</v>
      </c>
      <c r="B111" s="24">
        <f>Raw_시세!B112</f>
        <v>2101.31</v>
      </c>
      <c r="C111" s="24">
        <f>Raw_비중!B112</f>
        <v>35.94</v>
      </c>
    </row>
    <row r="112" spans="1:3" x14ac:dyDescent="0.25">
      <c r="A112" s="29">
        <f>Raw_시세!A113</f>
        <v>43438</v>
      </c>
      <c r="B112" s="24">
        <f>Raw_시세!B113</f>
        <v>2114.35</v>
      </c>
      <c r="C112" s="24">
        <f>Raw_비중!B113</f>
        <v>36.01</v>
      </c>
    </row>
    <row r="113" spans="1:3" x14ac:dyDescent="0.25">
      <c r="A113" s="29">
        <f>Raw_시세!A114</f>
        <v>43437</v>
      </c>
      <c r="B113" s="24">
        <f>Raw_시세!B114</f>
        <v>2131.9299999999998</v>
      </c>
      <c r="C113" s="24">
        <f>Raw_비중!B114</f>
        <v>36.1</v>
      </c>
    </row>
    <row r="114" spans="1:3" x14ac:dyDescent="0.25">
      <c r="A114" s="29">
        <f>Raw_시세!A115</f>
        <v>43434</v>
      </c>
      <c r="B114" s="24">
        <f>Raw_시세!B115</f>
        <v>2096.86</v>
      </c>
      <c r="C114" s="24">
        <f>Raw_비중!B115</f>
        <v>36.01</v>
      </c>
    </row>
    <row r="115" spans="1:3" x14ac:dyDescent="0.25">
      <c r="A115" s="29">
        <f>Raw_시세!A116</f>
        <v>43433</v>
      </c>
      <c r="B115" s="24">
        <f>Raw_시세!B116</f>
        <v>2114.1</v>
      </c>
      <c r="C115" s="24">
        <f>Raw_비중!B116</f>
        <v>36.130000000000003</v>
      </c>
    </row>
    <row r="116" spans="1:3" x14ac:dyDescent="0.25">
      <c r="A116" s="29">
        <f>Raw_시세!A117</f>
        <v>43432</v>
      </c>
      <c r="B116" s="24">
        <f>Raw_시세!B117</f>
        <v>2108.2199999999998</v>
      </c>
      <c r="C116" s="24">
        <f>Raw_비중!B117</f>
        <v>36.14</v>
      </c>
    </row>
    <row r="117" spans="1:3" x14ac:dyDescent="0.25">
      <c r="A117" s="29">
        <f>Raw_시세!A118</f>
        <v>43431</v>
      </c>
      <c r="B117" s="24">
        <f>Raw_시세!B118</f>
        <v>2099.42</v>
      </c>
      <c r="C117" s="24">
        <f>Raw_비중!B118</f>
        <v>36.130000000000003</v>
      </c>
    </row>
    <row r="118" spans="1:3" x14ac:dyDescent="0.25">
      <c r="A118" s="29">
        <f>Raw_시세!A119</f>
        <v>43430</v>
      </c>
      <c r="B118" s="24">
        <f>Raw_시세!B119</f>
        <v>2083.02</v>
      </c>
      <c r="C118" s="24">
        <f>Raw_비중!B119</f>
        <v>36.08</v>
      </c>
    </row>
    <row r="119" spans="1:3" x14ac:dyDescent="0.25">
      <c r="A119" s="29">
        <f>Raw_시세!A120</f>
        <v>43427</v>
      </c>
      <c r="B119" s="24">
        <f>Raw_시세!B120</f>
        <v>2057.48</v>
      </c>
      <c r="C119" s="24">
        <f>Raw_비중!B120</f>
        <v>36.159999999999997</v>
      </c>
    </row>
    <row r="120" spans="1:3" x14ac:dyDescent="0.25">
      <c r="A120" s="29">
        <f>Raw_시세!A121</f>
        <v>43426</v>
      </c>
      <c r="B120" s="24">
        <f>Raw_시세!B121</f>
        <v>2069.9499999999998</v>
      </c>
      <c r="C120" s="24">
        <f>Raw_비중!B121</f>
        <v>36.119999999999997</v>
      </c>
    </row>
    <row r="121" spans="1:3" x14ac:dyDescent="0.25">
      <c r="A121" s="29">
        <f>Raw_시세!A122</f>
        <v>43425</v>
      </c>
      <c r="B121" s="24">
        <f>Raw_시세!B122</f>
        <v>2076.5500000000002</v>
      </c>
      <c r="C121" s="24">
        <f>Raw_비중!B122</f>
        <v>36.01</v>
      </c>
    </row>
    <row r="122" spans="1:3" x14ac:dyDescent="0.25">
      <c r="A122" s="29">
        <f>Raw_시세!A123</f>
        <v>43424</v>
      </c>
      <c r="B122" s="24">
        <f>Raw_시세!B123</f>
        <v>2082.58</v>
      </c>
      <c r="C122" s="24">
        <f>Raw_비중!B123</f>
        <v>36.17</v>
      </c>
    </row>
    <row r="123" spans="1:3" x14ac:dyDescent="0.25">
      <c r="A123" s="29">
        <f>Raw_시세!A124</f>
        <v>43423</v>
      </c>
      <c r="B123" s="24">
        <f>Raw_시세!B124</f>
        <v>2100.56</v>
      </c>
      <c r="C123" s="24">
        <f>Raw_비중!B124</f>
        <v>36.32</v>
      </c>
    </row>
    <row r="124" spans="1:3" x14ac:dyDescent="0.25">
      <c r="A124" s="29">
        <f>Raw_시세!A125</f>
        <v>43420</v>
      </c>
      <c r="B124" s="24">
        <f>Raw_시세!B125</f>
        <v>2092.4</v>
      </c>
      <c r="C124" s="24">
        <f>Raw_비중!B125</f>
        <v>36.47</v>
      </c>
    </row>
    <row r="125" spans="1:3" x14ac:dyDescent="0.25">
      <c r="A125" s="29">
        <f>Raw_시세!A126</f>
        <v>43419</v>
      </c>
      <c r="B125" s="24">
        <f>Raw_시세!B126</f>
        <v>2088.06</v>
      </c>
      <c r="C125" s="24">
        <f>Raw_비중!B126</f>
        <v>36.57</v>
      </c>
    </row>
    <row r="126" spans="1:3" x14ac:dyDescent="0.25">
      <c r="A126" s="29">
        <f>Raw_시세!A127</f>
        <v>43418</v>
      </c>
      <c r="B126" s="24">
        <f>Raw_시세!B127</f>
        <v>2068.0500000000002</v>
      </c>
      <c r="C126" s="24">
        <f>Raw_비중!B127</f>
        <v>36.64</v>
      </c>
    </row>
    <row r="127" spans="1:3" x14ac:dyDescent="0.25">
      <c r="A127" s="29">
        <f>Raw_시세!A128</f>
        <v>43417</v>
      </c>
      <c r="B127" s="24">
        <f>Raw_시세!B128</f>
        <v>2071.23</v>
      </c>
      <c r="C127" s="24">
        <f>Raw_비중!B128</f>
        <v>36.74</v>
      </c>
    </row>
    <row r="128" spans="1:3" x14ac:dyDescent="0.25">
      <c r="A128" s="29">
        <f>Raw_시세!A129</f>
        <v>43416</v>
      </c>
      <c r="B128" s="24">
        <f>Raw_시세!B129</f>
        <v>2080.44</v>
      </c>
      <c r="C128" s="24">
        <f>Raw_비중!B129</f>
        <v>36.89</v>
      </c>
    </row>
    <row r="129" spans="1:3" x14ac:dyDescent="0.25">
      <c r="A129" s="29">
        <f>Raw_시세!A130</f>
        <v>43413</v>
      </c>
      <c r="B129" s="24">
        <f>Raw_시세!B130</f>
        <v>2086.09</v>
      </c>
      <c r="C129" s="24">
        <f>Raw_비중!B130</f>
        <v>36.659999999999997</v>
      </c>
    </row>
    <row r="130" spans="1:3" x14ac:dyDescent="0.25">
      <c r="A130" s="29">
        <f>Raw_시세!A131</f>
        <v>43412</v>
      </c>
      <c r="B130" s="24">
        <f>Raw_시세!B131</f>
        <v>2092.63</v>
      </c>
      <c r="C130" s="24">
        <f>Raw_비중!B131</f>
        <v>36.6</v>
      </c>
    </row>
    <row r="131" spans="1:3" x14ac:dyDescent="0.25">
      <c r="A131" s="29">
        <f>Raw_시세!A132</f>
        <v>43411</v>
      </c>
      <c r="B131" s="24">
        <f>Raw_시세!B132</f>
        <v>2078.69</v>
      </c>
      <c r="C131" s="24">
        <f>Raw_비중!B132</f>
        <v>36.659999999999997</v>
      </c>
    </row>
    <row r="132" spans="1:3" x14ac:dyDescent="0.25">
      <c r="A132" s="29">
        <f>Raw_시세!A133</f>
        <v>43410</v>
      </c>
      <c r="B132" s="24">
        <f>Raw_시세!B133</f>
        <v>2089.62</v>
      </c>
      <c r="C132" s="24">
        <f>Raw_비중!B133</f>
        <v>36.54</v>
      </c>
    </row>
    <row r="133" spans="1:3" x14ac:dyDescent="0.25">
      <c r="A133" s="29">
        <f>Raw_시세!A134</f>
        <v>43409</v>
      </c>
      <c r="B133" s="24">
        <f>Raw_시세!B134</f>
        <v>2076.92</v>
      </c>
      <c r="C133" s="24">
        <f>Raw_비중!B134</f>
        <v>36.590000000000003</v>
      </c>
    </row>
    <row r="134" spans="1:3" x14ac:dyDescent="0.25">
      <c r="A134" s="29">
        <f>Raw_시세!A135</f>
        <v>43406</v>
      </c>
      <c r="B134" s="24">
        <f>Raw_시세!B135</f>
        <v>2096</v>
      </c>
      <c r="C134" s="24">
        <f>Raw_비중!B135</f>
        <v>36.64</v>
      </c>
    </row>
    <row r="135" spans="1:3" x14ac:dyDescent="0.25">
      <c r="A135" s="29">
        <f>Raw_시세!A136</f>
        <v>43405</v>
      </c>
      <c r="B135" s="24">
        <f>Raw_시세!B136</f>
        <v>2024.46</v>
      </c>
      <c r="C135" s="24">
        <f>Raw_비중!B136</f>
        <v>36.630000000000003</v>
      </c>
    </row>
    <row r="136" spans="1:3" x14ac:dyDescent="0.25">
      <c r="A136" s="29">
        <f>Raw_시세!A137</f>
        <v>43404</v>
      </c>
      <c r="B136" s="24">
        <f>Raw_시세!B137</f>
        <v>2029.69</v>
      </c>
      <c r="C136" s="24">
        <f>Raw_비중!B137</f>
        <v>36.71</v>
      </c>
    </row>
    <row r="137" spans="1:3" x14ac:dyDescent="0.25">
      <c r="A137" s="29">
        <f>Raw_시세!A138</f>
        <v>43403</v>
      </c>
      <c r="B137" s="24">
        <f>Raw_시세!B138</f>
        <v>2014.69</v>
      </c>
      <c r="C137" s="24">
        <f>Raw_비중!B138</f>
        <v>36.700000000000003</v>
      </c>
    </row>
    <row r="138" spans="1:3" x14ac:dyDescent="0.25">
      <c r="A138" s="29">
        <f>Raw_시세!A139</f>
        <v>43402</v>
      </c>
      <c r="B138" s="24">
        <f>Raw_시세!B139</f>
        <v>1996.05</v>
      </c>
      <c r="C138" s="24">
        <f>Raw_비중!B139</f>
        <v>36.81</v>
      </c>
    </row>
    <row r="139" spans="1:3" x14ac:dyDescent="0.25">
      <c r="A139" s="29">
        <f>Raw_시세!A140</f>
        <v>43399</v>
      </c>
      <c r="B139" s="24">
        <f>Raw_시세!B140</f>
        <v>2027.15</v>
      </c>
      <c r="C139" s="24">
        <f>Raw_비중!B140</f>
        <v>36.56</v>
      </c>
    </row>
    <row r="140" spans="1:3" x14ac:dyDescent="0.25">
      <c r="A140" s="29">
        <f>Raw_시세!A141</f>
        <v>43398</v>
      </c>
      <c r="B140" s="24">
        <f>Raw_시세!B141</f>
        <v>2063.3000000000002</v>
      </c>
      <c r="C140" s="24">
        <f>Raw_비중!B141</f>
        <v>36.340000000000003</v>
      </c>
    </row>
    <row r="141" spans="1:3" x14ac:dyDescent="0.25">
      <c r="A141" s="29">
        <f>Raw_시세!A142</f>
        <v>43397</v>
      </c>
      <c r="B141" s="24">
        <f>Raw_시세!B142</f>
        <v>2097.58</v>
      </c>
      <c r="C141" s="24">
        <f>Raw_비중!B142</f>
        <v>36.47</v>
      </c>
    </row>
    <row r="142" spans="1:3" x14ac:dyDescent="0.25">
      <c r="A142" s="29">
        <f>Raw_시세!A143</f>
        <v>43396</v>
      </c>
      <c r="B142" s="24">
        <f>Raw_시세!B143</f>
        <v>2106.1</v>
      </c>
      <c r="C142" s="24">
        <f>Raw_비중!B143</f>
        <v>36.450000000000003</v>
      </c>
    </row>
    <row r="143" spans="1:3" x14ac:dyDescent="0.25">
      <c r="A143" s="29">
        <f>Raw_시세!A144</f>
        <v>43395</v>
      </c>
      <c r="B143" s="24">
        <f>Raw_시세!B144</f>
        <v>2161.71</v>
      </c>
      <c r="C143" s="24">
        <f>Raw_비중!B144</f>
        <v>36.35</v>
      </c>
    </row>
    <row r="144" spans="1:3" x14ac:dyDescent="0.25">
      <c r="A144" s="29">
        <f>Raw_시세!A145</f>
        <v>43392</v>
      </c>
      <c r="B144" s="24">
        <f>Raw_시세!B145</f>
        <v>2156.2600000000002</v>
      </c>
      <c r="C144" s="24">
        <f>Raw_비중!B145</f>
        <v>36.32</v>
      </c>
    </row>
    <row r="145" spans="1:3" x14ac:dyDescent="0.25">
      <c r="A145" s="29">
        <f>Raw_시세!A146</f>
        <v>43391</v>
      </c>
      <c r="B145" s="24">
        <f>Raw_시세!B146</f>
        <v>2148.31</v>
      </c>
      <c r="C145" s="24">
        <f>Raw_비중!B146</f>
        <v>36.39</v>
      </c>
    </row>
    <row r="146" spans="1:3" x14ac:dyDescent="0.25">
      <c r="A146" s="29">
        <f>Raw_시세!A147</f>
        <v>43390</v>
      </c>
      <c r="B146" s="24">
        <f>Raw_시세!B147</f>
        <v>2167.5100000000002</v>
      </c>
      <c r="C146" s="24">
        <f>Raw_비중!B147</f>
        <v>36.380000000000003</v>
      </c>
    </row>
    <row r="147" spans="1:3" x14ac:dyDescent="0.25">
      <c r="A147" s="29">
        <f>Raw_시세!A148</f>
        <v>43389</v>
      </c>
      <c r="B147" s="24">
        <f>Raw_시세!B148</f>
        <v>2145.12</v>
      </c>
      <c r="C147" s="24">
        <f>Raw_비중!B148</f>
        <v>36.31</v>
      </c>
    </row>
    <row r="148" spans="1:3" x14ac:dyDescent="0.25">
      <c r="A148" s="29">
        <f>Raw_시세!A149</f>
        <v>43388</v>
      </c>
      <c r="B148" s="24">
        <f>Raw_시세!B149</f>
        <v>2145.12</v>
      </c>
      <c r="C148" s="24">
        <f>Raw_비중!B149</f>
        <v>36.369999999999997</v>
      </c>
    </row>
    <row r="149" spans="1:3" x14ac:dyDescent="0.25">
      <c r="A149" s="29">
        <f>Raw_시세!A150</f>
        <v>43385</v>
      </c>
      <c r="B149" s="24">
        <f>Raw_시세!B150</f>
        <v>2161.85</v>
      </c>
      <c r="C149" s="24">
        <f>Raw_비중!B150</f>
        <v>36.36</v>
      </c>
    </row>
    <row r="150" spans="1:3" x14ac:dyDescent="0.25">
      <c r="A150" s="29">
        <f>Raw_시세!A151</f>
        <v>43384</v>
      </c>
      <c r="B150" s="24">
        <f>Raw_시세!B151</f>
        <v>2129.67</v>
      </c>
      <c r="C150" s="24">
        <f>Raw_비중!B151</f>
        <v>36.35</v>
      </c>
    </row>
    <row r="151" spans="1:3" x14ac:dyDescent="0.25">
      <c r="A151" s="29">
        <f>Raw_시세!A152</f>
        <v>43383</v>
      </c>
      <c r="B151" s="24">
        <f>Raw_시세!B152</f>
        <v>2228.61</v>
      </c>
      <c r="C151" s="24">
        <f>Raw_비중!B152</f>
        <v>36.340000000000003</v>
      </c>
    </row>
    <row r="152" spans="1:3" x14ac:dyDescent="0.25">
      <c r="A152" s="29">
        <f>Raw_시세!A153</f>
        <v>43381</v>
      </c>
      <c r="B152" s="24">
        <f>Raw_시세!B153</f>
        <v>2253.83</v>
      </c>
      <c r="C152" s="24">
        <f>Raw_비중!B153</f>
        <v>36.11</v>
      </c>
    </row>
    <row r="153" spans="1:3" x14ac:dyDescent="0.25">
      <c r="A153" s="29">
        <f>Raw_시세!A154</f>
        <v>43378</v>
      </c>
      <c r="B153" s="24">
        <f>Raw_시세!B154</f>
        <v>2267.52</v>
      </c>
      <c r="C153" s="24">
        <f>Raw_비중!B154</f>
        <v>36.049999999999997</v>
      </c>
    </row>
    <row r="154" spans="1:3" x14ac:dyDescent="0.25">
      <c r="A154" s="29">
        <f>Raw_시세!A155</f>
        <v>43377</v>
      </c>
      <c r="B154" s="24">
        <f>Raw_시세!B155</f>
        <v>2274.4899999999998</v>
      </c>
      <c r="C154" s="24">
        <f>Raw_비중!B155</f>
        <v>36</v>
      </c>
    </row>
    <row r="155" spans="1:3" x14ac:dyDescent="0.25">
      <c r="A155" s="29">
        <f>Raw_시세!A156</f>
        <v>43375</v>
      </c>
      <c r="B155" s="24">
        <f>Raw_시세!B156</f>
        <v>2309.5700000000002</v>
      </c>
      <c r="C155" s="24">
        <f>Raw_비중!B156</f>
        <v>36.1</v>
      </c>
    </row>
    <row r="156" spans="1:3" x14ac:dyDescent="0.25">
      <c r="A156" s="29">
        <f>Raw_시세!A157</f>
        <v>43374</v>
      </c>
      <c r="B156" s="24">
        <f>Raw_시세!B157</f>
        <v>2338.88</v>
      </c>
      <c r="C156" s="24">
        <f>Raw_비중!B157</f>
        <v>36.159999999999997</v>
      </c>
    </row>
    <row r="157" spans="1:3" x14ac:dyDescent="0.25">
      <c r="A157" s="29">
        <f>Raw_시세!A158</f>
        <v>43371</v>
      </c>
      <c r="B157" s="24">
        <f>Raw_시세!B158</f>
        <v>2343.0700000000002</v>
      </c>
      <c r="C157" s="24">
        <f>Raw_비중!B158</f>
        <v>36.1</v>
      </c>
    </row>
    <row r="158" spans="1:3" x14ac:dyDescent="0.25">
      <c r="A158" s="29">
        <f>Raw_시세!A159</f>
        <v>43370</v>
      </c>
      <c r="B158" s="24">
        <f>Raw_시세!B159</f>
        <v>2355.4299999999998</v>
      </c>
      <c r="C158" s="24">
        <f>Raw_비중!B159</f>
        <v>36.159999999999997</v>
      </c>
    </row>
    <row r="159" spans="1:3" x14ac:dyDescent="0.25">
      <c r="A159" s="29">
        <f>Raw_시세!A160</f>
        <v>43364</v>
      </c>
      <c r="B159" s="24">
        <f>Raw_시세!B160</f>
        <v>2339.17</v>
      </c>
      <c r="C159" s="24">
        <f>Raw_비중!B160</f>
        <v>36.15</v>
      </c>
    </row>
    <row r="160" spans="1:3" x14ac:dyDescent="0.25">
      <c r="A160" s="29">
        <f>Raw_시세!A161</f>
        <v>43363</v>
      </c>
      <c r="B160" s="24">
        <f>Raw_시세!B161</f>
        <v>2323.4499999999998</v>
      </c>
      <c r="C160" s="24">
        <f>Raw_비중!B161</f>
        <v>36.130000000000003</v>
      </c>
    </row>
    <row r="161" spans="1:3" x14ac:dyDescent="0.25">
      <c r="A161" s="29">
        <f>Raw_시세!A162</f>
        <v>43362</v>
      </c>
      <c r="B161" s="24">
        <f>Raw_시세!B162</f>
        <v>2308.46</v>
      </c>
      <c r="C161" s="24">
        <f>Raw_비중!B162</f>
        <v>36.01</v>
      </c>
    </row>
    <row r="162" spans="1:3" x14ac:dyDescent="0.25">
      <c r="A162" s="29">
        <f>Raw_시세!A163</f>
        <v>43361</v>
      </c>
      <c r="B162" s="24">
        <f>Raw_시세!B163</f>
        <v>2308.98</v>
      </c>
      <c r="C162" s="24">
        <f>Raw_비중!B163</f>
        <v>35.85</v>
      </c>
    </row>
    <row r="163" spans="1:3" x14ac:dyDescent="0.25">
      <c r="A163" s="29">
        <f>Raw_시세!A164</f>
        <v>43360</v>
      </c>
      <c r="B163" s="24">
        <f>Raw_시세!B164</f>
        <v>2303.0100000000002</v>
      </c>
      <c r="C163" s="24">
        <f>Raw_비중!B164</f>
        <v>35.83</v>
      </c>
    </row>
    <row r="164" spans="1:3" x14ac:dyDescent="0.25">
      <c r="A164" s="29">
        <f>Raw_시세!A165</f>
        <v>43357</v>
      </c>
      <c r="B164" s="24">
        <f>Raw_시세!B165</f>
        <v>2318.25</v>
      </c>
      <c r="C164" s="24">
        <f>Raw_비중!B165</f>
        <v>35.9</v>
      </c>
    </row>
    <row r="165" spans="1:3" x14ac:dyDescent="0.25">
      <c r="A165" s="29">
        <f>Raw_시세!A166</f>
        <v>43356</v>
      </c>
      <c r="B165" s="24">
        <f>Raw_시세!B166</f>
        <v>2286.23</v>
      </c>
      <c r="C165" s="24">
        <f>Raw_비중!B166</f>
        <v>35.729999999999997</v>
      </c>
    </row>
    <row r="166" spans="1:3" x14ac:dyDescent="0.25">
      <c r="A166" s="29">
        <f>Raw_시세!A167</f>
        <v>43355</v>
      </c>
      <c r="B166" s="24">
        <f>Raw_시세!B167</f>
        <v>2282.92</v>
      </c>
      <c r="C166" s="24">
        <f>Raw_비중!B167</f>
        <v>35.83</v>
      </c>
    </row>
    <row r="167" spans="1:3" x14ac:dyDescent="0.25">
      <c r="A167" s="29">
        <f>Raw_시세!A168</f>
        <v>43354</v>
      </c>
      <c r="B167" s="24">
        <f>Raw_시세!B168</f>
        <v>2283.1999999999998</v>
      </c>
      <c r="C167" s="24">
        <f>Raw_비중!B168</f>
        <v>35.93</v>
      </c>
    </row>
    <row r="168" spans="1:3" x14ac:dyDescent="0.25">
      <c r="A168" s="29">
        <f>Raw_시세!A169</f>
        <v>43353</v>
      </c>
      <c r="B168" s="24">
        <f>Raw_시세!B169</f>
        <v>2288.66</v>
      </c>
      <c r="C168" s="24">
        <f>Raw_비중!B169</f>
        <v>36.020000000000003</v>
      </c>
    </row>
    <row r="169" spans="1:3" x14ac:dyDescent="0.25">
      <c r="A169" s="29">
        <f>Raw_시세!A170</f>
        <v>43350</v>
      </c>
      <c r="B169" s="24">
        <f>Raw_시세!B170</f>
        <v>2281.58</v>
      </c>
      <c r="C169" s="24">
        <f>Raw_비중!B170</f>
        <v>36.01</v>
      </c>
    </row>
    <row r="170" spans="1:3" x14ac:dyDescent="0.25">
      <c r="A170" s="29">
        <f>Raw_시세!A171</f>
        <v>43349</v>
      </c>
      <c r="B170" s="24">
        <f>Raw_시세!B171</f>
        <v>2287.61</v>
      </c>
      <c r="C170" s="24">
        <f>Raw_비중!B171</f>
        <v>36.229999999999997</v>
      </c>
    </row>
    <row r="171" spans="1:3" x14ac:dyDescent="0.25">
      <c r="A171" s="29">
        <f>Raw_시세!A172</f>
        <v>43348</v>
      </c>
      <c r="B171" s="24">
        <f>Raw_시세!B172</f>
        <v>2291.77</v>
      </c>
      <c r="C171" s="24">
        <f>Raw_비중!B172</f>
        <v>36.31</v>
      </c>
    </row>
    <row r="172" spans="1:3" x14ac:dyDescent="0.25">
      <c r="A172" s="29">
        <f>Raw_시세!A173</f>
        <v>43347</v>
      </c>
      <c r="B172" s="24">
        <f>Raw_시세!B173</f>
        <v>2315.7199999999998</v>
      </c>
      <c r="C172" s="24">
        <f>Raw_비중!B173</f>
        <v>36.44</v>
      </c>
    </row>
    <row r="173" spans="1:3" x14ac:dyDescent="0.25">
      <c r="A173" s="29">
        <f>Raw_시세!A174</f>
        <v>43346</v>
      </c>
      <c r="B173" s="24">
        <f>Raw_시세!B174</f>
        <v>2307.0300000000002</v>
      </c>
      <c r="C173" s="24">
        <f>Raw_비중!B174</f>
        <v>36.44</v>
      </c>
    </row>
    <row r="174" spans="1:3" x14ac:dyDescent="0.25">
      <c r="A174" s="29">
        <f>Raw_시세!A175</f>
        <v>43343</v>
      </c>
      <c r="B174" s="24">
        <f>Raw_시세!B175</f>
        <v>2322.88</v>
      </c>
      <c r="C174" s="24">
        <f>Raw_비중!B175</f>
        <v>36.56</v>
      </c>
    </row>
    <row r="175" spans="1:3" x14ac:dyDescent="0.25">
      <c r="A175" s="29">
        <f>Raw_시세!A176</f>
        <v>43342</v>
      </c>
      <c r="B175" s="24">
        <f>Raw_시세!B176</f>
        <v>2307.35</v>
      </c>
      <c r="C175" s="24">
        <f>Raw_비중!B176</f>
        <v>36.5</v>
      </c>
    </row>
    <row r="176" spans="1:3" x14ac:dyDescent="0.25">
      <c r="A176" s="29">
        <f>Raw_시세!A177</f>
        <v>43341</v>
      </c>
      <c r="B176" s="24">
        <f>Raw_시세!B177</f>
        <v>2309.0300000000002</v>
      </c>
      <c r="C176" s="24">
        <f>Raw_비중!B177</f>
        <v>36.43</v>
      </c>
    </row>
    <row r="177" spans="1:3" x14ac:dyDescent="0.25">
      <c r="A177" s="29">
        <f>Raw_시세!A178</f>
        <v>43340</v>
      </c>
      <c r="B177" s="24">
        <f>Raw_시세!B178</f>
        <v>2303.12</v>
      </c>
      <c r="C177" s="24">
        <f>Raw_비중!B178</f>
        <v>36.44</v>
      </c>
    </row>
    <row r="178" spans="1:3" x14ac:dyDescent="0.25">
      <c r="A178" s="29">
        <f>Raw_시세!A179</f>
        <v>43339</v>
      </c>
      <c r="B178" s="24">
        <f>Raw_시세!B179</f>
        <v>2299.3000000000002</v>
      </c>
      <c r="C178" s="24">
        <f>Raw_비중!B179</f>
        <v>36.42</v>
      </c>
    </row>
    <row r="179" spans="1:3" x14ac:dyDescent="0.25">
      <c r="A179" s="29">
        <f>Raw_시세!A180</f>
        <v>43336</v>
      </c>
      <c r="B179" s="24">
        <f>Raw_시세!B180</f>
        <v>2293.21</v>
      </c>
      <c r="C179" s="24">
        <f>Raw_비중!B180</f>
        <v>36.33</v>
      </c>
    </row>
    <row r="180" spans="1:3" x14ac:dyDescent="0.25">
      <c r="A180" s="29">
        <f>Raw_시세!A181</f>
        <v>43335</v>
      </c>
      <c r="B180" s="24">
        <f>Raw_시세!B181</f>
        <v>2282.6</v>
      </c>
      <c r="C180" s="24">
        <f>Raw_비중!B181</f>
        <v>36.35</v>
      </c>
    </row>
    <row r="181" spans="1:3" x14ac:dyDescent="0.25">
      <c r="A181" s="29">
        <f>Raw_시세!A182</f>
        <v>43334</v>
      </c>
      <c r="B181" s="24">
        <f>Raw_시세!B182</f>
        <v>2273.33</v>
      </c>
      <c r="C181" s="24">
        <f>Raw_비중!B182</f>
        <v>36.340000000000003</v>
      </c>
    </row>
    <row r="182" spans="1:3" x14ac:dyDescent="0.25">
      <c r="A182" s="29">
        <f>Raw_시세!A183</f>
        <v>43333</v>
      </c>
      <c r="B182" s="24">
        <f>Raw_시세!B183</f>
        <v>2270.06</v>
      </c>
      <c r="C182" s="24">
        <f>Raw_비중!B183</f>
        <v>36.200000000000003</v>
      </c>
    </row>
    <row r="183" spans="1:3" x14ac:dyDescent="0.25">
      <c r="A183" s="29">
        <f>Raw_시세!A184</f>
        <v>43332</v>
      </c>
      <c r="B183" s="24">
        <f>Raw_시세!B184</f>
        <v>2247.88</v>
      </c>
      <c r="C183" s="24">
        <f>Raw_비중!B184</f>
        <v>36.15</v>
      </c>
    </row>
    <row r="184" spans="1:3" x14ac:dyDescent="0.25">
      <c r="A184" s="29">
        <f>Raw_시세!A185</f>
        <v>43329</v>
      </c>
      <c r="B184" s="24">
        <f>Raw_시세!B185</f>
        <v>2247.0500000000002</v>
      </c>
      <c r="C184" s="24">
        <f>Raw_비중!B185</f>
        <v>36.18</v>
      </c>
    </row>
    <row r="185" spans="1:3" x14ac:dyDescent="0.25">
      <c r="A185" s="29">
        <f>Raw_시세!A186</f>
        <v>43328</v>
      </c>
      <c r="B185" s="24">
        <f>Raw_시세!B186</f>
        <v>2240.8000000000002</v>
      </c>
      <c r="C185" s="24">
        <f>Raw_비중!B186</f>
        <v>36.229999999999997</v>
      </c>
    </row>
    <row r="186" spans="1:3" x14ac:dyDescent="0.25">
      <c r="A186" s="29">
        <f>Raw_시세!A187</f>
        <v>43326</v>
      </c>
      <c r="B186" s="24">
        <f>Raw_시세!B187</f>
        <v>2258.91</v>
      </c>
      <c r="C186" s="24">
        <f>Raw_비중!B187</f>
        <v>36.33</v>
      </c>
    </row>
    <row r="187" spans="1:3" x14ac:dyDescent="0.25">
      <c r="A187" s="29">
        <f>Raw_시세!A188</f>
        <v>43325</v>
      </c>
      <c r="B187" s="24">
        <f>Raw_시세!B188</f>
        <v>2248.4499999999998</v>
      </c>
      <c r="C187" s="24">
        <f>Raw_비중!B188</f>
        <v>36.369999999999997</v>
      </c>
    </row>
    <row r="188" spans="1:3" x14ac:dyDescent="0.25">
      <c r="A188" s="29">
        <f>Raw_시세!A189</f>
        <v>43322</v>
      </c>
      <c r="B188" s="24">
        <f>Raw_시세!B189</f>
        <v>2282.79</v>
      </c>
      <c r="C188" s="24">
        <f>Raw_비중!B189</f>
        <v>36.24</v>
      </c>
    </row>
    <row r="189" spans="1:3" x14ac:dyDescent="0.25">
      <c r="A189" s="29">
        <f>Raw_시세!A190</f>
        <v>43321</v>
      </c>
      <c r="B189" s="24">
        <f>Raw_시세!B190</f>
        <v>2303.71</v>
      </c>
      <c r="C189" s="24">
        <f>Raw_비중!B190</f>
        <v>36.450000000000003</v>
      </c>
    </row>
    <row r="190" spans="1:3" x14ac:dyDescent="0.25">
      <c r="A190" s="29">
        <f>Raw_시세!A191</f>
        <v>43320</v>
      </c>
      <c r="B190" s="24">
        <f>Raw_시세!B191</f>
        <v>2301.4499999999998</v>
      </c>
      <c r="C190" s="24">
        <f>Raw_비중!B191</f>
        <v>36.479999999999997</v>
      </c>
    </row>
    <row r="191" spans="1:3" x14ac:dyDescent="0.25">
      <c r="A191" s="29">
        <f>Raw_시세!A192</f>
        <v>43319</v>
      </c>
      <c r="B191" s="24">
        <f>Raw_시세!B192</f>
        <v>2300.16</v>
      </c>
      <c r="C191" s="24">
        <f>Raw_비중!B192</f>
        <v>36.46</v>
      </c>
    </row>
    <row r="192" spans="1:3" x14ac:dyDescent="0.25">
      <c r="A192" s="29">
        <f>Raw_시세!A193</f>
        <v>43318</v>
      </c>
      <c r="B192" s="24">
        <f>Raw_시세!B193</f>
        <v>2286.5</v>
      </c>
      <c r="C192" s="24">
        <f>Raw_비중!B193</f>
        <v>36.44</v>
      </c>
    </row>
    <row r="193" spans="1:3" x14ac:dyDescent="0.25">
      <c r="A193" s="29">
        <f>Raw_시세!A194</f>
        <v>43315</v>
      </c>
      <c r="B193" s="24">
        <f>Raw_시세!B194</f>
        <v>2287.6799999999998</v>
      </c>
      <c r="C193" s="24">
        <f>Raw_비중!B194</f>
        <v>36.409999999999997</v>
      </c>
    </row>
    <row r="194" spans="1:3" x14ac:dyDescent="0.25">
      <c r="A194" s="29">
        <f>Raw_시세!A195</f>
        <v>43314</v>
      </c>
      <c r="B194" s="24">
        <f>Raw_시세!B195</f>
        <v>2270.1999999999998</v>
      </c>
      <c r="C194" s="24">
        <f>Raw_비중!B195</f>
        <v>36.46</v>
      </c>
    </row>
    <row r="195" spans="1:3" x14ac:dyDescent="0.25">
      <c r="A195" s="29">
        <f>Raw_시세!A196</f>
        <v>43313</v>
      </c>
      <c r="B195" s="24">
        <f>Raw_시세!B196</f>
        <v>2307.0700000000002</v>
      </c>
      <c r="C195" s="24">
        <f>Raw_비중!B196</f>
        <v>36.54</v>
      </c>
    </row>
    <row r="196" spans="1:3" x14ac:dyDescent="0.25">
      <c r="A196" s="29">
        <f>Raw_시세!A197</f>
        <v>43312</v>
      </c>
      <c r="B196" s="24">
        <f>Raw_시세!B197</f>
        <v>2295.2600000000002</v>
      </c>
      <c r="C196" s="24">
        <f>Raw_비중!B197</f>
        <v>36.590000000000003</v>
      </c>
    </row>
    <row r="197" spans="1:3" x14ac:dyDescent="0.25">
      <c r="A197" s="29">
        <f>Raw_시세!A198</f>
        <v>43311</v>
      </c>
      <c r="B197" s="24">
        <f>Raw_시세!B198</f>
        <v>2293.5100000000002</v>
      </c>
      <c r="C197" s="24">
        <f>Raw_비중!B198</f>
        <v>36.67</v>
      </c>
    </row>
    <row r="198" spans="1:3" x14ac:dyDescent="0.25">
      <c r="A198" s="29">
        <f>Raw_시세!A199</f>
        <v>43308</v>
      </c>
      <c r="B198" s="24">
        <f>Raw_시세!B199</f>
        <v>2294.9899999999998</v>
      </c>
      <c r="C198" s="24">
        <f>Raw_비중!B199</f>
        <v>36.67</v>
      </c>
    </row>
    <row r="199" spans="1:3" x14ac:dyDescent="0.25">
      <c r="A199" s="29">
        <f>Raw_시세!A200</f>
        <v>43307</v>
      </c>
      <c r="B199" s="24">
        <f>Raw_시세!B200</f>
        <v>2289.06</v>
      </c>
      <c r="C199" s="24">
        <f>Raw_비중!B200</f>
        <v>36.67</v>
      </c>
    </row>
    <row r="200" spans="1:3" x14ac:dyDescent="0.25">
      <c r="A200" s="29">
        <f>Raw_시세!A201</f>
        <v>43306</v>
      </c>
      <c r="B200" s="24">
        <f>Raw_시세!B201</f>
        <v>2273.0300000000002</v>
      </c>
      <c r="C200" s="24">
        <f>Raw_비중!B201</f>
        <v>36.659999999999997</v>
      </c>
    </row>
    <row r="201" spans="1:3" x14ac:dyDescent="0.25">
      <c r="A201" s="29">
        <f>Raw_시세!A202</f>
        <v>43305</v>
      </c>
      <c r="B201" s="24">
        <f>Raw_시세!B202</f>
        <v>2280.1999999999998</v>
      </c>
      <c r="C201" s="24">
        <f>Raw_비중!B202</f>
        <v>36.6</v>
      </c>
    </row>
    <row r="202" spans="1:3" x14ac:dyDescent="0.25">
      <c r="A202" s="29">
        <f>Raw_시세!A203</f>
        <v>43304</v>
      </c>
      <c r="B202" s="24">
        <f>Raw_시세!B203</f>
        <v>2269.31</v>
      </c>
      <c r="C202" s="24">
        <f>Raw_비중!B203</f>
        <v>36.69</v>
      </c>
    </row>
    <row r="203" spans="1:3" x14ac:dyDescent="0.25">
      <c r="A203" s="29">
        <f>Raw_시세!A204</f>
        <v>43301</v>
      </c>
      <c r="B203" s="24">
        <f>Raw_시세!B204</f>
        <v>2289.19</v>
      </c>
      <c r="C203" s="24">
        <f>Raw_비중!B204</f>
        <v>36.69</v>
      </c>
    </row>
    <row r="204" spans="1:3" x14ac:dyDescent="0.25">
      <c r="A204" s="29">
        <f>Raw_시세!A205</f>
        <v>43300</v>
      </c>
      <c r="B204" s="24">
        <f>Raw_시세!B205</f>
        <v>2282.29</v>
      </c>
      <c r="C204" s="24">
        <f>Raw_비중!B205</f>
        <v>36.71</v>
      </c>
    </row>
    <row r="205" spans="1:3" x14ac:dyDescent="0.25">
      <c r="A205" s="29">
        <f>Raw_시세!A206</f>
        <v>43299</v>
      </c>
      <c r="B205" s="24">
        <f>Raw_시세!B206</f>
        <v>2290.11</v>
      </c>
      <c r="C205" s="24">
        <f>Raw_비중!B206</f>
        <v>36.64</v>
      </c>
    </row>
    <row r="206" spans="1:3" x14ac:dyDescent="0.25">
      <c r="A206" s="29">
        <f>Raw_시세!A207</f>
        <v>43298</v>
      </c>
      <c r="B206" s="24">
        <f>Raw_시세!B207</f>
        <v>2297.92</v>
      </c>
      <c r="C206" s="24">
        <f>Raw_비중!B207</f>
        <v>36.479999999999997</v>
      </c>
    </row>
    <row r="207" spans="1:3" x14ac:dyDescent="0.25">
      <c r="A207" s="29">
        <f>Raw_시세!A208</f>
        <v>43297</v>
      </c>
      <c r="B207" s="24">
        <f>Raw_시세!B208</f>
        <v>2301.9899999999998</v>
      </c>
      <c r="C207" s="24">
        <f>Raw_비중!B208</f>
        <v>36.49</v>
      </c>
    </row>
    <row r="208" spans="1:3" x14ac:dyDescent="0.25">
      <c r="A208" s="29">
        <f>Raw_시세!A209</f>
        <v>43294</v>
      </c>
      <c r="B208" s="24">
        <f>Raw_시세!B209</f>
        <v>2310.9</v>
      </c>
      <c r="C208" s="24">
        <f>Raw_비중!B209</f>
        <v>36.49</v>
      </c>
    </row>
    <row r="209" spans="1:3" x14ac:dyDescent="0.25">
      <c r="A209" s="29">
        <f>Raw_시세!A210</f>
        <v>43293</v>
      </c>
      <c r="B209" s="24">
        <f>Raw_시세!B210</f>
        <v>2285.06</v>
      </c>
      <c r="C209" s="24">
        <f>Raw_비중!B210</f>
        <v>36.26</v>
      </c>
    </row>
    <row r="210" spans="1:3" x14ac:dyDescent="0.25">
      <c r="A210" s="29">
        <f>Raw_시세!A211</f>
        <v>43292</v>
      </c>
      <c r="B210" s="24">
        <f>Raw_시세!B211</f>
        <v>2280.62</v>
      </c>
      <c r="C210" s="24">
        <f>Raw_비중!B211</f>
        <v>36.409999999999997</v>
      </c>
    </row>
    <row r="211" spans="1:3" x14ac:dyDescent="0.25">
      <c r="A211" s="29">
        <f>Raw_시세!A212</f>
        <v>43291</v>
      </c>
      <c r="B211" s="24">
        <f>Raw_시세!B212</f>
        <v>2294.16</v>
      </c>
      <c r="C211" s="24">
        <f>Raw_비중!B212</f>
        <v>36.39</v>
      </c>
    </row>
    <row r="212" spans="1:3" x14ac:dyDescent="0.25">
      <c r="A212" s="29">
        <f>Raw_시세!A213</f>
        <v>43290</v>
      </c>
      <c r="B212" s="24">
        <f>Raw_시세!B213</f>
        <v>2285.8000000000002</v>
      </c>
      <c r="C212" s="24">
        <f>Raw_비중!B213</f>
        <v>36.36</v>
      </c>
    </row>
    <row r="213" spans="1:3" x14ac:dyDescent="0.25">
      <c r="A213" s="29">
        <f>Raw_시세!A214</f>
        <v>43287</v>
      </c>
      <c r="B213" s="24">
        <f>Raw_시세!B214</f>
        <v>2272.87</v>
      </c>
      <c r="C213" s="24">
        <f>Raw_비중!B214</f>
        <v>36.270000000000003</v>
      </c>
    </row>
    <row r="214" spans="1:3" x14ac:dyDescent="0.25">
      <c r="A214" s="29">
        <f>Raw_시세!A215</f>
        <v>43286</v>
      </c>
      <c r="B214" s="24">
        <f>Raw_시세!B215</f>
        <v>2257.5500000000002</v>
      </c>
      <c r="C214" s="24">
        <f>Raw_비중!B215</f>
        <v>36.47</v>
      </c>
    </row>
    <row r="215" spans="1:3" x14ac:dyDescent="0.25">
      <c r="A215" s="29">
        <f>Raw_시세!A216</f>
        <v>43285</v>
      </c>
      <c r="B215" s="24">
        <f>Raw_시세!B216</f>
        <v>2265.46</v>
      </c>
      <c r="C215" s="24">
        <f>Raw_비중!B216</f>
        <v>36.380000000000003</v>
      </c>
    </row>
    <row r="216" spans="1:3" x14ac:dyDescent="0.25">
      <c r="A216" s="29">
        <f>Raw_시세!A217</f>
        <v>43284</v>
      </c>
      <c r="B216" s="24">
        <f>Raw_시세!B217</f>
        <v>2272.7600000000002</v>
      </c>
      <c r="C216" s="24">
        <f>Raw_비중!B217</f>
        <v>36.380000000000003</v>
      </c>
    </row>
    <row r="217" spans="1:3" x14ac:dyDescent="0.25">
      <c r="A217" s="29">
        <f>Raw_시세!A218</f>
        <v>43283</v>
      </c>
      <c r="B217" s="24">
        <f>Raw_시세!B218</f>
        <v>2271.54</v>
      </c>
      <c r="C217" s="24">
        <f>Raw_비중!B218</f>
        <v>36.340000000000003</v>
      </c>
    </row>
    <row r="218" spans="1:3" x14ac:dyDescent="0.25">
      <c r="A218" s="29">
        <f>Raw_시세!A219</f>
        <v>43280</v>
      </c>
      <c r="B218" s="24">
        <f>Raw_시세!B219</f>
        <v>2326.13</v>
      </c>
      <c r="C218" s="24">
        <f>Raw_비중!B219</f>
        <v>36.299999999999997</v>
      </c>
    </row>
    <row r="219" spans="1:3" x14ac:dyDescent="0.25">
      <c r="A219" s="29">
        <f>Raw_시세!A220</f>
        <v>43279</v>
      </c>
      <c r="B219" s="24">
        <f>Raw_시세!B220</f>
        <v>2314.2399999999998</v>
      </c>
      <c r="C219" s="24">
        <f>Raw_비중!B220</f>
        <v>36.340000000000003</v>
      </c>
    </row>
    <row r="220" spans="1:3" x14ac:dyDescent="0.25">
      <c r="A220" s="29">
        <f>Raw_시세!A221</f>
        <v>43278</v>
      </c>
      <c r="B220" s="24">
        <f>Raw_시세!B221</f>
        <v>2342.0300000000002</v>
      </c>
      <c r="C220" s="24">
        <f>Raw_비중!B221</f>
        <v>36.46</v>
      </c>
    </row>
    <row r="221" spans="1:3" x14ac:dyDescent="0.25">
      <c r="A221" s="29">
        <f>Raw_시세!A222</f>
        <v>43277</v>
      </c>
      <c r="B221" s="24">
        <f>Raw_시세!B222</f>
        <v>2350.92</v>
      </c>
      <c r="C221" s="24">
        <f>Raw_비중!B222</f>
        <v>36.31</v>
      </c>
    </row>
    <row r="222" spans="1:3" x14ac:dyDescent="0.25">
      <c r="A222" s="29">
        <f>Raw_시세!A223</f>
        <v>43276</v>
      </c>
      <c r="B222" s="24">
        <f>Raw_시세!B223</f>
        <v>2357.88</v>
      </c>
      <c r="C222" s="24">
        <f>Raw_비중!B223</f>
        <v>36.270000000000003</v>
      </c>
    </row>
    <row r="223" spans="1:3" x14ac:dyDescent="0.25">
      <c r="A223" s="29">
        <f>Raw_시세!A224</f>
        <v>43273</v>
      </c>
      <c r="B223" s="24">
        <f>Raw_시세!B224</f>
        <v>2357.2199999999998</v>
      </c>
      <c r="C223" s="24">
        <f>Raw_비중!B224</f>
        <v>36.340000000000003</v>
      </c>
    </row>
    <row r="224" spans="1:3" x14ac:dyDescent="0.25">
      <c r="A224" s="29">
        <f>Raw_시세!A225</f>
        <v>43272</v>
      </c>
      <c r="B224" s="24">
        <f>Raw_시세!B225</f>
        <v>2337.83</v>
      </c>
      <c r="C224" s="24">
        <f>Raw_비중!B225</f>
        <v>36.35</v>
      </c>
    </row>
    <row r="225" spans="1:3" x14ac:dyDescent="0.25">
      <c r="A225" s="29">
        <f>Raw_시세!A226</f>
        <v>43271</v>
      </c>
      <c r="B225" s="24">
        <f>Raw_시세!B226</f>
        <v>2363.91</v>
      </c>
      <c r="C225" s="24">
        <f>Raw_비중!B226</f>
        <v>36.28</v>
      </c>
    </row>
    <row r="226" spans="1:3" x14ac:dyDescent="0.25">
      <c r="A226" s="29">
        <f>Raw_시세!A227</f>
        <v>43270</v>
      </c>
      <c r="B226" s="24">
        <f>Raw_시세!B227</f>
        <v>2340.11</v>
      </c>
      <c r="C226" s="24">
        <f>Raw_비중!B227</f>
        <v>36.39</v>
      </c>
    </row>
    <row r="227" spans="1:3" x14ac:dyDescent="0.25">
      <c r="A227" s="29">
        <f>Raw_시세!A228</f>
        <v>43269</v>
      </c>
      <c r="B227" s="24">
        <f>Raw_시세!B228</f>
        <v>2376.2399999999998</v>
      </c>
      <c r="C227" s="24">
        <f>Raw_비중!B228</f>
        <v>36.22</v>
      </c>
    </row>
    <row r="228" spans="1:3" x14ac:dyDescent="0.25">
      <c r="A228" s="29">
        <f>Raw_시세!A229</f>
        <v>43266</v>
      </c>
      <c r="B228" s="24">
        <f>Raw_시세!B229</f>
        <v>2404.04</v>
      </c>
      <c r="C228" s="24">
        <f>Raw_비중!B229</f>
        <v>36.19</v>
      </c>
    </row>
    <row r="229" spans="1:3" x14ac:dyDescent="0.25">
      <c r="A229" s="29">
        <f>Raw_시세!A230</f>
        <v>43265</v>
      </c>
      <c r="B229" s="24">
        <f>Raw_시세!B230</f>
        <v>2423.48</v>
      </c>
      <c r="C229" s="24">
        <f>Raw_비중!B230</f>
        <v>36.28</v>
      </c>
    </row>
    <row r="230" spans="1:3" x14ac:dyDescent="0.25">
      <c r="A230" s="29">
        <f>Raw_시세!A231</f>
        <v>43263</v>
      </c>
      <c r="B230" s="24">
        <f>Raw_시세!B231</f>
        <v>2468.83</v>
      </c>
      <c r="C230" s="24">
        <f>Raw_비중!B231</f>
        <v>36.270000000000003</v>
      </c>
    </row>
    <row r="231" spans="1:3" x14ac:dyDescent="0.25">
      <c r="A231" s="29">
        <f>Raw_시세!A232</f>
        <v>43262</v>
      </c>
      <c r="B231" s="24">
        <f>Raw_시세!B232</f>
        <v>2470.15</v>
      </c>
      <c r="C231" s="24">
        <f>Raw_비중!B232</f>
        <v>36.33</v>
      </c>
    </row>
    <row r="232" spans="1:3" x14ac:dyDescent="0.25">
      <c r="A232" s="29">
        <f>Raw_시세!A233</f>
        <v>43259</v>
      </c>
      <c r="B232" s="24">
        <f>Raw_시세!B233</f>
        <v>2451.58</v>
      </c>
      <c r="C232" s="24">
        <f>Raw_비중!B233</f>
        <v>36.380000000000003</v>
      </c>
    </row>
    <row r="233" spans="1:3" x14ac:dyDescent="0.25">
      <c r="A233" s="29">
        <f>Raw_시세!A234</f>
        <v>43258</v>
      </c>
      <c r="B233" s="24">
        <f>Raw_시세!B234</f>
        <v>2470.58</v>
      </c>
      <c r="C233" s="24">
        <f>Raw_비중!B234</f>
        <v>36.39</v>
      </c>
    </row>
    <row r="234" spans="1:3" x14ac:dyDescent="0.25">
      <c r="A234" s="29">
        <f>Raw_시세!A235</f>
        <v>43256</v>
      </c>
      <c r="B234" s="24">
        <f>Raw_시세!B235</f>
        <v>2453.7600000000002</v>
      </c>
      <c r="C234" s="24">
        <f>Raw_비중!B235</f>
        <v>36.46</v>
      </c>
    </row>
    <row r="235" spans="1:3" x14ac:dyDescent="0.25">
      <c r="A235" s="29">
        <f>Raw_시세!A236</f>
        <v>43255</v>
      </c>
      <c r="B235" s="24">
        <f>Raw_시세!B236</f>
        <v>2447.7600000000002</v>
      </c>
      <c r="C235" s="24">
        <f>Raw_비중!B236</f>
        <v>36.44</v>
      </c>
    </row>
    <row r="236" spans="1:3" x14ac:dyDescent="0.25">
      <c r="A236" s="29">
        <f>Raw_시세!A237</f>
        <v>43252</v>
      </c>
      <c r="B236" s="24">
        <f>Raw_시세!B237</f>
        <v>2438.96</v>
      </c>
      <c r="C236" s="24">
        <f>Raw_비중!B237</f>
        <v>36.54</v>
      </c>
    </row>
    <row r="237" spans="1:3" x14ac:dyDescent="0.25">
      <c r="A237" s="29">
        <f>Raw_시세!A238</f>
        <v>43251</v>
      </c>
      <c r="B237" s="24">
        <f>Raw_시세!B238</f>
        <v>2423.0100000000002</v>
      </c>
      <c r="C237" s="24">
        <f>Raw_비중!B238</f>
        <v>36.5</v>
      </c>
    </row>
    <row r="238" spans="1:3" x14ac:dyDescent="0.25">
      <c r="A238" s="29">
        <f>Raw_시세!A239</f>
        <v>43250</v>
      </c>
      <c r="B238" s="24">
        <f>Raw_시세!B239</f>
        <v>2409.0300000000002</v>
      </c>
      <c r="C238" s="24">
        <f>Raw_비중!B239</f>
        <v>36.36</v>
      </c>
    </row>
    <row r="239" spans="1:3" x14ac:dyDescent="0.25">
      <c r="A239" s="29">
        <f>Raw_시세!A240</f>
        <v>43249</v>
      </c>
      <c r="B239" s="24">
        <f>Raw_시세!B240</f>
        <v>2457.25</v>
      </c>
      <c r="C239" s="24">
        <f>Raw_비중!B240</f>
        <v>36.56</v>
      </c>
    </row>
    <row r="240" spans="1:3" x14ac:dyDescent="0.25">
      <c r="A240" s="29">
        <f>Raw_시세!A241</f>
        <v>43248</v>
      </c>
      <c r="B240" s="24">
        <f>Raw_시세!B241</f>
        <v>2478.96</v>
      </c>
      <c r="C240" s="24">
        <f>Raw_비중!B241</f>
        <v>36.6</v>
      </c>
    </row>
    <row r="241" spans="1:3" x14ac:dyDescent="0.25">
      <c r="A241" s="29">
        <f>Raw_시세!A242</f>
        <v>43245</v>
      </c>
      <c r="B241" s="24">
        <f>Raw_시세!B242</f>
        <v>2460.8000000000002</v>
      </c>
      <c r="C241" s="24">
        <f>Raw_비중!B242</f>
        <v>36.86</v>
      </c>
    </row>
    <row r="242" spans="1:3" x14ac:dyDescent="0.25">
      <c r="A242" s="29">
        <f>Raw_시세!A243</f>
        <v>43244</v>
      </c>
      <c r="B242" s="24">
        <f>Raw_시세!B243</f>
        <v>2466.0100000000002</v>
      </c>
      <c r="C242" s="24">
        <f>Raw_비중!B243</f>
        <v>36.619999999999997</v>
      </c>
    </row>
    <row r="243" spans="1:3" x14ac:dyDescent="0.25">
      <c r="A243" s="29">
        <f>Raw_시세!A244</f>
        <v>43243</v>
      </c>
      <c r="B243" s="24">
        <f>Raw_시세!B244</f>
        <v>2471.91</v>
      </c>
      <c r="C243" s="24">
        <f>Raw_비중!B244</f>
        <v>36.67</v>
      </c>
    </row>
    <row r="244" spans="1:3" x14ac:dyDescent="0.25">
      <c r="A244" s="29">
        <f>Raw_시세!A245</f>
        <v>43241</v>
      </c>
      <c r="B244" s="24">
        <f>Raw_시세!B245</f>
        <v>2465.5700000000002</v>
      </c>
      <c r="C244" s="24">
        <f>Raw_비중!B245</f>
        <v>36.4</v>
      </c>
    </row>
    <row r="245" spans="1:3" x14ac:dyDescent="0.25">
      <c r="A245" s="29">
        <f>Raw_시세!A246</f>
        <v>43238</v>
      </c>
      <c r="B245" s="24">
        <f>Raw_시세!B246</f>
        <v>2460.65</v>
      </c>
      <c r="C245" s="24">
        <f>Raw_비중!B246</f>
        <v>36.369999999999997</v>
      </c>
    </row>
    <row r="246" spans="1:3" x14ac:dyDescent="0.25">
      <c r="A246" s="29">
        <f>Raw_시세!A247</f>
        <v>43237</v>
      </c>
      <c r="B246" s="24">
        <f>Raw_시세!B247</f>
        <v>2448.4499999999998</v>
      </c>
      <c r="C246" s="24">
        <f>Raw_비중!B247</f>
        <v>36.409999999999997</v>
      </c>
    </row>
    <row r="247" spans="1:3" x14ac:dyDescent="0.25">
      <c r="A247" s="29">
        <f>Raw_시세!A248</f>
        <v>43236</v>
      </c>
      <c r="B247" s="24">
        <f>Raw_시세!B248</f>
        <v>2459.8200000000002</v>
      </c>
      <c r="C247" s="24">
        <f>Raw_비중!B248</f>
        <v>36.47</v>
      </c>
    </row>
    <row r="248" spans="1:3" x14ac:dyDescent="0.25">
      <c r="A248" s="29">
        <f>Raw_시세!A249</f>
        <v>43235</v>
      </c>
      <c r="B248" s="24">
        <f>Raw_시세!B249</f>
        <v>2458.54</v>
      </c>
      <c r="C248" s="24">
        <f>Raw_비중!B249</f>
        <v>36.31</v>
      </c>
    </row>
    <row r="249" spans="1:3" x14ac:dyDescent="0.25">
      <c r="A249" s="29">
        <f>Raw_시세!A250</f>
        <v>43234</v>
      </c>
      <c r="B249" s="24">
        <f>Raw_시세!B250</f>
        <v>2476.11</v>
      </c>
      <c r="C249" s="24">
        <f>Raw_비중!B250</f>
        <v>36.46</v>
      </c>
    </row>
    <row r="250" spans="1:3" x14ac:dyDescent="0.25">
      <c r="A250" s="29">
        <f>Raw_시세!A251</f>
        <v>43231</v>
      </c>
      <c r="B250" s="24">
        <f>Raw_시세!B251</f>
        <v>2477.71</v>
      </c>
      <c r="C250" s="24">
        <f>Raw_비중!B251</f>
        <v>36.619999999999997</v>
      </c>
    </row>
    <row r="251" spans="1:3" x14ac:dyDescent="0.25">
      <c r="A251" s="29">
        <f>Raw_시세!A252</f>
        <v>43230</v>
      </c>
      <c r="B251" s="24">
        <f>Raw_시세!B252</f>
        <v>2464.16</v>
      </c>
      <c r="C251" s="24">
        <f>Raw_비중!B252</f>
        <v>36.72</v>
      </c>
    </row>
    <row r="252" spans="1:3" x14ac:dyDescent="0.25">
      <c r="A252" s="29">
        <f>Raw_시세!A253</f>
        <v>43229</v>
      </c>
      <c r="B252" s="24">
        <f>Raw_시세!B253</f>
        <v>2443.98</v>
      </c>
      <c r="C252" s="24">
        <f>Raw_비중!B253</f>
        <v>36.71</v>
      </c>
    </row>
    <row r="253" spans="1:3" x14ac:dyDescent="0.25">
      <c r="A253" s="29">
        <f>Raw_시세!A254</f>
        <v>43228</v>
      </c>
      <c r="B253" s="24">
        <f>Raw_시세!B254</f>
        <v>2449.81</v>
      </c>
      <c r="C253" s="24">
        <f>Raw_비중!B254</f>
        <v>36.96</v>
      </c>
    </row>
    <row r="254" spans="1:3" x14ac:dyDescent="0.25">
      <c r="A254" s="20"/>
      <c r="B254" s="21"/>
      <c r="C254" s="21"/>
    </row>
    <row r="255" spans="1:3" x14ac:dyDescent="0.25">
      <c r="A255" s="20"/>
      <c r="B255" s="21"/>
      <c r="C255" s="21"/>
    </row>
    <row r="256" spans="1:3" x14ac:dyDescent="0.25">
      <c r="A256" s="20"/>
      <c r="B256" s="21"/>
      <c r="C256" s="21"/>
    </row>
    <row r="257" spans="1:3" x14ac:dyDescent="0.25">
      <c r="A257" s="22"/>
      <c r="B257" s="21"/>
      <c r="C257" s="21"/>
    </row>
    <row r="258" spans="1:3" x14ac:dyDescent="0.25">
      <c r="A258" s="22"/>
      <c r="B258" s="21"/>
      <c r="C258" s="21"/>
    </row>
    <row r="259" spans="1:3" x14ac:dyDescent="0.25">
      <c r="A259" s="22"/>
      <c r="B259" s="21"/>
      <c r="C259" s="21"/>
    </row>
    <row r="260" spans="1:3" x14ac:dyDescent="0.25">
      <c r="A260" s="22"/>
      <c r="B260" s="21"/>
      <c r="C260" s="21"/>
    </row>
    <row r="261" spans="1:3" x14ac:dyDescent="0.25">
      <c r="A261" s="22"/>
      <c r="B261" s="21"/>
      <c r="C261" s="21"/>
    </row>
    <row r="262" spans="1:3" x14ac:dyDescent="0.25">
      <c r="A262" s="22"/>
      <c r="B262" s="21"/>
      <c r="C262" s="21"/>
    </row>
    <row r="263" spans="1:3" x14ac:dyDescent="0.25">
      <c r="A263" s="22"/>
      <c r="B263" s="21"/>
      <c r="C263" s="21"/>
    </row>
    <row r="264" spans="1:3" x14ac:dyDescent="0.25">
      <c r="A264" s="22"/>
      <c r="B264" s="21"/>
      <c r="C264" s="21"/>
    </row>
    <row r="265" spans="1:3" x14ac:dyDescent="0.25">
      <c r="A265" s="22"/>
      <c r="B265" s="21"/>
      <c r="C265" s="21"/>
    </row>
    <row r="266" spans="1:3" x14ac:dyDescent="0.25">
      <c r="A266" s="22"/>
      <c r="B266" s="21"/>
      <c r="C266" s="21"/>
    </row>
    <row r="267" spans="1:3" x14ac:dyDescent="0.25">
      <c r="A267" s="22"/>
      <c r="B267" s="21"/>
      <c r="C267" s="21"/>
    </row>
    <row r="268" spans="1:3" x14ac:dyDescent="0.25">
      <c r="A268" s="22"/>
      <c r="B268" s="21"/>
      <c r="C268" s="21"/>
    </row>
    <row r="269" spans="1:3" x14ac:dyDescent="0.25">
      <c r="A269" s="22"/>
      <c r="B269" s="21"/>
      <c r="C269" s="21"/>
    </row>
    <row r="270" spans="1:3" x14ac:dyDescent="0.25">
      <c r="A270" s="22"/>
      <c r="B270" s="21"/>
      <c r="C270" s="21"/>
    </row>
    <row r="271" spans="1:3" x14ac:dyDescent="0.25">
      <c r="A271" s="22"/>
      <c r="B271" s="21"/>
      <c r="C271" s="21"/>
    </row>
    <row r="272" spans="1:3" x14ac:dyDescent="0.25">
      <c r="A272" s="22"/>
      <c r="B272" s="21"/>
      <c r="C272" s="21"/>
    </row>
    <row r="273" spans="1:3" x14ac:dyDescent="0.25">
      <c r="A273" s="22"/>
      <c r="B273" s="21"/>
      <c r="C273" s="21"/>
    </row>
    <row r="274" spans="1:3" x14ac:dyDescent="0.25">
      <c r="A274" s="22"/>
      <c r="B274" s="21"/>
      <c r="C274" s="21"/>
    </row>
    <row r="275" spans="1:3" x14ac:dyDescent="0.25">
      <c r="A275" s="22"/>
      <c r="B275" s="21"/>
      <c r="C275" s="21"/>
    </row>
    <row r="276" spans="1:3" x14ac:dyDescent="0.25">
      <c r="A276" s="22"/>
      <c r="B276" s="21"/>
      <c r="C276" s="21"/>
    </row>
    <row r="277" spans="1:3" x14ac:dyDescent="0.25">
      <c r="A277" s="22"/>
      <c r="B277" s="21"/>
      <c r="C277" s="21"/>
    </row>
    <row r="278" spans="1:3" x14ac:dyDescent="0.25">
      <c r="A278" s="22"/>
      <c r="B278" s="21"/>
      <c r="C278" s="21"/>
    </row>
    <row r="279" spans="1:3" x14ac:dyDescent="0.25">
      <c r="A279" s="22"/>
      <c r="B279" s="21"/>
      <c r="C279" s="21"/>
    </row>
    <row r="280" spans="1:3" x14ac:dyDescent="0.25">
      <c r="A280" s="22"/>
      <c r="B280" s="21"/>
      <c r="C280" s="21"/>
    </row>
    <row r="281" spans="1:3" x14ac:dyDescent="0.25">
      <c r="A281" s="22"/>
      <c r="B281" s="21"/>
      <c r="C281" s="21"/>
    </row>
    <row r="282" spans="1:3" x14ac:dyDescent="0.25">
      <c r="A282" s="22"/>
      <c r="B282" s="21"/>
      <c r="C282" s="21"/>
    </row>
    <row r="283" spans="1:3" x14ac:dyDescent="0.25">
      <c r="A283" s="22"/>
      <c r="B283" s="21"/>
      <c r="C283" s="21"/>
    </row>
    <row r="284" spans="1:3" x14ac:dyDescent="0.25">
      <c r="A284" s="22"/>
      <c r="B284" s="21"/>
      <c r="C284" s="21"/>
    </row>
    <row r="285" spans="1:3" x14ac:dyDescent="0.25">
      <c r="A285" s="22"/>
      <c r="B285" s="21"/>
      <c r="C285" s="21"/>
    </row>
    <row r="286" spans="1:3" x14ac:dyDescent="0.25">
      <c r="A286" s="22"/>
      <c r="B286" s="21"/>
      <c r="C286" s="21"/>
    </row>
    <row r="287" spans="1:3" x14ac:dyDescent="0.25">
      <c r="A287" s="22"/>
      <c r="B287" s="21"/>
      <c r="C287" s="21"/>
    </row>
    <row r="288" spans="1:3" x14ac:dyDescent="0.25">
      <c r="A288" s="22"/>
      <c r="B288" s="21"/>
      <c r="C288" s="21"/>
    </row>
    <row r="289" spans="1:3" x14ac:dyDescent="0.25">
      <c r="A289" s="22"/>
      <c r="B289" s="21"/>
      <c r="C289" s="21"/>
    </row>
    <row r="290" spans="1:3" x14ac:dyDescent="0.25">
      <c r="A290" s="22"/>
      <c r="B290" s="21"/>
      <c r="C290" s="21"/>
    </row>
    <row r="291" spans="1:3" x14ac:dyDescent="0.25">
      <c r="A291" s="22"/>
      <c r="B291" s="21"/>
      <c r="C291" s="21"/>
    </row>
    <row r="292" spans="1:3" x14ac:dyDescent="0.25">
      <c r="A292" s="22"/>
      <c r="B292" s="21"/>
      <c r="C292" s="21"/>
    </row>
    <row r="293" spans="1:3" x14ac:dyDescent="0.25">
      <c r="A293" s="22"/>
      <c r="B293" s="21"/>
      <c r="C293" s="21"/>
    </row>
    <row r="294" spans="1:3" x14ac:dyDescent="0.25">
      <c r="A294" s="22"/>
      <c r="B294" s="21"/>
      <c r="C294" s="21"/>
    </row>
    <row r="295" spans="1:3" x14ac:dyDescent="0.25">
      <c r="A295" s="22"/>
      <c r="B295" s="21"/>
      <c r="C295" s="21"/>
    </row>
    <row r="296" spans="1:3" x14ac:dyDescent="0.25">
      <c r="A296" s="22"/>
      <c r="B296" s="21"/>
      <c r="C296" s="21"/>
    </row>
    <row r="297" spans="1:3" x14ac:dyDescent="0.25">
      <c r="A297" s="22"/>
      <c r="B297" s="21"/>
      <c r="C297" s="21"/>
    </row>
    <row r="298" spans="1:3" x14ac:dyDescent="0.25">
      <c r="A298" s="22"/>
      <c r="B298" s="21"/>
      <c r="C298" s="21"/>
    </row>
    <row r="299" spans="1:3" x14ac:dyDescent="0.25">
      <c r="A299" s="22"/>
      <c r="B299" s="21"/>
      <c r="C299" s="21"/>
    </row>
    <row r="300" spans="1:3" x14ac:dyDescent="0.25">
      <c r="A300" s="22"/>
      <c r="B300" s="21"/>
      <c r="C300" s="21"/>
    </row>
    <row r="301" spans="1:3" x14ac:dyDescent="0.25">
      <c r="A301" s="22"/>
      <c r="B301" s="21"/>
      <c r="C301" s="21"/>
    </row>
    <row r="302" spans="1:3" x14ac:dyDescent="0.25">
      <c r="A302" s="22"/>
      <c r="B302" s="21"/>
      <c r="C302" s="21"/>
    </row>
    <row r="303" spans="1:3" x14ac:dyDescent="0.25">
      <c r="A303" s="22"/>
      <c r="B303" s="21"/>
      <c r="C303" s="21"/>
    </row>
    <row r="304" spans="1:3" x14ac:dyDescent="0.25">
      <c r="A304" s="22"/>
      <c r="B304" s="21"/>
      <c r="C304" s="21"/>
    </row>
    <row r="305" spans="1:3" x14ac:dyDescent="0.25">
      <c r="A305" s="22"/>
      <c r="B305" s="21"/>
      <c r="C305" s="21"/>
    </row>
    <row r="306" spans="1:3" x14ac:dyDescent="0.25">
      <c r="A306" s="22"/>
      <c r="B306" s="21"/>
      <c r="C306" s="21"/>
    </row>
    <row r="307" spans="1:3" x14ac:dyDescent="0.25">
      <c r="A307" s="22"/>
      <c r="B307" s="21"/>
      <c r="C307" s="21"/>
    </row>
    <row r="308" spans="1:3" x14ac:dyDescent="0.25">
      <c r="A308" s="22"/>
      <c r="B308" s="21"/>
      <c r="C308" s="21"/>
    </row>
    <row r="309" spans="1:3" x14ac:dyDescent="0.25">
      <c r="A309" s="22"/>
      <c r="B309" s="21"/>
      <c r="C309" s="21"/>
    </row>
    <row r="310" spans="1:3" x14ac:dyDescent="0.25">
      <c r="A310" s="22"/>
      <c r="B310" s="21"/>
      <c r="C310" s="21"/>
    </row>
    <row r="311" spans="1:3" x14ac:dyDescent="0.25">
      <c r="A311" s="22"/>
      <c r="B311" s="21"/>
      <c r="C311" s="21"/>
    </row>
    <row r="312" spans="1:3" x14ac:dyDescent="0.25">
      <c r="A312" s="22"/>
      <c r="B312" s="21"/>
      <c r="C312" s="21"/>
    </row>
    <row r="313" spans="1:3" x14ac:dyDescent="0.25">
      <c r="A313" s="22"/>
      <c r="B313" s="21"/>
      <c r="C313" s="21"/>
    </row>
    <row r="314" spans="1:3" x14ac:dyDescent="0.25">
      <c r="A314" s="22"/>
      <c r="B314" s="21"/>
      <c r="C314" s="21"/>
    </row>
    <row r="315" spans="1:3" x14ac:dyDescent="0.25">
      <c r="A315" s="22"/>
      <c r="B315" s="21"/>
      <c r="C315" s="21"/>
    </row>
    <row r="316" spans="1:3" x14ac:dyDescent="0.25">
      <c r="A316" s="22"/>
      <c r="B316" s="21"/>
      <c r="C316" s="21"/>
    </row>
    <row r="317" spans="1:3" x14ac:dyDescent="0.25">
      <c r="A317" s="22"/>
      <c r="B317" s="21"/>
      <c r="C317" s="21"/>
    </row>
    <row r="318" spans="1:3" x14ac:dyDescent="0.25">
      <c r="A318" s="22"/>
      <c r="B318" s="21"/>
      <c r="C318" s="21"/>
    </row>
    <row r="319" spans="1:3" x14ac:dyDescent="0.25">
      <c r="A319" s="22"/>
      <c r="B319" s="21"/>
      <c r="C319" s="21"/>
    </row>
    <row r="320" spans="1:3" x14ac:dyDescent="0.25">
      <c r="A320" s="22"/>
      <c r="B320" s="21"/>
      <c r="C320" s="21"/>
    </row>
    <row r="321" spans="1:3" x14ac:dyDescent="0.25">
      <c r="A321" s="22"/>
      <c r="B321" s="21"/>
      <c r="C321" s="21"/>
    </row>
    <row r="322" spans="1:3" x14ac:dyDescent="0.25">
      <c r="A322" s="22"/>
      <c r="B322" s="21"/>
      <c r="C322" s="21"/>
    </row>
    <row r="323" spans="1:3" x14ac:dyDescent="0.25">
      <c r="A323" s="22"/>
      <c r="B323" s="21"/>
      <c r="C323" s="21"/>
    </row>
    <row r="324" spans="1:3" x14ac:dyDescent="0.25">
      <c r="A324" s="22"/>
      <c r="B324" s="21"/>
      <c r="C324" s="21"/>
    </row>
    <row r="325" spans="1:3" x14ac:dyDescent="0.25">
      <c r="A325" s="22"/>
      <c r="B325" s="21"/>
      <c r="C325" s="21"/>
    </row>
    <row r="326" spans="1:3" x14ac:dyDescent="0.25">
      <c r="A326" s="22"/>
      <c r="B326" s="21"/>
      <c r="C326" s="21"/>
    </row>
    <row r="327" spans="1:3" x14ac:dyDescent="0.25">
      <c r="A327" s="22"/>
      <c r="B327" s="21"/>
      <c r="C327" s="21"/>
    </row>
    <row r="328" spans="1:3" x14ac:dyDescent="0.25">
      <c r="A328" s="22"/>
      <c r="B328" s="21"/>
      <c r="C328" s="21"/>
    </row>
    <row r="329" spans="1:3" x14ac:dyDescent="0.25">
      <c r="A329" s="22"/>
      <c r="B329" s="21"/>
      <c r="C329" s="21"/>
    </row>
    <row r="330" spans="1:3" x14ac:dyDescent="0.25">
      <c r="A330" s="22"/>
      <c r="B330" s="21"/>
      <c r="C330" s="21"/>
    </row>
    <row r="331" spans="1:3" x14ac:dyDescent="0.25">
      <c r="A331" s="22"/>
      <c r="B331" s="21"/>
      <c r="C331" s="21"/>
    </row>
    <row r="332" spans="1:3" x14ac:dyDescent="0.25">
      <c r="A332" s="22"/>
      <c r="B332" s="21"/>
      <c r="C332" s="21"/>
    </row>
    <row r="333" spans="1:3" x14ac:dyDescent="0.25">
      <c r="A333" s="22"/>
      <c r="B333" s="21"/>
      <c r="C333" s="21"/>
    </row>
    <row r="334" spans="1:3" x14ac:dyDescent="0.25">
      <c r="A334" s="22"/>
      <c r="B334" s="21"/>
      <c r="C334" s="21"/>
    </row>
    <row r="335" spans="1:3" x14ac:dyDescent="0.25">
      <c r="A335" s="22"/>
      <c r="B335" s="21"/>
      <c r="C335" s="21"/>
    </row>
    <row r="336" spans="1:3" x14ac:dyDescent="0.25">
      <c r="A336" s="22"/>
      <c r="B336" s="21"/>
      <c r="C336" s="21"/>
    </row>
    <row r="337" spans="1:3" x14ac:dyDescent="0.25">
      <c r="A337" s="22"/>
      <c r="B337" s="21"/>
      <c r="C337" s="21"/>
    </row>
    <row r="338" spans="1:3" x14ac:dyDescent="0.25">
      <c r="A338" s="22"/>
      <c r="B338" s="21"/>
      <c r="C338" s="21"/>
    </row>
    <row r="339" spans="1:3" x14ac:dyDescent="0.25">
      <c r="A339" s="22"/>
      <c r="B339" s="21"/>
      <c r="C339" s="21"/>
    </row>
    <row r="340" spans="1:3" x14ac:dyDescent="0.25">
      <c r="A340" s="22"/>
      <c r="B340" s="21"/>
      <c r="C340" s="21"/>
    </row>
    <row r="341" spans="1:3" x14ac:dyDescent="0.25">
      <c r="A341" s="22"/>
      <c r="B341" s="21"/>
      <c r="C341" s="21"/>
    </row>
    <row r="342" spans="1:3" x14ac:dyDescent="0.25">
      <c r="A342" s="22"/>
      <c r="B342" s="21"/>
      <c r="C342" s="21"/>
    </row>
    <row r="343" spans="1:3" x14ac:dyDescent="0.25">
      <c r="A343" s="22"/>
      <c r="B343" s="21"/>
      <c r="C343" s="21"/>
    </row>
    <row r="344" spans="1:3" x14ac:dyDescent="0.25">
      <c r="A344" s="22"/>
      <c r="B344" s="21"/>
      <c r="C344" s="21"/>
    </row>
    <row r="345" spans="1:3" x14ac:dyDescent="0.25">
      <c r="A345" s="22"/>
      <c r="B345" s="21"/>
      <c r="C345" s="21"/>
    </row>
    <row r="346" spans="1:3" x14ac:dyDescent="0.25">
      <c r="A346" s="22"/>
      <c r="B346" s="21"/>
      <c r="C346" s="21"/>
    </row>
    <row r="347" spans="1:3" x14ac:dyDescent="0.25">
      <c r="A347" s="22"/>
      <c r="B347" s="21"/>
      <c r="C347" s="21"/>
    </row>
    <row r="348" spans="1:3" x14ac:dyDescent="0.25">
      <c r="A348" s="22"/>
      <c r="B348" s="21"/>
      <c r="C348" s="21"/>
    </row>
    <row r="349" spans="1:3" x14ac:dyDescent="0.25">
      <c r="A349" s="22"/>
      <c r="B349" s="21"/>
      <c r="C349" s="21"/>
    </row>
    <row r="350" spans="1:3" x14ac:dyDescent="0.25">
      <c r="A350" s="22"/>
      <c r="B350" s="21"/>
      <c r="C350" s="21"/>
    </row>
    <row r="351" spans="1:3" x14ac:dyDescent="0.25">
      <c r="A351" s="22"/>
      <c r="B351" s="21"/>
      <c r="C351" s="21"/>
    </row>
    <row r="352" spans="1:3" x14ac:dyDescent="0.25">
      <c r="A352" s="22"/>
      <c r="B352" s="21"/>
      <c r="C352" s="21"/>
    </row>
    <row r="353" spans="1:3" x14ac:dyDescent="0.25">
      <c r="A353" s="22"/>
      <c r="B353" s="21"/>
      <c r="C353" s="21"/>
    </row>
    <row r="354" spans="1:3" x14ac:dyDescent="0.25">
      <c r="A354" s="22"/>
      <c r="B354" s="21"/>
      <c r="C354" s="21"/>
    </row>
    <row r="355" spans="1:3" x14ac:dyDescent="0.25">
      <c r="A355" s="22"/>
      <c r="B355" s="21"/>
      <c r="C355" s="21"/>
    </row>
    <row r="356" spans="1:3" x14ac:dyDescent="0.25">
      <c r="A356" s="22"/>
      <c r="B356" s="21"/>
      <c r="C356" s="21"/>
    </row>
    <row r="357" spans="1:3" x14ac:dyDescent="0.25">
      <c r="A357" s="22"/>
      <c r="B357" s="21"/>
      <c r="C357" s="21"/>
    </row>
    <row r="358" spans="1:3" x14ac:dyDescent="0.25">
      <c r="A358" s="22"/>
      <c r="B358" s="21"/>
      <c r="C358" s="21"/>
    </row>
    <row r="359" spans="1:3" x14ac:dyDescent="0.25">
      <c r="A359" s="22"/>
      <c r="B359" s="21"/>
      <c r="C359" s="21"/>
    </row>
    <row r="360" spans="1:3" x14ac:dyDescent="0.25">
      <c r="A360" s="22"/>
      <c r="B360" s="21"/>
      <c r="C360" s="21"/>
    </row>
    <row r="361" spans="1:3" x14ac:dyDescent="0.25">
      <c r="A361" s="22"/>
      <c r="B361" s="21"/>
      <c r="C361" s="21"/>
    </row>
    <row r="362" spans="1:3" x14ac:dyDescent="0.25">
      <c r="A362" s="22"/>
      <c r="B362" s="21"/>
      <c r="C362" s="21"/>
    </row>
    <row r="363" spans="1:3" x14ac:dyDescent="0.25">
      <c r="A363" s="22"/>
      <c r="B363" s="21"/>
      <c r="C363" s="21"/>
    </row>
    <row r="364" spans="1:3" x14ac:dyDescent="0.25">
      <c r="A364" s="22"/>
      <c r="B364" s="21"/>
      <c r="C364" s="21"/>
    </row>
    <row r="365" spans="1:3" x14ac:dyDescent="0.25">
      <c r="A365" s="22"/>
      <c r="B365" s="21"/>
      <c r="C365" s="21"/>
    </row>
    <row r="366" spans="1:3" x14ac:dyDescent="0.25">
      <c r="A366" s="22"/>
      <c r="B366" s="21"/>
      <c r="C366" s="21"/>
    </row>
    <row r="367" spans="1:3" x14ac:dyDescent="0.25">
      <c r="A367" s="22"/>
      <c r="B367" s="21"/>
      <c r="C367" s="21"/>
    </row>
    <row r="368" spans="1:3" x14ac:dyDescent="0.25">
      <c r="A368" s="22"/>
      <c r="B368" s="21"/>
      <c r="C368" s="21"/>
    </row>
    <row r="369" spans="1:3" x14ac:dyDescent="0.25">
      <c r="A369" s="22"/>
      <c r="B369" s="21"/>
      <c r="C369" s="21"/>
    </row>
    <row r="370" spans="1:3" x14ac:dyDescent="0.25">
      <c r="A370" s="22"/>
      <c r="B370" s="21"/>
      <c r="C370" s="21"/>
    </row>
    <row r="371" spans="1:3" x14ac:dyDescent="0.25">
      <c r="A371" s="22"/>
      <c r="B371" s="21"/>
      <c r="C371" s="21"/>
    </row>
    <row r="372" spans="1:3" x14ac:dyDescent="0.25">
      <c r="A372" s="22"/>
      <c r="B372" s="21"/>
      <c r="C372" s="21"/>
    </row>
    <row r="373" spans="1:3" x14ac:dyDescent="0.25">
      <c r="A373" s="22"/>
      <c r="B373" s="21"/>
      <c r="C373" s="21"/>
    </row>
    <row r="374" spans="1:3" x14ac:dyDescent="0.25">
      <c r="A374" s="22"/>
      <c r="B374" s="21"/>
      <c r="C374" s="21"/>
    </row>
    <row r="375" spans="1:3" x14ac:dyDescent="0.25">
      <c r="A375" s="22"/>
      <c r="B375" s="21"/>
      <c r="C375" s="21"/>
    </row>
    <row r="376" spans="1:3" x14ac:dyDescent="0.25">
      <c r="A376" s="22"/>
      <c r="B376" s="21"/>
      <c r="C376" s="21"/>
    </row>
    <row r="377" spans="1:3" x14ac:dyDescent="0.25">
      <c r="A377" s="22"/>
      <c r="B377" s="21"/>
      <c r="C377" s="21"/>
    </row>
    <row r="378" spans="1:3" x14ac:dyDescent="0.25">
      <c r="A378" s="22"/>
      <c r="B378" s="21"/>
      <c r="C378" s="21"/>
    </row>
    <row r="379" spans="1:3" x14ac:dyDescent="0.25">
      <c r="A379" s="22"/>
      <c r="B379" s="21"/>
      <c r="C379" s="21"/>
    </row>
    <row r="380" spans="1:3" x14ac:dyDescent="0.25">
      <c r="A380" s="22"/>
      <c r="B380" s="21"/>
      <c r="C380" s="21"/>
    </row>
    <row r="381" spans="1:3" x14ac:dyDescent="0.25">
      <c r="A381" s="22"/>
      <c r="B381" s="21"/>
      <c r="C381" s="21"/>
    </row>
    <row r="382" spans="1:3" x14ac:dyDescent="0.25">
      <c r="A382" s="22"/>
      <c r="B382" s="21"/>
      <c r="C382" s="21"/>
    </row>
    <row r="383" spans="1:3" x14ac:dyDescent="0.25">
      <c r="A383" s="22"/>
      <c r="B383" s="21"/>
      <c r="C383" s="21"/>
    </row>
    <row r="384" spans="1:3" x14ac:dyDescent="0.25">
      <c r="A384" s="22"/>
      <c r="B384" s="21"/>
      <c r="C384" s="21"/>
    </row>
    <row r="385" spans="1:3" x14ac:dyDescent="0.25">
      <c r="A385" s="22"/>
      <c r="B385" s="21"/>
      <c r="C385" s="21"/>
    </row>
    <row r="386" spans="1:3" x14ac:dyDescent="0.25">
      <c r="A386" s="22"/>
      <c r="B386" s="21"/>
      <c r="C386" s="21"/>
    </row>
    <row r="387" spans="1:3" x14ac:dyDescent="0.25">
      <c r="A387" s="22"/>
      <c r="B387" s="21"/>
      <c r="C387" s="21"/>
    </row>
    <row r="388" spans="1:3" x14ac:dyDescent="0.25">
      <c r="A388" s="22"/>
      <c r="B388" s="21"/>
      <c r="C388" s="21"/>
    </row>
    <row r="389" spans="1:3" x14ac:dyDescent="0.25">
      <c r="A389" s="22"/>
      <c r="B389" s="21"/>
      <c r="C389" s="21"/>
    </row>
    <row r="390" spans="1:3" x14ac:dyDescent="0.25">
      <c r="A390" s="22"/>
      <c r="B390" s="21"/>
      <c r="C390" s="21"/>
    </row>
    <row r="391" spans="1:3" x14ac:dyDescent="0.25">
      <c r="A391" s="22"/>
      <c r="B391" s="21"/>
      <c r="C391" s="21"/>
    </row>
    <row r="392" spans="1:3" x14ac:dyDescent="0.25">
      <c r="A392" s="22"/>
      <c r="B392" s="21"/>
      <c r="C392" s="21"/>
    </row>
    <row r="393" spans="1:3" x14ac:dyDescent="0.25">
      <c r="A393" s="22"/>
      <c r="B393" s="21"/>
      <c r="C393" s="21"/>
    </row>
    <row r="394" spans="1:3" x14ac:dyDescent="0.25">
      <c r="A394" s="22"/>
      <c r="B394" s="21"/>
      <c r="C394" s="21"/>
    </row>
    <row r="395" spans="1:3" x14ac:dyDescent="0.25">
      <c r="A395" s="22"/>
      <c r="B395" s="21"/>
      <c r="C395" s="21"/>
    </row>
    <row r="396" spans="1:3" x14ac:dyDescent="0.25">
      <c r="A396" s="22"/>
      <c r="B396" s="21"/>
      <c r="C396" s="21"/>
    </row>
    <row r="397" spans="1:3" x14ac:dyDescent="0.25">
      <c r="A397" s="22"/>
      <c r="B397" s="21"/>
      <c r="C397" s="21"/>
    </row>
    <row r="398" spans="1:3" x14ac:dyDescent="0.25">
      <c r="A398" s="22"/>
      <c r="B398" s="21"/>
      <c r="C398" s="21"/>
    </row>
    <row r="399" spans="1:3" x14ac:dyDescent="0.25">
      <c r="A399" s="22"/>
      <c r="B399" s="21"/>
      <c r="C399" s="21"/>
    </row>
    <row r="400" spans="1:3" x14ac:dyDescent="0.25">
      <c r="A400" s="22"/>
      <c r="B400" s="21"/>
      <c r="C400" s="21"/>
    </row>
    <row r="401" spans="1:3" x14ac:dyDescent="0.25">
      <c r="A401" s="22"/>
      <c r="B401" s="21"/>
      <c r="C401" s="21"/>
    </row>
    <row r="402" spans="1:3" x14ac:dyDescent="0.25">
      <c r="A402" s="22"/>
      <c r="B402" s="21"/>
      <c r="C402" s="21"/>
    </row>
    <row r="403" spans="1:3" x14ac:dyDescent="0.25">
      <c r="A403" s="22"/>
      <c r="B403" s="21"/>
      <c r="C403" s="21"/>
    </row>
    <row r="404" spans="1:3" x14ac:dyDescent="0.25">
      <c r="A404" s="22"/>
      <c r="B404" s="21"/>
      <c r="C404" s="21"/>
    </row>
    <row r="405" spans="1:3" x14ac:dyDescent="0.25">
      <c r="A405" s="22"/>
      <c r="B405" s="21"/>
      <c r="C405" s="21"/>
    </row>
    <row r="406" spans="1:3" x14ac:dyDescent="0.25">
      <c r="A406" s="22"/>
      <c r="B406" s="21"/>
      <c r="C406" s="21"/>
    </row>
    <row r="407" spans="1:3" x14ac:dyDescent="0.25">
      <c r="A407" s="22"/>
      <c r="B407" s="21"/>
      <c r="C407" s="21"/>
    </row>
    <row r="408" spans="1:3" x14ac:dyDescent="0.25">
      <c r="A408" s="22"/>
      <c r="B408" s="21"/>
      <c r="C408" s="21"/>
    </row>
    <row r="409" spans="1:3" x14ac:dyDescent="0.25">
      <c r="A409" s="22"/>
      <c r="B409" s="21"/>
      <c r="C409" s="21"/>
    </row>
    <row r="410" spans="1:3" x14ac:dyDescent="0.25">
      <c r="A410" s="22"/>
      <c r="B410" s="21"/>
      <c r="C410" s="21"/>
    </row>
    <row r="411" spans="1:3" x14ac:dyDescent="0.25">
      <c r="A411" s="22"/>
      <c r="B411" s="21"/>
      <c r="C411" s="21"/>
    </row>
    <row r="412" spans="1:3" x14ac:dyDescent="0.25">
      <c r="A412" s="22"/>
      <c r="B412" s="21"/>
      <c r="C412" s="21"/>
    </row>
    <row r="413" spans="1:3" x14ac:dyDescent="0.25">
      <c r="A413" s="22"/>
      <c r="B413" s="21"/>
      <c r="C413" s="21"/>
    </row>
    <row r="414" spans="1:3" x14ac:dyDescent="0.25">
      <c r="A414" s="22"/>
      <c r="B414" s="21"/>
      <c r="C414" s="21"/>
    </row>
    <row r="415" spans="1:3" x14ac:dyDescent="0.25">
      <c r="A415" s="22"/>
      <c r="B415" s="21"/>
      <c r="C415" s="21"/>
    </row>
  </sheetData>
  <mergeCells count="1">
    <mergeCell ref="Q1:S1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6"/>
  <sheetViews>
    <sheetView showGridLines="0" workbookViewId="0"/>
  </sheetViews>
  <sheetFormatPr defaultRowHeight="26.25" x14ac:dyDescent="0.25"/>
  <cols>
    <col min="1" max="1" width="16.85546875" style="18" bestFit="1" customWidth="1"/>
    <col min="2" max="10" width="10.7109375" style="18" customWidth="1"/>
    <col min="11" max="16384" width="9.140625" style="18"/>
  </cols>
  <sheetData>
    <row r="1" spans="1:12" ht="20.100000000000001" customHeight="1" x14ac:dyDescent="0.25">
      <c r="A1" s="31" t="s">
        <v>66</v>
      </c>
      <c r="B1" s="31"/>
      <c r="C1" s="31"/>
    </row>
    <row r="2" spans="1:12" ht="8.25" customHeight="1" x14ac:dyDescent="0.25"/>
    <row r="3" spans="1:12" ht="15" customHeight="1" x14ac:dyDescent="0.25">
      <c r="A3" s="34" t="s">
        <v>58</v>
      </c>
      <c r="B3" s="34" t="s">
        <v>59</v>
      </c>
      <c r="C3" s="34"/>
      <c r="D3" s="34"/>
      <c r="E3" s="34"/>
      <c r="F3" s="34"/>
      <c r="G3" s="34" t="s">
        <v>60</v>
      </c>
      <c r="H3" s="34"/>
      <c r="I3" s="34"/>
      <c r="J3" s="34"/>
    </row>
    <row r="4" spans="1:12" s="19" customFormat="1" ht="15" customHeight="1" x14ac:dyDescent="0.25">
      <c r="A4" s="34"/>
      <c r="B4" s="25">
        <f>KOSPI!$A$4</f>
        <v>43601</v>
      </c>
      <c r="C4" s="25">
        <f>KOSPI!$A$253</f>
        <v>43228</v>
      </c>
      <c r="D4" s="26" t="s">
        <v>61</v>
      </c>
      <c r="E4" s="26" t="s">
        <v>62</v>
      </c>
      <c r="F4" s="26" t="s">
        <v>63</v>
      </c>
      <c r="G4" s="25">
        <f>B4</f>
        <v>43601</v>
      </c>
      <c r="H4" s="25">
        <f>C4</f>
        <v>43228</v>
      </c>
      <c r="I4" s="26" t="s">
        <v>64</v>
      </c>
      <c r="J4" s="26" t="s">
        <v>65</v>
      </c>
    </row>
    <row r="5" spans="1:12" ht="15" customHeight="1" x14ac:dyDescent="0.25">
      <c r="A5" s="23" t="s">
        <v>33</v>
      </c>
      <c r="B5" s="24">
        <f>Raw_비중!B$5</f>
        <v>37.090000000000003</v>
      </c>
      <c r="C5" s="24">
        <f>Raw_비중!B$254</f>
        <v>36.96</v>
      </c>
      <c r="D5" s="24">
        <f>B5-C5</f>
        <v>0.13000000000000256</v>
      </c>
      <c r="E5" s="24">
        <f>MIN(Raw_비중!B$5:B$254)</f>
        <v>35.729999999999997</v>
      </c>
      <c r="F5" s="24">
        <f>MAX(Raw_비중!B$5:B$254)</f>
        <v>37.409999999999997</v>
      </c>
      <c r="G5" s="24">
        <f>Raw_시세!B$5</f>
        <v>2067.69</v>
      </c>
      <c r="H5" s="24">
        <f>Raw_시세!B$254</f>
        <v>2449.81</v>
      </c>
      <c r="I5" s="24">
        <f>G5-H5</f>
        <v>-382.11999999999989</v>
      </c>
      <c r="J5" s="24">
        <f>(G5-H5)/H5*100</f>
        <v>-15.597944330376636</v>
      </c>
    </row>
    <row r="6" spans="1:12" ht="15" customHeight="1" x14ac:dyDescent="0.25">
      <c r="A6" s="23" t="s">
        <v>35</v>
      </c>
      <c r="B6" s="24">
        <f>Raw_비중!C$5</f>
        <v>17.97</v>
      </c>
      <c r="C6" s="24">
        <f>Raw_비중!C$254</f>
        <v>19.600000000000001</v>
      </c>
      <c r="D6" s="24">
        <f t="shared" ref="D6:D26" si="0">B6-C6</f>
        <v>-1.6300000000000026</v>
      </c>
      <c r="E6" s="24">
        <f>MIN(Raw_비중!C$5:C$254)</f>
        <v>17.97</v>
      </c>
      <c r="F6" s="24">
        <f>MAX(Raw_비중!C$5:C$254)</f>
        <v>20.41</v>
      </c>
      <c r="G6" s="24">
        <f>Raw_시세!C$5</f>
        <v>3794.26</v>
      </c>
      <c r="H6" s="24">
        <f>Raw_시세!C$254</f>
        <v>4380.37</v>
      </c>
      <c r="I6" s="24">
        <f t="shared" ref="I6:I26" si="1">G6-H6</f>
        <v>-586.10999999999967</v>
      </c>
      <c r="J6" s="24">
        <f t="shared" ref="J6:J26" si="2">(G6-H6)/H6*100</f>
        <v>-13.380376543533986</v>
      </c>
    </row>
    <row r="7" spans="1:12" ht="15" customHeight="1" x14ac:dyDescent="0.25">
      <c r="A7" s="23" t="s">
        <v>36</v>
      </c>
      <c r="B7" s="24">
        <f>Raw_비중!D$5</f>
        <v>13.15</v>
      </c>
      <c r="C7" s="24">
        <f>Raw_비중!D$254</f>
        <v>13.09</v>
      </c>
      <c r="D7" s="24">
        <f t="shared" si="0"/>
        <v>6.0000000000000497E-2</v>
      </c>
      <c r="E7" s="24">
        <f>MIN(Raw_비중!D$5:D$254)</f>
        <v>12.99</v>
      </c>
      <c r="F7" s="24">
        <f>MAX(Raw_비중!D$5:D$254)</f>
        <v>15.95</v>
      </c>
      <c r="G7" s="24">
        <f>Raw_시세!D$5</f>
        <v>312.38</v>
      </c>
      <c r="H7" s="24">
        <f>Raw_시세!D$254</f>
        <v>291.11</v>
      </c>
      <c r="I7" s="24">
        <f t="shared" si="1"/>
        <v>21.269999999999982</v>
      </c>
      <c r="J7" s="24">
        <f t="shared" si="2"/>
        <v>7.3065164370856301</v>
      </c>
    </row>
    <row r="8" spans="1:12" ht="15" customHeight="1" x14ac:dyDescent="0.25">
      <c r="A8" s="23" t="s">
        <v>37</v>
      </c>
      <c r="B8" s="24">
        <f>Raw_비중!E$5</f>
        <v>6.15</v>
      </c>
      <c r="C8" s="24">
        <f>Raw_비중!E$254</f>
        <v>5.55</v>
      </c>
      <c r="D8" s="24">
        <f t="shared" si="0"/>
        <v>0.60000000000000053</v>
      </c>
      <c r="E8" s="24">
        <f>MIN(Raw_비중!E$5:E$254)</f>
        <v>5.49</v>
      </c>
      <c r="F8" s="24">
        <f>MAX(Raw_비중!E$5:E$254)</f>
        <v>9.15</v>
      </c>
      <c r="G8" s="24">
        <f>Raw_시세!E$5</f>
        <v>405.01</v>
      </c>
      <c r="H8" s="24">
        <f>Raw_시세!E$254</f>
        <v>411.58</v>
      </c>
      <c r="I8" s="24">
        <f t="shared" si="1"/>
        <v>-6.5699999999999932</v>
      </c>
      <c r="J8" s="24">
        <f t="shared" si="2"/>
        <v>-1.5962874775256313</v>
      </c>
    </row>
    <row r="9" spans="1:12" ht="15" customHeight="1" x14ac:dyDescent="0.25">
      <c r="A9" s="23" t="s">
        <v>38</v>
      </c>
      <c r="B9" s="24">
        <f>Raw_비중!F$5</f>
        <v>34.61</v>
      </c>
      <c r="C9" s="24">
        <f>Raw_비중!F$254</f>
        <v>35.26</v>
      </c>
      <c r="D9" s="24">
        <f t="shared" si="0"/>
        <v>-0.64999999999999858</v>
      </c>
      <c r="E9" s="24">
        <f>MIN(Raw_비중!F$5:F$254)</f>
        <v>34.61</v>
      </c>
      <c r="F9" s="24">
        <f>MAX(Raw_비중!F$5:F$254)</f>
        <v>36.97</v>
      </c>
      <c r="G9" s="24">
        <f>Raw_시세!F$5</f>
        <v>4826.93</v>
      </c>
      <c r="H9" s="24">
        <f>Raw_시세!F$254</f>
        <v>5951.47</v>
      </c>
      <c r="I9" s="24">
        <f t="shared" si="1"/>
        <v>-1124.54</v>
      </c>
      <c r="J9" s="24">
        <f t="shared" si="2"/>
        <v>-18.895163715855073</v>
      </c>
    </row>
    <row r="10" spans="1:12" ht="15" customHeight="1" x14ac:dyDescent="0.25">
      <c r="A10" s="23" t="s">
        <v>39</v>
      </c>
      <c r="B10" s="24">
        <f>Raw_비중!G$5</f>
        <v>14.04</v>
      </c>
      <c r="C10" s="24">
        <f>Raw_비중!G$254</f>
        <v>15.04</v>
      </c>
      <c r="D10" s="24">
        <f t="shared" si="0"/>
        <v>-1</v>
      </c>
      <c r="E10" s="24">
        <f>MIN(Raw_비중!G$5:G$254)</f>
        <v>13.3</v>
      </c>
      <c r="F10" s="24">
        <f>MAX(Raw_비중!G$5:G$254)</f>
        <v>15.57</v>
      </c>
      <c r="G10" s="24">
        <f>Raw_시세!G$5</f>
        <v>10193.4</v>
      </c>
      <c r="H10" s="24">
        <f>Raw_시세!G$254</f>
        <v>11943.47</v>
      </c>
      <c r="I10" s="24">
        <f t="shared" si="1"/>
        <v>-1750.0699999999997</v>
      </c>
      <c r="J10" s="24">
        <f t="shared" si="2"/>
        <v>-14.652944244846763</v>
      </c>
    </row>
    <row r="11" spans="1:12" ht="15" customHeight="1" x14ac:dyDescent="0.25">
      <c r="A11" s="23" t="s">
        <v>40</v>
      </c>
      <c r="B11" s="24">
        <f>Raw_비중!H$5</f>
        <v>5.16</v>
      </c>
      <c r="C11" s="24">
        <f>Raw_비중!H$254</f>
        <v>9.42</v>
      </c>
      <c r="D11" s="24">
        <f t="shared" si="0"/>
        <v>-4.26</v>
      </c>
      <c r="E11" s="24">
        <f>MIN(Raw_비중!H$5:H$254)</f>
        <v>4.32</v>
      </c>
      <c r="F11" s="24">
        <f>MAX(Raw_비중!H$5:H$254)</f>
        <v>12.4</v>
      </c>
      <c r="G11" s="24">
        <f>Raw_시세!H$5</f>
        <v>1635.51</v>
      </c>
      <c r="H11" s="24">
        <f>Raw_시세!H$254</f>
        <v>1761.41</v>
      </c>
      <c r="I11" s="24">
        <f t="shared" si="1"/>
        <v>-125.90000000000009</v>
      </c>
      <c r="J11" s="24">
        <f t="shared" si="2"/>
        <v>-7.1476828222844251</v>
      </c>
    </row>
    <row r="12" spans="1:12" ht="15" customHeight="1" x14ac:dyDescent="0.25">
      <c r="A12" s="23" t="s">
        <v>41</v>
      </c>
      <c r="B12" s="24">
        <f>Raw_비중!I$5</f>
        <v>35.659999999999997</v>
      </c>
      <c r="C12" s="24">
        <f>Raw_비중!I$254</f>
        <v>39.58</v>
      </c>
      <c r="D12" s="24">
        <f t="shared" si="0"/>
        <v>-3.9200000000000017</v>
      </c>
      <c r="E12" s="24">
        <f>MIN(Raw_비중!I$5:I$254)</f>
        <v>35.64</v>
      </c>
      <c r="F12" s="24">
        <f>MAX(Raw_비중!I$5:I$254)</f>
        <v>40.340000000000003</v>
      </c>
      <c r="G12" s="24">
        <f>Raw_시세!I$5</f>
        <v>3964.47</v>
      </c>
      <c r="H12" s="24">
        <f>Raw_시세!I$254</f>
        <v>5450.48</v>
      </c>
      <c r="I12" s="24">
        <f t="shared" si="1"/>
        <v>-1486.0099999999998</v>
      </c>
      <c r="J12" s="24">
        <f t="shared" si="2"/>
        <v>-27.263837313410928</v>
      </c>
    </row>
    <row r="13" spans="1:12" ht="15" customHeight="1" x14ac:dyDescent="0.25">
      <c r="A13" s="23" t="s">
        <v>42</v>
      </c>
      <c r="B13" s="24">
        <f>Raw_비중!J$5</f>
        <v>16.07</v>
      </c>
      <c r="C13" s="24">
        <f>Raw_비중!J$254</f>
        <v>13.97</v>
      </c>
      <c r="D13" s="24">
        <f t="shared" si="0"/>
        <v>2.0999999999999996</v>
      </c>
      <c r="E13" s="24">
        <f>MIN(Raw_비중!J$5:J$254)</f>
        <v>13.97</v>
      </c>
      <c r="F13" s="24">
        <f>MAX(Raw_비중!J$5:J$254)</f>
        <v>16.11</v>
      </c>
      <c r="G13" s="24">
        <f>Raw_시세!J$5</f>
        <v>738.37</v>
      </c>
      <c r="H13" s="24">
        <f>Raw_시세!J$254</f>
        <v>956.24</v>
      </c>
      <c r="I13" s="24">
        <f t="shared" si="1"/>
        <v>-217.87</v>
      </c>
      <c r="J13" s="24">
        <f t="shared" si="2"/>
        <v>-22.784029114029952</v>
      </c>
    </row>
    <row r="14" spans="1:12" ht="15" customHeight="1" x14ac:dyDescent="0.25">
      <c r="A14" s="23" t="s">
        <v>43</v>
      </c>
      <c r="B14" s="24">
        <f>Raw_비중!K$5</f>
        <v>54.47</v>
      </c>
      <c r="C14" s="24">
        <f>Raw_비중!K$254</f>
        <v>51.92</v>
      </c>
      <c r="D14" s="24">
        <f t="shared" si="0"/>
        <v>2.5499999999999972</v>
      </c>
      <c r="E14" s="24">
        <f>MIN(Raw_비중!K$5:K$254)</f>
        <v>50.18</v>
      </c>
      <c r="F14" s="24">
        <f>MAX(Raw_비중!K$5:K$254)</f>
        <v>54.73</v>
      </c>
      <c r="G14" s="24">
        <f>Raw_시세!K$5</f>
        <v>15597.07</v>
      </c>
      <c r="H14" s="24">
        <f>Raw_시세!K$254</f>
        <v>19272.189999999999</v>
      </c>
      <c r="I14" s="24">
        <f t="shared" si="1"/>
        <v>-3675.119999999999</v>
      </c>
      <c r="J14" s="24">
        <f t="shared" si="2"/>
        <v>-19.069550476619415</v>
      </c>
    </row>
    <row r="15" spans="1:12" ht="15" customHeight="1" x14ac:dyDescent="0.25">
      <c r="A15" s="23" t="s">
        <v>44</v>
      </c>
      <c r="B15" s="24">
        <f>Raw_비중!L$5</f>
        <v>17.920000000000002</v>
      </c>
      <c r="C15" s="24">
        <f>Raw_비중!L$254</f>
        <v>13.68</v>
      </c>
      <c r="D15" s="24">
        <f t="shared" si="0"/>
        <v>4.240000000000002</v>
      </c>
      <c r="E15" s="24">
        <f>MIN(Raw_비중!L$5:L$254)</f>
        <v>13.68</v>
      </c>
      <c r="F15" s="24">
        <f>MAX(Raw_비중!L$5:L$254)</f>
        <v>21</v>
      </c>
      <c r="G15" s="24">
        <f>Raw_시세!L$5</f>
        <v>2686.85</v>
      </c>
      <c r="H15" s="24">
        <f>Raw_시세!L$254</f>
        <v>3217.41</v>
      </c>
      <c r="I15" s="24">
        <f t="shared" si="1"/>
        <v>-530.55999999999995</v>
      </c>
      <c r="J15" s="24">
        <f t="shared" si="2"/>
        <v>-16.490282556466223</v>
      </c>
      <c r="L15" s="19"/>
    </row>
    <row r="16" spans="1:12" ht="15" customHeight="1" x14ac:dyDescent="0.25">
      <c r="A16" s="23" t="s">
        <v>45</v>
      </c>
      <c r="B16" s="24">
        <f>Raw_비중!M$5</f>
        <v>37.380000000000003</v>
      </c>
      <c r="C16" s="24">
        <f>Raw_비중!M$254</f>
        <v>37.79</v>
      </c>
      <c r="D16" s="24">
        <f t="shared" si="0"/>
        <v>-0.40999999999999659</v>
      </c>
      <c r="E16" s="24">
        <f>MIN(Raw_비중!M$5:M$254)</f>
        <v>34.479999999999997</v>
      </c>
      <c r="F16" s="24">
        <f>MAX(Raw_비중!M$5:M$254)</f>
        <v>37.79</v>
      </c>
      <c r="G16" s="24">
        <f>Raw_시세!M$5</f>
        <v>1502.7</v>
      </c>
      <c r="H16" s="24">
        <f>Raw_시세!M$254</f>
        <v>1654.03</v>
      </c>
      <c r="I16" s="24">
        <f t="shared" si="1"/>
        <v>-151.32999999999993</v>
      </c>
      <c r="J16" s="24">
        <f t="shared" si="2"/>
        <v>-9.1491689993530905</v>
      </c>
    </row>
    <row r="17" spans="1:10" ht="15" customHeight="1" x14ac:dyDescent="0.25">
      <c r="A17" s="23" t="s">
        <v>46</v>
      </c>
      <c r="B17" s="24">
        <f>Raw_비중!N$5</f>
        <v>21.87</v>
      </c>
      <c r="C17" s="24">
        <f>Raw_비중!N$254</f>
        <v>20.25</v>
      </c>
      <c r="D17" s="24">
        <f t="shared" si="0"/>
        <v>1.620000000000001</v>
      </c>
      <c r="E17" s="24">
        <f>MIN(Raw_비중!N$5:N$254)</f>
        <v>20.05</v>
      </c>
      <c r="F17" s="24">
        <f>MAX(Raw_비중!N$5:N$254)</f>
        <v>22.29</v>
      </c>
      <c r="G17" s="24">
        <f>Raw_시세!N$5</f>
        <v>395.27</v>
      </c>
      <c r="H17" s="24">
        <f>Raw_시세!N$254</f>
        <v>470.71</v>
      </c>
      <c r="I17" s="24">
        <f t="shared" si="1"/>
        <v>-75.44</v>
      </c>
      <c r="J17" s="24">
        <f t="shared" si="2"/>
        <v>-16.026853051772854</v>
      </c>
    </row>
    <row r="18" spans="1:10" ht="15" customHeight="1" x14ac:dyDescent="0.25">
      <c r="A18" s="23" t="s">
        <v>47</v>
      </c>
      <c r="B18" s="24">
        <f>Raw_비중!O$5</f>
        <v>22.91</v>
      </c>
      <c r="C18" s="24">
        <f>Raw_비중!O$254</f>
        <v>24.86</v>
      </c>
      <c r="D18" s="24">
        <f t="shared" si="0"/>
        <v>-1.9499999999999993</v>
      </c>
      <c r="E18" s="24">
        <f>MIN(Raw_비중!O$5:O$254)</f>
        <v>22.65</v>
      </c>
      <c r="F18" s="24">
        <f>MAX(Raw_비중!O$5:O$254)</f>
        <v>25.27</v>
      </c>
      <c r="G18" s="24">
        <f>Raw_시세!O$5</f>
        <v>851.08</v>
      </c>
      <c r="H18" s="24">
        <f>Raw_시세!O$254</f>
        <v>1176.99</v>
      </c>
      <c r="I18" s="24">
        <f t="shared" si="1"/>
        <v>-325.90999999999997</v>
      </c>
      <c r="J18" s="24">
        <f t="shared" si="2"/>
        <v>-27.690124809896428</v>
      </c>
    </row>
    <row r="19" spans="1:10" ht="15" customHeight="1" x14ac:dyDescent="0.25">
      <c r="A19" s="23" t="s">
        <v>48</v>
      </c>
      <c r="B19" s="24">
        <f>Raw_비중!P$5</f>
        <v>24.7</v>
      </c>
      <c r="C19" s="24">
        <f>Raw_비중!P$254</f>
        <v>19.54</v>
      </c>
      <c r="D19" s="24">
        <f t="shared" si="0"/>
        <v>5.16</v>
      </c>
      <c r="E19" s="24">
        <f>MIN(Raw_비중!P$5:P$254)</f>
        <v>18.84</v>
      </c>
      <c r="F19" s="24">
        <f>MAX(Raw_비중!P$5:P$254)</f>
        <v>24.73</v>
      </c>
      <c r="G19" s="24">
        <f>Raw_시세!P$5</f>
        <v>106.71</v>
      </c>
      <c r="H19" s="24">
        <f>Raw_시세!P$254</f>
        <v>133.83000000000001</v>
      </c>
      <c r="I19" s="24">
        <f t="shared" si="1"/>
        <v>-27.120000000000019</v>
      </c>
      <c r="J19" s="24">
        <f t="shared" si="2"/>
        <v>-20.26451468280656</v>
      </c>
    </row>
    <row r="20" spans="1:10" ht="15" customHeight="1" x14ac:dyDescent="0.25">
      <c r="A20" s="23" t="s">
        <v>49</v>
      </c>
      <c r="B20" s="24">
        <f>Raw_비중!Q$5</f>
        <v>18.45</v>
      </c>
      <c r="C20" s="24">
        <f>Raw_비중!Q$254</f>
        <v>17.23</v>
      </c>
      <c r="D20" s="24">
        <f t="shared" si="0"/>
        <v>1.2199999999999989</v>
      </c>
      <c r="E20" s="24">
        <f>MIN(Raw_비중!Q$5:Q$254)</f>
        <v>15.69</v>
      </c>
      <c r="F20" s="24">
        <f>MAX(Raw_비중!Q$5:Q$254)</f>
        <v>19.489999999999998</v>
      </c>
      <c r="G20" s="24">
        <f>Raw_시세!Q$5</f>
        <v>1437.69</v>
      </c>
      <c r="H20" s="24">
        <f>Raw_시세!Q$254</f>
        <v>1532.91</v>
      </c>
      <c r="I20" s="24">
        <f t="shared" si="1"/>
        <v>-95.220000000000027</v>
      </c>
      <c r="J20" s="24">
        <f t="shared" si="2"/>
        <v>-6.2117149734818105</v>
      </c>
    </row>
    <row r="21" spans="1:10" ht="15" customHeight="1" x14ac:dyDescent="0.25">
      <c r="A21" s="23" t="s">
        <v>50</v>
      </c>
      <c r="B21" s="24">
        <f>Raw_비중!R$5</f>
        <v>41.75</v>
      </c>
      <c r="C21" s="24">
        <f>Raw_비중!R$254</f>
        <v>40.97</v>
      </c>
      <c r="D21" s="24">
        <f t="shared" si="0"/>
        <v>0.78000000000000114</v>
      </c>
      <c r="E21" s="24">
        <f>MIN(Raw_비중!R$5:R$254)</f>
        <v>40.71</v>
      </c>
      <c r="F21" s="24">
        <f>MAX(Raw_비중!R$5:R$254)</f>
        <v>43.69</v>
      </c>
      <c r="G21" s="24">
        <f>Raw_시세!R$5</f>
        <v>371.82</v>
      </c>
      <c r="H21" s="24">
        <f>Raw_시세!R$254</f>
        <v>340.2</v>
      </c>
      <c r="I21" s="24">
        <f t="shared" si="1"/>
        <v>31.620000000000005</v>
      </c>
      <c r="J21" s="24">
        <f t="shared" si="2"/>
        <v>9.2945326278659639</v>
      </c>
    </row>
    <row r="22" spans="1:10" ht="15" customHeight="1" x14ac:dyDescent="0.25">
      <c r="A22" s="23" t="s">
        <v>51</v>
      </c>
      <c r="B22" s="24">
        <f>Raw_비중!S$5</f>
        <v>35</v>
      </c>
      <c r="C22" s="24">
        <f>Raw_비중!S$254</f>
        <v>33.76</v>
      </c>
      <c r="D22" s="24">
        <f t="shared" si="0"/>
        <v>1.240000000000002</v>
      </c>
      <c r="E22" s="24">
        <f>MIN(Raw_비중!S$5:S$254)</f>
        <v>33.049999999999997</v>
      </c>
      <c r="F22" s="24">
        <f>MAX(Raw_비중!S$5:S$254)</f>
        <v>35.08</v>
      </c>
      <c r="G22" s="24">
        <f>Raw_시세!S$5</f>
        <v>434.89</v>
      </c>
      <c r="H22" s="24">
        <f>Raw_시세!S$254</f>
        <v>518.84</v>
      </c>
      <c r="I22" s="24">
        <f t="shared" si="1"/>
        <v>-83.950000000000045</v>
      </c>
      <c r="J22" s="24">
        <f t="shared" si="2"/>
        <v>-16.18032534114564</v>
      </c>
    </row>
    <row r="23" spans="1:10" ht="15" customHeight="1" x14ac:dyDescent="0.25">
      <c r="A23" s="23" t="s">
        <v>52</v>
      </c>
      <c r="B23" s="24">
        <f>Raw_비중!T$5</f>
        <v>23.15</v>
      </c>
      <c r="C23" s="24">
        <f>Raw_비중!T$254</f>
        <v>24.56</v>
      </c>
      <c r="D23" s="24">
        <f t="shared" si="0"/>
        <v>-1.4100000000000001</v>
      </c>
      <c r="E23" s="24">
        <f>MIN(Raw_비중!T$5:T$254)</f>
        <v>22.86</v>
      </c>
      <c r="F23" s="24">
        <f>MAX(Raw_비중!T$5:T$254)</f>
        <v>25.84</v>
      </c>
      <c r="G23" s="24">
        <f>Raw_시세!T$5</f>
        <v>292.60000000000002</v>
      </c>
      <c r="H23" s="24">
        <f>Raw_시세!T$254</f>
        <v>320.39</v>
      </c>
      <c r="I23" s="24">
        <f t="shared" si="1"/>
        <v>-27.789999999999964</v>
      </c>
      <c r="J23" s="24">
        <f t="shared" si="2"/>
        <v>-8.6738038016167689</v>
      </c>
    </row>
    <row r="24" spans="1:10" ht="15" customHeight="1" x14ac:dyDescent="0.25">
      <c r="A24" s="23" t="s">
        <v>53</v>
      </c>
      <c r="B24" s="24">
        <f>Raw_비중!U$5</f>
        <v>17.2</v>
      </c>
      <c r="C24" s="24">
        <f>Raw_비중!U$254</f>
        <v>15.25</v>
      </c>
      <c r="D24" s="24">
        <f t="shared" si="0"/>
        <v>1.9499999999999993</v>
      </c>
      <c r="E24" s="24">
        <f>MIN(Raw_비중!U$5:U$254)</f>
        <v>14.62</v>
      </c>
      <c r="F24" s="24">
        <f>MAX(Raw_비중!U$5:U$254)</f>
        <v>17.21</v>
      </c>
      <c r="G24" s="24">
        <f>Raw_시세!U$5</f>
        <v>1805.53</v>
      </c>
      <c r="H24" s="24">
        <f>Raw_시세!U$254</f>
        <v>2135.1999999999998</v>
      </c>
      <c r="I24" s="24">
        <f t="shared" si="1"/>
        <v>-329.66999999999985</v>
      </c>
      <c r="J24" s="24">
        <f t="shared" si="2"/>
        <v>-15.43977144998126</v>
      </c>
    </row>
    <row r="25" spans="1:10" ht="15" customHeight="1" x14ac:dyDescent="0.25">
      <c r="A25" s="23" t="s">
        <v>54</v>
      </c>
      <c r="B25" s="24">
        <f>Raw_비중!V$5</f>
        <v>32.6</v>
      </c>
      <c r="C25" s="24">
        <f>Raw_비중!V$254</f>
        <v>31.45</v>
      </c>
      <c r="D25" s="24">
        <f t="shared" si="0"/>
        <v>1.1500000000000021</v>
      </c>
      <c r="E25" s="24">
        <f>MIN(Raw_비중!V$5:V$254)</f>
        <v>30.91</v>
      </c>
      <c r="F25" s="24">
        <f>MAX(Raw_비중!V$5:V$254)</f>
        <v>33.14</v>
      </c>
      <c r="G25" s="24">
        <f>Raw_시세!V$5</f>
        <v>15730.38</v>
      </c>
      <c r="H25" s="24">
        <f>Raw_시세!V$254</f>
        <v>19248.71</v>
      </c>
      <c r="I25" s="24">
        <f t="shared" si="1"/>
        <v>-3518.33</v>
      </c>
      <c r="J25" s="24">
        <f t="shared" si="2"/>
        <v>-18.278263842096433</v>
      </c>
    </row>
    <row r="26" spans="1:10" ht="15" customHeight="1" x14ac:dyDescent="0.25">
      <c r="A26" s="23" t="s">
        <v>55</v>
      </c>
      <c r="B26" s="24">
        <f>Raw_비중!W$5</f>
        <v>31.34</v>
      </c>
      <c r="C26" s="24">
        <f>Raw_비중!W$254</f>
        <v>32</v>
      </c>
      <c r="D26" s="24">
        <f t="shared" si="0"/>
        <v>-0.66000000000000014</v>
      </c>
      <c r="E26" s="24">
        <f>MIN(Raw_비중!W$5:W$254)</f>
        <v>30.9</v>
      </c>
      <c r="F26" s="24">
        <f>MAX(Raw_비중!W$5:W$254)</f>
        <v>33.369999999999997</v>
      </c>
      <c r="G26" s="24">
        <f>Raw_시세!W$5</f>
        <v>1126.77</v>
      </c>
      <c r="H26" s="24">
        <f>Raw_시세!W$254</f>
        <v>1166.05</v>
      </c>
      <c r="I26" s="24">
        <f t="shared" si="1"/>
        <v>-39.279999999999973</v>
      </c>
      <c r="J26" s="24">
        <f t="shared" si="2"/>
        <v>-3.3686377085030639</v>
      </c>
    </row>
  </sheetData>
  <mergeCells count="3">
    <mergeCell ref="G3:J3"/>
    <mergeCell ref="A3:A4"/>
    <mergeCell ref="B3:F3"/>
  </mergeCells>
  <phoneticPr fontId="1" type="noConversion"/>
  <conditionalFormatting sqref="D5:D26 I5:J26">
    <cfRule type="cellIs" dxfId="7" priority="1" stopIfTrue="1" operator="greaterThan">
      <formula>0</formula>
    </cfRule>
    <cfRule type="cellIs" dxfId="6" priority="2" stopIfTrue="1" operator="lessThan">
      <formula>0</formula>
    </cfRule>
  </conditionalFormatting>
  <pageMargins left="0.75" right="0.75" top="1" bottom="1" header="0.5" footer="0.5"/>
  <pageSetup paperSize="9" orientation="portrait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W504"/>
  <sheetViews>
    <sheetView workbookViewId="0">
      <selection activeCell="C5" sqref="C5"/>
    </sheetView>
  </sheetViews>
  <sheetFormatPr defaultRowHeight="13.5" x14ac:dyDescent="0.25"/>
  <cols>
    <col min="1" max="1" width="10.7109375" customWidth="1"/>
    <col min="2" max="2" width="11.28515625" bestFit="1" customWidth="1"/>
    <col min="4" max="4" width="11.28515625" bestFit="1" customWidth="1"/>
  </cols>
  <sheetData>
    <row r="1" spans="1:23" x14ac:dyDescent="0.25">
      <c r="A1" s="1" t="s">
        <v>0</v>
      </c>
      <c r="B1" s="2">
        <f ca="1">TODAY()-730</f>
        <v>42872</v>
      </c>
      <c r="C1" s="1" t="s">
        <v>1</v>
      </c>
      <c r="D1" s="2">
        <f ca="1">TODAY()-1</f>
        <v>43601</v>
      </c>
      <c r="E1" s="1" t="s">
        <v>2</v>
      </c>
      <c r="F1">
        <v>250</v>
      </c>
      <c r="G1" s="1" t="s">
        <v>3</v>
      </c>
      <c r="H1" t="s">
        <v>4</v>
      </c>
      <c r="I1" s="1" t="s">
        <v>5</v>
      </c>
      <c r="J1" t="s">
        <v>68</v>
      </c>
      <c r="K1" s="1" t="s">
        <v>6</v>
      </c>
      <c r="L1">
        <v>0</v>
      </c>
    </row>
    <row r="2" spans="1:23" x14ac:dyDescent="0.25">
      <c r="A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</row>
    <row r="3" spans="1:23" x14ac:dyDescent="0.25">
      <c r="A3" t="str">
        <f ca="1">_xll.IMDH("IDX","001",A4:B4,$B$1,$D$1,$F$1,"Per="&amp;$H$1&amp;",sort="&amp;$J$1&amp;",real=true,Bizday="&amp;$L$1&amp;",Pos=20,Orient=V,Title=KOSPI,DtFmt=1,TmFmt=1")</f>
        <v>KOSPI</v>
      </c>
      <c r="C3" t="str">
        <f ca="1">_xll.IMDH("IDX","005",C4:C4,$B$1,$D$1,$F$1,"Per="&amp;$H$1&amp;",sort="&amp;$J$1&amp;",real=true,Bizday="&amp;$L$1&amp;",Pos=20,Orient=V,Title=음식료품,DtFmt=1,TmFmt=1")</f>
        <v>음식료품</v>
      </c>
      <c r="D3" t="str">
        <f ca="1">_xll.IMDH("IDX","006",D4:D4,$B$1,$D$1,$F$1,"Per="&amp;$H$1&amp;",sort="&amp;$J$1&amp;",real=true,Bizday="&amp;$L$1&amp;",Pos=20,Orient=V,Title=섬유.의복,DtFmt=1,TmFmt=1")</f>
        <v>섬유.의복</v>
      </c>
      <c r="E3" t="str">
        <f ca="1">_xll.IMDH("IDX","007",E4:E4,$B$1,$D$1,$F$1,"Per="&amp;$H$1&amp;",sort="&amp;$J$1&amp;",real=true,Bizday="&amp;$L$1&amp;",Pos=20,Orient=V,Title=종이.목재,DtFmt=1,TmFmt=1")</f>
        <v>종이.목재</v>
      </c>
      <c r="F3" t="str">
        <f ca="1">_xll.IMDH("IDX","008",F4:F4,$B$1,$D$1,$F$1,"Per="&amp;$H$1&amp;",sort="&amp;$J$1&amp;",real=true,Bizday="&amp;$L$1&amp;",Pos=20,Orient=V,Title=화학,DtFmt=1,TmFmt=1")</f>
        <v>화학</v>
      </c>
      <c r="G3" t="str">
        <f ca="1">_xll.IMDH("IDX","009",G4:G4,$B$1,$D$1,$F$1,"Per="&amp;$H$1&amp;",sort="&amp;$J$1&amp;",real=true,Bizday="&amp;$L$1&amp;",Pos=20,Orient=V,Title=의약품,DtFmt=1,TmFmt=1")</f>
        <v>의약품</v>
      </c>
      <c r="H3" t="str">
        <f ca="1">_xll.IMDH("IDX","010",H4:H4,$B$1,$D$1,$F$1,"Per="&amp;$H$1&amp;",sort="&amp;$J$1&amp;",real=true,Bizday="&amp;$L$1&amp;",Pos=20,Orient=V,Title=비금속광물,DtFmt=1,TmFmt=1")</f>
        <v>비금속광물</v>
      </c>
      <c r="I3" t="str">
        <f ca="1">_xll.IMDH("IDX","011",I4:I4,$B$1,$D$1,$F$1,"Per="&amp;$H$1&amp;",sort="&amp;$J$1&amp;",real=true,Bizday="&amp;$L$1&amp;",Pos=20,Orient=V,Title=철강.금속,DtFmt=1,TmFmt=1")</f>
        <v>철강.금속</v>
      </c>
      <c r="J3" t="str">
        <f ca="1">_xll.IMDH("IDX","012",J4:J4,$B$1,$D$1,$F$1,"Per="&amp;$H$1&amp;",sort="&amp;$J$1&amp;",real=true,Bizday="&amp;$L$1&amp;",Pos=20,Orient=V,Title=기계,DtFmt=1,TmFmt=1")</f>
        <v>기계</v>
      </c>
      <c r="K3" t="str">
        <f ca="1">_xll.IMDH("IDX","013",K4:K4,$B$1,$D$1,$F$1,"Per="&amp;$H$1&amp;",sort="&amp;$J$1&amp;",real=true,Bizday="&amp;$L$1&amp;",Pos=20,Orient=V,Title=전기.전자,DtFmt=1,TmFmt=1")</f>
        <v>전기.전자</v>
      </c>
      <c r="L3" t="str">
        <f ca="1">_xll.IMDH("IDX","014",L4:L4,$B$1,$D$1,$F$1,"Per="&amp;$H$1&amp;",sort="&amp;$J$1&amp;",real=true,Bizday="&amp;$L$1&amp;",Pos=20,Orient=V,Title=의료정밀,DtFmt=1,TmFmt=1")</f>
        <v>의료정밀</v>
      </c>
      <c r="M3" t="str">
        <f ca="1">_xll.IMDH("IDX","015",M4:M4,$B$1,$D$1,$F$1,"Per="&amp;$H$1&amp;",sort="&amp;$J$1&amp;",real=true,Bizday="&amp;$L$1&amp;",Pos=20,Orient=V,Title=운수.장비,DtFmt=1,TmFmt=1")</f>
        <v>운수.장비</v>
      </c>
      <c r="N3" t="str">
        <f ca="1">_xll.IMDH("IDX","016",N4:N4,$B$1,$D$1,$F$1,"Per="&amp;$H$1&amp;",sort="&amp;$J$1&amp;",real=true,Bizday="&amp;$L$1&amp;",Pos=20,Orient=V,Title=유통업,DtFmt=1,TmFmt=1")</f>
        <v>유통업</v>
      </c>
      <c r="O3" t="str">
        <f ca="1">_xll.IMDH("IDX","017",O4:O4,$B$1,$D$1,$F$1,"Per="&amp;$H$1&amp;",sort="&amp;$J$1&amp;",real=true,Bizday="&amp;$L$1&amp;",Pos=20,Orient=V,Title=전기.가스업,DtFmt=1,TmFmt=1")</f>
        <v>전기.가스업</v>
      </c>
      <c r="P3" t="str">
        <f ca="1">_xll.IMDH("IDX","018",P4:P4,$B$1,$D$1,$F$1,"Per="&amp;$H$1&amp;",sort="&amp;$J$1&amp;",real=true,Bizday="&amp;$L$1&amp;",Pos=20,Orient=V,Title=건설업,DtFmt=1,TmFmt=1")</f>
        <v>건설업</v>
      </c>
      <c r="Q3" t="str">
        <f ca="1">_xll.IMDH("IDX","019",Q4:Q4,$B$1,$D$1,$F$1,"Per="&amp;$H$1&amp;",sort="&amp;$J$1&amp;",real=true,Bizday="&amp;$L$1&amp;",Pos=20,Orient=V,Title=운수.창고,DtFmt=1,TmFmt=1")</f>
        <v>운수.창고</v>
      </c>
      <c r="R3" t="str">
        <f ca="1">_xll.IMDH("IDX","020",R4:R4,$B$1,$D$1,$F$1,"Per="&amp;$H$1&amp;",sort="&amp;$J$1&amp;",real=true,Bizday="&amp;$L$1&amp;",Pos=20,Orient=V,Title=통신업,DtFmt=1,TmFmt=1")</f>
        <v>통신업</v>
      </c>
      <c r="S3" t="str">
        <f ca="1">_xll.IMDH("IDX","021",S4:S4,$B$1,$D$1,$F$1,"Per="&amp;$H$1&amp;",sort="&amp;$J$1&amp;",real=true,Bizday="&amp;$L$1&amp;",Pos=20,Orient=V,Title=금융업,DtFmt=1,TmFmt=1")</f>
        <v>금융업</v>
      </c>
      <c r="T3" t="str">
        <f ca="1">_xll.IMDH("IDX","022",T4:T4,$B$1,$D$1,$F$1,"Per="&amp;$H$1&amp;",sort="&amp;$J$1&amp;",real=true,Bizday="&amp;$L$1&amp;",Pos=20,Orient=V,Title=은행,DtFmt=1,TmFmt=1")</f>
        <v>은행</v>
      </c>
      <c r="U3" t="str">
        <f ca="1">_xll.IMDH("IDX","024",U4:U4,$B$1,$D$1,$F$1,"Per="&amp;$H$1&amp;",sort="&amp;$J$1&amp;",real=true,Bizday="&amp;$L$1&amp;",Pos=20,Orient=V,Title=증권,DtFmt=1,TmFmt=1")</f>
        <v>증권</v>
      </c>
      <c r="V3" t="str">
        <f ca="1">_xll.IMDH("IDX","025",V4:V4,$B$1,$D$1,$F$1,"Per="&amp;$H$1&amp;",sort="&amp;$J$1&amp;",real=true,Bizday="&amp;$L$1&amp;",Pos=20,Orient=V,Title=보험,DtFmt=1,TmFmt=1")</f>
        <v>보험</v>
      </c>
      <c r="W3" t="str">
        <f ca="1">_xll.IMDH("IDX","026",W4:W4,$B$1,$D$1,$F$1,"Per="&amp;$H$1&amp;",sort="&amp;$J$1&amp;",real=true,Bizday="&amp;$L$1&amp;",Pos=20,Orient=V,Title=서비스업,DtFmt=1,TmFmt=1")</f>
        <v>서비스업</v>
      </c>
    </row>
    <row r="4" spans="1:23" x14ac:dyDescent="0.25">
      <c r="A4" s="3" t="s">
        <v>7</v>
      </c>
      <c r="B4" s="5" t="s">
        <v>8</v>
      </c>
      <c r="C4" s="6" t="s">
        <v>8</v>
      </c>
      <c r="D4" s="7" t="s">
        <v>8</v>
      </c>
      <c r="E4" s="8" t="s">
        <v>8</v>
      </c>
      <c r="F4" s="9" t="s">
        <v>8</v>
      </c>
      <c r="G4" s="10" t="s">
        <v>8</v>
      </c>
      <c r="H4" s="11" t="s">
        <v>8</v>
      </c>
      <c r="I4" s="12" t="s">
        <v>8</v>
      </c>
      <c r="J4" s="13" t="s">
        <v>8</v>
      </c>
      <c r="K4" s="14" t="s">
        <v>8</v>
      </c>
      <c r="L4" s="15" t="s">
        <v>8</v>
      </c>
      <c r="M4" s="5" t="s">
        <v>8</v>
      </c>
      <c r="N4" s="6" t="s">
        <v>8</v>
      </c>
      <c r="O4" s="7" t="s">
        <v>8</v>
      </c>
      <c r="P4" s="8" t="s">
        <v>8</v>
      </c>
      <c r="Q4" s="9" t="s">
        <v>8</v>
      </c>
      <c r="R4" s="10" t="s">
        <v>8</v>
      </c>
      <c r="S4" s="11" t="s">
        <v>8</v>
      </c>
      <c r="T4" s="12" t="s">
        <v>8</v>
      </c>
      <c r="U4" s="13" t="s">
        <v>8</v>
      </c>
      <c r="V4" s="14" t="s">
        <v>8</v>
      </c>
      <c r="W4" s="15" t="s">
        <v>8</v>
      </c>
    </row>
    <row r="5" spans="1:23" x14ac:dyDescent="0.25">
      <c r="A5" s="2">
        <v>43601</v>
      </c>
      <c r="B5">
        <v>2067.69</v>
      </c>
      <c r="C5">
        <v>3794.26</v>
      </c>
      <c r="D5">
        <v>312.38</v>
      </c>
      <c r="E5">
        <v>405.01</v>
      </c>
      <c r="F5">
        <v>4826.93</v>
      </c>
      <c r="G5">
        <v>10193.4</v>
      </c>
      <c r="H5">
        <v>1635.51</v>
      </c>
      <c r="I5">
        <v>3964.47</v>
      </c>
      <c r="J5">
        <v>738.37</v>
      </c>
      <c r="K5">
        <v>15597.07</v>
      </c>
      <c r="L5">
        <v>2686.85</v>
      </c>
      <c r="M5">
        <v>1502.7</v>
      </c>
      <c r="N5">
        <v>395.27</v>
      </c>
      <c r="O5">
        <v>851.08</v>
      </c>
      <c r="P5">
        <v>106.71</v>
      </c>
      <c r="Q5">
        <v>1437.69</v>
      </c>
      <c r="R5">
        <v>371.82</v>
      </c>
      <c r="S5">
        <v>434.89</v>
      </c>
      <c r="T5">
        <v>292.60000000000002</v>
      </c>
      <c r="U5">
        <v>1805.53</v>
      </c>
      <c r="V5">
        <v>15730.38</v>
      </c>
      <c r="W5">
        <v>1126.77</v>
      </c>
    </row>
    <row r="6" spans="1:23" x14ac:dyDescent="0.25">
      <c r="A6" s="2">
        <v>43600</v>
      </c>
      <c r="B6">
        <v>2092.7800000000002</v>
      </c>
      <c r="C6">
        <v>3837.4</v>
      </c>
      <c r="D6">
        <v>319.08</v>
      </c>
      <c r="E6">
        <v>411.58</v>
      </c>
      <c r="F6">
        <v>4860.2299999999996</v>
      </c>
      <c r="G6">
        <v>10310.08</v>
      </c>
      <c r="H6">
        <v>1644.85</v>
      </c>
      <c r="I6">
        <v>4029.39</v>
      </c>
      <c r="J6">
        <v>744.38</v>
      </c>
      <c r="K6">
        <v>16002.7</v>
      </c>
      <c r="L6">
        <v>2821.96</v>
      </c>
      <c r="M6">
        <v>1507.98</v>
      </c>
      <c r="N6">
        <v>399.38</v>
      </c>
      <c r="O6">
        <v>865.4</v>
      </c>
      <c r="P6">
        <v>107.23</v>
      </c>
      <c r="Q6">
        <v>1452.44</v>
      </c>
      <c r="R6">
        <v>372.27</v>
      </c>
      <c r="S6">
        <v>437.55</v>
      </c>
      <c r="T6">
        <v>291.61</v>
      </c>
      <c r="U6">
        <v>1820.04</v>
      </c>
      <c r="V6">
        <v>15862.55</v>
      </c>
      <c r="W6">
        <v>1128.29</v>
      </c>
    </row>
    <row r="7" spans="1:23" x14ac:dyDescent="0.25">
      <c r="A7" s="2">
        <v>43599</v>
      </c>
      <c r="B7">
        <v>2081.84</v>
      </c>
      <c r="C7">
        <v>3815.99</v>
      </c>
      <c r="D7">
        <v>318.39999999999998</v>
      </c>
      <c r="E7">
        <v>408.43</v>
      </c>
      <c r="F7">
        <v>4768.0600000000004</v>
      </c>
      <c r="G7">
        <v>10196.15</v>
      </c>
      <c r="H7">
        <v>1635.04</v>
      </c>
      <c r="I7">
        <v>4004.64</v>
      </c>
      <c r="J7">
        <v>735.05</v>
      </c>
      <c r="K7">
        <v>15971.03</v>
      </c>
      <c r="L7">
        <v>2784.83</v>
      </c>
      <c r="M7">
        <v>1499.87</v>
      </c>
      <c r="N7">
        <v>400.77</v>
      </c>
      <c r="O7">
        <v>876.89</v>
      </c>
      <c r="P7">
        <v>104.22</v>
      </c>
      <c r="Q7">
        <v>1440.59</v>
      </c>
      <c r="R7">
        <v>373.97</v>
      </c>
      <c r="S7">
        <v>434.9</v>
      </c>
      <c r="T7">
        <v>290.54000000000002</v>
      </c>
      <c r="U7">
        <v>1797.24</v>
      </c>
      <c r="V7">
        <v>15928.84</v>
      </c>
      <c r="W7">
        <v>1131.67</v>
      </c>
    </row>
    <row r="8" spans="1:23" x14ac:dyDescent="0.25">
      <c r="A8" s="2">
        <v>43598</v>
      </c>
      <c r="B8">
        <v>2079.0100000000002</v>
      </c>
      <c r="C8">
        <v>3832.83</v>
      </c>
      <c r="D8">
        <v>322.2</v>
      </c>
      <c r="E8">
        <v>398.35</v>
      </c>
      <c r="F8">
        <v>4767.7700000000004</v>
      </c>
      <c r="G8">
        <v>9944.69</v>
      </c>
      <c r="H8">
        <v>1627.04</v>
      </c>
      <c r="I8">
        <v>3985.78</v>
      </c>
      <c r="J8">
        <v>735.19</v>
      </c>
      <c r="K8">
        <v>15935.12</v>
      </c>
      <c r="L8">
        <v>2781.03</v>
      </c>
      <c r="M8">
        <v>1508.3</v>
      </c>
      <c r="N8">
        <v>398.57</v>
      </c>
      <c r="O8">
        <v>877.92</v>
      </c>
      <c r="P8">
        <v>103.99</v>
      </c>
      <c r="Q8">
        <v>1412.03</v>
      </c>
      <c r="R8">
        <v>374.85</v>
      </c>
      <c r="S8">
        <v>436.05</v>
      </c>
      <c r="T8">
        <v>290.48</v>
      </c>
      <c r="U8">
        <v>1805.53</v>
      </c>
      <c r="V8">
        <v>16066.61</v>
      </c>
      <c r="W8">
        <v>1136.94</v>
      </c>
    </row>
    <row r="9" spans="1:23" x14ac:dyDescent="0.25">
      <c r="A9" s="2">
        <v>43595</v>
      </c>
      <c r="B9">
        <v>2108.04</v>
      </c>
      <c r="C9">
        <v>3867.69</v>
      </c>
      <c r="D9">
        <v>324.08999999999997</v>
      </c>
      <c r="E9">
        <v>404.99</v>
      </c>
      <c r="F9">
        <v>4891.63</v>
      </c>
      <c r="G9">
        <v>10313.450000000001</v>
      </c>
      <c r="H9">
        <v>1652.18</v>
      </c>
      <c r="I9">
        <v>4036.34</v>
      </c>
      <c r="J9">
        <v>742.72</v>
      </c>
      <c r="K9">
        <v>16083.58</v>
      </c>
      <c r="L9">
        <v>2874.66</v>
      </c>
      <c r="M9">
        <v>1531.83</v>
      </c>
      <c r="N9">
        <v>404.23</v>
      </c>
      <c r="O9">
        <v>887.48</v>
      </c>
      <c r="P9">
        <v>105.79</v>
      </c>
      <c r="Q9">
        <v>1425.14</v>
      </c>
      <c r="R9">
        <v>377.91</v>
      </c>
      <c r="S9">
        <v>441.27</v>
      </c>
      <c r="T9">
        <v>292.57</v>
      </c>
      <c r="U9">
        <v>1827.55</v>
      </c>
      <c r="V9">
        <v>16471.28</v>
      </c>
      <c r="W9">
        <v>1144.8800000000001</v>
      </c>
    </row>
    <row r="10" spans="1:23" x14ac:dyDescent="0.25">
      <c r="A10" s="2">
        <v>43594</v>
      </c>
      <c r="B10">
        <v>2102.0100000000002</v>
      </c>
      <c r="C10">
        <v>3860.3</v>
      </c>
      <c r="D10">
        <v>321.3</v>
      </c>
      <c r="E10">
        <v>410.63</v>
      </c>
      <c r="F10">
        <v>4866.42</v>
      </c>
      <c r="G10">
        <v>10501.12</v>
      </c>
      <c r="H10">
        <v>1689.5</v>
      </c>
      <c r="I10">
        <v>4050.81</v>
      </c>
      <c r="J10">
        <v>748.03</v>
      </c>
      <c r="K10">
        <v>16026.26</v>
      </c>
      <c r="L10">
        <v>2816.28</v>
      </c>
      <c r="M10">
        <v>1540.97</v>
      </c>
      <c r="N10">
        <v>400.26</v>
      </c>
      <c r="O10">
        <v>880.81</v>
      </c>
      <c r="P10">
        <v>106.29</v>
      </c>
      <c r="Q10">
        <v>1436.23</v>
      </c>
      <c r="R10">
        <v>376.74</v>
      </c>
      <c r="S10">
        <v>439.81</v>
      </c>
      <c r="T10">
        <v>290.52999999999997</v>
      </c>
      <c r="U10">
        <v>1812.51</v>
      </c>
      <c r="V10">
        <v>16393.650000000001</v>
      </c>
      <c r="W10">
        <v>1123.05</v>
      </c>
    </row>
    <row r="11" spans="1:23" x14ac:dyDescent="0.25">
      <c r="A11" s="2">
        <v>43593</v>
      </c>
      <c r="B11">
        <v>2168.0100000000002</v>
      </c>
      <c r="C11">
        <v>3968.1</v>
      </c>
      <c r="D11">
        <v>328.95</v>
      </c>
      <c r="E11">
        <v>420.46</v>
      </c>
      <c r="F11">
        <v>5043.72</v>
      </c>
      <c r="G11">
        <v>10518.12</v>
      </c>
      <c r="H11">
        <v>1722.03</v>
      </c>
      <c r="I11">
        <v>4128.79</v>
      </c>
      <c r="J11">
        <v>775.08</v>
      </c>
      <c r="K11">
        <v>16755.18</v>
      </c>
      <c r="L11">
        <v>2871.36</v>
      </c>
      <c r="M11">
        <v>1595.53</v>
      </c>
      <c r="N11">
        <v>413.46</v>
      </c>
      <c r="O11">
        <v>901.54</v>
      </c>
      <c r="P11">
        <v>110.08</v>
      </c>
      <c r="Q11">
        <v>1470.05</v>
      </c>
      <c r="R11">
        <v>378.57</v>
      </c>
      <c r="S11">
        <v>449.92</v>
      </c>
      <c r="T11">
        <v>297.79000000000002</v>
      </c>
      <c r="U11">
        <v>1858.03</v>
      </c>
      <c r="V11">
        <v>16847.97</v>
      </c>
      <c r="W11">
        <v>1156.49</v>
      </c>
    </row>
    <row r="12" spans="1:23" x14ac:dyDescent="0.25">
      <c r="A12" s="2">
        <v>43592</v>
      </c>
      <c r="B12">
        <v>2176.9899999999998</v>
      </c>
      <c r="C12">
        <v>3961.14</v>
      </c>
      <c r="D12">
        <v>324.55</v>
      </c>
      <c r="E12">
        <v>412.41</v>
      </c>
      <c r="F12">
        <v>5056.6099999999997</v>
      </c>
      <c r="G12">
        <v>10804.68</v>
      </c>
      <c r="H12">
        <v>1694.41</v>
      </c>
      <c r="I12">
        <v>4144.22</v>
      </c>
      <c r="J12">
        <v>774</v>
      </c>
      <c r="K12">
        <v>16902.189999999999</v>
      </c>
      <c r="L12">
        <v>2870.81</v>
      </c>
      <c r="M12">
        <v>1607.8</v>
      </c>
      <c r="N12">
        <v>415.3</v>
      </c>
      <c r="O12">
        <v>906.2</v>
      </c>
      <c r="P12">
        <v>109.79</v>
      </c>
      <c r="Q12">
        <v>1484.16</v>
      </c>
      <c r="R12">
        <v>369.75</v>
      </c>
      <c r="S12">
        <v>450.82</v>
      </c>
      <c r="T12">
        <v>298.89</v>
      </c>
      <c r="U12">
        <v>1841.75</v>
      </c>
      <c r="V12">
        <v>16984.93</v>
      </c>
      <c r="W12">
        <v>1148.68</v>
      </c>
    </row>
    <row r="13" spans="1:23" x14ac:dyDescent="0.25">
      <c r="A13" s="2">
        <v>43588</v>
      </c>
      <c r="B13">
        <v>2196.3200000000002</v>
      </c>
      <c r="C13">
        <v>3958.42</v>
      </c>
      <c r="D13">
        <v>324.79000000000002</v>
      </c>
      <c r="E13">
        <v>395.94</v>
      </c>
      <c r="F13">
        <v>5140.7</v>
      </c>
      <c r="G13">
        <v>10942.82</v>
      </c>
      <c r="H13">
        <v>1686.82</v>
      </c>
      <c r="I13">
        <v>4187.7700000000004</v>
      </c>
      <c r="J13">
        <v>791.58</v>
      </c>
      <c r="K13">
        <v>17067.03</v>
      </c>
      <c r="L13">
        <v>2918.89</v>
      </c>
      <c r="M13">
        <v>1619.35</v>
      </c>
      <c r="N13">
        <v>419.41</v>
      </c>
      <c r="O13">
        <v>902.77</v>
      </c>
      <c r="P13">
        <v>111.03</v>
      </c>
      <c r="Q13">
        <v>1506.04</v>
      </c>
      <c r="R13">
        <v>368.07</v>
      </c>
      <c r="S13">
        <v>451.92</v>
      </c>
      <c r="T13">
        <v>296.85000000000002</v>
      </c>
      <c r="U13">
        <v>1876.37</v>
      </c>
      <c r="V13">
        <v>17006.39</v>
      </c>
      <c r="W13">
        <v>1164.48</v>
      </c>
    </row>
    <row r="14" spans="1:23" x14ac:dyDescent="0.25">
      <c r="A14" s="2">
        <v>43587</v>
      </c>
      <c r="B14">
        <v>2212.75</v>
      </c>
      <c r="C14">
        <v>3974.47</v>
      </c>
      <c r="D14">
        <v>320.32</v>
      </c>
      <c r="E14">
        <v>399.22</v>
      </c>
      <c r="F14">
        <v>5146.63</v>
      </c>
      <c r="G14">
        <v>11021.55</v>
      </c>
      <c r="H14">
        <v>1702.31</v>
      </c>
      <c r="I14">
        <v>4220.8900000000003</v>
      </c>
      <c r="J14">
        <v>806.43</v>
      </c>
      <c r="K14">
        <v>17254.669999999998</v>
      </c>
      <c r="L14">
        <v>2925.87</v>
      </c>
      <c r="M14">
        <v>1648.45</v>
      </c>
      <c r="N14">
        <v>424.2</v>
      </c>
      <c r="O14">
        <v>912.42</v>
      </c>
      <c r="P14">
        <v>111.31</v>
      </c>
      <c r="Q14">
        <v>1507.52</v>
      </c>
      <c r="R14">
        <v>362.72</v>
      </c>
      <c r="S14">
        <v>455.63</v>
      </c>
      <c r="T14">
        <v>301.95</v>
      </c>
      <c r="U14">
        <v>1892.96</v>
      </c>
      <c r="V14">
        <v>17175.830000000002</v>
      </c>
      <c r="W14">
        <v>1165.6199999999999</v>
      </c>
    </row>
    <row r="15" spans="1:23" x14ac:dyDescent="0.25">
      <c r="A15" s="2">
        <v>43585</v>
      </c>
      <c r="B15">
        <v>2203.59</v>
      </c>
      <c r="C15">
        <v>3991.86</v>
      </c>
      <c r="D15">
        <v>318.99</v>
      </c>
      <c r="E15">
        <v>397.01</v>
      </c>
      <c r="F15">
        <v>5133.95</v>
      </c>
      <c r="G15">
        <v>11127.72</v>
      </c>
      <c r="H15">
        <v>1691.35</v>
      </c>
      <c r="I15">
        <v>4246.97</v>
      </c>
      <c r="J15">
        <v>791.51</v>
      </c>
      <c r="K15">
        <v>17173.669999999998</v>
      </c>
      <c r="L15">
        <v>2901.13</v>
      </c>
      <c r="M15">
        <v>1633.45</v>
      </c>
      <c r="N15">
        <v>424.29</v>
      </c>
      <c r="O15">
        <v>929.36</v>
      </c>
      <c r="P15">
        <v>111.29</v>
      </c>
      <c r="Q15">
        <v>1487.28</v>
      </c>
      <c r="R15">
        <v>356.33</v>
      </c>
      <c r="S15">
        <v>451.03</v>
      </c>
      <c r="T15">
        <v>295.79000000000002</v>
      </c>
      <c r="U15">
        <v>1877.8</v>
      </c>
      <c r="V15">
        <v>17160.48</v>
      </c>
      <c r="W15">
        <v>1159.8499999999999</v>
      </c>
    </row>
    <row r="16" spans="1:23" x14ac:dyDescent="0.25">
      <c r="A16" s="2">
        <v>43584</v>
      </c>
      <c r="B16">
        <v>2216.4299999999998</v>
      </c>
      <c r="C16">
        <v>4010.74</v>
      </c>
      <c r="D16">
        <v>319.52999999999997</v>
      </c>
      <c r="E16">
        <v>399.93</v>
      </c>
      <c r="F16">
        <v>5201.78</v>
      </c>
      <c r="G16">
        <v>11243.96</v>
      </c>
      <c r="H16">
        <v>1698.42</v>
      </c>
      <c r="I16">
        <v>4289.7700000000004</v>
      </c>
      <c r="J16">
        <v>794.06</v>
      </c>
      <c r="K16">
        <v>17272.259999999998</v>
      </c>
      <c r="L16">
        <v>2795.34</v>
      </c>
      <c r="M16">
        <v>1644.26</v>
      </c>
      <c r="N16">
        <v>423.13</v>
      </c>
      <c r="O16">
        <v>939.73</v>
      </c>
      <c r="P16">
        <v>111.52</v>
      </c>
      <c r="Q16">
        <v>1469.61</v>
      </c>
      <c r="R16">
        <v>357.17</v>
      </c>
      <c r="S16">
        <v>455.16</v>
      </c>
      <c r="T16">
        <v>300.94</v>
      </c>
      <c r="U16">
        <v>1907.97</v>
      </c>
      <c r="V16">
        <v>17178.25</v>
      </c>
      <c r="W16">
        <v>1155.83</v>
      </c>
    </row>
    <row r="17" spans="1:23" x14ac:dyDescent="0.25">
      <c r="A17" s="2">
        <v>43581</v>
      </c>
      <c r="B17">
        <v>2179.31</v>
      </c>
      <c r="C17">
        <v>3979.24</v>
      </c>
      <c r="D17">
        <v>314.18</v>
      </c>
      <c r="E17">
        <v>399.51</v>
      </c>
      <c r="F17">
        <v>5135.97</v>
      </c>
      <c r="G17">
        <v>11070.46</v>
      </c>
      <c r="H17">
        <v>1681.58</v>
      </c>
      <c r="I17">
        <v>4237.29</v>
      </c>
      <c r="J17">
        <v>782.43</v>
      </c>
      <c r="K17">
        <v>16843.5</v>
      </c>
      <c r="L17">
        <v>2716.57</v>
      </c>
      <c r="M17">
        <v>1593.02</v>
      </c>
      <c r="N17">
        <v>419.82</v>
      </c>
      <c r="O17">
        <v>920.68</v>
      </c>
      <c r="P17">
        <v>110.37</v>
      </c>
      <c r="Q17">
        <v>1444.44</v>
      </c>
      <c r="R17">
        <v>356.65</v>
      </c>
      <c r="S17">
        <v>449.47</v>
      </c>
      <c r="T17">
        <v>294.76</v>
      </c>
      <c r="U17">
        <v>1877.53</v>
      </c>
      <c r="V17">
        <v>16980.12</v>
      </c>
      <c r="W17">
        <v>1145.03</v>
      </c>
    </row>
    <row r="18" spans="1:23" x14ac:dyDescent="0.25">
      <c r="A18" s="2">
        <v>43580</v>
      </c>
      <c r="B18">
        <v>2190.5</v>
      </c>
      <c r="C18">
        <v>3970.09</v>
      </c>
      <c r="D18">
        <v>319.95</v>
      </c>
      <c r="E18">
        <v>398.8</v>
      </c>
      <c r="F18">
        <v>5197.2700000000004</v>
      </c>
      <c r="G18">
        <v>11018.53</v>
      </c>
      <c r="H18">
        <v>1691.33</v>
      </c>
      <c r="I18">
        <v>4301.6899999999996</v>
      </c>
      <c r="J18">
        <v>785.92</v>
      </c>
      <c r="K18">
        <v>16879.63</v>
      </c>
      <c r="L18">
        <v>2755.89</v>
      </c>
      <c r="M18">
        <v>1604.2</v>
      </c>
      <c r="N18">
        <v>424</v>
      </c>
      <c r="O18">
        <v>918.69</v>
      </c>
      <c r="P18">
        <v>107.94</v>
      </c>
      <c r="Q18">
        <v>1435.09</v>
      </c>
      <c r="R18">
        <v>358.05</v>
      </c>
      <c r="S18">
        <v>453.73</v>
      </c>
      <c r="T18">
        <v>298.87</v>
      </c>
      <c r="U18">
        <v>1885.62</v>
      </c>
      <c r="V18">
        <v>17167.150000000001</v>
      </c>
      <c r="W18">
        <v>1152.01</v>
      </c>
    </row>
    <row r="19" spans="1:23" x14ac:dyDescent="0.25">
      <c r="A19" s="2">
        <v>43579</v>
      </c>
      <c r="B19">
        <v>2201.0300000000002</v>
      </c>
      <c r="C19">
        <v>4003.96</v>
      </c>
      <c r="D19">
        <v>319.83999999999997</v>
      </c>
      <c r="E19">
        <v>405.62</v>
      </c>
      <c r="F19">
        <v>5248.66</v>
      </c>
      <c r="G19">
        <v>11358.29</v>
      </c>
      <c r="H19">
        <v>1725.45</v>
      </c>
      <c r="I19">
        <v>4287.82</v>
      </c>
      <c r="J19">
        <v>786.84</v>
      </c>
      <c r="K19">
        <v>16832.57</v>
      </c>
      <c r="L19">
        <v>2687.61</v>
      </c>
      <c r="M19">
        <v>1627.39</v>
      </c>
      <c r="N19">
        <v>430.88</v>
      </c>
      <c r="O19">
        <v>930.36</v>
      </c>
      <c r="P19">
        <v>107.43</v>
      </c>
      <c r="Q19">
        <v>1458.31</v>
      </c>
      <c r="R19">
        <v>356.86</v>
      </c>
      <c r="S19">
        <v>454.35</v>
      </c>
      <c r="T19">
        <v>296.83</v>
      </c>
      <c r="U19">
        <v>1878.46</v>
      </c>
      <c r="V19">
        <v>17155.689999999999</v>
      </c>
      <c r="W19">
        <v>1154.9000000000001</v>
      </c>
    </row>
    <row r="20" spans="1:23" x14ac:dyDescent="0.25">
      <c r="A20" s="2">
        <v>43578</v>
      </c>
      <c r="B20">
        <v>2220.5100000000002</v>
      </c>
      <c r="C20">
        <v>3987.2</v>
      </c>
      <c r="D20">
        <v>322.66000000000003</v>
      </c>
      <c r="E20">
        <v>405.27</v>
      </c>
      <c r="F20">
        <v>5298.11</v>
      </c>
      <c r="G20">
        <v>11523.29</v>
      </c>
      <c r="H20">
        <v>1741.08</v>
      </c>
      <c r="I20">
        <v>4335.93</v>
      </c>
      <c r="J20">
        <v>798.99</v>
      </c>
      <c r="K20">
        <v>17073.5</v>
      </c>
      <c r="L20">
        <v>2736.63</v>
      </c>
      <c r="M20">
        <v>1626.86</v>
      </c>
      <c r="N20">
        <v>435.1</v>
      </c>
      <c r="O20">
        <v>947.36</v>
      </c>
      <c r="P20">
        <v>109.3</v>
      </c>
      <c r="Q20">
        <v>1481.34</v>
      </c>
      <c r="R20">
        <v>354.03</v>
      </c>
      <c r="S20">
        <v>457.54</v>
      </c>
      <c r="T20">
        <v>304.06</v>
      </c>
      <c r="U20">
        <v>1896.01</v>
      </c>
      <c r="V20">
        <v>17052.7</v>
      </c>
      <c r="W20">
        <v>1156.79</v>
      </c>
    </row>
    <row r="21" spans="1:23" x14ac:dyDescent="0.25">
      <c r="A21" s="2">
        <v>43577</v>
      </c>
      <c r="B21">
        <v>2216.65</v>
      </c>
      <c r="C21">
        <v>3970.38</v>
      </c>
      <c r="D21">
        <v>319.76</v>
      </c>
      <c r="E21">
        <v>411.18</v>
      </c>
      <c r="F21">
        <v>5307.6</v>
      </c>
      <c r="G21">
        <v>11580.61</v>
      </c>
      <c r="H21">
        <v>1743.65</v>
      </c>
      <c r="I21">
        <v>4361.53</v>
      </c>
      <c r="J21">
        <v>788.99</v>
      </c>
      <c r="K21">
        <v>17110.02</v>
      </c>
      <c r="L21">
        <v>2751.72</v>
      </c>
      <c r="M21">
        <v>1599.95</v>
      </c>
      <c r="N21">
        <v>431.11</v>
      </c>
      <c r="O21">
        <v>945.88</v>
      </c>
      <c r="P21">
        <v>108.92</v>
      </c>
      <c r="Q21">
        <v>1495.88</v>
      </c>
      <c r="R21">
        <v>354.77</v>
      </c>
      <c r="S21">
        <v>454.78</v>
      </c>
      <c r="T21">
        <v>302.01</v>
      </c>
      <c r="U21">
        <v>1905.14</v>
      </c>
      <c r="V21">
        <v>16887.650000000001</v>
      </c>
      <c r="W21">
        <v>1156.74</v>
      </c>
    </row>
    <row r="22" spans="1:23" x14ac:dyDescent="0.25">
      <c r="A22" s="2">
        <v>43574</v>
      </c>
      <c r="B22">
        <v>2216.15</v>
      </c>
      <c r="C22">
        <v>3943.36</v>
      </c>
      <c r="D22">
        <v>321.83999999999997</v>
      </c>
      <c r="E22">
        <v>407.94</v>
      </c>
      <c r="F22">
        <v>5282.12</v>
      </c>
      <c r="G22">
        <v>11463.94</v>
      </c>
      <c r="H22">
        <v>1741.99</v>
      </c>
      <c r="I22">
        <v>4372.2700000000004</v>
      </c>
      <c r="J22">
        <v>791.52</v>
      </c>
      <c r="K22">
        <v>17139.47</v>
      </c>
      <c r="L22">
        <v>2779.9</v>
      </c>
      <c r="M22">
        <v>1603.3</v>
      </c>
      <c r="N22">
        <v>431.81</v>
      </c>
      <c r="O22">
        <v>945.09</v>
      </c>
      <c r="P22">
        <v>109.25</v>
      </c>
      <c r="Q22">
        <v>1490.48</v>
      </c>
      <c r="R22">
        <v>354.3</v>
      </c>
      <c r="S22">
        <v>455.47</v>
      </c>
      <c r="T22">
        <v>302.02</v>
      </c>
      <c r="U22">
        <v>1901.43</v>
      </c>
      <c r="V22">
        <v>16970.080000000002</v>
      </c>
      <c r="W22">
        <v>1155.33</v>
      </c>
    </row>
    <row r="23" spans="1:23" x14ac:dyDescent="0.25">
      <c r="A23" s="2">
        <v>43573</v>
      </c>
      <c r="B23">
        <v>2213.77</v>
      </c>
      <c r="C23">
        <v>3962.93</v>
      </c>
      <c r="D23">
        <v>323.01</v>
      </c>
      <c r="E23">
        <v>406.07</v>
      </c>
      <c r="F23">
        <v>5263.19</v>
      </c>
      <c r="G23">
        <v>11066.89</v>
      </c>
      <c r="H23">
        <v>1740.54</v>
      </c>
      <c r="I23">
        <v>4427.1899999999996</v>
      </c>
      <c r="J23">
        <v>799.18</v>
      </c>
      <c r="K23">
        <v>17128.63</v>
      </c>
      <c r="L23">
        <v>2650.63</v>
      </c>
      <c r="M23">
        <v>1612.48</v>
      </c>
      <c r="N23">
        <v>430.17</v>
      </c>
      <c r="O23">
        <v>940.38</v>
      </c>
      <c r="P23">
        <v>108.81</v>
      </c>
      <c r="Q23">
        <v>1470.74</v>
      </c>
      <c r="R23">
        <v>354.45</v>
      </c>
      <c r="S23">
        <v>456.79</v>
      </c>
      <c r="T23">
        <v>302</v>
      </c>
      <c r="U23">
        <v>1902.68</v>
      </c>
      <c r="V23">
        <v>17077.43</v>
      </c>
      <c r="W23">
        <v>1160.8</v>
      </c>
    </row>
    <row r="24" spans="1:23" x14ac:dyDescent="0.25">
      <c r="A24" s="2">
        <v>43572</v>
      </c>
      <c r="B24">
        <v>2245.89</v>
      </c>
      <c r="C24">
        <v>4002.57</v>
      </c>
      <c r="D24">
        <v>323.41000000000003</v>
      </c>
      <c r="E24">
        <v>414.97</v>
      </c>
      <c r="F24">
        <v>5330.03</v>
      </c>
      <c r="G24">
        <v>11312.92</v>
      </c>
      <c r="H24">
        <v>1759.16</v>
      </c>
      <c r="I24">
        <v>4456.1400000000003</v>
      </c>
      <c r="J24">
        <v>800.95</v>
      </c>
      <c r="K24">
        <v>17585.38</v>
      </c>
      <c r="L24">
        <v>2690.19</v>
      </c>
      <c r="M24">
        <v>1600.89</v>
      </c>
      <c r="N24">
        <v>435.99</v>
      </c>
      <c r="O24">
        <v>942.5</v>
      </c>
      <c r="P24">
        <v>111.5</v>
      </c>
      <c r="Q24">
        <v>1459.85</v>
      </c>
      <c r="R24">
        <v>358.17</v>
      </c>
      <c r="S24">
        <v>461.83</v>
      </c>
      <c r="T24">
        <v>306.13</v>
      </c>
      <c r="U24">
        <v>1950.94</v>
      </c>
      <c r="V24">
        <v>17138.36</v>
      </c>
      <c r="W24">
        <v>1176.28</v>
      </c>
    </row>
    <row r="25" spans="1:23" x14ac:dyDescent="0.25">
      <c r="A25" s="2">
        <v>43571</v>
      </c>
      <c r="B25">
        <v>2248.63</v>
      </c>
      <c r="C25">
        <v>4015.68</v>
      </c>
      <c r="D25">
        <v>332.02</v>
      </c>
      <c r="E25">
        <v>415.11</v>
      </c>
      <c r="F25">
        <v>5341.7</v>
      </c>
      <c r="G25">
        <v>11288.7</v>
      </c>
      <c r="H25">
        <v>1768.09</v>
      </c>
      <c r="I25">
        <v>4442.63</v>
      </c>
      <c r="J25">
        <v>788.47</v>
      </c>
      <c r="K25">
        <v>17622.560000000001</v>
      </c>
      <c r="L25">
        <v>2647.47</v>
      </c>
      <c r="M25">
        <v>1580.96</v>
      </c>
      <c r="N25">
        <v>439.55</v>
      </c>
      <c r="O25">
        <v>953.36</v>
      </c>
      <c r="P25">
        <v>111.72</v>
      </c>
      <c r="Q25">
        <v>1486.15</v>
      </c>
      <c r="R25">
        <v>358.46</v>
      </c>
      <c r="S25">
        <v>462.44</v>
      </c>
      <c r="T25">
        <v>306.14</v>
      </c>
      <c r="U25">
        <v>1941.48</v>
      </c>
      <c r="V25">
        <v>17183.32</v>
      </c>
      <c r="W25">
        <v>1178.99</v>
      </c>
    </row>
    <row r="26" spans="1:23" x14ac:dyDescent="0.25">
      <c r="A26" s="2">
        <v>43570</v>
      </c>
      <c r="B26">
        <v>2242.88</v>
      </c>
      <c r="C26">
        <v>4035.79</v>
      </c>
      <c r="D26">
        <v>340.22</v>
      </c>
      <c r="E26">
        <v>414.27</v>
      </c>
      <c r="F26">
        <v>5393.36</v>
      </c>
      <c r="G26">
        <v>11213.31</v>
      </c>
      <c r="H26">
        <v>1781.18</v>
      </c>
      <c r="I26">
        <v>4427.75</v>
      </c>
      <c r="J26">
        <v>792.27</v>
      </c>
      <c r="K26">
        <v>17548.13</v>
      </c>
      <c r="L26">
        <v>2687.25</v>
      </c>
      <c r="M26">
        <v>1552.43</v>
      </c>
      <c r="N26">
        <v>436.43</v>
      </c>
      <c r="O26">
        <v>948.65</v>
      </c>
      <c r="P26">
        <v>110.92</v>
      </c>
      <c r="Q26">
        <v>1499.87</v>
      </c>
      <c r="R26">
        <v>357.59</v>
      </c>
      <c r="S26">
        <v>464.07</v>
      </c>
      <c r="T26">
        <v>305.13</v>
      </c>
      <c r="U26">
        <v>1969.52</v>
      </c>
      <c r="V26">
        <v>17220.689999999999</v>
      </c>
      <c r="W26">
        <v>1168.42</v>
      </c>
    </row>
    <row r="27" spans="1:23" x14ac:dyDescent="0.25">
      <c r="A27" s="2">
        <v>43567</v>
      </c>
      <c r="B27">
        <v>2233.4499999999998</v>
      </c>
      <c r="C27">
        <v>4032.67</v>
      </c>
      <c r="D27">
        <v>334.61</v>
      </c>
      <c r="E27">
        <v>405.97</v>
      </c>
      <c r="F27">
        <v>5344.96</v>
      </c>
      <c r="G27">
        <v>11318.17</v>
      </c>
      <c r="H27">
        <v>1794.93</v>
      </c>
      <c r="I27">
        <v>4456.03</v>
      </c>
      <c r="J27">
        <v>797.67</v>
      </c>
      <c r="K27">
        <v>17448.599999999999</v>
      </c>
      <c r="L27">
        <v>2644.4</v>
      </c>
      <c r="M27">
        <v>1564.74</v>
      </c>
      <c r="N27">
        <v>435.27</v>
      </c>
      <c r="O27">
        <v>948.38</v>
      </c>
      <c r="P27">
        <v>110.9</v>
      </c>
      <c r="Q27">
        <v>1449.25</v>
      </c>
      <c r="R27">
        <v>355.96</v>
      </c>
      <c r="S27">
        <v>459.8</v>
      </c>
      <c r="T27">
        <v>307.16000000000003</v>
      </c>
      <c r="U27">
        <v>1924.55</v>
      </c>
      <c r="V27">
        <v>17131.39</v>
      </c>
      <c r="W27">
        <v>1162.07</v>
      </c>
    </row>
    <row r="28" spans="1:23" x14ac:dyDescent="0.25">
      <c r="A28" s="2">
        <v>43566</v>
      </c>
      <c r="B28">
        <v>2224.44</v>
      </c>
      <c r="C28">
        <v>4048.03</v>
      </c>
      <c r="D28">
        <v>326.27</v>
      </c>
      <c r="E28">
        <v>399.22</v>
      </c>
      <c r="F28">
        <v>5328.38</v>
      </c>
      <c r="G28">
        <v>11324.57</v>
      </c>
      <c r="H28">
        <v>1798.83</v>
      </c>
      <c r="I28">
        <v>4461.32</v>
      </c>
      <c r="J28">
        <v>797.96</v>
      </c>
      <c r="K28">
        <v>17300.03</v>
      </c>
      <c r="L28">
        <v>2646.5</v>
      </c>
      <c r="M28">
        <v>1572.69</v>
      </c>
      <c r="N28">
        <v>433.54</v>
      </c>
      <c r="O28">
        <v>952.27</v>
      </c>
      <c r="P28">
        <v>111.65</v>
      </c>
      <c r="Q28">
        <v>1401.62</v>
      </c>
      <c r="R28">
        <v>355.91</v>
      </c>
      <c r="S28">
        <v>457.51</v>
      </c>
      <c r="T28">
        <v>302.01</v>
      </c>
      <c r="U28">
        <v>1909.47</v>
      </c>
      <c r="V28">
        <v>17020.93</v>
      </c>
      <c r="W28">
        <v>1159.32</v>
      </c>
    </row>
    <row r="29" spans="1:23" x14ac:dyDescent="0.25">
      <c r="A29" s="2">
        <v>43565</v>
      </c>
      <c r="B29">
        <v>2224.39</v>
      </c>
      <c r="C29">
        <v>4054.61</v>
      </c>
      <c r="D29">
        <v>322.87</v>
      </c>
      <c r="E29">
        <v>397.65</v>
      </c>
      <c r="F29">
        <v>5302.5</v>
      </c>
      <c r="G29">
        <v>11203.58</v>
      </c>
      <c r="H29">
        <v>1765.48</v>
      </c>
      <c r="I29">
        <v>4494.4799999999996</v>
      </c>
      <c r="J29">
        <v>795.59</v>
      </c>
      <c r="K29">
        <v>17390.240000000002</v>
      </c>
      <c r="L29">
        <v>2615.59</v>
      </c>
      <c r="M29">
        <v>1564.11</v>
      </c>
      <c r="N29">
        <v>431.69</v>
      </c>
      <c r="O29">
        <v>962.9</v>
      </c>
      <c r="P29">
        <v>110.99</v>
      </c>
      <c r="Q29">
        <v>1381.56</v>
      </c>
      <c r="R29">
        <v>358.56</v>
      </c>
      <c r="S29">
        <v>458.07</v>
      </c>
      <c r="T29">
        <v>304.06</v>
      </c>
      <c r="U29">
        <v>1916.18</v>
      </c>
      <c r="V29">
        <v>17035.599999999999</v>
      </c>
      <c r="W29">
        <v>1156.18</v>
      </c>
    </row>
    <row r="30" spans="1:23" x14ac:dyDescent="0.25">
      <c r="A30" s="2">
        <v>43564</v>
      </c>
      <c r="B30">
        <v>2213.56</v>
      </c>
      <c r="C30">
        <v>4031.81</v>
      </c>
      <c r="D30">
        <v>320.12</v>
      </c>
      <c r="E30">
        <v>395.94</v>
      </c>
      <c r="F30">
        <v>5314.84</v>
      </c>
      <c r="G30">
        <v>11058.1</v>
      </c>
      <c r="H30">
        <v>1749.24</v>
      </c>
      <c r="I30">
        <v>4473.88</v>
      </c>
      <c r="J30">
        <v>797.35</v>
      </c>
      <c r="K30">
        <v>17346.45</v>
      </c>
      <c r="L30">
        <v>2602.06</v>
      </c>
      <c r="M30">
        <v>1552.57</v>
      </c>
      <c r="N30">
        <v>429.48</v>
      </c>
      <c r="O30">
        <v>942.94</v>
      </c>
      <c r="P30">
        <v>111.95</v>
      </c>
      <c r="Q30">
        <v>1358.59</v>
      </c>
      <c r="R30">
        <v>354.06</v>
      </c>
      <c r="S30">
        <v>456.34</v>
      </c>
      <c r="T30">
        <v>302.02</v>
      </c>
      <c r="U30">
        <v>1915.96</v>
      </c>
      <c r="V30">
        <v>16906.93</v>
      </c>
      <c r="W30">
        <v>1142.8699999999999</v>
      </c>
    </row>
    <row r="31" spans="1:23" x14ac:dyDescent="0.25">
      <c r="A31" s="2">
        <v>43563</v>
      </c>
      <c r="B31">
        <v>2210.6</v>
      </c>
      <c r="C31">
        <v>4013.28</v>
      </c>
      <c r="D31">
        <v>318.64</v>
      </c>
      <c r="E31">
        <v>394.93</v>
      </c>
      <c r="F31">
        <v>5276.37</v>
      </c>
      <c r="G31">
        <v>10793.41</v>
      </c>
      <c r="H31">
        <v>1749.85</v>
      </c>
      <c r="I31">
        <v>4513.67</v>
      </c>
      <c r="J31">
        <v>801.22</v>
      </c>
      <c r="K31">
        <v>17305.259999999998</v>
      </c>
      <c r="L31">
        <v>2579.35</v>
      </c>
      <c r="M31">
        <v>1552.37</v>
      </c>
      <c r="N31">
        <v>426.72</v>
      </c>
      <c r="O31">
        <v>963</v>
      </c>
      <c r="P31">
        <v>113.16</v>
      </c>
      <c r="Q31">
        <v>1364.31</v>
      </c>
      <c r="R31">
        <v>356.71</v>
      </c>
      <c r="S31">
        <v>456.78</v>
      </c>
      <c r="T31">
        <v>302.98</v>
      </c>
      <c r="U31">
        <v>1920.19</v>
      </c>
      <c r="V31">
        <v>16988.23</v>
      </c>
      <c r="W31">
        <v>1147.52</v>
      </c>
    </row>
    <row r="32" spans="1:23" x14ac:dyDescent="0.25">
      <c r="A32" s="2">
        <v>43560</v>
      </c>
      <c r="B32">
        <v>2209.61</v>
      </c>
      <c r="C32">
        <v>3980.76</v>
      </c>
      <c r="D32">
        <v>312.33</v>
      </c>
      <c r="E32">
        <v>393.43</v>
      </c>
      <c r="F32">
        <v>5242.71</v>
      </c>
      <c r="G32">
        <v>10738.88</v>
      </c>
      <c r="H32">
        <v>1747.6</v>
      </c>
      <c r="I32">
        <v>4509.09</v>
      </c>
      <c r="J32">
        <v>805.63</v>
      </c>
      <c r="K32">
        <v>17400.310000000001</v>
      </c>
      <c r="L32">
        <v>2589.64</v>
      </c>
      <c r="M32">
        <v>1541.28</v>
      </c>
      <c r="N32">
        <v>424.55</v>
      </c>
      <c r="O32">
        <v>956.1</v>
      </c>
      <c r="P32">
        <v>113.29</v>
      </c>
      <c r="Q32">
        <v>1351.76</v>
      </c>
      <c r="R32">
        <v>358.23</v>
      </c>
      <c r="S32">
        <v>456.66</v>
      </c>
      <c r="T32">
        <v>304.95999999999998</v>
      </c>
      <c r="U32">
        <v>1931.24</v>
      </c>
      <c r="V32">
        <v>17028.080000000002</v>
      </c>
      <c r="W32">
        <v>1148.6199999999999</v>
      </c>
    </row>
    <row r="33" spans="1:23" x14ac:dyDescent="0.25">
      <c r="A33" s="2">
        <v>43559</v>
      </c>
      <c r="B33">
        <v>2206.5300000000002</v>
      </c>
      <c r="C33">
        <v>4010.75</v>
      </c>
      <c r="D33">
        <v>312.43</v>
      </c>
      <c r="E33">
        <v>394.23</v>
      </c>
      <c r="F33">
        <v>5238.8</v>
      </c>
      <c r="G33">
        <v>10815.9</v>
      </c>
      <c r="H33">
        <v>1722.59</v>
      </c>
      <c r="I33">
        <v>4476.74</v>
      </c>
      <c r="J33">
        <v>790.08</v>
      </c>
      <c r="K33">
        <v>17410.7</v>
      </c>
      <c r="L33">
        <v>2630.76</v>
      </c>
      <c r="M33">
        <v>1513.21</v>
      </c>
      <c r="N33">
        <v>424.98</v>
      </c>
      <c r="O33">
        <v>980.54</v>
      </c>
      <c r="P33">
        <v>112.3</v>
      </c>
      <c r="Q33">
        <v>1347.59</v>
      </c>
      <c r="R33">
        <v>357.38</v>
      </c>
      <c r="S33">
        <v>455.81</v>
      </c>
      <c r="T33">
        <v>306.08</v>
      </c>
      <c r="U33">
        <v>1903.97</v>
      </c>
      <c r="V33">
        <v>17007.62</v>
      </c>
      <c r="W33">
        <v>1148.81</v>
      </c>
    </row>
    <row r="34" spans="1:23" x14ac:dyDescent="0.25">
      <c r="A34" s="2">
        <v>43558</v>
      </c>
      <c r="B34">
        <v>2203.27</v>
      </c>
      <c r="C34">
        <v>4015.74</v>
      </c>
      <c r="D34">
        <v>309.17</v>
      </c>
      <c r="E34">
        <v>394.13</v>
      </c>
      <c r="F34">
        <v>5227.25</v>
      </c>
      <c r="G34">
        <v>10900.19</v>
      </c>
      <c r="H34">
        <v>1740.47</v>
      </c>
      <c r="I34">
        <v>4473.05</v>
      </c>
      <c r="J34">
        <v>777.89</v>
      </c>
      <c r="K34">
        <v>17360.169999999998</v>
      </c>
      <c r="L34">
        <v>2609.7800000000002</v>
      </c>
      <c r="M34">
        <v>1505.59</v>
      </c>
      <c r="N34">
        <v>424.26</v>
      </c>
      <c r="O34">
        <v>987.88</v>
      </c>
      <c r="P34">
        <v>112.73</v>
      </c>
      <c r="Q34">
        <v>1351.54</v>
      </c>
      <c r="R34">
        <v>354.17</v>
      </c>
      <c r="S34">
        <v>455.61</v>
      </c>
      <c r="T34">
        <v>304.11</v>
      </c>
      <c r="U34">
        <v>1910.12</v>
      </c>
      <c r="V34">
        <v>17014.939999999999</v>
      </c>
      <c r="W34">
        <v>1145.81</v>
      </c>
    </row>
    <row r="35" spans="1:23" x14ac:dyDescent="0.25">
      <c r="A35" s="2">
        <v>43557</v>
      </c>
      <c r="B35">
        <v>2177.1799999999998</v>
      </c>
      <c r="C35">
        <v>4026.21</v>
      </c>
      <c r="D35">
        <v>309.49</v>
      </c>
      <c r="E35">
        <v>395.82</v>
      </c>
      <c r="F35">
        <v>5171.3999999999996</v>
      </c>
      <c r="G35">
        <v>10769.55</v>
      </c>
      <c r="H35">
        <v>1718.42</v>
      </c>
      <c r="I35">
        <v>4382.5200000000004</v>
      </c>
      <c r="J35">
        <v>772.68</v>
      </c>
      <c r="K35">
        <v>16988.86</v>
      </c>
      <c r="L35">
        <v>2609.2600000000002</v>
      </c>
      <c r="M35">
        <v>1463.06</v>
      </c>
      <c r="N35">
        <v>420.99</v>
      </c>
      <c r="O35">
        <v>979.29</v>
      </c>
      <c r="P35">
        <v>112.13</v>
      </c>
      <c r="Q35">
        <v>1338.51</v>
      </c>
      <c r="R35">
        <v>365.83</v>
      </c>
      <c r="S35">
        <v>452.86</v>
      </c>
      <c r="T35">
        <v>303.97000000000003</v>
      </c>
      <c r="U35">
        <v>1866.05</v>
      </c>
      <c r="V35">
        <v>17125.060000000001</v>
      </c>
      <c r="W35">
        <v>1143.21</v>
      </c>
    </row>
    <row r="36" spans="1:23" x14ac:dyDescent="0.25">
      <c r="A36" s="2">
        <v>43556</v>
      </c>
      <c r="B36">
        <v>2168.2800000000002</v>
      </c>
      <c r="C36">
        <v>4051.3</v>
      </c>
      <c r="D36">
        <v>311.23</v>
      </c>
      <c r="E36">
        <v>391.54</v>
      </c>
      <c r="F36">
        <v>5189.92</v>
      </c>
      <c r="G36">
        <v>10424.52</v>
      </c>
      <c r="H36">
        <v>1735.51</v>
      </c>
      <c r="I36">
        <v>4370.1099999999997</v>
      </c>
      <c r="J36">
        <v>767.45</v>
      </c>
      <c r="K36">
        <v>16818.580000000002</v>
      </c>
      <c r="L36">
        <v>2606.4</v>
      </c>
      <c r="M36">
        <v>1478.28</v>
      </c>
      <c r="N36">
        <v>422.48</v>
      </c>
      <c r="O36">
        <v>983.93</v>
      </c>
      <c r="P36">
        <v>112.33</v>
      </c>
      <c r="Q36">
        <v>1337.05</v>
      </c>
      <c r="R36">
        <v>368.41</v>
      </c>
      <c r="S36">
        <v>450.01</v>
      </c>
      <c r="T36">
        <v>299.85000000000002</v>
      </c>
      <c r="U36">
        <v>1840.25</v>
      </c>
      <c r="V36">
        <v>17256.29</v>
      </c>
      <c r="W36">
        <v>1145.5</v>
      </c>
    </row>
    <row r="37" spans="1:23" x14ac:dyDescent="0.25">
      <c r="A37" s="2">
        <v>43553</v>
      </c>
      <c r="B37">
        <v>2140.67</v>
      </c>
      <c r="C37">
        <v>4050.36</v>
      </c>
      <c r="D37">
        <v>312.5</v>
      </c>
      <c r="E37">
        <v>386.45</v>
      </c>
      <c r="F37">
        <v>5110.7700000000004</v>
      </c>
      <c r="G37">
        <v>10302.94</v>
      </c>
      <c r="H37">
        <v>1730.43</v>
      </c>
      <c r="I37">
        <v>4213.82</v>
      </c>
      <c r="J37">
        <v>753.79</v>
      </c>
      <c r="K37">
        <v>16593.43</v>
      </c>
      <c r="L37">
        <v>2533.59</v>
      </c>
      <c r="M37">
        <v>1459.67</v>
      </c>
      <c r="N37">
        <v>420.2</v>
      </c>
      <c r="O37">
        <v>965.78</v>
      </c>
      <c r="P37">
        <v>111.53</v>
      </c>
      <c r="Q37">
        <v>1312.44</v>
      </c>
      <c r="R37">
        <v>365.61</v>
      </c>
      <c r="S37">
        <v>442.16</v>
      </c>
      <c r="T37">
        <v>293.58</v>
      </c>
      <c r="U37">
        <v>1789.45</v>
      </c>
      <c r="V37">
        <v>17090.5</v>
      </c>
      <c r="W37">
        <v>1148.32</v>
      </c>
    </row>
    <row r="38" spans="1:23" x14ac:dyDescent="0.25">
      <c r="A38" s="2">
        <v>43552</v>
      </c>
      <c r="B38">
        <v>2128.1</v>
      </c>
      <c r="C38">
        <v>4010.91</v>
      </c>
      <c r="D38">
        <v>305.07</v>
      </c>
      <c r="E38">
        <v>383.2</v>
      </c>
      <c r="F38">
        <v>5054.8599999999997</v>
      </c>
      <c r="G38">
        <v>10280.23</v>
      </c>
      <c r="H38">
        <v>1690.08</v>
      </c>
      <c r="I38">
        <v>4208.13</v>
      </c>
      <c r="J38">
        <v>736.33</v>
      </c>
      <c r="K38">
        <v>16537.84</v>
      </c>
      <c r="L38">
        <v>2546.35</v>
      </c>
      <c r="M38">
        <v>1444.34</v>
      </c>
      <c r="N38">
        <v>416.23</v>
      </c>
      <c r="O38">
        <v>983.95</v>
      </c>
      <c r="P38">
        <v>108.14</v>
      </c>
      <c r="Q38">
        <v>1283.9100000000001</v>
      </c>
      <c r="R38">
        <v>367.59</v>
      </c>
      <c r="S38">
        <v>439.68</v>
      </c>
      <c r="T38">
        <v>291.54000000000002</v>
      </c>
      <c r="U38">
        <v>1742.89</v>
      </c>
      <c r="V38">
        <v>17182.79</v>
      </c>
      <c r="W38">
        <v>1141.72</v>
      </c>
    </row>
    <row r="39" spans="1:23" x14ac:dyDescent="0.25">
      <c r="A39" s="2">
        <v>43551</v>
      </c>
      <c r="B39">
        <v>2145.62</v>
      </c>
      <c r="C39">
        <v>4061.99</v>
      </c>
      <c r="D39">
        <v>309.64999999999998</v>
      </c>
      <c r="E39">
        <v>382.03</v>
      </c>
      <c r="F39">
        <v>5097.16</v>
      </c>
      <c r="G39">
        <v>10425.48</v>
      </c>
      <c r="H39">
        <v>1663.81</v>
      </c>
      <c r="I39">
        <v>4214.5</v>
      </c>
      <c r="J39">
        <v>753.37</v>
      </c>
      <c r="K39">
        <v>16739.03</v>
      </c>
      <c r="L39">
        <v>2617.64</v>
      </c>
      <c r="M39">
        <v>1450.63</v>
      </c>
      <c r="N39">
        <v>419.55</v>
      </c>
      <c r="O39">
        <v>1004.59</v>
      </c>
      <c r="P39">
        <v>108.58</v>
      </c>
      <c r="Q39">
        <v>1304.46</v>
      </c>
      <c r="R39">
        <v>368.69</v>
      </c>
      <c r="S39">
        <v>443.39</v>
      </c>
      <c r="T39">
        <v>294.62</v>
      </c>
      <c r="U39">
        <v>1764.16</v>
      </c>
      <c r="V39">
        <v>17264.54</v>
      </c>
      <c r="W39">
        <v>1134.98</v>
      </c>
    </row>
    <row r="40" spans="1:23" x14ac:dyDescent="0.25">
      <c r="A40" s="2">
        <v>43550</v>
      </c>
      <c r="B40">
        <v>2148.8000000000002</v>
      </c>
      <c r="C40">
        <v>4034.68</v>
      </c>
      <c r="D40">
        <v>305.08999999999997</v>
      </c>
      <c r="E40">
        <v>381.18</v>
      </c>
      <c r="F40">
        <v>5140.5200000000004</v>
      </c>
      <c r="G40">
        <v>10725.93</v>
      </c>
      <c r="H40">
        <v>1653.59</v>
      </c>
      <c r="I40">
        <v>4203.0600000000004</v>
      </c>
      <c r="J40">
        <v>757.67</v>
      </c>
      <c r="K40">
        <v>16671.07</v>
      </c>
      <c r="L40">
        <v>2629.13</v>
      </c>
      <c r="M40">
        <v>1455.16</v>
      </c>
      <c r="N40">
        <v>417.81</v>
      </c>
      <c r="O40">
        <v>1011.31</v>
      </c>
      <c r="P40">
        <v>108.5</v>
      </c>
      <c r="Q40">
        <v>1304.55</v>
      </c>
      <c r="R40">
        <v>364.96</v>
      </c>
      <c r="S40">
        <v>442.99</v>
      </c>
      <c r="T40">
        <v>291.55</v>
      </c>
      <c r="U40">
        <v>1777.37</v>
      </c>
      <c r="V40">
        <v>17254.84</v>
      </c>
      <c r="W40">
        <v>1144.73</v>
      </c>
    </row>
    <row r="41" spans="1:23" x14ac:dyDescent="0.25">
      <c r="A41" s="2">
        <v>43549</v>
      </c>
      <c r="B41">
        <v>2144.86</v>
      </c>
      <c r="C41">
        <v>3978.3</v>
      </c>
      <c r="D41">
        <v>295.70999999999998</v>
      </c>
      <c r="E41">
        <v>375.55</v>
      </c>
      <c r="F41">
        <v>5099.42</v>
      </c>
      <c r="G41">
        <v>10780.94</v>
      </c>
      <c r="H41">
        <v>1643.16</v>
      </c>
      <c r="I41">
        <v>4209.58</v>
      </c>
      <c r="J41">
        <v>750.73</v>
      </c>
      <c r="K41">
        <v>16737.55</v>
      </c>
      <c r="L41">
        <v>2624.47</v>
      </c>
      <c r="M41">
        <v>1447.91</v>
      </c>
      <c r="N41">
        <v>413.36</v>
      </c>
      <c r="O41">
        <v>1011.89</v>
      </c>
      <c r="P41">
        <v>108.27</v>
      </c>
      <c r="Q41">
        <v>1310.5</v>
      </c>
      <c r="R41">
        <v>368.66</v>
      </c>
      <c r="S41">
        <v>443.23</v>
      </c>
      <c r="T41">
        <v>295.67</v>
      </c>
      <c r="U41">
        <v>1777.33</v>
      </c>
      <c r="V41">
        <v>17176.41</v>
      </c>
      <c r="W41">
        <v>1130.07</v>
      </c>
    </row>
    <row r="42" spans="1:23" x14ac:dyDescent="0.25">
      <c r="A42" s="2">
        <v>43546</v>
      </c>
      <c r="B42">
        <v>2186.9499999999998</v>
      </c>
      <c r="C42">
        <v>4017.09</v>
      </c>
      <c r="D42">
        <v>298.92</v>
      </c>
      <c r="E42">
        <v>387.94</v>
      </c>
      <c r="F42">
        <v>5206.76</v>
      </c>
      <c r="G42">
        <v>10922.96</v>
      </c>
      <c r="H42">
        <v>1658.75</v>
      </c>
      <c r="I42">
        <v>4280.68</v>
      </c>
      <c r="J42">
        <v>761.16</v>
      </c>
      <c r="K42">
        <v>17189.72</v>
      </c>
      <c r="L42">
        <v>2667.01</v>
      </c>
      <c r="M42">
        <v>1491.23</v>
      </c>
      <c r="N42">
        <v>420.13</v>
      </c>
      <c r="O42">
        <v>1025.22</v>
      </c>
      <c r="P42">
        <v>109.56</v>
      </c>
      <c r="Q42">
        <v>1334.74</v>
      </c>
      <c r="R42">
        <v>366.22</v>
      </c>
      <c r="S42">
        <v>451.26</v>
      </c>
      <c r="T42">
        <v>296.82</v>
      </c>
      <c r="U42">
        <v>1815.51</v>
      </c>
      <c r="V42">
        <v>17388.27</v>
      </c>
      <c r="W42">
        <v>1144.01</v>
      </c>
    </row>
    <row r="43" spans="1:23" x14ac:dyDescent="0.25">
      <c r="A43" s="2">
        <v>43545</v>
      </c>
      <c r="B43">
        <v>2184.88</v>
      </c>
      <c r="C43">
        <v>4030.91</v>
      </c>
      <c r="D43">
        <v>300.87</v>
      </c>
      <c r="E43">
        <v>391.01</v>
      </c>
      <c r="F43">
        <v>5247.6</v>
      </c>
      <c r="G43">
        <v>11025.2</v>
      </c>
      <c r="H43">
        <v>1669.62</v>
      </c>
      <c r="I43">
        <v>4280.07</v>
      </c>
      <c r="J43">
        <v>755.5</v>
      </c>
      <c r="K43">
        <v>16994.97</v>
      </c>
      <c r="L43">
        <v>2632.63</v>
      </c>
      <c r="M43">
        <v>1492.98</v>
      </c>
      <c r="N43">
        <v>422.21</v>
      </c>
      <c r="O43">
        <v>1027.3599999999999</v>
      </c>
      <c r="P43">
        <v>109.12</v>
      </c>
      <c r="Q43">
        <v>1335.08</v>
      </c>
      <c r="R43">
        <v>362.83</v>
      </c>
      <c r="S43">
        <v>453.33</v>
      </c>
      <c r="T43">
        <v>299.85000000000002</v>
      </c>
      <c r="U43">
        <v>1826.65</v>
      </c>
      <c r="V43">
        <v>17338.830000000002</v>
      </c>
      <c r="W43">
        <v>1144.1600000000001</v>
      </c>
    </row>
    <row r="44" spans="1:23" x14ac:dyDescent="0.25">
      <c r="A44" s="2">
        <v>43544</v>
      </c>
      <c r="B44">
        <v>2177.1</v>
      </c>
      <c r="C44">
        <v>4102.95</v>
      </c>
      <c r="D44">
        <v>307.67</v>
      </c>
      <c r="E44">
        <v>396.63</v>
      </c>
      <c r="F44">
        <v>5255.13</v>
      </c>
      <c r="G44">
        <v>11175.23</v>
      </c>
      <c r="H44">
        <v>1693.57</v>
      </c>
      <c r="I44">
        <v>4293.97</v>
      </c>
      <c r="J44">
        <v>764.2</v>
      </c>
      <c r="K44">
        <v>16328.19</v>
      </c>
      <c r="L44">
        <v>2623.71</v>
      </c>
      <c r="M44">
        <v>1506.03</v>
      </c>
      <c r="N44">
        <v>429.15</v>
      </c>
      <c r="O44">
        <v>1041.4100000000001</v>
      </c>
      <c r="P44">
        <v>111.56</v>
      </c>
      <c r="Q44">
        <v>1360.08</v>
      </c>
      <c r="R44">
        <v>365.95</v>
      </c>
      <c r="S44">
        <v>459.13</v>
      </c>
      <c r="T44">
        <v>302.99</v>
      </c>
      <c r="U44">
        <v>1826.41</v>
      </c>
      <c r="V44">
        <v>17691.05</v>
      </c>
      <c r="W44">
        <v>1148.71</v>
      </c>
    </row>
    <row r="45" spans="1:23" x14ac:dyDescent="0.25">
      <c r="A45" s="2">
        <v>43543</v>
      </c>
      <c r="B45">
        <v>2177.62</v>
      </c>
      <c r="C45">
        <v>4125.8900000000003</v>
      </c>
      <c r="D45">
        <v>307.44</v>
      </c>
      <c r="E45">
        <v>399.16</v>
      </c>
      <c r="F45">
        <v>5289.78</v>
      </c>
      <c r="G45">
        <v>11194.23</v>
      </c>
      <c r="H45">
        <v>1709.32</v>
      </c>
      <c r="I45">
        <v>4309.03</v>
      </c>
      <c r="J45">
        <v>766.08</v>
      </c>
      <c r="K45">
        <v>16211.12</v>
      </c>
      <c r="L45">
        <v>2636.71</v>
      </c>
      <c r="M45">
        <v>1505.72</v>
      </c>
      <c r="N45">
        <v>427.38</v>
      </c>
      <c r="O45">
        <v>1071.03</v>
      </c>
      <c r="P45">
        <v>111.85</v>
      </c>
      <c r="Q45">
        <v>1365.68</v>
      </c>
      <c r="R45">
        <v>368.72</v>
      </c>
      <c r="S45">
        <v>459.65</v>
      </c>
      <c r="T45">
        <v>307.14999999999998</v>
      </c>
      <c r="U45">
        <v>1825.76</v>
      </c>
      <c r="V45">
        <v>17731.41</v>
      </c>
      <c r="W45">
        <v>1151.1500000000001</v>
      </c>
    </row>
    <row r="46" spans="1:23" x14ac:dyDescent="0.25">
      <c r="A46" s="2">
        <v>43542</v>
      </c>
      <c r="B46">
        <v>2179.4899999999998</v>
      </c>
      <c r="C46">
        <v>4142.0200000000004</v>
      </c>
      <c r="D46">
        <v>305.31</v>
      </c>
      <c r="E46">
        <v>399.39</v>
      </c>
      <c r="F46">
        <v>5295.03</v>
      </c>
      <c r="G46">
        <v>11119.36</v>
      </c>
      <c r="H46">
        <v>1716.78</v>
      </c>
      <c r="I46">
        <v>4315.66</v>
      </c>
      <c r="J46">
        <v>768.24</v>
      </c>
      <c r="K46">
        <v>16178.91</v>
      </c>
      <c r="L46">
        <v>2615.14</v>
      </c>
      <c r="M46">
        <v>1505.08</v>
      </c>
      <c r="N46">
        <v>427.5</v>
      </c>
      <c r="O46">
        <v>1097.1500000000001</v>
      </c>
      <c r="P46">
        <v>110.98</v>
      </c>
      <c r="Q46">
        <v>1379.75</v>
      </c>
      <c r="R46">
        <v>367.44</v>
      </c>
      <c r="S46">
        <v>460.49</v>
      </c>
      <c r="T46">
        <v>306.24</v>
      </c>
      <c r="U46">
        <v>1837.63</v>
      </c>
      <c r="V46">
        <v>17709.11</v>
      </c>
      <c r="W46">
        <v>1159.8499999999999</v>
      </c>
    </row>
    <row r="47" spans="1:23" x14ac:dyDescent="0.25">
      <c r="A47" s="2">
        <v>43539</v>
      </c>
      <c r="B47">
        <v>2176.11</v>
      </c>
      <c r="C47">
        <v>4117.75</v>
      </c>
      <c r="D47">
        <v>302.31</v>
      </c>
      <c r="E47">
        <v>403.74</v>
      </c>
      <c r="F47">
        <v>5250.21</v>
      </c>
      <c r="G47">
        <v>11182.12</v>
      </c>
      <c r="H47">
        <v>1699.77</v>
      </c>
      <c r="I47">
        <v>4349.2299999999996</v>
      </c>
      <c r="J47">
        <v>757.7</v>
      </c>
      <c r="K47">
        <v>16320.99</v>
      </c>
      <c r="L47">
        <v>2612.5</v>
      </c>
      <c r="M47">
        <v>1478.87</v>
      </c>
      <c r="N47">
        <v>422.99</v>
      </c>
      <c r="O47">
        <v>1119.98</v>
      </c>
      <c r="P47">
        <v>110.86</v>
      </c>
      <c r="Q47">
        <v>1371.13</v>
      </c>
      <c r="R47">
        <v>367.82</v>
      </c>
      <c r="S47">
        <v>458.35</v>
      </c>
      <c r="T47">
        <v>305.20999999999998</v>
      </c>
      <c r="U47">
        <v>1818.98</v>
      </c>
      <c r="V47">
        <v>17649.759999999998</v>
      </c>
      <c r="W47">
        <v>1150.75</v>
      </c>
    </row>
    <row r="48" spans="1:23" x14ac:dyDescent="0.25">
      <c r="A48" s="2">
        <v>43538</v>
      </c>
      <c r="B48">
        <v>2155.6799999999998</v>
      </c>
      <c r="C48">
        <v>4109.8999999999996</v>
      </c>
      <c r="D48">
        <v>299.08</v>
      </c>
      <c r="E48">
        <v>403.94</v>
      </c>
      <c r="F48">
        <v>5171.08</v>
      </c>
      <c r="G48">
        <v>11407.64</v>
      </c>
      <c r="H48">
        <v>1721.63</v>
      </c>
      <c r="I48">
        <v>4294.8999999999996</v>
      </c>
      <c r="J48">
        <v>765.82</v>
      </c>
      <c r="K48">
        <v>16219.5</v>
      </c>
      <c r="L48">
        <v>2636.59</v>
      </c>
      <c r="M48">
        <v>1456.57</v>
      </c>
      <c r="N48">
        <v>415.38</v>
      </c>
      <c r="O48">
        <v>1123.26</v>
      </c>
      <c r="P48">
        <v>109.43</v>
      </c>
      <c r="Q48">
        <v>1361.96</v>
      </c>
      <c r="R48">
        <v>359.55</v>
      </c>
      <c r="S48">
        <v>450.14</v>
      </c>
      <c r="T48">
        <v>296.89</v>
      </c>
      <c r="U48">
        <v>1792.34</v>
      </c>
      <c r="V48">
        <v>17206.810000000001</v>
      </c>
      <c r="W48">
        <v>1142.3499999999999</v>
      </c>
    </row>
    <row r="49" spans="1:23" x14ac:dyDescent="0.25">
      <c r="A49" s="2">
        <v>43537</v>
      </c>
      <c r="B49">
        <v>2148.41</v>
      </c>
      <c r="C49">
        <v>4090.2</v>
      </c>
      <c r="D49">
        <v>296.42</v>
      </c>
      <c r="E49">
        <v>394.62</v>
      </c>
      <c r="F49">
        <v>5107.43</v>
      </c>
      <c r="G49">
        <v>11542.67</v>
      </c>
      <c r="H49">
        <v>1709.52</v>
      </c>
      <c r="I49">
        <v>4265.3500000000004</v>
      </c>
      <c r="J49">
        <v>766.28</v>
      </c>
      <c r="K49">
        <v>16198.32</v>
      </c>
      <c r="L49">
        <v>2544.0700000000002</v>
      </c>
      <c r="M49">
        <v>1478.58</v>
      </c>
      <c r="N49">
        <v>414.16</v>
      </c>
      <c r="O49">
        <v>1111.97</v>
      </c>
      <c r="P49">
        <v>108.11</v>
      </c>
      <c r="Q49">
        <v>1358.43</v>
      </c>
      <c r="R49">
        <v>358.68</v>
      </c>
      <c r="S49">
        <v>445.99</v>
      </c>
      <c r="T49">
        <v>296.87</v>
      </c>
      <c r="U49">
        <v>1773.95</v>
      </c>
      <c r="V49">
        <v>17083.919999999998</v>
      </c>
      <c r="W49">
        <v>1133.57</v>
      </c>
    </row>
    <row r="50" spans="1:23" x14ac:dyDescent="0.25">
      <c r="A50" s="2">
        <v>43536</v>
      </c>
      <c r="B50">
        <v>2157.1799999999998</v>
      </c>
      <c r="C50">
        <v>4076.45</v>
      </c>
      <c r="D50">
        <v>294.12</v>
      </c>
      <c r="E50">
        <v>391.75</v>
      </c>
      <c r="F50">
        <v>5077.91</v>
      </c>
      <c r="G50">
        <v>11547.87</v>
      </c>
      <c r="H50">
        <v>1705.21</v>
      </c>
      <c r="I50">
        <v>4214.8599999999997</v>
      </c>
      <c r="J50">
        <v>768.14</v>
      </c>
      <c r="K50">
        <v>16422.400000000001</v>
      </c>
      <c r="L50">
        <v>2509.98</v>
      </c>
      <c r="M50">
        <v>1491.99</v>
      </c>
      <c r="N50">
        <v>414.24</v>
      </c>
      <c r="O50">
        <v>1118.8599999999999</v>
      </c>
      <c r="P50">
        <v>108.97</v>
      </c>
      <c r="Q50">
        <v>1368.37</v>
      </c>
      <c r="R50">
        <v>361.03</v>
      </c>
      <c r="S50">
        <v>447.05</v>
      </c>
      <c r="T50">
        <v>295.8</v>
      </c>
      <c r="U50">
        <v>1773.7</v>
      </c>
      <c r="V50">
        <v>17113.79</v>
      </c>
      <c r="W50">
        <v>1131.78</v>
      </c>
    </row>
    <row r="51" spans="1:23" x14ac:dyDescent="0.25">
      <c r="A51" s="2">
        <v>43535</v>
      </c>
      <c r="B51">
        <v>2138.1</v>
      </c>
      <c r="C51">
        <v>4071.27</v>
      </c>
      <c r="D51">
        <v>290.22000000000003</v>
      </c>
      <c r="E51">
        <v>392.45</v>
      </c>
      <c r="F51">
        <v>5066.3900000000003</v>
      </c>
      <c r="G51">
        <v>11419.32</v>
      </c>
      <c r="H51">
        <v>1677.57</v>
      </c>
      <c r="I51">
        <v>4172.59</v>
      </c>
      <c r="J51">
        <v>769.11</v>
      </c>
      <c r="K51">
        <v>16125.38</v>
      </c>
      <c r="L51">
        <v>2453</v>
      </c>
      <c r="M51">
        <v>1466.25</v>
      </c>
      <c r="N51">
        <v>412.25</v>
      </c>
      <c r="O51">
        <v>1106.55</v>
      </c>
      <c r="P51">
        <v>108.77</v>
      </c>
      <c r="Q51">
        <v>1365.7</v>
      </c>
      <c r="R51">
        <v>361.77</v>
      </c>
      <c r="S51">
        <v>444.36</v>
      </c>
      <c r="T51">
        <v>291.51</v>
      </c>
      <c r="U51">
        <v>1759.2</v>
      </c>
      <c r="V51">
        <v>16998.419999999998</v>
      </c>
      <c r="W51">
        <v>1131.3599999999999</v>
      </c>
    </row>
    <row r="52" spans="1:23" x14ac:dyDescent="0.25">
      <c r="A52" s="2">
        <v>43532</v>
      </c>
      <c r="B52">
        <v>2137.44</v>
      </c>
      <c r="C52">
        <v>3987.25</v>
      </c>
      <c r="D52">
        <v>293.14</v>
      </c>
      <c r="E52">
        <v>390.89</v>
      </c>
      <c r="F52">
        <v>5111.68</v>
      </c>
      <c r="G52">
        <v>11489.54</v>
      </c>
      <c r="H52">
        <v>1685.87</v>
      </c>
      <c r="I52">
        <v>4176.7299999999996</v>
      </c>
      <c r="J52">
        <v>765.95</v>
      </c>
      <c r="K52">
        <v>16164.18</v>
      </c>
      <c r="L52">
        <v>2434.37</v>
      </c>
      <c r="M52">
        <v>1458.87</v>
      </c>
      <c r="N52">
        <v>410.99</v>
      </c>
      <c r="O52">
        <v>1098.71</v>
      </c>
      <c r="P52">
        <v>108.49</v>
      </c>
      <c r="Q52">
        <v>1377.28</v>
      </c>
      <c r="R52">
        <v>364.9</v>
      </c>
      <c r="S52">
        <v>442.34</v>
      </c>
      <c r="T52">
        <v>288.45</v>
      </c>
      <c r="U52">
        <v>1752.62</v>
      </c>
      <c r="V52">
        <v>16909.98</v>
      </c>
      <c r="W52">
        <v>1127.1600000000001</v>
      </c>
    </row>
    <row r="53" spans="1:23" x14ac:dyDescent="0.25">
      <c r="A53" s="2">
        <v>43531</v>
      </c>
      <c r="B53">
        <v>2165.79</v>
      </c>
      <c r="C53">
        <v>4030.59</v>
      </c>
      <c r="D53">
        <v>293.75</v>
      </c>
      <c r="E53">
        <v>392.23</v>
      </c>
      <c r="F53">
        <v>5149.16</v>
      </c>
      <c r="G53">
        <v>11525.91</v>
      </c>
      <c r="H53">
        <v>1695.95</v>
      </c>
      <c r="I53">
        <v>4232.09</v>
      </c>
      <c r="J53">
        <v>779.5</v>
      </c>
      <c r="K53">
        <v>16410.38</v>
      </c>
      <c r="L53">
        <v>2442.59</v>
      </c>
      <c r="M53">
        <v>1501.96</v>
      </c>
      <c r="N53">
        <v>414.46</v>
      </c>
      <c r="O53">
        <v>1098.43</v>
      </c>
      <c r="P53">
        <v>110.58</v>
      </c>
      <c r="Q53">
        <v>1395.87</v>
      </c>
      <c r="R53">
        <v>367.97</v>
      </c>
      <c r="S53">
        <v>448.41</v>
      </c>
      <c r="T53">
        <v>291.56</v>
      </c>
      <c r="U53">
        <v>1787.93</v>
      </c>
      <c r="V53">
        <v>17156.63</v>
      </c>
      <c r="W53">
        <v>1145.29</v>
      </c>
    </row>
    <row r="54" spans="1:23" x14ac:dyDescent="0.25">
      <c r="A54" s="2">
        <v>43530</v>
      </c>
      <c r="B54">
        <v>2175.6</v>
      </c>
      <c r="C54">
        <v>4054.46</v>
      </c>
      <c r="D54">
        <v>294.27999999999997</v>
      </c>
      <c r="E54">
        <v>401.51</v>
      </c>
      <c r="F54">
        <v>5211.53</v>
      </c>
      <c r="G54">
        <v>11701.92</v>
      </c>
      <c r="H54">
        <v>1733.25</v>
      </c>
      <c r="I54">
        <v>4284</v>
      </c>
      <c r="J54">
        <v>787.7</v>
      </c>
      <c r="K54">
        <v>16325.62</v>
      </c>
      <c r="L54">
        <v>2512.1999999999998</v>
      </c>
      <c r="M54">
        <v>1517.43</v>
      </c>
      <c r="N54">
        <v>413.05</v>
      </c>
      <c r="O54">
        <v>1116.0999999999999</v>
      </c>
      <c r="P54">
        <v>111.52</v>
      </c>
      <c r="Q54">
        <v>1411.95</v>
      </c>
      <c r="R54">
        <v>371.65</v>
      </c>
      <c r="S54">
        <v>450.98</v>
      </c>
      <c r="T54">
        <v>291.60000000000002</v>
      </c>
      <c r="U54">
        <v>1809.51</v>
      </c>
      <c r="V54">
        <v>17294.89</v>
      </c>
      <c r="W54">
        <v>1151.1500000000001</v>
      </c>
    </row>
    <row r="55" spans="1:23" x14ac:dyDescent="0.25">
      <c r="A55" s="2">
        <v>43529</v>
      </c>
      <c r="B55">
        <v>2179.23</v>
      </c>
      <c r="C55">
        <v>4059.87</v>
      </c>
      <c r="D55">
        <v>286.75</v>
      </c>
      <c r="E55">
        <v>399.59</v>
      </c>
      <c r="F55">
        <v>5219.24</v>
      </c>
      <c r="G55">
        <v>11765.21</v>
      </c>
      <c r="H55">
        <v>1736.01</v>
      </c>
      <c r="I55">
        <v>4290.0200000000004</v>
      </c>
      <c r="J55">
        <v>785.55</v>
      </c>
      <c r="K55">
        <v>16410.93</v>
      </c>
      <c r="L55">
        <v>2529.84</v>
      </c>
      <c r="M55">
        <v>1506.52</v>
      </c>
      <c r="N55">
        <v>416.31</v>
      </c>
      <c r="O55">
        <v>1125.25</v>
      </c>
      <c r="P55">
        <v>112.06</v>
      </c>
      <c r="Q55">
        <v>1420.2</v>
      </c>
      <c r="R55">
        <v>376.12</v>
      </c>
      <c r="S55">
        <v>450.45</v>
      </c>
      <c r="T55">
        <v>292.62</v>
      </c>
      <c r="U55">
        <v>1806.96</v>
      </c>
      <c r="V55">
        <v>17369.650000000001</v>
      </c>
      <c r="W55">
        <v>1146.3900000000001</v>
      </c>
    </row>
    <row r="56" spans="1:23" x14ac:dyDescent="0.25">
      <c r="A56" s="2">
        <v>43528</v>
      </c>
      <c r="B56">
        <v>2190.66</v>
      </c>
      <c r="C56">
        <v>4050.95</v>
      </c>
      <c r="D56">
        <v>291.08</v>
      </c>
      <c r="E56">
        <v>402.75</v>
      </c>
      <c r="F56">
        <v>5276.85</v>
      </c>
      <c r="G56">
        <v>11660.29</v>
      </c>
      <c r="H56">
        <v>1729.25</v>
      </c>
      <c r="I56">
        <v>4393.83</v>
      </c>
      <c r="J56">
        <v>788.57</v>
      </c>
      <c r="K56">
        <v>16624.7</v>
      </c>
      <c r="L56">
        <v>2544.65</v>
      </c>
      <c r="M56">
        <v>1513.57</v>
      </c>
      <c r="N56">
        <v>415.94</v>
      </c>
      <c r="O56">
        <v>1125.52</v>
      </c>
      <c r="P56">
        <v>111.57</v>
      </c>
      <c r="Q56">
        <v>1435.78</v>
      </c>
      <c r="R56">
        <v>375.85</v>
      </c>
      <c r="S56">
        <v>449.67</v>
      </c>
      <c r="T56">
        <v>289.56</v>
      </c>
      <c r="U56">
        <v>1824.91</v>
      </c>
      <c r="V56">
        <v>17373.009999999998</v>
      </c>
      <c r="W56">
        <v>1149.93</v>
      </c>
    </row>
    <row r="57" spans="1:23" x14ac:dyDescent="0.25">
      <c r="A57" s="2">
        <v>43524</v>
      </c>
      <c r="B57">
        <v>2195.44</v>
      </c>
      <c r="C57">
        <v>4014.01</v>
      </c>
      <c r="D57">
        <v>286.27999999999997</v>
      </c>
      <c r="E57">
        <v>390.02</v>
      </c>
      <c r="F57">
        <v>5275.01</v>
      </c>
      <c r="G57">
        <v>11473.64</v>
      </c>
      <c r="H57">
        <v>1747.23</v>
      </c>
      <c r="I57">
        <v>4376.72</v>
      </c>
      <c r="J57">
        <v>796.47</v>
      </c>
      <c r="K57">
        <v>16675.95</v>
      </c>
      <c r="L57">
        <v>2497.98</v>
      </c>
      <c r="M57">
        <v>1546.37</v>
      </c>
      <c r="N57">
        <v>415.66</v>
      </c>
      <c r="O57">
        <v>1102.52</v>
      </c>
      <c r="P57">
        <v>113.32</v>
      </c>
      <c r="Q57">
        <v>1435.11</v>
      </c>
      <c r="R57">
        <v>375.12</v>
      </c>
      <c r="S57">
        <v>453.81</v>
      </c>
      <c r="T57">
        <v>291.58</v>
      </c>
      <c r="U57">
        <v>1801.49</v>
      </c>
      <c r="V57">
        <v>17463.2</v>
      </c>
      <c r="W57">
        <v>1146.03</v>
      </c>
    </row>
    <row r="58" spans="1:23" x14ac:dyDescent="0.25">
      <c r="A58" s="2">
        <v>43523</v>
      </c>
      <c r="B58">
        <v>2234.79</v>
      </c>
      <c r="C58">
        <v>4060.83</v>
      </c>
      <c r="D58">
        <v>292.52999999999997</v>
      </c>
      <c r="E58">
        <v>409.79</v>
      </c>
      <c r="F58">
        <v>5358</v>
      </c>
      <c r="G58">
        <v>11399.59</v>
      </c>
      <c r="H58">
        <v>1869.26</v>
      </c>
      <c r="I58">
        <v>4462.2700000000004</v>
      </c>
      <c r="J58">
        <v>834.65</v>
      </c>
      <c r="K58">
        <v>17279.7</v>
      </c>
      <c r="L58">
        <v>2622.2</v>
      </c>
      <c r="M58">
        <v>1568.29</v>
      </c>
      <c r="N58">
        <v>421.79</v>
      </c>
      <c r="O58">
        <v>1114.4100000000001</v>
      </c>
      <c r="P58">
        <v>118.27</v>
      </c>
      <c r="Q58">
        <v>1462.16</v>
      </c>
      <c r="R58">
        <v>379.14</v>
      </c>
      <c r="S58">
        <v>456.18</v>
      </c>
      <c r="T58">
        <v>293.70999999999998</v>
      </c>
      <c r="U58">
        <v>1847.72</v>
      </c>
      <c r="V58">
        <v>17564.12</v>
      </c>
      <c r="W58">
        <v>1152.24</v>
      </c>
    </row>
    <row r="59" spans="1:23" x14ac:dyDescent="0.25">
      <c r="A59" s="2">
        <v>43522</v>
      </c>
      <c r="B59">
        <v>2226.6</v>
      </c>
      <c r="C59">
        <v>4058.08</v>
      </c>
      <c r="D59">
        <v>291.16000000000003</v>
      </c>
      <c r="E59">
        <v>406.65</v>
      </c>
      <c r="F59">
        <v>5319.88</v>
      </c>
      <c r="G59">
        <v>11351.64</v>
      </c>
      <c r="H59">
        <v>1865.23</v>
      </c>
      <c r="I59">
        <v>4526.29</v>
      </c>
      <c r="J59">
        <v>829.9</v>
      </c>
      <c r="K59">
        <v>17302.79</v>
      </c>
      <c r="L59">
        <v>2641.78</v>
      </c>
      <c r="M59">
        <v>1525.91</v>
      </c>
      <c r="N59">
        <v>419.38</v>
      </c>
      <c r="O59">
        <v>1110.81</v>
      </c>
      <c r="P59">
        <v>119.12</v>
      </c>
      <c r="Q59">
        <v>1481.95</v>
      </c>
      <c r="R59">
        <v>375.27</v>
      </c>
      <c r="S59">
        <v>454.23</v>
      </c>
      <c r="T59">
        <v>292.69</v>
      </c>
      <c r="U59">
        <v>1846.05</v>
      </c>
      <c r="V59">
        <v>17508.400000000001</v>
      </c>
      <c r="W59">
        <v>1150.49</v>
      </c>
    </row>
    <row r="60" spans="1:23" x14ac:dyDescent="0.25">
      <c r="A60" s="2">
        <v>43521</v>
      </c>
      <c r="B60">
        <v>2232.56</v>
      </c>
      <c r="C60">
        <v>4079.04</v>
      </c>
      <c r="D60">
        <v>292.45</v>
      </c>
      <c r="E60">
        <v>409.03</v>
      </c>
      <c r="F60">
        <v>5350.76</v>
      </c>
      <c r="G60">
        <v>11353.14</v>
      </c>
      <c r="H60">
        <v>1854.28</v>
      </c>
      <c r="I60">
        <v>4496.7</v>
      </c>
      <c r="J60">
        <v>830.51</v>
      </c>
      <c r="K60">
        <v>17485.25</v>
      </c>
      <c r="L60">
        <v>2690.76</v>
      </c>
      <c r="M60">
        <v>1522.38</v>
      </c>
      <c r="N60">
        <v>417.66</v>
      </c>
      <c r="O60">
        <v>1092.47</v>
      </c>
      <c r="P60">
        <v>118.98</v>
      </c>
      <c r="Q60">
        <v>1468.97</v>
      </c>
      <c r="R60">
        <v>376.51</v>
      </c>
      <c r="S60">
        <v>457</v>
      </c>
      <c r="T60">
        <v>295.79000000000002</v>
      </c>
      <c r="U60">
        <v>1826.21</v>
      </c>
      <c r="V60">
        <v>17663.34</v>
      </c>
      <c r="W60">
        <v>1133.4100000000001</v>
      </c>
    </row>
    <row r="61" spans="1:23" x14ac:dyDescent="0.25">
      <c r="A61" s="2">
        <v>43518</v>
      </c>
      <c r="B61">
        <v>2230.5</v>
      </c>
      <c r="C61">
        <v>4063.61</v>
      </c>
      <c r="D61">
        <v>290.91000000000003</v>
      </c>
      <c r="E61">
        <v>395.62</v>
      </c>
      <c r="F61">
        <v>5330.92</v>
      </c>
      <c r="G61">
        <v>11492.05</v>
      </c>
      <c r="H61">
        <v>1874.57</v>
      </c>
      <c r="I61">
        <v>4491.13</v>
      </c>
      <c r="J61">
        <v>839.19</v>
      </c>
      <c r="K61">
        <v>17467.73</v>
      </c>
      <c r="L61">
        <v>2810.39</v>
      </c>
      <c r="M61">
        <v>1516.2</v>
      </c>
      <c r="N61">
        <v>415.36</v>
      </c>
      <c r="O61">
        <v>1101.3499999999999</v>
      </c>
      <c r="P61">
        <v>120.18</v>
      </c>
      <c r="Q61">
        <v>1452.3</v>
      </c>
      <c r="R61">
        <v>376.16</v>
      </c>
      <c r="S61">
        <v>455.46</v>
      </c>
      <c r="T61">
        <v>292.72000000000003</v>
      </c>
      <c r="U61">
        <v>1818.33</v>
      </c>
      <c r="V61">
        <v>17614.89</v>
      </c>
      <c r="W61">
        <v>1134.8800000000001</v>
      </c>
    </row>
    <row r="62" spans="1:23" x14ac:dyDescent="0.25">
      <c r="A62" s="2">
        <v>43517</v>
      </c>
      <c r="B62">
        <v>2228.66</v>
      </c>
      <c r="C62">
        <v>4055.34</v>
      </c>
      <c r="D62">
        <v>288.42</v>
      </c>
      <c r="E62">
        <v>398.04</v>
      </c>
      <c r="F62">
        <v>5337.48</v>
      </c>
      <c r="G62">
        <v>11556.33</v>
      </c>
      <c r="H62">
        <v>1856.28</v>
      </c>
      <c r="I62">
        <v>4498.92</v>
      </c>
      <c r="J62">
        <v>838.05</v>
      </c>
      <c r="K62">
        <v>17418.87</v>
      </c>
      <c r="L62">
        <v>2770.15</v>
      </c>
      <c r="M62">
        <v>1513.55</v>
      </c>
      <c r="N62">
        <v>415.42</v>
      </c>
      <c r="O62">
        <v>1079.99</v>
      </c>
      <c r="P62">
        <v>119.05</v>
      </c>
      <c r="Q62">
        <v>1444.34</v>
      </c>
      <c r="R62">
        <v>372.87</v>
      </c>
      <c r="S62">
        <v>456.48</v>
      </c>
      <c r="T62">
        <v>294.77</v>
      </c>
      <c r="U62">
        <v>1815.18</v>
      </c>
      <c r="V62">
        <v>17701.66</v>
      </c>
      <c r="W62">
        <v>1138.42</v>
      </c>
    </row>
    <row r="63" spans="1:23" x14ac:dyDescent="0.25">
      <c r="A63" s="2">
        <v>43516</v>
      </c>
      <c r="B63">
        <v>2229.7600000000002</v>
      </c>
      <c r="C63">
        <v>4072.72</v>
      </c>
      <c r="D63">
        <v>292.39999999999998</v>
      </c>
      <c r="E63">
        <v>398.69</v>
      </c>
      <c r="F63">
        <v>5372.22</v>
      </c>
      <c r="G63">
        <v>11740.7</v>
      </c>
      <c r="H63">
        <v>1891.24</v>
      </c>
      <c r="I63">
        <v>4482.22</v>
      </c>
      <c r="J63">
        <v>847.08</v>
      </c>
      <c r="K63">
        <v>17389.25</v>
      </c>
      <c r="L63">
        <v>2825.46</v>
      </c>
      <c r="M63">
        <v>1492.42</v>
      </c>
      <c r="N63">
        <v>414.76</v>
      </c>
      <c r="O63">
        <v>1082.6300000000001</v>
      </c>
      <c r="P63">
        <v>119.88</v>
      </c>
      <c r="Q63">
        <v>1438.05</v>
      </c>
      <c r="R63">
        <v>374.49</v>
      </c>
      <c r="S63">
        <v>457.13</v>
      </c>
      <c r="T63">
        <v>293.74</v>
      </c>
      <c r="U63">
        <v>1815.12</v>
      </c>
      <c r="V63">
        <v>17542.740000000002</v>
      </c>
      <c r="W63">
        <v>1135.8900000000001</v>
      </c>
    </row>
    <row r="64" spans="1:23" x14ac:dyDescent="0.25">
      <c r="A64" s="2">
        <v>43515</v>
      </c>
      <c r="B64">
        <v>2205.63</v>
      </c>
      <c r="C64">
        <v>4052.87</v>
      </c>
      <c r="D64">
        <v>292.25</v>
      </c>
      <c r="E64">
        <v>397.5</v>
      </c>
      <c r="F64">
        <v>5251.14</v>
      </c>
      <c r="G64">
        <v>11747.9</v>
      </c>
      <c r="H64">
        <v>1893.17</v>
      </c>
      <c r="I64">
        <v>4402.6099999999997</v>
      </c>
      <c r="J64">
        <v>847.05</v>
      </c>
      <c r="K64">
        <v>17070.689999999999</v>
      </c>
      <c r="L64">
        <v>2792.47</v>
      </c>
      <c r="M64">
        <v>1490.03</v>
      </c>
      <c r="N64">
        <v>410.73</v>
      </c>
      <c r="O64">
        <v>1071.3499999999999</v>
      </c>
      <c r="P64">
        <v>120.27</v>
      </c>
      <c r="Q64">
        <v>1424.3</v>
      </c>
      <c r="R64">
        <v>373.99</v>
      </c>
      <c r="S64">
        <v>453.97</v>
      </c>
      <c r="T64">
        <v>293.77</v>
      </c>
      <c r="U64">
        <v>1799.3</v>
      </c>
      <c r="V64">
        <v>17427.98</v>
      </c>
      <c r="W64">
        <v>1128.8800000000001</v>
      </c>
    </row>
    <row r="65" spans="1:23" x14ac:dyDescent="0.25">
      <c r="A65" s="2">
        <v>43514</v>
      </c>
      <c r="B65">
        <v>2210.89</v>
      </c>
      <c r="C65">
        <v>4068.94</v>
      </c>
      <c r="D65">
        <v>294.51</v>
      </c>
      <c r="E65">
        <v>391.11</v>
      </c>
      <c r="F65">
        <v>5266.69</v>
      </c>
      <c r="G65">
        <v>11592.38</v>
      </c>
      <c r="H65">
        <v>1897.05</v>
      </c>
      <c r="I65">
        <v>4348.03</v>
      </c>
      <c r="J65">
        <v>844.7</v>
      </c>
      <c r="K65">
        <v>17163.12</v>
      </c>
      <c r="L65">
        <v>2824.43</v>
      </c>
      <c r="M65">
        <v>1499.64</v>
      </c>
      <c r="N65">
        <v>411.08</v>
      </c>
      <c r="O65">
        <v>1071.9100000000001</v>
      </c>
      <c r="P65">
        <v>119.95</v>
      </c>
      <c r="Q65">
        <v>1407.23</v>
      </c>
      <c r="R65">
        <v>374.32</v>
      </c>
      <c r="S65">
        <v>456.2</v>
      </c>
      <c r="T65">
        <v>297.86</v>
      </c>
      <c r="U65">
        <v>1811.49</v>
      </c>
      <c r="V65">
        <v>17448.2</v>
      </c>
      <c r="W65">
        <v>1134.94</v>
      </c>
    </row>
    <row r="66" spans="1:23" x14ac:dyDescent="0.25">
      <c r="A66" s="2">
        <v>43511</v>
      </c>
      <c r="B66">
        <v>2196.09</v>
      </c>
      <c r="C66">
        <v>4065.43</v>
      </c>
      <c r="D66">
        <v>290.97000000000003</v>
      </c>
      <c r="E66">
        <v>390.36</v>
      </c>
      <c r="F66">
        <v>5147.76</v>
      </c>
      <c r="G66">
        <v>11517.1</v>
      </c>
      <c r="H66">
        <v>1887.24</v>
      </c>
      <c r="I66">
        <v>4352.55</v>
      </c>
      <c r="J66">
        <v>838.41</v>
      </c>
      <c r="K66">
        <v>17044.009999999998</v>
      </c>
      <c r="L66">
        <v>2890.5</v>
      </c>
      <c r="M66">
        <v>1502.73</v>
      </c>
      <c r="N66">
        <v>407</v>
      </c>
      <c r="O66">
        <v>1084.29</v>
      </c>
      <c r="P66">
        <v>119.6</v>
      </c>
      <c r="Q66">
        <v>1412.05</v>
      </c>
      <c r="R66">
        <v>370.95</v>
      </c>
      <c r="S66">
        <v>452.95</v>
      </c>
      <c r="T66">
        <v>292.70999999999998</v>
      </c>
      <c r="U66">
        <v>1795.67</v>
      </c>
      <c r="V66">
        <v>17366.689999999999</v>
      </c>
      <c r="W66">
        <v>1131.43</v>
      </c>
    </row>
    <row r="67" spans="1:23" x14ac:dyDescent="0.25">
      <c r="A67" s="2">
        <v>43510</v>
      </c>
      <c r="B67">
        <v>2225.85</v>
      </c>
      <c r="C67">
        <v>4099.6400000000003</v>
      </c>
      <c r="D67">
        <v>287.68</v>
      </c>
      <c r="E67">
        <v>393.58</v>
      </c>
      <c r="F67">
        <v>5153.8900000000003</v>
      </c>
      <c r="G67">
        <v>11579.55</v>
      </c>
      <c r="H67">
        <v>1885.85</v>
      </c>
      <c r="I67">
        <v>4389.66</v>
      </c>
      <c r="J67">
        <v>841.31</v>
      </c>
      <c r="K67">
        <v>17573.669999999998</v>
      </c>
      <c r="L67">
        <v>2904.49</v>
      </c>
      <c r="M67">
        <v>1510.95</v>
      </c>
      <c r="N67">
        <v>409.33</v>
      </c>
      <c r="O67">
        <v>1093.04</v>
      </c>
      <c r="P67">
        <v>120.21</v>
      </c>
      <c r="Q67">
        <v>1425.95</v>
      </c>
      <c r="R67">
        <v>374.94</v>
      </c>
      <c r="S67">
        <v>457.63</v>
      </c>
      <c r="T67">
        <v>294.76</v>
      </c>
      <c r="U67">
        <v>1827.84</v>
      </c>
      <c r="V67">
        <v>17637.57</v>
      </c>
      <c r="W67">
        <v>1140.3699999999999</v>
      </c>
    </row>
    <row r="68" spans="1:23" x14ac:dyDescent="0.25">
      <c r="A68" s="2">
        <v>43509</v>
      </c>
      <c r="B68">
        <v>2201.48</v>
      </c>
      <c r="C68">
        <v>4030.4</v>
      </c>
      <c r="D68">
        <v>281.23</v>
      </c>
      <c r="E68">
        <v>395.82</v>
      </c>
      <c r="F68">
        <v>5113.2</v>
      </c>
      <c r="G68">
        <v>11595.47</v>
      </c>
      <c r="H68">
        <v>1893.49</v>
      </c>
      <c r="I68">
        <v>4380.7700000000004</v>
      </c>
      <c r="J68">
        <v>855.68</v>
      </c>
      <c r="K68">
        <v>17175.73</v>
      </c>
      <c r="L68">
        <v>2790.26</v>
      </c>
      <c r="M68">
        <v>1521.66</v>
      </c>
      <c r="N68">
        <v>406.22</v>
      </c>
      <c r="O68">
        <v>1095.79</v>
      </c>
      <c r="P68">
        <v>120.71</v>
      </c>
      <c r="Q68">
        <v>1413.78</v>
      </c>
      <c r="R68">
        <v>372.94</v>
      </c>
      <c r="S68">
        <v>452.28</v>
      </c>
      <c r="T68">
        <v>293.72000000000003</v>
      </c>
      <c r="U68">
        <v>1807.44</v>
      </c>
      <c r="V68">
        <v>17388.349999999999</v>
      </c>
      <c r="W68">
        <v>1122.3800000000001</v>
      </c>
    </row>
    <row r="69" spans="1:23" x14ac:dyDescent="0.25">
      <c r="A69" s="2">
        <v>43508</v>
      </c>
      <c r="B69">
        <v>2190.4699999999998</v>
      </c>
      <c r="C69">
        <v>4010.83</v>
      </c>
      <c r="D69">
        <v>272.12</v>
      </c>
      <c r="E69">
        <v>391.02</v>
      </c>
      <c r="F69">
        <v>5031.54</v>
      </c>
      <c r="G69">
        <v>11534.05</v>
      </c>
      <c r="H69">
        <v>1857.82</v>
      </c>
      <c r="I69">
        <v>4368.8999999999996</v>
      </c>
      <c r="J69">
        <v>851.36</v>
      </c>
      <c r="K69">
        <v>17107.88</v>
      </c>
      <c r="L69">
        <v>2652.05</v>
      </c>
      <c r="M69">
        <v>1553.02</v>
      </c>
      <c r="N69">
        <v>401.76</v>
      </c>
      <c r="O69">
        <v>1093.56</v>
      </c>
      <c r="P69">
        <v>120.49</v>
      </c>
      <c r="Q69">
        <v>1398.61</v>
      </c>
      <c r="R69">
        <v>372.87</v>
      </c>
      <c r="S69">
        <v>449.9</v>
      </c>
      <c r="T69">
        <v>290.60000000000002</v>
      </c>
      <c r="U69">
        <v>1824.75</v>
      </c>
      <c r="V69">
        <v>17194.830000000002</v>
      </c>
      <c r="W69">
        <v>1109.42</v>
      </c>
    </row>
    <row r="70" spans="1:23" x14ac:dyDescent="0.25">
      <c r="A70" s="2">
        <v>43507</v>
      </c>
      <c r="B70">
        <v>2180.73</v>
      </c>
      <c r="C70">
        <v>4049.42</v>
      </c>
      <c r="D70">
        <v>273.47000000000003</v>
      </c>
      <c r="E70">
        <v>387.84</v>
      </c>
      <c r="F70">
        <v>5046.84</v>
      </c>
      <c r="G70">
        <v>11651.82</v>
      </c>
      <c r="H70">
        <v>1873.88</v>
      </c>
      <c r="I70">
        <v>4360.75</v>
      </c>
      <c r="J70">
        <v>851.19</v>
      </c>
      <c r="K70">
        <v>16728.740000000002</v>
      </c>
      <c r="L70">
        <v>2592.4699999999998</v>
      </c>
      <c r="M70">
        <v>1546.03</v>
      </c>
      <c r="N70">
        <v>401.36</v>
      </c>
      <c r="O70">
        <v>1103.07</v>
      </c>
      <c r="P70">
        <v>120.12</v>
      </c>
      <c r="Q70">
        <v>1402.24</v>
      </c>
      <c r="R70">
        <v>376.68</v>
      </c>
      <c r="S70">
        <v>448.61</v>
      </c>
      <c r="T70">
        <v>290.60000000000002</v>
      </c>
      <c r="U70">
        <v>1818.23</v>
      </c>
      <c r="V70">
        <v>17001.599999999999</v>
      </c>
      <c r="W70">
        <v>1125.01</v>
      </c>
    </row>
    <row r="71" spans="1:23" x14ac:dyDescent="0.25">
      <c r="A71" s="2">
        <v>43504</v>
      </c>
      <c r="B71">
        <v>2177.0500000000002</v>
      </c>
      <c r="C71">
        <v>4051.6</v>
      </c>
      <c r="D71">
        <v>275</v>
      </c>
      <c r="E71">
        <v>385.8</v>
      </c>
      <c r="F71">
        <v>5042.0600000000004</v>
      </c>
      <c r="G71">
        <v>11551.37</v>
      </c>
      <c r="H71">
        <v>1889.35</v>
      </c>
      <c r="I71">
        <v>4364.34</v>
      </c>
      <c r="J71">
        <v>859.72</v>
      </c>
      <c r="K71">
        <v>16623.73</v>
      </c>
      <c r="L71">
        <v>2617.36</v>
      </c>
      <c r="M71">
        <v>1529.48</v>
      </c>
      <c r="N71">
        <v>402.68</v>
      </c>
      <c r="O71">
        <v>1087.07</v>
      </c>
      <c r="P71">
        <v>120.91</v>
      </c>
      <c r="Q71">
        <v>1394.96</v>
      </c>
      <c r="R71">
        <v>378.96</v>
      </c>
      <c r="S71">
        <v>450.41</v>
      </c>
      <c r="T71">
        <v>291.98</v>
      </c>
      <c r="U71">
        <v>1823.8</v>
      </c>
      <c r="V71">
        <v>17108.14</v>
      </c>
      <c r="W71">
        <v>1129.06</v>
      </c>
    </row>
    <row r="72" spans="1:23" x14ac:dyDescent="0.25">
      <c r="A72" s="2">
        <v>43503</v>
      </c>
      <c r="B72">
        <v>2203.42</v>
      </c>
      <c r="C72">
        <v>4027.29</v>
      </c>
      <c r="D72">
        <v>277.39</v>
      </c>
      <c r="E72">
        <v>386.58</v>
      </c>
      <c r="F72">
        <v>5138.53</v>
      </c>
      <c r="G72">
        <v>11458.78</v>
      </c>
      <c r="H72">
        <v>1897.93</v>
      </c>
      <c r="I72">
        <v>4492.38</v>
      </c>
      <c r="J72">
        <v>863.5</v>
      </c>
      <c r="K72">
        <v>17127.21</v>
      </c>
      <c r="L72">
        <v>2702.97</v>
      </c>
      <c r="M72">
        <v>1536.51</v>
      </c>
      <c r="N72">
        <v>408.18</v>
      </c>
      <c r="O72">
        <v>1082.74</v>
      </c>
      <c r="P72">
        <v>122.49</v>
      </c>
      <c r="Q72">
        <v>1382.72</v>
      </c>
      <c r="R72">
        <v>373.18</v>
      </c>
      <c r="S72">
        <v>453.22</v>
      </c>
      <c r="T72">
        <v>296.06</v>
      </c>
      <c r="U72">
        <v>1871.9</v>
      </c>
      <c r="V72">
        <v>16973.57</v>
      </c>
      <c r="W72">
        <v>1123.9100000000001</v>
      </c>
    </row>
    <row r="73" spans="1:23" x14ac:dyDescent="0.25">
      <c r="A73" s="2">
        <v>43497</v>
      </c>
      <c r="B73">
        <v>2203.46</v>
      </c>
      <c r="C73">
        <v>4024.79</v>
      </c>
      <c r="D73">
        <v>270.92</v>
      </c>
      <c r="E73">
        <v>385.35</v>
      </c>
      <c r="F73">
        <v>5139.3599999999997</v>
      </c>
      <c r="G73">
        <v>11574.81</v>
      </c>
      <c r="H73">
        <v>1867.49</v>
      </c>
      <c r="I73">
        <v>4425.6499999999996</v>
      </c>
      <c r="J73">
        <v>851.64</v>
      </c>
      <c r="K73">
        <v>17086.66</v>
      </c>
      <c r="L73">
        <v>2638.34</v>
      </c>
      <c r="M73">
        <v>1549.42</v>
      </c>
      <c r="N73">
        <v>407.74</v>
      </c>
      <c r="O73">
        <v>1092.77</v>
      </c>
      <c r="P73">
        <v>122.03</v>
      </c>
      <c r="Q73">
        <v>1396.2</v>
      </c>
      <c r="R73">
        <v>374.06</v>
      </c>
      <c r="S73">
        <v>452.05</v>
      </c>
      <c r="T73">
        <v>294.7</v>
      </c>
      <c r="U73">
        <v>1837.57</v>
      </c>
      <c r="V73">
        <v>17052.150000000001</v>
      </c>
      <c r="W73">
        <v>1132.3699999999999</v>
      </c>
    </row>
    <row r="74" spans="1:23" x14ac:dyDescent="0.25">
      <c r="A74" s="2">
        <v>43496</v>
      </c>
      <c r="B74">
        <v>2204.85</v>
      </c>
      <c r="C74">
        <v>4047.11</v>
      </c>
      <c r="D74">
        <v>267.77999999999997</v>
      </c>
      <c r="E74">
        <v>384.2</v>
      </c>
      <c r="F74">
        <v>5142.43</v>
      </c>
      <c r="G74">
        <v>11773.39</v>
      </c>
      <c r="H74">
        <v>1817.81</v>
      </c>
      <c r="I74">
        <v>4450.8900000000003</v>
      </c>
      <c r="J74">
        <v>848.14</v>
      </c>
      <c r="K74">
        <v>16947.32</v>
      </c>
      <c r="L74">
        <v>2603.7800000000002</v>
      </c>
      <c r="M74">
        <v>1575.98</v>
      </c>
      <c r="N74">
        <v>411.92</v>
      </c>
      <c r="O74">
        <v>1107.8800000000001</v>
      </c>
      <c r="P74">
        <v>121.54</v>
      </c>
      <c r="Q74">
        <v>1402.56</v>
      </c>
      <c r="R74">
        <v>373.77</v>
      </c>
      <c r="S74">
        <v>451.09</v>
      </c>
      <c r="T74">
        <v>293.77</v>
      </c>
      <c r="U74">
        <v>1833.75</v>
      </c>
      <c r="V74">
        <v>16780.72</v>
      </c>
      <c r="W74">
        <v>1135.1500000000001</v>
      </c>
    </row>
    <row r="75" spans="1:23" x14ac:dyDescent="0.25">
      <c r="A75" s="2">
        <v>43495</v>
      </c>
      <c r="B75">
        <v>2206.1999999999998</v>
      </c>
      <c r="C75">
        <v>3980.88</v>
      </c>
      <c r="D75">
        <v>267.75</v>
      </c>
      <c r="E75">
        <v>387.05</v>
      </c>
      <c r="F75">
        <v>5165.3</v>
      </c>
      <c r="G75">
        <v>11526.42</v>
      </c>
      <c r="H75">
        <v>1827.88</v>
      </c>
      <c r="I75">
        <v>4528.3500000000004</v>
      </c>
      <c r="J75">
        <v>843.17</v>
      </c>
      <c r="K75">
        <v>17126.849999999999</v>
      </c>
      <c r="L75">
        <v>2548.4299999999998</v>
      </c>
      <c r="M75">
        <v>1576.55</v>
      </c>
      <c r="N75">
        <v>410.51</v>
      </c>
      <c r="O75">
        <v>1076.27</v>
      </c>
      <c r="P75">
        <v>121.88</v>
      </c>
      <c r="Q75">
        <v>1408.41</v>
      </c>
      <c r="R75">
        <v>374.46</v>
      </c>
      <c r="S75">
        <v>448.69</v>
      </c>
      <c r="T75">
        <v>292.83</v>
      </c>
      <c r="U75">
        <v>1820.63</v>
      </c>
      <c r="V75">
        <v>17084.080000000002</v>
      </c>
      <c r="W75">
        <v>1133.28</v>
      </c>
    </row>
    <row r="76" spans="1:23" x14ac:dyDescent="0.25">
      <c r="A76" s="2">
        <v>43494</v>
      </c>
      <c r="B76">
        <v>2183.36</v>
      </c>
      <c r="C76">
        <v>4000.38</v>
      </c>
      <c r="D76">
        <v>267.16000000000003</v>
      </c>
      <c r="E76">
        <v>385.65</v>
      </c>
      <c r="F76">
        <v>5082.01</v>
      </c>
      <c r="G76">
        <v>11458.85</v>
      </c>
      <c r="H76">
        <v>1749.99</v>
      </c>
      <c r="I76">
        <v>4362.2299999999996</v>
      </c>
      <c r="J76">
        <v>834.17</v>
      </c>
      <c r="K76">
        <v>16826.099999999999</v>
      </c>
      <c r="L76">
        <v>2522.46</v>
      </c>
      <c r="M76">
        <v>1554.96</v>
      </c>
      <c r="N76">
        <v>410.53</v>
      </c>
      <c r="O76">
        <v>1066.82</v>
      </c>
      <c r="P76">
        <v>117.98</v>
      </c>
      <c r="Q76">
        <v>1394.91</v>
      </c>
      <c r="R76">
        <v>388.04</v>
      </c>
      <c r="S76">
        <v>446.33</v>
      </c>
      <c r="T76">
        <v>291.01</v>
      </c>
      <c r="U76">
        <v>1804.01</v>
      </c>
      <c r="V76">
        <v>17039.23</v>
      </c>
      <c r="W76">
        <v>1133.67</v>
      </c>
    </row>
    <row r="77" spans="1:23" x14ac:dyDescent="0.25">
      <c r="A77" s="2">
        <v>43493</v>
      </c>
      <c r="B77">
        <v>2177.3000000000002</v>
      </c>
      <c r="C77">
        <v>3993</v>
      </c>
      <c r="D77">
        <v>270.45</v>
      </c>
      <c r="E77">
        <v>385.97</v>
      </c>
      <c r="F77">
        <v>5068.75</v>
      </c>
      <c r="G77">
        <v>11586.61</v>
      </c>
      <c r="H77">
        <v>1780.33</v>
      </c>
      <c r="I77">
        <v>4357.95</v>
      </c>
      <c r="J77">
        <v>845.04</v>
      </c>
      <c r="K77">
        <v>16639.04</v>
      </c>
      <c r="L77">
        <v>2514.12</v>
      </c>
      <c r="M77">
        <v>1541.65</v>
      </c>
      <c r="N77">
        <v>410.16</v>
      </c>
      <c r="O77">
        <v>1062.9100000000001</v>
      </c>
      <c r="P77">
        <v>120.37</v>
      </c>
      <c r="Q77">
        <v>1382.58</v>
      </c>
      <c r="R77">
        <v>396.05</v>
      </c>
      <c r="S77">
        <v>446.31</v>
      </c>
      <c r="T77">
        <v>290.11</v>
      </c>
      <c r="U77">
        <v>1809.81</v>
      </c>
      <c r="V77">
        <v>17043.8</v>
      </c>
      <c r="W77">
        <v>1127.98</v>
      </c>
    </row>
    <row r="78" spans="1:23" x14ac:dyDescent="0.25">
      <c r="A78" s="2">
        <v>43490</v>
      </c>
      <c r="B78">
        <v>2177.73</v>
      </c>
      <c r="C78">
        <v>4012.54</v>
      </c>
      <c r="D78">
        <v>271.63</v>
      </c>
      <c r="E78">
        <v>382.72</v>
      </c>
      <c r="F78">
        <v>5056.5</v>
      </c>
      <c r="G78">
        <v>11529.14</v>
      </c>
      <c r="H78">
        <v>1785.31</v>
      </c>
      <c r="I78">
        <v>4365.17</v>
      </c>
      <c r="J78">
        <v>837.31</v>
      </c>
      <c r="K78">
        <v>16682.64</v>
      </c>
      <c r="L78">
        <v>2496.7600000000002</v>
      </c>
      <c r="M78">
        <v>1532.03</v>
      </c>
      <c r="N78">
        <v>410.34</v>
      </c>
      <c r="O78">
        <v>1067.68</v>
      </c>
      <c r="P78">
        <v>121.4</v>
      </c>
      <c r="Q78">
        <v>1384.94</v>
      </c>
      <c r="R78">
        <v>392.08</v>
      </c>
      <c r="S78">
        <v>448.38</v>
      </c>
      <c r="T78">
        <v>290.57</v>
      </c>
      <c r="U78">
        <v>1829.19</v>
      </c>
      <c r="V78">
        <v>17067.259999999998</v>
      </c>
      <c r="W78">
        <v>1119.45</v>
      </c>
    </row>
    <row r="79" spans="1:23" x14ac:dyDescent="0.25">
      <c r="A79" s="2">
        <v>43489</v>
      </c>
      <c r="B79">
        <v>2145.0300000000002</v>
      </c>
      <c r="C79">
        <v>4023.75</v>
      </c>
      <c r="D79">
        <v>268.27999999999997</v>
      </c>
      <c r="E79">
        <v>380.93</v>
      </c>
      <c r="F79">
        <v>4959.3500000000004</v>
      </c>
      <c r="G79">
        <v>11491.58</v>
      </c>
      <c r="H79">
        <v>1782.53</v>
      </c>
      <c r="I79">
        <v>4317.5600000000004</v>
      </c>
      <c r="J79">
        <v>830.65</v>
      </c>
      <c r="K79">
        <v>15995.65</v>
      </c>
      <c r="L79">
        <v>2441.9</v>
      </c>
      <c r="M79">
        <v>1546.7</v>
      </c>
      <c r="N79">
        <v>408.22</v>
      </c>
      <c r="O79">
        <v>1062.21</v>
      </c>
      <c r="P79">
        <v>120.53</v>
      </c>
      <c r="Q79">
        <v>1414.67</v>
      </c>
      <c r="R79">
        <v>394.37</v>
      </c>
      <c r="S79">
        <v>444.57</v>
      </c>
      <c r="T79">
        <v>290.11</v>
      </c>
      <c r="U79">
        <v>1823.64</v>
      </c>
      <c r="V79">
        <v>16992.38</v>
      </c>
      <c r="W79">
        <v>1114.19</v>
      </c>
    </row>
    <row r="80" spans="1:23" x14ac:dyDescent="0.25">
      <c r="A80" s="2">
        <v>43488</v>
      </c>
      <c r="B80">
        <v>2127.7800000000002</v>
      </c>
      <c r="C80">
        <v>4084.16</v>
      </c>
      <c r="D80">
        <v>268.77999999999997</v>
      </c>
      <c r="E80">
        <v>375.96</v>
      </c>
      <c r="F80">
        <v>4965.72</v>
      </c>
      <c r="G80">
        <v>11277.57</v>
      </c>
      <c r="H80">
        <v>1762.33</v>
      </c>
      <c r="I80">
        <v>4351.5</v>
      </c>
      <c r="J80">
        <v>840.79</v>
      </c>
      <c r="K80">
        <v>15604.76</v>
      </c>
      <c r="L80">
        <v>2448.7600000000002</v>
      </c>
      <c r="M80">
        <v>1550.37</v>
      </c>
      <c r="N80">
        <v>409.68</v>
      </c>
      <c r="O80">
        <v>1065.49</v>
      </c>
      <c r="P80">
        <v>118.18</v>
      </c>
      <c r="Q80">
        <v>1410.81</v>
      </c>
      <c r="R80">
        <v>394.1</v>
      </c>
      <c r="S80">
        <v>439.97</v>
      </c>
      <c r="T80">
        <v>288.3</v>
      </c>
      <c r="U80">
        <v>1758.79</v>
      </c>
      <c r="V80">
        <v>16835.650000000001</v>
      </c>
      <c r="W80">
        <v>1126.3</v>
      </c>
    </row>
    <row r="81" spans="1:23" x14ac:dyDescent="0.25">
      <c r="A81" s="2">
        <v>43487</v>
      </c>
      <c r="B81">
        <v>2117.77</v>
      </c>
      <c r="C81">
        <v>4047.7</v>
      </c>
      <c r="D81">
        <v>265.70999999999998</v>
      </c>
      <c r="E81">
        <v>376.47</v>
      </c>
      <c r="F81">
        <v>4940.72</v>
      </c>
      <c r="G81">
        <v>11342.61</v>
      </c>
      <c r="H81">
        <v>1737.59</v>
      </c>
      <c r="I81">
        <v>4357.79</v>
      </c>
      <c r="J81">
        <v>825.19</v>
      </c>
      <c r="K81">
        <v>15619.31</v>
      </c>
      <c r="L81">
        <v>2422.5300000000002</v>
      </c>
      <c r="M81">
        <v>1525.14</v>
      </c>
      <c r="N81">
        <v>404.94</v>
      </c>
      <c r="O81">
        <v>1060.44</v>
      </c>
      <c r="P81">
        <v>115.02</v>
      </c>
      <c r="Q81">
        <v>1398.25</v>
      </c>
      <c r="R81">
        <v>387.41</v>
      </c>
      <c r="S81">
        <v>439.2</v>
      </c>
      <c r="T81">
        <v>287.83</v>
      </c>
      <c r="U81">
        <v>1758.38</v>
      </c>
      <c r="V81">
        <v>16682.46</v>
      </c>
      <c r="W81">
        <v>1115.67</v>
      </c>
    </row>
    <row r="82" spans="1:23" x14ac:dyDescent="0.25">
      <c r="A82" s="2">
        <v>43486</v>
      </c>
      <c r="B82">
        <v>2124.61</v>
      </c>
      <c r="C82">
        <v>4042.32</v>
      </c>
      <c r="D82">
        <v>267.76</v>
      </c>
      <c r="E82">
        <v>373.8</v>
      </c>
      <c r="F82">
        <v>4943.17</v>
      </c>
      <c r="G82">
        <v>11219.9</v>
      </c>
      <c r="H82">
        <v>1733.46</v>
      </c>
      <c r="I82">
        <v>4377.2</v>
      </c>
      <c r="J82">
        <v>839.53</v>
      </c>
      <c r="K82">
        <v>15845.93</v>
      </c>
      <c r="L82">
        <v>2447.69</v>
      </c>
      <c r="M82">
        <v>1523.01</v>
      </c>
      <c r="N82">
        <v>403.69</v>
      </c>
      <c r="O82">
        <v>1058.23</v>
      </c>
      <c r="P82">
        <v>115.31</v>
      </c>
      <c r="Q82">
        <v>1406.3</v>
      </c>
      <c r="R82">
        <v>385.97</v>
      </c>
      <c r="S82">
        <v>439.65</v>
      </c>
      <c r="T82">
        <v>288.74</v>
      </c>
      <c r="U82">
        <v>1772.21</v>
      </c>
      <c r="V82">
        <v>16515.53</v>
      </c>
      <c r="W82">
        <v>1112.29</v>
      </c>
    </row>
    <row r="83" spans="1:23" x14ac:dyDescent="0.25">
      <c r="A83" s="2">
        <v>43483</v>
      </c>
      <c r="B83">
        <v>2124.2800000000002</v>
      </c>
      <c r="C83">
        <v>4061.01</v>
      </c>
      <c r="D83">
        <v>266.43</v>
      </c>
      <c r="E83">
        <v>371.07</v>
      </c>
      <c r="F83">
        <v>4907.13</v>
      </c>
      <c r="G83">
        <v>11347.41</v>
      </c>
      <c r="H83">
        <v>1734.72</v>
      </c>
      <c r="I83">
        <v>4297.74</v>
      </c>
      <c r="J83">
        <v>836.91</v>
      </c>
      <c r="K83">
        <v>15626.68</v>
      </c>
      <c r="L83">
        <v>2442.42</v>
      </c>
      <c r="M83">
        <v>1534.6</v>
      </c>
      <c r="N83">
        <v>402.65</v>
      </c>
      <c r="O83">
        <v>1090.4100000000001</v>
      </c>
      <c r="P83">
        <v>116.45</v>
      </c>
      <c r="Q83">
        <v>1414.36</v>
      </c>
      <c r="R83">
        <v>395.51</v>
      </c>
      <c r="S83">
        <v>441.79</v>
      </c>
      <c r="T83">
        <v>289.19</v>
      </c>
      <c r="U83">
        <v>1786.17</v>
      </c>
      <c r="V83">
        <v>16548.87</v>
      </c>
      <c r="W83">
        <v>1127.6500000000001</v>
      </c>
    </row>
    <row r="84" spans="1:23" x14ac:dyDescent="0.25">
      <c r="A84" s="2">
        <v>43482</v>
      </c>
      <c r="B84">
        <v>2107.06</v>
      </c>
      <c r="C84">
        <v>4031.16</v>
      </c>
      <c r="D84">
        <v>265.99</v>
      </c>
      <c r="E84">
        <v>369.18</v>
      </c>
      <c r="F84">
        <v>4856.1400000000003</v>
      </c>
      <c r="G84">
        <v>11076.96</v>
      </c>
      <c r="H84">
        <v>1712.6</v>
      </c>
      <c r="I84">
        <v>4301.38</v>
      </c>
      <c r="J84">
        <v>817.65</v>
      </c>
      <c r="K84">
        <v>15527.03</v>
      </c>
      <c r="L84">
        <v>2378.4299999999998</v>
      </c>
      <c r="M84">
        <v>1506.95</v>
      </c>
      <c r="N84">
        <v>394.97</v>
      </c>
      <c r="O84">
        <v>1104.18</v>
      </c>
      <c r="P84">
        <v>115.99</v>
      </c>
      <c r="Q84">
        <v>1409.88</v>
      </c>
      <c r="R84">
        <v>392.69</v>
      </c>
      <c r="S84">
        <v>441.2</v>
      </c>
      <c r="T84">
        <v>290.08999999999997</v>
      </c>
      <c r="U84">
        <v>1753.13</v>
      </c>
      <c r="V84">
        <v>16545.93</v>
      </c>
      <c r="W84">
        <v>1117.6600000000001</v>
      </c>
    </row>
    <row r="85" spans="1:23" x14ac:dyDescent="0.25">
      <c r="A85" s="2">
        <v>43481</v>
      </c>
      <c r="B85">
        <v>2106.1</v>
      </c>
      <c r="C85">
        <v>4031.65</v>
      </c>
      <c r="D85">
        <v>263.08999999999997</v>
      </c>
      <c r="E85">
        <v>375.11</v>
      </c>
      <c r="F85">
        <v>4890.46</v>
      </c>
      <c r="G85">
        <v>11347.18</v>
      </c>
      <c r="H85">
        <v>1759.71</v>
      </c>
      <c r="I85">
        <v>4319.87</v>
      </c>
      <c r="J85">
        <v>822.42</v>
      </c>
      <c r="K85">
        <v>15439.27</v>
      </c>
      <c r="L85">
        <v>2411.56</v>
      </c>
      <c r="M85">
        <v>1498.08</v>
      </c>
      <c r="N85">
        <v>398.92</v>
      </c>
      <c r="O85">
        <v>1100.6099999999999</v>
      </c>
      <c r="P85">
        <v>117.31</v>
      </c>
      <c r="Q85">
        <v>1401.72</v>
      </c>
      <c r="R85">
        <v>392.45</v>
      </c>
      <c r="S85">
        <v>438.44</v>
      </c>
      <c r="T85">
        <v>290.55</v>
      </c>
      <c r="U85">
        <v>1763.68</v>
      </c>
      <c r="V85">
        <v>16341.82</v>
      </c>
      <c r="W85">
        <v>1114.1199999999999</v>
      </c>
    </row>
    <row r="86" spans="1:23" x14ac:dyDescent="0.25">
      <c r="A86" s="2">
        <v>43480</v>
      </c>
      <c r="B86">
        <v>2097.1799999999998</v>
      </c>
      <c r="C86">
        <v>4052.29</v>
      </c>
      <c r="D86">
        <v>263.12</v>
      </c>
      <c r="E86">
        <v>371.25</v>
      </c>
      <c r="F86">
        <v>4867.57</v>
      </c>
      <c r="G86">
        <v>11501.41</v>
      </c>
      <c r="H86">
        <v>1723.81</v>
      </c>
      <c r="I86">
        <v>4256.43</v>
      </c>
      <c r="J86">
        <v>820.39</v>
      </c>
      <c r="K86">
        <v>15299.65</v>
      </c>
      <c r="L86">
        <v>2382.69</v>
      </c>
      <c r="M86">
        <v>1496.83</v>
      </c>
      <c r="N86">
        <v>400.15</v>
      </c>
      <c r="O86">
        <v>1105.19</v>
      </c>
      <c r="P86">
        <v>115.84</v>
      </c>
      <c r="Q86">
        <v>1389.18</v>
      </c>
      <c r="R86">
        <v>393.21</v>
      </c>
      <c r="S86">
        <v>435.05</v>
      </c>
      <c r="T86">
        <v>288.73</v>
      </c>
      <c r="U86">
        <v>1732.19</v>
      </c>
      <c r="V86">
        <v>16299.11</v>
      </c>
      <c r="W86">
        <v>1114.3499999999999</v>
      </c>
    </row>
    <row r="87" spans="1:23" x14ac:dyDescent="0.25">
      <c r="A87" s="2">
        <v>43479</v>
      </c>
      <c r="B87">
        <v>2064.52</v>
      </c>
      <c r="C87">
        <v>4088.67</v>
      </c>
      <c r="D87">
        <v>263.83</v>
      </c>
      <c r="E87">
        <v>375.5</v>
      </c>
      <c r="F87">
        <v>4808.8999999999996</v>
      </c>
      <c r="G87">
        <v>11527.91</v>
      </c>
      <c r="H87">
        <v>1716.5</v>
      </c>
      <c r="I87">
        <v>4175.13</v>
      </c>
      <c r="J87">
        <v>803.7</v>
      </c>
      <c r="K87">
        <v>14931.63</v>
      </c>
      <c r="L87">
        <v>2332.17</v>
      </c>
      <c r="M87">
        <v>1452.07</v>
      </c>
      <c r="N87">
        <v>397.25</v>
      </c>
      <c r="O87">
        <v>1102.03</v>
      </c>
      <c r="P87">
        <v>114.88</v>
      </c>
      <c r="Q87">
        <v>1370.51</v>
      </c>
      <c r="R87">
        <v>390.49</v>
      </c>
      <c r="S87">
        <v>426</v>
      </c>
      <c r="T87">
        <v>286.01</v>
      </c>
      <c r="U87">
        <v>1672.44</v>
      </c>
      <c r="V87">
        <v>16087.98</v>
      </c>
      <c r="W87">
        <v>1108.1600000000001</v>
      </c>
    </row>
    <row r="88" spans="1:23" x14ac:dyDescent="0.25">
      <c r="A88" s="2">
        <v>43476</v>
      </c>
      <c r="B88">
        <v>2075.5700000000002</v>
      </c>
      <c r="C88">
        <v>4065.37</v>
      </c>
      <c r="D88">
        <v>265.60000000000002</v>
      </c>
      <c r="E88">
        <v>362.86</v>
      </c>
      <c r="F88">
        <v>4791.46</v>
      </c>
      <c r="G88">
        <v>11577.45</v>
      </c>
      <c r="H88">
        <v>1682.54</v>
      </c>
      <c r="I88">
        <v>4246.74</v>
      </c>
      <c r="J88">
        <v>795</v>
      </c>
      <c r="K88">
        <v>15159.85</v>
      </c>
      <c r="L88">
        <v>2354.06</v>
      </c>
      <c r="M88">
        <v>1456.26</v>
      </c>
      <c r="N88">
        <v>395.09</v>
      </c>
      <c r="O88">
        <v>1103.24</v>
      </c>
      <c r="P88">
        <v>113.65</v>
      </c>
      <c r="Q88">
        <v>1366.52</v>
      </c>
      <c r="R88">
        <v>387.88</v>
      </c>
      <c r="S88">
        <v>428.68</v>
      </c>
      <c r="T88">
        <v>288.25</v>
      </c>
      <c r="U88">
        <v>1675.02</v>
      </c>
      <c r="V88">
        <v>16181.82</v>
      </c>
      <c r="W88">
        <v>1115.6500000000001</v>
      </c>
    </row>
    <row r="89" spans="1:23" x14ac:dyDescent="0.25">
      <c r="A89" s="2">
        <v>43475</v>
      </c>
      <c r="B89">
        <v>2063.2800000000002</v>
      </c>
      <c r="C89">
        <v>4035.41</v>
      </c>
      <c r="D89">
        <v>269.64</v>
      </c>
      <c r="E89">
        <v>361.12</v>
      </c>
      <c r="F89">
        <v>4754.54</v>
      </c>
      <c r="G89">
        <v>11555.92</v>
      </c>
      <c r="H89">
        <v>1647.39</v>
      </c>
      <c r="I89">
        <v>4269.2299999999996</v>
      </c>
      <c r="J89">
        <v>779.7</v>
      </c>
      <c r="K89">
        <v>14960.29</v>
      </c>
      <c r="L89">
        <v>2292.7399999999998</v>
      </c>
      <c r="M89">
        <v>1460.32</v>
      </c>
      <c r="N89">
        <v>391.95</v>
      </c>
      <c r="O89">
        <v>1088.44</v>
      </c>
      <c r="P89">
        <v>113.69</v>
      </c>
      <c r="Q89">
        <v>1360.58</v>
      </c>
      <c r="R89">
        <v>396.69</v>
      </c>
      <c r="S89">
        <v>428.39</v>
      </c>
      <c r="T89">
        <v>287.35000000000002</v>
      </c>
      <c r="U89">
        <v>1682.82</v>
      </c>
      <c r="V89">
        <v>16096.5</v>
      </c>
      <c r="W89">
        <v>1101.6600000000001</v>
      </c>
    </row>
    <row r="90" spans="1:23" x14ac:dyDescent="0.25">
      <c r="A90" s="2">
        <v>43474</v>
      </c>
      <c r="B90">
        <v>2064.71</v>
      </c>
      <c r="C90">
        <v>4091.81</v>
      </c>
      <c r="D90">
        <v>268.72000000000003</v>
      </c>
      <c r="E90">
        <v>362.77</v>
      </c>
      <c r="F90">
        <v>4777.5600000000004</v>
      </c>
      <c r="G90">
        <v>11515.59</v>
      </c>
      <c r="H90">
        <v>1660.55</v>
      </c>
      <c r="I90">
        <v>4245.91</v>
      </c>
      <c r="J90">
        <v>788.27</v>
      </c>
      <c r="K90">
        <v>14830.7</v>
      </c>
      <c r="L90">
        <v>2282.4499999999998</v>
      </c>
      <c r="M90">
        <v>1473.22</v>
      </c>
      <c r="N90">
        <v>395.98</v>
      </c>
      <c r="O90">
        <v>1064.44</v>
      </c>
      <c r="P90">
        <v>114.49</v>
      </c>
      <c r="Q90">
        <v>1372.09</v>
      </c>
      <c r="R90">
        <v>397.85</v>
      </c>
      <c r="S90">
        <v>430.46</v>
      </c>
      <c r="T90">
        <v>288.26</v>
      </c>
      <c r="U90">
        <v>1680.39</v>
      </c>
      <c r="V90">
        <v>16138.24</v>
      </c>
      <c r="W90">
        <v>1106.5</v>
      </c>
    </row>
    <row r="91" spans="1:23" x14ac:dyDescent="0.25">
      <c r="A91" s="2">
        <v>43473</v>
      </c>
      <c r="B91">
        <v>2025.27</v>
      </c>
      <c r="C91">
        <v>4080.82</v>
      </c>
      <c r="D91">
        <v>267</v>
      </c>
      <c r="E91">
        <v>360.01</v>
      </c>
      <c r="F91">
        <v>4732.05</v>
      </c>
      <c r="G91">
        <v>11467.68</v>
      </c>
      <c r="H91">
        <v>1652.66</v>
      </c>
      <c r="I91">
        <v>4111.26</v>
      </c>
      <c r="J91">
        <v>764.28</v>
      </c>
      <c r="K91">
        <v>14226.42</v>
      </c>
      <c r="L91">
        <v>2248.77</v>
      </c>
      <c r="M91">
        <v>1435.59</v>
      </c>
      <c r="N91">
        <v>389.92</v>
      </c>
      <c r="O91">
        <v>1107.48</v>
      </c>
      <c r="P91">
        <v>112.04</v>
      </c>
      <c r="Q91">
        <v>1350.66</v>
      </c>
      <c r="R91">
        <v>405.95</v>
      </c>
      <c r="S91">
        <v>425.23</v>
      </c>
      <c r="T91">
        <v>286.41000000000003</v>
      </c>
      <c r="U91">
        <v>1648.45</v>
      </c>
      <c r="V91">
        <v>16127.96</v>
      </c>
      <c r="W91">
        <v>1087.75</v>
      </c>
    </row>
    <row r="92" spans="1:23" x14ac:dyDescent="0.25">
      <c r="A92" s="2">
        <v>43472</v>
      </c>
      <c r="B92">
        <v>2037.1</v>
      </c>
      <c r="C92">
        <v>4075.06</v>
      </c>
      <c r="D92">
        <v>261.77</v>
      </c>
      <c r="E92">
        <v>360.49</v>
      </c>
      <c r="F92">
        <v>4755.79</v>
      </c>
      <c r="G92">
        <v>11525.95</v>
      </c>
      <c r="H92">
        <v>1614.72</v>
      </c>
      <c r="I92">
        <v>4107.75</v>
      </c>
      <c r="J92">
        <v>773.21</v>
      </c>
      <c r="K92">
        <v>14389.05</v>
      </c>
      <c r="L92">
        <v>2173.6999999999998</v>
      </c>
      <c r="M92">
        <v>1462.71</v>
      </c>
      <c r="N92">
        <v>391.54</v>
      </c>
      <c r="O92">
        <v>1078.57</v>
      </c>
      <c r="P92">
        <v>112.85</v>
      </c>
      <c r="Q92">
        <v>1348.4</v>
      </c>
      <c r="R92">
        <v>408.42</v>
      </c>
      <c r="S92">
        <v>426.2</v>
      </c>
      <c r="T92">
        <v>282.31</v>
      </c>
      <c r="U92">
        <v>1671.21</v>
      </c>
      <c r="V92">
        <v>16213.06</v>
      </c>
      <c r="W92">
        <v>1096.94</v>
      </c>
    </row>
    <row r="93" spans="1:23" x14ac:dyDescent="0.25">
      <c r="A93" s="2">
        <v>43469</v>
      </c>
      <c r="B93">
        <v>2010.25</v>
      </c>
      <c r="C93">
        <v>4067.25</v>
      </c>
      <c r="D93">
        <v>254.63</v>
      </c>
      <c r="E93">
        <v>347.93</v>
      </c>
      <c r="F93">
        <v>4662.2</v>
      </c>
      <c r="G93">
        <v>11512.79</v>
      </c>
      <c r="H93">
        <v>1594.08</v>
      </c>
      <c r="I93">
        <v>4036.69</v>
      </c>
      <c r="J93">
        <v>768.41</v>
      </c>
      <c r="K93">
        <v>13941.19</v>
      </c>
      <c r="L93">
        <v>2083.65</v>
      </c>
      <c r="M93">
        <v>1467.68</v>
      </c>
      <c r="N93">
        <v>390.92</v>
      </c>
      <c r="O93">
        <v>1078.69</v>
      </c>
      <c r="P93">
        <v>110.53</v>
      </c>
      <c r="Q93">
        <v>1338.21</v>
      </c>
      <c r="R93">
        <v>410.26</v>
      </c>
      <c r="S93">
        <v>423.66</v>
      </c>
      <c r="T93">
        <v>292.07</v>
      </c>
      <c r="U93">
        <v>1617.5</v>
      </c>
      <c r="V93">
        <v>16189.76</v>
      </c>
      <c r="W93">
        <v>1084.1199999999999</v>
      </c>
    </row>
    <row r="94" spans="1:23" x14ac:dyDescent="0.25">
      <c r="A94" s="2">
        <v>43468</v>
      </c>
      <c r="B94">
        <v>1993.7</v>
      </c>
      <c r="C94">
        <v>3927.42</v>
      </c>
      <c r="D94">
        <v>253.51</v>
      </c>
      <c r="E94">
        <v>346.23</v>
      </c>
      <c r="F94">
        <v>4681.3</v>
      </c>
      <c r="G94">
        <v>11155.9</v>
      </c>
      <c r="H94">
        <v>1611.14</v>
      </c>
      <c r="I94">
        <v>3986.42</v>
      </c>
      <c r="J94">
        <v>753.27</v>
      </c>
      <c r="K94">
        <v>13970.8</v>
      </c>
      <c r="L94">
        <v>2084.73</v>
      </c>
      <c r="M94">
        <v>1420.16</v>
      </c>
      <c r="N94">
        <v>385.33</v>
      </c>
      <c r="O94">
        <v>1087.81</v>
      </c>
      <c r="P94">
        <v>109.74</v>
      </c>
      <c r="Q94">
        <v>1324.44</v>
      </c>
      <c r="R94">
        <v>407.12</v>
      </c>
      <c r="S94">
        <v>422.31</v>
      </c>
      <c r="T94">
        <v>297.52999999999997</v>
      </c>
      <c r="U94">
        <v>1600.3</v>
      </c>
      <c r="V94">
        <v>16089.82</v>
      </c>
      <c r="W94">
        <v>1065.83</v>
      </c>
    </row>
    <row r="95" spans="1:23" x14ac:dyDescent="0.25">
      <c r="A95" s="2">
        <v>43467</v>
      </c>
      <c r="B95">
        <v>2010</v>
      </c>
      <c r="C95">
        <v>3876.79</v>
      </c>
      <c r="D95">
        <v>254.64</v>
      </c>
      <c r="E95">
        <v>356.64</v>
      </c>
      <c r="F95">
        <v>4742.22</v>
      </c>
      <c r="G95">
        <v>11338.89</v>
      </c>
      <c r="H95">
        <v>1627.53</v>
      </c>
      <c r="I95">
        <v>3956.03</v>
      </c>
      <c r="J95">
        <v>749.02</v>
      </c>
      <c r="K95">
        <v>14417.26</v>
      </c>
      <c r="L95">
        <v>2109.5</v>
      </c>
      <c r="M95">
        <v>1385.61</v>
      </c>
      <c r="N95">
        <v>385.7</v>
      </c>
      <c r="O95">
        <v>1066.3699999999999</v>
      </c>
      <c r="P95">
        <v>109.68</v>
      </c>
      <c r="Q95">
        <v>1327.64</v>
      </c>
      <c r="R95">
        <v>403.76</v>
      </c>
      <c r="S95">
        <v>424.16</v>
      </c>
      <c r="T95">
        <v>293.89</v>
      </c>
      <c r="U95">
        <v>1623.3</v>
      </c>
      <c r="V95">
        <v>16051.95</v>
      </c>
      <c r="W95">
        <v>1065.3499999999999</v>
      </c>
    </row>
    <row r="96" spans="1:23" x14ac:dyDescent="0.25">
      <c r="A96" s="2">
        <v>43462</v>
      </c>
      <c r="B96">
        <v>2041.04</v>
      </c>
      <c r="C96">
        <v>3960.01</v>
      </c>
      <c r="D96">
        <v>253.51</v>
      </c>
      <c r="E96">
        <v>357.66</v>
      </c>
      <c r="F96">
        <v>4874.93</v>
      </c>
      <c r="G96">
        <v>11626.69</v>
      </c>
      <c r="H96">
        <v>1661.05</v>
      </c>
      <c r="I96">
        <v>4043.12</v>
      </c>
      <c r="J96">
        <v>765.14</v>
      </c>
      <c r="K96">
        <v>14447.02</v>
      </c>
      <c r="L96">
        <v>2133.84</v>
      </c>
      <c r="M96">
        <v>1420.4</v>
      </c>
      <c r="N96">
        <v>393.5</v>
      </c>
      <c r="O96">
        <v>1050.5999999999999</v>
      </c>
      <c r="P96">
        <v>112.6</v>
      </c>
      <c r="Q96">
        <v>1341.29</v>
      </c>
      <c r="R96">
        <v>397.99</v>
      </c>
      <c r="S96">
        <v>434.35</v>
      </c>
      <c r="T96">
        <v>300.61</v>
      </c>
      <c r="U96">
        <v>1675.55</v>
      </c>
      <c r="V96">
        <v>16303.29</v>
      </c>
      <c r="W96">
        <v>1080</v>
      </c>
    </row>
    <row r="97" spans="1:23" x14ac:dyDescent="0.25">
      <c r="A97" s="2">
        <v>43461</v>
      </c>
      <c r="B97">
        <v>2028.44</v>
      </c>
      <c r="C97">
        <v>3913.87</v>
      </c>
      <c r="D97">
        <v>248.68</v>
      </c>
      <c r="E97">
        <v>351.91</v>
      </c>
      <c r="F97">
        <v>4865.41</v>
      </c>
      <c r="G97">
        <v>11427.16</v>
      </c>
      <c r="H97">
        <v>1651.05</v>
      </c>
      <c r="I97">
        <v>4052.35</v>
      </c>
      <c r="J97">
        <v>752.84</v>
      </c>
      <c r="K97">
        <v>14362.77</v>
      </c>
      <c r="L97">
        <v>2091.65</v>
      </c>
      <c r="M97">
        <v>1412.8</v>
      </c>
      <c r="N97">
        <v>390.82</v>
      </c>
      <c r="O97">
        <v>1035.68</v>
      </c>
      <c r="P97">
        <v>112.28</v>
      </c>
      <c r="Q97">
        <v>1336.39</v>
      </c>
      <c r="R97">
        <v>391.14</v>
      </c>
      <c r="S97">
        <v>431.62</v>
      </c>
      <c r="T97">
        <v>301.69</v>
      </c>
      <c r="U97">
        <v>1665.35</v>
      </c>
      <c r="V97">
        <v>16295.35</v>
      </c>
      <c r="W97">
        <v>1080.24</v>
      </c>
    </row>
    <row r="98" spans="1:23" x14ac:dyDescent="0.25">
      <c r="A98" s="2">
        <v>43460</v>
      </c>
      <c r="B98">
        <v>2028.01</v>
      </c>
      <c r="C98">
        <v>3924.93</v>
      </c>
      <c r="D98">
        <v>246.24</v>
      </c>
      <c r="E98">
        <v>351.3</v>
      </c>
      <c r="F98">
        <v>4872.28</v>
      </c>
      <c r="G98">
        <v>11242.41</v>
      </c>
      <c r="H98">
        <v>1648.33</v>
      </c>
      <c r="I98">
        <v>4084.58</v>
      </c>
      <c r="J98">
        <v>736.59</v>
      </c>
      <c r="K98">
        <v>14299.56</v>
      </c>
      <c r="L98">
        <v>2031.78</v>
      </c>
      <c r="M98">
        <v>1407.5</v>
      </c>
      <c r="N98">
        <v>388.01</v>
      </c>
      <c r="O98">
        <v>1038.04</v>
      </c>
      <c r="P98">
        <v>109.7</v>
      </c>
      <c r="Q98">
        <v>1316.92</v>
      </c>
      <c r="R98">
        <v>396.87</v>
      </c>
      <c r="S98">
        <v>439.33</v>
      </c>
      <c r="T98">
        <v>314.32</v>
      </c>
      <c r="U98">
        <v>1689.07</v>
      </c>
      <c r="V98">
        <v>16731.310000000001</v>
      </c>
      <c r="W98">
        <v>1064.06</v>
      </c>
    </row>
    <row r="99" spans="1:23" x14ac:dyDescent="0.25">
      <c r="A99" s="2">
        <v>43458</v>
      </c>
      <c r="B99">
        <v>2055.0100000000002</v>
      </c>
      <c r="C99">
        <v>3997.37</v>
      </c>
      <c r="D99">
        <v>250.22</v>
      </c>
      <c r="E99">
        <v>358.11</v>
      </c>
      <c r="F99">
        <v>4919.58</v>
      </c>
      <c r="G99">
        <v>10885.14</v>
      </c>
      <c r="H99">
        <v>1678.21</v>
      </c>
      <c r="I99">
        <v>4139.1499999999996</v>
      </c>
      <c r="J99">
        <v>762.67</v>
      </c>
      <c r="K99">
        <v>14459.56</v>
      </c>
      <c r="L99">
        <v>2095.73</v>
      </c>
      <c r="M99">
        <v>1446.33</v>
      </c>
      <c r="N99">
        <v>396.39</v>
      </c>
      <c r="O99">
        <v>1053.3699999999999</v>
      </c>
      <c r="P99">
        <v>112.6</v>
      </c>
      <c r="Q99">
        <v>1338.92</v>
      </c>
      <c r="R99">
        <v>403.72</v>
      </c>
      <c r="S99">
        <v>446.2</v>
      </c>
      <c r="T99">
        <v>317.89</v>
      </c>
      <c r="U99">
        <v>1726.85</v>
      </c>
      <c r="V99">
        <v>16924.939999999999</v>
      </c>
      <c r="W99">
        <v>1088.74</v>
      </c>
    </row>
    <row r="100" spans="1:23" x14ac:dyDescent="0.25">
      <c r="A100" s="2">
        <v>43455</v>
      </c>
      <c r="B100">
        <v>2061.4899999999998</v>
      </c>
      <c r="C100">
        <v>4024.1</v>
      </c>
      <c r="D100">
        <v>251.32</v>
      </c>
      <c r="E100">
        <v>359.07</v>
      </c>
      <c r="F100">
        <v>4950.7700000000004</v>
      </c>
      <c r="G100">
        <v>11099.49</v>
      </c>
      <c r="H100">
        <v>1674.69</v>
      </c>
      <c r="I100">
        <v>4083.91</v>
      </c>
      <c r="J100">
        <v>757.02</v>
      </c>
      <c r="K100">
        <v>14424.44</v>
      </c>
      <c r="L100">
        <v>2078.7800000000002</v>
      </c>
      <c r="M100">
        <v>1448.72</v>
      </c>
      <c r="N100">
        <v>399.68</v>
      </c>
      <c r="O100">
        <v>1061.6199999999999</v>
      </c>
      <c r="P100">
        <v>114.33</v>
      </c>
      <c r="Q100">
        <v>1356.81</v>
      </c>
      <c r="R100">
        <v>404.4</v>
      </c>
      <c r="S100">
        <v>447.85</v>
      </c>
      <c r="T100">
        <v>321.35000000000002</v>
      </c>
      <c r="U100">
        <v>1734.79</v>
      </c>
      <c r="V100">
        <v>16757.62</v>
      </c>
      <c r="W100">
        <v>1092.5</v>
      </c>
    </row>
    <row r="101" spans="1:23" x14ac:dyDescent="0.25">
      <c r="A101" s="2">
        <v>43454</v>
      </c>
      <c r="B101">
        <v>2060.12</v>
      </c>
      <c r="C101">
        <v>4038.32</v>
      </c>
      <c r="D101">
        <v>254.18</v>
      </c>
      <c r="E101">
        <v>355.83</v>
      </c>
      <c r="F101">
        <v>4939.01</v>
      </c>
      <c r="G101">
        <v>11033.83</v>
      </c>
      <c r="H101">
        <v>1680.69</v>
      </c>
      <c r="I101">
        <v>4181.75</v>
      </c>
      <c r="J101">
        <v>770.03</v>
      </c>
      <c r="K101">
        <v>14347.48</v>
      </c>
      <c r="L101">
        <v>2085.71</v>
      </c>
      <c r="M101">
        <v>1452.24</v>
      </c>
      <c r="N101">
        <v>399.62</v>
      </c>
      <c r="O101">
        <v>1084.6400000000001</v>
      </c>
      <c r="P101">
        <v>116.74</v>
      </c>
      <c r="Q101">
        <v>1368.16</v>
      </c>
      <c r="R101">
        <v>402.02</v>
      </c>
      <c r="S101">
        <v>445.9</v>
      </c>
      <c r="T101">
        <v>317.72000000000003</v>
      </c>
      <c r="U101">
        <v>1729.56</v>
      </c>
      <c r="V101">
        <v>16718.7</v>
      </c>
      <c r="W101">
        <v>1092.76</v>
      </c>
    </row>
    <row r="102" spans="1:23" x14ac:dyDescent="0.25">
      <c r="A102" s="2">
        <v>43453</v>
      </c>
      <c r="B102">
        <v>2078.84</v>
      </c>
      <c r="C102">
        <v>4051.7</v>
      </c>
      <c r="D102">
        <v>254.57</v>
      </c>
      <c r="E102">
        <v>360.43</v>
      </c>
      <c r="F102">
        <v>4993.2</v>
      </c>
      <c r="G102">
        <v>11351.25</v>
      </c>
      <c r="H102">
        <v>1655.61</v>
      </c>
      <c r="I102">
        <v>4220.05</v>
      </c>
      <c r="J102">
        <v>769.9</v>
      </c>
      <c r="K102">
        <v>14554.73</v>
      </c>
      <c r="L102">
        <v>2100.75</v>
      </c>
      <c r="M102">
        <v>1471.54</v>
      </c>
      <c r="N102">
        <v>402.81</v>
      </c>
      <c r="O102">
        <v>1079.05</v>
      </c>
      <c r="P102">
        <v>114.95</v>
      </c>
      <c r="Q102">
        <v>1370.22</v>
      </c>
      <c r="R102">
        <v>403.65</v>
      </c>
      <c r="S102">
        <v>447.07</v>
      </c>
      <c r="T102">
        <v>316.27</v>
      </c>
      <c r="U102">
        <v>1760.52</v>
      </c>
      <c r="V102">
        <v>16754.2</v>
      </c>
      <c r="W102">
        <v>1104.46</v>
      </c>
    </row>
    <row r="103" spans="1:23" x14ac:dyDescent="0.25">
      <c r="A103" s="2">
        <v>43452</v>
      </c>
      <c r="B103">
        <v>2062.11</v>
      </c>
      <c r="C103">
        <v>4049.07</v>
      </c>
      <c r="D103">
        <v>251.95</v>
      </c>
      <c r="E103">
        <v>363.43</v>
      </c>
      <c r="F103">
        <v>4904.96</v>
      </c>
      <c r="G103">
        <v>11181.2</v>
      </c>
      <c r="H103">
        <v>1629.83</v>
      </c>
      <c r="I103">
        <v>4185.83</v>
      </c>
      <c r="J103">
        <v>757.06</v>
      </c>
      <c r="K103">
        <v>14493.19</v>
      </c>
      <c r="L103">
        <v>2083.85</v>
      </c>
      <c r="M103">
        <v>1456.23</v>
      </c>
      <c r="N103">
        <v>401.1</v>
      </c>
      <c r="O103">
        <v>1068.6199999999999</v>
      </c>
      <c r="P103">
        <v>117.51</v>
      </c>
      <c r="Q103">
        <v>1350.12</v>
      </c>
      <c r="R103">
        <v>397.4</v>
      </c>
      <c r="S103">
        <v>445.51</v>
      </c>
      <c r="T103">
        <v>315.82</v>
      </c>
      <c r="U103">
        <v>1746.67</v>
      </c>
      <c r="V103">
        <v>16451.75</v>
      </c>
      <c r="W103">
        <v>1086.18</v>
      </c>
    </row>
    <row r="104" spans="1:23" x14ac:dyDescent="0.25">
      <c r="A104" s="2">
        <v>43451</v>
      </c>
      <c r="B104">
        <v>2071.09</v>
      </c>
      <c r="C104">
        <v>4088.46</v>
      </c>
      <c r="D104">
        <v>251.38</v>
      </c>
      <c r="E104">
        <v>361.19</v>
      </c>
      <c r="F104">
        <v>4936.09</v>
      </c>
      <c r="G104">
        <v>11213.59</v>
      </c>
      <c r="H104">
        <v>1605.46</v>
      </c>
      <c r="I104">
        <v>4229.58</v>
      </c>
      <c r="J104">
        <v>762.79</v>
      </c>
      <c r="K104">
        <v>14632.59</v>
      </c>
      <c r="L104">
        <v>2102.3200000000002</v>
      </c>
      <c r="M104">
        <v>1448.41</v>
      </c>
      <c r="N104">
        <v>401.18</v>
      </c>
      <c r="O104">
        <v>1062.1099999999999</v>
      </c>
      <c r="P104">
        <v>115.23</v>
      </c>
      <c r="Q104">
        <v>1349.42</v>
      </c>
      <c r="R104">
        <v>408.14</v>
      </c>
      <c r="S104">
        <v>445.68</v>
      </c>
      <c r="T104">
        <v>310.73</v>
      </c>
      <c r="U104">
        <v>1753.36</v>
      </c>
      <c r="V104">
        <v>16508.650000000001</v>
      </c>
      <c r="W104">
        <v>1092.1199999999999</v>
      </c>
    </row>
    <row r="105" spans="1:23" x14ac:dyDescent="0.25">
      <c r="A105" s="2">
        <v>43448</v>
      </c>
      <c r="B105">
        <v>2069.38</v>
      </c>
      <c r="C105">
        <v>4061.86</v>
      </c>
      <c r="D105">
        <v>253.09</v>
      </c>
      <c r="E105">
        <v>358.35</v>
      </c>
      <c r="F105">
        <v>4939.49</v>
      </c>
      <c r="G105">
        <v>11314.1</v>
      </c>
      <c r="H105">
        <v>1659.51</v>
      </c>
      <c r="I105">
        <v>4187.51</v>
      </c>
      <c r="J105">
        <v>767.12</v>
      </c>
      <c r="K105">
        <v>14548.27</v>
      </c>
      <c r="L105">
        <v>2217.66</v>
      </c>
      <c r="M105">
        <v>1446.33</v>
      </c>
      <c r="N105">
        <v>398.11</v>
      </c>
      <c r="O105">
        <v>1052.73</v>
      </c>
      <c r="P105">
        <v>115.03</v>
      </c>
      <c r="Q105">
        <v>1344.47</v>
      </c>
      <c r="R105">
        <v>409.79</v>
      </c>
      <c r="S105">
        <v>446.42</v>
      </c>
      <c r="T105">
        <v>309.89999999999998</v>
      </c>
      <c r="U105">
        <v>1759.42</v>
      </c>
      <c r="V105">
        <v>16664.849999999999</v>
      </c>
      <c r="W105">
        <v>1096.08</v>
      </c>
    </row>
    <row r="106" spans="1:23" x14ac:dyDescent="0.25">
      <c r="A106" s="2">
        <v>43447</v>
      </c>
      <c r="B106">
        <v>2095.5500000000002</v>
      </c>
      <c r="C106">
        <v>4063.62</v>
      </c>
      <c r="D106">
        <v>253.89</v>
      </c>
      <c r="E106">
        <v>357.42</v>
      </c>
      <c r="F106">
        <v>4969.97</v>
      </c>
      <c r="G106">
        <v>11719.23</v>
      </c>
      <c r="H106">
        <v>1649.78</v>
      </c>
      <c r="I106">
        <v>4182.05</v>
      </c>
      <c r="J106">
        <v>767.26</v>
      </c>
      <c r="K106">
        <v>15019.1</v>
      </c>
      <c r="L106">
        <v>2308.9</v>
      </c>
      <c r="M106">
        <v>1462.58</v>
      </c>
      <c r="N106">
        <v>400.45</v>
      </c>
      <c r="O106">
        <v>1042.17</v>
      </c>
      <c r="P106">
        <v>114.33</v>
      </c>
      <c r="Q106">
        <v>1349.9</v>
      </c>
      <c r="R106">
        <v>409.47</v>
      </c>
      <c r="S106">
        <v>444.95</v>
      </c>
      <c r="T106">
        <v>306.11</v>
      </c>
      <c r="U106">
        <v>1773.8</v>
      </c>
      <c r="V106">
        <v>16604</v>
      </c>
      <c r="W106">
        <v>1115.6300000000001</v>
      </c>
    </row>
    <row r="107" spans="1:23" x14ac:dyDescent="0.25">
      <c r="A107" s="2">
        <v>43446</v>
      </c>
      <c r="B107">
        <v>2082.5700000000002</v>
      </c>
      <c r="C107">
        <v>4053.96</v>
      </c>
      <c r="D107">
        <v>252.23</v>
      </c>
      <c r="E107">
        <v>354.72</v>
      </c>
      <c r="F107">
        <v>4906.09</v>
      </c>
      <c r="G107">
        <v>11682.26</v>
      </c>
      <c r="H107">
        <v>1597.95</v>
      </c>
      <c r="I107">
        <v>4106.8</v>
      </c>
      <c r="J107">
        <v>752.27</v>
      </c>
      <c r="K107">
        <v>15122.71</v>
      </c>
      <c r="L107">
        <v>2290.61</v>
      </c>
      <c r="M107">
        <v>1428.97</v>
      </c>
      <c r="N107">
        <v>397.35</v>
      </c>
      <c r="O107">
        <v>1040.95</v>
      </c>
      <c r="P107">
        <v>110.58</v>
      </c>
      <c r="Q107">
        <v>1331.39</v>
      </c>
      <c r="R107">
        <v>413.27</v>
      </c>
      <c r="S107">
        <v>441.82</v>
      </c>
      <c r="T107">
        <v>304.19</v>
      </c>
      <c r="U107">
        <v>1758.19</v>
      </c>
      <c r="V107">
        <v>16499.45</v>
      </c>
      <c r="W107">
        <v>1100.56</v>
      </c>
    </row>
    <row r="108" spans="1:23" x14ac:dyDescent="0.25">
      <c r="A108" s="2">
        <v>43445</v>
      </c>
      <c r="B108">
        <v>2052.9699999999998</v>
      </c>
      <c r="C108">
        <v>3985.43</v>
      </c>
      <c r="D108">
        <v>249.69</v>
      </c>
      <c r="E108">
        <v>349.33</v>
      </c>
      <c r="F108">
        <v>4811.82</v>
      </c>
      <c r="G108">
        <v>11509.09</v>
      </c>
      <c r="H108">
        <v>1623.01</v>
      </c>
      <c r="I108">
        <v>4057.31</v>
      </c>
      <c r="J108">
        <v>742.95</v>
      </c>
      <c r="K108">
        <v>14972.74</v>
      </c>
      <c r="L108">
        <v>2307.44</v>
      </c>
      <c r="M108">
        <v>1357.48</v>
      </c>
      <c r="N108">
        <v>394.31</v>
      </c>
      <c r="O108">
        <v>1051.9100000000001</v>
      </c>
      <c r="P108">
        <v>108.75</v>
      </c>
      <c r="Q108">
        <v>1292.96</v>
      </c>
      <c r="R108">
        <v>417.94</v>
      </c>
      <c r="S108">
        <v>435.19</v>
      </c>
      <c r="T108">
        <v>303.91000000000003</v>
      </c>
      <c r="U108">
        <v>1715.58</v>
      </c>
      <c r="V108">
        <v>16369.53</v>
      </c>
      <c r="W108">
        <v>1087.56</v>
      </c>
    </row>
    <row r="109" spans="1:23" x14ac:dyDescent="0.25">
      <c r="A109" s="2">
        <v>43444</v>
      </c>
      <c r="B109">
        <v>2053.79</v>
      </c>
      <c r="C109">
        <v>4010.94</v>
      </c>
      <c r="D109">
        <v>252.36</v>
      </c>
      <c r="E109">
        <v>356.9</v>
      </c>
      <c r="F109">
        <v>4811.2299999999996</v>
      </c>
      <c r="G109">
        <v>11450.39</v>
      </c>
      <c r="H109">
        <v>1635.48</v>
      </c>
      <c r="I109">
        <v>4081.35</v>
      </c>
      <c r="J109">
        <v>751.93</v>
      </c>
      <c r="K109">
        <v>14979.82</v>
      </c>
      <c r="L109">
        <v>2300.83</v>
      </c>
      <c r="M109">
        <v>1359.57</v>
      </c>
      <c r="N109">
        <v>389.85</v>
      </c>
      <c r="O109">
        <v>1043.5999999999999</v>
      </c>
      <c r="P109">
        <v>109.6</v>
      </c>
      <c r="Q109">
        <v>1292.4100000000001</v>
      </c>
      <c r="R109">
        <v>414.83</v>
      </c>
      <c r="S109">
        <v>436.78</v>
      </c>
      <c r="T109">
        <v>304.27</v>
      </c>
      <c r="U109">
        <v>1722.85</v>
      </c>
      <c r="V109">
        <v>16533.91</v>
      </c>
      <c r="W109">
        <v>1085.3499999999999</v>
      </c>
    </row>
    <row r="110" spans="1:23" x14ac:dyDescent="0.25">
      <c r="A110" s="2">
        <v>43441</v>
      </c>
      <c r="B110">
        <v>2075.7600000000002</v>
      </c>
      <c r="C110">
        <v>3976.42</v>
      </c>
      <c r="D110">
        <v>260.64</v>
      </c>
      <c r="E110">
        <v>366.48</v>
      </c>
      <c r="F110">
        <v>4868.51</v>
      </c>
      <c r="G110">
        <v>11473.36</v>
      </c>
      <c r="H110">
        <v>1673.67</v>
      </c>
      <c r="I110">
        <v>4088.38</v>
      </c>
      <c r="J110">
        <v>767.32</v>
      </c>
      <c r="K110">
        <v>15284.23</v>
      </c>
      <c r="L110">
        <v>2331.06</v>
      </c>
      <c r="M110">
        <v>1364.37</v>
      </c>
      <c r="N110">
        <v>393.6</v>
      </c>
      <c r="O110">
        <v>1016.56</v>
      </c>
      <c r="P110">
        <v>110.95</v>
      </c>
      <c r="Q110">
        <v>1316.32</v>
      </c>
      <c r="R110">
        <v>411.31</v>
      </c>
      <c r="S110">
        <v>441.86</v>
      </c>
      <c r="T110">
        <v>308.05</v>
      </c>
      <c r="U110">
        <v>1744.85</v>
      </c>
      <c r="V110">
        <v>16530.939999999999</v>
      </c>
      <c r="W110">
        <v>1095.52</v>
      </c>
    </row>
    <row r="111" spans="1:23" x14ac:dyDescent="0.25">
      <c r="A111" s="2">
        <v>43440</v>
      </c>
      <c r="B111">
        <v>2068.69</v>
      </c>
      <c r="C111">
        <v>3995</v>
      </c>
      <c r="D111">
        <v>259.58999999999997</v>
      </c>
      <c r="E111">
        <v>361.41</v>
      </c>
      <c r="F111">
        <v>4872.2</v>
      </c>
      <c r="G111">
        <v>11299.47</v>
      </c>
      <c r="H111">
        <v>1651.18</v>
      </c>
      <c r="I111">
        <v>4080.48</v>
      </c>
      <c r="J111">
        <v>766.51</v>
      </c>
      <c r="K111">
        <v>15138.24</v>
      </c>
      <c r="L111">
        <v>2343.4899999999998</v>
      </c>
      <c r="M111">
        <v>1357.5</v>
      </c>
      <c r="N111">
        <v>391.65</v>
      </c>
      <c r="O111">
        <v>1003.11</v>
      </c>
      <c r="P111">
        <v>109.58</v>
      </c>
      <c r="Q111">
        <v>1312.49</v>
      </c>
      <c r="R111">
        <v>414.44</v>
      </c>
      <c r="S111">
        <v>444.82</v>
      </c>
      <c r="T111">
        <v>308.61</v>
      </c>
      <c r="U111">
        <v>1738.74</v>
      </c>
      <c r="V111">
        <v>16684.990000000002</v>
      </c>
      <c r="W111">
        <v>1092.6199999999999</v>
      </c>
    </row>
    <row r="112" spans="1:23" x14ac:dyDescent="0.25">
      <c r="A112" s="2">
        <v>43439</v>
      </c>
      <c r="B112">
        <v>2101.31</v>
      </c>
      <c r="C112">
        <v>4028.98</v>
      </c>
      <c r="D112">
        <v>263.3</v>
      </c>
      <c r="E112">
        <v>370.34</v>
      </c>
      <c r="F112">
        <v>4940.72</v>
      </c>
      <c r="G112">
        <v>11515.67</v>
      </c>
      <c r="H112">
        <v>1680.34</v>
      </c>
      <c r="I112">
        <v>4108.1499999999996</v>
      </c>
      <c r="J112">
        <v>774.75</v>
      </c>
      <c r="K112">
        <v>15545.74</v>
      </c>
      <c r="L112">
        <v>2394.4699999999998</v>
      </c>
      <c r="M112">
        <v>1352.68</v>
      </c>
      <c r="N112">
        <v>398.73</v>
      </c>
      <c r="O112">
        <v>1006.3</v>
      </c>
      <c r="P112">
        <v>111.09</v>
      </c>
      <c r="Q112">
        <v>1316.82</v>
      </c>
      <c r="R112">
        <v>410.31</v>
      </c>
      <c r="S112">
        <v>450.24</v>
      </c>
      <c r="T112">
        <v>310.74</v>
      </c>
      <c r="U112">
        <v>1769.95</v>
      </c>
      <c r="V112">
        <v>16887.36</v>
      </c>
      <c r="W112">
        <v>1118.95</v>
      </c>
    </row>
    <row r="113" spans="1:23" x14ac:dyDescent="0.25">
      <c r="A113" s="2">
        <v>43438</v>
      </c>
      <c r="B113">
        <v>2114.35</v>
      </c>
      <c r="C113">
        <v>3980.14</v>
      </c>
      <c r="D113">
        <v>262.89</v>
      </c>
      <c r="E113">
        <v>367.95</v>
      </c>
      <c r="F113">
        <v>4990.63</v>
      </c>
      <c r="G113">
        <v>11550.74</v>
      </c>
      <c r="H113">
        <v>1709.54</v>
      </c>
      <c r="I113">
        <v>4179.55</v>
      </c>
      <c r="J113">
        <v>795.55</v>
      </c>
      <c r="K113">
        <v>15789.6</v>
      </c>
      <c r="L113">
        <v>2482.5</v>
      </c>
      <c r="M113">
        <v>1354.57</v>
      </c>
      <c r="N113">
        <v>399.22</v>
      </c>
      <c r="O113">
        <v>1007.7</v>
      </c>
      <c r="P113">
        <v>112.06</v>
      </c>
      <c r="Q113">
        <v>1331.87</v>
      </c>
      <c r="R113">
        <v>406.64</v>
      </c>
      <c r="S113">
        <v>450.9</v>
      </c>
      <c r="T113">
        <v>311.19</v>
      </c>
      <c r="U113">
        <v>1791.35</v>
      </c>
      <c r="V113">
        <v>16763.68</v>
      </c>
      <c r="W113">
        <v>1114.1500000000001</v>
      </c>
    </row>
    <row r="114" spans="1:23" x14ac:dyDescent="0.25">
      <c r="A114" s="2">
        <v>43437</v>
      </c>
      <c r="B114">
        <v>2131.9299999999998</v>
      </c>
      <c r="C114">
        <v>3966.5</v>
      </c>
      <c r="D114">
        <v>263.22000000000003</v>
      </c>
      <c r="E114">
        <v>364.03</v>
      </c>
      <c r="F114">
        <v>5049.71</v>
      </c>
      <c r="G114">
        <v>11449.75</v>
      </c>
      <c r="H114">
        <v>1723.56</v>
      </c>
      <c r="I114">
        <v>4200.1400000000003</v>
      </c>
      <c r="J114">
        <v>795.29</v>
      </c>
      <c r="K114">
        <v>16168.27</v>
      </c>
      <c r="L114">
        <v>2478.5500000000002</v>
      </c>
      <c r="M114">
        <v>1354.44</v>
      </c>
      <c r="N114">
        <v>397.92</v>
      </c>
      <c r="O114">
        <v>988.88</v>
      </c>
      <c r="P114">
        <v>111.97</v>
      </c>
      <c r="Q114">
        <v>1330.41</v>
      </c>
      <c r="R114">
        <v>413.08</v>
      </c>
      <c r="S114">
        <v>452.24</v>
      </c>
      <c r="T114">
        <v>308.64999999999998</v>
      </c>
      <c r="U114">
        <v>1814.21</v>
      </c>
      <c r="V114">
        <v>16723.73</v>
      </c>
      <c r="W114">
        <v>1122.69</v>
      </c>
    </row>
    <row r="115" spans="1:23" x14ac:dyDescent="0.25">
      <c r="A115" s="2">
        <v>43434</v>
      </c>
      <c r="B115">
        <v>2096.86</v>
      </c>
      <c r="C115">
        <v>3961.63</v>
      </c>
      <c r="D115">
        <v>259.91000000000003</v>
      </c>
      <c r="E115">
        <v>351.57</v>
      </c>
      <c r="F115">
        <v>4887.66</v>
      </c>
      <c r="G115">
        <v>11381.22</v>
      </c>
      <c r="H115">
        <v>1674.1</v>
      </c>
      <c r="I115">
        <v>4028.74</v>
      </c>
      <c r="J115">
        <v>771.38</v>
      </c>
      <c r="K115">
        <v>15678.44</v>
      </c>
      <c r="L115">
        <v>2462.3000000000002</v>
      </c>
      <c r="M115">
        <v>1336.19</v>
      </c>
      <c r="N115">
        <v>394.82</v>
      </c>
      <c r="O115">
        <v>981.8</v>
      </c>
      <c r="P115">
        <v>109.17</v>
      </c>
      <c r="Q115">
        <v>1333.94</v>
      </c>
      <c r="R115">
        <v>418.78</v>
      </c>
      <c r="S115">
        <v>448.83</v>
      </c>
      <c r="T115">
        <v>308.11</v>
      </c>
      <c r="U115">
        <v>1767.51</v>
      </c>
      <c r="V115">
        <v>16711.13</v>
      </c>
      <c r="W115">
        <v>1127.99</v>
      </c>
    </row>
    <row r="116" spans="1:23" x14ac:dyDescent="0.25">
      <c r="A116" s="2">
        <v>43433</v>
      </c>
      <c r="B116">
        <v>2114.1</v>
      </c>
      <c r="C116">
        <v>3987.16</v>
      </c>
      <c r="D116">
        <v>266.89999999999998</v>
      </c>
      <c r="E116">
        <v>351.39</v>
      </c>
      <c r="F116">
        <v>4862.46</v>
      </c>
      <c r="G116">
        <v>11346.86</v>
      </c>
      <c r="H116">
        <v>1668.93</v>
      </c>
      <c r="I116">
        <v>4009.34</v>
      </c>
      <c r="J116">
        <v>775.6</v>
      </c>
      <c r="K116">
        <v>16110.17</v>
      </c>
      <c r="L116">
        <v>2508.4899999999998</v>
      </c>
      <c r="M116">
        <v>1300.21</v>
      </c>
      <c r="N116">
        <v>397.05</v>
      </c>
      <c r="O116">
        <v>994.07</v>
      </c>
      <c r="P116">
        <v>108.79</v>
      </c>
      <c r="Q116">
        <v>1327.8</v>
      </c>
      <c r="R116">
        <v>412.77</v>
      </c>
      <c r="S116">
        <v>454.06</v>
      </c>
      <c r="T116">
        <v>312.47000000000003</v>
      </c>
      <c r="U116">
        <v>1763.2</v>
      </c>
      <c r="V116">
        <v>17001.64</v>
      </c>
      <c r="W116">
        <v>1132.8399999999999</v>
      </c>
    </row>
    <row r="117" spans="1:23" x14ac:dyDescent="0.25">
      <c r="A117" s="2">
        <v>43432</v>
      </c>
      <c r="B117">
        <v>2108.2199999999998</v>
      </c>
      <c r="C117">
        <v>3987.72</v>
      </c>
      <c r="D117">
        <v>268.7</v>
      </c>
      <c r="E117">
        <v>352.85</v>
      </c>
      <c r="F117">
        <v>4866.8500000000004</v>
      </c>
      <c r="G117">
        <v>11327.18</v>
      </c>
      <c r="H117">
        <v>1653.08</v>
      </c>
      <c r="I117">
        <v>3949.54</v>
      </c>
      <c r="J117">
        <v>767.31</v>
      </c>
      <c r="K117">
        <v>16120.4</v>
      </c>
      <c r="L117">
        <v>2494.79</v>
      </c>
      <c r="M117">
        <v>1313.47</v>
      </c>
      <c r="N117">
        <v>397.73</v>
      </c>
      <c r="O117">
        <v>1005.88</v>
      </c>
      <c r="P117">
        <v>108.47</v>
      </c>
      <c r="Q117">
        <v>1304.8900000000001</v>
      </c>
      <c r="R117">
        <v>413.09</v>
      </c>
      <c r="S117">
        <v>450.89</v>
      </c>
      <c r="T117">
        <v>310.01</v>
      </c>
      <c r="U117">
        <v>1729.42</v>
      </c>
      <c r="V117">
        <v>16973.34</v>
      </c>
      <c r="W117">
        <v>1111.3399999999999</v>
      </c>
    </row>
    <row r="118" spans="1:23" x14ac:dyDescent="0.25">
      <c r="A118" s="2">
        <v>43431</v>
      </c>
      <c r="B118">
        <v>2099.42</v>
      </c>
      <c r="C118">
        <v>4007.12</v>
      </c>
      <c r="D118">
        <v>271.74</v>
      </c>
      <c r="E118">
        <v>360.9</v>
      </c>
      <c r="F118">
        <v>4835.1400000000003</v>
      </c>
      <c r="G118">
        <v>11364.29</v>
      </c>
      <c r="H118">
        <v>1678.69</v>
      </c>
      <c r="I118">
        <v>4008.57</v>
      </c>
      <c r="J118">
        <v>770.2</v>
      </c>
      <c r="K118">
        <v>16036.36</v>
      </c>
      <c r="L118">
        <v>2491.7399999999998</v>
      </c>
      <c r="M118">
        <v>1303.32</v>
      </c>
      <c r="N118">
        <v>398.02</v>
      </c>
      <c r="O118">
        <v>976.33</v>
      </c>
      <c r="P118">
        <v>106.19</v>
      </c>
      <c r="Q118">
        <v>1315.52</v>
      </c>
      <c r="R118">
        <v>402.06</v>
      </c>
      <c r="S118">
        <v>451.8</v>
      </c>
      <c r="T118">
        <v>313.55</v>
      </c>
      <c r="U118">
        <v>1727.3</v>
      </c>
      <c r="V118">
        <v>16978.54</v>
      </c>
      <c r="W118">
        <v>1093.27</v>
      </c>
    </row>
    <row r="119" spans="1:23" x14ac:dyDescent="0.25">
      <c r="A119" s="2">
        <v>43430</v>
      </c>
      <c r="B119">
        <v>2083.02</v>
      </c>
      <c r="C119">
        <v>4044.74</v>
      </c>
      <c r="D119">
        <v>271.24</v>
      </c>
      <c r="E119">
        <v>356.45</v>
      </c>
      <c r="F119">
        <v>4782.6499999999996</v>
      </c>
      <c r="G119">
        <v>11409.22</v>
      </c>
      <c r="H119">
        <v>1677.7</v>
      </c>
      <c r="I119">
        <v>3963.53</v>
      </c>
      <c r="J119">
        <v>764.96</v>
      </c>
      <c r="K119">
        <v>15892.03</v>
      </c>
      <c r="L119">
        <v>2473.1</v>
      </c>
      <c r="M119">
        <v>1266.52</v>
      </c>
      <c r="N119">
        <v>395.1</v>
      </c>
      <c r="O119">
        <v>962.62</v>
      </c>
      <c r="P119">
        <v>104.58</v>
      </c>
      <c r="Q119">
        <v>1300.6600000000001</v>
      </c>
      <c r="R119">
        <v>401.1</v>
      </c>
      <c r="S119">
        <v>449.45</v>
      </c>
      <c r="T119">
        <v>312.47000000000003</v>
      </c>
      <c r="U119">
        <v>1718.63</v>
      </c>
      <c r="V119">
        <v>16958.88</v>
      </c>
      <c r="W119">
        <v>1093.3499999999999</v>
      </c>
    </row>
    <row r="120" spans="1:23" x14ac:dyDescent="0.25">
      <c r="A120" s="2">
        <v>43427</v>
      </c>
      <c r="B120">
        <v>2057.48</v>
      </c>
      <c r="C120">
        <v>3958.08</v>
      </c>
      <c r="D120">
        <v>269.33999999999997</v>
      </c>
      <c r="E120">
        <v>352.61</v>
      </c>
      <c r="F120">
        <v>4725.5600000000004</v>
      </c>
      <c r="G120">
        <v>10973.39</v>
      </c>
      <c r="H120">
        <v>1660.36</v>
      </c>
      <c r="I120">
        <v>4028.88</v>
      </c>
      <c r="J120">
        <v>756.46</v>
      </c>
      <c r="K120">
        <v>15731.94</v>
      </c>
      <c r="L120">
        <v>2454.33</v>
      </c>
      <c r="M120">
        <v>1255.93</v>
      </c>
      <c r="N120">
        <v>389.23</v>
      </c>
      <c r="O120">
        <v>927.8</v>
      </c>
      <c r="P120">
        <v>103.78</v>
      </c>
      <c r="Q120">
        <v>1271.72</v>
      </c>
      <c r="R120">
        <v>405.72</v>
      </c>
      <c r="S120">
        <v>447.1</v>
      </c>
      <c r="T120">
        <v>314.74</v>
      </c>
      <c r="U120">
        <v>1677.53</v>
      </c>
      <c r="V120">
        <v>16897.560000000001</v>
      </c>
      <c r="W120">
        <v>1060</v>
      </c>
    </row>
    <row r="121" spans="1:23" x14ac:dyDescent="0.25">
      <c r="A121" s="2">
        <v>43426</v>
      </c>
      <c r="B121">
        <v>2069.9499999999998</v>
      </c>
      <c r="C121">
        <v>3966.31</v>
      </c>
      <c r="D121">
        <v>272.86</v>
      </c>
      <c r="E121">
        <v>356.72</v>
      </c>
      <c r="F121">
        <v>4812.45</v>
      </c>
      <c r="G121">
        <v>11066.72</v>
      </c>
      <c r="H121">
        <v>1670.19</v>
      </c>
      <c r="I121">
        <v>4096.07</v>
      </c>
      <c r="J121">
        <v>757.66</v>
      </c>
      <c r="K121">
        <v>15786.49</v>
      </c>
      <c r="L121">
        <v>2498.46</v>
      </c>
      <c r="M121">
        <v>1256.05</v>
      </c>
      <c r="N121">
        <v>386.76</v>
      </c>
      <c r="O121">
        <v>940.87</v>
      </c>
      <c r="P121">
        <v>103.41</v>
      </c>
      <c r="Q121">
        <v>1272.3599999999999</v>
      </c>
      <c r="R121">
        <v>408.96</v>
      </c>
      <c r="S121">
        <v>451.83</v>
      </c>
      <c r="T121">
        <v>314.22000000000003</v>
      </c>
      <c r="U121">
        <v>1699.8</v>
      </c>
      <c r="V121">
        <v>17215.37</v>
      </c>
      <c r="W121">
        <v>1058.18</v>
      </c>
    </row>
    <row r="122" spans="1:23" x14ac:dyDescent="0.25">
      <c r="A122" s="2">
        <v>43425</v>
      </c>
      <c r="B122">
        <v>2076.5500000000002</v>
      </c>
      <c r="C122">
        <v>3981.73</v>
      </c>
      <c r="D122">
        <v>269.2</v>
      </c>
      <c r="E122">
        <v>356.25</v>
      </c>
      <c r="F122">
        <v>4826.72</v>
      </c>
      <c r="G122">
        <v>11145.38</v>
      </c>
      <c r="H122">
        <v>1674.27</v>
      </c>
      <c r="I122">
        <v>4125.8599999999997</v>
      </c>
      <c r="J122">
        <v>778.29</v>
      </c>
      <c r="K122">
        <v>15674.1</v>
      </c>
      <c r="L122">
        <v>2463.7800000000002</v>
      </c>
      <c r="M122">
        <v>1315.53</v>
      </c>
      <c r="N122">
        <v>393.73</v>
      </c>
      <c r="O122">
        <v>941.13</v>
      </c>
      <c r="P122">
        <v>105.45</v>
      </c>
      <c r="Q122">
        <v>1296.3</v>
      </c>
      <c r="R122">
        <v>402.78</v>
      </c>
      <c r="S122">
        <v>452.82</v>
      </c>
      <c r="T122">
        <v>312.87</v>
      </c>
      <c r="U122">
        <v>1706.36</v>
      </c>
      <c r="V122">
        <v>17418.28</v>
      </c>
      <c r="W122">
        <v>1053.27</v>
      </c>
    </row>
    <row r="123" spans="1:23" x14ac:dyDescent="0.25">
      <c r="A123" s="2">
        <v>43424</v>
      </c>
      <c r="B123">
        <v>2082.58</v>
      </c>
      <c r="C123">
        <v>3909.14</v>
      </c>
      <c r="D123">
        <v>268.04000000000002</v>
      </c>
      <c r="E123">
        <v>358.62</v>
      </c>
      <c r="F123">
        <v>4781.41</v>
      </c>
      <c r="G123">
        <v>11205.43</v>
      </c>
      <c r="H123">
        <v>1637.23</v>
      </c>
      <c r="I123">
        <v>4147.16</v>
      </c>
      <c r="J123">
        <v>770.89</v>
      </c>
      <c r="K123">
        <v>15832.31</v>
      </c>
      <c r="L123">
        <v>2439.1799999999998</v>
      </c>
      <c r="M123">
        <v>1309.24</v>
      </c>
      <c r="N123">
        <v>395.16</v>
      </c>
      <c r="O123">
        <v>935.93</v>
      </c>
      <c r="P123">
        <v>106.65</v>
      </c>
      <c r="Q123">
        <v>1284.8</v>
      </c>
      <c r="R123">
        <v>404.47</v>
      </c>
      <c r="S123">
        <v>455</v>
      </c>
      <c r="T123">
        <v>313.77</v>
      </c>
      <c r="U123">
        <v>1720.32</v>
      </c>
      <c r="V123">
        <v>17574.87</v>
      </c>
      <c r="W123">
        <v>1054.03</v>
      </c>
    </row>
    <row r="124" spans="1:23" x14ac:dyDescent="0.25">
      <c r="A124" s="2">
        <v>43423</v>
      </c>
      <c r="B124">
        <v>2100.56</v>
      </c>
      <c r="C124">
        <v>3894.6</v>
      </c>
      <c r="D124">
        <v>268.83</v>
      </c>
      <c r="E124">
        <v>358.91</v>
      </c>
      <c r="F124">
        <v>4850.87</v>
      </c>
      <c r="G124">
        <v>11234.27</v>
      </c>
      <c r="H124">
        <v>1639.59</v>
      </c>
      <c r="I124">
        <v>4161.26</v>
      </c>
      <c r="J124">
        <v>772.2</v>
      </c>
      <c r="K124">
        <v>16206.08</v>
      </c>
      <c r="L124">
        <v>2477.4699999999998</v>
      </c>
      <c r="M124">
        <v>1337.56</v>
      </c>
      <c r="N124">
        <v>395.93</v>
      </c>
      <c r="O124">
        <v>921.04</v>
      </c>
      <c r="P124">
        <v>106.69</v>
      </c>
      <c r="Q124">
        <v>1295.3699999999999</v>
      </c>
      <c r="R124">
        <v>394.54</v>
      </c>
      <c r="S124">
        <v>453.29</v>
      </c>
      <c r="T124">
        <v>311.23</v>
      </c>
      <c r="U124">
        <v>1736.92</v>
      </c>
      <c r="V124">
        <v>17411.240000000002</v>
      </c>
      <c r="W124">
        <v>1062.17</v>
      </c>
    </row>
    <row r="125" spans="1:23" x14ac:dyDescent="0.25">
      <c r="A125" s="2">
        <v>43420</v>
      </c>
      <c r="B125">
        <v>2092.4</v>
      </c>
      <c r="C125">
        <v>3883.11</v>
      </c>
      <c r="D125">
        <v>268.51</v>
      </c>
      <c r="E125">
        <v>353.05</v>
      </c>
      <c r="F125">
        <v>4818.0600000000004</v>
      </c>
      <c r="G125">
        <v>11022.24</v>
      </c>
      <c r="H125">
        <v>1593.6</v>
      </c>
      <c r="I125">
        <v>4100.96</v>
      </c>
      <c r="J125">
        <v>757.64</v>
      </c>
      <c r="K125">
        <v>16285.43</v>
      </c>
      <c r="L125">
        <v>2437.63</v>
      </c>
      <c r="M125">
        <v>1341.27</v>
      </c>
      <c r="N125">
        <v>388.81</v>
      </c>
      <c r="O125">
        <v>932.17</v>
      </c>
      <c r="P125">
        <v>104.17</v>
      </c>
      <c r="Q125">
        <v>1305.53</v>
      </c>
      <c r="R125">
        <v>397.59</v>
      </c>
      <c r="S125">
        <v>450.94</v>
      </c>
      <c r="T125">
        <v>313.10000000000002</v>
      </c>
      <c r="U125">
        <v>1715.72</v>
      </c>
      <c r="V125">
        <v>17567.89</v>
      </c>
      <c r="W125">
        <v>1049.69</v>
      </c>
    </row>
    <row r="126" spans="1:23" x14ac:dyDescent="0.25">
      <c r="A126" s="2">
        <v>43419</v>
      </c>
      <c r="B126">
        <v>2088.06</v>
      </c>
      <c r="C126">
        <v>3857.88</v>
      </c>
      <c r="D126">
        <v>267.79000000000002</v>
      </c>
      <c r="E126">
        <v>355.27</v>
      </c>
      <c r="F126">
        <v>4805.68</v>
      </c>
      <c r="G126">
        <v>10889.15</v>
      </c>
      <c r="H126">
        <v>1589.79</v>
      </c>
      <c r="I126">
        <v>4076.76</v>
      </c>
      <c r="J126">
        <v>754.86</v>
      </c>
      <c r="K126">
        <v>16409.150000000001</v>
      </c>
      <c r="L126">
        <v>2430.9699999999998</v>
      </c>
      <c r="M126">
        <v>1324.04</v>
      </c>
      <c r="N126">
        <v>387.72</v>
      </c>
      <c r="O126">
        <v>927.39</v>
      </c>
      <c r="P126">
        <v>102.84</v>
      </c>
      <c r="Q126">
        <v>1291.0999999999999</v>
      </c>
      <c r="R126">
        <v>386.55</v>
      </c>
      <c r="S126">
        <v>449.01</v>
      </c>
      <c r="T126">
        <v>314.2</v>
      </c>
      <c r="U126">
        <v>1721.4</v>
      </c>
      <c r="V126">
        <v>17516.63</v>
      </c>
      <c r="W126">
        <v>1051.27</v>
      </c>
    </row>
    <row r="127" spans="1:23" x14ac:dyDescent="0.25">
      <c r="A127" s="2">
        <v>43418</v>
      </c>
      <c r="B127">
        <v>2068.0500000000002</v>
      </c>
      <c r="C127">
        <v>3761.7</v>
      </c>
      <c r="D127">
        <v>267.69</v>
      </c>
      <c r="E127">
        <v>359.04</v>
      </c>
      <c r="F127">
        <v>4688.1099999999997</v>
      </c>
      <c r="G127">
        <v>10693.26</v>
      </c>
      <c r="H127">
        <v>1562.61</v>
      </c>
      <c r="I127">
        <v>4034.83</v>
      </c>
      <c r="J127">
        <v>742.85</v>
      </c>
      <c r="K127">
        <v>16290.17</v>
      </c>
      <c r="L127">
        <v>2430.59</v>
      </c>
      <c r="M127">
        <v>1305.3</v>
      </c>
      <c r="N127">
        <v>381.62</v>
      </c>
      <c r="O127">
        <v>946.24</v>
      </c>
      <c r="P127">
        <v>100.3</v>
      </c>
      <c r="Q127">
        <v>1291.8399999999999</v>
      </c>
      <c r="R127">
        <v>387.55</v>
      </c>
      <c r="S127">
        <v>446.24</v>
      </c>
      <c r="T127">
        <v>315.55</v>
      </c>
      <c r="U127">
        <v>1702.16</v>
      </c>
      <c r="V127">
        <v>17625.18</v>
      </c>
      <c r="W127">
        <v>1046.75</v>
      </c>
    </row>
    <row r="128" spans="1:23" x14ac:dyDescent="0.25">
      <c r="A128" s="2">
        <v>43417</v>
      </c>
      <c r="B128">
        <v>2071.23</v>
      </c>
      <c r="C128">
        <v>3721.43</v>
      </c>
      <c r="D128">
        <v>270.12</v>
      </c>
      <c r="E128">
        <v>359.51</v>
      </c>
      <c r="F128">
        <v>4669.59</v>
      </c>
      <c r="G128">
        <v>10302.85</v>
      </c>
      <c r="H128">
        <v>1551.93</v>
      </c>
      <c r="I128">
        <v>4111.26</v>
      </c>
      <c r="J128">
        <v>754.56</v>
      </c>
      <c r="K128">
        <v>16454.11</v>
      </c>
      <c r="L128">
        <v>2412.5100000000002</v>
      </c>
      <c r="M128">
        <v>1308.23</v>
      </c>
      <c r="N128">
        <v>382.46</v>
      </c>
      <c r="O128">
        <v>926.5</v>
      </c>
      <c r="P128">
        <v>102.34</v>
      </c>
      <c r="Q128">
        <v>1261.9100000000001</v>
      </c>
      <c r="R128">
        <v>385.15</v>
      </c>
      <c r="S128">
        <v>448.56</v>
      </c>
      <c r="T128">
        <v>317.01</v>
      </c>
      <c r="U128">
        <v>1721.74</v>
      </c>
      <c r="V128">
        <v>17745.12</v>
      </c>
      <c r="W128">
        <v>1043.6400000000001</v>
      </c>
    </row>
    <row r="129" spans="1:23" x14ac:dyDescent="0.25">
      <c r="A129" s="2">
        <v>43416</v>
      </c>
      <c r="B129">
        <v>2080.44</v>
      </c>
      <c r="C129">
        <v>3731.26</v>
      </c>
      <c r="D129">
        <v>268.45</v>
      </c>
      <c r="E129">
        <v>363.46</v>
      </c>
      <c r="F129">
        <v>4701.2299999999996</v>
      </c>
      <c r="G129">
        <v>9979.1200000000008</v>
      </c>
      <c r="H129">
        <v>1564.6</v>
      </c>
      <c r="I129">
        <v>4075.62</v>
      </c>
      <c r="J129">
        <v>743.83</v>
      </c>
      <c r="K129">
        <v>16746.12</v>
      </c>
      <c r="L129">
        <v>2529.59</v>
      </c>
      <c r="M129">
        <v>1304.1600000000001</v>
      </c>
      <c r="N129">
        <v>379.34</v>
      </c>
      <c r="O129">
        <v>933.72</v>
      </c>
      <c r="P129">
        <v>102.81</v>
      </c>
      <c r="Q129">
        <v>1257.8900000000001</v>
      </c>
      <c r="R129">
        <v>385.66</v>
      </c>
      <c r="S129">
        <v>450.52</v>
      </c>
      <c r="T129">
        <v>317.02999999999997</v>
      </c>
      <c r="U129">
        <v>1741.42</v>
      </c>
      <c r="V129">
        <v>17863.12</v>
      </c>
      <c r="W129">
        <v>1044.0999999999999</v>
      </c>
    </row>
    <row r="130" spans="1:23" x14ac:dyDescent="0.25">
      <c r="A130" s="2">
        <v>43413</v>
      </c>
      <c r="B130">
        <v>2086.09</v>
      </c>
      <c r="C130">
        <v>3693.38</v>
      </c>
      <c r="D130">
        <v>267.18</v>
      </c>
      <c r="E130">
        <v>361.52</v>
      </c>
      <c r="F130">
        <v>4706.4799999999996</v>
      </c>
      <c r="G130">
        <v>11305.15</v>
      </c>
      <c r="H130">
        <v>1578.69</v>
      </c>
      <c r="I130">
        <v>4136.74</v>
      </c>
      <c r="J130">
        <v>760.15</v>
      </c>
      <c r="K130">
        <v>16475.009999999998</v>
      </c>
      <c r="L130">
        <v>2629.36</v>
      </c>
      <c r="M130">
        <v>1320.1</v>
      </c>
      <c r="N130">
        <v>383.62</v>
      </c>
      <c r="O130">
        <v>951.72</v>
      </c>
      <c r="P130">
        <v>101.51</v>
      </c>
      <c r="Q130">
        <v>1294.04</v>
      </c>
      <c r="R130">
        <v>386.7</v>
      </c>
      <c r="S130">
        <v>446.62</v>
      </c>
      <c r="T130">
        <v>312.48</v>
      </c>
      <c r="U130">
        <v>1737.88</v>
      </c>
      <c r="V130">
        <v>17435.04</v>
      </c>
      <c r="W130">
        <v>1040.25</v>
      </c>
    </row>
    <row r="131" spans="1:23" x14ac:dyDescent="0.25">
      <c r="A131" s="2">
        <v>43412</v>
      </c>
      <c r="B131">
        <v>2092.63</v>
      </c>
      <c r="C131">
        <v>3713.23</v>
      </c>
      <c r="D131">
        <v>267.04000000000002</v>
      </c>
      <c r="E131">
        <v>365.96</v>
      </c>
      <c r="F131">
        <v>4795.6099999999997</v>
      </c>
      <c r="G131">
        <v>11694.79</v>
      </c>
      <c r="H131">
        <v>1608.94</v>
      </c>
      <c r="I131">
        <v>4140.17</v>
      </c>
      <c r="J131">
        <v>760.33</v>
      </c>
      <c r="K131">
        <v>16439.02</v>
      </c>
      <c r="L131">
        <v>2741.15</v>
      </c>
      <c r="M131">
        <v>1319.31</v>
      </c>
      <c r="N131">
        <v>386.44</v>
      </c>
      <c r="O131">
        <v>932.18</v>
      </c>
      <c r="P131">
        <v>101.78</v>
      </c>
      <c r="Q131">
        <v>1289.26</v>
      </c>
      <c r="R131">
        <v>388.07</v>
      </c>
      <c r="S131">
        <v>446.77</v>
      </c>
      <c r="T131">
        <v>316.37</v>
      </c>
      <c r="U131">
        <v>1754.72</v>
      </c>
      <c r="V131">
        <v>17245.55</v>
      </c>
      <c r="W131">
        <v>1034.71</v>
      </c>
    </row>
    <row r="132" spans="1:23" x14ac:dyDescent="0.25">
      <c r="A132" s="2">
        <v>43411</v>
      </c>
      <c r="B132">
        <v>2078.69</v>
      </c>
      <c r="C132">
        <v>3693.98</v>
      </c>
      <c r="D132">
        <v>262.02</v>
      </c>
      <c r="E132">
        <v>360.44</v>
      </c>
      <c r="F132">
        <v>4771.34</v>
      </c>
      <c r="G132">
        <v>11673.96</v>
      </c>
      <c r="H132">
        <v>1546.29</v>
      </c>
      <c r="I132">
        <v>4118.3100000000004</v>
      </c>
      <c r="J132">
        <v>736.69</v>
      </c>
      <c r="K132">
        <v>16327.57</v>
      </c>
      <c r="L132">
        <v>2733.52</v>
      </c>
      <c r="M132">
        <v>1311.86</v>
      </c>
      <c r="N132">
        <v>385.71</v>
      </c>
      <c r="O132">
        <v>922.95</v>
      </c>
      <c r="P132">
        <v>98.88</v>
      </c>
      <c r="Q132">
        <v>1275.28</v>
      </c>
      <c r="R132">
        <v>389.49</v>
      </c>
      <c r="S132">
        <v>444.13</v>
      </c>
      <c r="T132">
        <v>311.45999999999998</v>
      </c>
      <c r="U132">
        <v>1728.74</v>
      </c>
      <c r="V132">
        <v>17208.330000000002</v>
      </c>
      <c r="W132">
        <v>1026</v>
      </c>
    </row>
    <row r="133" spans="1:23" x14ac:dyDescent="0.25">
      <c r="A133" s="2">
        <v>43410</v>
      </c>
      <c r="B133">
        <v>2089.62</v>
      </c>
      <c r="C133">
        <v>3637.59</v>
      </c>
      <c r="D133">
        <v>265.70999999999998</v>
      </c>
      <c r="E133">
        <v>364.1</v>
      </c>
      <c r="F133">
        <v>4855.7299999999996</v>
      </c>
      <c r="G133">
        <v>11884.87</v>
      </c>
      <c r="H133">
        <v>1598.01</v>
      </c>
      <c r="I133">
        <v>4170.34</v>
      </c>
      <c r="J133">
        <v>762.59</v>
      </c>
      <c r="K133">
        <v>16283.17</v>
      </c>
      <c r="L133">
        <v>2775.26</v>
      </c>
      <c r="M133">
        <v>1330.43</v>
      </c>
      <c r="N133">
        <v>388.75</v>
      </c>
      <c r="O133">
        <v>912.34</v>
      </c>
      <c r="P133">
        <v>100.59</v>
      </c>
      <c r="Q133">
        <v>1286.79</v>
      </c>
      <c r="R133">
        <v>381.26</v>
      </c>
      <c r="S133">
        <v>445.44</v>
      </c>
      <c r="T133">
        <v>313.02</v>
      </c>
      <c r="U133">
        <v>1711.15</v>
      </c>
      <c r="V133">
        <v>17201.830000000002</v>
      </c>
      <c r="W133">
        <v>1037.69</v>
      </c>
    </row>
    <row r="134" spans="1:23" x14ac:dyDescent="0.25">
      <c r="A134" s="2">
        <v>43409</v>
      </c>
      <c r="B134">
        <v>2076.92</v>
      </c>
      <c r="C134">
        <v>3610.67</v>
      </c>
      <c r="D134">
        <v>261.02999999999997</v>
      </c>
      <c r="E134">
        <v>360.71</v>
      </c>
      <c r="F134">
        <v>4854.47</v>
      </c>
      <c r="G134">
        <v>11774.47</v>
      </c>
      <c r="H134">
        <v>1594.63</v>
      </c>
      <c r="I134">
        <v>4074.84</v>
      </c>
      <c r="J134">
        <v>758.25</v>
      </c>
      <c r="K134">
        <v>16349.72</v>
      </c>
      <c r="L134">
        <v>2718.17</v>
      </c>
      <c r="M134">
        <v>1286.8399999999999</v>
      </c>
      <c r="N134">
        <v>382.93</v>
      </c>
      <c r="O134">
        <v>923.86</v>
      </c>
      <c r="P134">
        <v>99.99</v>
      </c>
      <c r="Q134">
        <v>1263.22</v>
      </c>
      <c r="R134">
        <v>384.29</v>
      </c>
      <c r="S134">
        <v>441.12</v>
      </c>
      <c r="T134">
        <v>310.94</v>
      </c>
      <c r="U134">
        <v>1674.1</v>
      </c>
      <c r="V134">
        <v>17015.560000000001</v>
      </c>
      <c r="W134">
        <v>1028.32</v>
      </c>
    </row>
    <row r="135" spans="1:23" x14ac:dyDescent="0.25">
      <c r="A135" s="2">
        <v>43406</v>
      </c>
      <c r="B135">
        <v>2096</v>
      </c>
      <c r="C135">
        <v>3662.68</v>
      </c>
      <c r="D135">
        <v>266.60000000000002</v>
      </c>
      <c r="E135">
        <v>367.11</v>
      </c>
      <c r="F135">
        <v>4891.6899999999996</v>
      </c>
      <c r="G135">
        <v>11558.64</v>
      </c>
      <c r="H135">
        <v>1598.27</v>
      </c>
      <c r="I135">
        <v>4183.62</v>
      </c>
      <c r="J135">
        <v>766.42</v>
      </c>
      <c r="K135">
        <v>16513.78</v>
      </c>
      <c r="L135">
        <v>2781.03</v>
      </c>
      <c r="M135">
        <v>1313.06</v>
      </c>
      <c r="N135">
        <v>390.58</v>
      </c>
      <c r="O135">
        <v>912.51</v>
      </c>
      <c r="P135">
        <v>102.17</v>
      </c>
      <c r="Q135">
        <v>1275.42</v>
      </c>
      <c r="R135">
        <v>379.94</v>
      </c>
      <c r="S135">
        <v>446.07</v>
      </c>
      <c r="T135">
        <v>312.66000000000003</v>
      </c>
      <c r="U135">
        <v>1707.4</v>
      </c>
      <c r="V135">
        <v>17118.2</v>
      </c>
      <c r="W135">
        <v>1038.52</v>
      </c>
    </row>
    <row r="136" spans="1:23" x14ac:dyDescent="0.25">
      <c r="A136" s="2">
        <v>43405</v>
      </c>
      <c r="B136">
        <v>2024.46</v>
      </c>
      <c r="C136">
        <v>3618.72</v>
      </c>
      <c r="D136">
        <v>258.63</v>
      </c>
      <c r="E136">
        <v>357.78</v>
      </c>
      <c r="F136">
        <v>4696.1899999999996</v>
      </c>
      <c r="G136">
        <v>11116.28</v>
      </c>
      <c r="H136">
        <v>1529.03</v>
      </c>
      <c r="I136">
        <v>3970.21</v>
      </c>
      <c r="J136">
        <v>738.07</v>
      </c>
      <c r="K136">
        <v>15774.13</v>
      </c>
      <c r="L136">
        <v>2662.22</v>
      </c>
      <c r="M136">
        <v>1281.94</v>
      </c>
      <c r="N136">
        <v>378.32</v>
      </c>
      <c r="O136">
        <v>913.25</v>
      </c>
      <c r="P136">
        <v>96.32</v>
      </c>
      <c r="Q136">
        <v>1228.47</v>
      </c>
      <c r="R136">
        <v>382.4</v>
      </c>
      <c r="S136">
        <v>434.4</v>
      </c>
      <c r="T136">
        <v>307.18</v>
      </c>
      <c r="U136">
        <v>1596.2</v>
      </c>
      <c r="V136">
        <v>16927.37</v>
      </c>
      <c r="W136">
        <v>1002.28</v>
      </c>
    </row>
    <row r="137" spans="1:23" x14ac:dyDescent="0.25">
      <c r="A137" s="2">
        <v>43404</v>
      </c>
      <c r="B137">
        <v>2029.69</v>
      </c>
      <c r="C137">
        <v>3665.33</v>
      </c>
      <c r="D137">
        <v>257.27</v>
      </c>
      <c r="E137">
        <v>351.07</v>
      </c>
      <c r="F137">
        <v>4646.5600000000004</v>
      </c>
      <c r="G137">
        <v>10867.84</v>
      </c>
      <c r="H137">
        <v>1495.08</v>
      </c>
      <c r="I137">
        <v>3972.97</v>
      </c>
      <c r="J137">
        <v>736.8</v>
      </c>
      <c r="K137">
        <v>15784.05</v>
      </c>
      <c r="L137">
        <v>2545.36</v>
      </c>
      <c r="M137">
        <v>1294.28</v>
      </c>
      <c r="N137">
        <v>378.12</v>
      </c>
      <c r="O137">
        <v>919.84</v>
      </c>
      <c r="P137">
        <v>97.27</v>
      </c>
      <c r="Q137">
        <v>1234.6199999999999</v>
      </c>
      <c r="R137">
        <v>387.57</v>
      </c>
      <c r="S137">
        <v>438.85</v>
      </c>
      <c r="T137">
        <v>309.62</v>
      </c>
      <c r="U137">
        <v>1587.19</v>
      </c>
      <c r="V137">
        <v>17269.98</v>
      </c>
      <c r="W137">
        <v>1017.88</v>
      </c>
    </row>
    <row r="138" spans="1:23" x14ac:dyDescent="0.25">
      <c r="A138" s="2">
        <v>43403</v>
      </c>
      <c r="B138">
        <v>2014.69</v>
      </c>
      <c r="C138">
        <v>3679.68</v>
      </c>
      <c r="D138">
        <v>251.05</v>
      </c>
      <c r="E138">
        <v>346.25</v>
      </c>
      <c r="F138">
        <v>4574.22</v>
      </c>
      <c r="G138">
        <v>11150.56</v>
      </c>
      <c r="H138">
        <v>1490.09</v>
      </c>
      <c r="I138">
        <v>3945.01</v>
      </c>
      <c r="J138">
        <v>724.27</v>
      </c>
      <c r="K138">
        <v>15745.77</v>
      </c>
      <c r="L138">
        <v>2515.9299999999998</v>
      </c>
      <c r="M138">
        <v>1291.95</v>
      </c>
      <c r="N138">
        <v>375.47</v>
      </c>
      <c r="O138">
        <v>896.17</v>
      </c>
      <c r="P138">
        <v>97.21</v>
      </c>
      <c r="Q138">
        <v>1180.04</v>
      </c>
      <c r="R138">
        <v>387.8</v>
      </c>
      <c r="S138">
        <v>433.25</v>
      </c>
      <c r="T138">
        <v>301.7</v>
      </c>
      <c r="U138">
        <v>1560.09</v>
      </c>
      <c r="V138">
        <v>16909.82</v>
      </c>
      <c r="W138">
        <v>991.6</v>
      </c>
    </row>
    <row r="139" spans="1:23" x14ac:dyDescent="0.25">
      <c r="A139" s="2">
        <v>43402</v>
      </c>
      <c r="B139">
        <v>1996.05</v>
      </c>
      <c r="C139">
        <v>3718.78</v>
      </c>
      <c r="D139">
        <v>248.48</v>
      </c>
      <c r="E139">
        <v>334.75</v>
      </c>
      <c r="F139">
        <v>4554.4399999999996</v>
      </c>
      <c r="G139">
        <v>10621.85</v>
      </c>
      <c r="H139">
        <v>1455.81</v>
      </c>
      <c r="I139">
        <v>4003.41</v>
      </c>
      <c r="J139">
        <v>713.14</v>
      </c>
      <c r="K139">
        <v>15377.13</v>
      </c>
      <c r="L139">
        <v>2449.54</v>
      </c>
      <c r="M139">
        <v>1268.74</v>
      </c>
      <c r="N139">
        <v>373.9</v>
      </c>
      <c r="O139">
        <v>917.66</v>
      </c>
      <c r="P139">
        <v>94.54</v>
      </c>
      <c r="Q139">
        <v>1173.5</v>
      </c>
      <c r="R139">
        <v>397.64</v>
      </c>
      <c r="S139">
        <v>441.24</v>
      </c>
      <c r="T139">
        <v>313.87</v>
      </c>
      <c r="U139">
        <v>1565.68</v>
      </c>
      <c r="V139">
        <v>17267.2</v>
      </c>
      <c r="W139">
        <v>963.85</v>
      </c>
    </row>
    <row r="140" spans="1:23" x14ac:dyDescent="0.25">
      <c r="A140" s="2">
        <v>43399</v>
      </c>
      <c r="B140">
        <v>2027.15</v>
      </c>
      <c r="C140">
        <v>3759.8</v>
      </c>
      <c r="D140">
        <v>261.87</v>
      </c>
      <c r="E140">
        <v>351.28</v>
      </c>
      <c r="F140">
        <v>4731.72</v>
      </c>
      <c r="G140">
        <v>11052.01</v>
      </c>
      <c r="H140">
        <v>1538.22</v>
      </c>
      <c r="I140">
        <v>4071.46</v>
      </c>
      <c r="J140">
        <v>748.43</v>
      </c>
      <c r="K140">
        <v>15348.63</v>
      </c>
      <c r="L140">
        <v>2550.17</v>
      </c>
      <c r="M140">
        <v>1282.5999999999999</v>
      </c>
      <c r="N140">
        <v>380.07</v>
      </c>
      <c r="O140">
        <v>925.94</v>
      </c>
      <c r="P140">
        <v>98.49</v>
      </c>
      <c r="Q140">
        <v>1206.6199999999999</v>
      </c>
      <c r="R140">
        <v>398.66</v>
      </c>
      <c r="S140">
        <v>445.22</v>
      </c>
      <c r="T140">
        <v>315.38</v>
      </c>
      <c r="U140">
        <v>1596.31</v>
      </c>
      <c r="V140">
        <v>17427.689999999999</v>
      </c>
      <c r="W140">
        <v>1006.34</v>
      </c>
    </row>
    <row r="141" spans="1:23" x14ac:dyDescent="0.25">
      <c r="A141" s="2">
        <v>43398</v>
      </c>
      <c r="B141">
        <v>2063.3000000000002</v>
      </c>
      <c r="C141">
        <v>3824.57</v>
      </c>
      <c r="D141">
        <v>267.49</v>
      </c>
      <c r="E141">
        <v>359.38</v>
      </c>
      <c r="F141">
        <v>4913.2299999999996</v>
      </c>
      <c r="G141">
        <v>11514.05</v>
      </c>
      <c r="H141">
        <v>1591.7</v>
      </c>
      <c r="I141">
        <v>4133.63</v>
      </c>
      <c r="J141">
        <v>772.11</v>
      </c>
      <c r="K141">
        <v>15326.49</v>
      </c>
      <c r="L141">
        <v>2651.19</v>
      </c>
      <c r="M141">
        <v>1290.3599999999999</v>
      </c>
      <c r="N141">
        <v>391.74</v>
      </c>
      <c r="O141">
        <v>954.02</v>
      </c>
      <c r="P141">
        <v>102.86</v>
      </c>
      <c r="Q141">
        <v>1233.8</v>
      </c>
      <c r="R141">
        <v>408.3</v>
      </c>
      <c r="S141">
        <v>451.22</v>
      </c>
      <c r="T141">
        <v>310.88</v>
      </c>
      <c r="U141">
        <v>1602.86</v>
      </c>
      <c r="V141">
        <v>17543.169999999998</v>
      </c>
      <c r="W141">
        <v>1047.54</v>
      </c>
    </row>
    <row r="142" spans="1:23" x14ac:dyDescent="0.25">
      <c r="A142" s="2">
        <v>43397</v>
      </c>
      <c r="B142">
        <v>2097.58</v>
      </c>
      <c r="C142">
        <v>3884.03</v>
      </c>
      <c r="D142">
        <v>275.41000000000003</v>
      </c>
      <c r="E142">
        <v>370.55</v>
      </c>
      <c r="F142">
        <v>4867.5600000000004</v>
      </c>
      <c r="G142">
        <v>11507.19</v>
      </c>
      <c r="H142">
        <v>1590.34</v>
      </c>
      <c r="I142">
        <v>4157.95</v>
      </c>
      <c r="J142">
        <v>789.78</v>
      </c>
      <c r="K142">
        <v>15813.07</v>
      </c>
      <c r="L142">
        <v>2698.88</v>
      </c>
      <c r="M142">
        <v>1340.83</v>
      </c>
      <c r="N142">
        <v>401.67</v>
      </c>
      <c r="O142">
        <v>932.89</v>
      </c>
      <c r="P142">
        <v>103.94</v>
      </c>
      <c r="Q142">
        <v>1254.3499999999999</v>
      </c>
      <c r="R142">
        <v>405.68</v>
      </c>
      <c r="S142">
        <v>456.06</v>
      </c>
      <c r="T142">
        <v>316.27</v>
      </c>
      <c r="U142">
        <v>1635.21</v>
      </c>
      <c r="V142">
        <v>17631.75</v>
      </c>
      <c r="W142">
        <v>1075.69</v>
      </c>
    </row>
    <row r="143" spans="1:23" x14ac:dyDescent="0.25">
      <c r="A143" s="2">
        <v>43396</v>
      </c>
      <c r="B143">
        <v>2106.1</v>
      </c>
      <c r="C143">
        <v>3809.46</v>
      </c>
      <c r="D143">
        <v>286.20999999999998</v>
      </c>
      <c r="E143">
        <v>377.87</v>
      </c>
      <c r="F143">
        <v>4816.32</v>
      </c>
      <c r="G143">
        <v>12039.16</v>
      </c>
      <c r="H143">
        <v>1628.08</v>
      </c>
      <c r="I143">
        <v>4119.68</v>
      </c>
      <c r="J143">
        <v>798.56</v>
      </c>
      <c r="K143">
        <v>16100.6</v>
      </c>
      <c r="L143">
        <v>2757.54</v>
      </c>
      <c r="M143">
        <v>1335.05</v>
      </c>
      <c r="N143">
        <v>400.62</v>
      </c>
      <c r="O143">
        <v>909</v>
      </c>
      <c r="P143">
        <v>106.29</v>
      </c>
      <c r="Q143">
        <v>1243.49</v>
      </c>
      <c r="R143">
        <v>412.79</v>
      </c>
      <c r="S143">
        <v>449.88</v>
      </c>
      <c r="T143">
        <v>309.56</v>
      </c>
      <c r="U143">
        <v>1618.65</v>
      </c>
      <c r="V143">
        <v>17312.37</v>
      </c>
      <c r="W143">
        <v>1077.96</v>
      </c>
    </row>
    <row r="144" spans="1:23" x14ac:dyDescent="0.25">
      <c r="A144" s="2">
        <v>43395</v>
      </c>
      <c r="B144">
        <v>2161.71</v>
      </c>
      <c r="C144">
        <v>3912.12</v>
      </c>
      <c r="D144">
        <v>291.42</v>
      </c>
      <c r="E144">
        <v>388.49</v>
      </c>
      <c r="F144">
        <v>4962.53</v>
      </c>
      <c r="G144">
        <v>12874.08</v>
      </c>
      <c r="H144">
        <v>1673.67</v>
      </c>
      <c r="I144">
        <v>4194.2299999999996</v>
      </c>
      <c r="J144">
        <v>835.19</v>
      </c>
      <c r="K144">
        <v>16373.32</v>
      </c>
      <c r="L144">
        <v>2845.86</v>
      </c>
      <c r="M144">
        <v>1374.97</v>
      </c>
      <c r="N144">
        <v>413.85</v>
      </c>
      <c r="O144">
        <v>944.74</v>
      </c>
      <c r="P144">
        <v>108.24</v>
      </c>
      <c r="Q144">
        <v>1273.23</v>
      </c>
      <c r="R144">
        <v>417.42</v>
      </c>
      <c r="S144">
        <v>461.8</v>
      </c>
      <c r="T144">
        <v>316.48</v>
      </c>
      <c r="U144">
        <v>1660.44</v>
      </c>
      <c r="V144">
        <v>17595.64</v>
      </c>
      <c r="W144">
        <v>1100.47</v>
      </c>
    </row>
    <row r="145" spans="1:23" x14ac:dyDescent="0.25">
      <c r="A145" s="2">
        <v>43392</v>
      </c>
      <c r="B145">
        <v>2156.2600000000002</v>
      </c>
      <c r="C145">
        <v>3863.26</v>
      </c>
      <c r="D145">
        <v>291.44</v>
      </c>
      <c r="E145">
        <v>382.2</v>
      </c>
      <c r="F145">
        <v>4876.8599999999997</v>
      </c>
      <c r="G145">
        <v>13026.49</v>
      </c>
      <c r="H145">
        <v>1710.58</v>
      </c>
      <c r="I145">
        <v>4240.1899999999996</v>
      </c>
      <c r="J145">
        <v>844.99</v>
      </c>
      <c r="K145">
        <v>16488.73</v>
      </c>
      <c r="L145">
        <v>2791.67</v>
      </c>
      <c r="M145">
        <v>1364.4</v>
      </c>
      <c r="N145">
        <v>412.16</v>
      </c>
      <c r="O145">
        <v>930.55</v>
      </c>
      <c r="P145">
        <v>110.73</v>
      </c>
      <c r="Q145">
        <v>1272.98</v>
      </c>
      <c r="R145">
        <v>410.7</v>
      </c>
      <c r="S145">
        <v>456.38</v>
      </c>
      <c r="T145">
        <v>312.58</v>
      </c>
      <c r="U145">
        <v>1633.8</v>
      </c>
      <c r="V145">
        <v>17328.77</v>
      </c>
      <c r="W145">
        <v>1093.22</v>
      </c>
    </row>
    <row r="146" spans="1:23" x14ac:dyDescent="0.25">
      <c r="A146" s="2">
        <v>43391</v>
      </c>
      <c r="B146">
        <v>2148.31</v>
      </c>
      <c r="C146">
        <v>3840.47</v>
      </c>
      <c r="D146">
        <v>295.44</v>
      </c>
      <c r="E146">
        <v>386.48</v>
      </c>
      <c r="F146">
        <v>4885.03</v>
      </c>
      <c r="G146">
        <v>12665.33</v>
      </c>
      <c r="H146">
        <v>1709.19</v>
      </c>
      <c r="I146">
        <v>4194.76</v>
      </c>
      <c r="J146">
        <v>841.4</v>
      </c>
      <c r="K146">
        <v>16455.14</v>
      </c>
      <c r="L146">
        <v>2862.76</v>
      </c>
      <c r="M146">
        <v>1365.77</v>
      </c>
      <c r="N146">
        <v>411.01</v>
      </c>
      <c r="O146">
        <v>912.2</v>
      </c>
      <c r="P146">
        <v>110.13</v>
      </c>
      <c r="Q146">
        <v>1238.08</v>
      </c>
      <c r="R146">
        <v>408.2</v>
      </c>
      <c r="S146">
        <v>458.06</v>
      </c>
      <c r="T146">
        <v>311.60000000000002</v>
      </c>
      <c r="U146">
        <v>1636.53</v>
      </c>
      <c r="V146">
        <v>17288.689999999999</v>
      </c>
      <c r="W146">
        <v>1084.76</v>
      </c>
    </row>
    <row r="147" spans="1:23" x14ac:dyDescent="0.25">
      <c r="A147" s="2">
        <v>43390</v>
      </c>
      <c r="B147">
        <v>2167.5100000000002</v>
      </c>
      <c r="C147">
        <v>3855.43</v>
      </c>
      <c r="D147">
        <v>295.55</v>
      </c>
      <c r="E147">
        <v>388.93</v>
      </c>
      <c r="F147">
        <v>4964.47</v>
      </c>
      <c r="G147">
        <v>12825.87</v>
      </c>
      <c r="H147">
        <v>1730.94</v>
      </c>
      <c r="I147">
        <v>4297.71</v>
      </c>
      <c r="J147">
        <v>853.57</v>
      </c>
      <c r="K147">
        <v>16541.62</v>
      </c>
      <c r="L147">
        <v>2902.82</v>
      </c>
      <c r="M147">
        <v>1405.49</v>
      </c>
      <c r="N147">
        <v>411.28</v>
      </c>
      <c r="O147">
        <v>904.59</v>
      </c>
      <c r="P147">
        <v>111.51</v>
      </c>
      <c r="Q147">
        <v>1252.67</v>
      </c>
      <c r="R147">
        <v>399.66</v>
      </c>
      <c r="S147">
        <v>461.94</v>
      </c>
      <c r="T147">
        <v>313.45999999999998</v>
      </c>
      <c r="U147">
        <v>1649.8</v>
      </c>
      <c r="V147">
        <v>17351.189999999999</v>
      </c>
      <c r="W147">
        <v>1094.96</v>
      </c>
    </row>
    <row r="148" spans="1:23" x14ac:dyDescent="0.25">
      <c r="A148" s="2">
        <v>43389</v>
      </c>
      <c r="B148">
        <v>2145.12</v>
      </c>
      <c r="C148">
        <v>3836.36</v>
      </c>
      <c r="D148">
        <v>296.93</v>
      </c>
      <c r="E148">
        <v>383.7</v>
      </c>
      <c r="F148">
        <v>4881.59</v>
      </c>
      <c r="G148">
        <v>12898.96</v>
      </c>
      <c r="H148">
        <v>1698.84</v>
      </c>
      <c r="I148">
        <v>4226.01</v>
      </c>
      <c r="J148">
        <v>844.09</v>
      </c>
      <c r="K148">
        <v>16329.6</v>
      </c>
      <c r="L148">
        <v>2845.84</v>
      </c>
      <c r="M148">
        <v>1388.57</v>
      </c>
      <c r="N148">
        <v>410.19</v>
      </c>
      <c r="O148">
        <v>889.43</v>
      </c>
      <c r="P148">
        <v>109.92</v>
      </c>
      <c r="Q148">
        <v>1244.27</v>
      </c>
      <c r="R148">
        <v>392.55</v>
      </c>
      <c r="S148">
        <v>456.19</v>
      </c>
      <c r="T148">
        <v>309.91000000000003</v>
      </c>
      <c r="U148">
        <v>1626.58</v>
      </c>
      <c r="V148">
        <v>17163.32</v>
      </c>
      <c r="W148">
        <v>1094.75</v>
      </c>
    </row>
    <row r="149" spans="1:23" x14ac:dyDescent="0.25">
      <c r="A149" s="2">
        <v>43388</v>
      </c>
      <c r="B149">
        <v>2145.12</v>
      </c>
      <c r="C149">
        <v>3830.2</v>
      </c>
      <c r="D149">
        <v>298.7</v>
      </c>
      <c r="E149">
        <v>381.61</v>
      </c>
      <c r="F149">
        <v>4900.59</v>
      </c>
      <c r="G149">
        <v>12824.14</v>
      </c>
      <c r="H149">
        <v>1663.62</v>
      </c>
      <c r="I149">
        <v>4206.96</v>
      </c>
      <c r="J149">
        <v>831.57</v>
      </c>
      <c r="K149">
        <v>16382.21</v>
      </c>
      <c r="L149">
        <v>2814.68</v>
      </c>
      <c r="M149">
        <v>1374.16</v>
      </c>
      <c r="N149">
        <v>410.39</v>
      </c>
      <c r="O149">
        <v>895.12</v>
      </c>
      <c r="P149">
        <v>109.36</v>
      </c>
      <c r="Q149">
        <v>1240.21</v>
      </c>
      <c r="R149">
        <v>394.34</v>
      </c>
      <c r="S149">
        <v>457.57</v>
      </c>
      <c r="T149">
        <v>310.95</v>
      </c>
      <c r="U149">
        <v>1625.06</v>
      </c>
      <c r="V149">
        <v>17255.46</v>
      </c>
      <c r="W149">
        <v>1088.94</v>
      </c>
    </row>
    <row r="150" spans="1:23" x14ac:dyDescent="0.25">
      <c r="A150" s="2">
        <v>43385</v>
      </c>
      <c r="B150">
        <v>2161.85</v>
      </c>
      <c r="C150">
        <v>3785.62</v>
      </c>
      <c r="D150">
        <v>294.97000000000003</v>
      </c>
      <c r="E150">
        <v>382.69</v>
      </c>
      <c r="F150">
        <v>4946.67</v>
      </c>
      <c r="G150">
        <v>13252.8</v>
      </c>
      <c r="H150">
        <v>1683.1</v>
      </c>
      <c r="I150">
        <v>4227.3</v>
      </c>
      <c r="J150">
        <v>835.86</v>
      </c>
      <c r="K150">
        <v>16510.21</v>
      </c>
      <c r="L150">
        <v>2866.65</v>
      </c>
      <c r="M150">
        <v>1395.14</v>
      </c>
      <c r="N150">
        <v>413.09</v>
      </c>
      <c r="O150">
        <v>886.84</v>
      </c>
      <c r="P150">
        <v>111.31</v>
      </c>
      <c r="Q150">
        <v>1228.46</v>
      </c>
      <c r="R150">
        <v>393.65</v>
      </c>
      <c r="S150">
        <v>457.64</v>
      </c>
      <c r="T150">
        <v>310.42</v>
      </c>
      <c r="U150">
        <v>1652.21</v>
      </c>
      <c r="V150">
        <v>17116.560000000001</v>
      </c>
      <c r="W150">
        <v>1107.56</v>
      </c>
    </row>
    <row r="151" spans="1:23" x14ac:dyDescent="0.25">
      <c r="A151" s="2">
        <v>43384</v>
      </c>
      <c r="B151">
        <v>2129.67</v>
      </c>
      <c r="C151">
        <v>3738.29</v>
      </c>
      <c r="D151">
        <v>287.77</v>
      </c>
      <c r="E151">
        <v>371.97</v>
      </c>
      <c r="F151">
        <v>4825.1000000000004</v>
      </c>
      <c r="G151">
        <v>13053.99</v>
      </c>
      <c r="H151">
        <v>1659.32</v>
      </c>
      <c r="I151">
        <v>4148.59</v>
      </c>
      <c r="J151">
        <v>828.43</v>
      </c>
      <c r="K151">
        <v>16044.43</v>
      </c>
      <c r="L151">
        <v>2843.98</v>
      </c>
      <c r="M151">
        <v>1390.48</v>
      </c>
      <c r="N151">
        <v>408.7</v>
      </c>
      <c r="O151">
        <v>865.93</v>
      </c>
      <c r="P151">
        <v>108.89</v>
      </c>
      <c r="Q151">
        <v>1203.47</v>
      </c>
      <c r="R151">
        <v>394.29</v>
      </c>
      <c r="S151">
        <v>456.89</v>
      </c>
      <c r="T151">
        <v>309.10000000000002</v>
      </c>
      <c r="U151">
        <v>1631.87</v>
      </c>
      <c r="V151">
        <v>17252.849999999999</v>
      </c>
      <c r="W151">
        <v>1099.48</v>
      </c>
    </row>
    <row r="152" spans="1:23" x14ac:dyDescent="0.25">
      <c r="A152" s="2">
        <v>43383</v>
      </c>
      <c r="B152">
        <v>2228.61</v>
      </c>
      <c r="C152">
        <v>3877.83</v>
      </c>
      <c r="D152">
        <v>300.92</v>
      </c>
      <c r="E152">
        <v>395.45</v>
      </c>
      <c r="F152">
        <v>5066.9399999999996</v>
      </c>
      <c r="G152">
        <v>13708.73</v>
      </c>
      <c r="H152">
        <v>1736.8</v>
      </c>
      <c r="I152">
        <v>4373.49</v>
      </c>
      <c r="J152">
        <v>870.36</v>
      </c>
      <c r="K152">
        <v>16791.169999999998</v>
      </c>
      <c r="L152">
        <v>3029.12</v>
      </c>
      <c r="M152">
        <v>1451.46</v>
      </c>
      <c r="N152">
        <v>427.9</v>
      </c>
      <c r="O152">
        <v>910.46</v>
      </c>
      <c r="P152">
        <v>115.16</v>
      </c>
      <c r="Q152">
        <v>1268.6600000000001</v>
      </c>
      <c r="R152">
        <v>412.99</v>
      </c>
      <c r="S152">
        <v>478.82</v>
      </c>
      <c r="T152">
        <v>324.7</v>
      </c>
      <c r="U152">
        <v>1728.72</v>
      </c>
      <c r="V152">
        <v>17904.03</v>
      </c>
      <c r="W152">
        <v>1133.9000000000001</v>
      </c>
    </row>
    <row r="153" spans="1:23" x14ac:dyDescent="0.25">
      <c r="A153" s="2">
        <v>43381</v>
      </c>
      <c r="B153">
        <v>2253.83</v>
      </c>
      <c r="C153">
        <v>3909.72</v>
      </c>
      <c r="D153">
        <v>305.45</v>
      </c>
      <c r="E153">
        <v>416.33</v>
      </c>
      <c r="F153">
        <v>5193.24</v>
      </c>
      <c r="G153">
        <v>14066.63</v>
      </c>
      <c r="H153">
        <v>1847.83</v>
      </c>
      <c r="I153">
        <v>4412.1899999999996</v>
      </c>
      <c r="J153">
        <v>927.79</v>
      </c>
      <c r="K153">
        <v>16786.27</v>
      </c>
      <c r="L153">
        <v>3227.95</v>
      </c>
      <c r="M153">
        <v>1470.81</v>
      </c>
      <c r="N153">
        <v>431.63</v>
      </c>
      <c r="O153">
        <v>944.03</v>
      </c>
      <c r="P153">
        <v>122.85</v>
      </c>
      <c r="Q153">
        <v>1303.4000000000001</v>
      </c>
      <c r="R153">
        <v>406.38</v>
      </c>
      <c r="S153">
        <v>483.27</v>
      </c>
      <c r="T153">
        <v>326.41000000000003</v>
      </c>
      <c r="U153">
        <v>1779.22</v>
      </c>
      <c r="V153">
        <v>17927.05</v>
      </c>
      <c r="W153">
        <v>1142.57</v>
      </c>
    </row>
    <row r="154" spans="1:23" x14ac:dyDescent="0.25">
      <c r="A154" s="2">
        <v>43378</v>
      </c>
      <c r="B154">
        <v>2267.52</v>
      </c>
      <c r="C154">
        <v>3919.09</v>
      </c>
      <c r="D154">
        <v>309.51</v>
      </c>
      <c r="E154">
        <v>419.37</v>
      </c>
      <c r="F154">
        <v>5228.3900000000003</v>
      </c>
      <c r="G154">
        <v>14094.48</v>
      </c>
      <c r="H154">
        <v>1845.7</v>
      </c>
      <c r="I154">
        <v>4504.7700000000004</v>
      </c>
      <c r="J154">
        <v>940.46</v>
      </c>
      <c r="K154">
        <v>16724.560000000001</v>
      </c>
      <c r="L154">
        <v>3281.41</v>
      </c>
      <c r="M154">
        <v>1499.75</v>
      </c>
      <c r="N154">
        <v>437.59</v>
      </c>
      <c r="O154">
        <v>963.8</v>
      </c>
      <c r="P154">
        <v>124.94</v>
      </c>
      <c r="Q154">
        <v>1320.68</v>
      </c>
      <c r="R154">
        <v>408.72</v>
      </c>
      <c r="S154">
        <v>488.44</v>
      </c>
      <c r="T154">
        <v>325.32</v>
      </c>
      <c r="U154">
        <v>1797.72</v>
      </c>
      <c r="V154">
        <v>18148.03</v>
      </c>
      <c r="W154">
        <v>1144.26</v>
      </c>
    </row>
    <row r="155" spans="1:23" x14ac:dyDescent="0.25">
      <c r="A155" s="2">
        <v>43377</v>
      </c>
      <c r="B155">
        <v>2274.4899999999998</v>
      </c>
      <c r="C155">
        <v>3935.98</v>
      </c>
      <c r="D155">
        <v>312.88</v>
      </c>
      <c r="E155">
        <v>424.09</v>
      </c>
      <c r="F155">
        <v>5253.48</v>
      </c>
      <c r="G155">
        <v>14411.41</v>
      </c>
      <c r="H155">
        <v>1902.71</v>
      </c>
      <c r="I155">
        <v>4477.6099999999997</v>
      </c>
      <c r="J155">
        <v>937.4</v>
      </c>
      <c r="K155">
        <v>16753.84</v>
      </c>
      <c r="L155">
        <v>3286.56</v>
      </c>
      <c r="M155">
        <v>1504.19</v>
      </c>
      <c r="N155">
        <v>436.34</v>
      </c>
      <c r="O155">
        <v>966.16</v>
      </c>
      <c r="P155">
        <v>127.38</v>
      </c>
      <c r="Q155">
        <v>1313.75</v>
      </c>
      <c r="R155">
        <v>408.69</v>
      </c>
      <c r="S155">
        <v>487.95</v>
      </c>
      <c r="T155">
        <v>329.22</v>
      </c>
      <c r="U155">
        <v>1815.55</v>
      </c>
      <c r="V155">
        <v>18122.72</v>
      </c>
      <c r="W155">
        <v>1150.8399999999999</v>
      </c>
    </row>
    <row r="156" spans="1:23" x14ac:dyDescent="0.25">
      <c r="A156" s="2">
        <v>43375</v>
      </c>
      <c r="B156">
        <v>2309.5700000000002</v>
      </c>
      <c r="C156">
        <v>3993.82</v>
      </c>
      <c r="D156">
        <v>313.43</v>
      </c>
      <c r="E156">
        <v>429.03</v>
      </c>
      <c r="F156">
        <v>5545.34</v>
      </c>
      <c r="G156">
        <v>14232.62</v>
      </c>
      <c r="H156">
        <v>1891.6</v>
      </c>
      <c r="I156">
        <v>4676.1400000000003</v>
      </c>
      <c r="J156">
        <v>923.45</v>
      </c>
      <c r="K156">
        <v>17100.099999999999</v>
      </c>
      <c r="L156">
        <v>3349.84</v>
      </c>
      <c r="M156">
        <v>1536.95</v>
      </c>
      <c r="N156">
        <v>442.77</v>
      </c>
      <c r="O156">
        <v>997.09</v>
      </c>
      <c r="P156">
        <v>127.7</v>
      </c>
      <c r="Q156">
        <v>1345.42</v>
      </c>
      <c r="R156">
        <v>399.38</v>
      </c>
      <c r="S156">
        <v>489.9</v>
      </c>
      <c r="T156">
        <v>323</v>
      </c>
      <c r="U156">
        <v>1856.48</v>
      </c>
      <c r="V156">
        <v>18111.919999999998</v>
      </c>
      <c r="W156">
        <v>1158.81</v>
      </c>
    </row>
    <row r="157" spans="1:23" x14ac:dyDescent="0.25">
      <c r="A157" s="2">
        <v>43374</v>
      </c>
      <c r="B157">
        <v>2338.88</v>
      </c>
      <c r="C157">
        <v>4057.43</v>
      </c>
      <c r="D157">
        <v>315.25</v>
      </c>
      <c r="E157">
        <v>430.82</v>
      </c>
      <c r="F157">
        <v>5627.99</v>
      </c>
      <c r="G157">
        <v>14675.54</v>
      </c>
      <c r="H157">
        <v>1895.12</v>
      </c>
      <c r="I157">
        <v>4708.33</v>
      </c>
      <c r="J157">
        <v>933.8</v>
      </c>
      <c r="K157">
        <v>17357.849999999999</v>
      </c>
      <c r="L157">
        <v>3396.13</v>
      </c>
      <c r="M157">
        <v>1530.39</v>
      </c>
      <c r="N157">
        <v>449.86</v>
      </c>
      <c r="O157">
        <v>1010.58</v>
      </c>
      <c r="P157">
        <v>127.5</v>
      </c>
      <c r="Q157">
        <v>1352.76</v>
      </c>
      <c r="R157">
        <v>405.62</v>
      </c>
      <c r="S157">
        <v>493.66</v>
      </c>
      <c r="T157">
        <v>326.05</v>
      </c>
      <c r="U157">
        <v>1906.74</v>
      </c>
      <c r="V157">
        <v>18202.86</v>
      </c>
      <c r="W157">
        <v>1178.3</v>
      </c>
    </row>
    <row r="158" spans="1:23" x14ac:dyDescent="0.25">
      <c r="A158" s="2">
        <v>43371</v>
      </c>
      <c r="B158">
        <v>2343.0700000000002</v>
      </c>
      <c r="C158">
        <v>4077.32</v>
      </c>
      <c r="D158">
        <v>320.06</v>
      </c>
      <c r="E158">
        <v>437.57</v>
      </c>
      <c r="F158">
        <v>5600.71</v>
      </c>
      <c r="G158">
        <v>14878.96</v>
      </c>
      <c r="H158">
        <v>1896.78</v>
      </c>
      <c r="I158">
        <v>4713.97</v>
      </c>
      <c r="J158">
        <v>925.36</v>
      </c>
      <c r="K158">
        <v>17394.099999999999</v>
      </c>
      <c r="L158">
        <v>3420.39</v>
      </c>
      <c r="M158">
        <v>1546.85</v>
      </c>
      <c r="N158">
        <v>452.2</v>
      </c>
      <c r="O158">
        <v>1010.99</v>
      </c>
      <c r="P158">
        <v>125.98</v>
      </c>
      <c r="Q158">
        <v>1365.18</v>
      </c>
      <c r="R158">
        <v>416.7</v>
      </c>
      <c r="S158">
        <v>491.16</v>
      </c>
      <c r="T158">
        <v>325.61</v>
      </c>
      <c r="U158">
        <v>1915.34</v>
      </c>
      <c r="V158">
        <v>18265.86</v>
      </c>
      <c r="W158">
        <v>1176.32</v>
      </c>
    </row>
    <row r="159" spans="1:23" x14ac:dyDescent="0.25">
      <c r="A159" s="2">
        <v>43370</v>
      </c>
      <c r="B159">
        <v>2355.4299999999998</v>
      </c>
      <c r="C159">
        <v>4072.47</v>
      </c>
      <c r="D159">
        <v>318.92</v>
      </c>
      <c r="E159">
        <v>438.19</v>
      </c>
      <c r="F159">
        <v>5580.58</v>
      </c>
      <c r="G159">
        <v>15066.61</v>
      </c>
      <c r="H159">
        <v>1922.77</v>
      </c>
      <c r="I159">
        <v>4827.62</v>
      </c>
      <c r="J159">
        <v>929.34</v>
      </c>
      <c r="K159">
        <v>17754.29</v>
      </c>
      <c r="L159">
        <v>3406.45</v>
      </c>
      <c r="M159">
        <v>1577.27</v>
      </c>
      <c r="N159">
        <v>453.64</v>
      </c>
      <c r="O159">
        <v>1002.48</v>
      </c>
      <c r="P159">
        <v>126.64</v>
      </c>
      <c r="Q159">
        <v>1358.68</v>
      </c>
      <c r="R159">
        <v>407.68</v>
      </c>
      <c r="S159">
        <v>484.81</v>
      </c>
      <c r="T159">
        <v>320.76</v>
      </c>
      <c r="U159">
        <v>1919.1</v>
      </c>
      <c r="V159">
        <v>17936.62</v>
      </c>
      <c r="W159">
        <v>1173.8</v>
      </c>
    </row>
    <row r="160" spans="1:23" x14ac:dyDescent="0.25">
      <c r="A160" s="2">
        <v>43364</v>
      </c>
      <c r="B160">
        <v>2339.17</v>
      </c>
      <c r="C160">
        <v>4078.57</v>
      </c>
      <c r="D160">
        <v>322.33999999999997</v>
      </c>
      <c r="E160">
        <v>436.87</v>
      </c>
      <c r="F160">
        <v>5492.96</v>
      </c>
      <c r="G160">
        <v>14949.24</v>
      </c>
      <c r="H160">
        <v>1927.09</v>
      </c>
      <c r="I160">
        <v>4787.8</v>
      </c>
      <c r="J160">
        <v>951.06</v>
      </c>
      <c r="K160">
        <v>17763.330000000002</v>
      </c>
      <c r="L160">
        <v>3410.08</v>
      </c>
      <c r="M160">
        <v>1541.33</v>
      </c>
      <c r="N160">
        <v>447.24</v>
      </c>
      <c r="O160">
        <v>988.44</v>
      </c>
      <c r="P160">
        <v>127.35</v>
      </c>
      <c r="Q160">
        <v>1360.28</v>
      </c>
      <c r="R160">
        <v>396.93</v>
      </c>
      <c r="S160">
        <v>479.05</v>
      </c>
      <c r="T160">
        <v>318.62</v>
      </c>
      <c r="U160">
        <v>1882.85</v>
      </c>
      <c r="V160">
        <v>17470.759999999998</v>
      </c>
      <c r="W160">
        <v>1174.83</v>
      </c>
    </row>
    <row r="161" spans="1:23" x14ac:dyDescent="0.25">
      <c r="A161" s="2">
        <v>43363</v>
      </c>
      <c r="B161">
        <v>2323.4499999999998</v>
      </c>
      <c r="C161">
        <v>4033.34</v>
      </c>
      <c r="D161">
        <v>321.41000000000003</v>
      </c>
      <c r="E161">
        <v>435.96</v>
      </c>
      <c r="F161">
        <v>5472.79</v>
      </c>
      <c r="G161">
        <v>14791.08</v>
      </c>
      <c r="H161">
        <v>1870.44</v>
      </c>
      <c r="I161">
        <v>4694.67</v>
      </c>
      <c r="J161">
        <v>922.04</v>
      </c>
      <c r="K161">
        <v>17784.7</v>
      </c>
      <c r="L161">
        <v>3416.63</v>
      </c>
      <c r="M161">
        <v>1546.82</v>
      </c>
      <c r="N161">
        <v>441.57</v>
      </c>
      <c r="O161">
        <v>979.4</v>
      </c>
      <c r="P161">
        <v>124.24</v>
      </c>
      <c r="Q161">
        <v>1337.73</v>
      </c>
      <c r="R161">
        <v>400.92</v>
      </c>
      <c r="S161">
        <v>470.83</v>
      </c>
      <c r="T161">
        <v>313.58</v>
      </c>
      <c r="U161">
        <v>1865.78</v>
      </c>
      <c r="V161">
        <v>16958.560000000001</v>
      </c>
      <c r="W161">
        <v>1175.31</v>
      </c>
    </row>
    <row r="162" spans="1:23" x14ac:dyDescent="0.25">
      <c r="A162" s="2">
        <v>43362</v>
      </c>
      <c r="B162">
        <v>2308.46</v>
      </c>
      <c r="C162">
        <v>4044.14</v>
      </c>
      <c r="D162">
        <v>326.79000000000002</v>
      </c>
      <c r="E162">
        <v>444.58</v>
      </c>
      <c r="F162">
        <v>5531.1</v>
      </c>
      <c r="G162">
        <v>14698.33</v>
      </c>
      <c r="H162">
        <v>1884.2</v>
      </c>
      <c r="I162">
        <v>4699.5600000000004</v>
      </c>
      <c r="J162">
        <v>913.21</v>
      </c>
      <c r="K162">
        <v>17506.78</v>
      </c>
      <c r="L162">
        <v>3432.29</v>
      </c>
      <c r="M162">
        <v>1522.56</v>
      </c>
      <c r="N162">
        <v>436.97</v>
      </c>
      <c r="O162">
        <v>983.95</v>
      </c>
      <c r="P162">
        <v>125.44</v>
      </c>
      <c r="Q162">
        <v>1345.62</v>
      </c>
      <c r="R162">
        <v>399.47</v>
      </c>
      <c r="S162">
        <v>467.98</v>
      </c>
      <c r="T162">
        <v>308.91000000000003</v>
      </c>
      <c r="U162">
        <v>1857.39</v>
      </c>
      <c r="V162">
        <v>16832.59</v>
      </c>
      <c r="W162">
        <v>1171.25</v>
      </c>
    </row>
    <row r="163" spans="1:23" x14ac:dyDescent="0.25">
      <c r="A163" s="2">
        <v>43361</v>
      </c>
      <c r="B163">
        <v>2308.98</v>
      </c>
      <c r="C163">
        <v>4027.9</v>
      </c>
      <c r="D163">
        <v>326.66000000000003</v>
      </c>
      <c r="E163">
        <v>455.48</v>
      </c>
      <c r="F163">
        <v>5565.03</v>
      </c>
      <c r="G163">
        <v>14638.7</v>
      </c>
      <c r="H163">
        <v>1931.47</v>
      </c>
      <c r="I163">
        <v>4659.58</v>
      </c>
      <c r="J163">
        <v>917.03</v>
      </c>
      <c r="K163">
        <v>17330.509999999998</v>
      </c>
      <c r="L163">
        <v>3421.89</v>
      </c>
      <c r="M163">
        <v>1534.97</v>
      </c>
      <c r="N163">
        <v>442.67</v>
      </c>
      <c r="O163">
        <v>1000.85</v>
      </c>
      <c r="P163">
        <v>128.75</v>
      </c>
      <c r="Q163">
        <v>1346.73</v>
      </c>
      <c r="R163">
        <v>409.09</v>
      </c>
      <c r="S163">
        <v>468.03</v>
      </c>
      <c r="T163">
        <v>310.36</v>
      </c>
      <c r="U163">
        <v>1836.08</v>
      </c>
      <c r="V163">
        <v>16825.55</v>
      </c>
      <c r="W163">
        <v>1175.48</v>
      </c>
    </row>
    <row r="164" spans="1:23" x14ac:dyDescent="0.25">
      <c r="A164" s="2">
        <v>43360</v>
      </c>
      <c r="B164">
        <v>2303.0100000000002</v>
      </c>
      <c r="C164">
        <v>4039.71</v>
      </c>
      <c r="D164">
        <v>328.43</v>
      </c>
      <c r="E164">
        <v>460.12</v>
      </c>
      <c r="F164">
        <v>5520.15</v>
      </c>
      <c r="G164">
        <v>14436.48</v>
      </c>
      <c r="H164">
        <v>1959.23</v>
      </c>
      <c r="I164">
        <v>4620.1099999999997</v>
      </c>
      <c r="J164">
        <v>901.61</v>
      </c>
      <c r="K164">
        <v>17210.79</v>
      </c>
      <c r="L164">
        <v>3468.11</v>
      </c>
      <c r="M164">
        <v>1537.02</v>
      </c>
      <c r="N164">
        <v>440.22</v>
      </c>
      <c r="O164">
        <v>1013.08</v>
      </c>
      <c r="P164">
        <v>131.41</v>
      </c>
      <c r="Q164">
        <v>1355.6</v>
      </c>
      <c r="R164">
        <v>408.14</v>
      </c>
      <c r="S164">
        <v>469.96</v>
      </c>
      <c r="T164">
        <v>313.04000000000002</v>
      </c>
      <c r="U164">
        <v>1843.25</v>
      </c>
      <c r="V164">
        <v>16896.34</v>
      </c>
      <c r="W164">
        <v>1180.22</v>
      </c>
    </row>
    <row r="165" spans="1:23" x14ac:dyDescent="0.25">
      <c r="A165" s="2">
        <v>43357</v>
      </c>
      <c r="B165">
        <v>2318.25</v>
      </c>
      <c r="C165">
        <v>4065.67</v>
      </c>
      <c r="D165">
        <v>331.02</v>
      </c>
      <c r="E165">
        <v>477.39</v>
      </c>
      <c r="F165">
        <v>5582.46</v>
      </c>
      <c r="G165">
        <v>14134.89</v>
      </c>
      <c r="H165">
        <v>1968.49</v>
      </c>
      <c r="I165">
        <v>4657.97</v>
      </c>
      <c r="J165">
        <v>913.73</v>
      </c>
      <c r="K165">
        <v>17424.5</v>
      </c>
      <c r="L165">
        <v>3496.67</v>
      </c>
      <c r="M165">
        <v>1543.41</v>
      </c>
      <c r="N165">
        <v>443.57</v>
      </c>
      <c r="O165">
        <v>1017.76</v>
      </c>
      <c r="P165">
        <v>131.69999999999999</v>
      </c>
      <c r="Q165">
        <v>1372.96</v>
      </c>
      <c r="R165">
        <v>404.19</v>
      </c>
      <c r="S165">
        <v>473.25</v>
      </c>
      <c r="T165">
        <v>314.45999999999998</v>
      </c>
      <c r="U165">
        <v>1868.86</v>
      </c>
      <c r="V165">
        <v>16997.599999999999</v>
      </c>
      <c r="W165">
        <v>1187.07</v>
      </c>
    </row>
    <row r="166" spans="1:23" x14ac:dyDescent="0.25">
      <c r="A166" s="2">
        <v>43356</v>
      </c>
      <c r="B166">
        <v>2286.23</v>
      </c>
      <c r="C166">
        <v>4076.72</v>
      </c>
      <c r="D166">
        <v>331.92</v>
      </c>
      <c r="E166">
        <v>470.34</v>
      </c>
      <c r="F166">
        <v>5499.62</v>
      </c>
      <c r="G166">
        <v>14152.64</v>
      </c>
      <c r="H166">
        <v>1982.44</v>
      </c>
      <c r="I166">
        <v>4640.71</v>
      </c>
      <c r="J166">
        <v>908.11</v>
      </c>
      <c r="K166">
        <v>16799.34</v>
      </c>
      <c r="L166">
        <v>3477.88</v>
      </c>
      <c r="M166">
        <v>1528.36</v>
      </c>
      <c r="N166">
        <v>441.22</v>
      </c>
      <c r="O166">
        <v>1018.54</v>
      </c>
      <c r="P166">
        <v>130.59</v>
      </c>
      <c r="Q166">
        <v>1358.58</v>
      </c>
      <c r="R166">
        <v>404.4</v>
      </c>
      <c r="S166">
        <v>471.53</v>
      </c>
      <c r="T166">
        <v>316.61</v>
      </c>
      <c r="U166">
        <v>1836.24</v>
      </c>
      <c r="V166">
        <v>16876.919999999998</v>
      </c>
      <c r="W166">
        <v>1182.75</v>
      </c>
    </row>
    <row r="167" spans="1:23" x14ac:dyDescent="0.25">
      <c r="A167" s="2">
        <v>43355</v>
      </c>
      <c r="B167">
        <v>2282.92</v>
      </c>
      <c r="C167">
        <v>4048.86</v>
      </c>
      <c r="D167">
        <v>334.6</v>
      </c>
      <c r="E167">
        <v>465.1</v>
      </c>
      <c r="F167">
        <v>5483.43</v>
      </c>
      <c r="G167">
        <v>14014.01</v>
      </c>
      <c r="H167">
        <v>1998.26</v>
      </c>
      <c r="I167">
        <v>4583.0600000000004</v>
      </c>
      <c r="J167">
        <v>912.01</v>
      </c>
      <c r="K167">
        <v>16994.650000000001</v>
      </c>
      <c r="L167">
        <v>3473.04</v>
      </c>
      <c r="M167">
        <v>1529.87</v>
      </c>
      <c r="N167">
        <v>434.48</v>
      </c>
      <c r="O167">
        <v>1022.4</v>
      </c>
      <c r="P167">
        <v>131.63</v>
      </c>
      <c r="Q167">
        <v>1346.81</v>
      </c>
      <c r="R167">
        <v>399.95</v>
      </c>
      <c r="S167">
        <v>466.98</v>
      </c>
      <c r="T167">
        <v>313.17</v>
      </c>
      <c r="U167">
        <v>1824.24</v>
      </c>
      <c r="V167">
        <v>16929.93</v>
      </c>
      <c r="W167">
        <v>1175.3</v>
      </c>
    </row>
    <row r="168" spans="1:23" x14ac:dyDescent="0.25">
      <c r="A168" s="2">
        <v>43354</v>
      </c>
      <c r="B168">
        <v>2283.1999999999998</v>
      </c>
      <c r="C168">
        <v>3996.28</v>
      </c>
      <c r="D168">
        <v>332.67</v>
      </c>
      <c r="E168">
        <v>461.04</v>
      </c>
      <c r="F168">
        <v>5464.75</v>
      </c>
      <c r="G168">
        <v>13783.52</v>
      </c>
      <c r="H168">
        <v>2001.72</v>
      </c>
      <c r="I168">
        <v>4594.16</v>
      </c>
      <c r="J168">
        <v>918.32</v>
      </c>
      <c r="K168">
        <v>17204.39</v>
      </c>
      <c r="L168">
        <v>3495.16</v>
      </c>
      <c r="M168">
        <v>1519.35</v>
      </c>
      <c r="N168">
        <v>433.65</v>
      </c>
      <c r="O168">
        <v>1020.55</v>
      </c>
      <c r="P168">
        <v>131.78</v>
      </c>
      <c r="Q168">
        <v>1347.5</v>
      </c>
      <c r="R168">
        <v>392.52</v>
      </c>
      <c r="S168">
        <v>465.91</v>
      </c>
      <c r="T168">
        <v>312.08999999999997</v>
      </c>
      <c r="U168">
        <v>1839.75</v>
      </c>
      <c r="V168">
        <v>16962.7</v>
      </c>
      <c r="W168">
        <v>1171.1400000000001</v>
      </c>
    </row>
    <row r="169" spans="1:23" x14ac:dyDescent="0.25">
      <c r="A169" s="2">
        <v>43353</v>
      </c>
      <c r="B169">
        <v>2288.66</v>
      </c>
      <c r="C169">
        <v>4005.97</v>
      </c>
      <c r="D169">
        <v>326.39</v>
      </c>
      <c r="E169">
        <v>461.02</v>
      </c>
      <c r="F169">
        <v>5492.76</v>
      </c>
      <c r="G169">
        <v>13696.61</v>
      </c>
      <c r="H169">
        <v>2015.04</v>
      </c>
      <c r="I169">
        <v>4739.28</v>
      </c>
      <c r="J169">
        <v>920.75</v>
      </c>
      <c r="K169">
        <v>17322.73</v>
      </c>
      <c r="L169">
        <v>3472.87</v>
      </c>
      <c r="M169">
        <v>1539.06</v>
      </c>
      <c r="N169">
        <v>430.43</v>
      </c>
      <c r="O169">
        <v>1019.07</v>
      </c>
      <c r="P169">
        <v>131.88</v>
      </c>
      <c r="Q169">
        <v>1354.67</v>
      </c>
      <c r="R169">
        <v>386.4</v>
      </c>
      <c r="S169">
        <v>464.44</v>
      </c>
      <c r="T169">
        <v>312.04000000000002</v>
      </c>
      <c r="U169">
        <v>1829.73</v>
      </c>
      <c r="V169">
        <v>17067.599999999999</v>
      </c>
      <c r="W169">
        <v>1169.03</v>
      </c>
    </row>
    <row r="170" spans="1:23" x14ac:dyDescent="0.25">
      <c r="A170" s="2">
        <v>43350</v>
      </c>
      <c r="B170">
        <v>2281.58</v>
      </c>
      <c r="C170">
        <v>3986.02</v>
      </c>
      <c r="D170">
        <v>326.5</v>
      </c>
      <c r="E170">
        <v>452.48</v>
      </c>
      <c r="F170">
        <v>5527.7</v>
      </c>
      <c r="G170">
        <v>13792.99</v>
      </c>
      <c r="H170">
        <v>1929.79</v>
      </c>
      <c r="I170">
        <v>4742.9399999999996</v>
      </c>
      <c r="J170">
        <v>903.38</v>
      </c>
      <c r="K170">
        <v>17148.04</v>
      </c>
      <c r="L170">
        <v>3417.2</v>
      </c>
      <c r="M170">
        <v>1558.47</v>
      </c>
      <c r="N170">
        <v>430.34</v>
      </c>
      <c r="O170">
        <v>1011.68</v>
      </c>
      <c r="P170">
        <v>123.96</v>
      </c>
      <c r="Q170">
        <v>1359.44</v>
      </c>
      <c r="R170">
        <v>386.12</v>
      </c>
      <c r="S170">
        <v>463.74</v>
      </c>
      <c r="T170">
        <v>310.99</v>
      </c>
      <c r="U170">
        <v>1818.08</v>
      </c>
      <c r="V170">
        <v>17162.22</v>
      </c>
      <c r="W170">
        <v>1170.93</v>
      </c>
    </row>
    <row r="171" spans="1:23" x14ac:dyDescent="0.25">
      <c r="A171" s="2">
        <v>43349</v>
      </c>
      <c r="B171">
        <v>2287.61</v>
      </c>
      <c r="C171">
        <v>4015.77</v>
      </c>
      <c r="D171">
        <v>324.74</v>
      </c>
      <c r="E171">
        <v>459.02</v>
      </c>
      <c r="F171">
        <v>5519.55</v>
      </c>
      <c r="G171">
        <v>13737.61</v>
      </c>
      <c r="H171">
        <v>1860.98</v>
      </c>
      <c r="I171">
        <v>4710.9799999999996</v>
      </c>
      <c r="J171">
        <v>890.86</v>
      </c>
      <c r="K171">
        <v>17591.63</v>
      </c>
      <c r="L171">
        <v>3417.61</v>
      </c>
      <c r="M171">
        <v>1541.36</v>
      </c>
      <c r="N171">
        <v>430.07</v>
      </c>
      <c r="O171">
        <v>1010.15</v>
      </c>
      <c r="P171">
        <v>121.31</v>
      </c>
      <c r="Q171">
        <v>1329.5</v>
      </c>
      <c r="R171">
        <v>383.49</v>
      </c>
      <c r="S171">
        <v>460.37</v>
      </c>
      <c r="T171">
        <v>305.73</v>
      </c>
      <c r="U171">
        <v>1794.56</v>
      </c>
      <c r="V171">
        <v>16998.04</v>
      </c>
      <c r="W171">
        <v>1163.53</v>
      </c>
    </row>
    <row r="172" spans="1:23" x14ac:dyDescent="0.25">
      <c r="A172" s="2">
        <v>43348</v>
      </c>
      <c r="B172">
        <v>2291.77</v>
      </c>
      <c r="C172">
        <v>4018.44</v>
      </c>
      <c r="D172">
        <v>328.32</v>
      </c>
      <c r="E172">
        <v>451.14</v>
      </c>
      <c r="F172">
        <v>5556.18</v>
      </c>
      <c r="G172">
        <v>13766.94</v>
      </c>
      <c r="H172">
        <v>1865.62</v>
      </c>
      <c r="I172">
        <v>4699.6499999999996</v>
      </c>
      <c r="J172">
        <v>887.18</v>
      </c>
      <c r="K172">
        <v>17775.439999999999</v>
      </c>
      <c r="L172">
        <v>3436.3</v>
      </c>
      <c r="M172">
        <v>1501.32</v>
      </c>
      <c r="N172">
        <v>428.96</v>
      </c>
      <c r="O172">
        <v>1005.29</v>
      </c>
      <c r="P172">
        <v>121.2</v>
      </c>
      <c r="Q172">
        <v>1305.58</v>
      </c>
      <c r="R172">
        <v>384.13</v>
      </c>
      <c r="S172">
        <v>461.1</v>
      </c>
      <c r="T172">
        <v>307.19</v>
      </c>
      <c r="U172">
        <v>1813.51</v>
      </c>
      <c r="V172">
        <v>16941.43</v>
      </c>
      <c r="W172">
        <v>1164.6099999999999</v>
      </c>
    </row>
    <row r="173" spans="1:23" x14ac:dyDescent="0.25">
      <c r="A173" s="2">
        <v>43347</v>
      </c>
      <c r="B173">
        <v>2315.7199999999998</v>
      </c>
      <c r="C173">
        <v>4037.82</v>
      </c>
      <c r="D173">
        <v>330.1</v>
      </c>
      <c r="E173">
        <v>453.38</v>
      </c>
      <c r="F173">
        <v>5604.15</v>
      </c>
      <c r="G173">
        <v>13938.64</v>
      </c>
      <c r="H173">
        <v>1852.83</v>
      </c>
      <c r="I173">
        <v>4772.43</v>
      </c>
      <c r="J173">
        <v>889.46</v>
      </c>
      <c r="K173">
        <v>18117.25</v>
      </c>
      <c r="L173">
        <v>3441.6</v>
      </c>
      <c r="M173">
        <v>1484.09</v>
      </c>
      <c r="N173">
        <v>429.85</v>
      </c>
      <c r="O173">
        <v>1001.96</v>
      </c>
      <c r="P173">
        <v>122.46</v>
      </c>
      <c r="Q173">
        <v>1301.6099999999999</v>
      </c>
      <c r="R173">
        <v>383.33</v>
      </c>
      <c r="S173">
        <v>466.2</v>
      </c>
      <c r="T173">
        <v>312.58999999999997</v>
      </c>
      <c r="U173">
        <v>1838.76</v>
      </c>
      <c r="V173">
        <v>17068.919999999998</v>
      </c>
      <c r="W173">
        <v>1180.24</v>
      </c>
    </row>
    <row r="174" spans="1:23" x14ac:dyDescent="0.25">
      <c r="A174" s="2">
        <v>43346</v>
      </c>
      <c r="B174">
        <v>2307.0300000000002</v>
      </c>
      <c r="C174">
        <v>4097.6499999999996</v>
      </c>
      <c r="D174">
        <v>327.22000000000003</v>
      </c>
      <c r="E174">
        <v>446.86</v>
      </c>
      <c r="F174">
        <v>5603.41</v>
      </c>
      <c r="G174">
        <v>13707.05</v>
      </c>
      <c r="H174">
        <v>1818.12</v>
      </c>
      <c r="I174">
        <v>4811</v>
      </c>
      <c r="J174">
        <v>876.96</v>
      </c>
      <c r="K174">
        <v>17991.650000000001</v>
      </c>
      <c r="L174">
        <v>3440.03</v>
      </c>
      <c r="M174">
        <v>1483.21</v>
      </c>
      <c r="N174">
        <v>428.82</v>
      </c>
      <c r="O174">
        <v>1005.81</v>
      </c>
      <c r="P174">
        <v>121.61</v>
      </c>
      <c r="Q174">
        <v>1311.47</v>
      </c>
      <c r="R174">
        <v>378.7</v>
      </c>
      <c r="S174">
        <v>466.9</v>
      </c>
      <c r="T174">
        <v>313.43</v>
      </c>
      <c r="U174">
        <v>1840.26</v>
      </c>
      <c r="V174">
        <v>17123.169999999998</v>
      </c>
      <c r="W174">
        <v>1169.45</v>
      </c>
    </row>
    <row r="175" spans="1:23" x14ac:dyDescent="0.25">
      <c r="A175" s="2">
        <v>43343</v>
      </c>
      <c r="B175">
        <v>2322.88</v>
      </c>
      <c r="C175">
        <v>4063.7</v>
      </c>
      <c r="D175">
        <v>327.5</v>
      </c>
      <c r="E175">
        <v>444</v>
      </c>
      <c r="F175">
        <v>5625.06</v>
      </c>
      <c r="G175">
        <v>13665.52</v>
      </c>
      <c r="H175">
        <v>1796.92</v>
      </c>
      <c r="I175">
        <v>4877.01</v>
      </c>
      <c r="J175">
        <v>876.74</v>
      </c>
      <c r="K175">
        <v>18317.400000000001</v>
      </c>
      <c r="L175">
        <v>3405.54</v>
      </c>
      <c r="M175">
        <v>1475.03</v>
      </c>
      <c r="N175">
        <v>429.76</v>
      </c>
      <c r="O175">
        <v>1011.3</v>
      </c>
      <c r="P175">
        <v>121.21</v>
      </c>
      <c r="Q175">
        <v>1325.65</v>
      </c>
      <c r="R175">
        <v>385.19</v>
      </c>
      <c r="S175">
        <v>468.03</v>
      </c>
      <c r="T175">
        <v>316.5</v>
      </c>
      <c r="U175">
        <v>1849.16</v>
      </c>
      <c r="V175">
        <v>17178.259999999998</v>
      </c>
      <c r="W175">
        <v>1175.72</v>
      </c>
    </row>
    <row r="176" spans="1:23" x14ac:dyDescent="0.25">
      <c r="A176" s="2">
        <v>43342</v>
      </c>
      <c r="B176">
        <v>2307.35</v>
      </c>
      <c r="C176">
        <v>4052.54</v>
      </c>
      <c r="D176">
        <v>320.88</v>
      </c>
      <c r="E176">
        <v>437.09</v>
      </c>
      <c r="F176">
        <v>5624.43</v>
      </c>
      <c r="G176">
        <v>13346.43</v>
      </c>
      <c r="H176">
        <v>1788.29</v>
      </c>
      <c r="I176">
        <v>4952.96</v>
      </c>
      <c r="J176">
        <v>879</v>
      </c>
      <c r="K176">
        <v>18098.77</v>
      </c>
      <c r="L176">
        <v>3399.39</v>
      </c>
      <c r="M176">
        <v>1470.62</v>
      </c>
      <c r="N176">
        <v>425.51</v>
      </c>
      <c r="O176">
        <v>1013.27</v>
      </c>
      <c r="P176">
        <v>121.38</v>
      </c>
      <c r="Q176">
        <v>1325.98</v>
      </c>
      <c r="R176">
        <v>384.91</v>
      </c>
      <c r="S176">
        <v>465.36</v>
      </c>
      <c r="T176">
        <v>315.95999999999998</v>
      </c>
      <c r="U176">
        <v>1846.9</v>
      </c>
      <c r="V176">
        <v>17061.189999999999</v>
      </c>
      <c r="W176">
        <v>1172.6600000000001</v>
      </c>
    </row>
    <row r="177" spans="1:23" x14ac:dyDescent="0.25">
      <c r="A177" s="2">
        <v>43341</v>
      </c>
      <c r="B177">
        <v>2309.0300000000002</v>
      </c>
      <c r="C177">
        <v>4064.94</v>
      </c>
      <c r="D177">
        <v>322.29000000000002</v>
      </c>
      <c r="E177">
        <v>436.69</v>
      </c>
      <c r="F177">
        <v>5660.6</v>
      </c>
      <c r="G177">
        <v>13430.53</v>
      </c>
      <c r="H177">
        <v>1782.86</v>
      </c>
      <c r="I177">
        <v>4933.41</v>
      </c>
      <c r="J177">
        <v>878.35</v>
      </c>
      <c r="K177">
        <v>17886.400000000001</v>
      </c>
      <c r="L177">
        <v>3363.25</v>
      </c>
      <c r="M177">
        <v>1478.38</v>
      </c>
      <c r="N177">
        <v>429.88</v>
      </c>
      <c r="O177">
        <v>1021.85</v>
      </c>
      <c r="P177">
        <v>121.29</v>
      </c>
      <c r="Q177">
        <v>1337.81</v>
      </c>
      <c r="R177">
        <v>388.04</v>
      </c>
      <c r="S177">
        <v>470.23</v>
      </c>
      <c r="T177">
        <v>321.97000000000003</v>
      </c>
      <c r="U177">
        <v>1847.95</v>
      </c>
      <c r="V177">
        <v>17132.71</v>
      </c>
      <c r="W177">
        <v>1172.25</v>
      </c>
    </row>
    <row r="178" spans="1:23" x14ac:dyDescent="0.25">
      <c r="A178" s="2">
        <v>43340</v>
      </c>
      <c r="B178">
        <v>2303.12</v>
      </c>
      <c r="C178">
        <v>4105.3500000000004</v>
      </c>
      <c r="D178">
        <v>318.47000000000003</v>
      </c>
      <c r="E178">
        <v>434.81</v>
      </c>
      <c r="F178">
        <v>5608.66</v>
      </c>
      <c r="G178">
        <v>13387.19</v>
      </c>
      <c r="H178">
        <v>1802.8</v>
      </c>
      <c r="I178">
        <v>4904.67</v>
      </c>
      <c r="J178">
        <v>880.08</v>
      </c>
      <c r="K178">
        <v>17738.09</v>
      </c>
      <c r="L178">
        <v>3381.73</v>
      </c>
      <c r="M178">
        <v>1488.3</v>
      </c>
      <c r="N178">
        <v>432.09</v>
      </c>
      <c r="O178">
        <v>1021.31</v>
      </c>
      <c r="P178">
        <v>122.23</v>
      </c>
      <c r="Q178">
        <v>1341.98</v>
      </c>
      <c r="R178">
        <v>387.6</v>
      </c>
      <c r="S178">
        <v>470.34</v>
      </c>
      <c r="T178">
        <v>320.83999999999997</v>
      </c>
      <c r="U178">
        <v>1844.34</v>
      </c>
      <c r="V178">
        <v>17211.46</v>
      </c>
      <c r="W178">
        <v>1168.57</v>
      </c>
    </row>
    <row r="179" spans="1:23" x14ac:dyDescent="0.25">
      <c r="A179" s="2">
        <v>43339</v>
      </c>
      <c r="B179">
        <v>2299.3000000000002</v>
      </c>
      <c r="C179">
        <v>4071.95</v>
      </c>
      <c r="D179">
        <v>322.89</v>
      </c>
      <c r="E179">
        <v>433.08</v>
      </c>
      <c r="F179">
        <v>5644.4</v>
      </c>
      <c r="G179">
        <v>13607.35</v>
      </c>
      <c r="H179">
        <v>1755.05</v>
      </c>
      <c r="I179">
        <v>4836.84</v>
      </c>
      <c r="J179">
        <v>871.09</v>
      </c>
      <c r="K179">
        <v>17721.560000000001</v>
      </c>
      <c r="L179">
        <v>3386.27</v>
      </c>
      <c r="M179">
        <v>1468.88</v>
      </c>
      <c r="N179">
        <v>426.8</v>
      </c>
      <c r="O179">
        <v>1018.1</v>
      </c>
      <c r="P179">
        <v>120.61</v>
      </c>
      <c r="Q179">
        <v>1340.41</v>
      </c>
      <c r="R179">
        <v>385.34</v>
      </c>
      <c r="S179">
        <v>468.4</v>
      </c>
      <c r="T179">
        <v>318.27</v>
      </c>
      <c r="U179">
        <v>1840.13</v>
      </c>
      <c r="V179">
        <v>17096.400000000001</v>
      </c>
      <c r="W179">
        <v>1176.46</v>
      </c>
    </row>
    <row r="180" spans="1:23" x14ac:dyDescent="0.25">
      <c r="A180" s="2">
        <v>43336</v>
      </c>
      <c r="B180">
        <v>2293.21</v>
      </c>
      <c r="C180">
        <v>4068.86</v>
      </c>
      <c r="D180">
        <v>321.51</v>
      </c>
      <c r="E180">
        <v>439.21</v>
      </c>
      <c r="F180">
        <v>5608.36</v>
      </c>
      <c r="G180">
        <v>13579.88</v>
      </c>
      <c r="H180">
        <v>1829.2</v>
      </c>
      <c r="I180">
        <v>4775.79</v>
      </c>
      <c r="J180">
        <v>891.21</v>
      </c>
      <c r="K180">
        <v>17583.18</v>
      </c>
      <c r="L180">
        <v>3386.48</v>
      </c>
      <c r="M180">
        <v>1478.79</v>
      </c>
      <c r="N180">
        <v>428.97</v>
      </c>
      <c r="O180">
        <v>1021.83</v>
      </c>
      <c r="P180">
        <v>124.29</v>
      </c>
      <c r="Q180">
        <v>1348.59</v>
      </c>
      <c r="R180">
        <v>388.42</v>
      </c>
      <c r="S180">
        <v>465.61</v>
      </c>
      <c r="T180">
        <v>318.26</v>
      </c>
      <c r="U180">
        <v>1789.34</v>
      </c>
      <c r="V180">
        <v>17262.78</v>
      </c>
      <c r="W180">
        <v>1172.25</v>
      </c>
    </row>
    <row r="181" spans="1:23" x14ac:dyDescent="0.25">
      <c r="A181" s="2">
        <v>43335</v>
      </c>
      <c r="B181">
        <v>2282.6</v>
      </c>
      <c r="C181">
        <v>4067.73</v>
      </c>
      <c r="D181">
        <v>310.74</v>
      </c>
      <c r="E181">
        <v>432.26</v>
      </c>
      <c r="F181">
        <v>5548.84</v>
      </c>
      <c r="G181">
        <v>13313.56</v>
      </c>
      <c r="H181">
        <v>1814.16</v>
      </c>
      <c r="I181">
        <v>4752.96</v>
      </c>
      <c r="J181">
        <v>885.24</v>
      </c>
      <c r="K181">
        <v>17551.07</v>
      </c>
      <c r="L181">
        <v>3371.1</v>
      </c>
      <c r="M181">
        <v>1479.35</v>
      </c>
      <c r="N181">
        <v>427.22</v>
      </c>
      <c r="O181">
        <v>1016.57</v>
      </c>
      <c r="P181">
        <v>123.28</v>
      </c>
      <c r="Q181">
        <v>1350.66</v>
      </c>
      <c r="R181">
        <v>380.51</v>
      </c>
      <c r="S181">
        <v>464.45</v>
      </c>
      <c r="T181">
        <v>316.36</v>
      </c>
      <c r="U181">
        <v>1780.7</v>
      </c>
      <c r="V181">
        <v>17337.759999999998</v>
      </c>
      <c r="W181">
        <v>1172.45</v>
      </c>
    </row>
    <row r="182" spans="1:23" x14ac:dyDescent="0.25">
      <c r="A182" s="2">
        <v>43334</v>
      </c>
      <c r="B182">
        <v>2273.33</v>
      </c>
      <c r="C182">
        <v>4059.59</v>
      </c>
      <c r="D182">
        <v>307.86</v>
      </c>
      <c r="E182">
        <v>434.16</v>
      </c>
      <c r="F182">
        <v>5494.82</v>
      </c>
      <c r="G182">
        <v>13170.71</v>
      </c>
      <c r="H182">
        <v>1756.01</v>
      </c>
      <c r="I182">
        <v>4831.51</v>
      </c>
      <c r="J182">
        <v>887.38</v>
      </c>
      <c r="K182">
        <v>17456.45</v>
      </c>
      <c r="L182">
        <v>3343.49</v>
      </c>
      <c r="M182">
        <v>1490.92</v>
      </c>
      <c r="N182">
        <v>425.44</v>
      </c>
      <c r="O182">
        <v>1021.77</v>
      </c>
      <c r="P182">
        <v>121.2</v>
      </c>
      <c r="Q182">
        <v>1350.13</v>
      </c>
      <c r="R182">
        <v>376.31</v>
      </c>
      <c r="S182">
        <v>464.71</v>
      </c>
      <c r="T182">
        <v>318.23</v>
      </c>
      <c r="U182">
        <v>1780.74</v>
      </c>
      <c r="V182">
        <v>17455.18</v>
      </c>
      <c r="W182">
        <v>1156.6400000000001</v>
      </c>
    </row>
    <row r="183" spans="1:23" x14ac:dyDescent="0.25">
      <c r="A183" s="2">
        <v>43333</v>
      </c>
      <c r="B183">
        <v>2270.06</v>
      </c>
      <c r="C183">
        <v>4103.91</v>
      </c>
      <c r="D183">
        <v>312.58999999999997</v>
      </c>
      <c r="E183">
        <v>430.2</v>
      </c>
      <c r="F183">
        <v>5594.59</v>
      </c>
      <c r="G183">
        <v>13223.17</v>
      </c>
      <c r="H183">
        <v>1765.98</v>
      </c>
      <c r="I183">
        <v>4846.25</v>
      </c>
      <c r="J183">
        <v>892.51</v>
      </c>
      <c r="K183">
        <v>17090.099999999999</v>
      </c>
      <c r="L183">
        <v>3364.12</v>
      </c>
      <c r="M183">
        <v>1484.3</v>
      </c>
      <c r="N183">
        <v>424.63</v>
      </c>
      <c r="O183">
        <v>1026.73</v>
      </c>
      <c r="P183">
        <v>120.95</v>
      </c>
      <c r="Q183">
        <v>1350.66</v>
      </c>
      <c r="R183">
        <v>379.83</v>
      </c>
      <c r="S183">
        <v>468.96</v>
      </c>
      <c r="T183">
        <v>318.82</v>
      </c>
      <c r="U183">
        <v>1785.25</v>
      </c>
      <c r="V183">
        <v>17545.63</v>
      </c>
      <c r="W183">
        <v>1162.22</v>
      </c>
    </row>
    <row r="184" spans="1:23" x14ac:dyDescent="0.25">
      <c r="A184" s="2">
        <v>43332</v>
      </c>
      <c r="B184">
        <v>2247.88</v>
      </c>
      <c r="C184">
        <v>4079.89</v>
      </c>
      <c r="D184">
        <v>311.47000000000003</v>
      </c>
      <c r="E184">
        <v>424.38</v>
      </c>
      <c r="F184">
        <v>5579.15</v>
      </c>
      <c r="G184">
        <v>13012.85</v>
      </c>
      <c r="H184">
        <v>1772.91</v>
      </c>
      <c r="I184">
        <v>4811.1000000000004</v>
      </c>
      <c r="J184">
        <v>893.51</v>
      </c>
      <c r="K184">
        <v>16640.87</v>
      </c>
      <c r="L184">
        <v>3317.67</v>
      </c>
      <c r="M184">
        <v>1498.21</v>
      </c>
      <c r="N184">
        <v>423.16</v>
      </c>
      <c r="O184">
        <v>1038.78</v>
      </c>
      <c r="P184">
        <v>120.41</v>
      </c>
      <c r="Q184">
        <v>1344.95</v>
      </c>
      <c r="R184">
        <v>385.6</v>
      </c>
      <c r="S184">
        <v>465.93</v>
      </c>
      <c r="T184">
        <v>317.13</v>
      </c>
      <c r="U184">
        <v>1729.78</v>
      </c>
      <c r="V184">
        <v>17405.169999999998</v>
      </c>
      <c r="W184">
        <v>1156.7</v>
      </c>
    </row>
    <row r="185" spans="1:23" x14ac:dyDescent="0.25">
      <c r="A185" s="2">
        <v>43329</v>
      </c>
      <c r="B185">
        <v>2247.0500000000002</v>
      </c>
      <c r="C185">
        <v>4090.24</v>
      </c>
      <c r="D185">
        <v>313.61</v>
      </c>
      <c r="E185">
        <v>424.63</v>
      </c>
      <c r="F185">
        <v>5592.89</v>
      </c>
      <c r="G185">
        <v>13056.89</v>
      </c>
      <c r="H185">
        <v>1778.32</v>
      </c>
      <c r="I185">
        <v>4706.17</v>
      </c>
      <c r="J185">
        <v>886.9</v>
      </c>
      <c r="K185">
        <v>16722.98</v>
      </c>
      <c r="L185">
        <v>3265.14</v>
      </c>
      <c r="M185">
        <v>1467.89</v>
      </c>
      <c r="N185">
        <v>424.62</v>
      </c>
      <c r="O185">
        <v>1022.67</v>
      </c>
      <c r="P185">
        <v>119.56</v>
      </c>
      <c r="Q185">
        <v>1335.51</v>
      </c>
      <c r="R185">
        <v>385.52</v>
      </c>
      <c r="S185">
        <v>465.7</v>
      </c>
      <c r="T185">
        <v>318.79000000000002</v>
      </c>
      <c r="U185">
        <v>1727.28</v>
      </c>
      <c r="V185">
        <v>17441.13</v>
      </c>
      <c r="W185">
        <v>1162.23</v>
      </c>
    </row>
    <row r="186" spans="1:23" x14ac:dyDescent="0.25">
      <c r="A186" s="2">
        <v>43328</v>
      </c>
      <c r="B186">
        <v>2240.8000000000002</v>
      </c>
      <c r="C186">
        <v>4088.78</v>
      </c>
      <c r="D186">
        <v>306.89</v>
      </c>
      <c r="E186">
        <v>426.08</v>
      </c>
      <c r="F186">
        <v>5582.59</v>
      </c>
      <c r="G186">
        <v>12663.05</v>
      </c>
      <c r="H186">
        <v>1762.17</v>
      </c>
      <c r="I186">
        <v>4702.99</v>
      </c>
      <c r="J186">
        <v>874.48</v>
      </c>
      <c r="K186">
        <v>16792.16</v>
      </c>
      <c r="L186">
        <v>3238.28</v>
      </c>
      <c r="M186">
        <v>1465.88</v>
      </c>
      <c r="N186">
        <v>421.47</v>
      </c>
      <c r="O186">
        <v>1025.81</v>
      </c>
      <c r="P186">
        <v>119.46</v>
      </c>
      <c r="Q186">
        <v>1325.39</v>
      </c>
      <c r="R186">
        <v>388.31</v>
      </c>
      <c r="S186">
        <v>463.73</v>
      </c>
      <c r="T186">
        <v>319.85000000000002</v>
      </c>
      <c r="U186">
        <v>1696.07</v>
      </c>
      <c r="V186">
        <v>17464.830000000002</v>
      </c>
      <c r="W186">
        <v>1157.33</v>
      </c>
    </row>
    <row r="187" spans="1:23" x14ac:dyDescent="0.25">
      <c r="A187" s="2">
        <v>43326</v>
      </c>
      <c r="B187">
        <v>2258.91</v>
      </c>
      <c r="C187">
        <v>4202.8100000000004</v>
      </c>
      <c r="D187">
        <v>301.58</v>
      </c>
      <c r="E187">
        <v>419.08</v>
      </c>
      <c r="F187">
        <v>5611.41</v>
      </c>
      <c r="G187">
        <v>12920.83</v>
      </c>
      <c r="H187">
        <v>1747.83</v>
      </c>
      <c r="I187">
        <v>4791.08</v>
      </c>
      <c r="J187">
        <v>876.04</v>
      </c>
      <c r="K187">
        <v>17038.54</v>
      </c>
      <c r="L187">
        <v>3179.03</v>
      </c>
      <c r="M187">
        <v>1449.45</v>
      </c>
      <c r="N187">
        <v>426.04</v>
      </c>
      <c r="O187">
        <v>1017.78</v>
      </c>
      <c r="P187">
        <v>119.77</v>
      </c>
      <c r="Q187">
        <v>1323.72</v>
      </c>
      <c r="R187">
        <v>380.65</v>
      </c>
      <c r="S187">
        <v>466.26</v>
      </c>
      <c r="T187">
        <v>319.68</v>
      </c>
      <c r="U187">
        <v>1710.35</v>
      </c>
      <c r="V187">
        <v>17624.54</v>
      </c>
      <c r="W187">
        <v>1169.44</v>
      </c>
    </row>
    <row r="188" spans="1:23" x14ac:dyDescent="0.25">
      <c r="A188" s="2">
        <v>43325</v>
      </c>
      <c r="B188">
        <v>2248.4499999999998</v>
      </c>
      <c r="C188">
        <v>4242.26</v>
      </c>
      <c r="D188">
        <v>291.47000000000003</v>
      </c>
      <c r="E188">
        <v>409.2</v>
      </c>
      <c r="F188">
        <v>5573.08</v>
      </c>
      <c r="G188">
        <v>12784.2</v>
      </c>
      <c r="H188">
        <v>1673.86</v>
      </c>
      <c r="I188">
        <v>4751.17</v>
      </c>
      <c r="J188">
        <v>867.17</v>
      </c>
      <c r="K188">
        <v>17007.169999999998</v>
      </c>
      <c r="L188">
        <v>3173.97</v>
      </c>
      <c r="M188">
        <v>1450.95</v>
      </c>
      <c r="N188">
        <v>425.96</v>
      </c>
      <c r="O188">
        <v>1037.8699999999999</v>
      </c>
      <c r="P188">
        <v>117.43</v>
      </c>
      <c r="Q188">
        <v>1310.81</v>
      </c>
      <c r="R188">
        <v>377.21</v>
      </c>
      <c r="S188">
        <v>463.62</v>
      </c>
      <c r="T188">
        <v>316.88</v>
      </c>
      <c r="U188">
        <v>1696.96</v>
      </c>
      <c r="V188">
        <v>17766.05</v>
      </c>
      <c r="W188">
        <v>1158.2</v>
      </c>
    </row>
    <row r="189" spans="1:23" x14ac:dyDescent="0.25">
      <c r="A189" s="2">
        <v>43322</v>
      </c>
      <c r="B189">
        <v>2282.79</v>
      </c>
      <c r="C189">
        <v>4311.47</v>
      </c>
      <c r="D189">
        <v>294.45999999999998</v>
      </c>
      <c r="E189">
        <v>419.07</v>
      </c>
      <c r="F189">
        <v>5651.96</v>
      </c>
      <c r="G189">
        <v>13303.41</v>
      </c>
      <c r="H189">
        <v>1748.11</v>
      </c>
      <c r="I189">
        <v>4879.49</v>
      </c>
      <c r="J189">
        <v>885.97</v>
      </c>
      <c r="K189">
        <v>17137.150000000001</v>
      </c>
      <c r="L189">
        <v>3255.96</v>
      </c>
      <c r="M189">
        <v>1467.72</v>
      </c>
      <c r="N189">
        <v>435.3</v>
      </c>
      <c r="O189">
        <v>1046.99</v>
      </c>
      <c r="P189">
        <v>120.78</v>
      </c>
      <c r="Q189">
        <v>1349.75</v>
      </c>
      <c r="R189">
        <v>377.81</v>
      </c>
      <c r="S189">
        <v>471.15</v>
      </c>
      <c r="T189">
        <v>319.2</v>
      </c>
      <c r="U189">
        <v>1761.02</v>
      </c>
      <c r="V189">
        <v>18126.88</v>
      </c>
      <c r="W189">
        <v>1174.25</v>
      </c>
    </row>
    <row r="190" spans="1:23" x14ac:dyDescent="0.25">
      <c r="A190" s="2">
        <v>43321</v>
      </c>
      <c r="B190">
        <v>2303.71</v>
      </c>
      <c r="C190">
        <v>4256.25</v>
      </c>
      <c r="D190">
        <v>299.66000000000003</v>
      </c>
      <c r="E190">
        <v>418.25</v>
      </c>
      <c r="F190">
        <v>5708.27</v>
      </c>
      <c r="G190">
        <v>13320.12</v>
      </c>
      <c r="H190">
        <v>1645.12</v>
      </c>
      <c r="I190">
        <v>4875.74</v>
      </c>
      <c r="J190">
        <v>861.21</v>
      </c>
      <c r="K190">
        <v>17709.759999999998</v>
      </c>
      <c r="L190">
        <v>3301.35</v>
      </c>
      <c r="M190">
        <v>1468.36</v>
      </c>
      <c r="N190">
        <v>435.6</v>
      </c>
      <c r="O190">
        <v>1036.3599999999999</v>
      </c>
      <c r="P190">
        <v>118.36</v>
      </c>
      <c r="Q190">
        <v>1352.89</v>
      </c>
      <c r="R190">
        <v>377.83</v>
      </c>
      <c r="S190">
        <v>471.91</v>
      </c>
      <c r="T190">
        <v>323.19</v>
      </c>
      <c r="U190">
        <v>1783.76</v>
      </c>
      <c r="V190">
        <v>18121.7</v>
      </c>
      <c r="W190">
        <v>1170.08</v>
      </c>
    </row>
    <row r="191" spans="1:23" x14ac:dyDescent="0.25">
      <c r="A191" s="2">
        <v>43320</v>
      </c>
      <c r="B191">
        <v>2301.4499999999998</v>
      </c>
      <c r="C191">
        <v>4269.3599999999997</v>
      </c>
      <c r="D191">
        <v>295.13</v>
      </c>
      <c r="E191">
        <v>417.36</v>
      </c>
      <c r="F191">
        <v>5674.06</v>
      </c>
      <c r="G191">
        <v>13234.58</v>
      </c>
      <c r="H191">
        <v>1643.58</v>
      </c>
      <c r="I191">
        <v>4918.17</v>
      </c>
      <c r="J191">
        <v>862.13</v>
      </c>
      <c r="K191">
        <v>17700.87</v>
      </c>
      <c r="L191">
        <v>3339.33</v>
      </c>
      <c r="M191">
        <v>1475.11</v>
      </c>
      <c r="N191">
        <v>434.26</v>
      </c>
      <c r="O191">
        <v>1019.65</v>
      </c>
      <c r="P191">
        <v>118.35</v>
      </c>
      <c r="Q191">
        <v>1357.79</v>
      </c>
      <c r="R191">
        <v>372.44</v>
      </c>
      <c r="S191">
        <v>474.11</v>
      </c>
      <c r="T191">
        <v>325.93</v>
      </c>
      <c r="U191">
        <v>1801.76</v>
      </c>
      <c r="V191">
        <v>18166.150000000001</v>
      </c>
      <c r="W191">
        <v>1167.1600000000001</v>
      </c>
    </row>
    <row r="192" spans="1:23" x14ac:dyDescent="0.25">
      <c r="A192" s="2">
        <v>43319</v>
      </c>
      <c r="B192">
        <v>2300.16</v>
      </c>
      <c r="C192">
        <v>4300.49</v>
      </c>
      <c r="D192">
        <v>296.04000000000002</v>
      </c>
      <c r="E192">
        <v>409.99</v>
      </c>
      <c r="F192">
        <v>5738.62</v>
      </c>
      <c r="G192">
        <v>12946.95</v>
      </c>
      <c r="H192">
        <v>1646.47</v>
      </c>
      <c r="I192">
        <v>4927.03</v>
      </c>
      <c r="J192">
        <v>863.24</v>
      </c>
      <c r="K192">
        <v>17733.509999999998</v>
      </c>
      <c r="L192">
        <v>3300.87</v>
      </c>
      <c r="M192">
        <v>1451.23</v>
      </c>
      <c r="N192">
        <v>433.58</v>
      </c>
      <c r="O192">
        <v>1017.61</v>
      </c>
      <c r="P192">
        <v>118.72</v>
      </c>
      <c r="Q192">
        <v>1380.16</v>
      </c>
      <c r="R192">
        <v>369.67</v>
      </c>
      <c r="S192">
        <v>475.46</v>
      </c>
      <c r="T192">
        <v>316.58999999999997</v>
      </c>
      <c r="U192">
        <v>1803.39</v>
      </c>
      <c r="V192">
        <v>18300.61</v>
      </c>
      <c r="W192">
        <v>1158.72</v>
      </c>
    </row>
    <row r="193" spans="1:23" x14ac:dyDescent="0.25">
      <c r="A193" s="2">
        <v>43318</v>
      </c>
      <c r="B193">
        <v>2286.5</v>
      </c>
      <c r="C193">
        <v>4325.38</v>
      </c>
      <c r="D193">
        <v>300.08</v>
      </c>
      <c r="E193">
        <v>412.2</v>
      </c>
      <c r="F193">
        <v>5696.2</v>
      </c>
      <c r="G193">
        <v>12681.02</v>
      </c>
      <c r="H193">
        <v>1648.36</v>
      </c>
      <c r="I193">
        <v>4902.1099999999997</v>
      </c>
      <c r="J193">
        <v>865.09</v>
      </c>
      <c r="K193">
        <v>17437.509999999998</v>
      </c>
      <c r="L193">
        <v>3309.7</v>
      </c>
      <c r="M193">
        <v>1452.07</v>
      </c>
      <c r="N193">
        <v>433.35</v>
      </c>
      <c r="O193">
        <v>1033.44</v>
      </c>
      <c r="P193">
        <v>118.26</v>
      </c>
      <c r="Q193">
        <v>1367.05</v>
      </c>
      <c r="R193">
        <v>384.56</v>
      </c>
      <c r="S193">
        <v>476.67</v>
      </c>
      <c r="T193">
        <v>322.98</v>
      </c>
      <c r="U193">
        <v>1812.95</v>
      </c>
      <c r="V193">
        <v>18349.68</v>
      </c>
      <c r="W193">
        <v>1148.6400000000001</v>
      </c>
    </row>
    <row r="194" spans="1:23" x14ac:dyDescent="0.25">
      <c r="A194" s="2">
        <v>43315</v>
      </c>
      <c r="B194">
        <v>2287.6799999999998</v>
      </c>
      <c r="C194">
        <v>4332.93</v>
      </c>
      <c r="D194">
        <v>301.58999999999997</v>
      </c>
      <c r="E194">
        <v>416.54</v>
      </c>
      <c r="F194">
        <v>5748.35</v>
      </c>
      <c r="G194">
        <v>12682.3</v>
      </c>
      <c r="H194">
        <v>1664.36</v>
      </c>
      <c r="I194">
        <v>4795.47</v>
      </c>
      <c r="J194">
        <v>870.55</v>
      </c>
      <c r="K194">
        <v>17601.849999999999</v>
      </c>
      <c r="L194">
        <v>3344.91</v>
      </c>
      <c r="M194">
        <v>1438.24</v>
      </c>
      <c r="N194">
        <v>432.54</v>
      </c>
      <c r="O194">
        <v>1062.48</v>
      </c>
      <c r="P194">
        <v>120.69</v>
      </c>
      <c r="Q194">
        <v>1373.13</v>
      </c>
      <c r="R194">
        <v>380.81</v>
      </c>
      <c r="S194">
        <v>471.21</v>
      </c>
      <c r="T194">
        <v>325.74</v>
      </c>
      <c r="U194">
        <v>1805.78</v>
      </c>
      <c r="V194">
        <v>17730.82</v>
      </c>
      <c r="W194">
        <v>1145.7</v>
      </c>
    </row>
    <row r="195" spans="1:23" x14ac:dyDescent="0.25">
      <c r="A195" s="2">
        <v>43314</v>
      </c>
      <c r="B195">
        <v>2270.1999999999998</v>
      </c>
      <c r="C195">
        <v>4311.07</v>
      </c>
      <c r="D195">
        <v>300.86</v>
      </c>
      <c r="E195">
        <v>404.39</v>
      </c>
      <c r="F195">
        <v>5640.52</v>
      </c>
      <c r="G195">
        <v>12512.64</v>
      </c>
      <c r="H195">
        <v>1654.93</v>
      </c>
      <c r="I195">
        <v>4780.8999999999996</v>
      </c>
      <c r="J195">
        <v>851.93</v>
      </c>
      <c r="K195">
        <v>17518.810000000001</v>
      </c>
      <c r="L195">
        <v>3296.36</v>
      </c>
      <c r="M195">
        <v>1429.53</v>
      </c>
      <c r="N195">
        <v>428.74</v>
      </c>
      <c r="O195">
        <v>1062.1400000000001</v>
      </c>
      <c r="P195">
        <v>118.83</v>
      </c>
      <c r="Q195">
        <v>1360.89</v>
      </c>
      <c r="R195">
        <v>375.02</v>
      </c>
      <c r="S195">
        <v>468.87</v>
      </c>
      <c r="T195">
        <v>323.01</v>
      </c>
      <c r="U195">
        <v>1788.99</v>
      </c>
      <c r="V195">
        <v>17751.12</v>
      </c>
      <c r="W195">
        <v>1139.43</v>
      </c>
    </row>
    <row r="196" spans="1:23" x14ac:dyDescent="0.25">
      <c r="A196" s="2">
        <v>43313</v>
      </c>
      <c r="B196">
        <v>2307.0700000000002</v>
      </c>
      <c r="C196">
        <v>4355.59</v>
      </c>
      <c r="D196">
        <v>306.95999999999998</v>
      </c>
      <c r="E196">
        <v>395.9</v>
      </c>
      <c r="F196">
        <v>5716.61</v>
      </c>
      <c r="G196">
        <v>12581.21</v>
      </c>
      <c r="H196">
        <v>1646.05</v>
      </c>
      <c r="I196">
        <v>4937.04</v>
      </c>
      <c r="J196">
        <v>861.31</v>
      </c>
      <c r="K196">
        <v>17855.759999999998</v>
      </c>
      <c r="L196">
        <v>3325.71</v>
      </c>
      <c r="M196">
        <v>1462.58</v>
      </c>
      <c r="N196">
        <v>435.12</v>
      </c>
      <c r="O196">
        <v>1080.03</v>
      </c>
      <c r="P196">
        <v>119.91</v>
      </c>
      <c r="Q196">
        <v>1387.83</v>
      </c>
      <c r="R196">
        <v>367.39</v>
      </c>
      <c r="S196">
        <v>478.18</v>
      </c>
      <c r="T196">
        <v>331.62</v>
      </c>
      <c r="U196">
        <v>1830.81</v>
      </c>
      <c r="V196">
        <v>18080.009999999998</v>
      </c>
      <c r="W196">
        <v>1154.1400000000001</v>
      </c>
    </row>
    <row r="197" spans="1:23" x14ac:dyDescent="0.25">
      <c r="A197" s="2">
        <v>43312</v>
      </c>
      <c r="B197">
        <v>2295.2600000000002</v>
      </c>
      <c r="C197">
        <v>4332.49</v>
      </c>
      <c r="D197">
        <v>298.93</v>
      </c>
      <c r="E197">
        <v>385.94</v>
      </c>
      <c r="F197">
        <v>5675.43</v>
      </c>
      <c r="G197">
        <v>12281.44</v>
      </c>
      <c r="H197">
        <v>1644.04</v>
      </c>
      <c r="I197">
        <v>4898.49</v>
      </c>
      <c r="J197">
        <v>855.53</v>
      </c>
      <c r="K197">
        <v>17783.86</v>
      </c>
      <c r="L197">
        <v>3279.09</v>
      </c>
      <c r="M197">
        <v>1464.84</v>
      </c>
      <c r="N197">
        <v>431.65</v>
      </c>
      <c r="O197">
        <v>1099.8800000000001</v>
      </c>
      <c r="P197">
        <v>120.04</v>
      </c>
      <c r="Q197">
        <v>1378.95</v>
      </c>
      <c r="R197">
        <v>370.21</v>
      </c>
      <c r="S197">
        <v>475.12</v>
      </c>
      <c r="T197">
        <v>329.31</v>
      </c>
      <c r="U197">
        <v>1810.88</v>
      </c>
      <c r="V197">
        <v>17914.73</v>
      </c>
      <c r="W197">
        <v>1147.92</v>
      </c>
    </row>
    <row r="198" spans="1:23" x14ac:dyDescent="0.25">
      <c r="A198" s="2">
        <v>43311</v>
      </c>
      <c r="B198">
        <v>2293.5100000000002</v>
      </c>
      <c r="C198">
        <v>4336.7</v>
      </c>
      <c r="D198">
        <v>300.91000000000003</v>
      </c>
      <c r="E198">
        <v>387.77</v>
      </c>
      <c r="F198">
        <v>5673.33</v>
      </c>
      <c r="G198">
        <v>11961.08</v>
      </c>
      <c r="H198">
        <v>1650.93</v>
      </c>
      <c r="I198">
        <v>4869.9399999999996</v>
      </c>
      <c r="J198">
        <v>859.5</v>
      </c>
      <c r="K198">
        <v>17842.02</v>
      </c>
      <c r="L198">
        <v>3308.45</v>
      </c>
      <c r="M198">
        <v>1469.82</v>
      </c>
      <c r="N198">
        <v>431.45</v>
      </c>
      <c r="O198">
        <v>1088.3800000000001</v>
      </c>
      <c r="P198">
        <v>120.33</v>
      </c>
      <c r="Q198">
        <v>1384.13</v>
      </c>
      <c r="R198">
        <v>364.61</v>
      </c>
      <c r="S198">
        <v>475.3</v>
      </c>
      <c r="T198">
        <v>328.29</v>
      </c>
      <c r="U198">
        <v>1812.38</v>
      </c>
      <c r="V198">
        <v>17880.919999999998</v>
      </c>
      <c r="W198">
        <v>1151.17</v>
      </c>
    </row>
    <row r="199" spans="1:23" x14ac:dyDescent="0.25">
      <c r="A199" s="2">
        <v>43308</v>
      </c>
      <c r="B199">
        <v>2294.9899999999998</v>
      </c>
      <c r="C199">
        <v>4322.07</v>
      </c>
      <c r="D199">
        <v>301.26</v>
      </c>
      <c r="E199">
        <v>388.3</v>
      </c>
      <c r="F199">
        <v>5655.97</v>
      </c>
      <c r="G199">
        <v>11969.53</v>
      </c>
      <c r="H199">
        <v>1629.67</v>
      </c>
      <c r="I199">
        <v>4828.07</v>
      </c>
      <c r="J199">
        <v>854.93</v>
      </c>
      <c r="K199">
        <v>18015.04</v>
      </c>
      <c r="L199">
        <v>3343.07</v>
      </c>
      <c r="M199">
        <v>1460.92</v>
      </c>
      <c r="N199">
        <v>429.93</v>
      </c>
      <c r="O199">
        <v>1076.49</v>
      </c>
      <c r="P199">
        <v>117.28</v>
      </c>
      <c r="Q199">
        <v>1372.06</v>
      </c>
      <c r="R199">
        <v>361.9</v>
      </c>
      <c r="S199">
        <v>473.81</v>
      </c>
      <c r="T199">
        <v>328.29</v>
      </c>
      <c r="U199">
        <v>1813.47</v>
      </c>
      <c r="V199">
        <v>17675.32</v>
      </c>
      <c r="W199">
        <v>1163.75</v>
      </c>
    </row>
    <row r="200" spans="1:23" x14ac:dyDescent="0.25">
      <c r="A200" s="2">
        <v>43307</v>
      </c>
      <c r="B200">
        <v>2289.06</v>
      </c>
      <c r="C200">
        <v>4320.3999999999996</v>
      </c>
      <c r="D200">
        <v>306.24</v>
      </c>
      <c r="E200">
        <v>385.53</v>
      </c>
      <c r="F200">
        <v>5636.46</v>
      </c>
      <c r="G200">
        <v>11909.54</v>
      </c>
      <c r="H200">
        <v>1600.6</v>
      </c>
      <c r="I200">
        <v>4837.29</v>
      </c>
      <c r="J200">
        <v>842.45</v>
      </c>
      <c r="K200">
        <v>17947.71</v>
      </c>
      <c r="L200">
        <v>3278.03</v>
      </c>
      <c r="M200">
        <v>1448.01</v>
      </c>
      <c r="N200">
        <v>425.63</v>
      </c>
      <c r="O200">
        <v>1091.8800000000001</v>
      </c>
      <c r="P200">
        <v>117.32</v>
      </c>
      <c r="Q200">
        <v>1366.75</v>
      </c>
      <c r="R200">
        <v>356.61</v>
      </c>
      <c r="S200">
        <v>473.65</v>
      </c>
      <c r="T200">
        <v>326.2</v>
      </c>
      <c r="U200">
        <v>1823.4</v>
      </c>
      <c r="V200">
        <v>17559.330000000002</v>
      </c>
      <c r="W200">
        <v>1170.92</v>
      </c>
    </row>
    <row r="201" spans="1:23" x14ac:dyDescent="0.25">
      <c r="A201" s="2">
        <v>43306</v>
      </c>
      <c r="B201">
        <v>2273.0300000000002</v>
      </c>
      <c r="C201">
        <v>4329.46</v>
      </c>
      <c r="D201">
        <v>298.7</v>
      </c>
      <c r="E201">
        <v>379.63</v>
      </c>
      <c r="F201">
        <v>5584.74</v>
      </c>
      <c r="G201">
        <v>11907.75</v>
      </c>
      <c r="H201">
        <v>1566.41</v>
      </c>
      <c r="I201">
        <v>4777.49</v>
      </c>
      <c r="J201">
        <v>826.55</v>
      </c>
      <c r="K201">
        <v>17633</v>
      </c>
      <c r="L201">
        <v>3240.58</v>
      </c>
      <c r="M201">
        <v>1442.49</v>
      </c>
      <c r="N201">
        <v>423.52</v>
      </c>
      <c r="O201">
        <v>1094.49</v>
      </c>
      <c r="P201">
        <v>117.86</v>
      </c>
      <c r="Q201">
        <v>1348.73</v>
      </c>
      <c r="R201">
        <v>360.12</v>
      </c>
      <c r="S201">
        <v>475.15</v>
      </c>
      <c r="T201">
        <v>328.48</v>
      </c>
      <c r="U201">
        <v>1799.59</v>
      </c>
      <c r="V201">
        <v>17812.86</v>
      </c>
      <c r="W201">
        <v>1166.4000000000001</v>
      </c>
    </row>
    <row r="202" spans="1:23" x14ac:dyDescent="0.25">
      <c r="A202" s="2">
        <v>43305</v>
      </c>
      <c r="B202">
        <v>2280.1999999999998</v>
      </c>
      <c r="C202">
        <v>4342.7299999999996</v>
      </c>
      <c r="D202">
        <v>296.45999999999998</v>
      </c>
      <c r="E202">
        <v>381.11</v>
      </c>
      <c r="F202">
        <v>5529.1</v>
      </c>
      <c r="G202">
        <v>12488.35</v>
      </c>
      <c r="H202">
        <v>1531.96</v>
      </c>
      <c r="I202">
        <v>4750.97</v>
      </c>
      <c r="J202">
        <v>828.91</v>
      </c>
      <c r="K202">
        <v>17738.46</v>
      </c>
      <c r="L202">
        <v>3244.84</v>
      </c>
      <c r="M202">
        <v>1436.58</v>
      </c>
      <c r="N202">
        <v>427.31</v>
      </c>
      <c r="O202">
        <v>1095.1400000000001</v>
      </c>
      <c r="P202">
        <v>115.97</v>
      </c>
      <c r="Q202">
        <v>1344.1</v>
      </c>
      <c r="R202">
        <v>357.96</v>
      </c>
      <c r="S202">
        <v>475.98</v>
      </c>
      <c r="T202">
        <v>323.51</v>
      </c>
      <c r="U202">
        <v>1794.45</v>
      </c>
      <c r="V202">
        <v>17948.48</v>
      </c>
      <c r="W202">
        <v>1163.22</v>
      </c>
    </row>
    <row r="203" spans="1:23" x14ac:dyDescent="0.25">
      <c r="A203" s="2">
        <v>43304</v>
      </c>
      <c r="B203">
        <v>2269.31</v>
      </c>
      <c r="C203">
        <v>4296.68</v>
      </c>
      <c r="D203">
        <v>292.66000000000003</v>
      </c>
      <c r="E203">
        <v>377.71</v>
      </c>
      <c r="F203">
        <v>5478.86</v>
      </c>
      <c r="G203">
        <v>12549.54</v>
      </c>
      <c r="H203">
        <v>1446.79</v>
      </c>
      <c r="I203">
        <v>4615.21</v>
      </c>
      <c r="J203">
        <v>806.57</v>
      </c>
      <c r="K203">
        <v>17681.060000000001</v>
      </c>
      <c r="L203">
        <v>3237.35</v>
      </c>
      <c r="M203">
        <v>1444.14</v>
      </c>
      <c r="N203">
        <v>422.27</v>
      </c>
      <c r="O203">
        <v>1071.4100000000001</v>
      </c>
      <c r="P203">
        <v>110.13</v>
      </c>
      <c r="Q203">
        <v>1353.7</v>
      </c>
      <c r="R203">
        <v>356.17</v>
      </c>
      <c r="S203">
        <v>475.52</v>
      </c>
      <c r="T203">
        <v>326.17</v>
      </c>
      <c r="U203">
        <v>1783.39</v>
      </c>
      <c r="V203">
        <v>17853.509999999998</v>
      </c>
      <c r="W203">
        <v>1170.4000000000001</v>
      </c>
    </row>
    <row r="204" spans="1:23" x14ac:dyDescent="0.25">
      <c r="A204" s="2">
        <v>43301</v>
      </c>
      <c r="B204">
        <v>2289.19</v>
      </c>
      <c r="C204">
        <v>4262.28</v>
      </c>
      <c r="D204">
        <v>296.02</v>
      </c>
      <c r="E204">
        <v>384.2</v>
      </c>
      <c r="F204">
        <v>5520.41</v>
      </c>
      <c r="G204">
        <v>13060.46</v>
      </c>
      <c r="H204">
        <v>1474.7</v>
      </c>
      <c r="I204">
        <v>4528.09</v>
      </c>
      <c r="J204">
        <v>815.56</v>
      </c>
      <c r="K204">
        <v>18222.21</v>
      </c>
      <c r="L204">
        <v>3359.57</v>
      </c>
      <c r="M204">
        <v>1425.13</v>
      </c>
      <c r="N204">
        <v>421.88</v>
      </c>
      <c r="O204">
        <v>1046.3699999999999</v>
      </c>
      <c r="P204">
        <v>111.92</v>
      </c>
      <c r="Q204">
        <v>1355.26</v>
      </c>
      <c r="R204">
        <v>354.81</v>
      </c>
      <c r="S204">
        <v>471.94</v>
      </c>
      <c r="T204">
        <v>324.32</v>
      </c>
      <c r="U204">
        <v>1798.18</v>
      </c>
      <c r="V204">
        <v>17554.37</v>
      </c>
      <c r="W204">
        <v>1165.25</v>
      </c>
    </row>
    <row r="205" spans="1:23" x14ac:dyDescent="0.25">
      <c r="A205" s="2">
        <v>43300</v>
      </c>
      <c r="B205">
        <v>2282.29</v>
      </c>
      <c r="C205">
        <v>4270.7700000000004</v>
      </c>
      <c r="D205">
        <v>295.10000000000002</v>
      </c>
      <c r="E205">
        <v>386.24</v>
      </c>
      <c r="F205">
        <v>5536.35</v>
      </c>
      <c r="G205">
        <v>13079.66</v>
      </c>
      <c r="H205">
        <v>1482.1</v>
      </c>
      <c r="I205">
        <v>4597.2299999999996</v>
      </c>
      <c r="J205">
        <v>817.21</v>
      </c>
      <c r="K205">
        <v>18170.61</v>
      </c>
      <c r="L205">
        <v>3337.41</v>
      </c>
      <c r="M205">
        <v>1401.67</v>
      </c>
      <c r="N205">
        <v>423.78</v>
      </c>
      <c r="O205">
        <v>1037.52</v>
      </c>
      <c r="P205">
        <v>110.57</v>
      </c>
      <c r="Q205">
        <v>1340.47</v>
      </c>
      <c r="R205">
        <v>350.98</v>
      </c>
      <c r="S205">
        <v>469.13</v>
      </c>
      <c r="T205">
        <v>322.01</v>
      </c>
      <c r="U205">
        <v>1788.79</v>
      </c>
      <c r="V205">
        <v>17355.259999999998</v>
      </c>
      <c r="W205">
        <v>1159.32</v>
      </c>
    </row>
    <row r="206" spans="1:23" x14ac:dyDescent="0.25">
      <c r="A206" s="2">
        <v>43299</v>
      </c>
      <c r="B206">
        <v>2290.11</v>
      </c>
      <c r="C206">
        <v>4319.99</v>
      </c>
      <c r="D206">
        <v>297.83999999999997</v>
      </c>
      <c r="E206">
        <v>377.97</v>
      </c>
      <c r="F206">
        <v>5587.02</v>
      </c>
      <c r="G206">
        <v>13092.55</v>
      </c>
      <c r="H206">
        <v>1507.38</v>
      </c>
      <c r="I206">
        <v>4661.97</v>
      </c>
      <c r="J206">
        <v>824.28</v>
      </c>
      <c r="K206">
        <v>17996.62</v>
      </c>
      <c r="L206">
        <v>3389.37</v>
      </c>
      <c r="M206">
        <v>1404.8</v>
      </c>
      <c r="N206">
        <v>430.41</v>
      </c>
      <c r="O206">
        <v>1047.8</v>
      </c>
      <c r="P206">
        <v>111.53</v>
      </c>
      <c r="Q206">
        <v>1366.15</v>
      </c>
      <c r="R206">
        <v>352.47</v>
      </c>
      <c r="S206">
        <v>473.9</v>
      </c>
      <c r="T206">
        <v>322.76</v>
      </c>
      <c r="U206">
        <v>1815.12</v>
      </c>
      <c r="V206">
        <v>17553.8</v>
      </c>
      <c r="W206">
        <v>1172.54</v>
      </c>
    </row>
    <row r="207" spans="1:23" x14ac:dyDescent="0.25">
      <c r="A207" s="2">
        <v>43298</v>
      </c>
      <c r="B207">
        <v>2297.92</v>
      </c>
      <c r="C207">
        <v>4370.74</v>
      </c>
      <c r="D207">
        <v>303.64</v>
      </c>
      <c r="E207">
        <v>384.12</v>
      </c>
      <c r="F207">
        <v>5609.77</v>
      </c>
      <c r="G207">
        <v>13265.84</v>
      </c>
      <c r="H207">
        <v>1570.08</v>
      </c>
      <c r="I207">
        <v>4688.07</v>
      </c>
      <c r="J207">
        <v>840.34</v>
      </c>
      <c r="K207">
        <v>17799.75</v>
      </c>
      <c r="L207">
        <v>3448.73</v>
      </c>
      <c r="M207">
        <v>1435.3</v>
      </c>
      <c r="N207">
        <v>433.16</v>
      </c>
      <c r="O207">
        <v>1067.8599999999999</v>
      </c>
      <c r="P207">
        <v>115.09</v>
      </c>
      <c r="Q207">
        <v>1378.8</v>
      </c>
      <c r="R207">
        <v>355.7</v>
      </c>
      <c r="S207">
        <v>476.93</v>
      </c>
      <c r="T207">
        <v>325.23</v>
      </c>
      <c r="U207">
        <v>1824.44</v>
      </c>
      <c r="V207">
        <v>17484.919999999998</v>
      </c>
      <c r="W207">
        <v>1173.3800000000001</v>
      </c>
    </row>
    <row r="208" spans="1:23" x14ac:dyDescent="0.25">
      <c r="A208" s="2">
        <v>43297</v>
      </c>
      <c r="B208">
        <v>2301.9899999999998</v>
      </c>
      <c r="C208">
        <v>4424.8900000000003</v>
      </c>
      <c r="D208">
        <v>306.37</v>
      </c>
      <c r="E208">
        <v>389</v>
      </c>
      <c r="F208">
        <v>5697.99</v>
      </c>
      <c r="G208">
        <v>13217.12</v>
      </c>
      <c r="H208">
        <v>1590.54</v>
      </c>
      <c r="I208">
        <v>4646.8900000000003</v>
      </c>
      <c r="J208">
        <v>846.56</v>
      </c>
      <c r="K208">
        <v>17858.16</v>
      </c>
      <c r="L208">
        <v>3496.57</v>
      </c>
      <c r="M208">
        <v>1431.62</v>
      </c>
      <c r="N208">
        <v>429.21</v>
      </c>
      <c r="O208">
        <v>1053.6400000000001</v>
      </c>
      <c r="P208">
        <v>115.3</v>
      </c>
      <c r="Q208">
        <v>1375.98</v>
      </c>
      <c r="R208">
        <v>354.14</v>
      </c>
      <c r="S208">
        <v>477.15</v>
      </c>
      <c r="T208">
        <v>328.59</v>
      </c>
      <c r="U208">
        <v>1846.26</v>
      </c>
      <c r="V208">
        <v>17537.580000000002</v>
      </c>
      <c r="W208">
        <v>1175.97</v>
      </c>
    </row>
    <row r="209" spans="1:23" x14ac:dyDescent="0.25">
      <c r="A209" s="2">
        <v>43294</v>
      </c>
      <c r="B209">
        <v>2310.9</v>
      </c>
      <c r="C209">
        <v>4497.0600000000004</v>
      </c>
      <c r="D209">
        <v>305.74</v>
      </c>
      <c r="E209">
        <v>391.23</v>
      </c>
      <c r="F209">
        <v>5703.7</v>
      </c>
      <c r="G209">
        <v>13039.89</v>
      </c>
      <c r="H209">
        <v>1600.45</v>
      </c>
      <c r="I209">
        <v>4675.6899999999996</v>
      </c>
      <c r="J209">
        <v>844.47</v>
      </c>
      <c r="K209">
        <v>18002.34</v>
      </c>
      <c r="L209">
        <v>3478.15</v>
      </c>
      <c r="M209">
        <v>1402.41</v>
      </c>
      <c r="N209">
        <v>434.02</v>
      </c>
      <c r="O209">
        <v>1060.19</v>
      </c>
      <c r="P209">
        <v>117.36</v>
      </c>
      <c r="Q209">
        <v>1365.86</v>
      </c>
      <c r="R209">
        <v>356.67</v>
      </c>
      <c r="S209">
        <v>480.33</v>
      </c>
      <c r="T209">
        <v>333.13</v>
      </c>
      <c r="U209">
        <v>1874.01</v>
      </c>
      <c r="V209">
        <v>17617.53</v>
      </c>
      <c r="W209">
        <v>1188.44</v>
      </c>
    </row>
    <row r="210" spans="1:23" x14ac:dyDescent="0.25">
      <c r="A210" s="2">
        <v>43293</v>
      </c>
      <c r="B210">
        <v>2285.06</v>
      </c>
      <c r="C210">
        <v>4504.42</v>
      </c>
      <c r="D210">
        <v>297.25</v>
      </c>
      <c r="E210">
        <v>388.49</v>
      </c>
      <c r="F210">
        <v>5617.62</v>
      </c>
      <c r="G210">
        <v>13249.08</v>
      </c>
      <c r="H210">
        <v>1592.8</v>
      </c>
      <c r="I210">
        <v>4622.8900000000003</v>
      </c>
      <c r="J210">
        <v>820.5</v>
      </c>
      <c r="K210">
        <v>17581.689999999999</v>
      </c>
      <c r="L210">
        <v>3465.55</v>
      </c>
      <c r="M210">
        <v>1394.08</v>
      </c>
      <c r="N210">
        <v>436.91</v>
      </c>
      <c r="O210">
        <v>1064.99</v>
      </c>
      <c r="P210">
        <v>115.35</v>
      </c>
      <c r="Q210">
        <v>1346.74</v>
      </c>
      <c r="R210">
        <v>353.04</v>
      </c>
      <c r="S210">
        <v>473.2</v>
      </c>
      <c r="T210">
        <v>324.27</v>
      </c>
      <c r="U210">
        <v>1833.31</v>
      </c>
      <c r="V210">
        <v>17634.95</v>
      </c>
      <c r="W210">
        <v>1197.8499999999999</v>
      </c>
    </row>
    <row r="211" spans="1:23" x14ac:dyDescent="0.25">
      <c r="A211" s="2">
        <v>43292</v>
      </c>
      <c r="B211">
        <v>2280.62</v>
      </c>
      <c r="C211">
        <v>4464.75</v>
      </c>
      <c r="D211">
        <v>294.04000000000002</v>
      </c>
      <c r="E211">
        <v>383.42</v>
      </c>
      <c r="F211">
        <v>5567.45</v>
      </c>
      <c r="G211">
        <v>12845.72</v>
      </c>
      <c r="H211">
        <v>1622.33</v>
      </c>
      <c r="I211">
        <v>4606.6499999999996</v>
      </c>
      <c r="J211">
        <v>820.62</v>
      </c>
      <c r="K211">
        <v>17719.36</v>
      </c>
      <c r="L211">
        <v>3443.17</v>
      </c>
      <c r="M211">
        <v>1384.76</v>
      </c>
      <c r="N211">
        <v>435.8</v>
      </c>
      <c r="O211">
        <v>1050.2</v>
      </c>
      <c r="P211">
        <v>116.63</v>
      </c>
      <c r="Q211">
        <v>1338.04</v>
      </c>
      <c r="R211">
        <v>354.83</v>
      </c>
      <c r="S211">
        <v>474.87</v>
      </c>
      <c r="T211">
        <v>329</v>
      </c>
      <c r="U211">
        <v>1837.1</v>
      </c>
      <c r="V211">
        <v>17705.27</v>
      </c>
      <c r="W211">
        <v>1181.0899999999999</v>
      </c>
    </row>
    <row r="212" spans="1:23" x14ac:dyDescent="0.25">
      <c r="A212" s="2">
        <v>43291</v>
      </c>
      <c r="B212">
        <v>2294.16</v>
      </c>
      <c r="C212">
        <v>4492.8900000000003</v>
      </c>
      <c r="D212">
        <v>295.23</v>
      </c>
      <c r="E212">
        <v>383.48</v>
      </c>
      <c r="F212">
        <v>5587.81</v>
      </c>
      <c r="G212">
        <v>13024.04</v>
      </c>
      <c r="H212">
        <v>1571.6</v>
      </c>
      <c r="I212">
        <v>4605.01</v>
      </c>
      <c r="J212">
        <v>821.77</v>
      </c>
      <c r="K212">
        <v>17830.11</v>
      </c>
      <c r="L212">
        <v>3491.99</v>
      </c>
      <c r="M212">
        <v>1405.07</v>
      </c>
      <c r="N212">
        <v>442.49</v>
      </c>
      <c r="O212">
        <v>1047.01</v>
      </c>
      <c r="P212">
        <v>115.17</v>
      </c>
      <c r="Q212">
        <v>1342.11</v>
      </c>
      <c r="R212">
        <v>349.72</v>
      </c>
      <c r="S212">
        <v>478.17</v>
      </c>
      <c r="T212">
        <v>327.99</v>
      </c>
      <c r="U212">
        <v>1868.46</v>
      </c>
      <c r="V212">
        <v>17911.689999999999</v>
      </c>
      <c r="W212">
        <v>1185.73</v>
      </c>
    </row>
    <row r="213" spans="1:23" x14ac:dyDescent="0.25">
      <c r="A213" s="2">
        <v>43290</v>
      </c>
      <c r="B213">
        <v>2285.8000000000002</v>
      </c>
      <c r="C213">
        <v>4528.8500000000004</v>
      </c>
      <c r="D213">
        <v>293.75</v>
      </c>
      <c r="E213">
        <v>377.11</v>
      </c>
      <c r="F213">
        <v>5580.23</v>
      </c>
      <c r="G213">
        <v>13142.61</v>
      </c>
      <c r="H213">
        <v>1562.78</v>
      </c>
      <c r="I213">
        <v>4528.72</v>
      </c>
      <c r="J213">
        <v>821.33</v>
      </c>
      <c r="K213">
        <v>17646.97</v>
      </c>
      <c r="L213">
        <v>3446.57</v>
      </c>
      <c r="M213">
        <v>1413.16</v>
      </c>
      <c r="N213">
        <v>440.3</v>
      </c>
      <c r="O213">
        <v>1043.27</v>
      </c>
      <c r="P213">
        <v>114.38</v>
      </c>
      <c r="Q213">
        <v>1326.59</v>
      </c>
      <c r="R213">
        <v>343.6</v>
      </c>
      <c r="S213">
        <v>479.76</v>
      </c>
      <c r="T213">
        <v>333.48</v>
      </c>
      <c r="U213">
        <v>1858.15</v>
      </c>
      <c r="V213">
        <v>18103.580000000002</v>
      </c>
      <c r="W213">
        <v>1177.6600000000001</v>
      </c>
    </row>
    <row r="214" spans="1:23" x14ac:dyDescent="0.25">
      <c r="A214" s="2">
        <v>43287</v>
      </c>
      <c r="B214">
        <v>2272.87</v>
      </c>
      <c r="C214">
        <v>4496.66</v>
      </c>
      <c r="D214">
        <v>299.75</v>
      </c>
      <c r="E214">
        <v>384.21</v>
      </c>
      <c r="F214">
        <v>5574.81</v>
      </c>
      <c r="G214">
        <v>13033.07</v>
      </c>
      <c r="H214">
        <v>1624.94</v>
      </c>
      <c r="I214">
        <v>4639.12</v>
      </c>
      <c r="J214">
        <v>842.9</v>
      </c>
      <c r="K214">
        <v>17335.46</v>
      </c>
      <c r="L214">
        <v>3447.83</v>
      </c>
      <c r="M214">
        <v>1411.47</v>
      </c>
      <c r="N214">
        <v>445.88</v>
      </c>
      <c r="O214">
        <v>1060.23</v>
      </c>
      <c r="P214">
        <v>118.68</v>
      </c>
      <c r="Q214">
        <v>1330.91</v>
      </c>
      <c r="R214">
        <v>340.79</v>
      </c>
      <c r="S214">
        <v>476.5</v>
      </c>
      <c r="T214">
        <v>328.02</v>
      </c>
      <c r="U214">
        <v>1872.19</v>
      </c>
      <c r="V214">
        <v>18017.330000000002</v>
      </c>
      <c r="W214">
        <v>1158.5</v>
      </c>
    </row>
    <row r="215" spans="1:23" x14ac:dyDescent="0.25">
      <c r="A215" s="2">
        <v>43286</v>
      </c>
      <c r="B215">
        <v>2257.5500000000002</v>
      </c>
      <c r="C215">
        <v>4418.79</v>
      </c>
      <c r="D215">
        <v>294.99</v>
      </c>
      <c r="E215">
        <v>379.71</v>
      </c>
      <c r="F215">
        <v>5513.21</v>
      </c>
      <c r="G215">
        <v>12895.98</v>
      </c>
      <c r="H215">
        <v>1604.63</v>
      </c>
      <c r="I215">
        <v>4582.55</v>
      </c>
      <c r="J215">
        <v>820.72</v>
      </c>
      <c r="K215">
        <v>17569.79</v>
      </c>
      <c r="L215">
        <v>3459.55</v>
      </c>
      <c r="M215">
        <v>1373.36</v>
      </c>
      <c r="N215">
        <v>440.25</v>
      </c>
      <c r="O215">
        <v>1054.76</v>
      </c>
      <c r="P215">
        <v>114.25</v>
      </c>
      <c r="Q215">
        <v>1315.85</v>
      </c>
      <c r="R215">
        <v>340.1</v>
      </c>
      <c r="S215">
        <v>466.88</v>
      </c>
      <c r="T215">
        <v>319.95999999999998</v>
      </c>
      <c r="U215">
        <v>1830.69</v>
      </c>
      <c r="V215">
        <v>17674.939999999999</v>
      </c>
      <c r="W215">
        <v>1155.57</v>
      </c>
    </row>
    <row r="216" spans="1:23" x14ac:dyDescent="0.25">
      <c r="A216" s="2">
        <v>43285</v>
      </c>
      <c r="B216">
        <v>2265.46</v>
      </c>
      <c r="C216">
        <v>4491.34</v>
      </c>
      <c r="D216">
        <v>297.36</v>
      </c>
      <c r="E216">
        <v>391.48</v>
      </c>
      <c r="F216">
        <v>5511.98</v>
      </c>
      <c r="G216">
        <v>13174.56</v>
      </c>
      <c r="H216">
        <v>1631.84</v>
      </c>
      <c r="I216">
        <v>4569.45</v>
      </c>
      <c r="J216">
        <v>821.92</v>
      </c>
      <c r="K216">
        <v>17606.73</v>
      </c>
      <c r="L216">
        <v>3466.83</v>
      </c>
      <c r="M216">
        <v>1364.56</v>
      </c>
      <c r="N216">
        <v>442.92</v>
      </c>
      <c r="O216">
        <v>1065.81</v>
      </c>
      <c r="P216">
        <v>116.97</v>
      </c>
      <c r="Q216">
        <v>1311.66</v>
      </c>
      <c r="R216">
        <v>340.72</v>
      </c>
      <c r="S216">
        <v>466.53</v>
      </c>
      <c r="T216">
        <v>319.44</v>
      </c>
      <c r="U216">
        <v>1826.96</v>
      </c>
      <c r="V216">
        <v>17672.43</v>
      </c>
      <c r="W216">
        <v>1166.0999999999999</v>
      </c>
    </row>
    <row r="217" spans="1:23" x14ac:dyDescent="0.25">
      <c r="A217" s="2">
        <v>43284</v>
      </c>
      <c r="B217">
        <v>2272.7600000000002</v>
      </c>
      <c r="C217">
        <v>4481.78</v>
      </c>
      <c r="D217">
        <v>305.86</v>
      </c>
      <c r="E217">
        <v>391.81</v>
      </c>
      <c r="F217">
        <v>5549.49</v>
      </c>
      <c r="G217">
        <v>13323.06</v>
      </c>
      <c r="H217">
        <v>1617.46</v>
      </c>
      <c r="I217">
        <v>4652.6499999999996</v>
      </c>
      <c r="J217">
        <v>839.38</v>
      </c>
      <c r="K217">
        <v>17646.05</v>
      </c>
      <c r="L217">
        <v>3475.97</v>
      </c>
      <c r="M217">
        <v>1394.76</v>
      </c>
      <c r="N217">
        <v>440.47</v>
      </c>
      <c r="O217">
        <v>1065.8599999999999</v>
      </c>
      <c r="P217">
        <v>116.57</v>
      </c>
      <c r="Q217">
        <v>1293.5</v>
      </c>
      <c r="R217">
        <v>339.67</v>
      </c>
      <c r="S217">
        <v>467.38</v>
      </c>
      <c r="T217">
        <v>319.55</v>
      </c>
      <c r="U217">
        <v>1848.87</v>
      </c>
      <c r="V217">
        <v>17579.3</v>
      </c>
      <c r="W217">
        <v>1152.72</v>
      </c>
    </row>
    <row r="218" spans="1:23" x14ac:dyDescent="0.25">
      <c r="A218" s="2">
        <v>43283</v>
      </c>
      <c r="B218">
        <v>2271.54</v>
      </c>
      <c r="C218">
        <v>4550.42</v>
      </c>
      <c r="D218">
        <v>307.48</v>
      </c>
      <c r="E218">
        <v>390.18</v>
      </c>
      <c r="F218">
        <v>5622.25</v>
      </c>
      <c r="G218">
        <v>13192.41</v>
      </c>
      <c r="H218">
        <v>1592.87</v>
      </c>
      <c r="I218">
        <v>4686.4799999999996</v>
      </c>
      <c r="J218">
        <v>840.44</v>
      </c>
      <c r="K218">
        <v>17410.68</v>
      </c>
      <c r="L218">
        <v>3514.37</v>
      </c>
      <c r="M218">
        <v>1400.36</v>
      </c>
      <c r="N218">
        <v>449.35</v>
      </c>
      <c r="O218">
        <v>1085.8499999999999</v>
      </c>
      <c r="P218">
        <v>114.56</v>
      </c>
      <c r="Q218">
        <v>1287.02</v>
      </c>
      <c r="R218">
        <v>342.4</v>
      </c>
      <c r="S218">
        <v>469.32</v>
      </c>
      <c r="T218">
        <v>320.8</v>
      </c>
      <c r="U218">
        <v>1844.3</v>
      </c>
      <c r="V218">
        <v>17358.86</v>
      </c>
      <c r="W218">
        <v>1151.47</v>
      </c>
    </row>
    <row r="219" spans="1:23" x14ac:dyDescent="0.25">
      <c r="A219" s="2">
        <v>43280</v>
      </c>
      <c r="B219">
        <v>2326.13</v>
      </c>
      <c r="C219">
        <v>4628.4399999999996</v>
      </c>
      <c r="D219">
        <v>312.88</v>
      </c>
      <c r="E219">
        <v>406.3</v>
      </c>
      <c r="F219">
        <v>5792.04</v>
      </c>
      <c r="G219">
        <v>13320.24</v>
      </c>
      <c r="H219">
        <v>1686.87</v>
      </c>
      <c r="I219">
        <v>4875.5600000000004</v>
      </c>
      <c r="J219">
        <v>871.59</v>
      </c>
      <c r="K219">
        <v>17805.32</v>
      </c>
      <c r="L219">
        <v>3521.06</v>
      </c>
      <c r="M219">
        <v>1430.69</v>
      </c>
      <c r="N219">
        <v>459.65</v>
      </c>
      <c r="O219">
        <v>1090.73</v>
      </c>
      <c r="P219">
        <v>120.47</v>
      </c>
      <c r="Q219">
        <v>1341.21</v>
      </c>
      <c r="R219">
        <v>347.48</v>
      </c>
      <c r="S219">
        <v>481.59</v>
      </c>
      <c r="T219">
        <v>320.42</v>
      </c>
      <c r="U219">
        <v>1933.03</v>
      </c>
      <c r="V219">
        <v>17805.02</v>
      </c>
      <c r="W219">
        <v>1177.06</v>
      </c>
    </row>
    <row r="220" spans="1:23" x14ac:dyDescent="0.25">
      <c r="A220" s="2">
        <v>43279</v>
      </c>
      <c r="B220">
        <v>2314.2399999999998</v>
      </c>
      <c r="C220">
        <v>4632.41</v>
      </c>
      <c r="D220">
        <v>315.74</v>
      </c>
      <c r="E220">
        <v>401.83</v>
      </c>
      <c r="F220">
        <v>5810.23</v>
      </c>
      <c r="G220">
        <v>13177.51</v>
      </c>
      <c r="H220">
        <v>1603.87</v>
      </c>
      <c r="I220">
        <v>4784.47</v>
      </c>
      <c r="J220">
        <v>860.46</v>
      </c>
      <c r="K220">
        <v>17771.88</v>
      </c>
      <c r="L220">
        <v>3461.51</v>
      </c>
      <c r="M220">
        <v>1431.9</v>
      </c>
      <c r="N220">
        <v>458</v>
      </c>
      <c r="O220">
        <v>1090.3900000000001</v>
      </c>
      <c r="P220">
        <v>116.87</v>
      </c>
      <c r="Q220">
        <v>1315.07</v>
      </c>
      <c r="R220">
        <v>346.9</v>
      </c>
      <c r="S220">
        <v>478.06</v>
      </c>
      <c r="T220">
        <v>314.10000000000002</v>
      </c>
      <c r="U220">
        <v>1918.88</v>
      </c>
      <c r="V220">
        <v>17785.439999999999</v>
      </c>
      <c r="W220">
        <v>1168.79</v>
      </c>
    </row>
    <row r="221" spans="1:23" x14ac:dyDescent="0.25">
      <c r="A221" s="2">
        <v>43278</v>
      </c>
      <c r="B221">
        <v>2342.0300000000002</v>
      </c>
      <c r="C221">
        <v>4578.3999999999996</v>
      </c>
      <c r="D221">
        <v>317.44</v>
      </c>
      <c r="E221">
        <v>410.23</v>
      </c>
      <c r="F221">
        <v>5788.68</v>
      </c>
      <c r="G221">
        <v>13430.89</v>
      </c>
      <c r="H221">
        <v>1647.6</v>
      </c>
      <c r="I221">
        <v>4876.92</v>
      </c>
      <c r="J221">
        <v>875.64</v>
      </c>
      <c r="K221">
        <v>18181.73</v>
      </c>
      <c r="L221">
        <v>3511.31</v>
      </c>
      <c r="M221">
        <v>1441.59</v>
      </c>
      <c r="N221">
        <v>456.02</v>
      </c>
      <c r="O221">
        <v>1109.48</v>
      </c>
      <c r="P221">
        <v>119.1</v>
      </c>
      <c r="Q221">
        <v>1328.58</v>
      </c>
      <c r="R221">
        <v>349.67</v>
      </c>
      <c r="S221">
        <v>483.26</v>
      </c>
      <c r="T221">
        <v>320.89999999999998</v>
      </c>
      <c r="U221">
        <v>1939.39</v>
      </c>
      <c r="V221">
        <v>17951.080000000002</v>
      </c>
      <c r="W221">
        <v>1175.92</v>
      </c>
    </row>
    <row r="222" spans="1:23" x14ac:dyDescent="0.25">
      <c r="A222" s="2">
        <v>43277</v>
      </c>
      <c r="B222">
        <v>2350.92</v>
      </c>
      <c r="C222">
        <v>4615.28</v>
      </c>
      <c r="D222">
        <v>314.87</v>
      </c>
      <c r="E222">
        <v>405.48</v>
      </c>
      <c r="F222">
        <v>5907.08</v>
      </c>
      <c r="G222">
        <v>13389.32</v>
      </c>
      <c r="H222">
        <v>1698.9</v>
      </c>
      <c r="I222">
        <v>5049.32</v>
      </c>
      <c r="J222">
        <v>895.63</v>
      </c>
      <c r="K222">
        <v>17902.16</v>
      </c>
      <c r="L222">
        <v>3484.68</v>
      </c>
      <c r="M222">
        <v>1474.65</v>
      </c>
      <c r="N222">
        <v>455.8</v>
      </c>
      <c r="O222">
        <v>1147.3800000000001</v>
      </c>
      <c r="P222">
        <v>124.63</v>
      </c>
      <c r="Q222">
        <v>1360.79</v>
      </c>
      <c r="R222">
        <v>349.58</v>
      </c>
      <c r="S222">
        <v>486.36</v>
      </c>
      <c r="T222">
        <v>325.8</v>
      </c>
      <c r="U222">
        <v>1952.62</v>
      </c>
      <c r="V222">
        <v>17987.84</v>
      </c>
      <c r="W222">
        <v>1180.49</v>
      </c>
    </row>
    <row r="223" spans="1:23" x14ac:dyDescent="0.25">
      <c r="A223" s="2">
        <v>43276</v>
      </c>
      <c r="B223">
        <v>2357.88</v>
      </c>
      <c r="C223">
        <v>4687.8599999999997</v>
      </c>
      <c r="D223">
        <v>321.24</v>
      </c>
      <c r="E223">
        <v>410.14</v>
      </c>
      <c r="F223">
        <v>5892.68</v>
      </c>
      <c r="G223">
        <v>13344.47</v>
      </c>
      <c r="H223">
        <v>1762.95</v>
      </c>
      <c r="I223">
        <v>5187.9799999999996</v>
      </c>
      <c r="J223">
        <v>913.59</v>
      </c>
      <c r="K223">
        <v>17867.28</v>
      </c>
      <c r="L223">
        <v>3547.55</v>
      </c>
      <c r="M223">
        <v>1471.93</v>
      </c>
      <c r="N223">
        <v>458.87</v>
      </c>
      <c r="O223">
        <v>1154.23</v>
      </c>
      <c r="P223">
        <v>127.83</v>
      </c>
      <c r="Q223">
        <v>1378.78</v>
      </c>
      <c r="R223">
        <v>352.01</v>
      </c>
      <c r="S223">
        <v>487.92</v>
      </c>
      <c r="T223">
        <v>323.69</v>
      </c>
      <c r="U223">
        <v>1990.96</v>
      </c>
      <c r="V223">
        <v>18073.36</v>
      </c>
      <c r="W223">
        <v>1185.1199999999999</v>
      </c>
    </row>
    <row r="224" spans="1:23" x14ac:dyDescent="0.25">
      <c r="A224" s="2">
        <v>43273</v>
      </c>
      <c r="B224">
        <v>2357.2199999999998</v>
      </c>
      <c r="C224">
        <v>4688.22</v>
      </c>
      <c r="D224">
        <v>315.63</v>
      </c>
      <c r="E224">
        <v>405.51</v>
      </c>
      <c r="F224">
        <v>5852.52</v>
      </c>
      <c r="G224">
        <v>13480.04</v>
      </c>
      <c r="H224">
        <v>1759.69</v>
      </c>
      <c r="I224">
        <v>5051.47</v>
      </c>
      <c r="J224">
        <v>898.46</v>
      </c>
      <c r="K224">
        <v>18141.310000000001</v>
      </c>
      <c r="L224">
        <v>3589.35</v>
      </c>
      <c r="M224">
        <v>1465.19</v>
      </c>
      <c r="N224">
        <v>456.9</v>
      </c>
      <c r="O224">
        <v>1151.53</v>
      </c>
      <c r="P224">
        <v>124.68</v>
      </c>
      <c r="Q224">
        <v>1359.01</v>
      </c>
      <c r="R224">
        <v>358.86</v>
      </c>
      <c r="S224">
        <v>484.28</v>
      </c>
      <c r="T224">
        <v>323.58</v>
      </c>
      <c r="U224">
        <v>1950.67</v>
      </c>
      <c r="V224">
        <v>18216.61</v>
      </c>
      <c r="W224">
        <v>1168.45</v>
      </c>
    </row>
    <row r="225" spans="1:23" x14ac:dyDescent="0.25">
      <c r="A225" s="2">
        <v>43272</v>
      </c>
      <c r="B225">
        <v>2337.83</v>
      </c>
      <c r="C225">
        <v>4642.2299999999996</v>
      </c>
      <c r="D225">
        <v>319.08</v>
      </c>
      <c r="E225">
        <v>411.24</v>
      </c>
      <c r="F225">
        <v>5829.57</v>
      </c>
      <c r="G225">
        <v>13126.69</v>
      </c>
      <c r="H225">
        <v>1760.06</v>
      </c>
      <c r="I225">
        <v>5029.17</v>
      </c>
      <c r="J225">
        <v>904.85</v>
      </c>
      <c r="K225">
        <v>18067.349999999999</v>
      </c>
      <c r="L225">
        <v>3580.03</v>
      </c>
      <c r="M225">
        <v>1445.83</v>
      </c>
      <c r="N225">
        <v>452.04</v>
      </c>
      <c r="O225">
        <v>1099.69</v>
      </c>
      <c r="P225">
        <v>123.72</v>
      </c>
      <c r="Q225">
        <v>1353.71</v>
      </c>
      <c r="R225">
        <v>359.21</v>
      </c>
      <c r="S225">
        <v>482.32</v>
      </c>
      <c r="T225">
        <v>322.25</v>
      </c>
      <c r="U225">
        <v>1979.75</v>
      </c>
      <c r="V225">
        <v>17980.490000000002</v>
      </c>
      <c r="W225">
        <v>1146.5</v>
      </c>
    </row>
    <row r="226" spans="1:23" x14ac:dyDescent="0.25">
      <c r="A226" s="2">
        <v>43271</v>
      </c>
      <c r="B226">
        <v>2363.91</v>
      </c>
      <c r="C226">
        <v>4684.5200000000004</v>
      </c>
      <c r="D226">
        <v>318.3</v>
      </c>
      <c r="E226">
        <v>419.62</v>
      </c>
      <c r="F226">
        <v>5883.51</v>
      </c>
      <c r="G226">
        <v>13317.43</v>
      </c>
      <c r="H226">
        <v>1826.62</v>
      </c>
      <c r="I226">
        <v>5114.3999999999996</v>
      </c>
      <c r="J226">
        <v>921.68</v>
      </c>
      <c r="K226">
        <v>18084.240000000002</v>
      </c>
      <c r="L226">
        <v>3573.69</v>
      </c>
      <c r="M226">
        <v>1472.47</v>
      </c>
      <c r="N226">
        <v>458.62</v>
      </c>
      <c r="O226">
        <v>1115.1099999999999</v>
      </c>
      <c r="P226">
        <v>124.86</v>
      </c>
      <c r="Q226">
        <v>1383.88</v>
      </c>
      <c r="R226">
        <v>357.15</v>
      </c>
      <c r="S226">
        <v>494.22</v>
      </c>
      <c r="T226">
        <v>334.96</v>
      </c>
      <c r="U226">
        <v>2009.88</v>
      </c>
      <c r="V226">
        <v>18522.099999999999</v>
      </c>
      <c r="W226">
        <v>1153.22</v>
      </c>
    </row>
    <row r="227" spans="1:23" x14ac:dyDescent="0.25">
      <c r="A227" s="2">
        <v>43270</v>
      </c>
      <c r="B227">
        <v>2340.11</v>
      </c>
      <c r="C227">
        <v>4645.54</v>
      </c>
      <c r="D227">
        <v>310.05</v>
      </c>
      <c r="E227">
        <v>412.57</v>
      </c>
      <c r="F227">
        <v>5791.87</v>
      </c>
      <c r="G227">
        <v>12687.84</v>
      </c>
      <c r="H227">
        <v>1808.77</v>
      </c>
      <c r="I227">
        <v>5083.68</v>
      </c>
      <c r="J227">
        <v>907.72</v>
      </c>
      <c r="K227">
        <v>17868.95</v>
      </c>
      <c r="L227">
        <v>3563.47</v>
      </c>
      <c r="M227">
        <v>1481.13</v>
      </c>
      <c r="N227">
        <v>456.05</v>
      </c>
      <c r="O227">
        <v>1115.46</v>
      </c>
      <c r="P227">
        <v>121.6</v>
      </c>
      <c r="Q227">
        <v>1373.17</v>
      </c>
      <c r="R227">
        <v>352.13</v>
      </c>
      <c r="S227">
        <v>492.66</v>
      </c>
      <c r="T227">
        <v>324.91000000000003</v>
      </c>
      <c r="U227">
        <v>1977.52</v>
      </c>
      <c r="V227">
        <v>18792.689999999999</v>
      </c>
      <c r="W227">
        <v>1153.52</v>
      </c>
    </row>
    <row r="228" spans="1:23" x14ac:dyDescent="0.25">
      <c r="A228" s="2">
        <v>43269</v>
      </c>
      <c r="B228">
        <v>2376.2399999999998</v>
      </c>
      <c r="C228">
        <v>4712.16</v>
      </c>
      <c r="D228">
        <v>312.81</v>
      </c>
      <c r="E228">
        <v>417.7</v>
      </c>
      <c r="F228">
        <v>5951.85</v>
      </c>
      <c r="G228">
        <v>13471.42</v>
      </c>
      <c r="H228">
        <v>1801.97</v>
      </c>
      <c r="I228">
        <v>5294.55</v>
      </c>
      <c r="J228">
        <v>942.96</v>
      </c>
      <c r="K228">
        <v>17839.54</v>
      </c>
      <c r="L228">
        <v>3579.03</v>
      </c>
      <c r="M228">
        <v>1509.03</v>
      </c>
      <c r="N228">
        <v>462.06</v>
      </c>
      <c r="O228">
        <v>1151.0899999999999</v>
      </c>
      <c r="P228">
        <v>127.49</v>
      </c>
      <c r="Q228">
        <v>1411.57</v>
      </c>
      <c r="R228">
        <v>356.52</v>
      </c>
      <c r="S228">
        <v>499.94</v>
      </c>
      <c r="T228">
        <v>328.85</v>
      </c>
      <c r="U228">
        <v>2024.21</v>
      </c>
      <c r="V228">
        <v>18575.849999999999</v>
      </c>
      <c r="W228">
        <v>1154.49</v>
      </c>
    </row>
    <row r="229" spans="1:23" x14ac:dyDescent="0.25">
      <c r="A229" s="2">
        <v>43266</v>
      </c>
      <c r="B229">
        <v>2404.04</v>
      </c>
      <c r="C229">
        <v>4762.3500000000004</v>
      </c>
      <c r="D229">
        <v>318.87</v>
      </c>
      <c r="E229">
        <v>429.76</v>
      </c>
      <c r="F229">
        <v>5998.62</v>
      </c>
      <c r="G229">
        <v>13474.96</v>
      </c>
      <c r="H229">
        <v>1792.55</v>
      </c>
      <c r="I229">
        <v>5378.63</v>
      </c>
      <c r="J229">
        <v>952.75</v>
      </c>
      <c r="K229">
        <v>18312.59</v>
      </c>
      <c r="L229">
        <v>3669.16</v>
      </c>
      <c r="M229">
        <v>1519.62</v>
      </c>
      <c r="N229">
        <v>469.78</v>
      </c>
      <c r="O229">
        <v>1162.54</v>
      </c>
      <c r="P229">
        <v>132.09</v>
      </c>
      <c r="Q229">
        <v>1443.17</v>
      </c>
      <c r="R229">
        <v>350.13</v>
      </c>
      <c r="S229">
        <v>500.4</v>
      </c>
      <c r="T229">
        <v>324.27999999999997</v>
      </c>
      <c r="U229">
        <v>2084.08</v>
      </c>
      <c r="V229">
        <v>18217.29</v>
      </c>
      <c r="W229">
        <v>1160.8699999999999</v>
      </c>
    </row>
    <row r="230" spans="1:23" x14ac:dyDescent="0.25">
      <c r="A230" s="2">
        <v>43265</v>
      </c>
      <c r="B230">
        <v>2423.48</v>
      </c>
      <c r="C230">
        <v>4772.8100000000004</v>
      </c>
      <c r="D230">
        <v>317.52</v>
      </c>
      <c r="E230">
        <v>430.29</v>
      </c>
      <c r="F230">
        <v>6021.11</v>
      </c>
      <c r="G230">
        <v>13151.05</v>
      </c>
      <c r="H230">
        <v>1774.97</v>
      </c>
      <c r="I230">
        <v>5404.54</v>
      </c>
      <c r="J230">
        <v>960.57</v>
      </c>
      <c r="K230">
        <v>18450.98</v>
      </c>
      <c r="L230">
        <v>3696.14</v>
      </c>
      <c r="M230">
        <v>1526.74</v>
      </c>
      <c r="N230">
        <v>474.63</v>
      </c>
      <c r="O230">
        <v>1140.83</v>
      </c>
      <c r="P230">
        <v>132.6</v>
      </c>
      <c r="Q230">
        <v>1467.77</v>
      </c>
      <c r="R230">
        <v>358.17</v>
      </c>
      <c r="S230">
        <v>507.8</v>
      </c>
      <c r="T230">
        <v>331.1</v>
      </c>
      <c r="U230">
        <v>2104.04</v>
      </c>
      <c r="V230">
        <v>18483.57</v>
      </c>
      <c r="W230">
        <v>1198.97</v>
      </c>
    </row>
    <row r="231" spans="1:23" x14ac:dyDescent="0.25">
      <c r="A231" s="2">
        <v>43263</v>
      </c>
      <c r="B231">
        <v>2468.83</v>
      </c>
      <c r="C231">
        <v>4846.43</v>
      </c>
      <c r="D231">
        <v>318.77</v>
      </c>
      <c r="E231">
        <v>439.61</v>
      </c>
      <c r="F231">
        <v>6110.09</v>
      </c>
      <c r="G231">
        <v>13258.99</v>
      </c>
      <c r="H231">
        <v>1877.15</v>
      </c>
      <c r="I231">
        <v>5491.83</v>
      </c>
      <c r="J231">
        <v>993.14</v>
      </c>
      <c r="K231">
        <v>18833.96</v>
      </c>
      <c r="L231">
        <v>3673.51</v>
      </c>
      <c r="M231">
        <v>1575.81</v>
      </c>
      <c r="N231">
        <v>483.77</v>
      </c>
      <c r="O231">
        <v>1164.21</v>
      </c>
      <c r="P231">
        <v>140.46</v>
      </c>
      <c r="Q231">
        <v>1491.85</v>
      </c>
      <c r="R231">
        <v>362.9</v>
      </c>
      <c r="S231">
        <v>516.91999999999996</v>
      </c>
      <c r="T231">
        <v>336.42</v>
      </c>
      <c r="U231">
        <v>2176.91</v>
      </c>
      <c r="V231">
        <v>18661.689999999999</v>
      </c>
      <c r="W231">
        <v>1211.07</v>
      </c>
    </row>
    <row r="232" spans="1:23" x14ac:dyDescent="0.25">
      <c r="A232" s="2">
        <v>43262</v>
      </c>
      <c r="B232">
        <v>2470.15</v>
      </c>
      <c r="C232">
        <v>4837.8900000000003</v>
      </c>
      <c r="D232">
        <v>317.83</v>
      </c>
      <c r="E232">
        <v>442.51</v>
      </c>
      <c r="F232">
        <v>6094.85</v>
      </c>
      <c r="G232">
        <v>13025.65</v>
      </c>
      <c r="H232">
        <v>1971.08</v>
      </c>
      <c r="I232">
        <v>5570.6</v>
      </c>
      <c r="J232">
        <v>1005.57</v>
      </c>
      <c r="K232">
        <v>18960.18</v>
      </c>
      <c r="L232">
        <v>3619.13</v>
      </c>
      <c r="M232">
        <v>1577.27</v>
      </c>
      <c r="N232">
        <v>478.64</v>
      </c>
      <c r="O232">
        <v>1166.2</v>
      </c>
      <c r="P232">
        <v>143.97999999999999</v>
      </c>
      <c r="Q232">
        <v>1490.43</v>
      </c>
      <c r="R232">
        <v>358.04</v>
      </c>
      <c r="S232">
        <v>515.70000000000005</v>
      </c>
      <c r="T232">
        <v>333.85</v>
      </c>
      <c r="U232">
        <v>2183.19</v>
      </c>
      <c r="V232">
        <v>18403.7</v>
      </c>
      <c r="W232">
        <v>1206.48</v>
      </c>
    </row>
    <row r="233" spans="1:23" x14ac:dyDescent="0.25">
      <c r="A233" s="2">
        <v>43259</v>
      </c>
      <c r="B233">
        <v>2451.58</v>
      </c>
      <c r="C233">
        <v>4810.3999999999996</v>
      </c>
      <c r="D233">
        <v>312.68</v>
      </c>
      <c r="E233">
        <v>434.7</v>
      </c>
      <c r="F233">
        <v>6080.17</v>
      </c>
      <c r="G233">
        <v>13077.98</v>
      </c>
      <c r="H233">
        <v>1848.01</v>
      </c>
      <c r="I233">
        <v>5435.91</v>
      </c>
      <c r="J233">
        <v>985.44</v>
      </c>
      <c r="K233">
        <v>18875.650000000001</v>
      </c>
      <c r="L233">
        <v>3579.52</v>
      </c>
      <c r="M233">
        <v>1585.72</v>
      </c>
      <c r="N233">
        <v>472.83</v>
      </c>
      <c r="O233">
        <v>1138.8599999999999</v>
      </c>
      <c r="P233">
        <v>138.77000000000001</v>
      </c>
      <c r="Q233">
        <v>1475.14</v>
      </c>
      <c r="R233">
        <v>345.49</v>
      </c>
      <c r="S233">
        <v>511.38</v>
      </c>
      <c r="T233">
        <v>331.03</v>
      </c>
      <c r="U233">
        <v>2149.52</v>
      </c>
      <c r="V233">
        <v>18428.82</v>
      </c>
      <c r="W233">
        <v>1200.6300000000001</v>
      </c>
    </row>
    <row r="234" spans="1:23" x14ac:dyDescent="0.25">
      <c r="A234" s="2">
        <v>43258</v>
      </c>
      <c r="B234">
        <v>2470.58</v>
      </c>
      <c r="C234">
        <v>4832.57</v>
      </c>
      <c r="D234">
        <v>311.01</v>
      </c>
      <c r="E234">
        <v>445.66</v>
      </c>
      <c r="F234">
        <v>6081.14</v>
      </c>
      <c r="G234">
        <v>13142.71</v>
      </c>
      <c r="H234">
        <v>1877.36</v>
      </c>
      <c r="I234">
        <v>5570.25</v>
      </c>
      <c r="J234">
        <v>1003.26</v>
      </c>
      <c r="K234">
        <v>19199.93</v>
      </c>
      <c r="L234">
        <v>3679.73</v>
      </c>
      <c r="M234">
        <v>1605.87</v>
      </c>
      <c r="N234">
        <v>474.78</v>
      </c>
      <c r="O234">
        <v>1137.17</v>
      </c>
      <c r="P234">
        <v>140.93</v>
      </c>
      <c r="Q234">
        <v>1478.48</v>
      </c>
      <c r="R234">
        <v>339.97</v>
      </c>
      <c r="S234">
        <v>513.20000000000005</v>
      </c>
      <c r="T234">
        <v>330.32</v>
      </c>
      <c r="U234">
        <v>2183.16</v>
      </c>
      <c r="V234">
        <v>18499.8</v>
      </c>
      <c r="W234">
        <v>1190.2</v>
      </c>
    </row>
    <row r="235" spans="1:23" x14ac:dyDescent="0.25">
      <c r="A235" s="2">
        <v>43256</v>
      </c>
      <c r="B235">
        <v>2453.7600000000002</v>
      </c>
      <c r="C235">
        <v>4666.29</v>
      </c>
      <c r="D235">
        <v>308.20999999999998</v>
      </c>
      <c r="E235">
        <v>443.92</v>
      </c>
      <c r="F235">
        <v>6021.35</v>
      </c>
      <c r="G235">
        <v>13040.82</v>
      </c>
      <c r="H235">
        <v>1940.51</v>
      </c>
      <c r="I235">
        <v>5371.63</v>
      </c>
      <c r="J235">
        <v>986.12</v>
      </c>
      <c r="K235">
        <v>19344.669999999998</v>
      </c>
      <c r="L235">
        <v>3629.37</v>
      </c>
      <c r="M235">
        <v>1588.71</v>
      </c>
      <c r="N235">
        <v>473.41</v>
      </c>
      <c r="O235">
        <v>1103.8900000000001</v>
      </c>
      <c r="P235">
        <v>142.96</v>
      </c>
      <c r="Q235">
        <v>1482.15</v>
      </c>
      <c r="R235">
        <v>332.94</v>
      </c>
      <c r="S235">
        <v>504.64</v>
      </c>
      <c r="T235">
        <v>323.60000000000002</v>
      </c>
      <c r="U235">
        <v>2130.29</v>
      </c>
      <c r="V235">
        <v>18354.68</v>
      </c>
      <c r="W235">
        <v>1181.23</v>
      </c>
    </row>
    <row r="236" spans="1:23" x14ac:dyDescent="0.25">
      <c r="A236" s="2">
        <v>43255</v>
      </c>
      <c r="B236">
        <v>2447.7600000000002</v>
      </c>
      <c r="C236">
        <v>4675.5600000000004</v>
      </c>
      <c r="D236">
        <v>307.82</v>
      </c>
      <c r="E236">
        <v>443.3</v>
      </c>
      <c r="F236">
        <v>5991.68</v>
      </c>
      <c r="G236">
        <v>13091.38</v>
      </c>
      <c r="H236">
        <v>1922.45</v>
      </c>
      <c r="I236">
        <v>5349.78</v>
      </c>
      <c r="J236">
        <v>982.02</v>
      </c>
      <c r="K236">
        <v>19265.47</v>
      </c>
      <c r="L236">
        <v>3555.62</v>
      </c>
      <c r="M236">
        <v>1602.48</v>
      </c>
      <c r="N236">
        <v>472.06</v>
      </c>
      <c r="O236">
        <v>1100.83</v>
      </c>
      <c r="P236">
        <v>139.21</v>
      </c>
      <c r="Q236">
        <v>1487.92</v>
      </c>
      <c r="R236">
        <v>332.3</v>
      </c>
      <c r="S236">
        <v>503.82</v>
      </c>
      <c r="T236">
        <v>321.63</v>
      </c>
      <c r="U236">
        <v>2117.84</v>
      </c>
      <c r="V236">
        <v>18259.78</v>
      </c>
      <c r="W236">
        <v>1177.98</v>
      </c>
    </row>
    <row r="237" spans="1:23" x14ac:dyDescent="0.25">
      <c r="A237" s="2">
        <v>43252</v>
      </c>
      <c r="B237">
        <v>2438.96</v>
      </c>
      <c r="C237">
        <v>4541.32</v>
      </c>
      <c r="D237">
        <v>305.62</v>
      </c>
      <c r="E237">
        <v>449.41</v>
      </c>
      <c r="F237">
        <v>5921.21</v>
      </c>
      <c r="G237">
        <v>13604.05</v>
      </c>
      <c r="H237">
        <v>1988.34</v>
      </c>
      <c r="I237">
        <v>5247.96</v>
      </c>
      <c r="J237">
        <v>964.37</v>
      </c>
      <c r="K237">
        <v>19319.16</v>
      </c>
      <c r="L237">
        <v>3624.3</v>
      </c>
      <c r="M237">
        <v>1565.68</v>
      </c>
      <c r="N237">
        <v>473.08</v>
      </c>
      <c r="O237">
        <v>1106.8499999999999</v>
      </c>
      <c r="P237">
        <v>141.72</v>
      </c>
      <c r="Q237">
        <v>1461.95</v>
      </c>
      <c r="R237">
        <v>328.26</v>
      </c>
      <c r="S237">
        <v>496.81</v>
      </c>
      <c r="T237">
        <v>313.18</v>
      </c>
      <c r="U237">
        <v>2107.5700000000002</v>
      </c>
      <c r="V237">
        <v>18045.689999999999</v>
      </c>
      <c r="W237">
        <v>1174.17</v>
      </c>
    </row>
    <row r="238" spans="1:23" x14ac:dyDescent="0.25">
      <c r="A238" s="2">
        <v>43251</v>
      </c>
      <c r="B238">
        <v>2423.0100000000002</v>
      </c>
      <c r="C238">
        <v>4436.9799999999996</v>
      </c>
      <c r="D238">
        <v>307.39</v>
      </c>
      <c r="E238">
        <v>452.77</v>
      </c>
      <c r="F238">
        <v>5882.77</v>
      </c>
      <c r="G238">
        <v>13284.62</v>
      </c>
      <c r="H238">
        <v>2030.56</v>
      </c>
      <c r="I238">
        <v>5227.38</v>
      </c>
      <c r="J238">
        <v>978.42</v>
      </c>
      <c r="K238">
        <v>19184.98</v>
      </c>
      <c r="L238">
        <v>3644.32</v>
      </c>
      <c r="M238">
        <v>1539.81</v>
      </c>
      <c r="N238">
        <v>471.58</v>
      </c>
      <c r="O238">
        <v>1105.54</v>
      </c>
      <c r="P238">
        <v>145.69</v>
      </c>
      <c r="Q238">
        <v>1463.05</v>
      </c>
      <c r="R238">
        <v>327.29000000000002</v>
      </c>
      <c r="S238">
        <v>495.59</v>
      </c>
      <c r="T238">
        <v>311.93</v>
      </c>
      <c r="U238">
        <v>2126.5500000000002</v>
      </c>
      <c r="V238">
        <v>18032.939999999999</v>
      </c>
      <c r="W238">
        <v>1159.6099999999999</v>
      </c>
    </row>
    <row r="239" spans="1:23" x14ac:dyDescent="0.25">
      <c r="A239" s="2">
        <v>43250</v>
      </c>
      <c r="B239">
        <v>2409.0300000000002</v>
      </c>
      <c r="C239">
        <v>4382.82</v>
      </c>
      <c r="D239">
        <v>303.68</v>
      </c>
      <c r="E239">
        <v>444.86</v>
      </c>
      <c r="F239">
        <v>5810.59</v>
      </c>
      <c r="G239">
        <v>13234.43</v>
      </c>
      <c r="H239">
        <v>2026.05</v>
      </c>
      <c r="I239">
        <v>5265.08</v>
      </c>
      <c r="J239">
        <v>968.5</v>
      </c>
      <c r="K239">
        <v>18937.400000000001</v>
      </c>
      <c r="L239">
        <v>3568.68</v>
      </c>
      <c r="M239">
        <v>1538.01</v>
      </c>
      <c r="N239">
        <v>469.16</v>
      </c>
      <c r="O239">
        <v>1119.55</v>
      </c>
      <c r="P239">
        <v>145.71</v>
      </c>
      <c r="Q239">
        <v>1455.59</v>
      </c>
      <c r="R239">
        <v>329.76</v>
      </c>
      <c r="S239">
        <v>495.68</v>
      </c>
      <c r="T239">
        <v>309.93</v>
      </c>
      <c r="U239">
        <v>2119.29</v>
      </c>
      <c r="V239">
        <v>18216.78</v>
      </c>
      <c r="W239">
        <v>1154.69</v>
      </c>
    </row>
    <row r="240" spans="1:23" x14ac:dyDescent="0.25">
      <c r="A240" s="2">
        <v>43249</v>
      </c>
      <c r="B240">
        <v>2457.25</v>
      </c>
      <c r="C240">
        <v>4428.03</v>
      </c>
      <c r="D240">
        <v>302.58999999999997</v>
      </c>
      <c r="E240">
        <v>443.31</v>
      </c>
      <c r="F240">
        <v>5919.54</v>
      </c>
      <c r="G240">
        <v>13387.17</v>
      </c>
      <c r="H240">
        <v>2034.04</v>
      </c>
      <c r="I240">
        <v>5347.17</v>
      </c>
      <c r="J240">
        <v>965.5</v>
      </c>
      <c r="K240">
        <v>19443.05</v>
      </c>
      <c r="L240">
        <v>3611.76</v>
      </c>
      <c r="M240">
        <v>1562.34</v>
      </c>
      <c r="N240">
        <v>477.86</v>
      </c>
      <c r="O240">
        <v>1138.22</v>
      </c>
      <c r="P240">
        <v>145.69999999999999</v>
      </c>
      <c r="Q240">
        <v>1482.77</v>
      </c>
      <c r="R240">
        <v>334.97</v>
      </c>
      <c r="S240">
        <v>508.06</v>
      </c>
      <c r="T240">
        <v>320.14</v>
      </c>
      <c r="U240">
        <v>2207.6799999999998</v>
      </c>
      <c r="V240">
        <v>18393.87</v>
      </c>
      <c r="W240">
        <v>1172.26</v>
      </c>
    </row>
    <row r="241" spans="1:23" x14ac:dyDescent="0.25">
      <c r="A241" s="2">
        <v>43248</v>
      </c>
      <c r="B241">
        <v>2478.96</v>
      </c>
      <c r="C241">
        <v>4434.01</v>
      </c>
      <c r="D241">
        <v>303.52</v>
      </c>
      <c r="E241">
        <v>443.32</v>
      </c>
      <c r="F241">
        <v>5970.28</v>
      </c>
      <c r="G241">
        <v>13350.41</v>
      </c>
      <c r="H241">
        <v>2111.46</v>
      </c>
      <c r="I241">
        <v>5472.04</v>
      </c>
      <c r="J241">
        <v>984.63</v>
      </c>
      <c r="K241">
        <v>19694.689999999999</v>
      </c>
      <c r="L241">
        <v>3704.86</v>
      </c>
      <c r="M241">
        <v>1563.37</v>
      </c>
      <c r="N241">
        <v>478.17</v>
      </c>
      <c r="O241">
        <v>1150.4100000000001</v>
      </c>
      <c r="P241">
        <v>152.6</v>
      </c>
      <c r="Q241">
        <v>1518.23</v>
      </c>
      <c r="R241">
        <v>336.32</v>
      </c>
      <c r="S241">
        <v>511.09</v>
      </c>
      <c r="T241">
        <v>320.45</v>
      </c>
      <c r="U241">
        <v>2220.9499999999998</v>
      </c>
      <c r="V241">
        <v>18370.099999999999</v>
      </c>
      <c r="W241">
        <v>1173.94</v>
      </c>
    </row>
    <row r="242" spans="1:23" x14ac:dyDescent="0.25">
      <c r="A242" s="2">
        <v>43245</v>
      </c>
      <c r="B242">
        <v>2460.8000000000002</v>
      </c>
      <c r="C242">
        <v>4356.5200000000004</v>
      </c>
      <c r="D242">
        <v>297.76</v>
      </c>
      <c r="E242">
        <v>425.67</v>
      </c>
      <c r="F242">
        <v>5916.04</v>
      </c>
      <c r="G242">
        <v>13457.89</v>
      </c>
      <c r="H242">
        <v>1738.54</v>
      </c>
      <c r="I242">
        <v>5233.6899999999996</v>
      </c>
      <c r="J242">
        <v>920.91</v>
      </c>
      <c r="K242">
        <v>19776.990000000002</v>
      </c>
      <c r="L242">
        <v>3688.46</v>
      </c>
      <c r="M242">
        <v>1568.9</v>
      </c>
      <c r="N242">
        <v>473.12</v>
      </c>
      <c r="O242">
        <v>1123.69</v>
      </c>
      <c r="P242">
        <v>132.97999999999999</v>
      </c>
      <c r="Q242">
        <v>1467.23</v>
      </c>
      <c r="R242">
        <v>337.1</v>
      </c>
      <c r="S242">
        <v>509.79</v>
      </c>
      <c r="T242">
        <v>322.68</v>
      </c>
      <c r="U242">
        <v>2152.75</v>
      </c>
      <c r="V242">
        <v>18482.21</v>
      </c>
      <c r="W242">
        <v>1179.54</v>
      </c>
    </row>
    <row r="243" spans="1:23" x14ac:dyDescent="0.25">
      <c r="A243" s="2">
        <v>43244</v>
      </c>
      <c r="B243">
        <v>2466.0100000000002</v>
      </c>
      <c r="C243">
        <v>4387.3599999999997</v>
      </c>
      <c r="D243">
        <v>305.36</v>
      </c>
      <c r="E243">
        <v>438.64</v>
      </c>
      <c r="F243">
        <v>5937.29</v>
      </c>
      <c r="G243">
        <v>13113.7</v>
      </c>
      <c r="H243">
        <v>1876.38</v>
      </c>
      <c r="I243">
        <v>5404.92</v>
      </c>
      <c r="J243">
        <v>961.72</v>
      </c>
      <c r="K243">
        <v>19434.61</v>
      </c>
      <c r="L243">
        <v>3770.01</v>
      </c>
      <c r="M243">
        <v>1598.78</v>
      </c>
      <c r="N243">
        <v>481.99</v>
      </c>
      <c r="O243">
        <v>1158.33</v>
      </c>
      <c r="P243">
        <v>140.44</v>
      </c>
      <c r="Q243">
        <v>1501.32</v>
      </c>
      <c r="R243">
        <v>335.71</v>
      </c>
      <c r="S243">
        <v>515.16999999999996</v>
      </c>
      <c r="T243">
        <v>324.7</v>
      </c>
      <c r="U243">
        <v>2178.1</v>
      </c>
      <c r="V243">
        <v>18709.62</v>
      </c>
      <c r="W243">
        <v>1176.75</v>
      </c>
    </row>
    <row r="244" spans="1:23" x14ac:dyDescent="0.25">
      <c r="A244" s="2">
        <v>43243</v>
      </c>
      <c r="B244">
        <v>2471.91</v>
      </c>
      <c r="C244">
        <v>4414.74</v>
      </c>
      <c r="D244">
        <v>303.62</v>
      </c>
      <c r="E244">
        <v>445.64</v>
      </c>
      <c r="F244">
        <v>5921.41</v>
      </c>
      <c r="G244">
        <v>12771.86</v>
      </c>
      <c r="H244">
        <v>1918.72</v>
      </c>
      <c r="I244">
        <v>5396.89</v>
      </c>
      <c r="J244">
        <v>963.19</v>
      </c>
      <c r="K244">
        <v>19569.37</v>
      </c>
      <c r="L244">
        <v>3717.66</v>
      </c>
      <c r="M244">
        <v>1634.39</v>
      </c>
      <c r="N244">
        <v>479.61</v>
      </c>
      <c r="O244">
        <v>1176.9100000000001</v>
      </c>
      <c r="P244">
        <v>142.09</v>
      </c>
      <c r="Q244">
        <v>1497.03</v>
      </c>
      <c r="R244">
        <v>333.9</v>
      </c>
      <c r="S244">
        <v>516.66</v>
      </c>
      <c r="T244">
        <v>324.7</v>
      </c>
      <c r="U244">
        <v>2172.73</v>
      </c>
      <c r="V244">
        <v>18928.93</v>
      </c>
      <c r="W244">
        <v>1172.8599999999999</v>
      </c>
    </row>
    <row r="245" spans="1:23" x14ac:dyDescent="0.25">
      <c r="A245" s="2">
        <v>43241</v>
      </c>
      <c r="B245">
        <v>2465.5700000000002</v>
      </c>
      <c r="C245">
        <v>4444.07</v>
      </c>
      <c r="D245">
        <v>307.91000000000003</v>
      </c>
      <c r="E245">
        <v>451.43</v>
      </c>
      <c r="F245">
        <v>5974.8</v>
      </c>
      <c r="G245">
        <v>13200.2</v>
      </c>
      <c r="H245">
        <v>1958.13</v>
      </c>
      <c r="I245">
        <v>5519.28</v>
      </c>
      <c r="J245">
        <v>984.43</v>
      </c>
      <c r="K245">
        <v>18873.23</v>
      </c>
      <c r="L245">
        <v>3590.95</v>
      </c>
      <c r="M245">
        <v>1652.4</v>
      </c>
      <c r="N245">
        <v>483.14</v>
      </c>
      <c r="O245">
        <v>1167.1199999999999</v>
      </c>
      <c r="P245">
        <v>143.32</v>
      </c>
      <c r="Q245">
        <v>1528.07</v>
      </c>
      <c r="R245">
        <v>333.33</v>
      </c>
      <c r="S245">
        <v>521.91</v>
      </c>
      <c r="T245">
        <v>324.29000000000002</v>
      </c>
      <c r="U245">
        <v>2180.2199999999998</v>
      </c>
      <c r="V245">
        <v>19080.09</v>
      </c>
      <c r="W245">
        <v>1179.6199999999999</v>
      </c>
    </row>
    <row r="246" spans="1:23" x14ac:dyDescent="0.25">
      <c r="A246" s="2">
        <v>43238</v>
      </c>
      <c r="B246">
        <v>2460.65</v>
      </c>
      <c r="C246">
        <v>4453.3500000000004</v>
      </c>
      <c r="D246">
        <v>300.66000000000003</v>
      </c>
      <c r="E246">
        <v>438.74</v>
      </c>
      <c r="F246">
        <v>5975.83</v>
      </c>
      <c r="G246">
        <v>13136.95</v>
      </c>
      <c r="H246">
        <v>1980.42</v>
      </c>
      <c r="I246">
        <v>5551.2</v>
      </c>
      <c r="J246">
        <v>995.04</v>
      </c>
      <c r="K246">
        <v>18684.29</v>
      </c>
      <c r="L246">
        <v>3555.13</v>
      </c>
      <c r="M246">
        <v>1652.73</v>
      </c>
      <c r="N246">
        <v>484.1</v>
      </c>
      <c r="O246">
        <v>1179.28</v>
      </c>
      <c r="P246">
        <v>144.11000000000001</v>
      </c>
      <c r="Q246">
        <v>1534.59</v>
      </c>
      <c r="R246">
        <v>333.71</v>
      </c>
      <c r="S246">
        <v>521.96</v>
      </c>
      <c r="T246">
        <v>319.68</v>
      </c>
      <c r="U246">
        <v>2191.0500000000002</v>
      </c>
      <c r="V246">
        <v>19093.419999999998</v>
      </c>
      <c r="W246">
        <v>1184.23</v>
      </c>
    </row>
    <row r="247" spans="1:23" x14ac:dyDescent="0.25">
      <c r="A247" s="2">
        <v>43237</v>
      </c>
      <c r="B247">
        <v>2448.4499999999998</v>
      </c>
      <c r="C247">
        <v>4429.6899999999996</v>
      </c>
      <c r="D247">
        <v>291.73</v>
      </c>
      <c r="E247">
        <v>423.25</v>
      </c>
      <c r="F247">
        <v>5913.88</v>
      </c>
      <c r="G247">
        <v>12948.55</v>
      </c>
      <c r="H247">
        <v>1960.13</v>
      </c>
      <c r="I247">
        <v>5536.62</v>
      </c>
      <c r="J247">
        <v>994.52</v>
      </c>
      <c r="K247">
        <v>18622.759999999998</v>
      </c>
      <c r="L247">
        <v>3530.23</v>
      </c>
      <c r="M247">
        <v>1631.74</v>
      </c>
      <c r="N247">
        <v>478.31</v>
      </c>
      <c r="O247">
        <v>1175.21</v>
      </c>
      <c r="P247">
        <v>142.19999999999999</v>
      </c>
      <c r="Q247">
        <v>1550.11</v>
      </c>
      <c r="R247">
        <v>331.94</v>
      </c>
      <c r="S247">
        <v>521.57000000000005</v>
      </c>
      <c r="T247">
        <v>324.51</v>
      </c>
      <c r="U247">
        <v>2175.15</v>
      </c>
      <c r="V247">
        <v>19067.810000000001</v>
      </c>
      <c r="W247">
        <v>1188.8499999999999</v>
      </c>
    </row>
    <row r="248" spans="1:23" x14ac:dyDescent="0.25">
      <c r="A248" s="2">
        <v>43236</v>
      </c>
      <c r="B248">
        <v>2459.8200000000002</v>
      </c>
      <c r="C248">
        <v>4477.29</v>
      </c>
      <c r="D248">
        <v>288.74</v>
      </c>
      <c r="E248">
        <v>418.14</v>
      </c>
      <c r="F248">
        <v>5929.51</v>
      </c>
      <c r="G248">
        <v>13165.67</v>
      </c>
      <c r="H248">
        <v>1870.79</v>
      </c>
      <c r="I248">
        <v>5532.32</v>
      </c>
      <c r="J248">
        <v>989.27</v>
      </c>
      <c r="K248">
        <v>18740.419999999998</v>
      </c>
      <c r="L248">
        <v>3480.19</v>
      </c>
      <c r="M248">
        <v>1631.59</v>
      </c>
      <c r="N248">
        <v>481</v>
      </c>
      <c r="O248">
        <v>1176.8900000000001</v>
      </c>
      <c r="P248">
        <v>141.01</v>
      </c>
      <c r="Q248">
        <v>1564.4</v>
      </c>
      <c r="R248">
        <v>332.24</v>
      </c>
      <c r="S248">
        <v>525.29999999999995</v>
      </c>
      <c r="T248">
        <v>328.45</v>
      </c>
      <c r="U248">
        <v>2209.42</v>
      </c>
      <c r="V248">
        <v>19228.16</v>
      </c>
      <c r="W248">
        <v>1192.28</v>
      </c>
    </row>
    <row r="249" spans="1:23" x14ac:dyDescent="0.25">
      <c r="A249" s="2">
        <v>43235</v>
      </c>
      <c r="B249">
        <v>2458.54</v>
      </c>
      <c r="C249">
        <v>4442.21</v>
      </c>
      <c r="D249">
        <v>300.97000000000003</v>
      </c>
      <c r="E249">
        <v>433.57</v>
      </c>
      <c r="F249">
        <v>5972.71</v>
      </c>
      <c r="G249">
        <v>12836.91</v>
      </c>
      <c r="H249">
        <v>2014.52</v>
      </c>
      <c r="I249">
        <v>5708.16</v>
      </c>
      <c r="J249">
        <v>1020.11</v>
      </c>
      <c r="K249">
        <v>18539.21</v>
      </c>
      <c r="L249">
        <v>3496.26</v>
      </c>
      <c r="M249">
        <v>1637.35</v>
      </c>
      <c r="N249">
        <v>482.35</v>
      </c>
      <c r="O249">
        <v>1196.6199999999999</v>
      </c>
      <c r="P249">
        <v>147.66999999999999</v>
      </c>
      <c r="Q249">
        <v>1604.27</v>
      </c>
      <c r="R249">
        <v>332.09</v>
      </c>
      <c r="S249">
        <v>523.53</v>
      </c>
      <c r="T249">
        <v>323.22000000000003</v>
      </c>
      <c r="U249">
        <v>2209.91</v>
      </c>
      <c r="V249">
        <v>19139.54</v>
      </c>
      <c r="W249">
        <v>1188.74</v>
      </c>
    </row>
    <row r="250" spans="1:23" x14ac:dyDescent="0.25">
      <c r="A250" s="2">
        <v>43234</v>
      </c>
      <c r="B250">
        <v>2476.11</v>
      </c>
      <c r="C250">
        <v>4511.2700000000004</v>
      </c>
      <c r="D250">
        <v>299.95</v>
      </c>
      <c r="E250">
        <v>434.86</v>
      </c>
      <c r="F250">
        <v>6052.99</v>
      </c>
      <c r="G250">
        <v>12413.42</v>
      </c>
      <c r="H250">
        <v>2036.26</v>
      </c>
      <c r="I250">
        <v>5743.33</v>
      </c>
      <c r="J250">
        <v>1018.7</v>
      </c>
      <c r="K250">
        <v>18807.419999999998</v>
      </c>
      <c r="L250">
        <v>3508.22</v>
      </c>
      <c r="M250">
        <v>1658.36</v>
      </c>
      <c r="N250">
        <v>481.83</v>
      </c>
      <c r="O250">
        <v>1202.48</v>
      </c>
      <c r="P250">
        <v>146.34</v>
      </c>
      <c r="Q250">
        <v>1624.87</v>
      </c>
      <c r="R250">
        <v>332.29</v>
      </c>
      <c r="S250">
        <v>528.74</v>
      </c>
      <c r="T250">
        <v>327.25</v>
      </c>
      <c r="U250">
        <v>2258.5100000000002</v>
      </c>
      <c r="V250">
        <v>19470.93</v>
      </c>
      <c r="W250">
        <v>1188.6300000000001</v>
      </c>
    </row>
    <row r="251" spans="1:23" x14ac:dyDescent="0.25">
      <c r="A251" s="2">
        <v>43231</v>
      </c>
      <c r="B251">
        <v>2477.71</v>
      </c>
      <c r="C251">
        <v>4490.97</v>
      </c>
      <c r="D251">
        <v>298.58</v>
      </c>
      <c r="E251">
        <v>428.96</v>
      </c>
      <c r="F251">
        <v>6054.11</v>
      </c>
      <c r="G251">
        <v>12701.2</v>
      </c>
      <c r="H251">
        <v>1848.61</v>
      </c>
      <c r="I251">
        <v>5530.42</v>
      </c>
      <c r="J251">
        <v>999.9</v>
      </c>
      <c r="K251">
        <v>19106.46</v>
      </c>
      <c r="L251">
        <v>3489.08</v>
      </c>
      <c r="M251">
        <v>1652.13</v>
      </c>
      <c r="N251">
        <v>480.93</v>
      </c>
      <c r="O251">
        <v>1153.54</v>
      </c>
      <c r="P251">
        <v>136.38</v>
      </c>
      <c r="Q251">
        <v>1604.25</v>
      </c>
      <c r="R251">
        <v>336.38</v>
      </c>
      <c r="S251">
        <v>528.08000000000004</v>
      </c>
      <c r="T251">
        <v>327.39999999999998</v>
      </c>
      <c r="U251">
        <v>2220.83</v>
      </c>
      <c r="V251">
        <v>19434.77</v>
      </c>
      <c r="W251">
        <v>1188.75</v>
      </c>
    </row>
    <row r="252" spans="1:23" x14ac:dyDescent="0.25">
      <c r="A252" s="2">
        <v>43230</v>
      </c>
      <c r="B252">
        <v>2464.16</v>
      </c>
      <c r="C252">
        <v>4469.8</v>
      </c>
      <c r="D252">
        <v>289.92</v>
      </c>
      <c r="E252">
        <v>420.15</v>
      </c>
      <c r="F252">
        <v>6013.18</v>
      </c>
      <c r="G252">
        <v>12649.85</v>
      </c>
      <c r="H252">
        <v>1809.44</v>
      </c>
      <c r="I252">
        <v>5525.8</v>
      </c>
      <c r="J252">
        <v>988.63</v>
      </c>
      <c r="K252">
        <v>19133.63</v>
      </c>
      <c r="L252">
        <v>3345.96</v>
      </c>
      <c r="M252">
        <v>1630.62</v>
      </c>
      <c r="N252">
        <v>476.54</v>
      </c>
      <c r="O252">
        <v>1155.69</v>
      </c>
      <c r="P252">
        <v>134.82</v>
      </c>
      <c r="Q252">
        <v>1567.2</v>
      </c>
      <c r="R252">
        <v>335.42</v>
      </c>
      <c r="S252">
        <v>522.24</v>
      </c>
      <c r="T252">
        <v>326.7</v>
      </c>
      <c r="U252">
        <v>2139.41</v>
      </c>
      <c r="V252">
        <v>19224.7</v>
      </c>
      <c r="W252">
        <v>1184.18</v>
      </c>
    </row>
    <row r="253" spans="1:23" x14ac:dyDescent="0.25">
      <c r="A253" s="2">
        <v>43229</v>
      </c>
      <c r="B253">
        <v>2443.98</v>
      </c>
      <c r="C253">
        <v>4406.26</v>
      </c>
      <c r="D253">
        <v>291.8</v>
      </c>
      <c r="E253">
        <v>415.8</v>
      </c>
      <c r="F253">
        <v>6014.18</v>
      </c>
      <c r="G253">
        <v>12768.18</v>
      </c>
      <c r="H253">
        <v>1754.45</v>
      </c>
      <c r="I253">
        <v>5375.92</v>
      </c>
      <c r="J253">
        <v>961.27</v>
      </c>
      <c r="K253">
        <v>18862.689999999999</v>
      </c>
      <c r="L253">
        <v>3297.18</v>
      </c>
      <c r="M253">
        <v>1641.13</v>
      </c>
      <c r="N253">
        <v>471.06</v>
      </c>
      <c r="O253">
        <v>1146.1400000000001</v>
      </c>
      <c r="P253">
        <v>133.13999999999999</v>
      </c>
      <c r="Q253">
        <v>1545.09</v>
      </c>
      <c r="R253">
        <v>338.22</v>
      </c>
      <c r="S253">
        <v>518.58000000000004</v>
      </c>
      <c r="T253">
        <v>324.88</v>
      </c>
      <c r="U253">
        <v>2106.21</v>
      </c>
      <c r="V253">
        <v>19225.5</v>
      </c>
      <c r="W253">
        <v>1177.56</v>
      </c>
    </row>
    <row r="254" spans="1:23" x14ac:dyDescent="0.25">
      <c r="A254" s="2">
        <v>43228</v>
      </c>
      <c r="B254">
        <v>2449.81</v>
      </c>
      <c r="C254">
        <v>4380.37</v>
      </c>
      <c r="D254">
        <v>291.11</v>
      </c>
      <c r="E254">
        <v>411.58</v>
      </c>
      <c r="F254">
        <v>5951.47</v>
      </c>
      <c r="G254">
        <v>11943.47</v>
      </c>
      <c r="H254">
        <v>1761.41</v>
      </c>
      <c r="I254">
        <v>5450.48</v>
      </c>
      <c r="J254">
        <v>956.24</v>
      </c>
      <c r="K254">
        <v>19272.189999999999</v>
      </c>
      <c r="L254">
        <v>3217.41</v>
      </c>
      <c r="M254">
        <v>1654.03</v>
      </c>
      <c r="N254">
        <v>470.71</v>
      </c>
      <c r="O254">
        <v>1176.99</v>
      </c>
      <c r="P254">
        <v>133.83000000000001</v>
      </c>
      <c r="Q254">
        <v>1532.91</v>
      </c>
      <c r="R254">
        <v>340.2</v>
      </c>
      <c r="S254">
        <v>518.84</v>
      </c>
      <c r="T254">
        <v>320.39</v>
      </c>
      <c r="U254">
        <v>2135.1999999999998</v>
      </c>
      <c r="V254">
        <v>19248.71</v>
      </c>
      <c r="W254">
        <v>1166.05</v>
      </c>
    </row>
    <row r="255" spans="1:23" x14ac:dyDescent="0.25">
      <c r="A255" s="2"/>
    </row>
    <row r="256" spans="1:23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</sheetData>
  <phoneticPr fontId="1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W504"/>
  <sheetViews>
    <sheetView workbookViewId="0">
      <selection activeCell="C5" sqref="C5"/>
    </sheetView>
  </sheetViews>
  <sheetFormatPr defaultRowHeight="13.5" x14ac:dyDescent="0.25"/>
  <cols>
    <col min="1" max="1" width="10.7109375" customWidth="1"/>
    <col min="2" max="2" width="11.28515625" bestFit="1" customWidth="1"/>
    <col min="4" max="4" width="11.28515625" bestFit="1" customWidth="1"/>
  </cols>
  <sheetData>
    <row r="1" spans="1:23" x14ac:dyDescent="0.25">
      <c r="A1" s="1" t="s">
        <v>0</v>
      </c>
      <c r="B1" s="2">
        <f ca="1">TODAY()-730</f>
        <v>42872</v>
      </c>
      <c r="C1" s="1" t="s">
        <v>1</v>
      </c>
      <c r="D1" s="2">
        <f ca="1">TODAY()-1</f>
        <v>43601</v>
      </c>
      <c r="E1" s="1" t="s">
        <v>2</v>
      </c>
      <c r="F1">
        <v>250</v>
      </c>
      <c r="G1" s="1" t="s">
        <v>3</v>
      </c>
      <c r="H1" t="s">
        <v>4</v>
      </c>
      <c r="I1" s="1" t="s">
        <v>5</v>
      </c>
      <c r="J1" t="s">
        <v>68</v>
      </c>
      <c r="K1" s="1" t="s">
        <v>6</v>
      </c>
      <c r="L1">
        <v>0</v>
      </c>
    </row>
    <row r="2" spans="1:23" x14ac:dyDescent="0.25">
      <c r="A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</row>
    <row r="3" spans="1:23" x14ac:dyDescent="0.25">
      <c r="A3" t="str">
        <f ca="1">_xll.IMDH("IDX","001",A4:B4,$B$1,$D$1,$F$1,"Per="&amp;$H$1&amp;",sort="&amp;$J$1&amp;",real=true,Bizday="&amp;$L$1&amp;",Pos=20,Orient=V,Title=KOSPI,DtFmt=1,TmFmt=1")</f>
        <v>KOSPI</v>
      </c>
      <c r="C3" t="str">
        <f ca="1">_xll.IMDH("IDX","005",C4:C4,$B$1,$D$1,$F$1,"Per="&amp;$H$1&amp;",sort="&amp;$J$1&amp;",real=true,Bizday="&amp;$L$1&amp;",Pos=20,Orient=V,Title=음식료품,DtFmt=1,TmFmt=1")</f>
        <v>음식료품</v>
      </c>
      <c r="D3" t="str">
        <f ca="1">_xll.IMDH("IDX","006",D4:D4,$B$1,$D$1,$F$1,"Per="&amp;$H$1&amp;",sort="&amp;$J$1&amp;",real=true,Bizday="&amp;$L$1&amp;",Pos=20,Orient=V,Title=섬유.의복,DtFmt=1,TmFmt=1")</f>
        <v>섬유.의복</v>
      </c>
      <c r="E3" t="str">
        <f ca="1">_xll.IMDH("IDX","007",E4:E4,$B$1,$D$1,$F$1,"Per="&amp;$H$1&amp;",sort="&amp;$J$1&amp;",real=true,Bizday="&amp;$L$1&amp;",Pos=20,Orient=V,Title=종이.목재,DtFmt=1,TmFmt=1")</f>
        <v>종이.목재</v>
      </c>
      <c r="F3" t="str">
        <f ca="1">_xll.IMDH("IDX","008",F4:F4,$B$1,$D$1,$F$1,"Per="&amp;$H$1&amp;",sort="&amp;$J$1&amp;",real=true,Bizday="&amp;$L$1&amp;",Pos=20,Orient=V,Title=화학,DtFmt=1,TmFmt=1")</f>
        <v>화학</v>
      </c>
      <c r="G3" t="str">
        <f ca="1">_xll.IMDH("IDX","009",G4:G4,$B$1,$D$1,$F$1,"Per="&amp;$H$1&amp;",sort="&amp;$J$1&amp;",real=true,Bizday="&amp;$L$1&amp;",Pos=20,Orient=V,Title=의약품,DtFmt=1,TmFmt=1")</f>
        <v>의약품</v>
      </c>
      <c r="H3" t="str">
        <f ca="1">_xll.IMDH("IDX","010",H4:H4,$B$1,$D$1,$F$1,"Per="&amp;$H$1&amp;",sort="&amp;$J$1&amp;",real=true,Bizday="&amp;$L$1&amp;",Pos=20,Orient=V,Title=비금속광물,DtFmt=1,TmFmt=1")</f>
        <v>비금속광물</v>
      </c>
      <c r="I3" t="str">
        <f ca="1">_xll.IMDH("IDX","011",I4:I4,$B$1,$D$1,$F$1,"Per="&amp;$H$1&amp;",sort="&amp;$J$1&amp;",real=true,Bizday="&amp;$L$1&amp;",Pos=20,Orient=V,Title=철강.금속,DtFmt=1,TmFmt=1")</f>
        <v>철강.금속</v>
      </c>
      <c r="J3" t="str">
        <f ca="1">_xll.IMDH("IDX","012",J4:J4,$B$1,$D$1,$F$1,"Per="&amp;$H$1&amp;",sort="&amp;$J$1&amp;",real=true,Bizday="&amp;$L$1&amp;",Pos=20,Orient=V,Title=기계,DtFmt=1,TmFmt=1")</f>
        <v>기계</v>
      </c>
      <c r="K3" t="str">
        <f ca="1">_xll.IMDH("IDX","013",K4:K4,$B$1,$D$1,$F$1,"Per="&amp;$H$1&amp;",sort="&amp;$J$1&amp;",real=true,Bizday="&amp;$L$1&amp;",Pos=20,Orient=V,Title=전기.전자,DtFmt=1,TmFmt=1")</f>
        <v>전기.전자</v>
      </c>
      <c r="L3" t="str">
        <f ca="1">_xll.IMDH("IDX","014",L4:L4,$B$1,$D$1,$F$1,"Per="&amp;$H$1&amp;",sort="&amp;$J$1&amp;",real=true,Bizday="&amp;$L$1&amp;",Pos=20,Orient=V,Title=의료정밀,DtFmt=1,TmFmt=1")</f>
        <v>의료정밀</v>
      </c>
      <c r="M3" t="str">
        <f ca="1">_xll.IMDH("IDX","015",M4:M4,$B$1,$D$1,$F$1,"Per="&amp;$H$1&amp;",sort="&amp;$J$1&amp;",real=true,Bizday="&amp;$L$1&amp;",Pos=20,Orient=V,Title=운수.장비,DtFmt=1,TmFmt=1")</f>
        <v>운수.장비</v>
      </c>
      <c r="N3" t="str">
        <f ca="1">_xll.IMDH("IDX","016",N4:N4,$B$1,$D$1,$F$1,"Per="&amp;$H$1&amp;",sort="&amp;$J$1&amp;",real=true,Bizday="&amp;$L$1&amp;",Pos=20,Orient=V,Title=유통업,DtFmt=1,TmFmt=1")</f>
        <v>유통업</v>
      </c>
      <c r="O3" t="str">
        <f ca="1">_xll.IMDH("IDX","017",O4:O4,$B$1,$D$1,$F$1,"Per="&amp;$H$1&amp;",sort="&amp;$J$1&amp;",real=true,Bizday="&amp;$L$1&amp;",Pos=20,Orient=V,Title=전기.가스업,DtFmt=1,TmFmt=1")</f>
        <v>전기.가스업</v>
      </c>
      <c r="P3" t="str">
        <f ca="1">_xll.IMDH("IDX","018",P4:P4,$B$1,$D$1,$F$1,"Per="&amp;$H$1&amp;",sort="&amp;$J$1&amp;",real=true,Bizday="&amp;$L$1&amp;",Pos=20,Orient=V,Title=건설업,DtFmt=1,TmFmt=1")</f>
        <v>건설업</v>
      </c>
      <c r="Q3" t="str">
        <f ca="1">_xll.IMDH("IDX","019",Q4:Q4,$B$1,$D$1,$F$1,"Per="&amp;$H$1&amp;",sort="&amp;$J$1&amp;",real=true,Bizday="&amp;$L$1&amp;",Pos=20,Orient=V,Title=운수.창고,DtFmt=1,TmFmt=1")</f>
        <v>운수.창고</v>
      </c>
      <c r="R3" t="str">
        <f ca="1">_xll.IMDH("IDX","020",R4:R4,$B$1,$D$1,$F$1,"Per="&amp;$H$1&amp;",sort="&amp;$J$1&amp;",real=true,Bizday="&amp;$L$1&amp;",Pos=20,Orient=V,Title=통신업,DtFmt=1,TmFmt=1")</f>
        <v>통신업</v>
      </c>
      <c r="S3" t="str">
        <f ca="1">_xll.IMDH("IDX","021",S4:S4,$B$1,$D$1,$F$1,"Per="&amp;$H$1&amp;",sort="&amp;$J$1&amp;",real=true,Bizday="&amp;$L$1&amp;",Pos=20,Orient=V,Title=금융업,DtFmt=1,TmFmt=1")</f>
        <v>금융업</v>
      </c>
      <c r="T3" t="str">
        <f ca="1">_xll.IMDH("IDX","022",T4:T4,$B$1,$D$1,$F$1,"Per="&amp;$H$1&amp;",sort="&amp;$J$1&amp;",real=true,Bizday="&amp;$L$1&amp;",Pos=20,Orient=V,Title=은행,DtFmt=1,TmFmt=1")</f>
        <v>은행</v>
      </c>
      <c r="U3" t="str">
        <f ca="1">_xll.IMDH("IDX","024",U4:U4,$B$1,$D$1,$F$1,"Per="&amp;$H$1&amp;",sort="&amp;$J$1&amp;",real=true,Bizday="&amp;$L$1&amp;",Pos=20,Orient=V,Title=증권,DtFmt=1,TmFmt=1")</f>
        <v>증권</v>
      </c>
      <c r="V3" t="str">
        <f ca="1">_xll.IMDH("IDX","025",V4:V4,$B$1,$D$1,$F$1,"Per="&amp;$H$1&amp;",sort="&amp;$J$1&amp;",real=true,Bizday="&amp;$L$1&amp;",Pos=20,Orient=V,Title=보험,DtFmt=1,TmFmt=1")</f>
        <v>보험</v>
      </c>
      <c r="W3" t="str">
        <f ca="1">_xll.IMDH("IDX","026",W4:W4,$B$1,$D$1,$F$1,"Per="&amp;$H$1&amp;",sort="&amp;$J$1&amp;",real=true,Bizday="&amp;$L$1&amp;",Pos=20,Orient=V,Title=서비스업,DtFmt=1,TmFmt=1")</f>
        <v>서비스업</v>
      </c>
    </row>
    <row r="4" spans="1:23" x14ac:dyDescent="0.25">
      <c r="A4" s="3" t="s">
        <v>7</v>
      </c>
      <c r="B4" s="5" t="s">
        <v>31</v>
      </c>
      <c r="C4" s="6" t="s">
        <v>31</v>
      </c>
      <c r="D4" s="7" t="s">
        <v>31</v>
      </c>
      <c r="E4" s="8" t="s">
        <v>31</v>
      </c>
      <c r="F4" s="9" t="s">
        <v>31</v>
      </c>
      <c r="G4" s="10" t="s">
        <v>31</v>
      </c>
      <c r="H4" s="11" t="s">
        <v>31</v>
      </c>
      <c r="I4" s="12" t="s">
        <v>31</v>
      </c>
      <c r="J4" s="13" t="s">
        <v>31</v>
      </c>
      <c r="K4" s="14" t="s">
        <v>31</v>
      </c>
      <c r="L4" s="15" t="s">
        <v>31</v>
      </c>
      <c r="M4" s="5" t="s">
        <v>31</v>
      </c>
      <c r="N4" s="6" t="s">
        <v>31</v>
      </c>
      <c r="O4" s="7" t="s">
        <v>31</v>
      </c>
      <c r="P4" s="8" t="s">
        <v>31</v>
      </c>
      <c r="Q4" s="9" t="s">
        <v>31</v>
      </c>
      <c r="R4" s="10" t="s">
        <v>31</v>
      </c>
      <c r="S4" s="11" t="s">
        <v>31</v>
      </c>
      <c r="T4" s="12" t="s">
        <v>31</v>
      </c>
      <c r="U4" s="13" t="s">
        <v>31</v>
      </c>
      <c r="V4" s="14" t="s">
        <v>31</v>
      </c>
      <c r="W4" s="15" t="s">
        <v>31</v>
      </c>
    </row>
    <row r="5" spans="1:23" x14ac:dyDescent="0.25">
      <c r="A5" s="2">
        <v>43601</v>
      </c>
      <c r="B5">
        <v>37.090000000000003</v>
      </c>
      <c r="C5">
        <v>17.97</v>
      </c>
      <c r="D5">
        <v>13.15</v>
      </c>
      <c r="E5">
        <v>6.15</v>
      </c>
      <c r="F5">
        <v>34.61</v>
      </c>
      <c r="G5">
        <v>14.04</v>
      </c>
      <c r="H5">
        <v>5.16</v>
      </c>
      <c r="I5">
        <v>35.659999999999997</v>
      </c>
      <c r="J5">
        <v>16.07</v>
      </c>
      <c r="K5">
        <v>54.47</v>
      </c>
      <c r="L5">
        <v>17.920000000000002</v>
      </c>
      <c r="M5">
        <v>37.380000000000003</v>
      </c>
      <c r="N5">
        <v>21.87</v>
      </c>
      <c r="O5">
        <v>22.91</v>
      </c>
      <c r="P5">
        <v>24.7</v>
      </c>
      <c r="Q5">
        <v>18.45</v>
      </c>
      <c r="R5">
        <v>41.75</v>
      </c>
      <c r="S5">
        <v>35</v>
      </c>
      <c r="T5">
        <v>23.15</v>
      </c>
      <c r="U5">
        <v>17.2</v>
      </c>
      <c r="V5">
        <v>32.6</v>
      </c>
      <c r="W5">
        <v>31.34</v>
      </c>
    </row>
    <row r="6" spans="1:23" x14ac:dyDescent="0.25">
      <c r="A6" s="2">
        <v>43600</v>
      </c>
      <c r="B6">
        <v>37.200000000000003</v>
      </c>
      <c r="C6">
        <v>18.16</v>
      </c>
      <c r="D6">
        <v>13.23</v>
      </c>
      <c r="E6">
        <v>6.23</v>
      </c>
      <c r="F6">
        <v>34.64</v>
      </c>
      <c r="G6">
        <v>13.97</v>
      </c>
      <c r="H6">
        <v>5.18</v>
      </c>
      <c r="I6">
        <v>35.81</v>
      </c>
      <c r="J6">
        <v>16.09</v>
      </c>
      <c r="K6">
        <v>54.53</v>
      </c>
      <c r="L6">
        <v>18.05</v>
      </c>
      <c r="M6">
        <v>37.4</v>
      </c>
      <c r="N6">
        <v>21.87</v>
      </c>
      <c r="O6">
        <v>23</v>
      </c>
      <c r="P6">
        <v>24.73</v>
      </c>
      <c r="Q6">
        <v>18.36</v>
      </c>
      <c r="R6">
        <v>41.7</v>
      </c>
      <c r="S6">
        <v>34.96</v>
      </c>
      <c r="T6">
        <v>23.15</v>
      </c>
      <c r="U6">
        <v>17.21</v>
      </c>
      <c r="V6">
        <v>32.56</v>
      </c>
      <c r="W6">
        <v>31.38</v>
      </c>
    </row>
    <row r="7" spans="1:23" x14ac:dyDescent="0.25">
      <c r="A7" s="2">
        <v>43599</v>
      </c>
      <c r="B7">
        <v>37.270000000000003</v>
      </c>
      <c r="C7">
        <v>18.22</v>
      </c>
      <c r="D7">
        <v>13.25</v>
      </c>
      <c r="E7">
        <v>6.21</v>
      </c>
      <c r="F7">
        <v>34.64</v>
      </c>
      <c r="G7">
        <v>14.01</v>
      </c>
      <c r="H7">
        <v>5.17</v>
      </c>
      <c r="I7">
        <v>35.9</v>
      </c>
      <c r="J7">
        <v>16.07</v>
      </c>
      <c r="K7">
        <v>54.62</v>
      </c>
      <c r="L7">
        <v>18.27</v>
      </c>
      <c r="M7">
        <v>37.39</v>
      </c>
      <c r="N7">
        <v>22.01</v>
      </c>
      <c r="O7">
        <v>23.16</v>
      </c>
      <c r="P7">
        <v>24.47</v>
      </c>
      <c r="Q7">
        <v>18.34</v>
      </c>
      <c r="R7">
        <v>41.69</v>
      </c>
      <c r="S7">
        <v>34.96</v>
      </c>
      <c r="T7">
        <v>23.16</v>
      </c>
      <c r="U7">
        <v>17.170000000000002</v>
      </c>
      <c r="V7">
        <v>32.65</v>
      </c>
      <c r="W7">
        <v>31.46</v>
      </c>
    </row>
    <row r="8" spans="1:23" x14ac:dyDescent="0.25">
      <c r="A8" s="2">
        <v>43598</v>
      </c>
      <c r="B8">
        <v>37.369999999999997</v>
      </c>
      <c r="C8">
        <v>18.329999999999998</v>
      </c>
      <c r="D8">
        <v>13.31</v>
      </c>
      <c r="E8">
        <v>6.14</v>
      </c>
      <c r="F8">
        <v>34.78</v>
      </c>
      <c r="G8">
        <v>14.1</v>
      </c>
      <c r="H8">
        <v>5.16</v>
      </c>
      <c r="I8">
        <v>35.92</v>
      </c>
      <c r="J8">
        <v>16.100000000000001</v>
      </c>
      <c r="K8">
        <v>54.67</v>
      </c>
      <c r="L8">
        <v>18.12</v>
      </c>
      <c r="M8">
        <v>37.409999999999997</v>
      </c>
      <c r="N8">
        <v>22.03</v>
      </c>
      <c r="O8">
        <v>23.33</v>
      </c>
      <c r="P8">
        <v>24.4</v>
      </c>
      <c r="Q8">
        <v>18.32</v>
      </c>
      <c r="R8">
        <v>41.69</v>
      </c>
      <c r="S8">
        <v>35.08</v>
      </c>
      <c r="T8">
        <v>23.14</v>
      </c>
      <c r="U8">
        <v>17.13</v>
      </c>
      <c r="V8">
        <v>32.79</v>
      </c>
      <c r="W8">
        <v>31.57</v>
      </c>
    </row>
    <row r="9" spans="1:23" x14ac:dyDescent="0.25">
      <c r="A9" s="2">
        <v>43595</v>
      </c>
      <c r="B9">
        <v>37.29</v>
      </c>
      <c r="C9">
        <v>18.38</v>
      </c>
      <c r="D9">
        <v>13.21</v>
      </c>
      <c r="E9">
        <v>6.16</v>
      </c>
      <c r="F9">
        <v>34.81</v>
      </c>
      <c r="G9">
        <v>14.06</v>
      </c>
      <c r="H9">
        <v>5.14</v>
      </c>
      <c r="I9">
        <v>35.9</v>
      </c>
      <c r="J9">
        <v>16.04</v>
      </c>
      <c r="K9">
        <v>54.63</v>
      </c>
      <c r="L9">
        <v>18.149999999999999</v>
      </c>
      <c r="M9">
        <v>37.299999999999997</v>
      </c>
      <c r="N9">
        <v>22.1</v>
      </c>
      <c r="O9">
        <v>23.32</v>
      </c>
      <c r="P9">
        <v>24.4</v>
      </c>
      <c r="Q9">
        <v>18.2</v>
      </c>
      <c r="R9">
        <v>41.66</v>
      </c>
      <c r="S9">
        <v>35.03</v>
      </c>
      <c r="T9">
        <v>23.16</v>
      </c>
      <c r="U9">
        <v>17.170000000000002</v>
      </c>
      <c r="V9">
        <v>33.020000000000003</v>
      </c>
      <c r="W9">
        <v>31.46</v>
      </c>
    </row>
    <row r="10" spans="1:23" x14ac:dyDescent="0.25">
      <c r="A10" s="2">
        <v>43594</v>
      </c>
      <c r="B10">
        <v>37.26</v>
      </c>
      <c r="C10">
        <v>18.309999999999999</v>
      </c>
      <c r="D10">
        <v>13.02</v>
      </c>
      <c r="E10">
        <v>6.13</v>
      </c>
      <c r="F10">
        <v>34.840000000000003</v>
      </c>
      <c r="G10">
        <v>14.19</v>
      </c>
      <c r="H10">
        <v>5.16</v>
      </c>
      <c r="I10">
        <v>36.18</v>
      </c>
      <c r="J10">
        <v>16.04</v>
      </c>
      <c r="K10">
        <v>54.63</v>
      </c>
      <c r="L10">
        <v>17.78</v>
      </c>
      <c r="M10">
        <v>37.299999999999997</v>
      </c>
      <c r="N10">
        <v>22.09</v>
      </c>
      <c r="O10">
        <v>23.33</v>
      </c>
      <c r="P10">
        <v>24.35</v>
      </c>
      <c r="Q10">
        <v>18.11</v>
      </c>
      <c r="R10">
        <v>41.61</v>
      </c>
      <c r="S10">
        <v>35.03</v>
      </c>
      <c r="T10">
        <v>23.18</v>
      </c>
      <c r="U10">
        <v>17.16</v>
      </c>
      <c r="V10">
        <v>33.119999999999997</v>
      </c>
      <c r="W10">
        <v>31.29</v>
      </c>
    </row>
    <row r="11" spans="1:23" x14ac:dyDescent="0.25">
      <c r="A11" s="2">
        <v>43593</v>
      </c>
      <c r="B11">
        <v>37.380000000000003</v>
      </c>
      <c r="C11">
        <v>18.45</v>
      </c>
      <c r="D11">
        <v>13.04</v>
      </c>
      <c r="E11">
        <v>6.25</v>
      </c>
      <c r="F11">
        <v>34.86</v>
      </c>
      <c r="G11">
        <v>14.19</v>
      </c>
      <c r="H11">
        <v>5.16</v>
      </c>
      <c r="I11">
        <v>36.07</v>
      </c>
      <c r="J11">
        <v>16.100000000000001</v>
      </c>
      <c r="K11">
        <v>54.65</v>
      </c>
      <c r="L11">
        <v>17.559999999999999</v>
      </c>
      <c r="M11">
        <v>37.299999999999997</v>
      </c>
      <c r="N11">
        <v>22.17</v>
      </c>
      <c r="O11">
        <v>23.4</v>
      </c>
      <c r="P11">
        <v>24.46</v>
      </c>
      <c r="Q11">
        <v>18.23</v>
      </c>
      <c r="R11">
        <v>41.64</v>
      </c>
      <c r="S11">
        <v>34.979999999999997</v>
      </c>
      <c r="T11">
        <v>23.21</v>
      </c>
      <c r="U11">
        <v>17.2</v>
      </c>
      <c r="V11">
        <v>33.090000000000003</v>
      </c>
      <c r="W11">
        <v>31.35</v>
      </c>
    </row>
    <row r="12" spans="1:23" x14ac:dyDescent="0.25">
      <c r="A12" s="2">
        <v>43592</v>
      </c>
      <c r="B12">
        <v>37.409999999999997</v>
      </c>
      <c r="C12">
        <v>18.239999999999998</v>
      </c>
      <c r="D12">
        <v>13.19</v>
      </c>
      <c r="E12">
        <v>6.44</v>
      </c>
      <c r="F12">
        <v>34.9</v>
      </c>
      <c r="G12">
        <v>14.07</v>
      </c>
      <c r="H12">
        <v>5.1100000000000003</v>
      </c>
      <c r="I12">
        <v>36.21</v>
      </c>
      <c r="J12">
        <v>16.02</v>
      </c>
      <c r="K12">
        <v>54.71</v>
      </c>
      <c r="L12">
        <v>17.25</v>
      </c>
      <c r="M12">
        <v>37.33</v>
      </c>
      <c r="N12">
        <v>22.24</v>
      </c>
      <c r="O12">
        <v>23.47</v>
      </c>
      <c r="P12">
        <v>24.42</v>
      </c>
      <c r="Q12">
        <v>18.21</v>
      </c>
      <c r="R12">
        <v>41.5</v>
      </c>
      <c r="S12">
        <v>34.97</v>
      </c>
      <c r="T12">
        <v>23.22</v>
      </c>
      <c r="U12">
        <v>17.14</v>
      </c>
      <c r="V12">
        <v>33.14</v>
      </c>
      <c r="W12">
        <v>31.38</v>
      </c>
    </row>
    <row r="13" spans="1:23" x14ac:dyDescent="0.25">
      <c r="A13" s="2">
        <v>43588</v>
      </c>
      <c r="B13">
        <v>37.380000000000003</v>
      </c>
      <c r="C13">
        <v>18.29</v>
      </c>
      <c r="D13">
        <v>13.22</v>
      </c>
      <c r="E13">
        <v>6.63</v>
      </c>
      <c r="F13">
        <v>34.94</v>
      </c>
      <c r="G13">
        <v>13.98</v>
      </c>
      <c r="H13">
        <v>5.05</v>
      </c>
      <c r="I13">
        <v>36.200000000000003</v>
      </c>
      <c r="J13">
        <v>16.010000000000002</v>
      </c>
      <c r="K13">
        <v>54.72</v>
      </c>
      <c r="L13">
        <v>17.25</v>
      </c>
      <c r="M13">
        <v>37.15</v>
      </c>
      <c r="N13">
        <v>22.29</v>
      </c>
      <c r="O13">
        <v>23.45</v>
      </c>
      <c r="P13">
        <v>24.21</v>
      </c>
      <c r="Q13">
        <v>18.12</v>
      </c>
      <c r="R13">
        <v>41.45</v>
      </c>
      <c r="S13">
        <v>34.82</v>
      </c>
      <c r="T13">
        <v>23.18</v>
      </c>
      <c r="U13">
        <v>17.14</v>
      </c>
      <c r="V13">
        <v>32.99</v>
      </c>
      <c r="W13">
        <v>31.45</v>
      </c>
    </row>
    <row r="14" spans="1:23" x14ac:dyDescent="0.25">
      <c r="A14" s="2">
        <v>43587</v>
      </c>
      <c r="B14">
        <v>37.380000000000003</v>
      </c>
      <c r="C14">
        <v>18.25</v>
      </c>
      <c r="D14">
        <v>13.48</v>
      </c>
      <c r="E14">
        <v>6.61</v>
      </c>
      <c r="F14">
        <v>34.979999999999997</v>
      </c>
      <c r="G14">
        <v>14.01</v>
      </c>
      <c r="H14">
        <v>5.0599999999999996</v>
      </c>
      <c r="I14">
        <v>36.200000000000003</v>
      </c>
      <c r="J14">
        <v>16.11</v>
      </c>
      <c r="K14">
        <v>54.7</v>
      </c>
      <c r="L14">
        <v>17.34</v>
      </c>
      <c r="M14">
        <v>37.130000000000003</v>
      </c>
      <c r="N14">
        <v>22.29</v>
      </c>
      <c r="O14">
        <v>23.46</v>
      </c>
      <c r="P14">
        <v>24.24</v>
      </c>
      <c r="Q14">
        <v>18.09</v>
      </c>
      <c r="R14">
        <v>41.41</v>
      </c>
      <c r="S14">
        <v>34.79</v>
      </c>
      <c r="T14">
        <v>23.18</v>
      </c>
      <c r="U14">
        <v>17.13</v>
      </c>
      <c r="V14">
        <v>33.06</v>
      </c>
      <c r="W14">
        <v>31.29</v>
      </c>
    </row>
    <row r="15" spans="1:23" x14ac:dyDescent="0.25">
      <c r="A15" s="2">
        <v>43585</v>
      </c>
      <c r="B15">
        <v>37.39</v>
      </c>
      <c r="C15">
        <v>18.54</v>
      </c>
      <c r="D15">
        <v>13.35</v>
      </c>
      <c r="E15">
        <v>6.61</v>
      </c>
      <c r="F15">
        <v>35.9</v>
      </c>
      <c r="G15">
        <v>14.13</v>
      </c>
      <c r="H15">
        <v>5.09</v>
      </c>
      <c r="I15">
        <v>36.64</v>
      </c>
      <c r="J15">
        <v>14.52</v>
      </c>
      <c r="K15">
        <v>54.73</v>
      </c>
      <c r="L15">
        <v>17.22</v>
      </c>
      <c r="M15">
        <v>37.200000000000003</v>
      </c>
      <c r="N15">
        <v>22.29</v>
      </c>
      <c r="O15">
        <v>23.5</v>
      </c>
      <c r="P15">
        <v>24.3</v>
      </c>
      <c r="Q15">
        <v>19.46</v>
      </c>
      <c r="R15">
        <v>41.37</v>
      </c>
      <c r="S15">
        <v>33.659999999999997</v>
      </c>
      <c r="T15">
        <v>23.15</v>
      </c>
      <c r="U15">
        <v>17.100000000000001</v>
      </c>
      <c r="V15">
        <v>32.950000000000003</v>
      </c>
      <c r="W15">
        <v>31.51</v>
      </c>
    </row>
    <row r="16" spans="1:23" x14ac:dyDescent="0.25">
      <c r="A16" s="2">
        <v>43584</v>
      </c>
      <c r="B16">
        <v>37.35</v>
      </c>
      <c r="C16">
        <v>18.55</v>
      </c>
      <c r="D16">
        <v>13.34</v>
      </c>
      <c r="E16">
        <v>6.64</v>
      </c>
      <c r="F16">
        <v>35.85</v>
      </c>
      <c r="G16">
        <v>14.16</v>
      </c>
      <c r="H16">
        <v>5.08</v>
      </c>
      <c r="I16">
        <v>36.590000000000003</v>
      </c>
      <c r="J16">
        <v>14.5</v>
      </c>
      <c r="K16">
        <v>54.68</v>
      </c>
      <c r="L16">
        <v>17.07</v>
      </c>
      <c r="M16">
        <v>37.17</v>
      </c>
      <c r="N16">
        <v>22.15</v>
      </c>
      <c r="O16">
        <v>23.58</v>
      </c>
      <c r="P16">
        <v>24.3</v>
      </c>
      <c r="Q16">
        <v>19.489999999999998</v>
      </c>
      <c r="R16">
        <v>41.36</v>
      </c>
      <c r="S16">
        <v>33.67</v>
      </c>
      <c r="T16">
        <v>23.17</v>
      </c>
      <c r="U16">
        <v>17.12</v>
      </c>
      <c r="V16">
        <v>32.96</v>
      </c>
      <c r="W16">
        <v>31.28</v>
      </c>
    </row>
    <row r="17" spans="1:23" x14ac:dyDescent="0.25">
      <c r="A17" s="2">
        <v>43581</v>
      </c>
      <c r="B17">
        <v>37.25</v>
      </c>
      <c r="C17">
        <v>18.53</v>
      </c>
      <c r="D17">
        <v>13.21</v>
      </c>
      <c r="E17">
        <v>6.6</v>
      </c>
      <c r="F17">
        <v>35.94</v>
      </c>
      <c r="G17">
        <v>14.18</v>
      </c>
      <c r="H17">
        <v>5.07</v>
      </c>
      <c r="I17">
        <v>36.590000000000003</v>
      </c>
      <c r="J17">
        <v>14.47</v>
      </c>
      <c r="K17">
        <v>54.64</v>
      </c>
      <c r="L17">
        <v>17.190000000000001</v>
      </c>
      <c r="M17">
        <v>37.07</v>
      </c>
      <c r="N17">
        <v>22.06</v>
      </c>
      <c r="O17">
        <v>23.55</v>
      </c>
      <c r="P17">
        <v>24.19</v>
      </c>
      <c r="Q17">
        <v>19.11</v>
      </c>
      <c r="R17">
        <v>41.37</v>
      </c>
      <c r="S17">
        <v>33.619999999999997</v>
      </c>
      <c r="T17">
        <v>23.17</v>
      </c>
      <c r="U17">
        <v>17.100000000000001</v>
      </c>
      <c r="V17">
        <v>32.97</v>
      </c>
      <c r="W17">
        <v>31.21</v>
      </c>
    </row>
    <row r="18" spans="1:23" x14ac:dyDescent="0.25">
      <c r="A18" s="2">
        <v>43580</v>
      </c>
      <c r="B18">
        <v>37.25</v>
      </c>
      <c r="C18">
        <v>18.5</v>
      </c>
      <c r="D18">
        <v>13.26</v>
      </c>
      <c r="E18">
        <v>6.56</v>
      </c>
      <c r="F18">
        <v>35.979999999999997</v>
      </c>
      <c r="G18">
        <v>14.22</v>
      </c>
      <c r="H18">
        <v>5.08</v>
      </c>
      <c r="I18">
        <v>36.86</v>
      </c>
      <c r="J18">
        <v>14.46</v>
      </c>
      <c r="K18">
        <v>54.54</v>
      </c>
      <c r="L18">
        <v>17.260000000000002</v>
      </c>
      <c r="M18">
        <v>37.11</v>
      </c>
      <c r="N18">
        <v>22.02</v>
      </c>
      <c r="O18">
        <v>23.59</v>
      </c>
      <c r="P18">
        <v>24.11</v>
      </c>
      <c r="Q18">
        <v>19.13</v>
      </c>
      <c r="R18">
        <v>41.36</v>
      </c>
      <c r="S18">
        <v>33.67</v>
      </c>
      <c r="T18">
        <v>23.2</v>
      </c>
      <c r="U18">
        <v>17.079999999999998</v>
      </c>
      <c r="V18">
        <v>33.04</v>
      </c>
      <c r="W18">
        <v>31.26</v>
      </c>
    </row>
    <row r="19" spans="1:23" x14ac:dyDescent="0.25">
      <c r="A19" s="2">
        <v>43579</v>
      </c>
      <c r="B19">
        <v>37.159999999999997</v>
      </c>
      <c r="C19">
        <v>18.45</v>
      </c>
      <c r="D19">
        <v>13.29</v>
      </c>
      <c r="E19">
        <v>6.6</v>
      </c>
      <c r="F19">
        <v>36.07</v>
      </c>
      <c r="G19">
        <v>14.17</v>
      </c>
      <c r="H19">
        <v>5.0999999999999996</v>
      </c>
      <c r="I19">
        <v>36.72</v>
      </c>
      <c r="J19">
        <v>14.48</v>
      </c>
      <c r="K19">
        <v>54.57</v>
      </c>
      <c r="L19">
        <v>17.34</v>
      </c>
      <c r="M19">
        <v>37.090000000000003</v>
      </c>
      <c r="N19">
        <v>21.89</v>
      </c>
      <c r="O19">
        <v>23.61</v>
      </c>
      <c r="P19">
        <v>24.07</v>
      </c>
      <c r="Q19">
        <v>19.2</v>
      </c>
      <c r="R19">
        <v>41.36</v>
      </c>
      <c r="S19">
        <v>33.58</v>
      </c>
      <c r="T19">
        <v>23.2</v>
      </c>
      <c r="U19">
        <v>17.04</v>
      </c>
      <c r="V19">
        <v>33.01</v>
      </c>
      <c r="W19">
        <v>31.22</v>
      </c>
    </row>
    <row r="20" spans="1:23" x14ac:dyDescent="0.25">
      <c r="A20" s="2">
        <v>43578</v>
      </c>
      <c r="B20">
        <v>37.11</v>
      </c>
      <c r="C20">
        <v>18.420000000000002</v>
      </c>
      <c r="D20">
        <v>13.39</v>
      </c>
      <c r="E20">
        <v>6.56</v>
      </c>
      <c r="F20">
        <v>35.979999999999997</v>
      </c>
      <c r="G20">
        <v>14.1</v>
      </c>
      <c r="H20">
        <v>5.1100000000000003</v>
      </c>
      <c r="I20">
        <v>36.700000000000003</v>
      </c>
      <c r="J20">
        <v>14.5</v>
      </c>
      <c r="K20">
        <v>54.46</v>
      </c>
      <c r="L20">
        <v>17.46</v>
      </c>
      <c r="M20">
        <v>36.89</v>
      </c>
      <c r="N20">
        <v>21.84</v>
      </c>
      <c r="O20">
        <v>23.66</v>
      </c>
      <c r="P20">
        <v>24.07</v>
      </c>
      <c r="Q20">
        <v>18.95</v>
      </c>
      <c r="R20">
        <v>41.32</v>
      </c>
      <c r="S20">
        <v>33.61</v>
      </c>
      <c r="T20">
        <v>23.23</v>
      </c>
      <c r="U20">
        <v>17.02</v>
      </c>
      <c r="V20">
        <v>32.909999999999997</v>
      </c>
      <c r="W20">
        <v>31.13</v>
      </c>
    </row>
    <row r="21" spans="1:23" x14ac:dyDescent="0.25">
      <c r="A21" s="2">
        <v>43577</v>
      </c>
      <c r="B21">
        <v>37.1</v>
      </c>
      <c r="C21">
        <v>18.46</v>
      </c>
      <c r="D21">
        <v>13.39</v>
      </c>
      <c r="E21">
        <v>6.67</v>
      </c>
      <c r="F21">
        <v>35.9</v>
      </c>
      <c r="G21">
        <v>14.04</v>
      </c>
      <c r="H21">
        <v>5.15</v>
      </c>
      <c r="I21">
        <v>36.79</v>
      </c>
      <c r="J21">
        <v>14.45</v>
      </c>
      <c r="K21">
        <v>54.48</v>
      </c>
      <c r="L21">
        <v>17.510000000000002</v>
      </c>
      <c r="M21">
        <v>36.9</v>
      </c>
      <c r="N21">
        <v>21.76</v>
      </c>
      <c r="O21">
        <v>23.77</v>
      </c>
      <c r="P21">
        <v>24.14</v>
      </c>
      <c r="Q21">
        <v>18.760000000000002</v>
      </c>
      <c r="R21">
        <v>41.31</v>
      </c>
      <c r="S21">
        <v>33.51</v>
      </c>
      <c r="T21">
        <v>23.22</v>
      </c>
      <c r="U21">
        <v>17</v>
      </c>
      <c r="V21">
        <v>32.79</v>
      </c>
      <c r="W21">
        <v>30.97</v>
      </c>
    </row>
    <row r="22" spans="1:23" x14ac:dyDescent="0.25">
      <c r="A22" s="2">
        <v>43574</v>
      </c>
      <c r="B22">
        <v>37.119999999999997</v>
      </c>
      <c r="C22">
        <v>18.46</v>
      </c>
      <c r="D22">
        <v>13.4</v>
      </c>
      <c r="E22">
        <v>6.56</v>
      </c>
      <c r="F22">
        <v>35.92</v>
      </c>
      <c r="G22">
        <v>14.01</v>
      </c>
      <c r="H22">
        <v>5.16</v>
      </c>
      <c r="I22">
        <v>36.79</v>
      </c>
      <c r="J22">
        <v>14.49</v>
      </c>
      <c r="K22">
        <v>54.45</v>
      </c>
      <c r="L22">
        <v>17.579999999999998</v>
      </c>
      <c r="M22">
        <v>36.81</v>
      </c>
      <c r="N22">
        <v>21.78</v>
      </c>
      <c r="O22">
        <v>23.8</v>
      </c>
      <c r="P22">
        <v>24.13</v>
      </c>
      <c r="Q22">
        <v>18.87</v>
      </c>
      <c r="R22">
        <v>41.31</v>
      </c>
      <c r="S22">
        <v>33.56</v>
      </c>
      <c r="T22">
        <v>23.22</v>
      </c>
      <c r="U22">
        <v>16.989999999999998</v>
      </c>
      <c r="V22">
        <v>32.83</v>
      </c>
      <c r="W22">
        <v>31</v>
      </c>
    </row>
    <row r="23" spans="1:23" x14ac:dyDescent="0.25">
      <c r="A23" s="2">
        <v>43573</v>
      </c>
      <c r="B23">
        <v>37.200000000000003</v>
      </c>
      <c r="C23">
        <v>18.579999999999998</v>
      </c>
      <c r="D23">
        <v>13.44</v>
      </c>
      <c r="E23">
        <v>6.62</v>
      </c>
      <c r="F23">
        <v>35.979999999999997</v>
      </c>
      <c r="G23">
        <v>13.83</v>
      </c>
      <c r="H23">
        <v>5.16</v>
      </c>
      <c r="I23">
        <v>37.06</v>
      </c>
      <c r="J23">
        <v>14.53</v>
      </c>
      <c r="K23">
        <v>54.51</v>
      </c>
      <c r="L23">
        <v>17.18</v>
      </c>
      <c r="M23">
        <v>36.799999999999997</v>
      </c>
      <c r="N23">
        <v>21.79</v>
      </c>
      <c r="O23">
        <v>23.89</v>
      </c>
      <c r="P23">
        <v>24.17</v>
      </c>
      <c r="Q23">
        <v>19.04</v>
      </c>
      <c r="R23">
        <v>41.3</v>
      </c>
      <c r="S23">
        <v>33.630000000000003</v>
      </c>
      <c r="T23">
        <v>23.23</v>
      </c>
      <c r="U23">
        <v>17.03</v>
      </c>
      <c r="V23">
        <v>32.85</v>
      </c>
      <c r="W23">
        <v>30.9</v>
      </c>
    </row>
    <row r="24" spans="1:23" x14ac:dyDescent="0.25">
      <c r="A24" s="2">
        <v>43572</v>
      </c>
      <c r="B24">
        <v>37.26</v>
      </c>
      <c r="C24">
        <v>18.64</v>
      </c>
      <c r="D24">
        <v>13.42</v>
      </c>
      <c r="E24">
        <v>6.7</v>
      </c>
      <c r="F24">
        <v>36.020000000000003</v>
      </c>
      <c r="G24">
        <v>13.82</v>
      </c>
      <c r="H24">
        <v>5.18</v>
      </c>
      <c r="I24">
        <v>37</v>
      </c>
      <c r="J24">
        <v>14.55</v>
      </c>
      <c r="K24">
        <v>54.55</v>
      </c>
      <c r="L24">
        <v>17.14</v>
      </c>
      <c r="M24">
        <v>36.590000000000003</v>
      </c>
      <c r="N24">
        <v>21.8</v>
      </c>
      <c r="O24">
        <v>23.91</v>
      </c>
      <c r="P24">
        <v>24.38</v>
      </c>
      <c r="Q24">
        <v>18.920000000000002</v>
      </c>
      <c r="R24">
        <v>41.31</v>
      </c>
      <c r="S24">
        <v>33.57</v>
      </c>
      <c r="T24">
        <v>23.24</v>
      </c>
      <c r="U24">
        <v>17.03</v>
      </c>
      <c r="V24">
        <v>32.75</v>
      </c>
      <c r="W24">
        <v>30.9</v>
      </c>
    </row>
    <row r="25" spans="1:23" x14ac:dyDescent="0.25">
      <c r="A25" s="2">
        <v>43571</v>
      </c>
      <c r="B25">
        <v>37.24</v>
      </c>
      <c r="C25">
        <v>18.690000000000001</v>
      </c>
      <c r="D25">
        <v>13.48</v>
      </c>
      <c r="E25">
        <v>6.72</v>
      </c>
      <c r="F25">
        <v>36.03</v>
      </c>
      <c r="G25">
        <v>13.79</v>
      </c>
      <c r="H25">
        <v>5.16</v>
      </c>
      <c r="I25">
        <v>36.86</v>
      </c>
      <c r="J25">
        <v>14.53</v>
      </c>
      <c r="K25">
        <v>54.51</v>
      </c>
      <c r="L25">
        <v>17.079999999999998</v>
      </c>
      <c r="M25">
        <v>36.44</v>
      </c>
      <c r="N25">
        <v>21.93</v>
      </c>
      <c r="O25">
        <v>24.02</v>
      </c>
      <c r="P25">
        <v>24.37</v>
      </c>
      <c r="Q25">
        <v>18.78</v>
      </c>
      <c r="R25">
        <v>41.31</v>
      </c>
      <c r="S25">
        <v>33.6</v>
      </c>
      <c r="T25">
        <v>23.24</v>
      </c>
      <c r="U25">
        <v>17.010000000000002</v>
      </c>
      <c r="V25">
        <v>32.78</v>
      </c>
      <c r="W25">
        <v>30.9</v>
      </c>
    </row>
    <row r="26" spans="1:23" x14ac:dyDescent="0.25">
      <c r="A26" s="2">
        <v>43570</v>
      </c>
      <c r="B26">
        <v>37.200000000000003</v>
      </c>
      <c r="C26">
        <v>18.690000000000001</v>
      </c>
      <c r="D26">
        <v>13.58</v>
      </c>
      <c r="E26">
        <v>6.75</v>
      </c>
      <c r="F26">
        <v>36.07</v>
      </c>
      <c r="G26">
        <v>13.72</v>
      </c>
      <c r="H26">
        <v>5.15</v>
      </c>
      <c r="I26">
        <v>36.869999999999997</v>
      </c>
      <c r="J26">
        <v>14.42</v>
      </c>
      <c r="K26">
        <v>54.5</v>
      </c>
      <c r="L26">
        <v>17.149999999999999</v>
      </c>
      <c r="M26">
        <v>36.35</v>
      </c>
      <c r="N26">
        <v>21.93</v>
      </c>
      <c r="O26">
        <v>24.07</v>
      </c>
      <c r="P26">
        <v>24.34</v>
      </c>
      <c r="Q26">
        <v>18.62</v>
      </c>
      <c r="R26">
        <v>41.3</v>
      </c>
      <c r="S26">
        <v>33.520000000000003</v>
      </c>
      <c r="T26">
        <v>23.23</v>
      </c>
      <c r="U26">
        <v>16.989999999999998</v>
      </c>
      <c r="V26">
        <v>32.83</v>
      </c>
      <c r="W26">
        <v>30.91</v>
      </c>
    </row>
    <row r="27" spans="1:23" x14ac:dyDescent="0.25">
      <c r="A27" s="2">
        <v>43567</v>
      </c>
      <c r="B27">
        <v>37.18</v>
      </c>
      <c r="C27">
        <v>18.62</v>
      </c>
      <c r="D27">
        <v>13.57</v>
      </c>
      <c r="E27">
        <v>6.67</v>
      </c>
      <c r="F27">
        <v>35.950000000000003</v>
      </c>
      <c r="G27">
        <v>13.8</v>
      </c>
      <c r="H27">
        <v>5.17</v>
      </c>
      <c r="I27">
        <v>36.86</v>
      </c>
      <c r="J27">
        <v>14.43</v>
      </c>
      <c r="K27">
        <v>54.46</v>
      </c>
      <c r="L27">
        <v>17.03</v>
      </c>
      <c r="M27">
        <v>36.409999999999997</v>
      </c>
      <c r="N27">
        <v>21.92</v>
      </c>
      <c r="O27">
        <v>24.07</v>
      </c>
      <c r="P27">
        <v>24.45</v>
      </c>
      <c r="Q27">
        <v>18.850000000000001</v>
      </c>
      <c r="R27">
        <v>41.29</v>
      </c>
      <c r="S27">
        <v>33.54</v>
      </c>
      <c r="T27">
        <v>23.24</v>
      </c>
      <c r="U27">
        <v>16.899999999999999</v>
      </c>
      <c r="V27">
        <v>32.840000000000003</v>
      </c>
      <c r="W27">
        <v>31.02</v>
      </c>
    </row>
    <row r="28" spans="1:23" x14ac:dyDescent="0.25">
      <c r="A28" s="2">
        <v>43566</v>
      </c>
      <c r="B28">
        <v>37.17</v>
      </c>
      <c r="C28">
        <v>18.78</v>
      </c>
      <c r="D28">
        <v>13.53</v>
      </c>
      <c r="E28">
        <v>6.72</v>
      </c>
      <c r="F28">
        <v>36.020000000000003</v>
      </c>
      <c r="G28">
        <v>13.76</v>
      </c>
      <c r="H28">
        <v>5.17</v>
      </c>
      <c r="I28">
        <v>36.86</v>
      </c>
      <c r="J28">
        <v>14.46</v>
      </c>
      <c r="K28">
        <v>54.39</v>
      </c>
      <c r="L28">
        <v>17.010000000000002</v>
      </c>
      <c r="M28">
        <v>36.43</v>
      </c>
      <c r="N28">
        <v>21.88</v>
      </c>
      <c r="O28">
        <v>24.1</v>
      </c>
      <c r="P28">
        <v>24.55</v>
      </c>
      <c r="Q28">
        <v>18.93</v>
      </c>
      <c r="R28">
        <v>41.32</v>
      </c>
      <c r="S28">
        <v>33.619999999999997</v>
      </c>
      <c r="T28">
        <v>23.2</v>
      </c>
      <c r="U28">
        <v>16.850000000000001</v>
      </c>
      <c r="V28">
        <v>32.72</v>
      </c>
      <c r="W28">
        <v>31.08</v>
      </c>
    </row>
    <row r="29" spans="1:23" x14ac:dyDescent="0.25">
      <c r="A29" s="2">
        <v>43565</v>
      </c>
      <c r="B29">
        <v>37.229999999999997</v>
      </c>
      <c r="C29">
        <v>18.8</v>
      </c>
      <c r="D29">
        <v>13.63</v>
      </c>
      <c r="E29">
        <v>6.72</v>
      </c>
      <c r="F29">
        <v>36.06</v>
      </c>
      <c r="G29">
        <v>13.69</v>
      </c>
      <c r="H29">
        <v>5.16</v>
      </c>
      <c r="I29">
        <v>36.979999999999997</v>
      </c>
      <c r="J29">
        <v>14.42</v>
      </c>
      <c r="K29">
        <v>54.41</v>
      </c>
      <c r="L29">
        <v>16.88</v>
      </c>
      <c r="M29">
        <v>36.44</v>
      </c>
      <c r="N29">
        <v>21.86</v>
      </c>
      <c r="O29">
        <v>24.17</v>
      </c>
      <c r="P29">
        <v>24.53</v>
      </c>
      <c r="Q29">
        <v>19</v>
      </c>
      <c r="R29">
        <v>41.37</v>
      </c>
      <c r="S29">
        <v>33.590000000000003</v>
      </c>
      <c r="T29">
        <v>23.2</v>
      </c>
      <c r="U29">
        <v>16.850000000000001</v>
      </c>
      <c r="V29">
        <v>32.68</v>
      </c>
      <c r="W29">
        <v>31.14</v>
      </c>
    </row>
    <row r="30" spans="1:23" x14ac:dyDescent="0.25">
      <c r="A30" s="2">
        <v>43564</v>
      </c>
      <c r="B30">
        <v>37.29</v>
      </c>
      <c r="C30">
        <v>18.89</v>
      </c>
      <c r="D30">
        <v>13.67</v>
      </c>
      <c r="E30">
        <v>6.72</v>
      </c>
      <c r="F30">
        <v>36.119999999999997</v>
      </c>
      <c r="G30">
        <v>13.66</v>
      </c>
      <c r="H30">
        <v>5.15</v>
      </c>
      <c r="I30">
        <v>37.04</v>
      </c>
      <c r="J30">
        <v>14.48</v>
      </c>
      <c r="K30">
        <v>54.45</v>
      </c>
      <c r="L30">
        <v>16.88</v>
      </c>
      <c r="M30">
        <v>36.369999999999997</v>
      </c>
      <c r="N30">
        <v>21.82</v>
      </c>
      <c r="O30">
        <v>24.11</v>
      </c>
      <c r="P30">
        <v>24.62</v>
      </c>
      <c r="Q30">
        <v>19.010000000000002</v>
      </c>
      <c r="R30">
        <v>41.36</v>
      </c>
      <c r="S30">
        <v>33.6</v>
      </c>
      <c r="T30">
        <v>23.2</v>
      </c>
      <c r="U30">
        <v>16.829999999999998</v>
      </c>
      <c r="V30">
        <v>32.69</v>
      </c>
      <c r="W30">
        <v>31.2</v>
      </c>
    </row>
    <row r="31" spans="1:23" x14ac:dyDescent="0.25">
      <c r="A31" s="2">
        <v>43563</v>
      </c>
      <c r="B31">
        <v>37.32</v>
      </c>
      <c r="C31">
        <v>18.82</v>
      </c>
      <c r="D31">
        <v>13.8</v>
      </c>
      <c r="E31">
        <v>6.69</v>
      </c>
      <c r="F31">
        <v>36.090000000000003</v>
      </c>
      <c r="G31">
        <v>13.57</v>
      </c>
      <c r="H31">
        <v>5.13</v>
      </c>
      <c r="I31">
        <v>37.090000000000003</v>
      </c>
      <c r="J31">
        <v>14.51</v>
      </c>
      <c r="K31">
        <v>54.47</v>
      </c>
      <c r="L31">
        <v>16.920000000000002</v>
      </c>
      <c r="M31">
        <v>36.380000000000003</v>
      </c>
      <c r="N31">
        <v>21.79</v>
      </c>
      <c r="O31">
        <v>24.18</v>
      </c>
      <c r="P31">
        <v>24.61</v>
      </c>
      <c r="Q31">
        <v>18.98</v>
      </c>
      <c r="R31">
        <v>41.39</v>
      </c>
      <c r="S31">
        <v>33.64</v>
      </c>
      <c r="T31">
        <v>23.18</v>
      </c>
      <c r="U31">
        <v>17.02</v>
      </c>
      <c r="V31">
        <v>32.67</v>
      </c>
      <c r="W31">
        <v>31.25</v>
      </c>
    </row>
    <row r="32" spans="1:23" x14ac:dyDescent="0.25">
      <c r="A32" s="2">
        <v>43560</v>
      </c>
      <c r="B32">
        <v>37.32</v>
      </c>
      <c r="C32">
        <v>18.73</v>
      </c>
      <c r="D32">
        <v>13.95</v>
      </c>
      <c r="E32">
        <v>6.64</v>
      </c>
      <c r="F32">
        <v>35.94</v>
      </c>
      <c r="G32">
        <v>13.52</v>
      </c>
      <c r="H32">
        <v>5.14</v>
      </c>
      <c r="I32">
        <v>36.93</v>
      </c>
      <c r="J32">
        <v>14.55</v>
      </c>
      <c r="K32">
        <v>54.41</v>
      </c>
      <c r="L32">
        <v>16.809999999999999</v>
      </c>
      <c r="M32">
        <v>36.200000000000003</v>
      </c>
      <c r="N32">
        <v>21.65</v>
      </c>
      <c r="O32">
        <v>24.18</v>
      </c>
      <c r="P32">
        <v>24.68</v>
      </c>
      <c r="Q32">
        <v>18.989999999999998</v>
      </c>
      <c r="R32">
        <v>41.35</v>
      </c>
      <c r="S32">
        <v>33.68</v>
      </c>
      <c r="T32">
        <v>23.17</v>
      </c>
      <c r="U32">
        <v>17</v>
      </c>
      <c r="V32">
        <v>32.659999999999997</v>
      </c>
      <c r="W32">
        <v>31.38</v>
      </c>
    </row>
    <row r="33" spans="1:23" x14ac:dyDescent="0.25">
      <c r="A33" s="2">
        <v>43559</v>
      </c>
      <c r="B33">
        <v>37.299999999999997</v>
      </c>
      <c r="C33">
        <v>18.78</v>
      </c>
      <c r="D33">
        <v>13.93</v>
      </c>
      <c r="E33">
        <v>6.73</v>
      </c>
      <c r="F33">
        <v>35.880000000000003</v>
      </c>
      <c r="G33">
        <v>13.5</v>
      </c>
      <c r="H33">
        <v>5.15</v>
      </c>
      <c r="I33">
        <v>36.81</v>
      </c>
      <c r="J33">
        <v>14.66</v>
      </c>
      <c r="K33">
        <v>54.4</v>
      </c>
      <c r="L33">
        <v>16.88</v>
      </c>
      <c r="M33">
        <v>36.17</v>
      </c>
      <c r="N33">
        <v>21.66</v>
      </c>
      <c r="O33">
        <v>24.33</v>
      </c>
      <c r="P33">
        <v>24.53</v>
      </c>
      <c r="Q33">
        <v>18.96</v>
      </c>
      <c r="R33">
        <v>41.32</v>
      </c>
      <c r="S33">
        <v>33.659999999999997</v>
      </c>
      <c r="T33">
        <v>23.15</v>
      </c>
      <c r="U33">
        <v>16.93</v>
      </c>
      <c r="V33">
        <v>32.65</v>
      </c>
      <c r="W33">
        <v>31.33</v>
      </c>
    </row>
    <row r="34" spans="1:23" x14ac:dyDescent="0.25">
      <c r="A34" s="2">
        <v>43558</v>
      </c>
      <c r="B34">
        <v>37.229999999999997</v>
      </c>
      <c r="C34">
        <v>18.77</v>
      </c>
      <c r="D34">
        <v>13.76</v>
      </c>
      <c r="E34">
        <v>6.74</v>
      </c>
      <c r="F34">
        <v>35.89</v>
      </c>
      <c r="G34">
        <v>13.51</v>
      </c>
      <c r="H34">
        <v>5.15</v>
      </c>
      <c r="I34">
        <v>36.9</v>
      </c>
      <c r="J34">
        <v>14.7</v>
      </c>
      <c r="K34">
        <v>54.32</v>
      </c>
      <c r="L34">
        <v>16.88</v>
      </c>
      <c r="M34">
        <v>36.049999999999997</v>
      </c>
      <c r="N34">
        <v>21.56</v>
      </c>
      <c r="O34">
        <v>24.38</v>
      </c>
      <c r="P34">
        <v>24.5</v>
      </c>
      <c r="Q34">
        <v>18.98</v>
      </c>
      <c r="R34">
        <v>41.3</v>
      </c>
      <c r="S34">
        <v>33.61</v>
      </c>
      <c r="T34">
        <v>23.12</v>
      </c>
      <c r="U34">
        <v>16.88</v>
      </c>
      <c r="V34">
        <v>32.64</v>
      </c>
      <c r="W34">
        <v>31.3</v>
      </c>
    </row>
    <row r="35" spans="1:23" x14ac:dyDescent="0.25">
      <c r="A35" s="2">
        <v>43557</v>
      </c>
      <c r="B35">
        <v>37.15</v>
      </c>
      <c r="C35">
        <v>18.8</v>
      </c>
      <c r="D35">
        <v>13.73</v>
      </c>
      <c r="E35">
        <v>6.79</v>
      </c>
      <c r="F35">
        <v>35.86</v>
      </c>
      <c r="G35">
        <v>13.48</v>
      </c>
      <c r="H35">
        <v>5.16</v>
      </c>
      <c r="I35">
        <v>36.81</v>
      </c>
      <c r="J35">
        <v>14.72</v>
      </c>
      <c r="K35">
        <v>54.24</v>
      </c>
      <c r="L35">
        <v>16.899999999999999</v>
      </c>
      <c r="M35">
        <v>35.840000000000003</v>
      </c>
      <c r="N35">
        <v>21.71</v>
      </c>
      <c r="O35">
        <v>24.5</v>
      </c>
      <c r="P35">
        <v>24.48</v>
      </c>
      <c r="Q35">
        <v>18.84</v>
      </c>
      <c r="R35">
        <v>41.44</v>
      </c>
      <c r="S35">
        <v>33.61</v>
      </c>
      <c r="T35">
        <v>23.11</v>
      </c>
      <c r="U35">
        <v>16.77</v>
      </c>
      <c r="V35">
        <v>32.700000000000003</v>
      </c>
      <c r="W35">
        <v>31.49</v>
      </c>
    </row>
    <row r="36" spans="1:23" x14ac:dyDescent="0.25">
      <c r="A36" s="2">
        <v>43556</v>
      </c>
      <c r="B36">
        <v>37.090000000000003</v>
      </c>
      <c r="C36">
        <v>18.78</v>
      </c>
      <c r="D36">
        <v>13.7</v>
      </c>
      <c r="E36">
        <v>6.75</v>
      </c>
      <c r="F36">
        <v>35.86</v>
      </c>
      <c r="G36">
        <v>13.53</v>
      </c>
      <c r="H36">
        <v>5.16</v>
      </c>
      <c r="I36">
        <v>36.79</v>
      </c>
      <c r="J36">
        <v>14.63</v>
      </c>
      <c r="K36">
        <v>54.11</v>
      </c>
      <c r="L36">
        <v>16.87</v>
      </c>
      <c r="M36">
        <v>35.89</v>
      </c>
      <c r="N36">
        <v>21.85</v>
      </c>
      <c r="O36">
        <v>24.5</v>
      </c>
      <c r="P36">
        <v>24.6</v>
      </c>
      <c r="Q36">
        <v>18.760000000000002</v>
      </c>
      <c r="R36">
        <v>41.47</v>
      </c>
      <c r="S36">
        <v>33.47</v>
      </c>
      <c r="T36">
        <v>23.1</v>
      </c>
      <c r="U36">
        <v>16.7</v>
      </c>
      <c r="V36">
        <v>32.97</v>
      </c>
      <c r="W36">
        <v>31.51</v>
      </c>
    </row>
    <row r="37" spans="1:23" x14ac:dyDescent="0.25">
      <c r="A37" s="2">
        <v>43553</v>
      </c>
      <c r="B37">
        <v>37.049999999999997</v>
      </c>
      <c r="C37">
        <v>18.760000000000002</v>
      </c>
      <c r="D37">
        <v>13.73</v>
      </c>
      <c r="E37">
        <v>6.66</v>
      </c>
      <c r="F37">
        <v>35.9</v>
      </c>
      <c r="G37">
        <v>13.58</v>
      </c>
      <c r="H37">
        <v>5.17</v>
      </c>
      <c r="I37">
        <v>36.39</v>
      </c>
      <c r="J37">
        <v>14.64</v>
      </c>
      <c r="K37">
        <v>54.14</v>
      </c>
      <c r="L37">
        <v>16.850000000000001</v>
      </c>
      <c r="M37">
        <v>35.979999999999997</v>
      </c>
      <c r="N37">
        <v>21.89</v>
      </c>
      <c r="O37">
        <v>24.58</v>
      </c>
      <c r="P37">
        <v>24.6</v>
      </c>
      <c r="Q37">
        <v>18.809999999999999</v>
      </c>
      <c r="R37">
        <v>41.48</v>
      </c>
      <c r="S37">
        <v>33.24</v>
      </c>
      <c r="T37">
        <v>23.08</v>
      </c>
      <c r="U37">
        <v>16.59</v>
      </c>
      <c r="V37">
        <v>32.86</v>
      </c>
      <c r="W37">
        <v>31.53</v>
      </c>
    </row>
    <row r="38" spans="1:23" x14ac:dyDescent="0.25">
      <c r="A38" s="2">
        <v>43552</v>
      </c>
      <c r="B38">
        <v>37.1</v>
      </c>
      <c r="C38">
        <v>18.72</v>
      </c>
      <c r="D38">
        <v>13.74</v>
      </c>
      <c r="E38">
        <v>6.56</v>
      </c>
      <c r="F38">
        <v>35.880000000000003</v>
      </c>
      <c r="G38">
        <v>13.53</v>
      </c>
      <c r="H38">
        <v>5.17</v>
      </c>
      <c r="I38">
        <v>36.5</v>
      </c>
      <c r="J38">
        <v>14.51</v>
      </c>
      <c r="K38">
        <v>54.22</v>
      </c>
      <c r="L38">
        <v>16.91</v>
      </c>
      <c r="M38">
        <v>36.07</v>
      </c>
      <c r="N38">
        <v>21.75</v>
      </c>
      <c r="O38">
        <v>24.7</v>
      </c>
      <c r="P38">
        <v>24.36</v>
      </c>
      <c r="Q38">
        <v>18.72</v>
      </c>
      <c r="R38">
        <v>41.49</v>
      </c>
      <c r="S38">
        <v>33.29</v>
      </c>
      <c r="T38">
        <v>23.07</v>
      </c>
      <c r="U38">
        <v>16.510000000000002</v>
      </c>
      <c r="V38">
        <v>33.03</v>
      </c>
      <c r="W38">
        <v>31.43</v>
      </c>
    </row>
    <row r="39" spans="1:23" x14ac:dyDescent="0.25">
      <c r="A39" s="2">
        <v>43551</v>
      </c>
      <c r="B39">
        <v>37.14</v>
      </c>
      <c r="C39">
        <v>18.72</v>
      </c>
      <c r="D39">
        <v>13.72</v>
      </c>
      <c r="E39">
        <v>6.43</v>
      </c>
      <c r="F39">
        <v>35.840000000000003</v>
      </c>
      <c r="G39">
        <v>13.53</v>
      </c>
      <c r="H39">
        <v>5.18</v>
      </c>
      <c r="I39">
        <v>36.47</v>
      </c>
      <c r="J39">
        <v>14.51</v>
      </c>
      <c r="K39">
        <v>54.19</v>
      </c>
      <c r="L39">
        <v>17.010000000000002</v>
      </c>
      <c r="M39">
        <v>35.9</v>
      </c>
      <c r="N39">
        <v>21.71</v>
      </c>
      <c r="O39">
        <v>24.77</v>
      </c>
      <c r="P39">
        <v>24.36</v>
      </c>
      <c r="Q39">
        <v>18.809999999999999</v>
      </c>
      <c r="R39">
        <v>41.54</v>
      </c>
      <c r="S39">
        <v>33.32</v>
      </c>
      <c r="T39">
        <v>23.09</v>
      </c>
      <c r="U39">
        <v>16.510000000000002</v>
      </c>
      <c r="V39">
        <v>33.03</v>
      </c>
      <c r="W39">
        <v>31.88</v>
      </c>
    </row>
    <row r="40" spans="1:23" x14ac:dyDescent="0.25">
      <c r="A40" s="2">
        <v>43550</v>
      </c>
      <c r="B40">
        <v>37.119999999999997</v>
      </c>
      <c r="C40">
        <v>18.72</v>
      </c>
      <c r="D40">
        <v>13.81</v>
      </c>
      <c r="E40">
        <v>6.47</v>
      </c>
      <c r="F40">
        <v>35.92</v>
      </c>
      <c r="G40">
        <v>13.6</v>
      </c>
      <c r="H40">
        <v>5.2</v>
      </c>
      <c r="I40">
        <v>36.479999999999997</v>
      </c>
      <c r="J40">
        <v>14.56</v>
      </c>
      <c r="K40">
        <v>54.22</v>
      </c>
      <c r="L40">
        <v>16.920000000000002</v>
      </c>
      <c r="M40">
        <v>35.869999999999997</v>
      </c>
      <c r="N40">
        <v>21.77</v>
      </c>
      <c r="O40">
        <v>24.83</v>
      </c>
      <c r="P40">
        <v>24.35</v>
      </c>
      <c r="Q40">
        <v>18.86</v>
      </c>
      <c r="R40">
        <v>41.56</v>
      </c>
      <c r="S40">
        <v>33.32</v>
      </c>
      <c r="T40">
        <v>23.1</v>
      </c>
      <c r="U40">
        <v>16.510000000000002</v>
      </c>
      <c r="V40">
        <v>33.04</v>
      </c>
      <c r="W40">
        <v>31.99</v>
      </c>
    </row>
    <row r="41" spans="1:23" x14ac:dyDescent="0.25">
      <c r="A41" s="2">
        <v>43549</v>
      </c>
      <c r="B41">
        <v>37.159999999999997</v>
      </c>
      <c r="C41">
        <v>18.760000000000002</v>
      </c>
      <c r="D41">
        <v>13.75</v>
      </c>
      <c r="E41">
        <v>6.5</v>
      </c>
      <c r="F41">
        <v>35.94</v>
      </c>
      <c r="G41">
        <v>13.7</v>
      </c>
      <c r="H41">
        <v>5.23</v>
      </c>
      <c r="I41">
        <v>36.33</v>
      </c>
      <c r="J41">
        <v>14.6</v>
      </c>
      <c r="K41">
        <v>54.2</v>
      </c>
      <c r="L41">
        <v>16.91</v>
      </c>
      <c r="M41">
        <v>35.94</v>
      </c>
      <c r="N41">
        <v>21.65</v>
      </c>
      <c r="O41">
        <v>24.88</v>
      </c>
      <c r="P41">
        <v>24.21</v>
      </c>
      <c r="Q41">
        <v>18.73</v>
      </c>
      <c r="R41">
        <v>41.6</v>
      </c>
      <c r="S41">
        <v>33.369999999999997</v>
      </c>
      <c r="T41">
        <v>23.09</v>
      </c>
      <c r="U41">
        <v>16.489999999999998</v>
      </c>
      <c r="V41">
        <v>32.909999999999997</v>
      </c>
      <c r="W41">
        <v>32.07</v>
      </c>
    </row>
    <row r="42" spans="1:23" x14ac:dyDescent="0.25">
      <c r="A42" s="2">
        <v>43546</v>
      </c>
      <c r="B42">
        <v>37.21</v>
      </c>
      <c r="C42">
        <v>18.72</v>
      </c>
      <c r="D42">
        <v>13.6</v>
      </c>
      <c r="E42">
        <v>6.44</v>
      </c>
      <c r="F42">
        <v>35.97</v>
      </c>
      <c r="G42">
        <v>13.67</v>
      </c>
      <c r="H42">
        <v>5.22</v>
      </c>
      <c r="I42">
        <v>36.43</v>
      </c>
      <c r="J42">
        <v>14.52</v>
      </c>
      <c r="K42">
        <v>54.2</v>
      </c>
      <c r="L42">
        <v>16.829999999999998</v>
      </c>
      <c r="M42">
        <v>35.92</v>
      </c>
      <c r="N42">
        <v>21.69</v>
      </c>
      <c r="O42">
        <v>24.88</v>
      </c>
      <c r="P42">
        <v>24.24</v>
      </c>
      <c r="Q42">
        <v>18.670000000000002</v>
      </c>
      <c r="R42">
        <v>41.6</v>
      </c>
      <c r="S42">
        <v>33.340000000000003</v>
      </c>
      <c r="T42">
        <v>23.05</v>
      </c>
      <c r="U42">
        <v>16.510000000000002</v>
      </c>
      <c r="V42">
        <v>32.729999999999997</v>
      </c>
      <c r="W42">
        <v>31.95</v>
      </c>
    </row>
    <row r="43" spans="1:23" x14ac:dyDescent="0.25">
      <c r="A43" s="2">
        <v>43545</v>
      </c>
      <c r="B43">
        <v>37.049999999999997</v>
      </c>
      <c r="C43">
        <v>18.75</v>
      </c>
      <c r="D43">
        <v>13.58</v>
      </c>
      <c r="E43">
        <v>6.48</v>
      </c>
      <c r="F43">
        <v>35.950000000000003</v>
      </c>
      <c r="G43">
        <v>13.67</v>
      </c>
      <c r="H43">
        <v>5.19</v>
      </c>
      <c r="I43">
        <v>36.31</v>
      </c>
      <c r="J43">
        <v>14.43</v>
      </c>
      <c r="K43">
        <v>54.1</v>
      </c>
      <c r="L43">
        <v>16.79</v>
      </c>
      <c r="M43">
        <v>35.880000000000003</v>
      </c>
      <c r="N43">
        <v>21.57</v>
      </c>
      <c r="O43">
        <v>24.88</v>
      </c>
      <c r="P43">
        <v>24.21</v>
      </c>
      <c r="Q43">
        <v>18.63</v>
      </c>
      <c r="R43">
        <v>41.59</v>
      </c>
      <c r="S43">
        <v>33.22</v>
      </c>
      <c r="T43">
        <v>23.05</v>
      </c>
      <c r="U43">
        <v>16.510000000000002</v>
      </c>
      <c r="V43">
        <v>32.630000000000003</v>
      </c>
      <c r="W43">
        <v>31.87</v>
      </c>
    </row>
    <row r="44" spans="1:23" x14ac:dyDescent="0.25">
      <c r="A44" s="2">
        <v>43544</v>
      </c>
      <c r="B44">
        <v>36.69</v>
      </c>
      <c r="C44">
        <v>18.73</v>
      </c>
      <c r="D44">
        <v>13.63</v>
      </c>
      <c r="E44">
        <v>6.48</v>
      </c>
      <c r="F44">
        <v>35.82</v>
      </c>
      <c r="G44">
        <v>13.66</v>
      </c>
      <c r="H44">
        <v>5.21</v>
      </c>
      <c r="I44">
        <v>36.1</v>
      </c>
      <c r="J44">
        <v>14.42</v>
      </c>
      <c r="K44">
        <v>53.84</v>
      </c>
      <c r="L44">
        <v>16.899999999999999</v>
      </c>
      <c r="M44">
        <v>35.76</v>
      </c>
      <c r="N44">
        <v>21.51</v>
      </c>
      <c r="O44">
        <v>24.97</v>
      </c>
      <c r="P44">
        <v>24.24</v>
      </c>
      <c r="Q44">
        <v>18.66</v>
      </c>
      <c r="R44">
        <v>41.59</v>
      </c>
      <c r="S44">
        <v>33.26</v>
      </c>
      <c r="T44">
        <v>23.02</v>
      </c>
      <c r="U44">
        <v>16.47</v>
      </c>
      <c r="V44">
        <v>32.79</v>
      </c>
      <c r="W44">
        <v>31.8</v>
      </c>
    </row>
    <row r="45" spans="1:23" x14ac:dyDescent="0.25">
      <c r="A45" s="2">
        <v>43543</v>
      </c>
      <c r="B45">
        <v>36.630000000000003</v>
      </c>
      <c r="C45">
        <v>18.739999999999998</v>
      </c>
      <c r="D45">
        <v>13.63</v>
      </c>
      <c r="E45">
        <v>6.52</v>
      </c>
      <c r="F45">
        <v>35.74</v>
      </c>
      <c r="G45">
        <v>13.65</v>
      </c>
      <c r="H45">
        <v>5.21</v>
      </c>
      <c r="I45">
        <v>36.229999999999997</v>
      </c>
      <c r="J45">
        <v>14.39</v>
      </c>
      <c r="K45">
        <v>53.84</v>
      </c>
      <c r="L45">
        <v>16.91</v>
      </c>
      <c r="M45">
        <v>35.68</v>
      </c>
      <c r="N45">
        <v>21.35</v>
      </c>
      <c r="O45">
        <v>25.07</v>
      </c>
      <c r="P45">
        <v>24.23</v>
      </c>
      <c r="Q45">
        <v>18.59</v>
      </c>
      <c r="R45">
        <v>41.65</v>
      </c>
      <c r="S45">
        <v>33.270000000000003</v>
      </c>
      <c r="T45">
        <v>23.02</v>
      </c>
      <c r="U45">
        <v>16.45</v>
      </c>
      <c r="V45">
        <v>32.76</v>
      </c>
      <c r="W45">
        <v>31.84</v>
      </c>
    </row>
    <row r="46" spans="1:23" x14ac:dyDescent="0.25">
      <c r="A46" s="2">
        <v>43542</v>
      </c>
      <c r="B46">
        <v>36.590000000000003</v>
      </c>
      <c r="C46">
        <v>18.739999999999998</v>
      </c>
      <c r="D46">
        <v>13.77</v>
      </c>
      <c r="E46">
        <v>6.51</v>
      </c>
      <c r="F46">
        <v>35.700000000000003</v>
      </c>
      <c r="G46">
        <v>13.68</v>
      </c>
      <c r="H46">
        <v>5.22</v>
      </c>
      <c r="I46">
        <v>36.1</v>
      </c>
      <c r="J46">
        <v>14.43</v>
      </c>
      <c r="K46">
        <v>53.76</v>
      </c>
      <c r="L46">
        <v>17</v>
      </c>
      <c r="M46">
        <v>35.68</v>
      </c>
      <c r="N46">
        <v>21.35</v>
      </c>
      <c r="O46">
        <v>25.17</v>
      </c>
      <c r="P46">
        <v>24.14</v>
      </c>
      <c r="Q46">
        <v>18.61</v>
      </c>
      <c r="R46">
        <v>41.68</v>
      </c>
      <c r="S46">
        <v>33.26</v>
      </c>
      <c r="T46">
        <v>23.01</v>
      </c>
      <c r="U46">
        <v>16.440000000000001</v>
      </c>
      <c r="V46">
        <v>32.729999999999997</v>
      </c>
      <c r="W46">
        <v>31.91</v>
      </c>
    </row>
    <row r="47" spans="1:23" x14ac:dyDescent="0.25">
      <c r="A47" s="2">
        <v>43539</v>
      </c>
      <c r="B47">
        <v>36.65</v>
      </c>
      <c r="C47">
        <v>18.73</v>
      </c>
      <c r="D47">
        <v>13.88</v>
      </c>
      <c r="E47">
        <v>6.67</v>
      </c>
      <c r="F47">
        <v>35.69</v>
      </c>
      <c r="G47">
        <v>13.72</v>
      </c>
      <c r="H47">
        <v>5.21</v>
      </c>
      <c r="I47">
        <v>36.229999999999997</v>
      </c>
      <c r="J47">
        <v>14.3</v>
      </c>
      <c r="K47">
        <v>53.82</v>
      </c>
      <c r="L47">
        <v>17.03</v>
      </c>
      <c r="M47">
        <v>35.5</v>
      </c>
      <c r="N47">
        <v>21.16</v>
      </c>
      <c r="O47">
        <v>25.27</v>
      </c>
      <c r="P47">
        <v>24.17</v>
      </c>
      <c r="Q47">
        <v>18.7</v>
      </c>
      <c r="R47">
        <v>41.7</v>
      </c>
      <c r="S47">
        <v>33.26</v>
      </c>
      <c r="T47">
        <v>23.01</v>
      </c>
      <c r="U47">
        <v>16.43</v>
      </c>
      <c r="V47">
        <v>32.56</v>
      </c>
      <c r="W47">
        <v>31.92</v>
      </c>
    </row>
    <row r="48" spans="1:23" x14ac:dyDescent="0.25">
      <c r="A48" s="2">
        <v>43538</v>
      </c>
      <c r="B48">
        <v>36.58</v>
      </c>
      <c r="C48">
        <v>18.79</v>
      </c>
      <c r="D48">
        <v>13.64</v>
      </c>
      <c r="E48">
        <v>6.74</v>
      </c>
      <c r="F48">
        <v>35.619999999999997</v>
      </c>
      <c r="G48">
        <v>13.69</v>
      </c>
      <c r="H48">
        <v>5.19</v>
      </c>
      <c r="I48">
        <v>36.07</v>
      </c>
      <c r="J48">
        <v>14.28</v>
      </c>
      <c r="K48">
        <v>53.82</v>
      </c>
      <c r="L48">
        <v>16.98</v>
      </c>
      <c r="M48">
        <v>35.450000000000003</v>
      </c>
      <c r="N48">
        <v>21.08</v>
      </c>
      <c r="O48">
        <v>25.24</v>
      </c>
      <c r="P48">
        <v>24.12</v>
      </c>
      <c r="Q48">
        <v>18.63</v>
      </c>
      <c r="R48">
        <v>41.67</v>
      </c>
      <c r="S48">
        <v>33.22</v>
      </c>
      <c r="T48">
        <v>22.88</v>
      </c>
      <c r="U48">
        <v>16.37</v>
      </c>
      <c r="V48">
        <v>32.619999999999997</v>
      </c>
      <c r="W48">
        <v>31.83</v>
      </c>
    </row>
    <row r="49" spans="1:23" x14ac:dyDescent="0.25">
      <c r="A49" s="2">
        <v>43537</v>
      </c>
      <c r="B49">
        <v>36.6</v>
      </c>
      <c r="C49">
        <v>18.8</v>
      </c>
      <c r="D49">
        <v>13.54</v>
      </c>
      <c r="E49">
        <v>6.71</v>
      </c>
      <c r="F49">
        <v>35.53</v>
      </c>
      <c r="G49">
        <v>13.73</v>
      </c>
      <c r="H49">
        <v>5.1100000000000003</v>
      </c>
      <c r="I49">
        <v>36.04</v>
      </c>
      <c r="J49">
        <v>14.31</v>
      </c>
      <c r="K49">
        <v>53.92</v>
      </c>
      <c r="L49">
        <v>17.079999999999998</v>
      </c>
      <c r="M49">
        <v>35.61</v>
      </c>
      <c r="N49">
        <v>21.14</v>
      </c>
      <c r="O49">
        <v>25.21</v>
      </c>
      <c r="P49">
        <v>24.13</v>
      </c>
      <c r="Q49">
        <v>18.72</v>
      </c>
      <c r="R49">
        <v>41.66</v>
      </c>
      <c r="S49">
        <v>33.14</v>
      </c>
      <c r="T49">
        <v>22.86</v>
      </c>
      <c r="U49">
        <v>16.29</v>
      </c>
      <c r="V49">
        <v>32.57</v>
      </c>
      <c r="W49">
        <v>31.83</v>
      </c>
    </row>
    <row r="50" spans="1:23" x14ac:dyDescent="0.25">
      <c r="A50" s="2">
        <v>43536</v>
      </c>
      <c r="B50">
        <v>36.67</v>
      </c>
      <c r="C50">
        <v>18.8</v>
      </c>
      <c r="D50">
        <v>13.59</v>
      </c>
      <c r="E50">
        <v>6.66</v>
      </c>
      <c r="F50">
        <v>35.450000000000003</v>
      </c>
      <c r="G50">
        <v>13.72</v>
      </c>
      <c r="H50">
        <v>5.05</v>
      </c>
      <c r="I50">
        <v>35.909999999999997</v>
      </c>
      <c r="J50">
        <v>14.3</v>
      </c>
      <c r="K50">
        <v>53.95</v>
      </c>
      <c r="L50">
        <v>16.989999999999998</v>
      </c>
      <c r="M50">
        <v>35.67</v>
      </c>
      <c r="N50">
        <v>21.02</v>
      </c>
      <c r="O50">
        <v>25.24</v>
      </c>
      <c r="P50">
        <v>24.1</v>
      </c>
      <c r="Q50">
        <v>18.68</v>
      </c>
      <c r="R50">
        <v>41.67</v>
      </c>
      <c r="S50">
        <v>33.21</v>
      </c>
      <c r="T50">
        <v>23.43</v>
      </c>
      <c r="U50">
        <v>16.27</v>
      </c>
      <c r="V50">
        <v>32.54</v>
      </c>
      <c r="W50">
        <v>31.86</v>
      </c>
    </row>
    <row r="51" spans="1:23" x14ac:dyDescent="0.25">
      <c r="A51" s="2">
        <v>43535</v>
      </c>
      <c r="B51">
        <v>36.619999999999997</v>
      </c>
      <c r="C51">
        <v>18.809999999999999</v>
      </c>
      <c r="D51">
        <v>13.64</v>
      </c>
      <c r="E51">
        <v>6.66</v>
      </c>
      <c r="F51">
        <v>35.49</v>
      </c>
      <c r="G51">
        <v>13.71</v>
      </c>
      <c r="H51">
        <v>5.01</v>
      </c>
      <c r="I51">
        <v>35.83</v>
      </c>
      <c r="J51">
        <v>14.35</v>
      </c>
      <c r="K51">
        <v>53.87</v>
      </c>
      <c r="L51">
        <v>17.03</v>
      </c>
      <c r="M51">
        <v>35.549999999999997</v>
      </c>
      <c r="N51">
        <v>21.02</v>
      </c>
      <c r="O51">
        <v>25.18</v>
      </c>
      <c r="P51">
        <v>24.2</v>
      </c>
      <c r="Q51">
        <v>18.71</v>
      </c>
      <c r="R51">
        <v>41.68</v>
      </c>
      <c r="S51">
        <v>33.229999999999997</v>
      </c>
      <c r="T51">
        <v>23.46</v>
      </c>
      <c r="U51">
        <v>16.23</v>
      </c>
      <c r="V51">
        <v>32.56</v>
      </c>
      <c r="W51">
        <v>32.159999999999997</v>
      </c>
    </row>
    <row r="52" spans="1:23" x14ac:dyDescent="0.25">
      <c r="A52" s="2">
        <v>43532</v>
      </c>
      <c r="B52">
        <v>36.65</v>
      </c>
      <c r="C52">
        <v>18.739999999999998</v>
      </c>
      <c r="D52">
        <v>13.77</v>
      </c>
      <c r="E52">
        <v>6.64</v>
      </c>
      <c r="F52">
        <v>35.67</v>
      </c>
      <c r="G52">
        <v>13.7</v>
      </c>
      <c r="H52">
        <v>5.01</v>
      </c>
      <c r="I52">
        <v>35.9</v>
      </c>
      <c r="J52">
        <v>14.29</v>
      </c>
      <c r="K52">
        <v>53.94</v>
      </c>
      <c r="L52">
        <v>17.09</v>
      </c>
      <c r="M52">
        <v>35.53</v>
      </c>
      <c r="N52">
        <v>21</v>
      </c>
      <c r="O52">
        <v>25.15</v>
      </c>
      <c r="P52">
        <v>24.1</v>
      </c>
      <c r="Q52">
        <v>18.71</v>
      </c>
      <c r="R52">
        <v>41.71</v>
      </c>
      <c r="S52">
        <v>33.1</v>
      </c>
      <c r="T52">
        <v>23.46</v>
      </c>
      <c r="U52">
        <v>16.23</v>
      </c>
      <c r="V52">
        <v>32.479999999999997</v>
      </c>
      <c r="W52">
        <v>32.130000000000003</v>
      </c>
    </row>
    <row r="53" spans="1:23" x14ac:dyDescent="0.25">
      <c r="A53" s="2">
        <v>43531</v>
      </c>
      <c r="B53">
        <v>36.729999999999997</v>
      </c>
      <c r="C53">
        <v>18.79</v>
      </c>
      <c r="D53">
        <v>13.77</v>
      </c>
      <c r="E53">
        <v>6.75</v>
      </c>
      <c r="F53">
        <v>35.83</v>
      </c>
      <c r="G53">
        <v>13.69</v>
      </c>
      <c r="H53">
        <v>4.97</v>
      </c>
      <c r="I53">
        <v>35.76</v>
      </c>
      <c r="J53">
        <v>14.41</v>
      </c>
      <c r="K53">
        <v>53.97</v>
      </c>
      <c r="L53">
        <v>16.95</v>
      </c>
      <c r="M53">
        <v>35.6</v>
      </c>
      <c r="N53">
        <v>21.02</v>
      </c>
      <c r="O53">
        <v>25.13</v>
      </c>
      <c r="P53">
        <v>24.15</v>
      </c>
      <c r="Q53">
        <v>18.64</v>
      </c>
      <c r="R53">
        <v>41.71</v>
      </c>
      <c r="S53">
        <v>33.14</v>
      </c>
      <c r="T53">
        <v>23.47</v>
      </c>
      <c r="U53">
        <v>16.22</v>
      </c>
      <c r="V53">
        <v>32.5</v>
      </c>
      <c r="W53">
        <v>32.380000000000003</v>
      </c>
    </row>
    <row r="54" spans="1:23" x14ac:dyDescent="0.25">
      <c r="A54" s="2">
        <v>43530</v>
      </c>
      <c r="B54">
        <v>36.61</v>
      </c>
      <c r="C54">
        <v>18.8</v>
      </c>
      <c r="D54">
        <v>13.83</v>
      </c>
      <c r="E54">
        <v>6.73</v>
      </c>
      <c r="F54">
        <v>35.799999999999997</v>
      </c>
      <c r="G54">
        <v>13.72</v>
      </c>
      <c r="H54">
        <v>4.96</v>
      </c>
      <c r="I54">
        <v>35.83</v>
      </c>
      <c r="J54">
        <v>14.44</v>
      </c>
      <c r="K54">
        <v>53.88</v>
      </c>
      <c r="L54">
        <v>17.27</v>
      </c>
      <c r="M54">
        <v>35.450000000000003</v>
      </c>
      <c r="N54">
        <v>20.91</v>
      </c>
      <c r="O54">
        <v>25.16</v>
      </c>
      <c r="P54">
        <v>24.09</v>
      </c>
      <c r="Q54">
        <v>18.71</v>
      </c>
      <c r="R54">
        <v>41.68</v>
      </c>
      <c r="S54">
        <v>33.159999999999997</v>
      </c>
      <c r="T54">
        <v>23.47</v>
      </c>
      <c r="U54">
        <v>16.2</v>
      </c>
      <c r="V54">
        <v>32.630000000000003</v>
      </c>
      <c r="W54">
        <v>32.25</v>
      </c>
    </row>
    <row r="55" spans="1:23" x14ac:dyDescent="0.25">
      <c r="A55" s="2">
        <v>43529</v>
      </c>
      <c r="B55">
        <v>36.590000000000003</v>
      </c>
      <c r="C55">
        <v>18.850000000000001</v>
      </c>
      <c r="D55">
        <v>13.92</v>
      </c>
      <c r="E55">
        <v>6.81</v>
      </c>
      <c r="F55">
        <v>35.64</v>
      </c>
      <c r="G55">
        <v>13.66</v>
      </c>
      <c r="H55">
        <v>4.95</v>
      </c>
      <c r="I55">
        <v>35.78</v>
      </c>
      <c r="J55">
        <v>14.47</v>
      </c>
      <c r="K55">
        <v>53.93</v>
      </c>
      <c r="L55">
        <v>17.28</v>
      </c>
      <c r="M55">
        <v>35.33</v>
      </c>
      <c r="N55">
        <v>20.9</v>
      </c>
      <c r="O55">
        <v>25.19</v>
      </c>
      <c r="P55">
        <v>23.98</v>
      </c>
      <c r="Q55">
        <v>18.62</v>
      </c>
      <c r="R55">
        <v>41.7</v>
      </c>
      <c r="S55">
        <v>33.130000000000003</v>
      </c>
      <c r="T55">
        <v>23.45</v>
      </c>
      <c r="U55">
        <v>16.14</v>
      </c>
      <c r="V55">
        <v>32.619999999999997</v>
      </c>
      <c r="W55">
        <v>32.130000000000003</v>
      </c>
    </row>
    <row r="56" spans="1:23" x14ac:dyDescent="0.25">
      <c r="A56" s="2">
        <v>43528</v>
      </c>
      <c r="B56">
        <v>36.700000000000003</v>
      </c>
      <c r="C56">
        <v>18.88</v>
      </c>
      <c r="D56">
        <v>13.98</v>
      </c>
      <c r="E56">
        <v>6.86</v>
      </c>
      <c r="F56">
        <v>35.61</v>
      </c>
      <c r="G56">
        <v>13.68</v>
      </c>
      <c r="H56">
        <v>4.9400000000000004</v>
      </c>
      <c r="I56">
        <v>36.03</v>
      </c>
      <c r="J56">
        <v>14.52</v>
      </c>
      <c r="K56">
        <v>53.96</v>
      </c>
      <c r="L56">
        <v>17.079999999999998</v>
      </c>
      <c r="M56">
        <v>35.4</v>
      </c>
      <c r="N56">
        <v>20.91</v>
      </c>
      <c r="O56">
        <v>25.24</v>
      </c>
      <c r="P56">
        <v>23.98</v>
      </c>
      <c r="Q56">
        <v>18.62</v>
      </c>
      <c r="R56">
        <v>41.77</v>
      </c>
      <c r="S56">
        <v>33.130000000000003</v>
      </c>
      <c r="T56">
        <v>23.44</v>
      </c>
      <c r="U56">
        <v>16.16</v>
      </c>
      <c r="V56">
        <v>32.53</v>
      </c>
      <c r="W56">
        <v>32.28</v>
      </c>
    </row>
    <row r="57" spans="1:23" x14ac:dyDescent="0.25">
      <c r="A57" s="2">
        <v>43524</v>
      </c>
      <c r="B57">
        <v>36.79</v>
      </c>
      <c r="C57">
        <v>18.97</v>
      </c>
      <c r="D57">
        <v>13.8</v>
      </c>
      <c r="E57">
        <v>6.87</v>
      </c>
      <c r="F57">
        <v>35.659999999999997</v>
      </c>
      <c r="G57">
        <v>13.61</v>
      </c>
      <c r="H57">
        <v>4.79</v>
      </c>
      <c r="I57">
        <v>36.090000000000003</v>
      </c>
      <c r="J57">
        <v>14.45</v>
      </c>
      <c r="K57">
        <v>53.99</v>
      </c>
      <c r="L57">
        <v>16.760000000000002</v>
      </c>
      <c r="M57">
        <v>35.67</v>
      </c>
      <c r="N57">
        <v>20.83</v>
      </c>
      <c r="O57">
        <v>25.12</v>
      </c>
      <c r="P57">
        <v>24.02</v>
      </c>
      <c r="Q57">
        <v>18.66</v>
      </c>
      <c r="R57">
        <v>41.83</v>
      </c>
      <c r="S57">
        <v>33.35</v>
      </c>
      <c r="T57">
        <v>23.51</v>
      </c>
      <c r="U57">
        <v>16.09</v>
      </c>
      <c r="V57">
        <v>32.590000000000003</v>
      </c>
      <c r="W57">
        <v>32.24</v>
      </c>
    </row>
    <row r="58" spans="1:23" x14ac:dyDescent="0.25">
      <c r="A58" s="2">
        <v>43523</v>
      </c>
      <c r="B58">
        <v>36.83</v>
      </c>
      <c r="C58">
        <v>18.93</v>
      </c>
      <c r="D58">
        <v>13.5</v>
      </c>
      <c r="E58">
        <v>6.97</v>
      </c>
      <c r="F58">
        <v>35.520000000000003</v>
      </c>
      <c r="G58">
        <v>13.52</v>
      </c>
      <c r="H58">
        <v>4.6900000000000004</v>
      </c>
      <c r="I58">
        <v>35.9</v>
      </c>
      <c r="J58">
        <v>14.42</v>
      </c>
      <c r="K58">
        <v>54.07</v>
      </c>
      <c r="L58">
        <v>16.43</v>
      </c>
      <c r="M58">
        <v>35.57</v>
      </c>
      <c r="N58">
        <v>20.75</v>
      </c>
      <c r="O58">
        <v>25.02</v>
      </c>
      <c r="P58">
        <v>23.89</v>
      </c>
      <c r="Q58">
        <v>18.48</v>
      </c>
      <c r="R58">
        <v>41.89</v>
      </c>
      <c r="S58">
        <v>33.25</v>
      </c>
      <c r="T58">
        <v>23.51</v>
      </c>
      <c r="U58">
        <v>16.14</v>
      </c>
      <c r="V58">
        <v>32.53</v>
      </c>
      <c r="W58">
        <v>31.81</v>
      </c>
    </row>
    <row r="59" spans="1:23" x14ac:dyDescent="0.25">
      <c r="A59" s="2">
        <v>43522</v>
      </c>
      <c r="B59">
        <v>36.869999999999997</v>
      </c>
      <c r="C59">
        <v>18.96</v>
      </c>
      <c r="D59">
        <v>13.65</v>
      </c>
      <c r="E59">
        <v>6.95</v>
      </c>
      <c r="F59">
        <v>35.450000000000003</v>
      </c>
      <c r="G59">
        <v>13.55</v>
      </c>
      <c r="H59">
        <v>4.66</v>
      </c>
      <c r="I59">
        <v>36.17</v>
      </c>
      <c r="J59">
        <v>14.41</v>
      </c>
      <c r="K59">
        <v>54.14</v>
      </c>
      <c r="L59">
        <v>16.55</v>
      </c>
      <c r="M59">
        <v>35.31</v>
      </c>
      <c r="N59">
        <v>20.72</v>
      </c>
      <c r="O59">
        <v>24.97</v>
      </c>
      <c r="P59">
        <v>24.07</v>
      </c>
      <c r="Q59">
        <v>18.690000000000001</v>
      </c>
      <c r="R59">
        <v>41.94</v>
      </c>
      <c r="S59">
        <v>33.31</v>
      </c>
      <c r="T59">
        <v>23.5</v>
      </c>
      <c r="U59">
        <v>16.12</v>
      </c>
      <c r="V59">
        <v>32.549999999999997</v>
      </c>
      <c r="W59">
        <v>31.82</v>
      </c>
    </row>
    <row r="60" spans="1:23" x14ac:dyDescent="0.25">
      <c r="A60" s="2">
        <v>43521</v>
      </c>
      <c r="B60">
        <v>36.93</v>
      </c>
      <c r="C60">
        <v>19</v>
      </c>
      <c r="D60">
        <v>13.64</v>
      </c>
      <c r="E60">
        <v>7.01</v>
      </c>
      <c r="F60">
        <v>35.450000000000003</v>
      </c>
      <c r="G60">
        <v>13.52</v>
      </c>
      <c r="H60">
        <v>4.6100000000000003</v>
      </c>
      <c r="I60">
        <v>36.159999999999997</v>
      </c>
      <c r="J60">
        <v>14.37</v>
      </c>
      <c r="K60">
        <v>54.14</v>
      </c>
      <c r="L60">
        <v>16.899999999999999</v>
      </c>
      <c r="M60">
        <v>35.24</v>
      </c>
      <c r="N60">
        <v>20.64</v>
      </c>
      <c r="O60">
        <v>24.85</v>
      </c>
      <c r="P60">
        <v>24.04</v>
      </c>
      <c r="Q60">
        <v>18.52</v>
      </c>
      <c r="R60">
        <v>41.95</v>
      </c>
      <c r="S60">
        <v>33.46</v>
      </c>
      <c r="T60">
        <v>23.52</v>
      </c>
      <c r="U60">
        <v>15.99</v>
      </c>
      <c r="V60">
        <v>32.65</v>
      </c>
      <c r="W60">
        <v>31.6</v>
      </c>
    </row>
    <row r="61" spans="1:23" x14ac:dyDescent="0.25">
      <c r="A61" s="2">
        <v>43518</v>
      </c>
      <c r="B61">
        <v>36.93</v>
      </c>
      <c r="C61">
        <v>18.89</v>
      </c>
      <c r="D61">
        <v>13.73</v>
      </c>
      <c r="E61">
        <v>6.88</v>
      </c>
      <c r="F61">
        <v>35.54</v>
      </c>
      <c r="G61">
        <v>13.63</v>
      </c>
      <c r="H61">
        <v>4.57</v>
      </c>
      <c r="I61">
        <v>36.229999999999997</v>
      </c>
      <c r="J61">
        <v>14.43</v>
      </c>
      <c r="K61">
        <v>54.12</v>
      </c>
      <c r="L61">
        <v>18.010000000000002</v>
      </c>
      <c r="M61">
        <v>35.299999999999997</v>
      </c>
      <c r="N61">
        <v>20.62</v>
      </c>
      <c r="O61">
        <v>24.89</v>
      </c>
      <c r="P61">
        <v>24.06</v>
      </c>
      <c r="Q61">
        <v>18.45</v>
      </c>
      <c r="R61">
        <v>41.97</v>
      </c>
      <c r="S61">
        <v>33.44</v>
      </c>
      <c r="T61">
        <v>23.52</v>
      </c>
      <c r="U61">
        <v>15.96</v>
      </c>
      <c r="V61">
        <v>32.479999999999997</v>
      </c>
      <c r="W61">
        <v>31.69</v>
      </c>
    </row>
    <row r="62" spans="1:23" x14ac:dyDescent="0.25">
      <c r="A62" s="2">
        <v>43517</v>
      </c>
      <c r="B62">
        <v>36.909999999999997</v>
      </c>
      <c r="C62">
        <v>18.86</v>
      </c>
      <c r="D62">
        <v>13.72</v>
      </c>
      <c r="E62">
        <v>6.83</v>
      </c>
      <c r="F62">
        <v>35.549999999999997</v>
      </c>
      <c r="G62">
        <v>13.61</v>
      </c>
      <c r="H62">
        <v>4.51</v>
      </c>
      <c r="I62">
        <v>36.340000000000003</v>
      </c>
      <c r="J62">
        <v>14.32</v>
      </c>
      <c r="K62">
        <v>54.1</v>
      </c>
      <c r="L62">
        <v>17.829999999999998</v>
      </c>
      <c r="M62">
        <v>35.35</v>
      </c>
      <c r="N62">
        <v>20.6</v>
      </c>
      <c r="O62">
        <v>24.74</v>
      </c>
      <c r="P62">
        <v>24.01</v>
      </c>
      <c r="Q62">
        <v>18.39</v>
      </c>
      <c r="R62">
        <v>42</v>
      </c>
      <c r="S62">
        <v>33.42</v>
      </c>
      <c r="T62">
        <v>23.55</v>
      </c>
      <c r="U62">
        <v>15.94</v>
      </c>
      <c r="V62">
        <v>32.369999999999997</v>
      </c>
      <c r="W62">
        <v>31.8</v>
      </c>
    </row>
    <row r="63" spans="1:23" x14ac:dyDescent="0.25">
      <c r="A63" s="2">
        <v>43516</v>
      </c>
      <c r="B63">
        <v>36.85</v>
      </c>
      <c r="C63">
        <v>18.989999999999998</v>
      </c>
      <c r="D63">
        <v>13.75</v>
      </c>
      <c r="E63">
        <v>6.94</v>
      </c>
      <c r="F63">
        <v>35.65</v>
      </c>
      <c r="G63">
        <v>13.68</v>
      </c>
      <c r="H63">
        <v>4.49</v>
      </c>
      <c r="I63">
        <v>36.19</v>
      </c>
      <c r="J63">
        <v>14.37</v>
      </c>
      <c r="K63">
        <v>54.05</v>
      </c>
      <c r="L63">
        <v>17.8</v>
      </c>
      <c r="M63">
        <v>35.33</v>
      </c>
      <c r="N63">
        <v>20.5</v>
      </c>
      <c r="O63">
        <v>24.74</v>
      </c>
      <c r="P63">
        <v>23.96</v>
      </c>
      <c r="Q63">
        <v>18.399999999999999</v>
      </c>
      <c r="R63">
        <v>42.01</v>
      </c>
      <c r="S63">
        <v>33.409999999999997</v>
      </c>
      <c r="T63">
        <v>23.52</v>
      </c>
      <c r="U63">
        <v>15.88</v>
      </c>
      <c r="V63">
        <v>32.28</v>
      </c>
      <c r="W63">
        <v>31.63</v>
      </c>
    </row>
    <row r="64" spans="1:23" x14ac:dyDescent="0.25">
      <c r="A64" s="2">
        <v>43515</v>
      </c>
      <c r="B64">
        <v>36.729999999999997</v>
      </c>
      <c r="C64">
        <v>18.850000000000001</v>
      </c>
      <c r="D64">
        <v>13.81</v>
      </c>
      <c r="E64">
        <v>6.91</v>
      </c>
      <c r="F64">
        <v>35.630000000000003</v>
      </c>
      <c r="G64">
        <v>13.74</v>
      </c>
      <c r="H64">
        <v>4.45</v>
      </c>
      <c r="I64">
        <v>36.090000000000003</v>
      </c>
      <c r="J64">
        <v>14.37</v>
      </c>
      <c r="K64">
        <v>53.9</v>
      </c>
      <c r="L64">
        <v>17.89</v>
      </c>
      <c r="M64">
        <v>35.35</v>
      </c>
      <c r="N64">
        <v>20.41</v>
      </c>
      <c r="O64">
        <v>24.67</v>
      </c>
      <c r="P64">
        <v>23.92</v>
      </c>
      <c r="Q64">
        <v>18.3</v>
      </c>
      <c r="R64">
        <v>42.02</v>
      </c>
      <c r="S64">
        <v>33.46</v>
      </c>
      <c r="T64">
        <v>23.5</v>
      </c>
      <c r="U64">
        <v>15.87</v>
      </c>
      <c r="V64">
        <v>32.26</v>
      </c>
      <c r="W64">
        <v>31.65</v>
      </c>
    </row>
    <row r="65" spans="1:23" x14ac:dyDescent="0.25">
      <c r="A65" s="2">
        <v>43514</v>
      </c>
      <c r="B65">
        <v>36.799999999999997</v>
      </c>
      <c r="C65">
        <v>18.829999999999998</v>
      </c>
      <c r="D65">
        <v>13.88</v>
      </c>
      <c r="E65">
        <v>6.72</v>
      </c>
      <c r="F65">
        <v>35.700000000000003</v>
      </c>
      <c r="G65">
        <v>13.62</v>
      </c>
      <c r="H65">
        <v>4.42</v>
      </c>
      <c r="I65">
        <v>35.880000000000003</v>
      </c>
      <c r="J65">
        <v>14.32</v>
      </c>
      <c r="K65">
        <v>53.94</v>
      </c>
      <c r="L65">
        <v>17.7</v>
      </c>
      <c r="M65">
        <v>35.43</v>
      </c>
      <c r="N65">
        <v>20.43</v>
      </c>
      <c r="O65">
        <v>24.69</v>
      </c>
      <c r="P65">
        <v>23.96</v>
      </c>
      <c r="Q65">
        <v>18.18</v>
      </c>
      <c r="R65">
        <v>42.01</v>
      </c>
      <c r="S65">
        <v>33.520000000000003</v>
      </c>
      <c r="T65">
        <v>23.51</v>
      </c>
      <c r="U65">
        <v>15.86</v>
      </c>
      <c r="V65">
        <v>32.26</v>
      </c>
      <c r="W65">
        <v>31.69</v>
      </c>
    </row>
    <row r="66" spans="1:23" x14ac:dyDescent="0.25">
      <c r="A66" s="2">
        <v>43511</v>
      </c>
      <c r="B66">
        <v>36.81</v>
      </c>
      <c r="C66">
        <v>18.8</v>
      </c>
      <c r="D66">
        <v>13.84</v>
      </c>
      <c r="E66">
        <v>6.66</v>
      </c>
      <c r="F66">
        <v>35.58</v>
      </c>
      <c r="G66">
        <v>13.58</v>
      </c>
      <c r="H66">
        <v>4.43</v>
      </c>
      <c r="I66">
        <v>36.11</v>
      </c>
      <c r="J66">
        <v>14.36</v>
      </c>
      <c r="K66">
        <v>53.99</v>
      </c>
      <c r="L66">
        <v>18.3</v>
      </c>
      <c r="M66">
        <v>35.6</v>
      </c>
      <c r="N66">
        <v>20.34</v>
      </c>
      <c r="O66">
        <v>24.73</v>
      </c>
      <c r="P66">
        <v>24.01</v>
      </c>
      <c r="Q66">
        <v>18.2</v>
      </c>
      <c r="R66">
        <v>41.99</v>
      </c>
      <c r="S66">
        <v>33.53</v>
      </c>
      <c r="T66">
        <v>23.45</v>
      </c>
      <c r="U66">
        <v>15.85</v>
      </c>
      <c r="V66">
        <v>32.17</v>
      </c>
      <c r="W66">
        <v>31.77</v>
      </c>
    </row>
    <row r="67" spans="1:23" x14ac:dyDescent="0.25">
      <c r="A67" s="2">
        <v>43510</v>
      </c>
      <c r="B67">
        <v>36.979999999999997</v>
      </c>
      <c r="C67">
        <v>18.93</v>
      </c>
      <c r="D67">
        <v>14.04</v>
      </c>
      <c r="E67">
        <v>6.64</v>
      </c>
      <c r="F67">
        <v>35.479999999999997</v>
      </c>
      <c r="G67">
        <v>13.56</v>
      </c>
      <c r="H67">
        <v>4.41</v>
      </c>
      <c r="I67">
        <v>36.01</v>
      </c>
      <c r="J67">
        <v>14.54</v>
      </c>
      <c r="K67">
        <v>54.09</v>
      </c>
      <c r="L67">
        <v>18.22</v>
      </c>
      <c r="M67">
        <v>35.76</v>
      </c>
      <c r="N67">
        <v>20.37</v>
      </c>
      <c r="O67">
        <v>24.73</v>
      </c>
      <c r="P67">
        <v>23.99</v>
      </c>
      <c r="Q67">
        <v>18.260000000000002</v>
      </c>
      <c r="R67">
        <v>42.09</v>
      </c>
      <c r="S67">
        <v>33.61</v>
      </c>
      <c r="T67">
        <v>23.44</v>
      </c>
      <c r="U67">
        <v>15.86</v>
      </c>
      <c r="V67">
        <v>32.380000000000003</v>
      </c>
      <c r="W67">
        <v>31.7</v>
      </c>
    </row>
    <row r="68" spans="1:23" x14ac:dyDescent="0.25">
      <c r="A68" s="2">
        <v>43509</v>
      </c>
      <c r="B68">
        <v>36.869999999999997</v>
      </c>
      <c r="C68">
        <v>18.84</v>
      </c>
      <c r="D68">
        <v>14</v>
      </c>
      <c r="E68">
        <v>6.71</v>
      </c>
      <c r="F68">
        <v>35.479999999999997</v>
      </c>
      <c r="G68">
        <v>13.65</v>
      </c>
      <c r="H68">
        <v>4.42</v>
      </c>
      <c r="I68">
        <v>36.11</v>
      </c>
      <c r="J68">
        <v>14.84</v>
      </c>
      <c r="K68">
        <v>54.03</v>
      </c>
      <c r="L68">
        <v>18.27</v>
      </c>
      <c r="M68">
        <v>35.75</v>
      </c>
      <c r="N68">
        <v>20.21</v>
      </c>
      <c r="O68">
        <v>24.78</v>
      </c>
      <c r="P68">
        <v>24.01</v>
      </c>
      <c r="Q68">
        <v>18.260000000000002</v>
      </c>
      <c r="R68">
        <v>42.13</v>
      </c>
      <c r="S68">
        <v>33.630000000000003</v>
      </c>
      <c r="T68">
        <v>23.45</v>
      </c>
      <c r="U68">
        <v>15.84</v>
      </c>
      <c r="V68">
        <v>32.270000000000003</v>
      </c>
      <c r="W68">
        <v>31.51</v>
      </c>
    </row>
    <row r="69" spans="1:23" x14ac:dyDescent="0.25">
      <c r="A69" s="2">
        <v>43508</v>
      </c>
      <c r="B69">
        <v>36.869999999999997</v>
      </c>
      <c r="C69">
        <v>18.88</v>
      </c>
      <c r="D69">
        <v>13.91</v>
      </c>
      <c r="E69">
        <v>6.63</v>
      </c>
      <c r="F69">
        <v>35.44</v>
      </c>
      <c r="G69">
        <v>13.69</v>
      </c>
      <c r="H69">
        <v>4.3899999999999997</v>
      </c>
      <c r="I69">
        <v>36.049999999999997</v>
      </c>
      <c r="J69">
        <v>14.92</v>
      </c>
      <c r="K69">
        <v>54.01</v>
      </c>
      <c r="L69">
        <v>17.899999999999999</v>
      </c>
      <c r="M69">
        <v>35.950000000000003</v>
      </c>
      <c r="N69">
        <v>20.100000000000001</v>
      </c>
      <c r="O69">
        <v>24.79</v>
      </c>
      <c r="P69">
        <v>24.01</v>
      </c>
      <c r="Q69">
        <v>18.27</v>
      </c>
      <c r="R69">
        <v>42.21</v>
      </c>
      <c r="S69">
        <v>33.53</v>
      </c>
      <c r="T69">
        <v>25.79</v>
      </c>
      <c r="U69">
        <v>15.88</v>
      </c>
      <c r="V69">
        <v>32.200000000000003</v>
      </c>
      <c r="W69">
        <v>31.53</v>
      </c>
    </row>
    <row r="70" spans="1:23" x14ac:dyDescent="0.25">
      <c r="A70" s="2">
        <v>43507</v>
      </c>
      <c r="B70">
        <v>36.770000000000003</v>
      </c>
      <c r="C70">
        <v>18.850000000000001</v>
      </c>
      <c r="D70">
        <v>14.04</v>
      </c>
      <c r="E70">
        <v>6.71</v>
      </c>
      <c r="F70">
        <v>35.56</v>
      </c>
      <c r="G70">
        <v>13.74</v>
      </c>
      <c r="H70">
        <v>4.3600000000000003</v>
      </c>
      <c r="I70">
        <v>36.21</v>
      </c>
      <c r="J70">
        <v>14.89</v>
      </c>
      <c r="K70">
        <v>53.92</v>
      </c>
      <c r="L70">
        <v>17.82</v>
      </c>
      <c r="M70">
        <v>35.93</v>
      </c>
      <c r="N70">
        <v>20.11</v>
      </c>
      <c r="O70">
        <v>24.8</v>
      </c>
      <c r="P70">
        <v>23.98</v>
      </c>
      <c r="Q70">
        <v>18.2</v>
      </c>
      <c r="R70">
        <v>42.27</v>
      </c>
      <c r="S70">
        <v>33.700000000000003</v>
      </c>
      <c r="T70">
        <v>25.79</v>
      </c>
      <c r="U70">
        <v>15.87</v>
      </c>
      <c r="V70">
        <v>32.229999999999997</v>
      </c>
      <c r="W70">
        <v>31.69</v>
      </c>
    </row>
    <row r="71" spans="1:23" x14ac:dyDescent="0.25">
      <c r="A71" s="2">
        <v>43504</v>
      </c>
      <c r="B71">
        <v>36.78</v>
      </c>
      <c r="C71">
        <v>18.850000000000001</v>
      </c>
      <c r="D71">
        <v>13.99</v>
      </c>
      <c r="E71">
        <v>6.82</v>
      </c>
      <c r="F71">
        <v>35.5</v>
      </c>
      <c r="G71">
        <v>13.72</v>
      </c>
      <c r="H71">
        <v>4.3899999999999997</v>
      </c>
      <c r="I71">
        <v>36</v>
      </c>
      <c r="J71">
        <v>14.96</v>
      </c>
      <c r="K71">
        <v>53.95</v>
      </c>
      <c r="L71">
        <v>17.86</v>
      </c>
      <c r="M71">
        <v>35.880000000000003</v>
      </c>
      <c r="N71">
        <v>20.21</v>
      </c>
      <c r="O71">
        <v>24.71</v>
      </c>
      <c r="P71">
        <v>23.97</v>
      </c>
      <c r="Q71">
        <v>18.12</v>
      </c>
      <c r="R71">
        <v>42.28</v>
      </c>
      <c r="S71">
        <v>33.86</v>
      </c>
      <c r="T71">
        <v>25.75</v>
      </c>
      <c r="U71">
        <v>15.91</v>
      </c>
      <c r="V71">
        <v>32.19</v>
      </c>
      <c r="W71">
        <v>31.71</v>
      </c>
    </row>
    <row r="72" spans="1:23" x14ac:dyDescent="0.25">
      <c r="A72" s="2">
        <v>43503</v>
      </c>
      <c r="B72">
        <v>36.979999999999997</v>
      </c>
      <c r="C72">
        <v>18.96</v>
      </c>
      <c r="D72">
        <v>14.03</v>
      </c>
      <c r="E72">
        <v>6.87</v>
      </c>
      <c r="F72">
        <v>35.58</v>
      </c>
      <c r="G72">
        <v>13.68</v>
      </c>
      <c r="H72">
        <v>4.4000000000000004</v>
      </c>
      <c r="I72">
        <v>36.4</v>
      </c>
      <c r="J72">
        <v>14.98</v>
      </c>
      <c r="K72">
        <v>54.06</v>
      </c>
      <c r="L72">
        <v>18.13</v>
      </c>
      <c r="M72">
        <v>35.9</v>
      </c>
      <c r="N72">
        <v>20.34</v>
      </c>
      <c r="O72">
        <v>24.72</v>
      </c>
      <c r="P72">
        <v>24.02</v>
      </c>
      <c r="Q72">
        <v>18.13</v>
      </c>
      <c r="R72">
        <v>42.32</v>
      </c>
      <c r="S72">
        <v>33.78</v>
      </c>
      <c r="T72">
        <v>25.72</v>
      </c>
      <c r="U72">
        <v>15.95</v>
      </c>
      <c r="V72">
        <v>32.119999999999997</v>
      </c>
      <c r="W72">
        <v>31.91</v>
      </c>
    </row>
    <row r="73" spans="1:23" x14ac:dyDescent="0.25">
      <c r="A73" s="2">
        <v>43497</v>
      </c>
      <c r="B73">
        <v>37.020000000000003</v>
      </c>
      <c r="C73">
        <v>18.899999999999999</v>
      </c>
      <c r="D73">
        <v>14.05</v>
      </c>
      <c r="E73">
        <v>6.82</v>
      </c>
      <c r="F73">
        <v>35.6</v>
      </c>
      <c r="G73">
        <v>13.66</v>
      </c>
      <c r="H73">
        <v>4.4800000000000004</v>
      </c>
      <c r="I73">
        <v>36.28</v>
      </c>
      <c r="J73">
        <v>14.99</v>
      </c>
      <c r="K73">
        <v>54.11</v>
      </c>
      <c r="L73">
        <v>18.329999999999998</v>
      </c>
      <c r="M73">
        <v>36.08</v>
      </c>
      <c r="N73">
        <v>20.32</v>
      </c>
      <c r="O73">
        <v>24.77</v>
      </c>
      <c r="P73">
        <v>24.1</v>
      </c>
      <c r="Q73">
        <v>18.22</v>
      </c>
      <c r="R73">
        <v>42.34</v>
      </c>
      <c r="S73">
        <v>33.840000000000003</v>
      </c>
      <c r="T73">
        <v>25.72</v>
      </c>
      <c r="U73">
        <v>15.89</v>
      </c>
      <c r="V73">
        <v>32.15</v>
      </c>
      <c r="W73">
        <v>32.119999999999997</v>
      </c>
    </row>
    <row r="74" spans="1:23" x14ac:dyDescent="0.25">
      <c r="A74" s="2">
        <v>43496</v>
      </c>
      <c r="B74">
        <v>36.950000000000003</v>
      </c>
      <c r="C74">
        <v>18.95</v>
      </c>
      <c r="D74">
        <v>14.11</v>
      </c>
      <c r="E74">
        <v>6.8</v>
      </c>
      <c r="F74">
        <v>35.61</v>
      </c>
      <c r="G74">
        <v>13.67</v>
      </c>
      <c r="H74">
        <v>4.47</v>
      </c>
      <c r="I74">
        <v>36.43</v>
      </c>
      <c r="J74">
        <v>14.95</v>
      </c>
      <c r="K74">
        <v>54.11</v>
      </c>
      <c r="L74">
        <v>18.440000000000001</v>
      </c>
      <c r="M74">
        <v>35.880000000000003</v>
      </c>
      <c r="N74">
        <v>20.45</v>
      </c>
      <c r="O74">
        <v>24.81</v>
      </c>
      <c r="P74">
        <v>24.18</v>
      </c>
      <c r="Q74">
        <v>18.27</v>
      </c>
      <c r="R74">
        <v>42.42</v>
      </c>
      <c r="S74">
        <v>33.71</v>
      </c>
      <c r="T74">
        <v>25.72</v>
      </c>
      <c r="U74">
        <v>15.82</v>
      </c>
      <c r="V74">
        <v>31.88</v>
      </c>
      <c r="W74">
        <v>32.29</v>
      </c>
    </row>
    <row r="75" spans="1:23" x14ac:dyDescent="0.25">
      <c r="A75" s="2">
        <v>43495</v>
      </c>
      <c r="B75">
        <v>36.97</v>
      </c>
      <c r="C75">
        <v>18.87</v>
      </c>
      <c r="D75">
        <v>14.1</v>
      </c>
      <c r="E75">
        <v>6.78</v>
      </c>
      <c r="F75">
        <v>35.61</v>
      </c>
      <c r="G75">
        <v>13.67</v>
      </c>
      <c r="H75">
        <v>4.45</v>
      </c>
      <c r="I75">
        <v>36.93</v>
      </c>
      <c r="J75">
        <v>14.9</v>
      </c>
      <c r="K75">
        <v>53.96</v>
      </c>
      <c r="L75">
        <v>18.2</v>
      </c>
      <c r="M75">
        <v>35.83</v>
      </c>
      <c r="N75">
        <v>20.47</v>
      </c>
      <c r="O75">
        <v>24.66</v>
      </c>
      <c r="P75">
        <v>24.17</v>
      </c>
      <c r="Q75">
        <v>18.21</v>
      </c>
      <c r="R75">
        <v>42.51</v>
      </c>
      <c r="S75">
        <v>33.49</v>
      </c>
      <c r="T75">
        <v>25.73</v>
      </c>
      <c r="U75">
        <v>15.83</v>
      </c>
      <c r="V75">
        <v>31.56</v>
      </c>
      <c r="W75">
        <v>32.39</v>
      </c>
    </row>
    <row r="76" spans="1:23" x14ac:dyDescent="0.25">
      <c r="A76" s="2">
        <v>43494</v>
      </c>
      <c r="B76">
        <v>36.86</v>
      </c>
      <c r="C76">
        <v>19.02</v>
      </c>
      <c r="D76">
        <v>14.18</v>
      </c>
      <c r="E76">
        <v>6.84</v>
      </c>
      <c r="F76">
        <v>35.58</v>
      </c>
      <c r="G76">
        <v>13.57</v>
      </c>
      <c r="H76">
        <v>4.32</v>
      </c>
      <c r="I76">
        <v>36.46</v>
      </c>
      <c r="J76">
        <v>14.82</v>
      </c>
      <c r="K76">
        <v>53.84</v>
      </c>
      <c r="L76">
        <v>18.190000000000001</v>
      </c>
      <c r="M76">
        <v>35.78</v>
      </c>
      <c r="N76">
        <v>20.43</v>
      </c>
      <c r="O76">
        <v>24.64</v>
      </c>
      <c r="P76">
        <v>23.99</v>
      </c>
      <c r="Q76">
        <v>18.12</v>
      </c>
      <c r="R76">
        <v>42.68</v>
      </c>
      <c r="S76">
        <v>33.43</v>
      </c>
      <c r="T76">
        <v>25.73</v>
      </c>
      <c r="U76">
        <v>15.81</v>
      </c>
      <c r="V76">
        <v>31.49</v>
      </c>
      <c r="W76">
        <v>32.36</v>
      </c>
    </row>
    <row r="77" spans="1:23" x14ac:dyDescent="0.25">
      <c r="A77" s="2">
        <v>43493</v>
      </c>
      <c r="B77">
        <v>36.74</v>
      </c>
      <c r="C77">
        <v>18.93</v>
      </c>
      <c r="D77">
        <v>14.08</v>
      </c>
      <c r="E77">
        <v>6.9</v>
      </c>
      <c r="F77">
        <v>35.369999999999997</v>
      </c>
      <c r="G77">
        <v>13.53</v>
      </c>
      <c r="H77">
        <v>4.63</v>
      </c>
      <c r="I77">
        <v>36.46</v>
      </c>
      <c r="J77">
        <v>14.94</v>
      </c>
      <c r="K77">
        <v>53.84</v>
      </c>
      <c r="L77">
        <v>18.079999999999998</v>
      </c>
      <c r="M77">
        <v>35.72</v>
      </c>
      <c r="N77">
        <v>20.46</v>
      </c>
      <c r="O77">
        <v>24.63</v>
      </c>
      <c r="P77">
        <v>23.95</v>
      </c>
      <c r="Q77">
        <v>17.96</v>
      </c>
      <c r="R77">
        <v>42.71</v>
      </c>
      <c r="S77">
        <v>33.369999999999997</v>
      </c>
      <c r="T77">
        <v>25.72</v>
      </c>
      <c r="U77">
        <v>15.83</v>
      </c>
      <c r="V77">
        <v>31.52</v>
      </c>
      <c r="W77">
        <v>32.19</v>
      </c>
    </row>
    <row r="78" spans="1:23" x14ac:dyDescent="0.25">
      <c r="A78" s="2">
        <v>43490</v>
      </c>
      <c r="B78">
        <v>36.71</v>
      </c>
      <c r="C78">
        <v>18.920000000000002</v>
      </c>
      <c r="D78">
        <v>14.02</v>
      </c>
      <c r="E78">
        <v>6.87</v>
      </c>
      <c r="F78">
        <v>35.369999999999997</v>
      </c>
      <c r="G78">
        <v>13.5</v>
      </c>
      <c r="H78">
        <v>4.62</v>
      </c>
      <c r="I78">
        <v>36.36</v>
      </c>
      <c r="J78">
        <v>14.96</v>
      </c>
      <c r="K78">
        <v>53.68</v>
      </c>
      <c r="L78">
        <v>18.100000000000001</v>
      </c>
      <c r="M78">
        <v>35.799999999999997</v>
      </c>
      <c r="N78">
        <v>20.51</v>
      </c>
      <c r="O78">
        <v>24.66</v>
      </c>
      <c r="P78">
        <v>23.95</v>
      </c>
      <c r="Q78">
        <v>17.920000000000002</v>
      </c>
      <c r="R78">
        <v>42.72</v>
      </c>
      <c r="S78">
        <v>33.39</v>
      </c>
      <c r="T78">
        <v>25.71</v>
      </c>
      <c r="U78">
        <v>15.8</v>
      </c>
      <c r="V78">
        <v>31.57</v>
      </c>
      <c r="W78">
        <v>32.119999999999997</v>
      </c>
    </row>
    <row r="79" spans="1:23" x14ac:dyDescent="0.25">
      <c r="A79" s="2">
        <v>43489</v>
      </c>
      <c r="B79">
        <v>36.51</v>
      </c>
      <c r="C79">
        <v>18.920000000000002</v>
      </c>
      <c r="D79">
        <v>13.92</v>
      </c>
      <c r="E79">
        <v>6.93</v>
      </c>
      <c r="F79">
        <v>35.22</v>
      </c>
      <c r="G79">
        <v>13.51</v>
      </c>
      <c r="H79">
        <v>4.63</v>
      </c>
      <c r="I79">
        <v>36.31</v>
      </c>
      <c r="J79">
        <v>14.86</v>
      </c>
      <c r="K79">
        <v>53.55</v>
      </c>
      <c r="L79">
        <v>18.02</v>
      </c>
      <c r="M79">
        <v>35.96</v>
      </c>
      <c r="N79">
        <v>20.5</v>
      </c>
      <c r="O79">
        <v>24.62</v>
      </c>
      <c r="P79">
        <v>24.01</v>
      </c>
      <c r="Q79">
        <v>18.100000000000001</v>
      </c>
      <c r="R79">
        <v>42.71</v>
      </c>
      <c r="S79">
        <v>33.380000000000003</v>
      </c>
      <c r="T79">
        <v>25.7</v>
      </c>
      <c r="U79">
        <v>15.81</v>
      </c>
      <c r="V79">
        <v>31.59</v>
      </c>
      <c r="W79">
        <v>32.25</v>
      </c>
    </row>
    <row r="80" spans="1:23" x14ac:dyDescent="0.25">
      <c r="A80" s="2">
        <v>43488</v>
      </c>
      <c r="B80">
        <v>36.33</v>
      </c>
      <c r="C80">
        <v>19.07</v>
      </c>
      <c r="D80">
        <v>13.98</v>
      </c>
      <c r="E80">
        <v>6.92</v>
      </c>
      <c r="F80">
        <v>35.21</v>
      </c>
      <c r="G80">
        <v>13.38</v>
      </c>
      <c r="H80">
        <v>4.62</v>
      </c>
      <c r="I80">
        <v>36.21</v>
      </c>
      <c r="J80">
        <v>14.93</v>
      </c>
      <c r="K80">
        <v>53.37</v>
      </c>
      <c r="L80">
        <v>18.170000000000002</v>
      </c>
      <c r="M80">
        <v>35.83</v>
      </c>
      <c r="N80">
        <v>20.57</v>
      </c>
      <c r="O80">
        <v>24.58</v>
      </c>
      <c r="P80">
        <v>23.86</v>
      </c>
      <c r="Q80">
        <v>18.02</v>
      </c>
      <c r="R80">
        <v>42.74</v>
      </c>
      <c r="S80">
        <v>33.24</v>
      </c>
      <c r="T80">
        <v>25.68</v>
      </c>
      <c r="U80">
        <v>15.64</v>
      </c>
      <c r="V80">
        <v>31.54</v>
      </c>
      <c r="W80">
        <v>32.4</v>
      </c>
    </row>
    <row r="81" spans="1:23" x14ac:dyDescent="0.25">
      <c r="A81" s="2">
        <v>43487</v>
      </c>
      <c r="B81">
        <v>36.4</v>
      </c>
      <c r="C81">
        <v>19.059999999999999</v>
      </c>
      <c r="D81">
        <v>13.96</v>
      </c>
      <c r="E81">
        <v>6.93</v>
      </c>
      <c r="F81">
        <v>35.33</v>
      </c>
      <c r="G81">
        <v>13.37</v>
      </c>
      <c r="H81">
        <v>4.63</v>
      </c>
      <c r="I81">
        <v>36.32</v>
      </c>
      <c r="J81">
        <v>14.93</v>
      </c>
      <c r="K81">
        <v>53.45</v>
      </c>
      <c r="L81">
        <v>18.13</v>
      </c>
      <c r="M81">
        <v>35.700000000000003</v>
      </c>
      <c r="N81">
        <v>20.65</v>
      </c>
      <c r="O81">
        <v>24.56</v>
      </c>
      <c r="P81">
        <v>23.91</v>
      </c>
      <c r="Q81">
        <v>17.89</v>
      </c>
      <c r="R81">
        <v>42.73</v>
      </c>
      <c r="S81">
        <v>33.299999999999997</v>
      </c>
      <c r="T81">
        <v>25.66</v>
      </c>
      <c r="U81">
        <v>15.64</v>
      </c>
      <c r="V81">
        <v>31.63</v>
      </c>
      <c r="W81">
        <v>32.42</v>
      </c>
    </row>
    <row r="82" spans="1:23" x14ac:dyDescent="0.25">
      <c r="A82" s="2">
        <v>43486</v>
      </c>
      <c r="B82">
        <v>36.479999999999997</v>
      </c>
      <c r="C82">
        <v>19.13</v>
      </c>
      <c r="D82">
        <v>14.06</v>
      </c>
      <c r="E82">
        <v>7.01</v>
      </c>
      <c r="F82">
        <v>35.340000000000003</v>
      </c>
      <c r="G82">
        <v>13.34</v>
      </c>
      <c r="H82">
        <v>4.63</v>
      </c>
      <c r="I82">
        <v>36.33</v>
      </c>
      <c r="J82">
        <v>15.04</v>
      </c>
      <c r="K82">
        <v>53.39</v>
      </c>
      <c r="L82">
        <v>18.079999999999998</v>
      </c>
      <c r="M82">
        <v>35.61</v>
      </c>
      <c r="N82">
        <v>20.68</v>
      </c>
      <c r="O82">
        <v>24.52</v>
      </c>
      <c r="P82">
        <v>23.9</v>
      </c>
      <c r="Q82">
        <v>17.89</v>
      </c>
      <c r="R82">
        <v>42.72</v>
      </c>
      <c r="S82">
        <v>33.340000000000003</v>
      </c>
      <c r="T82">
        <v>25.65</v>
      </c>
      <c r="U82">
        <v>15.65</v>
      </c>
      <c r="V82">
        <v>31.82</v>
      </c>
      <c r="W82">
        <v>32.479999999999997</v>
      </c>
    </row>
    <row r="83" spans="1:23" x14ac:dyDescent="0.25">
      <c r="A83" s="2">
        <v>43483</v>
      </c>
      <c r="B83">
        <v>36.43</v>
      </c>
      <c r="C83">
        <v>19.18</v>
      </c>
      <c r="D83">
        <v>14.04</v>
      </c>
      <c r="E83">
        <v>7.01</v>
      </c>
      <c r="F83">
        <v>35.380000000000003</v>
      </c>
      <c r="G83">
        <v>13.39</v>
      </c>
      <c r="H83">
        <v>4.62</v>
      </c>
      <c r="I83">
        <v>36.24</v>
      </c>
      <c r="J83">
        <v>15.1</v>
      </c>
      <c r="K83">
        <v>53.34</v>
      </c>
      <c r="L83">
        <v>18.260000000000002</v>
      </c>
      <c r="M83">
        <v>35.97</v>
      </c>
      <c r="N83">
        <v>20.68</v>
      </c>
      <c r="O83">
        <v>24.58</v>
      </c>
      <c r="P83">
        <v>23.97</v>
      </c>
      <c r="Q83">
        <v>17.87</v>
      </c>
      <c r="R83">
        <v>42.73</v>
      </c>
      <c r="S83">
        <v>33.4</v>
      </c>
      <c r="T83">
        <v>25.65</v>
      </c>
      <c r="U83">
        <v>15.66</v>
      </c>
      <c r="V83">
        <v>31.88</v>
      </c>
      <c r="W83">
        <v>32.67</v>
      </c>
    </row>
    <row r="84" spans="1:23" x14ac:dyDescent="0.25">
      <c r="A84" s="2">
        <v>43482</v>
      </c>
      <c r="B84">
        <v>36.49</v>
      </c>
      <c r="C84">
        <v>19.16</v>
      </c>
      <c r="D84">
        <v>14.13</v>
      </c>
      <c r="E84">
        <v>7.04</v>
      </c>
      <c r="F84">
        <v>35.42</v>
      </c>
      <c r="G84">
        <v>13.33</v>
      </c>
      <c r="H84">
        <v>4.58</v>
      </c>
      <c r="I84">
        <v>36.26</v>
      </c>
      <c r="J84">
        <v>15.07</v>
      </c>
      <c r="K84">
        <v>53.32</v>
      </c>
      <c r="L84">
        <v>18.170000000000002</v>
      </c>
      <c r="M84">
        <v>36.03</v>
      </c>
      <c r="N84">
        <v>20.75</v>
      </c>
      <c r="O84">
        <v>24.59</v>
      </c>
      <c r="P84">
        <v>23.9</v>
      </c>
      <c r="Q84">
        <v>17.850000000000001</v>
      </c>
      <c r="R84">
        <v>42.71</v>
      </c>
      <c r="S84">
        <v>33.58</v>
      </c>
      <c r="T84">
        <v>25.63</v>
      </c>
      <c r="U84">
        <v>15.64</v>
      </c>
      <c r="V84">
        <v>31.9</v>
      </c>
      <c r="W84">
        <v>32.58</v>
      </c>
    </row>
    <row r="85" spans="1:23" x14ac:dyDescent="0.25">
      <c r="A85" s="2">
        <v>43481</v>
      </c>
      <c r="B85">
        <v>36.299999999999997</v>
      </c>
      <c r="C85">
        <v>19</v>
      </c>
      <c r="D85">
        <v>14.22</v>
      </c>
      <c r="E85">
        <v>7.04</v>
      </c>
      <c r="F85">
        <v>35.31</v>
      </c>
      <c r="G85">
        <v>13.4</v>
      </c>
      <c r="H85">
        <v>4.5599999999999996</v>
      </c>
      <c r="I85">
        <v>36.24</v>
      </c>
      <c r="J85">
        <v>15.02</v>
      </c>
      <c r="K85">
        <v>53.13</v>
      </c>
      <c r="L85">
        <v>18.309999999999999</v>
      </c>
      <c r="M85">
        <v>35.799999999999997</v>
      </c>
      <c r="N85">
        <v>20.88</v>
      </c>
      <c r="O85">
        <v>24.55</v>
      </c>
      <c r="P85">
        <v>23.8</v>
      </c>
      <c r="Q85">
        <v>17.690000000000001</v>
      </c>
      <c r="R85">
        <v>42.7</v>
      </c>
      <c r="S85">
        <v>33.53</v>
      </c>
      <c r="T85">
        <v>25.62</v>
      </c>
      <c r="U85">
        <v>15.59</v>
      </c>
      <c r="V85">
        <v>32.08</v>
      </c>
      <c r="W85">
        <v>32.26</v>
      </c>
    </row>
    <row r="86" spans="1:23" x14ac:dyDescent="0.25">
      <c r="A86" s="2">
        <v>43480</v>
      </c>
      <c r="B86">
        <v>36.21</v>
      </c>
      <c r="C86">
        <v>19.05</v>
      </c>
      <c r="D86">
        <v>14.38</v>
      </c>
      <c r="E86">
        <v>7.07</v>
      </c>
      <c r="F86">
        <v>35.299999999999997</v>
      </c>
      <c r="G86">
        <v>13.47</v>
      </c>
      <c r="H86">
        <v>4.58</v>
      </c>
      <c r="I86">
        <v>36.03</v>
      </c>
      <c r="J86">
        <v>15.07</v>
      </c>
      <c r="K86">
        <v>53.07</v>
      </c>
      <c r="L86">
        <v>18.2</v>
      </c>
      <c r="M86">
        <v>35.76</v>
      </c>
      <c r="N86">
        <v>20.92</v>
      </c>
      <c r="O86">
        <v>24.59</v>
      </c>
      <c r="P86">
        <v>23.64</v>
      </c>
      <c r="Q86">
        <v>17.739999999999998</v>
      </c>
      <c r="R86">
        <v>42.69</v>
      </c>
      <c r="S86">
        <v>33.35</v>
      </c>
      <c r="T86">
        <v>25.62</v>
      </c>
      <c r="U86">
        <v>15.45</v>
      </c>
      <c r="V86">
        <v>31.93</v>
      </c>
      <c r="W86">
        <v>32.35</v>
      </c>
    </row>
    <row r="87" spans="1:23" x14ac:dyDescent="0.25">
      <c r="A87" s="2">
        <v>43479</v>
      </c>
      <c r="B87">
        <v>36.03</v>
      </c>
      <c r="C87">
        <v>19.11</v>
      </c>
      <c r="D87">
        <v>14.53</v>
      </c>
      <c r="E87">
        <v>7.18</v>
      </c>
      <c r="F87">
        <v>35.299999999999997</v>
      </c>
      <c r="G87">
        <v>13.49</v>
      </c>
      <c r="H87">
        <v>4.6100000000000003</v>
      </c>
      <c r="I87">
        <v>35.869999999999997</v>
      </c>
      <c r="J87">
        <v>15.07</v>
      </c>
      <c r="K87">
        <v>53</v>
      </c>
      <c r="L87">
        <v>18.13</v>
      </c>
      <c r="M87">
        <v>35.58</v>
      </c>
      <c r="N87">
        <v>20.9</v>
      </c>
      <c r="O87">
        <v>24.57</v>
      </c>
      <c r="P87">
        <v>23.6</v>
      </c>
      <c r="Q87">
        <v>17.61</v>
      </c>
      <c r="R87">
        <v>42.68</v>
      </c>
      <c r="S87">
        <v>33.11</v>
      </c>
      <c r="T87">
        <v>25.61</v>
      </c>
      <c r="U87">
        <v>15.35</v>
      </c>
      <c r="V87">
        <v>31.88</v>
      </c>
      <c r="W87">
        <v>32.19</v>
      </c>
    </row>
    <row r="88" spans="1:23" x14ac:dyDescent="0.25">
      <c r="A88" s="2">
        <v>43476</v>
      </c>
      <c r="B88">
        <v>36.119999999999997</v>
      </c>
      <c r="C88">
        <v>19.13</v>
      </c>
      <c r="D88">
        <v>14.65</v>
      </c>
      <c r="E88">
        <v>7.31</v>
      </c>
      <c r="F88">
        <v>35.25</v>
      </c>
      <c r="G88">
        <v>13.56</v>
      </c>
      <c r="H88">
        <v>4.66</v>
      </c>
      <c r="I88">
        <v>35.979999999999997</v>
      </c>
      <c r="J88">
        <v>14.99</v>
      </c>
      <c r="K88">
        <v>52.95</v>
      </c>
      <c r="L88">
        <v>18.14</v>
      </c>
      <c r="M88">
        <v>35.72</v>
      </c>
      <c r="N88">
        <v>20.89</v>
      </c>
      <c r="O88">
        <v>24.56</v>
      </c>
      <c r="P88">
        <v>23.66</v>
      </c>
      <c r="Q88">
        <v>17.61</v>
      </c>
      <c r="R88">
        <v>42.64</v>
      </c>
      <c r="S88">
        <v>33.090000000000003</v>
      </c>
      <c r="T88">
        <v>25.6</v>
      </c>
      <c r="U88">
        <v>15.36</v>
      </c>
      <c r="V88">
        <v>31.87</v>
      </c>
      <c r="W88">
        <v>32.450000000000003</v>
      </c>
    </row>
    <row r="89" spans="1:23" x14ac:dyDescent="0.25">
      <c r="A89" s="2">
        <v>43475</v>
      </c>
      <c r="B89">
        <v>36.07</v>
      </c>
      <c r="C89">
        <v>19.059999999999999</v>
      </c>
      <c r="D89">
        <v>14.73</v>
      </c>
      <c r="E89">
        <v>7.27</v>
      </c>
      <c r="F89">
        <v>35.29</v>
      </c>
      <c r="G89">
        <v>13.58</v>
      </c>
      <c r="H89">
        <v>4.6500000000000004</v>
      </c>
      <c r="I89">
        <v>36.11</v>
      </c>
      <c r="J89">
        <v>14.92</v>
      </c>
      <c r="K89">
        <v>52.85</v>
      </c>
      <c r="L89">
        <v>17.97</v>
      </c>
      <c r="M89">
        <v>35.71</v>
      </c>
      <c r="N89">
        <v>20.93</v>
      </c>
      <c r="O89">
        <v>24.62</v>
      </c>
      <c r="P89">
        <v>23.6</v>
      </c>
      <c r="Q89">
        <v>17.649999999999999</v>
      </c>
      <c r="R89">
        <v>42.61</v>
      </c>
      <c r="S89">
        <v>33.1</v>
      </c>
      <c r="T89">
        <v>25.6</v>
      </c>
      <c r="U89">
        <v>15.36</v>
      </c>
      <c r="V89">
        <v>32.01</v>
      </c>
      <c r="W89">
        <v>32.51</v>
      </c>
    </row>
    <row r="90" spans="1:23" x14ac:dyDescent="0.25">
      <c r="A90" s="2">
        <v>43474</v>
      </c>
      <c r="B90">
        <v>36.04</v>
      </c>
      <c r="C90">
        <v>19.21</v>
      </c>
      <c r="D90">
        <v>14.65</v>
      </c>
      <c r="E90">
        <v>7.31</v>
      </c>
      <c r="F90">
        <v>35.21</v>
      </c>
      <c r="G90">
        <v>13.54</v>
      </c>
      <c r="H90">
        <v>4.66</v>
      </c>
      <c r="I90">
        <v>35.96</v>
      </c>
      <c r="J90">
        <v>14.98</v>
      </c>
      <c r="K90">
        <v>52.82</v>
      </c>
      <c r="L90">
        <v>17.920000000000002</v>
      </c>
      <c r="M90">
        <v>35.840000000000003</v>
      </c>
      <c r="N90">
        <v>21.08</v>
      </c>
      <c r="O90">
        <v>24.48</v>
      </c>
      <c r="P90">
        <v>23.65</v>
      </c>
      <c r="Q90">
        <v>17.579999999999998</v>
      </c>
      <c r="R90">
        <v>42.65</v>
      </c>
      <c r="S90">
        <v>33.18</v>
      </c>
      <c r="T90">
        <v>25.59</v>
      </c>
      <c r="U90">
        <v>15.33</v>
      </c>
      <c r="V90">
        <v>31.88</v>
      </c>
      <c r="W90">
        <v>32.590000000000003</v>
      </c>
    </row>
    <row r="91" spans="1:23" x14ac:dyDescent="0.25">
      <c r="A91" s="2">
        <v>43473</v>
      </c>
      <c r="B91">
        <v>35.82</v>
      </c>
      <c r="C91">
        <v>19.190000000000001</v>
      </c>
      <c r="D91">
        <v>14.65</v>
      </c>
      <c r="E91">
        <v>7.22</v>
      </c>
      <c r="F91">
        <v>35.18</v>
      </c>
      <c r="G91">
        <v>13.52</v>
      </c>
      <c r="H91">
        <v>4.66</v>
      </c>
      <c r="I91">
        <v>35.729999999999997</v>
      </c>
      <c r="J91">
        <v>14.9</v>
      </c>
      <c r="K91">
        <v>52.69</v>
      </c>
      <c r="L91">
        <v>17.899999999999999</v>
      </c>
      <c r="M91">
        <v>35.630000000000003</v>
      </c>
      <c r="N91">
        <v>21.07</v>
      </c>
      <c r="O91">
        <v>24.7</v>
      </c>
      <c r="P91">
        <v>23.47</v>
      </c>
      <c r="Q91">
        <v>17.62</v>
      </c>
      <c r="R91">
        <v>42.66</v>
      </c>
      <c r="S91">
        <v>33.11</v>
      </c>
      <c r="T91">
        <v>25.59</v>
      </c>
      <c r="U91">
        <v>15.33</v>
      </c>
      <c r="V91">
        <v>31.93</v>
      </c>
      <c r="W91">
        <v>32.61</v>
      </c>
    </row>
    <row r="92" spans="1:23" x14ac:dyDescent="0.25">
      <c r="A92" s="2">
        <v>43472</v>
      </c>
      <c r="B92">
        <v>35.92</v>
      </c>
      <c r="C92">
        <v>19.22</v>
      </c>
      <c r="D92">
        <v>14.52</v>
      </c>
      <c r="E92">
        <v>7.15</v>
      </c>
      <c r="F92">
        <v>35.28</v>
      </c>
      <c r="G92">
        <v>13.5</v>
      </c>
      <c r="H92">
        <v>4.6500000000000004</v>
      </c>
      <c r="I92">
        <v>35.840000000000003</v>
      </c>
      <c r="J92">
        <v>15.1</v>
      </c>
      <c r="K92">
        <v>52.84</v>
      </c>
      <c r="L92">
        <v>17.579999999999998</v>
      </c>
      <c r="M92">
        <v>35.6</v>
      </c>
      <c r="N92">
        <v>21.06</v>
      </c>
      <c r="O92">
        <v>24.46</v>
      </c>
      <c r="P92">
        <v>23.38</v>
      </c>
      <c r="Q92">
        <v>17.54</v>
      </c>
      <c r="R92">
        <v>42.66</v>
      </c>
      <c r="S92">
        <v>33.11</v>
      </c>
      <c r="T92">
        <v>25.53</v>
      </c>
      <c r="U92">
        <v>15.32</v>
      </c>
      <c r="V92">
        <v>31.99</v>
      </c>
      <c r="W92">
        <v>32.590000000000003</v>
      </c>
    </row>
    <row r="93" spans="1:23" x14ac:dyDescent="0.25">
      <c r="A93" s="2">
        <v>43469</v>
      </c>
      <c r="B93">
        <v>35.76</v>
      </c>
      <c r="C93">
        <v>19.2</v>
      </c>
      <c r="D93">
        <v>14.5</v>
      </c>
      <c r="E93">
        <v>6.98</v>
      </c>
      <c r="F93">
        <v>35.21</v>
      </c>
      <c r="G93">
        <v>13.61</v>
      </c>
      <c r="H93">
        <v>4.63</v>
      </c>
      <c r="I93">
        <v>35.659999999999997</v>
      </c>
      <c r="J93">
        <v>15.11</v>
      </c>
      <c r="K93">
        <v>52.69</v>
      </c>
      <c r="L93">
        <v>17.36</v>
      </c>
      <c r="M93">
        <v>35.54</v>
      </c>
      <c r="N93">
        <v>21.17</v>
      </c>
      <c r="O93">
        <v>24.41</v>
      </c>
      <c r="P93">
        <v>23.35</v>
      </c>
      <c r="Q93">
        <v>17.62</v>
      </c>
      <c r="R93">
        <v>42.66</v>
      </c>
      <c r="S93">
        <v>33.21</v>
      </c>
      <c r="T93">
        <v>25.61</v>
      </c>
      <c r="U93">
        <v>15.32</v>
      </c>
      <c r="V93">
        <v>32.01</v>
      </c>
      <c r="W93">
        <v>32.44</v>
      </c>
    </row>
    <row r="94" spans="1:23" x14ac:dyDescent="0.25">
      <c r="A94" s="2">
        <v>43468</v>
      </c>
      <c r="B94">
        <v>35.869999999999997</v>
      </c>
      <c r="C94">
        <v>19.399999999999999</v>
      </c>
      <c r="D94">
        <v>14.55</v>
      </c>
      <c r="E94">
        <v>7</v>
      </c>
      <c r="F94">
        <v>35.17</v>
      </c>
      <c r="G94">
        <v>13.56</v>
      </c>
      <c r="H94">
        <v>4.62</v>
      </c>
      <c r="I94">
        <v>35.68</v>
      </c>
      <c r="J94">
        <v>15</v>
      </c>
      <c r="K94">
        <v>52.74</v>
      </c>
      <c r="L94">
        <v>17.350000000000001</v>
      </c>
      <c r="M94">
        <v>35.53</v>
      </c>
      <c r="N94">
        <v>21.15</v>
      </c>
      <c r="O94">
        <v>24.41</v>
      </c>
      <c r="P94">
        <v>23.29</v>
      </c>
      <c r="Q94">
        <v>17.41</v>
      </c>
      <c r="R94">
        <v>42.67</v>
      </c>
      <c r="S94">
        <v>33.33</v>
      </c>
      <c r="T94">
        <v>25.61</v>
      </c>
      <c r="U94">
        <v>15.2</v>
      </c>
      <c r="V94">
        <v>32.049999999999997</v>
      </c>
      <c r="W94">
        <v>32.31</v>
      </c>
    </row>
    <row r="95" spans="1:23" x14ac:dyDescent="0.25">
      <c r="A95" s="2">
        <v>43467</v>
      </c>
      <c r="B95">
        <v>35.909999999999997</v>
      </c>
      <c r="C95">
        <v>19.149999999999999</v>
      </c>
      <c r="D95">
        <v>14.83</v>
      </c>
      <c r="E95">
        <v>7.15</v>
      </c>
      <c r="F95">
        <v>35.04</v>
      </c>
      <c r="G95">
        <v>13.59</v>
      </c>
      <c r="H95">
        <v>4.58</v>
      </c>
      <c r="I95">
        <v>35.700000000000003</v>
      </c>
      <c r="J95">
        <v>14.73</v>
      </c>
      <c r="K95">
        <v>52.72</v>
      </c>
      <c r="L95">
        <v>17.32</v>
      </c>
      <c r="M95">
        <v>35.450000000000003</v>
      </c>
      <c r="N95">
        <v>21.06</v>
      </c>
      <c r="O95">
        <v>24.29</v>
      </c>
      <c r="P95">
        <v>23.11</v>
      </c>
      <c r="Q95">
        <v>17.14</v>
      </c>
      <c r="R95">
        <v>42.72</v>
      </c>
      <c r="S95">
        <v>33.24</v>
      </c>
      <c r="T95">
        <v>25.56</v>
      </c>
      <c r="U95">
        <v>15.17</v>
      </c>
      <c r="V95">
        <v>31.93</v>
      </c>
      <c r="W95">
        <v>32.08</v>
      </c>
    </row>
    <row r="96" spans="1:23" x14ac:dyDescent="0.25">
      <c r="A96" s="2">
        <v>43462</v>
      </c>
      <c r="B96">
        <v>35.83</v>
      </c>
      <c r="C96">
        <v>19.350000000000001</v>
      </c>
      <c r="D96">
        <v>14.88</v>
      </c>
      <c r="E96">
        <v>7.18</v>
      </c>
      <c r="F96">
        <v>35.22</v>
      </c>
      <c r="G96">
        <v>13.57</v>
      </c>
      <c r="H96">
        <v>4.58</v>
      </c>
      <c r="I96">
        <v>35.78</v>
      </c>
      <c r="J96">
        <v>14.88</v>
      </c>
      <c r="K96">
        <v>52.63</v>
      </c>
      <c r="L96">
        <v>17.47</v>
      </c>
      <c r="M96">
        <v>35.590000000000003</v>
      </c>
      <c r="N96">
        <v>21.07</v>
      </c>
      <c r="O96">
        <v>24.13</v>
      </c>
      <c r="P96">
        <v>23.21</v>
      </c>
      <c r="Q96">
        <v>17.25</v>
      </c>
      <c r="R96">
        <v>42.73</v>
      </c>
      <c r="S96">
        <v>33.130000000000003</v>
      </c>
      <c r="T96">
        <v>25.49</v>
      </c>
      <c r="U96">
        <v>15.12</v>
      </c>
      <c r="V96">
        <v>31.97</v>
      </c>
      <c r="W96">
        <v>32.11</v>
      </c>
    </row>
    <row r="97" spans="1:23" x14ac:dyDescent="0.25">
      <c r="A97" s="2">
        <v>43461</v>
      </c>
      <c r="B97">
        <v>35.840000000000003</v>
      </c>
      <c r="C97">
        <v>19.260000000000002</v>
      </c>
      <c r="D97">
        <v>14.99</v>
      </c>
      <c r="E97">
        <v>7.18</v>
      </c>
      <c r="F97">
        <v>35.36</v>
      </c>
      <c r="G97">
        <v>13.68</v>
      </c>
      <c r="H97">
        <v>4.57</v>
      </c>
      <c r="I97">
        <v>35.64</v>
      </c>
      <c r="J97">
        <v>14.95</v>
      </c>
      <c r="K97">
        <v>52.57</v>
      </c>
      <c r="L97">
        <v>17.29</v>
      </c>
      <c r="M97">
        <v>35.53</v>
      </c>
      <c r="N97">
        <v>21.09</v>
      </c>
      <c r="O97">
        <v>24.07</v>
      </c>
      <c r="P97">
        <v>23.2</v>
      </c>
      <c r="Q97">
        <v>17.309999999999999</v>
      </c>
      <c r="R97">
        <v>42.76</v>
      </c>
      <c r="S97">
        <v>33.049999999999997</v>
      </c>
      <c r="T97">
        <v>25.49</v>
      </c>
      <c r="U97">
        <v>15.11</v>
      </c>
      <c r="V97">
        <v>32.01</v>
      </c>
      <c r="W97">
        <v>32.33</v>
      </c>
    </row>
    <row r="98" spans="1:23" x14ac:dyDescent="0.25">
      <c r="A98" s="2">
        <v>43460</v>
      </c>
      <c r="B98">
        <v>35.97</v>
      </c>
      <c r="C98">
        <v>19.3</v>
      </c>
      <c r="D98">
        <v>14.98</v>
      </c>
      <c r="E98">
        <v>7.3</v>
      </c>
      <c r="F98">
        <v>35.46</v>
      </c>
      <c r="G98">
        <v>13.9</v>
      </c>
      <c r="H98">
        <v>4.5599999999999996</v>
      </c>
      <c r="I98">
        <v>35.81</v>
      </c>
      <c r="J98">
        <v>15.01</v>
      </c>
      <c r="K98">
        <v>52.65</v>
      </c>
      <c r="L98">
        <v>17.16</v>
      </c>
      <c r="M98">
        <v>35.799999999999997</v>
      </c>
      <c r="N98">
        <v>21.06</v>
      </c>
      <c r="O98">
        <v>24.11</v>
      </c>
      <c r="P98">
        <v>23.04</v>
      </c>
      <c r="Q98">
        <v>17.61</v>
      </c>
      <c r="R98">
        <v>42.77</v>
      </c>
      <c r="S98">
        <v>33.270000000000003</v>
      </c>
      <c r="T98">
        <v>25.52</v>
      </c>
      <c r="U98">
        <v>15.06</v>
      </c>
      <c r="V98">
        <v>32.1</v>
      </c>
      <c r="W98">
        <v>32.33</v>
      </c>
    </row>
    <row r="99" spans="1:23" x14ac:dyDescent="0.25">
      <c r="A99" s="2">
        <v>43458</v>
      </c>
      <c r="B99">
        <v>36</v>
      </c>
      <c r="C99">
        <v>19.37</v>
      </c>
      <c r="D99">
        <v>15.05</v>
      </c>
      <c r="E99">
        <v>7.33</v>
      </c>
      <c r="F99">
        <v>35.340000000000003</v>
      </c>
      <c r="G99">
        <v>13.6</v>
      </c>
      <c r="H99">
        <v>4.6100000000000003</v>
      </c>
      <c r="I99">
        <v>35.86</v>
      </c>
      <c r="J99">
        <v>15.09</v>
      </c>
      <c r="K99">
        <v>52.62</v>
      </c>
      <c r="L99">
        <v>17.29</v>
      </c>
      <c r="M99">
        <v>36.1</v>
      </c>
      <c r="N99">
        <v>21.07</v>
      </c>
      <c r="O99">
        <v>24.06</v>
      </c>
      <c r="P99">
        <v>22.99</v>
      </c>
      <c r="Q99">
        <v>17.55</v>
      </c>
      <c r="R99">
        <v>42.83</v>
      </c>
      <c r="S99">
        <v>33.380000000000003</v>
      </c>
      <c r="T99">
        <v>25.61</v>
      </c>
      <c r="U99">
        <v>15.11</v>
      </c>
      <c r="V99">
        <v>32.22</v>
      </c>
      <c r="W99">
        <v>32.31</v>
      </c>
    </row>
    <row r="100" spans="1:23" x14ac:dyDescent="0.25">
      <c r="A100" s="2">
        <v>43455</v>
      </c>
      <c r="B100">
        <v>35.97</v>
      </c>
      <c r="C100">
        <v>19.34</v>
      </c>
      <c r="D100">
        <v>15.12</v>
      </c>
      <c r="E100">
        <v>7.35</v>
      </c>
      <c r="F100">
        <v>35.43</v>
      </c>
      <c r="G100">
        <v>13.67</v>
      </c>
      <c r="H100">
        <v>4.6100000000000003</v>
      </c>
      <c r="I100">
        <v>35.770000000000003</v>
      </c>
      <c r="J100">
        <v>15</v>
      </c>
      <c r="K100">
        <v>52.65</v>
      </c>
      <c r="L100">
        <v>17.350000000000001</v>
      </c>
      <c r="M100">
        <v>36.049999999999997</v>
      </c>
      <c r="N100">
        <v>21.12</v>
      </c>
      <c r="O100">
        <v>24.1</v>
      </c>
      <c r="P100">
        <v>23.03</v>
      </c>
      <c r="Q100">
        <v>17.510000000000002</v>
      </c>
      <c r="R100">
        <v>42.8</v>
      </c>
      <c r="S100">
        <v>33.380000000000003</v>
      </c>
      <c r="T100">
        <v>25.65</v>
      </c>
      <c r="U100">
        <v>15.11</v>
      </c>
      <c r="V100">
        <v>32.18</v>
      </c>
      <c r="W100">
        <v>32.33</v>
      </c>
    </row>
    <row r="101" spans="1:23" x14ac:dyDescent="0.25">
      <c r="A101" s="2">
        <v>43454</v>
      </c>
      <c r="B101">
        <v>36</v>
      </c>
      <c r="C101">
        <v>19.43</v>
      </c>
      <c r="D101">
        <v>15.24</v>
      </c>
      <c r="E101">
        <v>7.25</v>
      </c>
      <c r="F101">
        <v>35.43</v>
      </c>
      <c r="G101">
        <v>13.74</v>
      </c>
      <c r="H101">
        <v>4.62</v>
      </c>
      <c r="I101">
        <v>35.93</v>
      </c>
      <c r="J101">
        <v>15.17</v>
      </c>
      <c r="K101">
        <v>52.7</v>
      </c>
      <c r="L101">
        <v>17.399999999999999</v>
      </c>
      <c r="M101">
        <v>36.200000000000003</v>
      </c>
      <c r="N101">
        <v>21.16</v>
      </c>
      <c r="O101">
        <v>24.14</v>
      </c>
      <c r="P101">
        <v>23.07</v>
      </c>
      <c r="Q101">
        <v>17.54</v>
      </c>
      <c r="R101">
        <v>42.83</v>
      </c>
      <c r="S101">
        <v>33.39</v>
      </c>
      <c r="T101">
        <v>25.64</v>
      </c>
      <c r="U101">
        <v>15.12</v>
      </c>
      <c r="V101">
        <v>32.24</v>
      </c>
      <c r="W101">
        <v>32.6</v>
      </c>
    </row>
    <row r="102" spans="1:23" x14ac:dyDescent="0.25">
      <c r="A102" s="2">
        <v>43453</v>
      </c>
      <c r="B102">
        <v>36.03</v>
      </c>
      <c r="C102">
        <v>19.5</v>
      </c>
      <c r="D102">
        <v>15.31</v>
      </c>
      <c r="E102">
        <v>7.26</v>
      </c>
      <c r="F102">
        <v>35.5</v>
      </c>
      <c r="G102">
        <v>13.66</v>
      </c>
      <c r="H102">
        <v>4.63</v>
      </c>
      <c r="I102">
        <v>36.090000000000003</v>
      </c>
      <c r="J102">
        <v>15.07</v>
      </c>
      <c r="K102">
        <v>52.75</v>
      </c>
      <c r="L102">
        <v>17.309999999999999</v>
      </c>
      <c r="M102">
        <v>36.229999999999997</v>
      </c>
      <c r="N102">
        <v>21.28</v>
      </c>
      <c r="O102">
        <v>24.13</v>
      </c>
      <c r="P102">
        <v>22.94</v>
      </c>
      <c r="Q102">
        <v>17.53</v>
      </c>
      <c r="R102">
        <v>42.85</v>
      </c>
      <c r="S102">
        <v>33.29</v>
      </c>
      <c r="T102">
        <v>25.64</v>
      </c>
      <c r="U102">
        <v>15.15</v>
      </c>
      <c r="V102">
        <v>32.229999999999997</v>
      </c>
      <c r="W102">
        <v>32.57</v>
      </c>
    </row>
    <row r="103" spans="1:23" x14ac:dyDescent="0.25">
      <c r="A103" s="2">
        <v>43452</v>
      </c>
      <c r="B103">
        <v>36.06</v>
      </c>
      <c r="C103">
        <v>19.440000000000001</v>
      </c>
      <c r="D103">
        <v>15.31</v>
      </c>
      <c r="E103">
        <v>7.21</v>
      </c>
      <c r="F103">
        <v>35.6</v>
      </c>
      <c r="G103">
        <v>13.62</v>
      </c>
      <c r="H103">
        <v>4.63</v>
      </c>
      <c r="I103">
        <v>36.11</v>
      </c>
      <c r="J103">
        <v>15.04</v>
      </c>
      <c r="K103">
        <v>52.83</v>
      </c>
      <c r="L103">
        <v>17.22</v>
      </c>
      <c r="M103">
        <v>35.909999999999997</v>
      </c>
      <c r="N103">
        <v>21.12</v>
      </c>
      <c r="O103">
        <v>23.95</v>
      </c>
      <c r="P103">
        <v>23.02</v>
      </c>
      <c r="Q103">
        <v>17.47</v>
      </c>
      <c r="R103">
        <v>42.87</v>
      </c>
      <c r="S103">
        <v>33.39</v>
      </c>
      <c r="T103">
        <v>25.67</v>
      </c>
      <c r="U103">
        <v>15.14</v>
      </c>
      <c r="V103">
        <v>32.11</v>
      </c>
      <c r="W103">
        <v>32.49</v>
      </c>
    </row>
    <row r="104" spans="1:23" x14ac:dyDescent="0.25">
      <c r="A104" s="2">
        <v>43451</v>
      </c>
      <c r="B104">
        <v>36.1</v>
      </c>
      <c r="C104">
        <v>19.63</v>
      </c>
      <c r="D104">
        <v>15.25</v>
      </c>
      <c r="E104">
        <v>7.25</v>
      </c>
      <c r="F104">
        <v>35.659999999999997</v>
      </c>
      <c r="G104">
        <v>13.5</v>
      </c>
      <c r="H104">
        <v>4.66</v>
      </c>
      <c r="I104">
        <v>36.270000000000003</v>
      </c>
      <c r="J104">
        <v>15.18</v>
      </c>
      <c r="K104">
        <v>52.85</v>
      </c>
      <c r="L104">
        <v>17.39</v>
      </c>
      <c r="M104">
        <v>35.909999999999997</v>
      </c>
      <c r="N104">
        <v>21.13</v>
      </c>
      <c r="O104">
        <v>23.88</v>
      </c>
      <c r="P104">
        <v>23.16</v>
      </c>
      <c r="Q104">
        <v>17.440000000000001</v>
      </c>
      <c r="R104">
        <v>42.85</v>
      </c>
      <c r="S104">
        <v>33.36</v>
      </c>
      <c r="T104">
        <v>25.64</v>
      </c>
      <c r="U104">
        <v>15.17</v>
      </c>
      <c r="V104">
        <v>32.07</v>
      </c>
      <c r="W104">
        <v>32.369999999999997</v>
      </c>
    </row>
    <row r="105" spans="1:23" x14ac:dyDescent="0.25">
      <c r="A105" s="2">
        <v>43448</v>
      </c>
      <c r="B105">
        <v>36.090000000000003</v>
      </c>
      <c r="C105">
        <v>19.559999999999999</v>
      </c>
      <c r="D105">
        <v>15.15</v>
      </c>
      <c r="E105">
        <v>7.46</v>
      </c>
      <c r="F105">
        <v>35.840000000000003</v>
      </c>
      <c r="G105">
        <v>13.3</v>
      </c>
      <c r="H105">
        <v>4.63</v>
      </c>
      <c r="I105">
        <v>36.18</v>
      </c>
      <c r="J105">
        <v>15.19</v>
      </c>
      <c r="K105">
        <v>52.85</v>
      </c>
      <c r="L105">
        <v>17.88</v>
      </c>
      <c r="M105">
        <v>35.85</v>
      </c>
      <c r="N105">
        <v>21.1</v>
      </c>
      <c r="O105">
        <v>23.86</v>
      </c>
      <c r="P105">
        <v>23.13</v>
      </c>
      <c r="Q105">
        <v>17.399999999999999</v>
      </c>
      <c r="R105">
        <v>42.85</v>
      </c>
      <c r="S105">
        <v>33.4</v>
      </c>
      <c r="T105">
        <v>25.63</v>
      </c>
      <c r="U105">
        <v>15.18</v>
      </c>
      <c r="V105">
        <v>32.270000000000003</v>
      </c>
      <c r="W105">
        <v>32.56</v>
      </c>
    </row>
    <row r="106" spans="1:23" x14ac:dyDescent="0.25">
      <c r="A106" s="2">
        <v>43447</v>
      </c>
      <c r="B106">
        <v>36.18</v>
      </c>
      <c r="C106">
        <v>19.66</v>
      </c>
      <c r="D106">
        <v>15.14</v>
      </c>
      <c r="E106">
        <v>7.42</v>
      </c>
      <c r="F106">
        <v>35.74</v>
      </c>
      <c r="G106">
        <v>13.35</v>
      </c>
      <c r="H106">
        <v>4.6399999999999997</v>
      </c>
      <c r="I106">
        <v>36.159999999999997</v>
      </c>
      <c r="J106">
        <v>15.19</v>
      </c>
      <c r="K106">
        <v>52.88</v>
      </c>
      <c r="L106">
        <v>18.239999999999998</v>
      </c>
      <c r="M106">
        <v>36.049999999999997</v>
      </c>
      <c r="N106">
        <v>21.08</v>
      </c>
      <c r="O106">
        <v>23.81</v>
      </c>
      <c r="P106">
        <v>23.17</v>
      </c>
      <c r="Q106">
        <v>17.420000000000002</v>
      </c>
      <c r="R106">
        <v>42.82</v>
      </c>
      <c r="S106">
        <v>33.32</v>
      </c>
      <c r="T106">
        <v>25.61</v>
      </c>
      <c r="U106">
        <v>15.19</v>
      </c>
      <c r="V106">
        <v>32.28</v>
      </c>
      <c r="W106">
        <v>32.54</v>
      </c>
    </row>
    <row r="107" spans="1:23" x14ac:dyDescent="0.25">
      <c r="A107" s="2">
        <v>43446</v>
      </c>
      <c r="B107">
        <v>36.28</v>
      </c>
      <c r="C107">
        <v>19.72</v>
      </c>
      <c r="D107">
        <v>15.17</v>
      </c>
      <c r="E107">
        <v>7.51</v>
      </c>
      <c r="F107">
        <v>35.74</v>
      </c>
      <c r="G107">
        <v>13.49</v>
      </c>
      <c r="H107">
        <v>9.1999999999999993</v>
      </c>
      <c r="I107">
        <v>36.119999999999997</v>
      </c>
      <c r="J107">
        <v>15.09</v>
      </c>
      <c r="K107">
        <v>52.91</v>
      </c>
      <c r="L107">
        <v>18.399999999999999</v>
      </c>
      <c r="M107">
        <v>35.99</v>
      </c>
      <c r="N107">
        <v>21.2</v>
      </c>
      <c r="O107">
        <v>23.8</v>
      </c>
      <c r="P107">
        <v>22.92</v>
      </c>
      <c r="Q107">
        <v>17.41</v>
      </c>
      <c r="R107">
        <v>42.82</v>
      </c>
      <c r="S107">
        <v>33.33</v>
      </c>
      <c r="T107">
        <v>25.61</v>
      </c>
      <c r="U107">
        <v>15.18</v>
      </c>
      <c r="V107">
        <v>32.22</v>
      </c>
      <c r="W107">
        <v>32.64</v>
      </c>
    </row>
    <row r="108" spans="1:23" x14ac:dyDescent="0.25">
      <c r="A108" s="2">
        <v>43445</v>
      </c>
      <c r="B108">
        <v>35.770000000000003</v>
      </c>
      <c r="C108">
        <v>19.600000000000001</v>
      </c>
      <c r="D108">
        <v>15.22</v>
      </c>
      <c r="E108">
        <v>7.47</v>
      </c>
      <c r="F108">
        <v>35.78</v>
      </c>
      <c r="G108">
        <v>13.44</v>
      </c>
      <c r="H108">
        <v>9.1199999999999992</v>
      </c>
      <c r="I108">
        <v>36.200000000000003</v>
      </c>
      <c r="J108">
        <v>15.15</v>
      </c>
      <c r="K108">
        <v>50.22</v>
      </c>
      <c r="L108">
        <v>18.670000000000002</v>
      </c>
      <c r="M108">
        <v>35.729999999999997</v>
      </c>
      <c r="N108">
        <v>21.28</v>
      </c>
      <c r="O108">
        <v>23.86</v>
      </c>
      <c r="P108">
        <v>22.83</v>
      </c>
      <c r="Q108">
        <v>17.09</v>
      </c>
      <c r="R108">
        <v>42.86</v>
      </c>
      <c r="S108">
        <v>33.31</v>
      </c>
      <c r="T108">
        <v>25.65</v>
      </c>
      <c r="U108">
        <v>15.14</v>
      </c>
      <c r="V108">
        <v>32.33</v>
      </c>
      <c r="W108">
        <v>32.58</v>
      </c>
    </row>
    <row r="109" spans="1:23" x14ac:dyDescent="0.25">
      <c r="A109" s="2">
        <v>43444</v>
      </c>
      <c r="B109">
        <v>35.81</v>
      </c>
      <c r="C109">
        <v>19.72</v>
      </c>
      <c r="D109">
        <v>15.09</v>
      </c>
      <c r="E109">
        <v>7.43</v>
      </c>
      <c r="F109">
        <v>35.869999999999997</v>
      </c>
      <c r="G109">
        <v>14</v>
      </c>
      <c r="H109">
        <v>9.06</v>
      </c>
      <c r="I109">
        <v>36.24</v>
      </c>
      <c r="J109">
        <v>15.17</v>
      </c>
      <c r="K109">
        <v>50.22</v>
      </c>
      <c r="L109">
        <v>18.559999999999999</v>
      </c>
      <c r="M109">
        <v>35.71</v>
      </c>
      <c r="N109">
        <v>21.3</v>
      </c>
      <c r="O109">
        <v>23.75</v>
      </c>
      <c r="P109">
        <v>22.82</v>
      </c>
      <c r="Q109">
        <v>17.12</v>
      </c>
      <c r="R109">
        <v>42.89</v>
      </c>
      <c r="S109">
        <v>33.31</v>
      </c>
      <c r="T109">
        <v>25.7</v>
      </c>
      <c r="U109">
        <v>15.16</v>
      </c>
      <c r="V109">
        <v>32.1</v>
      </c>
      <c r="W109">
        <v>32.53</v>
      </c>
    </row>
    <row r="110" spans="1:23" x14ac:dyDescent="0.25">
      <c r="A110" s="2">
        <v>43441</v>
      </c>
      <c r="B110">
        <v>35.9</v>
      </c>
      <c r="C110">
        <v>19.559999999999999</v>
      </c>
      <c r="D110">
        <v>15.01</v>
      </c>
      <c r="E110">
        <v>7.61</v>
      </c>
      <c r="F110">
        <v>35.83</v>
      </c>
      <c r="G110">
        <v>13.99</v>
      </c>
      <c r="H110">
        <v>9</v>
      </c>
      <c r="I110">
        <v>36.31</v>
      </c>
      <c r="J110">
        <v>15.22</v>
      </c>
      <c r="K110">
        <v>50.26</v>
      </c>
      <c r="L110">
        <v>18.38</v>
      </c>
      <c r="M110">
        <v>35.72</v>
      </c>
      <c r="N110">
        <v>21.41</v>
      </c>
      <c r="O110">
        <v>23.66</v>
      </c>
      <c r="P110">
        <v>22.74</v>
      </c>
      <c r="Q110">
        <v>17.05</v>
      </c>
      <c r="R110">
        <v>42.88</v>
      </c>
      <c r="S110">
        <v>33.51</v>
      </c>
      <c r="T110">
        <v>25.72</v>
      </c>
      <c r="U110">
        <v>15.15</v>
      </c>
      <c r="V110">
        <v>32.14</v>
      </c>
      <c r="W110">
        <v>32.43</v>
      </c>
    </row>
    <row r="111" spans="1:23" x14ac:dyDescent="0.25">
      <c r="A111" s="2">
        <v>43440</v>
      </c>
      <c r="B111">
        <v>35.9</v>
      </c>
      <c r="C111">
        <v>19.62</v>
      </c>
      <c r="D111">
        <v>15.04</v>
      </c>
      <c r="E111">
        <v>7.6</v>
      </c>
      <c r="F111">
        <v>35.92</v>
      </c>
      <c r="G111">
        <v>13.9</v>
      </c>
      <c r="H111">
        <v>9.31</v>
      </c>
      <c r="I111">
        <v>36.229999999999997</v>
      </c>
      <c r="J111">
        <v>15.23</v>
      </c>
      <c r="K111">
        <v>50.19</v>
      </c>
      <c r="L111">
        <v>18.41</v>
      </c>
      <c r="M111">
        <v>35.78</v>
      </c>
      <c r="N111">
        <v>21.43</v>
      </c>
      <c r="O111">
        <v>23.62</v>
      </c>
      <c r="P111">
        <v>22.74</v>
      </c>
      <c r="Q111">
        <v>17.100000000000001</v>
      </c>
      <c r="R111">
        <v>42.92</v>
      </c>
      <c r="S111">
        <v>33.619999999999997</v>
      </c>
      <c r="T111">
        <v>25.76</v>
      </c>
      <c r="U111">
        <v>15.15</v>
      </c>
      <c r="V111">
        <v>32.31</v>
      </c>
      <c r="W111">
        <v>32.44</v>
      </c>
    </row>
    <row r="112" spans="1:23" x14ac:dyDescent="0.25">
      <c r="A112" s="2">
        <v>43439</v>
      </c>
      <c r="B112">
        <v>35.94</v>
      </c>
      <c r="C112">
        <v>19.59</v>
      </c>
      <c r="D112">
        <v>14.97</v>
      </c>
      <c r="E112">
        <v>7.73</v>
      </c>
      <c r="F112">
        <v>35.99</v>
      </c>
      <c r="G112">
        <v>13.95</v>
      </c>
      <c r="H112">
        <v>9.14</v>
      </c>
      <c r="I112">
        <v>36.229999999999997</v>
      </c>
      <c r="J112">
        <v>15.17</v>
      </c>
      <c r="K112">
        <v>50.23</v>
      </c>
      <c r="L112">
        <v>18.350000000000001</v>
      </c>
      <c r="M112">
        <v>35.479999999999997</v>
      </c>
      <c r="N112">
        <v>21.45</v>
      </c>
      <c r="O112">
        <v>23.57</v>
      </c>
      <c r="P112">
        <v>22.68</v>
      </c>
      <c r="Q112">
        <v>16.98</v>
      </c>
      <c r="R112">
        <v>42.86</v>
      </c>
      <c r="S112">
        <v>33.6</v>
      </c>
      <c r="T112">
        <v>25.77</v>
      </c>
      <c r="U112">
        <v>15.31</v>
      </c>
      <c r="V112">
        <v>32.229999999999997</v>
      </c>
      <c r="W112">
        <v>32.520000000000003</v>
      </c>
    </row>
    <row r="113" spans="1:23" x14ac:dyDescent="0.25">
      <c r="A113" s="2">
        <v>43438</v>
      </c>
      <c r="B113">
        <v>36.01</v>
      </c>
      <c r="C113">
        <v>19.53</v>
      </c>
      <c r="D113">
        <v>14.93</v>
      </c>
      <c r="E113">
        <v>7.74</v>
      </c>
      <c r="F113">
        <v>36.020000000000003</v>
      </c>
      <c r="G113">
        <v>13.96</v>
      </c>
      <c r="H113">
        <v>9.92</v>
      </c>
      <c r="I113">
        <v>36.380000000000003</v>
      </c>
      <c r="J113">
        <v>15.26</v>
      </c>
      <c r="K113">
        <v>50.31</v>
      </c>
      <c r="L113">
        <v>18.61</v>
      </c>
      <c r="M113">
        <v>35.58</v>
      </c>
      <c r="N113">
        <v>21.44</v>
      </c>
      <c r="O113">
        <v>23.53</v>
      </c>
      <c r="P113">
        <v>22.69</v>
      </c>
      <c r="Q113">
        <v>16.93</v>
      </c>
      <c r="R113">
        <v>42.89</v>
      </c>
      <c r="S113">
        <v>33.57</v>
      </c>
      <c r="T113">
        <v>25.74</v>
      </c>
      <c r="U113">
        <v>15.32</v>
      </c>
      <c r="V113">
        <v>32.200000000000003</v>
      </c>
      <c r="W113">
        <v>32.4</v>
      </c>
    </row>
    <row r="114" spans="1:23" x14ac:dyDescent="0.25">
      <c r="A114" s="2">
        <v>43437</v>
      </c>
      <c r="B114">
        <v>36.1</v>
      </c>
      <c r="C114">
        <v>19.47</v>
      </c>
      <c r="D114">
        <v>15.1</v>
      </c>
      <c r="E114">
        <v>7.69</v>
      </c>
      <c r="F114">
        <v>36</v>
      </c>
      <c r="G114">
        <v>13.91</v>
      </c>
      <c r="H114">
        <v>10.89</v>
      </c>
      <c r="I114">
        <v>36.630000000000003</v>
      </c>
      <c r="J114">
        <v>15.22</v>
      </c>
      <c r="K114">
        <v>50.33</v>
      </c>
      <c r="L114">
        <v>18.559999999999999</v>
      </c>
      <c r="M114">
        <v>35.39</v>
      </c>
      <c r="N114">
        <v>21.41</v>
      </c>
      <c r="O114">
        <v>23.39</v>
      </c>
      <c r="P114">
        <v>22.71</v>
      </c>
      <c r="Q114">
        <v>16.87</v>
      </c>
      <c r="R114">
        <v>42.87</v>
      </c>
      <c r="S114">
        <v>33.44</v>
      </c>
      <c r="T114">
        <v>25.71</v>
      </c>
      <c r="U114">
        <v>15.31</v>
      </c>
      <c r="V114">
        <v>32.04</v>
      </c>
      <c r="W114">
        <v>32.44</v>
      </c>
    </row>
    <row r="115" spans="1:23" x14ac:dyDescent="0.25">
      <c r="A115" s="2">
        <v>43434</v>
      </c>
      <c r="B115">
        <v>36.01</v>
      </c>
      <c r="C115">
        <v>19.489999999999998</v>
      </c>
      <c r="D115">
        <v>15</v>
      </c>
      <c r="E115">
        <v>7.56</v>
      </c>
      <c r="F115">
        <v>35.83</v>
      </c>
      <c r="G115">
        <v>13.91</v>
      </c>
      <c r="H115">
        <v>11.06</v>
      </c>
      <c r="I115">
        <v>36.450000000000003</v>
      </c>
      <c r="J115">
        <v>15.14</v>
      </c>
      <c r="K115">
        <v>50.25</v>
      </c>
      <c r="L115">
        <v>18.52</v>
      </c>
      <c r="M115">
        <v>35.520000000000003</v>
      </c>
      <c r="N115">
        <v>21.56</v>
      </c>
      <c r="O115">
        <v>23.43</v>
      </c>
      <c r="P115">
        <v>22.66</v>
      </c>
      <c r="Q115">
        <v>16.829999999999998</v>
      </c>
      <c r="R115">
        <v>42.92</v>
      </c>
      <c r="S115">
        <v>33.520000000000003</v>
      </c>
      <c r="T115">
        <v>25.69</v>
      </c>
      <c r="U115">
        <v>15.27</v>
      </c>
      <c r="V115">
        <v>32.11</v>
      </c>
      <c r="W115">
        <v>32.630000000000003</v>
      </c>
    </row>
    <row r="116" spans="1:23" x14ac:dyDescent="0.25">
      <c r="A116" s="2">
        <v>43433</v>
      </c>
      <c r="B116">
        <v>36.130000000000003</v>
      </c>
      <c r="C116">
        <v>19.55</v>
      </c>
      <c r="D116">
        <v>15.05</v>
      </c>
      <c r="E116">
        <v>7.65</v>
      </c>
      <c r="F116">
        <v>35.700000000000003</v>
      </c>
      <c r="G116">
        <v>13.85</v>
      </c>
      <c r="H116">
        <v>11.08</v>
      </c>
      <c r="I116">
        <v>36.28</v>
      </c>
      <c r="J116">
        <v>15.14</v>
      </c>
      <c r="K116">
        <v>50.37</v>
      </c>
      <c r="L116">
        <v>18.510000000000002</v>
      </c>
      <c r="M116">
        <v>35.03</v>
      </c>
      <c r="N116">
        <v>21.44</v>
      </c>
      <c r="O116">
        <v>23.59</v>
      </c>
      <c r="P116">
        <v>22.68</v>
      </c>
      <c r="Q116">
        <v>16.7</v>
      </c>
      <c r="R116">
        <v>42.96</v>
      </c>
      <c r="S116">
        <v>33.64</v>
      </c>
      <c r="T116">
        <v>25.7</v>
      </c>
      <c r="U116">
        <v>15.25</v>
      </c>
      <c r="V116">
        <v>32.130000000000003</v>
      </c>
      <c r="W116">
        <v>32.76</v>
      </c>
    </row>
    <row r="117" spans="1:23" x14ac:dyDescent="0.25">
      <c r="A117" s="2">
        <v>43432</v>
      </c>
      <c r="B117">
        <v>36.14</v>
      </c>
      <c r="C117">
        <v>19.440000000000001</v>
      </c>
      <c r="D117">
        <v>15.11</v>
      </c>
      <c r="E117">
        <v>7.83</v>
      </c>
      <c r="F117">
        <v>35.65</v>
      </c>
      <c r="G117">
        <v>13.89</v>
      </c>
      <c r="H117">
        <v>11.09</v>
      </c>
      <c r="I117">
        <v>36.25</v>
      </c>
      <c r="J117">
        <v>15.05</v>
      </c>
      <c r="K117">
        <v>50.34</v>
      </c>
      <c r="L117">
        <v>18.57</v>
      </c>
      <c r="M117">
        <v>35.01</v>
      </c>
      <c r="N117">
        <v>21.43</v>
      </c>
      <c r="O117">
        <v>23.63</v>
      </c>
      <c r="P117">
        <v>22.6</v>
      </c>
      <c r="Q117">
        <v>16.73</v>
      </c>
      <c r="R117">
        <v>42.96</v>
      </c>
      <c r="S117">
        <v>33.64</v>
      </c>
      <c r="T117">
        <v>25.68</v>
      </c>
      <c r="U117">
        <v>15.17</v>
      </c>
      <c r="V117">
        <v>32.159999999999997</v>
      </c>
      <c r="W117">
        <v>32.86</v>
      </c>
    </row>
    <row r="118" spans="1:23" x14ac:dyDescent="0.25">
      <c r="A118" s="2">
        <v>43431</v>
      </c>
      <c r="B118">
        <v>36.130000000000003</v>
      </c>
      <c r="C118">
        <v>19.43</v>
      </c>
      <c r="D118">
        <v>15.13</v>
      </c>
      <c r="E118">
        <v>7.96</v>
      </c>
      <c r="F118">
        <v>35.67</v>
      </c>
      <c r="G118">
        <v>13.91</v>
      </c>
      <c r="H118">
        <v>10.95</v>
      </c>
      <c r="I118">
        <v>36.299999999999997</v>
      </c>
      <c r="J118">
        <v>15.09</v>
      </c>
      <c r="K118">
        <v>50.36</v>
      </c>
      <c r="L118">
        <v>18.64</v>
      </c>
      <c r="M118">
        <v>34.99</v>
      </c>
      <c r="N118">
        <v>21.51</v>
      </c>
      <c r="O118">
        <v>23.59</v>
      </c>
      <c r="P118">
        <v>22.46</v>
      </c>
      <c r="Q118">
        <v>16.64</v>
      </c>
      <c r="R118">
        <v>42.93</v>
      </c>
      <c r="S118">
        <v>33.78</v>
      </c>
      <c r="T118">
        <v>25.72</v>
      </c>
      <c r="U118">
        <v>15.16</v>
      </c>
      <c r="V118">
        <v>32.24</v>
      </c>
      <c r="W118">
        <v>32.67</v>
      </c>
    </row>
    <row r="119" spans="1:23" x14ac:dyDescent="0.25">
      <c r="A119" s="2">
        <v>43430</v>
      </c>
      <c r="B119">
        <v>36.08</v>
      </c>
      <c r="C119">
        <v>19.46</v>
      </c>
      <c r="D119">
        <v>15.08</v>
      </c>
      <c r="E119">
        <v>8.07</v>
      </c>
      <c r="F119">
        <v>35.630000000000003</v>
      </c>
      <c r="G119">
        <v>13.96</v>
      </c>
      <c r="H119">
        <v>10.87</v>
      </c>
      <c r="I119">
        <v>36.14</v>
      </c>
      <c r="J119">
        <v>15.04</v>
      </c>
      <c r="K119">
        <v>50.37</v>
      </c>
      <c r="L119">
        <v>18.579999999999998</v>
      </c>
      <c r="M119">
        <v>34.58</v>
      </c>
      <c r="N119">
        <v>21.58</v>
      </c>
      <c r="O119">
        <v>23.51</v>
      </c>
      <c r="P119">
        <v>22.38</v>
      </c>
      <c r="Q119">
        <v>16.52</v>
      </c>
      <c r="R119">
        <v>42.95</v>
      </c>
      <c r="S119">
        <v>33.76</v>
      </c>
      <c r="T119">
        <v>25.75</v>
      </c>
      <c r="U119">
        <v>15.13</v>
      </c>
      <c r="V119">
        <v>32.32</v>
      </c>
      <c r="W119">
        <v>32.659999999999997</v>
      </c>
    </row>
    <row r="120" spans="1:23" x14ac:dyDescent="0.25">
      <c r="A120" s="2">
        <v>43427</v>
      </c>
      <c r="B120">
        <v>36.159999999999997</v>
      </c>
      <c r="C120">
        <v>19.41</v>
      </c>
      <c r="D120">
        <v>15.03</v>
      </c>
      <c r="E120">
        <v>8.0500000000000007</v>
      </c>
      <c r="F120">
        <v>35.869999999999997</v>
      </c>
      <c r="G120">
        <v>13.74</v>
      </c>
      <c r="H120">
        <v>10.93</v>
      </c>
      <c r="I120">
        <v>36.479999999999997</v>
      </c>
      <c r="J120">
        <v>15.15</v>
      </c>
      <c r="K120">
        <v>50.47</v>
      </c>
      <c r="L120">
        <v>18.739999999999998</v>
      </c>
      <c r="M120">
        <v>34.479999999999997</v>
      </c>
      <c r="N120">
        <v>21.57</v>
      </c>
      <c r="O120">
        <v>23.27</v>
      </c>
      <c r="P120">
        <v>22.4</v>
      </c>
      <c r="Q120">
        <v>16.48</v>
      </c>
      <c r="R120">
        <v>43</v>
      </c>
      <c r="S120">
        <v>33.83</v>
      </c>
      <c r="T120">
        <v>25.82</v>
      </c>
      <c r="U120">
        <v>15.13</v>
      </c>
      <c r="V120">
        <v>32.520000000000003</v>
      </c>
      <c r="W120">
        <v>32.28</v>
      </c>
    </row>
    <row r="121" spans="1:23" x14ac:dyDescent="0.25">
      <c r="A121" s="2">
        <v>43426</v>
      </c>
      <c r="B121">
        <v>36.119999999999997</v>
      </c>
      <c r="C121">
        <v>19.28</v>
      </c>
      <c r="D121">
        <v>15.13</v>
      </c>
      <c r="E121">
        <v>8.0299999999999994</v>
      </c>
      <c r="F121">
        <v>35.869999999999997</v>
      </c>
      <c r="G121">
        <v>13.73</v>
      </c>
      <c r="H121">
        <v>10.93</v>
      </c>
      <c r="I121">
        <v>36.71</v>
      </c>
      <c r="J121">
        <v>15.14</v>
      </c>
      <c r="K121">
        <v>50.38</v>
      </c>
      <c r="L121">
        <v>18.82</v>
      </c>
      <c r="M121">
        <v>34.5</v>
      </c>
      <c r="N121">
        <v>21.6</v>
      </c>
      <c r="O121">
        <v>23.34</v>
      </c>
      <c r="P121">
        <v>22.33</v>
      </c>
      <c r="Q121">
        <v>16.440000000000001</v>
      </c>
      <c r="R121">
        <v>43</v>
      </c>
      <c r="S121">
        <v>33.81</v>
      </c>
      <c r="T121">
        <v>25.81</v>
      </c>
      <c r="U121">
        <v>15.2</v>
      </c>
      <c r="V121">
        <v>32.479999999999997</v>
      </c>
      <c r="W121">
        <v>32.07</v>
      </c>
    </row>
    <row r="122" spans="1:23" x14ac:dyDescent="0.25">
      <c r="A122" s="2">
        <v>43425</v>
      </c>
      <c r="B122">
        <v>36.01</v>
      </c>
      <c r="C122">
        <v>19.34</v>
      </c>
      <c r="D122">
        <v>15.09</v>
      </c>
      <c r="E122">
        <v>8.02</v>
      </c>
      <c r="F122">
        <v>35.840000000000003</v>
      </c>
      <c r="G122">
        <v>13.8</v>
      </c>
      <c r="H122">
        <v>10.95</v>
      </c>
      <c r="I122">
        <v>36.64</v>
      </c>
      <c r="J122">
        <v>15.28</v>
      </c>
      <c r="K122">
        <v>50.34</v>
      </c>
      <c r="L122">
        <v>18.690000000000001</v>
      </c>
      <c r="M122">
        <v>34.869999999999997</v>
      </c>
      <c r="N122">
        <v>21.41</v>
      </c>
      <c r="O122">
        <v>23.34</v>
      </c>
      <c r="P122">
        <v>22.31</v>
      </c>
      <c r="Q122">
        <v>16.55</v>
      </c>
      <c r="R122">
        <v>43.03</v>
      </c>
      <c r="S122">
        <v>33.729999999999997</v>
      </c>
      <c r="T122">
        <v>25.82</v>
      </c>
      <c r="U122">
        <v>15.22</v>
      </c>
      <c r="V122">
        <v>32.26</v>
      </c>
      <c r="W122">
        <v>31.81</v>
      </c>
    </row>
    <row r="123" spans="1:23" x14ac:dyDescent="0.25">
      <c r="A123" s="2">
        <v>43424</v>
      </c>
      <c r="B123">
        <v>36.17</v>
      </c>
      <c r="C123">
        <v>19.14</v>
      </c>
      <c r="D123">
        <v>15.13</v>
      </c>
      <c r="E123">
        <v>8.07</v>
      </c>
      <c r="F123">
        <v>36.14</v>
      </c>
      <c r="G123">
        <v>13.88</v>
      </c>
      <c r="H123">
        <v>11.17</v>
      </c>
      <c r="I123">
        <v>36.92</v>
      </c>
      <c r="J123">
        <v>15.24</v>
      </c>
      <c r="K123">
        <v>50.48</v>
      </c>
      <c r="L123">
        <v>18.57</v>
      </c>
      <c r="M123">
        <v>34.85</v>
      </c>
      <c r="N123">
        <v>21.5</v>
      </c>
      <c r="O123">
        <v>23.32</v>
      </c>
      <c r="P123">
        <v>22.37</v>
      </c>
      <c r="Q123">
        <v>16.489999999999998</v>
      </c>
      <c r="R123">
        <v>43.07</v>
      </c>
      <c r="S123">
        <v>33.78</v>
      </c>
      <c r="T123">
        <v>25.83</v>
      </c>
      <c r="U123">
        <v>15.23</v>
      </c>
      <c r="V123">
        <v>32.33</v>
      </c>
      <c r="W123">
        <v>31.95</v>
      </c>
    </row>
    <row r="124" spans="1:23" x14ac:dyDescent="0.25">
      <c r="A124" s="2">
        <v>43423</v>
      </c>
      <c r="B124">
        <v>36.32</v>
      </c>
      <c r="C124">
        <v>19.03</v>
      </c>
      <c r="D124">
        <v>15.21</v>
      </c>
      <c r="E124">
        <v>8.07</v>
      </c>
      <c r="F124">
        <v>36.07</v>
      </c>
      <c r="G124">
        <v>13.97</v>
      </c>
      <c r="H124">
        <v>11.19</v>
      </c>
      <c r="I124">
        <v>36.93</v>
      </c>
      <c r="J124">
        <v>15.27</v>
      </c>
      <c r="K124">
        <v>50.55</v>
      </c>
      <c r="L124">
        <v>18.690000000000001</v>
      </c>
      <c r="M124">
        <v>35.270000000000003</v>
      </c>
      <c r="N124">
        <v>21.62</v>
      </c>
      <c r="O124">
        <v>23.25</v>
      </c>
      <c r="P124">
        <v>22.3</v>
      </c>
      <c r="Q124">
        <v>16.440000000000001</v>
      </c>
      <c r="R124">
        <v>43.16</v>
      </c>
      <c r="S124">
        <v>33.78</v>
      </c>
      <c r="T124">
        <v>25.83</v>
      </c>
      <c r="U124">
        <v>15.2</v>
      </c>
      <c r="V124">
        <v>32.22</v>
      </c>
      <c r="W124">
        <v>32.03</v>
      </c>
    </row>
    <row r="125" spans="1:23" x14ac:dyDescent="0.25">
      <c r="A125" s="2">
        <v>43420</v>
      </c>
      <c r="B125">
        <v>36.47</v>
      </c>
      <c r="C125">
        <v>19.03</v>
      </c>
      <c r="D125">
        <v>15.3</v>
      </c>
      <c r="E125">
        <v>8.11</v>
      </c>
      <c r="F125">
        <v>36.11</v>
      </c>
      <c r="G125">
        <v>13.94</v>
      </c>
      <c r="H125">
        <v>11.35</v>
      </c>
      <c r="I125">
        <v>36.83</v>
      </c>
      <c r="J125">
        <v>15.04</v>
      </c>
      <c r="K125">
        <v>50.65</v>
      </c>
      <c r="L125">
        <v>18.7</v>
      </c>
      <c r="M125">
        <v>35.42</v>
      </c>
      <c r="N125">
        <v>21.61</v>
      </c>
      <c r="O125">
        <v>23.39</v>
      </c>
      <c r="P125">
        <v>22.26</v>
      </c>
      <c r="Q125">
        <v>16.52</v>
      </c>
      <c r="R125">
        <v>43.23</v>
      </c>
      <c r="S125">
        <v>33.909999999999997</v>
      </c>
      <c r="T125">
        <v>25.84</v>
      </c>
      <c r="U125">
        <v>15.16</v>
      </c>
      <c r="V125">
        <v>32.33</v>
      </c>
      <c r="W125">
        <v>32.17</v>
      </c>
    </row>
    <row r="126" spans="1:23" x14ac:dyDescent="0.25">
      <c r="A126" s="2">
        <v>43419</v>
      </c>
      <c r="B126">
        <v>36.57</v>
      </c>
      <c r="C126">
        <v>19.010000000000002</v>
      </c>
      <c r="D126">
        <v>15.23</v>
      </c>
      <c r="E126">
        <v>8.14</v>
      </c>
      <c r="F126">
        <v>36.130000000000003</v>
      </c>
      <c r="G126">
        <v>13.95</v>
      </c>
      <c r="H126">
        <v>11.33</v>
      </c>
      <c r="I126">
        <v>36.76</v>
      </c>
      <c r="J126">
        <v>15.15</v>
      </c>
      <c r="K126">
        <v>50.68</v>
      </c>
      <c r="L126">
        <v>18.8</v>
      </c>
      <c r="M126">
        <v>35.630000000000003</v>
      </c>
      <c r="N126">
        <v>21.7</v>
      </c>
      <c r="O126">
        <v>23.41</v>
      </c>
      <c r="P126">
        <v>22.23</v>
      </c>
      <c r="Q126">
        <v>16.53</v>
      </c>
      <c r="R126">
        <v>43.29</v>
      </c>
      <c r="S126">
        <v>33.92</v>
      </c>
      <c r="T126">
        <v>25.84</v>
      </c>
      <c r="U126">
        <v>15.19</v>
      </c>
      <c r="V126">
        <v>32.24</v>
      </c>
      <c r="W126">
        <v>32.229999999999997</v>
      </c>
    </row>
    <row r="127" spans="1:23" x14ac:dyDescent="0.25">
      <c r="A127" s="2">
        <v>43418</v>
      </c>
      <c r="B127">
        <v>36.64</v>
      </c>
      <c r="C127">
        <v>19</v>
      </c>
      <c r="D127">
        <v>15.14</v>
      </c>
      <c r="E127">
        <v>8.1999999999999993</v>
      </c>
      <c r="F127">
        <v>36.020000000000003</v>
      </c>
      <c r="G127">
        <v>13.87</v>
      </c>
      <c r="H127">
        <v>11.41</v>
      </c>
      <c r="I127">
        <v>36.619999999999997</v>
      </c>
      <c r="J127">
        <v>15.01</v>
      </c>
      <c r="K127">
        <v>50.77</v>
      </c>
      <c r="L127">
        <v>18.73</v>
      </c>
      <c r="M127">
        <v>35.57</v>
      </c>
      <c r="N127">
        <v>21.58</v>
      </c>
      <c r="O127">
        <v>23.52</v>
      </c>
      <c r="P127">
        <v>22.14</v>
      </c>
      <c r="Q127">
        <v>16.579999999999998</v>
      </c>
      <c r="R127">
        <v>43.34</v>
      </c>
      <c r="S127">
        <v>34.049999999999997</v>
      </c>
      <c r="T127">
        <v>25.83</v>
      </c>
      <c r="U127">
        <v>15.13</v>
      </c>
      <c r="V127">
        <v>32.33</v>
      </c>
      <c r="W127">
        <v>32.4</v>
      </c>
    </row>
    <row r="128" spans="1:23" x14ac:dyDescent="0.25">
      <c r="A128" s="2">
        <v>43417</v>
      </c>
      <c r="B128">
        <v>36.74</v>
      </c>
      <c r="C128">
        <v>18.989999999999998</v>
      </c>
      <c r="D128">
        <v>14.99</v>
      </c>
      <c r="E128">
        <v>8.2899999999999991</v>
      </c>
      <c r="F128">
        <v>36.25</v>
      </c>
      <c r="G128">
        <v>13.84</v>
      </c>
      <c r="H128">
        <v>11.51</v>
      </c>
      <c r="I128">
        <v>36.92</v>
      </c>
      <c r="J128">
        <v>15.13</v>
      </c>
      <c r="K128">
        <v>50.79</v>
      </c>
      <c r="L128">
        <v>18.559999999999999</v>
      </c>
      <c r="M128">
        <v>35.39</v>
      </c>
      <c r="N128">
        <v>21.45</v>
      </c>
      <c r="O128">
        <v>23.32</v>
      </c>
      <c r="P128">
        <v>22.25</v>
      </c>
      <c r="Q128">
        <v>16.309999999999999</v>
      </c>
      <c r="R128">
        <v>43.36</v>
      </c>
      <c r="S128">
        <v>34.08</v>
      </c>
      <c r="T128">
        <v>25.83</v>
      </c>
      <c r="U128">
        <v>15.08</v>
      </c>
      <c r="V128">
        <v>32.32</v>
      </c>
      <c r="W128">
        <v>32.270000000000003</v>
      </c>
    </row>
    <row r="129" spans="1:23" x14ac:dyDescent="0.25">
      <c r="A129" s="2">
        <v>43416</v>
      </c>
      <c r="B129">
        <v>36.89</v>
      </c>
      <c r="C129">
        <v>19.100000000000001</v>
      </c>
      <c r="D129">
        <v>14.94</v>
      </c>
      <c r="E129">
        <v>8.3800000000000008</v>
      </c>
      <c r="F129">
        <v>36.21</v>
      </c>
      <c r="G129">
        <v>14.03</v>
      </c>
      <c r="H129">
        <v>11.47</v>
      </c>
      <c r="I129">
        <v>37.07</v>
      </c>
      <c r="J129">
        <v>15.1</v>
      </c>
      <c r="K129">
        <v>50.84</v>
      </c>
      <c r="L129">
        <v>18.920000000000002</v>
      </c>
      <c r="M129">
        <v>35.42</v>
      </c>
      <c r="N129">
        <v>21.55</v>
      </c>
      <c r="O129">
        <v>23.32</v>
      </c>
      <c r="P129">
        <v>22.17</v>
      </c>
      <c r="Q129">
        <v>16.329999999999998</v>
      </c>
      <c r="R129">
        <v>43.42</v>
      </c>
      <c r="S129">
        <v>34.11</v>
      </c>
      <c r="T129">
        <v>25.84</v>
      </c>
      <c r="U129">
        <v>15.07</v>
      </c>
      <c r="V129">
        <v>32.35</v>
      </c>
      <c r="W129">
        <v>32.25</v>
      </c>
    </row>
    <row r="130" spans="1:23" x14ac:dyDescent="0.25">
      <c r="A130" s="2">
        <v>43413</v>
      </c>
      <c r="B130">
        <v>36.659999999999997</v>
      </c>
      <c r="C130">
        <v>19.02</v>
      </c>
      <c r="D130">
        <v>14.69</v>
      </c>
      <c r="E130">
        <v>8.39</v>
      </c>
      <c r="F130">
        <v>36.33</v>
      </c>
      <c r="G130">
        <v>13.98</v>
      </c>
      <c r="H130">
        <v>11.39</v>
      </c>
      <c r="I130">
        <v>37.340000000000003</v>
      </c>
      <c r="J130">
        <v>15.12</v>
      </c>
      <c r="K130">
        <v>50.71</v>
      </c>
      <c r="L130">
        <v>19.53</v>
      </c>
      <c r="M130">
        <v>35.83</v>
      </c>
      <c r="N130">
        <v>21.47</v>
      </c>
      <c r="O130">
        <v>23.37</v>
      </c>
      <c r="P130">
        <v>22.2</v>
      </c>
      <c r="Q130">
        <v>16.260000000000002</v>
      </c>
      <c r="R130">
        <v>43.41</v>
      </c>
      <c r="S130">
        <v>34.15</v>
      </c>
      <c r="T130">
        <v>25.82</v>
      </c>
      <c r="U130">
        <v>15.05</v>
      </c>
      <c r="V130">
        <v>32.28</v>
      </c>
      <c r="W130">
        <v>32.299999999999997</v>
      </c>
    </row>
    <row r="131" spans="1:23" x14ac:dyDescent="0.25">
      <c r="A131" s="2">
        <v>43412</v>
      </c>
      <c r="B131">
        <v>36.6</v>
      </c>
      <c r="C131">
        <v>19.16</v>
      </c>
      <c r="D131">
        <v>14.64</v>
      </c>
      <c r="E131">
        <v>8.5399999999999991</v>
      </c>
      <c r="F131">
        <v>36.6</v>
      </c>
      <c r="G131">
        <v>14.07</v>
      </c>
      <c r="H131">
        <v>11.31</v>
      </c>
      <c r="I131">
        <v>37.4</v>
      </c>
      <c r="J131">
        <v>15.1</v>
      </c>
      <c r="K131">
        <v>50.61</v>
      </c>
      <c r="L131">
        <v>20.329999999999998</v>
      </c>
      <c r="M131">
        <v>35.840000000000003</v>
      </c>
      <c r="N131">
        <v>21.5</v>
      </c>
      <c r="O131">
        <v>23.29</v>
      </c>
      <c r="P131">
        <v>22.22</v>
      </c>
      <c r="Q131">
        <v>16.100000000000001</v>
      </c>
      <c r="R131">
        <v>43.42</v>
      </c>
      <c r="S131">
        <v>34.14</v>
      </c>
      <c r="T131">
        <v>25.81</v>
      </c>
      <c r="U131">
        <v>15.01</v>
      </c>
      <c r="V131">
        <v>32.18</v>
      </c>
      <c r="W131">
        <v>32.409999999999997</v>
      </c>
    </row>
    <row r="132" spans="1:23" x14ac:dyDescent="0.25">
      <c r="A132" s="2">
        <v>43411</v>
      </c>
      <c r="B132">
        <v>36.659999999999997</v>
      </c>
      <c r="C132">
        <v>19.239999999999998</v>
      </c>
      <c r="D132">
        <v>14.64</v>
      </c>
      <c r="E132">
        <v>8.5399999999999991</v>
      </c>
      <c r="F132">
        <v>36.71</v>
      </c>
      <c r="G132">
        <v>13.95</v>
      </c>
      <c r="H132">
        <v>11.52</v>
      </c>
      <c r="I132">
        <v>37.56</v>
      </c>
      <c r="J132">
        <v>14.99</v>
      </c>
      <c r="K132">
        <v>50.63</v>
      </c>
      <c r="L132">
        <v>20.52</v>
      </c>
      <c r="M132">
        <v>36.090000000000003</v>
      </c>
      <c r="N132">
        <v>21.47</v>
      </c>
      <c r="O132">
        <v>23.28</v>
      </c>
      <c r="P132">
        <v>22.29</v>
      </c>
      <c r="Q132">
        <v>16.03</v>
      </c>
      <c r="R132">
        <v>43.43</v>
      </c>
      <c r="S132">
        <v>34.159999999999997</v>
      </c>
      <c r="T132">
        <v>25.75</v>
      </c>
      <c r="U132">
        <v>15.01</v>
      </c>
      <c r="V132">
        <v>32.200000000000003</v>
      </c>
      <c r="W132">
        <v>32.49</v>
      </c>
    </row>
    <row r="133" spans="1:23" x14ac:dyDescent="0.25">
      <c r="A133" s="2">
        <v>43410</v>
      </c>
      <c r="B133">
        <v>36.54</v>
      </c>
      <c r="C133">
        <v>18.96</v>
      </c>
      <c r="D133">
        <v>14.53</v>
      </c>
      <c r="E133">
        <v>8.75</v>
      </c>
      <c r="F133">
        <v>36.67</v>
      </c>
      <c r="G133">
        <v>14.08</v>
      </c>
      <c r="H133">
        <v>11.68</v>
      </c>
      <c r="I133">
        <v>37.58</v>
      </c>
      <c r="J133">
        <v>15.04</v>
      </c>
      <c r="K133">
        <v>50.53</v>
      </c>
      <c r="L133">
        <v>20.57</v>
      </c>
      <c r="M133">
        <v>35.96</v>
      </c>
      <c r="N133">
        <v>21.41</v>
      </c>
      <c r="O133">
        <v>23.22</v>
      </c>
      <c r="P133">
        <v>22.33</v>
      </c>
      <c r="Q133">
        <v>16.09</v>
      </c>
      <c r="R133">
        <v>43.51</v>
      </c>
      <c r="S133">
        <v>34.18</v>
      </c>
      <c r="T133">
        <v>25.73</v>
      </c>
      <c r="U133">
        <v>14.98</v>
      </c>
      <c r="V133">
        <v>32.24</v>
      </c>
      <c r="W133">
        <v>32.44</v>
      </c>
    </row>
    <row r="134" spans="1:23" x14ac:dyDescent="0.25">
      <c r="A134" s="2">
        <v>43409</v>
      </c>
      <c r="B134">
        <v>36.590000000000003</v>
      </c>
      <c r="C134">
        <v>19.04</v>
      </c>
      <c r="D134">
        <v>14.47</v>
      </c>
      <c r="E134">
        <v>8.6199999999999992</v>
      </c>
      <c r="F134">
        <v>36.54</v>
      </c>
      <c r="G134">
        <v>14.18</v>
      </c>
      <c r="H134">
        <v>11.95</v>
      </c>
      <c r="I134">
        <v>37.5</v>
      </c>
      <c r="J134">
        <v>15.08</v>
      </c>
      <c r="K134">
        <v>50.49</v>
      </c>
      <c r="L134">
        <v>20.440000000000001</v>
      </c>
      <c r="M134">
        <v>35.950000000000003</v>
      </c>
      <c r="N134">
        <v>21.37</v>
      </c>
      <c r="O134">
        <v>23.23</v>
      </c>
      <c r="P134">
        <v>22.33</v>
      </c>
      <c r="Q134">
        <v>15.99</v>
      </c>
      <c r="R134">
        <v>43.5</v>
      </c>
      <c r="S134">
        <v>34.270000000000003</v>
      </c>
      <c r="T134">
        <v>25.7</v>
      </c>
      <c r="U134">
        <v>14.96</v>
      </c>
      <c r="V134">
        <v>32.18</v>
      </c>
      <c r="W134">
        <v>32.31</v>
      </c>
    </row>
    <row r="135" spans="1:23" x14ac:dyDescent="0.25">
      <c r="A135" s="2">
        <v>43406</v>
      </c>
      <c r="B135">
        <v>36.64</v>
      </c>
      <c r="C135">
        <v>19.059999999999999</v>
      </c>
      <c r="D135">
        <v>14.54</v>
      </c>
      <c r="E135">
        <v>8.81</v>
      </c>
      <c r="F135">
        <v>36.61</v>
      </c>
      <c r="G135">
        <v>14.14</v>
      </c>
      <c r="H135">
        <v>11.85</v>
      </c>
      <c r="I135">
        <v>37.67</v>
      </c>
      <c r="J135">
        <v>15.21</v>
      </c>
      <c r="K135">
        <v>50.48</v>
      </c>
      <c r="L135">
        <v>20.58</v>
      </c>
      <c r="M135">
        <v>36.21</v>
      </c>
      <c r="N135">
        <v>21.39</v>
      </c>
      <c r="O135">
        <v>23.15</v>
      </c>
      <c r="P135">
        <v>22.47</v>
      </c>
      <c r="Q135">
        <v>16.05</v>
      </c>
      <c r="R135">
        <v>43.53</v>
      </c>
      <c r="S135">
        <v>34.26</v>
      </c>
      <c r="T135">
        <v>25.72</v>
      </c>
      <c r="U135">
        <v>14.97</v>
      </c>
      <c r="V135">
        <v>32.1</v>
      </c>
      <c r="W135">
        <v>32.28</v>
      </c>
    </row>
    <row r="136" spans="1:23" x14ac:dyDescent="0.25">
      <c r="A136" s="2">
        <v>43405</v>
      </c>
      <c r="B136">
        <v>36.630000000000003</v>
      </c>
      <c r="C136">
        <v>19.2</v>
      </c>
      <c r="D136">
        <v>14.65</v>
      </c>
      <c r="E136">
        <v>8.92</v>
      </c>
      <c r="F136">
        <v>36.74</v>
      </c>
      <c r="G136">
        <v>14.12</v>
      </c>
      <c r="H136">
        <v>12.17</v>
      </c>
      <c r="I136">
        <v>37.53</v>
      </c>
      <c r="J136">
        <v>15.28</v>
      </c>
      <c r="K136">
        <v>50.38</v>
      </c>
      <c r="L136">
        <v>20.54</v>
      </c>
      <c r="M136">
        <v>36.47</v>
      </c>
      <c r="N136">
        <v>21.45</v>
      </c>
      <c r="O136">
        <v>23.26</v>
      </c>
      <c r="P136">
        <v>22.39</v>
      </c>
      <c r="Q136">
        <v>16.100000000000001</v>
      </c>
      <c r="R136">
        <v>43.6</v>
      </c>
      <c r="S136">
        <v>34.32</v>
      </c>
      <c r="T136">
        <v>25.71</v>
      </c>
      <c r="U136">
        <v>14.85</v>
      </c>
      <c r="V136">
        <v>32.07</v>
      </c>
      <c r="W136">
        <v>32.340000000000003</v>
      </c>
    </row>
    <row r="137" spans="1:23" x14ac:dyDescent="0.25">
      <c r="A137" s="2">
        <v>43404</v>
      </c>
      <c r="B137">
        <v>36.71</v>
      </c>
      <c r="C137">
        <v>19.260000000000002</v>
      </c>
      <c r="D137">
        <v>14.74</v>
      </c>
      <c r="E137">
        <v>8.9600000000000009</v>
      </c>
      <c r="F137">
        <v>36.97</v>
      </c>
      <c r="G137">
        <v>14.01</v>
      </c>
      <c r="H137">
        <v>11.83</v>
      </c>
      <c r="I137">
        <v>37.47</v>
      </c>
      <c r="J137">
        <v>15.3</v>
      </c>
      <c r="K137">
        <v>50.48</v>
      </c>
      <c r="L137">
        <v>20.260000000000002</v>
      </c>
      <c r="M137">
        <v>36.22</v>
      </c>
      <c r="N137">
        <v>21.43</v>
      </c>
      <c r="O137">
        <v>23.26</v>
      </c>
      <c r="P137">
        <v>22.5</v>
      </c>
      <c r="Q137">
        <v>16.190000000000001</v>
      </c>
      <c r="R137">
        <v>43.63</v>
      </c>
      <c r="S137">
        <v>34.369999999999997</v>
      </c>
      <c r="T137">
        <v>25.7</v>
      </c>
      <c r="U137">
        <v>14.84</v>
      </c>
      <c r="V137">
        <v>32.21</v>
      </c>
      <c r="W137">
        <v>32.53</v>
      </c>
    </row>
    <row r="138" spans="1:23" x14ac:dyDescent="0.25">
      <c r="A138" s="2">
        <v>43403</v>
      </c>
      <c r="B138">
        <v>36.700000000000003</v>
      </c>
      <c r="C138">
        <v>19.39</v>
      </c>
      <c r="D138">
        <v>14.86</v>
      </c>
      <c r="E138">
        <v>9.1199999999999992</v>
      </c>
      <c r="F138">
        <v>36.81</v>
      </c>
      <c r="G138">
        <v>14.16</v>
      </c>
      <c r="H138">
        <v>11.9</v>
      </c>
      <c r="I138">
        <v>37.21</v>
      </c>
      <c r="J138">
        <v>15.52</v>
      </c>
      <c r="K138">
        <v>50.46</v>
      </c>
      <c r="L138">
        <v>20.36</v>
      </c>
      <c r="M138">
        <v>36.29</v>
      </c>
      <c r="N138">
        <v>21.35</v>
      </c>
      <c r="O138">
        <v>23.14</v>
      </c>
      <c r="P138">
        <v>22.52</v>
      </c>
      <c r="Q138">
        <v>16.02</v>
      </c>
      <c r="R138">
        <v>43.63</v>
      </c>
      <c r="S138">
        <v>34.54</v>
      </c>
      <c r="T138">
        <v>25.64</v>
      </c>
      <c r="U138">
        <v>14.8</v>
      </c>
      <c r="V138">
        <v>32.14</v>
      </c>
      <c r="W138">
        <v>32.299999999999997</v>
      </c>
    </row>
    <row r="139" spans="1:23" x14ac:dyDescent="0.25">
      <c r="A139" s="2">
        <v>43402</v>
      </c>
      <c r="B139">
        <v>36.81</v>
      </c>
      <c r="C139">
        <v>19.43</v>
      </c>
      <c r="D139">
        <v>15.07</v>
      </c>
      <c r="E139">
        <v>9.02</v>
      </c>
      <c r="F139">
        <v>36.94</v>
      </c>
      <c r="G139">
        <v>14.27</v>
      </c>
      <c r="H139">
        <v>12.4</v>
      </c>
      <c r="I139">
        <v>37.49</v>
      </c>
      <c r="J139">
        <v>15.41</v>
      </c>
      <c r="K139">
        <v>50.49</v>
      </c>
      <c r="L139">
        <v>20.28</v>
      </c>
      <c r="M139">
        <v>36.44</v>
      </c>
      <c r="N139">
        <v>21.5</v>
      </c>
      <c r="O139">
        <v>23.23</v>
      </c>
      <c r="P139">
        <v>22.54</v>
      </c>
      <c r="Q139">
        <v>16.02</v>
      </c>
      <c r="R139">
        <v>43.69</v>
      </c>
      <c r="S139">
        <v>34.9</v>
      </c>
      <c r="T139">
        <v>25.67</v>
      </c>
      <c r="U139">
        <v>14.77</v>
      </c>
      <c r="V139">
        <v>32.299999999999997</v>
      </c>
      <c r="W139">
        <v>32.26</v>
      </c>
    </row>
    <row r="140" spans="1:23" x14ac:dyDescent="0.25">
      <c r="A140" s="2">
        <v>43399</v>
      </c>
      <c r="B140">
        <v>36.56</v>
      </c>
      <c r="C140">
        <v>19.350000000000001</v>
      </c>
      <c r="D140">
        <v>14.68</v>
      </c>
      <c r="E140">
        <v>8.8800000000000008</v>
      </c>
      <c r="F140">
        <v>36.86</v>
      </c>
      <c r="G140">
        <v>14.29</v>
      </c>
      <c r="H140">
        <v>12.07</v>
      </c>
      <c r="I140">
        <v>37.36</v>
      </c>
      <c r="J140">
        <v>15.22</v>
      </c>
      <c r="K140">
        <v>50.35</v>
      </c>
      <c r="L140">
        <v>19.97</v>
      </c>
      <c r="M140">
        <v>36.31</v>
      </c>
      <c r="N140">
        <v>21.29</v>
      </c>
      <c r="O140">
        <v>23.22</v>
      </c>
      <c r="P140">
        <v>22.38</v>
      </c>
      <c r="Q140">
        <v>15.95</v>
      </c>
      <c r="R140">
        <v>43.64</v>
      </c>
      <c r="S140">
        <v>34.64</v>
      </c>
      <c r="T140">
        <v>25.7</v>
      </c>
      <c r="U140">
        <v>14.76</v>
      </c>
      <c r="V140">
        <v>32.22</v>
      </c>
      <c r="W140">
        <v>32.57</v>
      </c>
    </row>
    <row r="141" spans="1:23" x14ac:dyDescent="0.25">
      <c r="A141" s="2">
        <v>43398</v>
      </c>
      <c r="B141">
        <v>36.340000000000003</v>
      </c>
      <c r="C141">
        <v>19.39</v>
      </c>
      <c r="D141">
        <v>14.55</v>
      </c>
      <c r="E141">
        <v>8.74</v>
      </c>
      <c r="F141">
        <v>36.9</v>
      </c>
      <c r="G141">
        <v>14.3</v>
      </c>
      <c r="H141">
        <v>11.79</v>
      </c>
      <c r="I141">
        <v>37.11</v>
      </c>
      <c r="J141">
        <v>15.24</v>
      </c>
      <c r="K141">
        <v>50.26</v>
      </c>
      <c r="L141">
        <v>19.87</v>
      </c>
      <c r="M141">
        <v>35.96</v>
      </c>
      <c r="N141">
        <v>21.29</v>
      </c>
      <c r="O141">
        <v>23.21</v>
      </c>
      <c r="P141">
        <v>22.31</v>
      </c>
      <c r="Q141">
        <v>15.72</v>
      </c>
      <c r="R141">
        <v>43.65</v>
      </c>
      <c r="S141">
        <v>34.549999999999997</v>
      </c>
      <c r="T141">
        <v>25.34</v>
      </c>
      <c r="U141">
        <v>14.73</v>
      </c>
      <c r="V141">
        <v>32.21</v>
      </c>
      <c r="W141">
        <v>32.520000000000003</v>
      </c>
    </row>
    <row r="142" spans="1:23" x14ac:dyDescent="0.25">
      <c r="A142" s="2">
        <v>43397</v>
      </c>
      <c r="B142">
        <v>36.47</v>
      </c>
      <c r="C142">
        <v>19.47</v>
      </c>
      <c r="D142">
        <v>14.65</v>
      </c>
      <c r="E142">
        <v>8.58</v>
      </c>
      <c r="F142">
        <v>36.57</v>
      </c>
      <c r="G142">
        <v>14.15</v>
      </c>
      <c r="H142">
        <v>11.78</v>
      </c>
      <c r="I142">
        <v>37.14</v>
      </c>
      <c r="J142">
        <v>15.26</v>
      </c>
      <c r="K142">
        <v>50.41</v>
      </c>
      <c r="L142">
        <v>19.7</v>
      </c>
      <c r="M142">
        <v>36.340000000000003</v>
      </c>
      <c r="N142">
        <v>21.34</v>
      </c>
      <c r="O142">
        <v>23.17</v>
      </c>
      <c r="P142">
        <v>22.19</v>
      </c>
      <c r="Q142">
        <v>15.79</v>
      </c>
      <c r="R142">
        <v>43.56</v>
      </c>
      <c r="S142">
        <v>34.659999999999997</v>
      </c>
      <c r="T142">
        <v>25.4</v>
      </c>
      <c r="U142">
        <v>14.74</v>
      </c>
      <c r="V142">
        <v>32.15</v>
      </c>
      <c r="W142">
        <v>32.58</v>
      </c>
    </row>
    <row r="143" spans="1:23" x14ac:dyDescent="0.25">
      <c r="A143" s="2">
        <v>43396</v>
      </c>
      <c r="B143">
        <v>36.450000000000003</v>
      </c>
      <c r="C143">
        <v>19.489999999999998</v>
      </c>
      <c r="D143">
        <v>14.69</v>
      </c>
      <c r="E143">
        <v>8.56</v>
      </c>
      <c r="F143">
        <v>36.46</v>
      </c>
      <c r="G143">
        <v>14.32</v>
      </c>
      <c r="H143">
        <v>11.57</v>
      </c>
      <c r="I143">
        <v>36.97</v>
      </c>
      <c r="J143">
        <v>15.23</v>
      </c>
      <c r="K143">
        <v>50.42</v>
      </c>
      <c r="L143">
        <v>19.850000000000001</v>
      </c>
      <c r="M143">
        <v>36.24</v>
      </c>
      <c r="N143">
        <v>21.3</v>
      </c>
      <c r="O143">
        <v>23.08</v>
      </c>
      <c r="P143">
        <v>22.04</v>
      </c>
      <c r="Q143">
        <v>15.69</v>
      </c>
      <c r="R143">
        <v>43.57</v>
      </c>
      <c r="S143">
        <v>34.590000000000003</v>
      </c>
      <c r="T143">
        <v>25.4</v>
      </c>
      <c r="U143">
        <v>14.71</v>
      </c>
      <c r="V143">
        <v>32.21</v>
      </c>
      <c r="W143">
        <v>32.51</v>
      </c>
    </row>
    <row r="144" spans="1:23" x14ac:dyDescent="0.25">
      <c r="A144" s="2">
        <v>43395</v>
      </c>
      <c r="B144">
        <v>36.35</v>
      </c>
      <c r="C144">
        <v>19.55</v>
      </c>
      <c r="D144">
        <v>14.64</v>
      </c>
      <c r="E144">
        <v>8.68</v>
      </c>
      <c r="F144">
        <v>36.46</v>
      </c>
      <c r="G144">
        <v>14.87</v>
      </c>
      <c r="H144">
        <v>11.3</v>
      </c>
      <c r="I144">
        <v>37.049999999999997</v>
      </c>
      <c r="J144">
        <v>15.25</v>
      </c>
      <c r="K144">
        <v>50.33</v>
      </c>
      <c r="L144">
        <v>20.059999999999999</v>
      </c>
      <c r="M144">
        <v>36.200000000000003</v>
      </c>
      <c r="N144">
        <v>21.32</v>
      </c>
      <c r="O144">
        <v>23.21</v>
      </c>
      <c r="P144">
        <v>21.97</v>
      </c>
      <c r="Q144">
        <v>15.81</v>
      </c>
      <c r="R144">
        <v>43.57</v>
      </c>
      <c r="S144">
        <v>34.61</v>
      </c>
      <c r="T144">
        <v>25.46</v>
      </c>
      <c r="U144">
        <v>14.75</v>
      </c>
      <c r="V144">
        <v>32.340000000000003</v>
      </c>
      <c r="W144">
        <v>32.46</v>
      </c>
    </row>
    <row r="145" spans="1:23" x14ac:dyDescent="0.25">
      <c r="A145" s="2">
        <v>43392</v>
      </c>
      <c r="B145">
        <v>36.32</v>
      </c>
      <c r="C145">
        <v>19.559999999999999</v>
      </c>
      <c r="D145">
        <v>14.4</v>
      </c>
      <c r="E145">
        <v>8.7100000000000009</v>
      </c>
      <c r="F145">
        <v>36.380000000000003</v>
      </c>
      <c r="G145">
        <v>14.94</v>
      </c>
      <c r="H145">
        <v>11.03</v>
      </c>
      <c r="I145">
        <v>37.1</v>
      </c>
      <c r="J145">
        <v>15.31</v>
      </c>
      <c r="K145">
        <v>50.39</v>
      </c>
      <c r="L145">
        <v>19.77</v>
      </c>
      <c r="M145">
        <v>36.049999999999997</v>
      </c>
      <c r="N145">
        <v>21.21</v>
      </c>
      <c r="O145">
        <v>23.12</v>
      </c>
      <c r="P145">
        <v>21.87</v>
      </c>
      <c r="Q145">
        <v>15.74</v>
      </c>
      <c r="R145">
        <v>43.55</v>
      </c>
      <c r="S145">
        <v>34.39</v>
      </c>
      <c r="T145">
        <v>25.45</v>
      </c>
      <c r="U145">
        <v>14.76</v>
      </c>
      <c r="V145">
        <v>32.26</v>
      </c>
      <c r="W145">
        <v>32.39</v>
      </c>
    </row>
    <row r="146" spans="1:23" x14ac:dyDescent="0.25">
      <c r="A146" s="2">
        <v>43391</v>
      </c>
      <c r="B146">
        <v>36.39</v>
      </c>
      <c r="C146">
        <v>19.55</v>
      </c>
      <c r="D146">
        <v>14.52</v>
      </c>
      <c r="E146">
        <v>8.77</v>
      </c>
      <c r="F146">
        <v>36.6</v>
      </c>
      <c r="G146">
        <v>14.87</v>
      </c>
      <c r="H146">
        <v>11.01</v>
      </c>
      <c r="I146">
        <v>36.880000000000003</v>
      </c>
      <c r="J146">
        <v>15.26</v>
      </c>
      <c r="K146">
        <v>50.43</v>
      </c>
      <c r="L146">
        <v>20.010000000000002</v>
      </c>
      <c r="M146">
        <v>36.07</v>
      </c>
      <c r="N146">
        <v>21.2</v>
      </c>
      <c r="O146">
        <v>23.03</v>
      </c>
      <c r="P146">
        <v>21.89</v>
      </c>
      <c r="Q146">
        <v>15.77</v>
      </c>
      <c r="R146">
        <v>43.54</v>
      </c>
      <c r="S146">
        <v>34.46</v>
      </c>
      <c r="T146">
        <v>25.48</v>
      </c>
      <c r="U146">
        <v>14.76</v>
      </c>
      <c r="V146">
        <v>32.25</v>
      </c>
      <c r="W146">
        <v>32.25</v>
      </c>
    </row>
    <row r="147" spans="1:23" x14ac:dyDescent="0.25">
      <c r="A147" s="2">
        <v>43390</v>
      </c>
      <c r="B147">
        <v>36.380000000000003</v>
      </c>
      <c r="C147">
        <v>19.579999999999998</v>
      </c>
      <c r="D147">
        <v>14.46</v>
      </c>
      <c r="E147">
        <v>8.9499999999999993</v>
      </c>
      <c r="F147">
        <v>36.5</v>
      </c>
      <c r="G147">
        <v>14.92</v>
      </c>
      <c r="H147">
        <v>10.97</v>
      </c>
      <c r="I147">
        <v>37.01</v>
      </c>
      <c r="J147">
        <v>15.33</v>
      </c>
      <c r="K147">
        <v>50.4</v>
      </c>
      <c r="L147">
        <v>20.03</v>
      </c>
      <c r="M147">
        <v>36.08</v>
      </c>
      <c r="N147">
        <v>21.2</v>
      </c>
      <c r="O147">
        <v>22.87</v>
      </c>
      <c r="P147">
        <v>21.89</v>
      </c>
      <c r="Q147">
        <v>16.02</v>
      </c>
      <c r="R147">
        <v>43.49</v>
      </c>
      <c r="S147">
        <v>34.520000000000003</v>
      </c>
      <c r="T147">
        <v>25.49</v>
      </c>
      <c r="U147">
        <v>14.74</v>
      </c>
      <c r="V147">
        <v>32.299999999999997</v>
      </c>
      <c r="W147">
        <v>32.4</v>
      </c>
    </row>
    <row r="148" spans="1:23" x14ac:dyDescent="0.25">
      <c r="A148" s="2">
        <v>43389</v>
      </c>
      <c r="B148">
        <v>36.31</v>
      </c>
      <c r="C148">
        <v>19.54</v>
      </c>
      <c r="D148">
        <v>14.48</v>
      </c>
      <c r="E148">
        <v>8.98</v>
      </c>
      <c r="F148">
        <v>36.299999999999997</v>
      </c>
      <c r="G148">
        <v>14.83</v>
      </c>
      <c r="H148">
        <v>10.94</v>
      </c>
      <c r="I148">
        <v>36.950000000000003</v>
      </c>
      <c r="J148">
        <v>15.33</v>
      </c>
      <c r="K148">
        <v>50.39</v>
      </c>
      <c r="L148">
        <v>19.89</v>
      </c>
      <c r="M148">
        <v>36</v>
      </c>
      <c r="N148">
        <v>21.24</v>
      </c>
      <c r="O148">
        <v>22.81</v>
      </c>
      <c r="P148">
        <v>21.83</v>
      </c>
      <c r="Q148">
        <v>16.05</v>
      </c>
      <c r="R148">
        <v>43.52</v>
      </c>
      <c r="S148">
        <v>34.479999999999997</v>
      </c>
      <c r="T148">
        <v>25.42</v>
      </c>
      <c r="U148">
        <v>14.75</v>
      </c>
      <c r="V148">
        <v>32.19</v>
      </c>
      <c r="W148">
        <v>32.58</v>
      </c>
    </row>
    <row r="149" spans="1:23" x14ac:dyDescent="0.25">
      <c r="A149" s="2">
        <v>43388</v>
      </c>
      <c r="B149">
        <v>36.369999999999997</v>
      </c>
      <c r="C149">
        <v>19.57</v>
      </c>
      <c r="D149">
        <v>14.59</v>
      </c>
      <c r="E149">
        <v>9.1</v>
      </c>
      <c r="F149">
        <v>36.340000000000003</v>
      </c>
      <c r="G149">
        <v>14.84</v>
      </c>
      <c r="H149">
        <v>10.95</v>
      </c>
      <c r="I149">
        <v>37</v>
      </c>
      <c r="J149">
        <v>15.31</v>
      </c>
      <c r="K149">
        <v>50.41</v>
      </c>
      <c r="L149">
        <v>20.04</v>
      </c>
      <c r="M149">
        <v>35.909999999999997</v>
      </c>
      <c r="N149">
        <v>21.3</v>
      </c>
      <c r="O149">
        <v>22.81</v>
      </c>
      <c r="P149">
        <v>21.81</v>
      </c>
      <c r="Q149">
        <v>16.07</v>
      </c>
      <c r="R149">
        <v>43.5</v>
      </c>
      <c r="S149">
        <v>34.53</v>
      </c>
      <c r="T149">
        <v>25.45</v>
      </c>
      <c r="U149">
        <v>14.72</v>
      </c>
      <c r="V149">
        <v>32.26</v>
      </c>
      <c r="W149">
        <v>32.770000000000003</v>
      </c>
    </row>
    <row r="150" spans="1:23" x14ac:dyDescent="0.25">
      <c r="A150" s="2">
        <v>43385</v>
      </c>
      <c r="B150">
        <v>36.36</v>
      </c>
      <c r="C150">
        <v>19.52</v>
      </c>
      <c r="D150">
        <v>14.47</v>
      </c>
      <c r="E150">
        <v>9.15</v>
      </c>
      <c r="F150">
        <v>36.36</v>
      </c>
      <c r="G150">
        <v>14.94</v>
      </c>
      <c r="H150">
        <v>10.92</v>
      </c>
      <c r="I150">
        <v>36.86</v>
      </c>
      <c r="J150">
        <v>15.31</v>
      </c>
      <c r="K150">
        <v>50.43</v>
      </c>
      <c r="L150">
        <v>20.350000000000001</v>
      </c>
      <c r="M150">
        <v>36.21</v>
      </c>
      <c r="N150">
        <v>21.27</v>
      </c>
      <c r="O150">
        <v>22.8</v>
      </c>
      <c r="P150">
        <v>21.84</v>
      </c>
      <c r="Q150">
        <v>16.12</v>
      </c>
      <c r="R150">
        <v>43.44</v>
      </c>
      <c r="S150">
        <v>34.380000000000003</v>
      </c>
      <c r="T150">
        <v>25.46</v>
      </c>
      <c r="U150">
        <v>14.72</v>
      </c>
      <c r="V150">
        <v>32.14</v>
      </c>
      <c r="W150">
        <v>32.99</v>
      </c>
    </row>
    <row r="151" spans="1:23" x14ac:dyDescent="0.25">
      <c r="A151" s="2">
        <v>43384</v>
      </c>
      <c r="B151">
        <v>36.35</v>
      </c>
      <c r="C151">
        <v>19.29</v>
      </c>
      <c r="D151">
        <v>14.65</v>
      </c>
      <c r="E151">
        <v>9.02</v>
      </c>
      <c r="F151">
        <v>36.29</v>
      </c>
      <c r="G151">
        <v>15.04</v>
      </c>
      <c r="H151">
        <v>10.84</v>
      </c>
      <c r="I151">
        <v>36.659999999999997</v>
      </c>
      <c r="J151">
        <v>15.4</v>
      </c>
      <c r="K151">
        <v>50.45</v>
      </c>
      <c r="L151">
        <v>20.71</v>
      </c>
      <c r="M151">
        <v>36.32</v>
      </c>
      <c r="N151">
        <v>21.28</v>
      </c>
      <c r="O151">
        <v>22.65</v>
      </c>
      <c r="P151">
        <v>21.79</v>
      </c>
      <c r="Q151">
        <v>16.18</v>
      </c>
      <c r="R151">
        <v>43.45</v>
      </c>
      <c r="S151">
        <v>34.5</v>
      </c>
      <c r="T151">
        <v>25.46</v>
      </c>
      <c r="U151">
        <v>14.74</v>
      </c>
      <c r="V151">
        <v>32.200000000000003</v>
      </c>
      <c r="W151">
        <v>33.130000000000003</v>
      </c>
    </row>
    <row r="152" spans="1:23" x14ac:dyDescent="0.25">
      <c r="A152" s="2">
        <v>43383</v>
      </c>
      <c r="B152">
        <v>36.340000000000003</v>
      </c>
      <c r="C152">
        <v>19.23</v>
      </c>
      <c r="D152">
        <v>14.61</v>
      </c>
      <c r="E152">
        <v>8.7799999999999994</v>
      </c>
      <c r="F152">
        <v>36.22</v>
      </c>
      <c r="G152">
        <v>15.16</v>
      </c>
      <c r="H152">
        <v>11.03</v>
      </c>
      <c r="I152">
        <v>36.74</v>
      </c>
      <c r="J152">
        <v>15.31</v>
      </c>
      <c r="K152">
        <v>50.51</v>
      </c>
      <c r="L152">
        <v>20.58</v>
      </c>
      <c r="M152">
        <v>36.18</v>
      </c>
      <c r="N152">
        <v>21.17</v>
      </c>
      <c r="O152">
        <v>22.77</v>
      </c>
      <c r="P152">
        <v>21.44</v>
      </c>
      <c r="Q152">
        <v>16.18</v>
      </c>
      <c r="R152">
        <v>43.47</v>
      </c>
      <c r="S152">
        <v>34.549999999999997</v>
      </c>
      <c r="T152">
        <v>25.53</v>
      </c>
      <c r="U152">
        <v>14.8</v>
      </c>
      <c r="V152">
        <v>32.130000000000003</v>
      </c>
      <c r="W152">
        <v>32.93</v>
      </c>
    </row>
    <row r="153" spans="1:23" x14ac:dyDescent="0.25">
      <c r="A153" s="2">
        <v>43381</v>
      </c>
      <c r="B153">
        <v>36.11</v>
      </c>
      <c r="C153">
        <v>19.05</v>
      </c>
      <c r="D153">
        <v>14.42</v>
      </c>
      <c r="E153">
        <v>8.74</v>
      </c>
      <c r="F153">
        <v>36.130000000000003</v>
      </c>
      <c r="G153">
        <v>15.11</v>
      </c>
      <c r="H153">
        <v>9.81</v>
      </c>
      <c r="I153">
        <v>36.51</v>
      </c>
      <c r="J153">
        <v>15.53</v>
      </c>
      <c r="K153">
        <v>50.41</v>
      </c>
      <c r="L153">
        <v>20.85</v>
      </c>
      <c r="M153">
        <v>36.14</v>
      </c>
      <c r="N153">
        <v>21.08</v>
      </c>
      <c r="O153">
        <v>22.86</v>
      </c>
      <c r="P153">
        <v>21.42</v>
      </c>
      <c r="Q153">
        <v>16.13</v>
      </c>
      <c r="R153">
        <v>43.4</v>
      </c>
      <c r="S153">
        <v>34.44</v>
      </c>
      <c r="T153">
        <v>25.49</v>
      </c>
      <c r="U153">
        <v>14.81</v>
      </c>
      <c r="V153">
        <v>32.049999999999997</v>
      </c>
      <c r="W153">
        <v>32.71</v>
      </c>
    </row>
    <row r="154" spans="1:23" x14ac:dyDescent="0.25">
      <c r="A154" s="2">
        <v>43378</v>
      </c>
      <c r="B154">
        <v>36.049999999999997</v>
      </c>
      <c r="C154">
        <v>19.079999999999998</v>
      </c>
      <c r="D154">
        <v>14.53</v>
      </c>
      <c r="E154">
        <v>8.74</v>
      </c>
      <c r="F154">
        <v>36.21</v>
      </c>
      <c r="G154">
        <v>15.04</v>
      </c>
      <c r="H154">
        <v>9.75</v>
      </c>
      <c r="I154">
        <v>36.69</v>
      </c>
      <c r="J154">
        <v>15.66</v>
      </c>
      <c r="K154">
        <v>50.36</v>
      </c>
      <c r="L154">
        <v>21</v>
      </c>
      <c r="M154">
        <v>36.03</v>
      </c>
      <c r="N154">
        <v>21.16</v>
      </c>
      <c r="O154">
        <v>22.99</v>
      </c>
      <c r="P154">
        <v>21.42</v>
      </c>
      <c r="Q154">
        <v>16.22</v>
      </c>
      <c r="R154">
        <v>43.35</v>
      </c>
      <c r="S154">
        <v>34.42</v>
      </c>
      <c r="T154">
        <v>25.46</v>
      </c>
      <c r="U154">
        <v>14.85</v>
      </c>
      <c r="V154">
        <v>31.94</v>
      </c>
      <c r="W154">
        <v>32.659999999999997</v>
      </c>
    </row>
    <row r="155" spans="1:23" x14ac:dyDescent="0.25">
      <c r="A155" s="2">
        <v>43377</v>
      </c>
      <c r="B155">
        <v>36</v>
      </c>
      <c r="C155">
        <v>19.100000000000001</v>
      </c>
      <c r="D155">
        <v>14.53</v>
      </c>
      <c r="E155">
        <v>8.68</v>
      </c>
      <c r="F155">
        <v>36.18</v>
      </c>
      <c r="G155">
        <v>15.02</v>
      </c>
      <c r="H155">
        <v>9.85</v>
      </c>
      <c r="I155">
        <v>36.479999999999997</v>
      </c>
      <c r="J155">
        <v>15.68</v>
      </c>
      <c r="K155">
        <v>50.4</v>
      </c>
      <c r="L155">
        <v>20.82</v>
      </c>
      <c r="M155">
        <v>35.979999999999997</v>
      </c>
      <c r="N155">
        <v>21.06</v>
      </c>
      <c r="O155">
        <v>23.07</v>
      </c>
      <c r="P155">
        <v>21.37</v>
      </c>
      <c r="Q155">
        <v>16.28</v>
      </c>
      <c r="R155">
        <v>43.28</v>
      </c>
      <c r="S155">
        <v>34.409999999999997</v>
      </c>
      <c r="T155">
        <v>25.57</v>
      </c>
      <c r="U155">
        <v>14.93</v>
      </c>
      <c r="V155">
        <v>31.97</v>
      </c>
      <c r="W155">
        <v>32.51</v>
      </c>
    </row>
    <row r="156" spans="1:23" x14ac:dyDescent="0.25">
      <c r="A156" s="2">
        <v>43375</v>
      </c>
      <c r="B156">
        <v>36.1</v>
      </c>
      <c r="C156">
        <v>19.170000000000002</v>
      </c>
      <c r="D156">
        <v>14.74</v>
      </c>
      <c r="E156">
        <v>8.66</v>
      </c>
      <c r="F156">
        <v>36.299999999999997</v>
      </c>
      <c r="G156">
        <v>15.07</v>
      </c>
      <c r="H156">
        <v>10.02</v>
      </c>
      <c r="I156">
        <v>37.090000000000003</v>
      </c>
      <c r="J156">
        <v>15.54</v>
      </c>
      <c r="K156">
        <v>50.52</v>
      </c>
      <c r="L156">
        <v>20.61</v>
      </c>
      <c r="M156">
        <v>36.24</v>
      </c>
      <c r="N156">
        <v>21.11</v>
      </c>
      <c r="O156">
        <v>23.19</v>
      </c>
      <c r="P156">
        <v>21.31</v>
      </c>
      <c r="Q156">
        <v>16.440000000000001</v>
      </c>
      <c r="R156">
        <v>43.24</v>
      </c>
      <c r="S156">
        <v>34.17</v>
      </c>
      <c r="T156">
        <v>25.52</v>
      </c>
      <c r="U156">
        <v>14.95</v>
      </c>
      <c r="V156">
        <v>32.01</v>
      </c>
      <c r="W156">
        <v>32.340000000000003</v>
      </c>
    </row>
    <row r="157" spans="1:23" x14ac:dyDescent="0.25">
      <c r="A157" s="2">
        <v>43374</v>
      </c>
      <c r="B157">
        <v>36.159999999999997</v>
      </c>
      <c r="C157">
        <v>19.28</v>
      </c>
      <c r="D157">
        <v>14.83</v>
      </c>
      <c r="E157">
        <v>8.64</v>
      </c>
      <c r="F157">
        <v>36.35</v>
      </c>
      <c r="G157">
        <v>15.05</v>
      </c>
      <c r="H157">
        <v>9.49</v>
      </c>
      <c r="I157">
        <v>37.06</v>
      </c>
      <c r="J157">
        <v>15.54</v>
      </c>
      <c r="K157">
        <v>50.58</v>
      </c>
      <c r="L157">
        <v>20.48</v>
      </c>
      <c r="M157">
        <v>36.46</v>
      </c>
      <c r="N157">
        <v>21.16</v>
      </c>
      <c r="O157">
        <v>23.37</v>
      </c>
      <c r="P157">
        <v>21.27</v>
      </c>
      <c r="Q157">
        <v>16.47</v>
      </c>
      <c r="R157">
        <v>43.23</v>
      </c>
      <c r="S157">
        <v>34.14</v>
      </c>
      <c r="T157">
        <v>25.54</v>
      </c>
      <c r="U157">
        <v>15.01</v>
      </c>
      <c r="V157">
        <v>32.04</v>
      </c>
      <c r="W157">
        <v>32.56</v>
      </c>
    </row>
    <row r="158" spans="1:23" x14ac:dyDescent="0.25">
      <c r="A158" s="2">
        <v>43371</v>
      </c>
      <c r="B158">
        <v>36.1</v>
      </c>
      <c r="C158">
        <v>19.21</v>
      </c>
      <c r="D158">
        <v>14.89</v>
      </c>
      <c r="E158">
        <v>8.58</v>
      </c>
      <c r="F158">
        <v>36.159999999999997</v>
      </c>
      <c r="G158">
        <v>15.11</v>
      </c>
      <c r="H158">
        <v>9.6199999999999992</v>
      </c>
      <c r="I158">
        <v>36.979999999999997</v>
      </c>
      <c r="J158">
        <v>15.56</v>
      </c>
      <c r="K158">
        <v>50.55</v>
      </c>
      <c r="L158">
        <v>20.38</v>
      </c>
      <c r="M158">
        <v>36.630000000000003</v>
      </c>
      <c r="N158">
        <v>21.18</v>
      </c>
      <c r="O158">
        <v>23.36</v>
      </c>
      <c r="P158">
        <v>21.21</v>
      </c>
      <c r="Q158">
        <v>16.52</v>
      </c>
      <c r="R158">
        <v>43.17</v>
      </c>
      <c r="S158">
        <v>33.950000000000003</v>
      </c>
      <c r="T158">
        <v>25.53</v>
      </c>
      <c r="U158">
        <v>15.05</v>
      </c>
      <c r="V158">
        <v>31.94</v>
      </c>
      <c r="W158">
        <v>32.57</v>
      </c>
    </row>
    <row r="159" spans="1:23" x14ac:dyDescent="0.25">
      <c r="A159" s="2">
        <v>43370</v>
      </c>
      <c r="B159">
        <v>36.159999999999997</v>
      </c>
      <c r="C159">
        <v>19.37</v>
      </c>
      <c r="D159">
        <v>14.72</v>
      </c>
      <c r="E159">
        <v>8.4600000000000009</v>
      </c>
      <c r="F159">
        <v>36.18</v>
      </c>
      <c r="G159">
        <v>15.17</v>
      </c>
      <c r="H159">
        <v>9.49</v>
      </c>
      <c r="I159">
        <v>37.29</v>
      </c>
      <c r="J159">
        <v>15.65</v>
      </c>
      <c r="K159">
        <v>50.64</v>
      </c>
      <c r="L159">
        <v>20.2</v>
      </c>
      <c r="M159">
        <v>36.36</v>
      </c>
      <c r="N159">
        <v>21.11</v>
      </c>
      <c r="O159">
        <v>23.3</v>
      </c>
      <c r="P159">
        <v>21.17</v>
      </c>
      <c r="Q159">
        <v>16.54</v>
      </c>
      <c r="R159">
        <v>43.09</v>
      </c>
      <c r="S159">
        <v>33.869999999999997</v>
      </c>
      <c r="T159">
        <v>25.55</v>
      </c>
      <c r="U159">
        <v>15</v>
      </c>
      <c r="V159">
        <v>31.77</v>
      </c>
      <c r="W159">
        <v>32.479999999999997</v>
      </c>
    </row>
    <row r="160" spans="1:23" x14ac:dyDescent="0.25">
      <c r="A160" s="2">
        <v>43364</v>
      </c>
      <c r="B160">
        <v>36.15</v>
      </c>
      <c r="C160">
        <v>19.420000000000002</v>
      </c>
      <c r="D160">
        <v>14.9</v>
      </c>
      <c r="E160">
        <v>8.42</v>
      </c>
      <c r="F160">
        <v>35.81</v>
      </c>
      <c r="G160">
        <v>15.32</v>
      </c>
      <c r="H160">
        <v>9.5</v>
      </c>
      <c r="I160">
        <v>37.340000000000003</v>
      </c>
      <c r="J160">
        <v>15.92</v>
      </c>
      <c r="K160">
        <v>50.63</v>
      </c>
      <c r="L160">
        <v>20.18</v>
      </c>
      <c r="M160">
        <v>36.46</v>
      </c>
      <c r="N160">
        <v>20.92</v>
      </c>
      <c r="O160">
        <v>23.36</v>
      </c>
      <c r="P160">
        <v>21.17</v>
      </c>
      <c r="Q160">
        <v>16.48</v>
      </c>
      <c r="R160">
        <v>42.97</v>
      </c>
      <c r="S160">
        <v>33.76</v>
      </c>
      <c r="T160">
        <v>25.5</v>
      </c>
      <c r="U160">
        <v>14.82</v>
      </c>
      <c r="V160">
        <v>31.49</v>
      </c>
      <c r="W160">
        <v>32.61</v>
      </c>
    </row>
    <row r="161" spans="1:23" x14ac:dyDescent="0.25">
      <c r="A161" s="2">
        <v>43363</v>
      </c>
      <c r="B161">
        <v>36.130000000000003</v>
      </c>
      <c r="C161">
        <v>19.34</v>
      </c>
      <c r="D161">
        <v>14.95</v>
      </c>
      <c r="E161">
        <v>8.3699999999999992</v>
      </c>
      <c r="F161">
        <v>35.75</v>
      </c>
      <c r="G161">
        <v>15.33</v>
      </c>
      <c r="H161">
        <v>9.58</v>
      </c>
      <c r="I161">
        <v>37.28</v>
      </c>
      <c r="J161">
        <v>15.62</v>
      </c>
      <c r="K161">
        <v>50.62</v>
      </c>
      <c r="L161">
        <v>20.079999999999998</v>
      </c>
      <c r="M161">
        <v>36.49</v>
      </c>
      <c r="N161">
        <v>20.05</v>
      </c>
      <c r="O161">
        <v>23.45</v>
      </c>
      <c r="P161">
        <v>21.14</v>
      </c>
      <c r="Q161">
        <v>16.41</v>
      </c>
      <c r="R161">
        <v>42.98</v>
      </c>
      <c r="S161">
        <v>33.659999999999997</v>
      </c>
      <c r="T161">
        <v>25.44</v>
      </c>
      <c r="U161">
        <v>14.76</v>
      </c>
      <c r="V161">
        <v>31.53</v>
      </c>
      <c r="W161">
        <v>32.53</v>
      </c>
    </row>
    <row r="162" spans="1:23" x14ac:dyDescent="0.25">
      <c r="A162" s="2">
        <v>43362</v>
      </c>
      <c r="B162">
        <v>36.01</v>
      </c>
      <c r="C162">
        <v>19.309999999999999</v>
      </c>
      <c r="D162">
        <v>15.09</v>
      </c>
      <c r="E162">
        <v>8.4</v>
      </c>
      <c r="F162">
        <v>35.82</v>
      </c>
      <c r="G162">
        <v>15.45</v>
      </c>
      <c r="H162">
        <v>9.8800000000000008</v>
      </c>
      <c r="I162">
        <v>37.29</v>
      </c>
      <c r="J162">
        <v>15.57</v>
      </c>
      <c r="K162">
        <v>50.46</v>
      </c>
      <c r="L162">
        <v>20.03</v>
      </c>
      <c r="M162">
        <v>36.49</v>
      </c>
      <c r="N162">
        <v>20.260000000000002</v>
      </c>
      <c r="O162">
        <v>23.52</v>
      </c>
      <c r="P162">
        <v>21.2</v>
      </c>
      <c r="Q162">
        <v>16.41</v>
      </c>
      <c r="R162">
        <v>42.93</v>
      </c>
      <c r="S162">
        <v>33.51</v>
      </c>
      <c r="T162">
        <v>25.41</v>
      </c>
      <c r="U162">
        <v>14.76</v>
      </c>
      <c r="V162">
        <v>31.64</v>
      </c>
      <c r="W162">
        <v>32.409999999999997</v>
      </c>
    </row>
    <row r="163" spans="1:23" x14ac:dyDescent="0.25">
      <c r="A163" s="2">
        <v>43361</v>
      </c>
      <c r="B163">
        <v>35.85</v>
      </c>
      <c r="C163">
        <v>19.149999999999999</v>
      </c>
      <c r="D163">
        <v>14.95</v>
      </c>
      <c r="E163">
        <v>8.32</v>
      </c>
      <c r="F163">
        <v>35.68</v>
      </c>
      <c r="G163">
        <v>15.29</v>
      </c>
      <c r="H163">
        <v>9.6999999999999993</v>
      </c>
      <c r="I163">
        <v>37.299999999999997</v>
      </c>
      <c r="J163">
        <v>15.63</v>
      </c>
      <c r="K163">
        <v>50.33</v>
      </c>
      <c r="L163">
        <v>19.89</v>
      </c>
      <c r="M163">
        <v>36.380000000000003</v>
      </c>
      <c r="N163">
        <v>20.25</v>
      </c>
      <c r="O163">
        <v>23.59</v>
      </c>
      <c r="P163">
        <v>21.05</v>
      </c>
      <c r="Q163">
        <v>16.52</v>
      </c>
      <c r="R163">
        <v>42.97</v>
      </c>
      <c r="S163">
        <v>33.479999999999997</v>
      </c>
      <c r="T163">
        <v>25.39</v>
      </c>
      <c r="U163">
        <v>14.75</v>
      </c>
      <c r="V163">
        <v>31.55</v>
      </c>
      <c r="W163">
        <v>32.17</v>
      </c>
    </row>
    <row r="164" spans="1:23" x14ac:dyDescent="0.25">
      <c r="A164" s="2">
        <v>43360</v>
      </c>
      <c r="B164">
        <v>35.83</v>
      </c>
      <c r="C164">
        <v>19.2</v>
      </c>
      <c r="D164">
        <v>15.01</v>
      </c>
      <c r="E164">
        <v>8.23</v>
      </c>
      <c r="F164">
        <v>35.49</v>
      </c>
      <c r="G164">
        <v>15.43</v>
      </c>
      <c r="H164">
        <v>9.4</v>
      </c>
      <c r="I164">
        <v>37.21</v>
      </c>
      <c r="J164">
        <v>15.43</v>
      </c>
      <c r="K164">
        <v>50.28</v>
      </c>
      <c r="L164">
        <v>19.96</v>
      </c>
      <c r="M164">
        <v>36.43</v>
      </c>
      <c r="N164">
        <v>20.28</v>
      </c>
      <c r="O164">
        <v>23.57</v>
      </c>
      <c r="P164">
        <v>21.08</v>
      </c>
      <c r="Q164">
        <v>16.53</v>
      </c>
      <c r="R164">
        <v>42.97</v>
      </c>
      <c r="S164">
        <v>33.58</v>
      </c>
      <c r="T164">
        <v>25.45</v>
      </c>
      <c r="U164">
        <v>14.76</v>
      </c>
      <c r="V164">
        <v>31.62</v>
      </c>
      <c r="W164">
        <v>32.340000000000003</v>
      </c>
    </row>
    <row r="165" spans="1:23" x14ac:dyDescent="0.25">
      <c r="A165" s="2">
        <v>43357</v>
      </c>
      <c r="B165">
        <v>35.9</v>
      </c>
      <c r="C165">
        <v>19.25</v>
      </c>
      <c r="D165">
        <v>15.07</v>
      </c>
      <c r="E165">
        <v>8.32</v>
      </c>
      <c r="F165">
        <v>35.520000000000003</v>
      </c>
      <c r="G165">
        <v>15.23</v>
      </c>
      <c r="H165">
        <v>9.1999999999999993</v>
      </c>
      <c r="I165">
        <v>37.130000000000003</v>
      </c>
      <c r="J165">
        <v>15.5</v>
      </c>
      <c r="K165">
        <v>50.31</v>
      </c>
      <c r="L165">
        <v>19.88</v>
      </c>
      <c r="M165">
        <v>36.53</v>
      </c>
      <c r="N165">
        <v>20.27</v>
      </c>
      <c r="O165">
        <v>23.52</v>
      </c>
      <c r="P165">
        <v>21.1</v>
      </c>
      <c r="Q165">
        <v>16.559999999999999</v>
      </c>
      <c r="R165">
        <v>42.88</v>
      </c>
      <c r="S165">
        <v>33.590000000000003</v>
      </c>
      <c r="T165">
        <v>25.42</v>
      </c>
      <c r="U165">
        <v>14.76</v>
      </c>
      <c r="V165">
        <v>31.57</v>
      </c>
      <c r="W165">
        <v>32.36</v>
      </c>
    </row>
    <row r="166" spans="1:23" x14ac:dyDescent="0.25">
      <c r="A166" s="2">
        <v>43356</v>
      </c>
      <c r="B166">
        <v>35.729999999999997</v>
      </c>
      <c r="C166">
        <v>19.28</v>
      </c>
      <c r="D166">
        <v>15.08</v>
      </c>
      <c r="E166">
        <v>8.16</v>
      </c>
      <c r="F166">
        <v>35.409999999999997</v>
      </c>
      <c r="G166">
        <v>15.24</v>
      </c>
      <c r="H166">
        <v>9.42</v>
      </c>
      <c r="I166">
        <v>37.21</v>
      </c>
      <c r="J166">
        <v>15.48</v>
      </c>
      <c r="K166">
        <v>50.18</v>
      </c>
      <c r="L166">
        <v>19.8</v>
      </c>
      <c r="M166">
        <v>36.43</v>
      </c>
      <c r="N166">
        <v>20.29</v>
      </c>
      <c r="O166">
        <v>23.57</v>
      </c>
      <c r="P166">
        <v>21.16</v>
      </c>
      <c r="Q166">
        <v>16.5</v>
      </c>
      <c r="R166">
        <v>42.82</v>
      </c>
      <c r="S166">
        <v>33.76</v>
      </c>
      <c r="T166">
        <v>25.43</v>
      </c>
      <c r="U166">
        <v>14.72</v>
      </c>
      <c r="V166">
        <v>31.59</v>
      </c>
      <c r="W166">
        <v>32.33</v>
      </c>
    </row>
    <row r="167" spans="1:23" x14ac:dyDescent="0.25">
      <c r="A167" s="2">
        <v>43355</v>
      </c>
      <c r="B167">
        <v>35.83</v>
      </c>
      <c r="C167">
        <v>19.21</v>
      </c>
      <c r="D167">
        <v>15.15</v>
      </c>
      <c r="E167">
        <v>8.1199999999999992</v>
      </c>
      <c r="F167">
        <v>35.31</v>
      </c>
      <c r="G167">
        <v>15.15</v>
      </c>
      <c r="H167">
        <v>9.09</v>
      </c>
      <c r="I167">
        <v>37.409999999999997</v>
      </c>
      <c r="J167">
        <v>15.53</v>
      </c>
      <c r="K167">
        <v>50.3</v>
      </c>
      <c r="L167">
        <v>19.690000000000001</v>
      </c>
      <c r="M167">
        <v>36.549999999999997</v>
      </c>
      <c r="N167">
        <v>20.14</v>
      </c>
      <c r="O167">
        <v>23.64</v>
      </c>
      <c r="P167">
        <v>21.18</v>
      </c>
      <c r="Q167">
        <v>16.52</v>
      </c>
      <c r="R167">
        <v>42.77</v>
      </c>
      <c r="S167">
        <v>33.729999999999997</v>
      </c>
      <c r="T167">
        <v>25.38</v>
      </c>
      <c r="U167">
        <v>14.67</v>
      </c>
      <c r="V167">
        <v>31.7</v>
      </c>
      <c r="W167">
        <v>32.409999999999997</v>
      </c>
    </row>
    <row r="168" spans="1:23" x14ac:dyDescent="0.25">
      <c r="A168" s="2">
        <v>43354</v>
      </c>
      <c r="B168">
        <v>35.93</v>
      </c>
      <c r="C168">
        <v>18.93</v>
      </c>
      <c r="D168">
        <v>15.19</v>
      </c>
      <c r="E168">
        <v>8</v>
      </c>
      <c r="F168">
        <v>35.32</v>
      </c>
      <c r="G168">
        <v>15.03</v>
      </c>
      <c r="H168">
        <v>9.2899999999999991</v>
      </c>
      <c r="I168">
        <v>37.49</v>
      </c>
      <c r="J168">
        <v>15.56</v>
      </c>
      <c r="K168">
        <v>50.39</v>
      </c>
      <c r="L168">
        <v>19.75</v>
      </c>
      <c r="M168">
        <v>36.61</v>
      </c>
      <c r="N168">
        <v>20.079999999999998</v>
      </c>
      <c r="O168">
        <v>23.68</v>
      </c>
      <c r="P168">
        <v>21.26</v>
      </c>
      <c r="Q168">
        <v>16.59</v>
      </c>
      <c r="R168">
        <v>42.75</v>
      </c>
      <c r="S168">
        <v>33.68</v>
      </c>
      <c r="T168">
        <v>25.35</v>
      </c>
      <c r="U168">
        <v>14.72</v>
      </c>
      <c r="V168">
        <v>31.68</v>
      </c>
      <c r="W168">
        <v>32.44</v>
      </c>
    </row>
    <row r="169" spans="1:23" x14ac:dyDescent="0.25">
      <c r="A169" s="2">
        <v>43353</v>
      </c>
      <c r="B169">
        <v>36.020000000000003</v>
      </c>
      <c r="C169">
        <v>18.97</v>
      </c>
      <c r="D169">
        <v>15.26</v>
      </c>
      <c r="E169">
        <v>8.07</v>
      </c>
      <c r="F169">
        <v>35.21</v>
      </c>
      <c r="G169">
        <v>15.05</v>
      </c>
      <c r="H169">
        <v>10.16</v>
      </c>
      <c r="I169">
        <v>37.92</v>
      </c>
      <c r="J169">
        <v>15.54</v>
      </c>
      <c r="K169">
        <v>50.44</v>
      </c>
      <c r="L169">
        <v>19.78</v>
      </c>
      <c r="M169">
        <v>36.75</v>
      </c>
      <c r="N169">
        <v>20.170000000000002</v>
      </c>
      <c r="O169">
        <v>23.67</v>
      </c>
      <c r="P169">
        <v>21.34</v>
      </c>
      <c r="Q169">
        <v>16.66</v>
      </c>
      <c r="R169">
        <v>42.67</v>
      </c>
      <c r="S169">
        <v>33.72</v>
      </c>
      <c r="T169">
        <v>25.32</v>
      </c>
      <c r="U169">
        <v>14.76</v>
      </c>
      <c r="V169">
        <v>31.71</v>
      </c>
      <c r="W169">
        <v>32.479999999999997</v>
      </c>
    </row>
    <row r="170" spans="1:23" x14ac:dyDescent="0.25">
      <c r="A170" s="2">
        <v>43350</v>
      </c>
      <c r="B170">
        <v>36.01</v>
      </c>
      <c r="C170">
        <v>19.079999999999998</v>
      </c>
      <c r="D170">
        <v>15.17</v>
      </c>
      <c r="E170">
        <v>7.98</v>
      </c>
      <c r="F170">
        <v>35.159999999999997</v>
      </c>
      <c r="G170">
        <v>15.15</v>
      </c>
      <c r="H170">
        <v>10.45</v>
      </c>
      <c r="I170">
        <v>38.200000000000003</v>
      </c>
      <c r="J170">
        <v>15.45</v>
      </c>
      <c r="K170">
        <v>50.39</v>
      </c>
      <c r="L170">
        <v>19.37</v>
      </c>
      <c r="M170">
        <v>36.94</v>
      </c>
      <c r="N170">
        <v>20.239999999999998</v>
      </c>
      <c r="O170">
        <v>23.73</v>
      </c>
      <c r="P170">
        <v>21.19</v>
      </c>
      <c r="Q170">
        <v>16.77</v>
      </c>
      <c r="R170">
        <v>42.62</v>
      </c>
      <c r="S170">
        <v>33.68</v>
      </c>
      <c r="T170">
        <v>25.3</v>
      </c>
      <c r="U170">
        <v>14.75</v>
      </c>
      <c r="V170">
        <v>31.75</v>
      </c>
      <c r="W170">
        <v>32.44</v>
      </c>
    </row>
    <row r="171" spans="1:23" x14ac:dyDescent="0.25">
      <c r="A171" s="2">
        <v>43349</v>
      </c>
      <c r="B171">
        <v>36.229999999999997</v>
      </c>
      <c r="C171">
        <v>19.260000000000002</v>
      </c>
      <c r="D171">
        <v>15.26</v>
      </c>
      <c r="E171">
        <v>7.94</v>
      </c>
      <c r="F171">
        <v>35.25</v>
      </c>
      <c r="G171">
        <v>15.11</v>
      </c>
      <c r="H171">
        <v>9.67</v>
      </c>
      <c r="I171">
        <v>38.409999999999997</v>
      </c>
      <c r="J171">
        <v>15.35</v>
      </c>
      <c r="K171">
        <v>50.61</v>
      </c>
      <c r="L171">
        <v>19.329999999999998</v>
      </c>
      <c r="M171">
        <v>37</v>
      </c>
      <c r="N171">
        <v>20.28</v>
      </c>
      <c r="O171">
        <v>23.74</v>
      </c>
      <c r="P171">
        <v>21.1</v>
      </c>
      <c r="Q171">
        <v>16.600000000000001</v>
      </c>
      <c r="R171">
        <v>42.64</v>
      </c>
      <c r="S171">
        <v>33.729999999999997</v>
      </c>
      <c r="T171">
        <v>25.29</v>
      </c>
      <c r="U171">
        <v>14.76</v>
      </c>
      <c r="V171">
        <v>31.73</v>
      </c>
      <c r="W171">
        <v>32.479999999999997</v>
      </c>
    </row>
    <row r="172" spans="1:23" x14ac:dyDescent="0.25">
      <c r="A172" s="2">
        <v>43348</v>
      </c>
      <c r="B172">
        <v>36.31</v>
      </c>
      <c r="C172">
        <v>19.28</v>
      </c>
      <c r="D172">
        <v>15.36</v>
      </c>
      <c r="E172">
        <v>8.08</v>
      </c>
      <c r="F172">
        <v>35.22</v>
      </c>
      <c r="G172">
        <v>15.04</v>
      </c>
      <c r="H172">
        <v>9.67</v>
      </c>
      <c r="I172">
        <v>38.56</v>
      </c>
      <c r="J172">
        <v>15.38</v>
      </c>
      <c r="K172">
        <v>50.6</v>
      </c>
      <c r="L172">
        <v>19.329999999999998</v>
      </c>
      <c r="M172">
        <v>36.869999999999997</v>
      </c>
      <c r="N172">
        <v>20.350000000000001</v>
      </c>
      <c r="O172">
        <v>23.74</v>
      </c>
      <c r="P172">
        <v>21.12</v>
      </c>
      <c r="Q172">
        <v>16.34</v>
      </c>
      <c r="R172">
        <v>42.6</v>
      </c>
      <c r="S172">
        <v>33.869999999999997</v>
      </c>
      <c r="T172">
        <v>25.25</v>
      </c>
      <c r="U172">
        <v>14.78</v>
      </c>
      <c r="V172">
        <v>31.8</v>
      </c>
      <c r="W172">
        <v>32.49</v>
      </c>
    </row>
    <row r="173" spans="1:23" x14ac:dyDescent="0.25">
      <c r="A173" s="2">
        <v>43347</v>
      </c>
      <c r="B173">
        <v>36.44</v>
      </c>
      <c r="C173">
        <v>19.27</v>
      </c>
      <c r="D173">
        <v>15.47</v>
      </c>
      <c r="E173">
        <v>8.1</v>
      </c>
      <c r="F173">
        <v>35.25</v>
      </c>
      <c r="G173">
        <v>15.08</v>
      </c>
      <c r="H173">
        <v>8.57</v>
      </c>
      <c r="I173">
        <v>38.79</v>
      </c>
      <c r="J173">
        <v>15.4</v>
      </c>
      <c r="K173">
        <v>50.69</v>
      </c>
      <c r="L173">
        <v>19.21</v>
      </c>
      <c r="M173">
        <v>36.85</v>
      </c>
      <c r="N173">
        <v>20.399999999999999</v>
      </c>
      <c r="O173">
        <v>23.73</v>
      </c>
      <c r="P173">
        <v>21.18</v>
      </c>
      <c r="Q173">
        <v>16.36</v>
      </c>
      <c r="R173">
        <v>42.58</v>
      </c>
      <c r="S173">
        <v>33.97</v>
      </c>
      <c r="T173">
        <v>25.31</v>
      </c>
      <c r="U173">
        <v>14.79</v>
      </c>
      <c r="V173">
        <v>31.76</v>
      </c>
      <c r="W173">
        <v>32.700000000000003</v>
      </c>
    </row>
    <row r="174" spans="1:23" x14ac:dyDescent="0.25">
      <c r="A174" s="2">
        <v>43346</v>
      </c>
      <c r="B174">
        <v>36.44</v>
      </c>
      <c r="C174">
        <v>19.37</v>
      </c>
      <c r="D174">
        <v>15.52</v>
      </c>
      <c r="E174">
        <v>8.06</v>
      </c>
      <c r="F174">
        <v>35.29</v>
      </c>
      <c r="G174">
        <v>14.91</v>
      </c>
      <c r="H174">
        <v>8.41</v>
      </c>
      <c r="I174">
        <v>38.869999999999997</v>
      </c>
      <c r="J174">
        <v>15.32</v>
      </c>
      <c r="K174">
        <v>50.74</v>
      </c>
      <c r="L174">
        <v>19.100000000000001</v>
      </c>
      <c r="M174">
        <v>36.770000000000003</v>
      </c>
      <c r="N174">
        <v>20.45</v>
      </c>
      <c r="O174">
        <v>23.84</v>
      </c>
      <c r="P174">
        <v>21.14</v>
      </c>
      <c r="Q174">
        <v>16.329999999999998</v>
      </c>
      <c r="R174">
        <v>42.58</v>
      </c>
      <c r="S174">
        <v>33.950000000000003</v>
      </c>
      <c r="T174">
        <v>25.3</v>
      </c>
      <c r="U174">
        <v>14.77</v>
      </c>
      <c r="V174">
        <v>31.77</v>
      </c>
      <c r="W174">
        <v>32.64</v>
      </c>
    </row>
    <row r="175" spans="1:23" x14ac:dyDescent="0.25">
      <c r="A175" s="2">
        <v>43343</v>
      </c>
      <c r="B175">
        <v>36.56</v>
      </c>
      <c r="C175">
        <v>19.37</v>
      </c>
      <c r="D175">
        <v>15.69</v>
      </c>
      <c r="E175">
        <v>8.07</v>
      </c>
      <c r="F175">
        <v>35.229999999999997</v>
      </c>
      <c r="G175">
        <v>14.98</v>
      </c>
      <c r="H175">
        <v>8.5</v>
      </c>
      <c r="I175">
        <v>39.090000000000003</v>
      </c>
      <c r="J175">
        <v>15.34</v>
      </c>
      <c r="K175">
        <v>50.86</v>
      </c>
      <c r="L175">
        <v>18.760000000000002</v>
      </c>
      <c r="M175">
        <v>36.85</v>
      </c>
      <c r="N175">
        <v>20.51</v>
      </c>
      <c r="O175">
        <v>23.88</v>
      </c>
      <c r="P175">
        <v>21.11</v>
      </c>
      <c r="Q175">
        <v>16.309999999999999</v>
      </c>
      <c r="R175">
        <v>42.65</v>
      </c>
      <c r="S175">
        <v>33.9</v>
      </c>
      <c r="T175">
        <v>25.32</v>
      </c>
      <c r="U175">
        <v>14.78</v>
      </c>
      <c r="V175">
        <v>31.82</v>
      </c>
      <c r="W175">
        <v>32.53</v>
      </c>
    </row>
    <row r="176" spans="1:23" x14ac:dyDescent="0.25">
      <c r="A176" s="2">
        <v>43342</v>
      </c>
      <c r="B176">
        <v>36.5</v>
      </c>
      <c r="C176">
        <v>19.36</v>
      </c>
      <c r="D176">
        <v>15.56</v>
      </c>
      <c r="E176">
        <v>8</v>
      </c>
      <c r="F176">
        <v>35.229999999999997</v>
      </c>
      <c r="G176">
        <v>14.99</v>
      </c>
      <c r="H176">
        <v>8.5</v>
      </c>
      <c r="I176">
        <v>39.25</v>
      </c>
      <c r="J176">
        <v>15.28</v>
      </c>
      <c r="K176">
        <v>50.75</v>
      </c>
      <c r="L176">
        <v>18.72</v>
      </c>
      <c r="M176">
        <v>36.78</v>
      </c>
      <c r="N176">
        <v>20.5</v>
      </c>
      <c r="O176">
        <v>23.88</v>
      </c>
      <c r="P176">
        <v>21.17</v>
      </c>
      <c r="Q176">
        <v>16.22</v>
      </c>
      <c r="R176">
        <v>42.37</v>
      </c>
      <c r="S176">
        <v>33.869999999999997</v>
      </c>
      <c r="T176">
        <v>25.3</v>
      </c>
      <c r="U176">
        <v>14.76</v>
      </c>
      <c r="V176">
        <v>31.74</v>
      </c>
      <c r="W176">
        <v>32.590000000000003</v>
      </c>
    </row>
    <row r="177" spans="1:23" x14ac:dyDescent="0.25">
      <c r="A177" s="2">
        <v>43341</v>
      </c>
      <c r="B177">
        <v>36.43</v>
      </c>
      <c r="C177">
        <v>19.350000000000001</v>
      </c>
      <c r="D177">
        <v>15.81</v>
      </c>
      <c r="E177">
        <v>7.96</v>
      </c>
      <c r="F177">
        <v>35.24</v>
      </c>
      <c r="G177">
        <v>15.02</v>
      </c>
      <c r="H177">
        <v>8.56</v>
      </c>
      <c r="I177">
        <v>39.35</v>
      </c>
      <c r="J177">
        <v>15.26</v>
      </c>
      <c r="K177">
        <v>50.64</v>
      </c>
      <c r="L177">
        <v>18.61</v>
      </c>
      <c r="M177">
        <v>36.79</v>
      </c>
      <c r="N177">
        <v>20.57</v>
      </c>
      <c r="O177">
        <v>23.91</v>
      </c>
      <c r="P177">
        <v>21.19</v>
      </c>
      <c r="Q177">
        <v>16.34</v>
      </c>
      <c r="R177">
        <v>42.3</v>
      </c>
      <c r="S177">
        <v>34</v>
      </c>
      <c r="T177">
        <v>25.32</v>
      </c>
      <c r="U177">
        <v>14.8</v>
      </c>
      <c r="V177">
        <v>31.85</v>
      </c>
      <c r="W177">
        <v>32.619999999999997</v>
      </c>
    </row>
    <row r="178" spans="1:23" x14ac:dyDescent="0.25">
      <c r="A178" s="2">
        <v>43340</v>
      </c>
      <c r="B178">
        <v>36.44</v>
      </c>
      <c r="C178">
        <v>19.47</v>
      </c>
      <c r="D178">
        <v>15.72</v>
      </c>
      <c r="E178">
        <v>7.91</v>
      </c>
      <c r="F178">
        <v>35.26</v>
      </c>
      <c r="G178">
        <v>15.06</v>
      </c>
      <c r="H178">
        <v>8.51</v>
      </c>
      <c r="I178">
        <v>39.4</v>
      </c>
      <c r="J178">
        <v>15.17</v>
      </c>
      <c r="K178">
        <v>50.68</v>
      </c>
      <c r="L178">
        <v>18.66</v>
      </c>
      <c r="M178">
        <v>36.880000000000003</v>
      </c>
      <c r="N178">
        <v>20.59</v>
      </c>
      <c r="O178">
        <v>23.96</v>
      </c>
      <c r="P178">
        <v>21.22</v>
      </c>
      <c r="Q178">
        <v>16.399999999999999</v>
      </c>
      <c r="R178">
        <v>42.27</v>
      </c>
      <c r="S178">
        <v>34.020000000000003</v>
      </c>
      <c r="T178">
        <v>25.31</v>
      </c>
      <c r="U178">
        <v>14.77</v>
      </c>
      <c r="V178">
        <v>31.9</v>
      </c>
      <c r="W178">
        <v>32.79</v>
      </c>
    </row>
    <row r="179" spans="1:23" x14ac:dyDescent="0.25">
      <c r="A179" s="2">
        <v>43339</v>
      </c>
      <c r="B179">
        <v>36.42</v>
      </c>
      <c r="C179">
        <v>19.5</v>
      </c>
      <c r="D179">
        <v>15.78</v>
      </c>
      <c r="E179">
        <v>7.9</v>
      </c>
      <c r="F179">
        <v>35.39</v>
      </c>
      <c r="G179">
        <v>15.14</v>
      </c>
      <c r="H179">
        <v>8.57</v>
      </c>
      <c r="I179">
        <v>39.33</v>
      </c>
      <c r="J179">
        <v>15.08</v>
      </c>
      <c r="K179">
        <v>50.61</v>
      </c>
      <c r="L179">
        <v>18.55</v>
      </c>
      <c r="M179">
        <v>36.979999999999997</v>
      </c>
      <c r="N179">
        <v>20.420000000000002</v>
      </c>
      <c r="O179">
        <v>23.93</v>
      </c>
      <c r="P179">
        <v>21.12</v>
      </c>
      <c r="Q179">
        <v>16.38</v>
      </c>
      <c r="R179">
        <v>42.2</v>
      </c>
      <c r="S179">
        <v>33.99</v>
      </c>
      <c r="T179">
        <v>25.29</v>
      </c>
      <c r="U179">
        <v>14.8</v>
      </c>
      <c r="V179">
        <v>31.88</v>
      </c>
      <c r="W179">
        <v>32.83</v>
      </c>
    </row>
    <row r="180" spans="1:23" x14ac:dyDescent="0.25">
      <c r="A180" s="2">
        <v>43336</v>
      </c>
      <c r="B180">
        <v>36.33</v>
      </c>
      <c r="C180">
        <v>19.36</v>
      </c>
      <c r="D180">
        <v>15.45</v>
      </c>
      <c r="E180">
        <v>8</v>
      </c>
      <c r="F180">
        <v>35.369999999999997</v>
      </c>
      <c r="G180">
        <v>15.18</v>
      </c>
      <c r="H180">
        <v>8.25</v>
      </c>
      <c r="I180">
        <v>39.159999999999997</v>
      </c>
      <c r="J180">
        <v>15.14</v>
      </c>
      <c r="K180">
        <v>50.62</v>
      </c>
      <c r="L180">
        <v>18.48</v>
      </c>
      <c r="M180">
        <v>36.909999999999997</v>
      </c>
      <c r="N180">
        <v>20.38</v>
      </c>
      <c r="O180">
        <v>23.88</v>
      </c>
      <c r="P180">
        <v>21.07</v>
      </c>
      <c r="Q180">
        <v>16.37</v>
      </c>
      <c r="R180">
        <v>42.16</v>
      </c>
      <c r="S180">
        <v>33.909999999999997</v>
      </c>
      <c r="T180">
        <v>25.28</v>
      </c>
      <c r="U180">
        <v>14.8</v>
      </c>
      <c r="V180">
        <v>32.06</v>
      </c>
      <c r="W180">
        <v>32.76</v>
      </c>
    </row>
    <row r="181" spans="1:23" x14ac:dyDescent="0.25">
      <c r="A181" s="2">
        <v>43335</v>
      </c>
      <c r="B181">
        <v>36.35</v>
      </c>
      <c r="C181">
        <v>19.41</v>
      </c>
      <c r="D181">
        <v>15.23</v>
      </c>
      <c r="E181">
        <v>7.82</v>
      </c>
      <c r="F181">
        <v>35.229999999999997</v>
      </c>
      <c r="G181">
        <v>15.15</v>
      </c>
      <c r="H181">
        <v>8.32</v>
      </c>
      <c r="I181">
        <v>39.130000000000003</v>
      </c>
      <c r="J181">
        <v>15.14</v>
      </c>
      <c r="K181">
        <v>50.66</v>
      </c>
      <c r="L181">
        <v>18.440000000000001</v>
      </c>
      <c r="M181">
        <v>36.89</v>
      </c>
      <c r="N181">
        <v>20.309999999999999</v>
      </c>
      <c r="O181">
        <v>23.9</v>
      </c>
      <c r="P181">
        <v>21.03</v>
      </c>
      <c r="Q181">
        <v>16.34</v>
      </c>
      <c r="R181">
        <v>42.13</v>
      </c>
      <c r="S181">
        <v>33.840000000000003</v>
      </c>
      <c r="T181">
        <v>25.26</v>
      </c>
      <c r="U181">
        <v>14.81</v>
      </c>
      <c r="V181">
        <v>32.1</v>
      </c>
      <c r="W181">
        <v>32.9</v>
      </c>
    </row>
    <row r="182" spans="1:23" x14ac:dyDescent="0.25">
      <c r="A182" s="2">
        <v>43334</v>
      </c>
      <c r="B182">
        <v>36.340000000000003</v>
      </c>
      <c r="C182">
        <v>19.39</v>
      </c>
      <c r="D182">
        <v>15.35</v>
      </c>
      <c r="E182">
        <v>7.76</v>
      </c>
      <c r="F182">
        <v>35.14</v>
      </c>
      <c r="G182">
        <v>15.1</v>
      </c>
      <c r="H182">
        <v>8.44</v>
      </c>
      <c r="I182">
        <v>39.299999999999997</v>
      </c>
      <c r="J182">
        <v>15.05</v>
      </c>
      <c r="K182">
        <v>50.67</v>
      </c>
      <c r="L182">
        <v>18.29</v>
      </c>
      <c r="M182">
        <v>36.83</v>
      </c>
      <c r="N182">
        <v>20.25</v>
      </c>
      <c r="O182">
        <v>23.91</v>
      </c>
      <c r="P182">
        <v>20.93</v>
      </c>
      <c r="Q182">
        <v>16.329999999999998</v>
      </c>
      <c r="R182">
        <v>42.08</v>
      </c>
      <c r="S182">
        <v>33.92</v>
      </c>
      <c r="T182">
        <v>25.25</v>
      </c>
      <c r="U182">
        <v>14.81</v>
      </c>
      <c r="V182">
        <v>31.98</v>
      </c>
      <c r="W182">
        <v>32.619999999999997</v>
      </c>
    </row>
    <row r="183" spans="1:23" x14ac:dyDescent="0.25">
      <c r="A183" s="2">
        <v>43333</v>
      </c>
      <c r="B183">
        <v>36.200000000000003</v>
      </c>
      <c r="C183">
        <v>19.41</v>
      </c>
      <c r="D183">
        <v>15.46</v>
      </c>
      <c r="E183">
        <v>7.63</v>
      </c>
      <c r="F183">
        <v>35.090000000000003</v>
      </c>
      <c r="G183">
        <v>15.09</v>
      </c>
      <c r="H183">
        <v>8.35</v>
      </c>
      <c r="I183">
        <v>39.369999999999997</v>
      </c>
      <c r="J183">
        <v>15.09</v>
      </c>
      <c r="K183">
        <v>50.51</v>
      </c>
      <c r="L183">
        <v>18.190000000000001</v>
      </c>
      <c r="M183">
        <v>36.92</v>
      </c>
      <c r="N183">
        <v>20.260000000000002</v>
      </c>
      <c r="O183">
        <v>23.88</v>
      </c>
      <c r="P183">
        <v>20.91</v>
      </c>
      <c r="Q183">
        <v>16.39</v>
      </c>
      <c r="R183">
        <v>42.06</v>
      </c>
      <c r="S183">
        <v>33.979999999999997</v>
      </c>
      <c r="T183">
        <v>25.27</v>
      </c>
      <c r="U183">
        <v>14.8</v>
      </c>
      <c r="V183">
        <v>31.98</v>
      </c>
      <c r="W183">
        <v>32.700000000000003</v>
      </c>
    </row>
    <row r="184" spans="1:23" x14ac:dyDescent="0.25">
      <c r="A184" s="2">
        <v>43332</v>
      </c>
      <c r="B184">
        <v>36.15</v>
      </c>
      <c r="C184">
        <v>19.260000000000002</v>
      </c>
      <c r="D184">
        <v>15.44</v>
      </c>
      <c r="E184">
        <v>7.61</v>
      </c>
      <c r="F184">
        <v>35.19</v>
      </c>
      <c r="G184">
        <v>15.02</v>
      </c>
      <c r="H184">
        <v>8.3699999999999992</v>
      </c>
      <c r="I184">
        <v>39.24</v>
      </c>
      <c r="J184">
        <v>15.18</v>
      </c>
      <c r="K184">
        <v>50.51</v>
      </c>
      <c r="L184">
        <v>18.239999999999998</v>
      </c>
      <c r="M184">
        <v>36.979999999999997</v>
      </c>
      <c r="N184">
        <v>20.22</v>
      </c>
      <c r="O184">
        <v>23.95</v>
      </c>
      <c r="P184">
        <v>20.88</v>
      </c>
      <c r="Q184">
        <v>16.440000000000001</v>
      </c>
      <c r="R184">
        <v>42.03</v>
      </c>
      <c r="S184">
        <v>34.11</v>
      </c>
      <c r="T184">
        <v>25.25</v>
      </c>
      <c r="U184">
        <v>14.75</v>
      </c>
      <c r="V184">
        <v>32.21</v>
      </c>
      <c r="W184">
        <v>32.76</v>
      </c>
    </row>
    <row r="185" spans="1:23" x14ac:dyDescent="0.25">
      <c r="A185" s="2">
        <v>43329</v>
      </c>
      <c r="B185">
        <v>36.18</v>
      </c>
      <c r="C185">
        <v>19.28</v>
      </c>
      <c r="D185">
        <v>15.48</v>
      </c>
      <c r="E185">
        <v>7.44</v>
      </c>
      <c r="F185">
        <v>35.25</v>
      </c>
      <c r="G185">
        <v>15.09</v>
      </c>
      <c r="H185">
        <v>8.34</v>
      </c>
      <c r="I185">
        <v>39.11</v>
      </c>
      <c r="J185">
        <v>15.19</v>
      </c>
      <c r="K185">
        <v>50.52</v>
      </c>
      <c r="L185">
        <v>18</v>
      </c>
      <c r="M185">
        <v>37.21</v>
      </c>
      <c r="N185">
        <v>20.2</v>
      </c>
      <c r="O185">
        <v>23.9</v>
      </c>
      <c r="P185">
        <v>20.81</v>
      </c>
      <c r="Q185">
        <v>16.47</v>
      </c>
      <c r="R185">
        <v>42.02</v>
      </c>
      <c r="S185">
        <v>34.11</v>
      </c>
      <c r="T185">
        <v>25.21</v>
      </c>
      <c r="U185">
        <v>14.73</v>
      </c>
      <c r="V185">
        <v>32.18</v>
      </c>
      <c r="W185">
        <v>32.72</v>
      </c>
    </row>
    <row r="186" spans="1:23" x14ac:dyDescent="0.25">
      <c r="A186" s="2">
        <v>43328</v>
      </c>
      <c r="B186">
        <v>36.229999999999997</v>
      </c>
      <c r="C186">
        <v>19.3</v>
      </c>
      <c r="D186">
        <v>15.4</v>
      </c>
      <c r="E186">
        <v>7.4</v>
      </c>
      <c r="F186">
        <v>35.200000000000003</v>
      </c>
      <c r="G186">
        <v>15.1</v>
      </c>
      <c r="H186">
        <v>8.43</v>
      </c>
      <c r="I186">
        <v>39.17</v>
      </c>
      <c r="J186">
        <v>15.2</v>
      </c>
      <c r="K186">
        <v>50.5</v>
      </c>
      <c r="L186">
        <v>17.93</v>
      </c>
      <c r="M186">
        <v>37.29</v>
      </c>
      <c r="N186">
        <v>20.13</v>
      </c>
      <c r="O186">
        <v>23.91</v>
      </c>
      <c r="P186">
        <v>20.77</v>
      </c>
      <c r="Q186">
        <v>16.59</v>
      </c>
      <c r="R186">
        <v>41.99</v>
      </c>
      <c r="S186">
        <v>34.049999999999997</v>
      </c>
      <c r="T186">
        <v>25.2</v>
      </c>
      <c r="U186">
        <v>14.69</v>
      </c>
      <c r="V186">
        <v>32.17</v>
      </c>
      <c r="W186">
        <v>32.700000000000003</v>
      </c>
    </row>
    <row r="187" spans="1:23" x14ac:dyDescent="0.25">
      <c r="A187" s="2">
        <v>43326</v>
      </c>
      <c r="B187">
        <v>36.33</v>
      </c>
      <c r="C187">
        <v>19.739999999999998</v>
      </c>
      <c r="D187">
        <v>15.37</v>
      </c>
      <c r="E187">
        <v>7.28</v>
      </c>
      <c r="F187">
        <v>35.159999999999997</v>
      </c>
      <c r="G187">
        <v>15.09</v>
      </c>
      <c r="H187">
        <v>8.48</v>
      </c>
      <c r="I187">
        <v>39.450000000000003</v>
      </c>
      <c r="J187">
        <v>15.22</v>
      </c>
      <c r="K187">
        <v>50.7</v>
      </c>
      <c r="L187">
        <v>17.73</v>
      </c>
      <c r="M187">
        <v>37.14</v>
      </c>
      <c r="N187">
        <v>20.149999999999999</v>
      </c>
      <c r="O187">
        <v>23.86</v>
      </c>
      <c r="P187">
        <v>20.79</v>
      </c>
      <c r="Q187">
        <v>16.670000000000002</v>
      </c>
      <c r="R187">
        <v>41.85</v>
      </c>
      <c r="S187">
        <v>34.03</v>
      </c>
      <c r="T187">
        <v>25.2</v>
      </c>
      <c r="U187">
        <v>14.65</v>
      </c>
      <c r="V187">
        <v>32.020000000000003</v>
      </c>
      <c r="W187">
        <v>32.82</v>
      </c>
    </row>
    <row r="188" spans="1:23" x14ac:dyDescent="0.25">
      <c r="A188" s="2">
        <v>43325</v>
      </c>
      <c r="B188">
        <v>36.369999999999997</v>
      </c>
      <c r="C188">
        <v>19.829999999999998</v>
      </c>
      <c r="D188">
        <v>15.4</v>
      </c>
      <c r="E188">
        <v>7.21</v>
      </c>
      <c r="F188">
        <v>35.11</v>
      </c>
      <c r="G188">
        <v>15.12</v>
      </c>
      <c r="H188">
        <v>8.76</v>
      </c>
      <c r="I188">
        <v>39.46</v>
      </c>
      <c r="J188">
        <v>15.22</v>
      </c>
      <c r="K188">
        <v>50.69</v>
      </c>
      <c r="L188">
        <v>17.829999999999998</v>
      </c>
      <c r="M188">
        <v>37.270000000000003</v>
      </c>
      <c r="N188">
        <v>20.2</v>
      </c>
      <c r="O188">
        <v>23.96</v>
      </c>
      <c r="P188">
        <v>20.73</v>
      </c>
      <c r="Q188">
        <v>16.75</v>
      </c>
      <c r="R188">
        <v>41.87</v>
      </c>
      <c r="S188">
        <v>34.04</v>
      </c>
      <c r="T188">
        <v>25.13</v>
      </c>
      <c r="U188">
        <v>14.62</v>
      </c>
      <c r="V188">
        <v>32.08</v>
      </c>
      <c r="W188">
        <v>32.79</v>
      </c>
    </row>
    <row r="189" spans="1:23" x14ac:dyDescent="0.25">
      <c r="A189" s="2">
        <v>43322</v>
      </c>
      <c r="B189">
        <v>36.24</v>
      </c>
      <c r="C189">
        <v>19.79</v>
      </c>
      <c r="D189">
        <v>15.27</v>
      </c>
      <c r="E189">
        <v>7.14</v>
      </c>
      <c r="F189">
        <v>34.96</v>
      </c>
      <c r="G189">
        <v>15.11</v>
      </c>
      <c r="H189">
        <v>8.5500000000000007</v>
      </c>
      <c r="I189">
        <v>39.57</v>
      </c>
      <c r="J189">
        <v>15.15</v>
      </c>
      <c r="K189">
        <v>50.67</v>
      </c>
      <c r="L189">
        <v>17.670000000000002</v>
      </c>
      <c r="M189">
        <v>37.24</v>
      </c>
      <c r="N189">
        <v>20.21</v>
      </c>
      <c r="O189">
        <v>24.02</v>
      </c>
      <c r="P189">
        <v>20.66</v>
      </c>
      <c r="Q189">
        <v>16.63</v>
      </c>
      <c r="R189">
        <v>41.85</v>
      </c>
      <c r="S189">
        <v>33.950000000000003</v>
      </c>
      <c r="T189">
        <v>25.12</v>
      </c>
      <c r="U189">
        <v>14.64</v>
      </c>
      <c r="V189">
        <v>31.96</v>
      </c>
      <c r="W189">
        <v>32.83</v>
      </c>
    </row>
    <row r="190" spans="1:23" x14ac:dyDescent="0.25">
      <c r="A190" s="2">
        <v>43321</v>
      </c>
      <c r="B190">
        <v>36.450000000000003</v>
      </c>
      <c r="C190">
        <v>19.7</v>
      </c>
      <c r="D190">
        <v>15.34</v>
      </c>
      <c r="E190">
        <v>6.97</v>
      </c>
      <c r="F190">
        <v>35.03</v>
      </c>
      <c r="G190">
        <v>15.17</v>
      </c>
      <c r="H190">
        <v>8.89</v>
      </c>
      <c r="I190">
        <v>39.64</v>
      </c>
      <c r="J190">
        <v>15.02</v>
      </c>
      <c r="K190">
        <v>50.73</v>
      </c>
      <c r="L190">
        <v>17.66</v>
      </c>
      <c r="M190">
        <v>37.31</v>
      </c>
      <c r="N190">
        <v>20.260000000000002</v>
      </c>
      <c r="O190">
        <v>24.02</v>
      </c>
      <c r="P190">
        <v>20.61</v>
      </c>
      <c r="Q190">
        <v>16.579999999999998</v>
      </c>
      <c r="R190">
        <v>41.85</v>
      </c>
      <c r="S190">
        <v>33.93</v>
      </c>
      <c r="T190">
        <v>25.14</v>
      </c>
      <c r="U190">
        <v>14.68</v>
      </c>
      <c r="V190">
        <v>31.91</v>
      </c>
      <c r="W190">
        <v>32.9</v>
      </c>
    </row>
    <row r="191" spans="1:23" x14ac:dyDescent="0.25">
      <c r="A191" s="2">
        <v>43320</v>
      </c>
      <c r="B191">
        <v>36.479999999999997</v>
      </c>
      <c r="C191">
        <v>19.79</v>
      </c>
      <c r="D191">
        <v>15.28</v>
      </c>
      <c r="E191">
        <v>7.04</v>
      </c>
      <c r="F191">
        <v>35.01</v>
      </c>
      <c r="G191">
        <v>15.23</v>
      </c>
      <c r="H191">
        <v>8.93</v>
      </c>
      <c r="I191">
        <v>39.79</v>
      </c>
      <c r="J191">
        <v>14.98</v>
      </c>
      <c r="K191">
        <v>50.83</v>
      </c>
      <c r="L191">
        <v>17.850000000000001</v>
      </c>
      <c r="M191">
        <v>37.299999999999997</v>
      </c>
      <c r="N191">
        <v>20.16</v>
      </c>
      <c r="O191">
        <v>23.88</v>
      </c>
      <c r="P191">
        <v>20.54</v>
      </c>
      <c r="Q191">
        <v>16.600000000000001</v>
      </c>
      <c r="R191">
        <v>41.81</v>
      </c>
      <c r="S191">
        <v>34.020000000000003</v>
      </c>
      <c r="T191">
        <v>25.16</v>
      </c>
      <c r="U191">
        <v>14.7</v>
      </c>
      <c r="V191">
        <v>31.93</v>
      </c>
      <c r="W191">
        <v>32.64</v>
      </c>
    </row>
    <row r="192" spans="1:23" x14ac:dyDescent="0.25">
      <c r="A192" s="2">
        <v>43319</v>
      </c>
      <c r="B192">
        <v>36.46</v>
      </c>
      <c r="C192">
        <v>19.760000000000002</v>
      </c>
      <c r="D192">
        <v>15.35</v>
      </c>
      <c r="E192">
        <v>7.01</v>
      </c>
      <c r="F192">
        <v>35.049999999999997</v>
      </c>
      <c r="G192">
        <v>15.29</v>
      </c>
      <c r="H192">
        <v>8.93</v>
      </c>
      <c r="I192">
        <v>39.700000000000003</v>
      </c>
      <c r="J192">
        <v>14.93</v>
      </c>
      <c r="K192">
        <v>50.76</v>
      </c>
      <c r="L192">
        <v>17.71</v>
      </c>
      <c r="M192">
        <v>37.17</v>
      </c>
      <c r="N192">
        <v>20.14</v>
      </c>
      <c r="O192">
        <v>23.98</v>
      </c>
      <c r="P192">
        <v>20.399999999999999</v>
      </c>
      <c r="Q192">
        <v>16.8</v>
      </c>
      <c r="R192">
        <v>41.75</v>
      </c>
      <c r="S192">
        <v>33.869999999999997</v>
      </c>
      <c r="T192">
        <v>25.01</v>
      </c>
      <c r="U192">
        <v>14.71</v>
      </c>
      <c r="V192">
        <v>31.95</v>
      </c>
      <c r="W192">
        <v>32.79</v>
      </c>
    </row>
    <row r="193" spans="1:23" x14ac:dyDescent="0.25">
      <c r="A193" s="2">
        <v>43318</v>
      </c>
      <c r="B193">
        <v>36.44</v>
      </c>
      <c r="C193">
        <v>19.73</v>
      </c>
      <c r="D193">
        <v>15.49</v>
      </c>
      <c r="E193">
        <v>6.97</v>
      </c>
      <c r="F193">
        <v>35.01</v>
      </c>
      <c r="G193">
        <v>15.4</v>
      </c>
      <c r="H193">
        <v>8.94</v>
      </c>
      <c r="I193">
        <v>39.75</v>
      </c>
      <c r="J193">
        <v>14.94</v>
      </c>
      <c r="K193">
        <v>50.73</v>
      </c>
      <c r="L193">
        <v>17.739999999999998</v>
      </c>
      <c r="M193">
        <v>37.159999999999997</v>
      </c>
      <c r="N193">
        <v>20.309999999999999</v>
      </c>
      <c r="O193">
        <v>24.1</v>
      </c>
      <c r="P193">
        <v>20.350000000000001</v>
      </c>
      <c r="Q193">
        <v>16.72</v>
      </c>
      <c r="R193">
        <v>41.78</v>
      </c>
      <c r="S193">
        <v>33.9</v>
      </c>
      <c r="T193">
        <v>25.05</v>
      </c>
      <c r="U193">
        <v>14.73</v>
      </c>
      <c r="V193">
        <v>31.9</v>
      </c>
      <c r="W193">
        <v>32.85</v>
      </c>
    </row>
    <row r="194" spans="1:23" x14ac:dyDescent="0.25">
      <c r="A194" s="2">
        <v>43315</v>
      </c>
      <c r="B194">
        <v>36.409999999999997</v>
      </c>
      <c r="C194">
        <v>19.940000000000001</v>
      </c>
      <c r="D194">
        <v>15.43</v>
      </c>
      <c r="E194">
        <v>6.99</v>
      </c>
      <c r="F194">
        <v>35.04</v>
      </c>
      <c r="G194">
        <v>15.48</v>
      </c>
      <c r="H194">
        <v>8.8800000000000008</v>
      </c>
      <c r="I194">
        <v>39.630000000000003</v>
      </c>
      <c r="J194">
        <v>14.93</v>
      </c>
      <c r="K194">
        <v>50.67</v>
      </c>
      <c r="L194">
        <v>17.8</v>
      </c>
      <c r="M194">
        <v>36.78</v>
      </c>
      <c r="N194">
        <v>20.23</v>
      </c>
      <c r="O194">
        <v>24.1</v>
      </c>
      <c r="P194">
        <v>20.32</v>
      </c>
      <c r="Q194">
        <v>16.72</v>
      </c>
      <c r="R194">
        <v>41.7</v>
      </c>
      <c r="S194">
        <v>33.94</v>
      </c>
      <c r="T194">
        <v>25.05</v>
      </c>
      <c r="U194">
        <v>14.74</v>
      </c>
      <c r="V194">
        <v>31.87</v>
      </c>
      <c r="W194">
        <v>32.78</v>
      </c>
    </row>
    <row r="195" spans="1:23" x14ac:dyDescent="0.25">
      <c r="A195" s="2">
        <v>43314</v>
      </c>
      <c r="B195">
        <v>36.46</v>
      </c>
      <c r="C195">
        <v>20.079999999999998</v>
      </c>
      <c r="D195">
        <v>15.4</v>
      </c>
      <c r="E195">
        <v>6.99</v>
      </c>
      <c r="F195">
        <v>35.020000000000003</v>
      </c>
      <c r="G195">
        <v>15.57</v>
      </c>
      <c r="H195">
        <v>8.92</v>
      </c>
      <c r="I195">
        <v>39.75</v>
      </c>
      <c r="J195">
        <v>14.83</v>
      </c>
      <c r="K195">
        <v>50.68</v>
      </c>
      <c r="L195">
        <v>17.899999999999999</v>
      </c>
      <c r="M195">
        <v>36.94</v>
      </c>
      <c r="N195">
        <v>20.329999999999998</v>
      </c>
      <c r="O195">
        <v>24.09</v>
      </c>
      <c r="P195">
        <v>20.3</v>
      </c>
      <c r="Q195">
        <v>16.63</v>
      </c>
      <c r="R195">
        <v>41.63</v>
      </c>
      <c r="S195">
        <v>33.97</v>
      </c>
      <c r="T195">
        <v>25.04</v>
      </c>
      <c r="U195">
        <v>14.69</v>
      </c>
      <c r="V195">
        <v>31.88</v>
      </c>
      <c r="W195">
        <v>32.76</v>
      </c>
    </row>
    <row r="196" spans="1:23" x14ac:dyDescent="0.25">
      <c r="A196" s="2">
        <v>43313</v>
      </c>
      <c r="B196">
        <v>36.54</v>
      </c>
      <c r="C196">
        <v>20.100000000000001</v>
      </c>
      <c r="D196">
        <v>15.64</v>
      </c>
      <c r="E196">
        <v>6.88</v>
      </c>
      <c r="F196">
        <v>35.07</v>
      </c>
      <c r="G196">
        <v>15.49</v>
      </c>
      <c r="H196">
        <v>8.9600000000000009</v>
      </c>
      <c r="I196">
        <v>39.89</v>
      </c>
      <c r="J196">
        <v>14.76</v>
      </c>
      <c r="K196">
        <v>50.75</v>
      </c>
      <c r="L196">
        <v>17.899999999999999</v>
      </c>
      <c r="M196">
        <v>36.950000000000003</v>
      </c>
      <c r="N196">
        <v>20.350000000000001</v>
      </c>
      <c r="O196">
        <v>24.07</v>
      </c>
      <c r="P196">
        <v>20.34</v>
      </c>
      <c r="Q196">
        <v>16.82</v>
      </c>
      <c r="R196">
        <v>41.53</v>
      </c>
      <c r="S196">
        <v>34.049999999999997</v>
      </c>
      <c r="T196">
        <v>25.09</v>
      </c>
      <c r="U196">
        <v>14.75</v>
      </c>
      <c r="V196">
        <v>31.98</v>
      </c>
      <c r="W196">
        <v>32.770000000000003</v>
      </c>
    </row>
    <row r="197" spans="1:23" x14ac:dyDescent="0.25">
      <c r="A197" s="2">
        <v>43312</v>
      </c>
      <c r="B197">
        <v>36.590000000000003</v>
      </c>
      <c r="C197">
        <v>20.149999999999999</v>
      </c>
      <c r="D197">
        <v>15.51</v>
      </c>
      <c r="E197">
        <v>6.72</v>
      </c>
      <c r="F197">
        <v>35.07</v>
      </c>
      <c r="G197">
        <v>15.42</v>
      </c>
      <c r="H197">
        <v>8.94</v>
      </c>
      <c r="I197">
        <v>39.79</v>
      </c>
      <c r="J197">
        <v>14.75</v>
      </c>
      <c r="K197">
        <v>50.75</v>
      </c>
      <c r="L197">
        <v>18.010000000000002</v>
      </c>
      <c r="M197">
        <v>36.94</v>
      </c>
      <c r="N197">
        <v>20.18</v>
      </c>
      <c r="O197">
        <v>24.13</v>
      </c>
      <c r="P197">
        <v>20.34</v>
      </c>
      <c r="Q197">
        <v>17.22</v>
      </c>
      <c r="R197">
        <v>41.54</v>
      </c>
      <c r="S197">
        <v>34.119999999999997</v>
      </c>
      <c r="T197">
        <v>25.04</v>
      </c>
      <c r="U197">
        <v>14.73</v>
      </c>
      <c r="V197">
        <v>31.96</v>
      </c>
      <c r="W197">
        <v>32.770000000000003</v>
      </c>
    </row>
    <row r="198" spans="1:23" x14ac:dyDescent="0.25">
      <c r="A198" s="2">
        <v>43311</v>
      </c>
      <c r="B198">
        <v>36.67</v>
      </c>
      <c r="C198">
        <v>20.28</v>
      </c>
      <c r="D198">
        <v>15.58</v>
      </c>
      <c r="E198">
        <v>6.82</v>
      </c>
      <c r="F198">
        <v>35.130000000000003</v>
      </c>
      <c r="G198">
        <v>15.33</v>
      </c>
      <c r="H198">
        <v>8.16</v>
      </c>
      <c r="I198">
        <v>39.81</v>
      </c>
      <c r="J198">
        <v>14.85</v>
      </c>
      <c r="K198">
        <v>50.76</v>
      </c>
      <c r="L198">
        <v>18.18</v>
      </c>
      <c r="M198">
        <v>36.99</v>
      </c>
      <c r="N198">
        <v>20.21</v>
      </c>
      <c r="O198">
        <v>24.09</v>
      </c>
      <c r="P198">
        <v>20.350000000000001</v>
      </c>
      <c r="Q198">
        <v>17.22</v>
      </c>
      <c r="R198">
        <v>41.49</v>
      </c>
      <c r="S198">
        <v>34.22</v>
      </c>
      <c r="T198">
        <v>25.02</v>
      </c>
      <c r="U198">
        <v>14.72</v>
      </c>
      <c r="V198">
        <v>32.04</v>
      </c>
      <c r="W198">
        <v>32.9</v>
      </c>
    </row>
    <row r="199" spans="1:23" x14ac:dyDescent="0.25">
      <c r="A199" s="2">
        <v>43308</v>
      </c>
      <c r="B199">
        <v>36.67</v>
      </c>
      <c r="C199">
        <v>20.22</v>
      </c>
      <c r="D199">
        <v>15.62</v>
      </c>
      <c r="E199">
        <v>6.85</v>
      </c>
      <c r="F199">
        <v>35.020000000000003</v>
      </c>
      <c r="G199">
        <v>15.28</v>
      </c>
      <c r="H199">
        <v>8.06</v>
      </c>
      <c r="I199">
        <v>39.99</v>
      </c>
      <c r="J199">
        <v>14.91</v>
      </c>
      <c r="K199">
        <v>50.66</v>
      </c>
      <c r="L199">
        <v>18.25</v>
      </c>
      <c r="M199">
        <v>37.03</v>
      </c>
      <c r="N199">
        <v>20.22</v>
      </c>
      <c r="O199">
        <v>24.04</v>
      </c>
      <c r="P199">
        <v>20.21</v>
      </c>
      <c r="Q199">
        <v>17.13</v>
      </c>
      <c r="R199">
        <v>41.49</v>
      </c>
      <c r="S199">
        <v>34.159999999999997</v>
      </c>
      <c r="T199">
        <v>25.01</v>
      </c>
      <c r="U199">
        <v>14.71</v>
      </c>
      <c r="V199">
        <v>31.9</v>
      </c>
      <c r="W199">
        <v>33.01</v>
      </c>
    </row>
    <row r="200" spans="1:23" x14ac:dyDescent="0.25">
      <c r="A200" s="2">
        <v>43307</v>
      </c>
      <c r="B200">
        <v>36.67</v>
      </c>
      <c r="C200">
        <v>20.18</v>
      </c>
      <c r="D200">
        <v>15.95</v>
      </c>
      <c r="E200">
        <v>6.9</v>
      </c>
      <c r="F200">
        <v>35.14</v>
      </c>
      <c r="G200">
        <v>15.24</v>
      </c>
      <c r="H200">
        <v>7.89</v>
      </c>
      <c r="I200">
        <v>40.03</v>
      </c>
      <c r="J200">
        <v>14.96</v>
      </c>
      <c r="K200">
        <v>50.62</v>
      </c>
      <c r="L200">
        <v>18.28</v>
      </c>
      <c r="M200">
        <v>37.08</v>
      </c>
      <c r="N200">
        <v>20.3</v>
      </c>
      <c r="O200">
        <v>24.01</v>
      </c>
      <c r="P200">
        <v>20.18</v>
      </c>
      <c r="Q200">
        <v>17.03</v>
      </c>
      <c r="R200">
        <v>41.5</v>
      </c>
      <c r="S200">
        <v>34.090000000000003</v>
      </c>
      <c r="T200">
        <v>24.98</v>
      </c>
      <c r="U200">
        <v>14.73</v>
      </c>
      <c r="V200">
        <v>31.93</v>
      </c>
      <c r="W200">
        <v>33.11</v>
      </c>
    </row>
    <row r="201" spans="1:23" x14ac:dyDescent="0.25">
      <c r="A201" s="2">
        <v>43306</v>
      </c>
      <c r="B201">
        <v>36.659999999999997</v>
      </c>
      <c r="C201">
        <v>20.190000000000001</v>
      </c>
      <c r="D201">
        <v>15.88</v>
      </c>
      <c r="E201">
        <v>6.85</v>
      </c>
      <c r="F201">
        <v>35.17</v>
      </c>
      <c r="G201">
        <v>15.16</v>
      </c>
      <c r="H201">
        <v>7.87</v>
      </c>
      <c r="I201">
        <v>40.25</v>
      </c>
      <c r="J201">
        <v>14.95</v>
      </c>
      <c r="K201">
        <v>50.6</v>
      </c>
      <c r="L201">
        <v>18.079999999999998</v>
      </c>
      <c r="M201">
        <v>37.33</v>
      </c>
      <c r="N201">
        <v>20.350000000000001</v>
      </c>
      <c r="O201">
        <v>24.03</v>
      </c>
      <c r="P201">
        <v>20.329999999999998</v>
      </c>
      <c r="Q201">
        <v>17.059999999999999</v>
      </c>
      <c r="R201">
        <v>41.51</v>
      </c>
      <c r="S201">
        <v>34.21</v>
      </c>
      <c r="T201">
        <v>24.94</v>
      </c>
      <c r="U201">
        <v>14.72</v>
      </c>
      <c r="V201">
        <v>31.84</v>
      </c>
      <c r="W201">
        <v>33.14</v>
      </c>
    </row>
    <row r="202" spans="1:23" x14ac:dyDescent="0.25">
      <c r="A202" s="2">
        <v>43305</v>
      </c>
      <c r="B202">
        <v>36.6</v>
      </c>
      <c r="C202">
        <v>20.239999999999998</v>
      </c>
      <c r="D202">
        <v>15.74</v>
      </c>
      <c r="E202">
        <v>6.86</v>
      </c>
      <c r="F202">
        <v>35.19</v>
      </c>
      <c r="G202">
        <v>15.33</v>
      </c>
      <c r="H202">
        <v>7.98</v>
      </c>
      <c r="I202">
        <v>40.090000000000003</v>
      </c>
      <c r="J202">
        <v>14.95</v>
      </c>
      <c r="K202">
        <v>50.61</v>
      </c>
      <c r="L202">
        <v>18.05</v>
      </c>
      <c r="M202">
        <v>37.29</v>
      </c>
      <c r="N202">
        <v>20.32</v>
      </c>
      <c r="O202">
        <v>24.04</v>
      </c>
      <c r="P202">
        <v>20.170000000000002</v>
      </c>
      <c r="Q202">
        <v>17.05</v>
      </c>
      <c r="R202">
        <v>41.48</v>
      </c>
      <c r="S202">
        <v>34.07</v>
      </c>
      <c r="T202">
        <v>24.88</v>
      </c>
      <c r="U202">
        <v>14.72</v>
      </c>
      <c r="V202">
        <v>31.84</v>
      </c>
      <c r="W202">
        <v>33.08</v>
      </c>
    </row>
    <row r="203" spans="1:23" x14ac:dyDescent="0.25">
      <c r="A203" s="2">
        <v>43304</v>
      </c>
      <c r="B203">
        <v>36.69</v>
      </c>
      <c r="C203">
        <v>20.059999999999999</v>
      </c>
      <c r="D203">
        <v>15.7</v>
      </c>
      <c r="E203">
        <v>6.83</v>
      </c>
      <c r="F203">
        <v>35.18</v>
      </c>
      <c r="G203">
        <v>15.31</v>
      </c>
      <c r="H203">
        <v>8.2799999999999994</v>
      </c>
      <c r="I203">
        <v>40.19</v>
      </c>
      <c r="J203">
        <v>14.85</v>
      </c>
      <c r="K203">
        <v>50.69</v>
      </c>
      <c r="L203">
        <v>17.93</v>
      </c>
      <c r="M203">
        <v>37.4</v>
      </c>
      <c r="N203">
        <v>20.18</v>
      </c>
      <c r="O203">
        <v>23.94</v>
      </c>
      <c r="P203">
        <v>20.059999999999999</v>
      </c>
      <c r="Q203">
        <v>17.100000000000001</v>
      </c>
      <c r="R203">
        <v>41.51</v>
      </c>
      <c r="S203">
        <v>34.19</v>
      </c>
      <c r="T203">
        <v>24.9</v>
      </c>
      <c r="U203">
        <v>14.7</v>
      </c>
      <c r="V203">
        <v>31.86</v>
      </c>
      <c r="W203">
        <v>33.369999999999997</v>
      </c>
    </row>
    <row r="204" spans="1:23" x14ac:dyDescent="0.25">
      <c r="A204" s="2">
        <v>43301</v>
      </c>
      <c r="B204">
        <v>36.69</v>
      </c>
      <c r="C204">
        <v>19.97</v>
      </c>
      <c r="D204">
        <v>15.57</v>
      </c>
      <c r="E204">
        <v>6.74</v>
      </c>
      <c r="F204">
        <v>35.07</v>
      </c>
      <c r="G204">
        <v>15.44</v>
      </c>
      <c r="H204">
        <v>8.23</v>
      </c>
      <c r="I204">
        <v>39.78</v>
      </c>
      <c r="J204">
        <v>14.79</v>
      </c>
      <c r="K204">
        <v>50.68</v>
      </c>
      <c r="L204">
        <v>18.07</v>
      </c>
      <c r="M204">
        <v>37.369999999999997</v>
      </c>
      <c r="N204">
        <v>20.12</v>
      </c>
      <c r="O204">
        <v>23.79</v>
      </c>
      <c r="P204">
        <v>19.96</v>
      </c>
      <c r="Q204">
        <v>17.079999999999998</v>
      </c>
      <c r="R204">
        <v>41.43</v>
      </c>
      <c r="S204">
        <v>34.04</v>
      </c>
      <c r="T204">
        <v>24.86</v>
      </c>
      <c r="U204">
        <v>14.72</v>
      </c>
      <c r="V204">
        <v>31.76</v>
      </c>
      <c r="W204">
        <v>33.229999999999997</v>
      </c>
    </row>
    <row r="205" spans="1:23" x14ac:dyDescent="0.25">
      <c r="A205" s="2">
        <v>43300</v>
      </c>
      <c r="B205">
        <v>36.71</v>
      </c>
      <c r="C205">
        <v>20.13</v>
      </c>
      <c r="D205">
        <v>15.38</v>
      </c>
      <c r="E205">
        <v>6.78</v>
      </c>
      <c r="F205">
        <v>35.42</v>
      </c>
      <c r="G205">
        <v>15.45</v>
      </c>
      <c r="H205">
        <v>8.2799999999999994</v>
      </c>
      <c r="I205">
        <v>40.049999999999997</v>
      </c>
      <c r="J205">
        <v>14.82</v>
      </c>
      <c r="K205">
        <v>50.66</v>
      </c>
      <c r="L205">
        <v>18.010000000000002</v>
      </c>
      <c r="M205">
        <v>37.31</v>
      </c>
      <c r="N205">
        <v>20.149999999999999</v>
      </c>
      <c r="O205">
        <v>23.76</v>
      </c>
      <c r="P205">
        <v>19.8</v>
      </c>
      <c r="Q205">
        <v>16.97</v>
      </c>
      <c r="R205">
        <v>41.43</v>
      </c>
      <c r="S205">
        <v>34.07</v>
      </c>
      <c r="T205">
        <v>24.81</v>
      </c>
      <c r="U205">
        <v>14.68</v>
      </c>
      <c r="V205">
        <v>31.79</v>
      </c>
      <c r="W205">
        <v>33.159999999999997</v>
      </c>
    </row>
    <row r="206" spans="1:23" x14ac:dyDescent="0.25">
      <c r="A206" s="2">
        <v>43299</v>
      </c>
      <c r="B206">
        <v>36.64</v>
      </c>
      <c r="C206">
        <v>20.03</v>
      </c>
      <c r="D206">
        <v>15.33</v>
      </c>
      <c r="E206">
        <v>6.6</v>
      </c>
      <c r="F206">
        <v>35.42</v>
      </c>
      <c r="G206">
        <v>15.42</v>
      </c>
      <c r="H206">
        <v>8.08</v>
      </c>
      <c r="I206">
        <v>40.049999999999997</v>
      </c>
      <c r="J206">
        <v>14.7</v>
      </c>
      <c r="K206">
        <v>50.68</v>
      </c>
      <c r="L206">
        <v>17.89</v>
      </c>
      <c r="M206">
        <v>37.18</v>
      </c>
      <c r="N206">
        <v>20.350000000000001</v>
      </c>
      <c r="O206">
        <v>23.76</v>
      </c>
      <c r="P206">
        <v>19.850000000000001</v>
      </c>
      <c r="Q206">
        <v>16.87</v>
      </c>
      <c r="R206">
        <v>41.45</v>
      </c>
      <c r="S206">
        <v>34.130000000000003</v>
      </c>
      <c r="T206">
        <v>24.75</v>
      </c>
      <c r="U206">
        <v>14.7</v>
      </c>
      <c r="V206">
        <v>31.79</v>
      </c>
      <c r="W206">
        <v>33.1</v>
      </c>
    </row>
    <row r="207" spans="1:23" x14ac:dyDescent="0.25">
      <c r="A207" s="2">
        <v>43298</v>
      </c>
      <c r="B207">
        <v>36.479999999999997</v>
      </c>
      <c r="C207">
        <v>20.010000000000002</v>
      </c>
      <c r="D207">
        <v>15.42</v>
      </c>
      <c r="E207">
        <v>6.63</v>
      </c>
      <c r="F207">
        <v>35.33</v>
      </c>
      <c r="G207">
        <v>15.42</v>
      </c>
      <c r="H207">
        <v>7.88</v>
      </c>
      <c r="I207">
        <v>39.92</v>
      </c>
      <c r="J207">
        <v>14.65</v>
      </c>
      <c r="K207">
        <v>50.56</v>
      </c>
      <c r="L207">
        <v>18.02</v>
      </c>
      <c r="M207">
        <v>37.15</v>
      </c>
      <c r="N207">
        <v>20.3</v>
      </c>
      <c r="O207">
        <v>23.79</v>
      </c>
      <c r="P207">
        <v>19.88</v>
      </c>
      <c r="Q207">
        <v>16.82</v>
      </c>
      <c r="R207">
        <v>41.37</v>
      </c>
      <c r="S207">
        <v>34.159999999999997</v>
      </c>
      <c r="T207">
        <v>24.74</v>
      </c>
      <c r="U207">
        <v>14.73</v>
      </c>
      <c r="V207">
        <v>31.76</v>
      </c>
      <c r="W207">
        <v>33.090000000000003</v>
      </c>
    </row>
    <row r="208" spans="1:23" x14ac:dyDescent="0.25">
      <c r="A208" s="2">
        <v>43297</v>
      </c>
      <c r="B208">
        <v>36.49</v>
      </c>
      <c r="C208">
        <v>20.23</v>
      </c>
      <c r="D208">
        <v>15.44</v>
      </c>
      <c r="E208">
        <v>6.68</v>
      </c>
      <c r="F208">
        <v>35.43</v>
      </c>
      <c r="G208">
        <v>15.35</v>
      </c>
      <c r="H208">
        <v>7.85</v>
      </c>
      <c r="I208">
        <v>39.840000000000003</v>
      </c>
      <c r="J208">
        <v>14.73</v>
      </c>
      <c r="K208">
        <v>50.62</v>
      </c>
      <c r="L208">
        <v>18.18</v>
      </c>
      <c r="M208">
        <v>37.1</v>
      </c>
      <c r="N208">
        <v>20.27</v>
      </c>
      <c r="O208">
        <v>23.72</v>
      </c>
      <c r="P208">
        <v>19.61</v>
      </c>
      <c r="Q208">
        <v>16.96</v>
      </c>
      <c r="R208">
        <v>41.33</v>
      </c>
      <c r="S208">
        <v>33.979999999999997</v>
      </c>
      <c r="T208">
        <v>24.58</v>
      </c>
      <c r="U208">
        <v>14.76</v>
      </c>
      <c r="V208">
        <v>31.78</v>
      </c>
      <c r="W208">
        <v>33.229999999999997</v>
      </c>
    </row>
    <row r="209" spans="1:23" x14ac:dyDescent="0.25">
      <c r="A209" s="2">
        <v>43294</v>
      </c>
      <c r="B209">
        <v>36.49</v>
      </c>
      <c r="C209">
        <v>20.28</v>
      </c>
      <c r="D209">
        <v>15.51</v>
      </c>
      <c r="E209">
        <v>6.71</v>
      </c>
      <c r="F209">
        <v>35.15</v>
      </c>
      <c r="G209">
        <v>15.29</v>
      </c>
      <c r="H209">
        <v>7.78</v>
      </c>
      <c r="I209">
        <v>39.85</v>
      </c>
      <c r="J209">
        <v>14.72</v>
      </c>
      <c r="K209">
        <v>50.62</v>
      </c>
      <c r="L209">
        <v>18.12</v>
      </c>
      <c r="M209">
        <v>36.94</v>
      </c>
      <c r="N209">
        <v>20.420000000000002</v>
      </c>
      <c r="O209">
        <v>23.67</v>
      </c>
      <c r="P209">
        <v>19.690000000000001</v>
      </c>
      <c r="Q209">
        <v>16.75</v>
      </c>
      <c r="R209">
        <v>41.3</v>
      </c>
      <c r="S209">
        <v>34.06</v>
      </c>
      <c r="T209">
        <v>24.57</v>
      </c>
      <c r="U209">
        <v>14.79</v>
      </c>
      <c r="V209">
        <v>31.88</v>
      </c>
      <c r="W209">
        <v>33.08</v>
      </c>
    </row>
    <row r="210" spans="1:23" x14ac:dyDescent="0.25">
      <c r="A210" s="2">
        <v>43293</v>
      </c>
      <c r="B210">
        <v>36.26</v>
      </c>
      <c r="C210">
        <v>20.309999999999999</v>
      </c>
      <c r="D210">
        <v>15.34</v>
      </c>
      <c r="E210">
        <v>6.77</v>
      </c>
      <c r="F210">
        <v>34.85</v>
      </c>
      <c r="G210">
        <v>15.22</v>
      </c>
      <c r="H210">
        <v>7.73</v>
      </c>
      <c r="I210">
        <v>39.729999999999997</v>
      </c>
      <c r="J210">
        <v>14.59</v>
      </c>
      <c r="K210">
        <v>50.6</v>
      </c>
      <c r="L210">
        <v>18.059999999999999</v>
      </c>
      <c r="M210">
        <v>36.840000000000003</v>
      </c>
      <c r="N210">
        <v>20.309999999999999</v>
      </c>
      <c r="O210">
        <v>23.75</v>
      </c>
      <c r="P210">
        <v>19.57</v>
      </c>
      <c r="Q210">
        <v>16.760000000000002</v>
      </c>
      <c r="R210">
        <v>41.23</v>
      </c>
      <c r="S210">
        <v>33.840000000000003</v>
      </c>
      <c r="T210">
        <v>24.53</v>
      </c>
      <c r="U210">
        <v>14.78</v>
      </c>
      <c r="V210">
        <v>31.78</v>
      </c>
      <c r="W210">
        <v>32.99</v>
      </c>
    </row>
    <row r="211" spans="1:23" x14ac:dyDescent="0.25">
      <c r="A211" s="2">
        <v>43292</v>
      </c>
      <c r="B211">
        <v>36.409999999999997</v>
      </c>
      <c r="C211">
        <v>20.239999999999998</v>
      </c>
      <c r="D211">
        <v>15.25</v>
      </c>
      <c r="E211">
        <v>6.78</v>
      </c>
      <c r="F211">
        <v>34.89</v>
      </c>
      <c r="G211">
        <v>15.18</v>
      </c>
      <c r="H211">
        <v>7.68</v>
      </c>
      <c r="I211">
        <v>39.89</v>
      </c>
      <c r="J211">
        <v>14.62</v>
      </c>
      <c r="K211">
        <v>50.72</v>
      </c>
      <c r="L211">
        <v>17.940000000000001</v>
      </c>
      <c r="M211">
        <v>36.659999999999997</v>
      </c>
      <c r="N211">
        <v>20.54</v>
      </c>
      <c r="O211">
        <v>23.76</v>
      </c>
      <c r="P211">
        <v>19.649999999999999</v>
      </c>
      <c r="Q211">
        <v>16.559999999999999</v>
      </c>
      <c r="R211">
        <v>41.24</v>
      </c>
      <c r="S211">
        <v>33.979999999999997</v>
      </c>
      <c r="T211">
        <v>24.5</v>
      </c>
      <c r="U211">
        <v>14.77</v>
      </c>
      <c r="V211">
        <v>31.81</v>
      </c>
      <c r="W211">
        <v>32.97</v>
      </c>
    </row>
    <row r="212" spans="1:23" x14ac:dyDescent="0.25">
      <c r="A212" s="2">
        <v>43291</v>
      </c>
      <c r="B212">
        <v>36.39</v>
      </c>
      <c r="C212">
        <v>20.23</v>
      </c>
      <c r="D212">
        <v>15.36</v>
      </c>
      <c r="E212">
        <v>6.73</v>
      </c>
      <c r="F212">
        <v>34.880000000000003</v>
      </c>
      <c r="G212">
        <v>15.2</v>
      </c>
      <c r="H212">
        <v>7.84</v>
      </c>
      <c r="I212">
        <v>39.700000000000003</v>
      </c>
      <c r="J212">
        <v>14.5</v>
      </c>
      <c r="K212">
        <v>50.74</v>
      </c>
      <c r="L212">
        <v>17.899999999999999</v>
      </c>
      <c r="M212">
        <v>36.51</v>
      </c>
      <c r="N212">
        <v>20.67</v>
      </c>
      <c r="O212">
        <v>23.81</v>
      </c>
      <c r="P212">
        <v>19.53</v>
      </c>
      <c r="Q212">
        <v>16.559999999999999</v>
      </c>
      <c r="R212">
        <v>41.17</v>
      </c>
      <c r="S212">
        <v>33.950000000000003</v>
      </c>
      <c r="T212">
        <v>24.47</v>
      </c>
      <c r="U212">
        <v>14.78</v>
      </c>
      <c r="V212">
        <v>31.82</v>
      </c>
      <c r="W212">
        <v>32.86</v>
      </c>
    </row>
    <row r="213" spans="1:23" x14ac:dyDescent="0.25">
      <c r="A213" s="2">
        <v>43290</v>
      </c>
      <c r="B213">
        <v>36.36</v>
      </c>
      <c r="C213">
        <v>20.23</v>
      </c>
      <c r="D213">
        <v>15.37</v>
      </c>
      <c r="E213">
        <v>6.66</v>
      </c>
      <c r="F213">
        <v>34.96</v>
      </c>
      <c r="G213">
        <v>15.2</v>
      </c>
      <c r="H213">
        <v>7.71</v>
      </c>
      <c r="I213">
        <v>39.74</v>
      </c>
      <c r="J213">
        <v>14.48</v>
      </c>
      <c r="K213">
        <v>50.69</v>
      </c>
      <c r="L213">
        <v>17.84</v>
      </c>
      <c r="M213">
        <v>36.520000000000003</v>
      </c>
      <c r="N213">
        <v>20.62</v>
      </c>
      <c r="O213">
        <v>23.93</v>
      </c>
      <c r="P213">
        <v>19.53</v>
      </c>
      <c r="Q213">
        <v>16.600000000000001</v>
      </c>
      <c r="R213">
        <v>41.19</v>
      </c>
      <c r="S213">
        <v>34.07</v>
      </c>
      <c r="T213">
        <v>24.53</v>
      </c>
      <c r="U213">
        <v>14.84</v>
      </c>
      <c r="V213">
        <v>31.96</v>
      </c>
      <c r="W213">
        <v>32.85</v>
      </c>
    </row>
    <row r="214" spans="1:23" x14ac:dyDescent="0.25">
      <c r="A214" s="2">
        <v>43287</v>
      </c>
      <c r="B214">
        <v>36.270000000000003</v>
      </c>
      <c r="C214">
        <v>20.25</v>
      </c>
      <c r="D214">
        <v>15.43</v>
      </c>
      <c r="E214">
        <v>6.65</v>
      </c>
      <c r="F214">
        <v>35.01</v>
      </c>
      <c r="G214">
        <v>15.37</v>
      </c>
      <c r="H214">
        <v>7.36</v>
      </c>
      <c r="I214">
        <v>39.72</v>
      </c>
      <c r="J214">
        <v>14.58</v>
      </c>
      <c r="K214">
        <v>50.72</v>
      </c>
      <c r="L214">
        <v>17.850000000000001</v>
      </c>
      <c r="M214">
        <v>36.4</v>
      </c>
      <c r="N214">
        <v>20.81</v>
      </c>
      <c r="O214">
        <v>23.94</v>
      </c>
      <c r="P214">
        <v>19.53</v>
      </c>
      <c r="Q214">
        <v>16.649999999999999</v>
      </c>
      <c r="R214">
        <v>41.17</v>
      </c>
      <c r="S214">
        <v>33.96</v>
      </c>
      <c r="T214">
        <v>24.49</v>
      </c>
      <c r="U214">
        <v>14.85</v>
      </c>
      <c r="V214">
        <v>31.98</v>
      </c>
      <c r="W214">
        <v>32.81</v>
      </c>
    </row>
    <row r="215" spans="1:23" x14ac:dyDescent="0.25">
      <c r="A215" s="2">
        <v>43286</v>
      </c>
      <c r="B215">
        <v>36.47</v>
      </c>
      <c r="C215">
        <v>20.22</v>
      </c>
      <c r="D215">
        <v>15.37</v>
      </c>
      <c r="E215">
        <v>6.6</v>
      </c>
      <c r="F215">
        <v>35.07</v>
      </c>
      <c r="G215">
        <v>15.31</v>
      </c>
      <c r="H215">
        <v>7.34</v>
      </c>
      <c r="I215">
        <v>39.75</v>
      </c>
      <c r="J215">
        <v>14.46</v>
      </c>
      <c r="K215">
        <v>50.93</v>
      </c>
      <c r="L215">
        <v>18.14</v>
      </c>
      <c r="M215">
        <v>36.450000000000003</v>
      </c>
      <c r="N215">
        <v>20.84</v>
      </c>
      <c r="O215">
        <v>24.04</v>
      </c>
      <c r="P215">
        <v>19.53</v>
      </c>
      <c r="Q215">
        <v>16.71</v>
      </c>
      <c r="R215">
        <v>41.1</v>
      </c>
      <c r="S215">
        <v>33.92</v>
      </c>
      <c r="T215">
        <v>24.47</v>
      </c>
      <c r="U215">
        <v>14.91</v>
      </c>
      <c r="V215">
        <v>31.95</v>
      </c>
      <c r="W215">
        <v>32.979999999999997</v>
      </c>
    </row>
    <row r="216" spans="1:23" x14ac:dyDescent="0.25">
      <c r="A216" s="2">
        <v>43285</v>
      </c>
      <c r="B216">
        <v>36.380000000000003</v>
      </c>
      <c r="C216">
        <v>20.34</v>
      </c>
      <c r="D216">
        <v>15.18</v>
      </c>
      <c r="E216">
        <v>6.56</v>
      </c>
      <c r="F216">
        <v>35.049999999999997</v>
      </c>
      <c r="G216">
        <v>15.36</v>
      </c>
      <c r="H216">
        <v>7.42</v>
      </c>
      <c r="I216">
        <v>39.49</v>
      </c>
      <c r="J216">
        <v>14.34</v>
      </c>
      <c r="K216">
        <v>50.92</v>
      </c>
      <c r="L216">
        <v>17.95</v>
      </c>
      <c r="M216">
        <v>36.340000000000003</v>
      </c>
      <c r="N216">
        <v>20.93</v>
      </c>
      <c r="O216">
        <v>24.01</v>
      </c>
      <c r="P216">
        <v>19.579999999999998</v>
      </c>
      <c r="Q216">
        <v>16.71</v>
      </c>
      <c r="R216">
        <v>41.04</v>
      </c>
      <c r="S216">
        <v>33.85</v>
      </c>
      <c r="T216">
        <v>24.48</v>
      </c>
      <c r="U216">
        <v>14.92</v>
      </c>
      <c r="V216">
        <v>31.99</v>
      </c>
      <c r="W216">
        <v>32.770000000000003</v>
      </c>
    </row>
    <row r="217" spans="1:23" x14ac:dyDescent="0.25">
      <c r="A217" s="2">
        <v>43284</v>
      </c>
      <c r="B217">
        <v>36.380000000000003</v>
      </c>
      <c r="C217">
        <v>20.329999999999998</v>
      </c>
      <c r="D217">
        <v>15.45</v>
      </c>
      <c r="E217">
        <v>6.59</v>
      </c>
      <c r="F217">
        <v>35.020000000000003</v>
      </c>
      <c r="G217">
        <v>15.46</v>
      </c>
      <c r="H217">
        <v>7.4</v>
      </c>
      <c r="I217">
        <v>39.729999999999997</v>
      </c>
      <c r="J217">
        <v>14.48</v>
      </c>
      <c r="K217">
        <v>50.91</v>
      </c>
      <c r="L217">
        <v>18.04</v>
      </c>
      <c r="M217">
        <v>36.520000000000003</v>
      </c>
      <c r="N217">
        <v>20.93</v>
      </c>
      <c r="O217">
        <v>23.87</v>
      </c>
      <c r="P217">
        <v>19.600000000000001</v>
      </c>
      <c r="Q217">
        <v>16.739999999999998</v>
      </c>
      <c r="R217">
        <v>41.12</v>
      </c>
      <c r="S217">
        <v>33.81</v>
      </c>
      <c r="T217">
        <v>24.48</v>
      </c>
      <c r="U217">
        <v>14.92</v>
      </c>
      <c r="V217">
        <v>31.87</v>
      </c>
      <c r="W217">
        <v>32.630000000000003</v>
      </c>
    </row>
    <row r="218" spans="1:23" x14ac:dyDescent="0.25">
      <c r="A218" s="2">
        <v>43283</v>
      </c>
      <c r="B218">
        <v>36.340000000000003</v>
      </c>
      <c r="C218">
        <v>20.3</v>
      </c>
      <c r="D218">
        <v>15.39</v>
      </c>
      <c r="E218">
        <v>6.58</v>
      </c>
      <c r="F218">
        <v>35.07</v>
      </c>
      <c r="G218">
        <v>15.51</v>
      </c>
      <c r="H218">
        <v>7.54</v>
      </c>
      <c r="I218">
        <v>39.68</v>
      </c>
      <c r="J218">
        <v>14.38</v>
      </c>
      <c r="K218">
        <v>50.89</v>
      </c>
      <c r="L218">
        <v>18.010000000000002</v>
      </c>
      <c r="M218">
        <v>36.56</v>
      </c>
      <c r="N218">
        <v>20.95</v>
      </c>
      <c r="O218">
        <v>23.95</v>
      </c>
      <c r="P218">
        <v>19.52</v>
      </c>
      <c r="Q218">
        <v>16.649999999999999</v>
      </c>
      <c r="R218">
        <v>41.09</v>
      </c>
      <c r="S218">
        <v>33.86</v>
      </c>
      <c r="T218">
        <v>24.51</v>
      </c>
      <c r="U218">
        <v>14.9</v>
      </c>
      <c r="V218">
        <v>31.78</v>
      </c>
      <c r="W218">
        <v>32.700000000000003</v>
      </c>
    </row>
    <row r="219" spans="1:23" x14ac:dyDescent="0.25">
      <c r="A219" s="2">
        <v>43280</v>
      </c>
      <c r="B219">
        <v>36.299999999999997</v>
      </c>
      <c r="C219">
        <v>20.399999999999999</v>
      </c>
      <c r="D219">
        <v>15.27</v>
      </c>
      <c r="E219">
        <v>6.66</v>
      </c>
      <c r="F219">
        <v>35.17</v>
      </c>
      <c r="G219">
        <v>15.48</v>
      </c>
      <c r="H219">
        <v>7.49</v>
      </c>
      <c r="I219">
        <v>39.74</v>
      </c>
      <c r="J219">
        <v>14.46</v>
      </c>
      <c r="K219">
        <v>50.89</v>
      </c>
      <c r="L219">
        <v>17.309999999999999</v>
      </c>
      <c r="M219">
        <v>36.479999999999997</v>
      </c>
      <c r="N219">
        <v>20.99</v>
      </c>
      <c r="O219">
        <v>23.73</v>
      </c>
      <c r="P219">
        <v>19.399999999999999</v>
      </c>
      <c r="Q219">
        <v>16.63</v>
      </c>
      <c r="R219">
        <v>41.06</v>
      </c>
      <c r="S219">
        <v>33.71</v>
      </c>
      <c r="T219">
        <v>24.51</v>
      </c>
      <c r="U219">
        <v>14.92</v>
      </c>
      <c r="V219">
        <v>31.71</v>
      </c>
      <c r="W219">
        <v>32.56</v>
      </c>
    </row>
    <row r="220" spans="1:23" x14ac:dyDescent="0.25">
      <c r="A220" s="2">
        <v>43279</v>
      </c>
      <c r="B220">
        <v>36.340000000000003</v>
      </c>
      <c r="C220">
        <v>20.41</v>
      </c>
      <c r="D220">
        <v>15.39</v>
      </c>
      <c r="E220">
        <v>6.69</v>
      </c>
      <c r="F220">
        <v>35.32</v>
      </c>
      <c r="G220">
        <v>15.49</v>
      </c>
      <c r="H220">
        <v>7.84</v>
      </c>
      <c r="I220">
        <v>39.65</v>
      </c>
      <c r="J220">
        <v>14.55</v>
      </c>
      <c r="K220">
        <v>50.89</v>
      </c>
      <c r="L220">
        <v>17.170000000000002</v>
      </c>
      <c r="M220">
        <v>36.5</v>
      </c>
      <c r="N220">
        <v>21.01</v>
      </c>
      <c r="O220">
        <v>23.79</v>
      </c>
      <c r="P220">
        <v>19.37</v>
      </c>
      <c r="Q220">
        <v>16.73</v>
      </c>
      <c r="R220">
        <v>41.05</v>
      </c>
      <c r="S220">
        <v>33.72</v>
      </c>
      <c r="T220">
        <v>24.47</v>
      </c>
      <c r="U220">
        <v>14.95</v>
      </c>
      <c r="V220">
        <v>31.79</v>
      </c>
      <c r="W220">
        <v>32.380000000000003</v>
      </c>
    </row>
    <row r="221" spans="1:23" x14ac:dyDescent="0.25">
      <c r="A221" s="2">
        <v>43278</v>
      </c>
      <c r="B221">
        <v>36.46</v>
      </c>
      <c r="C221">
        <v>20.41</v>
      </c>
      <c r="D221">
        <v>15.39</v>
      </c>
      <c r="E221">
        <v>6.7</v>
      </c>
      <c r="F221">
        <v>35.36</v>
      </c>
      <c r="G221">
        <v>15.47</v>
      </c>
      <c r="H221">
        <v>7.77</v>
      </c>
      <c r="I221">
        <v>39.85</v>
      </c>
      <c r="J221">
        <v>14.48</v>
      </c>
      <c r="K221">
        <v>50.96</v>
      </c>
      <c r="L221">
        <v>17.21</v>
      </c>
      <c r="M221">
        <v>36.630000000000003</v>
      </c>
      <c r="N221">
        <v>20.89</v>
      </c>
      <c r="O221">
        <v>23.91</v>
      </c>
      <c r="P221">
        <v>19.28</v>
      </c>
      <c r="Q221">
        <v>16.72</v>
      </c>
      <c r="R221">
        <v>41.18</v>
      </c>
      <c r="S221">
        <v>33.909999999999997</v>
      </c>
      <c r="T221">
        <v>24.54</v>
      </c>
      <c r="U221">
        <v>14.98</v>
      </c>
      <c r="V221">
        <v>31.79</v>
      </c>
      <c r="W221">
        <v>32.299999999999997</v>
      </c>
    </row>
    <row r="222" spans="1:23" x14ac:dyDescent="0.25">
      <c r="A222" s="2">
        <v>43277</v>
      </c>
      <c r="B222">
        <v>36.31</v>
      </c>
      <c r="C222">
        <v>20.2</v>
      </c>
      <c r="D222">
        <v>15.3</v>
      </c>
      <c r="E222">
        <v>6.67</v>
      </c>
      <c r="F222">
        <v>35.42</v>
      </c>
      <c r="G222">
        <v>15.44</v>
      </c>
      <c r="H222">
        <v>7.59</v>
      </c>
      <c r="I222">
        <v>39.909999999999997</v>
      </c>
      <c r="J222">
        <v>14.4</v>
      </c>
      <c r="K222">
        <v>50.86</v>
      </c>
      <c r="L222">
        <v>16.920000000000002</v>
      </c>
      <c r="M222">
        <v>36.520000000000003</v>
      </c>
      <c r="N222">
        <v>20.86</v>
      </c>
      <c r="O222">
        <v>23.99</v>
      </c>
      <c r="P222">
        <v>19.329999999999998</v>
      </c>
      <c r="Q222">
        <v>16.850000000000001</v>
      </c>
      <c r="R222">
        <v>41.21</v>
      </c>
      <c r="S222">
        <v>33.9</v>
      </c>
      <c r="T222">
        <v>24.58</v>
      </c>
      <c r="U222">
        <v>14.98</v>
      </c>
      <c r="V222">
        <v>31.67</v>
      </c>
      <c r="W222">
        <v>32.25</v>
      </c>
    </row>
    <row r="223" spans="1:23" x14ac:dyDescent="0.25">
      <c r="A223" s="2">
        <v>43276</v>
      </c>
      <c r="B223">
        <v>36.270000000000003</v>
      </c>
      <c r="C223">
        <v>20.32</v>
      </c>
      <c r="D223">
        <v>15.38</v>
      </c>
      <c r="E223">
        <v>6.76</v>
      </c>
      <c r="F223">
        <v>35.340000000000003</v>
      </c>
      <c r="G223">
        <v>15.37</v>
      </c>
      <c r="H223">
        <v>7.55</v>
      </c>
      <c r="I223">
        <v>40.159999999999997</v>
      </c>
      <c r="J223">
        <v>14.48</v>
      </c>
      <c r="K223">
        <v>50.83</v>
      </c>
      <c r="L223">
        <v>16.95</v>
      </c>
      <c r="M223">
        <v>36.43</v>
      </c>
      <c r="N223">
        <v>20.95</v>
      </c>
      <c r="O223">
        <v>24.01</v>
      </c>
      <c r="P223">
        <v>19.399999999999999</v>
      </c>
      <c r="Q223">
        <v>16.739999999999998</v>
      </c>
      <c r="R223">
        <v>41.23</v>
      </c>
      <c r="S223">
        <v>33.880000000000003</v>
      </c>
      <c r="T223">
        <v>24.6</v>
      </c>
      <c r="U223">
        <v>15.03</v>
      </c>
      <c r="V223">
        <v>31.7</v>
      </c>
      <c r="W223">
        <v>32.36</v>
      </c>
    </row>
    <row r="224" spans="1:23" x14ac:dyDescent="0.25">
      <c r="A224" s="2">
        <v>43273</v>
      </c>
      <c r="B224">
        <v>36.340000000000003</v>
      </c>
      <c r="C224">
        <v>20.260000000000002</v>
      </c>
      <c r="D224">
        <v>15.27</v>
      </c>
      <c r="E224">
        <v>6.75</v>
      </c>
      <c r="F224">
        <v>35.39</v>
      </c>
      <c r="G224">
        <v>15.31</v>
      </c>
      <c r="H224">
        <v>7.47</v>
      </c>
      <c r="I224">
        <v>40.020000000000003</v>
      </c>
      <c r="J224">
        <v>14.46</v>
      </c>
      <c r="K224">
        <v>50.9</v>
      </c>
      <c r="L224">
        <v>16.91</v>
      </c>
      <c r="M224">
        <v>36.590000000000003</v>
      </c>
      <c r="N224">
        <v>20.8</v>
      </c>
      <c r="O224">
        <v>24.16</v>
      </c>
      <c r="P224">
        <v>19.47</v>
      </c>
      <c r="Q224">
        <v>16.7</v>
      </c>
      <c r="R224">
        <v>41.21</v>
      </c>
      <c r="S224">
        <v>33.799999999999997</v>
      </c>
      <c r="T224">
        <v>24.59</v>
      </c>
      <c r="U224">
        <v>15.03</v>
      </c>
      <c r="V224">
        <v>31.73</v>
      </c>
      <c r="W224">
        <v>32.25</v>
      </c>
    </row>
    <row r="225" spans="1:23" x14ac:dyDescent="0.25">
      <c r="A225" s="2">
        <v>43272</v>
      </c>
      <c r="B225">
        <v>36.35</v>
      </c>
      <c r="C225">
        <v>20.239999999999998</v>
      </c>
      <c r="D225">
        <v>15.16</v>
      </c>
      <c r="E225">
        <v>6.72</v>
      </c>
      <c r="F225">
        <v>35.43</v>
      </c>
      <c r="G225">
        <v>15.38</v>
      </c>
      <c r="H225">
        <v>7.46</v>
      </c>
      <c r="I225">
        <v>39.75</v>
      </c>
      <c r="J225">
        <v>14.36</v>
      </c>
      <c r="K225">
        <v>50.86</v>
      </c>
      <c r="L225">
        <v>16.86</v>
      </c>
      <c r="M225">
        <v>36.590000000000003</v>
      </c>
      <c r="N225">
        <v>20.81</v>
      </c>
      <c r="O225">
        <v>24.01</v>
      </c>
      <c r="P225">
        <v>19.46</v>
      </c>
      <c r="Q225">
        <v>16.7</v>
      </c>
      <c r="R225">
        <v>41.23</v>
      </c>
      <c r="S225">
        <v>33.78</v>
      </c>
      <c r="T225">
        <v>24.6</v>
      </c>
      <c r="U225">
        <v>15.13</v>
      </c>
      <c r="V225">
        <v>31.74</v>
      </c>
      <c r="W225">
        <v>32.049999999999997</v>
      </c>
    </row>
    <row r="226" spans="1:23" x14ac:dyDescent="0.25">
      <c r="A226" s="2">
        <v>43271</v>
      </c>
      <c r="B226">
        <v>36.28</v>
      </c>
      <c r="C226">
        <v>20.27</v>
      </c>
      <c r="D226">
        <v>14.97</v>
      </c>
      <c r="E226">
        <v>6.78</v>
      </c>
      <c r="F226">
        <v>35.479999999999997</v>
      </c>
      <c r="G226">
        <v>15.4</v>
      </c>
      <c r="H226">
        <v>7.46</v>
      </c>
      <c r="I226">
        <v>39.619999999999997</v>
      </c>
      <c r="J226">
        <v>14.33</v>
      </c>
      <c r="K226">
        <v>50.8</v>
      </c>
      <c r="L226">
        <v>16.78</v>
      </c>
      <c r="M226">
        <v>36.549999999999997</v>
      </c>
      <c r="N226">
        <v>20.83</v>
      </c>
      <c r="O226">
        <v>23.92</v>
      </c>
      <c r="P226">
        <v>19.46</v>
      </c>
      <c r="Q226">
        <v>16.68</v>
      </c>
      <c r="R226">
        <v>41.24</v>
      </c>
      <c r="S226">
        <v>33.97</v>
      </c>
      <c r="T226">
        <v>24.62</v>
      </c>
      <c r="U226">
        <v>15.19</v>
      </c>
      <c r="V226">
        <v>31.87</v>
      </c>
      <c r="W226">
        <v>31.87</v>
      </c>
    </row>
    <row r="227" spans="1:23" x14ac:dyDescent="0.25">
      <c r="A227" s="2">
        <v>43270</v>
      </c>
      <c r="B227">
        <v>36.39</v>
      </c>
      <c r="C227">
        <v>20.260000000000002</v>
      </c>
      <c r="D227">
        <v>14.85</v>
      </c>
      <c r="E227">
        <v>6.69</v>
      </c>
      <c r="F227">
        <v>35.43</v>
      </c>
      <c r="G227">
        <v>15.47</v>
      </c>
      <c r="H227">
        <v>7.54</v>
      </c>
      <c r="I227">
        <v>39.65</v>
      </c>
      <c r="J227">
        <v>14.23</v>
      </c>
      <c r="K227">
        <v>50.91</v>
      </c>
      <c r="L227">
        <v>16.79</v>
      </c>
      <c r="M227">
        <v>36.69</v>
      </c>
      <c r="N227">
        <v>20.84</v>
      </c>
      <c r="O227">
        <v>24.05</v>
      </c>
      <c r="P227">
        <v>19.38</v>
      </c>
      <c r="Q227">
        <v>16.829999999999998</v>
      </c>
      <c r="R227">
        <v>41.23</v>
      </c>
      <c r="S227">
        <v>34.07</v>
      </c>
      <c r="T227">
        <v>24.56</v>
      </c>
      <c r="U227">
        <v>15.17</v>
      </c>
      <c r="V227">
        <v>31.98</v>
      </c>
      <c r="W227">
        <v>32.03</v>
      </c>
    </row>
    <row r="228" spans="1:23" x14ac:dyDescent="0.25">
      <c r="A228" s="2">
        <v>43269</v>
      </c>
      <c r="B228">
        <v>36.22</v>
      </c>
      <c r="C228">
        <v>20.29</v>
      </c>
      <c r="D228">
        <v>14.66</v>
      </c>
      <c r="E228">
        <v>6.65</v>
      </c>
      <c r="F228">
        <v>35.49</v>
      </c>
      <c r="G228">
        <v>15.49</v>
      </c>
      <c r="H228">
        <v>7.68</v>
      </c>
      <c r="I228">
        <v>39.82</v>
      </c>
      <c r="J228">
        <v>14.06</v>
      </c>
      <c r="K228">
        <v>50.83</v>
      </c>
      <c r="L228">
        <v>16.64</v>
      </c>
      <c r="M228">
        <v>36.549999999999997</v>
      </c>
      <c r="N228">
        <v>20.67</v>
      </c>
      <c r="O228">
        <v>24.11</v>
      </c>
      <c r="P228">
        <v>19.489999999999998</v>
      </c>
      <c r="Q228">
        <v>16.809999999999999</v>
      </c>
      <c r="R228">
        <v>41.25</v>
      </c>
      <c r="S228">
        <v>33.979999999999997</v>
      </c>
      <c r="T228">
        <v>24.59</v>
      </c>
      <c r="U228">
        <v>15.15</v>
      </c>
      <c r="V228">
        <v>31.78</v>
      </c>
      <c r="W228">
        <v>32.11</v>
      </c>
    </row>
    <row r="229" spans="1:23" x14ac:dyDescent="0.25">
      <c r="A229" s="2">
        <v>43266</v>
      </c>
      <c r="B229">
        <v>36.19</v>
      </c>
      <c r="C229">
        <v>20.12</v>
      </c>
      <c r="D229">
        <v>14.72</v>
      </c>
      <c r="E229">
        <v>6.75</v>
      </c>
      <c r="F229">
        <v>35.32</v>
      </c>
      <c r="G229">
        <v>15.34</v>
      </c>
      <c r="H229">
        <v>7.81</v>
      </c>
      <c r="I229">
        <v>40.119999999999997</v>
      </c>
      <c r="J229">
        <v>14.04</v>
      </c>
      <c r="K229">
        <v>50.83</v>
      </c>
      <c r="L229">
        <v>16.43</v>
      </c>
      <c r="M229">
        <v>36.32</v>
      </c>
      <c r="N229">
        <v>20.61</v>
      </c>
      <c r="O229">
        <v>24.12</v>
      </c>
      <c r="P229">
        <v>19.52</v>
      </c>
      <c r="Q229">
        <v>16.87</v>
      </c>
      <c r="R229">
        <v>41.35</v>
      </c>
      <c r="S229">
        <v>33.78</v>
      </c>
      <c r="T229">
        <v>24.56</v>
      </c>
      <c r="U229">
        <v>15.17</v>
      </c>
      <c r="V229">
        <v>31.64</v>
      </c>
      <c r="W229">
        <v>31.88</v>
      </c>
    </row>
    <row r="230" spans="1:23" x14ac:dyDescent="0.25">
      <c r="A230" s="2">
        <v>43265</v>
      </c>
      <c r="B230">
        <v>36.28</v>
      </c>
      <c r="C230">
        <v>20.010000000000002</v>
      </c>
      <c r="D230">
        <v>14.97</v>
      </c>
      <c r="E230">
        <v>6.69</v>
      </c>
      <c r="F230">
        <v>35.369999999999997</v>
      </c>
      <c r="G230">
        <v>15.05</v>
      </c>
      <c r="H230">
        <v>7.89</v>
      </c>
      <c r="I230">
        <v>40.340000000000003</v>
      </c>
      <c r="J230">
        <v>14.05</v>
      </c>
      <c r="K230">
        <v>50.94</v>
      </c>
      <c r="L230">
        <v>16.350000000000001</v>
      </c>
      <c r="M230">
        <v>36.56</v>
      </c>
      <c r="N230">
        <v>20.73</v>
      </c>
      <c r="O230">
        <v>24.21</v>
      </c>
      <c r="P230">
        <v>19.670000000000002</v>
      </c>
      <c r="Q230">
        <v>16.97</v>
      </c>
      <c r="R230">
        <v>41.37</v>
      </c>
      <c r="S230">
        <v>33.82</v>
      </c>
      <c r="T230">
        <v>24.61</v>
      </c>
      <c r="U230">
        <v>15.21</v>
      </c>
      <c r="V230">
        <v>31.4</v>
      </c>
      <c r="W230">
        <v>31.57</v>
      </c>
    </row>
    <row r="231" spans="1:23" x14ac:dyDescent="0.25">
      <c r="A231" s="2">
        <v>43263</v>
      </c>
      <c r="B231">
        <v>36.270000000000003</v>
      </c>
      <c r="C231">
        <v>19.989999999999998</v>
      </c>
      <c r="D231">
        <v>14.81</v>
      </c>
      <c r="E231">
        <v>6.67</v>
      </c>
      <c r="F231">
        <v>35.39</v>
      </c>
      <c r="G231">
        <v>14.92</v>
      </c>
      <c r="H231">
        <v>7.67</v>
      </c>
      <c r="I231">
        <v>39.799999999999997</v>
      </c>
      <c r="J231">
        <v>14.16</v>
      </c>
      <c r="K231">
        <v>51.01</v>
      </c>
      <c r="L231">
        <v>15.67</v>
      </c>
      <c r="M231">
        <v>36.53</v>
      </c>
      <c r="N231">
        <v>20.64</v>
      </c>
      <c r="O231">
        <v>24.15</v>
      </c>
      <c r="P231">
        <v>19.690000000000001</v>
      </c>
      <c r="Q231">
        <v>16.86</v>
      </c>
      <c r="R231">
        <v>41.35</v>
      </c>
      <c r="S231">
        <v>33.81</v>
      </c>
      <c r="T231">
        <v>24.64</v>
      </c>
      <c r="U231">
        <v>15.32</v>
      </c>
      <c r="V231">
        <v>31.35</v>
      </c>
      <c r="W231">
        <v>31.67</v>
      </c>
    </row>
    <row r="232" spans="1:23" x14ac:dyDescent="0.25">
      <c r="A232" s="2">
        <v>43262</v>
      </c>
      <c r="B232">
        <v>36.33</v>
      </c>
      <c r="C232">
        <v>19.91</v>
      </c>
      <c r="D232">
        <v>14.67</v>
      </c>
      <c r="E232">
        <v>6.64</v>
      </c>
      <c r="F232">
        <v>35.380000000000003</v>
      </c>
      <c r="G232">
        <v>14.87</v>
      </c>
      <c r="H232">
        <v>7.58</v>
      </c>
      <c r="I232">
        <v>39.880000000000003</v>
      </c>
      <c r="J232">
        <v>14.24</v>
      </c>
      <c r="K232">
        <v>51.1</v>
      </c>
      <c r="L232">
        <v>15.49</v>
      </c>
      <c r="M232">
        <v>36.46</v>
      </c>
      <c r="N232">
        <v>20.54</v>
      </c>
      <c r="O232">
        <v>24.18</v>
      </c>
      <c r="P232">
        <v>19.14</v>
      </c>
      <c r="Q232">
        <v>16.84</v>
      </c>
      <c r="R232">
        <v>41.14</v>
      </c>
      <c r="S232">
        <v>33.89</v>
      </c>
      <c r="T232">
        <v>24.61</v>
      </c>
      <c r="U232">
        <v>15.3</v>
      </c>
      <c r="V232">
        <v>31.44</v>
      </c>
      <c r="W232">
        <v>31.63</v>
      </c>
    </row>
    <row r="233" spans="1:23" x14ac:dyDescent="0.25">
      <c r="A233" s="2">
        <v>43259</v>
      </c>
      <c r="B233">
        <v>36.380000000000003</v>
      </c>
      <c r="C233">
        <v>19.95</v>
      </c>
      <c r="D233">
        <v>14.51</v>
      </c>
      <c r="E233">
        <v>6.47</v>
      </c>
      <c r="F233">
        <v>35.479999999999997</v>
      </c>
      <c r="G233">
        <v>14.87</v>
      </c>
      <c r="H233">
        <v>7.82</v>
      </c>
      <c r="I233">
        <v>39.729999999999997</v>
      </c>
      <c r="J233">
        <v>14.14</v>
      </c>
      <c r="K233">
        <v>51.15</v>
      </c>
      <c r="L233">
        <v>15.38</v>
      </c>
      <c r="M233">
        <v>36.67</v>
      </c>
      <c r="N233">
        <v>20.53</v>
      </c>
      <c r="O233">
        <v>24.11</v>
      </c>
      <c r="P233">
        <v>19.16</v>
      </c>
      <c r="Q233">
        <v>16.86</v>
      </c>
      <c r="R233">
        <v>40.93</v>
      </c>
      <c r="S233">
        <v>33.840000000000003</v>
      </c>
      <c r="T233">
        <v>24.63</v>
      </c>
      <c r="U233">
        <v>15.25</v>
      </c>
      <c r="V233">
        <v>31.42</v>
      </c>
      <c r="W233">
        <v>31.63</v>
      </c>
    </row>
    <row r="234" spans="1:23" x14ac:dyDescent="0.25">
      <c r="A234" s="2">
        <v>43258</v>
      </c>
      <c r="B234">
        <v>36.39</v>
      </c>
      <c r="C234">
        <v>19.86</v>
      </c>
      <c r="D234">
        <v>14.48</v>
      </c>
      <c r="E234">
        <v>6.58</v>
      </c>
      <c r="F234">
        <v>35.51</v>
      </c>
      <c r="G234">
        <v>14.86</v>
      </c>
      <c r="H234">
        <v>7.83</v>
      </c>
      <c r="I234">
        <v>39.54</v>
      </c>
      <c r="J234">
        <v>14.18</v>
      </c>
      <c r="K234">
        <v>51.2</v>
      </c>
      <c r="L234">
        <v>15.43</v>
      </c>
      <c r="M234">
        <v>36.61</v>
      </c>
      <c r="N234">
        <v>20.52</v>
      </c>
      <c r="O234">
        <v>24.12</v>
      </c>
      <c r="P234">
        <v>19.09</v>
      </c>
      <c r="Q234">
        <v>16.88</v>
      </c>
      <c r="R234">
        <v>40.71</v>
      </c>
      <c r="S234">
        <v>33.74</v>
      </c>
      <c r="T234">
        <v>24.61</v>
      </c>
      <c r="U234">
        <v>15.29</v>
      </c>
      <c r="V234">
        <v>31.45</v>
      </c>
      <c r="W234">
        <v>31.38</v>
      </c>
    </row>
    <row r="235" spans="1:23" x14ac:dyDescent="0.25">
      <c r="A235" s="2">
        <v>43256</v>
      </c>
      <c r="B235">
        <v>36.46</v>
      </c>
      <c r="C235">
        <v>19.84</v>
      </c>
      <c r="D235">
        <v>14.46</v>
      </c>
      <c r="E235">
        <v>6.43</v>
      </c>
      <c r="F235">
        <v>35.39</v>
      </c>
      <c r="G235">
        <v>14.83</v>
      </c>
      <c r="H235">
        <v>7.78</v>
      </c>
      <c r="I235">
        <v>39.299999999999997</v>
      </c>
      <c r="J235">
        <v>14.27</v>
      </c>
      <c r="K235">
        <v>51.28</v>
      </c>
      <c r="L235">
        <v>15.4</v>
      </c>
      <c r="M235">
        <v>36.72</v>
      </c>
      <c r="N235">
        <v>20.45</v>
      </c>
      <c r="O235">
        <v>24.11</v>
      </c>
      <c r="P235">
        <v>19.16</v>
      </c>
      <c r="Q235">
        <v>16.97</v>
      </c>
      <c r="R235">
        <v>41.01</v>
      </c>
      <c r="S235">
        <v>33.67</v>
      </c>
      <c r="T235">
        <v>24.56</v>
      </c>
      <c r="U235">
        <v>15.28</v>
      </c>
      <c r="V235">
        <v>31.49</v>
      </c>
      <c r="W235">
        <v>31.38</v>
      </c>
    </row>
    <row r="236" spans="1:23" x14ac:dyDescent="0.25">
      <c r="A236" s="2">
        <v>43255</v>
      </c>
      <c r="B236">
        <v>36.44</v>
      </c>
      <c r="C236">
        <v>19.920000000000002</v>
      </c>
      <c r="D236">
        <v>14.38</v>
      </c>
      <c r="E236">
        <v>6.35</v>
      </c>
      <c r="F236">
        <v>35.369999999999997</v>
      </c>
      <c r="G236">
        <v>14.84</v>
      </c>
      <c r="H236">
        <v>7.79</v>
      </c>
      <c r="I236">
        <v>39.35</v>
      </c>
      <c r="J236">
        <v>14.27</v>
      </c>
      <c r="K236">
        <v>51.26</v>
      </c>
      <c r="L236">
        <v>15.42</v>
      </c>
      <c r="M236">
        <v>36.92</v>
      </c>
      <c r="N236">
        <v>20.420000000000002</v>
      </c>
      <c r="O236">
        <v>24.16</v>
      </c>
      <c r="P236">
        <v>19.05</v>
      </c>
      <c r="Q236">
        <v>17.02</v>
      </c>
      <c r="R236">
        <v>41.04</v>
      </c>
      <c r="S236">
        <v>33.57</v>
      </c>
      <c r="T236">
        <v>24.53</v>
      </c>
      <c r="U236">
        <v>15.22</v>
      </c>
      <c r="V236">
        <v>31.47</v>
      </c>
      <c r="W236">
        <v>31.44</v>
      </c>
    </row>
    <row r="237" spans="1:23" x14ac:dyDescent="0.25">
      <c r="A237" s="2">
        <v>43252</v>
      </c>
      <c r="B237">
        <v>36.54</v>
      </c>
      <c r="C237">
        <v>19.809999999999999</v>
      </c>
      <c r="D237">
        <v>14.33</v>
      </c>
      <c r="E237">
        <v>6.29</v>
      </c>
      <c r="F237">
        <v>35.35</v>
      </c>
      <c r="G237">
        <v>14.85</v>
      </c>
      <c r="H237">
        <v>7.63</v>
      </c>
      <c r="I237">
        <v>38.950000000000003</v>
      </c>
      <c r="J237">
        <v>14.25</v>
      </c>
      <c r="K237">
        <v>51.9</v>
      </c>
      <c r="L237">
        <v>15.53</v>
      </c>
      <c r="M237">
        <v>36.89</v>
      </c>
      <c r="N237">
        <v>20.47</v>
      </c>
      <c r="O237">
        <v>24.13</v>
      </c>
      <c r="P237">
        <v>18.96</v>
      </c>
      <c r="Q237">
        <v>17.05</v>
      </c>
      <c r="R237">
        <v>41.08</v>
      </c>
      <c r="S237">
        <v>33.28</v>
      </c>
      <c r="T237">
        <v>24.5</v>
      </c>
      <c r="U237">
        <v>15.22</v>
      </c>
      <c r="V237">
        <v>31.34</v>
      </c>
      <c r="W237">
        <v>31.45</v>
      </c>
    </row>
    <row r="238" spans="1:23" x14ac:dyDescent="0.25">
      <c r="A238" s="2">
        <v>43251</v>
      </c>
      <c r="B238">
        <v>36.5</v>
      </c>
      <c r="C238">
        <v>19.739999999999998</v>
      </c>
      <c r="D238">
        <v>14.43</v>
      </c>
      <c r="E238">
        <v>6.15</v>
      </c>
      <c r="F238">
        <v>35.26</v>
      </c>
      <c r="G238">
        <v>14.79</v>
      </c>
      <c r="H238">
        <v>7.66</v>
      </c>
      <c r="I238">
        <v>38.99</v>
      </c>
      <c r="J238">
        <v>14.33</v>
      </c>
      <c r="K238">
        <v>51.93</v>
      </c>
      <c r="L238">
        <v>15.61</v>
      </c>
      <c r="M238">
        <v>36.75</v>
      </c>
      <c r="N238">
        <v>20.399999999999999</v>
      </c>
      <c r="O238">
        <v>24.28</v>
      </c>
      <c r="P238">
        <v>18.84</v>
      </c>
      <c r="Q238">
        <v>16.93</v>
      </c>
      <c r="R238">
        <v>41.1</v>
      </c>
      <c r="S238">
        <v>33.19</v>
      </c>
      <c r="T238">
        <v>24.49</v>
      </c>
      <c r="U238">
        <v>15.24</v>
      </c>
      <c r="V238">
        <v>31.21</v>
      </c>
      <c r="W238">
        <v>31.41</v>
      </c>
    </row>
    <row r="239" spans="1:23" x14ac:dyDescent="0.25">
      <c r="A239" s="2">
        <v>43250</v>
      </c>
      <c r="B239">
        <v>36.36</v>
      </c>
      <c r="C239">
        <v>19.77</v>
      </c>
      <c r="D239">
        <v>14.4</v>
      </c>
      <c r="E239">
        <v>6.04</v>
      </c>
      <c r="F239">
        <v>35.270000000000003</v>
      </c>
      <c r="G239">
        <v>14.9</v>
      </c>
      <c r="H239">
        <v>7.71</v>
      </c>
      <c r="I239">
        <v>39.03</v>
      </c>
      <c r="J239">
        <v>14.4</v>
      </c>
      <c r="K239">
        <v>51.57</v>
      </c>
      <c r="L239">
        <v>15.37</v>
      </c>
      <c r="M239">
        <v>36.92</v>
      </c>
      <c r="N239">
        <v>20.48</v>
      </c>
      <c r="O239">
        <v>24.39</v>
      </c>
      <c r="P239">
        <v>19.010000000000002</v>
      </c>
      <c r="Q239">
        <v>16.760000000000002</v>
      </c>
      <c r="R239">
        <v>41.13</v>
      </c>
      <c r="S239">
        <v>33.26</v>
      </c>
      <c r="T239">
        <v>24.51</v>
      </c>
      <c r="U239">
        <v>15.21</v>
      </c>
      <c r="V239">
        <v>30.91</v>
      </c>
      <c r="W239">
        <v>31.14</v>
      </c>
    </row>
    <row r="240" spans="1:23" x14ac:dyDescent="0.25">
      <c r="A240" s="2">
        <v>43249</v>
      </c>
      <c r="B240">
        <v>36.56</v>
      </c>
      <c r="C240">
        <v>19.850000000000001</v>
      </c>
      <c r="D240">
        <v>14.34</v>
      </c>
      <c r="E240">
        <v>5.93</v>
      </c>
      <c r="F240">
        <v>35.380000000000003</v>
      </c>
      <c r="G240">
        <v>15</v>
      </c>
      <c r="H240">
        <v>7.81</v>
      </c>
      <c r="I240">
        <v>39.200000000000003</v>
      </c>
      <c r="J240">
        <v>14.26</v>
      </c>
      <c r="K240">
        <v>51.73</v>
      </c>
      <c r="L240">
        <v>15.28</v>
      </c>
      <c r="M240">
        <v>36.99</v>
      </c>
      <c r="N240">
        <v>20.49</v>
      </c>
      <c r="O240">
        <v>24.48</v>
      </c>
      <c r="P240">
        <v>19.190000000000001</v>
      </c>
      <c r="Q240">
        <v>16.93</v>
      </c>
      <c r="R240">
        <v>41.17</v>
      </c>
      <c r="S240">
        <v>33.47</v>
      </c>
      <c r="T240">
        <v>24.55</v>
      </c>
      <c r="U240">
        <v>15.35</v>
      </c>
      <c r="V240">
        <v>31.14</v>
      </c>
      <c r="W240">
        <v>31.19</v>
      </c>
    </row>
    <row r="241" spans="1:23" x14ac:dyDescent="0.25">
      <c r="A241" s="2">
        <v>43248</v>
      </c>
      <c r="B241">
        <v>36.6</v>
      </c>
      <c r="C241">
        <v>19.829999999999998</v>
      </c>
      <c r="D241">
        <v>14.19</v>
      </c>
      <c r="E241">
        <v>6</v>
      </c>
      <c r="F241">
        <v>35.369999999999997</v>
      </c>
      <c r="G241">
        <v>15.01</v>
      </c>
      <c r="H241">
        <v>8.18</v>
      </c>
      <c r="I241">
        <v>39.11</v>
      </c>
      <c r="J241">
        <v>14.31</v>
      </c>
      <c r="K241">
        <v>51.78</v>
      </c>
      <c r="L241">
        <v>15.17</v>
      </c>
      <c r="M241">
        <v>37.090000000000003</v>
      </c>
      <c r="N241">
        <v>20.309999999999999</v>
      </c>
      <c r="O241">
        <v>24.52</v>
      </c>
      <c r="P241">
        <v>19.25</v>
      </c>
      <c r="Q241">
        <v>16.920000000000002</v>
      </c>
      <c r="R241">
        <v>41.15</v>
      </c>
      <c r="S241">
        <v>33.450000000000003</v>
      </c>
      <c r="T241">
        <v>24.56</v>
      </c>
      <c r="U241">
        <v>15.36</v>
      </c>
      <c r="V241">
        <v>31.24</v>
      </c>
      <c r="W241">
        <v>31.26</v>
      </c>
    </row>
    <row r="242" spans="1:23" x14ac:dyDescent="0.25">
      <c r="A242" s="2">
        <v>43245</v>
      </c>
      <c r="B242">
        <v>36.86</v>
      </c>
      <c r="C242">
        <v>19.86</v>
      </c>
      <c r="D242">
        <v>14.45</v>
      </c>
      <c r="E242">
        <v>5.92</v>
      </c>
      <c r="F242">
        <v>35.57</v>
      </c>
      <c r="G242">
        <v>15.02</v>
      </c>
      <c r="H242">
        <v>8.51</v>
      </c>
      <c r="I242">
        <v>39.75</v>
      </c>
      <c r="J242">
        <v>14.1</v>
      </c>
      <c r="K242">
        <v>51.89</v>
      </c>
      <c r="L242">
        <v>15.25</v>
      </c>
      <c r="M242">
        <v>37.159999999999997</v>
      </c>
      <c r="N242">
        <v>20.399999999999999</v>
      </c>
      <c r="O242">
        <v>24.52</v>
      </c>
      <c r="P242">
        <v>19.649999999999999</v>
      </c>
      <c r="Q242">
        <v>17.09</v>
      </c>
      <c r="R242">
        <v>41.12</v>
      </c>
      <c r="S242">
        <v>33.520000000000003</v>
      </c>
      <c r="T242">
        <v>24.62</v>
      </c>
      <c r="U242">
        <v>15.3</v>
      </c>
      <c r="V242">
        <v>31.19</v>
      </c>
      <c r="W242">
        <v>31.37</v>
      </c>
    </row>
    <row r="243" spans="1:23" x14ac:dyDescent="0.25">
      <c r="A243" s="2">
        <v>43244</v>
      </c>
      <c r="B243">
        <v>36.619999999999997</v>
      </c>
      <c r="C243">
        <v>19.75</v>
      </c>
      <c r="D243">
        <v>14.25</v>
      </c>
      <c r="E243">
        <v>5.84</v>
      </c>
      <c r="F243">
        <v>35.42</v>
      </c>
      <c r="G243">
        <v>14.93</v>
      </c>
      <c r="H243">
        <v>8.2899999999999991</v>
      </c>
      <c r="I243">
        <v>39.619999999999997</v>
      </c>
      <c r="J243">
        <v>14.09</v>
      </c>
      <c r="K243">
        <v>51.69</v>
      </c>
      <c r="L243">
        <v>15.08</v>
      </c>
      <c r="M243">
        <v>37.06</v>
      </c>
      <c r="N243">
        <v>20.49</v>
      </c>
      <c r="O243">
        <v>24.48</v>
      </c>
      <c r="P243">
        <v>19.12</v>
      </c>
      <c r="Q243">
        <v>17</v>
      </c>
      <c r="R243">
        <v>40.96</v>
      </c>
      <c r="S243">
        <v>33.54</v>
      </c>
      <c r="T243">
        <v>24.63</v>
      </c>
      <c r="U243">
        <v>15.27</v>
      </c>
      <c r="V243">
        <v>31.2</v>
      </c>
      <c r="W243">
        <v>31.29</v>
      </c>
    </row>
    <row r="244" spans="1:23" x14ac:dyDescent="0.25">
      <c r="A244" s="2">
        <v>43243</v>
      </c>
      <c r="B244">
        <v>36.67</v>
      </c>
      <c r="C244">
        <v>19.71</v>
      </c>
      <c r="D244">
        <v>14.22</v>
      </c>
      <c r="E244">
        <v>5.79</v>
      </c>
      <c r="F244">
        <v>35.369999999999997</v>
      </c>
      <c r="G244">
        <v>14.83</v>
      </c>
      <c r="H244">
        <v>8.3000000000000007</v>
      </c>
      <c r="I244">
        <v>39.35</v>
      </c>
      <c r="J244">
        <v>14.05</v>
      </c>
      <c r="K244">
        <v>51.73</v>
      </c>
      <c r="L244">
        <v>15.35</v>
      </c>
      <c r="M244">
        <v>37.28</v>
      </c>
      <c r="N244">
        <v>20.32</v>
      </c>
      <c r="O244">
        <v>24.61</v>
      </c>
      <c r="P244">
        <v>19.03</v>
      </c>
      <c r="Q244">
        <v>16.93</v>
      </c>
      <c r="R244">
        <v>41.2</v>
      </c>
      <c r="S244">
        <v>33.49</v>
      </c>
      <c r="T244">
        <v>24.64</v>
      </c>
      <c r="U244">
        <v>15.25</v>
      </c>
      <c r="V244">
        <v>31.14</v>
      </c>
      <c r="W244">
        <v>31.34</v>
      </c>
    </row>
    <row r="245" spans="1:23" x14ac:dyDescent="0.25">
      <c r="A245" s="2">
        <v>43241</v>
      </c>
      <c r="B245">
        <v>36.4</v>
      </c>
      <c r="C245">
        <v>19.62</v>
      </c>
      <c r="D245">
        <v>14.31</v>
      </c>
      <c r="E245">
        <v>5.68</v>
      </c>
      <c r="F245">
        <v>35.32</v>
      </c>
      <c r="G245">
        <v>14.94</v>
      </c>
      <c r="H245">
        <v>8.2799999999999994</v>
      </c>
      <c r="I245">
        <v>39.409999999999997</v>
      </c>
      <c r="J245">
        <v>14.13</v>
      </c>
      <c r="K245">
        <v>51.58</v>
      </c>
      <c r="L245">
        <v>15.44</v>
      </c>
      <c r="M245">
        <v>37.299999999999997</v>
      </c>
      <c r="N245">
        <v>20.399999999999999</v>
      </c>
      <c r="O245">
        <v>24.53</v>
      </c>
      <c r="P245">
        <v>18.989999999999998</v>
      </c>
      <c r="Q245">
        <v>17.09</v>
      </c>
      <c r="R245">
        <v>41.1</v>
      </c>
      <c r="S245">
        <v>33.57</v>
      </c>
      <c r="T245">
        <v>24.61</v>
      </c>
      <c r="U245">
        <v>15.26</v>
      </c>
      <c r="V245">
        <v>31.24</v>
      </c>
      <c r="W245">
        <v>31.25</v>
      </c>
    </row>
    <row r="246" spans="1:23" x14ac:dyDescent="0.25">
      <c r="A246" s="2">
        <v>43238</v>
      </c>
      <c r="B246">
        <v>36.369999999999997</v>
      </c>
      <c r="C246">
        <v>19.72</v>
      </c>
      <c r="D246">
        <v>14.01</v>
      </c>
      <c r="E246">
        <v>5.71</v>
      </c>
      <c r="F246">
        <v>35.33</v>
      </c>
      <c r="G246">
        <v>14.98</v>
      </c>
      <c r="H246">
        <v>8.2899999999999991</v>
      </c>
      <c r="I246">
        <v>39.26</v>
      </c>
      <c r="J246">
        <v>14.27</v>
      </c>
      <c r="K246">
        <v>51.58</v>
      </c>
      <c r="L246">
        <v>15.4</v>
      </c>
      <c r="M246">
        <v>37.299999999999997</v>
      </c>
      <c r="N246">
        <v>20.39</v>
      </c>
      <c r="O246">
        <v>24.57</v>
      </c>
      <c r="P246">
        <v>18.98</v>
      </c>
      <c r="Q246">
        <v>17.059999999999999</v>
      </c>
      <c r="R246">
        <v>41.09</v>
      </c>
      <c r="S246">
        <v>33.57</v>
      </c>
      <c r="T246">
        <v>24.57</v>
      </c>
      <c r="U246">
        <v>15.25</v>
      </c>
      <c r="V246">
        <v>31.24</v>
      </c>
      <c r="W246">
        <v>31.44</v>
      </c>
    </row>
    <row r="247" spans="1:23" x14ac:dyDescent="0.25">
      <c r="A247" s="2">
        <v>43237</v>
      </c>
      <c r="B247">
        <v>36.409999999999997</v>
      </c>
      <c r="C247">
        <v>19.66</v>
      </c>
      <c r="D247">
        <v>13.69</v>
      </c>
      <c r="E247">
        <v>5.63</v>
      </c>
      <c r="F247">
        <v>35.31</v>
      </c>
      <c r="G247">
        <v>15.03</v>
      </c>
      <c r="H247">
        <v>8.51</v>
      </c>
      <c r="I247">
        <v>39.32</v>
      </c>
      <c r="J247">
        <v>14.26</v>
      </c>
      <c r="K247">
        <v>51.51</v>
      </c>
      <c r="L247">
        <v>15.38</v>
      </c>
      <c r="M247">
        <v>37.479999999999997</v>
      </c>
      <c r="N247">
        <v>20.29</v>
      </c>
      <c r="O247">
        <v>24.64</v>
      </c>
      <c r="P247">
        <v>19.02</v>
      </c>
      <c r="Q247">
        <v>17.09</v>
      </c>
      <c r="R247">
        <v>41.08</v>
      </c>
      <c r="S247">
        <v>33.72</v>
      </c>
      <c r="T247">
        <v>24.59</v>
      </c>
      <c r="U247">
        <v>15.26</v>
      </c>
      <c r="V247">
        <v>31.23</v>
      </c>
      <c r="W247">
        <v>31.54</v>
      </c>
    </row>
    <row r="248" spans="1:23" x14ac:dyDescent="0.25">
      <c r="A248" s="2">
        <v>43236</v>
      </c>
      <c r="B248">
        <v>36.47</v>
      </c>
      <c r="C248">
        <v>19.84</v>
      </c>
      <c r="D248">
        <v>13.63</v>
      </c>
      <c r="E248">
        <v>5.51</v>
      </c>
      <c r="F248">
        <v>35.299999999999997</v>
      </c>
      <c r="G248">
        <v>15.02</v>
      </c>
      <c r="H248">
        <v>8.6999999999999993</v>
      </c>
      <c r="I248">
        <v>39.5</v>
      </c>
      <c r="J248">
        <v>14.18</v>
      </c>
      <c r="K248">
        <v>51.62</v>
      </c>
      <c r="L248">
        <v>15.41</v>
      </c>
      <c r="M248">
        <v>37.590000000000003</v>
      </c>
      <c r="N248">
        <v>20.28</v>
      </c>
      <c r="O248">
        <v>24.64</v>
      </c>
      <c r="P248">
        <v>19.100000000000001</v>
      </c>
      <c r="Q248">
        <v>16.98</v>
      </c>
      <c r="R248">
        <v>40.98</v>
      </c>
      <c r="S248">
        <v>33.69</v>
      </c>
      <c r="T248">
        <v>24.61</v>
      </c>
      <c r="U248">
        <v>15.29</v>
      </c>
      <c r="V248">
        <v>31.28</v>
      </c>
      <c r="W248">
        <v>31.62</v>
      </c>
    </row>
    <row r="249" spans="1:23" x14ac:dyDescent="0.25">
      <c r="A249" s="2">
        <v>43235</v>
      </c>
      <c r="B249">
        <v>36.31</v>
      </c>
      <c r="C249">
        <v>19.57</v>
      </c>
      <c r="D249">
        <v>13.32</v>
      </c>
      <c r="E249">
        <v>5.49</v>
      </c>
      <c r="F249">
        <v>35.200000000000003</v>
      </c>
      <c r="G249">
        <v>15.23</v>
      </c>
      <c r="H249">
        <v>8.86</v>
      </c>
      <c r="I249">
        <v>39.22</v>
      </c>
      <c r="J249">
        <v>14.22</v>
      </c>
      <c r="K249">
        <v>51.45</v>
      </c>
      <c r="L249">
        <v>15.33</v>
      </c>
      <c r="M249">
        <v>37.36</v>
      </c>
      <c r="N249">
        <v>20.239999999999998</v>
      </c>
      <c r="O249">
        <v>24.67</v>
      </c>
      <c r="P249">
        <v>19</v>
      </c>
      <c r="Q249">
        <v>16.97</v>
      </c>
      <c r="R249">
        <v>40.99</v>
      </c>
      <c r="S249">
        <v>33.65</v>
      </c>
      <c r="T249">
        <v>24.59</v>
      </c>
      <c r="U249">
        <v>15.29</v>
      </c>
      <c r="V249">
        <v>31.18</v>
      </c>
      <c r="W249">
        <v>31.66</v>
      </c>
    </row>
    <row r="250" spans="1:23" x14ac:dyDescent="0.25">
      <c r="A250" s="2">
        <v>43234</v>
      </c>
      <c r="B250">
        <v>36.46</v>
      </c>
      <c r="C250">
        <v>19.82</v>
      </c>
      <c r="D250">
        <v>13.4</v>
      </c>
      <c r="E250">
        <v>5.57</v>
      </c>
      <c r="F250">
        <v>35.17</v>
      </c>
      <c r="G250">
        <v>15.14</v>
      </c>
      <c r="H250">
        <v>9.19</v>
      </c>
      <c r="I250">
        <v>39.15</v>
      </c>
      <c r="J250">
        <v>14.15</v>
      </c>
      <c r="K250">
        <v>51.59</v>
      </c>
      <c r="L250">
        <v>15.29</v>
      </c>
      <c r="M250">
        <v>37.39</v>
      </c>
      <c r="N250">
        <v>20.34</v>
      </c>
      <c r="O250">
        <v>24.72</v>
      </c>
      <c r="P250">
        <v>19.03</v>
      </c>
      <c r="Q250">
        <v>17.16</v>
      </c>
      <c r="R250">
        <v>40.98</v>
      </c>
      <c r="S250">
        <v>33.67</v>
      </c>
      <c r="T250">
        <v>24.59</v>
      </c>
      <c r="U250">
        <v>15.36</v>
      </c>
      <c r="V250">
        <v>31.24</v>
      </c>
      <c r="W250">
        <v>31.61</v>
      </c>
    </row>
    <row r="251" spans="1:23" x14ac:dyDescent="0.25">
      <c r="A251" s="2">
        <v>43231</v>
      </c>
      <c r="B251">
        <v>36.619999999999997</v>
      </c>
      <c r="C251">
        <v>19.86</v>
      </c>
      <c r="D251">
        <v>13.35</v>
      </c>
      <c r="E251">
        <v>5.54</v>
      </c>
      <c r="F251">
        <v>35.18</v>
      </c>
      <c r="G251">
        <v>15.14</v>
      </c>
      <c r="H251">
        <v>9.35</v>
      </c>
      <c r="I251">
        <v>39.15</v>
      </c>
      <c r="J251">
        <v>14.1</v>
      </c>
      <c r="K251">
        <v>51.71</v>
      </c>
      <c r="L251">
        <v>14.86</v>
      </c>
      <c r="M251">
        <v>37.590000000000003</v>
      </c>
      <c r="N251">
        <v>20.32</v>
      </c>
      <c r="O251">
        <v>24.7</v>
      </c>
      <c r="P251">
        <v>19.3</v>
      </c>
      <c r="Q251">
        <v>17.27</v>
      </c>
      <c r="R251">
        <v>41</v>
      </c>
      <c r="S251">
        <v>33.659999999999997</v>
      </c>
      <c r="T251">
        <v>24.58</v>
      </c>
      <c r="U251">
        <v>15.35</v>
      </c>
      <c r="V251">
        <v>31.27</v>
      </c>
      <c r="W251">
        <v>31.63</v>
      </c>
    </row>
    <row r="252" spans="1:23" x14ac:dyDescent="0.25">
      <c r="A252" s="2">
        <v>43230</v>
      </c>
      <c r="B252">
        <v>36.72</v>
      </c>
      <c r="C252">
        <v>19.78</v>
      </c>
      <c r="D252">
        <v>12.99</v>
      </c>
      <c r="E252">
        <v>5.51</v>
      </c>
      <c r="F252">
        <v>35.21</v>
      </c>
      <c r="G252">
        <v>15.11</v>
      </c>
      <c r="H252">
        <v>9.51</v>
      </c>
      <c r="I252">
        <v>39.29</v>
      </c>
      <c r="J252">
        <v>14.02</v>
      </c>
      <c r="K252">
        <v>51.75</v>
      </c>
      <c r="L252">
        <v>14.34</v>
      </c>
      <c r="M252">
        <v>37.56</v>
      </c>
      <c r="N252">
        <v>20.420000000000002</v>
      </c>
      <c r="O252">
        <v>24.74</v>
      </c>
      <c r="P252">
        <v>19.34</v>
      </c>
      <c r="Q252">
        <v>17.2</v>
      </c>
      <c r="R252">
        <v>40.93</v>
      </c>
      <c r="S252">
        <v>33.78</v>
      </c>
      <c r="T252">
        <v>24.57</v>
      </c>
      <c r="U252">
        <v>15.25</v>
      </c>
      <c r="V252">
        <v>31.38</v>
      </c>
      <c r="W252">
        <v>31.77</v>
      </c>
    </row>
    <row r="253" spans="1:23" x14ac:dyDescent="0.25">
      <c r="A253" s="2">
        <v>43229</v>
      </c>
      <c r="B253">
        <v>36.71</v>
      </c>
      <c r="C253">
        <v>19.84</v>
      </c>
      <c r="D253">
        <v>13.09</v>
      </c>
      <c r="E253">
        <v>5.6</v>
      </c>
      <c r="F253">
        <v>35.299999999999997</v>
      </c>
      <c r="G253">
        <v>15.15</v>
      </c>
      <c r="H253">
        <v>9.81</v>
      </c>
      <c r="I253">
        <v>39.36</v>
      </c>
      <c r="J253">
        <v>14.11</v>
      </c>
      <c r="K253">
        <v>51.75</v>
      </c>
      <c r="L253">
        <v>14.15</v>
      </c>
      <c r="M253">
        <v>37.729999999999997</v>
      </c>
      <c r="N253">
        <v>20.23</v>
      </c>
      <c r="O253">
        <v>24.78</v>
      </c>
      <c r="P253">
        <v>19.309999999999999</v>
      </c>
      <c r="Q253">
        <v>17.32</v>
      </c>
      <c r="R253">
        <v>40.92</v>
      </c>
      <c r="S253">
        <v>33.75</v>
      </c>
      <c r="T253">
        <v>24.57</v>
      </c>
      <c r="U253">
        <v>15.24</v>
      </c>
      <c r="V253">
        <v>31.47</v>
      </c>
      <c r="W253">
        <v>31.98</v>
      </c>
    </row>
    <row r="254" spans="1:23" x14ac:dyDescent="0.25">
      <c r="A254" s="2">
        <v>43228</v>
      </c>
      <c r="B254">
        <v>36.96</v>
      </c>
      <c r="C254">
        <v>19.600000000000001</v>
      </c>
      <c r="D254">
        <v>13.09</v>
      </c>
      <c r="E254">
        <v>5.55</v>
      </c>
      <c r="F254">
        <v>35.26</v>
      </c>
      <c r="G254">
        <v>15.04</v>
      </c>
      <c r="H254">
        <v>9.42</v>
      </c>
      <c r="I254">
        <v>39.58</v>
      </c>
      <c r="J254">
        <v>13.97</v>
      </c>
      <c r="K254">
        <v>51.92</v>
      </c>
      <c r="L254">
        <v>13.68</v>
      </c>
      <c r="M254">
        <v>37.79</v>
      </c>
      <c r="N254">
        <v>20.25</v>
      </c>
      <c r="O254">
        <v>24.86</v>
      </c>
      <c r="P254">
        <v>19.54</v>
      </c>
      <c r="Q254">
        <v>17.23</v>
      </c>
      <c r="R254">
        <v>40.97</v>
      </c>
      <c r="S254">
        <v>33.76</v>
      </c>
      <c r="T254">
        <v>24.56</v>
      </c>
      <c r="U254">
        <v>15.25</v>
      </c>
      <c r="V254">
        <v>31.45</v>
      </c>
      <c r="W254">
        <v>32</v>
      </c>
    </row>
    <row r="255" spans="1:23" x14ac:dyDescent="0.25">
      <c r="A255" s="2"/>
    </row>
    <row r="256" spans="1:23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</sheetData>
  <phoneticPr fontId="1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KOSPI</vt:lpstr>
      <vt:lpstr>지분율 증감</vt:lpstr>
      <vt:lpstr>Raw_시세</vt:lpstr>
      <vt:lpstr>Raw_비중</vt:lpstr>
    </vt:vector>
  </TitlesOfParts>
  <Company>INFOMAX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2012-02-06T05:07:13Z</dcterms:created>
  <dcterms:modified xsi:type="dcterms:W3CDTF">2019-05-17T05:07:54Z</dcterms:modified>
</cp:coreProperties>
</file>