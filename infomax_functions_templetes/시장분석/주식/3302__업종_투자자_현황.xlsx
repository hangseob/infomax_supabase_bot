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05" windowWidth="18240" windowHeight="10755"/>
  </bookViews>
  <sheets>
    <sheet name="Market Overview" sheetId="1" r:id="rId1"/>
    <sheet name="업종코드" sheetId="2" state="hidden" r:id="rId2"/>
    <sheet name="도움말" sheetId="3" r:id="rId3"/>
  </sheets>
  <definedNames>
    <definedName name="_xlnm._FilterDatabase" localSheetId="1" hidden="1">업종코드!#REF!</definedName>
  </definedNames>
  <calcPr calcId="145621"/>
</workbook>
</file>

<file path=xl/calcChain.xml><?xml version="1.0" encoding="utf-8"?>
<calcChain xmlns="http://schemas.openxmlformats.org/spreadsheetml/2006/main">
  <c r="B10" i="1" l="1"/>
  <c r="B36" i="1"/>
  <c r="N2" i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6" i="1"/>
  <c r="P6" i="1" s="1"/>
  <c r="C4" i="1"/>
  <c r="F5" i="1"/>
  <c r="F6" i="1"/>
  <c r="F7" i="1"/>
  <c r="F4" i="1"/>
  <c r="C5" i="1" l="1"/>
  <c r="C6" i="1"/>
  <c r="AA15" i="1"/>
  <c r="AA7" i="1"/>
  <c r="AA17" i="1"/>
  <c r="AC1" i="1"/>
  <c r="AA11" i="1"/>
  <c r="AA14" i="1"/>
  <c r="AA5" i="1"/>
  <c r="AA9" i="1"/>
  <c r="AA12" i="1"/>
  <c r="AA13" i="1"/>
  <c r="AA4" i="1"/>
  <c r="AA8" i="1"/>
  <c r="AA16" i="1"/>
  <c r="AA10" i="1"/>
  <c r="AA6" i="1"/>
  <c r="E4" i="1" l="1"/>
</calcChain>
</file>

<file path=xl/sharedStrings.xml><?xml version="1.0" encoding="utf-8"?>
<sst xmlns="http://schemas.openxmlformats.org/spreadsheetml/2006/main" count="676" uniqueCount="220">
  <si>
    <t>001</t>
  </si>
  <si>
    <t>코드</t>
  </si>
  <si>
    <t>종목명</t>
  </si>
  <si>
    <t>KOSPI</t>
  </si>
  <si>
    <t>211</t>
  </si>
  <si>
    <t>KOSPI200</t>
  </si>
  <si>
    <t>005</t>
  </si>
  <si>
    <t>음식료품</t>
  </si>
  <si>
    <t>006</t>
  </si>
  <si>
    <t>섬유.의복</t>
  </si>
  <si>
    <t>007</t>
  </si>
  <si>
    <t>종이.목재</t>
  </si>
  <si>
    <t>008</t>
  </si>
  <si>
    <t>화학</t>
  </si>
  <si>
    <t>009</t>
  </si>
  <si>
    <t>의약품</t>
  </si>
  <si>
    <t>010</t>
  </si>
  <si>
    <t>비금속광물</t>
  </si>
  <si>
    <t>011</t>
  </si>
  <si>
    <t>철강.금속</t>
  </si>
  <si>
    <t>012</t>
  </si>
  <si>
    <t>기계</t>
  </si>
  <si>
    <t>013</t>
  </si>
  <si>
    <t>전기.전자</t>
  </si>
  <si>
    <t>014</t>
  </si>
  <si>
    <t>의료정밀</t>
  </si>
  <si>
    <t>015</t>
  </si>
  <si>
    <t>운수.장비</t>
  </si>
  <si>
    <t>016</t>
  </si>
  <si>
    <t>유통업</t>
  </si>
  <si>
    <t>017</t>
  </si>
  <si>
    <t>전기.가스업</t>
  </si>
  <si>
    <t>018</t>
  </si>
  <si>
    <t>건설업</t>
  </si>
  <si>
    <t>019</t>
  </si>
  <si>
    <t>운수.창고</t>
  </si>
  <si>
    <t>020</t>
  </si>
  <si>
    <t>통신업</t>
  </si>
  <si>
    <t>021</t>
  </si>
  <si>
    <t>금융업</t>
  </si>
  <si>
    <t>022</t>
  </si>
  <si>
    <t>은행</t>
  </si>
  <si>
    <t>024</t>
  </si>
  <si>
    <t>증권</t>
  </si>
  <si>
    <t>025</t>
  </si>
  <si>
    <t>보험</t>
  </si>
  <si>
    <t>026</t>
  </si>
  <si>
    <t>서비스업</t>
  </si>
  <si>
    <t>027</t>
  </si>
  <si>
    <t>제조업</t>
  </si>
  <si>
    <t>201</t>
  </si>
  <si>
    <t>대형주</t>
  </si>
  <si>
    <t>202</t>
  </si>
  <si>
    <t>중형주</t>
  </si>
  <si>
    <t>203</t>
  </si>
  <si>
    <t>소형주</t>
  </si>
  <si>
    <t>212</t>
  </si>
  <si>
    <t>K건설기계</t>
  </si>
  <si>
    <t>213</t>
  </si>
  <si>
    <t>K조선운송</t>
  </si>
  <si>
    <t>214</t>
  </si>
  <si>
    <t>K철강소재</t>
  </si>
  <si>
    <t>215</t>
  </si>
  <si>
    <t>K에너지화학</t>
  </si>
  <si>
    <t>216</t>
  </si>
  <si>
    <t>K정보통신</t>
  </si>
  <si>
    <t>217</t>
  </si>
  <si>
    <t>K금융</t>
  </si>
  <si>
    <t>218</t>
  </si>
  <si>
    <t>K필수소비재</t>
  </si>
  <si>
    <t>219</t>
  </si>
  <si>
    <t>K자유소비재</t>
  </si>
  <si>
    <t>221</t>
  </si>
  <si>
    <t>KOSPI100</t>
  </si>
  <si>
    <t>222</t>
  </si>
  <si>
    <t>KOSPI50</t>
  </si>
  <si>
    <t>231</t>
  </si>
  <si>
    <t>KODI</t>
  </si>
  <si>
    <t>232</t>
  </si>
  <si>
    <t>지배구조지수</t>
  </si>
  <si>
    <t>233</t>
  </si>
  <si>
    <t>사회책임투자지수</t>
  </si>
  <si>
    <t>234</t>
  </si>
  <si>
    <t>레버리지 KOSPI200</t>
  </si>
  <si>
    <t>235</t>
  </si>
  <si>
    <t>환경책임투자지수</t>
  </si>
  <si>
    <t>801</t>
  </si>
  <si>
    <t>KOSDAQ</t>
  </si>
  <si>
    <t>802</t>
  </si>
  <si>
    <t>우량기업부</t>
  </si>
  <si>
    <t>803</t>
  </si>
  <si>
    <t>벤처기업부</t>
  </si>
  <si>
    <t>804</t>
  </si>
  <si>
    <t>중견기업부</t>
  </si>
  <si>
    <t>805</t>
  </si>
  <si>
    <t>기술성장기업부</t>
  </si>
  <si>
    <t>812</t>
  </si>
  <si>
    <t>기타서비스</t>
  </si>
  <si>
    <t>815</t>
  </si>
  <si>
    <t>IT종합</t>
  </si>
  <si>
    <t>824</t>
  </si>
  <si>
    <t>제조</t>
  </si>
  <si>
    <t>826</t>
  </si>
  <si>
    <t>건설</t>
  </si>
  <si>
    <t>827</t>
  </si>
  <si>
    <t>유통</t>
  </si>
  <si>
    <t>829</t>
  </si>
  <si>
    <t>운송</t>
  </si>
  <si>
    <t>831</t>
  </si>
  <si>
    <t>금융</t>
  </si>
  <si>
    <t>837</t>
  </si>
  <si>
    <t>오락문화</t>
  </si>
  <si>
    <t>841</t>
  </si>
  <si>
    <t>통신방송</t>
  </si>
  <si>
    <t>842</t>
  </si>
  <si>
    <t>IT S/W</t>
  </si>
  <si>
    <t>843</t>
  </si>
  <si>
    <t>IT H/W</t>
  </si>
  <si>
    <t>856</t>
  </si>
  <si>
    <t>음식.담배</t>
  </si>
  <si>
    <t>858</t>
  </si>
  <si>
    <t>섬유.의류</t>
  </si>
  <si>
    <t>862</t>
  </si>
  <si>
    <t>863</t>
  </si>
  <si>
    <t>출판.매체</t>
  </si>
  <si>
    <t>865</t>
  </si>
  <si>
    <t>866</t>
  </si>
  <si>
    <t>제약</t>
  </si>
  <si>
    <t>867</t>
  </si>
  <si>
    <t>비금속</t>
  </si>
  <si>
    <t>868</t>
  </si>
  <si>
    <t>금속</t>
  </si>
  <si>
    <t>870</t>
  </si>
  <si>
    <t>기계.장비</t>
  </si>
  <si>
    <t>872</t>
  </si>
  <si>
    <t>일반전기전자</t>
  </si>
  <si>
    <t>874</t>
  </si>
  <si>
    <t>의료정밀기기</t>
  </si>
  <si>
    <t>875</t>
  </si>
  <si>
    <t>운송장비부품</t>
  </si>
  <si>
    <t>877</t>
  </si>
  <si>
    <t>가구</t>
  </si>
  <si>
    <t>951</t>
  </si>
  <si>
    <t>통신서비스</t>
  </si>
  <si>
    <t>952</t>
  </si>
  <si>
    <t>방송서비스</t>
  </si>
  <si>
    <t>953</t>
  </si>
  <si>
    <t>인터넷</t>
  </si>
  <si>
    <t>954</t>
  </si>
  <si>
    <t>디지털컨텐츠</t>
  </si>
  <si>
    <t>955</t>
  </si>
  <si>
    <t>소프트웨어</t>
  </si>
  <si>
    <t>956</t>
  </si>
  <si>
    <t>컴퓨터서비스</t>
  </si>
  <si>
    <t>957</t>
  </si>
  <si>
    <t>통신장비</t>
  </si>
  <si>
    <t>958</t>
  </si>
  <si>
    <t>정보기기</t>
  </si>
  <si>
    <t>959</t>
  </si>
  <si>
    <t>반도체</t>
  </si>
  <si>
    <t>960</t>
  </si>
  <si>
    <t>IT부품</t>
  </si>
  <si>
    <t>981</t>
  </si>
  <si>
    <t>KQ 100</t>
  </si>
  <si>
    <t>982</t>
  </si>
  <si>
    <t>KQ Mid 300</t>
  </si>
  <si>
    <t>983</t>
  </si>
  <si>
    <t>KQ Small</t>
  </si>
  <si>
    <t>984</t>
  </si>
  <si>
    <t>KOSTAR</t>
  </si>
  <si>
    <t>985</t>
  </si>
  <si>
    <t>KQ 프리미어지수</t>
  </si>
  <si>
    <t>401</t>
  </si>
  <si>
    <t>402</t>
  </si>
  <si>
    <t>403</t>
  </si>
  <si>
    <t>441</t>
  </si>
  <si>
    <t>451</t>
  </si>
  <si>
    <t>452</t>
  </si>
  <si>
    <t>453</t>
  </si>
  <si>
    <t>454</t>
  </si>
  <si>
    <t>455</t>
  </si>
  <si>
    <t>KOSPI200동일가중지수</t>
  </si>
  <si>
    <t>KOSPI100동일가중지수</t>
  </si>
  <si>
    <t>KOSPI50동일가중지수</t>
  </si>
  <si>
    <t>KRX100동일가중지수</t>
  </si>
  <si>
    <t>K고배당지수</t>
  </si>
  <si>
    <t>K저변동성지수</t>
  </si>
  <si>
    <t>고배당 50</t>
  </si>
  <si>
    <t>배당성장 50</t>
  </si>
  <si>
    <t>우선주 지수</t>
  </si>
  <si>
    <t>현재시간</t>
    <phoneticPr fontId="1" type="noConversion"/>
  </si>
  <si>
    <t>시 작 일</t>
    <phoneticPr fontId="1" type="noConversion"/>
  </si>
  <si>
    <t>종 료 일</t>
    <phoneticPr fontId="1" type="noConversion"/>
  </si>
  <si>
    <t>데이터 갯수</t>
    <phoneticPr fontId="1" type="noConversion"/>
  </si>
  <si>
    <t>거래대금</t>
    <phoneticPr fontId="1" type="noConversion"/>
  </si>
  <si>
    <t>상장종목수</t>
    <phoneticPr fontId="1" type="noConversion"/>
  </si>
  <si>
    <t>업종코드</t>
    <phoneticPr fontId="1" type="noConversion"/>
  </si>
  <si>
    <t>시가총액(억원)</t>
    <phoneticPr fontId="1" type="noConversion"/>
  </si>
  <si>
    <t>KOSPI</t>
    <phoneticPr fontId="1" type="noConversion"/>
  </si>
  <si>
    <t>KOSDAQ</t>
    <phoneticPr fontId="1" type="noConversion"/>
  </si>
  <si>
    <t>업종</t>
    <phoneticPr fontId="1" type="noConversion"/>
  </si>
  <si>
    <t>종목명</t>
    <phoneticPr fontId="1" type="noConversion"/>
  </si>
  <si>
    <t>일자</t>
    <phoneticPr fontId="1" type="noConversion"/>
  </si>
  <si>
    <t>기관</t>
    <phoneticPr fontId="1" type="noConversion"/>
  </si>
  <si>
    <t>외국인합</t>
    <phoneticPr fontId="1" type="noConversion"/>
  </si>
  <si>
    <t>개인</t>
    <phoneticPr fontId="1" type="noConversion"/>
  </si>
  <si>
    <t>증권/선물</t>
    <phoneticPr fontId="1" type="noConversion"/>
  </si>
  <si>
    <t>보험</t>
    <phoneticPr fontId="1" type="noConversion"/>
  </si>
  <si>
    <t>투신</t>
    <phoneticPr fontId="1" type="noConversion"/>
  </si>
  <si>
    <t>사모펀드</t>
    <phoneticPr fontId="1" type="noConversion"/>
  </si>
  <si>
    <t>은행</t>
    <phoneticPr fontId="1" type="noConversion"/>
  </si>
  <si>
    <t>종신금</t>
    <phoneticPr fontId="1" type="noConversion"/>
  </si>
  <si>
    <t>연기금</t>
    <phoneticPr fontId="1" type="noConversion"/>
  </si>
  <si>
    <t>국가/지방</t>
    <phoneticPr fontId="1" type="noConversion"/>
  </si>
  <si>
    <t>기타</t>
    <phoneticPr fontId="1" type="noConversion"/>
  </si>
  <si>
    <t>외국인</t>
    <phoneticPr fontId="1" type="noConversion"/>
  </si>
  <si>
    <t>외국인기타</t>
    <phoneticPr fontId="1" type="noConversion"/>
  </si>
  <si>
    <t>기관순매수금액</t>
    <phoneticPr fontId="1" type="noConversion"/>
  </si>
  <si>
    <t>외국인합순매수금액</t>
    <phoneticPr fontId="1" type="noConversion"/>
  </si>
  <si>
    <t>개인순매수금액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</si>
</sst>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 "/>
  </numFmts>
  <fonts count="1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5" tint="-0.499984740745262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4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4" tint="-0.249977111117893"/>
      </left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176" fontId="6" fillId="0" borderId="0" xfId="0" applyNumberFormat="1" applyFont="1" applyAlignment="1">
      <alignment horizontal="right" vertical="center"/>
    </xf>
    <xf numFmtId="41" fontId="6" fillId="0" borderId="0" xfId="1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>
      <alignment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4" xfId="0" applyFont="1" applyFill="1" applyBorder="1">
      <alignment vertical="center"/>
    </xf>
    <xf numFmtId="41" fontId="0" fillId="0" borderId="5" xfId="1" applyFont="1" applyFill="1" applyBorder="1" applyAlignment="1">
      <alignment horizontal="right" vertical="center"/>
    </xf>
    <xf numFmtId="0" fontId="0" fillId="0" borderId="6" xfId="0" applyNumberFormat="1" applyFill="1" applyBorder="1" applyAlignment="1">
      <alignment horizontal="right" vertical="center"/>
    </xf>
    <xf numFmtId="41" fontId="0" fillId="0" borderId="7" xfId="1" applyFont="1" applyFill="1" applyBorder="1" applyAlignment="1">
      <alignment horizontal="right" vertical="center"/>
    </xf>
    <xf numFmtId="22" fontId="0" fillId="0" borderId="6" xfId="0" applyNumberFormat="1" applyFill="1" applyBorder="1">
      <alignment vertical="center"/>
    </xf>
    <xf numFmtId="14" fontId="0" fillId="0" borderId="5" xfId="0" applyNumberFormat="1" applyFill="1" applyBorder="1" applyAlignment="1">
      <alignment vertical="center"/>
    </xf>
    <xf numFmtId="0" fontId="0" fillId="0" borderId="7" xfId="0" applyNumberFormat="1" applyFill="1" applyBorder="1" applyAlignment="1">
      <alignment vertical="center"/>
    </xf>
    <xf numFmtId="0" fontId="4" fillId="3" borderId="8" xfId="2" applyFont="1" applyBorder="1" applyAlignment="1">
      <alignment horizontal="center" vertical="center"/>
    </xf>
    <xf numFmtId="0" fontId="12" fillId="3" borderId="10" xfId="2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</cellXfs>
  <cellStyles count="3">
    <cellStyle name="메모" xfId="2" builtinId="10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5FCB07"/>
      <color rgb="FF006CFF"/>
      <color rgb="FFFF01A2"/>
      <color rgb="FF18BA84"/>
      <color rgb="FFCCFF33"/>
      <color rgb="FFCCCCFF"/>
      <color rgb="FF9999FF"/>
      <color rgb="FF00CC66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-24902</v>
        <stp/>
        <stp>P</stp>
        <stp>0</stp>
        <stp>IDX</stp>
        <stp>001</stp>
        <stp>외국인합순매수금액</stp>
        <stp/>
        <stp/>
        <tr r="AA5" s="1"/>
      </tp>
      <tp>
        <v>901</v>
        <stp/>
        <stp>P</stp>
        <stp>0</stp>
        <stp>IDX</stp>
        <stp>001</stp>
        <stp>상장종목수</stp>
        <stp/>
        <stp/>
        <tr r="F7" s="1"/>
      </tp>
      <tp>
        <v>-50180</v>
        <stp/>
        <stp>P</stp>
        <stp>0</stp>
        <stp>IDX</stp>
        <stp>001</stp>
        <stp>증권/선물순매수금액</stp>
        <stp/>
        <stp/>
        <tr r="AA7" s="1"/>
      </tp>
      <tp>
        <v>0</v>
        <stp/>
        <stp>H</stp>
        <stp>x1.q1Ju1</stp>
        <stp>67</stp>
        <stp>2034494</stp>
        <tr r="AC1" s="1"/>
      </tp>
      <tp>
        <v>2049.9299999999998</v>
        <stp/>
        <stp>P</stp>
        <stp>0</stp>
        <stp>IDX</stp>
        <stp>001</stp>
        <stp>현재가</stp>
        <stp/>
        <stp/>
        <tr r="F4" s="1"/>
      </tp>
      <tp>
        <v>-42088</v>
        <stp/>
        <stp>P</stp>
        <stp>0</stp>
        <stp>IDX</stp>
        <stp>001</stp>
        <stp>연기금순매수금액</stp>
        <stp/>
        <stp/>
        <tr r="AA13" s="1"/>
      </tp>
      <tp>
        <v>-24893</v>
        <stp/>
        <stp>P</stp>
        <stp>0</stp>
        <stp>IDX</stp>
        <stp>001</stp>
        <stp>외국인순매수금액</stp>
        <stp/>
        <stp/>
        <tr r="AA16" s="1"/>
      </tp>
      <tp>
        <v>996</v>
        <stp/>
        <stp>P</stp>
        <stp>0</stp>
        <stp>IDX</stp>
        <stp>001</stp>
        <stp>종신금순매수금액</stp>
        <stp/>
        <stp/>
        <tr r="AA12" s="1"/>
      </tp>
      <tp>
        <v>-9</v>
        <stp/>
        <stp>P</stp>
        <stp>0</stp>
        <stp>IDX</stp>
        <stp>001</stp>
        <stp>외인기타순매수금액</stp>
        <stp/>
        <stp/>
        <tr r="AA17" s="1"/>
      </tp>
      <tp>
        <v>0</v>
        <stp/>
        <stp>P</stp>
        <stp>0</stp>
        <stp>IDX</stp>
        <stp>001</stp>
        <stp>국가/지방순매수금액</stp>
        <stp/>
        <stp/>
        <tr r="AA14" s="1"/>
      </tp>
      <tp>
        <v>-31189</v>
        <stp/>
        <stp>P</stp>
        <stp>0</stp>
        <stp>IDX</stp>
        <stp>001</stp>
        <stp>사모펀드순매수금액</stp>
        <stp/>
        <stp/>
        <tr r="AA10" s="1"/>
      </tp>
      <tp>
        <v>3489260</v>
        <stp/>
        <stp>P</stp>
        <stp>0</stp>
        <stp>IDX</stp>
        <stp>001</stp>
        <stp>누적거래대금</stp>
        <stp/>
        <stp/>
        <tr r="F5" s="1"/>
      </tp>
      <tp>
        <v>1370704841116332</v>
        <stp/>
        <stp>P</stp>
        <stp>0</stp>
        <stp>IDX</stp>
        <stp>001</stp>
        <stp>시가총액</stp>
        <stp/>
        <stp/>
        <tr r="F6" s="1"/>
      </tp>
      <tp>
        <v>3127</v>
        <stp/>
        <stp>P</stp>
        <stp>0</stp>
        <stp>IDX</stp>
        <stp>001</stp>
        <stp>은행순매수금액</stp>
        <stp/>
        <stp/>
        <tr r="AA11" s="1"/>
      </tp>
      <tp>
        <v>-11165</v>
        <stp/>
        <stp>P</stp>
        <stp>0</stp>
        <stp>IDX</stp>
        <stp>001</stp>
        <stp>투신순매수금액</stp>
        <stp/>
        <stp/>
        <tr r="AA9" s="1"/>
      </tp>
      <tp>
        <v>199479</v>
        <stp/>
        <stp>P</stp>
        <stp>0</stp>
        <stp>IDX</stp>
        <stp>001</stp>
        <stp>개인순매수금액</stp>
        <stp/>
        <stp/>
        <tr r="AA6" s="1"/>
      </tp>
      <tp>
        <v>-175508</v>
        <stp/>
        <stp>P</stp>
        <stp>0</stp>
        <stp>IDX</stp>
        <stp>001</stp>
        <stp>기관순매수금액</stp>
        <stp/>
        <stp/>
        <tr r="AA4" s="1"/>
      </tp>
      <tp>
        <v>930</v>
        <stp/>
        <stp>P</stp>
        <stp>0</stp>
        <stp>IDX</stp>
        <stp>001</stp>
        <stp>기타순매수금액</stp>
        <stp/>
        <stp/>
        <tr r="AA15" s="1"/>
      </tp>
      <tp>
        <v>-45009</v>
        <stp/>
        <stp>P</stp>
        <stp>0</stp>
        <stp>IDX</stp>
        <stp>001</stp>
        <stp>보험순매수금액</stp>
        <stp/>
        <stp/>
        <tr r="AA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prstClr val="white"/>
                </a:gs>
                <a:gs pos="25000">
                  <a:srgbClr val="CCCCFF"/>
                </a:gs>
                <a:gs pos="50000">
                  <a:srgbClr val="9999FF"/>
                </a:gs>
                <a:gs pos="75000">
                  <a:srgbClr val="6666FF"/>
                </a:gs>
                <a:gs pos="100000">
                  <a:srgbClr val="3333CC"/>
                </a:gs>
              </a:gsLst>
              <a:lin ang="16200000" scaled="0"/>
              <a:tileRect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1"/>
          <c:dLbls>
            <c:dLbl>
              <c:idx val="6"/>
              <c:layout>
                <c:manualLayout>
                  <c:x val="9.2980009298001005E-3"/>
                  <c:y val="-2.23460689024563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-4.8416824757892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"/>
                  <c:y val="-8.93854486472094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5.5788005578800573E-3"/>
                  <c:y val="-8.5660761694229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"/>
                  <c:y val="-7.0763186919694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'Market Overview'!$Z$4:$Z$17</c:f>
              <c:strCache>
                <c:ptCount val="14"/>
                <c:pt idx="0">
                  <c:v>기관</c:v>
                </c:pt>
                <c:pt idx="1">
                  <c:v>외국인합</c:v>
                </c:pt>
                <c:pt idx="2">
                  <c:v>개인</c:v>
                </c:pt>
                <c:pt idx="3">
                  <c:v>증권/선물</c:v>
                </c:pt>
                <c:pt idx="4">
                  <c:v>보험</c:v>
                </c:pt>
                <c:pt idx="5">
                  <c:v>투신</c:v>
                </c:pt>
                <c:pt idx="6">
                  <c:v>사모펀드</c:v>
                </c:pt>
                <c:pt idx="7">
                  <c:v>은행</c:v>
                </c:pt>
                <c:pt idx="8">
                  <c:v>종신금</c:v>
                </c:pt>
                <c:pt idx="9">
                  <c:v>연기금</c:v>
                </c:pt>
                <c:pt idx="10">
                  <c:v>국가/지방</c:v>
                </c:pt>
                <c:pt idx="11">
                  <c:v>기타</c:v>
                </c:pt>
                <c:pt idx="12">
                  <c:v>외국인</c:v>
                </c:pt>
                <c:pt idx="13">
                  <c:v>외국인기타</c:v>
                </c:pt>
              </c:strCache>
            </c:strRef>
          </c:cat>
          <c:val>
            <c:numRef>
              <c:f>'Market Overview'!$AA$4:$AA$17</c:f>
              <c:numCache>
                <c:formatCode>_(* #,##0_);_(* \(#,##0\);_(* "-"_);_(@_)</c:formatCode>
                <c:ptCount val="14"/>
                <c:pt idx="0">
                  <c:v>-175508</c:v>
                </c:pt>
                <c:pt idx="1">
                  <c:v>-24902</c:v>
                </c:pt>
                <c:pt idx="2">
                  <c:v>199479</c:v>
                </c:pt>
                <c:pt idx="3">
                  <c:v>-50180</c:v>
                </c:pt>
                <c:pt idx="4">
                  <c:v>-45009</c:v>
                </c:pt>
                <c:pt idx="5">
                  <c:v>-11165</c:v>
                </c:pt>
                <c:pt idx="6">
                  <c:v>-31189</c:v>
                </c:pt>
                <c:pt idx="7">
                  <c:v>3127</c:v>
                </c:pt>
                <c:pt idx="8">
                  <c:v>996</c:v>
                </c:pt>
                <c:pt idx="9">
                  <c:v>-42088</c:v>
                </c:pt>
                <c:pt idx="10">
                  <c:v>0</c:v>
                </c:pt>
                <c:pt idx="11">
                  <c:v>930</c:v>
                </c:pt>
                <c:pt idx="12">
                  <c:v>-24893</c:v>
                </c:pt>
                <c:pt idx="13">
                  <c:v>-9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382912"/>
        <c:axId val="221413376"/>
      </c:barChart>
      <c:catAx>
        <c:axId val="2213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21413376"/>
        <c:crosses val="autoZero"/>
        <c:auto val="1"/>
        <c:lblAlgn val="ctr"/>
        <c:lblOffset val="100"/>
        <c:noMultiLvlLbl val="0"/>
      </c:catAx>
      <c:valAx>
        <c:axId val="22141337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2138291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12341363508053E-2"/>
          <c:y val="3.1076556234226789E-2"/>
          <c:w val="0.90219739833558865"/>
          <c:h val="0.87678998107550465"/>
        </c:manualLayout>
      </c:layout>
      <c:lineChart>
        <c:grouping val="standard"/>
        <c:varyColors val="0"/>
        <c:ser>
          <c:idx val="0"/>
          <c:order val="0"/>
          <c:tx>
            <c:strRef>
              <c:f>'Market Overview'!$AD$2</c:f>
              <c:strCache>
                <c:ptCount val="1"/>
                <c:pt idx="0">
                  <c:v>기관순매수금액</c:v>
                </c:pt>
              </c:strCache>
            </c:strRef>
          </c:tx>
          <c:spPr>
            <a:ln w="22225">
              <a:solidFill>
                <a:srgbClr val="FF01A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'Market Overview'!$AC$3:$AC$2957</c:f>
              <c:numCache>
                <c:formatCode>m/d/yyyy</c:formatCode>
                <c:ptCount val="2955"/>
                <c:pt idx="0">
                  <c:v>43738</c:v>
                </c:pt>
                <c:pt idx="1">
                  <c:v>43737</c:v>
                </c:pt>
                <c:pt idx="2">
                  <c:v>43736</c:v>
                </c:pt>
                <c:pt idx="3">
                  <c:v>43735</c:v>
                </c:pt>
                <c:pt idx="4">
                  <c:v>43734</c:v>
                </c:pt>
                <c:pt idx="5">
                  <c:v>43733</c:v>
                </c:pt>
                <c:pt idx="6">
                  <c:v>43732</c:v>
                </c:pt>
                <c:pt idx="7">
                  <c:v>43731</c:v>
                </c:pt>
                <c:pt idx="8">
                  <c:v>43730</c:v>
                </c:pt>
                <c:pt idx="9">
                  <c:v>43729</c:v>
                </c:pt>
                <c:pt idx="10">
                  <c:v>43728</c:v>
                </c:pt>
                <c:pt idx="11">
                  <c:v>43727</c:v>
                </c:pt>
                <c:pt idx="12">
                  <c:v>43726</c:v>
                </c:pt>
                <c:pt idx="13">
                  <c:v>43725</c:v>
                </c:pt>
                <c:pt idx="14">
                  <c:v>43724</c:v>
                </c:pt>
                <c:pt idx="15">
                  <c:v>43723</c:v>
                </c:pt>
                <c:pt idx="16">
                  <c:v>43722</c:v>
                </c:pt>
                <c:pt idx="17">
                  <c:v>43721</c:v>
                </c:pt>
                <c:pt idx="18">
                  <c:v>43720</c:v>
                </c:pt>
                <c:pt idx="19">
                  <c:v>43719</c:v>
                </c:pt>
                <c:pt idx="20">
                  <c:v>43718</c:v>
                </c:pt>
                <c:pt idx="21">
                  <c:v>43717</c:v>
                </c:pt>
                <c:pt idx="22">
                  <c:v>43716</c:v>
                </c:pt>
                <c:pt idx="23">
                  <c:v>43715</c:v>
                </c:pt>
                <c:pt idx="24">
                  <c:v>43714</c:v>
                </c:pt>
                <c:pt idx="25">
                  <c:v>43713</c:v>
                </c:pt>
                <c:pt idx="26">
                  <c:v>43712</c:v>
                </c:pt>
                <c:pt idx="27">
                  <c:v>43711</c:v>
                </c:pt>
                <c:pt idx="28">
                  <c:v>43710</c:v>
                </c:pt>
                <c:pt idx="29">
                  <c:v>43709</c:v>
                </c:pt>
              </c:numCache>
            </c:numRef>
          </c:cat>
          <c:val>
            <c:numRef>
              <c:f>'Market Overview'!$AD$3:$AD$2957</c:f>
              <c:numCache>
                <c:formatCode>General</c:formatCode>
                <c:ptCount val="2955"/>
                <c:pt idx="1">
                  <c:v>-175508</c:v>
                </c:pt>
                <c:pt idx="2">
                  <c:v>-175508</c:v>
                </c:pt>
                <c:pt idx="3">
                  <c:v>-175508</c:v>
                </c:pt>
                <c:pt idx="4">
                  <c:v>-384837</c:v>
                </c:pt>
                <c:pt idx="5">
                  <c:v>129147</c:v>
                </c:pt>
                <c:pt idx="6">
                  <c:v>377963</c:v>
                </c:pt>
                <c:pt idx="7">
                  <c:v>83894</c:v>
                </c:pt>
                <c:pt idx="8">
                  <c:v>181592</c:v>
                </c:pt>
                <c:pt idx="9">
                  <c:v>181592</c:v>
                </c:pt>
                <c:pt idx="10">
                  <c:v>181592</c:v>
                </c:pt>
                <c:pt idx="11">
                  <c:v>-99307</c:v>
                </c:pt>
                <c:pt idx="12">
                  <c:v>107449</c:v>
                </c:pt>
                <c:pt idx="13">
                  <c:v>96186</c:v>
                </c:pt>
                <c:pt idx="14">
                  <c:v>198209</c:v>
                </c:pt>
                <c:pt idx="15">
                  <c:v>613450</c:v>
                </c:pt>
                <c:pt idx="16">
                  <c:v>613450</c:v>
                </c:pt>
                <c:pt idx="17">
                  <c:v>613450</c:v>
                </c:pt>
                <c:pt idx="18">
                  <c:v>613450</c:v>
                </c:pt>
                <c:pt idx="19">
                  <c:v>613450</c:v>
                </c:pt>
                <c:pt idx="20">
                  <c:v>171306</c:v>
                </c:pt>
                <c:pt idx="21">
                  <c:v>-74669</c:v>
                </c:pt>
                <c:pt idx="22">
                  <c:v>-19924</c:v>
                </c:pt>
                <c:pt idx="23">
                  <c:v>-19924</c:v>
                </c:pt>
                <c:pt idx="24">
                  <c:v>-19924</c:v>
                </c:pt>
                <c:pt idx="25">
                  <c:v>92946</c:v>
                </c:pt>
                <c:pt idx="26">
                  <c:v>482954</c:v>
                </c:pt>
                <c:pt idx="27">
                  <c:v>249135</c:v>
                </c:pt>
                <c:pt idx="28">
                  <c:v>132218</c:v>
                </c:pt>
                <c:pt idx="29">
                  <c:v>165160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'Market Overview'!$AE$2</c:f>
              <c:strCache>
                <c:ptCount val="1"/>
                <c:pt idx="0">
                  <c:v>외국인합순매수금액</c:v>
                </c:pt>
              </c:strCache>
            </c:strRef>
          </c:tx>
          <c:spPr>
            <a:ln w="22225">
              <a:solidFill>
                <a:srgbClr val="006CFF"/>
              </a:solidFill>
              <a:prstDash val="solid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'Market Overview'!$AC$3:$AC$2957</c:f>
              <c:numCache>
                <c:formatCode>m/d/yyyy</c:formatCode>
                <c:ptCount val="2955"/>
                <c:pt idx="0">
                  <c:v>43738</c:v>
                </c:pt>
                <c:pt idx="1">
                  <c:v>43737</c:v>
                </c:pt>
                <c:pt idx="2">
                  <c:v>43736</c:v>
                </c:pt>
                <c:pt idx="3">
                  <c:v>43735</c:v>
                </c:pt>
                <c:pt idx="4">
                  <c:v>43734</c:v>
                </c:pt>
                <c:pt idx="5">
                  <c:v>43733</c:v>
                </c:pt>
                <c:pt idx="6">
                  <c:v>43732</c:v>
                </c:pt>
                <c:pt idx="7">
                  <c:v>43731</c:v>
                </c:pt>
                <c:pt idx="8">
                  <c:v>43730</c:v>
                </c:pt>
                <c:pt idx="9">
                  <c:v>43729</c:v>
                </c:pt>
                <c:pt idx="10">
                  <c:v>43728</c:v>
                </c:pt>
                <c:pt idx="11">
                  <c:v>43727</c:v>
                </c:pt>
                <c:pt idx="12">
                  <c:v>43726</c:v>
                </c:pt>
                <c:pt idx="13">
                  <c:v>43725</c:v>
                </c:pt>
                <c:pt idx="14">
                  <c:v>43724</c:v>
                </c:pt>
                <c:pt idx="15">
                  <c:v>43723</c:v>
                </c:pt>
                <c:pt idx="16">
                  <c:v>43722</c:v>
                </c:pt>
                <c:pt idx="17">
                  <c:v>43721</c:v>
                </c:pt>
                <c:pt idx="18">
                  <c:v>43720</c:v>
                </c:pt>
                <c:pt idx="19">
                  <c:v>43719</c:v>
                </c:pt>
                <c:pt idx="20">
                  <c:v>43718</c:v>
                </c:pt>
                <c:pt idx="21">
                  <c:v>43717</c:v>
                </c:pt>
                <c:pt idx="22">
                  <c:v>43716</c:v>
                </c:pt>
                <c:pt idx="23">
                  <c:v>43715</c:v>
                </c:pt>
                <c:pt idx="24">
                  <c:v>43714</c:v>
                </c:pt>
                <c:pt idx="25">
                  <c:v>43713</c:v>
                </c:pt>
                <c:pt idx="26">
                  <c:v>43712</c:v>
                </c:pt>
                <c:pt idx="27">
                  <c:v>43711</c:v>
                </c:pt>
                <c:pt idx="28">
                  <c:v>43710</c:v>
                </c:pt>
                <c:pt idx="29">
                  <c:v>43709</c:v>
                </c:pt>
              </c:numCache>
            </c:numRef>
          </c:cat>
          <c:val>
            <c:numRef>
              <c:f>'Market Overview'!$AE$3:$AE$2957</c:f>
              <c:numCache>
                <c:formatCode>0_ </c:formatCode>
                <c:ptCount val="2955"/>
                <c:pt idx="1">
                  <c:v>-24902</c:v>
                </c:pt>
                <c:pt idx="2">
                  <c:v>-24902</c:v>
                </c:pt>
                <c:pt idx="3">
                  <c:v>-24902</c:v>
                </c:pt>
                <c:pt idx="4">
                  <c:v>315989</c:v>
                </c:pt>
                <c:pt idx="5">
                  <c:v>-366056</c:v>
                </c:pt>
                <c:pt idx="6">
                  <c:v>-216240</c:v>
                </c:pt>
                <c:pt idx="7">
                  <c:v>-68884</c:v>
                </c:pt>
                <c:pt idx="8">
                  <c:v>44515</c:v>
                </c:pt>
                <c:pt idx="9">
                  <c:v>44515</c:v>
                </c:pt>
                <c:pt idx="10">
                  <c:v>44515</c:v>
                </c:pt>
                <c:pt idx="11">
                  <c:v>218143</c:v>
                </c:pt>
                <c:pt idx="12">
                  <c:v>55855</c:v>
                </c:pt>
                <c:pt idx="13">
                  <c:v>-80499</c:v>
                </c:pt>
                <c:pt idx="14">
                  <c:v>-160249</c:v>
                </c:pt>
                <c:pt idx="15">
                  <c:v>-283728</c:v>
                </c:pt>
                <c:pt idx="16">
                  <c:v>-283728</c:v>
                </c:pt>
                <c:pt idx="17">
                  <c:v>-283728</c:v>
                </c:pt>
                <c:pt idx="18">
                  <c:v>-283728</c:v>
                </c:pt>
                <c:pt idx="19">
                  <c:v>-283728</c:v>
                </c:pt>
                <c:pt idx="20">
                  <c:v>14629</c:v>
                </c:pt>
                <c:pt idx="21">
                  <c:v>233532</c:v>
                </c:pt>
                <c:pt idx="22">
                  <c:v>48317</c:v>
                </c:pt>
                <c:pt idx="23">
                  <c:v>48317</c:v>
                </c:pt>
                <c:pt idx="24">
                  <c:v>48317</c:v>
                </c:pt>
                <c:pt idx="25">
                  <c:v>188027</c:v>
                </c:pt>
                <c:pt idx="26">
                  <c:v>-350240</c:v>
                </c:pt>
                <c:pt idx="27">
                  <c:v>-305063</c:v>
                </c:pt>
                <c:pt idx="28">
                  <c:v>-124190</c:v>
                </c:pt>
                <c:pt idx="29">
                  <c:v>224313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'Market Overview'!$AF$2</c:f>
              <c:strCache>
                <c:ptCount val="1"/>
                <c:pt idx="0">
                  <c:v>개인순매수금액</c:v>
                </c:pt>
              </c:strCache>
            </c:strRef>
          </c:tx>
          <c:spPr>
            <a:ln w="22225"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4"/>
            <c:bubble3D val="0"/>
            <c:spPr>
              <a:ln w="22225">
                <a:solidFill>
                  <a:srgbClr val="5FCB07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7"/>
            <c:bubble3D val="0"/>
            <c:spPr>
              <a:ln w="22225">
                <a:solidFill>
                  <a:srgbClr val="5FCB07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8"/>
            <c:bubble3D val="0"/>
            <c:spPr>
              <a:ln w="22225">
                <a:solidFill>
                  <a:srgbClr val="5FCB07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9"/>
            <c:bubble3D val="0"/>
            <c:spPr>
              <a:ln w="22225">
                <a:solidFill>
                  <a:srgbClr val="5FCB07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cat>
            <c:numRef>
              <c:f>'Market Overview'!$AC$3:$AC$2957</c:f>
              <c:numCache>
                <c:formatCode>m/d/yyyy</c:formatCode>
                <c:ptCount val="2955"/>
                <c:pt idx="0">
                  <c:v>43738</c:v>
                </c:pt>
                <c:pt idx="1">
                  <c:v>43737</c:v>
                </c:pt>
                <c:pt idx="2">
                  <c:v>43736</c:v>
                </c:pt>
                <c:pt idx="3">
                  <c:v>43735</c:v>
                </c:pt>
                <c:pt idx="4">
                  <c:v>43734</c:v>
                </c:pt>
                <c:pt idx="5">
                  <c:v>43733</c:v>
                </c:pt>
                <c:pt idx="6">
                  <c:v>43732</c:v>
                </c:pt>
                <c:pt idx="7">
                  <c:v>43731</c:v>
                </c:pt>
                <c:pt idx="8">
                  <c:v>43730</c:v>
                </c:pt>
                <c:pt idx="9">
                  <c:v>43729</c:v>
                </c:pt>
                <c:pt idx="10">
                  <c:v>43728</c:v>
                </c:pt>
                <c:pt idx="11">
                  <c:v>43727</c:v>
                </c:pt>
                <c:pt idx="12">
                  <c:v>43726</c:v>
                </c:pt>
                <c:pt idx="13">
                  <c:v>43725</c:v>
                </c:pt>
                <c:pt idx="14">
                  <c:v>43724</c:v>
                </c:pt>
                <c:pt idx="15">
                  <c:v>43723</c:v>
                </c:pt>
                <c:pt idx="16">
                  <c:v>43722</c:v>
                </c:pt>
                <c:pt idx="17">
                  <c:v>43721</c:v>
                </c:pt>
                <c:pt idx="18">
                  <c:v>43720</c:v>
                </c:pt>
                <c:pt idx="19">
                  <c:v>43719</c:v>
                </c:pt>
                <c:pt idx="20">
                  <c:v>43718</c:v>
                </c:pt>
                <c:pt idx="21">
                  <c:v>43717</c:v>
                </c:pt>
                <c:pt idx="22">
                  <c:v>43716</c:v>
                </c:pt>
                <c:pt idx="23">
                  <c:v>43715</c:v>
                </c:pt>
                <c:pt idx="24">
                  <c:v>43714</c:v>
                </c:pt>
                <c:pt idx="25">
                  <c:v>43713</c:v>
                </c:pt>
                <c:pt idx="26">
                  <c:v>43712</c:v>
                </c:pt>
                <c:pt idx="27">
                  <c:v>43711</c:v>
                </c:pt>
                <c:pt idx="28">
                  <c:v>43710</c:v>
                </c:pt>
                <c:pt idx="29">
                  <c:v>43709</c:v>
                </c:pt>
              </c:numCache>
            </c:numRef>
          </c:cat>
          <c:val>
            <c:numRef>
              <c:f>'Market Overview'!$AF$3:$AF$2957</c:f>
              <c:numCache>
                <c:formatCode>0_ </c:formatCode>
                <c:ptCount val="2955"/>
                <c:pt idx="1">
                  <c:v>199479</c:v>
                </c:pt>
                <c:pt idx="2">
                  <c:v>199479</c:v>
                </c:pt>
                <c:pt idx="3">
                  <c:v>199479</c:v>
                </c:pt>
                <c:pt idx="4">
                  <c:v>51753</c:v>
                </c:pt>
                <c:pt idx="5">
                  <c:v>222585</c:v>
                </c:pt>
                <c:pt idx="6">
                  <c:v>-162029</c:v>
                </c:pt>
                <c:pt idx="7">
                  <c:v>-22348</c:v>
                </c:pt>
                <c:pt idx="8">
                  <c:v>-214725</c:v>
                </c:pt>
                <c:pt idx="9">
                  <c:v>-214725</c:v>
                </c:pt>
                <c:pt idx="10">
                  <c:v>-214725</c:v>
                </c:pt>
                <c:pt idx="11">
                  <c:v>-101076</c:v>
                </c:pt>
                <c:pt idx="12">
                  <c:v>-161556</c:v>
                </c:pt>
                <c:pt idx="13">
                  <c:v>-31325</c:v>
                </c:pt>
                <c:pt idx="14">
                  <c:v>-45666</c:v>
                </c:pt>
                <c:pt idx="15">
                  <c:v>-334423</c:v>
                </c:pt>
                <c:pt idx="16">
                  <c:v>-334423</c:v>
                </c:pt>
                <c:pt idx="17">
                  <c:v>-334423</c:v>
                </c:pt>
                <c:pt idx="18">
                  <c:v>-334423</c:v>
                </c:pt>
                <c:pt idx="19">
                  <c:v>-334423</c:v>
                </c:pt>
                <c:pt idx="20">
                  <c:v>-191938</c:v>
                </c:pt>
                <c:pt idx="21">
                  <c:v>-173011</c:v>
                </c:pt>
                <c:pt idx="22">
                  <c:v>-33834</c:v>
                </c:pt>
                <c:pt idx="23">
                  <c:v>-33834</c:v>
                </c:pt>
                <c:pt idx="24">
                  <c:v>-33834</c:v>
                </c:pt>
                <c:pt idx="25">
                  <c:v>-284403</c:v>
                </c:pt>
                <c:pt idx="26">
                  <c:v>-149629</c:v>
                </c:pt>
                <c:pt idx="27">
                  <c:v>40405</c:v>
                </c:pt>
                <c:pt idx="28">
                  <c:v>-19632</c:v>
                </c:pt>
                <c:pt idx="29">
                  <c:v>-398217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710976"/>
        <c:axId val="221712768"/>
      </c:lineChart>
      <c:dateAx>
        <c:axId val="221710976"/>
        <c:scaling>
          <c:orientation val="minMax"/>
        </c:scaling>
        <c:delete val="0"/>
        <c:axPos val="b"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m/d/yyyy" sourceLinked="1"/>
        <c:majorTickMark val="out"/>
        <c:minorTickMark val="none"/>
        <c:tickLblPos val="nextTo"/>
        <c:txPr>
          <a:bodyPr rot="-2700000"/>
          <a:lstStyle/>
          <a:p>
            <a:pPr>
              <a:defRPr sz="800"/>
            </a:pPr>
            <a:endParaRPr lang="ko-KR"/>
          </a:p>
        </c:txPr>
        <c:crossAx val="221712768"/>
        <c:crosses val="autoZero"/>
        <c:auto val="1"/>
        <c:lblOffset val="100"/>
        <c:baseTimeUnit val="days"/>
      </c:dateAx>
      <c:valAx>
        <c:axId val="22171276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/>
            </a:pPr>
            <a:endParaRPr lang="ko-KR"/>
          </a:p>
        </c:txPr>
        <c:crossAx val="22171097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10</xdr:row>
      <xdr:rowOff>123824</xdr:rowOff>
    </xdr:from>
    <xdr:to>
      <xdr:col>11</xdr:col>
      <xdr:colOff>752474</xdr:colOff>
      <xdr:row>33</xdr:row>
      <xdr:rowOff>47625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</xdr:row>
      <xdr:rowOff>238125</xdr:rowOff>
    </xdr:from>
    <xdr:to>
      <xdr:col>11</xdr:col>
      <xdr:colOff>733425</xdr:colOff>
      <xdr:row>62</xdr:row>
      <xdr:rowOff>104776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19050</xdr:rowOff>
    </xdr:from>
    <xdr:to>
      <xdr:col>12</xdr:col>
      <xdr:colOff>523875</xdr:colOff>
      <xdr:row>37</xdr:row>
      <xdr:rowOff>38100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33400"/>
          <a:ext cx="7800975" cy="584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28575</xdr:colOff>
      <xdr:row>38</xdr:row>
      <xdr:rowOff>161925</xdr:rowOff>
    </xdr:from>
    <xdr:to>
      <xdr:col>12</xdr:col>
      <xdr:colOff>523875</xdr:colOff>
      <xdr:row>68</xdr:row>
      <xdr:rowOff>9525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6677025"/>
          <a:ext cx="7810500" cy="4991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228600</xdr:colOff>
      <xdr:row>3</xdr:row>
      <xdr:rowOff>76200</xdr:rowOff>
    </xdr:from>
    <xdr:to>
      <xdr:col>3</xdr:col>
      <xdr:colOff>276225</xdr:colOff>
      <xdr:row>6</xdr:row>
      <xdr:rowOff>9525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38200" y="590550"/>
          <a:ext cx="1266825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295275</xdr:colOff>
      <xdr:row>3</xdr:row>
      <xdr:rowOff>85725</xdr:rowOff>
    </xdr:from>
    <xdr:to>
      <xdr:col>5</xdr:col>
      <xdr:colOff>247650</xdr:colOff>
      <xdr:row>10</xdr:row>
      <xdr:rowOff>19050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4075" y="600075"/>
          <a:ext cx="1171575" cy="1133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76200</xdr:colOff>
      <xdr:row>3</xdr:row>
      <xdr:rowOff>47625</xdr:rowOff>
    </xdr:from>
    <xdr:to>
      <xdr:col>8</xdr:col>
      <xdr:colOff>571500</xdr:colOff>
      <xdr:row>5</xdr:row>
      <xdr:rowOff>152400</xdr:rowOff>
    </xdr:to>
    <xdr:sp macro="" textlink="">
      <xdr:nvSpPr>
        <xdr:cNvPr id="6" name="설명선 1 5"/>
        <xdr:cNvSpPr/>
      </xdr:nvSpPr>
      <xdr:spPr>
        <a:xfrm>
          <a:off x="4343400" y="561975"/>
          <a:ext cx="1104900" cy="447675"/>
        </a:xfrm>
        <a:prstGeom prst="borderCallout1">
          <a:avLst>
            <a:gd name="adj1" fmla="val 18750"/>
            <a:gd name="adj2" fmla="val -8333"/>
            <a:gd name="adj3" fmla="val 18077"/>
            <a:gd name="adj4" fmla="val -199452"/>
          </a:avLst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>
              <a:solidFill>
                <a:schemeClr val="tx1">
                  <a:lumMod val="65000"/>
                  <a:lumOff val="35000"/>
                </a:schemeClr>
              </a:solidFill>
            </a:rPr>
            <a:t>KOSPI/KOSDAQ</a:t>
          </a:r>
          <a:r>
            <a:rPr lang="en-US" altLang="ko-KR" sz="900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ko-KR" alt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 업종 선택</a:t>
          </a:r>
          <a:endParaRPr lang="ko-KR" alt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219075</xdr:colOff>
      <xdr:row>5</xdr:row>
      <xdr:rowOff>142875</xdr:rowOff>
    </xdr:from>
    <xdr:to>
      <xdr:col>11</xdr:col>
      <xdr:colOff>104775</xdr:colOff>
      <xdr:row>8</xdr:row>
      <xdr:rowOff>76200</xdr:rowOff>
    </xdr:to>
    <xdr:sp macro="" textlink="">
      <xdr:nvSpPr>
        <xdr:cNvPr id="7" name="설명선 1 6"/>
        <xdr:cNvSpPr/>
      </xdr:nvSpPr>
      <xdr:spPr>
        <a:xfrm>
          <a:off x="5705475" y="1000125"/>
          <a:ext cx="1104900" cy="447675"/>
        </a:xfrm>
        <a:prstGeom prst="borderCallout1">
          <a:avLst>
            <a:gd name="adj1" fmla="val 18750"/>
            <a:gd name="adj2" fmla="val -8333"/>
            <a:gd name="adj3" fmla="val 20204"/>
            <a:gd name="adj4" fmla="val -215831"/>
          </a:avLst>
        </a:prstGeom>
        <a:noFill/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>
              <a:solidFill>
                <a:schemeClr val="tx1">
                  <a:lumMod val="65000"/>
                  <a:lumOff val="35000"/>
                </a:schemeClr>
              </a:solidFill>
            </a:rPr>
            <a:t>KOSPI/KOSDAQ</a:t>
          </a:r>
          <a:r>
            <a:rPr lang="en-US" altLang="ko-KR" sz="900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ko-KR" alt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 하위 업종 선택</a:t>
          </a:r>
          <a:endParaRPr lang="ko-KR" alt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S10002"/>
  <sheetViews>
    <sheetView showGridLines="0" tabSelected="1" zoomScaleNormal="100" workbookViewId="0"/>
  </sheetViews>
  <sheetFormatPr defaultRowHeight="13.5" x14ac:dyDescent="0.25"/>
  <cols>
    <col min="1" max="1" width="3.140625" customWidth="1"/>
    <col min="2" max="2" width="11.85546875" bestFit="1" customWidth="1"/>
    <col min="3" max="3" width="16.42578125" customWidth="1"/>
    <col min="4" max="4" width="2" customWidth="1"/>
    <col min="5" max="5" width="15" customWidth="1"/>
    <col min="6" max="6" width="12.28515625" bestFit="1" customWidth="1"/>
    <col min="10" max="11" width="9.140625" style="2"/>
    <col min="12" max="12" width="11.28515625" style="2" customWidth="1"/>
    <col min="13" max="13" width="9.140625" style="2"/>
    <col min="14" max="14" width="0" style="2" hidden="1" customWidth="1"/>
    <col min="15" max="17" width="9.140625" style="2" hidden="1" customWidth="1"/>
    <col min="18" max="18" width="9.140625" style="21" customWidth="1"/>
    <col min="19" max="25" width="9.140625" style="21"/>
    <col min="26" max="26" width="9.140625" style="6"/>
    <col min="27" max="27" width="9.5703125" style="6" bestFit="1" customWidth="1"/>
    <col min="28" max="28" width="9.140625" style="6"/>
    <col min="29" max="29" width="11.42578125" style="9" bestFit="1" customWidth="1"/>
    <col min="30" max="30" width="15.42578125" style="7" bestFit="1" customWidth="1"/>
    <col min="31" max="32" width="9.28515625" style="7" bestFit="1" customWidth="1"/>
    <col min="33" max="38" width="9.140625" style="9"/>
  </cols>
  <sheetData>
    <row r="1" spans="2:45" s="2" customFormat="1" ht="14.25" thickBot="1" x14ac:dyDescent="0.3">
      <c r="Q1" s="2" t="s">
        <v>198</v>
      </c>
      <c r="R1" s="21"/>
      <c r="S1" s="21"/>
      <c r="T1" s="21"/>
      <c r="U1" s="21"/>
      <c r="V1" s="21"/>
      <c r="W1" s="21"/>
      <c r="X1" s="21"/>
      <c r="Y1" s="21"/>
      <c r="Z1" s="6"/>
      <c r="AA1" s="6"/>
      <c r="AB1" s="6"/>
      <c r="AC1" s="6" t="str">
        <f ca="1">_xll.IMDH("IDX",$N$2,AC2:AF2,$C$5,$C$6,$C$7,"Per=일,sort=D,real=true,Bizday=2,Quote=종가,Pos=20,Orient=V,Title="&amp;$E$2&amp;",DtFmt=1,TmFmt=1,unit=true")</f>
        <v>KOSPI</v>
      </c>
      <c r="AD1" s="7">
        <v>1347637067</v>
      </c>
      <c r="AE1" s="7">
        <v>2.3148855308195072E+18</v>
      </c>
      <c r="AF1" s="7">
        <v>2.3148855308195072E+18</v>
      </c>
      <c r="AG1" s="6"/>
      <c r="AH1" s="6"/>
      <c r="AI1" s="6"/>
      <c r="AJ1" s="6"/>
      <c r="AK1" s="6"/>
      <c r="AL1" s="6"/>
    </row>
    <row r="2" spans="2:45" s="2" customFormat="1" ht="15.95" customHeight="1" thickBot="1" x14ac:dyDescent="0.3">
      <c r="B2" s="34" t="s">
        <v>196</v>
      </c>
      <c r="C2" s="33" t="s">
        <v>3</v>
      </c>
      <c r="E2" s="32" t="s">
        <v>3</v>
      </c>
      <c r="N2" s="20" t="str">
        <f>IF($C$2="KOSPI",VLOOKUP($E$2,업종코드!$B$2:$C$43,2,0),VLOOKUP($E$2,업종코드!$B$44:$C$96,2,0))</f>
        <v>001</v>
      </c>
      <c r="Q2" s="2" t="s">
        <v>199</v>
      </c>
      <c r="R2" s="21"/>
      <c r="S2" s="21"/>
      <c r="T2" s="21"/>
      <c r="U2" s="21"/>
      <c r="V2" s="21"/>
      <c r="W2" s="21"/>
      <c r="X2" s="21"/>
      <c r="Y2" s="21"/>
      <c r="Z2" s="6" t="s">
        <v>2</v>
      </c>
      <c r="AA2" s="6" t="s">
        <v>3</v>
      </c>
      <c r="AB2" s="6"/>
      <c r="AC2" s="6" t="s">
        <v>202</v>
      </c>
      <c r="AD2" s="8" t="s">
        <v>217</v>
      </c>
      <c r="AE2" s="7" t="s">
        <v>218</v>
      </c>
      <c r="AF2" s="7" t="s">
        <v>219</v>
      </c>
      <c r="AG2" s="9"/>
      <c r="AH2" s="9"/>
      <c r="AI2" s="9"/>
      <c r="AJ2" s="9" t="s">
        <v>1</v>
      </c>
      <c r="AK2" s="9" t="s">
        <v>2</v>
      </c>
      <c r="AL2" s="9"/>
      <c r="AM2"/>
      <c r="AN2"/>
      <c r="AO2"/>
      <c r="AP2"/>
      <c r="AQ2"/>
      <c r="AR2"/>
      <c r="AS2"/>
    </row>
    <row r="3" spans="2:45" s="2" customFormat="1" ht="15.95" customHeight="1" x14ac:dyDescent="0.25">
      <c r="B3"/>
      <c r="C3"/>
      <c r="D3"/>
      <c r="R3" s="21"/>
      <c r="S3" s="21"/>
      <c r="T3" s="21"/>
      <c r="U3" s="21"/>
      <c r="V3" s="21"/>
      <c r="W3" s="21"/>
      <c r="X3" s="21"/>
      <c r="Y3" s="21"/>
      <c r="Z3" s="6" t="s">
        <v>1</v>
      </c>
      <c r="AA3" s="10" t="s">
        <v>0</v>
      </c>
      <c r="AB3" s="6"/>
      <c r="AC3" s="8">
        <v>43738</v>
      </c>
      <c r="AD3" s="11"/>
      <c r="AE3" s="12"/>
      <c r="AF3" s="7"/>
      <c r="AG3" s="9"/>
      <c r="AH3" s="9"/>
      <c r="AI3" s="9"/>
      <c r="AJ3" s="10" t="s">
        <v>0</v>
      </c>
      <c r="AK3" s="9" t="s">
        <v>3</v>
      </c>
      <c r="AL3" s="9"/>
      <c r="AM3"/>
      <c r="AN3"/>
      <c r="AO3"/>
      <c r="AP3"/>
      <c r="AQ3"/>
      <c r="AR3"/>
      <c r="AS3"/>
    </row>
    <row r="4" spans="2:45" s="2" customFormat="1" ht="15.95" customHeight="1" x14ac:dyDescent="0.25">
      <c r="B4" s="24" t="s">
        <v>190</v>
      </c>
      <c r="C4" s="29">
        <f ca="1">NOW()</f>
        <v>43738.340934027779</v>
      </c>
      <c r="D4" s="22"/>
      <c r="E4" s="25" t="str">
        <f>E2</f>
        <v>KOSPI</v>
      </c>
      <c r="F4" s="27">
        <f>_xll.IMDP("IDX",$N$2,"현재가")</f>
        <v>2049.9299999999998</v>
      </c>
      <c r="I4" s="23"/>
      <c r="R4" s="21"/>
      <c r="S4" s="21"/>
      <c r="T4" s="21"/>
      <c r="U4" s="21"/>
      <c r="V4" s="21"/>
      <c r="W4" s="21"/>
      <c r="X4" s="21"/>
      <c r="Y4" s="21"/>
      <c r="Z4" s="6" t="s">
        <v>203</v>
      </c>
      <c r="AA4" s="13">
        <f>_xll.IMDP("IDX",$N$2,"기관순매수금액")</f>
        <v>-175508</v>
      </c>
      <c r="AB4" s="6"/>
      <c r="AC4" s="8">
        <v>43737</v>
      </c>
      <c r="AD4" s="11">
        <v>-175508</v>
      </c>
      <c r="AE4" s="12">
        <v>-24902</v>
      </c>
      <c r="AF4" s="7">
        <v>199479</v>
      </c>
      <c r="AG4" s="9"/>
      <c r="AH4" s="9"/>
      <c r="AI4" s="9"/>
      <c r="AJ4" s="10" t="s">
        <v>4</v>
      </c>
      <c r="AK4" s="9" t="s">
        <v>5</v>
      </c>
      <c r="AL4" s="9"/>
      <c r="AM4"/>
      <c r="AN4"/>
      <c r="AO4"/>
      <c r="AP4"/>
      <c r="AQ4"/>
      <c r="AR4"/>
      <c r="AS4"/>
    </row>
    <row r="5" spans="2:45" ht="15.95" customHeight="1" x14ac:dyDescent="0.25">
      <c r="B5" s="24" t="s">
        <v>191</v>
      </c>
      <c r="C5" s="30">
        <f ca="1">TODAY()-365</f>
        <v>43373</v>
      </c>
      <c r="D5" s="22"/>
      <c r="E5" s="25" t="s">
        <v>194</v>
      </c>
      <c r="F5" s="26">
        <f>_xll.IMDP("IDX",$N$2,"누적거래대금")</f>
        <v>3489260</v>
      </c>
      <c r="Z5" s="6" t="s">
        <v>204</v>
      </c>
      <c r="AA5" s="13">
        <f>_xll.IMDP("IDX",$N$2,"외국인합순매수금액")</f>
        <v>-24902</v>
      </c>
      <c r="AC5" s="8">
        <v>43736</v>
      </c>
      <c r="AD5" s="11">
        <v>-175508</v>
      </c>
      <c r="AE5" s="7">
        <v>-24902</v>
      </c>
      <c r="AF5" s="7">
        <v>199479</v>
      </c>
      <c r="AJ5" s="10" t="s">
        <v>6</v>
      </c>
      <c r="AK5" s="9" t="s">
        <v>7</v>
      </c>
    </row>
    <row r="6" spans="2:45" ht="15.95" customHeight="1" x14ac:dyDescent="0.25">
      <c r="B6" s="24" t="s">
        <v>192</v>
      </c>
      <c r="C6" s="30">
        <f ca="1">TODAY()</f>
        <v>43738</v>
      </c>
      <c r="D6" s="23"/>
      <c r="E6" s="25" t="s">
        <v>197</v>
      </c>
      <c r="F6" s="26">
        <f>_xll.IMDP("IDX",$N$2,"시가총액")/100000000</f>
        <v>13707048.411163321</v>
      </c>
      <c r="O6" s="2" t="str">
        <f>IF($C$2="KOSPI",VLOOKUP($C$2,업종코드!A2:C2,2,0),VLOOKUP($C$2,업종코드!A44:C44,2,0))</f>
        <v>KOSPI</v>
      </c>
      <c r="P6" s="2" t="str">
        <f>IF(ISERROR(O6),"",O6)</f>
        <v>KOSPI</v>
      </c>
      <c r="Z6" s="6" t="s">
        <v>205</v>
      </c>
      <c r="AA6" s="13">
        <f>_xll.IMDP("IDX",$N$2,"개인순매수금액")</f>
        <v>199479</v>
      </c>
      <c r="AC6" s="8">
        <v>43735</v>
      </c>
      <c r="AD6" s="11">
        <v>-175508</v>
      </c>
      <c r="AE6" s="7">
        <v>-24902</v>
      </c>
      <c r="AF6" s="7">
        <v>199479</v>
      </c>
      <c r="AJ6" s="10" t="s">
        <v>8</v>
      </c>
      <c r="AK6" s="9" t="s">
        <v>9</v>
      </c>
    </row>
    <row r="7" spans="2:45" s="2" customFormat="1" ht="15.95" customHeight="1" x14ac:dyDescent="0.25">
      <c r="B7" s="24" t="s">
        <v>193</v>
      </c>
      <c r="C7" s="31">
        <v>30</v>
      </c>
      <c r="D7" s="23"/>
      <c r="E7" s="25" t="s">
        <v>195</v>
      </c>
      <c r="F7" s="28">
        <f>_xll.IMDP("IDX",$N$2,"상장종목수")</f>
        <v>901</v>
      </c>
      <c r="O7" s="2" t="str">
        <f>IF($C$2="KOSPI",VLOOKUP($C$2,업종코드!A3:C3,2,0),VLOOKUP($C$2,업종코드!A45:C45,2,0))</f>
        <v>KOSPI200</v>
      </c>
      <c r="P7" s="2" t="str">
        <f t="shared" ref="P7:P58" si="0">IF(ISERROR(O7),"",O7)</f>
        <v>KOSPI200</v>
      </c>
      <c r="R7" s="21"/>
      <c r="S7" s="21"/>
      <c r="T7" s="21"/>
      <c r="U7" s="21"/>
      <c r="V7" s="21"/>
      <c r="W7" s="21"/>
      <c r="X7" s="21"/>
      <c r="Y7" s="21"/>
      <c r="Z7" s="6" t="s">
        <v>206</v>
      </c>
      <c r="AA7" s="13">
        <f>_xll.IMDP("IDX",$N$2,"증권/선물순매수금액")</f>
        <v>-50180</v>
      </c>
      <c r="AB7" s="6"/>
      <c r="AC7" s="8">
        <v>43734</v>
      </c>
      <c r="AD7" s="11">
        <v>-384837</v>
      </c>
      <c r="AE7" s="7">
        <v>315989</v>
      </c>
      <c r="AF7" s="7">
        <v>51753</v>
      </c>
      <c r="AG7" s="6"/>
      <c r="AH7" s="6"/>
      <c r="AI7" s="6"/>
      <c r="AJ7" s="10" t="s">
        <v>10</v>
      </c>
      <c r="AK7" s="9" t="s">
        <v>11</v>
      </c>
      <c r="AL7" s="6"/>
    </row>
    <row r="8" spans="2:45" x14ac:dyDescent="0.25">
      <c r="F8" s="5"/>
      <c r="L8" s="4"/>
      <c r="O8" s="2" t="str">
        <f>IF($C$2="KOSPI",VLOOKUP($C$2,업종코드!A4:C4,2,0),VLOOKUP($C$2,업종코드!A46:C46,2,0))</f>
        <v>음식료품</v>
      </c>
      <c r="P8" s="2" t="str">
        <f t="shared" si="0"/>
        <v>음식료품</v>
      </c>
      <c r="Z8" s="6" t="s">
        <v>207</v>
      </c>
      <c r="AA8" s="13">
        <f>_xll.IMDP("IDX",$N$2,"보험순매수금액")</f>
        <v>-45009</v>
      </c>
      <c r="AC8" s="8">
        <v>43733</v>
      </c>
      <c r="AD8" s="11">
        <v>129147</v>
      </c>
      <c r="AE8" s="7">
        <v>-366056</v>
      </c>
      <c r="AF8" s="7">
        <v>222585</v>
      </c>
      <c r="AJ8" s="10" t="s">
        <v>12</v>
      </c>
      <c r="AK8" s="9" t="s">
        <v>13</v>
      </c>
    </row>
    <row r="9" spans="2:45" x14ac:dyDescent="0.25">
      <c r="O9" s="2" t="str">
        <f>IF($C$2="KOSPI",VLOOKUP($C$2,업종코드!A5:C5,2,0),VLOOKUP($C$2,업종코드!A47:C47,2,0))</f>
        <v>섬유.의복</v>
      </c>
      <c r="P9" s="2" t="str">
        <f t="shared" si="0"/>
        <v>섬유.의복</v>
      </c>
      <c r="Z9" s="6" t="s">
        <v>208</v>
      </c>
      <c r="AA9" s="13">
        <f>_xll.IMDP("IDX",$N$2,"투신순매수금액")</f>
        <v>-11165</v>
      </c>
      <c r="AC9" s="8">
        <v>43732</v>
      </c>
      <c r="AD9" s="11">
        <v>377963</v>
      </c>
      <c r="AE9" s="7">
        <v>-216240</v>
      </c>
      <c r="AF9" s="7">
        <v>-162029</v>
      </c>
      <c r="AJ9" s="10" t="s">
        <v>14</v>
      </c>
      <c r="AK9" s="9" t="s">
        <v>15</v>
      </c>
    </row>
    <row r="10" spans="2:45" ht="24.95" customHeight="1" x14ac:dyDescent="0.25">
      <c r="B10" s="35" t="str">
        <f>$C$2&amp;"/"&amp;$E$2&amp;""&amp;" "&amp;"당일 투자자 순매수 현황"</f>
        <v>KOSPI/KOSPI 당일 투자자 순매수 현황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O10" s="2" t="str">
        <f>IF($C$2="KOSPI",VLOOKUP($C$2,업종코드!A6:C6,2,0),VLOOKUP($C$2,업종코드!A48:C48,2,0))</f>
        <v>종이.목재</v>
      </c>
      <c r="P10" s="2" t="str">
        <f t="shared" si="0"/>
        <v>종이.목재</v>
      </c>
      <c r="Z10" s="6" t="s">
        <v>209</v>
      </c>
      <c r="AA10" s="13">
        <f>_xll.IMDP("IDX",$N$2,"사모펀드순매수금액")</f>
        <v>-31189</v>
      </c>
      <c r="AC10" s="8">
        <v>43731</v>
      </c>
      <c r="AD10" s="11">
        <v>83894</v>
      </c>
      <c r="AE10" s="7">
        <v>-68884</v>
      </c>
      <c r="AF10" s="7">
        <v>-22348</v>
      </c>
      <c r="AJ10" s="10" t="s">
        <v>16</v>
      </c>
      <c r="AK10" s="9" t="s">
        <v>17</v>
      </c>
    </row>
    <row r="11" spans="2:45" ht="9.9499999999999993" customHeight="1" x14ac:dyDescent="0.25">
      <c r="O11" s="2" t="str">
        <f>IF($C$2="KOSPI",VLOOKUP($C$2,업종코드!A7:C7,2,0),VLOOKUP($C$2,업종코드!A49:C49,2,0))</f>
        <v>화학</v>
      </c>
      <c r="P11" s="2" t="str">
        <f t="shared" si="0"/>
        <v>화학</v>
      </c>
      <c r="Z11" s="6" t="s">
        <v>210</v>
      </c>
      <c r="AA11" s="13">
        <f>_xll.IMDP("IDX",$N$2,"은행순매수금액")</f>
        <v>3127</v>
      </c>
      <c r="AC11" s="8">
        <v>43730</v>
      </c>
      <c r="AD11" s="11">
        <v>181592</v>
      </c>
      <c r="AE11" s="7">
        <v>44515</v>
      </c>
      <c r="AF11" s="7">
        <v>-214725</v>
      </c>
      <c r="AJ11" s="10" t="s">
        <v>18</v>
      </c>
      <c r="AK11" s="9" t="s">
        <v>19</v>
      </c>
    </row>
    <row r="12" spans="2:45" x14ac:dyDescent="0.25">
      <c r="O12" s="2" t="str">
        <f>IF($C$2="KOSPI",VLOOKUP($C$2,업종코드!A8:C8,2,0),VLOOKUP($C$2,업종코드!A50:C50,2,0))</f>
        <v>의약품</v>
      </c>
      <c r="P12" s="2" t="str">
        <f t="shared" si="0"/>
        <v>의약품</v>
      </c>
      <c r="Z12" s="6" t="s">
        <v>211</v>
      </c>
      <c r="AA12" s="13">
        <f>_xll.IMDP("IDX",$N$2,"종신금순매수금액")</f>
        <v>996</v>
      </c>
      <c r="AC12" s="8">
        <v>43729</v>
      </c>
      <c r="AD12" s="11">
        <v>181592</v>
      </c>
      <c r="AE12" s="7">
        <v>44515</v>
      </c>
      <c r="AF12" s="7">
        <v>-214725</v>
      </c>
      <c r="AJ12" s="10" t="s">
        <v>20</v>
      </c>
      <c r="AK12" s="9" t="s">
        <v>21</v>
      </c>
    </row>
    <row r="13" spans="2:45" x14ac:dyDescent="0.25">
      <c r="B13" s="1"/>
      <c r="C13" s="2"/>
      <c r="O13" s="2" t="str">
        <f>IF($C$2="KOSPI",VLOOKUP($C$2,업종코드!A9:C9,2,0),VLOOKUP($C$2,업종코드!A51:C51,2,0))</f>
        <v>비금속광물</v>
      </c>
      <c r="P13" s="2" t="str">
        <f t="shared" si="0"/>
        <v>비금속광물</v>
      </c>
      <c r="Z13" s="6" t="s">
        <v>212</v>
      </c>
      <c r="AA13" s="13">
        <f>_xll.IMDP("IDX",$N$2,"연기금순매수금액")</f>
        <v>-42088</v>
      </c>
      <c r="AC13" s="8">
        <v>43728</v>
      </c>
      <c r="AD13" s="11">
        <v>181592</v>
      </c>
      <c r="AE13" s="7">
        <v>44515</v>
      </c>
      <c r="AF13" s="7">
        <v>-214725</v>
      </c>
      <c r="AJ13" s="10" t="s">
        <v>22</v>
      </c>
      <c r="AK13" s="9" t="s">
        <v>23</v>
      </c>
    </row>
    <row r="14" spans="2:45" x14ac:dyDescent="0.25">
      <c r="O14" s="2" t="str">
        <f>IF($C$2="KOSPI",VLOOKUP($C$2,업종코드!A10:C10,2,0),VLOOKUP($C$2,업종코드!A52:C52,2,0))</f>
        <v>철강.금속</v>
      </c>
      <c r="P14" s="2" t="str">
        <f t="shared" si="0"/>
        <v>철강.금속</v>
      </c>
      <c r="Z14" s="6" t="s">
        <v>213</v>
      </c>
      <c r="AA14" s="13">
        <f>_xll.IMDP("IDX",$N$2,"국가/지방순매수금액")</f>
        <v>0</v>
      </c>
      <c r="AC14" s="8">
        <v>43727</v>
      </c>
      <c r="AD14" s="11">
        <v>-99307</v>
      </c>
      <c r="AE14" s="7">
        <v>218143</v>
      </c>
      <c r="AF14" s="7">
        <v>-101076</v>
      </c>
      <c r="AJ14" s="10" t="s">
        <v>24</v>
      </c>
      <c r="AK14" s="9" t="s">
        <v>25</v>
      </c>
    </row>
    <row r="15" spans="2:45" x14ac:dyDescent="0.25">
      <c r="O15" s="2" t="str">
        <f>IF($C$2="KOSPI",VLOOKUP($C$2,업종코드!A11:C11,2,0),VLOOKUP($C$2,업종코드!A53:C53,2,0))</f>
        <v>기계</v>
      </c>
      <c r="P15" s="2" t="str">
        <f t="shared" si="0"/>
        <v>기계</v>
      </c>
      <c r="Z15" s="6" t="s">
        <v>214</v>
      </c>
      <c r="AA15" s="13">
        <f>_xll.IMDP("IDX",$N$2,"기타순매수금액")</f>
        <v>930</v>
      </c>
      <c r="AC15" s="8">
        <v>43726</v>
      </c>
      <c r="AD15" s="11">
        <v>107449</v>
      </c>
      <c r="AE15" s="7">
        <v>55855</v>
      </c>
      <c r="AF15" s="7">
        <v>-161556</v>
      </c>
      <c r="AJ15" s="10" t="s">
        <v>26</v>
      </c>
      <c r="AK15" s="9" t="s">
        <v>27</v>
      </c>
    </row>
    <row r="16" spans="2:45" x14ac:dyDescent="0.25">
      <c r="O16" s="2" t="str">
        <f>IF($C$2="KOSPI",VLOOKUP($C$2,업종코드!A12:C12,2,0),VLOOKUP($C$2,업종코드!A54:C54,2,0))</f>
        <v>전기.전자</v>
      </c>
      <c r="P16" s="2" t="str">
        <f t="shared" si="0"/>
        <v>전기.전자</v>
      </c>
      <c r="Z16" s="6" t="s">
        <v>215</v>
      </c>
      <c r="AA16" s="13">
        <f>_xll.IMDP("IDX",$N$2,"외국인순매수금액")</f>
        <v>-24893</v>
      </c>
      <c r="AC16" s="8">
        <v>43725</v>
      </c>
      <c r="AD16" s="11">
        <v>96186</v>
      </c>
      <c r="AE16" s="7">
        <v>-80499</v>
      </c>
      <c r="AF16" s="7">
        <v>-31325</v>
      </c>
      <c r="AJ16" s="10" t="s">
        <v>28</v>
      </c>
      <c r="AK16" s="9" t="s">
        <v>29</v>
      </c>
    </row>
    <row r="17" spans="3:37" x14ac:dyDescent="0.25">
      <c r="O17" s="2" t="str">
        <f>IF($C$2="KOSPI",VLOOKUP($C$2,업종코드!A13:C13,2,0),VLOOKUP($C$2,업종코드!A55:C55,2,0))</f>
        <v>의료정밀</v>
      </c>
      <c r="P17" s="2" t="str">
        <f t="shared" si="0"/>
        <v>의료정밀</v>
      </c>
      <c r="Z17" s="6" t="s">
        <v>216</v>
      </c>
      <c r="AA17" s="13">
        <f>_xll.IMDP("IDX",$N$2,"외인기타순매수금액")</f>
        <v>-9</v>
      </c>
      <c r="AC17" s="8">
        <v>43724</v>
      </c>
      <c r="AD17" s="11">
        <v>198209</v>
      </c>
      <c r="AE17" s="7">
        <v>-160249</v>
      </c>
      <c r="AF17" s="7">
        <v>-45666</v>
      </c>
      <c r="AJ17" s="10" t="s">
        <v>30</v>
      </c>
      <c r="AK17" s="9" t="s">
        <v>31</v>
      </c>
    </row>
    <row r="18" spans="3:37" x14ac:dyDescent="0.25">
      <c r="O18" s="2" t="str">
        <f>IF($C$2="KOSPI",VLOOKUP($C$2,업종코드!A14:C14,2,0),VLOOKUP($C$2,업종코드!A56:C56,2,0))</f>
        <v>운수.장비</v>
      </c>
      <c r="P18" s="2" t="str">
        <f t="shared" si="0"/>
        <v>운수.장비</v>
      </c>
      <c r="AC18" s="8">
        <v>43723</v>
      </c>
      <c r="AD18" s="11">
        <v>613450</v>
      </c>
      <c r="AE18" s="7">
        <v>-283728</v>
      </c>
      <c r="AF18" s="7">
        <v>-334423</v>
      </c>
      <c r="AJ18" s="10" t="s">
        <v>32</v>
      </c>
      <c r="AK18" s="9" t="s">
        <v>33</v>
      </c>
    </row>
    <row r="19" spans="3:37" x14ac:dyDescent="0.25">
      <c r="O19" s="2" t="str">
        <f>IF($C$2="KOSPI",VLOOKUP($C$2,업종코드!A15:C15,2,0),VLOOKUP($C$2,업종코드!A57:C57,2,0))</f>
        <v>유통업</v>
      </c>
      <c r="P19" s="2" t="str">
        <f t="shared" si="0"/>
        <v>유통업</v>
      </c>
      <c r="AC19" s="8">
        <v>43722</v>
      </c>
      <c r="AD19" s="11">
        <v>613450</v>
      </c>
      <c r="AE19" s="7">
        <v>-283728</v>
      </c>
      <c r="AF19" s="7">
        <v>-334423</v>
      </c>
      <c r="AJ19" s="10" t="s">
        <v>34</v>
      </c>
      <c r="AK19" s="9" t="s">
        <v>35</v>
      </c>
    </row>
    <row r="20" spans="3:37" x14ac:dyDescent="0.25">
      <c r="C20" s="3"/>
      <c r="O20" s="2" t="str">
        <f>IF($C$2="KOSPI",VLOOKUP($C$2,업종코드!A16:C16,2,0),VLOOKUP($C$2,업종코드!A58:C58,2,0))</f>
        <v>전기.가스업</v>
      </c>
      <c r="P20" s="2" t="str">
        <f t="shared" si="0"/>
        <v>전기.가스업</v>
      </c>
      <c r="AC20" s="8">
        <v>43721</v>
      </c>
      <c r="AD20" s="11">
        <v>613450</v>
      </c>
      <c r="AE20" s="7">
        <v>-283728</v>
      </c>
      <c r="AF20" s="7">
        <v>-334423</v>
      </c>
      <c r="AJ20" s="10" t="s">
        <v>36</v>
      </c>
      <c r="AK20" s="9" t="s">
        <v>37</v>
      </c>
    </row>
    <row r="21" spans="3:37" x14ac:dyDescent="0.25">
      <c r="C21" s="3"/>
      <c r="O21" s="2" t="str">
        <f>IF($C$2="KOSPI",VLOOKUP($C$2,업종코드!A17:C17,2,0),VLOOKUP($C$2,업종코드!A59:C59,2,0))</f>
        <v>건설업</v>
      </c>
      <c r="P21" s="2" t="str">
        <f t="shared" si="0"/>
        <v>건설업</v>
      </c>
      <c r="AC21" s="8">
        <v>43720</v>
      </c>
      <c r="AD21" s="11">
        <v>613450</v>
      </c>
      <c r="AE21" s="7">
        <v>-283728</v>
      </c>
      <c r="AF21" s="7">
        <v>-334423</v>
      </c>
      <c r="AJ21" s="10" t="s">
        <v>38</v>
      </c>
      <c r="AK21" s="9" t="s">
        <v>39</v>
      </c>
    </row>
    <row r="22" spans="3:37" x14ac:dyDescent="0.25">
      <c r="O22" s="2" t="str">
        <f>IF($C$2="KOSPI",VLOOKUP($C$2,업종코드!A18:C18,2,0),VLOOKUP($C$2,업종코드!A60:C60,2,0))</f>
        <v>운수.창고</v>
      </c>
      <c r="P22" s="2" t="str">
        <f t="shared" si="0"/>
        <v>운수.창고</v>
      </c>
      <c r="AC22" s="8">
        <v>43719</v>
      </c>
      <c r="AD22" s="11">
        <v>613450</v>
      </c>
      <c r="AE22" s="7">
        <v>-283728</v>
      </c>
      <c r="AF22" s="7">
        <v>-334423</v>
      </c>
      <c r="AJ22" s="10" t="s">
        <v>40</v>
      </c>
      <c r="AK22" s="9" t="s">
        <v>41</v>
      </c>
    </row>
    <row r="23" spans="3:37" x14ac:dyDescent="0.25">
      <c r="O23" s="2" t="str">
        <f>IF($C$2="KOSPI",VLOOKUP($C$2,업종코드!A19:C19,2,0),VLOOKUP($C$2,업종코드!A61:C61,2,0))</f>
        <v>통신업</v>
      </c>
      <c r="P23" s="2" t="str">
        <f t="shared" si="0"/>
        <v>통신업</v>
      </c>
      <c r="AC23" s="8">
        <v>43718</v>
      </c>
      <c r="AD23" s="11">
        <v>171306</v>
      </c>
      <c r="AE23" s="7">
        <v>14629</v>
      </c>
      <c r="AF23" s="7">
        <v>-191938</v>
      </c>
      <c r="AJ23" s="10" t="s">
        <v>42</v>
      </c>
      <c r="AK23" s="9" t="s">
        <v>43</v>
      </c>
    </row>
    <row r="24" spans="3:37" x14ac:dyDescent="0.25">
      <c r="O24" s="2" t="str">
        <f>IF($C$2="KOSPI",VLOOKUP($C$2,업종코드!A20:C20,2,0),VLOOKUP($C$2,업종코드!A62:C62,2,0))</f>
        <v>금융업</v>
      </c>
      <c r="P24" s="2" t="str">
        <f t="shared" si="0"/>
        <v>금융업</v>
      </c>
      <c r="AC24" s="8">
        <v>43717</v>
      </c>
      <c r="AD24" s="11">
        <v>-74669</v>
      </c>
      <c r="AE24" s="7">
        <v>233532</v>
      </c>
      <c r="AF24" s="7">
        <v>-173011</v>
      </c>
      <c r="AJ24" s="10" t="s">
        <v>44</v>
      </c>
      <c r="AK24" s="9" t="s">
        <v>45</v>
      </c>
    </row>
    <row r="25" spans="3:37" x14ac:dyDescent="0.25">
      <c r="O25" s="2" t="str">
        <f>IF($C$2="KOSPI",VLOOKUP($C$2,업종코드!A21:C21,2,0),VLOOKUP($C$2,업종코드!A63:C63,2,0))</f>
        <v>은행</v>
      </c>
      <c r="P25" s="2" t="str">
        <f t="shared" si="0"/>
        <v>은행</v>
      </c>
      <c r="AC25" s="8">
        <v>43716</v>
      </c>
      <c r="AD25" s="11">
        <v>-19924</v>
      </c>
      <c r="AE25" s="7">
        <v>48317</v>
      </c>
      <c r="AF25" s="7">
        <v>-33834</v>
      </c>
      <c r="AJ25" s="10" t="s">
        <v>46</v>
      </c>
      <c r="AK25" s="9" t="s">
        <v>47</v>
      </c>
    </row>
    <row r="26" spans="3:37" x14ac:dyDescent="0.25">
      <c r="O26" s="2" t="str">
        <f>IF($C$2="KOSPI",VLOOKUP($C$2,업종코드!A22:C22,2,0),VLOOKUP($C$2,업종코드!A64:C64,2,0))</f>
        <v>증권</v>
      </c>
      <c r="P26" s="2" t="str">
        <f t="shared" si="0"/>
        <v>증권</v>
      </c>
      <c r="AC26" s="8">
        <v>43715</v>
      </c>
      <c r="AD26" s="11">
        <v>-19924</v>
      </c>
      <c r="AE26" s="7">
        <v>48317</v>
      </c>
      <c r="AF26" s="7">
        <v>-33834</v>
      </c>
      <c r="AJ26" s="10" t="s">
        <v>48</v>
      </c>
      <c r="AK26" s="9" t="s">
        <v>49</v>
      </c>
    </row>
    <row r="27" spans="3:37" x14ac:dyDescent="0.25">
      <c r="O27" s="2" t="str">
        <f>IF($C$2="KOSPI",VLOOKUP($C$2,업종코드!A23:C23,2,0),VLOOKUP($C$2,업종코드!A65:C65,2,0))</f>
        <v>보험</v>
      </c>
      <c r="P27" s="2" t="str">
        <f t="shared" si="0"/>
        <v>보험</v>
      </c>
      <c r="AC27" s="8">
        <v>43714</v>
      </c>
      <c r="AD27" s="11">
        <v>-19924</v>
      </c>
      <c r="AE27" s="7">
        <v>48317</v>
      </c>
      <c r="AF27" s="7">
        <v>-33834</v>
      </c>
      <c r="AJ27" s="10" t="s">
        <v>50</v>
      </c>
      <c r="AK27" s="9" t="s">
        <v>51</v>
      </c>
    </row>
    <row r="28" spans="3:37" x14ac:dyDescent="0.25">
      <c r="O28" s="2" t="str">
        <f>IF($C$2="KOSPI",VLOOKUP($C$2,업종코드!A24:C24,2,0),VLOOKUP($C$2,업종코드!A66:C66,2,0))</f>
        <v>서비스업</v>
      </c>
      <c r="P28" s="2" t="str">
        <f t="shared" si="0"/>
        <v>서비스업</v>
      </c>
      <c r="AC28" s="8">
        <v>43713</v>
      </c>
      <c r="AD28" s="11">
        <v>92946</v>
      </c>
      <c r="AE28" s="7">
        <v>188027</v>
      </c>
      <c r="AF28" s="7">
        <v>-284403</v>
      </c>
      <c r="AJ28" s="10" t="s">
        <v>52</v>
      </c>
      <c r="AK28" s="9" t="s">
        <v>53</v>
      </c>
    </row>
    <row r="29" spans="3:37" x14ac:dyDescent="0.25">
      <c r="O29" s="2" t="str">
        <f>IF($C$2="KOSPI",VLOOKUP($C$2,업종코드!A25:C25,2,0),VLOOKUP($C$2,업종코드!A67:C67,2,0))</f>
        <v>제조업</v>
      </c>
      <c r="P29" s="2" t="str">
        <f t="shared" si="0"/>
        <v>제조업</v>
      </c>
      <c r="AC29" s="8">
        <v>43712</v>
      </c>
      <c r="AD29" s="11">
        <v>482954</v>
      </c>
      <c r="AE29" s="7">
        <v>-350240</v>
      </c>
      <c r="AF29" s="7">
        <v>-149629</v>
      </c>
      <c r="AJ29" s="10" t="s">
        <v>54</v>
      </c>
      <c r="AK29" s="9" t="s">
        <v>55</v>
      </c>
    </row>
    <row r="30" spans="3:37" x14ac:dyDescent="0.25">
      <c r="O30" s="2" t="str">
        <f>IF($C$2="KOSPI",VLOOKUP($C$2,업종코드!A26:C26,2,0),VLOOKUP($C$2,업종코드!A68:C68,2,0))</f>
        <v>대형주</v>
      </c>
      <c r="P30" s="2" t="str">
        <f t="shared" si="0"/>
        <v>대형주</v>
      </c>
      <c r="AC30" s="8">
        <v>43711</v>
      </c>
      <c r="AD30" s="11">
        <v>249135</v>
      </c>
      <c r="AE30" s="7">
        <v>-305063</v>
      </c>
      <c r="AF30" s="7">
        <v>40405</v>
      </c>
      <c r="AJ30" s="10" t="s">
        <v>56</v>
      </c>
      <c r="AK30" s="9" t="s">
        <v>57</v>
      </c>
    </row>
    <row r="31" spans="3:37" x14ac:dyDescent="0.25">
      <c r="O31" s="2" t="str">
        <f>IF($C$2="KOSPI",VLOOKUP($C$2,업종코드!A27:C27,2,0),VLOOKUP($C$2,업종코드!A69:C69,2,0))</f>
        <v>중형주</v>
      </c>
      <c r="P31" s="2" t="str">
        <f t="shared" si="0"/>
        <v>중형주</v>
      </c>
      <c r="AC31" s="8">
        <v>43710</v>
      </c>
      <c r="AD31" s="11">
        <v>132218</v>
      </c>
      <c r="AE31" s="7">
        <v>-124190</v>
      </c>
      <c r="AF31" s="7">
        <v>-19632</v>
      </c>
      <c r="AJ31" s="10" t="s">
        <v>58</v>
      </c>
      <c r="AK31" s="9" t="s">
        <v>59</v>
      </c>
    </row>
    <row r="32" spans="3:37" ht="9.9499999999999993" customHeight="1" x14ac:dyDescent="0.25">
      <c r="O32" s="2" t="str">
        <f>IF($C$2="KOSPI",VLOOKUP($C$2,업종코드!A28:C28,2,0),VLOOKUP($C$2,업종코드!A70:C70,2,0))</f>
        <v>소형주</v>
      </c>
      <c r="P32" s="2" t="str">
        <f t="shared" si="0"/>
        <v>소형주</v>
      </c>
      <c r="AC32" s="8">
        <v>43709</v>
      </c>
      <c r="AD32" s="11">
        <v>165160</v>
      </c>
      <c r="AE32" s="7">
        <v>224313</v>
      </c>
      <c r="AF32" s="7">
        <v>-398217</v>
      </c>
      <c r="AJ32" s="10" t="s">
        <v>60</v>
      </c>
      <c r="AK32" s="9" t="s">
        <v>61</v>
      </c>
    </row>
    <row r="33" spans="2:37" ht="9.9499999999999993" customHeight="1" x14ac:dyDescent="0.25">
      <c r="O33" s="2" t="str">
        <f>IF($C$2="KOSPI",VLOOKUP($C$2,업종코드!A29:C29,2,0),VLOOKUP($C$2,업종코드!A71:C71,2,0))</f>
        <v>K건설기계</v>
      </c>
      <c r="P33" s="2" t="str">
        <f t="shared" si="0"/>
        <v>K건설기계</v>
      </c>
      <c r="AC33" s="8"/>
      <c r="AD33" s="11"/>
      <c r="AJ33" s="10" t="s">
        <v>62</v>
      </c>
      <c r="AK33" s="9" t="s">
        <v>63</v>
      </c>
    </row>
    <row r="34" spans="2:37" ht="9.9499999999999993" customHeight="1" x14ac:dyDescent="0.25">
      <c r="O34" s="2" t="str">
        <f>IF($C$2="KOSPI",VLOOKUP($C$2,업종코드!A30:C30,2,0),VLOOKUP($C$2,업종코드!A72:C72,2,0))</f>
        <v>K조선운송</v>
      </c>
      <c r="P34" s="2" t="str">
        <f t="shared" si="0"/>
        <v>K조선운송</v>
      </c>
      <c r="AC34" s="8"/>
      <c r="AD34" s="11"/>
      <c r="AJ34" s="10" t="s">
        <v>64</v>
      </c>
      <c r="AK34" s="9" t="s">
        <v>65</v>
      </c>
    </row>
    <row r="35" spans="2:37" ht="9.9499999999999993" customHeight="1" x14ac:dyDescent="0.25">
      <c r="O35" s="2" t="str">
        <f>IF($C$2="KOSPI",VLOOKUP($C$2,업종코드!A31:C31,2,0),VLOOKUP($C$2,업종코드!A73:C73,2,0))</f>
        <v>K철강소재</v>
      </c>
      <c r="P35" s="2" t="str">
        <f t="shared" si="0"/>
        <v>K철강소재</v>
      </c>
      <c r="AC35" s="8"/>
      <c r="AD35" s="11"/>
      <c r="AJ35" s="10" t="s">
        <v>66</v>
      </c>
      <c r="AK35" s="9" t="s">
        <v>67</v>
      </c>
    </row>
    <row r="36" spans="2:37" ht="24.95" customHeight="1" x14ac:dyDescent="0.25">
      <c r="B36" s="35" t="str">
        <f>$C$2&amp;"/"&amp;$E$2&amp;""&amp;" "&amp;"투자자 순매수 추이"</f>
        <v>KOSPI/KOSPI 투자자 순매수 추이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O36" s="2" t="str">
        <f>IF($C$2="KOSPI",VLOOKUP($C$2,업종코드!A32:C32,2,0),VLOOKUP($C$2,업종코드!A74:C74,2,0))</f>
        <v>K에너지화학</v>
      </c>
      <c r="P36" s="2" t="str">
        <f t="shared" si="0"/>
        <v>K에너지화학</v>
      </c>
      <c r="AC36" s="8"/>
      <c r="AD36" s="11"/>
      <c r="AJ36" s="10" t="s">
        <v>68</v>
      </c>
      <c r="AK36" s="9" t="s">
        <v>69</v>
      </c>
    </row>
    <row r="37" spans="2:37" ht="9.9499999999999993" customHeight="1" x14ac:dyDescent="0.25">
      <c r="O37" s="2" t="str">
        <f>IF($C$2="KOSPI",VLOOKUP($C$2,업종코드!A33:C33,2,0),VLOOKUP($C$2,업종코드!A75:C75,2,0))</f>
        <v>K정보통신</v>
      </c>
      <c r="P37" s="2" t="str">
        <f t="shared" si="0"/>
        <v>K정보통신</v>
      </c>
      <c r="AC37" s="8"/>
      <c r="AD37" s="11"/>
      <c r="AJ37" s="10" t="s">
        <v>70</v>
      </c>
      <c r="AK37" s="9" t="s">
        <v>71</v>
      </c>
    </row>
    <row r="38" spans="2:37" x14ac:dyDescent="0.25">
      <c r="O38" s="2" t="str">
        <f>IF($C$2="KOSPI",VLOOKUP($C$2,업종코드!A34:C34,2,0),VLOOKUP($C$2,업종코드!A76:C76,2,0))</f>
        <v>K금융</v>
      </c>
      <c r="P38" s="2" t="str">
        <f t="shared" si="0"/>
        <v>K금융</v>
      </c>
      <c r="AC38" s="8"/>
      <c r="AD38" s="11"/>
      <c r="AJ38" s="10" t="s">
        <v>72</v>
      </c>
      <c r="AK38" s="9" t="s">
        <v>73</v>
      </c>
    </row>
    <row r="39" spans="2:37" x14ac:dyDescent="0.25">
      <c r="O39" s="2" t="str">
        <f>IF($C$2="KOSPI",VLOOKUP($C$2,업종코드!A35:C35,2,0),VLOOKUP($C$2,업종코드!A77:C77,2,0))</f>
        <v>K필수소비재</v>
      </c>
      <c r="P39" s="2" t="str">
        <f t="shared" si="0"/>
        <v>K필수소비재</v>
      </c>
      <c r="AC39" s="8"/>
      <c r="AD39" s="11"/>
      <c r="AJ39" s="10" t="s">
        <v>74</v>
      </c>
      <c r="AK39" s="9" t="s">
        <v>75</v>
      </c>
    </row>
    <row r="40" spans="2:37" x14ac:dyDescent="0.25">
      <c r="O40" s="2" t="str">
        <f>IF($C$2="KOSPI",VLOOKUP($C$2,업종코드!A36:C36,2,0),VLOOKUP($C$2,업종코드!A78:C78,2,0))</f>
        <v>K자유소비재</v>
      </c>
      <c r="P40" s="2" t="str">
        <f t="shared" si="0"/>
        <v>K자유소비재</v>
      </c>
      <c r="AC40" s="8"/>
      <c r="AD40" s="11"/>
      <c r="AJ40" s="10" t="s">
        <v>76</v>
      </c>
      <c r="AK40" s="9" t="s">
        <v>77</v>
      </c>
    </row>
    <row r="41" spans="2:37" x14ac:dyDescent="0.25">
      <c r="O41" s="2" t="str">
        <f>IF($C$2="KOSPI",VLOOKUP($C$2,업종코드!A37:C37,2,0),VLOOKUP($C$2,업종코드!A79:C79,2,0))</f>
        <v>KOSPI100</v>
      </c>
      <c r="P41" s="2" t="str">
        <f t="shared" si="0"/>
        <v>KOSPI100</v>
      </c>
      <c r="AC41" s="8"/>
      <c r="AD41" s="11"/>
      <c r="AJ41" s="10" t="s">
        <v>78</v>
      </c>
      <c r="AK41" s="9" t="s">
        <v>79</v>
      </c>
    </row>
    <row r="42" spans="2:37" x14ac:dyDescent="0.25">
      <c r="O42" s="2" t="str">
        <f>IF($C$2="KOSPI",VLOOKUP($C$2,업종코드!A38:C38,2,0),VLOOKUP($C$2,업종코드!A80:C80,2,0))</f>
        <v>KOSPI50</v>
      </c>
      <c r="P42" s="2" t="str">
        <f t="shared" si="0"/>
        <v>KOSPI50</v>
      </c>
      <c r="AC42" s="8"/>
      <c r="AD42" s="11"/>
      <c r="AJ42" s="10" t="s">
        <v>80</v>
      </c>
      <c r="AK42" s="9" t="s">
        <v>81</v>
      </c>
    </row>
    <row r="43" spans="2:37" x14ac:dyDescent="0.25">
      <c r="O43" s="2" t="str">
        <f>IF($C$2="KOSPI",VLOOKUP($C$2,업종코드!A39:C39,2,0),VLOOKUP($C$2,업종코드!A81:C81,2,0))</f>
        <v>KODI</v>
      </c>
      <c r="P43" s="2" t="str">
        <f t="shared" si="0"/>
        <v>KODI</v>
      </c>
      <c r="AC43" s="8"/>
      <c r="AD43" s="11"/>
      <c r="AJ43" s="10" t="s">
        <v>82</v>
      </c>
      <c r="AK43" s="9" t="s">
        <v>83</v>
      </c>
    </row>
    <row r="44" spans="2:37" x14ac:dyDescent="0.25">
      <c r="O44" s="2" t="str">
        <f>IF($C$2="KOSPI",VLOOKUP($C$2,업종코드!A40:C40,2,0),VLOOKUP($C$2,업종코드!A82:C82,2,0))</f>
        <v>지배구조지수</v>
      </c>
      <c r="P44" s="2" t="str">
        <f t="shared" si="0"/>
        <v>지배구조지수</v>
      </c>
      <c r="AC44" s="8"/>
      <c r="AD44" s="11"/>
      <c r="AJ44" s="10" t="s">
        <v>84</v>
      </c>
      <c r="AK44" s="9" t="s">
        <v>85</v>
      </c>
    </row>
    <row r="45" spans="2:37" x14ac:dyDescent="0.25">
      <c r="O45" s="2" t="str">
        <f>IF($C$2="KOSPI",VLOOKUP($C$2,업종코드!A41:C41,2,0),VLOOKUP($C$2,업종코드!A83:C83,2,0))</f>
        <v>사회책임투자지수</v>
      </c>
      <c r="P45" s="2" t="str">
        <f t="shared" si="0"/>
        <v>사회책임투자지수</v>
      </c>
      <c r="AC45" s="8"/>
      <c r="AD45" s="11"/>
      <c r="AJ45" s="10" t="s">
        <v>86</v>
      </c>
      <c r="AK45" s="9" t="s">
        <v>87</v>
      </c>
    </row>
    <row r="46" spans="2:37" x14ac:dyDescent="0.25">
      <c r="O46" s="2" t="str">
        <f>IF($C$2="KOSPI",VLOOKUP($C$2,업종코드!A42:C42,2,0),VLOOKUP($C$2,업종코드!A84:C84,2,0))</f>
        <v>레버리지 KOSPI200</v>
      </c>
      <c r="P46" s="2" t="str">
        <f t="shared" si="0"/>
        <v>레버리지 KOSPI200</v>
      </c>
      <c r="AC46" s="8"/>
      <c r="AD46" s="11"/>
      <c r="AJ46" s="10" t="s">
        <v>88</v>
      </c>
      <c r="AK46" s="9" t="s">
        <v>89</v>
      </c>
    </row>
    <row r="47" spans="2:37" x14ac:dyDescent="0.25">
      <c r="O47" s="2" t="str">
        <f>IF($C$2="KOSPI",VLOOKUP($C$2,업종코드!A43:C43,2,0),VLOOKUP($C$2,업종코드!A85:C85,2,0))</f>
        <v>환경책임투자지수</v>
      </c>
      <c r="P47" s="2" t="str">
        <f t="shared" si="0"/>
        <v>환경책임투자지수</v>
      </c>
      <c r="AC47" s="8"/>
      <c r="AD47" s="11"/>
      <c r="AJ47" s="10" t="s">
        <v>90</v>
      </c>
      <c r="AK47" s="9" t="s">
        <v>91</v>
      </c>
    </row>
    <row r="48" spans="2:37" x14ac:dyDescent="0.25">
      <c r="O48" s="2" t="e">
        <f>IF($C$2="KOSPI",VLOOKUP($C$2,업종코드!A44:C44,2,0),VLOOKUP($C$2,업종코드!A86:C86,2,0))</f>
        <v>#N/A</v>
      </c>
      <c r="P48" s="2" t="str">
        <f t="shared" si="0"/>
        <v/>
      </c>
      <c r="AC48" s="8"/>
      <c r="AD48" s="11"/>
      <c r="AJ48" s="10" t="s">
        <v>92</v>
      </c>
      <c r="AK48" s="9" t="s">
        <v>93</v>
      </c>
    </row>
    <row r="49" spans="15:37" x14ac:dyDescent="0.25">
      <c r="O49" s="2" t="e">
        <f>IF($C$2="KOSPI",VLOOKUP($C$2,업종코드!A45:C45,2,0),VLOOKUP($C$2,업종코드!A87:C87,2,0))</f>
        <v>#N/A</v>
      </c>
      <c r="P49" s="2" t="str">
        <f t="shared" si="0"/>
        <v/>
      </c>
      <c r="AC49" s="8"/>
      <c r="AD49" s="11"/>
      <c r="AJ49" s="10" t="s">
        <v>94</v>
      </c>
      <c r="AK49" s="9" t="s">
        <v>95</v>
      </c>
    </row>
    <row r="50" spans="15:37" x14ac:dyDescent="0.25">
      <c r="O50" s="2" t="e">
        <f>IF($C$2="KOSPI",VLOOKUP($C$2,업종코드!A46:C46,2,0),VLOOKUP($C$2,업종코드!A88:C88,2,0))</f>
        <v>#N/A</v>
      </c>
      <c r="P50" s="2" t="str">
        <f t="shared" si="0"/>
        <v/>
      </c>
      <c r="AC50" s="8"/>
      <c r="AD50" s="11"/>
      <c r="AJ50" s="10" t="s">
        <v>96</v>
      </c>
      <c r="AK50" s="9" t="s">
        <v>97</v>
      </c>
    </row>
    <row r="51" spans="15:37" x14ac:dyDescent="0.25">
      <c r="O51" s="2" t="e">
        <f>IF($C$2="KOSPI",VLOOKUP($C$2,업종코드!A47:C47,2,0),VLOOKUP($C$2,업종코드!A89:C89,2,0))</f>
        <v>#N/A</v>
      </c>
      <c r="P51" s="2" t="str">
        <f t="shared" si="0"/>
        <v/>
      </c>
      <c r="AC51" s="8"/>
      <c r="AD51" s="11"/>
      <c r="AJ51" s="10" t="s">
        <v>98</v>
      </c>
      <c r="AK51" s="9" t="s">
        <v>99</v>
      </c>
    </row>
    <row r="52" spans="15:37" x14ac:dyDescent="0.25">
      <c r="O52" s="2" t="e">
        <f>IF($C$2="KOSPI",VLOOKUP($C$2,업종코드!A48:C48,2,0),VLOOKUP($C$2,업종코드!A90:C90,2,0))</f>
        <v>#N/A</v>
      </c>
      <c r="P52" s="2" t="str">
        <f t="shared" si="0"/>
        <v/>
      </c>
      <c r="AC52" s="8"/>
      <c r="AD52" s="11"/>
      <c r="AJ52" s="10" t="s">
        <v>100</v>
      </c>
      <c r="AK52" s="9" t="s">
        <v>101</v>
      </c>
    </row>
    <row r="53" spans="15:37" x14ac:dyDescent="0.25">
      <c r="O53" s="2" t="e">
        <f>IF($C$2="KOSPI",VLOOKUP($C$2,업종코드!A49:C49,2,0),VLOOKUP($C$2,업종코드!A91:C91,2,0))</f>
        <v>#N/A</v>
      </c>
      <c r="P53" s="2" t="str">
        <f t="shared" si="0"/>
        <v/>
      </c>
      <c r="AC53" s="8"/>
      <c r="AD53" s="11"/>
      <c r="AJ53" s="10" t="s">
        <v>102</v>
      </c>
      <c r="AK53" s="9" t="s">
        <v>103</v>
      </c>
    </row>
    <row r="54" spans="15:37" x14ac:dyDescent="0.25">
      <c r="O54" s="2" t="e">
        <f>IF($C$2="KOSPI",VLOOKUP($C$2,업종코드!A50:C50,2,0),VLOOKUP($C$2,업종코드!A92:C92,2,0))</f>
        <v>#N/A</v>
      </c>
      <c r="P54" s="2" t="str">
        <f t="shared" si="0"/>
        <v/>
      </c>
      <c r="AC54" s="8"/>
      <c r="AD54" s="11"/>
      <c r="AJ54" s="10" t="s">
        <v>104</v>
      </c>
      <c r="AK54" s="9" t="s">
        <v>105</v>
      </c>
    </row>
    <row r="55" spans="15:37" x14ac:dyDescent="0.25">
      <c r="O55" s="2" t="e">
        <f>IF($C$2="KOSPI",VLOOKUP($C$2,업종코드!A51:C51,2,0),VLOOKUP($C$2,업종코드!A93:C93,2,0))</f>
        <v>#N/A</v>
      </c>
      <c r="P55" s="2" t="str">
        <f t="shared" si="0"/>
        <v/>
      </c>
      <c r="AC55" s="8"/>
      <c r="AD55" s="11"/>
      <c r="AJ55" s="10" t="s">
        <v>106</v>
      </c>
      <c r="AK55" s="9" t="s">
        <v>107</v>
      </c>
    </row>
    <row r="56" spans="15:37" x14ac:dyDescent="0.25">
      <c r="O56" s="2" t="e">
        <f>IF($C$2="KOSPI",VLOOKUP($C$2,업종코드!A52:C52,2,0),VLOOKUP($C$2,업종코드!A94:C94,2,0))</f>
        <v>#N/A</v>
      </c>
      <c r="P56" s="2" t="str">
        <f t="shared" si="0"/>
        <v/>
      </c>
      <c r="AC56" s="8"/>
      <c r="AD56" s="11"/>
      <c r="AJ56" s="10" t="s">
        <v>108</v>
      </c>
      <c r="AK56" s="9" t="s">
        <v>109</v>
      </c>
    </row>
    <row r="57" spans="15:37" x14ac:dyDescent="0.25">
      <c r="O57" s="2" t="e">
        <f>IF($C$2="KOSPI",VLOOKUP($C$2,업종코드!A53:C53,2,0),VLOOKUP($C$2,업종코드!A95:C95,2,0))</f>
        <v>#N/A</v>
      </c>
      <c r="P57" s="2" t="str">
        <f t="shared" si="0"/>
        <v/>
      </c>
      <c r="AC57" s="8"/>
      <c r="AD57" s="11"/>
      <c r="AJ57" s="10" t="s">
        <v>110</v>
      </c>
      <c r="AK57" s="9" t="s">
        <v>111</v>
      </c>
    </row>
    <row r="58" spans="15:37" x14ac:dyDescent="0.25">
      <c r="O58" s="2" t="e">
        <f>IF($C$2="KOSPI",VLOOKUP($C$2,업종코드!A54:C54,2,0),VLOOKUP($C$2,업종코드!A96:C96,2,0))</f>
        <v>#N/A</v>
      </c>
      <c r="P58" s="2" t="str">
        <f t="shared" si="0"/>
        <v/>
      </c>
      <c r="AC58" s="8"/>
      <c r="AD58" s="11"/>
      <c r="AJ58" s="10" t="s">
        <v>112</v>
      </c>
      <c r="AK58" s="9" t="s">
        <v>113</v>
      </c>
    </row>
    <row r="59" spans="15:37" x14ac:dyDescent="0.25">
      <c r="AC59" s="8"/>
      <c r="AD59" s="11"/>
      <c r="AJ59" s="10" t="s">
        <v>114</v>
      </c>
      <c r="AK59" s="9" t="s">
        <v>115</v>
      </c>
    </row>
    <row r="60" spans="15:37" x14ac:dyDescent="0.25">
      <c r="AC60" s="8"/>
      <c r="AD60" s="11"/>
      <c r="AJ60" s="10" t="s">
        <v>116</v>
      </c>
      <c r="AK60" s="9" t="s">
        <v>117</v>
      </c>
    </row>
    <row r="61" spans="15:37" x14ac:dyDescent="0.25">
      <c r="AC61" s="8"/>
      <c r="AD61" s="11"/>
      <c r="AJ61" s="10" t="s">
        <v>118</v>
      </c>
      <c r="AK61" s="9" t="s">
        <v>119</v>
      </c>
    </row>
    <row r="62" spans="15:37" x14ac:dyDescent="0.25">
      <c r="AC62" s="8"/>
      <c r="AD62" s="11"/>
      <c r="AJ62" s="10" t="s">
        <v>120</v>
      </c>
      <c r="AK62" s="9" t="s">
        <v>121</v>
      </c>
    </row>
    <row r="63" spans="15:37" x14ac:dyDescent="0.25">
      <c r="AC63" s="8"/>
      <c r="AD63" s="11"/>
      <c r="AJ63" s="10" t="s">
        <v>122</v>
      </c>
      <c r="AK63" s="9" t="s">
        <v>11</v>
      </c>
    </row>
    <row r="64" spans="15:37" x14ac:dyDescent="0.25">
      <c r="AC64" s="8"/>
      <c r="AD64" s="11"/>
      <c r="AJ64" s="10" t="s">
        <v>123</v>
      </c>
      <c r="AK64" s="9" t="s">
        <v>124</v>
      </c>
    </row>
    <row r="65" spans="29:37" x14ac:dyDescent="0.25">
      <c r="AC65" s="8"/>
      <c r="AD65" s="11"/>
      <c r="AJ65" s="10" t="s">
        <v>125</v>
      </c>
      <c r="AK65" s="9" t="s">
        <v>13</v>
      </c>
    </row>
    <row r="66" spans="29:37" x14ac:dyDescent="0.25">
      <c r="AC66" s="8"/>
      <c r="AD66" s="11"/>
      <c r="AJ66" s="10" t="s">
        <v>126</v>
      </c>
      <c r="AK66" s="9" t="s">
        <v>127</v>
      </c>
    </row>
    <row r="67" spans="29:37" x14ac:dyDescent="0.25">
      <c r="AC67" s="8"/>
      <c r="AD67" s="11"/>
      <c r="AJ67" s="10" t="s">
        <v>128</v>
      </c>
      <c r="AK67" s="9" t="s">
        <v>129</v>
      </c>
    </row>
    <row r="68" spans="29:37" x14ac:dyDescent="0.25">
      <c r="AC68" s="8"/>
      <c r="AD68" s="11"/>
      <c r="AJ68" s="10" t="s">
        <v>130</v>
      </c>
      <c r="AK68" s="9" t="s">
        <v>131</v>
      </c>
    </row>
    <row r="69" spans="29:37" x14ac:dyDescent="0.25">
      <c r="AC69" s="8"/>
      <c r="AD69" s="11"/>
      <c r="AJ69" s="10" t="s">
        <v>132</v>
      </c>
      <c r="AK69" s="9" t="s">
        <v>133</v>
      </c>
    </row>
    <row r="70" spans="29:37" x14ac:dyDescent="0.25">
      <c r="AC70" s="8"/>
      <c r="AD70" s="11"/>
      <c r="AJ70" s="10" t="s">
        <v>134</v>
      </c>
      <c r="AK70" s="9" t="s">
        <v>135</v>
      </c>
    </row>
    <row r="71" spans="29:37" x14ac:dyDescent="0.25">
      <c r="AC71" s="8"/>
      <c r="AD71" s="11"/>
      <c r="AJ71" s="10" t="s">
        <v>136</v>
      </c>
      <c r="AK71" s="9" t="s">
        <v>137</v>
      </c>
    </row>
    <row r="72" spans="29:37" x14ac:dyDescent="0.25">
      <c r="AC72" s="8"/>
      <c r="AD72" s="11"/>
      <c r="AJ72" s="10" t="s">
        <v>138</v>
      </c>
      <c r="AK72" s="9" t="s">
        <v>139</v>
      </c>
    </row>
    <row r="73" spans="29:37" x14ac:dyDescent="0.25">
      <c r="AC73" s="8"/>
      <c r="AD73" s="11"/>
      <c r="AJ73" s="10" t="s">
        <v>140</v>
      </c>
      <c r="AK73" s="9" t="s">
        <v>141</v>
      </c>
    </row>
    <row r="74" spans="29:37" x14ac:dyDescent="0.25">
      <c r="AC74" s="8"/>
      <c r="AD74" s="11"/>
      <c r="AJ74" s="10" t="s">
        <v>142</v>
      </c>
      <c r="AK74" s="9" t="s">
        <v>143</v>
      </c>
    </row>
    <row r="75" spans="29:37" x14ac:dyDescent="0.25">
      <c r="AC75" s="8"/>
      <c r="AD75" s="11"/>
      <c r="AJ75" s="10" t="s">
        <v>144</v>
      </c>
      <c r="AK75" s="9" t="s">
        <v>145</v>
      </c>
    </row>
    <row r="76" spans="29:37" x14ac:dyDescent="0.25">
      <c r="AC76" s="8"/>
      <c r="AD76" s="11"/>
      <c r="AJ76" s="10" t="s">
        <v>146</v>
      </c>
      <c r="AK76" s="9" t="s">
        <v>147</v>
      </c>
    </row>
    <row r="77" spans="29:37" x14ac:dyDescent="0.25">
      <c r="AC77" s="8"/>
      <c r="AD77" s="11"/>
      <c r="AJ77" s="10" t="s">
        <v>148</v>
      </c>
      <c r="AK77" s="9" t="s">
        <v>149</v>
      </c>
    </row>
    <row r="78" spans="29:37" x14ac:dyDescent="0.25">
      <c r="AC78" s="8"/>
      <c r="AD78" s="11"/>
      <c r="AJ78" s="10" t="s">
        <v>150</v>
      </c>
      <c r="AK78" s="9" t="s">
        <v>151</v>
      </c>
    </row>
    <row r="79" spans="29:37" x14ac:dyDescent="0.25">
      <c r="AC79" s="8"/>
      <c r="AD79" s="11"/>
      <c r="AJ79" s="10" t="s">
        <v>152</v>
      </c>
      <c r="AK79" s="9" t="s">
        <v>153</v>
      </c>
    </row>
    <row r="80" spans="29:37" x14ac:dyDescent="0.25">
      <c r="AC80" s="8"/>
      <c r="AD80" s="11"/>
      <c r="AJ80" s="10" t="s">
        <v>154</v>
      </c>
      <c r="AK80" s="9" t="s">
        <v>155</v>
      </c>
    </row>
    <row r="81" spans="29:37" x14ac:dyDescent="0.25">
      <c r="AC81" s="8"/>
      <c r="AD81" s="11"/>
      <c r="AJ81" s="10" t="s">
        <v>156</v>
      </c>
      <c r="AK81" s="9" t="s">
        <v>157</v>
      </c>
    </row>
    <row r="82" spans="29:37" x14ac:dyDescent="0.25">
      <c r="AC82" s="8"/>
      <c r="AD82" s="11"/>
      <c r="AJ82" s="10" t="s">
        <v>158</v>
      </c>
      <c r="AK82" s="9" t="s">
        <v>159</v>
      </c>
    </row>
    <row r="83" spans="29:37" x14ac:dyDescent="0.25">
      <c r="AC83" s="8"/>
      <c r="AD83" s="11"/>
      <c r="AJ83" s="10" t="s">
        <v>160</v>
      </c>
      <c r="AK83" s="9" t="s">
        <v>161</v>
      </c>
    </row>
    <row r="84" spans="29:37" x14ac:dyDescent="0.25">
      <c r="AC84" s="8"/>
      <c r="AD84" s="11"/>
      <c r="AJ84" s="10" t="s">
        <v>162</v>
      </c>
      <c r="AK84" s="9" t="s">
        <v>163</v>
      </c>
    </row>
    <row r="85" spans="29:37" x14ac:dyDescent="0.25">
      <c r="AC85" s="8"/>
      <c r="AD85" s="11"/>
      <c r="AJ85" s="10" t="s">
        <v>164</v>
      </c>
      <c r="AK85" s="9" t="s">
        <v>165</v>
      </c>
    </row>
    <row r="86" spans="29:37" x14ac:dyDescent="0.25">
      <c r="AC86" s="8"/>
      <c r="AD86" s="11"/>
      <c r="AJ86" s="10" t="s">
        <v>166</v>
      </c>
      <c r="AK86" s="9" t="s">
        <v>167</v>
      </c>
    </row>
    <row r="87" spans="29:37" x14ac:dyDescent="0.25">
      <c r="AC87" s="8"/>
      <c r="AD87" s="11"/>
      <c r="AJ87" s="10" t="s">
        <v>168</v>
      </c>
      <c r="AK87" s="9" t="s">
        <v>169</v>
      </c>
    </row>
    <row r="88" spans="29:37" x14ac:dyDescent="0.25">
      <c r="AC88" s="8"/>
      <c r="AD88" s="11"/>
      <c r="AJ88" s="10" t="s">
        <v>170</v>
      </c>
      <c r="AK88" s="9" t="s">
        <v>171</v>
      </c>
    </row>
    <row r="89" spans="29:37" x14ac:dyDescent="0.25">
      <c r="AC89" s="8"/>
      <c r="AD89" s="11"/>
      <c r="AJ89" s="10" t="s">
        <v>172</v>
      </c>
      <c r="AK89" s="6" t="s">
        <v>181</v>
      </c>
    </row>
    <row r="90" spans="29:37" x14ac:dyDescent="0.25">
      <c r="AC90" s="8"/>
      <c r="AD90" s="11"/>
      <c r="AJ90" s="10" t="s">
        <v>173</v>
      </c>
      <c r="AK90" s="6" t="s">
        <v>182</v>
      </c>
    </row>
    <row r="91" spans="29:37" x14ac:dyDescent="0.25">
      <c r="AC91" s="8"/>
      <c r="AD91" s="11"/>
      <c r="AJ91" s="10" t="s">
        <v>174</v>
      </c>
      <c r="AK91" s="6" t="s">
        <v>183</v>
      </c>
    </row>
    <row r="92" spans="29:37" x14ac:dyDescent="0.25">
      <c r="AC92" s="8"/>
      <c r="AD92" s="11"/>
      <c r="AJ92" s="10" t="s">
        <v>175</v>
      </c>
      <c r="AK92" s="6" t="s">
        <v>184</v>
      </c>
    </row>
    <row r="93" spans="29:37" x14ac:dyDescent="0.25">
      <c r="AC93" s="8"/>
      <c r="AD93" s="11"/>
      <c r="AJ93" s="10" t="s">
        <v>176</v>
      </c>
      <c r="AK93" s="6" t="s">
        <v>185</v>
      </c>
    </row>
    <row r="94" spans="29:37" x14ac:dyDescent="0.25">
      <c r="AC94" s="8"/>
      <c r="AD94" s="11"/>
      <c r="AJ94" s="10" t="s">
        <v>177</v>
      </c>
      <c r="AK94" s="6" t="s">
        <v>186</v>
      </c>
    </row>
    <row r="95" spans="29:37" x14ac:dyDescent="0.25">
      <c r="AC95" s="8"/>
      <c r="AD95" s="11"/>
      <c r="AJ95" s="10" t="s">
        <v>178</v>
      </c>
      <c r="AK95" s="6" t="s">
        <v>187</v>
      </c>
    </row>
    <row r="96" spans="29:37" x14ac:dyDescent="0.25">
      <c r="AC96" s="8"/>
      <c r="AD96" s="11"/>
      <c r="AJ96" s="10" t="s">
        <v>179</v>
      </c>
      <c r="AK96" s="6" t="s">
        <v>188</v>
      </c>
    </row>
    <row r="97" spans="29:37" x14ac:dyDescent="0.25">
      <c r="AC97" s="8"/>
      <c r="AD97" s="11"/>
      <c r="AJ97" s="10" t="s">
        <v>180</v>
      </c>
      <c r="AK97" s="6" t="s">
        <v>189</v>
      </c>
    </row>
    <row r="98" spans="29:37" x14ac:dyDescent="0.25">
      <c r="AC98" s="8"/>
      <c r="AD98" s="11"/>
    </row>
    <row r="99" spans="29:37" x14ac:dyDescent="0.25">
      <c r="AC99" s="8"/>
      <c r="AD99" s="11"/>
    </row>
    <row r="100" spans="29:37" x14ac:dyDescent="0.25">
      <c r="AC100" s="8"/>
      <c r="AD100" s="11"/>
    </row>
    <row r="101" spans="29:37" x14ac:dyDescent="0.25">
      <c r="AC101" s="8"/>
      <c r="AD101" s="11"/>
    </row>
    <row r="102" spans="29:37" x14ac:dyDescent="0.25">
      <c r="AC102" s="8"/>
      <c r="AD102" s="11"/>
    </row>
    <row r="103" spans="29:37" x14ac:dyDescent="0.25">
      <c r="AC103" s="8"/>
      <c r="AD103" s="11"/>
    </row>
    <row r="104" spans="29:37" x14ac:dyDescent="0.25">
      <c r="AC104" s="8"/>
      <c r="AD104" s="11"/>
    </row>
    <row r="105" spans="29:37" x14ac:dyDescent="0.25">
      <c r="AC105" s="8"/>
      <c r="AD105" s="11"/>
    </row>
    <row r="106" spans="29:37" x14ac:dyDescent="0.25">
      <c r="AC106" s="8"/>
      <c r="AD106" s="11"/>
    </row>
    <row r="107" spans="29:37" x14ac:dyDescent="0.25">
      <c r="AC107" s="8"/>
      <c r="AD107" s="11"/>
    </row>
    <row r="108" spans="29:37" x14ac:dyDescent="0.25">
      <c r="AC108" s="8"/>
      <c r="AD108" s="11"/>
    </row>
    <row r="109" spans="29:37" x14ac:dyDescent="0.25">
      <c r="AC109" s="8"/>
      <c r="AD109" s="11"/>
    </row>
    <row r="110" spans="29:37" x14ac:dyDescent="0.25">
      <c r="AC110" s="8"/>
      <c r="AD110" s="11"/>
    </row>
    <row r="111" spans="29:37" x14ac:dyDescent="0.25">
      <c r="AC111" s="8"/>
      <c r="AD111" s="11"/>
    </row>
    <row r="112" spans="29:37" x14ac:dyDescent="0.25">
      <c r="AC112" s="8"/>
      <c r="AD112" s="11"/>
    </row>
    <row r="113" spans="29:30" x14ac:dyDescent="0.25">
      <c r="AC113" s="8"/>
      <c r="AD113" s="11"/>
    </row>
    <row r="114" spans="29:30" x14ac:dyDescent="0.25">
      <c r="AC114" s="8"/>
      <c r="AD114" s="11"/>
    </row>
    <row r="115" spans="29:30" x14ac:dyDescent="0.25">
      <c r="AC115" s="8"/>
      <c r="AD115" s="11"/>
    </row>
    <row r="116" spans="29:30" x14ac:dyDescent="0.25">
      <c r="AC116" s="8"/>
      <c r="AD116" s="11"/>
    </row>
    <row r="117" spans="29:30" x14ac:dyDescent="0.25">
      <c r="AC117" s="8"/>
      <c r="AD117" s="11"/>
    </row>
    <row r="118" spans="29:30" x14ac:dyDescent="0.25">
      <c r="AC118" s="8"/>
      <c r="AD118" s="11"/>
    </row>
    <row r="119" spans="29:30" x14ac:dyDescent="0.25">
      <c r="AC119" s="8"/>
      <c r="AD119" s="11"/>
    </row>
    <row r="120" spans="29:30" x14ac:dyDescent="0.25">
      <c r="AC120" s="8"/>
      <c r="AD120" s="11"/>
    </row>
    <row r="121" spans="29:30" x14ac:dyDescent="0.25">
      <c r="AC121" s="8"/>
      <c r="AD121" s="11"/>
    </row>
    <row r="122" spans="29:30" x14ac:dyDescent="0.25">
      <c r="AC122" s="8"/>
      <c r="AD122" s="11"/>
    </row>
    <row r="123" spans="29:30" x14ac:dyDescent="0.25">
      <c r="AC123" s="8"/>
      <c r="AD123" s="11"/>
    </row>
    <row r="124" spans="29:30" x14ac:dyDescent="0.25">
      <c r="AC124" s="8"/>
      <c r="AD124" s="11"/>
    </row>
    <row r="125" spans="29:30" x14ac:dyDescent="0.25">
      <c r="AC125" s="8"/>
      <c r="AD125" s="11"/>
    </row>
    <row r="126" spans="29:30" x14ac:dyDescent="0.25">
      <c r="AC126" s="8"/>
      <c r="AD126" s="11"/>
    </row>
    <row r="127" spans="29:30" x14ac:dyDescent="0.25">
      <c r="AC127" s="8"/>
      <c r="AD127" s="11"/>
    </row>
    <row r="128" spans="29:30" x14ac:dyDescent="0.25">
      <c r="AC128" s="8"/>
      <c r="AD128" s="11"/>
    </row>
    <row r="129" spans="29:30" x14ac:dyDescent="0.25">
      <c r="AC129" s="8"/>
      <c r="AD129" s="11"/>
    </row>
    <row r="130" spans="29:30" x14ac:dyDescent="0.25">
      <c r="AC130" s="8"/>
      <c r="AD130" s="11"/>
    </row>
    <row r="131" spans="29:30" x14ac:dyDescent="0.25">
      <c r="AC131" s="8"/>
      <c r="AD131" s="11"/>
    </row>
    <row r="132" spans="29:30" x14ac:dyDescent="0.25">
      <c r="AC132" s="8"/>
      <c r="AD132" s="11"/>
    </row>
    <row r="133" spans="29:30" x14ac:dyDescent="0.25">
      <c r="AC133" s="8"/>
      <c r="AD133" s="11"/>
    </row>
    <row r="134" spans="29:30" x14ac:dyDescent="0.25">
      <c r="AC134" s="8"/>
      <c r="AD134" s="11"/>
    </row>
    <row r="135" spans="29:30" x14ac:dyDescent="0.25">
      <c r="AC135" s="8"/>
      <c r="AD135" s="11"/>
    </row>
    <row r="136" spans="29:30" x14ac:dyDescent="0.25">
      <c r="AC136" s="8"/>
      <c r="AD136" s="11"/>
    </row>
    <row r="137" spans="29:30" x14ac:dyDescent="0.25">
      <c r="AC137" s="8"/>
      <c r="AD137" s="11"/>
    </row>
    <row r="138" spans="29:30" x14ac:dyDescent="0.25">
      <c r="AC138" s="8"/>
      <c r="AD138" s="11"/>
    </row>
    <row r="139" spans="29:30" x14ac:dyDescent="0.25">
      <c r="AC139" s="8"/>
      <c r="AD139" s="11"/>
    </row>
    <row r="140" spans="29:30" x14ac:dyDescent="0.25">
      <c r="AC140" s="8"/>
      <c r="AD140" s="11"/>
    </row>
    <row r="141" spans="29:30" x14ac:dyDescent="0.25">
      <c r="AC141" s="8"/>
      <c r="AD141" s="11"/>
    </row>
    <row r="142" spans="29:30" x14ac:dyDescent="0.25">
      <c r="AC142" s="8"/>
      <c r="AD142" s="11"/>
    </row>
    <row r="143" spans="29:30" x14ac:dyDescent="0.25">
      <c r="AC143" s="8"/>
      <c r="AD143" s="11"/>
    </row>
    <row r="144" spans="29:30" x14ac:dyDescent="0.25">
      <c r="AC144" s="8"/>
      <c r="AD144" s="11"/>
    </row>
    <row r="145" spans="29:30" x14ac:dyDescent="0.25">
      <c r="AC145" s="8"/>
      <c r="AD145" s="11"/>
    </row>
    <row r="146" spans="29:30" x14ac:dyDescent="0.25">
      <c r="AC146" s="8"/>
      <c r="AD146" s="11"/>
    </row>
    <row r="147" spans="29:30" x14ac:dyDescent="0.25">
      <c r="AC147" s="8"/>
      <c r="AD147" s="11"/>
    </row>
    <row r="148" spans="29:30" x14ac:dyDescent="0.25">
      <c r="AC148" s="8"/>
      <c r="AD148" s="11"/>
    </row>
    <row r="149" spans="29:30" x14ac:dyDescent="0.25">
      <c r="AC149" s="8"/>
      <c r="AD149" s="11"/>
    </row>
    <row r="150" spans="29:30" x14ac:dyDescent="0.25">
      <c r="AC150" s="8"/>
      <c r="AD150" s="11"/>
    </row>
    <row r="151" spans="29:30" x14ac:dyDescent="0.25">
      <c r="AC151" s="8"/>
      <c r="AD151" s="11"/>
    </row>
    <row r="152" spans="29:30" x14ac:dyDescent="0.25">
      <c r="AC152" s="8"/>
      <c r="AD152" s="11"/>
    </row>
    <row r="153" spans="29:30" x14ac:dyDescent="0.25">
      <c r="AC153" s="8"/>
      <c r="AD153" s="11"/>
    </row>
    <row r="154" spans="29:30" x14ac:dyDescent="0.25">
      <c r="AC154" s="8"/>
      <c r="AD154" s="11"/>
    </row>
    <row r="155" spans="29:30" x14ac:dyDescent="0.25">
      <c r="AC155" s="8"/>
      <c r="AD155" s="11"/>
    </row>
    <row r="156" spans="29:30" x14ac:dyDescent="0.25">
      <c r="AC156" s="8"/>
      <c r="AD156" s="11"/>
    </row>
    <row r="157" spans="29:30" x14ac:dyDescent="0.25">
      <c r="AC157" s="8"/>
      <c r="AD157" s="11"/>
    </row>
    <row r="158" spans="29:30" x14ac:dyDescent="0.25">
      <c r="AC158" s="8"/>
      <c r="AD158" s="11"/>
    </row>
    <row r="159" spans="29:30" x14ac:dyDescent="0.25">
      <c r="AC159" s="8"/>
      <c r="AD159" s="11"/>
    </row>
    <row r="160" spans="29:30" x14ac:dyDescent="0.25">
      <c r="AC160" s="8"/>
      <c r="AD160" s="11"/>
    </row>
    <row r="161" spans="29:30" x14ac:dyDescent="0.25">
      <c r="AC161" s="8"/>
      <c r="AD161" s="11"/>
    </row>
    <row r="162" spans="29:30" x14ac:dyDescent="0.25">
      <c r="AC162" s="8"/>
      <c r="AD162" s="11"/>
    </row>
    <row r="163" spans="29:30" x14ac:dyDescent="0.25">
      <c r="AC163" s="8"/>
      <c r="AD163" s="11"/>
    </row>
    <row r="164" spans="29:30" x14ac:dyDescent="0.25">
      <c r="AC164" s="8"/>
      <c r="AD164" s="11"/>
    </row>
    <row r="165" spans="29:30" x14ac:dyDescent="0.25">
      <c r="AC165" s="8"/>
      <c r="AD165" s="11"/>
    </row>
    <row r="166" spans="29:30" x14ac:dyDescent="0.25">
      <c r="AC166" s="8"/>
      <c r="AD166" s="11"/>
    </row>
    <row r="167" spans="29:30" x14ac:dyDescent="0.25">
      <c r="AC167" s="8"/>
      <c r="AD167" s="11"/>
    </row>
    <row r="168" spans="29:30" x14ac:dyDescent="0.25">
      <c r="AC168" s="8"/>
      <c r="AD168" s="11"/>
    </row>
    <row r="169" spans="29:30" x14ac:dyDescent="0.25">
      <c r="AC169" s="8"/>
      <c r="AD169" s="11"/>
    </row>
    <row r="170" spans="29:30" x14ac:dyDescent="0.25">
      <c r="AC170" s="8"/>
      <c r="AD170" s="11"/>
    </row>
    <row r="171" spans="29:30" x14ac:dyDescent="0.25">
      <c r="AC171" s="8"/>
      <c r="AD171" s="11"/>
    </row>
    <row r="172" spans="29:30" x14ac:dyDescent="0.25">
      <c r="AC172" s="8"/>
      <c r="AD172" s="11"/>
    </row>
    <row r="173" spans="29:30" x14ac:dyDescent="0.25">
      <c r="AC173" s="8"/>
      <c r="AD173" s="11"/>
    </row>
    <row r="174" spans="29:30" x14ac:dyDescent="0.25">
      <c r="AC174" s="8"/>
      <c r="AD174" s="11"/>
    </row>
    <row r="175" spans="29:30" x14ac:dyDescent="0.25">
      <c r="AC175" s="8"/>
      <c r="AD175" s="11"/>
    </row>
    <row r="176" spans="29:30" x14ac:dyDescent="0.25">
      <c r="AC176" s="8"/>
      <c r="AD176" s="11"/>
    </row>
    <row r="177" spans="29:30" x14ac:dyDescent="0.25">
      <c r="AC177" s="8"/>
      <c r="AD177" s="11"/>
    </row>
    <row r="178" spans="29:30" x14ac:dyDescent="0.25">
      <c r="AC178" s="8"/>
      <c r="AD178" s="11"/>
    </row>
    <row r="179" spans="29:30" x14ac:dyDescent="0.25">
      <c r="AC179" s="8"/>
      <c r="AD179" s="11"/>
    </row>
    <row r="180" spans="29:30" x14ac:dyDescent="0.25">
      <c r="AC180" s="8"/>
      <c r="AD180" s="11"/>
    </row>
    <row r="181" spans="29:30" x14ac:dyDescent="0.25">
      <c r="AC181" s="8"/>
      <c r="AD181" s="11"/>
    </row>
    <row r="182" spans="29:30" x14ac:dyDescent="0.25">
      <c r="AC182" s="8"/>
      <c r="AD182" s="11"/>
    </row>
    <row r="183" spans="29:30" x14ac:dyDescent="0.25">
      <c r="AC183" s="8"/>
      <c r="AD183" s="11"/>
    </row>
    <row r="184" spans="29:30" x14ac:dyDescent="0.25">
      <c r="AC184" s="8"/>
      <c r="AD184" s="11"/>
    </row>
    <row r="185" spans="29:30" x14ac:dyDescent="0.25">
      <c r="AC185" s="8"/>
      <c r="AD185" s="11"/>
    </row>
    <row r="186" spans="29:30" x14ac:dyDescent="0.25">
      <c r="AC186" s="8"/>
      <c r="AD186" s="11"/>
    </row>
    <row r="187" spans="29:30" x14ac:dyDescent="0.25">
      <c r="AC187" s="8"/>
      <c r="AD187" s="11"/>
    </row>
    <row r="188" spans="29:30" x14ac:dyDescent="0.25">
      <c r="AC188" s="8"/>
      <c r="AD188" s="11"/>
    </row>
    <row r="189" spans="29:30" x14ac:dyDescent="0.25">
      <c r="AC189" s="8"/>
      <c r="AD189" s="11"/>
    </row>
    <row r="190" spans="29:30" x14ac:dyDescent="0.25">
      <c r="AC190" s="8"/>
      <c r="AD190" s="11"/>
    </row>
    <row r="191" spans="29:30" x14ac:dyDescent="0.25">
      <c r="AC191" s="8"/>
      <c r="AD191" s="11"/>
    </row>
    <row r="192" spans="29:30" x14ac:dyDescent="0.25">
      <c r="AC192" s="8"/>
      <c r="AD192" s="11"/>
    </row>
    <row r="193" spans="29:30" x14ac:dyDescent="0.25">
      <c r="AC193" s="8"/>
      <c r="AD193" s="11"/>
    </row>
    <row r="194" spans="29:30" x14ac:dyDescent="0.25">
      <c r="AC194" s="8"/>
      <c r="AD194" s="11"/>
    </row>
    <row r="195" spans="29:30" x14ac:dyDescent="0.25">
      <c r="AC195" s="8"/>
      <c r="AD195" s="11"/>
    </row>
    <row r="196" spans="29:30" x14ac:dyDescent="0.25">
      <c r="AC196" s="8"/>
      <c r="AD196" s="11"/>
    </row>
    <row r="197" spans="29:30" x14ac:dyDescent="0.25">
      <c r="AC197" s="8"/>
      <c r="AD197" s="11"/>
    </row>
    <row r="198" spans="29:30" x14ac:dyDescent="0.25">
      <c r="AC198" s="8"/>
      <c r="AD198" s="11"/>
    </row>
    <row r="199" spans="29:30" x14ac:dyDescent="0.25">
      <c r="AC199" s="8"/>
      <c r="AD199" s="11"/>
    </row>
    <row r="200" spans="29:30" x14ac:dyDescent="0.25">
      <c r="AC200" s="8"/>
      <c r="AD200" s="11"/>
    </row>
    <row r="201" spans="29:30" x14ac:dyDescent="0.25">
      <c r="AC201" s="8"/>
      <c r="AD201" s="11"/>
    </row>
    <row r="202" spans="29:30" x14ac:dyDescent="0.25">
      <c r="AC202" s="8"/>
      <c r="AD202" s="11"/>
    </row>
    <row r="203" spans="29:30" x14ac:dyDescent="0.25">
      <c r="AC203" s="8"/>
      <c r="AD203" s="11"/>
    </row>
    <row r="204" spans="29:30" x14ac:dyDescent="0.25">
      <c r="AC204" s="8"/>
      <c r="AD204" s="11"/>
    </row>
    <row r="205" spans="29:30" x14ac:dyDescent="0.25">
      <c r="AC205" s="8"/>
      <c r="AD205" s="11"/>
    </row>
    <row r="206" spans="29:30" x14ac:dyDescent="0.25">
      <c r="AC206" s="8"/>
      <c r="AD206" s="11"/>
    </row>
    <row r="207" spans="29:30" x14ac:dyDescent="0.25">
      <c r="AC207" s="8"/>
      <c r="AD207" s="11"/>
    </row>
    <row r="208" spans="29:30" x14ac:dyDescent="0.25">
      <c r="AC208" s="8"/>
      <c r="AD208" s="11"/>
    </row>
    <row r="209" spans="29:30" x14ac:dyDescent="0.25">
      <c r="AC209" s="8"/>
      <c r="AD209" s="11"/>
    </row>
    <row r="210" spans="29:30" x14ac:dyDescent="0.25">
      <c r="AC210" s="8"/>
      <c r="AD210" s="11"/>
    </row>
    <row r="211" spans="29:30" x14ac:dyDescent="0.25">
      <c r="AC211" s="8"/>
      <c r="AD211" s="11"/>
    </row>
    <row r="212" spans="29:30" x14ac:dyDescent="0.25">
      <c r="AC212" s="8"/>
      <c r="AD212" s="11"/>
    </row>
    <row r="213" spans="29:30" x14ac:dyDescent="0.25">
      <c r="AC213" s="8"/>
      <c r="AD213" s="11"/>
    </row>
    <row r="214" spans="29:30" x14ac:dyDescent="0.25">
      <c r="AC214" s="8"/>
      <c r="AD214" s="11"/>
    </row>
    <row r="215" spans="29:30" x14ac:dyDescent="0.25">
      <c r="AC215" s="8"/>
      <c r="AD215" s="11"/>
    </row>
    <row r="216" spans="29:30" x14ac:dyDescent="0.25">
      <c r="AC216" s="8"/>
      <c r="AD216" s="11"/>
    </row>
    <row r="217" spans="29:30" x14ac:dyDescent="0.25">
      <c r="AC217" s="8"/>
      <c r="AD217" s="11"/>
    </row>
    <row r="218" spans="29:30" x14ac:dyDescent="0.25">
      <c r="AC218" s="8"/>
      <c r="AD218" s="11"/>
    </row>
    <row r="219" spans="29:30" x14ac:dyDescent="0.25">
      <c r="AC219" s="8"/>
      <c r="AD219" s="11"/>
    </row>
    <row r="220" spans="29:30" x14ac:dyDescent="0.25">
      <c r="AC220" s="8"/>
      <c r="AD220" s="11"/>
    </row>
    <row r="221" spans="29:30" x14ac:dyDescent="0.25">
      <c r="AC221" s="8"/>
      <c r="AD221" s="11"/>
    </row>
    <row r="222" spans="29:30" x14ac:dyDescent="0.25">
      <c r="AC222" s="8"/>
      <c r="AD222" s="11"/>
    </row>
    <row r="223" spans="29:30" x14ac:dyDescent="0.25">
      <c r="AC223" s="8"/>
      <c r="AD223" s="11"/>
    </row>
    <row r="224" spans="29:30" x14ac:dyDescent="0.25">
      <c r="AC224" s="8"/>
      <c r="AD224" s="11"/>
    </row>
    <row r="225" spans="29:30" x14ac:dyDescent="0.25">
      <c r="AC225" s="8"/>
      <c r="AD225" s="11"/>
    </row>
    <row r="226" spans="29:30" x14ac:dyDescent="0.25">
      <c r="AC226" s="8"/>
      <c r="AD226" s="11"/>
    </row>
    <row r="227" spans="29:30" x14ac:dyDescent="0.25">
      <c r="AC227" s="8"/>
      <c r="AD227" s="11"/>
    </row>
    <row r="228" spans="29:30" x14ac:dyDescent="0.25">
      <c r="AC228" s="8"/>
      <c r="AD228" s="11"/>
    </row>
    <row r="229" spans="29:30" x14ac:dyDescent="0.25">
      <c r="AC229" s="8"/>
      <c r="AD229" s="11"/>
    </row>
    <row r="230" spans="29:30" x14ac:dyDescent="0.25">
      <c r="AC230" s="8"/>
      <c r="AD230" s="11"/>
    </row>
    <row r="231" spans="29:30" x14ac:dyDescent="0.25">
      <c r="AC231" s="8"/>
      <c r="AD231" s="11"/>
    </row>
    <row r="232" spans="29:30" x14ac:dyDescent="0.25">
      <c r="AC232" s="8"/>
      <c r="AD232" s="11"/>
    </row>
    <row r="233" spans="29:30" x14ac:dyDescent="0.25">
      <c r="AC233" s="8"/>
      <c r="AD233" s="11"/>
    </row>
    <row r="234" spans="29:30" x14ac:dyDescent="0.25">
      <c r="AC234" s="8"/>
      <c r="AD234" s="11"/>
    </row>
    <row r="235" spans="29:30" x14ac:dyDescent="0.25">
      <c r="AC235" s="8"/>
      <c r="AD235" s="11"/>
    </row>
    <row r="236" spans="29:30" x14ac:dyDescent="0.25">
      <c r="AC236" s="8"/>
      <c r="AD236" s="11"/>
    </row>
    <row r="237" spans="29:30" x14ac:dyDescent="0.25">
      <c r="AC237" s="8"/>
      <c r="AD237" s="11"/>
    </row>
    <row r="238" spans="29:30" x14ac:dyDescent="0.25">
      <c r="AC238" s="8"/>
      <c r="AD238" s="11"/>
    </row>
    <row r="239" spans="29:30" x14ac:dyDescent="0.25">
      <c r="AC239" s="8"/>
      <c r="AD239" s="11"/>
    </row>
    <row r="240" spans="29:30" x14ac:dyDescent="0.25">
      <c r="AC240" s="8"/>
      <c r="AD240" s="11"/>
    </row>
    <row r="241" spans="29:30" x14ac:dyDescent="0.25">
      <c r="AC241" s="8"/>
      <c r="AD241" s="11"/>
    </row>
    <row r="242" spans="29:30" x14ac:dyDescent="0.25">
      <c r="AC242" s="8"/>
      <c r="AD242" s="11"/>
    </row>
    <row r="243" spans="29:30" x14ac:dyDescent="0.25">
      <c r="AC243" s="8"/>
      <c r="AD243" s="11"/>
    </row>
    <row r="244" spans="29:30" x14ac:dyDescent="0.25">
      <c r="AC244" s="8"/>
      <c r="AD244" s="11"/>
    </row>
    <row r="245" spans="29:30" x14ac:dyDescent="0.25">
      <c r="AC245" s="8"/>
      <c r="AD245" s="11"/>
    </row>
    <row r="246" spans="29:30" x14ac:dyDescent="0.25">
      <c r="AC246" s="8"/>
      <c r="AD246" s="11"/>
    </row>
    <row r="247" spans="29:30" x14ac:dyDescent="0.25">
      <c r="AC247" s="8"/>
      <c r="AD247" s="11"/>
    </row>
    <row r="248" spans="29:30" x14ac:dyDescent="0.25">
      <c r="AC248" s="8"/>
      <c r="AD248" s="11"/>
    </row>
    <row r="249" spans="29:30" x14ac:dyDescent="0.25">
      <c r="AC249" s="8"/>
      <c r="AD249" s="11"/>
    </row>
    <row r="250" spans="29:30" x14ac:dyDescent="0.25">
      <c r="AC250" s="8"/>
      <c r="AD250" s="11"/>
    </row>
    <row r="251" spans="29:30" x14ac:dyDescent="0.25">
      <c r="AC251" s="8"/>
      <c r="AD251" s="11"/>
    </row>
    <row r="252" spans="29:30" x14ac:dyDescent="0.25">
      <c r="AC252" s="8"/>
      <c r="AD252" s="11"/>
    </row>
    <row r="253" spans="29:30" x14ac:dyDescent="0.25">
      <c r="AC253" s="8"/>
      <c r="AD253" s="11"/>
    </row>
    <row r="254" spans="29:30" x14ac:dyDescent="0.25">
      <c r="AC254" s="8"/>
      <c r="AD254" s="11"/>
    </row>
    <row r="255" spans="29:30" x14ac:dyDescent="0.25">
      <c r="AC255" s="8"/>
      <c r="AD255" s="11"/>
    </row>
    <row r="256" spans="29:30" x14ac:dyDescent="0.25">
      <c r="AC256" s="8"/>
      <c r="AD256" s="11"/>
    </row>
    <row r="257" spans="29:30" x14ac:dyDescent="0.25">
      <c r="AC257" s="8"/>
      <c r="AD257" s="11"/>
    </row>
    <row r="258" spans="29:30" x14ac:dyDescent="0.25">
      <c r="AC258" s="8"/>
      <c r="AD258" s="11"/>
    </row>
    <row r="259" spans="29:30" x14ac:dyDescent="0.25">
      <c r="AC259" s="8"/>
      <c r="AD259" s="11"/>
    </row>
    <row r="260" spans="29:30" x14ac:dyDescent="0.25">
      <c r="AC260" s="8"/>
      <c r="AD260" s="11"/>
    </row>
    <row r="261" spans="29:30" x14ac:dyDescent="0.25">
      <c r="AC261" s="8"/>
      <c r="AD261" s="11"/>
    </row>
    <row r="262" spans="29:30" x14ac:dyDescent="0.25">
      <c r="AC262" s="8"/>
      <c r="AD262" s="11"/>
    </row>
    <row r="263" spans="29:30" x14ac:dyDescent="0.25">
      <c r="AC263" s="8"/>
      <c r="AD263" s="11"/>
    </row>
    <row r="264" spans="29:30" x14ac:dyDescent="0.25">
      <c r="AC264" s="8"/>
      <c r="AD264" s="11"/>
    </row>
    <row r="265" spans="29:30" x14ac:dyDescent="0.25">
      <c r="AC265" s="8"/>
      <c r="AD265" s="11"/>
    </row>
    <row r="266" spans="29:30" x14ac:dyDescent="0.25">
      <c r="AC266" s="8"/>
      <c r="AD266" s="11"/>
    </row>
    <row r="267" spans="29:30" x14ac:dyDescent="0.25">
      <c r="AC267" s="8"/>
      <c r="AD267" s="11"/>
    </row>
    <row r="268" spans="29:30" x14ac:dyDescent="0.25">
      <c r="AC268" s="8"/>
      <c r="AD268" s="11"/>
    </row>
    <row r="269" spans="29:30" x14ac:dyDescent="0.25">
      <c r="AC269" s="8"/>
      <c r="AD269" s="11"/>
    </row>
    <row r="270" spans="29:30" x14ac:dyDescent="0.25">
      <c r="AC270" s="8"/>
      <c r="AD270" s="11"/>
    </row>
    <row r="271" spans="29:30" x14ac:dyDescent="0.25">
      <c r="AC271" s="8"/>
      <c r="AD271" s="11"/>
    </row>
    <row r="272" spans="29:30" x14ac:dyDescent="0.25">
      <c r="AC272" s="8"/>
      <c r="AD272" s="11"/>
    </row>
    <row r="273" spans="29:30" x14ac:dyDescent="0.25">
      <c r="AC273" s="8"/>
      <c r="AD273" s="11"/>
    </row>
    <row r="274" spans="29:30" x14ac:dyDescent="0.25">
      <c r="AC274" s="8"/>
      <c r="AD274" s="11"/>
    </row>
    <row r="275" spans="29:30" x14ac:dyDescent="0.25">
      <c r="AC275" s="8"/>
      <c r="AD275" s="11"/>
    </row>
    <row r="276" spans="29:30" x14ac:dyDescent="0.25">
      <c r="AC276" s="8"/>
      <c r="AD276" s="11"/>
    </row>
    <row r="277" spans="29:30" x14ac:dyDescent="0.25">
      <c r="AC277" s="8"/>
      <c r="AD277" s="11"/>
    </row>
    <row r="278" spans="29:30" x14ac:dyDescent="0.25">
      <c r="AC278" s="8"/>
      <c r="AD278" s="11"/>
    </row>
    <row r="279" spans="29:30" x14ac:dyDescent="0.25">
      <c r="AC279" s="8"/>
      <c r="AD279" s="11"/>
    </row>
    <row r="280" spans="29:30" x14ac:dyDescent="0.25">
      <c r="AC280" s="8"/>
      <c r="AD280" s="11"/>
    </row>
    <row r="281" spans="29:30" x14ac:dyDescent="0.25">
      <c r="AC281" s="8"/>
      <c r="AD281" s="11"/>
    </row>
    <row r="282" spans="29:30" x14ac:dyDescent="0.25">
      <c r="AC282" s="8"/>
      <c r="AD282" s="11"/>
    </row>
    <row r="283" spans="29:30" x14ac:dyDescent="0.25">
      <c r="AC283" s="8"/>
      <c r="AD283" s="11"/>
    </row>
    <row r="284" spans="29:30" x14ac:dyDescent="0.25">
      <c r="AC284" s="8"/>
      <c r="AD284" s="11"/>
    </row>
    <row r="285" spans="29:30" x14ac:dyDescent="0.25">
      <c r="AC285" s="8"/>
      <c r="AD285" s="11"/>
    </row>
    <row r="286" spans="29:30" x14ac:dyDescent="0.25">
      <c r="AC286" s="8"/>
      <c r="AD286" s="11"/>
    </row>
    <row r="287" spans="29:30" x14ac:dyDescent="0.25">
      <c r="AC287" s="8"/>
      <c r="AD287" s="11"/>
    </row>
    <row r="288" spans="29:30" x14ac:dyDescent="0.25">
      <c r="AC288" s="8"/>
      <c r="AD288" s="11"/>
    </row>
    <row r="289" spans="29:30" x14ac:dyDescent="0.25">
      <c r="AC289" s="8"/>
      <c r="AD289" s="11"/>
    </row>
    <row r="290" spans="29:30" x14ac:dyDescent="0.25">
      <c r="AC290" s="8"/>
      <c r="AD290" s="11"/>
    </row>
    <row r="291" spans="29:30" x14ac:dyDescent="0.25">
      <c r="AC291" s="8"/>
      <c r="AD291" s="11"/>
    </row>
    <row r="292" spans="29:30" x14ac:dyDescent="0.25">
      <c r="AC292" s="8"/>
      <c r="AD292" s="11"/>
    </row>
    <row r="293" spans="29:30" x14ac:dyDescent="0.25">
      <c r="AC293" s="8"/>
      <c r="AD293" s="11"/>
    </row>
    <row r="294" spans="29:30" x14ac:dyDescent="0.25">
      <c r="AC294" s="8"/>
      <c r="AD294" s="11"/>
    </row>
    <row r="295" spans="29:30" x14ac:dyDescent="0.25">
      <c r="AC295" s="8"/>
      <c r="AD295" s="11"/>
    </row>
    <row r="296" spans="29:30" x14ac:dyDescent="0.25">
      <c r="AC296" s="8"/>
      <c r="AD296" s="11"/>
    </row>
    <row r="297" spans="29:30" x14ac:dyDescent="0.25">
      <c r="AC297" s="8"/>
      <c r="AD297" s="11"/>
    </row>
    <row r="298" spans="29:30" x14ac:dyDescent="0.25">
      <c r="AC298" s="8"/>
      <c r="AD298" s="11"/>
    </row>
    <row r="299" spans="29:30" x14ac:dyDescent="0.25">
      <c r="AC299" s="8"/>
      <c r="AD299" s="11"/>
    </row>
    <row r="300" spans="29:30" x14ac:dyDescent="0.25">
      <c r="AC300" s="8"/>
      <c r="AD300" s="11"/>
    </row>
    <row r="301" spans="29:30" x14ac:dyDescent="0.25">
      <c r="AC301" s="8"/>
      <c r="AD301" s="11"/>
    </row>
    <row r="302" spans="29:30" x14ac:dyDescent="0.25">
      <c r="AC302" s="8"/>
      <c r="AD302" s="11"/>
    </row>
    <row r="303" spans="29:30" x14ac:dyDescent="0.25">
      <c r="AC303" s="8"/>
      <c r="AD303" s="11"/>
    </row>
    <row r="304" spans="29:30" x14ac:dyDescent="0.25">
      <c r="AC304" s="8"/>
      <c r="AD304" s="11"/>
    </row>
    <row r="305" spans="29:30" x14ac:dyDescent="0.25">
      <c r="AC305" s="8"/>
      <c r="AD305" s="11"/>
    </row>
    <row r="306" spans="29:30" x14ac:dyDescent="0.25">
      <c r="AC306" s="8"/>
      <c r="AD306" s="11"/>
    </row>
    <row r="307" spans="29:30" x14ac:dyDescent="0.25">
      <c r="AC307" s="8"/>
      <c r="AD307" s="11"/>
    </row>
    <row r="308" spans="29:30" x14ac:dyDescent="0.25">
      <c r="AC308" s="8"/>
      <c r="AD308" s="11"/>
    </row>
    <row r="309" spans="29:30" x14ac:dyDescent="0.25">
      <c r="AC309" s="8"/>
      <c r="AD309" s="11"/>
    </row>
    <row r="310" spans="29:30" x14ac:dyDescent="0.25">
      <c r="AC310" s="8"/>
      <c r="AD310" s="11"/>
    </row>
    <row r="311" spans="29:30" x14ac:dyDescent="0.25">
      <c r="AC311" s="8"/>
      <c r="AD311" s="11"/>
    </row>
    <row r="312" spans="29:30" x14ac:dyDescent="0.25">
      <c r="AC312" s="8"/>
      <c r="AD312" s="11"/>
    </row>
    <row r="313" spans="29:30" x14ac:dyDescent="0.25">
      <c r="AC313" s="8"/>
      <c r="AD313" s="11"/>
    </row>
    <row r="314" spans="29:30" x14ac:dyDescent="0.25">
      <c r="AC314" s="8"/>
      <c r="AD314" s="11"/>
    </row>
    <row r="315" spans="29:30" x14ac:dyDescent="0.25">
      <c r="AC315" s="8"/>
      <c r="AD315" s="11"/>
    </row>
    <row r="316" spans="29:30" x14ac:dyDescent="0.25">
      <c r="AC316" s="8"/>
      <c r="AD316" s="11"/>
    </row>
    <row r="317" spans="29:30" x14ac:dyDescent="0.25">
      <c r="AC317" s="8"/>
      <c r="AD317" s="11"/>
    </row>
    <row r="318" spans="29:30" x14ac:dyDescent="0.25">
      <c r="AC318" s="8"/>
      <c r="AD318" s="11"/>
    </row>
    <row r="319" spans="29:30" x14ac:dyDescent="0.25">
      <c r="AC319" s="8"/>
      <c r="AD319" s="11"/>
    </row>
    <row r="320" spans="29:30" x14ac:dyDescent="0.25">
      <c r="AC320" s="8"/>
      <c r="AD320" s="11"/>
    </row>
    <row r="321" spans="29:30" x14ac:dyDescent="0.25">
      <c r="AC321" s="8"/>
      <c r="AD321" s="11"/>
    </row>
    <row r="322" spans="29:30" x14ac:dyDescent="0.25">
      <c r="AC322" s="8"/>
      <c r="AD322" s="11"/>
    </row>
    <row r="323" spans="29:30" x14ac:dyDescent="0.25">
      <c r="AC323" s="8"/>
      <c r="AD323" s="11"/>
    </row>
    <row r="324" spans="29:30" x14ac:dyDescent="0.25">
      <c r="AC324" s="8"/>
      <c r="AD324" s="11"/>
    </row>
    <row r="325" spans="29:30" x14ac:dyDescent="0.25">
      <c r="AC325" s="8"/>
      <c r="AD325" s="11"/>
    </row>
    <row r="326" spans="29:30" x14ac:dyDescent="0.25">
      <c r="AC326" s="8"/>
      <c r="AD326" s="11"/>
    </row>
    <row r="327" spans="29:30" x14ac:dyDescent="0.25">
      <c r="AC327" s="8"/>
      <c r="AD327" s="11"/>
    </row>
    <row r="328" spans="29:30" x14ac:dyDescent="0.25">
      <c r="AC328" s="8"/>
      <c r="AD328" s="11"/>
    </row>
    <row r="329" spans="29:30" x14ac:dyDescent="0.25">
      <c r="AC329" s="8"/>
      <c r="AD329" s="11"/>
    </row>
    <row r="330" spans="29:30" x14ac:dyDescent="0.25">
      <c r="AC330" s="8"/>
      <c r="AD330" s="11"/>
    </row>
    <row r="331" spans="29:30" x14ac:dyDescent="0.25">
      <c r="AC331" s="8"/>
      <c r="AD331" s="11"/>
    </row>
    <row r="332" spans="29:30" x14ac:dyDescent="0.25">
      <c r="AC332" s="8"/>
      <c r="AD332" s="11"/>
    </row>
    <row r="333" spans="29:30" x14ac:dyDescent="0.25">
      <c r="AC333" s="8"/>
      <c r="AD333" s="11"/>
    </row>
    <row r="334" spans="29:30" x14ac:dyDescent="0.25">
      <c r="AC334" s="8"/>
      <c r="AD334" s="11"/>
    </row>
    <row r="335" spans="29:30" x14ac:dyDescent="0.25">
      <c r="AC335" s="8"/>
      <c r="AD335" s="11"/>
    </row>
    <row r="336" spans="29:30" x14ac:dyDescent="0.25">
      <c r="AC336" s="8"/>
      <c r="AD336" s="11"/>
    </row>
    <row r="337" spans="29:30" x14ac:dyDescent="0.25">
      <c r="AC337" s="8"/>
      <c r="AD337" s="11"/>
    </row>
    <row r="338" spans="29:30" x14ac:dyDescent="0.25">
      <c r="AC338" s="8"/>
      <c r="AD338" s="11"/>
    </row>
    <row r="339" spans="29:30" x14ac:dyDescent="0.25">
      <c r="AC339" s="8"/>
      <c r="AD339" s="11"/>
    </row>
    <row r="340" spans="29:30" x14ac:dyDescent="0.25">
      <c r="AC340" s="8"/>
      <c r="AD340" s="11"/>
    </row>
    <row r="341" spans="29:30" x14ac:dyDescent="0.25">
      <c r="AC341" s="8"/>
      <c r="AD341" s="11"/>
    </row>
    <row r="342" spans="29:30" x14ac:dyDescent="0.25">
      <c r="AC342" s="8"/>
      <c r="AD342" s="11"/>
    </row>
    <row r="343" spans="29:30" x14ac:dyDescent="0.25">
      <c r="AC343" s="8"/>
      <c r="AD343" s="11"/>
    </row>
    <row r="344" spans="29:30" x14ac:dyDescent="0.25">
      <c r="AC344" s="8"/>
      <c r="AD344" s="11"/>
    </row>
    <row r="345" spans="29:30" x14ac:dyDescent="0.25">
      <c r="AC345" s="8"/>
      <c r="AD345" s="11"/>
    </row>
    <row r="346" spans="29:30" x14ac:dyDescent="0.25">
      <c r="AC346" s="8"/>
      <c r="AD346" s="11"/>
    </row>
    <row r="347" spans="29:30" x14ac:dyDescent="0.25">
      <c r="AC347" s="8"/>
      <c r="AD347" s="11"/>
    </row>
    <row r="348" spans="29:30" x14ac:dyDescent="0.25">
      <c r="AC348" s="8"/>
      <c r="AD348" s="11"/>
    </row>
    <row r="349" spans="29:30" x14ac:dyDescent="0.25">
      <c r="AC349" s="8"/>
      <c r="AD349" s="11"/>
    </row>
    <row r="350" spans="29:30" x14ac:dyDescent="0.25">
      <c r="AC350" s="8"/>
      <c r="AD350" s="11"/>
    </row>
    <row r="351" spans="29:30" x14ac:dyDescent="0.25">
      <c r="AC351" s="8"/>
      <c r="AD351" s="11"/>
    </row>
    <row r="352" spans="29:30" x14ac:dyDescent="0.25">
      <c r="AC352" s="8"/>
      <c r="AD352" s="11"/>
    </row>
    <row r="353" spans="29:30" x14ac:dyDescent="0.25">
      <c r="AC353" s="8"/>
      <c r="AD353" s="11"/>
    </row>
    <row r="354" spans="29:30" x14ac:dyDescent="0.25">
      <c r="AC354" s="8"/>
      <c r="AD354" s="11"/>
    </row>
    <row r="355" spans="29:30" x14ac:dyDescent="0.25">
      <c r="AC355" s="8"/>
      <c r="AD355" s="11"/>
    </row>
    <row r="356" spans="29:30" x14ac:dyDescent="0.25">
      <c r="AC356" s="8"/>
      <c r="AD356" s="11"/>
    </row>
    <row r="357" spans="29:30" x14ac:dyDescent="0.25">
      <c r="AC357" s="8"/>
      <c r="AD357" s="11"/>
    </row>
    <row r="358" spans="29:30" x14ac:dyDescent="0.25">
      <c r="AC358" s="8"/>
      <c r="AD358" s="11"/>
    </row>
    <row r="359" spans="29:30" x14ac:dyDescent="0.25">
      <c r="AC359" s="8"/>
      <c r="AD359" s="11"/>
    </row>
    <row r="360" spans="29:30" x14ac:dyDescent="0.25">
      <c r="AC360" s="8"/>
      <c r="AD360" s="11"/>
    </row>
    <row r="361" spans="29:30" x14ac:dyDescent="0.25">
      <c r="AC361" s="8"/>
      <c r="AD361" s="11"/>
    </row>
    <row r="362" spans="29:30" x14ac:dyDescent="0.25">
      <c r="AC362" s="8"/>
      <c r="AD362" s="11"/>
    </row>
    <row r="363" spans="29:30" x14ac:dyDescent="0.25">
      <c r="AC363" s="8"/>
      <c r="AD363" s="11"/>
    </row>
    <row r="364" spans="29:30" x14ac:dyDescent="0.25">
      <c r="AC364" s="8"/>
      <c r="AD364" s="11"/>
    </row>
    <row r="365" spans="29:30" x14ac:dyDescent="0.25">
      <c r="AC365" s="8"/>
      <c r="AD365" s="11"/>
    </row>
    <row r="366" spans="29:30" x14ac:dyDescent="0.25">
      <c r="AC366" s="8"/>
      <c r="AD366" s="11"/>
    </row>
    <row r="367" spans="29:30" x14ac:dyDescent="0.25">
      <c r="AC367" s="8"/>
      <c r="AD367" s="11"/>
    </row>
    <row r="368" spans="29:30" x14ac:dyDescent="0.25">
      <c r="AC368" s="8"/>
      <c r="AD368" s="11"/>
    </row>
    <row r="369" spans="29:30" x14ac:dyDescent="0.25">
      <c r="AC369" s="8"/>
      <c r="AD369" s="8"/>
    </row>
    <row r="370" spans="29:30" x14ac:dyDescent="0.25">
      <c r="AC370" s="8"/>
      <c r="AD370" s="8"/>
    </row>
    <row r="371" spans="29:30" x14ac:dyDescent="0.25">
      <c r="AC371" s="8"/>
      <c r="AD371" s="8"/>
    </row>
    <row r="372" spans="29:30" x14ac:dyDescent="0.25">
      <c r="AC372" s="8"/>
      <c r="AD372" s="8"/>
    </row>
    <row r="373" spans="29:30" x14ac:dyDescent="0.25">
      <c r="AC373" s="8"/>
      <c r="AD373" s="8"/>
    </row>
    <row r="374" spans="29:30" x14ac:dyDescent="0.25">
      <c r="AC374" s="8"/>
      <c r="AD374" s="8"/>
    </row>
    <row r="375" spans="29:30" x14ac:dyDescent="0.25">
      <c r="AC375" s="8"/>
      <c r="AD375" s="8"/>
    </row>
    <row r="376" spans="29:30" x14ac:dyDescent="0.25">
      <c r="AC376" s="8"/>
      <c r="AD376" s="8"/>
    </row>
    <row r="377" spans="29:30" x14ac:dyDescent="0.25">
      <c r="AC377" s="8"/>
      <c r="AD377" s="8"/>
    </row>
    <row r="378" spans="29:30" x14ac:dyDescent="0.25">
      <c r="AC378" s="8"/>
      <c r="AD378" s="8"/>
    </row>
    <row r="379" spans="29:30" x14ac:dyDescent="0.25">
      <c r="AC379" s="8"/>
      <c r="AD379" s="8"/>
    </row>
    <row r="380" spans="29:30" x14ac:dyDescent="0.25">
      <c r="AC380" s="8"/>
      <c r="AD380" s="8"/>
    </row>
    <row r="381" spans="29:30" x14ac:dyDescent="0.25">
      <c r="AC381" s="8"/>
      <c r="AD381" s="8"/>
    </row>
    <row r="382" spans="29:30" x14ac:dyDescent="0.25">
      <c r="AC382" s="8"/>
      <c r="AD382" s="8"/>
    </row>
    <row r="383" spans="29:30" x14ac:dyDescent="0.25">
      <c r="AC383" s="8"/>
      <c r="AD383" s="8"/>
    </row>
    <row r="384" spans="29:30" x14ac:dyDescent="0.25">
      <c r="AC384" s="8"/>
      <c r="AD384" s="8"/>
    </row>
    <row r="385" spans="29:30" x14ac:dyDescent="0.25">
      <c r="AC385" s="8"/>
      <c r="AD385" s="8"/>
    </row>
    <row r="386" spans="29:30" x14ac:dyDescent="0.25">
      <c r="AC386" s="8"/>
      <c r="AD386" s="8"/>
    </row>
    <row r="387" spans="29:30" x14ac:dyDescent="0.25">
      <c r="AC387" s="8"/>
      <c r="AD387" s="8"/>
    </row>
    <row r="388" spans="29:30" x14ac:dyDescent="0.25">
      <c r="AC388" s="8"/>
      <c r="AD388" s="8"/>
    </row>
    <row r="389" spans="29:30" x14ac:dyDescent="0.25">
      <c r="AC389" s="8"/>
      <c r="AD389" s="8"/>
    </row>
    <row r="390" spans="29:30" x14ac:dyDescent="0.25">
      <c r="AC390" s="8"/>
      <c r="AD390" s="8"/>
    </row>
    <row r="391" spans="29:30" x14ac:dyDescent="0.25">
      <c r="AC391" s="8"/>
      <c r="AD391" s="8"/>
    </row>
    <row r="392" spans="29:30" x14ac:dyDescent="0.25">
      <c r="AC392" s="8"/>
      <c r="AD392" s="8"/>
    </row>
    <row r="393" spans="29:30" x14ac:dyDescent="0.25">
      <c r="AC393" s="8"/>
      <c r="AD393" s="8"/>
    </row>
    <row r="394" spans="29:30" x14ac:dyDescent="0.25">
      <c r="AC394" s="8"/>
      <c r="AD394" s="8"/>
    </row>
    <row r="395" spans="29:30" x14ac:dyDescent="0.25">
      <c r="AC395" s="8"/>
      <c r="AD395" s="8"/>
    </row>
    <row r="396" spans="29:30" x14ac:dyDescent="0.25">
      <c r="AC396" s="8"/>
      <c r="AD396" s="8"/>
    </row>
    <row r="397" spans="29:30" x14ac:dyDescent="0.25">
      <c r="AC397" s="8"/>
      <c r="AD397" s="8"/>
    </row>
    <row r="398" spans="29:30" x14ac:dyDescent="0.25">
      <c r="AC398" s="8"/>
      <c r="AD398" s="8"/>
    </row>
    <row r="399" spans="29:30" x14ac:dyDescent="0.25">
      <c r="AC399" s="8"/>
      <c r="AD399" s="8"/>
    </row>
    <row r="400" spans="29:30" x14ac:dyDescent="0.25">
      <c r="AC400" s="8"/>
      <c r="AD400" s="8"/>
    </row>
    <row r="401" spans="29:30" x14ac:dyDescent="0.25">
      <c r="AC401" s="8"/>
      <c r="AD401" s="8"/>
    </row>
    <row r="402" spans="29:30" x14ac:dyDescent="0.25">
      <c r="AC402" s="8"/>
    </row>
    <row r="403" spans="29:30" x14ac:dyDescent="0.25">
      <c r="AC403" s="8"/>
    </row>
    <row r="404" spans="29:30" x14ac:dyDescent="0.25">
      <c r="AC404" s="8"/>
    </row>
    <row r="405" spans="29:30" x14ac:dyDescent="0.25">
      <c r="AC405" s="8"/>
    </row>
    <row r="406" spans="29:30" x14ac:dyDescent="0.25">
      <c r="AC406" s="8"/>
    </row>
    <row r="407" spans="29:30" x14ac:dyDescent="0.25">
      <c r="AC407" s="8"/>
    </row>
    <row r="408" spans="29:30" x14ac:dyDescent="0.25">
      <c r="AC408" s="8"/>
    </row>
    <row r="409" spans="29:30" x14ac:dyDescent="0.25">
      <c r="AC409" s="8"/>
    </row>
    <row r="410" spans="29:30" x14ac:dyDescent="0.25">
      <c r="AC410" s="8"/>
    </row>
    <row r="411" spans="29:30" x14ac:dyDescent="0.25">
      <c r="AC411" s="8"/>
    </row>
    <row r="412" spans="29:30" x14ac:dyDescent="0.25">
      <c r="AC412" s="8"/>
    </row>
    <row r="413" spans="29:30" x14ac:dyDescent="0.25">
      <c r="AC413" s="8"/>
    </row>
    <row r="414" spans="29:30" x14ac:dyDescent="0.25">
      <c r="AC414" s="8"/>
    </row>
    <row r="415" spans="29:30" x14ac:dyDescent="0.25">
      <c r="AC415" s="8"/>
    </row>
    <row r="416" spans="29:30" x14ac:dyDescent="0.25">
      <c r="AC416" s="8"/>
    </row>
    <row r="417" spans="29:29" x14ac:dyDescent="0.25">
      <c r="AC417" s="8"/>
    </row>
    <row r="418" spans="29:29" x14ac:dyDescent="0.25">
      <c r="AC418" s="8"/>
    </row>
    <row r="419" spans="29:29" x14ac:dyDescent="0.25">
      <c r="AC419" s="8"/>
    </row>
    <row r="420" spans="29:29" x14ac:dyDescent="0.25">
      <c r="AC420" s="8"/>
    </row>
    <row r="421" spans="29:29" x14ac:dyDescent="0.25">
      <c r="AC421" s="8"/>
    </row>
    <row r="422" spans="29:29" x14ac:dyDescent="0.25">
      <c r="AC422" s="8"/>
    </row>
    <row r="423" spans="29:29" x14ac:dyDescent="0.25">
      <c r="AC423" s="8"/>
    </row>
    <row r="424" spans="29:29" x14ac:dyDescent="0.25">
      <c r="AC424" s="8"/>
    </row>
    <row r="425" spans="29:29" x14ac:dyDescent="0.25">
      <c r="AC425" s="8"/>
    </row>
    <row r="426" spans="29:29" x14ac:dyDescent="0.25">
      <c r="AC426" s="8"/>
    </row>
    <row r="427" spans="29:29" x14ac:dyDescent="0.25">
      <c r="AC427" s="8"/>
    </row>
    <row r="428" spans="29:29" x14ac:dyDescent="0.25">
      <c r="AC428" s="8"/>
    </row>
    <row r="429" spans="29:29" x14ac:dyDescent="0.25">
      <c r="AC429" s="8"/>
    </row>
    <row r="430" spans="29:29" x14ac:dyDescent="0.25">
      <c r="AC430" s="8"/>
    </row>
    <row r="431" spans="29:29" x14ac:dyDescent="0.25">
      <c r="AC431" s="8"/>
    </row>
    <row r="432" spans="29:29" x14ac:dyDescent="0.25">
      <c r="AC432" s="8"/>
    </row>
    <row r="433" spans="29:29" x14ac:dyDescent="0.25">
      <c r="AC433" s="8"/>
    </row>
    <row r="434" spans="29:29" x14ac:dyDescent="0.25">
      <c r="AC434" s="8"/>
    </row>
    <row r="435" spans="29:29" x14ac:dyDescent="0.25">
      <c r="AC435" s="8"/>
    </row>
    <row r="436" spans="29:29" x14ac:dyDescent="0.25">
      <c r="AC436" s="8"/>
    </row>
    <row r="437" spans="29:29" x14ac:dyDescent="0.25">
      <c r="AC437" s="8"/>
    </row>
    <row r="438" spans="29:29" x14ac:dyDescent="0.25">
      <c r="AC438" s="8"/>
    </row>
    <row r="439" spans="29:29" x14ac:dyDescent="0.25">
      <c r="AC439" s="8"/>
    </row>
    <row r="440" spans="29:29" x14ac:dyDescent="0.25">
      <c r="AC440" s="8"/>
    </row>
    <row r="441" spans="29:29" x14ac:dyDescent="0.25">
      <c r="AC441" s="8"/>
    </row>
    <row r="442" spans="29:29" x14ac:dyDescent="0.25">
      <c r="AC442" s="8"/>
    </row>
    <row r="443" spans="29:29" x14ac:dyDescent="0.25">
      <c r="AC443" s="8"/>
    </row>
    <row r="444" spans="29:29" x14ac:dyDescent="0.25">
      <c r="AC444" s="8"/>
    </row>
    <row r="445" spans="29:29" x14ac:dyDescent="0.25">
      <c r="AC445" s="8"/>
    </row>
    <row r="446" spans="29:29" x14ac:dyDescent="0.25">
      <c r="AC446" s="8"/>
    </row>
    <row r="447" spans="29:29" x14ac:dyDescent="0.25">
      <c r="AC447" s="8"/>
    </row>
    <row r="448" spans="29:29" x14ac:dyDescent="0.25">
      <c r="AC448" s="8"/>
    </row>
    <row r="449" spans="29:29" x14ac:dyDescent="0.25">
      <c r="AC449" s="8"/>
    </row>
    <row r="450" spans="29:29" x14ac:dyDescent="0.25">
      <c r="AC450" s="8"/>
    </row>
    <row r="451" spans="29:29" x14ac:dyDescent="0.25">
      <c r="AC451" s="8"/>
    </row>
    <row r="452" spans="29:29" x14ac:dyDescent="0.25">
      <c r="AC452" s="8"/>
    </row>
    <row r="453" spans="29:29" x14ac:dyDescent="0.25">
      <c r="AC453" s="8"/>
    </row>
    <row r="454" spans="29:29" x14ac:dyDescent="0.25">
      <c r="AC454" s="8"/>
    </row>
    <row r="455" spans="29:29" x14ac:dyDescent="0.25">
      <c r="AC455" s="8"/>
    </row>
    <row r="456" spans="29:29" x14ac:dyDescent="0.25">
      <c r="AC456" s="8"/>
    </row>
    <row r="457" spans="29:29" x14ac:dyDescent="0.25">
      <c r="AC457" s="8"/>
    </row>
    <row r="458" spans="29:29" x14ac:dyDescent="0.25">
      <c r="AC458" s="8"/>
    </row>
    <row r="459" spans="29:29" x14ac:dyDescent="0.25">
      <c r="AC459" s="8"/>
    </row>
    <row r="460" spans="29:29" x14ac:dyDescent="0.25">
      <c r="AC460" s="8"/>
    </row>
    <row r="461" spans="29:29" x14ac:dyDescent="0.25">
      <c r="AC461" s="8"/>
    </row>
    <row r="462" spans="29:29" x14ac:dyDescent="0.25">
      <c r="AC462" s="8"/>
    </row>
    <row r="463" spans="29:29" x14ac:dyDescent="0.25">
      <c r="AC463" s="8"/>
    </row>
    <row r="464" spans="29:29" x14ac:dyDescent="0.25">
      <c r="AC464" s="8"/>
    </row>
    <row r="465" spans="29:29" x14ac:dyDescent="0.25">
      <c r="AC465" s="8"/>
    </row>
    <row r="466" spans="29:29" x14ac:dyDescent="0.25">
      <c r="AC466" s="8"/>
    </row>
    <row r="467" spans="29:29" x14ac:dyDescent="0.25">
      <c r="AC467" s="8"/>
    </row>
    <row r="468" spans="29:29" x14ac:dyDescent="0.25">
      <c r="AC468" s="8"/>
    </row>
    <row r="469" spans="29:29" x14ac:dyDescent="0.25">
      <c r="AC469" s="8"/>
    </row>
    <row r="470" spans="29:29" x14ac:dyDescent="0.25">
      <c r="AC470" s="8"/>
    </row>
    <row r="471" spans="29:29" x14ac:dyDescent="0.25">
      <c r="AC471" s="8"/>
    </row>
    <row r="472" spans="29:29" x14ac:dyDescent="0.25">
      <c r="AC472" s="8"/>
    </row>
    <row r="473" spans="29:29" x14ac:dyDescent="0.25">
      <c r="AC473" s="8"/>
    </row>
    <row r="474" spans="29:29" x14ac:dyDescent="0.25">
      <c r="AC474" s="8"/>
    </row>
    <row r="475" spans="29:29" x14ac:dyDescent="0.25">
      <c r="AC475" s="8"/>
    </row>
    <row r="476" spans="29:29" x14ac:dyDescent="0.25">
      <c r="AC476" s="8"/>
    </row>
    <row r="477" spans="29:29" x14ac:dyDescent="0.25">
      <c r="AC477" s="8"/>
    </row>
    <row r="478" spans="29:29" x14ac:dyDescent="0.25">
      <c r="AC478" s="8"/>
    </row>
    <row r="479" spans="29:29" x14ac:dyDescent="0.25">
      <c r="AC479" s="8"/>
    </row>
    <row r="480" spans="29:29" x14ac:dyDescent="0.25">
      <c r="AC480" s="8"/>
    </row>
    <row r="481" spans="29:29" x14ac:dyDescent="0.25">
      <c r="AC481" s="8"/>
    </row>
    <row r="482" spans="29:29" x14ac:dyDescent="0.25">
      <c r="AC482" s="8"/>
    </row>
    <row r="483" spans="29:29" x14ac:dyDescent="0.25">
      <c r="AC483" s="8"/>
    </row>
    <row r="484" spans="29:29" x14ac:dyDescent="0.25">
      <c r="AC484" s="8"/>
    </row>
    <row r="485" spans="29:29" x14ac:dyDescent="0.25">
      <c r="AC485" s="8"/>
    </row>
    <row r="486" spans="29:29" x14ac:dyDescent="0.25">
      <c r="AC486" s="8"/>
    </row>
    <row r="487" spans="29:29" x14ac:dyDescent="0.25">
      <c r="AC487" s="8"/>
    </row>
    <row r="488" spans="29:29" x14ac:dyDescent="0.25">
      <c r="AC488" s="8"/>
    </row>
    <row r="489" spans="29:29" x14ac:dyDescent="0.25">
      <c r="AC489" s="8"/>
    </row>
    <row r="490" spans="29:29" x14ac:dyDescent="0.25">
      <c r="AC490" s="8"/>
    </row>
    <row r="491" spans="29:29" x14ac:dyDescent="0.25">
      <c r="AC491" s="8"/>
    </row>
    <row r="492" spans="29:29" x14ac:dyDescent="0.25">
      <c r="AC492" s="8"/>
    </row>
    <row r="493" spans="29:29" x14ac:dyDescent="0.25">
      <c r="AC493" s="8"/>
    </row>
    <row r="494" spans="29:29" x14ac:dyDescent="0.25">
      <c r="AC494" s="8"/>
    </row>
    <row r="495" spans="29:29" x14ac:dyDescent="0.25">
      <c r="AC495" s="8"/>
    </row>
    <row r="496" spans="29:29" x14ac:dyDescent="0.25">
      <c r="AC496" s="8"/>
    </row>
    <row r="497" spans="29:29" x14ac:dyDescent="0.25">
      <c r="AC497" s="8"/>
    </row>
    <row r="498" spans="29:29" x14ac:dyDescent="0.25">
      <c r="AC498" s="8"/>
    </row>
    <row r="499" spans="29:29" x14ac:dyDescent="0.25">
      <c r="AC499" s="8"/>
    </row>
    <row r="500" spans="29:29" x14ac:dyDescent="0.25">
      <c r="AC500" s="8"/>
    </row>
    <row r="501" spans="29:29" x14ac:dyDescent="0.25">
      <c r="AC501" s="8"/>
    </row>
    <row r="502" spans="29:29" x14ac:dyDescent="0.25">
      <c r="AC502" s="8"/>
    </row>
    <row r="503" spans="29:29" x14ac:dyDescent="0.25">
      <c r="AC503" s="8"/>
    </row>
    <row r="504" spans="29:29" x14ac:dyDescent="0.25">
      <c r="AC504" s="8"/>
    </row>
    <row r="505" spans="29:29" x14ac:dyDescent="0.25">
      <c r="AC505" s="8"/>
    </row>
    <row r="506" spans="29:29" x14ac:dyDescent="0.25">
      <c r="AC506" s="8"/>
    </row>
    <row r="507" spans="29:29" x14ac:dyDescent="0.25">
      <c r="AC507" s="8"/>
    </row>
    <row r="508" spans="29:29" x14ac:dyDescent="0.25">
      <c r="AC508" s="8"/>
    </row>
    <row r="509" spans="29:29" x14ac:dyDescent="0.25">
      <c r="AC509" s="8"/>
    </row>
    <row r="510" spans="29:29" x14ac:dyDescent="0.25">
      <c r="AC510" s="8"/>
    </row>
    <row r="511" spans="29:29" x14ac:dyDescent="0.25">
      <c r="AC511" s="8"/>
    </row>
    <row r="512" spans="29:29" x14ac:dyDescent="0.25">
      <c r="AC512" s="8"/>
    </row>
    <row r="513" spans="29:29" x14ac:dyDescent="0.25">
      <c r="AC513" s="8"/>
    </row>
    <row r="514" spans="29:29" x14ac:dyDescent="0.25">
      <c r="AC514" s="8"/>
    </row>
    <row r="515" spans="29:29" x14ac:dyDescent="0.25">
      <c r="AC515" s="8"/>
    </row>
    <row r="516" spans="29:29" x14ac:dyDescent="0.25">
      <c r="AC516" s="8"/>
    </row>
    <row r="517" spans="29:29" x14ac:dyDescent="0.25">
      <c r="AC517" s="8"/>
    </row>
    <row r="518" spans="29:29" x14ac:dyDescent="0.25">
      <c r="AC518" s="8"/>
    </row>
    <row r="519" spans="29:29" x14ac:dyDescent="0.25">
      <c r="AC519" s="8"/>
    </row>
    <row r="520" spans="29:29" x14ac:dyDescent="0.25">
      <c r="AC520" s="8"/>
    </row>
    <row r="521" spans="29:29" x14ac:dyDescent="0.25">
      <c r="AC521" s="8"/>
    </row>
    <row r="522" spans="29:29" x14ac:dyDescent="0.25">
      <c r="AC522" s="8"/>
    </row>
    <row r="523" spans="29:29" x14ac:dyDescent="0.25">
      <c r="AC523" s="8"/>
    </row>
    <row r="524" spans="29:29" x14ac:dyDescent="0.25">
      <c r="AC524" s="8"/>
    </row>
    <row r="525" spans="29:29" x14ac:dyDescent="0.25">
      <c r="AC525" s="8"/>
    </row>
    <row r="526" spans="29:29" x14ac:dyDescent="0.25">
      <c r="AC526" s="8"/>
    </row>
    <row r="527" spans="29:29" x14ac:dyDescent="0.25">
      <c r="AC527" s="8"/>
    </row>
    <row r="528" spans="29:29" x14ac:dyDescent="0.25">
      <c r="AC528" s="8"/>
    </row>
    <row r="529" spans="29:29" x14ac:dyDescent="0.25">
      <c r="AC529" s="8"/>
    </row>
    <row r="530" spans="29:29" x14ac:dyDescent="0.25">
      <c r="AC530" s="8"/>
    </row>
    <row r="531" spans="29:29" x14ac:dyDescent="0.25">
      <c r="AC531" s="8"/>
    </row>
    <row r="532" spans="29:29" x14ac:dyDescent="0.25">
      <c r="AC532" s="8"/>
    </row>
    <row r="533" spans="29:29" x14ac:dyDescent="0.25">
      <c r="AC533" s="8"/>
    </row>
    <row r="534" spans="29:29" x14ac:dyDescent="0.25">
      <c r="AC534" s="8"/>
    </row>
    <row r="535" spans="29:29" x14ac:dyDescent="0.25">
      <c r="AC535" s="8"/>
    </row>
    <row r="536" spans="29:29" x14ac:dyDescent="0.25">
      <c r="AC536" s="8"/>
    </row>
    <row r="537" spans="29:29" x14ac:dyDescent="0.25">
      <c r="AC537" s="8"/>
    </row>
    <row r="538" spans="29:29" x14ac:dyDescent="0.25">
      <c r="AC538" s="8"/>
    </row>
    <row r="539" spans="29:29" x14ac:dyDescent="0.25">
      <c r="AC539" s="8"/>
    </row>
    <row r="540" spans="29:29" x14ac:dyDescent="0.25">
      <c r="AC540" s="8"/>
    </row>
    <row r="541" spans="29:29" x14ac:dyDescent="0.25">
      <c r="AC541" s="8"/>
    </row>
    <row r="542" spans="29:29" x14ac:dyDescent="0.25">
      <c r="AC542" s="8"/>
    </row>
    <row r="543" spans="29:29" x14ac:dyDescent="0.25">
      <c r="AC543" s="8"/>
    </row>
    <row r="544" spans="29:29" x14ac:dyDescent="0.25">
      <c r="AC544" s="8"/>
    </row>
    <row r="545" spans="29:29" x14ac:dyDescent="0.25">
      <c r="AC545" s="8"/>
    </row>
    <row r="546" spans="29:29" x14ac:dyDescent="0.25">
      <c r="AC546" s="8"/>
    </row>
    <row r="547" spans="29:29" x14ac:dyDescent="0.25">
      <c r="AC547" s="8"/>
    </row>
    <row r="548" spans="29:29" x14ac:dyDescent="0.25">
      <c r="AC548" s="8"/>
    </row>
    <row r="549" spans="29:29" x14ac:dyDescent="0.25">
      <c r="AC549" s="8"/>
    </row>
    <row r="550" spans="29:29" x14ac:dyDescent="0.25">
      <c r="AC550" s="8"/>
    </row>
    <row r="551" spans="29:29" x14ac:dyDescent="0.25">
      <c r="AC551" s="8"/>
    </row>
    <row r="552" spans="29:29" x14ac:dyDescent="0.25">
      <c r="AC552" s="8"/>
    </row>
    <row r="553" spans="29:29" x14ac:dyDescent="0.25">
      <c r="AC553" s="8"/>
    </row>
    <row r="554" spans="29:29" x14ac:dyDescent="0.25">
      <c r="AC554" s="8"/>
    </row>
    <row r="555" spans="29:29" x14ac:dyDescent="0.25">
      <c r="AC555" s="8"/>
    </row>
    <row r="556" spans="29:29" x14ac:dyDescent="0.25">
      <c r="AC556" s="8"/>
    </row>
    <row r="557" spans="29:29" x14ac:dyDescent="0.25">
      <c r="AC557" s="8"/>
    </row>
    <row r="558" spans="29:29" x14ac:dyDescent="0.25">
      <c r="AC558" s="8"/>
    </row>
    <row r="559" spans="29:29" x14ac:dyDescent="0.25">
      <c r="AC559" s="8"/>
    </row>
    <row r="560" spans="29:29" x14ac:dyDescent="0.25">
      <c r="AC560" s="8"/>
    </row>
    <row r="561" spans="29:29" x14ac:dyDescent="0.25">
      <c r="AC561" s="8"/>
    </row>
    <row r="562" spans="29:29" x14ac:dyDescent="0.25">
      <c r="AC562" s="8"/>
    </row>
    <row r="563" spans="29:29" x14ac:dyDescent="0.25">
      <c r="AC563" s="8"/>
    </row>
    <row r="564" spans="29:29" x14ac:dyDescent="0.25">
      <c r="AC564" s="8"/>
    </row>
    <row r="565" spans="29:29" x14ac:dyDescent="0.25">
      <c r="AC565" s="8"/>
    </row>
    <row r="566" spans="29:29" x14ac:dyDescent="0.25">
      <c r="AC566" s="8"/>
    </row>
    <row r="567" spans="29:29" x14ac:dyDescent="0.25">
      <c r="AC567" s="8"/>
    </row>
    <row r="568" spans="29:29" x14ac:dyDescent="0.25">
      <c r="AC568" s="8"/>
    </row>
    <row r="569" spans="29:29" x14ac:dyDescent="0.25">
      <c r="AC569" s="8"/>
    </row>
    <row r="570" spans="29:29" x14ac:dyDescent="0.25">
      <c r="AC570" s="8"/>
    </row>
    <row r="571" spans="29:29" x14ac:dyDescent="0.25">
      <c r="AC571" s="8"/>
    </row>
    <row r="572" spans="29:29" x14ac:dyDescent="0.25">
      <c r="AC572" s="8"/>
    </row>
    <row r="573" spans="29:29" x14ac:dyDescent="0.25">
      <c r="AC573" s="8"/>
    </row>
    <row r="574" spans="29:29" x14ac:dyDescent="0.25">
      <c r="AC574" s="8"/>
    </row>
    <row r="575" spans="29:29" x14ac:dyDescent="0.25">
      <c r="AC575" s="8"/>
    </row>
    <row r="576" spans="29:29" x14ac:dyDescent="0.25">
      <c r="AC576" s="8"/>
    </row>
    <row r="577" spans="29:29" x14ac:dyDescent="0.25">
      <c r="AC577" s="8"/>
    </row>
    <row r="578" spans="29:29" x14ac:dyDescent="0.25">
      <c r="AC578" s="8"/>
    </row>
    <row r="579" spans="29:29" x14ac:dyDescent="0.25">
      <c r="AC579" s="8"/>
    </row>
    <row r="580" spans="29:29" x14ac:dyDescent="0.25">
      <c r="AC580" s="8"/>
    </row>
    <row r="581" spans="29:29" x14ac:dyDescent="0.25">
      <c r="AC581" s="8"/>
    </row>
    <row r="582" spans="29:29" x14ac:dyDescent="0.25">
      <c r="AC582" s="8"/>
    </row>
    <row r="583" spans="29:29" x14ac:dyDescent="0.25">
      <c r="AC583" s="8"/>
    </row>
    <row r="584" spans="29:29" x14ac:dyDescent="0.25">
      <c r="AC584" s="8"/>
    </row>
    <row r="585" spans="29:29" x14ac:dyDescent="0.25">
      <c r="AC585" s="8"/>
    </row>
    <row r="586" spans="29:29" x14ac:dyDescent="0.25">
      <c r="AC586" s="8"/>
    </row>
    <row r="587" spans="29:29" x14ac:dyDescent="0.25">
      <c r="AC587" s="8"/>
    </row>
    <row r="588" spans="29:29" x14ac:dyDescent="0.25">
      <c r="AC588" s="8"/>
    </row>
    <row r="589" spans="29:29" x14ac:dyDescent="0.25">
      <c r="AC589" s="8"/>
    </row>
    <row r="590" spans="29:29" x14ac:dyDescent="0.25">
      <c r="AC590" s="8"/>
    </row>
    <row r="591" spans="29:29" x14ac:dyDescent="0.25">
      <c r="AC591" s="8"/>
    </row>
    <row r="592" spans="29:29" x14ac:dyDescent="0.25">
      <c r="AC592" s="8"/>
    </row>
    <row r="593" spans="29:29" x14ac:dyDescent="0.25">
      <c r="AC593" s="8"/>
    </row>
    <row r="594" spans="29:29" x14ac:dyDescent="0.25">
      <c r="AC594" s="8"/>
    </row>
    <row r="595" spans="29:29" x14ac:dyDescent="0.25">
      <c r="AC595" s="8"/>
    </row>
    <row r="596" spans="29:29" x14ac:dyDescent="0.25">
      <c r="AC596" s="8"/>
    </row>
    <row r="597" spans="29:29" x14ac:dyDescent="0.25">
      <c r="AC597" s="8"/>
    </row>
    <row r="598" spans="29:29" x14ac:dyDescent="0.25">
      <c r="AC598" s="8"/>
    </row>
    <row r="599" spans="29:29" x14ac:dyDescent="0.25">
      <c r="AC599" s="8"/>
    </row>
    <row r="600" spans="29:29" x14ac:dyDescent="0.25">
      <c r="AC600" s="8"/>
    </row>
    <row r="601" spans="29:29" x14ac:dyDescent="0.25">
      <c r="AC601" s="8"/>
    </row>
    <row r="602" spans="29:29" x14ac:dyDescent="0.25">
      <c r="AC602" s="8"/>
    </row>
    <row r="603" spans="29:29" x14ac:dyDescent="0.25">
      <c r="AC603" s="8"/>
    </row>
    <row r="604" spans="29:29" x14ac:dyDescent="0.25">
      <c r="AC604" s="8"/>
    </row>
    <row r="605" spans="29:29" x14ac:dyDescent="0.25">
      <c r="AC605" s="8"/>
    </row>
    <row r="606" spans="29:29" x14ac:dyDescent="0.25">
      <c r="AC606" s="8"/>
    </row>
    <row r="607" spans="29:29" x14ac:dyDescent="0.25">
      <c r="AC607" s="8"/>
    </row>
    <row r="608" spans="29:29" x14ac:dyDescent="0.25">
      <c r="AC608" s="8"/>
    </row>
    <row r="609" spans="29:29" x14ac:dyDescent="0.25">
      <c r="AC609" s="8"/>
    </row>
    <row r="610" spans="29:29" x14ac:dyDescent="0.25">
      <c r="AC610" s="8"/>
    </row>
    <row r="611" spans="29:29" x14ac:dyDescent="0.25">
      <c r="AC611" s="8"/>
    </row>
    <row r="612" spans="29:29" x14ac:dyDescent="0.25">
      <c r="AC612" s="8"/>
    </row>
    <row r="613" spans="29:29" x14ac:dyDescent="0.25">
      <c r="AC613" s="8"/>
    </row>
    <row r="614" spans="29:29" x14ac:dyDescent="0.25">
      <c r="AC614" s="8"/>
    </row>
    <row r="615" spans="29:29" x14ac:dyDescent="0.25">
      <c r="AC615" s="8"/>
    </row>
    <row r="616" spans="29:29" x14ac:dyDescent="0.25">
      <c r="AC616" s="8"/>
    </row>
    <row r="617" spans="29:29" x14ac:dyDescent="0.25">
      <c r="AC617" s="8"/>
    </row>
    <row r="618" spans="29:29" x14ac:dyDescent="0.25">
      <c r="AC618" s="8"/>
    </row>
    <row r="619" spans="29:29" x14ac:dyDescent="0.25">
      <c r="AC619" s="8"/>
    </row>
    <row r="620" spans="29:29" x14ac:dyDescent="0.25">
      <c r="AC620" s="8"/>
    </row>
    <row r="621" spans="29:29" x14ac:dyDescent="0.25">
      <c r="AC621" s="8"/>
    </row>
    <row r="622" spans="29:29" x14ac:dyDescent="0.25">
      <c r="AC622" s="8"/>
    </row>
    <row r="623" spans="29:29" x14ac:dyDescent="0.25">
      <c r="AC623" s="8"/>
    </row>
    <row r="624" spans="29:29" x14ac:dyDescent="0.25">
      <c r="AC624" s="8"/>
    </row>
    <row r="625" spans="29:29" x14ac:dyDescent="0.25">
      <c r="AC625" s="8"/>
    </row>
    <row r="626" spans="29:29" x14ac:dyDescent="0.25">
      <c r="AC626" s="8"/>
    </row>
    <row r="627" spans="29:29" x14ac:dyDescent="0.25">
      <c r="AC627" s="8"/>
    </row>
    <row r="628" spans="29:29" x14ac:dyDescent="0.25">
      <c r="AC628" s="8"/>
    </row>
    <row r="629" spans="29:29" x14ac:dyDescent="0.25">
      <c r="AC629" s="8"/>
    </row>
    <row r="630" spans="29:29" x14ac:dyDescent="0.25">
      <c r="AC630" s="8"/>
    </row>
    <row r="631" spans="29:29" x14ac:dyDescent="0.25">
      <c r="AC631" s="8"/>
    </row>
    <row r="632" spans="29:29" x14ac:dyDescent="0.25">
      <c r="AC632" s="8"/>
    </row>
    <row r="633" spans="29:29" x14ac:dyDescent="0.25">
      <c r="AC633" s="8"/>
    </row>
    <row r="634" spans="29:29" x14ac:dyDescent="0.25">
      <c r="AC634" s="8"/>
    </row>
    <row r="635" spans="29:29" x14ac:dyDescent="0.25">
      <c r="AC635" s="8"/>
    </row>
    <row r="636" spans="29:29" x14ac:dyDescent="0.25">
      <c r="AC636" s="8"/>
    </row>
    <row r="637" spans="29:29" x14ac:dyDescent="0.25">
      <c r="AC637" s="8"/>
    </row>
    <row r="638" spans="29:29" x14ac:dyDescent="0.25">
      <c r="AC638" s="8"/>
    </row>
    <row r="639" spans="29:29" x14ac:dyDescent="0.25">
      <c r="AC639" s="8"/>
    </row>
    <row r="640" spans="29:29" x14ac:dyDescent="0.25">
      <c r="AC640" s="8"/>
    </row>
    <row r="641" spans="29:29" x14ac:dyDescent="0.25">
      <c r="AC641" s="8"/>
    </row>
    <row r="642" spans="29:29" x14ac:dyDescent="0.25">
      <c r="AC642" s="8"/>
    </row>
    <row r="643" spans="29:29" x14ac:dyDescent="0.25">
      <c r="AC643" s="8"/>
    </row>
    <row r="644" spans="29:29" x14ac:dyDescent="0.25">
      <c r="AC644" s="8"/>
    </row>
    <row r="645" spans="29:29" x14ac:dyDescent="0.25">
      <c r="AC645" s="8"/>
    </row>
    <row r="646" spans="29:29" x14ac:dyDescent="0.25">
      <c r="AC646" s="8"/>
    </row>
    <row r="647" spans="29:29" x14ac:dyDescent="0.25">
      <c r="AC647" s="8"/>
    </row>
    <row r="648" spans="29:29" x14ac:dyDescent="0.25">
      <c r="AC648" s="8"/>
    </row>
    <row r="649" spans="29:29" x14ac:dyDescent="0.25">
      <c r="AC649" s="8"/>
    </row>
    <row r="650" spans="29:29" x14ac:dyDescent="0.25">
      <c r="AC650" s="8"/>
    </row>
    <row r="651" spans="29:29" x14ac:dyDescent="0.25">
      <c r="AC651" s="8"/>
    </row>
    <row r="652" spans="29:29" x14ac:dyDescent="0.25">
      <c r="AC652" s="8"/>
    </row>
    <row r="653" spans="29:29" x14ac:dyDescent="0.25">
      <c r="AC653" s="8"/>
    </row>
    <row r="654" spans="29:29" x14ac:dyDescent="0.25">
      <c r="AC654" s="8"/>
    </row>
    <row r="655" spans="29:29" x14ac:dyDescent="0.25">
      <c r="AC655" s="8"/>
    </row>
    <row r="656" spans="29:29" x14ac:dyDescent="0.25">
      <c r="AC656" s="8"/>
    </row>
    <row r="657" spans="29:29" x14ac:dyDescent="0.25">
      <c r="AC657" s="8"/>
    </row>
    <row r="658" spans="29:29" x14ac:dyDescent="0.25">
      <c r="AC658" s="8"/>
    </row>
    <row r="659" spans="29:29" x14ac:dyDescent="0.25">
      <c r="AC659" s="8"/>
    </row>
    <row r="660" spans="29:29" x14ac:dyDescent="0.25">
      <c r="AC660" s="8"/>
    </row>
    <row r="661" spans="29:29" x14ac:dyDescent="0.25">
      <c r="AC661" s="8"/>
    </row>
    <row r="662" spans="29:29" x14ac:dyDescent="0.25">
      <c r="AC662" s="8"/>
    </row>
    <row r="663" spans="29:29" x14ac:dyDescent="0.25">
      <c r="AC663" s="8"/>
    </row>
    <row r="664" spans="29:29" x14ac:dyDescent="0.25">
      <c r="AC664" s="8"/>
    </row>
    <row r="665" spans="29:29" x14ac:dyDescent="0.25">
      <c r="AC665" s="8"/>
    </row>
    <row r="666" spans="29:29" x14ac:dyDescent="0.25">
      <c r="AC666" s="8"/>
    </row>
    <row r="667" spans="29:29" x14ac:dyDescent="0.25">
      <c r="AC667" s="8"/>
    </row>
    <row r="668" spans="29:29" x14ac:dyDescent="0.25">
      <c r="AC668" s="8"/>
    </row>
    <row r="669" spans="29:29" x14ac:dyDescent="0.25">
      <c r="AC669" s="8"/>
    </row>
    <row r="670" spans="29:29" x14ac:dyDescent="0.25">
      <c r="AC670" s="8"/>
    </row>
    <row r="671" spans="29:29" x14ac:dyDescent="0.25">
      <c r="AC671" s="8"/>
    </row>
    <row r="672" spans="29:29" x14ac:dyDescent="0.25">
      <c r="AC672" s="8"/>
    </row>
    <row r="673" spans="29:29" x14ac:dyDescent="0.25">
      <c r="AC673" s="8"/>
    </row>
    <row r="674" spans="29:29" x14ac:dyDescent="0.25">
      <c r="AC674" s="8"/>
    </row>
    <row r="675" spans="29:29" x14ac:dyDescent="0.25">
      <c r="AC675" s="8"/>
    </row>
    <row r="676" spans="29:29" x14ac:dyDescent="0.25">
      <c r="AC676" s="8"/>
    </row>
    <row r="677" spans="29:29" x14ac:dyDescent="0.25">
      <c r="AC677" s="8"/>
    </row>
    <row r="678" spans="29:29" x14ac:dyDescent="0.25">
      <c r="AC678" s="8"/>
    </row>
    <row r="679" spans="29:29" x14ac:dyDescent="0.25">
      <c r="AC679" s="8"/>
    </row>
    <row r="680" spans="29:29" x14ac:dyDescent="0.25">
      <c r="AC680" s="8"/>
    </row>
    <row r="681" spans="29:29" x14ac:dyDescent="0.25">
      <c r="AC681" s="8"/>
    </row>
    <row r="682" spans="29:29" x14ac:dyDescent="0.25">
      <c r="AC682" s="8"/>
    </row>
    <row r="683" spans="29:29" x14ac:dyDescent="0.25">
      <c r="AC683" s="8"/>
    </row>
    <row r="684" spans="29:29" x14ac:dyDescent="0.25">
      <c r="AC684" s="8"/>
    </row>
    <row r="685" spans="29:29" x14ac:dyDescent="0.25">
      <c r="AC685" s="8"/>
    </row>
    <row r="686" spans="29:29" x14ac:dyDescent="0.25">
      <c r="AC686" s="8"/>
    </row>
    <row r="687" spans="29:29" x14ac:dyDescent="0.25">
      <c r="AC687" s="8"/>
    </row>
    <row r="688" spans="29:29" x14ac:dyDescent="0.25">
      <c r="AC688" s="8"/>
    </row>
    <row r="689" spans="29:29" x14ac:dyDescent="0.25">
      <c r="AC689" s="8"/>
    </row>
    <row r="690" spans="29:29" x14ac:dyDescent="0.25">
      <c r="AC690" s="8"/>
    </row>
    <row r="691" spans="29:29" x14ac:dyDescent="0.25">
      <c r="AC691" s="8"/>
    </row>
    <row r="692" spans="29:29" x14ac:dyDescent="0.25">
      <c r="AC692" s="8"/>
    </row>
    <row r="693" spans="29:29" x14ac:dyDescent="0.25">
      <c r="AC693" s="8"/>
    </row>
    <row r="694" spans="29:29" x14ac:dyDescent="0.25">
      <c r="AC694" s="8"/>
    </row>
    <row r="695" spans="29:29" x14ac:dyDescent="0.25">
      <c r="AC695" s="8"/>
    </row>
    <row r="696" spans="29:29" x14ac:dyDescent="0.25">
      <c r="AC696" s="8"/>
    </row>
    <row r="697" spans="29:29" x14ac:dyDescent="0.25">
      <c r="AC697" s="8"/>
    </row>
    <row r="698" spans="29:29" x14ac:dyDescent="0.25">
      <c r="AC698" s="8"/>
    </row>
    <row r="699" spans="29:29" x14ac:dyDescent="0.25">
      <c r="AC699" s="8"/>
    </row>
    <row r="700" spans="29:29" x14ac:dyDescent="0.25">
      <c r="AC700" s="8"/>
    </row>
    <row r="701" spans="29:29" x14ac:dyDescent="0.25">
      <c r="AC701" s="8"/>
    </row>
    <row r="702" spans="29:29" x14ac:dyDescent="0.25">
      <c r="AC702" s="8"/>
    </row>
    <row r="703" spans="29:29" x14ac:dyDescent="0.25">
      <c r="AC703" s="8"/>
    </row>
    <row r="704" spans="29:29" x14ac:dyDescent="0.25">
      <c r="AC704" s="8"/>
    </row>
    <row r="705" spans="29:29" x14ac:dyDescent="0.25">
      <c r="AC705" s="8"/>
    </row>
    <row r="706" spans="29:29" x14ac:dyDescent="0.25">
      <c r="AC706" s="8"/>
    </row>
    <row r="707" spans="29:29" x14ac:dyDescent="0.25">
      <c r="AC707" s="8"/>
    </row>
    <row r="708" spans="29:29" x14ac:dyDescent="0.25">
      <c r="AC708" s="8"/>
    </row>
    <row r="709" spans="29:29" x14ac:dyDescent="0.25">
      <c r="AC709" s="8"/>
    </row>
    <row r="710" spans="29:29" x14ac:dyDescent="0.25">
      <c r="AC710" s="8"/>
    </row>
    <row r="711" spans="29:29" x14ac:dyDescent="0.25">
      <c r="AC711" s="8"/>
    </row>
    <row r="712" spans="29:29" x14ac:dyDescent="0.25">
      <c r="AC712" s="8"/>
    </row>
    <row r="713" spans="29:29" x14ac:dyDescent="0.25">
      <c r="AC713" s="8"/>
    </row>
    <row r="714" spans="29:29" x14ac:dyDescent="0.25">
      <c r="AC714" s="8"/>
    </row>
    <row r="715" spans="29:29" x14ac:dyDescent="0.25">
      <c r="AC715" s="8"/>
    </row>
    <row r="716" spans="29:29" x14ac:dyDescent="0.25">
      <c r="AC716" s="8"/>
    </row>
    <row r="717" spans="29:29" x14ac:dyDescent="0.25">
      <c r="AC717" s="8"/>
    </row>
    <row r="718" spans="29:29" x14ac:dyDescent="0.25">
      <c r="AC718" s="8"/>
    </row>
    <row r="719" spans="29:29" x14ac:dyDescent="0.25">
      <c r="AC719" s="8"/>
    </row>
    <row r="720" spans="29:29" x14ac:dyDescent="0.25">
      <c r="AC720" s="8"/>
    </row>
    <row r="721" spans="29:29" x14ac:dyDescent="0.25">
      <c r="AC721" s="8"/>
    </row>
    <row r="722" spans="29:29" x14ac:dyDescent="0.25">
      <c r="AC722" s="8"/>
    </row>
    <row r="723" spans="29:29" x14ac:dyDescent="0.25">
      <c r="AC723" s="8"/>
    </row>
    <row r="724" spans="29:29" x14ac:dyDescent="0.25">
      <c r="AC724" s="8"/>
    </row>
    <row r="725" spans="29:29" x14ac:dyDescent="0.25">
      <c r="AC725" s="8"/>
    </row>
    <row r="726" spans="29:29" x14ac:dyDescent="0.25">
      <c r="AC726" s="8"/>
    </row>
    <row r="727" spans="29:29" x14ac:dyDescent="0.25">
      <c r="AC727" s="8"/>
    </row>
    <row r="728" spans="29:29" x14ac:dyDescent="0.25">
      <c r="AC728" s="8"/>
    </row>
    <row r="729" spans="29:29" x14ac:dyDescent="0.25">
      <c r="AC729" s="8"/>
    </row>
    <row r="730" spans="29:29" x14ac:dyDescent="0.25">
      <c r="AC730" s="8"/>
    </row>
    <row r="731" spans="29:29" x14ac:dyDescent="0.25">
      <c r="AC731" s="8"/>
    </row>
    <row r="732" spans="29:29" x14ac:dyDescent="0.25">
      <c r="AC732" s="8"/>
    </row>
    <row r="733" spans="29:29" x14ac:dyDescent="0.25">
      <c r="AC733" s="8"/>
    </row>
    <row r="734" spans="29:29" x14ac:dyDescent="0.25">
      <c r="AC734" s="8"/>
    </row>
    <row r="735" spans="29:29" x14ac:dyDescent="0.25">
      <c r="AC735" s="8"/>
    </row>
    <row r="736" spans="29:29" x14ac:dyDescent="0.25">
      <c r="AC736" s="8"/>
    </row>
    <row r="737" spans="29:29" x14ac:dyDescent="0.25">
      <c r="AC737" s="8"/>
    </row>
    <row r="738" spans="29:29" x14ac:dyDescent="0.25">
      <c r="AC738" s="8"/>
    </row>
    <row r="739" spans="29:29" x14ac:dyDescent="0.25">
      <c r="AC739" s="8"/>
    </row>
    <row r="740" spans="29:29" x14ac:dyDescent="0.25">
      <c r="AC740" s="8"/>
    </row>
    <row r="741" spans="29:29" x14ac:dyDescent="0.25">
      <c r="AC741" s="8"/>
    </row>
    <row r="742" spans="29:29" x14ac:dyDescent="0.25">
      <c r="AC742" s="8"/>
    </row>
    <row r="743" spans="29:29" x14ac:dyDescent="0.25">
      <c r="AC743" s="8"/>
    </row>
    <row r="744" spans="29:29" x14ac:dyDescent="0.25">
      <c r="AC744" s="8"/>
    </row>
    <row r="745" spans="29:29" x14ac:dyDescent="0.25">
      <c r="AC745" s="8"/>
    </row>
    <row r="746" spans="29:29" x14ac:dyDescent="0.25">
      <c r="AC746" s="8"/>
    </row>
    <row r="747" spans="29:29" x14ac:dyDescent="0.25">
      <c r="AC747" s="8"/>
    </row>
    <row r="748" spans="29:29" x14ac:dyDescent="0.25">
      <c r="AC748" s="8"/>
    </row>
    <row r="749" spans="29:29" x14ac:dyDescent="0.25">
      <c r="AC749" s="8"/>
    </row>
    <row r="750" spans="29:29" x14ac:dyDescent="0.25">
      <c r="AC750" s="8"/>
    </row>
    <row r="751" spans="29:29" x14ac:dyDescent="0.25">
      <c r="AC751" s="8"/>
    </row>
    <row r="752" spans="29:29" x14ac:dyDescent="0.25">
      <c r="AC752" s="8"/>
    </row>
    <row r="753" spans="29:29" x14ac:dyDescent="0.25">
      <c r="AC753" s="8"/>
    </row>
    <row r="754" spans="29:29" x14ac:dyDescent="0.25">
      <c r="AC754" s="8"/>
    </row>
    <row r="755" spans="29:29" x14ac:dyDescent="0.25">
      <c r="AC755" s="8"/>
    </row>
    <row r="756" spans="29:29" x14ac:dyDescent="0.25">
      <c r="AC756" s="8"/>
    </row>
    <row r="757" spans="29:29" x14ac:dyDescent="0.25">
      <c r="AC757" s="8"/>
    </row>
    <row r="758" spans="29:29" x14ac:dyDescent="0.25">
      <c r="AC758" s="8"/>
    </row>
    <row r="759" spans="29:29" x14ac:dyDescent="0.25">
      <c r="AC759" s="8"/>
    </row>
    <row r="760" spans="29:29" x14ac:dyDescent="0.25">
      <c r="AC760" s="8"/>
    </row>
    <row r="761" spans="29:29" x14ac:dyDescent="0.25">
      <c r="AC761" s="8"/>
    </row>
    <row r="762" spans="29:29" x14ac:dyDescent="0.25">
      <c r="AC762" s="8"/>
    </row>
    <row r="763" spans="29:29" x14ac:dyDescent="0.25">
      <c r="AC763" s="8"/>
    </row>
    <row r="764" spans="29:29" x14ac:dyDescent="0.25">
      <c r="AC764" s="8"/>
    </row>
    <row r="765" spans="29:29" x14ac:dyDescent="0.25">
      <c r="AC765" s="8"/>
    </row>
    <row r="766" spans="29:29" x14ac:dyDescent="0.25">
      <c r="AC766" s="8"/>
    </row>
    <row r="767" spans="29:29" x14ac:dyDescent="0.25">
      <c r="AC767" s="8"/>
    </row>
    <row r="768" spans="29:29" x14ac:dyDescent="0.25">
      <c r="AC768" s="8"/>
    </row>
    <row r="769" spans="29:29" x14ac:dyDescent="0.25">
      <c r="AC769" s="8"/>
    </row>
    <row r="770" spans="29:29" x14ac:dyDescent="0.25">
      <c r="AC770" s="8"/>
    </row>
    <row r="771" spans="29:29" x14ac:dyDescent="0.25">
      <c r="AC771" s="8"/>
    </row>
    <row r="772" spans="29:29" x14ac:dyDescent="0.25">
      <c r="AC772" s="8"/>
    </row>
    <row r="773" spans="29:29" x14ac:dyDescent="0.25">
      <c r="AC773" s="8"/>
    </row>
    <row r="774" spans="29:29" x14ac:dyDescent="0.25">
      <c r="AC774" s="8"/>
    </row>
    <row r="775" spans="29:29" x14ac:dyDescent="0.25">
      <c r="AC775" s="8"/>
    </row>
    <row r="776" spans="29:29" x14ac:dyDescent="0.25">
      <c r="AC776" s="8"/>
    </row>
    <row r="777" spans="29:29" x14ac:dyDescent="0.25">
      <c r="AC777" s="8"/>
    </row>
    <row r="778" spans="29:29" x14ac:dyDescent="0.25">
      <c r="AC778" s="8"/>
    </row>
    <row r="779" spans="29:29" x14ac:dyDescent="0.25">
      <c r="AC779" s="8"/>
    </row>
    <row r="780" spans="29:29" x14ac:dyDescent="0.25">
      <c r="AC780" s="8"/>
    </row>
    <row r="781" spans="29:29" x14ac:dyDescent="0.25">
      <c r="AC781" s="8"/>
    </row>
    <row r="782" spans="29:29" x14ac:dyDescent="0.25">
      <c r="AC782" s="8"/>
    </row>
    <row r="783" spans="29:29" x14ac:dyDescent="0.25">
      <c r="AC783" s="8"/>
    </row>
    <row r="784" spans="29:29" x14ac:dyDescent="0.25">
      <c r="AC784" s="8"/>
    </row>
    <row r="785" spans="29:29" x14ac:dyDescent="0.25">
      <c r="AC785" s="8"/>
    </row>
    <row r="786" spans="29:29" x14ac:dyDescent="0.25">
      <c r="AC786" s="8"/>
    </row>
    <row r="787" spans="29:29" x14ac:dyDescent="0.25">
      <c r="AC787" s="8"/>
    </row>
    <row r="788" spans="29:29" x14ac:dyDescent="0.25">
      <c r="AC788" s="8"/>
    </row>
    <row r="789" spans="29:29" x14ac:dyDescent="0.25">
      <c r="AC789" s="8"/>
    </row>
    <row r="790" spans="29:29" x14ac:dyDescent="0.25">
      <c r="AC790" s="8"/>
    </row>
    <row r="791" spans="29:29" x14ac:dyDescent="0.25">
      <c r="AC791" s="8"/>
    </row>
    <row r="792" spans="29:29" x14ac:dyDescent="0.25">
      <c r="AC792" s="8"/>
    </row>
    <row r="793" spans="29:29" x14ac:dyDescent="0.25">
      <c r="AC793" s="8"/>
    </row>
    <row r="794" spans="29:29" x14ac:dyDescent="0.25">
      <c r="AC794" s="8"/>
    </row>
    <row r="795" spans="29:29" x14ac:dyDescent="0.25">
      <c r="AC795" s="8"/>
    </row>
    <row r="796" spans="29:29" x14ac:dyDescent="0.25">
      <c r="AC796" s="8"/>
    </row>
    <row r="797" spans="29:29" x14ac:dyDescent="0.25">
      <c r="AC797" s="8"/>
    </row>
    <row r="798" spans="29:29" x14ac:dyDescent="0.25">
      <c r="AC798" s="8"/>
    </row>
    <row r="799" spans="29:29" x14ac:dyDescent="0.25">
      <c r="AC799" s="8"/>
    </row>
    <row r="800" spans="29:29" x14ac:dyDescent="0.25">
      <c r="AC800" s="8"/>
    </row>
    <row r="801" spans="29:29" x14ac:dyDescent="0.25">
      <c r="AC801" s="8"/>
    </row>
    <row r="802" spans="29:29" x14ac:dyDescent="0.25">
      <c r="AC802" s="8"/>
    </row>
    <row r="803" spans="29:29" x14ac:dyDescent="0.25">
      <c r="AC803" s="8"/>
    </row>
    <row r="804" spans="29:29" x14ac:dyDescent="0.25">
      <c r="AC804" s="8"/>
    </row>
    <row r="805" spans="29:29" x14ac:dyDescent="0.25">
      <c r="AC805" s="8"/>
    </row>
    <row r="806" spans="29:29" x14ac:dyDescent="0.25">
      <c r="AC806" s="8"/>
    </row>
    <row r="807" spans="29:29" x14ac:dyDescent="0.25">
      <c r="AC807" s="8"/>
    </row>
    <row r="808" spans="29:29" x14ac:dyDescent="0.25">
      <c r="AC808" s="8"/>
    </row>
    <row r="809" spans="29:29" x14ac:dyDescent="0.25">
      <c r="AC809" s="8"/>
    </row>
    <row r="810" spans="29:29" x14ac:dyDescent="0.25">
      <c r="AC810" s="8"/>
    </row>
    <row r="811" spans="29:29" x14ac:dyDescent="0.25">
      <c r="AC811" s="8"/>
    </row>
    <row r="812" spans="29:29" x14ac:dyDescent="0.25">
      <c r="AC812" s="8"/>
    </row>
    <row r="813" spans="29:29" x14ac:dyDescent="0.25">
      <c r="AC813" s="8"/>
    </row>
    <row r="814" spans="29:29" x14ac:dyDescent="0.25">
      <c r="AC814" s="8"/>
    </row>
    <row r="815" spans="29:29" x14ac:dyDescent="0.25">
      <c r="AC815" s="8"/>
    </row>
    <row r="816" spans="29:29" x14ac:dyDescent="0.25">
      <c r="AC816" s="8"/>
    </row>
    <row r="817" spans="29:29" x14ac:dyDescent="0.25">
      <c r="AC817" s="8"/>
    </row>
    <row r="818" spans="29:29" x14ac:dyDescent="0.25">
      <c r="AC818" s="8"/>
    </row>
    <row r="819" spans="29:29" x14ac:dyDescent="0.25">
      <c r="AC819" s="8"/>
    </row>
    <row r="820" spans="29:29" x14ac:dyDescent="0.25">
      <c r="AC820" s="8"/>
    </row>
    <row r="821" spans="29:29" x14ac:dyDescent="0.25">
      <c r="AC821" s="8"/>
    </row>
    <row r="822" spans="29:29" x14ac:dyDescent="0.25">
      <c r="AC822" s="8"/>
    </row>
    <row r="823" spans="29:29" x14ac:dyDescent="0.25">
      <c r="AC823" s="8"/>
    </row>
    <row r="824" spans="29:29" x14ac:dyDescent="0.25">
      <c r="AC824" s="8"/>
    </row>
    <row r="825" spans="29:29" x14ac:dyDescent="0.25">
      <c r="AC825" s="8"/>
    </row>
    <row r="826" spans="29:29" x14ac:dyDescent="0.25">
      <c r="AC826" s="8"/>
    </row>
    <row r="827" spans="29:29" x14ac:dyDescent="0.25">
      <c r="AC827" s="8"/>
    </row>
    <row r="828" spans="29:29" x14ac:dyDescent="0.25">
      <c r="AC828" s="8"/>
    </row>
    <row r="829" spans="29:29" x14ac:dyDescent="0.25">
      <c r="AC829" s="8"/>
    </row>
    <row r="830" spans="29:29" x14ac:dyDescent="0.25">
      <c r="AC830" s="8"/>
    </row>
    <row r="831" spans="29:29" x14ac:dyDescent="0.25">
      <c r="AC831" s="8"/>
    </row>
    <row r="832" spans="29:29" x14ac:dyDescent="0.25">
      <c r="AC832" s="8"/>
    </row>
    <row r="833" spans="29:29" x14ac:dyDescent="0.25">
      <c r="AC833" s="8"/>
    </row>
    <row r="834" spans="29:29" x14ac:dyDescent="0.25">
      <c r="AC834" s="8"/>
    </row>
    <row r="835" spans="29:29" x14ac:dyDescent="0.25">
      <c r="AC835" s="8"/>
    </row>
    <row r="836" spans="29:29" x14ac:dyDescent="0.25">
      <c r="AC836" s="8"/>
    </row>
    <row r="837" spans="29:29" x14ac:dyDescent="0.25">
      <c r="AC837" s="8"/>
    </row>
    <row r="838" spans="29:29" x14ac:dyDescent="0.25">
      <c r="AC838" s="8"/>
    </row>
    <row r="839" spans="29:29" x14ac:dyDescent="0.25">
      <c r="AC839" s="8"/>
    </row>
    <row r="840" spans="29:29" x14ac:dyDescent="0.25">
      <c r="AC840" s="8"/>
    </row>
    <row r="841" spans="29:29" x14ac:dyDescent="0.25">
      <c r="AC841" s="8"/>
    </row>
    <row r="842" spans="29:29" x14ac:dyDescent="0.25">
      <c r="AC842" s="8"/>
    </row>
    <row r="843" spans="29:29" x14ac:dyDescent="0.25">
      <c r="AC843" s="8"/>
    </row>
    <row r="844" spans="29:29" x14ac:dyDescent="0.25">
      <c r="AC844" s="8"/>
    </row>
    <row r="845" spans="29:29" x14ac:dyDescent="0.25">
      <c r="AC845" s="8"/>
    </row>
    <row r="846" spans="29:29" x14ac:dyDescent="0.25">
      <c r="AC846" s="8"/>
    </row>
    <row r="847" spans="29:29" x14ac:dyDescent="0.25">
      <c r="AC847" s="8"/>
    </row>
    <row r="848" spans="29:29" x14ac:dyDescent="0.25">
      <c r="AC848" s="8"/>
    </row>
    <row r="849" spans="29:29" x14ac:dyDescent="0.25">
      <c r="AC849" s="8"/>
    </row>
    <row r="850" spans="29:29" x14ac:dyDescent="0.25">
      <c r="AC850" s="8"/>
    </row>
    <row r="851" spans="29:29" x14ac:dyDescent="0.25">
      <c r="AC851" s="8"/>
    </row>
    <row r="852" spans="29:29" x14ac:dyDescent="0.25">
      <c r="AC852" s="8"/>
    </row>
    <row r="853" spans="29:29" x14ac:dyDescent="0.25">
      <c r="AC853" s="8"/>
    </row>
    <row r="854" spans="29:29" x14ac:dyDescent="0.25">
      <c r="AC854" s="8"/>
    </row>
    <row r="855" spans="29:29" x14ac:dyDescent="0.25">
      <c r="AC855" s="8"/>
    </row>
    <row r="856" spans="29:29" x14ac:dyDescent="0.25">
      <c r="AC856" s="8"/>
    </row>
    <row r="857" spans="29:29" x14ac:dyDescent="0.25">
      <c r="AC857" s="8"/>
    </row>
    <row r="858" spans="29:29" x14ac:dyDescent="0.25">
      <c r="AC858" s="8"/>
    </row>
    <row r="859" spans="29:29" x14ac:dyDescent="0.25">
      <c r="AC859" s="8"/>
    </row>
    <row r="860" spans="29:29" x14ac:dyDescent="0.25">
      <c r="AC860" s="8"/>
    </row>
    <row r="861" spans="29:29" x14ac:dyDescent="0.25">
      <c r="AC861" s="8"/>
    </row>
    <row r="862" spans="29:29" x14ac:dyDescent="0.25">
      <c r="AC862" s="8"/>
    </row>
    <row r="863" spans="29:29" x14ac:dyDescent="0.25">
      <c r="AC863" s="8"/>
    </row>
    <row r="864" spans="29:29" x14ac:dyDescent="0.25">
      <c r="AC864" s="8"/>
    </row>
    <row r="865" spans="29:29" x14ac:dyDescent="0.25">
      <c r="AC865" s="8"/>
    </row>
    <row r="866" spans="29:29" x14ac:dyDescent="0.25">
      <c r="AC866" s="8"/>
    </row>
    <row r="867" spans="29:29" x14ac:dyDescent="0.25">
      <c r="AC867" s="8"/>
    </row>
    <row r="868" spans="29:29" x14ac:dyDescent="0.25">
      <c r="AC868" s="8"/>
    </row>
    <row r="869" spans="29:29" x14ac:dyDescent="0.25">
      <c r="AC869" s="8"/>
    </row>
    <row r="870" spans="29:29" x14ac:dyDescent="0.25">
      <c r="AC870" s="8"/>
    </row>
    <row r="871" spans="29:29" x14ac:dyDescent="0.25">
      <c r="AC871" s="8"/>
    </row>
    <row r="872" spans="29:29" x14ac:dyDescent="0.25">
      <c r="AC872" s="8"/>
    </row>
    <row r="873" spans="29:29" x14ac:dyDescent="0.25">
      <c r="AC873" s="8"/>
    </row>
    <row r="874" spans="29:29" x14ac:dyDescent="0.25">
      <c r="AC874" s="8"/>
    </row>
    <row r="875" spans="29:29" x14ac:dyDescent="0.25">
      <c r="AC875" s="8"/>
    </row>
    <row r="876" spans="29:29" x14ac:dyDescent="0.25">
      <c r="AC876" s="8"/>
    </row>
    <row r="877" spans="29:29" x14ac:dyDescent="0.25">
      <c r="AC877" s="8"/>
    </row>
    <row r="878" spans="29:29" x14ac:dyDescent="0.25">
      <c r="AC878" s="8"/>
    </row>
    <row r="879" spans="29:29" x14ac:dyDescent="0.25">
      <c r="AC879" s="8"/>
    </row>
    <row r="880" spans="29:29" x14ac:dyDescent="0.25">
      <c r="AC880" s="8"/>
    </row>
    <row r="881" spans="29:29" x14ac:dyDescent="0.25">
      <c r="AC881" s="8"/>
    </row>
    <row r="882" spans="29:29" x14ac:dyDescent="0.25">
      <c r="AC882" s="8"/>
    </row>
    <row r="883" spans="29:29" x14ac:dyDescent="0.25">
      <c r="AC883" s="8"/>
    </row>
    <row r="884" spans="29:29" x14ac:dyDescent="0.25">
      <c r="AC884" s="8"/>
    </row>
    <row r="885" spans="29:29" x14ac:dyDescent="0.25">
      <c r="AC885" s="8"/>
    </row>
    <row r="886" spans="29:29" x14ac:dyDescent="0.25">
      <c r="AC886" s="8"/>
    </row>
    <row r="887" spans="29:29" x14ac:dyDescent="0.25">
      <c r="AC887" s="8"/>
    </row>
    <row r="888" spans="29:29" x14ac:dyDescent="0.25">
      <c r="AC888" s="8"/>
    </row>
    <row r="889" spans="29:29" x14ac:dyDescent="0.25">
      <c r="AC889" s="8"/>
    </row>
    <row r="890" spans="29:29" x14ac:dyDescent="0.25">
      <c r="AC890" s="8"/>
    </row>
    <row r="891" spans="29:29" x14ac:dyDescent="0.25">
      <c r="AC891" s="8"/>
    </row>
    <row r="892" spans="29:29" x14ac:dyDescent="0.25">
      <c r="AC892" s="8"/>
    </row>
    <row r="893" spans="29:29" x14ac:dyDescent="0.25">
      <c r="AC893" s="8"/>
    </row>
    <row r="894" spans="29:29" x14ac:dyDescent="0.25">
      <c r="AC894" s="8"/>
    </row>
    <row r="895" spans="29:29" x14ac:dyDescent="0.25">
      <c r="AC895" s="8"/>
    </row>
    <row r="896" spans="29:29" x14ac:dyDescent="0.25">
      <c r="AC896" s="8"/>
    </row>
    <row r="897" spans="29:29" x14ac:dyDescent="0.25">
      <c r="AC897" s="8"/>
    </row>
    <row r="898" spans="29:29" x14ac:dyDescent="0.25">
      <c r="AC898" s="8"/>
    </row>
    <row r="899" spans="29:29" x14ac:dyDescent="0.25">
      <c r="AC899" s="8"/>
    </row>
    <row r="900" spans="29:29" x14ac:dyDescent="0.25">
      <c r="AC900" s="8"/>
    </row>
    <row r="901" spans="29:29" x14ac:dyDescent="0.25">
      <c r="AC901" s="8"/>
    </row>
    <row r="902" spans="29:29" x14ac:dyDescent="0.25">
      <c r="AC902" s="8"/>
    </row>
    <row r="903" spans="29:29" x14ac:dyDescent="0.25">
      <c r="AC903" s="8"/>
    </row>
    <row r="904" spans="29:29" x14ac:dyDescent="0.25">
      <c r="AC904" s="8"/>
    </row>
    <row r="905" spans="29:29" x14ac:dyDescent="0.25">
      <c r="AC905" s="8"/>
    </row>
    <row r="906" spans="29:29" x14ac:dyDescent="0.25">
      <c r="AC906" s="8"/>
    </row>
    <row r="907" spans="29:29" x14ac:dyDescent="0.25">
      <c r="AC907" s="8"/>
    </row>
    <row r="908" spans="29:29" x14ac:dyDescent="0.25">
      <c r="AC908" s="8"/>
    </row>
    <row r="909" spans="29:29" x14ac:dyDescent="0.25">
      <c r="AC909" s="8"/>
    </row>
    <row r="910" spans="29:29" x14ac:dyDescent="0.25">
      <c r="AC910" s="8"/>
    </row>
    <row r="911" spans="29:29" x14ac:dyDescent="0.25">
      <c r="AC911" s="8"/>
    </row>
    <row r="912" spans="29:29" x14ac:dyDescent="0.25">
      <c r="AC912" s="8"/>
    </row>
    <row r="913" spans="29:29" x14ac:dyDescent="0.25">
      <c r="AC913" s="8"/>
    </row>
    <row r="914" spans="29:29" x14ac:dyDescent="0.25">
      <c r="AC914" s="8"/>
    </row>
    <row r="915" spans="29:29" x14ac:dyDescent="0.25">
      <c r="AC915" s="8"/>
    </row>
    <row r="916" spans="29:29" x14ac:dyDescent="0.25">
      <c r="AC916" s="8"/>
    </row>
    <row r="917" spans="29:29" x14ac:dyDescent="0.25">
      <c r="AC917" s="8"/>
    </row>
    <row r="918" spans="29:29" x14ac:dyDescent="0.25">
      <c r="AC918" s="8"/>
    </row>
    <row r="919" spans="29:29" x14ac:dyDescent="0.25">
      <c r="AC919" s="8"/>
    </row>
    <row r="920" spans="29:29" x14ac:dyDescent="0.25">
      <c r="AC920" s="8"/>
    </row>
    <row r="921" spans="29:29" x14ac:dyDescent="0.25">
      <c r="AC921" s="8"/>
    </row>
    <row r="922" spans="29:29" x14ac:dyDescent="0.25">
      <c r="AC922" s="8"/>
    </row>
    <row r="923" spans="29:29" x14ac:dyDescent="0.25">
      <c r="AC923" s="8"/>
    </row>
    <row r="924" spans="29:29" x14ac:dyDescent="0.25">
      <c r="AC924" s="8"/>
    </row>
    <row r="925" spans="29:29" x14ac:dyDescent="0.25">
      <c r="AC925" s="8"/>
    </row>
    <row r="926" spans="29:29" x14ac:dyDescent="0.25">
      <c r="AC926" s="8"/>
    </row>
    <row r="927" spans="29:29" x14ac:dyDescent="0.25">
      <c r="AC927" s="8"/>
    </row>
    <row r="928" spans="29:29" x14ac:dyDescent="0.25">
      <c r="AC928" s="8"/>
    </row>
    <row r="929" spans="29:29" x14ac:dyDescent="0.25">
      <c r="AC929" s="8"/>
    </row>
    <row r="930" spans="29:29" x14ac:dyDescent="0.25">
      <c r="AC930" s="8"/>
    </row>
    <row r="931" spans="29:29" x14ac:dyDescent="0.25">
      <c r="AC931" s="8"/>
    </row>
    <row r="932" spans="29:29" x14ac:dyDescent="0.25">
      <c r="AC932" s="8"/>
    </row>
    <row r="933" spans="29:29" x14ac:dyDescent="0.25">
      <c r="AC933" s="8"/>
    </row>
    <row r="934" spans="29:29" x14ac:dyDescent="0.25">
      <c r="AC934" s="8"/>
    </row>
    <row r="935" spans="29:29" x14ac:dyDescent="0.25">
      <c r="AC935" s="8"/>
    </row>
    <row r="936" spans="29:29" x14ac:dyDescent="0.25">
      <c r="AC936" s="8"/>
    </row>
    <row r="937" spans="29:29" x14ac:dyDescent="0.25">
      <c r="AC937" s="8"/>
    </row>
    <row r="938" spans="29:29" x14ac:dyDescent="0.25">
      <c r="AC938" s="8"/>
    </row>
    <row r="939" spans="29:29" x14ac:dyDescent="0.25">
      <c r="AC939" s="8"/>
    </row>
    <row r="940" spans="29:29" x14ac:dyDescent="0.25">
      <c r="AC940" s="8"/>
    </row>
    <row r="941" spans="29:29" x14ac:dyDescent="0.25">
      <c r="AC941" s="8"/>
    </row>
    <row r="942" spans="29:29" x14ac:dyDescent="0.25">
      <c r="AC942" s="8"/>
    </row>
    <row r="943" spans="29:29" x14ac:dyDescent="0.25">
      <c r="AC943" s="8"/>
    </row>
    <row r="944" spans="29:29" x14ac:dyDescent="0.25">
      <c r="AC944" s="8"/>
    </row>
    <row r="945" spans="29:29" x14ac:dyDescent="0.25">
      <c r="AC945" s="8"/>
    </row>
    <row r="946" spans="29:29" x14ac:dyDescent="0.25">
      <c r="AC946" s="8"/>
    </row>
    <row r="947" spans="29:29" x14ac:dyDescent="0.25">
      <c r="AC947" s="8"/>
    </row>
    <row r="948" spans="29:29" x14ac:dyDescent="0.25">
      <c r="AC948" s="8"/>
    </row>
    <row r="949" spans="29:29" x14ac:dyDescent="0.25">
      <c r="AC949" s="8"/>
    </row>
    <row r="950" spans="29:29" x14ac:dyDescent="0.25">
      <c r="AC950" s="8"/>
    </row>
    <row r="951" spans="29:29" x14ac:dyDescent="0.25">
      <c r="AC951" s="8"/>
    </row>
    <row r="952" spans="29:29" x14ac:dyDescent="0.25">
      <c r="AC952" s="8"/>
    </row>
    <row r="953" spans="29:29" x14ac:dyDescent="0.25">
      <c r="AC953" s="8"/>
    </row>
    <row r="954" spans="29:29" x14ac:dyDescent="0.25">
      <c r="AC954" s="8"/>
    </row>
    <row r="955" spans="29:29" x14ac:dyDescent="0.25">
      <c r="AC955" s="8"/>
    </row>
    <row r="956" spans="29:29" x14ac:dyDescent="0.25">
      <c r="AC956" s="8"/>
    </row>
    <row r="957" spans="29:29" x14ac:dyDescent="0.25">
      <c r="AC957" s="8"/>
    </row>
    <row r="958" spans="29:29" x14ac:dyDescent="0.25">
      <c r="AC958" s="8"/>
    </row>
    <row r="959" spans="29:29" x14ac:dyDescent="0.25">
      <c r="AC959" s="8"/>
    </row>
    <row r="960" spans="29:29" x14ac:dyDescent="0.25">
      <c r="AC960" s="8"/>
    </row>
    <row r="961" spans="29:29" x14ac:dyDescent="0.25">
      <c r="AC961" s="8"/>
    </row>
    <row r="962" spans="29:29" x14ac:dyDescent="0.25">
      <c r="AC962" s="8"/>
    </row>
    <row r="963" spans="29:29" x14ac:dyDescent="0.25">
      <c r="AC963" s="8"/>
    </row>
    <row r="964" spans="29:29" x14ac:dyDescent="0.25">
      <c r="AC964" s="8"/>
    </row>
    <row r="965" spans="29:29" x14ac:dyDescent="0.25">
      <c r="AC965" s="8"/>
    </row>
    <row r="966" spans="29:29" x14ac:dyDescent="0.25">
      <c r="AC966" s="8"/>
    </row>
    <row r="967" spans="29:29" x14ac:dyDescent="0.25">
      <c r="AC967" s="8"/>
    </row>
    <row r="968" spans="29:29" x14ac:dyDescent="0.25">
      <c r="AC968" s="8"/>
    </row>
    <row r="969" spans="29:29" x14ac:dyDescent="0.25">
      <c r="AC969" s="8"/>
    </row>
    <row r="970" spans="29:29" x14ac:dyDescent="0.25">
      <c r="AC970" s="8"/>
    </row>
    <row r="971" spans="29:29" x14ac:dyDescent="0.25">
      <c r="AC971" s="8"/>
    </row>
    <row r="972" spans="29:29" x14ac:dyDescent="0.25">
      <c r="AC972" s="8"/>
    </row>
    <row r="973" spans="29:29" x14ac:dyDescent="0.25">
      <c r="AC973" s="8"/>
    </row>
    <row r="974" spans="29:29" x14ac:dyDescent="0.25">
      <c r="AC974" s="8"/>
    </row>
    <row r="975" spans="29:29" x14ac:dyDescent="0.25">
      <c r="AC975" s="8"/>
    </row>
    <row r="976" spans="29:29" x14ac:dyDescent="0.25">
      <c r="AC976" s="8"/>
    </row>
    <row r="977" spans="29:29" x14ac:dyDescent="0.25">
      <c r="AC977" s="8"/>
    </row>
    <row r="978" spans="29:29" x14ac:dyDescent="0.25">
      <c r="AC978" s="8"/>
    </row>
    <row r="979" spans="29:29" x14ac:dyDescent="0.25">
      <c r="AC979" s="8"/>
    </row>
    <row r="980" spans="29:29" x14ac:dyDescent="0.25">
      <c r="AC980" s="8"/>
    </row>
    <row r="981" spans="29:29" x14ac:dyDescent="0.25">
      <c r="AC981" s="8"/>
    </row>
    <row r="982" spans="29:29" x14ac:dyDescent="0.25">
      <c r="AC982" s="8"/>
    </row>
    <row r="983" spans="29:29" x14ac:dyDescent="0.25">
      <c r="AC983" s="8"/>
    </row>
    <row r="984" spans="29:29" x14ac:dyDescent="0.25">
      <c r="AC984" s="8"/>
    </row>
    <row r="985" spans="29:29" x14ac:dyDescent="0.25">
      <c r="AC985" s="8"/>
    </row>
    <row r="986" spans="29:29" x14ac:dyDescent="0.25">
      <c r="AC986" s="8"/>
    </row>
    <row r="987" spans="29:29" x14ac:dyDescent="0.25">
      <c r="AC987" s="8"/>
    </row>
    <row r="988" spans="29:29" x14ac:dyDescent="0.25">
      <c r="AC988" s="8"/>
    </row>
    <row r="989" spans="29:29" x14ac:dyDescent="0.25">
      <c r="AC989" s="8"/>
    </row>
    <row r="990" spans="29:29" x14ac:dyDescent="0.25">
      <c r="AC990" s="8"/>
    </row>
    <row r="991" spans="29:29" x14ac:dyDescent="0.25">
      <c r="AC991" s="8"/>
    </row>
    <row r="992" spans="29:29" x14ac:dyDescent="0.25">
      <c r="AC992" s="8"/>
    </row>
    <row r="993" spans="29:29" x14ac:dyDescent="0.25">
      <c r="AC993" s="8"/>
    </row>
    <row r="994" spans="29:29" x14ac:dyDescent="0.25">
      <c r="AC994" s="8"/>
    </row>
    <row r="995" spans="29:29" x14ac:dyDescent="0.25">
      <c r="AC995" s="8"/>
    </row>
    <row r="996" spans="29:29" x14ac:dyDescent="0.25">
      <c r="AC996" s="8"/>
    </row>
    <row r="997" spans="29:29" x14ac:dyDescent="0.25">
      <c r="AC997" s="8"/>
    </row>
    <row r="998" spans="29:29" x14ac:dyDescent="0.25">
      <c r="AC998" s="8"/>
    </row>
    <row r="999" spans="29:29" x14ac:dyDescent="0.25">
      <c r="AC999" s="8"/>
    </row>
    <row r="1000" spans="29:29" x14ac:dyDescent="0.25">
      <c r="AC1000" s="8"/>
    </row>
    <row r="1001" spans="29:29" x14ac:dyDescent="0.25">
      <c r="AC1001" s="8"/>
    </row>
    <row r="1002" spans="29:29" x14ac:dyDescent="0.25">
      <c r="AC1002" s="8"/>
    </row>
    <row r="1003" spans="29:29" x14ac:dyDescent="0.25">
      <c r="AC1003" s="8"/>
    </row>
    <row r="1004" spans="29:29" x14ac:dyDescent="0.25">
      <c r="AC1004" s="8"/>
    </row>
    <row r="1005" spans="29:29" x14ac:dyDescent="0.25">
      <c r="AC1005" s="8"/>
    </row>
    <row r="1006" spans="29:29" x14ac:dyDescent="0.25">
      <c r="AC1006" s="8"/>
    </row>
    <row r="1007" spans="29:29" x14ac:dyDescent="0.25">
      <c r="AC1007" s="8"/>
    </row>
    <row r="1008" spans="29:29" x14ac:dyDescent="0.25">
      <c r="AC1008" s="8"/>
    </row>
    <row r="1009" spans="29:29" x14ac:dyDescent="0.25">
      <c r="AC1009" s="8"/>
    </row>
    <row r="1010" spans="29:29" x14ac:dyDescent="0.25">
      <c r="AC1010" s="8"/>
    </row>
    <row r="1011" spans="29:29" x14ac:dyDescent="0.25">
      <c r="AC1011" s="8"/>
    </row>
    <row r="1012" spans="29:29" x14ac:dyDescent="0.25">
      <c r="AC1012" s="8"/>
    </row>
    <row r="1013" spans="29:29" x14ac:dyDescent="0.25">
      <c r="AC1013" s="8"/>
    </row>
    <row r="1014" spans="29:29" x14ac:dyDescent="0.25">
      <c r="AC1014" s="8"/>
    </row>
    <row r="1015" spans="29:29" x14ac:dyDescent="0.25">
      <c r="AC1015" s="8"/>
    </row>
    <row r="1016" spans="29:29" x14ac:dyDescent="0.25">
      <c r="AC1016" s="8"/>
    </row>
    <row r="1017" spans="29:29" x14ac:dyDescent="0.25">
      <c r="AC1017" s="8"/>
    </row>
    <row r="1018" spans="29:29" x14ac:dyDescent="0.25">
      <c r="AC1018" s="8"/>
    </row>
    <row r="1019" spans="29:29" x14ac:dyDescent="0.25">
      <c r="AC1019" s="8"/>
    </row>
    <row r="1020" spans="29:29" x14ac:dyDescent="0.25">
      <c r="AC1020" s="8"/>
    </row>
    <row r="1021" spans="29:29" x14ac:dyDescent="0.25">
      <c r="AC1021" s="8"/>
    </row>
    <row r="1022" spans="29:29" x14ac:dyDescent="0.25">
      <c r="AC1022" s="8"/>
    </row>
    <row r="1023" spans="29:29" x14ac:dyDescent="0.25">
      <c r="AC1023" s="8"/>
    </row>
    <row r="1024" spans="29:29" x14ac:dyDescent="0.25">
      <c r="AC1024" s="8"/>
    </row>
    <row r="1025" spans="29:29" x14ac:dyDescent="0.25">
      <c r="AC1025" s="8"/>
    </row>
    <row r="1026" spans="29:29" x14ac:dyDescent="0.25">
      <c r="AC1026" s="8"/>
    </row>
    <row r="1027" spans="29:29" x14ac:dyDescent="0.25">
      <c r="AC1027" s="8"/>
    </row>
    <row r="1028" spans="29:29" x14ac:dyDescent="0.25">
      <c r="AC1028" s="8"/>
    </row>
    <row r="1029" spans="29:29" x14ac:dyDescent="0.25">
      <c r="AC1029" s="8"/>
    </row>
    <row r="1030" spans="29:29" x14ac:dyDescent="0.25">
      <c r="AC1030" s="8"/>
    </row>
    <row r="1031" spans="29:29" x14ac:dyDescent="0.25">
      <c r="AC1031" s="8"/>
    </row>
    <row r="1032" spans="29:29" x14ac:dyDescent="0.25">
      <c r="AC1032" s="8"/>
    </row>
    <row r="1033" spans="29:29" x14ac:dyDescent="0.25">
      <c r="AC1033" s="8"/>
    </row>
    <row r="1034" spans="29:29" x14ac:dyDescent="0.25">
      <c r="AC1034" s="8"/>
    </row>
    <row r="1035" spans="29:29" x14ac:dyDescent="0.25">
      <c r="AC1035" s="8"/>
    </row>
    <row r="1036" spans="29:29" x14ac:dyDescent="0.25">
      <c r="AC1036" s="8"/>
    </row>
    <row r="1037" spans="29:29" x14ac:dyDescent="0.25">
      <c r="AC1037" s="8"/>
    </row>
    <row r="1038" spans="29:29" x14ac:dyDescent="0.25">
      <c r="AC1038" s="8"/>
    </row>
    <row r="1039" spans="29:29" x14ac:dyDescent="0.25">
      <c r="AC1039" s="8"/>
    </row>
    <row r="1040" spans="29:29" x14ac:dyDescent="0.25">
      <c r="AC1040" s="8"/>
    </row>
    <row r="1041" spans="29:29" x14ac:dyDescent="0.25">
      <c r="AC1041" s="8"/>
    </row>
    <row r="1042" spans="29:29" x14ac:dyDescent="0.25">
      <c r="AC1042" s="8"/>
    </row>
    <row r="1043" spans="29:29" x14ac:dyDescent="0.25">
      <c r="AC1043" s="8"/>
    </row>
    <row r="1044" spans="29:29" x14ac:dyDescent="0.25">
      <c r="AC1044" s="8"/>
    </row>
    <row r="1045" spans="29:29" x14ac:dyDescent="0.25">
      <c r="AC1045" s="8"/>
    </row>
    <row r="1046" spans="29:29" x14ac:dyDescent="0.25">
      <c r="AC1046" s="8"/>
    </row>
    <row r="1047" spans="29:29" x14ac:dyDescent="0.25">
      <c r="AC1047" s="8"/>
    </row>
    <row r="1048" spans="29:29" x14ac:dyDescent="0.25">
      <c r="AC1048" s="8"/>
    </row>
    <row r="1049" spans="29:29" x14ac:dyDescent="0.25">
      <c r="AC1049" s="8"/>
    </row>
    <row r="1050" spans="29:29" x14ac:dyDescent="0.25">
      <c r="AC1050" s="8"/>
    </row>
    <row r="1051" spans="29:29" x14ac:dyDescent="0.25">
      <c r="AC1051" s="8"/>
    </row>
    <row r="1052" spans="29:29" x14ac:dyDescent="0.25">
      <c r="AC1052" s="8"/>
    </row>
    <row r="1053" spans="29:29" x14ac:dyDescent="0.25">
      <c r="AC1053" s="8"/>
    </row>
    <row r="1054" spans="29:29" x14ac:dyDescent="0.25">
      <c r="AC1054" s="8"/>
    </row>
    <row r="1055" spans="29:29" x14ac:dyDescent="0.25">
      <c r="AC1055" s="8"/>
    </row>
    <row r="1056" spans="29:29" x14ac:dyDescent="0.25">
      <c r="AC1056" s="8"/>
    </row>
    <row r="1057" spans="29:29" x14ac:dyDescent="0.25">
      <c r="AC1057" s="8"/>
    </row>
    <row r="1058" spans="29:29" x14ac:dyDescent="0.25">
      <c r="AC1058" s="8"/>
    </row>
    <row r="1059" spans="29:29" x14ac:dyDescent="0.25">
      <c r="AC1059" s="8"/>
    </row>
    <row r="1060" spans="29:29" x14ac:dyDescent="0.25">
      <c r="AC1060" s="8"/>
    </row>
    <row r="1061" spans="29:29" x14ac:dyDescent="0.25">
      <c r="AC1061" s="8"/>
    </row>
    <row r="1062" spans="29:29" x14ac:dyDescent="0.25">
      <c r="AC1062" s="8"/>
    </row>
    <row r="1063" spans="29:29" x14ac:dyDescent="0.25">
      <c r="AC1063" s="8"/>
    </row>
    <row r="1064" spans="29:29" x14ac:dyDescent="0.25">
      <c r="AC1064" s="8"/>
    </row>
    <row r="1065" spans="29:29" x14ac:dyDescent="0.25">
      <c r="AC1065" s="8"/>
    </row>
    <row r="1066" spans="29:29" x14ac:dyDescent="0.25">
      <c r="AC1066" s="8"/>
    </row>
    <row r="1067" spans="29:29" x14ac:dyDescent="0.25">
      <c r="AC1067" s="8"/>
    </row>
    <row r="1068" spans="29:29" x14ac:dyDescent="0.25">
      <c r="AC1068" s="8"/>
    </row>
    <row r="1069" spans="29:29" x14ac:dyDescent="0.25">
      <c r="AC1069" s="8"/>
    </row>
    <row r="1070" spans="29:29" x14ac:dyDescent="0.25">
      <c r="AC1070" s="8"/>
    </row>
    <row r="1071" spans="29:29" x14ac:dyDescent="0.25">
      <c r="AC1071" s="8"/>
    </row>
    <row r="1072" spans="29:29" x14ac:dyDescent="0.25">
      <c r="AC1072" s="8"/>
    </row>
    <row r="1073" spans="29:29" x14ac:dyDescent="0.25">
      <c r="AC1073" s="8"/>
    </row>
    <row r="1074" spans="29:29" x14ac:dyDescent="0.25">
      <c r="AC1074" s="8"/>
    </row>
    <row r="1075" spans="29:29" x14ac:dyDescent="0.25">
      <c r="AC1075" s="8"/>
    </row>
    <row r="1076" spans="29:29" x14ac:dyDescent="0.25">
      <c r="AC1076" s="8"/>
    </row>
    <row r="1077" spans="29:29" x14ac:dyDescent="0.25">
      <c r="AC1077" s="8"/>
    </row>
    <row r="1078" spans="29:29" x14ac:dyDescent="0.25">
      <c r="AC1078" s="8"/>
    </row>
    <row r="1079" spans="29:29" x14ac:dyDescent="0.25">
      <c r="AC1079" s="8"/>
    </row>
    <row r="1080" spans="29:29" x14ac:dyDescent="0.25">
      <c r="AC1080" s="8"/>
    </row>
    <row r="1081" spans="29:29" x14ac:dyDescent="0.25">
      <c r="AC1081" s="8"/>
    </row>
    <row r="1082" spans="29:29" x14ac:dyDescent="0.25">
      <c r="AC1082" s="8"/>
    </row>
    <row r="1083" spans="29:29" x14ac:dyDescent="0.25">
      <c r="AC1083" s="8"/>
    </row>
    <row r="1084" spans="29:29" x14ac:dyDescent="0.25">
      <c r="AC1084" s="8"/>
    </row>
    <row r="1085" spans="29:29" x14ac:dyDescent="0.25">
      <c r="AC1085" s="8"/>
    </row>
    <row r="1086" spans="29:29" x14ac:dyDescent="0.25">
      <c r="AC1086" s="8"/>
    </row>
    <row r="1087" spans="29:29" x14ac:dyDescent="0.25">
      <c r="AC1087" s="8"/>
    </row>
    <row r="1088" spans="29:29" x14ac:dyDescent="0.25">
      <c r="AC1088" s="8"/>
    </row>
    <row r="1089" spans="29:29" x14ac:dyDescent="0.25">
      <c r="AC1089" s="8"/>
    </row>
    <row r="1090" spans="29:29" x14ac:dyDescent="0.25">
      <c r="AC1090" s="8"/>
    </row>
    <row r="1091" spans="29:29" x14ac:dyDescent="0.25">
      <c r="AC1091" s="8"/>
    </row>
    <row r="1092" spans="29:29" x14ac:dyDescent="0.25">
      <c r="AC1092" s="8"/>
    </row>
    <row r="1093" spans="29:29" x14ac:dyDescent="0.25">
      <c r="AC1093" s="8"/>
    </row>
    <row r="1094" spans="29:29" x14ac:dyDescent="0.25">
      <c r="AC1094" s="8"/>
    </row>
    <row r="1095" spans="29:29" x14ac:dyDescent="0.25">
      <c r="AC1095" s="8"/>
    </row>
    <row r="1096" spans="29:29" x14ac:dyDescent="0.25">
      <c r="AC1096" s="8"/>
    </row>
    <row r="1097" spans="29:29" x14ac:dyDescent="0.25">
      <c r="AC1097" s="8"/>
    </row>
    <row r="1098" spans="29:29" x14ac:dyDescent="0.25">
      <c r="AC1098" s="8"/>
    </row>
    <row r="1099" spans="29:29" x14ac:dyDescent="0.25">
      <c r="AC1099" s="8"/>
    </row>
    <row r="1100" spans="29:29" x14ac:dyDescent="0.25">
      <c r="AC1100" s="8"/>
    </row>
    <row r="1101" spans="29:29" x14ac:dyDescent="0.25">
      <c r="AC1101" s="8"/>
    </row>
    <row r="1102" spans="29:29" x14ac:dyDescent="0.25">
      <c r="AC1102" s="8"/>
    </row>
    <row r="1103" spans="29:29" x14ac:dyDescent="0.25">
      <c r="AC1103" s="8"/>
    </row>
    <row r="1104" spans="29:29" x14ac:dyDescent="0.25">
      <c r="AC1104" s="8"/>
    </row>
    <row r="1105" spans="29:29" x14ac:dyDescent="0.25">
      <c r="AC1105" s="8"/>
    </row>
    <row r="1106" spans="29:29" x14ac:dyDescent="0.25">
      <c r="AC1106" s="8"/>
    </row>
    <row r="1107" spans="29:29" x14ac:dyDescent="0.25">
      <c r="AC1107" s="8"/>
    </row>
    <row r="1108" spans="29:29" x14ac:dyDescent="0.25">
      <c r="AC1108" s="8"/>
    </row>
    <row r="1109" spans="29:29" x14ac:dyDescent="0.25">
      <c r="AC1109" s="8"/>
    </row>
    <row r="1110" spans="29:29" x14ac:dyDescent="0.25">
      <c r="AC1110" s="8"/>
    </row>
    <row r="1111" spans="29:29" x14ac:dyDescent="0.25">
      <c r="AC1111" s="8"/>
    </row>
    <row r="1112" spans="29:29" x14ac:dyDescent="0.25">
      <c r="AC1112" s="8"/>
    </row>
    <row r="1113" spans="29:29" x14ac:dyDescent="0.25">
      <c r="AC1113" s="8"/>
    </row>
    <row r="1114" spans="29:29" x14ac:dyDescent="0.25">
      <c r="AC1114" s="8"/>
    </row>
    <row r="1115" spans="29:29" x14ac:dyDescent="0.25">
      <c r="AC1115" s="8"/>
    </row>
    <row r="1116" spans="29:29" x14ac:dyDescent="0.25">
      <c r="AC1116" s="8"/>
    </row>
    <row r="1117" spans="29:29" x14ac:dyDescent="0.25">
      <c r="AC1117" s="8"/>
    </row>
    <row r="1118" spans="29:29" x14ac:dyDescent="0.25">
      <c r="AC1118" s="8"/>
    </row>
    <row r="1119" spans="29:29" x14ac:dyDescent="0.25">
      <c r="AC1119" s="8"/>
    </row>
    <row r="1120" spans="29:29" x14ac:dyDescent="0.25">
      <c r="AC1120" s="8"/>
    </row>
    <row r="1121" spans="29:29" x14ac:dyDescent="0.25">
      <c r="AC1121" s="8"/>
    </row>
    <row r="1122" spans="29:29" x14ac:dyDescent="0.25">
      <c r="AC1122" s="8"/>
    </row>
    <row r="1123" spans="29:29" x14ac:dyDescent="0.25">
      <c r="AC1123" s="8"/>
    </row>
    <row r="1124" spans="29:29" x14ac:dyDescent="0.25">
      <c r="AC1124" s="8"/>
    </row>
    <row r="1125" spans="29:29" x14ac:dyDescent="0.25">
      <c r="AC1125" s="8"/>
    </row>
    <row r="1126" spans="29:29" x14ac:dyDescent="0.25">
      <c r="AC1126" s="8"/>
    </row>
    <row r="1127" spans="29:29" x14ac:dyDescent="0.25">
      <c r="AC1127" s="8"/>
    </row>
    <row r="1128" spans="29:29" x14ac:dyDescent="0.25">
      <c r="AC1128" s="8"/>
    </row>
    <row r="1129" spans="29:29" x14ac:dyDescent="0.25">
      <c r="AC1129" s="8"/>
    </row>
    <row r="1130" spans="29:29" x14ac:dyDescent="0.25">
      <c r="AC1130" s="8"/>
    </row>
    <row r="1131" spans="29:29" x14ac:dyDescent="0.25">
      <c r="AC1131" s="8"/>
    </row>
    <row r="1132" spans="29:29" x14ac:dyDescent="0.25">
      <c r="AC1132" s="8"/>
    </row>
    <row r="1133" spans="29:29" x14ac:dyDescent="0.25">
      <c r="AC1133" s="8"/>
    </row>
    <row r="1134" spans="29:29" x14ac:dyDescent="0.25">
      <c r="AC1134" s="8"/>
    </row>
    <row r="1135" spans="29:29" x14ac:dyDescent="0.25">
      <c r="AC1135" s="8"/>
    </row>
    <row r="1136" spans="29:29" x14ac:dyDescent="0.25">
      <c r="AC1136" s="8"/>
    </row>
    <row r="1137" spans="29:29" x14ac:dyDescent="0.25">
      <c r="AC1137" s="8"/>
    </row>
    <row r="1138" spans="29:29" x14ac:dyDescent="0.25">
      <c r="AC1138" s="8"/>
    </row>
    <row r="1139" spans="29:29" x14ac:dyDescent="0.25">
      <c r="AC1139" s="8"/>
    </row>
    <row r="1140" spans="29:29" x14ac:dyDescent="0.25">
      <c r="AC1140" s="8"/>
    </row>
    <row r="1141" spans="29:29" x14ac:dyDescent="0.25">
      <c r="AC1141" s="8"/>
    </row>
    <row r="1142" spans="29:29" x14ac:dyDescent="0.25">
      <c r="AC1142" s="8"/>
    </row>
    <row r="1143" spans="29:29" x14ac:dyDescent="0.25">
      <c r="AC1143" s="8"/>
    </row>
    <row r="1144" spans="29:29" x14ac:dyDescent="0.25">
      <c r="AC1144" s="8"/>
    </row>
    <row r="1145" spans="29:29" x14ac:dyDescent="0.25">
      <c r="AC1145" s="8"/>
    </row>
    <row r="1146" spans="29:29" x14ac:dyDescent="0.25">
      <c r="AC1146" s="8"/>
    </row>
    <row r="1147" spans="29:29" x14ac:dyDescent="0.25">
      <c r="AC1147" s="8"/>
    </row>
    <row r="1148" spans="29:29" x14ac:dyDescent="0.25">
      <c r="AC1148" s="8"/>
    </row>
    <row r="1149" spans="29:29" x14ac:dyDescent="0.25">
      <c r="AC1149" s="8"/>
    </row>
    <row r="1150" spans="29:29" x14ac:dyDescent="0.25">
      <c r="AC1150" s="8"/>
    </row>
    <row r="1151" spans="29:29" x14ac:dyDescent="0.25">
      <c r="AC1151" s="8"/>
    </row>
    <row r="1152" spans="29:29" x14ac:dyDescent="0.25">
      <c r="AC1152" s="8"/>
    </row>
    <row r="1153" spans="29:29" x14ac:dyDescent="0.25">
      <c r="AC1153" s="8"/>
    </row>
    <row r="1154" spans="29:29" x14ac:dyDescent="0.25">
      <c r="AC1154" s="8"/>
    </row>
    <row r="1155" spans="29:29" x14ac:dyDescent="0.25">
      <c r="AC1155" s="8"/>
    </row>
    <row r="1156" spans="29:29" x14ac:dyDescent="0.25">
      <c r="AC1156" s="8"/>
    </row>
    <row r="1157" spans="29:29" x14ac:dyDescent="0.25">
      <c r="AC1157" s="8"/>
    </row>
    <row r="1158" spans="29:29" x14ac:dyDescent="0.25">
      <c r="AC1158" s="8"/>
    </row>
    <row r="1159" spans="29:29" x14ac:dyDescent="0.25">
      <c r="AC1159" s="8"/>
    </row>
    <row r="1160" spans="29:29" x14ac:dyDescent="0.25">
      <c r="AC1160" s="8"/>
    </row>
    <row r="1161" spans="29:29" x14ac:dyDescent="0.25">
      <c r="AC1161" s="8"/>
    </row>
    <row r="1162" spans="29:29" x14ac:dyDescent="0.25">
      <c r="AC1162" s="8"/>
    </row>
    <row r="1163" spans="29:29" x14ac:dyDescent="0.25">
      <c r="AC1163" s="8"/>
    </row>
    <row r="1164" spans="29:29" x14ac:dyDescent="0.25">
      <c r="AC1164" s="8"/>
    </row>
    <row r="1165" spans="29:29" x14ac:dyDescent="0.25">
      <c r="AC1165" s="8"/>
    </row>
    <row r="1166" spans="29:29" x14ac:dyDescent="0.25">
      <c r="AC1166" s="8"/>
    </row>
    <row r="1167" spans="29:29" x14ac:dyDescent="0.25">
      <c r="AC1167" s="8"/>
    </row>
    <row r="1168" spans="29:29" x14ac:dyDescent="0.25">
      <c r="AC1168" s="8"/>
    </row>
    <row r="1169" spans="29:29" x14ac:dyDescent="0.25">
      <c r="AC1169" s="8"/>
    </row>
    <row r="1170" spans="29:29" x14ac:dyDescent="0.25">
      <c r="AC1170" s="8"/>
    </row>
    <row r="1171" spans="29:29" x14ac:dyDescent="0.25">
      <c r="AC1171" s="8"/>
    </row>
    <row r="1172" spans="29:29" x14ac:dyDescent="0.25">
      <c r="AC1172" s="8"/>
    </row>
    <row r="1173" spans="29:29" x14ac:dyDescent="0.25">
      <c r="AC1173" s="8"/>
    </row>
    <row r="1174" spans="29:29" x14ac:dyDescent="0.25">
      <c r="AC1174" s="8"/>
    </row>
    <row r="1175" spans="29:29" x14ac:dyDescent="0.25">
      <c r="AC1175" s="8"/>
    </row>
    <row r="1176" spans="29:29" x14ac:dyDescent="0.25">
      <c r="AC1176" s="8"/>
    </row>
    <row r="1177" spans="29:29" x14ac:dyDescent="0.25">
      <c r="AC1177" s="8"/>
    </row>
    <row r="1178" spans="29:29" x14ac:dyDescent="0.25">
      <c r="AC1178" s="8"/>
    </row>
    <row r="1179" spans="29:29" x14ac:dyDescent="0.25">
      <c r="AC1179" s="8"/>
    </row>
    <row r="1180" spans="29:29" x14ac:dyDescent="0.25">
      <c r="AC1180" s="8"/>
    </row>
    <row r="1181" spans="29:29" x14ac:dyDescent="0.25">
      <c r="AC1181" s="8"/>
    </row>
    <row r="1182" spans="29:29" x14ac:dyDescent="0.25">
      <c r="AC1182" s="8"/>
    </row>
    <row r="1183" spans="29:29" x14ac:dyDescent="0.25">
      <c r="AC1183" s="8"/>
    </row>
    <row r="1184" spans="29:29" x14ac:dyDescent="0.25">
      <c r="AC1184" s="8"/>
    </row>
    <row r="1185" spans="29:29" x14ac:dyDescent="0.25">
      <c r="AC1185" s="8"/>
    </row>
    <row r="1186" spans="29:29" x14ac:dyDescent="0.25">
      <c r="AC1186" s="8"/>
    </row>
    <row r="1187" spans="29:29" x14ac:dyDescent="0.25">
      <c r="AC1187" s="8"/>
    </row>
    <row r="1188" spans="29:29" x14ac:dyDescent="0.25">
      <c r="AC1188" s="8"/>
    </row>
    <row r="1189" spans="29:29" x14ac:dyDescent="0.25">
      <c r="AC1189" s="8"/>
    </row>
    <row r="1190" spans="29:29" x14ac:dyDescent="0.25">
      <c r="AC1190" s="8"/>
    </row>
    <row r="1191" spans="29:29" x14ac:dyDescent="0.25">
      <c r="AC1191" s="8"/>
    </row>
    <row r="1192" spans="29:29" x14ac:dyDescent="0.25">
      <c r="AC1192" s="8"/>
    </row>
    <row r="1193" spans="29:29" x14ac:dyDescent="0.25">
      <c r="AC1193" s="8"/>
    </row>
    <row r="1194" spans="29:29" x14ac:dyDescent="0.25">
      <c r="AC1194" s="8"/>
    </row>
    <row r="1195" spans="29:29" x14ac:dyDescent="0.25">
      <c r="AC1195" s="8"/>
    </row>
    <row r="1196" spans="29:29" x14ac:dyDescent="0.25">
      <c r="AC1196" s="8"/>
    </row>
    <row r="1197" spans="29:29" x14ac:dyDescent="0.25">
      <c r="AC1197" s="8"/>
    </row>
    <row r="1198" spans="29:29" x14ac:dyDescent="0.25">
      <c r="AC1198" s="8"/>
    </row>
    <row r="1199" spans="29:29" x14ac:dyDescent="0.25">
      <c r="AC1199" s="8"/>
    </row>
    <row r="1200" spans="29:29" x14ac:dyDescent="0.25">
      <c r="AC1200" s="8"/>
    </row>
    <row r="1201" spans="29:29" x14ac:dyDescent="0.25">
      <c r="AC1201" s="8"/>
    </row>
    <row r="1202" spans="29:29" x14ac:dyDescent="0.25">
      <c r="AC1202" s="8"/>
    </row>
    <row r="1203" spans="29:29" x14ac:dyDescent="0.25">
      <c r="AC1203" s="8"/>
    </row>
    <row r="1204" spans="29:29" x14ac:dyDescent="0.25">
      <c r="AC1204" s="8"/>
    </row>
    <row r="1205" spans="29:29" x14ac:dyDescent="0.25">
      <c r="AC1205" s="8"/>
    </row>
    <row r="1206" spans="29:29" x14ac:dyDescent="0.25">
      <c r="AC1206" s="8"/>
    </row>
    <row r="1207" spans="29:29" x14ac:dyDescent="0.25">
      <c r="AC1207" s="8"/>
    </row>
    <row r="1208" spans="29:29" x14ac:dyDescent="0.25">
      <c r="AC1208" s="8"/>
    </row>
    <row r="1209" spans="29:29" x14ac:dyDescent="0.25">
      <c r="AC1209" s="8"/>
    </row>
    <row r="1210" spans="29:29" x14ac:dyDescent="0.25">
      <c r="AC1210" s="8"/>
    </row>
    <row r="1211" spans="29:29" x14ac:dyDescent="0.25">
      <c r="AC1211" s="8"/>
    </row>
    <row r="1212" spans="29:29" x14ac:dyDescent="0.25">
      <c r="AC1212" s="8"/>
    </row>
    <row r="1213" spans="29:29" x14ac:dyDescent="0.25">
      <c r="AC1213" s="8"/>
    </row>
    <row r="1214" spans="29:29" x14ac:dyDescent="0.25">
      <c r="AC1214" s="8"/>
    </row>
    <row r="1215" spans="29:29" x14ac:dyDescent="0.25">
      <c r="AC1215" s="8"/>
    </row>
    <row r="1216" spans="29:29" x14ac:dyDescent="0.25">
      <c r="AC1216" s="8"/>
    </row>
    <row r="1217" spans="29:29" x14ac:dyDescent="0.25">
      <c r="AC1217" s="8"/>
    </row>
    <row r="1218" spans="29:29" x14ac:dyDescent="0.25">
      <c r="AC1218" s="8"/>
    </row>
    <row r="1219" spans="29:29" x14ac:dyDescent="0.25">
      <c r="AC1219" s="8"/>
    </row>
    <row r="1220" spans="29:29" x14ac:dyDescent="0.25">
      <c r="AC1220" s="8"/>
    </row>
    <row r="1221" spans="29:29" x14ac:dyDescent="0.25">
      <c r="AC1221" s="8"/>
    </row>
    <row r="1222" spans="29:29" x14ac:dyDescent="0.25">
      <c r="AC1222" s="8"/>
    </row>
    <row r="1223" spans="29:29" x14ac:dyDescent="0.25">
      <c r="AC1223" s="8"/>
    </row>
    <row r="1224" spans="29:29" x14ac:dyDescent="0.25">
      <c r="AC1224" s="8"/>
    </row>
    <row r="1225" spans="29:29" x14ac:dyDescent="0.25">
      <c r="AC1225" s="8"/>
    </row>
    <row r="1226" spans="29:29" x14ac:dyDescent="0.25">
      <c r="AC1226" s="8"/>
    </row>
    <row r="1227" spans="29:29" x14ac:dyDescent="0.25">
      <c r="AC1227" s="8"/>
    </row>
    <row r="1228" spans="29:29" x14ac:dyDescent="0.25">
      <c r="AC1228" s="8"/>
    </row>
    <row r="1229" spans="29:29" x14ac:dyDescent="0.25">
      <c r="AC1229" s="8"/>
    </row>
    <row r="1230" spans="29:29" x14ac:dyDescent="0.25">
      <c r="AC1230" s="8"/>
    </row>
    <row r="1231" spans="29:29" x14ac:dyDescent="0.25">
      <c r="AC1231" s="8"/>
    </row>
    <row r="1232" spans="29:29" x14ac:dyDescent="0.25">
      <c r="AC1232" s="8"/>
    </row>
    <row r="1233" spans="29:29" x14ac:dyDescent="0.25">
      <c r="AC1233" s="8"/>
    </row>
    <row r="1234" spans="29:29" x14ac:dyDescent="0.25">
      <c r="AC1234" s="8"/>
    </row>
    <row r="1235" spans="29:29" x14ac:dyDescent="0.25">
      <c r="AC1235" s="8"/>
    </row>
    <row r="1236" spans="29:29" x14ac:dyDescent="0.25">
      <c r="AC1236" s="8"/>
    </row>
    <row r="1237" spans="29:29" x14ac:dyDescent="0.25">
      <c r="AC1237" s="8"/>
    </row>
    <row r="1238" spans="29:29" x14ac:dyDescent="0.25">
      <c r="AC1238" s="8"/>
    </row>
    <row r="1239" spans="29:29" x14ac:dyDescent="0.25">
      <c r="AC1239" s="8"/>
    </row>
    <row r="1240" spans="29:29" x14ac:dyDescent="0.25">
      <c r="AC1240" s="8"/>
    </row>
    <row r="1241" spans="29:29" x14ac:dyDescent="0.25">
      <c r="AC1241" s="8"/>
    </row>
    <row r="1242" spans="29:29" x14ac:dyDescent="0.25">
      <c r="AC1242" s="8"/>
    </row>
    <row r="1243" spans="29:29" x14ac:dyDescent="0.25">
      <c r="AC1243" s="8"/>
    </row>
    <row r="1244" spans="29:29" x14ac:dyDescent="0.25">
      <c r="AC1244" s="8"/>
    </row>
    <row r="1245" spans="29:29" x14ac:dyDescent="0.25">
      <c r="AC1245" s="8"/>
    </row>
    <row r="1246" spans="29:29" x14ac:dyDescent="0.25">
      <c r="AC1246" s="8"/>
    </row>
    <row r="1247" spans="29:29" x14ac:dyDescent="0.25">
      <c r="AC1247" s="8"/>
    </row>
    <row r="1248" spans="29:29" x14ac:dyDescent="0.25">
      <c r="AC1248" s="8"/>
    </row>
    <row r="1249" spans="29:29" x14ac:dyDescent="0.25">
      <c r="AC1249" s="8"/>
    </row>
    <row r="1250" spans="29:29" x14ac:dyDescent="0.25">
      <c r="AC1250" s="8"/>
    </row>
    <row r="1251" spans="29:29" x14ac:dyDescent="0.25">
      <c r="AC1251" s="8"/>
    </row>
    <row r="1252" spans="29:29" x14ac:dyDescent="0.25">
      <c r="AC1252" s="8"/>
    </row>
    <row r="1253" spans="29:29" x14ac:dyDescent="0.25">
      <c r="AC1253" s="8"/>
    </row>
    <row r="1254" spans="29:29" x14ac:dyDescent="0.25">
      <c r="AC1254" s="8"/>
    </row>
    <row r="1255" spans="29:29" x14ac:dyDescent="0.25">
      <c r="AC1255" s="8"/>
    </row>
    <row r="1256" spans="29:29" x14ac:dyDescent="0.25">
      <c r="AC1256" s="8"/>
    </row>
    <row r="1257" spans="29:29" x14ac:dyDescent="0.25">
      <c r="AC1257" s="8"/>
    </row>
    <row r="1258" spans="29:29" x14ac:dyDescent="0.25">
      <c r="AC1258" s="8"/>
    </row>
    <row r="1259" spans="29:29" x14ac:dyDescent="0.25">
      <c r="AC1259" s="8"/>
    </row>
    <row r="1260" spans="29:29" x14ac:dyDescent="0.25">
      <c r="AC1260" s="8"/>
    </row>
    <row r="1261" spans="29:29" x14ac:dyDescent="0.25">
      <c r="AC1261" s="8"/>
    </row>
    <row r="1262" spans="29:29" x14ac:dyDescent="0.25">
      <c r="AC1262" s="8"/>
    </row>
    <row r="1263" spans="29:29" x14ac:dyDescent="0.25">
      <c r="AC1263" s="8"/>
    </row>
    <row r="1264" spans="29:29" x14ac:dyDescent="0.25">
      <c r="AC1264" s="8"/>
    </row>
    <row r="1265" spans="29:29" x14ac:dyDescent="0.25">
      <c r="AC1265" s="8"/>
    </row>
    <row r="1266" spans="29:29" x14ac:dyDescent="0.25">
      <c r="AC1266" s="8"/>
    </row>
    <row r="1267" spans="29:29" x14ac:dyDescent="0.25">
      <c r="AC1267" s="8"/>
    </row>
    <row r="1268" spans="29:29" x14ac:dyDescent="0.25">
      <c r="AC1268" s="8"/>
    </row>
    <row r="1269" spans="29:29" x14ac:dyDescent="0.25">
      <c r="AC1269" s="8"/>
    </row>
    <row r="1270" spans="29:29" x14ac:dyDescent="0.25">
      <c r="AC1270" s="8"/>
    </row>
    <row r="1271" spans="29:29" x14ac:dyDescent="0.25">
      <c r="AC1271" s="8"/>
    </row>
    <row r="1272" spans="29:29" x14ac:dyDescent="0.25">
      <c r="AC1272" s="8"/>
    </row>
    <row r="1273" spans="29:29" x14ac:dyDescent="0.25">
      <c r="AC1273" s="8"/>
    </row>
    <row r="1274" spans="29:29" x14ac:dyDescent="0.25">
      <c r="AC1274" s="8"/>
    </row>
    <row r="1275" spans="29:29" x14ac:dyDescent="0.25">
      <c r="AC1275" s="8"/>
    </row>
    <row r="1276" spans="29:29" x14ac:dyDescent="0.25">
      <c r="AC1276" s="8"/>
    </row>
    <row r="1277" spans="29:29" x14ac:dyDescent="0.25">
      <c r="AC1277" s="8"/>
    </row>
    <row r="1278" spans="29:29" x14ac:dyDescent="0.25">
      <c r="AC1278" s="8"/>
    </row>
    <row r="1279" spans="29:29" x14ac:dyDescent="0.25">
      <c r="AC1279" s="8"/>
    </row>
    <row r="1280" spans="29:29" x14ac:dyDescent="0.25">
      <c r="AC1280" s="8"/>
    </row>
    <row r="1281" spans="29:29" x14ac:dyDescent="0.25">
      <c r="AC1281" s="8"/>
    </row>
    <row r="1282" spans="29:29" x14ac:dyDescent="0.25">
      <c r="AC1282" s="8"/>
    </row>
    <row r="1283" spans="29:29" x14ac:dyDescent="0.25">
      <c r="AC1283" s="8"/>
    </row>
    <row r="1284" spans="29:29" x14ac:dyDescent="0.25">
      <c r="AC1284" s="8"/>
    </row>
    <row r="1285" spans="29:29" x14ac:dyDescent="0.25">
      <c r="AC1285" s="8"/>
    </row>
    <row r="1286" spans="29:29" x14ac:dyDescent="0.25">
      <c r="AC1286" s="8"/>
    </row>
    <row r="1287" spans="29:29" x14ac:dyDescent="0.25">
      <c r="AC1287" s="8"/>
    </row>
    <row r="1288" spans="29:29" x14ac:dyDescent="0.25">
      <c r="AC1288" s="8"/>
    </row>
    <row r="1289" spans="29:29" x14ac:dyDescent="0.25">
      <c r="AC1289" s="8"/>
    </row>
    <row r="1290" spans="29:29" x14ac:dyDescent="0.25">
      <c r="AC1290" s="8"/>
    </row>
    <row r="1291" spans="29:29" x14ac:dyDescent="0.25">
      <c r="AC1291" s="8"/>
    </row>
    <row r="1292" spans="29:29" x14ac:dyDescent="0.25">
      <c r="AC1292" s="8"/>
    </row>
    <row r="1293" spans="29:29" x14ac:dyDescent="0.25">
      <c r="AC1293" s="8"/>
    </row>
    <row r="1294" spans="29:29" x14ac:dyDescent="0.25">
      <c r="AC1294" s="8"/>
    </row>
    <row r="1295" spans="29:29" x14ac:dyDescent="0.25">
      <c r="AC1295" s="8"/>
    </row>
    <row r="1296" spans="29:29" x14ac:dyDescent="0.25">
      <c r="AC1296" s="8"/>
    </row>
    <row r="1297" spans="29:29" x14ac:dyDescent="0.25">
      <c r="AC1297" s="8"/>
    </row>
    <row r="1298" spans="29:29" x14ac:dyDescent="0.25">
      <c r="AC1298" s="8"/>
    </row>
    <row r="1299" spans="29:29" x14ac:dyDescent="0.25">
      <c r="AC1299" s="8"/>
    </row>
    <row r="1300" spans="29:29" x14ac:dyDescent="0.25">
      <c r="AC1300" s="8"/>
    </row>
    <row r="1301" spans="29:29" x14ac:dyDescent="0.25">
      <c r="AC1301" s="8"/>
    </row>
    <row r="1302" spans="29:29" x14ac:dyDescent="0.25">
      <c r="AC1302" s="8"/>
    </row>
    <row r="1303" spans="29:29" x14ac:dyDescent="0.25">
      <c r="AC1303" s="8"/>
    </row>
    <row r="1304" spans="29:29" x14ac:dyDescent="0.25">
      <c r="AC1304" s="8"/>
    </row>
    <row r="1305" spans="29:29" x14ac:dyDescent="0.25">
      <c r="AC1305" s="8"/>
    </row>
    <row r="1306" spans="29:29" x14ac:dyDescent="0.25">
      <c r="AC1306" s="8"/>
    </row>
    <row r="1307" spans="29:29" x14ac:dyDescent="0.25">
      <c r="AC1307" s="8"/>
    </row>
    <row r="1308" spans="29:29" x14ac:dyDescent="0.25">
      <c r="AC1308" s="8"/>
    </row>
    <row r="1309" spans="29:29" x14ac:dyDescent="0.25">
      <c r="AC1309" s="8"/>
    </row>
    <row r="1310" spans="29:29" x14ac:dyDescent="0.25">
      <c r="AC1310" s="8"/>
    </row>
    <row r="1311" spans="29:29" x14ac:dyDescent="0.25">
      <c r="AC1311" s="8"/>
    </row>
    <row r="1312" spans="29:29" x14ac:dyDescent="0.25">
      <c r="AC1312" s="8"/>
    </row>
    <row r="1313" spans="29:29" x14ac:dyDescent="0.25">
      <c r="AC1313" s="8"/>
    </row>
    <row r="1314" spans="29:29" x14ac:dyDescent="0.25">
      <c r="AC1314" s="8"/>
    </row>
    <row r="1315" spans="29:29" x14ac:dyDescent="0.25">
      <c r="AC1315" s="8"/>
    </row>
    <row r="1316" spans="29:29" x14ac:dyDescent="0.25">
      <c r="AC1316" s="8"/>
    </row>
    <row r="1317" spans="29:29" x14ac:dyDescent="0.25">
      <c r="AC1317" s="8"/>
    </row>
    <row r="1318" spans="29:29" x14ac:dyDescent="0.25">
      <c r="AC1318" s="8"/>
    </row>
    <row r="1319" spans="29:29" x14ac:dyDescent="0.25">
      <c r="AC1319" s="8"/>
    </row>
    <row r="1320" spans="29:29" x14ac:dyDescent="0.25">
      <c r="AC1320" s="8"/>
    </row>
    <row r="1321" spans="29:29" x14ac:dyDescent="0.25">
      <c r="AC1321" s="8"/>
    </row>
    <row r="1322" spans="29:29" x14ac:dyDescent="0.25">
      <c r="AC1322" s="8"/>
    </row>
    <row r="1323" spans="29:29" x14ac:dyDescent="0.25">
      <c r="AC1323" s="8"/>
    </row>
    <row r="1324" spans="29:29" x14ac:dyDescent="0.25">
      <c r="AC1324" s="8"/>
    </row>
    <row r="1325" spans="29:29" x14ac:dyDescent="0.25">
      <c r="AC1325" s="8"/>
    </row>
    <row r="1326" spans="29:29" x14ac:dyDescent="0.25">
      <c r="AC1326" s="8"/>
    </row>
    <row r="1327" spans="29:29" x14ac:dyDescent="0.25">
      <c r="AC1327" s="8"/>
    </row>
    <row r="1328" spans="29:29" x14ac:dyDescent="0.25">
      <c r="AC1328" s="8"/>
    </row>
    <row r="1329" spans="29:29" x14ac:dyDescent="0.25">
      <c r="AC1329" s="8"/>
    </row>
    <row r="1330" spans="29:29" x14ac:dyDescent="0.25">
      <c r="AC1330" s="8"/>
    </row>
    <row r="1331" spans="29:29" x14ac:dyDescent="0.25">
      <c r="AC1331" s="8"/>
    </row>
    <row r="1332" spans="29:29" x14ac:dyDescent="0.25">
      <c r="AC1332" s="8"/>
    </row>
    <row r="1333" spans="29:29" x14ac:dyDescent="0.25">
      <c r="AC1333" s="8"/>
    </row>
    <row r="1334" spans="29:29" x14ac:dyDescent="0.25">
      <c r="AC1334" s="8"/>
    </row>
    <row r="1335" spans="29:29" x14ac:dyDescent="0.25">
      <c r="AC1335" s="8"/>
    </row>
    <row r="1336" spans="29:29" x14ac:dyDescent="0.25">
      <c r="AC1336" s="8"/>
    </row>
    <row r="1337" spans="29:29" x14ac:dyDescent="0.25">
      <c r="AC1337" s="8"/>
    </row>
    <row r="1338" spans="29:29" x14ac:dyDescent="0.25">
      <c r="AC1338" s="8"/>
    </row>
    <row r="1339" spans="29:29" x14ac:dyDescent="0.25">
      <c r="AC1339" s="8"/>
    </row>
    <row r="1340" spans="29:29" x14ac:dyDescent="0.25">
      <c r="AC1340" s="8"/>
    </row>
    <row r="1341" spans="29:29" x14ac:dyDescent="0.25">
      <c r="AC1341" s="8"/>
    </row>
    <row r="1342" spans="29:29" x14ac:dyDescent="0.25">
      <c r="AC1342" s="8"/>
    </row>
    <row r="1343" spans="29:29" x14ac:dyDescent="0.25">
      <c r="AC1343" s="8"/>
    </row>
    <row r="1344" spans="29:29" x14ac:dyDescent="0.25">
      <c r="AC1344" s="8"/>
    </row>
    <row r="1345" spans="29:29" x14ac:dyDescent="0.25">
      <c r="AC1345" s="8"/>
    </row>
    <row r="1346" spans="29:29" x14ac:dyDescent="0.25">
      <c r="AC1346" s="8"/>
    </row>
    <row r="1347" spans="29:29" x14ac:dyDescent="0.25">
      <c r="AC1347" s="8"/>
    </row>
    <row r="1348" spans="29:29" x14ac:dyDescent="0.25">
      <c r="AC1348" s="8"/>
    </row>
    <row r="1349" spans="29:29" x14ac:dyDescent="0.25">
      <c r="AC1349" s="8"/>
    </row>
    <row r="1350" spans="29:29" x14ac:dyDescent="0.25">
      <c r="AC1350" s="8"/>
    </row>
    <row r="1351" spans="29:29" x14ac:dyDescent="0.25">
      <c r="AC1351" s="8"/>
    </row>
    <row r="1352" spans="29:29" x14ac:dyDescent="0.25">
      <c r="AC1352" s="8"/>
    </row>
    <row r="1353" spans="29:29" x14ac:dyDescent="0.25">
      <c r="AC1353" s="8"/>
    </row>
    <row r="1354" spans="29:29" x14ac:dyDescent="0.25">
      <c r="AC1354" s="8"/>
    </row>
    <row r="1355" spans="29:29" x14ac:dyDescent="0.25">
      <c r="AC1355" s="8"/>
    </row>
    <row r="1356" spans="29:29" x14ac:dyDescent="0.25">
      <c r="AC1356" s="8"/>
    </row>
    <row r="1357" spans="29:29" x14ac:dyDescent="0.25">
      <c r="AC1357" s="8"/>
    </row>
    <row r="1358" spans="29:29" x14ac:dyDescent="0.25">
      <c r="AC1358" s="8"/>
    </row>
    <row r="1359" spans="29:29" x14ac:dyDescent="0.25">
      <c r="AC1359" s="8"/>
    </row>
    <row r="1360" spans="29:29" x14ac:dyDescent="0.25">
      <c r="AC1360" s="8"/>
    </row>
    <row r="1361" spans="29:29" x14ac:dyDescent="0.25">
      <c r="AC1361" s="8"/>
    </row>
    <row r="1362" spans="29:29" x14ac:dyDescent="0.25">
      <c r="AC1362" s="8"/>
    </row>
    <row r="1363" spans="29:29" x14ac:dyDescent="0.25">
      <c r="AC1363" s="8"/>
    </row>
    <row r="1364" spans="29:29" x14ac:dyDescent="0.25">
      <c r="AC1364" s="8"/>
    </row>
    <row r="1365" spans="29:29" x14ac:dyDescent="0.25">
      <c r="AC1365" s="8"/>
    </row>
    <row r="1366" spans="29:29" x14ac:dyDescent="0.25">
      <c r="AC1366" s="8"/>
    </row>
    <row r="1367" spans="29:29" x14ac:dyDescent="0.25">
      <c r="AC1367" s="8"/>
    </row>
    <row r="1368" spans="29:29" x14ac:dyDescent="0.25">
      <c r="AC1368" s="8"/>
    </row>
    <row r="1369" spans="29:29" x14ac:dyDescent="0.25">
      <c r="AC1369" s="8"/>
    </row>
    <row r="1370" spans="29:29" x14ac:dyDescent="0.25">
      <c r="AC1370" s="8"/>
    </row>
    <row r="1371" spans="29:29" x14ac:dyDescent="0.25">
      <c r="AC1371" s="8"/>
    </row>
    <row r="1372" spans="29:29" x14ac:dyDescent="0.25">
      <c r="AC1372" s="8"/>
    </row>
    <row r="1373" spans="29:29" x14ac:dyDescent="0.25">
      <c r="AC1373" s="8"/>
    </row>
    <row r="1374" spans="29:29" x14ac:dyDescent="0.25">
      <c r="AC1374" s="8"/>
    </row>
    <row r="1375" spans="29:29" x14ac:dyDescent="0.25">
      <c r="AC1375" s="8"/>
    </row>
    <row r="1376" spans="29:29" x14ac:dyDescent="0.25">
      <c r="AC1376" s="8"/>
    </row>
    <row r="1377" spans="29:29" x14ac:dyDescent="0.25">
      <c r="AC1377" s="8"/>
    </row>
    <row r="1378" spans="29:29" x14ac:dyDescent="0.25">
      <c r="AC1378" s="8"/>
    </row>
    <row r="1379" spans="29:29" x14ac:dyDescent="0.25">
      <c r="AC1379" s="8"/>
    </row>
    <row r="1380" spans="29:29" x14ac:dyDescent="0.25">
      <c r="AC1380" s="8"/>
    </row>
    <row r="1381" spans="29:29" x14ac:dyDescent="0.25">
      <c r="AC1381" s="8"/>
    </row>
    <row r="1382" spans="29:29" x14ac:dyDescent="0.25">
      <c r="AC1382" s="8"/>
    </row>
    <row r="1383" spans="29:29" x14ac:dyDescent="0.25">
      <c r="AC1383" s="8"/>
    </row>
    <row r="1384" spans="29:29" x14ac:dyDescent="0.25">
      <c r="AC1384" s="8"/>
    </row>
    <row r="1385" spans="29:29" x14ac:dyDescent="0.25">
      <c r="AC1385" s="8"/>
    </row>
    <row r="1386" spans="29:29" x14ac:dyDescent="0.25">
      <c r="AC1386" s="8"/>
    </row>
    <row r="1387" spans="29:29" x14ac:dyDescent="0.25">
      <c r="AC1387" s="8"/>
    </row>
    <row r="1388" spans="29:29" x14ac:dyDescent="0.25">
      <c r="AC1388" s="8"/>
    </row>
    <row r="1389" spans="29:29" x14ac:dyDescent="0.25">
      <c r="AC1389" s="8"/>
    </row>
    <row r="1390" spans="29:29" x14ac:dyDescent="0.25">
      <c r="AC1390" s="8"/>
    </row>
    <row r="1391" spans="29:29" x14ac:dyDescent="0.25">
      <c r="AC1391" s="8"/>
    </row>
    <row r="1392" spans="29:29" x14ac:dyDescent="0.25">
      <c r="AC1392" s="8"/>
    </row>
    <row r="1393" spans="29:29" x14ac:dyDescent="0.25">
      <c r="AC1393" s="8"/>
    </row>
    <row r="1394" spans="29:29" x14ac:dyDescent="0.25">
      <c r="AC1394" s="8"/>
    </row>
    <row r="1395" spans="29:29" x14ac:dyDescent="0.25">
      <c r="AC1395" s="8"/>
    </row>
    <row r="1396" spans="29:29" x14ac:dyDescent="0.25">
      <c r="AC1396" s="8"/>
    </row>
    <row r="1397" spans="29:29" x14ac:dyDescent="0.25">
      <c r="AC1397" s="8"/>
    </row>
    <row r="1398" spans="29:29" x14ac:dyDescent="0.25">
      <c r="AC1398" s="8"/>
    </row>
    <row r="1399" spans="29:29" x14ac:dyDescent="0.25">
      <c r="AC1399" s="8"/>
    </row>
    <row r="1400" spans="29:29" x14ac:dyDescent="0.25">
      <c r="AC1400" s="8"/>
    </row>
    <row r="1401" spans="29:29" x14ac:dyDescent="0.25">
      <c r="AC1401" s="8"/>
    </row>
    <row r="1402" spans="29:29" x14ac:dyDescent="0.25">
      <c r="AC1402" s="8"/>
    </row>
    <row r="1403" spans="29:29" x14ac:dyDescent="0.25">
      <c r="AC1403" s="8"/>
    </row>
    <row r="1404" spans="29:29" x14ac:dyDescent="0.25">
      <c r="AC1404" s="8"/>
    </row>
    <row r="1405" spans="29:29" x14ac:dyDescent="0.25">
      <c r="AC1405" s="8"/>
    </row>
    <row r="1406" spans="29:29" x14ac:dyDescent="0.25">
      <c r="AC1406" s="8"/>
    </row>
    <row r="1407" spans="29:29" x14ac:dyDescent="0.25">
      <c r="AC1407" s="8"/>
    </row>
    <row r="1408" spans="29:29" x14ac:dyDescent="0.25">
      <c r="AC1408" s="8"/>
    </row>
    <row r="1409" spans="29:29" x14ac:dyDescent="0.25">
      <c r="AC1409" s="8"/>
    </row>
    <row r="1410" spans="29:29" x14ac:dyDescent="0.25">
      <c r="AC1410" s="8"/>
    </row>
    <row r="1411" spans="29:29" x14ac:dyDescent="0.25">
      <c r="AC1411" s="8"/>
    </row>
    <row r="1412" spans="29:29" x14ac:dyDescent="0.25">
      <c r="AC1412" s="8"/>
    </row>
    <row r="1413" spans="29:29" x14ac:dyDescent="0.25">
      <c r="AC1413" s="8"/>
    </row>
    <row r="1414" spans="29:29" x14ac:dyDescent="0.25">
      <c r="AC1414" s="8"/>
    </row>
    <row r="1415" spans="29:29" x14ac:dyDescent="0.25">
      <c r="AC1415" s="8"/>
    </row>
    <row r="1416" spans="29:29" x14ac:dyDescent="0.25">
      <c r="AC1416" s="8"/>
    </row>
    <row r="1417" spans="29:29" x14ac:dyDescent="0.25">
      <c r="AC1417" s="8"/>
    </row>
    <row r="1418" spans="29:29" x14ac:dyDescent="0.25">
      <c r="AC1418" s="8"/>
    </row>
    <row r="1419" spans="29:29" x14ac:dyDescent="0.25">
      <c r="AC1419" s="8"/>
    </row>
    <row r="1420" spans="29:29" x14ac:dyDescent="0.25">
      <c r="AC1420" s="8"/>
    </row>
    <row r="1421" spans="29:29" x14ac:dyDescent="0.25">
      <c r="AC1421" s="8"/>
    </row>
    <row r="1422" spans="29:29" x14ac:dyDescent="0.25">
      <c r="AC1422" s="8"/>
    </row>
    <row r="1423" spans="29:29" x14ac:dyDescent="0.25">
      <c r="AC1423" s="8"/>
    </row>
    <row r="1424" spans="29:29" x14ac:dyDescent="0.25">
      <c r="AC1424" s="8"/>
    </row>
    <row r="1425" spans="29:29" x14ac:dyDescent="0.25">
      <c r="AC1425" s="8"/>
    </row>
    <row r="1426" spans="29:29" x14ac:dyDescent="0.25">
      <c r="AC1426" s="8"/>
    </row>
    <row r="1427" spans="29:29" x14ac:dyDescent="0.25">
      <c r="AC1427" s="8"/>
    </row>
    <row r="1428" spans="29:29" x14ac:dyDescent="0.25">
      <c r="AC1428" s="8"/>
    </row>
    <row r="1429" spans="29:29" x14ac:dyDescent="0.25">
      <c r="AC1429" s="8"/>
    </row>
    <row r="1430" spans="29:29" x14ac:dyDescent="0.25">
      <c r="AC1430" s="8"/>
    </row>
    <row r="1431" spans="29:29" x14ac:dyDescent="0.25">
      <c r="AC1431" s="8"/>
    </row>
    <row r="1432" spans="29:29" x14ac:dyDescent="0.25">
      <c r="AC1432" s="8"/>
    </row>
    <row r="1433" spans="29:29" x14ac:dyDescent="0.25">
      <c r="AC1433" s="8"/>
    </row>
    <row r="1434" spans="29:29" x14ac:dyDescent="0.25">
      <c r="AC1434" s="8"/>
    </row>
    <row r="1435" spans="29:29" x14ac:dyDescent="0.25">
      <c r="AC1435" s="8"/>
    </row>
    <row r="1436" spans="29:29" x14ac:dyDescent="0.25">
      <c r="AC1436" s="8"/>
    </row>
    <row r="1437" spans="29:29" x14ac:dyDescent="0.25">
      <c r="AC1437" s="8"/>
    </row>
    <row r="1438" spans="29:29" x14ac:dyDescent="0.25">
      <c r="AC1438" s="8"/>
    </row>
    <row r="1439" spans="29:29" x14ac:dyDescent="0.25">
      <c r="AC1439" s="8"/>
    </row>
    <row r="1440" spans="29:29" x14ac:dyDescent="0.25">
      <c r="AC1440" s="8"/>
    </row>
    <row r="1441" spans="29:29" x14ac:dyDescent="0.25">
      <c r="AC1441" s="8"/>
    </row>
    <row r="1442" spans="29:29" x14ac:dyDescent="0.25">
      <c r="AC1442" s="8"/>
    </row>
    <row r="1443" spans="29:29" x14ac:dyDescent="0.25">
      <c r="AC1443" s="8"/>
    </row>
    <row r="1444" spans="29:29" x14ac:dyDescent="0.25">
      <c r="AC1444" s="8"/>
    </row>
    <row r="1445" spans="29:29" x14ac:dyDescent="0.25">
      <c r="AC1445" s="8"/>
    </row>
    <row r="1446" spans="29:29" x14ac:dyDescent="0.25">
      <c r="AC1446" s="8"/>
    </row>
    <row r="1447" spans="29:29" x14ac:dyDescent="0.25">
      <c r="AC1447" s="8"/>
    </row>
    <row r="1448" spans="29:29" x14ac:dyDescent="0.25">
      <c r="AC1448" s="8"/>
    </row>
    <row r="1449" spans="29:29" x14ac:dyDescent="0.25">
      <c r="AC1449" s="8"/>
    </row>
    <row r="1450" spans="29:29" x14ac:dyDescent="0.25">
      <c r="AC1450" s="8"/>
    </row>
    <row r="1451" spans="29:29" x14ac:dyDescent="0.25">
      <c r="AC1451" s="8"/>
    </row>
    <row r="1452" spans="29:29" x14ac:dyDescent="0.25">
      <c r="AC1452" s="8"/>
    </row>
    <row r="1453" spans="29:29" x14ac:dyDescent="0.25">
      <c r="AC1453" s="8"/>
    </row>
    <row r="1454" spans="29:29" x14ac:dyDescent="0.25">
      <c r="AC1454" s="8"/>
    </row>
    <row r="1455" spans="29:29" x14ac:dyDescent="0.25">
      <c r="AC1455" s="8"/>
    </row>
    <row r="1456" spans="29:29" x14ac:dyDescent="0.25">
      <c r="AC1456" s="8"/>
    </row>
    <row r="1457" spans="29:29" x14ac:dyDescent="0.25">
      <c r="AC1457" s="8"/>
    </row>
    <row r="1458" spans="29:29" x14ac:dyDescent="0.25">
      <c r="AC1458" s="8"/>
    </row>
    <row r="1459" spans="29:29" x14ac:dyDescent="0.25">
      <c r="AC1459" s="8"/>
    </row>
    <row r="1460" spans="29:29" x14ac:dyDescent="0.25">
      <c r="AC1460" s="8"/>
    </row>
    <row r="1461" spans="29:29" x14ac:dyDescent="0.25">
      <c r="AC1461" s="8"/>
    </row>
    <row r="1462" spans="29:29" x14ac:dyDescent="0.25">
      <c r="AC1462" s="8"/>
    </row>
    <row r="1463" spans="29:29" x14ac:dyDescent="0.25">
      <c r="AC1463" s="8"/>
    </row>
    <row r="1464" spans="29:29" x14ac:dyDescent="0.25">
      <c r="AC1464" s="8"/>
    </row>
    <row r="1465" spans="29:29" x14ac:dyDescent="0.25">
      <c r="AC1465" s="8"/>
    </row>
    <row r="1466" spans="29:29" x14ac:dyDescent="0.25">
      <c r="AC1466" s="8"/>
    </row>
    <row r="1467" spans="29:29" x14ac:dyDescent="0.25">
      <c r="AC1467" s="8"/>
    </row>
    <row r="1468" spans="29:29" x14ac:dyDescent="0.25">
      <c r="AC1468" s="8"/>
    </row>
    <row r="1469" spans="29:29" x14ac:dyDescent="0.25">
      <c r="AC1469" s="8"/>
    </row>
    <row r="1470" spans="29:29" x14ac:dyDescent="0.25">
      <c r="AC1470" s="8"/>
    </row>
    <row r="1471" spans="29:29" x14ac:dyDescent="0.25">
      <c r="AC1471" s="8"/>
    </row>
    <row r="1472" spans="29:29" x14ac:dyDescent="0.25">
      <c r="AC1472" s="8"/>
    </row>
    <row r="1473" spans="29:29" x14ac:dyDescent="0.25">
      <c r="AC1473" s="8"/>
    </row>
    <row r="1474" spans="29:29" x14ac:dyDescent="0.25">
      <c r="AC1474" s="8"/>
    </row>
    <row r="1475" spans="29:29" x14ac:dyDescent="0.25">
      <c r="AC1475" s="8"/>
    </row>
    <row r="1476" spans="29:29" x14ac:dyDescent="0.25">
      <c r="AC1476" s="8"/>
    </row>
    <row r="1477" spans="29:29" x14ac:dyDescent="0.25">
      <c r="AC1477" s="8"/>
    </row>
    <row r="1478" spans="29:29" x14ac:dyDescent="0.25">
      <c r="AC1478" s="8"/>
    </row>
    <row r="1479" spans="29:29" x14ac:dyDescent="0.25">
      <c r="AC1479" s="8"/>
    </row>
    <row r="1480" spans="29:29" x14ac:dyDescent="0.25">
      <c r="AC1480" s="8"/>
    </row>
    <row r="1481" spans="29:29" x14ac:dyDescent="0.25">
      <c r="AC1481" s="8"/>
    </row>
    <row r="1482" spans="29:29" x14ac:dyDescent="0.25">
      <c r="AC1482" s="8"/>
    </row>
    <row r="1483" spans="29:29" x14ac:dyDescent="0.25">
      <c r="AC1483" s="8"/>
    </row>
    <row r="1484" spans="29:29" x14ac:dyDescent="0.25">
      <c r="AC1484" s="8"/>
    </row>
    <row r="1485" spans="29:29" x14ac:dyDescent="0.25">
      <c r="AC1485" s="8"/>
    </row>
    <row r="1486" spans="29:29" x14ac:dyDescent="0.25">
      <c r="AC1486" s="8"/>
    </row>
    <row r="1487" spans="29:29" x14ac:dyDescent="0.25">
      <c r="AC1487" s="8"/>
    </row>
    <row r="1488" spans="29:29" x14ac:dyDescent="0.25">
      <c r="AC1488" s="8"/>
    </row>
    <row r="1489" spans="29:29" x14ac:dyDescent="0.25">
      <c r="AC1489" s="8"/>
    </row>
    <row r="1490" spans="29:29" x14ac:dyDescent="0.25">
      <c r="AC1490" s="8"/>
    </row>
    <row r="1491" spans="29:29" x14ac:dyDescent="0.25">
      <c r="AC1491" s="8"/>
    </row>
    <row r="1492" spans="29:29" x14ac:dyDescent="0.25">
      <c r="AC1492" s="8"/>
    </row>
    <row r="1493" spans="29:29" x14ac:dyDescent="0.25">
      <c r="AC1493" s="8"/>
    </row>
    <row r="1494" spans="29:29" x14ac:dyDescent="0.25">
      <c r="AC1494" s="8"/>
    </row>
    <row r="1495" spans="29:29" x14ac:dyDescent="0.25">
      <c r="AC1495" s="8"/>
    </row>
    <row r="1496" spans="29:29" x14ac:dyDescent="0.25">
      <c r="AC1496" s="8"/>
    </row>
    <row r="1497" spans="29:29" x14ac:dyDescent="0.25">
      <c r="AC1497" s="8"/>
    </row>
    <row r="1498" spans="29:29" x14ac:dyDescent="0.25">
      <c r="AC1498" s="8"/>
    </row>
    <row r="1499" spans="29:29" x14ac:dyDescent="0.25">
      <c r="AC1499" s="8"/>
    </row>
    <row r="1500" spans="29:29" x14ac:dyDescent="0.25">
      <c r="AC1500" s="8"/>
    </row>
    <row r="1501" spans="29:29" x14ac:dyDescent="0.25">
      <c r="AC1501" s="8"/>
    </row>
    <row r="1502" spans="29:29" x14ac:dyDescent="0.25">
      <c r="AC1502" s="8"/>
    </row>
    <row r="1503" spans="29:29" x14ac:dyDescent="0.25">
      <c r="AC1503" s="8"/>
    </row>
    <row r="1504" spans="29:29" x14ac:dyDescent="0.25">
      <c r="AC1504" s="8"/>
    </row>
    <row r="1505" spans="29:29" x14ac:dyDescent="0.25">
      <c r="AC1505" s="8"/>
    </row>
    <row r="1506" spans="29:29" x14ac:dyDescent="0.25">
      <c r="AC1506" s="8"/>
    </row>
    <row r="1507" spans="29:29" x14ac:dyDescent="0.25">
      <c r="AC1507" s="8"/>
    </row>
    <row r="1508" spans="29:29" x14ac:dyDescent="0.25">
      <c r="AC1508" s="8"/>
    </row>
    <row r="1509" spans="29:29" x14ac:dyDescent="0.25">
      <c r="AC1509" s="8"/>
    </row>
    <row r="1510" spans="29:29" x14ac:dyDescent="0.25">
      <c r="AC1510" s="8"/>
    </row>
    <row r="1511" spans="29:29" x14ac:dyDescent="0.25">
      <c r="AC1511" s="8"/>
    </row>
    <row r="1512" spans="29:29" x14ac:dyDescent="0.25">
      <c r="AC1512" s="8"/>
    </row>
    <row r="1513" spans="29:29" x14ac:dyDescent="0.25">
      <c r="AC1513" s="8"/>
    </row>
    <row r="1514" spans="29:29" x14ac:dyDescent="0.25">
      <c r="AC1514" s="8"/>
    </row>
    <row r="1515" spans="29:29" x14ac:dyDescent="0.25">
      <c r="AC1515" s="8"/>
    </row>
    <row r="1516" spans="29:29" x14ac:dyDescent="0.25">
      <c r="AC1516" s="8"/>
    </row>
    <row r="1517" spans="29:29" x14ac:dyDescent="0.25">
      <c r="AC1517" s="8"/>
    </row>
    <row r="1518" spans="29:29" x14ac:dyDescent="0.25">
      <c r="AC1518" s="8"/>
    </row>
    <row r="1519" spans="29:29" x14ac:dyDescent="0.25">
      <c r="AC1519" s="8"/>
    </row>
    <row r="1520" spans="29:29" x14ac:dyDescent="0.25">
      <c r="AC1520" s="8"/>
    </row>
    <row r="1521" spans="29:29" x14ac:dyDescent="0.25">
      <c r="AC1521" s="8"/>
    </row>
    <row r="1522" spans="29:29" x14ac:dyDescent="0.25">
      <c r="AC1522" s="8"/>
    </row>
    <row r="1523" spans="29:29" x14ac:dyDescent="0.25">
      <c r="AC1523" s="8"/>
    </row>
    <row r="1524" spans="29:29" x14ac:dyDescent="0.25">
      <c r="AC1524" s="8"/>
    </row>
    <row r="1525" spans="29:29" x14ac:dyDescent="0.25">
      <c r="AC1525" s="8"/>
    </row>
    <row r="1526" spans="29:29" x14ac:dyDescent="0.25">
      <c r="AC1526" s="8"/>
    </row>
    <row r="1527" spans="29:29" x14ac:dyDescent="0.25">
      <c r="AC1527" s="8"/>
    </row>
    <row r="1528" spans="29:29" x14ac:dyDescent="0.25">
      <c r="AC1528" s="8"/>
    </row>
    <row r="1529" spans="29:29" x14ac:dyDescent="0.25">
      <c r="AC1529" s="8"/>
    </row>
    <row r="1530" spans="29:29" x14ac:dyDescent="0.25">
      <c r="AC1530" s="8"/>
    </row>
    <row r="1531" spans="29:29" x14ac:dyDescent="0.25">
      <c r="AC1531" s="8"/>
    </row>
    <row r="1532" spans="29:29" x14ac:dyDescent="0.25">
      <c r="AC1532" s="8"/>
    </row>
    <row r="1533" spans="29:29" x14ac:dyDescent="0.25">
      <c r="AC1533" s="8"/>
    </row>
    <row r="1534" spans="29:29" x14ac:dyDescent="0.25">
      <c r="AC1534" s="8"/>
    </row>
    <row r="1535" spans="29:29" x14ac:dyDescent="0.25">
      <c r="AC1535" s="8"/>
    </row>
    <row r="1536" spans="29:29" x14ac:dyDescent="0.25">
      <c r="AC1536" s="8"/>
    </row>
    <row r="1537" spans="29:29" x14ac:dyDescent="0.25">
      <c r="AC1537" s="8"/>
    </row>
    <row r="1538" spans="29:29" x14ac:dyDescent="0.25">
      <c r="AC1538" s="8"/>
    </row>
    <row r="1539" spans="29:29" x14ac:dyDescent="0.25">
      <c r="AC1539" s="8"/>
    </row>
    <row r="1540" spans="29:29" x14ac:dyDescent="0.25">
      <c r="AC1540" s="8"/>
    </row>
    <row r="1541" spans="29:29" x14ac:dyDescent="0.25">
      <c r="AC1541" s="8"/>
    </row>
    <row r="1542" spans="29:29" x14ac:dyDescent="0.25">
      <c r="AC1542" s="8"/>
    </row>
    <row r="1543" spans="29:29" x14ac:dyDescent="0.25">
      <c r="AC1543" s="8"/>
    </row>
    <row r="1544" spans="29:29" x14ac:dyDescent="0.25">
      <c r="AC1544" s="8"/>
    </row>
    <row r="1545" spans="29:29" x14ac:dyDescent="0.25">
      <c r="AC1545" s="8"/>
    </row>
    <row r="1546" spans="29:29" x14ac:dyDescent="0.25">
      <c r="AC1546" s="8"/>
    </row>
    <row r="1547" spans="29:29" x14ac:dyDescent="0.25">
      <c r="AC1547" s="8"/>
    </row>
    <row r="1548" spans="29:29" x14ac:dyDescent="0.25">
      <c r="AC1548" s="8"/>
    </row>
    <row r="1549" spans="29:29" x14ac:dyDescent="0.25">
      <c r="AC1549" s="8"/>
    </row>
    <row r="1550" spans="29:29" x14ac:dyDescent="0.25">
      <c r="AC1550" s="8"/>
    </row>
    <row r="1551" spans="29:29" x14ac:dyDescent="0.25">
      <c r="AC1551" s="8"/>
    </row>
    <row r="1552" spans="29:29" x14ac:dyDescent="0.25">
      <c r="AC1552" s="8"/>
    </row>
    <row r="1553" spans="29:29" x14ac:dyDescent="0.25">
      <c r="AC1553" s="8"/>
    </row>
    <row r="1554" spans="29:29" x14ac:dyDescent="0.25">
      <c r="AC1554" s="8"/>
    </row>
    <row r="1555" spans="29:29" x14ac:dyDescent="0.25">
      <c r="AC1555" s="8"/>
    </row>
    <row r="1556" spans="29:29" x14ac:dyDescent="0.25">
      <c r="AC1556" s="8"/>
    </row>
    <row r="1557" spans="29:29" x14ac:dyDescent="0.25">
      <c r="AC1557" s="8"/>
    </row>
    <row r="1558" spans="29:29" x14ac:dyDescent="0.25">
      <c r="AC1558" s="8"/>
    </row>
    <row r="1559" spans="29:29" x14ac:dyDescent="0.25">
      <c r="AC1559" s="8"/>
    </row>
    <row r="1560" spans="29:29" x14ac:dyDescent="0.25">
      <c r="AC1560" s="8"/>
    </row>
    <row r="1561" spans="29:29" x14ac:dyDescent="0.25">
      <c r="AC1561" s="8"/>
    </row>
    <row r="1562" spans="29:29" x14ac:dyDescent="0.25">
      <c r="AC1562" s="8"/>
    </row>
    <row r="1563" spans="29:29" x14ac:dyDescent="0.25">
      <c r="AC1563" s="8"/>
    </row>
    <row r="1564" spans="29:29" x14ac:dyDescent="0.25">
      <c r="AC1564" s="8"/>
    </row>
    <row r="1565" spans="29:29" x14ac:dyDescent="0.25">
      <c r="AC1565" s="8"/>
    </row>
    <row r="1566" spans="29:29" x14ac:dyDescent="0.25">
      <c r="AC1566" s="8"/>
    </row>
    <row r="1567" spans="29:29" x14ac:dyDescent="0.25">
      <c r="AC1567" s="8"/>
    </row>
    <row r="1568" spans="29:29" x14ac:dyDescent="0.25">
      <c r="AC1568" s="8"/>
    </row>
    <row r="1569" spans="29:29" x14ac:dyDescent="0.25">
      <c r="AC1569" s="8"/>
    </row>
    <row r="1570" spans="29:29" x14ac:dyDescent="0.25">
      <c r="AC1570" s="8"/>
    </row>
    <row r="1571" spans="29:29" x14ac:dyDescent="0.25">
      <c r="AC1571" s="8"/>
    </row>
    <row r="1572" spans="29:29" x14ac:dyDescent="0.25">
      <c r="AC1572" s="8"/>
    </row>
    <row r="1573" spans="29:29" x14ac:dyDescent="0.25">
      <c r="AC1573" s="8"/>
    </row>
    <row r="1574" spans="29:29" x14ac:dyDescent="0.25">
      <c r="AC1574" s="8"/>
    </row>
    <row r="1575" spans="29:29" x14ac:dyDescent="0.25">
      <c r="AC1575" s="8"/>
    </row>
    <row r="1576" spans="29:29" x14ac:dyDescent="0.25">
      <c r="AC1576" s="8"/>
    </row>
    <row r="1577" spans="29:29" x14ac:dyDescent="0.25">
      <c r="AC1577" s="8"/>
    </row>
    <row r="1578" spans="29:29" x14ac:dyDescent="0.25">
      <c r="AC1578" s="8"/>
    </row>
    <row r="1579" spans="29:29" x14ac:dyDescent="0.25">
      <c r="AC1579" s="8"/>
    </row>
    <row r="1580" spans="29:29" x14ac:dyDescent="0.25">
      <c r="AC1580" s="8"/>
    </row>
    <row r="1581" spans="29:29" x14ac:dyDescent="0.25">
      <c r="AC1581" s="8"/>
    </row>
    <row r="1582" spans="29:29" x14ac:dyDescent="0.25">
      <c r="AC1582" s="8"/>
    </row>
    <row r="1583" spans="29:29" x14ac:dyDescent="0.25">
      <c r="AC1583" s="8"/>
    </row>
    <row r="1584" spans="29:29" x14ac:dyDescent="0.25">
      <c r="AC1584" s="8"/>
    </row>
    <row r="1585" spans="29:29" x14ac:dyDescent="0.25">
      <c r="AC1585" s="8"/>
    </row>
    <row r="1586" spans="29:29" x14ac:dyDescent="0.25">
      <c r="AC1586" s="8"/>
    </row>
    <row r="1587" spans="29:29" x14ac:dyDescent="0.25">
      <c r="AC1587" s="8"/>
    </row>
    <row r="1588" spans="29:29" x14ac:dyDescent="0.25">
      <c r="AC1588" s="8"/>
    </row>
    <row r="1589" spans="29:29" x14ac:dyDescent="0.25">
      <c r="AC1589" s="8"/>
    </row>
    <row r="1590" spans="29:29" x14ac:dyDescent="0.25">
      <c r="AC1590" s="8"/>
    </row>
    <row r="1591" spans="29:29" x14ac:dyDescent="0.25">
      <c r="AC1591" s="8"/>
    </row>
    <row r="1592" spans="29:29" x14ac:dyDescent="0.25">
      <c r="AC1592" s="8"/>
    </row>
    <row r="1593" spans="29:29" x14ac:dyDescent="0.25">
      <c r="AC1593" s="8"/>
    </row>
    <row r="1594" spans="29:29" x14ac:dyDescent="0.25">
      <c r="AC1594" s="8"/>
    </row>
    <row r="1595" spans="29:29" x14ac:dyDescent="0.25">
      <c r="AC1595" s="8"/>
    </row>
    <row r="1596" spans="29:29" x14ac:dyDescent="0.25">
      <c r="AC1596" s="8"/>
    </row>
    <row r="1597" spans="29:29" x14ac:dyDescent="0.25">
      <c r="AC1597" s="8"/>
    </row>
    <row r="1598" spans="29:29" x14ac:dyDescent="0.25">
      <c r="AC1598" s="8"/>
    </row>
    <row r="1599" spans="29:29" x14ac:dyDescent="0.25">
      <c r="AC1599" s="8"/>
    </row>
    <row r="1600" spans="29:29" x14ac:dyDescent="0.25">
      <c r="AC1600" s="8"/>
    </row>
    <row r="1601" spans="29:29" x14ac:dyDescent="0.25">
      <c r="AC1601" s="8"/>
    </row>
    <row r="1602" spans="29:29" x14ac:dyDescent="0.25">
      <c r="AC1602" s="8"/>
    </row>
    <row r="1603" spans="29:29" x14ac:dyDescent="0.25">
      <c r="AC1603" s="8"/>
    </row>
    <row r="1604" spans="29:29" x14ac:dyDescent="0.25">
      <c r="AC1604" s="8"/>
    </row>
    <row r="1605" spans="29:29" x14ac:dyDescent="0.25">
      <c r="AC1605" s="8"/>
    </row>
    <row r="1606" spans="29:29" x14ac:dyDescent="0.25">
      <c r="AC1606" s="8"/>
    </row>
    <row r="1607" spans="29:29" x14ac:dyDescent="0.25">
      <c r="AC1607" s="8"/>
    </row>
    <row r="1608" spans="29:29" x14ac:dyDescent="0.25">
      <c r="AC1608" s="8"/>
    </row>
    <row r="1609" spans="29:29" x14ac:dyDescent="0.25">
      <c r="AC1609" s="8"/>
    </row>
    <row r="1610" spans="29:29" x14ac:dyDescent="0.25">
      <c r="AC1610" s="8"/>
    </row>
    <row r="1611" spans="29:29" x14ac:dyDescent="0.25">
      <c r="AC1611" s="8"/>
    </row>
    <row r="1612" spans="29:29" x14ac:dyDescent="0.25">
      <c r="AC1612" s="8"/>
    </row>
    <row r="1613" spans="29:29" x14ac:dyDescent="0.25">
      <c r="AC1613" s="8"/>
    </row>
    <row r="1614" spans="29:29" x14ac:dyDescent="0.25">
      <c r="AC1614" s="8"/>
    </row>
    <row r="1615" spans="29:29" x14ac:dyDescent="0.25">
      <c r="AC1615" s="8"/>
    </row>
    <row r="1616" spans="29:29" x14ac:dyDescent="0.25">
      <c r="AC1616" s="8"/>
    </row>
    <row r="1617" spans="29:29" x14ac:dyDescent="0.25">
      <c r="AC1617" s="8"/>
    </row>
    <row r="1618" spans="29:29" x14ac:dyDescent="0.25">
      <c r="AC1618" s="8"/>
    </row>
    <row r="1619" spans="29:29" x14ac:dyDescent="0.25">
      <c r="AC1619" s="8"/>
    </row>
    <row r="1620" spans="29:29" x14ac:dyDescent="0.25">
      <c r="AC1620" s="8"/>
    </row>
    <row r="1621" spans="29:29" x14ac:dyDescent="0.25">
      <c r="AC1621" s="8"/>
    </row>
    <row r="1622" spans="29:29" x14ac:dyDescent="0.25">
      <c r="AC1622" s="8"/>
    </row>
    <row r="1623" spans="29:29" x14ac:dyDescent="0.25">
      <c r="AC1623" s="8"/>
    </row>
    <row r="1624" spans="29:29" x14ac:dyDescent="0.25">
      <c r="AC1624" s="8"/>
    </row>
    <row r="1625" spans="29:29" x14ac:dyDescent="0.25">
      <c r="AC1625" s="8"/>
    </row>
    <row r="1626" spans="29:29" x14ac:dyDescent="0.25">
      <c r="AC1626" s="8"/>
    </row>
    <row r="1627" spans="29:29" x14ac:dyDescent="0.25">
      <c r="AC1627" s="8"/>
    </row>
    <row r="1628" spans="29:29" x14ac:dyDescent="0.25">
      <c r="AC1628" s="8"/>
    </row>
    <row r="1629" spans="29:29" x14ac:dyDescent="0.25">
      <c r="AC1629" s="8"/>
    </row>
    <row r="1630" spans="29:29" x14ac:dyDescent="0.25">
      <c r="AC1630" s="8"/>
    </row>
    <row r="1631" spans="29:29" x14ac:dyDescent="0.25">
      <c r="AC1631" s="8"/>
    </row>
    <row r="1632" spans="29:29" x14ac:dyDescent="0.25">
      <c r="AC1632" s="8"/>
    </row>
    <row r="1633" spans="29:29" x14ac:dyDescent="0.25">
      <c r="AC1633" s="8"/>
    </row>
    <row r="1634" spans="29:29" x14ac:dyDescent="0.25">
      <c r="AC1634" s="8"/>
    </row>
    <row r="1635" spans="29:29" x14ac:dyDescent="0.25">
      <c r="AC1635" s="8"/>
    </row>
    <row r="1636" spans="29:29" x14ac:dyDescent="0.25">
      <c r="AC1636" s="8"/>
    </row>
    <row r="1637" spans="29:29" x14ac:dyDescent="0.25">
      <c r="AC1637" s="8"/>
    </row>
    <row r="1638" spans="29:29" x14ac:dyDescent="0.25">
      <c r="AC1638" s="8"/>
    </row>
    <row r="1639" spans="29:29" x14ac:dyDescent="0.25">
      <c r="AC1639" s="8"/>
    </row>
    <row r="1640" spans="29:29" x14ac:dyDescent="0.25">
      <c r="AC1640" s="8"/>
    </row>
    <row r="1641" spans="29:29" x14ac:dyDescent="0.25">
      <c r="AC1641" s="8"/>
    </row>
    <row r="1642" spans="29:29" x14ac:dyDescent="0.25">
      <c r="AC1642" s="8"/>
    </row>
    <row r="1643" spans="29:29" x14ac:dyDescent="0.25">
      <c r="AC1643" s="8"/>
    </row>
    <row r="1644" spans="29:29" x14ac:dyDescent="0.25">
      <c r="AC1644" s="8"/>
    </row>
    <row r="1645" spans="29:29" x14ac:dyDescent="0.25">
      <c r="AC1645" s="8"/>
    </row>
    <row r="1646" spans="29:29" x14ac:dyDescent="0.25">
      <c r="AC1646" s="8"/>
    </row>
    <row r="1647" spans="29:29" x14ac:dyDescent="0.25">
      <c r="AC1647" s="8"/>
    </row>
    <row r="1648" spans="29:29" x14ac:dyDescent="0.25">
      <c r="AC1648" s="8"/>
    </row>
    <row r="1649" spans="29:29" x14ac:dyDescent="0.25">
      <c r="AC1649" s="8"/>
    </row>
    <row r="1650" spans="29:29" x14ac:dyDescent="0.25">
      <c r="AC1650" s="8"/>
    </row>
    <row r="1651" spans="29:29" x14ac:dyDescent="0.25">
      <c r="AC1651" s="8"/>
    </row>
    <row r="1652" spans="29:29" x14ac:dyDescent="0.25">
      <c r="AC1652" s="8"/>
    </row>
    <row r="1653" spans="29:29" x14ac:dyDescent="0.25">
      <c r="AC1653" s="8"/>
    </row>
    <row r="1654" spans="29:29" x14ac:dyDescent="0.25">
      <c r="AC1654" s="8"/>
    </row>
    <row r="1655" spans="29:29" x14ac:dyDescent="0.25">
      <c r="AC1655" s="8"/>
    </row>
    <row r="1656" spans="29:29" x14ac:dyDescent="0.25">
      <c r="AC1656" s="8"/>
    </row>
    <row r="1657" spans="29:29" x14ac:dyDescent="0.25">
      <c r="AC1657" s="8"/>
    </row>
    <row r="1658" spans="29:29" x14ac:dyDescent="0.25">
      <c r="AC1658" s="8"/>
    </row>
    <row r="1659" spans="29:29" x14ac:dyDescent="0.25">
      <c r="AC1659" s="8"/>
    </row>
    <row r="1660" spans="29:29" x14ac:dyDescent="0.25">
      <c r="AC1660" s="8"/>
    </row>
    <row r="1661" spans="29:29" x14ac:dyDescent="0.25">
      <c r="AC1661" s="8"/>
    </row>
    <row r="1662" spans="29:29" x14ac:dyDescent="0.25">
      <c r="AC1662" s="8"/>
    </row>
    <row r="1663" spans="29:29" x14ac:dyDescent="0.25">
      <c r="AC1663" s="8"/>
    </row>
    <row r="1664" spans="29:29" x14ac:dyDescent="0.25">
      <c r="AC1664" s="8"/>
    </row>
    <row r="1665" spans="29:29" x14ac:dyDescent="0.25">
      <c r="AC1665" s="8"/>
    </row>
    <row r="1666" spans="29:29" x14ac:dyDescent="0.25">
      <c r="AC1666" s="8"/>
    </row>
    <row r="1667" spans="29:29" x14ac:dyDescent="0.25">
      <c r="AC1667" s="8"/>
    </row>
    <row r="1668" spans="29:29" x14ac:dyDescent="0.25">
      <c r="AC1668" s="8"/>
    </row>
    <row r="1669" spans="29:29" x14ac:dyDescent="0.25">
      <c r="AC1669" s="8"/>
    </row>
    <row r="1670" spans="29:29" x14ac:dyDescent="0.25">
      <c r="AC1670" s="8"/>
    </row>
    <row r="1671" spans="29:29" x14ac:dyDescent="0.25">
      <c r="AC1671" s="8"/>
    </row>
    <row r="1672" spans="29:29" x14ac:dyDescent="0.25">
      <c r="AC1672" s="8"/>
    </row>
    <row r="1673" spans="29:29" x14ac:dyDescent="0.25">
      <c r="AC1673" s="8"/>
    </row>
    <row r="1674" spans="29:29" x14ac:dyDescent="0.25">
      <c r="AC1674" s="8"/>
    </row>
    <row r="1675" spans="29:29" x14ac:dyDescent="0.25">
      <c r="AC1675" s="8"/>
    </row>
    <row r="1676" spans="29:29" x14ac:dyDescent="0.25">
      <c r="AC1676" s="8"/>
    </row>
    <row r="1677" spans="29:29" x14ac:dyDescent="0.25">
      <c r="AC1677" s="8"/>
    </row>
    <row r="1678" spans="29:29" x14ac:dyDescent="0.25">
      <c r="AC1678" s="8"/>
    </row>
    <row r="1679" spans="29:29" x14ac:dyDescent="0.25">
      <c r="AC1679" s="8"/>
    </row>
    <row r="1680" spans="29:29" x14ac:dyDescent="0.25">
      <c r="AC1680" s="8"/>
    </row>
    <row r="1681" spans="29:29" x14ac:dyDescent="0.25">
      <c r="AC1681" s="8"/>
    </row>
    <row r="1682" spans="29:29" x14ac:dyDescent="0.25">
      <c r="AC1682" s="8"/>
    </row>
    <row r="1683" spans="29:29" x14ac:dyDescent="0.25">
      <c r="AC1683" s="8"/>
    </row>
    <row r="1684" spans="29:29" x14ac:dyDescent="0.25">
      <c r="AC1684" s="8"/>
    </row>
    <row r="1685" spans="29:29" x14ac:dyDescent="0.25">
      <c r="AC1685" s="8"/>
    </row>
    <row r="1686" spans="29:29" x14ac:dyDescent="0.25">
      <c r="AC1686" s="8"/>
    </row>
    <row r="1687" spans="29:29" x14ac:dyDescent="0.25">
      <c r="AC1687" s="8"/>
    </row>
    <row r="1688" spans="29:29" x14ac:dyDescent="0.25">
      <c r="AC1688" s="8"/>
    </row>
    <row r="1689" spans="29:29" x14ac:dyDescent="0.25">
      <c r="AC1689" s="8"/>
    </row>
    <row r="1690" spans="29:29" x14ac:dyDescent="0.25">
      <c r="AC1690" s="8"/>
    </row>
    <row r="1691" spans="29:29" x14ac:dyDescent="0.25">
      <c r="AC1691" s="8"/>
    </row>
    <row r="1692" spans="29:29" x14ac:dyDescent="0.25">
      <c r="AC1692" s="8"/>
    </row>
    <row r="1693" spans="29:29" x14ac:dyDescent="0.25">
      <c r="AC1693" s="8"/>
    </row>
    <row r="1694" spans="29:29" x14ac:dyDescent="0.25">
      <c r="AC1694" s="8"/>
    </row>
    <row r="1695" spans="29:29" x14ac:dyDescent="0.25">
      <c r="AC1695" s="8"/>
    </row>
    <row r="1696" spans="29:29" x14ac:dyDescent="0.25">
      <c r="AC1696" s="8"/>
    </row>
    <row r="1697" spans="29:29" x14ac:dyDescent="0.25">
      <c r="AC1697" s="8"/>
    </row>
    <row r="1698" spans="29:29" x14ac:dyDescent="0.25">
      <c r="AC1698" s="8"/>
    </row>
    <row r="1699" spans="29:29" x14ac:dyDescent="0.25">
      <c r="AC1699" s="8"/>
    </row>
    <row r="1700" spans="29:29" x14ac:dyDescent="0.25">
      <c r="AC1700" s="8"/>
    </row>
    <row r="1701" spans="29:29" x14ac:dyDescent="0.25">
      <c r="AC1701" s="8"/>
    </row>
    <row r="1702" spans="29:29" x14ac:dyDescent="0.25">
      <c r="AC1702" s="8"/>
    </row>
    <row r="1703" spans="29:29" x14ac:dyDescent="0.25">
      <c r="AC1703" s="8"/>
    </row>
    <row r="1704" spans="29:29" x14ac:dyDescent="0.25">
      <c r="AC1704" s="8"/>
    </row>
    <row r="1705" spans="29:29" x14ac:dyDescent="0.25">
      <c r="AC1705" s="8"/>
    </row>
    <row r="1706" spans="29:29" x14ac:dyDescent="0.25">
      <c r="AC1706" s="8"/>
    </row>
    <row r="1707" spans="29:29" x14ac:dyDescent="0.25">
      <c r="AC1707" s="8"/>
    </row>
    <row r="1708" spans="29:29" x14ac:dyDescent="0.25">
      <c r="AC1708" s="8"/>
    </row>
    <row r="1709" spans="29:29" x14ac:dyDescent="0.25">
      <c r="AC1709" s="8"/>
    </row>
    <row r="1710" spans="29:29" x14ac:dyDescent="0.25">
      <c r="AC1710" s="8"/>
    </row>
    <row r="1711" spans="29:29" x14ac:dyDescent="0.25">
      <c r="AC1711" s="8"/>
    </row>
    <row r="1712" spans="29:29" x14ac:dyDescent="0.25">
      <c r="AC1712" s="8"/>
    </row>
    <row r="1713" spans="29:29" x14ac:dyDescent="0.25">
      <c r="AC1713" s="8"/>
    </row>
    <row r="1714" spans="29:29" x14ac:dyDescent="0.25">
      <c r="AC1714" s="8"/>
    </row>
    <row r="1715" spans="29:29" x14ac:dyDescent="0.25">
      <c r="AC1715" s="8"/>
    </row>
    <row r="1716" spans="29:29" x14ac:dyDescent="0.25">
      <c r="AC1716" s="8"/>
    </row>
    <row r="1717" spans="29:29" x14ac:dyDescent="0.25">
      <c r="AC1717" s="8"/>
    </row>
    <row r="1718" spans="29:29" x14ac:dyDescent="0.25">
      <c r="AC1718" s="8"/>
    </row>
    <row r="1719" spans="29:29" x14ac:dyDescent="0.25">
      <c r="AC1719" s="8"/>
    </row>
    <row r="1720" spans="29:29" x14ac:dyDescent="0.25">
      <c r="AC1720" s="8"/>
    </row>
    <row r="1721" spans="29:29" x14ac:dyDescent="0.25">
      <c r="AC1721" s="8"/>
    </row>
    <row r="1722" spans="29:29" x14ac:dyDescent="0.25">
      <c r="AC1722" s="8"/>
    </row>
    <row r="1723" spans="29:29" x14ac:dyDescent="0.25">
      <c r="AC1723" s="8"/>
    </row>
    <row r="1724" spans="29:29" x14ac:dyDescent="0.25">
      <c r="AC1724" s="8"/>
    </row>
    <row r="1725" spans="29:29" x14ac:dyDescent="0.25">
      <c r="AC1725" s="8"/>
    </row>
    <row r="1726" spans="29:29" x14ac:dyDescent="0.25">
      <c r="AC1726" s="8"/>
    </row>
    <row r="1727" spans="29:29" x14ac:dyDescent="0.25">
      <c r="AC1727" s="8"/>
    </row>
    <row r="1728" spans="29:29" x14ac:dyDescent="0.25">
      <c r="AC1728" s="8"/>
    </row>
    <row r="1729" spans="29:29" x14ac:dyDescent="0.25">
      <c r="AC1729" s="8"/>
    </row>
    <row r="1730" spans="29:29" x14ac:dyDescent="0.25">
      <c r="AC1730" s="8"/>
    </row>
    <row r="1731" spans="29:29" x14ac:dyDescent="0.25">
      <c r="AC1731" s="8"/>
    </row>
    <row r="1732" spans="29:29" x14ac:dyDescent="0.25">
      <c r="AC1732" s="8"/>
    </row>
    <row r="1733" spans="29:29" x14ac:dyDescent="0.25">
      <c r="AC1733" s="8"/>
    </row>
    <row r="1734" spans="29:29" x14ac:dyDescent="0.25">
      <c r="AC1734" s="8"/>
    </row>
    <row r="1735" spans="29:29" x14ac:dyDescent="0.25">
      <c r="AC1735" s="8"/>
    </row>
    <row r="1736" spans="29:29" x14ac:dyDescent="0.25">
      <c r="AC1736" s="8"/>
    </row>
    <row r="1737" spans="29:29" x14ac:dyDescent="0.25">
      <c r="AC1737" s="8"/>
    </row>
    <row r="1738" spans="29:29" x14ac:dyDescent="0.25">
      <c r="AC1738" s="8"/>
    </row>
    <row r="1739" spans="29:29" x14ac:dyDescent="0.25">
      <c r="AC1739" s="8"/>
    </row>
    <row r="1740" spans="29:29" x14ac:dyDescent="0.25">
      <c r="AC1740" s="8"/>
    </row>
    <row r="1741" spans="29:29" x14ac:dyDescent="0.25">
      <c r="AC1741" s="8"/>
    </row>
    <row r="1742" spans="29:29" x14ac:dyDescent="0.25">
      <c r="AC1742" s="8"/>
    </row>
    <row r="1743" spans="29:29" x14ac:dyDescent="0.25">
      <c r="AC1743" s="8"/>
    </row>
    <row r="1744" spans="29:29" x14ac:dyDescent="0.25">
      <c r="AC1744" s="8"/>
    </row>
    <row r="1745" spans="29:29" x14ac:dyDescent="0.25">
      <c r="AC1745" s="8"/>
    </row>
    <row r="1746" spans="29:29" x14ac:dyDescent="0.25">
      <c r="AC1746" s="8"/>
    </row>
    <row r="1747" spans="29:29" x14ac:dyDescent="0.25">
      <c r="AC1747" s="8"/>
    </row>
    <row r="1748" spans="29:29" x14ac:dyDescent="0.25">
      <c r="AC1748" s="8"/>
    </row>
    <row r="1749" spans="29:29" x14ac:dyDescent="0.25">
      <c r="AC1749" s="8"/>
    </row>
    <row r="1750" spans="29:29" x14ac:dyDescent="0.25">
      <c r="AC1750" s="8"/>
    </row>
    <row r="1751" spans="29:29" x14ac:dyDescent="0.25">
      <c r="AC1751" s="8"/>
    </row>
    <row r="1752" spans="29:29" x14ac:dyDescent="0.25">
      <c r="AC1752" s="8"/>
    </row>
    <row r="1753" spans="29:29" x14ac:dyDescent="0.25">
      <c r="AC1753" s="8"/>
    </row>
    <row r="1754" spans="29:29" x14ac:dyDescent="0.25">
      <c r="AC1754" s="8"/>
    </row>
    <row r="1755" spans="29:29" x14ac:dyDescent="0.25">
      <c r="AC1755" s="8"/>
    </row>
    <row r="1756" spans="29:29" x14ac:dyDescent="0.25">
      <c r="AC1756" s="8"/>
    </row>
    <row r="1757" spans="29:29" x14ac:dyDescent="0.25">
      <c r="AC1757" s="8"/>
    </row>
    <row r="1758" spans="29:29" x14ac:dyDescent="0.25">
      <c r="AC1758" s="8"/>
    </row>
    <row r="1759" spans="29:29" x14ac:dyDescent="0.25">
      <c r="AC1759" s="8"/>
    </row>
    <row r="1760" spans="29:29" x14ac:dyDescent="0.25">
      <c r="AC1760" s="8"/>
    </row>
    <row r="1761" spans="29:29" x14ac:dyDescent="0.25">
      <c r="AC1761" s="8"/>
    </row>
    <row r="1762" spans="29:29" x14ac:dyDescent="0.25">
      <c r="AC1762" s="8"/>
    </row>
    <row r="1763" spans="29:29" x14ac:dyDescent="0.25">
      <c r="AC1763" s="8"/>
    </row>
    <row r="1764" spans="29:29" x14ac:dyDescent="0.25">
      <c r="AC1764" s="8"/>
    </row>
    <row r="1765" spans="29:29" x14ac:dyDescent="0.25">
      <c r="AC1765" s="8"/>
    </row>
    <row r="1766" spans="29:29" x14ac:dyDescent="0.25">
      <c r="AC1766" s="8"/>
    </row>
    <row r="1767" spans="29:29" x14ac:dyDescent="0.25">
      <c r="AC1767" s="8"/>
    </row>
    <row r="1768" spans="29:29" x14ac:dyDescent="0.25">
      <c r="AC1768" s="8"/>
    </row>
    <row r="1769" spans="29:29" x14ac:dyDescent="0.25">
      <c r="AC1769" s="8"/>
    </row>
    <row r="1770" spans="29:29" x14ac:dyDescent="0.25">
      <c r="AC1770" s="8"/>
    </row>
    <row r="1771" spans="29:29" x14ac:dyDescent="0.25">
      <c r="AC1771" s="8"/>
    </row>
    <row r="1772" spans="29:29" x14ac:dyDescent="0.25">
      <c r="AC1772" s="8"/>
    </row>
    <row r="1773" spans="29:29" x14ac:dyDescent="0.25">
      <c r="AC1773" s="8"/>
    </row>
    <row r="1774" spans="29:29" x14ac:dyDescent="0.25">
      <c r="AC1774" s="8"/>
    </row>
    <row r="1775" spans="29:29" x14ac:dyDescent="0.25">
      <c r="AC1775" s="8"/>
    </row>
    <row r="1776" spans="29:29" x14ac:dyDescent="0.25">
      <c r="AC1776" s="8"/>
    </row>
    <row r="1777" spans="29:29" x14ac:dyDescent="0.25">
      <c r="AC1777" s="8"/>
    </row>
    <row r="1778" spans="29:29" x14ac:dyDescent="0.25">
      <c r="AC1778" s="8"/>
    </row>
    <row r="1779" spans="29:29" x14ac:dyDescent="0.25">
      <c r="AC1779" s="8"/>
    </row>
    <row r="1780" spans="29:29" x14ac:dyDescent="0.25">
      <c r="AC1780" s="8"/>
    </row>
    <row r="1781" spans="29:29" x14ac:dyDescent="0.25">
      <c r="AC1781" s="8"/>
    </row>
    <row r="1782" spans="29:29" x14ac:dyDescent="0.25">
      <c r="AC1782" s="8"/>
    </row>
    <row r="1783" spans="29:29" x14ac:dyDescent="0.25">
      <c r="AC1783" s="8"/>
    </row>
    <row r="1784" spans="29:29" x14ac:dyDescent="0.25">
      <c r="AC1784" s="8"/>
    </row>
    <row r="1785" spans="29:29" x14ac:dyDescent="0.25">
      <c r="AC1785" s="8"/>
    </row>
    <row r="1786" spans="29:29" x14ac:dyDescent="0.25">
      <c r="AC1786" s="8"/>
    </row>
    <row r="1787" spans="29:29" x14ac:dyDescent="0.25">
      <c r="AC1787" s="8"/>
    </row>
    <row r="1788" spans="29:29" x14ac:dyDescent="0.25">
      <c r="AC1788" s="8"/>
    </row>
    <row r="1789" spans="29:29" x14ac:dyDescent="0.25">
      <c r="AC1789" s="8"/>
    </row>
    <row r="1790" spans="29:29" x14ac:dyDescent="0.25">
      <c r="AC1790" s="8"/>
    </row>
    <row r="1791" spans="29:29" x14ac:dyDescent="0.25">
      <c r="AC1791" s="8"/>
    </row>
    <row r="1792" spans="29:29" x14ac:dyDescent="0.25">
      <c r="AC1792" s="8"/>
    </row>
    <row r="1793" spans="29:29" x14ac:dyDescent="0.25">
      <c r="AC1793" s="8"/>
    </row>
    <row r="1794" spans="29:29" x14ac:dyDescent="0.25">
      <c r="AC1794" s="8"/>
    </row>
    <row r="1795" spans="29:29" x14ac:dyDescent="0.25">
      <c r="AC1795" s="8"/>
    </row>
    <row r="1796" spans="29:29" x14ac:dyDescent="0.25">
      <c r="AC1796" s="8"/>
    </row>
    <row r="1797" spans="29:29" x14ac:dyDescent="0.25">
      <c r="AC1797" s="8"/>
    </row>
    <row r="1798" spans="29:29" x14ac:dyDescent="0.25">
      <c r="AC1798" s="8"/>
    </row>
    <row r="1799" spans="29:29" x14ac:dyDescent="0.25">
      <c r="AC1799" s="8"/>
    </row>
    <row r="1800" spans="29:29" x14ac:dyDescent="0.25">
      <c r="AC1800" s="8"/>
    </row>
    <row r="1801" spans="29:29" x14ac:dyDescent="0.25">
      <c r="AC1801" s="8"/>
    </row>
    <row r="1802" spans="29:29" x14ac:dyDescent="0.25">
      <c r="AC1802" s="8"/>
    </row>
    <row r="1803" spans="29:29" x14ac:dyDescent="0.25">
      <c r="AC1803" s="8"/>
    </row>
    <row r="1804" spans="29:29" x14ac:dyDescent="0.25">
      <c r="AC1804" s="8"/>
    </row>
    <row r="1805" spans="29:29" x14ac:dyDescent="0.25">
      <c r="AC1805" s="8"/>
    </row>
    <row r="1806" spans="29:29" x14ac:dyDescent="0.25">
      <c r="AC1806" s="8"/>
    </row>
    <row r="1807" spans="29:29" x14ac:dyDescent="0.25">
      <c r="AC1807" s="8"/>
    </row>
    <row r="1808" spans="29:29" x14ac:dyDescent="0.25">
      <c r="AC1808" s="8"/>
    </row>
    <row r="1809" spans="29:29" x14ac:dyDescent="0.25">
      <c r="AC1809" s="8"/>
    </row>
    <row r="1810" spans="29:29" x14ac:dyDescent="0.25">
      <c r="AC1810" s="8"/>
    </row>
    <row r="1811" spans="29:29" x14ac:dyDescent="0.25">
      <c r="AC1811" s="8"/>
    </row>
    <row r="1812" spans="29:29" x14ac:dyDescent="0.25">
      <c r="AC1812" s="8"/>
    </row>
    <row r="1813" spans="29:29" x14ac:dyDescent="0.25">
      <c r="AC1813" s="8"/>
    </row>
    <row r="1814" spans="29:29" x14ac:dyDescent="0.25">
      <c r="AC1814" s="8"/>
    </row>
    <row r="1815" spans="29:29" x14ac:dyDescent="0.25">
      <c r="AC1815" s="8"/>
    </row>
    <row r="1816" spans="29:29" x14ac:dyDescent="0.25">
      <c r="AC1816" s="8"/>
    </row>
    <row r="1817" spans="29:29" x14ac:dyDescent="0.25">
      <c r="AC1817" s="8"/>
    </row>
    <row r="1818" spans="29:29" x14ac:dyDescent="0.25">
      <c r="AC1818" s="8"/>
    </row>
    <row r="1819" spans="29:29" x14ac:dyDescent="0.25">
      <c r="AC1819" s="8"/>
    </row>
    <row r="1820" spans="29:29" x14ac:dyDescent="0.25">
      <c r="AC1820" s="8"/>
    </row>
    <row r="1821" spans="29:29" x14ac:dyDescent="0.25">
      <c r="AC1821" s="8"/>
    </row>
    <row r="1822" spans="29:29" x14ac:dyDescent="0.25">
      <c r="AC1822" s="8"/>
    </row>
    <row r="1823" spans="29:29" x14ac:dyDescent="0.25">
      <c r="AC1823" s="8"/>
    </row>
    <row r="1824" spans="29:29" x14ac:dyDescent="0.25">
      <c r="AC1824" s="8"/>
    </row>
    <row r="1825" spans="29:29" x14ac:dyDescent="0.25">
      <c r="AC1825" s="8"/>
    </row>
    <row r="1826" spans="29:29" x14ac:dyDescent="0.25">
      <c r="AC1826" s="8"/>
    </row>
    <row r="1827" spans="29:29" x14ac:dyDescent="0.25">
      <c r="AC1827" s="8"/>
    </row>
    <row r="1828" spans="29:29" x14ac:dyDescent="0.25">
      <c r="AC1828" s="8"/>
    </row>
    <row r="1829" spans="29:29" x14ac:dyDescent="0.25">
      <c r="AC1829" s="8"/>
    </row>
    <row r="1830" spans="29:29" x14ac:dyDescent="0.25">
      <c r="AC1830" s="8"/>
    </row>
    <row r="1831" spans="29:29" x14ac:dyDescent="0.25">
      <c r="AC1831" s="8"/>
    </row>
    <row r="1832" spans="29:29" x14ac:dyDescent="0.25">
      <c r="AC1832" s="8"/>
    </row>
    <row r="1833" spans="29:29" x14ac:dyDescent="0.25">
      <c r="AC1833" s="8"/>
    </row>
    <row r="1834" spans="29:29" x14ac:dyDescent="0.25">
      <c r="AC1834" s="8"/>
    </row>
    <row r="1835" spans="29:29" x14ac:dyDescent="0.25">
      <c r="AC1835" s="8"/>
    </row>
    <row r="1836" spans="29:29" x14ac:dyDescent="0.25">
      <c r="AC1836" s="8"/>
    </row>
    <row r="1837" spans="29:29" x14ac:dyDescent="0.25">
      <c r="AC1837" s="8"/>
    </row>
    <row r="1838" spans="29:29" x14ac:dyDescent="0.25">
      <c r="AC1838" s="8"/>
    </row>
    <row r="1839" spans="29:29" x14ac:dyDescent="0.25">
      <c r="AC1839" s="8"/>
    </row>
    <row r="1840" spans="29:29" x14ac:dyDescent="0.25">
      <c r="AC1840" s="8"/>
    </row>
    <row r="1841" spans="29:29" x14ac:dyDescent="0.25">
      <c r="AC1841" s="8"/>
    </row>
    <row r="1842" spans="29:29" x14ac:dyDescent="0.25">
      <c r="AC1842" s="8"/>
    </row>
    <row r="1843" spans="29:29" x14ac:dyDescent="0.25">
      <c r="AC1843" s="8"/>
    </row>
    <row r="1844" spans="29:29" x14ac:dyDescent="0.25">
      <c r="AC1844" s="8"/>
    </row>
    <row r="1845" spans="29:29" x14ac:dyDescent="0.25">
      <c r="AC1845" s="8"/>
    </row>
    <row r="1846" spans="29:29" x14ac:dyDescent="0.25">
      <c r="AC1846" s="8"/>
    </row>
    <row r="1847" spans="29:29" x14ac:dyDescent="0.25">
      <c r="AC1847" s="8"/>
    </row>
    <row r="1848" spans="29:29" x14ac:dyDescent="0.25">
      <c r="AC1848" s="8"/>
    </row>
    <row r="1849" spans="29:29" x14ac:dyDescent="0.25">
      <c r="AC1849" s="8"/>
    </row>
    <row r="1850" spans="29:29" x14ac:dyDescent="0.25">
      <c r="AC1850" s="8"/>
    </row>
    <row r="1851" spans="29:29" x14ac:dyDescent="0.25">
      <c r="AC1851" s="8"/>
    </row>
    <row r="1852" spans="29:29" x14ac:dyDescent="0.25">
      <c r="AC1852" s="8"/>
    </row>
    <row r="1853" spans="29:29" x14ac:dyDescent="0.25">
      <c r="AC1853" s="8"/>
    </row>
    <row r="1854" spans="29:29" x14ac:dyDescent="0.25">
      <c r="AC1854" s="8"/>
    </row>
    <row r="1855" spans="29:29" x14ac:dyDescent="0.25">
      <c r="AC1855" s="8"/>
    </row>
    <row r="1856" spans="29:29" x14ac:dyDescent="0.25">
      <c r="AC1856" s="8"/>
    </row>
    <row r="1857" spans="29:29" x14ac:dyDescent="0.25">
      <c r="AC1857" s="8"/>
    </row>
    <row r="1858" spans="29:29" x14ac:dyDescent="0.25">
      <c r="AC1858" s="8"/>
    </row>
    <row r="1859" spans="29:29" x14ac:dyDescent="0.25">
      <c r="AC1859" s="8"/>
    </row>
    <row r="1860" spans="29:29" x14ac:dyDescent="0.25">
      <c r="AC1860" s="8"/>
    </row>
    <row r="1861" spans="29:29" x14ac:dyDescent="0.25">
      <c r="AC1861" s="8"/>
    </row>
    <row r="1862" spans="29:29" x14ac:dyDescent="0.25">
      <c r="AC1862" s="8"/>
    </row>
    <row r="1863" spans="29:29" x14ac:dyDescent="0.25">
      <c r="AC1863" s="8"/>
    </row>
    <row r="1864" spans="29:29" x14ac:dyDescent="0.25">
      <c r="AC1864" s="8"/>
    </row>
    <row r="1865" spans="29:29" x14ac:dyDescent="0.25">
      <c r="AC1865" s="8"/>
    </row>
    <row r="1866" spans="29:29" x14ac:dyDescent="0.25">
      <c r="AC1866" s="8"/>
    </row>
    <row r="1867" spans="29:29" x14ac:dyDescent="0.25">
      <c r="AC1867" s="8"/>
    </row>
    <row r="1868" spans="29:29" x14ac:dyDescent="0.25">
      <c r="AC1868" s="8"/>
    </row>
    <row r="1869" spans="29:29" x14ac:dyDescent="0.25">
      <c r="AC1869" s="8"/>
    </row>
    <row r="1870" spans="29:29" x14ac:dyDescent="0.25">
      <c r="AC1870" s="8"/>
    </row>
    <row r="1871" spans="29:29" x14ac:dyDescent="0.25">
      <c r="AC1871" s="8"/>
    </row>
    <row r="1872" spans="29:29" x14ac:dyDescent="0.25">
      <c r="AC1872" s="8"/>
    </row>
    <row r="1873" spans="29:29" x14ac:dyDescent="0.25">
      <c r="AC1873" s="8"/>
    </row>
    <row r="1874" spans="29:29" x14ac:dyDescent="0.25">
      <c r="AC1874" s="8"/>
    </row>
    <row r="1875" spans="29:29" x14ac:dyDescent="0.25">
      <c r="AC1875" s="8"/>
    </row>
    <row r="1876" spans="29:29" x14ac:dyDescent="0.25">
      <c r="AC1876" s="8"/>
    </row>
    <row r="1877" spans="29:29" x14ac:dyDescent="0.25">
      <c r="AC1877" s="8"/>
    </row>
    <row r="1878" spans="29:29" x14ac:dyDescent="0.25">
      <c r="AC1878" s="8"/>
    </row>
    <row r="1879" spans="29:29" x14ac:dyDescent="0.25">
      <c r="AC1879" s="8"/>
    </row>
    <row r="1880" spans="29:29" x14ac:dyDescent="0.25">
      <c r="AC1880" s="8"/>
    </row>
    <row r="1881" spans="29:29" x14ac:dyDescent="0.25">
      <c r="AC1881" s="8"/>
    </row>
    <row r="1882" spans="29:29" x14ac:dyDescent="0.25">
      <c r="AC1882" s="8"/>
    </row>
    <row r="1883" spans="29:29" x14ac:dyDescent="0.25">
      <c r="AC1883" s="8"/>
    </row>
    <row r="1884" spans="29:29" x14ac:dyDescent="0.25">
      <c r="AC1884" s="8"/>
    </row>
    <row r="1885" spans="29:29" x14ac:dyDescent="0.25">
      <c r="AC1885" s="8"/>
    </row>
    <row r="1886" spans="29:29" x14ac:dyDescent="0.25">
      <c r="AC1886" s="8"/>
    </row>
    <row r="1887" spans="29:29" x14ac:dyDescent="0.25">
      <c r="AC1887" s="8"/>
    </row>
    <row r="1888" spans="29:29" x14ac:dyDescent="0.25">
      <c r="AC1888" s="8"/>
    </row>
    <row r="1889" spans="29:29" x14ac:dyDescent="0.25">
      <c r="AC1889" s="8"/>
    </row>
    <row r="1890" spans="29:29" x14ac:dyDescent="0.25">
      <c r="AC1890" s="8"/>
    </row>
    <row r="1891" spans="29:29" x14ac:dyDescent="0.25">
      <c r="AC1891" s="8"/>
    </row>
    <row r="1892" spans="29:29" x14ac:dyDescent="0.25">
      <c r="AC1892" s="8"/>
    </row>
    <row r="1893" spans="29:29" x14ac:dyDescent="0.25">
      <c r="AC1893" s="8"/>
    </row>
    <row r="1894" spans="29:29" x14ac:dyDescent="0.25">
      <c r="AC1894" s="8"/>
    </row>
    <row r="1895" spans="29:29" x14ac:dyDescent="0.25">
      <c r="AC1895" s="8"/>
    </row>
    <row r="1896" spans="29:29" x14ac:dyDescent="0.25">
      <c r="AC1896" s="8"/>
    </row>
    <row r="1897" spans="29:29" x14ac:dyDescent="0.25">
      <c r="AC1897" s="8"/>
    </row>
    <row r="1898" spans="29:29" x14ac:dyDescent="0.25">
      <c r="AC1898" s="8"/>
    </row>
    <row r="1899" spans="29:29" x14ac:dyDescent="0.25">
      <c r="AC1899" s="8"/>
    </row>
    <row r="1900" spans="29:29" x14ac:dyDescent="0.25">
      <c r="AC1900" s="8"/>
    </row>
    <row r="1901" spans="29:29" x14ac:dyDescent="0.25">
      <c r="AC1901" s="8"/>
    </row>
    <row r="1902" spans="29:29" x14ac:dyDescent="0.25">
      <c r="AC1902" s="8"/>
    </row>
    <row r="1903" spans="29:29" x14ac:dyDescent="0.25">
      <c r="AC1903" s="8"/>
    </row>
    <row r="1904" spans="29:29" x14ac:dyDescent="0.25">
      <c r="AC1904" s="8"/>
    </row>
    <row r="1905" spans="29:29" x14ac:dyDescent="0.25">
      <c r="AC1905" s="8"/>
    </row>
    <row r="1906" spans="29:29" x14ac:dyDescent="0.25">
      <c r="AC1906" s="8"/>
    </row>
    <row r="1907" spans="29:29" x14ac:dyDescent="0.25">
      <c r="AC1907" s="8"/>
    </row>
    <row r="1908" spans="29:29" x14ac:dyDescent="0.25">
      <c r="AC1908" s="8"/>
    </row>
    <row r="1909" spans="29:29" x14ac:dyDescent="0.25">
      <c r="AC1909" s="8"/>
    </row>
    <row r="1910" spans="29:29" x14ac:dyDescent="0.25">
      <c r="AC1910" s="8"/>
    </row>
    <row r="1911" spans="29:29" x14ac:dyDescent="0.25">
      <c r="AC1911" s="8"/>
    </row>
    <row r="1912" spans="29:29" x14ac:dyDescent="0.25">
      <c r="AC1912" s="8"/>
    </row>
    <row r="1913" spans="29:29" x14ac:dyDescent="0.25">
      <c r="AC1913" s="8"/>
    </row>
    <row r="1914" spans="29:29" x14ac:dyDescent="0.25">
      <c r="AC1914" s="8"/>
    </row>
    <row r="1915" spans="29:29" x14ac:dyDescent="0.25">
      <c r="AC1915" s="8"/>
    </row>
    <row r="1916" spans="29:29" x14ac:dyDescent="0.25">
      <c r="AC1916" s="8"/>
    </row>
    <row r="1917" spans="29:29" x14ac:dyDescent="0.25">
      <c r="AC1917" s="8"/>
    </row>
    <row r="1918" spans="29:29" x14ac:dyDescent="0.25">
      <c r="AC1918" s="8"/>
    </row>
    <row r="1919" spans="29:29" x14ac:dyDescent="0.25">
      <c r="AC1919" s="8"/>
    </row>
    <row r="1920" spans="29:29" x14ac:dyDescent="0.25">
      <c r="AC1920" s="8"/>
    </row>
    <row r="1921" spans="29:29" x14ac:dyDescent="0.25">
      <c r="AC1921" s="8"/>
    </row>
    <row r="1922" spans="29:29" x14ac:dyDescent="0.25">
      <c r="AC1922" s="8"/>
    </row>
    <row r="1923" spans="29:29" x14ac:dyDescent="0.25">
      <c r="AC1923" s="8"/>
    </row>
    <row r="1924" spans="29:29" x14ac:dyDescent="0.25">
      <c r="AC1924" s="8"/>
    </row>
    <row r="1925" spans="29:29" x14ac:dyDescent="0.25">
      <c r="AC1925" s="8"/>
    </row>
    <row r="1926" spans="29:29" x14ac:dyDescent="0.25">
      <c r="AC1926" s="8"/>
    </row>
    <row r="1927" spans="29:29" x14ac:dyDescent="0.25">
      <c r="AC1927" s="8"/>
    </row>
    <row r="1928" spans="29:29" x14ac:dyDescent="0.25">
      <c r="AC1928" s="8"/>
    </row>
    <row r="1929" spans="29:29" x14ac:dyDescent="0.25">
      <c r="AC1929" s="8"/>
    </row>
    <row r="1930" spans="29:29" x14ac:dyDescent="0.25">
      <c r="AC1930" s="8"/>
    </row>
    <row r="1931" spans="29:29" x14ac:dyDescent="0.25">
      <c r="AC1931" s="8"/>
    </row>
    <row r="1932" spans="29:29" x14ac:dyDescent="0.25">
      <c r="AC1932" s="8"/>
    </row>
    <row r="1933" spans="29:29" x14ac:dyDescent="0.25">
      <c r="AC1933" s="8"/>
    </row>
    <row r="1934" spans="29:29" x14ac:dyDescent="0.25">
      <c r="AC1934" s="8"/>
    </row>
    <row r="1935" spans="29:29" x14ac:dyDescent="0.25">
      <c r="AC1935" s="8"/>
    </row>
    <row r="1936" spans="29:29" x14ac:dyDescent="0.25">
      <c r="AC1936" s="8"/>
    </row>
    <row r="1937" spans="29:29" x14ac:dyDescent="0.25">
      <c r="AC1937" s="8"/>
    </row>
    <row r="1938" spans="29:29" x14ac:dyDescent="0.25">
      <c r="AC1938" s="8"/>
    </row>
    <row r="1939" spans="29:29" x14ac:dyDescent="0.25">
      <c r="AC1939" s="8"/>
    </row>
    <row r="1940" spans="29:29" x14ac:dyDescent="0.25">
      <c r="AC1940" s="8"/>
    </row>
    <row r="1941" spans="29:29" x14ac:dyDescent="0.25">
      <c r="AC1941" s="8"/>
    </row>
    <row r="1942" spans="29:29" x14ac:dyDescent="0.25">
      <c r="AC1942" s="8"/>
    </row>
    <row r="1943" spans="29:29" x14ac:dyDescent="0.25">
      <c r="AC1943" s="8"/>
    </row>
    <row r="1944" spans="29:29" x14ac:dyDescent="0.25">
      <c r="AC1944" s="8"/>
    </row>
    <row r="1945" spans="29:29" x14ac:dyDescent="0.25">
      <c r="AC1945" s="8"/>
    </row>
    <row r="1946" spans="29:29" x14ac:dyDescent="0.25">
      <c r="AC1946" s="8"/>
    </row>
    <row r="1947" spans="29:29" x14ac:dyDescent="0.25">
      <c r="AC1947" s="8"/>
    </row>
    <row r="1948" spans="29:29" x14ac:dyDescent="0.25">
      <c r="AC1948" s="8"/>
    </row>
    <row r="1949" spans="29:29" x14ac:dyDescent="0.25">
      <c r="AC1949" s="8"/>
    </row>
    <row r="1950" spans="29:29" x14ac:dyDescent="0.25">
      <c r="AC1950" s="8"/>
    </row>
    <row r="1951" spans="29:29" x14ac:dyDescent="0.25">
      <c r="AC1951" s="8"/>
    </row>
    <row r="1952" spans="29:29" x14ac:dyDescent="0.25">
      <c r="AC1952" s="8"/>
    </row>
    <row r="1953" spans="29:29" x14ac:dyDescent="0.25">
      <c r="AC1953" s="8"/>
    </row>
    <row r="1954" spans="29:29" x14ac:dyDescent="0.25">
      <c r="AC1954" s="8"/>
    </row>
    <row r="1955" spans="29:29" x14ac:dyDescent="0.25">
      <c r="AC1955" s="8"/>
    </row>
    <row r="1956" spans="29:29" x14ac:dyDescent="0.25">
      <c r="AC1956" s="8"/>
    </row>
    <row r="1957" spans="29:29" x14ac:dyDescent="0.25">
      <c r="AC1957" s="8"/>
    </row>
    <row r="1958" spans="29:29" x14ac:dyDescent="0.25">
      <c r="AC1958" s="8"/>
    </row>
    <row r="1959" spans="29:29" x14ac:dyDescent="0.25">
      <c r="AC1959" s="8"/>
    </row>
    <row r="1960" spans="29:29" x14ac:dyDescent="0.25">
      <c r="AC1960" s="8"/>
    </row>
    <row r="1961" spans="29:29" x14ac:dyDescent="0.25">
      <c r="AC1961" s="8"/>
    </row>
    <row r="1962" spans="29:29" x14ac:dyDescent="0.25">
      <c r="AC1962" s="8"/>
    </row>
    <row r="1963" spans="29:29" x14ac:dyDescent="0.25">
      <c r="AC1963" s="8"/>
    </row>
    <row r="1964" spans="29:29" x14ac:dyDescent="0.25">
      <c r="AC1964" s="8"/>
    </row>
    <row r="1965" spans="29:29" x14ac:dyDescent="0.25">
      <c r="AC1965" s="8"/>
    </row>
    <row r="1966" spans="29:29" x14ac:dyDescent="0.25">
      <c r="AC1966" s="8"/>
    </row>
    <row r="1967" spans="29:29" x14ac:dyDescent="0.25">
      <c r="AC1967" s="8"/>
    </row>
    <row r="1968" spans="29:29" x14ac:dyDescent="0.25">
      <c r="AC1968" s="8"/>
    </row>
    <row r="1969" spans="29:29" x14ac:dyDescent="0.25">
      <c r="AC1969" s="8"/>
    </row>
    <row r="1970" spans="29:29" x14ac:dyDescent="0.25">
      <c r="AC1970" s="8"/>
    </row>
    <row r="1971" spans="29:29" x14ac:dyDescent="0.25">
      <c r="AC1971" s="8"/>
    </row>
    <row r="1972" spans="29:29" x14ac:dyDescent="0.25">
      <c r="AC1972" s="8"/>
    </row>
    <row r="1973" spans="29:29" x14ac:dyDescent="0.25">
      <c r="AC1973" s="8"/>
    </row>
    <row r="1974" spans="29:29" x14ac:dyDescent="0.25">
      <c r="AC1974" s="8"/>
    </row>
    <row r="1975" spans="29:29" x14ac:dyDescent="0.25">
      <c r="AC1975" s="8"/>
    </row>
    <row r="1976" spans="29:29" x14ac:dyDescent="0.25">
      <c r="AC1976" s="8"/>
    </row>
    <row r="1977" spans="29:29" x14ac:dyDescent="0.25">
      <c r="AC1977" s="8"/>
    </row>
    <row r="1978" spans="29:29" x14ac:dyDescent="0.25">
      <c r="AC1978" s="8"/>
    </row>
    <row r="1979" spans="29:29" x14ac:dyDescent="0.25">
      <c r="AC1979" s="8"/>
    </row>
    <row r="1980" spans="29:29" x14ac:dyDescent="0.25">
      <c r="AC1980" s="8"/>
    </row>
    <row r="1981" spans="29:29" x14ac:dyDescent="0.25">
      <c r="AC1981" s="8"/>
    </row>
    <row r="1982" spans="29:29" x14ac:dyDescent="0.25">
      <c r="AC1982" s="8"/>
    </row>
    <row r="1983" spans="29:29" x14ac:dyDescent="0.25">
      <c r="AC1983" s="8"/>
    </row>
    <row r="1984" spans="29:29" x14ac:dyDescent="0.25">
      <c r="AC1984" s="8"/>
    </row>
    <row r="1985" spans="29:29" x14ac:dyDescent="0.25">
      <c r="AC1985" s="8"/>
    </row>
    <row r="1986" spans="29:29" x14ac:dyDescent="0.25">
      <c r="AC1986" s="8"/>
    </row>
    <row r="1987" spans="29:29" x14ac:dyDescent="0.25">
      <c r="AC1987" s="8"/>
    </row>
    <row r="1988" spans="29:29" x14ac:dyDescent="0.25">
      <c r="AC1988" s="8"/>
    </row>
    <row r="1989" spans="29:29" x14ac:dyDescent="0.25">
      <c r="AC1989" s="8"/>
    </row>
    <row r="1990" spans="29:29" x14ac:dyDescent="0.25">
      <c r="AC1990" s="8"/>
    </row>
    <row r="1991" spans="29:29" x14ac:dyDescent="0.25">
      <c r="AC1991" s="8"/>
    </row>
    <row r="1992" spans="29:29" x14ac:dyDescent="0.25">
      <c r="AC1992" s="8"/>
    </row>
    <row r="1993" spans="29:29" x14ac:dyDescent="0.25">
      <c r="AC1993" s="8"/>
    </row>
    <row r="1994" spans="29:29" x14ac:dyDescent="0.25">
      <c r="AC1994" s="8"/>
    </row>
    <row r="1995" spans="29:29" x14ac:dyDescent="0.25">
      <c r="AC1995" s="8"/>
    </row>
    <row r="1996" spans="29:29" x14ac:dyDescent="0.25">
      <c r="AC1996" s="8"/>
    </row>
    <row r="1997" spans="29:29" x14ac:dyDescent="0.25">
      <c r="AC1997" s="8"/>
    </row>
    <row r="1998" spans="29:29" x14ac:dyDescent="0.25">
      <c r="AC1998" s="8"/>
    </row>
    <row r="1999" spans="29:29" x14ac:dyDescent="0.25">
      <c r="AC1999" s="8"/>
    </row>
    <row r="2000" spans="29:29" x14ac:dyDescent="0.25">
      <c r="AC2000" s="8"/>
    </row>
    <row r="2001" spans="29:29" x14ac:dyDescent="0.25">
      <c r="AC2001" s="8"/>
    </row>
    <row r="2002" spans="29:29" x14ac:dyDescent="0.25">
      <c r="AC2002" s="8"/>
    </row>
    <row r="2003" spans="29:29" x14ac:dyDescent="0.25">
      <c r="AC2003" s="8"/>
    </row>
    <row r="2004" spans="29:29" x14ac:dyDescent="0.25">
      <c r="AC2004" s="8"/>
    </row>
    <row r="2005" spans="29:29" x14ac:dyDescent="0.25">
      <c r="AC2005" s="8"/>
    </row>
    <row r="2006" spans="29:29" x14ac:dyDescent="0.25">
      <c r="AC2006" s="8"/>
    </row>
    <row r="2007" spans="29:29" x14ac:dyDescent="0.25">
      <c r="AC2007" s="8"/>
    </row>
    <row r="2008" spans="29:29" x14ac:dyDescent="0.25">
      <c r="AC2008" s="8"/>
    </row>
    <row r="2009" spans="29:29" x14ac:dyDescent="0.25">
      <c r="AC2009" s="8"/>
    </row>
    <row r="2010" spans="29:29" x14ac:dyDescent="0.25">
      <c r="AC2010" s="8"/>
    </row>
    <row r="2011" spans="29:29" x14ac:dyDescent="0.25">
      <c r="AC2011" s="8"/>
    </row>
    <row r="2012" spans="29:29" x14ac:dyDescent="0.25">
      <c r="AC2012" s="8"/>
    </row>
    <row r="2013" spans="29:29" x14ac:dyDescent="0.25">
      <c r="AC2013" s="8"/>
    </row>
    <row r="2014" spans="29:29" x14ac:dyDescent="0.25">
      <c r="AC2014" s="8"/>
    </row>
    <row r="2015" spans="29:29" x14ac:dyDescent="0.25">
      <c r="AC2015" s="8"/>
    </row>
    <row r="2016" spans="29:29" x14ac:dyDescent="0.25">
      <c r="AC2016" s="8"/>
    </row>
    <row r="2017" spans="29:29" x14ac:dyDescent="0.25">
      <c r="AC2017" s="8"/>
    </row>
    <row r="2018" spans="29:29" x14ac:dyDescent="0.25">
      <c r="AC2018" s="8"/>
    </row>
    <row r="2019" spans="29:29" x14ac:dyDescent="0.25">
      <c r="AC2019" s="8"/>
    </row>
    <row r="2020" spans="29:29" x14ac:dyDescent="0.25">
      <c r="AC2020" s="8"/>
    </row>
    <row r="2021" spans="29:29" x14ac:dyDescent="0.25">
      <c r="AC2021" s="8"/>
    </row>
    <row r="2022" spans="29:29" x14ac:dyDescent="0.25">
      <c r="AC2022" s="8"/>
    </row>
    <row r="2023" spans="29:29" x14ac:dyDescent="0.25">
      <c r="AC2023" s="8"/>
    </row>
    <row r="2024" spans="29:29" x14ac:dyDescent="0.25">
      <c r="AC2024" s="8"/>
    </row>
    <row r="2025" spans="29:29" x14ac:dyDescent="0.25">
      <c r="AC2025" s="8"/>
    </row>
    <row r="2026" spans="29:29" x14ac:dyDescent="0.25">
      <c r="AC2026" s="8"/>
    </row>
    <row r="2027" spans="29:29" x14ac:dyDescent="0.25">
      <c r="AC2027" s="8"/>
    </row>
    <row r="2028" spans="29:29" x14ac:dyDescent="0.25">
      <c r="AC2028" s="8"/>
    </row>
    <row r="2029" spans="29:29" x14ac:dyDescent="0.25">
      <c r="AC2029" s="8"/>
    </row>
    <row r="2030" spans="29:29" x14ac:dyDescent="0.25">
      <c r="AC2030" s="8"/>
    </row>
    <row r="2031" spans="29:29" x14ac:dyDescent="0.25">
      <c r="AC2031" s="8"/>
    </row>
    <row r="2032" spans="29:29" x14ac:dyDescent="0.25">
      <c r="AC2032" s="8"/>
    </row>
    <row r="2033" spans="29:29" x14ac:dyDescent="0.25">
      <c r="AC2033" s="8"/>
    </row>
    <row r="2034" spans="29:29" x14ac:dyDescent="0.25">
      <c r="AC2034" s="8"/>
    </row>
    <row r="2035" spans="29:29" x14ac:dyDescent="0.25">
      <c r="AC2035" s="8"/>
    </row>
    <row r="2036" spans="29:29" x14ac:dyDescent="0.25">
      <c r="AC2036" s="8"/>
    </row>
    <row r="2037" spans="29:29" x14ac:dyDescent="0.25">
      <c r="AC2037" s="8"/>
    </row>
    <row r="2038" spans="29:29" x14ac:dyDescent="0.25">
      <c r="AC2038" s="8"/>
    </row>
    <row r="2039" spans="29:29" x14ac:dyDescent="0.25">
      <c r="AC2039" s="8"/>
    </row>
    <row r="2040" spans="29:29" x14ac:dyDescent="0.25">
      <c r="AC2040" s="8"/>
    </row>
    <row r="2041" spans="29:29" x14ac:dyDescent="0.25">
      <c r="AC2041" s="8"/>
    </row>
    <row r="2042" spans="29:29" x14ac:dyDescent="0.25">
      <c r="AC2042" s="8"/>
    </row>
    <row r="2043" spans="29:29" x14ac:dyDescent="0.25">
      <c r="AC2043" s="8"/>
    </row>
    <row r="2044" spans="29:29" x14ac:dyDescent="0.25">
      <c r="AC2044" s="8"/>
    </row>
    <row r="2045" spans="29:29" x14ac:dyDescent="0.25">
      <c r="AC2045" s="8"/>
    </row>
    <row r="2046" spans="29:29" x14ac:dyDescent="0.25">
      <c r="AC2046" s="8"/>
    </row>
    <row r="2047" spans="29:29" x14ac:dyDescent="0.25">
      <c r="AC2047" s="8"/>
    </row>
    <row r="2048" spans="29:29" x14ac:dyDescent="0.25">
      <c r="AC2048" s="8"/>
    </row>
    <row r="2049" spans="29:29" x14ac:dyDescent="0.25">
      <c r="AC2049" s="8"/>
    </row>
    <row r="2050" spans="29:29" x14ac:dyDescent="0.25">
      <c r="AC2050" s="8"/>
    </row>
    <row r="2051" spans="29:29" x14ac:dyDescent="0.25">
      <c r="AC2051" s="8"/>
    </row>
    <row r="2052" spans="29:29" x14ac:dyDescent="0.25">
      <c r="AC2052" s="8"/>
    </row>
    <row r="2053" spans="29:29" x14ac:dyDescent="0.25">
      <c r="AC2053" s="8"/>
    </row>
    <row r="2054" spans="29:29" x14ac:dyDescent="0.25">
      <c r="AC2054" s="8"/>
    </row>
    <row r="2055" spans="29:29" x14ac:dyDescent="0.25">
      <c r="AC2055" s="8"/>
    </row>
    <row r="2056" spans="29:29" x14ac:dyDescent="0.25">
      <c r="AC2056" s="8"/>
    </row>
    <row r="2057" spans="29:29" x14ac:dyDescent="0.25">
      <c r="AC2057" s="8"/>
    </row>
    <row r="2058" spans="29:29" x14ac:dyDescent="0.25">
      <c r="AC2058" s="8"/>
    </row>
    <row r="2059" spans="29:29" x14ac:dyDescent="0.25">
      <c r="AC2059" s="8"/>
    </row>
    <row r="2060" spans="29:29" x14ac:dyDescent="0.25">
      <c r="AC2060" s="8"/>
    </row>
    <row r="2061" spans="29:29" x14ac:dyDescent="0.25">
      <c r="AC2061" s="8"/>
    </row>
    <row r="2062" spans="29:29" x14ac:dyDescent="0.25">
      <c r="AC2062" s="8"/>
    </row>
    <row r="2063" spans="29:29" x14ac:dyDescent="0.25">
      <c r="AC2063" s="8"/>
    </row>
    <row r="2064" spans="29:29" x14ac:dyDescent="0.25">
      <c r="AC2064" s="8"/>
    </row>
    <row r="2065" spans="29:29" x14ac:dyDescent="0.25">
      <c r="AC2065" s="8"/>
    </row>
    <row r="2066" spans="29:29" x14ac:dyDescent="0.25">
      <c r="AC2066" s="8"/>
    </row>
    <row r="2067" spans="29:29" x14ac:dyDescent="0.25">
      <c r="AC2067" s="8"/>
    </row>
    <row r="2068" spans="29:29" x14ac:dyDescent="0.25">
      <c r="AC2068" s="8"/>
    </row>
    <row r="2069" spans="29:29" x14ac:dyDescent="0.25">
      <c r="AC2069" s="8"/>
    </row>
    <row r="2070" spans="29:29" x14ac:dyDescent="0.25">
      <c r="AC2070" s="8"/>
    </row>
    <row r="2071" spans="29:29" x14ac:dyDescent="0.25">
      <c r="AC2071" s="8"/>
    </row>
    <row r="2072" spans="29:29" x14ac:dyDescent="0.25">
      <c r="AC2072" s="8"/>
    </row>
    <row r="2073" spans="29:29" x14ac:dyDescent="0.25">
      <c r="AC2073" s="8"/>
    </row>
    <row r="2074" spans="29:29" x14ac:dyDescent="0.25">
      <c r="AC2074" s="8"/>
    </row>
    <row r="2075" spans="29:29" x14ac:dyDescent="0.25">
      <c r="AC2075" s="8"/>
    </row>
    <row r="2076" spans="29:29" x14ac:dyDescent="0.25">
      <c r="AC2076" s="8"/>
    </row>
    <row r="2077" spans="29:29" x14ac:dyDescent="0.25">
      <c r="AC2077" s="8"/>
    </row>
    <row r="2078" spans="29:29" x14ac:dyDescent="0.25">
      <c r="AC2078" s="8"/>
    </row>
    <row r="2079" spans="29:29" x14ac:dyDescent="0.25">
      <c r="AC2079" s="8"/>
    </row>
    <row r="2080" spans="29:29" x14ac:dyDescent="0.25">
      <c r="AC2080" s="8"/>
    </row>
    <row r="2081" spans="29:29" x14ac:dyDescent="0.25">
      <c r="AC2081" s="8"/>
    </row>
    <row r="2082" spans="29:29" x14ac:dyDescent="0.25">
      <c r="AC2082" s="8"/>
    </row>
    <row r="2083" spans="29:29" x14ac:dyDescent="0.25">
      <c r="AC2083" s="8"/>
    </row>
    <row r="2084" spans="29:29" x14ac:dyDescent="0.25">
      <c r="AC2084" s="8"/>
    </row>
    <row r="2085" spans="29:29" x14ac:dyDescent="0.25">
      <c r="AC2085" s="8"/>
    </row>
    <row r="2086" spans="29:29" x14ac:dyDescent="0.25">
      <c r="AC2086" s="8"/>
    </row>
    <row r="2087" spans="29:29" x14ac:dyDescent="0.25">
      <c r="AC2087" s="8"/>
    </row>
    <row r="2088" spans="29:29" x14ac:dyDescent="0.25">
      <c r="AC2088" s="8"/>
    </row>
    <row r="2089" spans="29:29" x14ac:dyDescent="0.25">
      <c r="AC2089" s="8"/>
    </row>
    <row r="2090" spans="29:29" x14ac:dyDescent="0.25">
      <c r="AC2090" s="8"/>
    </row>
    <row r="2091" spans="29:29" x14ac:dyDescent="0.25">
      <c r="AC2091" s="8"/>
    </row>
    <row r="2092" spans="29:29" x14ac:dyDescent="0.25">
      <c r="AC2092" s="8"/>
    </row>
    <row r="2093" spans="29:29" x14ac:dyDescent="0.25">
      <c r="AC2093" s="8"/>
    </row>
    <row r="2094" spans="29:29" x14ac:dyDescent="0.25">
      <c r="AC2094" s="8"/>
    </row>
    <row r="2095" spans="29:29" x14ac:dyDescent="0.25">
      <c r="AC2095" s="8"/>
    </row>
    <row r="2096" spans="29:29" x14ac:dyDescent="0.25">
      <c r="AC2096" s="8"/>
    </row>
    <row r="2097" spans="29:29" x14ac:dyDescent="0.25">
      <c r="AC2097" s="8"/>
    </row>
    <row r="2098" spans="29:29" x14ac:dyDescent="0.25">
      <c r="AC2098" s="8"/>
    </row>
    <row r="2099" spans="29:29" x14ac:dyDescent="0.25">
      <c r="AC2099" s="8"/>
    </row>
    <row r="2100" spans="29:29" x14ac:dyDescent="0.25">
      <c r="AC2100" s="8"/>
    </row>
    <row r="2101" spans="29:29" x14ac:dyDescent="0.25">
      <c r="AC2101" s="8"/>
    </row>
    <row r="2102" spans="29:29" x14ac:dyDescent="0.25">
      <c r="AC2102" s="8"/>
    </row>
    <row r="2103" spans="29:29" x14ac:dyDescent="0.25">
      <c r="AC2103" s="8"/>
    </row>
    <row r="2104" spans="29:29" x14ac:dyDescent="0.25">
      <c r="AC2104" s="8"/>
    </row>
    <row r="2105" spans="29:29" x14ac:dyDescent="0.25">
      <c r="AC2105" s="8"/>
    </row>
    <row r="2106" spans="29:29" x14ac:dyDescent="0.25">
      <c r="AC2106" s="8"/>
    </row>
    <row r="2107" spans="29:29" x14ac:dyDescent="0.25">
      <c r="AC2107" s="8"/>
    </row>
    <row r="2108" spans="29:29" x14ac:dyDescent="0.25">
      <c r="AC2108" s="8"/>
    </row>
    <row r="2109" spans="29:29" x14ac:dyDescent="0.25">
      <c r="AC2109" s="8"/>
    </row>
    <row r="2110" spans="29:29" x14ac:dyDescent="0.25">
      <c r="AC2110" s="8"/>
    </row>
    <row r="2111" spans="29:29" x14ac:dyDescent="0.25">
      <c r="AC2111" s="8"/>
    </row>
    <row r="2112" spans="29:29" x14ac:dyDescent="0.25">
      <c r="AC2112" s="8"/>
    </row>
    <row r="2113" spans="29:29" x14ac:dyDescent="0.25">
      <c r="AC2113" s="8"/>
    </row>
    <row r="2114" spans="29:29" x14ac:dyDescent="0.25">
      <c r="AC2114" s="8"/>
    </row>
    <row r="2115" spans="29:29" x14ac:dyDescent="0.25">
      <c r="AC2115" s="8"/>
    </row>
    <row r="2116" spans="29:29" x14ac:dyDescent="0.25">
      <c r="AC2116" s="8"/>
    </row>
    <row r="2117" spans="29:29" x14ac:dyDescent="0.25">
      <c r="AC2117" s="8"/>
    </row>
    <row r="2118" spans="29:29" x14ac:dyDescent="0.25">
      <c r="AC2118" s="8"/>
    </row>
    <row r="2119" spans="29:29" x14ac:dyDescent="0.25">
      <c r="AC2119" s="8"/>
    </row>
    <row r="2120" spans="29:29" x14ac:dyDescent="0.25">
      <c r="AC2120" s="8"/>
    </row>
    <row r="2121" spans="29:29" x14ac:dyDescent="0.25">
      <c r="AC2121" s="8"/>
    </row>
    <row r="2122" spans="29:29" x14ac:dyDescent="0.25">
      <c r="AC2122" s="8"/>
    </row>
    <row r="2123" spans="29:29" x14ac:dyDescent="0.25">
      <c r="AC2123" s="8"/>
    </row>
    <row r="2124" spans="29:29" x14ac:dyDescent="0.25">
      <c r="AC2124" s="8"/>
    </row>
    <row r="2125" spans="29:29" x14ac:dyDescent="0.25">
      <c r="AC2125" s="8"/>
    </row>
    <row r="2126" spans="29:29" x14ac:dyDescent="0.25">
      <c r="AC2126" s="8"/>
    </row>
    <row r="2127" spans="29:29" x14ac:dyDescent="0.25">
      <c r="AC2127" s="8"/>
    </row>
    <row r="2128" spans="29:29" x14ac:dyDescent="0.25">
      <c r="AC2128" s="8"/>
    </row>
    <row r="2129" spans="29:29" x14ac:dyDescent="0.25">
      <c r="AC2129" s="8"/>
    </row>
    <row r="2130" spans="29:29" x14ac:dyDescent="0.25">
      <c r="AC2130" s="8"/>
    </row>
    <row r="2131" spans="29:29" x14ac:dyDescent="0.25">
      <c r="AC2131" s="8"/>
    </row>
    <row r="2132" spans="29:29" x14ac:dyDescent="0.25">
      <c r="AC2132" s="8"/>
    </row>
    <row r="2133" spans="29:29" x14ac:dyDescent="0.25">
      <c r="AC2133" s="8"/>
    </row>
    <row r="2134" spans="29:29" x14ac:dyDescent="0.25">
      <c r="AC2134" s="8"/>
    </row>
    <row r="2135" spans="29:29" x14ac:dyDescent="0.25">
      <c r="AC2135" s="8"/>
    </row>
    <row r="2136" spans="29:29" x14ac:dyDescent="0.25">
      <c r="AC2136" s="8"/>
    </row>
    <row r="2137" spans="29:29" x14ac:dyDescent="0.25">
      <c r="AC2137" s="8"/>
    </row>
    <row r="2138" spans="29:29" x14ac:dyDescent="0.25">
      <c r="AC2138" s="8"/>
    </row>
    <row r="2139" spans="29:29" x14ac:dyDescent="0.25">
      <c r="AC2139" s="8"/>
    </row>
    <row r="2140" spans="29:29" x14ac:dyDescent="0.25">
      <c r="AC2140" s="8"/>
    </row>
    <row r="2141" spans="29:29" x14ac:dyDescent="0.25">
      <c r="AC2141" s="8"/>
    </row>
    <row r="2142" spans="29:29" x14ac:dyDescent="0.25">
      <c r="AC2142" s="8"/>
    </row>
    <row r="2143" spans="29:29" x14ac:dyDescent="0.25">
      <c r="AC2143" s="8"/>
    </row>
    <row r="2144" spans="29:29" x14ac:dyDescent="0.25">
      <c r="AC2144" s="8"/>
    </row>
    <row r="2145" spans="29:29" x14ac:dyDescent="0.25">
      <c r="AC2145" s="8"/>
    </row>
    <row r="2146" spans="29:29" x14ac:dyDescent="0.25">
      <c r="AC2146" s="8"/>
    </row>
    <row r="2147" spans="29:29" x14ac:dyDescent="0.25">
      <c r="AC2147" s="8"/>
    </row>
    <row r="2148" spans="29:29" x14ac:dyDescent="0.25">
      <c r="AC2148" s="8"/>
    </row>
    <row r="2149" spans="29:29" x14ac:dyDescent="0.25">
      <c r="AC2149" s="8"/>
    </row>
    <row r="2150" spans="29:29" x14ac:dyDescent="0.25">
      <c r="AC2150" s="8"/>
    </row>
    <row r="2151" spans="29:29" x14ac:dyDescent="0.25">
      <c r="AC2151" s="8"/>
    </row>
    <row r="2152" spans="29:29" x14ac:dyDescent="0.25">
      <c r="AC2152" s="8"/>
    </row>
    <row r="2153" spans="29:29" x14ac:dyDescent="0.25">
      <c r="AC2153" s="8"/>
    </row>
    <row r="2154" spans="29:29" x14ac:dyDescent="0.25">
      <c r="AC2154" s="8"/>
    </row>
    <row r="2155" spans="29:29" x14ac:dyDescent="0.25">
      <c r="AC2155" s="8"/>
    </row>
    <row r="2156" spans="29:29" x14ac:dyDescent="0.25">
      <c r="AC2156" s="8"/>
    </row>
    <row r="2157" spans="29:29" x14ac:dyDescent="0.25">
      <c r="AC2157" s="8"/>
    </row>
    <row r="2158" spans="29:29" x14ac:dyDescent="0.25">
      <c r="AC2158" s="8"/>
    </row>
    <row r="2159" spans="29:29" x14ac:dyDescent="0.25">
      <c r="AC2159" s="8"/>
    </row>
    <row r="2160" spans="29:29" x14ac:dyDescent="0.25">
      <c r="AC2160" s="8"/>
    </row>
    <row r="2161" spans="29:29" x14ac:dyDescent="0.25">
      <c r="AC2161" s="8"/>
    </row>
    <row r="2162" spans="29:29" x14ac:dyDescent="0.25">
      <c r="AC2162" s="8"/>
    </row>
    <row r="2163" spans="29:29" x14ac:dyDescent="0.25">
      <c r="AC2163" s="8"/>
    </row>
    <row r="2164" spans="29:29" x14ac:dyDescent="0.25">
      <c r="AC2164" s="8"/>
    </row>
    <row r="2165" spans="29:29" x14ac:dyDescent="0.25">
      <c r="AC2165" s="8"/>
    </row>
    <row r="2166" spans="29:29" x14ac:dyDescent="0.25">
      <c r="AC2166" s="8"/>
    </row>
    <row r="2167" spans="29:29" x14ac:dyDescent="0.25">
      <c r="AC2167" s="8"/>
    </row>
    <row r="2168" spans="29:29" x14ac:dyDescent="0.25">
      <c r="AC2168" s="8"/>
    </row>
    <row r="2169" spans="29:29" x14ac:dyDescent="0.25">
      <c r="AC2169" s="8"/>
    </row>
    <row r="2170" spans="29:29" x14ac:dyDescent="0.25">
      <c r="AC2170" s="8"/>
    </row>
    <row r="2171" spans="29:29" x14ac:dyDescent="0.25">
      <c r="AC2171" s="8"/>
    </row>
    <row r="2172" spans="29:29" x14ac:dyDescent="0.25">
      <c r="AC2172" s="8"/>
    </row>
    <row r="2173" spans="29:29" x14ac:dyDescent="0.25">
      <c r="AC2173" s="8"/>
    </row>
    <row r="2174" spans="29:29" x14ac:dyDescent="0.25">
      <c r="AC2174" s="8"/>
    </row>
    <row r="2175" spans="29:29" x14ac:dyDescent="0.25">
      <c r="AC2175" s="8"/>
    </row>
    <row r="2176" spans="29:29" x14ac:dyDescent="0.25">
      <c r="AC2176" s="8"/>
    </row>
    <row r="2177" spans="29:29" x14ac:dyDescent="0.25">
      <c r="AC2177" s="8"/>
    </row>
    <row r="2178" spans="29:29" x14ac:dyDescent="0.25">
      <c r="AC2178" s="8"/>
    </row>
    <row r="2179" spans="29:29" x14ac:dyDescent="0.25">
      <c r="AC2179" s="8"/>
    </row>
    <row r="2180" spans="29:29" x14ac:dyDescent="0.25">
      <c r="AC2180" s="8"/>
    </row>
    <row r="2181" spans="29:29" x14ac:dyDescent="0.25">
      <c r="AC2181" s="8"/>
    </row>
    <row r="2182" spans="29:29" x14ac:dyDescent="0.25">
      <c r="AC2182" s="8"/>
    </row>
    <row r="2183" spans="29:29" x14ac:dyDescent="0.25">
      <c r="AC2183" s="8"/>
    </row>
    <row r="2184" spans="29:29" x14ac:dyDescent="0.25">
      <c r="AC2184" s="8"/>
    </row>
    <row r="2185" spans="29:29" x14ac:dyDescent="0.25">
      <c r="AC2185" s="8"/>
    </row>
    <row r="2186" spans="29:29" x14ac:dyDescent="0.25">
      <c r="AC2186" s="8"/>
    </row>
    <row r="2187" spans="29:29" x14ac:dyDescent="0.25">
      <c r="AC2187" s="8"/>
    </row>
    <row r="2188" spans="29:29" x14ac:dyDescent="0.25">
      <c r="AC2188" s="8"/>
    </row>
    <row r="2189" spans="29:29" x14ac:dyDescent="0.25">
      <c r="AC2189" s="8"/>
    </row>
    <row r="2190" spans="29:29" x14ac:dyDescent="0.25">
      <c r="AC2190" s="8"/>
    </row>
    <row r="2191" spans="29:29" x14ac:dyDescent="0.25">
      <c r="AC2191" s="8"/>
    </row>
    <row r="2192" spans="29:29" x14ac:dyDescent="0.25">
      <c r="AC2192" s="8"/>
    </row>
    <row r="2193" spans="29:29" x14ac:dyDescent="0.25">
      <c r="AC2193" s="8"/>
    </row>
    <row r="2194" spans="29:29" x14ac:dyDescent="0.25">
      <c r="AC2194" s="8"/>
    </row>
    <row r="2195" spans="29:29" x14ac:dyDescent="0.25">
      <c r="AC2195" s="8"/>
    </row>
    <row r="2196" spans="29:29" x14ac:dyDescent="0.25">
      <c r="AC2196" s="8"/>
    </row>
    <row r="2197" spans="29:29" x14ac:dyDescent="0.25">
      <c r="AC2197" s="8"/>
    </row>
    <row r="2198" spans="29:29" x14ac:dyDescent="0.25">
      <c r="AC2198" s="8"/>
    </row>
    <row r="2199" spans="29:29" x14ac:dyDescent="0.25">
      <c r="AC2199" s="8"/>
    </row>
    <row r="2200" spans="29:29" x14ac:dyDescent="0.25">
      <c r="AC2200" s="8"/>
    </row>
    <row r="2201" spans="29:29" x14ac:dyDescent="0.25">
      <c r="AC2201" s="8"/>
    </row>
    <row r="2202" spans="29:29" x14ac:dyDescent="0.25">
      <c r="AC2202" s="8"/>
    </row>
    <row r="2203" spans="29:29" x14ac:dyDescent="0.25">
      <c r="AC2203" s="8"/>
    </row>
    <row r="2204" spans="29:29" x14ac:dyDescent="0.25">
      <c r="AC2204" s="8"/>
    </row>
    <row r="2205" spans="29:29" x14ac:dyDescent="0.25">
      <c r="AC2205" s="8"/>
    </row>
    <row r="2206" spans="29:29" x14ac:dyDescent="0.25">
      <c r="AC2206" s="8"/>
    </row>
    <row r="2207" spans="29:29" x14ac:dyDescent="0.25">
      <c r="AC2207" s="8"/>
    </row>
    <row r="2208" spans="29:29" x14ac:dyDescent="0.25">
      <c r="AC2208" s="8"/>
    </row>
    <row r="2209" spans="29:29" x14ac:dyDescent="0.25">
      <c r="AC2209" s="8"/>
    </row>
    <row r="2210" spans="29:29" x14ac:dyDescent="0.25">
      <c r="AC2210" s="8"/>
    </row>
    <row r="2211" spans="29:29" x14ac:dyDescent="0.25">
      <c r="AC2211" s="8"/>
    </row>
    <row r="2212" spans="29:29" x14ac:dyDescent="0.25">
      <c r="AC2212" s="8"/>
    </row>
    <row r="2213" spans="29:29" x14ac:dyDescent="0.25">
      <c r="AC2213" s="8"/>
    </row>
    <row r="2214" spans="29:29" x14ac:dyDescent="0.25">
      <c r="AC2214" s="8"/>
    </row>
    <row r="2215" spans="29:29" x14ac:dyDescent="0.25">
      <c r="AC2215" s="8"/>
    </row>
    <row r="2216" spans="29:29" x14ac:dyDescent="0.25">
      <c r="AC2216" s="8"/>
    </row>
    <row r="2217" spans="29:29" x14ac:dyDescent="0.25">
      <c r="AC2217" s="8"/>
    </row>
    <row r="2218" spans="29:29" x14ac:dyDescent="0.25">
      <c r="AC2218" s="8"/>
    </row>
    <row r="2219" spans="29:29" x14ac:dyDescent="0.25">
      <c r="AC2219" s="8"/>
    </row>
    <row r="2220" spans="29:29" x14ac:dyDescent="0.25">
      <c r="AC2220" s="8"/>
    </row>
    <row r="2221" spans="29:29" x14ac:dyDescent="0.25">
      <c r="AC2221" s="8"/>
    </row>
    <row r="2222" spans="29:29" x14ac:dyDescent="0.25">
      <c r="AC2222" s="8"/>
    </row>
    <row r="2223" spans="29:29" x14ac:dyDescent="0.25">
      <c r="AC2223" s="8"/>
    </row>
    <row r="2224" spans="29:29" x14ac:dyDescent="0.25">
      <c r="AC2224" s="8"/>
    </row>
    <row r="2225" spans="29:29" x14ac:dyDescent="0.25">
      <c r="AC2225" s="8"/>
    </row>
    <row r="2226" spans="29:29" x14ac:dyDescent="0.25">
      <c r="AC2226" s="8"/>
    </row>
    <row r="2227" spans="29:29" x14ac:dyDescent="0.25">
      <c r="AC2227" s="8"/>
    </row>
    <row r="2228" spans="29:29" x14ac:dyDescent="0.25">
      <c r="AC2228" s="8"/>
    </row>
    <row r="2229" spans="29:29" x14ac:dyDescent="0.25">
      <c r="AC2229" s="8"/>
    </row>
    <row r="2230" spans="29:29" x14ac:dyDescent="0.25">
      <c r="AC2230" s="8"/>
    </row>
    <row r="2231" spans="29:29" x14ac:dyDescent="0.25">
      <c r="AC2231" s="8"/>
    </row>
    <row r="2232" spans="29:29" x14ac:dyDescent="0.25">
      <c r="AC2232" s="8"/>
    </row>
    <row r="2233" spans="29:29" x14ac:dyDescent="0.25">
      <c r="AC2233" s="8"/>
    </row>
    <row r="2234" spans="29:29" x14ac:dyDescent="0.25">
      <c r="AC2234" s="8"/>
    </row>
    <row r="2235" spans="29:29" x14ac:dyDescent="0.25">
      <c r="AC2235" s="8"/>
    </row>
    <row r="2236" spans="29:29" x14ac:dyDescent="0.25">
      <c r="AC2236" s="8"/>
    </row>
    <row r="2237" spans="29:29" x14ac:dyDescent="0.25">
      <c r="AC2237" s="8"/>
    </row>
    <row r="2238" spans="29:29" x14ac:dyDescent="0.25">
      <c r="AC2238" s="8"/>
    </row>
    <row r="2239" spans="29:29" x14ac:dyDescent="0.25">
      <c r="AC2239" s="8"/>
    </row>
    <row r="2240" spans="29:29" x14ac:dyDescent="0.25">
      <c r="AC2240" s="8"/>
    </row>
    <row r="2241" spans="29:29" x14ac:dyDescent="0.25">
      <c r="AC2241" s="8"/>
    </row>
    <row r="2242" spans="29:29" x14ac:dyDescent="0.25">
      <c r="AC2242" s="8"/>
    </row>
    <row r="2243" spans="29:29" x14ac:dyDescent="0.25">
      <c r="AC2243" s="8"/>
    </row>
    <row r="2244" spans="29:29" x14ac:dyDescent="0.25">
      <c r="AC2244" s="8"/>
    </row>
    <row r="2245" spans="29:29" x14ac:dyDescent="0.25">
      <c r="AC2245" s="8"/>
    </row>
    <row r="2246" spans="29:29" x14ac:dyDescent="0.25">
      <c r="AC2246" s="8"/>
    </row>
    <row r="2247" spans="29:29" x14ac:dyDescent="0.25">
      <c r="AC2247" s="8"/>
    </row>
    <row r="2248" spans="29:29" x14ac:dyDescent="0.25">
      <c r="AC2248" s="8"/>
    </row>
    <row r="2249" spans="29:29" x14ac:dyDescent="0.25">
      <c r="AC2249" s="8"/>
    </row>
    <row r="2250" spans="29:29" x14ac:dyDescent="0.25">
      <c r="AC2250" s="8"/>
    </row>
    <row r="2251" spans="29:29" x14ac:dyDescent="0.25">
      <c r="AC2251" s="8"/>
    </row>
    <row r="2252" spans="29:29" x14ac:dyDescent="0.25">
      <c r="AC2252" s="8"/>
    </row>
    <row r="2253" spans="29:29" x14ac:dyDescent="0.25">
      <c r="AC2253" s="8"/>
    </row>
    <row r="2254" spans="29:29" x14ac:dyDescent="0.25">
      <c r="AC2254" s="8"/>
    </row>
    <row r="2255" spans="29:29" x14ac:dyDescent="0.25">
      <c r="AC2255" s="8"/>
    </row>
    <row r="2256" spans="29:29" x14ac:dyDescent="0.25">
      <c r="AC2256" s="8"/>
    </row>
    <row r="2257" spans="29:29" x14ac:dyDescent="0.25">
      <c r="AC2257" s="8"/>
    </row>
    <row r="2258" spans="29:29" x14ac:dyDescent="0.25">
      <c r="AC2258" s="8"/>
    </row>
    <row r="2259" spans="29:29" x14ac:dyDescent="0.25">
      <c r="AC2259" s="8"/>
    </row>
    <row r="2260" spans="29:29" x14ac:dyDescent="0.25">
      <c r="AC2260" s="8"/>
    </row>
    <row r="2261" spans="29:29" x14ac:dyDescent="0.25">
      <c r="AC2261" s="8"/>
    </row>
    <row r="2262" spans="29:29" x14ac:dyDescent="0.25">
      <c r="AC2262" s="8"/>
    </row>
    <row r="2263" spans="29:29" x14ac:dyDescent="0.25">
      <c r="AC2263" s="8"/>
    </row>
    <row r="2264" spans="29:29" x14ac:dyDescent="0.25">
      <c r="AC2264" s="8"/>
    </row>
    <row r="2265" spans="29:29" x14ac:dyDescent="0.25">
      <c r="AC2265" s="8"/>
    </row>
    <row r="2266" spans="29:29" x14ac:dyDescent="0.25">
      <c r="AC2266" s="8"/>
    </row>
    <row r="2267" spans="29:29" x14ac:dyDescent="0.25">
      <c r="AC2267" s="8"/>
    </row>
    <row r="2268" spans="29:29" x14ac:dyDescent="0.25">
      <c r="AC2268" s="8"/>
    </row>
    <row r="2269" spans="29:29" x14ac:dyDescent="0.25">
      <c r="AC2269" s="8"/>
    </row>
    <row r="2270" spans="29:29" x14ac:dyDescent="0.25">
      <c r="AC2270" s="8"/>
    </row>
    <row r="2271" spans="29:29" x14ac:dyDescent="0.25">
      <c r="AC2271" s="8"/>
    </row>
    <row r="2272" spans="29:29" x14ac:dyDescent="0.25">
      <c r="AC2272" s="8"/>
    </row>
    <row r="2273" spans="29:29" x14ac:dyDescent="0.25">
      <c r="AC2273" s="8"/>
    </row>
    <row r="2274" spans="29:29" x14ac:dyDescent="0.25">
      <c r="AC2274" s="8"/>
    </row>
    <row r="2275" spans="29:29" x14ac:dyDescent="0.25">
      <c r="AC2275" s="8"/>
    </row>
    <row r="2276" spans="29:29" x14ac:dyDescent="0.25">
      <c r="AC2276" s="8"/>
    </row>
    <row r="2277" spans="29:29" x14ac:dyDescent="0.25">
      <c r="AC2277" s="8"/>
    </row>
    <row r="2278" spans="29:29" x14ac:dyDescent="0.25">
      <c r="AC2278" s="8"/>
    </row>
    <row r="2279" spans="29:29" x14ac:dyDescent="0.25">
      <c r="AC2279" s="8"/>
    </row>
    <row r="2280" spans="29:29" x14ac:dyDescent="0.25">
      <c r="AC2280" s="8"/>
    </row>
    <row r="2281" spans="29:29" x14ac:dyDescent="0.25">
      <c r="AC2281" s="8"/>
    </row>
    <row r="2282" spans="29:29" x14ac:dyDescent="0.25">
      <c r="AC2282" s="8"/>
    </row>
    <row r="2283" spans="29:29" x14ac:dyDescent="0.25">
      <c r="AC2283" s="8"/>
    </row>
    <row r="2284" spans="29:29" x14ac:dyDescent="0.25">
      <c r="AC2284" s="8"/>
    </row>
    <row r="2285" spans="29:29" x14ac:dyDescent="0.25">
      <c r="AC2285" s="8"/>
    </row>
    <row r="2286" spans="29:29" x14ac:dyDescent="0.25">
      <c r="AC2286" s="8"/>
    </row>
    <row r="2287" spans="29:29" x14ac:dyDescent="0.25">
      <c r="AC2287" s="8"/>
    </row>
    <row r="2288" spans="29:29" x14ac:dyDescent="0.25">
      <c r="AC2288" s="8"/>
    </row>
    <row r="2289" spans="29:29" x14ac:dyDescent="0.25">
      <c r="AC2289" s="8"/>
    </row>
    <row r="2290" spans="29:29" x14ac:dyDescent="0.25">
      <c r="AC2290" s="8"/>
    </row>
    <row r="2291" spans="29:29" x14ac:dyDescent="0.25">
      <c r="AC2291" s="8"/>
    </row>
    <row r="2292" spans="29:29" x14ac:dyDescent="0.25">
      <c r="AC2292" s="8"/>
    </row>
    <row r="2293" spans="29:29" x14ac:dyDescent="0.25">
      <c r="AC2293" s="8"/>
    </row>
    <row r="2294" spans="29:29" x14ac:dyDescent="0.25">
      <c r="AC2294" s="8"/>
    </row>
    <row r="2295" spans="29:29" x14ac:dyDescent="0.25">
      <c r="AC2295" s="8"/>
    </row>
    <row r="2296" spans="29:29" x14ac:dyDescent="0.25">
      <c r="AC2296" s="8"/>
    </row>
    <row r="2297" spans="29:29" x14ac:dyDescent="0.25">
      <c r="AC2297" s="8"/>
    </row>
    <row r="2298" spans="29:29" x14ac:dyDescent="0.25">
      <c r="AC2298" s="8"/>
    </row>
    <row r="2299" spans="29:29" x14ac:dyDescent="0.25">
      <c r="AC2299" s="8"/>
    </row>
    <row r="2300" spans="29:29" x14ac:dyDescent="0.25">
      <c r="AC2300" s="8"/>
    </row>
    <row r="2301" spans="29:29" x14ac:dyDescent="0.25">
      <c r="AC2301" s="8"/>
    </row>
    <row r="2302" spans="29:29" x14ac:dyDescent="0.25">
      <c r="AC2302" s="8"/>
    </row>
    <row r="2303" spans="29:29" x14ac:dyDescent="0.25">
      <c r="AC2303" s="8"/>
    </row>
    <row r="2304" spans="29:29" x14ac:dyDescent="0.25">
      <c r="AC2304" s="8"/>
    </row>
    <row r="2305" spans="29:29" x14ac:dyDescent="0.25">
      <c r="AC2305" s="8"/>
    </row>
    <row r="2306" spans="29:29" x14ac:dyDescent="0.25">
      <c r="AC2306" s="8"/>
    </row>
    <row r="2307" spans="29:29" x14ac:dyDescent="0.25">
      <c r="AC2307" s="8"/>
    </row>
    <row r="2308" spans="29:29" x14ac:dyDescent="0.25">
      <c r="AC2308" s="8"/>
    </row>
    <row r="2309" spans="29:29" x14ac:dyDescent="0.25">
      <c r="AC2309" s="8"/>
    </row>
    <row r="2310" spans="29:29" x14ac:dyDescent="0.25">
      <c r="AC2310" s="8"/>
    </row>
    <row r="2311" spans="29:29" x14ac:dyDescent="0.25">
      <c r="AC2311" s="8"/>
    </row>
    <row r="2312" spans="29:29" x14ac:dyDescent="0.25">
      <c r="AC2312" s="8"/>
    </row>
    <row r="2313" spans="29:29" x14ac:dyDescent="0.25">
      <c r="AC2313" s="8"/>
    </row>
    <row r="2314" spans="29:29" x14ac:dyDescent="0.25">
      <c r="AC2314" s="8"/>
    </row>
    <row r="2315" spans="29:29" x14ac:dyDescent="0.25">
      <c r="AC2315" s="8"/>
    </row>
    <row r="2316" spans="29:29" x14ac:dyDescent="0.25">
      <c r="AC2316" s="8"/>
    </row>
    <row r="2317" spans="29:29" x14ac:dyDescent="0.25">
      <c r="AC2317" s="8"/>
    </row>
    <row r="2318" spans="29:29" x14ac:dyDescent="0.25">
      <c r="AC2318" s="8"/>
    </row>
    <row r="2319" spans="29:29" x14ac:dyDescent="0.25">
      <c r="AC2319" s="8"/>
    </row>
    <row r="2320" spans="29:29" x14ac:dyDescent="0.25">
      <c r="AC2320" s="8"/>
    </row>
    <row r="2321" spans="29:29" x14ac:dyDescent="0.25">
      <c r="AC2321" s="8"/>
    </row>
    <row r="2322" spans="29:29" x14ac:dyDescent="0.25">
      <c r="AC2322" s="8"/>
    </row>
    <row r="2323" spans="29:29" x14ac:dyDescent="0.25">
      <c r="AC2323" s="8"/>
    </row>
    <row r="2324" spans="29:29" x14ac:dyDescent="0.25">
      <c r="AC2324" s="8"/>
    </row>
    <row r="2325" spans="29:29" x14ac:dyDescent="0.25">
      <c r="AC2325" s="8"/>
    </row>
    <row r="2326" spans="29:29" x14ac:dyDescent="0.25">
      <c r="AC2326" s="8"/>
    </row>
    <row r="2327" spans="29:29" x14ac:dyDescent="0.25">
      <c r="AC2327" s="8"/>
    </row>
    <row r="2328" spans="29:29" x14ac:dyDescent="0.25">
      <c r="AC2328" s="8"/>
    </row>
    <row r="2329" spans="29:29" x14ac:dyDescent="0.25">
      <c r="AC2329" s="8"/>
    </row>
    <row r="2330" spans="29:29" x14ac:dyDescent="0.25">
      <c r="AC2330" s="8"/>
    </row>
    <row r="2331" spans="29:29" x14ac:dyDescent="0.25">
      <c r="AC2331" s="8"/>
    </row>
    <row r="2332" spans="29:29" x14ac:dyDescent="0.25">
      <c r="AC2332" s="8"/>
    </row>
    <row r="2333" spans="29:29" x14ac:dyDescent="0.25">
      <c r="AC2333" s="8"/>
    </row>
    <row r="2334" spans="29:29" x14ac:dyDescent="0.25">
      <c r="AC2334" s="8"/>
    </row>
    <row r="2335" spans="29:29" x14ac:dyDescent="0.25">
      <c r="AC2335" s="8"/>
    </row>
    <row r="2336" spans="29:29" x14ac:dyDescent="0.25">
      <c r="AC2336" s="8"/>
    </row>
    <row r="2337" spans="29:29" x14ac:dyDescent="0.25">
      <c r="AC2337" s="8"/>
    </row>
    <row r="2338" spans="29:29" x14ac:dyDescent="0.25">
      <c r="AC2338" s="8"/>
    </row>
    <row r="2339" spans="29:29" x14ac:dyDescent="0.25">
      <c r="AC2339" s="8"/>
    </row>
    <row r="2340" spans="29:29" x14ac:dyDescent="0.25">
      <c r="AC2340" s="8"/>
    </row>
    <row r="2341" spans="29:29" x14ac:dyDescent="0.25">
      <c r="AC2341" s="8"/>
    </row>
    <row r="2342" spans="29:29" x14ac:dyDescent="0.25">
      <c r="AC2342" s="8"/>
    </row>
    <row r="2343" spans="29:29" x14ac:dyDescent="0.25">
      <c r="AC2343" s="8"/>
    </row>
    <row r="2344" spans="29:29" x14ac:dyDescent="0.25">
      <c r="AC2344" s="8"/>
    </row>
    <row r="2345" spans="29:29" x14ac:dyDescent="0.25">
      <c r="AC2345" s="8"/>
    </row>
    <row r="2346" spans="29:29" x14ac:dyDescent="0.25">
      <c r="AC2346" s="8"/>
    </row>
    <row r="2347" spans="29:29" x14ac:dyDescent="0.25">
      <c r="AC2347" s="8"/>
    </row>
    <row r="2348" spans="29:29" x14ac:dyDescent="0.25">
      <c r="AC2348" s="8"/>
    </row>
    <row r="2349" spans="29:29" x14ac:dyDescent="0.25">
      <c r="AC2349" s="8"/>
    </row>
    <row r="2350" spans="29:29" x14ac:dyDescent="0.25">
      <c r="AC2350" s="8"/>
    </row>
    <row r="2351" spans="29:29" x14ac:dyDescent="0.25">
      <c r="AC2351" s="8"/>
    </row>
    <row r="2352" spans="29:29" x14ac:dyDescent="0.25">
      <c r="AC2352" s="8"/>
    </row>
    <row r="2353" spans="29:29" x14ac:dyDescent="0.25">
      <c r="AC2353" s="8"/>
    </row>
    <row r="2354" spans="29:29" x14ac:dyDescent="0.25">
      <c r="AC2354" s="8"/>
    </row>
    <row r="2355" spans="29:29" x14ac:dyDescent="0.25">
      <c r="AC2355" s="8"/>
    </row>
    <row r="2356" spans="29:29" x14ac:dyDescent="0.25">
      <c r="AC2356" s="8"/>
    </row>
    <row r="2357" spans="29:29" x14ac:dyDescent="0.25">
      <c r="AC2357" s="8"/>
    </row>
    <row r="2358" spans="29:29" x14ac:dyDescent="0.25">
      <c r="AC2358" s="8"/>
    </row>
    <row r="2359" spans="29:29" x14ac:dyDescent="0.25">
      <c r="AC2359" s="8"/>
    </row>
    <row r="2360" spans="29:29" x14ac:dyDescent="0.25">
      <c r="AC2360" s="8"/>
    </row>
    <row r="2361" spans="29:29" x14ac:dyDescent="0.25">
      <c r="AC2361" s="8"/>
    </row>
    <row r="2362" spans="29:29" x14ac:dyDescent="0.25">
      <c r="AC2362" s="8"/>
    </row>
    <row r="2363" spans="29:29" x14ac:dyDescent="0.25">
      <c r="AC2363" s="8"/>
    </row>
    <row r="2364" spans="29:29" x14ac:dyDescent="0.25">
      <c r="AC2364" s="8"/>
    </row>
    <row r="2365" spans="29:29" x14ac:dyDescent="0.25">
      <c r="AC2365" s="8"/>
    </row>
    <row r="2366" spans="29:29" x14ac:dyDescent="0.25">
      <c r="AC2366" s="8"/>
    </row>
    <row r="2367" spans="29:29" x14ac:dyDescent="0.25">
      <c r="AC2367" s="8"/>
    </row>
    <row r="2368" spans="29:29" x14ac:dyDescent="0.25">
      <c r="AC2368" s="8"/>
    </row>
    <row r="2369" spans="29:29" x14ac:dyDescent="0.25">
      <c r="AC2369" s="8"/>
    </row>
    <row r="2370" spans="29:29" x14ac:dyDescent="0.25">
      <c r="AC2370" s="8"/>
    </row>
    <row r="2371" spans="29:29" x14ac:dyDescent="0.25">
      <c r="AC2371" s="8"/>
    </row>
    <row r="2372" spans="29:29" x14ac:dyDescent="0.25">
      <c r="AC2372" s="8"/>
    </row>
    <row r="2373" spans="29:29" x14ac:dyDescent="0.25">
      <c r="AC2373" s="8"/>
    </row>
    <row r="2374" spans="29:29" x14ac:dyDescent="0.25">
      <c r="AC2374" s="8"/>
    </row>
    <row r="2375" spans="29:29" x14ac:dyDescent="0.25">
      <c r="AC2375" s="8"/>
    </row>
    <row r="2376" spans="29:29" x14ac:dyDescent="0.25">
      <c r="AC2376" s="8"/>
    </row>
    <row r="2377" spans="29:29" x14ac:dyDescent="0.25">
      <c r="AC2377" s="8"/>
    </row>
    <row r="2378" spans="29:29" x14ac:dyDescent="0.25">
      <c r="AC2378" s="8"/>
    </row>
    <row r="2379" spans="29:29" x14ac:dyDescent="0.25">
      <c r="AC2379" s="8"/>
    </row>
    <row r="2380" spans="29:29" x14ac:dyDescent="0.25">
      <c r="AC2380" s="8"/>
    </row>
    <row r="2381" spans="29:29" x14ac:dyDescent="0.25">
      <c r="AC2381" s="8"/>
    </row>
    <row r="2382" spans="29:29" x14ac:dyDescent="0.25">
      <c r="AC2382" s="8"/>
    </row>
    <row r="2383" spans="29:29" x14ac:dyDescent="0.25">
      <c r="AC2383" s="8"/>
    </row>
    <row r="2384" spans="29:29" x14ac:dyDescent="0.25">
      <c r="AC2384" s="8"/>
    </row>
    <row r="2385" spans="29:29" x14ac:dyDescent="0.25">
      <c r="AC2385" s="8"/>
    </row>
    <row r="2386" spans="29:29" x14ac:dyDescent="0.25">
      <c r="AC2386" s="8"/>
    </row>
    <row r="2387" spans="29:29" x14ac:dyDescent="0.25">
      <c r="AC2387" s="8"/>
    </row>
    <row r="2388" spans="29:29" x14ac:dyDescent="0.25">
      <c r="AC2388" s="8"/>
    </row>
    <row r="2389" spans="29:29" x14ac:dyDescent="0.25">
      <c r="AC2389" s="8"/>
    </row>
    <row r="2390" spans="29:29" x14ac:dyDescent="0.25">
      <c r="AC2390" s="8"/>
    </row>
    <row r="2391" spans="29:29" x14ac:dyDescent="0.25">
      <c r="AC2391" s="8"/>
    </row>
    <row r="2392" spans="29:29" x14ac:dyDescent="0.25">
      <c r="AC2392" s="8"/>
    </row>
    <row r="2393" spans="29:29" x14ac:dyDescent="0.25">
      <c r="AC2393" s="8"/>
    </row>
    <row r="2394" spans="29:29" x14ac:dyDescent="0.25">
      <c r="AC2394" s="8"/>
    </row>
    <row r="2395" spans="29:29" x14ac:dyDescent="0.25">
      <c r="AC2395" s="8"/>
    </row>
    <row r="2396" spans="29:29" x14ac:dyDescent="0.25">
      <c r="AC2396" s="8"/>
    </row>
    <row r="2397" spans="29:29" x14ac:dyDescent="0.25">
      <c r="AC2397" s="8"/>
    </row>
    <row r="2398" spans="29:29" x14ac:dyDescent="0.25">
      <c r="AC2398" s="8"/>
    </row>
    <row r="2399" spans="29:29" x14ac:dyDescent="0.25">
      <c r="AC2399" s="8"/>
    </row>
    <row r="2400" spans="29:29" x14ac:dyDescent="0.25">
      <c r="AC2400" s="8"/>
    </row>
    <row r="2401" spans="29:29" x14ac:dyDescent="0.25">
      <c r="AC2401" s="8"/>
    </row>
    <row r="2402" spans="29:29" x14ac:dyDescent="0.25">
      <c r="AC2402" s="8"/>
    </row>
    <row r="2403" spans="29:29" x14ac:dyDescent="0.25">
      <c r="AC2403" s="8"/>
    </row>
    <row r="2404" spans="29:29" x14ac:dyDescent="0.25">
      <c r="AC2404" s="8"/>
    </row>
    <row r="2405" spans="29:29" x14ac:dyDescent="0.25">
      <c r="AC2405" s="8"/>
    </row>
    <row r="2406" spans="29:29" x14ac:dyDescent="0.25">
      <c r="AC2406" s="8"/>
    </row>
    <row r="2407" spans="29:29" x14ac:dyDescent="0.25">
      <c r="AC2407" s="8"/>
    </row>
    <row r="2408" spans="29:29" x14ac:dyDescent="0.25">
      <c r="AC2408" s="8"/>
    </row>
    <row r="2409" spans="29:29" x14ac:dyDescent="0.25">
      <c r="AC2409" s="8"/>
    </row>
    <row r="2410" spans="29:29" x14ac:dyDescent="0.25">
      <c r="AC2410" s="8"/>
    </row>
    <row r="2411" spans="29:29" x14ac:dyDescent="0.25">
      <c r="AC2411" s="8"/>
    </row>
    <row r="2412" spans="29:29" x14ac:dyDescent="0.25">
      <c r="AC2412" s="8"/>
    </row>
    <row r="2413" spans="29:29" x14ac:dyDescent="0.25">
      <c r="AC2413" s="8"/>
    </row>
    <row r="2414" spans="29:29" x14ac:dyDescent="0.25">
      <c r="AC2414" s="8"/>
    </row>
    <row r="2415" spans="29:29" x14ac:dyDescent="0.25">
      <c r="AC2415" s="8"/>
    </row>
    <row r="2416" spans="29:29" x14ac:dyDescent="0.25">
      <c r="AC2416" s="8"/>
    </row>
    <row r="2417" spans="29:29" x14ac:dyDescent="0.25">
      <c r="AC2417" s="8"/>
    </row>
    <row r="2418" spans="29:29" x14ac:dyDescent="0.25">
      <c r="AC2418" s="8"/>
    </row>
    <row r="2419" spans="29:29" x14ac:dyDescent="0.25">
      <c r="AC2419" s="8"/>
    </row>
    <row r="2420" spans="29:29" x14ac:dyDescent="0.25">
      <c r="AC2420" s="8"/>
    </row>
    <row r="2421" spans="29:29" x14ac:dyDescent="0.25">
      <c r="AC2421" s="8"/>
    </row>
    <row r="2422" spans="29:29" x14ac:dyDescent="0.25">
      <c r="AC2422" s="8"/>
    </row>
    <row r="2423" spans="29:29" x14ac:dyDescent="0.25">
      <c r="AC2423" s="8"/>
    </row>
    <row r="2424" spans="29:29" x14ac:dyDescent="0.25">
      <c r="AC2424" s="8"/>
    </row>
    <row r="2425" spans="29:29" x14ac:dyDescent="0.25">
      <c r="AC2425" s="8"/>
    </row>
    <row r="2426" spans="29:29" x14ac:dyDescent="0.25">
      <c r="AC2426" s="8"/>
    </row>
    <row r="2427" spans="29:29" x14ac:dyDescent="0.25">
      <c r="AC2427" s="8"/>
    </row>
    <row r="2428" spans="29:29" x14ac:dyDescent="0.25">
      <c r="AC2428" s="8"/>
    </row>
    <row r="2429" spans="29:29" x14ac:dyDescent="0.25">
      <c r="AC2429" s="8"/>
    </row>
    <row r="2430" spans="29:29" x14ac:dyDescent="0.25">
      <c r="AC2430" s="8"/>
    </row>
    <row r="2431" spans="29:29" x14ac:dyDescent="0.25">
      <c r="AC2431" s="8"/>
    </row>
    <row r="2432" spans="29:29" x14ac:dyDescent="0.25">
      <c r="AC2432" s="8"/>
    </row>
    <row r="2433" spans="29:29" x14ac:dyDescent="0.25">
      <c r="AC2433" s="8"/>
    </row>
    <row r="2434" spans="29:29" x14ac:dyDescent="0.25">
      <c r="AC2434" s="8"/>
    </row>
    <row r="2435" spans="29:29" x14ac:dyDescent="0.25">
      <c r="AC2435" s="8"/>
    </row>
    <row r="2436" spans="29:29" x14ac:dyDescent="0.25">
      <c r="AC2436" s="8"/>
    </row>
    <row r="2437" spans="29:29" x14ac:dyDescent="0.25">
      <c r="AC2437" s="8"/>
    </row>
    <row r="2438" spans="29:29" x14ac:dyDescent="0.25">
      <c r="AC2438" s="8"/>
    </row>
    <row r="2439" spans="29:29" x14ac:dyDescent="0.25">
      <c r="AC2439" s="8"/>
    </row>
    <row r="2440" spans="29:29" x14ac:dyDescent="0.25">
      <c r="AC2440" s="8"/>
    </row>
    <row r="2441" spans="29:29" x14ac:dyDescent="0.25">
      <c r="AC2441" s="8"/>
    </row>
    <row r="2442" spans="29:29" x14ac:dyDescent="0.25">
      <c r="AC2442" s="8"/>
    </row>
    <row r="2443" spans="29:29" x14ac:dyDescent="0.25">
      <c r="AC2443" s="8"/>
    </row>
    <row r="2444" spans="29:29" x14ac:dyDescent="0.25">
      <c r="AC2444" s="8"/>
    </row>
    <row r="2445" spans="29:29" x14ac:dyDescent="0.25">
      <c r="AC2445" s="8"/>
    </row>
    <row r="2446" spans="29:29" x14ac:dyDescent="0.25">
      <c r="AC2446" s="8"/>
    </row>
    <row r="2447" spans="29:29" x14ac:dyDescent="0.25">
      <c r="AC2447" s="8"/>
    </row>
    <row r="2448" spans="29:29" x14ac:dyDescent="0.25">
      <c r="AC2448" s="8"/>
    </row>
    <row r="2449" spans="29:29" x14ac:dyDescent="0.25">
      <c r="AC2449" s="8"/>
    </row>
    <row r="2450" spans="29:29" x14ac:dyDescent="0.25">
      <c r="AC2450" s="8"/>
    </row>
    <row r="2451" spans="29:29" x14ac:dyDescent="0.25">
      <c r="AC2451" s="8"/>
    </row>
    <row r="2452" spans="29:29" x14ac:dyDescent="0.25">
      <c r="AC2452" s="8"/>
    </row>
    <row r="2453" spans="29:29" x14ac:dyDescent="0.25">
      <c r="AC2453" s="8"/>
    </row>
    <row r="2454" spans="29:29" x14ac:dyDescent="0.25">
      <c r="AC2454" s="8"/>
    </row>
    <row r="2455" spans="29:29" x14ac:dyDescent="0.25">
      <c r="AC2455" s="8"/>
    </row>
    <row r="2456" spans="29:29" x14ac:dyDescent="0.25">
      <c r="AC2456" s="8"/>
    </row>
    <row r="2457" spans="29:29" x14ac:dyDescent="0.25">
      <c r="AC2457" s="8"/>
    </row>
    <row r="2458" spans="29:29" x14ac:dyDescent="0.25">
      <c r="AC2458" s="8"/>
    </row>
    <row r="2459" spans="29:29" x14ac:dyDescent="0.25">
      <c r="AC2459" s="8"/>
    </row>
    <row r="2460" spans="29:29" x14ac:dyDescent="0.25">
      <c r="AC2460" s="8"/>
    </row>
    <row r="2461" spans="29:29" x14ac:dyDescent="0.25">
      <c r="AC2461" s="8"/>
    </row>
    <row r="2462" spans="29:29" x14ac:dyDescent="0.25">
      <c r="AC2462" s="8"/>
    </row>
    <row r="2463" spans="29:29" x14ac:dyDescent="0.25">
      <c r="AC2463" s="8"/>
    </row>
    <row r="2464" spans="29:29" x14ac:dyDescent="0.25">
      <c r="AC2464" s="8"/>
    </row>
    <row r="2465" spans="29:29" x14ac:dyDescent="0.25">
      <c r="AC2465" s="8"/>
    </row>
    <row r="2466" spans="29:29" x14ac:dyDescent="0.25">
      <c r="AC2466" s="8"/>
    </row>
    <row r="2467" spans="29:29" x14ac:dyDescent="0.25">
      <c r="AC2467" s="8"/>
    </row>
    <row r="2468" spans="29:29" x14ac:dyDescent="0.25">
      <c r="AC2468" s="8"/>
    </row>
    <row r="2469" spans="29:29" x14ac:dyDescent="0.25">
      <c r="AC2469" s="8"/>
    </row>
    <row r="2470" spans="29:29" x14ac:dyDescent="0.25">
      <c r="AC2470" s="8"/>
    </row>
    <row r="2471" spans="29:29" x14ac:dyDescent="0.25">
      <c r="AC2471" s="8"/>
    </row>
    <row r="2472" spans="29:29" x14ac:dyDescent="0.25">
      <c r="AC2472" s="8"/>
    </row>
    <row r="2473" spans="29:29" x14ac:dyDescent="0.25">
      <c r="AC2473" s="8"/>
    </row>
    <row r="2474" spans="29:29" x14ac:dyDescent="0.25">
      <c r="AC2474" s="8"/>
    </row>
    <row r="2475" spans="29:29" x14ac:dyDescent="0.25">
      <c r="AC2475" s="8"/>
    </row>
    <row r="2476" spans="29:29" x14ac:dyDescent="0.25">
      <c r="AC2476" s="8"/>
    </row>
    <row r="2477" spans="29:29" x14ac:dyDescent="0.25">
      <c r="AC2477" s="8"/>
    </row>
    <row r="2478" spans="29:29" x14ac:dyDescent="0.25">
      <c r="AC2478" s="8"/>
    </row>
    <row r="2479" spans="29:29" x14ac:dyDescent="0.25">
      <c r="AC2479" s="8"/>
    </row>
    <row r="2480" spans="29:29" x14ac:dyDescent="0.25">
      <c r="AC2480" s="8"/>
    </row>
    <row r="2481" spans="29:29" x14ac:dyDescent="0.25">
      <c r="AC2481" s="8"/>
    </row>
    <row r="2482" spans="29:29" x14ac:dyDescent="0.25">
      <c r="AC2482" s="8"/>
    </row>
    <row r="2483" spans="29:29" x14ac:dyDescent="0.25">
      <c r="AC2483" s="8"/>
    </row>
    <row r="2484" spans="29:29" x14ac:dyDescent="0.25">
      <c r="AC2484" s="8"/>
    </row>
    <row r="2485" spans="29:29" x14ac:dyDescent="0.25">
      <c r="AC2485" s="8"/>
    </row>
    <row r="2486" spans="29:29" x14ac:dyDescent="0.25">
      <c r="AC2486" s="8"/>
    </row>
    <row r="2487" spans="29:29" x14ac:dyDescent="0.25">
      <c r="AC2487" s="8"/>
    </row>
    <row r="2488" spans="29:29" x14ac:dyDescent="0.25">
      <c r="AC2488" s="8"/>
    </row>
    <row r="2489" spans="29:29" x14ac:dyDescent="0.25">
      <c r="AC2489" s="8"/>
    </row>
    <row r="2490" spans="29:29" x14ac:dyDescent="0.25">
      <c r="AC2490" s="8"/>
    </row>
    <row r="2491" spans="29:29" x14ac:dyDescent="0.25">
      <c r="AC2491" s="8"/>
    </row>
    <row r="2492" spans="29:29" x14ac:dyDescent="0.25">
      <c r="AC2492" s="8"/>
    </row>
    <row r="2493" spans="29:29" x14ac:dyDescent="0.25">
      <c r="AC2493" s="8"/>
    </row>
    <row r="2494" spans="29:29" x14ac:dyDescent="0.25">
      <c r="AC2494" s="8"/>
    </row>
    <row r="2495" spans="29:29" x14ac:dyDescent="0.25">
      <c r="AC2495" s="8"/>
    </row>
    <row r="2496" spans="29:29" x14ac:dyDescent="0.25">
      <c r="AC2496" s="8"/>
    </row>
    <row r="2497" spans="29:29" x14ac:dyDescent="0.25">
      <c r="AC2497" s="8"/>
    </row>
    <row r="2498" spans="29:29" x14ac:dyDescent="0.25">
      <c r="AC2498" s="8"/>
    </row>
    <row r="2499" spans="29:29" x14ac:dyDescent="0.25">
      <c r="AC2499" s="8"/>
    </row>
    <row r="2500" spans="29:29" x14ac:dyDescent="0.25">
      <c r="AC2500" s="8"/>
    </row>
    <row r="2501" spans="29:29" x14ac:dyDescent="0.25">
      <c r="AC2501" s="8"/>
    </row>
    <row r="2502" spans="29:29" x14ac:dyDescent="0.25">
      <c r="AC2502" s="8"/>
    </row>
    <row r="2503" spans="29:29" x14ac:dyDescent="0.25">
      <c r="AC2503" s="8"/>
    </row>
    <row r="2504" spans="29:29" x14ac:dyDescent="0.25">
      <c r="AC2504" s="8"/>
    </row>
    <row r="2505" spans="29:29" x14ac:dyDescent="0.25">
      <c r="AC2505" s="8"/>
    </row>
    <row r="2506" spans="29:29" x14ac:dyDescent="0.25">
      <c r="AC2506" s="8"/>
    </row>
    <row r="2507" spans="29:29" x14ac:dyDescent="0.25">
      <c r="AC2507" s="8"/>
    </row>
    <row r="2508" spans="29:29" x14ac:dyDescent="0.25">
      <c r="AC2508" s="8"/>
    </row>
    <row r="2509" spans="29:29" x14ac:dyDescent="0.25">
      <c r="AC2509" s="8"/>
    </row>
    <row r="2510" spans="29:29" x14ac:dyDescent="0.25">
      <c r="AC2510" s="8"/>
    </row>
    <row r="2511" spans="29:29" x14ac:dyDescent="0.25">
      <c r="AC2511" s="8"/>
    </row>
    <row r="2512" spans="29:29" x14ac:dyDescent="0.25">
      <c r="AC2512" s="8"/>
    </row>
    <row r="2513" spans="29:29" x14ac:dyDescent="0.25">
      <c r="AC2513" s="8"/>
    </row>
    <row r="2514" spans="29:29" x14ac:dyDescent="0.25">
      <c r="AC2514" s="8"/>
    </row>
    <row r="2515" spans="29:29" x14ac:dyDescent="0.25">
      <c r="AC2515" s="8"/>
    </row>
    <row r="2516" spans="29:29" x14ac:dyDescent="0.25">
      <c r="AC2516" s="8"/>
    </row>
    <row r="2517" spans="29:29" x14ac:dyDescent="0.25">
      <c r="AC2517" s="8"/>
    </row>
    <row r="2518" spans="29:29" x14ac:dyDescent="0.25">
      <c r="AC2518" s="8"/>
    </row>
    <row r="2519" spans="29:29" x14ac:dyDescent="0.25">
      <c r="AC2519" s="8"/>
    </row>
    <row r="2520" spans="29:29" x14ac:dyDescent="0.25">
      <c r="AC2520" s="8"/>
    </row>
    <row r="2521" spans="29:29" x14ac:dyDescent="0.25">
      <c r="AC2521" s="8"/>
    </row>
    <row r="2522" spans="29:29" x14ac:dyDescent="0.25">
      <c r="AC2522" s="8"/>
    </row>
    <row r="2523" spans="29:29" x14ac:dyDescent="0.25">
      <c r="AC2523" s="8"/>
    </row>
    <row r="2524" spans="29:29" x14ac:dyDescent="0.25">
      <c r="AC2524" s="8"/>
    </row>
    <row r="2525" spans="29:29" x14ac:dyDescent="0.25">
      <c r="AC2525" s="8"/>
    </row>
    <row r="2526" spans="29:29" x14ac:dyDescent="0.25">
      <c r="AC2526" s="8"/>
    </row>
    <row r="2527" spans="29:29" x14ac:dyDescent="0.25">
      <c r="AC2527" s="8"/>
    </row>
    <row r="2528" spans="29:29" x14ac:dyDescent="0.25">
      <c r="AC2528" s="8"/>
    </row>
    <row r="2529" spans="29:29" x14ac:dyDescent="0.25">
      <c r="AC2529" s="8"/>
    </row>
    <row r="2530" spans="29:29" x14ac:dyDescent="0.25">
      <c r="AC2530" s="8"/>
    </row>
    <row r="2531" spans="29:29" x14ac:dyDescent="0.25">
      <c r="AC2531" s="8"/>
    </row>
    <row r="2532" spans="29:29" x14ac:dyDescent="0.25">
      <c r="AC2532" s="8"/>
    </row>
    <row r="2533" spans="29:29" x14ac:dyDescent="0.25">
      <c r="AC2533" s="8"/>
    </row>
    <row r="2534" spans="29:29" x14ac:dyDescent="0.25">
      <c r="AC2534" s="8"/>
    </row>
    <row r="2535" spans="29:29" x14ac:dyDescent="0.25">
      <c r="AC2535" s="8"/>
    </row>
    <row r="2536" spans="29:29" x14ac:dyDescent="0.25">
      <c r="AC2536" s="8"/>
    </row>
    <row r="2537" spans="29:29" x14ac:dyDescent="0.25">
      <c r="AC2537" s="8"/>
    </row>
    <row r="2538" spans="29:29" x14ac:dyDescent="0.25">
      <c r="AC2538" s="8"/>
    </row>
    <row r="2539" spans="29:29" x14ac:dyDescent="0.25">
      <c r="AC2539" s="8"/>
    </row>
    <row r="2540" spans="29:29" x14ac:dyDescent="0.25">
      <c r="AC2540" s="8"/>
    </row>
    <row r="2541" spans="29:29" x14ac:dyDescent="0.25">
      <c r="AC2541" s="8"/>
    </row>
    <row r="2542" spans="29:29" x14ac:dyDescent="0.25">
      <c r="AC2542" s="8"/>
    </row>
    <row r="2543" spans="29:29" x14ac:dyDescent="0.25">
      <c r="AC2543" s="8"/>
    </row>
    <row r="2544" spans="29:29" x14ac:dyDescent="0.25">
      <c r="AC2544" s="8"/>
    </row>
    <row r="2545" spans="29:29" x14ac:dyDescent="0.25">
      <c r="AC2545" s="8"/>
    </row>
    <row r="2546" spans="29:29" x14ac:dyDescent="0.25">
      <c r="AC2546" s="8"/>
    </row>
    <row r="2547" spans="29:29" x14ac:dyDescent="0.25">
      <c r="AC2547" s="8"/>
    </row>
    <row r="2548" spans="29:29" x14ac:dyDescent="0.25">
      <c r="AC2548" s="8"/>
    </row>
    <row r="2549" spans="29:29" x14ac:dyDescent="0.25">
      <c r="AC2549" s="8"/>
    </row>
    <row r="2550" spans="29:29" x14ac:dyDescent="0.25">
      <c r="AC2550" s="8"/>
    </row>
    <row r="2551" spans="29:29" x14ac:dyDescent="0.25">
      <c r="AC2551" s="8"/>
    </row>
    <row r="2552" spans="29:29" x14ac:dyDescent="0.25">
      <c r="AC2552" s="8"/>
    </row>
    <row r="2553" spans="29:29" x14ac:dyDescent="0.25">
      <c r="AC2553" s="8"/>
    </row>
    <row r="2554" spans="29:29" x14ac:dyDescent="0.25">
      <c r="AC2554" s="8"/>
    </row>
    <row r="2555" spans="29:29" x14ac:dyDescent="0.25">
      <c r="AC2555" s="8"/>
    </row>
    <row r="2556" spans="29:29" x14ac:dyDescent="0.25">
      <c r="AC2556" s="8"/>
    </row>
    <row r="2557" spans="29:29" x14ac:dyDescent="0.25">
      <c r="AC2557" s="8"/>
    </row>
    <row r="2558" spans="29:29" x14ac:dyDescent="0.25">
      <c r="AC2558" s="8"/>
    </row>
    <row r="2559" spans="29:29" x14ac:dyDescent="0.25">
      <c r="AC2559" s="8"/>
    </row>
    <row r="2560" spans="29:29" x14ac:dyDescent="0.25">
      <c r="AC2560" s="8"/>
    </row>
    <row r="2561" spans="29:29" x14ac:dyDescent="0.25">
      <c r="AC2561" s="8"/>
    </row>
    <row r="2562" spans="29:29" x14ac:dyDescent="0.25">
      <c r="AC2562" s="8"/>
    </row>
    <row r="2563" spans="29:29" x14ac:dyDescent="0.25">
      <c r="AC2563" s="8"/>
    </row>
    <row r="2564" spans="29:29" x14ac:dyDescent="0.25">
      <c r="AC2564" s="8"/>
    </row>
    <row r="2565" spans="29:29" x14ac:dyDescent="0.25">
      <c r="AC2565" s="8"/>
    </row>
    <row r="2566" spans="29:29" x14ac:dyDescent="0.25">
      <c r="AC2566" s="8"/>
    </row>
    <row r="2567" spans="29:29" x14ac:dyDescent="0.25">
      <c r="AC2567" s="8"/>
    </row>
    <row r="2568" spans="29:29" x14ac:dyDescent="0.25">
      <c r="AC2568" s="8"/>
    </row>
    <row r="2569" spans="29:29" x14ac:dyDescent="0.25">
      <c r="AC2569" s="8"/>
    </row>
    <row r="2570" spans="29:29" x14ac:dyDescent="0.25">
      <c r="AC2570" s="8"/>
    </row>
    <row r="2571" spans="29:29" x14ac:dyDescent="0.25">
      <c r="AC2571" s="8"/>
    </row>
    <row r="2572" spans="29:29" x14ac:dyDescent="0.25">
      <c r="AC2572" s="8"/>
    </row>
    <row r="2573" spans="29:29" x14ac:dyDescent="0.25">
      <c r="AC2573" s="8"/>
    </row>
    <row r="2574" spans="29:29" x14ac:dyDescent="0.25">
      <c r="AC2574" s="8"/>
    </row>
    <row r="2575" spans="29:29" x14ac:dyDescent="0.25">
      <c r="AC2575" s="8"/>
    </row>
    <row r="2576" spans="29:29" x14ac:dyDescent="0.25">
      <c r="AC2576" s="8"/>
    </row>
    <row r="2577" spans="29:29" x14ac:dyDescent="0.25">
      <c r="AC2577" s="8"/>
    </row>
    <row r="2578" spans="29:29" x14ac:dyDescent="0.25">
      <c r="AC2578" s="8"/>
    </row>
    <row r="2579" spans="29:29" x14ac:dyDescent="0.25">
      <c r="AC2579" s="8"/>
    </row>
    <row r="2580" spans="29:29" x14ac:dyDescent="0.25">
      <c r="AC2580" s="8"/>
    </row>
    <row r="2581" spans="29:29" x14ac:dyDescent="0.25">
      <c r="AC2581" s="8"/>
    </row>
    <row r="2582" spans="29:29" x14ac:dyDescent="0.25">
      <c r="AC2582" s="8"/>
    </row>
    <row r="2583" spans="29:29" x14ac:dyDescent="0.25">
      <c r="AC2583" s="8"/>
    </row>
    <row r="2584" spans="29:29" x14ac:dyDescent="0.25">
      <c r="AC2584" s="8"/>
    </row>
    <row r="2585" spans="29:29" x14ac:dyDescent="0.25">
      <c r="AC2585" s="8"/>
    </row>
    <row r="2586" spans="29:29" x14ac:dyDescent="0.25">
      <c r="AC2586" s="8"/>
    </row>
    <row r="2587" spans="29:29" x14ac:dyDescent="0.25">
      <c r="AC2587" s="8"/>
    </row>
    <row r="2588" spans="29:29" x14ac:dyDescent="0.25">
      <c r="AC2588" s="8"/>
    </row>
    <row r="2589" spans="29:29" x14ac:dyDescent="0.25">
      <c r="AC2589" s="8"/>
    </row>
    <row r="2590" spans="29:29" x14ac:dyDescent="0.25">
      <c r="AC2590" s="8"/>
    </row>
    <row r="2591" spans="29:29" x14ac:dyDescent="0.25">
      <c r="AC2591" s="8"/>
    </row>
    <row r="2592" spans="29:29" x14ac:dyDescent="0.25">
      <c r="AC2592" s="8"/>
    </row>
    <row r="2593" spans="29:29" x14ac:dyDescent="0.25">
      <c r="AC2593" s="8"/>
    </row>
    <row r="2594" spans="29:29" x14ac:dyDescent="0.25">
      <c r="AC2594" s="8"/>
    </row>
    <row r="2595" spans="29:29" x14ac:dyDescent="0.25">
      <c r="AC2595" s="8"/>
    </row>
    <row r="2596" spans="29:29" x14ac:dyDescent="0.25">
      <c r="AC2596" s="8"/>
    </row>
    <row r="2597" spans="29:29" x14ac:dyDescent="0.25">
      <c r="AC2597" s="8"/>
    </row>
    <row r="2598" spans="29:29" x14ac:dyDescent="0.25">
      <c r="AC2598" s="8"/>
    </row>
    <row r="2599" spans="29:29" x14ac:dyDescent="0.25">
      <c r="AC2599" s="8"/>
    </row>
    <row r="2600" spans="29:29" x14ac:dyDescent="0.25">
      <c r="AC2600" s="8"/>
    </row>
    <row r="2601" spans="29:29" x14ac:dyDescent="0.25">
      <c r="AC2601" s="8"/>
    </row>
    <row r="2602" spans="29:29" x14ac:dyDescent="0.25">
      <c r="AC2602" s="8"/>
    </row>
    <row r="2603" spans="29:29" x14ac:dyDescent="0.25">
      <c r="AC2603" s="8"/>
    </row>
    <row r="2604" spans="29:29" x14ac:dyDescent="0.25">
      <c r="AC2604" s="8"/>
    </row>
    <row r="2605" spans="29:29" x14ac:dyDescent="0.25">
      <c r="AC2605" s="8"/>
    </row>
    <row r="2606" spans="29:29" x14ac:dyDescent="0.25">
      <c r="AC2606" s="8"/>
    </row>
    <row r="2607" spans="29:29" x14ac:dyDescent="0.25">
      <c r="AC2607" s="8"/>
    </row>
    <row r="2608" spans="29:29" x14ac:dyDescent="0.25">
      <c r="AC2608" s="8"/>
    </row>
    <row r="2609" spans="29:29" x14ac:dyDescent="0.25">
      <c r="AC2609" s="8"/>
    </row>
    <row r="2610" spans="29:29" x14ac:dyDescent="0.25">
      <c r="AC2610" s="8"/>
    </row>
    <row r="2611" spans="29:29" x14ac:dyDescent="0.25">
      <c r="AC2611" s="8"/>
    </row>
    <row r="2612" spans="29:29" x14ac:dyDescent="0.25">
      <c r="AC2612" s="8"/>
    </row>
    <row r="2613" spans="29:29" x14ac:dyDescent="0.25">
      <c r="AC2613" s="8"/>
    </row>
    <row r="2614" spans="29:29" x14ac:dyDescent="0.25">
      <c r="AC2614" s="8"/>
    </row>
    <row r="2615" spans="29:29" x14ac:dyDescent="0.25">
      <c r="AC2615" s="8"/>
    </row>
    <row r="2616" spans="29:29" x14ac:dyDescent="0.25">
      <c r="AC2616" s="8"/>
    </row>
    <row r="2617" spans="29:29" x14ac:dyDescent="0.25">
      <c r="AC2617" s="8"/>
    </row>
    <row r="2618" spans="29:29" x14ac:dyDescent="0.25">
      <c r="AC2618" s="8"/>
    </row>
    <row r="2619" spans="29:29" x14ac:dyDescent="0.25">
      <c r="AC2619" s="8"/>
    </row>
    <row r="2620" spans="29:29" x14ac:dyDescent="0.25">
      <c r="AC2620" s="8"/>
    </row>
    <row r="2621" spans="29:29" x14ac:dyDescent="0.25">
      <c r="AC2621" s="8"/>
    </row>
    <row r="2622" spans="29:29" x14ac:dyDescent="0.25">
      <c r="AC2622" s="8"/>
    </row>
    <row r="2623" spans="29:29" x14ac:dyDescent="0.25">
      <c r="AC2623" s="8"/>
    </row>
    <row r="2624" spans="29:29" x14ac:dyDescent="0.25">
      <c r="AC2624" s="8"/>
    </row>
    <row r="2625" spans="29:29" x14ac:dyDescent="0.25">
      <c r="AC2625" s="8"/>
    </row>
    <row r="2626" spans="29:29" x14ac:dyDescent="0.25">
      <c r="AC2626" s="8"/>
    </row>
    <row r="2627" spans="29:29" x14ac:dyDescent="0.25">
      <c r="AC2627" s="8"/>
    </row>
    <row r="2628" spans="29:29" x14ac:dyDescent="0.25">
      <c r="AC2628" s="8"/>
    </row>
    <row r="2629" spans="29:29" x14ac:dyDescent="0.25">
      <c r="AC2629" s="8"/>
    </row>
    <row r="2630" spans="29:29" x14ac:dyDescent="0.25">
      <c r="AC2630" s="8"/>
    </row>
    <row r="2631" spans="29:29" x14ac:dyDescent="0.25">
      <c r="AC2631" s="8"/>
    </row>
    <row r="2632" spans="29:29" x14ac:dyDescent="0.25">
      <c r="AC2632" s="8"/>
    </row>
    <row r="2633" spans="29:29" x14ac:dyDescent="0.25">
      <c r="AC2633" s="8"/>
    </row>
    <row r="2634" spans="29:29" x14ac:dyDescent="0.25">
      <c r="AC2634" s="8"/>
    </row>
    <row r="2635" spans="29:29" x14ac:dyDescent="0.25">
      <c r="AC2635" s="8"/>
    </row>
    <row r="2636" spans="29:29" x14ac:dyDescent="0.25">
      <c r="AC2636" s="8"/>
    </row>
    <row r="2637" spans="29:29" x14ac:dyDescent="0.25">
      <c r="AC2637" s="8"/>
    </row>
    <row r="2638" spans="29:29" x14ac:dyDescent="0.25">
      <c r="AC2638" s="8"/>
    </row>
    <row r="2639" spans="29:29" x14ac:dyDescent="0.25">
      <c r="AC2639" s="8"/>
    </row>
    <row r="2640" spans="29:29" x14ac:dyDescent="0.25">
      <c r="AC2640" s="8"/>
    </row>
    <row r="2641" spans="29:29" x14ac:dyDescent="0.25">
      <c r="AC2641" s="8"/>
    </row>
    <row r="2642" spans="29:29" x14ac:dyDescent="0.25">
      <c r="AC2642" s="8"/>
    </row>
    <row r="2643" spans="29:29" x14ac:dyDescent="0.25">
      <c r="AC2643" s="8"/>
    </row>
    <row r="2644" spans="29:29" x14ac:dyDescent="0.25">
      <c r="AC2644" s="8"/>
    </row>
    <row r="2645" spans="29:29" x14ac:dyDescent="0.25">
      <c r="AC2645" s="8"/>
    </row>
    <row r="2646" spans="29:29" x14ac:dyDescent="0.25">
      <c r="AC2646" s="8"/>
    </row>
    <row r="2647" spans="29:29" x14ac:dyDescent="0.25">
      <c r="AC2647" s="8"/>
    </row>
    <row r="2648" spans="29:29" x14ac:dyDescent="0.25">
      <c r="AC2648" s="8"/>
    </row>
    <row r="2649" spans="29:29" x14ac:dyDescent="0.25">
      <c r="AC2649" s="8"/>
    </row>
    <row r="2650" spans="29:29" x14ac:dyDescent="0.25">
      <c r="AC2650" s="8"/>
    </row>
    <row r="2651" spans="29:29" x14ac:dyDescent="0.25">
      <c r="AC2651" s="8"/>
    </row>
    <row r="2652" spans="29:29" x14ac:dyDescent="0.25">
      <c r="AC2652" s="8"/>
    </row>
    <row r="2653" spans="29:29" x14ac:dyDescent="0.25">
      <c r="AC2653" s="8"/>
    </row>
    <row r="2654" spans="29:29" x14ac:dyDescent="0.25">
      <c r="AC2654" s="8"/>
    </row>
    <row r="2655" spans="29:29" x14ac:dyDescent="0.25">
      <c r="AC2655" s="8"/>
    </row>
    <row r="2656" spans="29:29" x14ac:dyDescent="0.25">
      <c r="AC2656" s="8"/>
    </row>
    <row r="2657" spans="29:29" x14ac:dyDescent="0.25">
      <c r="AC2657" s="8"/>
    </row>
    <row r="2658" spans="29:29" x14ac:dyDescent="0.25">
      <c r="AC2658" s="8"/>
    </row>
    <row r="2659" spans="29:29" x14ac:dyDescent="0.25">
      <c r="AC2659" s="8"/>
    </row>
    <row r="2660" spans="29:29" x14ac:dyDescent="0.25">
      <c r="AC2660" s="8"/>
    </row>
    <row r="2661" spans="29:29" x14ac:dyDescent="0.25">
      <c r="AC2661" s="8"/>
    </row>
    <row r="2662" spans="29:29" x14ac:dyDescent="0.25">
      <c r="AC2662" s="8"/>
    </row>
    <row r="2663" spans="29:29" x14ac:dyDescent="0.25">
      <c r="AC2663" s="8"/>
    </row>
    <row r="2664" spans="29:29" x14ac:dyDescent="0.25">
      <c r="AC2664" s="8"/>
    </row>
    <row r="2665" spans="29:29" x14ac:dyDescent="0.25">
      <c r="AC2665" s="8"/>
    </row>
    <row r="2666" spans="29:29" x14ac:dyDescent="0.25">
      <c r="AC2666" s="8"/>
    </row>
    <row r="2667" spans="29:29" x14ac:dyDescent="0.25">
      <c r="AC2667" s="8"/>
    </row>
    <row r="2668" spans="29:29" x14ac:dyDescent="0.25">
      <c r="AC2668" s="8"/>
    </row>
    <row r="2669" spans="29:29" x14ac:dyDescent="0.25">
      <c r="AC2669" s="8"/>
    </row>
    <row r="2670" spans="29:29" x14ac:dyDescent="0.25">
      <c r="AC2670" s="8"/>
    </row>
    <row r="2671" spans="29:29" x14ac:dyDescent="0.25">
      <c r="AC2671" s="8"/>
    </row>
    <row r="2672" spans="29:29" x14ac:dyDescent="0.25">
      <c r="AC2672" s="8"/>
    </row>
    <row r="2673" spans="29:29" x14ac:dyDescent="0.25">
      <c r="AC2673" s="8"/>
    </row>
    <row r="2674" spans="29:29" x14ac:dyDescent="0.25">
      <c r="AC2674" s="8"/>
    </row>
    <row r="2675" spans="29:29" x14ac:dyDescent="0.25">
      <c r="AC2675" s="8"/>
    </row>
    <row r="2676" spans="29:29" x14ac:dyDescent="0.25">
      <c r="AC2676" s="8"/>
    </row>
    <row r="2677" spans="29:29" x14ac:dyDescent="0.25">
      <c r="AC2677" s="8"/>
    </row>
    <row r="2678" spans="29:29" x14ac:dyDescent="0.25">
      <c r="AC2678" s="8"/>
    </row>
    <row r="2679" spans="29:29" x14ac:dyDescent="0.25">
      <c r="AC2679" s="8"/>
    </row>
    <row r="2680" spans="29:29" x14ac:dyDescent="0.25">
      <c r="AC2680" s="8"/>
    </row>
    <row r="2681" spans="29:29" x14ac:dyDescent="0.25">
      <c r="AC2681" s="8"/>
    </row>
    <row r="2682" spans="29:29" x14ac:dyDescent="0.25">
      <c r="AC2682" s="8"/>
    </row>
    <row r="2683" spans="29:29" x14ac:dyDescent="0.25">
      <c r="AC2683" s="8"/>
    </row>
    <row r="2684" spans="29:29" x14ac:dyDescent="0.25">
      <c r="AC2684" s="8"/>
    </row>
    <row r="2685" spans="29:29" x14ac:dyDescent="0.25">
      <c r="AC2685" s="8"/>
    </row>
    <row r="2686" spans="29:29" x14ac:dyDescent="0.25">
      <c r="AC2686" s="8"/>
    </row>
    <row r="2687" spans="29:29" x14ac:dyDescent="0.25">
      <c r="AC2687" s="8"/>
    </row>
    <row r="2688" spans="29:29" x14ac:dyDescent="0.25">
      <c r="AC2688" s="8"/>
    </row>
    <row r="2689" spans="29:29" x14ac:dyDescent="0.25">
      <c r="AC2689" s="8"/>
    </row>
    <row r="2690" spans="29:29" x14ac:dyDescent="0.25">
      <c r="AC2690" s="8"/>
    </row>
    <row r="2691" spans="29:29" x14ac:dyDescent="0.25">
      <c r="AC2691" s="8"/>
    </row>
    <row r="2692" spans="29:29" x14ac:dyDescent="0.25">
      <c r="AC2692" s="8"/>
    </row>
    <row r="2693" spans="29:29" x14ac:dyDescent="0.25">
      <c r="AC2693" s="8"/>
    </row>
    <row r="2694" spans="29:29" x14ac:dyDescent="0.25">
      <c r="AC2694" s="8"/>
    </row>
    <row r="2695" spans="29:29" x14ac:dyDescent="0.25">
      <c r="AC2695" s="8"/>
    </row>
    <row r="2696" spans="29:29" x14ac:dyDescent="0.25">
      <c r="AC2696" s="8"/>
    </row>
    <row r="2697" spans="29:29" x14ac:dyDescent="0.25">
      <c r="AC2697" s="8"/>
    </row>
    <row r="2698" spans="29:29" x14ac:dyDescent="0.25">
      <c r="AC2698" s="8"/>
    </row>
    <row r="2699" spans="29:29" x14ac:dyDescent="0.25">
      <c r="AC2699" s="8"/>
    </row>
    <row r="2700" spans="29:29" x14ac:dyDescent="0.25">
      <c r="AC2700" s="8"/>
    </row>
    <row r="2701" spans="29:29" x14ac:dyDescent="0.25">
      <c r="AC2701" s="8"/>
    </row>
    <row r="2702" spans="29:29" x14ac:dyDescent="0.25">
      <c r="AC2702" s="8"/>
    </row>
    <row r="2703" spans="29:29" x14ac:dyDescent="0.25">
      <c r="AC2703" s="8"/>
    </row>
    <row r="2704" spans="29:29" x14ac:dyDescent="0.25">
      <c r="AC2704" s="8"/>
    </row>
    <row r="2705" spans="29:29" x14ac:dyDescent="0.25">
      <c r="AC2705" s="8"/>
    </row>
    <row r="2706" spans="29:29" x14ac:dyDescent="0.25">
      <c r="AC2706" s="8"/>
    </row>
    <row r="2707" spans="29:29" x14ac:dyDescent="0.25">
      <c r="AC2707" s="8"/>
    </row>
    <row r="2708" spans="29:29" x14ac:dyDescent="0.25">
      <c r="AC2708" s="8"/>
    </row>
    <row r="2709" spans="29:29" x14ac:dyDescent="0.25">
      <c r="AC2709" s="8"/>
    </row>
    <row r="2710" spans="29:29" x14ac:dyDescent="0.25">
      <c r="AC2710" s="8"/>
    </row>
    <row r="2711" spans="29:29" x14ac:dyDescent="0.25">
      <c r="AC2711" s="8"/>
    </row>
    <row r="2712" spans="29:29" x14ac:dyDescent="0.25">
      <c r="AC2712" s="8"/>
    </row>
    <row r="2713" spans="29:29" x14ac:dyDescent="0.25">
      <c r="AC2713" s="8"/>
    </row>
    <row r="2714" spans="29:29" x14ac:dyDescent="0.25">
      <c r="AC2714" s="8"/>
    </row>
    <row r="2715" spans="29:29" x14ac:dyDescent="0.25">
      <c r="AC2715" s="8"/>
    </row>
    <row r="2716" spans="29:29" x14ac:dyDescent="0.25">
      <c r="AC2716" s="8"/>
    </row>
    <row r="2717" spans="29:29" x14ac:dyDescent="0.25">
      <c r="AC2717" s="8"/>
    </row>
    <row r="2718" spans="29:29" x14ac:dyDescent="0.25">
      <c r="AC2718" s="8"/>
    </row>
    <row r="2719" spans="29:29" x14ac:dyDescent="0.25">
      <c r="AC2719" s="8"/>
    </row>
    <row r="2720" spans="29:29" x14ac:dyDescent="0.25">
      <c r="AC2720" s="8"/>
    </row>
    <row r="2721" spans="29:29" x14ac:dyDescent="0.25">
      <c r="AC2721" s="8"/>
    </row>
    <row r="2722" spans="29:29" x14ac:dyDescent="0.25">
      <c r="AC2722" s="8"/>
    </row>
    <row r="2723" spans="29:29" x14ac:dyDescent="0.25">
      <c r="AC2723" s="8"/>
    </row>
    <row r="2724" spans="29:29" x14ac:dyDescent="0.25">
      <c r="AC2724" s="8"/>
    </row>
    <row r="2725" spans="29:29" x14ac:dyDescent="0.25">
      <c r="AC2725" s="8"/>
    </row>
    <row r="2726" spans="29:29" x14ac:dyDescent="0.25">
      <c r="AC2726" s="8"/>
    </row>
    <row r="2727" spans="29:29" x14ac:dyDescent="0.25">
      <c r="AC2727" s="8"/>
    </row>
    <row r="2728" spans="29:29" x14ac:dyDescent="0.25">
      <c r="AC2728" s="8"/>
    </row>
    <row r="2729" spans="29:29" x14ac:dyDescent="0.25">
      <c r="AC2729" s="8"/>
    </row>
    <row r="2730" spans="29:29" x14ac:dyDescent="0.25">
      <c r="AC2730" s="8"/>
    </row>
    <row r="2731" spans="29:29" x14ac:dyDescent="0.25">
      <c r="AC2731" s="8"/>
    </row>
    <row r="2732" spans="29:29" x14ac:dyDescent="0.25">
      <c r="AC2732" s="8"/>
    </row>
    <row r="2733" spans="29:29" x14ac:dyDescent="0.25">
      <c r="AC2733" s="8"/>
    </row>
    <row r="2734" spans="29:29" x14ac:dyDescent="0.25">
      <c r="AC2734" s="8"/>
    </row>
    <row r="2735" spans="29:29" x14ac:dyDescent="0.25">
      <c r="AC2735" s="8"/>
    </row>
    <row r="2736" spans="29:29" x14ac:dyDescent="0.25">
      <c r="AC2736" s="8"/>
    </row>
    <row r="2737" spans="29:29" x14ac:dyDescent="0.25">
      <c r="AC2737" s="8"/>
    </row>
    <row r="2738" spans="29:29" x14ac:dyDescent="0.25">
      <c r="AC2738" s="8"/>
    </row>
    <row r="2739" spans="29:29" x14ac:dyDescent="0.25">
      <c r="AC2739" s="8"/>
    </row>
    <row r="2740" spans="29:29" x14ac:dyDescent="0.25">
      <c r="AC2740" s="8"/>
    </row>
    <row r="2741" spans="29:29" x14ac:dyDescent="0.25">
      <c r="AC2741" s="8"/>
    </row>
    <row r="2742" spans="29:29" x14ac:dyDescent="0.25">
      <c r="AC2742" s="8"/>
    </row>
    <row r="2743" spans="29:29" x14ac:dyDescent="0.25">
      <c r="AC2743" s="8"/>
    </row>
    <row r="2744" spans="29:29" x14ac:dyDescent="0.25">
      <c r="AC2744" s="8"/>
    </row>
    <row r="2745" spans="29:29" x14ac:dyDescent="0.25">
      <c r="AC2745" s="8"/>
    </row>
    <row r="2746" spans="29:29" x14ac:dyDescent="0.25">
      <c r="AC2746" s="8"/>
    </row>
    <row r="2747" spans="29:29" x14ac:dyDescent="0.25">
      <c r="AC2747" s="8"/>
    </row>
    <row r="2748" spans="29:29" x14ac:dyDescent="0.25">
      <c r="AC2748" s="8"/>
    </row>
    <row r="2749" spans="29:29" x14ac:dyDescent="0.25">
      <c r="AC2749" s="8"/>
    </row>
    <row r="2750" spans="29:29" x14ac:dyDescent="0.25">
      <c r="AC2750" s="8"/>
    </row>
    <row r="2751" spans="29:29" x14ac:dyDescent="0.25">
      <c r="AC2751" s="8"/>
    </row>
    <row r="2752" spans="29:29" x14ac:dyDescent="0.25">
      <c r="AC2752" s="8"/>
    </row>
    <row r="2753" spans="29:29" x14ac:dyDescent="0.25">
      <c r="AC2753" s="8"/>
    </row>
    <row r="2754" spans="29:29" x14ac:dyDescent="0.25">
      <c r="AC2754" s="8"/>
    </row>
    <row r="2755" spans="29:29" x14ac:dyDescent="0.25">
      <c r="AC2755" s="8"/>
    </row>
    <row r="2756" spans="29:29" x14ac:dyDescent="0.25">
      <c r="AC2756" s="8"/>
    </row>
    <row r="2757" spans="29:29" x14ac:dyDescent="0.25">
      <c r="AC2757" s="8"/>
    </row>
    <row r="2758" spans="29:29" x14ac:dyDescent="0.25">
      <c r="AC2758" s="8"/>
    </row>
    <row r="2759" spans="29:29" x14ac:dyDescent="0.25">
      <c r="AC2759" s="8"/>
    </row>
    <row r="2760" spans="29:29" x14ac:dyDescent="0.25">
      <c r="AC2760" s="8"/>
    </row>
    <row r="2761" spans="29:29" x14ac:dyDescent="0.25">
      <c r="AC2761" s="8"/>
    </row>
    <row r="2762" spans="29:29" x14ac:dyDescent="0.25">
      <c r="AC2762" s="8"/>
    </row>
    <row r="2763" spans="29:29" x14ac:dyDescent="0.25">
      <c r="AC2763" s="8"/>
    </row>
    <row r="2764" spans="29:29" x14ac:dyDescent="0.25">
      <c r="AC2764" s="8"/>
    </row>
    <row r="2765" spans="29:29" x14ac:dyDescent="0.25">
      <c r="AC2765" s="8"/>
    </row>
    <row r="2766" spans="29:29" x14ac:dyDescent="0.25">
      <c r="AC2766" s="8"/>
    </row>
    <row r="2767" spans="29:29" x14ac:dyDescent="0.25">
      <c r="AC2767" s="8"/>
    </row>
    <row r="2768" spans="29:29" x14ac:dyDescent="0.25">
      <c r="AC2768" s="8"/>
    </row>
    <row r="2769" spans="29:29" x14ac:dyDescent="0.25">
      <c r="AC2769" s="8"/>
    </row>
    <row r="2770" spans="29:29" x14ac:dyDescent="0.25">
      <c r="AC2770" s="8"/>
    </row>
    <row r="2771" spans="29:29" x14ac:dyDescent="0.25">
      <c r="AC2771" s="8"/>
    </row>
    <row r="2772" spans="29:29" x14ac:dyDescent="0.25">
      <c r="AC2772" s="8"/>
    </row>
    <row r="2773" spans="29:29" x14ac:dyDescent="0.25">
      <c r="AC2773" s="8"/>
    </row>
    <row r="2774" spans="29:29" x14ac:dyDescent="0.25">
      <c r="AC2774" s="8"/>
    </row>
    <row r="2775" spans="29:29" x14ac:dyDescent="0.25">
      <c r="AC2775" s="8"/>
    </row>
    <row r="2776" spans="29:29" x14ac:dyDescent="0.25">
      <c r="AC2776" s="8"/>
    </row>
    <row r="2777" spans="29:29" x14ac:dyDescent="0.25">
      <c r="AC2777" s="8"/>
    </row>
    <row r="2778" spans="29:29" x14ac:dyDescent="0.25">
      <c r="AC2778" s="8"/>
    </row>
    <row r="2779" spans="29:29" x14ac:dyDescent="0.25">
      <c r="AC2779" s="8"/>
    </row>
    <row r="2780" spans="29:29" x14ac:dyDescent="0.25">
      <c r="AC2780" s="8"/>
    </row>
    <row r="2781" spans="29:29" x14ac:dyDescent="0.25">
      <c r="AC2781" s="8"/>
    </row>
    <row r="2782" spans="29:29" x14ac:dyDescent="0.25">
      <c r="AC2782" s="8"/>
    </row>
    <row r="2783" spans="29:29" x14ac:dyDescent="0.25">
      <c r="AC2783" s="8"/>
    </row>
    <row r="2784" spans="29:29" x14ac:dyDescent="0.25">
      <c r="AC2784" s="8"/>
    </row>
    <row r="2785" spans="29:29" x14ac:dyDescent="0.25">
      <c r="AC2785" s="8"/>
    </row>
    <row r="2786" spans="29:29" x14ac:dyDescent="0.25">
      <c r="AC2786" s="8"/>
    </row>
    <row r="2787" spans="29:29" x14ac:dyDescent="0.25">
      <c r="AC2787" s="8"/>
    </row>
    <row r="2788" spans="29:29" x14ac:dyDescent="0.25">
      <c r="AC2788" s="8"/>
    </row>
    <row r="2789" spans="29:29" x14ac:dyDescent="0.25">
      <c r="AC2789" s="8"/>
    </row>
    <row r="2790" spans="29:29" x14ac:dyDescent="0.25">
      <c r="AC2790" s="8"/>
    </row>
    <row r="2791" spans="29:29" x14ac:dyDescent="0.25">
      <c r="AC2791" s="8"/>
    </row>
    <row r="2792" spans="29:29" x14ac:dyDescent="0.25">
      <c r="AC2792" s="8"/>
    </row>
    <row r="2793" spans="29:29" x14ac:dyDescent="0.25">
      <c r="AC2793" s="8"/>
    </row>
    <row r="2794" spans="29:29" x14ac:dyDescent="0.25">
      <c r="AC2794" s="8"/>
    </row>
    <row r="2795" spans="29:29" x14ac:dyDescent="0.25">
      <c r="AC2795" s="8"/>
    </row>
    <row r="2796" spans="29:29" x14ac:dyDescent="0.25">
      <c r="AC2796" s="8"/>
    </row>
    <row r="2797" spans="29:29" x14ac:dyDescent="0.25">
      <c r="AC2797" s="8"/>
    </row>
    <row r="2798" spans="29:29" x14ac:dyDescent="0.25">
      <c r="AC2798" s="8"/>
    </row>
    <row r="2799" spans="29:29" x14ac:dyDescent="0.25">
      <c r="AC2799" s="8"/>
    </row>
    <row r="2800" spans="29:29" x14ac:dyDescent="0.25">
      <c r="AC2800" s="8"/>
    </row>
    <row r="2801" spans="29:29" x14ac:dyDescent="0.25">
      <c r="AC2801" s="8"/>
    </row>
    <row r="2802" spans="29:29" x14ac:dyDescent="0.25">
      <c r="AC2802" s="8"/>
    </row>
    <row r="2803" spans="29:29" x14ac:dyDescent="0.25">
      <c r="AC2803" s="8"/>
    </row>
    <row r="2804" spans="29:29" x14ac:dyDescent="0.25">
      <c r="AC2804" s="8"/>
    </row>
    <row r="2805" spans="29:29" x14ac:dyDescent="0.25">
      <c r="AC2805" s="8"/>
    </row>
    <row r="2806" spans="29:29" x14ac:dyDescent="0.25">
      <c r="AC2806" s="8"/>
    </row>
    <row r="2807" spans="29:29" x14ac:dyDescent="0.25">
      <c r="AC2807" s="8"/>
    </row>
    <row r="2808" spans="29:29" x14ac:dyDescent="0.25">
      <c r="AC2808" s="8"/>
    </row>
    <row r="2809" spans="29:29" x14ac:dyDescent="0.25">
      <c r="AC2809" s="8"/>
    </row>
    <row r="2810" spans="29:29" x14ac:dyDescent="0.25">
      <c r="AC2810" s="8"/>
    </row>
    <row r="2811" spans="29:29" x14ac:dyDescent="0.25">
      <c r="AC2811" s="8"/>
    </row>
    <row r="2812" spans="29:29" x14ac:dyDescent="0.25">
      <c r="AC2812" s="8"/>
    </row>
    <row r="2813" spans="29:29" x14ac:dyDescent="0.25">
      <c r="AC2813" s="8"/>
    </row>
    <row r="2814" spans="29:29" x14ac:dyDescent="0.25">
      <c r="AC2814" s="8"/>
    </row>
    <row r="2815" spans="29:29" x14ac:dyDescent="0.25">
      <c r="AC2815" s="8"/>
    </row>
    <row r="2816" spans="29:29" x14ac:dyDescent="0.25">
      <c r="AC2816" s="8"/>
    </row>
    <row r="2817" spans="29:29" x14ac:dyDescent="0.25">
      <c r="AC2817" s="8"/>
    </row>
    <row r="2818" spans="29:29" x14ac:dyDescent="0.25">
      <c r="AC2818" s="8"/>
    </row>
    <row r="2819" spans="29:29" x14ac:dyDescent="0.25">
      <c r="AC2819" s="8"/>
    </row>
    <row r="2820" spans="29:29" x14ac:dyDescent="0.25">
      <c r="AC2820" s="8"/>
    </row>
    <row r="2821" spans="29:29" x14ac:dyDescent="0.25">
      <c r="AC2821" s="8"/>
    </row>
    <row r="2822" spans="29:29" x14ac:dyDescent="0.25">
      <c r="AC2822" s="8"/>
    </row>
    <row r="2823" spans="29:29" x14ac:dyDescent="0.25">
      <c r="AC2823" s="8"/>
    </row>
    <row r="2824" spans="29:29" x14ac:dyDescent="0.25">
      <c r="AC2824" s="8"/>
    </row>
    <row r="2825" spans="29:29" x14ac:dyDescent="0.25">
      <c r="AC2825" s="8"/>
    </row>
    <row r="2826" spans="29:29" x14ac:dyDescent="0.25">
      <c r="AC2826" s="8"/>
    </row>
    <row r="2827" spans="29:29" x14ac:dyDescent="0.25">
      <c r="AC2827" s="8"/>
    </row>
    <row r="2828" spans="29:29" x14ac:dyDescent="0.25">
      <c r="AC2828" s="8"/>
    </row>
    <row r="2829" spans="29:29" x14ac:dyDescent="0.25">
      <c r="AC2829" s="8"/>
    </row>
    <row r="2830" spans="29:29" x14ac:dyDescent="0.25">
      <c r="AC2830" s="8"/>
    </row>
    <row r="2831" spans="29:29" x14ac:dyDescent="0.25">
      <c r="AC2831" s="8"/>
    </row>
    <row r="2832" spans="29:29" x14ac:dyDescent="0.25">
      <c r="AC2832" s="8"/>
    </row>
    <row r="2833" spans="29:29" x14ac:dyDescent="0.25">
      <c r="AC2833" s="8"/>
    </row>
    <row r="2834" spans="29:29" x14ac:dyDescent="0.25">
      <c r="AC2834" s="8"/>
    </row>
    <row r="2835" spans="29:29" x14ac:dyDescent="0.25">
      <c r="AC2835" s="8"/>
    </row>
    <row r="2836" spans="29:29" x14ac:dyDescent="0.25">
      <c r="AC2836" s="8"/>
    </row>
    <row r="2837" spans="29:29" x14ac:dyDescent="0.25">
      <c r="AC2837" s="8"/>
    </row>
    <row r="2838" spans="29:29" x14ac:dyDescent="0.25">
      <c r="AC2838" s="8"/>
    </row>
    <row r="2839" spans="29:29" x14ac:dyDescent="0.25">
      <c r="AC2839" s="8"/>
    </row>
    <row r="2840" spans="29:29" x14ac:dyDescent="0.25">
      <c r="AC2840" s="8"/>
    </row>
    <row r="2841" spans="29:29" x14ac:dyDescent="0.25">
      <c r="AC2841" s="8"/>
    </row>
    <row r="2842" spans="29:29" x14ac:dyDescent="0.25">
      <c r="AC2842" s="8"/>
    </row>
    <row r="2843" spans="29:29" x14ac:dyDescent="0.25">
      <c r="AC2843" s="8"/>
    </row>
    <row r="2844" spans="29:29" x14ac:dyDescent="0.25">
      <c r="AC2844" s="8"/>
    </row>
    <row r="2845" spans="29:29" x14ac:dyDescent="0.25">
      <c r="AC2845" s="8"/>
    </row>
    <row r="2846" spans="29:29" x14ac:dyDescent="0.25">
      <c r="AC2846" s="8"/>
    </row>
    <row r="2847" spans="29:29" x14ac:dyDescent="0.25">
      <c r="AC2847" s="8"/>
    </row>
    <row r="2848" spans="29:29" x14ac:dyDescent="0.25">
      <c r="AC2848" s="8"/>
    </row>
    <row r="2849" spans="29:29" x14ac:dyDescent="0.25">
      <c r="AC2849" s="8"/>
    </row>
    <row r="2850" spans="29:29" x14ac:dyDescent="0.25">
      <c r="AC2850" s="8"/>
    </row>
    <row r="2851" spans="29:29" x14ac:dyDescent="0.25">
      <c r="AC2851" s="8"/>
    </row>
    <row r="2852" spans="29:29" x14ac:dyDescent="0.25">
      <c r="AC2852" s="8"/>
    </row>
    <row r="2853" spans="29:29" x14ac:dyDescent="0.25">
      <c r="AC2853" s="8"/>
    </row>
    <row r="2854" spans="29:29" x14ac:dyDescent="0.25">
      <c r="AC2854" s="8"/>
    </row>
    <row r="2855" spans="29:29" x14ac:dyDescent="0.25">
      <c r="AC2855" s="8"/>
    </row>
    <row r="2856" spans="29:29" x14ac:dyDescent="0.25">
      <c r="AC2856" s="8"/>
    </row>
    <row r="2857" spans="29:29" x14ac:dyDescent="0.25">
      <c r="AC2857" s="8"/>
    </row>
    <row r="2858" spans="29:29" x14ac:dyDescent="0.25">
      <c r="AC2858" s="8"/>
    </row>
    <row r="2859" spans="29:29" x14ac:dyDescent="0.25">
      <c r="AC2859" s="8"/>
    </row>
    <row r="2860" spans="29:29" x14ac:dyDescent="0.25">
      <c r="AC2860" s="8"/>
    </row>
    <row r="2861" spans="29:29" x14ac:dyDescent="0.25">
      <c r="AC2861" s="8"/>
    </row>
    <row r="2862" spans="29:29" x14ac:dyDescent="0.25">
      <c r="AC2862" s="8"/>
    </row>
    <row r="2863" spans="29:29" x14ac:dyDescent="0.25">
      <c r="AC2863" s="8"/>
    </row>
    <row r="2864" spans="29:29" x14ac:dyDescent="0.25">
      <c r="AC2864" s="8"/>
    </row>
    <row r="2865" spans="29:29" x14ac:dyDescent="0.25">
      <c r="AC2865" s="8"/>
    </row>
    <row r="2866" spans="29:29" x14ac:dyDescent="0.25">
      <c r="AC2866" s="8"/>
    </row>
    <row r="2867" spans="29:29" x14ac:dyDescent="0.25">
      <c r="AC2867" s="8"/>
    </row>
    <row r="2868" spans="29:29" x14ac:dyDescent="0.25">
      <c r="AC2868" s="8"/>
    </row>
    <row r="2869" spans="29:29" x14ac:dyDescent="0.25">
      <c r="AC2869" s="8"/>
    </row>
    <row r="2870" spans="29:29" x14ac:dyDescent="0.25">
      <c r="AC2870" s="8"/>
    </row>
    <row r="2871" spans="29:29" x14ac:dyDescent="0.25">
      <c r="AC2871" s="8"/>
    </row>
    <row r="2872" spans="29:29" x14ac:dyDescent="0.25">
      <c r="AC2872" s="8"/>
    </row>
    <row r="2873" spans="29:29" x14ac:dyDescent="0.25">
      <c r="AC2873" s="8"/>
    </row>
    <row r="2874" spans="29:29" x14ac:dyDescent="0.25">
      <c r="AC2874" s="8"/>
    </row>
    <row r="2875" spans="29:29" x14ac:dyDescent="0.25">
      <c r="AC2875" s="8"/>
    </row>
    <row r="2876" spans="29:29" x14ac:dyDescent="0.25">
      <c r="AC2876" s="8"/>
    </row>
    <row r="2877" spans="29:29" x14ac:dyDescent="0.25">
      <c r="AC2877" s="8"/>
    </row>
    <row r="2878" spans="29:29" x14ac:dyDescent="0.25">
      <c r="AC2878" s="8"/>
    </row>
    <row r="2879" spans="29:29" x14ac:dyDescent="0.25">
      <c r="AC2879" s="8"/>
    </row>
    <row r="2880" spans="29:29" x14ac:dyDescent="0.25">
      <c r="AC2880" s="8"/>
    </row>
    <row r="2881" spans="29:29" x14ac:dyDescent="0.25">
      <c r="AC2881" s="8"/>
    </row>
    <row r="2882" spans="29:29" x14ac:dyDescent="0.25">
      <c r="AC2882" s="8"/>
    </row>
    <row r="2883" spans="29:29" x14ac:dyDescent="0.25">
      <c r="AC2883" s="8"/>
    </row>
    <row r="2884" spans="29:29" x14ac:dyDescent="0.25">
      <c r="AC2884" s="8"/>
    </row>
    <row r="2885" spans="29:29" x14ac:dyDescent="0.25">
      <c r="AC2885" s="8"/>
    </row>
    <row r="2886" spans="29:29" x14ac:dyDescent="0.25">
      <c r="AC2886" s="8"/>
    </row>
    <row r="2887" spans="29:29" x14ac:dyDescent="0.25">
      <c r="AC2887" s="8"/>
    </row>
    <row r="2888" spans="29:29" x14ac:dyDescent="0.25">
      <c r="AC2888" s="8"/>
    </row>
    <row r="2889" spans="29:29" x14ac:dyDescent="0.25">
      <c r="AC2889" s="8"/>
    </row>
    <row r="2890" spans="29:29" x14ac:dyDescent="0.25">
      <c r="AC2890" s="8"/>
    </row>
    <row r="2891" spans="29:29" x14ac:dyDescent="0.25">
      <c r="AC2891" s="8"/>
    </row>
    <row r="2892" spans="29:29" x14ac:dyDescent="0.25">
      <c r="AC2892" s="8"/>
    </row>
    <row r="2893" spans="29:29" x14ac:dyDescent="0.25">
      <c r="AC2893" s="8"/>
    </row>
    <row r="2894" spans="29:29" x14ac:dyDescent="0.25">
      <c r="AC2894" s="8"/>
    </row>
    <row r="2895" spans="29:29" x14ac:dyDescent="0.25">
      <c r="AC2895" s="8"/>
    </row>
    <row r="2896" spans="29:29" x14ac:dyDescent="0.25">
      <c r="AC2896" s="8"/>
    </row>
    <row r="2897" spans="29:29" x14ac:dyDescent="0.25">
      <c r="AC2897" s="8"/>
    </row>
    <row r="2898" spans="29:29" x14ac:dyDescent="0.25">
      <c r="AC2898" s="8"/>
    </row>
    <row r="2899" spans="29:29" x14ac:dyDescent="0.25">
      <c r="AC2899" s="8"/>
    </row>
    <row r="2900" spans="29:29" x14ac:dyDescent="0.25">
      <c r="AC2900" s="8"/>
    </row>
    <row r="2901" spans="29:29" x14ac:dyDescent="0.25">
      <c r="AC2901" s="8"/>
    </row>
    <row r="2902" spans="29:29" x14ac:dyDescent="0.25">
      <c r="AC2902" s="8"/>
    </row>
    <row r="2903" spans="29:29" x14ac:dyDescent="0.25">
      <c r="AC2903" s="8"/>
    </row>
    <row r="2904" spans="29:29" x14ac:dyDescent="0.25">
      <c r="AC2904" s="8"/>
    </row>
    <row r="2905" spans="29:29" x14ac:dyDescent="0.25">
      <c r="AC2905" s="8"/>
    </row>
    <row r="2906" spans="29:29" x14ac:dyDescent="0.25">
      <c r="AC2906" s="8"/>
    </row>
    <row r="2907" spans="29:29" x14ac:dyDescent="0.25">
      <c r="AC2907" s="8"/>
    </row>
    <row r="2908" spans="29:29" x14ac:dyDescent="0.25">
      <c r="AC2908" s="8"/>
    </row>
    <row r="2909" spans="29:29" x14ac:dyDescent="0.25">
      <c r="AC2909" s="8"/>
    </row>
    <row r="2910" spans="29:29" x14ac:dyDescent="0.25">
      <c r="AC2910" s="8"/>
    </row>
    <row r="2911" spans="29:29" x14ac:dyDescent="0.25">
      <c r="AC2911" s="8"/>
    </row>
    <row r="2912" spans="29:29" x14ac:dyDescent="0.25">
      <c r="AC2912" s="8"/>
    </row>
    <row r="2913" spans="29:29" x14ac:dyDescent="0.25">
      <c r="AC2913" s="8"/>
    </row>
    <row r="2914" spans="29:29" x14ac:dyDescent="0.25">
      <c r="AC2914" s="8"/>
    </row>
    <row r="2915" spans="29:29" x14ac:dyDescent="0.25">
      <c r="AC2915" s="8"/>
    </row>
    <row r="2916" spans="29:29" x14ac:dyDescent="0.25">
      <c r="AC2916" s="8"/>
    </row>
    <row r="2917" spans="29:29" x14ac:dyDescent="0.25">
      <c r="AC2917" s="8"/>
    </row>
    <row r="2918" spans="29:29" x14ac:dyDescent="0.25">
      <c r="AC2918" s="8"/>
    </row>
    <row r="2919" spans="29:29" x14ac:dyDescent="0.25">
      <c r="AC2919" s="8"/>
    </row>
    <row r="2920" spans="29:29" x14ac:dyDescent="0.25">
      <c r="AC2920" s="8"/>
    </row>
    <row r="2921" spans="29:29" x14ac:dyDescent="0.25">
      <c r="AC2921" s="8"/>
    </row>
    <row r="2922" spans="29:29" x14ac:dyDescent="0.25">
      <c r="AC2922" s="8"/>
    </row>
    <row r="2923" spans="29:29" x14ac:dyDescent="0.25">
      <c r="AC2923" s="8"/>
    </row>
    <row r="2924" spans="29:29" x14ac:dyDescent="0.25">
      <c r="AC2924" s="8"/>
    </row>
    <row r="2925" spans="29:29" x14ac:dyDescent="0.25">
      <c r="AC2925" s="8"/>
    </row>
    <row r="2926" spans="29:29" x14ac:dyDescent="0.25">
      <c r="AC2926" s="8"/>
    </row>
    <row r="2927" spans="29:29" x14ac:dyDescent="0.25">
      <c r="AC2927" s="8"/>
    </row>
    <row r="2928" spans="29:29" x14ac:dyDescent="0.25">
      <c r="AC2928" s="8"/>
    </row>
    <row r="2929" spans="29:29" x14ac:dyDescent="0.25">
      <c r="AC2929" s="8"/>
    </row>
    <row r="2930" spans="29:29" x14ac:dyDescent="0.25">
      <c r="AC2930" s="8"/>
    </row>
    <row r="2931" spans="29:29" x14ac:dyDescent="0.25">
      <c r="AC2931" s="8"/>
    </row>
    <row r="2932" spans="29:29" x14ac:dyDescent="0.25">
      <c r="AC2932" s="8"/>
    </row>
    <row r="2933" spans="29:29" x14ac:dyDescent="0.25">
      <c r="AC2933" s="8"/>
    </row>
    <row r="2934" spans="29:29" x14ac:dyDescent="0.25">
      <c r="AC2934" s="8"/>
    </row>
    <row r="2935" spans="29:29" x14ac:dyDescent="0.25">
      <c r="AC2935" s="8"/>
    </row>
    <row r="2936" spans="29:29" x14ac:dyDescent="0.25">
      <c r="AC2936" s="8"/>
    </row>
    <row r="2937" spans="29:29" x14ac:dyDescent="0.25">
      <c r="AC2937" s="8"/>
    </row>
    <row r="2938" spans="29:29" x14ac:dyDescent="0.25">
      <c r="AC2938" s="8"/>
    </row>
    <row r="2939" spans="29:29" x14ac:dyDescent="0.25">
      <c r="AC2939" s="8"/>
    </row>
    <row r="2940" spans="29:29" x14ac:dyDescent="0.25">
      <c r="AC2940" s="8"/>
    </row>
    <row r="2941" spans="29:29" x14ac:dyDescent="0.25">
      <c r="AC2941" s="8"/>
    </row>
    <row r="2942" spans="29:29" x14ac:dyDescent="0.25">
      <c r="AC2942" s="8"/>
    </row>
    <row r="2943" spans="29:29" x14ac:dyDescent="0.25">
      <c r="AC2943" s="8"/>
    </row>
    <row r="2944" spans="29:29" x14ac:dyDescent="0.25">
      <c r="AC2944" s="8"/>
    </row>
    <row r="2945" spans="29:29" x14ac:dyDescent="0.25">
      <c r="AC2945" s="8"/>
    </row>
    <row r="2946" spans="29:29" x14ac:dyDescent="0.25">
      <c r="AC2946" s="8"/>
    </row>
    <row r="2947" spans="29:29" x14ac:dyDescent="0.25">
      <c r="AC2947" s="8"/>
    </row>
    <row r="2948" spans="29:29" x14ac:dyDescent="0.25">
      <c r="AC2948" s="8"/>
    </row>
    <row r="2949" spans="29:29" x14ac:dyDescent="0.25">
      <c r="AC2949" s="8"/>
    </row>
    <row r="2950" spans="29:29" x14ac:dyDescent="0.25">
      <c r="AC2950" s="8"/>
    </row>
    <row r="2951" spans="29:29" x14ac:dyDescent="0.25">
      <c r="AC2951" s="8"/>
    </row>
    <row r="2952" spans="29:29" x14ac:dyDescent="0.25">
      <c r="AC2952" s="8"/>
    </row>
    <row r="2953" spans="29:29" x14ac:dyDescent="0.25">
      <c r="AC2953" s="8"/>
    </row>
    <row r="2954" spans="29:29" x14ac:dyDescent="0.25">
      <c r="AC2954" s="8"/>
    </row>
    <row r="2955" spans="29:29" x14ac:dyDescent="0.25">
      <c r="AC2955" s="8"/>
    </row>
    <row r="2956" spans="29:29" x14ac:dyDescent="0.25">
      <c r="AC2956" s="8"/>
    </row>
    <row r="2957" spans="29:29" x14ac:dyDescent="0.25">
      <c r="AC2957" s="8"/>
    </row>
    <row r="2958" spans="29:29" x14ac:dyDescent="0.25">
      <c r="AC2958" s="8"/>
    </row>
    <row r="2959" spans="29:29" x14ac:dyDescent="0.25">
      <c r="AC2959" s="8"/>
    </row>
    <row r="2960" spans="29:29" x14ac:dyDescent="0.25">
      <c r="AC2960" s="8"/>
    </row>
    <row r="2961" spans="29:29" x14ac:dyDescent="0.25">
      <c r="AC2961" s="8"/>
    </row>
    <row r="2962" spans="29:29" x14ac:dyDescent="0.25">
      <c r="AC2962" s="8"/>
    </row>
    <row r="2963" spans="29:29" x14ac:dyDescent="0.25">
      <c r="AC2963" s="8"/>
    </row>
    <row r="2964" spans="29:29" x14ac:dyDescent="0.25">
      <c r="AC2964" s="8"/>
    </row>
    <row r="2965" spans="29:29" x14ac:dyDescent="0.25">
      <c r="AC2965" s="8"/>
    </row>
    <row r="2966" spans="29:29" x14ac:dyDescent="0.25">
      <c r="AC2966" s="8"/>
    </row>
    <row r="2967" spans="29:29" x14ac:dyDescent="0.25">
      <c r="AC2967" s="8"/>
    </row>
    <row r="2968" spans="29:29" x14ac:dyDescent="0.25">
      <c r="AC2968" s="8"/>
    </row>
    <row r="2969" spans="29:29" x14ac:dyDescent="0.25">
      <c r="AC2969" s="8"/>
    </row>
    <row r="2970" spans="29:29" x14ac:dyDescent="0.25">
      <c r="AC2970" s="8"/>
    </row>
    <row r="2971" spans="29:29" x14ac:dyDescent="0.25">
      <c r="AC2971" s="8"/>
    </row>
    <row r="2972" spans="29:29" x14ac:dyDescent="0.25">
      <c r="AC2972" s="8"/>
    </row>
    <row r="2973" spans="29:29" x14ac:dyDescent="0.25">
      <c r="AC2973" s="8"/>
    </row>
    <row r="2974" spans="29:29" x14ac:dyDescent="0.25">
      <c r="AC2974" s="8"/>
    </row>
    <row r="2975" spans="29:29" x14ac:dyDescent="0.25">
      <c r="AC2975" s="8"/>
    </row>
    <row r="2976" spans="29:29" x14ac:dyDescent="0.25">
      <c r="AC2976" s="8"/>
    </row>
    <row r="2977" spans="29:29" x14ac:dyDescent="0.25">
      <c r="AC2977" s="8"/>
    </row>
    <row r="2978" spans="29:29" x14ac:dyDescent="0.25">
      <c r="AC2978" s="8"/>
    </row>
    <row r="2979" spans="29:29" x14ac:dyDescent="0.25">
      <c r="AC2979" s="8"/>
    </row>
    <row r="2980" spans="29:29" x14ac:dyDescent="0.25">
      <c r="AC2980" s="8"/>
    </row>
    <row r="2981" spans="29:29" x14ac:dyDescent="0.25">
      <c r="AC2981" s="8"/>
    </row>
    <row r="2982" spans="29:29" x14ac:dyDescent="0.25">
      <c r="AC2982" s="8"/>
    </row>
    <row r="2983" spans="29:29" x14ac:dyDescent="0.25">
      <c r="AC2983" s="8"/>
    </row>
    <row r="2984" spans="29:29" x14ac:dyDescent="0.25">
      <c r="AC2984" s="8"/>
    </row>
    <row r="2985" spans="29:29" x14ac:dyDescent="0.25">
      <c r="AC2985" s="8"/>
    </row>
    <row r="2986" spans="29:29" x14ac:dyDescent="0.25">
      <c r="AC2986" s="8"/>
    </row>
    <row r="2987" spans="29:29" x14ac:dyDescent="0.25">
      <c r="AC2987" s="8"/>
    </row>
    <row r="2988" spans="29:29" x14ac:dyDescent="0.25">
      <c r="AC2988" s="8"/>
    </row>
    <row r="2989" spans="29:29" x14ac:dyDescent="0.25">
      <c r="AC2989" s="8"/>
    </row>
    <row r="2990" spans="29:29" x14ac:dyDescent="0.25">
      <c r="AC2990" s="8"/>
    </row>
    <row r="2991" spans="29:29" x14ac:dyDescent="0.25">
      <c r="AC2991" s="8"/>
    </row>
    <row r="2992" spans="29:29" x14ac:dyDescent="0.25">
      <c r="AC2992" s="8"/>
    </row>
    <row r="2993" spans="29:29" x14ac:dyDescent="0.25">
      <c r="AC2993" s="8"/>
    </row>
    <row r="2994" spans="29:29" x14ac:dyDescent="0.25">
      <c r="AC2994" s="8"/>
    </row>
    <row r="2995" spans="29:29" x14ac:dyDescent="0.25">
      <c r="AC2995" s="8"/>
    </row>
    <row r="2996" spans="29:29" x14ac:dyDescent="0.25">
      <c r="AC2996" s="8"/>
    </row>
    <row r="2997" spans="29:29" x14ac:dyDescent="0.25">
      <c r="AC2997" s="8"/>
    </row>
    <row r="2998" spans="29:29" x14ac:dyDescent="0.25">
      <c r="AC2998" s="8"/>
    </row>
    <row r="2999" spans="29:29" x14ac:dyDescent="0.25">
      <c r="AC2999" s="8"/>
    </row>
    <row r="3000" spans="29:29" x14ac:dyDescent="0.25">
      <c r="AC3000" s="8"/>
    </row>
    <row r="3001" spans="29:29" x14ac:dyDescent="0.25">
      <c r="AC3001" s="8"/>
    </row>
    <row r="3002" spans="29:29" x14ac:dyDescent="0.25">
      <c r="AC3002" s="8"/>
    </row>
    <row r="3003" spans="29:29" x14ac:dyDescent="0.25">
      <c r="AC3003" s="8"/>
    </row>
    <row r="3004" spans="29:29" x14ac:dyDescent="0.25">
      <c r="AC3004" s="8"/>
    </row>
    <row r="3005" spans="29:29" x14ac:dyDescent="0.25">
      <c r="AC3005" s="8"/>
    </row>
    <row r="3006" spans="29:29" x14ac:dyDescent="0.25">
      <c r="AC3006" s="8"/>
    </row>
    <row r="3007" spans="29:29" x14ac:dyDescent="0.25">
      <c r="AC3007" s="8"/>
    </row>
    <row r="3008" spans="29:29" x14ac:dyDescent="0.25">
      <c r="AC3008" s="8"/>
    </row>
    <row r="3009" spans="29:29" x14ac:dyDescent="0.25">
      <c r="AC3009" s="8"/>
    </row>
    <row r="3010" spans="29:29" x14ac:dyDescent="0.25">
      <c r="AC3010" s="8"/>
    </row>
    <row r="3011" spans="29:29" x14ac:dyDescent="0.25">
      <c r="AC3011" s="8"/>
    </row>
    <row r="3012" spans="29:29" x14ac:dyDescent="0.25">
      <c r="AC3012" s="8"/>
    </row>
    <row r="3013" spans="29:29" x14ac:dyDescent="0.25">
      <c r="AC3013" s="8"/>
    </row>
    <row r="3014" spans="29:29" x14ac:dyDescent="0.25">
      <c r="AC3014" s="8"/>
    </row>
    <row r="3015" spans="29:29" x14ac:dyDescent="0.25">
      <c r="AC3015" s="8"/>
    </row>
    <row r="3016" spans="29:29" x14ac:dyDescent="0.25">
      <c r="AC3016" s="8"/>
    </row>
    <row r="3017" spans="29:29" x14ac:dyDescent="0.25">
      <c r="AC3017" s="8"/>
    </row>
    <row r="3018" spans="29:29" x14ac:dyDescent="0.25">
      <c r="AC3018" s="8"/>
    </row>
    <row r="3019" spans="29:29" x14ac:dyDescent="0.25">
      <c r="AC3019" s="8"/>
    </row>
    <row r="3020" spans="29:29" x14ac:dyDescent="0.25">
      <c r="AC3020" s="8"/>
    </row>
    <row r="3021" spans="29:29" x14ac:dyDescent="0.25">
      <c r="AC3021" s="8"/>
    </row>
    <row r="3022" spans="29:29" x14ac:dyDescent="0.25">
      <c r="AC3022" s="8"/>
    </row>
    <row r="3023" spans="29:29" x14ac:dyDescent="0.25">
      <c r="AC3023" s="8"/>
    </row>
    <row r="3024" spans="29:29" x14ac:dyDescent="0.25">
      <c r="AC3024" s="8"/>
    </row>
    <row r="3025" spans="29:29" x14ac:dyDescent="0.25">
      <c r="AC3025" s="8"/>
    </row>
    <row r="3026" spans="29:29" x14ac:dyDescent="0.25">
      <c r="AC3026" s="8"/>
    </row>
    <row r="3027" spans="29:29" x14ac:dyDescent="0.25">
      <c r="AC3027" s="8"/>
    </row>
    <row r="3028" spans="29:29" x14ac:dyDescent="0.25">
      <c r="AC3028" s="8"/>
    </row>
    <row r="3029" spans="29:29" x14ac:dyDescent="0.25">
      <c r="AC3029" s="8"/>
    </row>
    <row r="3030" spans="29:29" x14ac:dyDescent="0.25">
      <c r="AC3030" s="8"/>
    </row>
    <row r="3031" spans="29:29" x14ac:dyDescent="0.25">
      <c r="AC3031" s="8"/>
    </row>
    <row r="3032" spans="29:29" x14ac:dyDescent="0.25">
      <c r="AC3032" s="8"/>
    </row>
    <row r="3033" spans="29:29" x14ac:dyDescent="0.25">
      <c r="AC3033" s="8"/>
    </row>
    <row r="3034" spans="29:29" x14ac:dyDescent="0.25">
      <c r="AC3034" s="8"/>
    </row>
    <row r="3035" spans="29:29" x14ac:dyDescent="0.25">
      <c r="AC3035" s="8"/>
    </row>
    <row r="3036" spans="29:29" x14ac:dyDescent="0.25">
      <c r="AC3036" s="8"/>
    </row>
    <row r="3037" spans="29:29" x14ac:dyDescent="0.25">
      <c r="AC3037" s="8"/>
    </row>
    <row r="3038" spans="29:29" x14ac:dyDescent="0.25">
      <c r="AC3038" s="8"/>
    </row>
    <row r="3039" spans="29:29" x14ac:dyDescent="0.25">
      <c r="AC3039" s="8"/>
    </row>
    <row r="3040" spans="29:29" x14ac:dyDescent="0.25">
      <c r="AC3040" s="8"/>
    </row>
    <row r="3041" spans="29:29" x14ac:dyDescent="0.25">
      <c r="AC3041" s="8"/>
    </row>
    <row r="3042" spans="29:29" x14ac:dyDescent="0.25">
      <c r="AC3042" s="8"/>
    </row>
    <row r="3043" spans="29:29" x14ac:dyDescent="0.25">
      <c r="AC3043" s="8"/>
    </row>
    <row r="3044" spans="29:29" x14ac:dyDescent="0.25">
      <c r="AC3044" s="8"/>
    </row>
    <row r="3045" spans="29:29" x14ac:dyDescent="0.25">
      <c r="AC3045" s="8"/>
    </row>
    <row r="3046" spans="29:29" x14ac:dyDescent="0.25">
      <c r="AC3046" s="8"/>
    </row>
    <row r="3047" spans="29:29" x14ac:dyDescent="0.25">
      <c r="AC3047" s="8"/>
    </row>
    <row r="3048" spans="29:29" x14ac:dyDescent="0.25">
      <c r="AC3048" s="8"/>
    </row>
    <row r="3049" spans="29:29" x14ac:dyDescent="0.25">
      <c r="AC3049" s="8"/>
    </row>
    <row r="3050" spans="29:29" x14ac:dyDescent="0.25">
      <c r="AC3050" s="8"/>
    </row>
    <row r="3051" spans="29:29" x14ac:dyDescent="0.25">
      <c r="AC3051" s="8"/>
    </row>
    <row r="3052" spans="29:29" x14ac:dyDescent="0.25">
      <c r="AC3052" s="8"/>
    </row>
    <row r="3053" spans="29:29" x14ac:dyDescent="0.25">
      <c r="AC3053" s="8"/>
    </row>
    <row r="3054" spans="29:29" x14ac:dyDescent="0.25">
      <c r="AC3054" s="8"/>
    </row>
    <row r="3055" spans="29:29" x14ac:dyDescent="0.25">
      <c r="AC3055" s="8"/>
    </row>
    <row r="3056" spans="29:29" x14ac:dyDescent="0.25">
      <c r="AC3056" s="8"/>
    </row>
    <row r="3057" spans="29:29" x14ac:dyDescent="0.25">
      <c r="AC3057" s="8"/>
    </row>
    <row r="3058" spans="29:29" x14ac:dyDescent="0.25">
      <c r="AC3058" s="8"/>
    </row>
    <row r="3059" spans="29:29" x14ac:dyDescent="0.25">
      <c r="AC3059" s="8"/>
    </row>
    <row r="3060" spans="29:29" x14ac:dyDescent="0.25">
      <c r="AC3060" s="8"/>
    </row>
    <row r="3061" spans="29:29" x14ac:dyDescent="0.25">
      <c r="AC3061" s="8"/>
    </row>
    <row r="3062" spans="29:29" x14ac:dyDescent="0.25">
      <c r="AC3062" s="8"/>
    </row>
    <row r="3063" spans="29:29" x14ac:dyDescent="0.25">
      <c r="AC3063" s="8"/>
    </row>
    <row r="3064" spans="29:29" x14ac:dyDescent="0.25">
      <c r="AC3064" s="8"/>
    </row>
    <row r="3065" spans="29:29" x14ac:dyDescent="0.25">
      <c r="AC3065" s="8"/>
    </row>
    <row r="3066" spans="29:29" x14ac:dyDescent="0.25">
      <c r="AC3066" s="8"/>
    </row>
    <row r="3067" spans="29:29" x14ac:dyDescent="0.25">
      <c r="AC3067" s="8"/>
    </row>
    <row r="3068" spans="29:29" x14ac:dyDescent="0.25">
      <c r="AC3068" s="8"/>
    </row>
    <row r="3069" spans="29:29" x14ac:dyDescent="0.25">
      <c r="AC3069" s="8"/>
    </row>
    <row r="3070" spans="29:29" x14ac:dyDescent="0.25">
      <c r="AC3070" s="8"/>
    </row>
    <row r="3071" spans="29:29" x14ac:dyDescent="0.25">
      <c r="AC3071" s="8"/>
    </row>
    <row r="3072" spans="29:29" x14ac:dyDescent="0.25">
      <c r="AC3072" s="8"/>
    </row>
    <row r="3073" spans="29:29" x14ac:dyDescent="0.25">
      <c r="AC3073" s="8"/>
    </row>
    <row r="3074" spans="29:29" x14ac:dyDescent="0.25">
      <c r="AC3074" s="8"/>
    </row>
    <row r="3075" spans="29:29" x14ac:dyDescent="0.25">
      <c r="AC3075" s="8"/>
    </row>
    <row r="3076" spans="29:29" x14ac:dyDescent="0.25">
      <c r="AC3076" s="8"/>
    </row>
    <row r="3077" spans="29:29" x14ac:dyDescent="0.25">
      <c r="AC3077" s="8"/>
    </row>
    <row r="3078" spans="29:29" x14ac:dyDescent="0.25">
      <c r="AC3078" s="8"/>
    </row>
    <row r="3079" spans="29:29" x14ac:dyDescent="0.25">
      <c r="AC3079" s="8"/>
    </row>
    <row r="3080" spans="29:29" x14ac:dyDescent="0.25">
      <c r="AC3080" s="8"/>
    </row>
    <row r="3081" spans="29:29" x14ac:dyDescent="0.25">
      <c r="AC3081" s="8"/>
    </row>
    <row r="3082" spans="29:29" x14ac:dyDescent="0.25">
      <c r="AC3082" s="8"/>
    </row>
    <row r="3083" spans="29:29" x14ac:dyDescent="0.25">
      <c r="AC3083" s="8"/>
    </row>
    <row r="3084" spans="29:29" x14ac:dyDescent="0.25">
      <c r="AC3084" s="8"/>
    </row>
    <row r="3085" spans="29:29" x14ac:dyDescent="0.25">
      <c r="AC3085" s="8"/>
    </row>
    <row r="3086" spans="29:29" x14ac:dyDescent="0.25">
      <c r="AC3086" s="8"/>
    </row>
    <row r="3087" spans="29:29" x14ac:dyDescent="0.25">
      <c r="AC3087" s="8"/>
    </row>
    <row r="3088" spans="29:29" x14ac:dyDescent="0.25">
      <c r="AC3088" s="8"/>
    </row>
    <row r="3089" spans="29:29" x14ac:dyDescent="0.25">
      <c r="AC3089" s="8"/>
    </row>
    <row r="3090" spans="29:29" x14ac:dyDescent="0.25">
      <c r="AC3090" s="8"/>
    </row>
    <row r="3091" spans="29:29" x14ac:dyDescent="0.25">
      <c r="AC3091" s="8"/>
    </row>
    <row r="3092" spans="29:29" x14ac:dyDescent="0.25">
      <c r="AC3092" s="8"/>
    </row>
    <row r="3093" spans="29:29" x14ac:dyDescent="0.25">
      <c r="AC3093" s="8"/>
    </row>
    <row r="3094" spans="29:29" x14ac:dyDescent="0.25">
      <c r="AC3094" s="8"/>
    </row>
    <row r="3095" spans="29:29" x14ac:dyDescent="0.25">
      <c r="AC3095" s="8"/>
    </row>
    <row r="3096" spans="29:29" x14ac:dyDescent="0.25">
      <c r="AC3096" s="8"/>
    </row>
    <row r="3097" spans="29:29" x14ac:dyDescent="0.25">
      <c r="AC3097" s="8"/>
    </row>
    <row r="3098" spans="29:29" x14ac:dyDescent="0.25">
      <c r="AC3098" s="8"/>
    </row>
    <row r="3099" spans="29:29" x14ac:dyDescent="0.25">
      <c r="AC3099" s="8"/>
    </row>
    <row r="3100" spans="29:29" x14ac:dyDescent="0.25">
      <c r="AC3100" s="8"/>
    </row>
    <row r="3101" spans="29:29" x14ac:dyDescent="0.25">
      <c r="AC3101" s="8"/>
    </row>
    <row r="3102" spans="29:29" x14ac:dyDescent="0.25">
      <c r="AC3102" s="8"/>
    </row>
    <row r="3103" spans="29:29" x14ac:dyDescent="0.25">
      <c r="AC3103" s="8"/>
    </row>
    <row r="3104" spans="29:29" x14ac:dyDescent="0.25">
      <c r="AC3104" s="8"/>
    </row>
    <row r="3105" spans="29:29" x14ac:dyDescent="0.25">
      <c r="AC3105" s="8"/>
    </row>
    <row r="3106" spans="29:29" x14ac:dyDescent="0.25">
      <c r="AC3106" s="8"/>
    </row>
    <row r="3107" spans="29:29" x14ac:dyDescent="0.25">
      <c r="AC3107" s="8"/>
    </row>
    <row r="3108" spans="29:29" x14ac:dyDescent="0.25">
      <c r="AC3108" s="8"/>
    </row>
    <row r="3109" spans="29:29" x14ac:dyDescent="0.25">
      <c r="AC3109" s="8"/>
    </row>
    <row r="3110" spans="29:29" x14ac:dyDescent="0.25">
      <c r="AC3110" s="8"/>
    </row>
    <row r="3111" spans="29:29" x14ac:dyDescent="0.25">
      <c r="AC3111" s="8"/>
    </row>
    <row r="3112" spans="29:29" x14ac:dyDescent="0.25">
      <c r="AC3112" s="8"/>
    </row>
    <row r="3113" spans="29:29" x14ac:dyDescent="0.25">
      <c r="AC3113" s="8"/>
    </row>
    <row r="3114" spans="29:29" x14ac:dyDescent="0.25">
      <c r="AC3114" s="8"/>
    </row>
    <row r="3115" spans="29:29" x14ac:dyDescent="0.25">
      <c r="AC3115" s="8"/>
    </row>
    <row r="3116" spans="29:29" x14ac:dyDescent="0.25">
      <c r="AC3116" s="8"/>
    </row>
    <row r="3117" spans="29:29" x14ac:dyDescent="0.25">
      <c r="AC3117" s="8"/>
    </row>
    <row r="3118" spans="29:29" x14ac:dyDescent="0.25">
      <c r="AC3118" s="8"/>
    </row>
    <row r="3119" spans="29:29" x14ac:dyDescent="0.25">
      <c r="AC3119" s="8"/>
    </row>
    <row r="3120" spans="29:29" x14ac:dyDescent="0.25">
      <c r="AC3120" s="8"/>
    </row>
    <row r="3121" spans="29:29" x14ac:dyDescent="0.25">
      <c r="AC3121" s="8"/>
    </row>
    <row r="3122" spans="29:29" x14ac:dyDescent="0.25">
      <c r="AC3122" s="8"/>
    </row>
    <row r="3123" spans="29:29" x14ac:dyDescent="0.25">
      <c r="AC3123" s="8"/>
    </row>
    <row r="3124" spans="29:29" x14ac:dyDescent="0.25">
      <c r="AC3124" s="8"/>
    </row>
    <row r="3125" spans="29:29" x14ac:dyDescent="0.25">
      <c r="AC3125" s="8"/>
    </row>
    <row r="3126" spans="29:29" x14ac:dyDescent="0.25">
      <c r="AC3126" s="8"/>
    </row>
    <row r="3127" spans="29:29" x14ac:dyDescent="0.25">
      <c r="AC3127" s="8"/>
    </row>
    <row r="3128" spans="29:29" x14ac:dyDescent="0.25">
      <c r="AC3128" s="8"/>
    </row>
    <row r="3129" spans="29:29" x14ac:dyDescent="0.25">
      <c r="AC3129" s="8"/>
    </row>
    <row r="3130" spans="29:29" x14ac:dyDescent="0.25">
      <c r="AC3130" s="8"/>
    </row>
    <row r="3131" spans="29:29" x14ac:dyDescent="0.25">
      <c r="AC3131" s="8"/>
    </row>
    <row r="3132" spans="29:29" x14ac:dyDescent="0.25">
      <c r="AC3132" s="8"/>
    </row>
    <row r="3133" spans="29:29" x14ac:dyDescent="0.25">
      <c r="AC3133" s="8"/>
    </row>
    <row r="3134" spans="29:29" x14ac:dyDescent="0.25">
      <c r="AC3134" s="8"/>
    </row>
    <row r="3135" spans="29:29" x14ac:dyDescent="0.25">
      <c r="AC3135" s="8"/>
    </row>
    <row r="3136" spans="29:29" x14ac:dyDescent="0.25">
      <c r="AC3136" s="8"/>
    </row>
    <row r="3137" spans="29:29" x14ac:dyDescent="0.25">
      <c r="AC3137" s="8"/>
    </row>
    <row r="3138" spans="29:29" x14ac:dyDescent="0.25">
      <c r="AC3138" s="8"/>
    </row>
    <row r="3139" spans="29:29" x14ac:dyDescent="0.25">
      <c r="AC3139" s="8"/>
    </row>
    <row r="3140" spans="29:29" x14ac:dyDescent="0.25">
      <c r="AC3140" s="8"/>
    </row>
    <row r="3141" spans="29:29" x14ac:dyDescent="0.25">
      <c r="AC3141" s="8"/>
    </row>
    <row r="3142" spans="29:29" x14ac:dyDescent="0.25">
      <c r="AC3142" s="8"/>
    </row>
    <row r="3143" spans="29:29" x14ac:dyDescent="0.25">
      <c r="AC3143" s="8"/>
    </row>
    <row r="3144" spans="29:29" x14ac:dyDescent="0.25">
      <c r="AC3144" s="8"/>
    </row>
    <row r="3145" spans="29:29" x14ac:dyDescent="0.25">
      <c r="AC3145" s="8"/>
    </row>
    <row r="3146" spans="29:29" x14ac:dyDescent="0.25">
      <c r="AC3146" s="8"/>
    </row>
    <row r="3147" spans="29:29" x14ac:dyDescent="0.25">
      <c r="AC3147" s="8"/>
    </row>
    <row r="3148" spans="29:29" x14ac:dyDescent="0.25">
      <c r="AC3148" s="8"/>
    </row>
    <row r="3149" spans="29:29" x14ac:dyDescent="0.25">
      <c r="AC3149" s="8"/>
    </row>
    <row r="3150" spans="29:29" x14ac:dyDescent="0.25">
      <c r="AC3150" s="8"/>
    </row>
    <row r="3151" spans="29:29" x14ac:dyDescent="0.25">
      <c r="AC3151" s="8"/>
    </row>
    <row r="3152" spans="29:29" x14ac:dyDescent="0.25">
      <c r="AC3152" s="8"/>
    </row>
    <row r="3153" spans="29:29" x14ac:dyDescent="0.25">
      <c r="AC3153" s="8"/>
    </row>
    <row r="3154" spans="29:29" x14ac:dyDescent="0.25">
      <c r="AC3154" s="8"/>
    </row>
    <row r="3155" spans="29:29" x14ac:dyDescent="0.25">
      <c r="AC3155" s="8"/>
    </row>
    <row r="3156" spans="29:29" x14ac:dyDescent="0.25">
      <c r="AC3156" s="8"/>
    </row>
    <row r="3157" spans="29:29" x14ac:dyDescent="0.25">
      <c r="AC3157" s="8"/>
    </row>
    <row r="3158" spans="29:29" x14ac:dyDescent="0.25">
      <c r="AC3158" s="8"/>
    </row>
    <row r="3159" spans="29:29" x14ac:dyDescent="0.25">
      <c r="AC3159" s="8"/>
    </row>
    <row r="3160" spans="29:29" x14ac:dyDescent="0.25">
      <c r="AC3160" s="8"/>
    </row>
    <row r="3161" spans="29:29" x14ac:dyDescent="0.25">
      <c r="AC3161" s="8"/>
    </row>
    <row r="3162" spans="29:29" x14ac:dyDescent="0.25">
      <c r="AC3162" s="8"/>
    </row>
    <row r="3163" spans="29:29" x14ac:dyDescent="0.25">
      <c r="AC3163" s="8"/>
    </row>
    <row r="3164" spans="29:29" x14ac:dyDescent="0.25">
      <c r="AC3164" s="8"/>
    </row>
    <row r="3165" spans="29:29" x14ac:dyDescent="0.25">
      <c r="AC3165" s="8"/>
    </row>
    <row r="3166" spans="29:29" x14ac:dyDescent="0.25">
      <c r="AC3166" s="8"/>
    </row>
    <row r="3167" spans="29:29" x14ac:dyDescent="0.25">
      <c r="AC3167" s="8"/>
    </row>
    <row r="3168" spans="29:29" x14ac:dyDescent="0.25">
      <c r="AC3168" s="8"/>
    </row>
    <row r="3169" spans="29:29" x14ac:dyDescent="0.25">
      <c r="AC3169" s="8"/>
    </row>
    <row r="3170" spans="29:29" x14ac:dyDescent="0.25">
      <c r="AC3170" s="8"/>
    </row>
    <row r="3171" spans="29:29" x14ac:dyDescent="0.25">
      <c r="AC3171" s="8"/>
    </row>
    <row r="3172" spans="29:29" x14ac:dyDescent="0.25">
      <c r="AC3172" s="8"/>
    </row>
    <row r="3173" spans="29:29" x14ac:dyDescent="0.25">
      <c r="AC3173" s="8"/>
    </row>
    <row r="3174" spans="29:29" x14ac:dyDescent="0.25">
      <c r="AC3174" s="8"/>
    </row>
    <row r="3175" spans="29:29" x14ac:dyDescent="0.25">
      <c r="AC3175" s="8"/>
    </row>
    <row r="3176" spans="29:29" x14ac:dyDescent="0.25">
      <c r="AC3176" s="8"/>
    </row>
    <row r="3177" spans="29:29" x14ac:dyDescent="0.25">
      <c r="AC3177" s="8"/>
    </row>
    <row r="3178" spans="29:29" x14ac:dyDescent="0.25">
      <c r="AC3178" s="8"/>
    </row>
    <row r="3179" spans="29:29" x14ac:dyDescent="0.25">
      <c r="AC3179" s="8"/>
    </row>
    <row r="3180" spans="29:29" x14ac:dyDescent="0.25">
      <c r="AC3180" s="8"/>
    </row>
    <row r="3181" spans="29:29" x14ac:dyDescent="0.25">
      <c r="AC3181" s="8"/>
    </row>
    <row r="3182" spans="29:29" x14ac:dyDescent="0.25">
      <c r="AC3182" s="8"/>
    </row>
    <row r="3183" spans="29:29" x14ac:dyDescent="0.25">
      <c r="AC3183" s="8"/>
    </row>
    <row r="3184" spans="29:29" x14ac:dyDescent="0.25">
      <c r="AC3184" s="8"/>
    </row>
    <row r="3185" spans="29:29" x14ac:dyDescent="0.25">
      <c r="AC3185" s="8"/>
    </row>
    <row r="3186" spans="29:29" x14ac:dyDescent="0.25">
      <c r="AC3186" s="8"/>
    </row>
    <row r="3187" spans="29:29" x14ac:dyDescent="0.25">
      <c r="AC3187" s="8"/>
    </row>
    <row r="3188" spans="29:29" x14ac:dyDescent="0.25">
      <c r="AC3188" s="8"/>
    </row>
    <row r="3189" spans="29:29" x14ac:dyDescent="0.25">
      <c r="AC3189" s="8"/>
    </row>
    <row r="3190" spans="29:29" x14ac:dyDescent="0.25">
      <c r="AC3190" s="8"/>
    </row>
    <row r="3191" spans="29:29" x14ac:dyDescent="0.25">
      <c r="AC3191" s="8"/>
    </row>
    <row r="3192" spans="29:29" x14ac:dyDescent="0.25">
      <c r="AC3192" s="8"/>
    </row>
    <row r="3193" spans="29:29" x14ac:dyDescent="0.25">
      <c r="AC3193" s="8"/>
    </row>
    <row r="3194" spans="29:29" x14ac:dyDescent="0.25">
      <c r="AC3194" s="8"/>
    </row>
    <row r="3195" spans="29:29" x14ac:dyDescent="0.25">
      <c r="AC3195" s="8"/>
    </row>
    <row r="3196" spans="29:29" x14ac:dyDescent="0.25">
      <c r="AC3196" s="8"/>
    </row>
    <row r="3197" spans="29:29" x14ac:dyDescent="0.25">
      <c r="AC3197" s="8"/>
    </row>
    <row r="3198" spans="29:29" x14ac:dyDescent="0.25">
      <c r="AC3198" s="8"/>
    </row>
    <row r="3199" spans="29:29" x14ac:dyDescent="0.25">
      <c r="AC3199" s="8"/>
    </row>
    <row r="3200" spans="29:29" x14ac:dyDescent="0.25">
      <c r="AC3200" s="8"/>
    </row>
    <row r="3201" spans="29:29" x14ac:dyDescent="0.25">
      <c r="AC3201" s="8"/>
    </row>
    <row r="3202" spans="29:29" x14ac:dyDescent="0.25">
      <c r="AC3202" s="8"/>
    </row>
    <row r="3203" spans="29:29" x14ac:dyDescent="0.25">
      <c r="AC3203" s="8"/>
    </row>
    <row r="3204" spans="29:29" x14ac:dyDescent="0.25">
      <c r="AC3204" s="8"/>
    </row>
    <row r="3205" spans="29:29" x14ac:dyDescent="0.25">
      <c r="AC3205" s="8"/>
    </row>
    <row r="3206" spans="29:29" x14ac:dyDescent="0.25">
      <c r="AC3206" s="8"/>
    </row>
    <row r="3207" spans="29:29" x14ac:dyDescent="0.25">
      <c r="AC3207" s="8"/>
    </row>
    <row r="3208" spans="29:29" x14ac:dyDescent="0.25">
      <c r="AC3208" s="8"/>
    </row>
    <row r="3209" spans="29:29" x14ac:dyDescent="0.25">
      <c r="AC3209" s="8"/>
    </row>
    <row r="3210" spans="29:29" x14ac:dyDescent="0.25">
      <c r="AC3210" s="8"/>
    </row>
    <row r="3211" spans="29:29" x14ac:dyDescent="0.25">
      <c r="AC3211" s="8"/>
    </row>
    <row r="3212" spans="29:29" x14ac:dyDescent="0.25">
      <c r="AC3212" s="8"/>
    </row>
    <row r="3213" spans="29:29" x14ac:dyDescent="0.25">
      <c r="AC3213" s="8"/>
    </row>
    <row r="3214" spans="29:29" x14ac:dyDescent="0.25">
      <c r="AC3214" s="8"/>
    </row>
    <row r="3215" spans="29:29" x14ac:dyDescent="0.25">
      <c r="AC3215" s="8"/>
    </row>
    <row r="3216" spans="29:29" x14ac:dyDescent="0.25">
      <c r="AC3216" s="8"/>
    </row>
    <row r="3217" spans="29:29" x14ac:dyDescent="0.25">
      <c r="AC3217" s="8"/>
    </row>
    <row r="3218" spans="29:29" x14ac:dyDescent="0.25">
      <c r="AC3218" s="8"/>
    </row>
    <row r="3219" spans="29:29" x14ac:dyDescent="0.25">
      <c r="AC3219" s="8"/>
    </row>
    <row r="3220" spans="29:29" x14ac:dyDescent="0.25">
      <c r="AC3220" s="8"/>
    </row>
    <row r="3221" spans="29:29" x14ac:dyDescent="0.25">
      <c r="AC3221" s="8"/>
    </row>
    <row r="3222" spans="29:29" x14ac:dyDescent="0.25">
      <c r="AC3222" s="8"/>
    </row>
    <row r="3223" spans="29:29" x14ac:dyDescent="0.25">
      <c r="AC3223" s="8"/>
    </row>
    <row r="3224" spans="29:29" x14ac:dyDescent="0.25">
      <c r="AC3224" s="8"/>
    </row>
    <row r="3225" spans="29:29" x14ac:dyDescent="0.25">
      <c r="AC3225" s="8"/>
    </row>
    <row r="3226" spans="29:29" x14ac:dyDescent="0.25">
      <c r="AC3226" s="8"/>
    </row>
    <row r="3227" spans="29:29" x14ac:dyDescent="0.25">
      <c r="AC3227" s="8"/>
    </row>
    <row r="3228" spans="29:29" x14ac:dyDescent="0.25">
      <c r="AC3228" s="8"/>
    </row>
    <row r="3229" spans="29:29" x14ac:dyDescent="0.25">
      <c r="AC3229" s="8"/>
    </row>
    <row r="3230" spans="29:29" x14ac:dyDescent="0.25">
      <c r="AC3230" s="8"/>
    </row>
    <row r="3231" spans="29:29" x14ac:dyDescent="0.25">
      <c r="AC3231" s="8"/>
    </row>
    <row r="3232" spans="29:29" x14ac:dyDescent="0.25">
      <c r="AC3232" s="8"/>
    </row>
    <row r="3233" spans="29:29" x14ac:dyDescent="0.25">
      <c r="AC3233" s="8"/>
    </row>
    <row r="3234" spans="29:29" x14ac:dyDescent="0.25">
      <c r="AC3234" s="8"/>
    </row>
    <row r="3235" spans="29:29" x14ac:dyDescent="0.25">
      <c r="AC3235" s="8"/>
    </row>
    <row r="3236" spans="29:29" x14ac:dyDescent="0.25">
      <c r="AC3236" s="8"/>
    </row>
    <row r="3237" spans="29:29" x14ac:dyDescent="0.25">
      <c r="AC3237" s="8"/>
    </row>
    <row r="3238" spans="29:29" x14ac:dyDescent="0.25">
      <c r="AC3238" s="8"/>
    </row>
    <row r="3239" spans="29:29" x14ac:dyDescent="0.25">
      <c r="AC3239" s="8"/>
    </row>
    <row r="3240" spans="29:29" x14ac:dyDescent="0.25">
      <c r="AC3240" s="8"/>
    </row>
    <row r="3241" spans="29:29" x14ac:dyDescent="0.25">
      <c r="AC3241" s="8"/>
    </row>
    <row r="3242" spans="29:29" x14ac:dyDescent="0.25">
      <c r="AC3242" s="8"/>
    </row>
    <row r="3243" spans="29:29" x14ac:dyDescent="0.25">
      <c r="AC3243" s="8"/>
    </row>
    <row r="3244" spans="29:29" x14ac:dyDescent="0.25">
      <c r="AC3244" s="8"/>
    </row>
    <row r="3245" spans="29:29" x14ac:dyDescent="0.25">
      <c r="AC3245" s="8"/>
    </row>
    <row r="3246" spans="29:29" x14ac:dyDescent="0.25">
      <c r="AC3246" s="8"/>
    </row>
    <row r="3247" spans="29:29" x14ac:dyDescent="0.25">
      <c r="AC3247" s="8"/>
    </row>
    <row r="3248" spans="29:29" x14ac:dyDescent="0.25">
      <c r="AC3248" s="8"/>
    </row>
    <row r="3249" spans="29:29" x14ac:dyDescent="0.25">
      <c r="AC3249" s="8"/>
    </row>
    <row r="3250" spans="29:29" x14ac:dyDescent="0.25">
      <c r="AC3250" s="8"/>
    </row>
    <row r="3251" spans="29:29" x14ac:dyDescent="0.25">
      <c r="AC3251" s="8"/>
    </row>
    <row r="3252" spans="29:29" x14ac:dyDescent="0.25">
      <c r="AC3252" s="8"/>
    </row>
    <row r="3253" spans="29:29" x14ac:dyDescent="0.25">
      <c r="AC3253" s="8"/>
    </row>
    <row r="3254" spans="29:29" x14ac:dyDescent="0.25">
      <c r="AC3254" s="8"/>
    </row>
    <row r="3255" spans="29:29" x14ac:dyDescent="0.25">
      <c r="AC3255" s="8"/>
    </row>
    <row r="3256" spans="29:29" x14ac:dyDescent="0.25">
      <c r="AC3256" s="8"/>
    </row>
    <row r="3257" spans="29:29" x14ac:dyDescent="0.25">
      <c r="AC3257" s="8"/>
    </row>
    <row r="3258" spans="29:29" x14ac:dyDescent="0.25">
      <c r="AC3258" s="8"/>
    </row>
    <row r="3259" spans="29:29" x14ac:dyDescent="0.25">
      <c r="AC3259" s="8"/>
    </row>
    <row r="3260" spans="29:29" x14ac:dyDescent="0.25">
      <c r="AC3260" s="8"/>
    </row>
    <row r="3261" spans="29:29" x14ac:dyDescent="0.25">
      <c r="AC3261" s="8"/>
    </row>
    <row r="3262" spans="29:29" x14ac:dyDescent="0.25">
      <c r="AC3262" s="8"/>
    </row>
    <row r="3263" spans="29:29" x14ac:dyDescent="0.25">
      <c r="AC3263" s="8"/>
    </row>
    <row r="3264" spans="29:29" x14ac:dyDescent="0.25">
      <c r="AC3264" s="8"/>
    </row>
    <row r="3265" spans="29:29" x14ac:dyDescent="0.25">
      <c r="AC3265" s="8"/>
    </row>
    <row r="3266" spans="29:29" x14ac:dyDescent="0.25">
      <c r="AC3266" s="8"/>
    </row>
    <row r="3267" spans="29:29" x14ac:dyDescent="0.25">
      <c r="AC3267" s="8"/>
    </row>
    <row r="3268" spans="29:29" x14ac:dyDescent="0.25">
      <c r="AC3268" s="8"/>
    </row>
    <row r="3269" spans="29:29" x14ac:dyDescent="0.25">
      <c r="AC3269" s="8"/>
    </row>
    <row r="3270" spans="29:29" x14ac:dyDescent="0.25">
      <c r="AC3270" s="8"/>
    </row>
    <row r="3271" spans="29:29" x14ac:dyDescent="0.25">
      <c r="AC3271" s="8"/>
    </row>
    <row r="3272" spans="29:29" x14ac:dyDescent="0.25">
      <c r="AC3272" s="8"/>
    </row>
    <row r="3273" spans="29:29" x14ac:dyDescent="0.25">
      <c r="AC3273" s="8"/>
    </row>
    <row r="3274" spans="29:29" x14ac:dyDescent="0.25">
      <c r="AC3274" s="8"/>
    </row>
    <row r="3275" spans="29:29" x14ac:dyDescent="0.25">
      <c r="AC3275" s="8"/>
    </row>
    <row r="3276" spans="29:29" x14ac:dyDescent="0.25">
      <c r="AC3276" s="8"/>
    </row>
    <row r="3277" spans="29:29" x14ac:dyDescent="0.25">
      <c r="AC3277" s="8"/>
    </row>
    <row r="3278" spans="29:29" x14ac:dyDescent="0.25">
      <c r="AC3278" s="8"/>
    </row>
    <row r="3279" spans="29:29" x14ac:dyDescent="0.25">
      <c r="AC3279" s="8"/>
    </row>
    <row r="3280" spans="29:29" x14ac:dyDescent="0.25">
      <c r="AC3280" s="8"/>
    </row>
    <row r="3281" spans="29:29" x14ac:dyDescent="0.25">
      <c r="AC3281" s="8"/>
    </row>
    <row r="3282" spans="29:29" x14ac:dyDescent="0.25">
      <c r="AC3282" s="8"/>
    </row>
    <row r="3283" spans="29:29" x14ac:dyDescent="0.25">
      <c r="AC3283" s="8"/>
    </row>
    <row r="3284" spans="29:29" x14ac:dyDescent="0.25">
      <c r="AC3284" s="8"/>
    </row>
    <row r="3285" spans="29:29" x14ac:dyDescent="0.25">
      <c r="AC3285" s="8"/>
    </row>
    <row r="3286" spans="29:29" x14ac:dyDescent="0.25">
      <c r="AC3286" s="8"/>
    </row>
    <row r="3287" spans="29:29" x14ac:dyDescent="0.25">
      <c r="AC3287" s="8"/>
    </row>
    <row r="3288" spans="29:29" x14ac:dyDescent="0.25">
      <c r="AC3288" s="8"/>
    </row>
    <row r="3289" spans="29:29" x14ac:dyDescent="0.25">
      <c r="AC3289" s="8"/>
    </row>
    <row r="3290" spans="29:29" x14ac:dyDescent="0.25">
      <c r="AC3290" s="8"/>
    </row>
    <row r="3291" spans="29:29" x14ac:dyDescent="0.25">
      <c r="AC3291" s="8"/>
    </row>
    <row r="3292" spans="29:29" x14ac:dyDescent="0.25">
      <c r="AC3292" s="8"/>
    </row>
    <row r="3293" spans="29:29" x14ac:dyDescent="0.25">
      <c r="AC3293" s="8"/>
    </row>
    <row r="3294" spans="29:29" x14ac:dyDescent="0.25">
      <c r="AC3294" s="8"/>
    </row>
    <row r="3295" spans="29:29" x14ac:dyDescent="0.25">
      <c r="AC3295" s="8"/>
    </row>
    <row r="3296" spans="29:29" x14ac:dyDescent="0.25">
      <c r="AC3296" s="8"/>
    </row>
    <row r="3297" spans="29:29" x14ac:dyDescent="0.25">
      <c r="AC3297" s="8"/>
    </row>
    <row r="3298" spans="29:29" x14ac:dyDescent="0.25">
      <c r="AC3298" s="8"/>
    </row>
    <row r="3299" spans="29:29" x14ac:dyDescent="0.25">
      <c r="AC3299" s="8"/>
    </row>
    <row r="3300" spans="29:29" x14ac:dyDescent="0.25">
      <c r="AC3300" s="8"/>
    </row>
    <row r="3301" spans="29:29" x14ac:dyDescent="0.25">
      <c r="AC3301" s="8"/>
    </row>
    <row r="3302" spans="29:29" x14ac:dyDescent="0.25">
      <c r="AC3302" s="8"/>
    </row>
    <row r="3303" spans="29:29" x14ac:dyDescent="0.25">
      <c r="AC3303" s="8"/>
    </row>
    <row r="3304" spans="29:29" x14ac:dyDescent="0.25">
      <c r="AC3304" s="8"/>
    </row>
    <row r="3305" spans="29:29" x14ac:dyDescent="0.25">
      <c r="AC3305" s="8"/>
    </row>
    <row r="3306" spans="29:29" x14ac:dyDescent="0.25">
      <c r="AC3306" s="8"/>
    </row>
    <row r="3307" spans="29:29" x14ac:dyDescent="0.25">
      <c r="AC3307" s="8"/>
    </row>
    <row r="3308" spans="29:29" x14ac:dyDescent="0.25">
      <c r="AC3308" s="8"/>
    </row>
    <row r="3309" spans="29:29" x14ac:dyDescent="0.25">
      <c r="AC3309" s="8"/>
    </row>
    <row r="3310" spans="29:29" x14ac:dyDescent="0.25">
      <c r="AC3310" s="8"/>
    </row>
    <row r="3311" spans="29:29" x14ac:dyDescent="0.25">
      <c r="AC3311" s="8"/>
    </row>
    <row r="3312" spans="29:29" x14ac:dyDescent="0.25">
      <c r="AC3312" s="8"/>
    </row>
    <row r="3313" spans="29:29" x14ac:dyDescent="0.25">
      <c r="AC3313" s="8"/>
    </row>
    <row r="3314" spans="29:29" x14ac:dyDescent="0.25">
      <c r="AC3314" s="8"/>
    </row>
    <row r="3315" spans="29:29" x14ac:dyDescent="0.25">
      <c r="AC3315" s="8"/>
    </row>
    <row r="3316" spans="29:29" x14ac:dyDescent="0.25">
      <c r="AC3316" s="8"/>
    </row>
    <row r="3317" spans="29:29" x14ac:dyDescent="0.25">
      <c r="AC3317" s="8"/>
    </row>
    <row r="3318" spans="29:29" x14ac:dyDescent="0.25">
      <c r="AC3318" s="8"/>
    </row>
    <row r="3319" spans="29:29" x14ac:dyDescent="0.25">
      <c r="AC3319" s="8"/>
    </row>
    <row r="3320" spans="29:29" x14ac:dyDescent="0.25">
      <c r="AC3320" s="8"/>
    </row>
    <row r="3321" spans="29:29" x14ac:dyDescent="0.25">
      <c r="AC3321" s="8"/>
    </row>
    <row r="3322" spans="29:29" x14ac:dyDescent="0.25">
      <c r="AC3322" s="8"/>
    </row>
    <row r="3323" spans="29:29" x14ac:dyDescent="0.25">
      <c r="AC3323" s="8"/>
    </row>
    <row r="3324" spans="29:29" x14ac:dyDescent="0.25">
      <c r="AC3324" s="8"/>
    </row>
    <row r="3325" spans="29:29" x14ac:dyDescent="0.25">
      <c r="AC3325" s="8"/>
    </row>
    <row r="3326" spans="29:29" x14ac:dyDescent="0.25">
      <c r="AC3326" s="8"/>
    </row>
    <row r="3327" spans="29:29" x14ac:dyDescent="0.25">
      <c r="AC3327" s="8"/>
    </row>
    <row r="3328" spans="29:29" x14ac:dyDescent="0.25">
      <c r="AC3328" s="8"/>
    </row>
    <row r="3329" spans="29:29" x14ac:dyDescent="0.25">
      <c r="AC3329" s="8"/>
    </row>
    <row r="3330" spans="29:29" x14ac:dyDescent="0.25">
      <c r="AC3330" s="8"/>
    </row>
    <row r="3331" spans="29:29" x14ac:dyDescent="0.25">
      <c r="AC3331" s="8"/>
    </row>
    <row r="3332" spans="29:29" x14ac:dyDescent="0.25">
      <c r="AC3332" s="8"/>
    </row>
    <row r="3333" spans="29:29" x14ac:dyDescent="0.25">
      <c r="AC3333" s="8"/>
    </row>
    <row r="3334" spans="29:29" x14ac:dyDescent="0.25">
      <c r="AC3334" s="8"/>
    </row>
    <row r="3335" spans="29:29" x14ac:dyDescent="0.25">
      <c r="AC3335" s="8"/>
    </row>
    <row r="3336" spans="29:29" x14ac:dyDescent="0.25">
      <c r="AC3336" s="8"/>
    </row>
    <row r="3337" spans="29:29" x14ac:dyDescent="0.25">
      <c r="AC3337" s="8"/>
    </row>
    <row r="3338" spans="29:29" x14ac:dyDescent="0.25">
      <c r="AC3338" s="8"/>
    </row>
    <row r="3339" spans="29:29" x14ac:dyDescent="0.25">
      <c r="AC3339" s="8"/>
    </row>
    <row r="3340" spans="29:29" x14ac:dyDescent="0.25">
      <c r="AC3340" s="8"/>
    </row>
    <row r="3341" spans="29:29" x14ac:dyDescent="0.25">
      <c r="AC3341" s="8"/>
    </row>
    <row r="3342" spans="29:29" x14ac:dyDescent="0.25">
      <c r="AC3342" s="8"/>
    </row>
    <row r="3343" spans="29:29" x14ac:dyDescent="0.25">
      <c r="AC3343" s="8"/>
    </row>
    <row r="3344" spans="29:29" x14ac:dyDescent="0.25">
      <c r="AC3344" s="8"/>
    </row>
    <row r="3345" spans="29:29" x14ac:dyDescent="0.25">
      <c r="AC3345" s="8"/>
    </row>
    <row r="3346" spans="29:29" x14ac:dyDescent="0.25">
      <c r="AC3346" s="8"/>
    </row>
    <row r="3347" spans="29:29" x14ac:dyDescent="0.25">
      <c r="AC3347" s="8"/>
    </row>
    <row r="3348" spans="29:29" x14ac:dyDescent="0.25">
      <c r="AC3348" s="8"/>
    </row>
    <row r="3349" spans="29:29" x14ac:dyDescent="0.25">
      <c r="AC3349" s="8"/>
    </row>
    <row r="3350" spans="29:29" x14ac:dyDescent="0.25">
      <c r="AC3350" s="8"/>
    </row>
    <row r="3351" spans="29:29" x14ac:dyDescent="0.25">
      <c r="AC3351" s="8"/>
    </row>
    <row r="3352" spans="29:29" x14ac:dyDescent="0.25">
      <c r="AC3352" s="8"/>
    </row>
    <row r="3353" spans="29:29" x14ac:dyDescent="0.25">
      <c r="AC3353" s="8"/>
    </row>
    <row r="3354" spans="29:29" x14ac:dyDescent="0.25">
      <c r="AC3354" s="8"/>
    </row>
    <row r="3355" spans="29:29" x14ac:dyDescent="0.25">
      <c r="AC3355" s="8"/>
    </row>
    <row r="3356" spans="29:29" x14ac:dyDescent="0.25">
      <c r="AC3356" s="8"/>
    </row>
    <row r="3357" spans="29:29" x14ac:dyDescent="0.25">
      <c r="AC3357" s="8"/>
    </row>
    <row r="3358" spans="29:29" x14ac:dyDescent="0.25">
      <c r="AC3358" s="8"/>
    </row>
    <row r="3359" spans="29:29" x14ac:dyDescent="0.25">
      <c r="AC3359" s="8"/>
    </row>
    <row r="3360" spans="29:29" x14ac:dyDescent="0.25">
      <c r="AC3360" s="8"/>
    </row>
    <row r="3361" spans="29:29" x14ac:dyDescent="0.25">
      <c r="AC3361" s="8"/>
    </row>
    <row r="3362" spans="29:29" x14ac:dyDescent="0.25">
      <c r="AC3362" s="8"/>
    </row>
    <row r="3363" spans="29:29" x14ac:dyDescent="0.25">
      <c r="AC3363" s="8"/>
    </row>
    <row r="3364" spans="29:29" x14ac:dyDescent="0.25">
      <c r="AC3364" s="8"/>
    </row>
    <row r="3365" spans="29:29" x14ac:dyDescent="0.25">
      <c r="AC3365" s="8"/>
    </row>
    <row r="3366" spans="29:29" x14ac:dyDescent="0.25">
      <c r="AC3366" s="8"/>
    </row>
    <row r="3367" spans="29:29" x14ac:dyDescent="0.25">
      <c r="AC3367" s="8"/>
    </row>
    <row r="3368" spans="29:29" x14ac:dyDescent="0.25">
      <c r="AC3368" s="8"/>
    </row>
    <row r="3369" spans="29:29" x14ac:dyDescent="0.25">
      <c r="AC3369" s="8"/>
    </row>
    <row r="3370" spans="29:29" x14ac:dyDescent="0.25">
      <c r="AC3370" s="8"/>
    </row>
    <row r="3371" spans="29:29" x14ac:dyDescent="0.25">
      <c r="AC3371" s="8"/>
    </row>
    <row r="3372" spans="29:29" x14ac:dyDescent="0.25">
      <c r="AC3372" s="8"/>
    </row>
    <row r="3373" spans="29:29" x14ac:dyDescent="0.25">
      <c r="AC3373" s="8"/>
    </row>
    <row r="3374" spans="29:29" x14ac:dyDescent="0.25">
      <c r="AC3374" s="8"/>
    </row>
    <row r="3375" spans="29:29" x14ac:dyDescent="0.25">
      <c r="AC3375" s="8"/>
    </row>
    <row r="3376" spans="29:29" x14ac:dyDescent="0.25">
      <c r="AC3376" s="8"/>
    </row>
    <row r="3377" spans="29:29" x14ac:dyDescent="0.25">
      <c r="AC3377" s="8"/>
    </row>
    <row r="3378" spans="29:29" x14ac:dyDescent="0.25">
      <c r="AC3378" s="8"/>
    </row>
    <row r="3379" spans="29:29" x14ac:dyDescent="0.25">
      <c r="AC3379" s="8"/>
    </row>
    <row r="3380" spans="29:29" x14ac:dyDescent="0.25">
      <c r="AC3380" s="8"/>
    </row>
    <row r="3381" spans="29:29" x14ac:dyDescent="0.25">
      <c r="AC3381" s="8"/>
    </row>
    <row r="3382" spans="29:29" x14ac:dyDescent="0.25">
      <c r="AC3382" s="8"/>
    </row>
    <row r="3383" spans="29:29" x14ac:dyDescent="0.25">
      <c r="AC3383" s="8"/>
    </row>
    <row r="3384" spans="29:29" x14ac:dyDescent="0.25">
      <c r="AC3384" s="8"/>
    </row>
    <row r="3385" spans="29:29" x14ac:dyDescent="0.25">
      <c r="AC3385" s="8"/>
    </row>
    <row r="3386" spans="29:29" x14ac:dyDescent="0.25">
      <c r="AC3386" s="8"/>
    </row>
    <row r="3387" spans="29:29" x14ac:dyDescent="0.25">
      <c r="AC3387" s="8"/>
    </row>
    <row r="3388" spans="29:29" x14ac:dyDescent="0.25">
      <c r="AC3388" s="8"/>
    </row>
    <row r="3389" spans="29:29" x14ac:dyDescent="0.25">
      <c r="AC3389" s="8"/>
    </row>
    <row r="3390" spans="29:29" x14ac:dyDescent="0.25">
      <c r="AC3390" s="8"/>
    </row>
    <row r="3391" spans="29:29" x14ac:dyDescent="0.25">
      <c r="AC3391" s="8"/>
    </row>
    <row r="3392" spans="29:29" x14ac:dyDescent="0.25">
      <c r="AC3392" s="8"/>
    </row>
    <row r="3393" spans="29:29" x14ac:dyDescent="0.25">
      <c r="AC3393" s="8"/>
    </row>
    <row r="3394" spans="29:29" x14ac:dyDescent="0.25">
      <c r="AC3394" s="8"/>
    </row>
    <row r="3395" spans="29:29" x14ac:dyDescent="0.25">
      <c r="AC3395" s="8"/>
    </row>
    <row r="3396" spans="29:29" x14ac:dyDescent="0.25">
      <c r="AC3396" s="8"/>
    </row>
    <row r="3397" spans="29:29" x14ac:dyDescent="0.25">
      <c r="AC3397" s="8"/>
    </row>
    <row r="3398" spans="29:29" x14ac:dyDescent="0.25">
      <c r="AC3398" s="8"/>
    </row>
    <row r="3399" spans="29:29" x14ac:dyDescent="0.25">
      <c r="AC3399" s="8"/>
    </row>
    <row r="3400" spans="29:29" x14ac:dyDescent="0.25">
      <c r="AC3400" s="8"/>
    </row>
    <row r="3401" spans="29:29" x14ac:dyDescent="0.25">
      <c r="AC3401" s="8"/>
    </row>
    <row r="3402" spans="29:29" x14ac:dyDescent="0.25">
      <c r="AC3402" s="8"/>
    </row>
    <row r="3403" spans="29:29" x14ac:dyDescent="0.25">
      <c r="AC3403" s="8"/>
    </row>
    <row r="3404" spans="29:29" x14ac:dyDescent="0.25">
      <c r="AC3404" s="8"/>
    </row>
    <row r="3405" spans="29:29" x14ac:dyDescent="0.25">
      <c r="AC3405" s="8"/>
    </row>
    <row r="3406" spans="29:29" x14ac:dyDescent="0.25">
      <c r="AC3406" s="8"/>
    </row>
    <row r="3407" spans="29:29" x14ac:dyDescent="0.25">
      <c r="AC3407" s="8"/>
    </row>
    <row r="3408" spans="29:29" x14ac:dyDescent="0.25">
      <c r="AC3408" s="8"/>
    </row>
    <row r="3409" spans="29:29" x14ac:dyDescent="0.25">
      <c r="AC3409" s="8"/>
    </row>
    <row r="3410" spans="29:29" x14ac:dyDescent="0.25">
      <c r="AC3410" s="8"/>
    </row>
    <row r="3411" spans="29:29" x14ac:dyDescent="0.25">
      <c r="AC3411" s="8"/>
    </row>
    <row r="3412" spans="29:29" x14ac:dyDescent="0.25">
      <c r="AC3412" s="8"/>
    </row>
    <row r="3413" spans="29:29" x14ac:dyDescent="0.25">
      <c r="AC3413" s="8"/>
    </row>
    <row r="3414" spans="29:29" x14ac:dyDescent="0.25">
      <c r="AC3414" s="8"/>
    </row>
    <row r="3415" spans="29:29" x14ac:dyDescent="0.25">
      <c r="AC3415" s="8"/>
    </row>
    <row r="3416" spans="29:29" x14ac:dyDescent="0.25">
      <c r="AC3416" s="8"/>
    </row>
    <row r="3417" spans="29:29" x14ac:dyDescent="0.25">
      <c r="AC3417" s="8"/>
    </row>
    <row r="3418" spans="29:29" x14ac:dyDescent="0.25">
      <c r="AC3418" s="8"/>
    </row>
    <row r="3419" spans="29:29" x14ac:dyDescent="0.25">
      <c r="AC3419" s="8"/>
    </row>
    <row r="3420" spans="29:29" x14ac:dyDescent="0.25">
      <c r="AC3420" s="8"/>
    </row>
    <row r="3421" spans="29:29" x14ac:dyDescent="0.25">
      <c r="AC3421" s="8"/>
    </row>
    <row r="3422" spans="29:29" x14ac:dyDescent="0.25">
      <c r="AC3422" s="8"/>
    </row>
    <row r="3423" spans="29:29" x14ac:dyDescent="0.25">
      <c r="AC3423" s="8"/>
    </row>
    <row r="3424" spans="29:29" x14ac:dyDescent="0.25">
      <c r="AC3424" s="8"/>
    </row>
    <row r="3425" spans="29:29" x14ac:dyDescent="0.25">
      <c r="AC3425" s="8"/>
    </row>
    <row r="3426" spans="29:29" x14ac:dyDescent="0.25">
      <c r="AC3426" s="8"/>
    </row>
    <row r="3427" spans="29:29" x14ac:dyDescent="0.25">
      <c r="AC3427" s="8"/>
    </row>
    <row r="3428" spans="29:29" x14ac:dyDescent="0.25">
      <c r="AC3428" s="8"/>
    </row>
    <row r="3429" spans="29:29" x14ac:dyDescent="0.25">
      <c r="AC3429" s="8"/>
    </row>
    <row r="3430" spans="29:29" x14ac:dyDescent="0.25">
      <c r="AC3430" s="8"/>
    </row>
    <row r="3431" spans="29:29" x14ac:dyDescent="0.25">
      <c r="AC3431" s="8"/>
    </row>
    <row r="3432" spans="29:29" x14ac:dyDescent="0.25">
      <c r="AC3432" s="8"/>
    </row>
    <row r="3433" spans="29:29" x14ac:dyDescent="0.25">
      <c r="AC3433" s="8"/>
    </row>
    <row r="3434" spans="29:29" x14ac:dyDescent="0.25">
      <c r="AC3434" s="8"/>
    </row>
    <row r="3435" spans="29:29" x14ac:dyDescent="0.25">
      <c r="AC3435" s="8"/>
    </row>
    <row r="3436" spans="29:29" x14ac:dyDescent="0.25">
      <c r="AC3436" s="8"/>
    </row>
    <row r="3437" spans="29:29" x14ac:dyDescent="0.25">
      <c r="AC3437" s="8"/>
    </row>
    <row r="3438" spans="29:29" x14ac:dyDescent="0.25">
      <c r="AC3438" s="8"/>
    </row>
    <row r="3439" spans="29:29" x14ac:dyDescent="0.25">
      <c r="AC3439" s="8"/>
    </row>
    <row r="3440" spans="29:29" x14ac:dyDescent="0.25">
      <c r="AC3440" s="8"/>
    </row>
    <row r="3441" spans="29:29" x14ac:dyDescent="0.25">
      <c r="AC3441" s="8"/>
    </row>
    <row r="3442" spans="29:29" x14ac:dyDescent="0.25">
      <c r="AC3442" s="8"/>
    </row>
    <row r="3443" spans="29:29" x14ac:dyDescent="0.25">
      <c r="AC3443" s="8"/>
    </row>
    <row r="3444" spans="29:29" x14ac:dyDescent="0.25">
      <c r="AC3444" s="8"/>
    </row>
    <row r="3445" spans="29:29" x14ac:dyDescent="0.25">
      <c r="AC3445" s="8"/>
    </row>
    <row r="3446" spans="29:29" x14ac:dyDescent="0.25">
      <c r="AC3446" s="8"/>
    </row>
    <row r="3447" spans="29:29" x14ac:dyDescent="0.25">
      <c r="AC3447" s="8"/>
    </row>
    <row r="3448" spans="29:29" x14ac:dyDescent="0.25">
      <c r="AC3448" s="8"/>
    </row>
    <row r="3449" spans="29:29" x14ac:dyDescent="0.25">
      <c r="AC3449" s="8"/>
    </row>
    <row r="3450" spans="29:29" x14ac:dyDescent="0.25">
      <c r="AC3450" s="8"/>
    </row>
    <row r="3451" spans="29:29" x14ac:dyDescent="0.25">
      <c r="AC3451" s="8"/>
    </row>
    <row r="3452" spans="29:29" x14ac:dyDescent="0.25">
      <c r="AC3452" s="8"/>
    </row>
    <row r="3453" spans="29:29" x14ac:dyDescent="0.25">
      <c r="AC3453" s="8"/>
    </row>
    <row r="3454" spans="29:29" x14ac:dyDescent="0.25">
      <c r="AC3454" s="8"/>
    </row>
    <row r="3455" spans="29:29" x14ac:dyDescent="0.25">
      <c r="AC3455" s="8"/>
    </row>
    <row r="3456" spans="29:29" x14ac:dyDescent="0.25">
      <c r="AC3456" s="8"/>
    </row>
    <row r="3457" spans="29:29" x14ac:dyDescent="0.25">
      <c r="AC3457" s="8"/>
    </row>
    <row r="3458" spans="29:29" x14ac:dyDescent="0.25">
      <c r="AC3458" s="8"/>
    </row>
    <row r="3459" spans="29:29" x14ac:dyDescent="0.25">
      <c r="AC3459" s="8"/>
    </row>
    <row r="3460" spans="29:29" x14ac:dyDescent="0.25">
      <c r="AC3460" s="8"/>
    </row>
    <row r="3461" spans="29:29" x14ac:dyDescent="0.25">
      <c r="AC3461" s="8"/>
    </row>
    <row r="3462" spans="29:29" x14ac:dyDescent="0.25">
      <c r="AC3462" s="8"/>
    </row>
    <row r="3463" spans="29:29" x14ac:dyDescent="0.25">
      <c r="AC3463" s="8"/>
    </row>
    <row r="3464" spans="29:29" x14ac:dyDescent="0.25">
      <c r="AC3464" s="8"/>
    </row>
    <row r="3465" spans="29:29" x14ac:dyDescent="0.25">
      <c r="AC3465" s="8"/>
    </row>
    <row r="3466" spans="29:29" x14ac:dyDescent="0.25">
      <c r="AC3466" s="8"/>
    </row>
    <row r="3467" spans="29:29" x14ac:dyDescent="0.25">
      <c r="AC3467" s="8"/>
    </row>
    <row r="3468" spans="29:29" x14ac:dyDescent="0.25">
      <c r="AC3468" s="8"/>
    </row>
    <row r="3469" spans="29:29" x14ac:dyDescent="0.25">
      <c r="AC3469" s="8"/>
    </row>
    <row r="3470" spans="29:29" x14ac:dyDescent="0.25">
      <c r="AC3470" s="8"/>
    </row>
    <row r="3471" spans="29:29" x14ac:dyDescent="0.25">
      <c r="AC3471" s="8"/>
    </row>
    <row r="3472" spans="29:29" x14ac:dyDescent="0.25">
      <c r="AC3472" s="8"/>
    </row>
    <row r="3473" spans="29:29" x14ac:dyDescent="0.25">
      <c r="AC3473" s="8"/>
    </row>
    <row r="3474" spans="29:29" x14ac:dyDescent="0.25">
      <c r="AC3474" s="8"/>
    </row>
    <row r="3475" spans="29:29" x14ac:dyDescent="0.25">
      <c r="AC3475" s="8"/>
    </row>
    <row r="3476" spans="29:29" x14ac:dyDescent="0.25">
      <c r="AC3476" s="8"/>
    </row>
    <row r="3477" spans="29:29" x14ac:dyDescent="0.25">
      <c r="AC3477" s="8"/>
    </row>
    <row r="3478" spans="29:29" x14ac:dyDescent="0.25">
      <c r="AC3478" s="8"/>
    </row>
    <row r="3479" spans="29:29" x14ac:dyDescent="0.25">
      <c r="AC3479" s="8"/>
    </row>
    <row r="3480" spans="29:29" x14ac:dyDescent="0.25">
      <c r="AC3480" s="8"/>
    </row>
    <row r="3481" spans="29:29" x14ac:dyDescent="0.25">
      <c r="AC3481" s="8"/>
    </row>
    <row r="3482" spans="29:29" x14ac:dyDescent="0.25">
      <c r="AC3482" s="8"/>
    </row>
    <row r="3483" spans="29:29" x14ac:dyDescent="0.25">
      <c r="AC3483" s="8"/>
    </row>
    <row r="3484" spans="29:29" x14ac:dyDescent="0.25">
      <c r="AC3484" s="8"/>
    </row>
    <row r="3485" spans="29:29" x14ac:dyDescent="0.25">
      <c r="AC3485" s="8"/>
    </row>
    <row r="3486" spans="29:29" x14ac:dyDescent="0.25">
      <c r="AC3486" s="8"/>
    </row>
    <row r="3487" spans="29:29" x14ac:dyDescent="0.25">
      <c r="AC3487" s="8"/>
    </row>
    <row r="3488" spans="29:29" x14ac:dyDescent="0.25">
      <c r="AC3488" s="8"/>
    </row>
    <row r="3489" spans="29:29" x14ac:dyDescent="0.25">
      <c r="AC3489" s="8"/>
    </row>
    <row r="3490" spans="29:29" x14ac:dyDescent="0.25">
      <c r="AC3490" s="8"/>
    </row>
    <row r="3491" spans="29:29" x14ac:dyDescent="0.25">
      <c r="AC3491" s="8"/>
    </row>
    <row r="3492" spans="29:29" x14ac:dyDescent="0.25">
      <c r="AC3492" s="8"/>
    </row>
    <row r="3493" spans="29:29" x14ac:dyDescent="0.25">
      <c r="AC3493" s="8"/>
    </row>
    <row r="3494" spans="29:29" x14ac:dyDescent="0.25">
      <c r="AC3494" s="8"/>
    </row>
    <row r="3495" spans="29:29" x14ac:dyDescent="0.25">
      <c r="AC3495" s="8"/>
    </row>
    <row r="3496" spans="29:29" x14ac:dyDescent="0.25">
      <c r="AC3496" s="8"/>
    </row>
    <row r="3497" spans="29:29" x14ac:dyDescent="0.25">
      <c r="AC3497" s="8"/>
    </row>
    <row r="3498" spans="29:29" x14ac:dyDescent="0.25">
      <c r="AC3498" s="8"/>
    </row>
    <row r="3499" spans="29:29" x14ac:dyDescent="0.25">
      <c r="AC3499" s="8"/>
    </row>
    <row r="3500" spans="29:29" x14ac:dyDescent="0.25">
      <c r="AC3500" s="8"/>
    </row>
    <row r="3501" spans="29:29" x14ac:dyDescent="0.25">
      <c r="AC3501" s="8"/>
    </row>
    <row r="3502" spans="29:29" x14ac:dyDescent="0.25">
      <c r="AC3502" s="8"/>
    </row>
    <row r="3503" spans="29:29" x14ac:dyDescent="0.25">
      <c r="AC3503" s="8"/>
    </row>
    <row r="3504" spans="29:29" x14ac:dyDescent="0.25">
      <c r="AC3504" s="8"/>
    </row>
    <row r="3505" spans="29:29" x14ac:dyDescent="0.25">
      <c r="AC3505" s="8"/>
    </row>
    <row r="3506" spans="29:29" x14ac:dyDescent="0.25">
      <c r="AC3506" s="8"/>
    </row>
    <row r="3507" spans="29:29" x14ac:dyDescent="0.25">
      <c r="AC3507" s="8"/>
    </row>
    <row r="3508" spans="29:29" x14ac:dyDescent="0.25">
      <c r="AC3508" s="8"/>
    </row>
    <row r="3509" spans="29:29" x14ac:dyDescent="0.25">
      <c r="AC3509" s="8"/>
    </row>
    <row r="3510" spans="29:29" x14ac:dyDescent="0.25">
      <c r="AC3510" s="8"/>
    </row>
    <row r="3511" spans="29:29" x14ac:dyDescent="0.25">
      <c r="AC3511" s="8"/>
    </row>
    <row r="3512" spans="29:29" x14ac:dyDescent="0.25">
      <c r="AC3512" s="8"/>
    </row>
    <row r="3513" spans="29:29" x14ac:dyDescent="0.25">
      <c r="AC3513" s="8"/>
    </row>
    <row r="3514" spans="29:29" x14ac:dyDescent="0.25">
      <c r="AC3514" s="8"/>
    </row>
    <row r="3515" spans="29:29" x14ac:dyDescent="0.25">
      <c r="AC3515" s="8"/>
    </row>
    <row r="3516" spans="29:29" x14ac:dyDescent="0.25">
      <c r="AC3516" s="8"/>
    </row>
    <row r="3517" spans="29:29" x14ac:dyDescent="0.25">
      <c r="AC3517" s="8"/>
    </row>
    <row r="3518" spans="29:29" x14ac:dyDescent="0.25">
      <c r="AC3518" s="8"/>
    </row>
    <row r="3519" spans="29:29" x14ac:dyDescent="0.25">
      <c r="AC3519" s="8"/>
    </row>
    <row r="3520" spans="29:29" x14ac:dyDescent="0.25">
      <c r="AC3520" s="8"/>
    </row>
    <row r="3521" spans="29:29" x14ac:dyDescent="0.25">
      <c r="AC3521" s="8"/>
    </row>
    <row r="3522" spans="29:29" x14ac:dyDescent="0.25">
      <c r="AC3522" s="8"/>
    </row>
    <row r="3523" spans="29:29" x14ac:dyDescent="0.25">
      <c r="AC3523" s="8"/>
    </row>
    <row r="3524" spans="29:29" x14ac:dyDescent="0.25">
      <c r="AC3524" s="8"/>
    </row>
    <row r="3525" spans="29:29" x14ac:dyDescent="0.25">
      <c r="AC3525" s="8"/>
    </row>
    <row r="3526" spans="29:29" x14ac:dyDescent="0.25">
      <c r="AC3526" s="8"/>
    </row>
    <row r="3527" spans="29:29" x14ac:dyDescent="0.25">
      <c r="AC3527" s="8"/>
    </row>
    <row r="3528" spans="29:29" x14ac:dyDescent="0.25">
      <c r="AC3528" s="8"/>
    </row>
    <row r="3529" spans="29:29" x14ac:dyDescent="0.25">
      <c r="AC3529" s="8"/>
    </row>
    <row r="3530" spans="29:29" x14ac:dyDescent="0.25">
      <c r="AC3530" s="8"/>
    </row>
    <row r="3531" spans="29:29" x14ac:dyDescent="0.25">
      <c r="AC3531" s="8"/>
    </row>
    <row r="3532" spans="29:29" x14ac:dyDescent="0.25">
      <c r="AC3532" s="8"/>
    </row>
    <row r="3533" spans="29:29" x14ac:dyDescent="0.25">
      <c r="AC3533" s="8"/>
    </row>
    <row r="3534" spans="29:29" x14ac:dyDescent="0.25">
      <c r="AC3534" s="8"/>
    </row>
    <row r="3535" spans="29:29" x14ac:dyDescent="0.25">
      <c r="AC3535" s="8"/>
    </row>
    <row r="3536" spans="29:29" x14ac:dyDescent="0.25">
      <c r="AC3536" s="8"/>
    </row>
    <row r="3537" spans="29:29" x14ac:dyDescent="0.25">
      <c r="AC3537" s="8"/>
    </row>
    <row r="3538" spans="29:29" x14ac:dyDescent="0.25">
      <c r="AC3538" s="8"/>
    </row>
    <row r="3539" spans="29:29" x14ac:dyDescent="0.25">
      <c r="AC3539" s="8"/>
    </row>
    <row r="3540" spans="29:29" x14ac:dyDescent="0.25">
      <c r="AC3540" s="8"/>
    </row>
    <row r="3541" spans="29:29" x14ac:dyDescent="0.25">
      <c r="AC3541" s="8"/>
    </row>
    <row r="3542" spans="29:29" x14ac:dyDescent="0.25">
      <c r="AC3542" s="8"/>
    </row>
    <row r="3543" spans="29:29" x14ac:dyDescent="0.25">
      <c r="AC3543" s="8"/>
    </row>
    <row r="3544" spans="29:29" x14ac:dyDescent="0.25">
      <c r="AC3544" s="8"/>
    </row>
    <row r="3545" spans="29:29" x14ac:dyDescent="0.25">
      <c r="AC3545" s="8"/>
    </row>
    <row r="3546" spans="29:29" x14ac:dyDescent="0.25">
      <c r="AC3546" s="8"/>
    </row>
    <row r="3547" spans="29:29" x14ac:dyDescent="0.25">
      <c r="AC3547" s="8"/>
    </row>
    <row r="3548" spans="29:29" x14ac:dyDescent="0.25">
      <c r="AC3548" s="8"/>
    </row>
    <row r="3549" spans="29:29" x14ac:dyDescent="0.25">
      <c r="AC3549" s="8"/>
    </row>
    <row r="3550" spans="29:29" x14ac:dyDescent="0.25">
      <c r="AC3550" s="8"/>
    </row>
    <row r="3551" spans="29:29" x14ac:dyDescent="0.25">
      <c r="AC3551" s="8"/>
    </row>
    <row r="3552" spans="29:29" x14ac:dyDescent="0.25">
      <c r="AC3552" s="8"/>
    </row>
    <row r="3553" spans="29:29" x14ac:dyDescent="0.25">
      <c r="AC3553" s="8"/>
    </row>
    <row r="3554" spans="29:29" x14ac:dyDescent="0.25">
      <c r="AC3554" s="8"/>
    </row>
    <row r="3555" spans="29:29" x14ac:dyDescent="0.25">
      <c r="AC3555" s="8"/>
    </row>
    <row r="3556" spans="29:29" x14ac:dyDescent="0.25">
      <c r="AC3556" s="8"/>
    </row>
    <row r="3557" spans="29:29" x14ac:dyDescent="0.25">
      <c r="AC3557" s="8"/>
    </row>
    <row r="3558" spans="29:29" x14ac:dyDescent="0.25">
      <c r="AC3558" s="8"/>
    </row>
    <row r="3559" spans="29:29" x14ac:dyDescent="0.25">
      <c r="AC3559" s="8"/>
    </row>
    <row r="3560" spans="29:29" x14ac:dyDescent="0.25">
      <c r="AC3560" s="8"/>
    </row>
    <row r="3561" spans="29:29" x14ac:dyDescent="0.25">
      <c r="AC3561" s="8"/>
    </row>
    <row r="3562" spans="29:29" x14ac:dyDescent="0.25">
      <c r="AC3562" s="8"/>
    </row>
    <row r="3563" spans="29:29" x14ac:dyDescent="0.25">
      <c r="AC3563" s="8"/>
    </row>
    <row r="3564" spans="29:29" x14ac:dyDescent="0.25">
      <c r="AC3564" s="8"/>
    </row>
    <row r="3565" spans="29:29" x14ac:dyDescent="0.25">
      <c r="AC3565" s="8"/>
    </row>
    <row r="3566" spans="29:29" x14ac:dyDescent="0.25">
      <c r="AC3566" s="8"/>
    </row>
    <row r="3567" spans="29:29" x14ac:dyDescent="0.25">
      <c r="AC3567" s="8"/>
    </row>
    <row r="3568" spans="29:29" x14ac:dyDescent="0.25">
      <c r="AC3568" s="8"/>
    </row>
    <row r="3569" spans="29:29" x14ac:dyDescent="0.25">
      <c r="AC3569" s="8"/>
    </row>
    <row r="3570" spans="29:29" x14ac:dyDescent="0.25">
      <c r="AC3570" s="8"/>
    </row>
    <row r="3571" spans="29:29" x14ac:dyDescent="0.25">
      <c r="AC3571" s="8"/>
    </row>
    <row r="3572" spans="29:29" x14ac:dyDescent="0.25">
      <c r="AC3572" s="8"/>
    </row>
    <row r="3573" spans="29:29" x14ac:dyDescent="0.25">
      <c r="AC3573" s="8"/>
    </row>
    <row r="3574" spans="29:29" x14ac:dyDescent="0.25">
      <c r="AC3574" s="8"/>
    </row>
    <row r="3575" spans="29:29" x14ac:dyDescent="0.25">
      <c r="AC3575" s="8"/>
    </row>
    <row r="3576" spans="29:29" x14ac:dyDescent="0.25">
      <c r="AC3576" s="8"/>
    </row>
    <row r="3577" spans="29:29" x14ac:dyDescent="0.25">
      <c r="AC3577" s="8"/>
    </row>
    <row r="3578" spans="29:29" x14ac:dyDescent="0.25">
      <c r="AC3578" s="8"/>
    </row>
    <row r="3579" spans="29:29" x14ac:dyDescent="0.25">
      <c r="AC3579" s="8"/>
    </row>
    <row r="3580" spans="29:29" x14ac:dyDescent="0.25">
      <c r="AC3580" s="8"/>
    </row>
    <row r="3581" spans="29:29" x14ac:dyDescent="0.25">
      <c r="AC3581" s="8"/>
    </row>
    <row r="3582" spans="29:29" x14ac:dyDescent="0.25">
      <c r="AC3582" s="8"/>
    </row>
    <row r="3583" spans="29:29" x14ac:dyDescent="0.25">
      <c r="AC3583" s="8"/>
    </row>
    <row r="3584" spans="29:29" x14ac:dyDescent="0.25">
      <c r="AC3584" s="8"/>
    </row>
    <row r="3585" spans="29:29" x14ac:dyDescent="0.25">
      <c r="AC3585" s="8"/>
    </row>
    <row r="3586" spans="29:29" x14ac:dyDescent="0.25">
      <c r="AC3586" s="8"/>
    </row>
    <row r="3587" spans="29:29" x14ac:dyDescent="0.25">
      <c r="AC3587" s="8"/>
    </row>
    <row r="3588" spans="29:29" x14ac:dyDescent="0.25">
      <c r="AC3588" s="8"/>
    </row>
    <row r="3589" spans="29:29" x14ac:dyDescent="0.25">
      <c r="AC3589" s="8"/>
    </row>
    <row r="3590" spans="29:29" x14ac:dyDescent="0.25">
      <c r="AC3590" s="8"/>
    </row>
    <row r="3591" spans="29:29" x14ac:dyDescent="0.25">
      <c r="AC3591" s="8"/>
    </row>
    <row r="3592" spans="29:29" x14ac:dyDescent="0.25">
      <c r="AC3592" s="8"/>
    </row>
    <row r="3593" spans="29:29" x14ac:dyDescent="0.25">
      <c r="AC3593" s="8"/>
    </row>
    <row r="3594" spans="29:29" x14ac:dyDescent="0.25">
      <c r="AC3594" s="8"/>
    </row>
    <row r="3595" spans="29:29" x14ac:dyDescent="0.25">
      <c r="AC3595" s="8"/>
    </row>
    <row r="3596" spans="29:29" x14ac:dyDescent="0.25">
      <c r="AC3596" s="8"/>
    </row>
    <row r="3597" spans="29:29" x14ac:dyDescent="0.25">
      <c r="AC3597" s="8"/>
    </row>
    <row r="3598" spans="29:29" x14ac:dyDescent="0.25">
      <c r="AC3598" s="8"/>
    </row>
    <row r="3599" spans="29:29" x14ac:dyDescent="0.25">
      <c r="AC3599" s="8"/>
    </row>
    <row r="3600" spans="29:29" x14ac:dyDescent="0.25">
      <c r="AC3600" s="8"/>
    </row>
    <row r="3601" spans="29:29" x14ac:dyDescent="0.25">
      <c r="AC3601" s="8"/>
    </row>
    <row r="3602" spans="29:29" x14ac:dyDescent="0.25">
      <c r="AC3602" s="8"/>
    </row>
    <row r="3603" spans="29:29" x14ac:dyDescent="0.25">
      <c r="AC3603" s="8"/>
    </row>
    <row r="3604" spans="29:29" x14ac:dyDescent="0.25">
      <c r="AC3604" s="8"/>
    </row>
    <row r="3605" spans="29:29" x14ac:dyDescent="0.25">
      <c r="AC3605" s="8"/>
    </row>
    <row r="3606" spans="29:29" x14ac:dyDescent="0.25">
      <c r="AC3606" s="8"/>
    </row>
    <row r="3607" spans="29:29" x14ac:dyDescent="0.25">
      <c r="AC3607" s="8"/>
    </row>
    <row r="3608" spans="29:29" x14ac:dyDescent="0.25">
      <c r="AC3608" s="8"/>
    </row>
    <row r="3609" spans="29:29" x14ac:dyDescent="0.25">
      <c r="AC3609" s="8"/>
    </row>
    <row r="3610" spans="29:29" x14ac:dyDescent="0.25">
      <c r="AC3610" s="8"/>
    </row>
    <row r="3611" spans="29:29" x14ac:dyDescent="0.25">
      <c r="AC3611" s="8"/>
    </row>
    <row r="3612" spans="29:29" x14ac:dyDescent="0.25">
      <c r="AC3612" s="8"/>
    </row>
    <row r="3613" spans="29:29" x14ac:dyDescent="0.25">
      <c r="AC3613" s="8"/>
    </row>
    <row r="3614" spans="29:29" x14ac:dyDescent="0.25">
      <c r="AC3614" s="8"/>
    </row>
    <row r="3615" spans="29:29" x14ac:dyDescent="0.25">
      <c r="AC3615" s="8"/>
    </row>
    <row r="3616" spans="29:29" x14ac:dyDescent="0.25">
      <c r="AC3616" s="8"/>
    </row>
    <row r="3617" spans="29:29" x14ac:dyDescent="0.25">
      <c r="AC3617" s="8"/>
    </row>
    <row r="3618" spans="29:29" x14ac:dyDescent="0.25">
      <c r="AC3618" s="8"/>
    </row>
    <row r="3619" spans="29:29" x14ac:dyDescent="0.25">
      <c r="AC3619" s="8"/>
    </row>
    <row r="3620" spans="29:29" x14ac:dyDescent="0.25">
      <c r="AC3620" s="8"/>
    </row>
    <row r="3621" spans="29:29" x14ac:dyDescent="0.25">
      <c r="AC3621" s="8"/>
    </row>
    <row r="3622" spans="29:29" x14ac:dyDescent="0.25">
      <c r="AC3622" s="8"/>
    </row>
    <row r="3623" spans="29:29" x14ac:dyDescent="0.25">
      <c r="AC3623" s="8"/>
    </row>
    <row r="3624" spans="29:29" x14ac:dyDescent="0.25">
      <c r="AC3624" s="8"/>
    </row>
    <row r="3625" spans="29:29" x14ac:dyDescent="0.25">
      <c r="AC3625" s="8"/>
    </row>
    <row r="3626" spans="29:29" x14ac:dyDescent="0.25">
      <c r="AC3626" s="8"/>
    </row>
    <row r="3627" spans="29:29" x14ac:dyDescent="0.25">
      <c r="AC3627" s="8"/>
    </row>
    <row r="3628" spans="29:29" x14ac:dyDescent="0.25">
      <c r="AC3628" s="8"/>
    </row>
    <row r="3629" spans="29:29" x14ac:dyDescent="0.25">
      <c r="AC3629" s="8"/>
    </row>
    <row r="3630" spans="29:29" x14ac:dyDescent="0.25">
      <c r="AC3630" s="8"/>
    </row>
    <row r="3631" spans="29:29" x14ac:dyDescent="0.25">
      <c r="AC3631" s="8"/>
    </row>
    <row r="3632" spans="29:29" x14ac:dyDescent="0.25">
      <c r="AC3632" s="8"/>
    </row>
    <row r="3633" spans="29:29" x14ac:dyDescent="0.25">
      <c r="AC3633" s="8"/>
    </row>
    <row r="3634" spans="29:29" x14ac:dyDescent="0.25">
      <c r="AC3634" s="8"/>
    </row>
    <row r="3635" spans="29:29" x14ac:dyDescent="0.25">
      <c r="AC3635" s="8"/>
    </row>
    <row r="3636" spans="29:29" x14ac:dyDescent="0.25">
      <c r="AC3636" s="8"/>
    </row>
    <row r="3637" spans="29:29" x14ac:dyDescent="0.25">
      <c r="AC3637" s="8"/>
    </row>
    <row r="3638" spans="29:29" x14ac:dyDescent="0.25">
      <c r="AC3638" s="8"/>
    </row>
    <row r="3639" spans="29:29" x14ac:dyDescent="0.25">
      <c r="AC3639" s="8"/>
    </row>
    <row r="3640" spans="29:29" x14ac:dyDescent="0.25">
      <c r="AC3640" s="8"/>
    </row>
    <row r="3641" spans="29:29" x14ac:dyDescent="0.25">
      <c r="AC3641" s="8"/>
    </row>
    <row r="3642" spans="29:29" x14ac:dyDescent="0.25">
      <c r="AC3642" s="8"/>
    </row>
    <row r="3643" spans="29:29" x14ac:dyDescent="0.25">
      <c r="AC3643" s="8"/>
    </row>
    <row r="3644" spans="29:29" x14ac:dyDescent="0.25">
      <c r="AC3644" s="8"/>
    </row>
    <row r="3645" spans="29:29" x14ac:dyDescent="0.25">
      <c r="AC3645" s="8"/>
    </row>
    <row r="3646" spans="29:29" x14ac:dyDescent="0.25">
      <c r="AC3646" s="8"/>
    </row>
    <row r="3647" spans="29:29" x14ac:dyDescent="0.25">
      <c r="AC3647" s="8"/>
    </row>
    <row r="3648" spans="29:29" x14ac:dyDescent="0.25">
      <c r="AC3648" s="8"/>
    </row>
    <row r="3649" spans="29:29" x14ac:dyDescent="0.25">
      <c r="AC3649" s="8"/>
    </row>
    <row r="3650" spans="29:29" x14ac:dyDescent="0.25">
      <c r="AC3650" s="8"/>
    </row>
    <row r="3651" spans="29:29" x14ac:dyDescent="0.25">
      <c r="AC3651" s="8"/>
    </row>
    <row r="3652" spans="29:29" x14ac:dyDescent="0.25">
      <c r="AC3652" s="8"/>
    </row>
    <row r="3653" spans="29:29" x14ac:dyDescent="0.25">
      <c r="AC3653" s="8"/>
    </row>
    <row r="3654" spans="29:29" x14ac:dyDescent="0.25">
      <c r="AC3654" s="8"/>
    </row>
    <row r="3655" spans="29:29" x14ac:dyDescent="0.25">
      <c r="AC3655" s="8"/>
    </row>
    <row r="3656" spans="29:29" x14ac:dyDescent="0.25">
      <c r="AC3656" s="8"/>
    </row>
    <row r="3657" spans="29:29" x14ac:dyDescent="0.25">
      <c r="AC3657" s="8"/>
    </row>
    <row r="3658" spans="29:29" x14ac:dyDescent="0.25">
      <c r="AC3658" s="8"/>
    </row>
    <row r="3659" spans="29:29" x14ac:dyDescent="0.25">
      <c r="AC3659" s="8"/>
    </row>
    <row r="3660" spans="29:29" x14ac:dyDescent="0.25">
      <c r="AC3660" s="8"/>
    </row>
    <row r="3661" spans="29:29" x14ac:dyDescent="0.25">
      <c r="AC3661" s="8"/>
    </row>
    <row r="3662" spans="29:29" x14ac:dyDescent="0.25">
      <c r="AC3662" s="8"/>
    </row>
    <row r="3663" spans="29:29" x14ac:dyDescent="0.25">
      <c r="AC3663" s="8"/>
    </row>
    <row r="3664" spans="29:29" x14ac:dyDescent="0.25">
      <c r="AC3664" s="8"/>
    </row>
    <row r="3665" spans="29:29" x14ac:dyDescent="0.25">
      <c r="AC3665" s="8"/>
    </row>
    <row r="3666" spans="29:29" x14ac:dyDescent="0.25">
      <c r="AC3666" s="8"/>
    </row>
    <row r="3667" spans="29:29" x14ac:dyDescent="0.25">
      <c r="AC3667" s="8"/>
    </row>
    <row r="3668" spans="29:29" x14ac:dyDescent="0.25">
      <c r="AC3668" s="8"/>
    </row>
    <row r="3669" spans="29:29" x14ac:dyDescent="0.25">
      <c r="AC3669" s="8"/>
    </row>
    <row r="3670" spans="29:29" x14ac:dyDescent="0.25">
      <c r="AC3670" s="8"/>
    </row>
    <row r="3671" spans="29:29" x14ac:dyDescent="0.25">
      <c r="AC3671" s="8"/>
    </row>
    <row r="3672" spans="29:29" x14ac:dyDescent="0.25">
      <c r="AC3672" s="8"/>
    </row>
    <row r="3673" spans="29:29" x14ac:dyDescent="0.25">
      <c r="AC3673" s="8"/>
    </row>
    <row r="3674" spans="29:29" x14ac:dyDescent="0.25">
      <c r="AC3674" s="8"/>
    </row>
    <row r="3675" spans="29:29" x14ac:dyDescent="0.25">
      <c r="AC3675" s="8"/>
    </row>
    <row r="3676" spans="29:29" x14ac:dyDescent="0.25">
      <c r="AC3676" s="8"/>
    </row>
    <row r="3677" spans="29:29" x14ac:dyDescent="0.25">
      <c r="AC3677" s="8"/>
    </row>
    <row r="3678" spans="29:29" x14ac:dyDescent="0.25">
      <c r="AC3678" s="8"/>
    </row>
    <row r="3679" spans="29:29" x14ac:dyDescent="0.25">
      <c r="AC3679" s="8"/>
    </row>
    <row r="3680" spans="29:29" x14ac:dyDescent="0.25">
      <c r="AC3680" s="8"/>
    </row>
    <row r="3681" spans="29:29" x14ac:dyDescent="0.25">
      <c r="AC3681" s="8"/>
    </row>
    <row r="3682" spans="29:29" x14ac:dyDescent="0.25">
      <c r="AC3682" s="8"/>
    </row>
    <row r="3683" spans="29:29" x14ac:dyDescent="0.25">
      <c r="AC3683" s="8"/>
    </row>
    <row r="3684" spans="29:29" x14ac:dyDescent="0.25">
      <c r="AC3684" s="8"/>
    </row>
    <row r="3685" spans="29:29" x14ac:dyDescent="0.25">
      <c r="AC3685" s="8"/>
    </row>
    <row r="3686" spans="29:29" x14ac:dyDescent="0.25">
      <c r="AC3686" s="8"/>
    </row>
    <row r="3687" spans="29:29" x14ac:dyDescent="0.25">
      <c r="AC3687" s="8"/>
    </row>
    <row r="3688" spans="29:29" x14ac:dyDescent="0.25">
      <c r="AC3688" s="8"/>
    </row>
    <row r="3689" spans="29:29" x14ac:dyDescent="0.25">
      <c r="AC3689" s="8"/>
    </row>
    <row r="3690" spans="29:29" x14ac:dyDescent="0.25">
      <c r="AC3690" s="8"/>
    </row>
    <row r="3691" spans="29:29" x14ac:dyDescent="0.25">
      <c r="AC3691" s="8"/>
    </row>
    <row r="3692" spans="29:29" x14ac:dyDescent="0.25">
      <c r="AC3692" s="8"/>
    </row>
    <row r="3693" spans="29:29" x14ac:dyDescent="0.25">
      <c r="AC3693" s="8"/>
    </row>
    <row r="3694" spans="29:29" x14ac:dyDescent="0.25">
      <c r="AC3694" s="8"/>
    </row>
    <row r="3695" spans="29:29" x14ac:dyDescent="0.25">
      <c r="AC3695" s="8"/>
    </row>
    <row r="3696" spans="29:29" x14ac:dyDescent="0.25">
      <c r="AC3696" s="8"/>
    </row>
    <row r="3697" spans="29:29" x14ac:dyDescent="0.25">
      <c r="AC3697" s="8"/>
    </row>
    <row r="3698" spans="29:29" x14ac:dyDescent="0.25">
      <c r="AC3698" s="8"/>
    </row>
    <row r="3699" spans="29:29" x14ac:dyDescent="0.25">
      <c r="AC3699" s="8"/>
    </row>
    <row r="3700" spans="29:29" x14ac:dyDescent="0.25">
      <c r="AC3700" s="8"/>
    </row>
    <row r="3701" spans="29:29" x14ac:dyDescent="0.25">
      <c r="AC3701" s="8"/>
    </row>
    <row r="3702" spans="29:29" x14ac:dyDescent="0.25">
      <c r="AC3702" s="8"/>
    </row>
    <row r="3703" spans="29:29" x14ac:dyDescent="0.25">
      <c r="AC3703" s="8"/>
    </row>
    <row r="3704" spans="29:29" x14ac:dyDescent="0.25">
      <c r="AC3704" s="8"/>
    </row>
    <row r="3705" spans="29:29" x14ac:dyDescent="0.25">
      <c r="AC3705" s="8"/>
    </row>
    <row r="3706" spans="29:29" x14ac:dyDescent="0.25">
      <c r="AC3706" s="8"/>
    </row>
    <row r="3707" spans="29:29" x14ac:dyDescent="0.25">
      <c r="AC3707" s="8"/>
    </row>
    <row r="3708" spans="29:29" x14ac:dyDescent="0.25">
      <c r="AC3708" s="8"/>
    </row>
    <row r="3709" spans="29:29" x14ac:dyDescent="0.25">
      <c r="AC3709" s="8"/>
    </row>
    <row r="3710" spans="29:29" x14ac:dyDescent="0.25">
      <c r="AC3710" s="8"/>
    </row>
    <row r="3711" spans="29:29" x14ac:dyDescent="0.25">
      <c r="AC3711" s="8"/>
    </row>
    <row r="3712" spans="29:29" x14ac:dyDescent="0.25">
      <c r="AC3712" s="8"/>
    </row>
    <row r="3713" spans="29:29" x14ac:dyDescent="0.25">
      <c r="AC3713" s="8"/>
    </row>
    <row r="3714" spans="29:29" x14ac:dyDescent="0.25">
      <c r="AC3714" s="8"/>
    </row>
    <row r="3715" spans="29:29" x14ac:dyDescent="0.25">
      <c r="AC3715" s="8"/>
    </row>
    <row r="3716" spans="29:29" x14ac:dyDescent="0.25">
      <c r="AC3716" s="8"/>
    </row>
    <row r="3717" spans="29:29" x14ac:dyDescent="0.25">
      <c r="AC3717" s="8"/>
    </row>
    <row r="3718" spans="29:29" x14ac:dyDescent="0.25">
      <c r="AC3718" s="8"/>
    </row>
    <row r="3719" spans="29:29" x14ac:dyDescent="0.25">
      <c r="AC3719" s="8"/>
    </row>
    <row r="3720" spans="29:29" x14ac:dyDescent="0.25">
      <c r="AC3720" s="8"/>
    </row>
    <row r="3721" spans="29:29" x14ac:dyDescent="0.25">
      <c r="AC3721" s="8"/>
    </row>
    <row r="3722" spans="29:29" x14ac:dyDescent="0.25">
      <c r="AC3722" s="8"/>
    </row>
    <row r="3723" spans="29:29" x14ac:dyDescent="0.25">
      <c r="AC3723" s="8"/>
    </row>
    <row r="3724" spans="29:29" x14ac:dyDescent="0.25">
      <c r="AC3724" s="8"/>
    </row>
    <row r="3725" spans="29:29" x14ac:dyDescent="0.25">
      <c r="AC3725" s="8"/>
    </row>
    <row r="3726" spans="29:29" x14ac:dyDescent="0.25">
      <c r="AC3726" s="8"/>
    </row>
    <row r="3727" spans="29:29" x14ac:dyDescent="0.25">
      <c r="AC3727" s="8"/>
    </row>
    <row r="3728" spans="29:29" x14ac:dyDescent="0.25">
      <c r="AC3728" s="8"/>
    </row>
    <row r="3729" spans="29:29" x14ac:dyDescent="0.25">
      <c r="AC3729" s="8"/>
    </row>
    <row r="3730" spans="29:29" x14ac:dyDescent="0.25">
      <c r="AC3730" s="8"/>
    </row>
    <row r="3731" spans="29:29" x14ac:dyDescent="0.25">
      <c r="AC3731" s="8"/>
    </row>
    <row r="3732" spans="29:29" x14ac:dyDescent="0.25">
      <c r="AC3732" s="8"/>
    </row>
    <row r="3733" spans="29:29" x14ac:dyDescent="0.25">
      <c r="AC3733" s="8"/>
    </row>
    <row r="3734" spans="29:29" x14ac:dyDescent="0.25">
      <c r="AC3734" s="8"/>
    </row>
    <row r="3735" spans="29:29" x14ac:dyDescent="0.25">
      <c r="AC3735" s="8"/>
    </row>
    <row r="3736" spans="29:29" x14ac:dyDescent="0.25">
      <c r="AC3736" s="8"/>
    </row>
    <row r="3737" spans="29:29" x14ac:dyDescent="0.25">
      <c r="AC3737" s="8"/>
    </row>
    <row r="3738" spans="29:29" x14ac:dyDescent="0.25">
      <c r="AC3738" s="8"/>
    </row>
    <row r="3739" spans="29:29" x14ac:dyDescent="0.25">
      <c r="AC3739" s="8"/>
    </row>
    <row r="3740" spans="29:29" x14ac:dyDescent="0.25">
      <c r="AC3740" s="8"/>
    </row>
    <row r="3741" spans="29:29" x14ac:dyDescent="0.25">
      <c r="AC3741" s="8"/>
    </row>
    <row r="3742" spans="29:29" x14ac:dyDescent="0.25">
      <c r="AC3742" s="8"/>
    </row>
    <row r="3743" spans="29:29" x14ac:dyDescent="0.25">
      <c r="AC3743" s="8"/>
    </row>
    <row r="3744" spans="29:29" x14ac:dyDescent="0.25">
      <c r="AC3744" s="8"/>
    </row>
    <row r="3745" spans="29:29" x14ac:dyDescent="0.25">
      <c r="AC3745" s="8"/>
    </row>
    <row r="3746" spans="29:29" x14ac:dyDescent="0.25">
      <c r="AC3746" s="8"/>
    </row>
    <row r="3747" spans="29:29" x14ac:dyDescent="0.25">
      <c r="AC3747" s="8"/>
    </row>
    <row r="3748" spans="29:29" x14ac:dyDescent="0.25">
      <c r="AC3748" s="8"/>
    </row>
    <row r="3749" spans="29:29" x14ac:dyDescent="0.25">
      <c r="AC3749" s="8"/>
    </row>
    <row r="3750" spans="29:29" x14ac:dyDescent="0.25">
      <c r="AC3750" s="8"/>
    </row>
    <row r="3751" spans="29:29" x14ac:dyDescent="0.25">
      <c r="AC3751" s="8"/>
    </row>
    <row r="3752" spans="29:29" x14ac:dyDescent="0.25">
      <c r="AC3752" s="8"/>
    </row>
    <row r="3753" spans="29:29" x14ac:dyDescent="0.25">
      <c r="AC3753" s="8"/>
    </row>
    <row r="3754" spans="29:29" x14ac:dyDescent="0.25">
      <c r="AC3754" s="8"/>
    </row>
    <row r="3755" spans="29:29" x14ac:dyDescent="0.25">
      <c r="AC3755" s="8"/>
    </row>
    <row r="3756" spans="29:29" x14ac:dyDescent="0.25">
      <c r="AC3756" s="8"/>
    </row>
    <row r="3757" spans="29:29" x14ac:dyDescent="0.25">
      <c r="AC3757" s="8"/>
    </row>
    <row r="3758" spans="29:29" x14ac:dyDescent="0.25">
      <c r="AC3758" s="8"/>
    </row>
    <row r="3759" spans="29:29" x14ac:dyDescent="0.25">
      <c r="AC3759" s="8"/>
    </row>
    <row r="3760" spans="29:29" x14ac:dyDescent="0.25">
      <c r="AC3760" s="8"/>
    </row>
    <row r="3761" spans="29:29" x14ac:dyDescent="0.25">
      <c r="AC3761" s="8"/>
    </row>
    <row r="3762" spans="29:29" x14ac:dyDescent="0.25">
      <c r="AC3762" s="8"/>
    </row>
    <row r="3763" spans="29:29" x14ac:dyDescent="0.25">
      <c r="AC3763" s="8"/>
    </row>
    <row r="3764" spans="29:29" x14ac:dyDescent="0.25">
      <c r="AC3764" s="8"/>
    </row>
    <row r="3765" spans="29:29" x14ac:dyDescent="0.25">
      <c r="AC3765" s="8"/>
    </row>
    <row r="3766" spans="29:29" x14ac:dyDescent="0.25">
      <c r="AC3766" s="8"/>
    </row>
    <row r="3767" spans="29:29" x14ac:dyDescent="0.25">
      <c r="AC3767" s="8"/>
    </row>
    <row r="3768" spans="29:29" x14ac:dyDescent="0.25">
      <c r="AC3768" s="8"/>
    </row>
    <row r="3769" spans="29:29" x14ac:dyDescent="0.25">
      <c r="AC3769" s="8"/>
    </row>
    <row r="3770" spans="29:29" x14ac:dyDescent="0.25">
      <c r="AC3770" s="8"/>
    </row>
    <row r="3771" spans="29:29" x14ac:dyDescent="0.25">
      <c r="AC3771" s="8"/>
    </row>
    <row r="3772" spans="29:29" x14ac:dyDescent="0.25">
      <c r="AC3772" s="8"/>
    </row>
    <row r="3773" spans="29:29" x14ac:dyDescent="0.25">
      <c r="AC3773" s="8"/>
    </row>
    <row r="3774" spans="29:29" x14ac:dyDescent="0.25">
      <c r="AC3774" s="8"/>
    </row>
    <row r="3775" spans="29:29" x14ac:dyDescent="0.25">
      <c r="AC3775" s="8"/>
    </row>
    <row r="3776" spans="29:29" x14ac:dyDescent="0.25">
      <c r="AC3776" s="8"/>
    </row>
    <row r="3777" spans="29:29" x14ac:dyDescent="0.25">
      <c r="AC3777" s="8"/>
    </row>
    <row r="3778" spans="29:29" x14ac:dyDescent="0.25">
      <c r="AC3778" s="8"/>
    </row>
    <row r="3779" spans="29:29" x14ac:dyDescent="0.25">
      <c r="AC3779" s="8"/>
    </row>
    <row r="3780" spans="29:29" x14ac:dyDescent="0.25">
      <c r="AC3780" s="8"/>
    </row>
    <row r="3781" spans="29:29" x14ac:dyDescent="0.25">
      <c r="AC3781" s="8"/>
    </row>
    <row r="3782" spans="29:29" x14ac:dyDescent="0.25">
      <c r="AC3782" s="8"/>
    </row>
    <row r="3783" spans="29:29" x14ac:dyDescent="0.25">
      <c r="AC3783" s="8"/>
    </row>
    <row r="3784" spans="29:29" x14ac:dyDescent="0.25">
      <c r="AC3784" s="8"/>
    </row>
    <row r="3785" spans="29:29" x14ac:dyDescent="0.25">
      <c r="AC3785" s="8"/>
    </row>
    <row r="3786" spans="29:29" x14ac:dyDescent="0.25">
      <c r="AC3786" s="8"/>
    </row>
    <row r="3787" spans="29:29" x14ac:dyDescent="0.25">
      <c r="AC3787" s="8"/>
    </row>
    <row r="3788" spans="29:29" x14ac:dyDescent="0.25">
      <c r="AC3788" s="8"/>
    </row>
    <row r="3789" spans="29:29" x14ac:dyDescent="0.25">
      <c r="AC3789" s="8"/>
    </row>
    <row r="3790" spans="29:29" x14ac:dyDescent="0.25">
      <c r="AC3790" s="8"/>
    </row>
    <row r="3791" spans="29:29" x14ac:dyDescent="0.25">
      <c r="AC3791" s="8"/>
    </row>
    <row r="3792" spans="29:29" x14ac:dyDescent="0.25">
      <c r="AC3792" s="8"/>
    </row>
    <row r="3793" spans="29:29" x14ac:dyDescent="0.25">
      <c r="AC3793" s="8"/>
    </row>
    <row r="3794" spans="29:29" x14ac:dyDescent="0.25">
      <c r="AC3794" s="8"/>
    </row>
    <row r="3795" spans="29:29" x14ac:dyDescent="0.25">
      <c r="AC3795" s="8"/>
    </row>
    <row r="3796" spans="29:29" x14ac:dyDescent="0.25">
      <c r="AC3796" s="8"/>
    </row>
    <row r="3797" spans="29:29" x14ac:dyDescent="0.25">
      <c r="AC3797" s="8"/>
    </row>
    <row r="3798" spans="29:29" x14ac:dyDescent="0.25">
      <c r="AC3798" s="8"/>
    </row>
    <row r="3799" spans="29:29" x14ac:dyDescent="0.25">
      <c r="AC3799" s="8"/>
    </row>
    <row r="3800" spans="29:29" x14ac:dyDescent="0.25">
      <c r="AC3800" s="8"/>
    </row>
    <row r="3801" spans="29:29" x14ac:dyDescent="0.25">
      <c r="AC3801" s="8"/>
    </row>
    <row r="3802" spans="29:29" x14ac:dyDescent="0.25">
      <c r="AC3802" s="8"/>
    </row>
    <row r="3803" spans="29:29" x14ac:dyDescent="0.25">
      <c r="AC3803" s="8"/>
    </row>
    <row r="3804" spans="29:29" x14ac:dyDescent="0.25">
      <c r="AC3804" s="8"/>
    </row>
    <row r="3805" spans="29:29" x14ac:dyDescent="0.25">
      <c r="AC3805" s="8"/>
    </row>
    <row r="3806" spans="29:29" x14ac:dyDescent="0.25">
      <c r="AC3806" s="8"/>
    </row>
    <row r="3807" spans="29:29" x14ac:dyDescent="0.25">
      <c r="AC3807" s="8"/>
    </row>
    <row r="3808" spans="29:29" x14ac:dyDescent="0.25">
      <c r="AC3808" s="8"/>
    </row>
    <row r="3809" spans="29:29" x14ac:dyDescent="0.25">
      <c r="AC3809" s="8"/>
    </row>
    <row r="3810" spans="29:29" x14ac:dyDescent="0.25">
      <c r="AC3810" s="8"/>
    </row>
    <row r="3811" spans="29:29" x14ac:dyDescent="0.25">
      <c r="AC3811" s="8"/>
    </row>
    <row r="3812" spans="29:29" x14ac:dyDescent="0.25">
      <c r="AC3812" s="8"/>
    </row>
    <row r="3813" spans="29:29" x14ac:dyDescent="0.25">
      <c r="AC3813" s="8"/>
    </row>
    <row r="3814" spans="29:29" x14ac:dyDescent="0.25">
      <c r="AC3814" s="8"/>
    </row>
    <row r="3815" spans="29:29" x14ac:dyDescent="0.25">
      <c r="AC3815" s="8"/>
    </row>
    <row r="3816" spans="29:29" x14ac:dyDescent="0.25">
      <c r="AC3816" s="8"/>
    </row>
    <row r="3817" spans="29:29" x14ac:dyDescent="0.25">
      <c r="AC3817" s="8"/>
    </row>
    <row r="3818" spans="29:29" x14ac:dyDescent="0.25">
      <c r="AC3818" s="8"/>
    </row>
    <row r="3819" spans="29:29" x14ac:dyDescent="0.25">
      <c r="AC3819" s="8"/>
    </row>
    <row r="3820" spans="29:29" x14ac:dyDescent="0.25">
      <c r="AC3820" s="8"/>
    </row>
    <row r="3821" spans="29:29" x14ac:dyDescent="0.25">
      <c r="AC3821" s="8"/>
    </row>
    <row r="3822" spans="29:29" x14ac:dyDescent="0.25">
      <c r="AC3822" s="8"/>
    </row>
    <row r="3823" spans="29:29" x14ac:dyDescent="0.25">
      <c r="AC3823" s="8"/>
    </row>
    <row r="3824" spans="29:29" x14ac:dyDescent="0.25">
      <c r="AC3824" s="8"/>
    </row>
    <row r="3825" spans="29:29" x14ac:dyDescent="0.25">
      <c r="AC3825" s="8"/>
    </row>
    <row r="3826" spans="29:29" x14ac:dyDescent="0.25">
      <c r="AC3826" s="8"/>
    </row>
    <row r="3827" spans="29:29" x14ac:dyDescent="0.25">
      <c r="AC3827" s="8"/>
    </row>
    <row r="3828" spans="29:29" x14ac:dyDescent="0.25">
      <c r="AC3828" s="8"/>
    </row>
    <row r="3829" spans="29:29" x14ac:dyDescent="0.25">
      <c r="AC3829" s="8"/>
    </row>
    <row r="3830" spans="29:29" x14ac:dyDescent="0.25">
      <c r="AC3830" s="8"/>
    </row>
    <row r="3831" spans="29:29" x14ac:dyDescent="0.25">
      <c r="AC3831" s="8"/>
    </row>
    <row r="3832" spans="29:29" x14ac:dyDescent="0.25">
      <c r="AC3832" s="8"/>
    </row>
    <row r="3833" spans="29:29" x14ac:dyDescent="0.25">
      <c r="AC3833" s="8"/>
    </row>
    <row r="3834" spans="29:29" x14ac:dyDescent="0.25">
      <c r="AC3834" s="8"/>
    </row>
    <row r="3835" spans="29:29" x14ac:dyDescent="0.25">
      <c r="AC3835" s="8"/>
    </row>
    <row r="3836" spans="29:29" x14ac:dyDescent="0.25">
      <c r="AC3836" s="8"/>
    </row>
    <row r="3837" spans="29:29" x14ac:dyDescent="0.25">
      <c r="AC3837" s="8"/>
    </row>
    <row r="3838" spans="29:29" x14ac:dyDescent="0.25">
      <c r="AC3838" s="8"/>
    </row>
    <row r="3839" spans="29:29" x14ac:dyDescent="0.25">
      <c r="AC3839" s="8"/>
    </row>
    <row r="3840" spans="29:29" x14ac:dyDescent="0.25">
      <c r="AC3840" s="8"/>
    </row>
    <row r="3841" spans="29:29" x14ac:dyDescent="0.25">
      <c r="AC3841" s="8"/>
    </row>
    <row r="3842" spans="29:29" x14ac:dyDescent="0.25">
      <c r="AC3842" s="8"/>
    </row>
    <row r="3843" spans="29:29" x14ac:dyDescent="0.25">
      <c r="AC3843" s="8"/>
    </row>
    <row r="3844" spans="29:29" x14ac:dyDescent="0.25">
      <c r="AC3844" s="8"/>
    </row>
    <row r="3845" spans="29:29" x14ac:dyDescent="0.25">
      <c r="AC3845" s="8"/>
    </row>
    <row r="3846" spans="29:29" x14ac:dyDescent="0.25">
      <c r="AC3846" s="8"/>
    </row>
    <row r="3847" spans="29:29" x14ac:dyDescent="0.25">
      <c r="AC3847" s="8"/>
    </row>
    <row r="3848" spans="29:29" x14ac:dyDescent="0.25">
      <c r="AC3848" s="8"/>
    </row>
    <row r="3849" spans="29:29" x14ac:dyDescent="0.25">
      <c r="AC3849" s="8"/>
    </row>
    <row r="3850" spans="29:29" x14ac:dyDescent="0.25">
      <c r="AC3850" s="8"/>
    </row>
    <row r="3851" spans="29:29" x14ac:dyDescent="0.25">
      <c r="AC3851" s="8"/>
    </row>
    <row r="3852" spans="29:29" x14ac:dyDescent="0.25">
      <c r="AC3852" s="8"/>
    </row>
    <row r="3853" spans="29:29" x14ac:dyDescent="0.25">
      <c r="AC3853" s="8"/>
    </row>
    <row r="3854" spans="29:29" x14ac:dyDescent="0.25">
      <c r="AC3854" s="8"/>
    </row>
    <row r="3855" spans="29:29" x14ac:dyDescent="0.25">
      <c r="AC3855" s="8"/>
    </row>
    <row r="3856" spans="29:29" x14ac:dyDescent="0.25">
      <c r="AC3856" s="8"/>
    </row>
    <row r="3857" spans="29:29" x14ac:dyDescent="0.25">
      <c r="AC3857" s="8"/>
    </row>
    <row r="3858" spans="29:29" x14ac:dyDescent="0.25">
      <c r="AC3858" s="8"/>
    </row>
    <row r="3859" spans="29:29" x14ac:dyDescent="0.25">
      <c r="AC3859" s="8"/>
    </row>
    <row r="3860" spans="29:29" x14ac:dyDescent="0.25">
      <c r="AC3860" s="8"/>
    </row>
    <row r="3861" spans="29:29" x14ac:dyDescent="0.25">
      <c r="AC3861" s="8"/>
    </row>
    <row r="3862" spans="29:29" x14ac:dyDescent="0.25">
      <c r="AC3862" s="8"/>
    </row>
    <row r="3863" spans="29:29" x14ac:dyDescent="0.25">
      <c r="AC3863" s="8"/>
    </row>
    <row r="3864" spans="29:29" x14ac:dyDescent="0.25">
      <c r="AC3864" s="8"/>
    </row>
    <row r="3865" spans="29:29" x14ac:dyDescent="0.25">
      <c r="AC3865" s="8"/>
    </row>
    <row r="3866" spans="29:29" x14ac:dyDescent="0.25">
      <c r="AC3866" s="8"/>
    </row>
    <row r="3867" spans="29:29" x14ac:dyDescent="0.25">
      <c r="AC3867" s="8"/>
    </row>
    <row r="3868" spans="29:29" x14ac:dyDescent="0.25">
      <c r="AC3868" s="8"/>
    </row>
    <row r="3869" spans="29:29" x14ac:dyDescent="0.25">
      <c r="AC3869" s="8"/>
    </row>
    <row r="3870" spans="29:29" x14ac:dyDescent="0.25">
      <c r="AC3870" s="8"/>
    </row>
    <row r="3871" spans="29:29" x14ac:dyDescent="0.25">
      <c r="AC3871" s="8"/>
    </row>
    <row r="3872" spans="29:29" x14ac:dyDescent="0.25">
      <c r="AC3872" s="8"/>
    </row>
    <row r="3873" spans="29:29" x14ac:dyDescent="0.25">
      <c r="AC3873" s="8"/>
    </row>
    <row r="3874" spans="29:29" x14ac:dyDescent="0.25">
      <c r="AC3874" s="8"/>
    </row>
    <row r="3875" spans="29:29" x14ac:dyDescent="0.25">
      <c r="AC3875" s="8"/>
    </row>
    <row r="3876" spans="29:29" x14ac:dyDescent="0.25">
      <c r="AC3876" s="8"/>
    </row>
    <row r="3877" spans="29:29" x14ac:dyDescent="0.25">
      <c r="AC3877" s="8"/>
    </row>
    <row r="3878" spans="29:29" x14ac:dyDescent="0.25">
      <c r="AC3878" s="8"/>
    </row>
    <row r="3879" spans="29:29" x14ac:dyDescent="0.25">
      <c r="AC3879" s="8"/>
    </row>
    <row r="3880" spans="29:29" x14ac:dyDescent="0.25">
      <c r="AC3880" s="8"/>
    </row>
    <row r="3881" spans="29:29" x14ac:dyDescent="0.25">
      <c r="AC3881" s="8"/>
    </row>
    <row r="3882" spans="29:29" x14ac:dyDescent="0.25">
      <c r="AC3882" s="8"/>
    </row>
    <row r="3883" spans="29:29" x14ac:dyDescent="0.25">
      <c r="AC3883" s="8"/>
    </row>
    <row r="3884" spans="29:29" x14ac:dyDescent="0.25">
      <c r="AC3884" s="8"/>
    </row>
    <row r="3885" spans="29:29" x14ac:dyDescent="0.25">
      <c r="AC3885" s="8"/>
    </row>
    <row r="3886" spans="29:29" x14ac:dyDescent="0.25">
      <c r="AC3886" s="8"/>
    </row>
    <row r="3887" spans="29:29" x14ac:dyDescent="0.25">
      <c r="AC3887" s="8"/>
    </row>
    <row r="3888" spans="29:29" x14ac:dyDescent="0.25">
      <c r="AC3888" s="8"/>
    </row>
    <row r="3889" spans="29:29" x14ac:dyDescent="0.25">
      <c r="AC3889" s="8"/>
    </row>
    <row r="3890" spans="29:29" x14ac:dyDescent="0.25">
      <c r="AC3890" s="8"/>
    </row>
    <row r="3891" spans="29:29" x14ac:dyDescent="0.25">
      <c r="AC3891" s="8"/>
    </row>
    <row r="3892" spans="29:29" x14ac:dyDescent="0.25">
      <c r="AC3892" s="8"/>
    </row>
    <row r="3893" spans="29:29" x14ac:dyDescent="0.25">
      <c r="AC3893" s="8"/>
    </row>
    <row r="3894" spans="29:29" x14ac:dyDescent="0.25">
      <c r="AC3894" s="8"/>
    </row>
    <row r="3895" spans="29:29" x14ac:dyDescent="0.25">
      <c r="AC3895" s="8"/>
    </row>
    <row r="3896" spans="29:29" x14ac:dyDescent="0.25">
      <c r="AC3896" s="8"/>
    </row>
    <row r="3897" spans="29:29" x14ac:dyDescent="0.25">
      <c r="AC3897" s="8"/>
    </row>
    <row r="3898" spans="29:29" x14ac:dyDescent="0.25">
      <c r="AC3898" s="8"/>
    </row>
    <row r="3899" spans="29:29" x14ac:dyDescent="0.25">
      <c r="AC3899" s="8"/>
    </row>
    <row r="3900" spans="29:29" x14ac:dyDescent="0.25">
      <c r="AC3900" s="8"/>
    </row>
    <row r="3901" spans="29:29" x14ac:dyDescent="0.25">
      <c r="AC3901" s="8"/>
    </row>
    <row r="3902" spans="29:29" x14ac:dyDescent="0.25">
      <c r="AC3902" s="8"/>
    </row>
    <row r="3903" spans="29:29" x14ac:dyDescent="0.25">
      <c r="AC3903" s="8"/>
    </row>
    <row r="3904" spans="29:29" x14ac:dyDescent="0.25">
      <c r="AC3904" s="8"/>
    </row>
    <row r="3905" spans="29:29" x14ac:dyDescent="0.25">
      <c r="AC3905" s="8"/>
    </row>
    <row r="3906" spans="29:29" x14ac:dyDescent="0.25">
      <c r="AC3906" s="8"/>
    </row>
    <row r="3907" spans="29:29" x14ac:dyDescent="0.25">
      <c r="AC3907" s="8"/>
    </row>
    <row r="3908" spans="29:29" x14ac:dyDescent="0.25">
      <c r="AC3908" s="8"/>
    </row>
    <row r="3909" spans="29:29" x14ac:dyDescent="0.25">
      <c r="AC3909" s="8"/>
    </row>
    <row r="3910" spans="29:29" x14ac:dyDescent="0.25">
      <c r="AC3910" s="8"/>
    </row>
    <row r="3911" spans="29:29" x14ac:dyDescent="0.25">
      <c r="AC3911" s="8"/>
    </row>
    <row r="3912" spans="29:29" x14ac:dyDescent="0.25">
      <c r="AC3912" s="8"/>
    </row>
    <row r="3913" spans="29:29" x14ac:dyDescent="0.25">
      <c r="AC3913" s="8"/>
    </row>
    <row r="3914" spans="29:29" x14ac:dyDescent="0.25">
      <c r="AC3914" s="8"/>
    </row>
    <row r="3915" spans="29:29" x14ac:dyDescent="0.25">
      <c r="AC3915" s="8"/>
    </row>
    <row r="3916" spans="29:29" x14ac:dyDescent="0.25">
      <c r="AC3916" s="8"/>
    </row>
    <row r="3917" spans="29:29" x14ac:dyDescent="0.25">
      <c r="AC3917" s="8"/>
    </row>
    <row r="3918" spans="29:29" x14ac:dyDescent="0.25">
      <c r="AC3918" s="8"/>
    </row>
    <row r="3919" spans="29:29" x14ac:dyDescent="0.25">
      <c r="AC3919" s="8"/>
    </row>
    <row r="3920" spans="29:29" x14ac:dyDescent="0.25">
      <c r="AC3920" s="8"/>
    </row>
    <row r="3921" spans="29:29" x14ac:dyDescent="0.25">
      <c r="AC3921" s="8"/>
    </row>
    <row r="3922" spans="29:29" x14ac:dyDescent="0.25">
      <c r="AC3922" s="8"/>
    </row>
    <row r="3923" spans="29:29" x14ac:dyDescent="0.25">
      <c r="AC3923" s="8"/>
    </row>
    <row r="3924" spans="29:29" x14ac:dyDescent="0.25">
      <c r="AC3924" s="8"/>
    </row>
    <row r="3925" spans="29:29" x14ac:dyDescent="0.25">
      <c r="AC3925" s="8"/>
    </row>
    <row r="3926" spans="29:29" x14ac:dyDescent="0.25">
      <c r="AC3926" s="8"/>
    </row>
    <row r="3927" spans="29:29" x14ac:dyDescent="0.25">
      <c r="AC3927" s="8"/>
    </row>
    <row r="3928" spans="29:29" x14ac:dyDescent="0.25">
      <c r="AC3928" s="8"/>
    </row>
    <row r="3929" spans="29:29" x14ac:dyDescent="0.25">
      <c r="AC3929" s="8"/>
    </row>
    <row r="3930" spans="29:29" x14ac:dyDescent="0.25">
      <c r="AC3930" s="8"/>
    </row>
    <row r="3931" spans="29:29" x14ac:dyDescent="0.25">
      <c r="AC3931" s="8"/>
    </row>
    <row r="3932" spans="29:29" x14ac:dyDescent="0.25">
      <c r="AC3932" s="8"/>
    </row>
    <row r="3933" spans="29:29" x14ac:dyDescent="0.25">
      <c r="AC3933" s="8"/>
    </row>
    <row r="3934" spans="29:29" x14ac:dyDescent="0.25">
      <c r="AC3934" s="8"/>
    </row>
    <row r="3935" spans="29:29" x14ac:dyDescent="0.25">
      <c r="AC3935" s="8"/>
    </row>
    <row r="3936" spans="29:29" x14ac:dyDescent="0.25">
      <c r="AC3936" s="8"/>
    </row>
    <row r="3937" spans="29:29" x14ac:dyDescent="0.25">
      <c r="AC3937" s="8"/>
    </row>
    <row r="3938" spans="29:29" x14ac:dyDescent="0.25">
      <c r="AC3938" s="8"/>
    </row>
    <row r="3939" spans="29:29" x14ac:dyDescent="0.25">
      <c r="AC3939" s="8"/>
    </row>
    <row r="3940" spans="29:29" x14ac:dyDescent="0.25">
      <c r="AC3940" s="8"/>
    </row>
    <row r="3941" spans="29:29" x14ac:dyDescent="0.25">
      <c r="AC3941" s="8"/>
    </row>
    <row r="3942" spans="29:29" x14ac:dyDescent="0.25">
      <c r="AC3942" s="8"/>
    </row>
    <row r="3943" spans="29:29" x14ac:dyDescent="0.25">
      <c r="AC3943" s="8"/>
    </row>
    <row r="3944" spans="29:29" x14ac:dyDescent="0.25">
      <c r="AC3944" s="8"/>
    </row>
    <row r="3945" spans="29:29" x14ac:dyDescent="0.25">
      <c r="AC3945" s="8"/>
    </row>
    <row r="3946" spans="29:29" x14ac:dyDescent="0.25">
      <c r="AC3946" s="8"/>
    </row>
    <row r="3947" spans="29:29" x14ac:dyDescent="0.25">
      <c r="AC3947" s="8"/>
    </row>
    <row r="3948" spans="29:29" x14ac:dyDescent="0.25">
      <c r="AC3948" s="8"/>
    </row>
    <row r="3949" spans="29:29" x14ac:dyDescent="0.25">
      <c r="AC3949" s="8"/>
    </row>
    <row r="3950" spans="29:29" x14ac:dyDescent="0.25">
      <c r="AC3950" s="8"/>
    </row>
    <row r="3951" spans="29:29" x14ac:dyDescent="0.25">
      <c r="AC3951" s="8"/>
    </row>
    <row r="3952" spans="29:29" x14ac:dyDescent="0.25">
      <c r="AC3952" s="8"/>
    </row>
    <row r="3953" spans="29:29" x14ac:dyDescent="0.25">
      <c r="AC3953" s="8"/>
    </row>
    <row r="3954" spans="29:29" x14ac:dyDescent="0.25">
      <c r="AC3954" s="8"/>
    </row>
    <row r="3955" spans="29:29" x14ac:dyDescent="0.25">
      <c r="AC3955" s="8"/>
    </row>
    <row r="3956" spans="29:29" x14ac:dyDescent="0.25">
      <c r="AC3956" s="8"/>
    </row>
    <row r="3957" spans="29:29" x14ac:dyDescent="0.25">
      <c r="AC3957" s="8"/>
    </row>
    <row r="3958" spans="29:29" x14ac:dyDescent="0.25">
      <c r="AC3958" s="8"/>
    </row>
    <row r="3959" spans="29:29" x14ac:dyDescent="0.25">
      <c r="AC3959" s="8"/>
    </row>
    <row r="3960" spans="29:29" x14ac:dyDescent="0.25">
      <c r="AC3960" s="8"/>
    </row>
    <row r="3961" spans="29:29" x14ac:dyDescent="0.25">
      <c r="AC3961" s="8"/>
    </row>
    <row r="3962" spans="29:29" x14ac:dyDescent="0.25">
      <c r="AC3962" s="8"/>
    </row>
    <row r="3963" spans="29:29" x14ac:dyDescent="0.25">
      <c r="AC3963" s="8"/>
    </row>
    <row r="3964" spans="29:29" x14ac:dyDescent="0.25">
      <c r="AC3964" s="8"/>
    </row>
    <row r="3965" spans="29:29" x14ac:dyDescent="0.25">
      <c r="AC3965" s="8"/>
    </row>
    <row r="3966" spans="29:29" x14ac:dyDescent="0.25">
      <c r="AC3966" s="8"/>
    </row>
    <row r="3967" spans="29:29" x14ac:dyDescent="0.25">
      <c r="AC3967" s="8"/>
    </row>
    <row r="3968" spans="29:29" x14ac:dyDescent="0.25">
      <c r="AC3968" s="8"/>
    </row>
    <row r="3969" spans="29:29" x14ac:dyDescent="0.25">
      <c r="AC3969" s="8"/>
    </row>
    <row r="3970" spans="29:29" x14ac:dyDescent="0.25">
      <c r="AC3970" s="8"/>
    </row>
    <row r="3971" spans="29:29" x14ac:dyDescent="0.25">
      <c r="AC3971" s="8"/>
    </row>
    <row r="3972" spans="29:29" x14ac:dyDescent="0.25">
      <c r="AC3972" s="8"/>
    </row>
    <row r="3973" spans="29:29" x14ac:dyDescent="0.25">
      <c r="AC3973" s="8"/>
    </row>
    <row r="3974" spans="29:29" x14ac:dyDescent="0.25">
      <c r="AC3974" s="8"/>
    </row>
    <row r="3975" spans="29:29" x14ac:dyDescent="0.25">
      <c r="AC3975" s="8"/>
    </row>
    <row r="3976" spans="29:29" x14ac:dyDescent="0.25">
      <c r="AC3976" s="8"/>
    </row>
    <row r="3977" spans="29:29" x14ac:dyDescent="0.25">
      <c r="AC3977" s="8"/>
    </row>
    <row r="3978" spans="29:29" x14ac:dyDescent="0.25">
      <c r="AC3978" s="8"/>
    </row>
    <row r="3979" spans="29:29" x14ac:dyDescent="0.25">
      <c r="AC3979" s="8"/>
    </row>
    <row r="3980" spans="29:29" x14ac:dyDescent="0.25">
      <c r="AC3980" s="8"/>
    </row>
    <row r="3981" spans="29:29" x14ac:dyDescent="0.25">
      <c r="AC3981" s="8"/>
    </row>
    <row r="3982" spans="29:29" x14ac:dyDescent="0.25">
      <c r="AC3982" s="8"/>
    </row>
    <row r="3983" spans="29:29" x14ac:dyDescent="0.25">
      <c r="AC3983" s="8"/>
    </row>
    <row r="3984" spans="29:29" x14ac:dyDescent="0.25">
      <c r="AC3984" s="8"/>
    </row>
    <row r="3985" spans="29:29" x14ac:dyDescent="0.25">
      <c r="AC3985" s="8"/>
    </row>
    <row r="3986" spans="29:29" x14ac:dyDescent="0.25">
      <c r="AC3986" s="8"/>
    </row>
    <row r="3987" spans="29:29" x14ac:dyDescent="0.25">
      <c r="AC3987" s="8"/>
    </row>
    <row r="3988" spans="29:29" x14ac:dyDescent="0.25">
      <c r="AC3988" s="8"/>
    </row>
    <row r="3989" spans="29:29" x14ac:dyDescent="0.25">
      <c r="AC3989" s="8"/>
    </row>
    <row r="3990" spans="29:29" x14ac:dyDescent="0.25">
      <c r="AC3990" s="8"/>
    </row>
    <row r="3991" spans="29:29" x14ac:dyDescent="0.25">
      <c r="AC3991" s="8"/>
    </row>
    <row r="3992" spans="29:29" x14ac:dyDescent="0.25">
      <c r="AC3992" s="8"/>
    </row>
    <row r="3993" spans="29:29" x14ac:dyDescent="0.25">
      <c r="AC3993" s="8"/>
    </row>
    <row r="3994" spans="29:29" x14ac:dyDescent="0.25">
      <c r="AC3994" s="8"/>
    </row>
    <row r="3995" spans="29:29" x14ac:dyDescent="0.25">
      <c r="AC3995" s="8"/>
    </row>
    <row r="3996" spans="29:29" x14ac:dyDescent="0.25">
      <c r="AC3996" s="8"/>
    </row>
    <row r="3997" spans="29:29" x14ac:dyDescent="0.25">
      <c r="AC3997" s="8"/>
    </row>
    <row r="3998" spans="29:29" x14ac:dyDescent="0.25">
      <c r="AC3998" s="8"/>
    </row>
    <row r="3999" spans="29:29" x14ac:dyDescent="0.25">
      <c r="AC3999" s="8"/>
    </row>
    <row r="4000" spans="29:29" x14ac:dyDescent="0.25">
      <c r="AC4000" s="8"/>
    </row>
    <row r="4001" spans="29:29" x14ac:dyDescent="0.25">
      <c r="AC4001" s="8"/>
    </row>
    <row r="4002" spans="29:29" x14ac:dyDescent="0.25">
      <c r="AC4002" s="8"/>
    </row>
    <row r="4003" spans="29:29" x14ac:dyDescent="0.25">
      <c r="AC4003" s="8"/>
    </row>
    <row r="4004" spans="29:29" x14ac:dyDescent="0.25">
      <c r="AC4004" s="8"/>
    </row>
    <row r="4005" spans="29:29" x14ac:dyDescent="0.25">
      <c r="AC4005" s="8"/>
    </row>
    <row r="4006" spans="29:29" x14ac:dyDescent="0.25">
      <c r="AC4006" s="8"/>
    </row>
    <row r="4007" spans="29:29" x14ac:dyDescent="0.25">
      <c r="AC4007" s="8"/>
    </row>
    <row r="4008" spans="29:29" x14ac:dyDescent="0.25">
      <c r="AC4008" s="8"/>
    </row>
    <row r="4009" spans="29:29" x14ac:dyDescent="0.25">
      <c r="AC4009" s="8"/>
    </row>
    <row r="4010" spans="29:29" x14ac:dyDescent="0.25">
      <c r="AC4010" s="8"/>
    </row>
    <row r="4011" spans="29:29" x14ac:dyDescent="0.25">
      <c r="AC4011" s="8"/>
    </row>
    <row r="4012" spans="29:29" x14ac:dyDescent="0.25">
      <c r="AC4012" s="8"/>
    </row>
    <row r="4013" spans="29:29" x14ac:dyDescent="0.25">
      <c r="AC4013" s="8"/>
    </row>
    <row r="4014" spans="29:29" x14ac:dyDescent="0.25">
      <c r="AC4014" s="8"/>
    </row>
    <row r="4015" spans="29:29" x14ac:dyDescent="0.25">
      <c r="AC4015" s="8"/>
    </row>
    <row r="4016" spans="29:29" x14ac:dyDescent="0.25">
      <c r="AC4016" s="8"/>
    </row>
    <row r="4017" spans="29:29" x14ac:dyDescent="0.25">
      <c r="AC4017" s="8"/>
    </row>
    <row r="4018" spans="29:29" x14ac:dyDescent="0.25">
      <c r="AC4018" s="8"/>
    </row>
    <row r="4019" spans="29:29" x14ac:dyDescent="0.25">
      <c r="AC4019" s="8"/>
    </row>
    <row r="4020" spans="29:29" x14ac:dyDescent="0.25">
      <c r="AC4020" s="8"/>
    </row>
    <row r="4021" spans="29:29" x14ac:dyDescent="0.25">
      <c r="AC4021" s="8"/>
    </row>
    <row r="4022" spans="29:29" x14ac:dyDescent="0.25">
      <c r="AC4022" s="8"/>
    </row>
    <row r="4023" spans="29:29" x14ac:dyDescent="0.25">
      <c r="AC4023" s="8"/>
    </row>
    <row r="4024" spans="29:29" x14ac:dyDescent="0.25">
      <c r="AC4024" s="8"/>
    </row>
    <row r="4025" spans="29:29" x14ac:dyDescent="0.25">
      <c r="AC4025" s="8"/>
    </row>
    <row r="4026" spans="29:29" x14ac:dyDescent="0.25">
      <c r="AC4026" s="8"/>
    </row>
    <row r="4027" spans="29:29" x14ac:dyDescent="0.25">
      <c r="AC4027" s="8"/>
    </row>
    <row r="4028" spans="29:29" x14ac:dyDescent="0.25">
      <c r="AC4028" s="8"/>
    </row>
    <row r="4029" spans="29:29" x14ac:dyDescent="0.25">
      <c r="AC4029" s="8"/>
    </row>
    <row r="4030" spans="29:29" x14ac:dyDescent="0.25">
      <c r="AC4030" s="8"/>
    </row>
    <row r="4031" spans="29:29" x14ac:dyDescent="0.25">
      <c r="AC4031" s="8"/>
    </row>
    <row r="4032" spans="29:29" x14ac:dyDescent="0.25">
      <c r="AC4032" s="8"/>
    </row>
    <row r="4033" spans="29:29" x14ac:dyDescent="0.25">
      <c r="AC4033" s="8"/>
    </row>
    <row r="4034" spans="29:29" x14ac:dyDescent="0.25">
      <c r="AC4034" s="8"/>
    </row>
    <row r="4035" spans="29:29" x14ac:dyDescent="0.25">
      <c r="AC4035" s="8"/>
    </row>
    <row r="4036" spans="29:29" x14ac:dyDescent="0.25">
      <c r="AC4036" s="8"/>
    </row>
    <row r="4037" spans="29:29" x14ac:dyDescent="0.25">
      <c r="AC4037" s="8"/>
    </row>
    <row r="4038" spans="29:29" x14ac:dyDescent="0.25">
      <c r="AC4038" s="8"/>
    </row>
    <row r="4039" spans="29:29" x14ac:dyDescent="0.25">
      <c r="AC4039" s="8"/>
    </row>
    <row r="4040" spans="29:29" x14ac:dyDescent="0.25">
      <c r="AC4040" s="8"/>
    </row>
    <row r="4041" spans="29:29" x14ac:dyDescent="0.25">
      <c r="AC4041" s="8"/>
    </row>
    <row r="4042" spans="29:29" x14ac:dyDescent="0.25">
      <c r="AC4042" s="8"/>
    </row>
    <row r="4043" spans="29:29" x14ac:dyDescent="0.25">
      <c r="AC4043" s="8"/>
    </row>
    <row r="4044" spans="29:29" x14ac:dyDescent="0.25">
      <c r="AC4044" s="8"/>
    </row>
    <row r="4045" spans="29:29" x14ac:dyDescent="0.25">
      <c r="AC4045" s="8"/>
    </row>
    <row r="4046" spans="29:29" x14ac:dyDescent="0.25">
      <c r="AC4046" s="8"/>
    </row>
    <row r="4047" spans="29:29" x14ac:dyDescent="0.25">
      <c r="AC4047" s="8"/>
    </row>
    <row r="4048" spans="29:29" x14ac:dyDescent="0.25">
      <c r="AC4048" s="8"/>
    </row>
    <row r="4049" spans="29:29" x14ac:dyDescent="0.25">
      <c r="AC4049" s="8"/>
    </row>
    <row r="4050" spans="29:29" x14ac:dyDescent="0.25">
      <c r="AC4050" s="8"/>
    </row>
    <row r="4051" spans="29:29" x14ac:dyDescent="0.25">
      <c r="AC4051" s="8"/>
    </row>
    <row r="4052" spans="29:29" x14ac:dyDescent="0.25">
      <c r="AC4052" s="8"/>
    </row>
    <row r="4053" spans="29:29" x14ac:dyDescent="0.25">
      <c r="AC4053" s="8"/>
    </row>
    <row r="4054" spans="29:29" x14ac:dyDescent="0.25">
      <c r="AC4054" s="8"/>
    </row>
    <row r="4055" spans="29:29" x14ac:dyDescent="0.25">
      <c r="AC4055" s="8"/>
    </row>
    <row r="4056" spans="29:29" x14ac:dyDescent="0.25">
      <c r="AC4056" s="8"/>
    </row>
    <row r="4057" spans="29:29" x14ac:dyDescent="0.25">
      <c r="AC4057" s="8"/>
    </row>
    <row r="4058" spans="29:29" x14ac:dyDescent="0.25">
      <c r="AC4058" s="8"/>
    </row>
    <row r="4059" spans="29:29" x14ac:dyDescent="0.25">
      <c r="AC4059" s="8"/>
    </row>
    <row r="4060" spans="29:29" x14ac:dyDescent="0.25">
      <c r="AC4060" s="8"/>
    </row>
    <row r="4061" spans="29:29" x14ac:dyDescent="0.25">
      <c r="AC4061" s="8"/>
    </row>
    <row r="4062" spans="29:29" x14ac:dyDescent="0.25">
      <c r="AC4062" s="8"/>
    </row>
    <row r="4063" spans="29:29" x14ac:dyDescent="0.25">
      <c r="AC4063" s="8"/>
    </row>
    <row r="4064" spans="29:29" x14ac:dyDescent="0.25">
      <c r="AC4064" s="8"/>
    </row>
    <row r="4065" spans="29:29" x14ac:dyDescent="0.25">
      <c r="AC4065" s="8"/>
    </row>
    <row r="4066" spans="29:29" x14ac:dyDescent="0.25">
      <c r="AC4066" s="8"/>
    </row>
    <row r="4067" spans="29:29" x14ac:dyDescent="0.25">
      <c r="AC4067" s="8"/>
    </row>
    <row r="4068" spans="29:29" x14ac:dyDescent="0.25">
      <c r="AC4068" s="8"/>
    </row>
    <row r="4069" spans="29:29" x14ac:dyDescent="0.25">
      <c r="AC4069" s="8"/>
    </row>
    <row r="4070" spans="29:29" x14ac:dyDescent="0.25">
      <c r="AC4070" s="8"/>
    </row>
    <row r="4071" spans="29:29" x14ac:dyDescent="0.25">
      <c r="AC4071" s="8"/>
    </row>
    <row r="4072" spans="29:29" x14ac:dyDescent="0.25">
      <c r="AC4072" s="8"/>
    </row>
    <row r="4073" spans="29:29" x14ac:dyDescent="0.25">
      <c r="AC4073" s="8"/>
    </row>
    <row r="4074" spans="29:29" x14ac:dyDescent="0.25">
      <c r="AC4074" s="8"/>
    </row>
    <row r="4075" spans="29:29" x14ac:dyDescent="0.25">
      <c r="AC4075" s="8"/>
    </row>
    <row r="4076" spans="29:29" x14ac:dyDescent="0.25">
      <c r="AC4076" s="8"/>
    </row>
    <row r="4077" spans="29:29" x14ac:dyDescent="0.25">
      <c r="AC4077" s="8"/>
    </row>
    <row r="4078" spans="29:29" x14ac:dyDescent="0.25">
      <c r="AC4078" s="8"/>
    </row>
    <row r="4079" spans="29:29" x14ac:dyDescent="0.25">
      <c r="AC4079" s="8"/>
    </row>
    <row r="4080" spans="29:29" x14ac:dyDescent="0.25">
      <c r="AC4080" s="8"/>
    </row>
    <row r="4081" spans="29:29" x14ac:dyDescent="0.25">
      <c r="AC4081" s="8"/>
    </row>
    <row r="4082" spans="29:29" x14ac:dyDescent="0.25">
      <c r="AC4082" s="8"/>
    </row>
    <row r="4083" spans="29:29" x14ac:dyDescent="0.25">
      <c r="AC4083" s="8"/>
    </row>
    <row r="4084" spans="29:29" x14ac:dyDescent="0.25">
      <c r="AC4084" s="8"/>
    </row>
    <row r="4085" spans="29:29" x14ac:dyDescent="0.25">
      <c r="AC4085" s="8"/>
    </row>
    <row r="4086" spans="29:29" x14ac:dyDescent="0.25">
      <c r="AC4086" s="8"/>
    </row>
    <row r="4087" spans="29:29" x14ac:dyDescent="0.25">
      <c r="AC4087" s="8"/>
    </row>
    <row r="4088" spans="29:29" x14ac:dyDescent="0.25">
      <c r="AC4088" s="8"/>
    </row>
    <row r="4089" spans="29:29" x14ac:dyDescent="0.25">
      <c r="AC4089" s="8"/>
    </row>
    <row r="4090" spans="29:29" x14ac:dyDescent="0.25">
      <c r="AC4090" s="8"/>
    </row>
    <row r="4091" spans="29:29" x14ac:dyDescent="0.25">
      <c r="AC4091" s="8"/>
    </row>
    <row r="4092" spans="29:29" x14ac:dyDescent="0.25">
      <c r="AC4092" s="8"/>
    </row>
    <row r="4093" spans="29:29" x14ac:dyDescent="0.25">
      <c r="AC4093" s="8"/>
    </row>
    <row r="4094" spans="29:29" x14ac:dyDescent="0.25">
      <c r="AC4094" s="8"/>
    </row>
    <row r="4095" spans="29:29" x14ac:dyDescent="0.25">
      <c r="AC4095" s="8"/>
    </row>
    <row r="4096" spans="29:29" x14ac:dyDescent="0.25">
      <c r="AC4096" s="8"/>
    </row>
    <row r="4097" spans="29:29" x14ac:dyDescent="0.25">
      <c r="AC4097" s="8"/>
    </row>
    <row r="4098" spans="29:29" x14ac:dyDescent="0.25">
      <c r="AC4098" s="8"/>
    </row>
    <row r="4099" spans="29:29" x14ac:dyDescent="0.25">
      <c r="AC4099" s="8"/>
    </row>
    <row r="4100" spans="29:29" x14ac:dyDescent="0.25">
      <c r="AC4100" s="8"/>
    </row>
    <row r="4101" spans="29:29" x14ac:dyDescent="0.25">
      <c r="AC4101" s="8"/>
    </row>
    <row r="4102" spans="29:29" x14ac:dyDescent="0.25">
      <c r="AC4102" s="8"/>
    </row>
    <row r="4103" spans="29:29" x14ac:dyDescent="0.25">
      <c r="AC4103" s="8"/>
    </row>
    <row r="4104" spans="29:29" x14ac:dyDescent="0.25">
      <c r="AC4104" s="8"/>
    </row>
    <row r="4105" spans="29:29" x14ac:dyDescent="0.25">
      <c r="AC4105" s="8"/>
    </row>
    <row r="4106" spans="29:29" x14ac:dyDescent="0.25">
      <c r="AC4106" s="8"/>
    </row>
    <row r="4107" spans="29:29" x14ac:dyDescent="0.25">
      <c r="AC4107" s="8"/>
    </row>
    <row r="4108" spans="29:29" x14ac:dyDescent="0.25">
      <c r="AC4108" s="8"/>
    </row>
    <row r="4109" spans="29:29" x14ac:dyDescent="0.25">
      <c r="AC4109" s="8"/>
    </row>
    <row r="4110" spans="29:29" x14ac:dyDescent="0.25">
      <c r="AC4110" s="8"/>
    </row>
    <row r="4111" spans="29:29" x14ac:dyDescent="0.25">
      <c r="AC4111" s="8"/>
    </row>
    <row r="4112" spans="29:29" x14ac:dyDescent="0.25">
      <c r="AC4112" s="8"/>
    </row>
    <row r="4113" spans="29:29" x14ac:dyDescent="0.25">
      <c r="AC4113" s="8"/>
    </row>
    <row r="4114" spans="29:29" x14ac:dyDescent="0.25">
      <c r="AC4114" s="8"/>
    </row>
    <row r="4115" spans="29:29" x14ac:dyDescent="0.25">
      <c r="AC4115" s="8"/>
    </row>
    <row r="4116" spans="29:29" x14ac:dyDescent="0.25">
      <c r="AC4116" s="8"/>
    </row>
    <row r="4117" spans="29:29" x14ac:dyDescent="0.25">
      <c r="AC4117" s="8"/>
    </row>
    <row r="4118" spans="29:29" x14ac:dyDescent="0.25">
      <c r="AC4118" s="8"/>
    </row>
    <row r="4119" spans="29:29" x14ac:dyDescent="0.25">
      <c r="AC4119" s="8"/>
    </row>
    <row r="4120" spans="29:29" x14ac:dyDescent="0.25">
      <c r="AC4120" s="8"/>
    </row>
    <row r="4121" spans="29:29" x14ac:dyDescent="0.25">
      <c r="AC4121" s="8"/>
    </row>
    <row r="4122" spans="29:29" x14ac:dyDescent="0.25">
      <c r="AC4122" s="8"/>
    </row>
    <row r="4123" spans="29:29" x14ac:dyDescent="0.25">
      <c r="AC4123" s="8"/>
    </row>
    <row r="4124" spans="29:29" x14ac:dyDescent="0.25">
      <c r="AC4124" s="8"/>
    </row>
    <row r="4125" spans="29:29" x14ac:dyDescent="0.25">
      <c r="AC4125" s="8"/>
    </row>
    <row r="4126" spans="29:29" x14ac:dyDescent="0.25">
      <c r="AC4126" s="8"/>
    </row>
    <row r="4127" spans="29:29" x14ac:dyDescent="0.25">
      <c r="AC4127" s="8"/>
    </row>
    <row r="4128" spans="29:29" x14ac:dyDescent="0.25">
      <c r="AC4128" s="8"/>
    </row>
    <row r="4129" spans="29:29" x14ac:dyDescent="0.25">
      <c r="AC4129" s="8"/>
    </row>
    <row r="4130" spans="29:29" x14ac:dyDescent="0.25">
      <c r="AC4130" s="8"/>
    </row>
    <row r="4131" spans="29:29" x14ac:dyDescent="0.25">
      <c r="AC4131" s="8"/>
    </row>
    <row r="4132" spans="29:29" x14ac:dyDescent="0.25">
      <c r="AC4132" s="8"/>
    </row>
    <row r="4133" spans="29:29" x14ac:dyDescent="0.25">
      <c r="AC4133" s="8"/>
    </row>
    <row r="4134" spans="29:29" x14ac:dyDescent="0.25">
      <c r="AC4134" s="8"/>
    </row>
    <row r="4135" spans="29:29" x14ac:dyDescent="0.25">
      <c r="AC4135" s="8"/>
    </row>
    <row r="4136" spans="29:29" x14ac:dyDescent="0.25">
      <c r="AC4136" s="8"/>
    </row>
    <row r="4137" spans="29:29" x14ac:dyDescent="0.25">
      <c r="AC4137" s="8"/>
    </row>
    <row r="4138" spans="29:29" x14ac:dyDescent="0.25">
      <c r="AC4138" s="8"/>
    </row>
    <row r="4139" spans="29:29" x14ac:dyDescent="0.25">
      <c r="AC4139" s="8"/>
    </row>
    <row r="4140" spans="29:29" x14ac:dyDescent="0.25">
      <c r="AC4140" s="8"/>
    </row>
    <row r="4141" spans="29:29" x14ac:dyDescent="0.25">
      <c r="AC4141" s="8"/>
    </row>
    <row r="4142" spans="29:29" x14ac:dyDescent="0.25">
      <c r="AC4142" s="8"/>
    </row>
    <row r="4143" spans="29:29" x14ac:dyDescent="0.25">
      <c r="AC4143" s="8"/>
    </row>
    <row r="4144" spans="29:29" x14ac:dyDescent="0.25">
      <c r="AC4144" s="8"/>
    </row>
    <row r="4145" spans="29:29" x14ac:dyDescent="0.25">
      <c r="AC4145" s="8"/>
    </row>
    <row r="4146" spans="29:29" x14ac:dyDescent="0.25">
      <c r="AC4146" s="8"/>
    </row>
    <row r="4147" spans="29:29" x14ac:dyDescent="0.25">
      <c r="AC4147" s="8"/>
    </row>
    <row r="4148" spans="29:29" x14ac:dyDescent="0.25">
      <c r="AC4148" s="8"/>
    </row>
    <row r="4149" spans="29:29" x14ac:dyDescent="0.25">
      <c r="AC4149" s="8"/>
    </row>
    <row r="4150" spans="29:29" x14ac:dyDescent="0.25">
      <c r="AC4150" s="8"/>
    </row>
    <row r="4151" spans="29:29" x14ac:dyDescent="0.25">
      <c r="AC4151" s="8"/>
    </row>
    <row r="4152" spans="29:29" x14ac:dyDescent="0.25">
      <c r="AC4152" s="8"/>
    </row>
    <row r="4153" spans="29:29" x14ac:dyDescent="0.25">
      <c r="AC4153" s="8"/>
    </row>
    <row r="4154" spans="29:29" x14ac:dyDescent="0.25">
      <c r="AC4154" s="8"/>
    </row>
    <row r="4155" spans="29:29" x14ac:dyDescent="0.25">
      <c r="AC4155" s="8"/>
    </row>
    <row r="4156" spans="29:29" x14ac:dyDescent="0.25">
      <c r="AC4156" s="8"/>
    </row>
    <row r="4157" spans="29:29" x14ac:dyDescent="0.25">
      <c r="AC4157" s="8"/>
    </row>
    <row r="4158" spans="29:29" x14ac:dyDescent="0.25">
      <c r="AC4158" s="8"/>
    </row>
    <row r="4159" spans="29:29" x14ac:dyDescent="0.25">
      <c r="AC4159" s="8"/>
    </row>
    <row r="4160" spans="29:29" x14ac:dyDescent="0.25">
      <c r="AC4160" s="8"/>
    </row>
    <row r="4161" spans="29:29" x14ac:dyDescent="0.25">
      <c r="AC4161" s="8"/>
    </row>
    <row r="4162" spans="29:29" x14ac:dyDescent="0.25">
      <c r="AC4162" s="8"/>
    </row>
    <row r="4163" spans="29:29" x14ac:dyDescent="0.25">
      <c r="AC4163" s="8"/>
    </row>
    <row r="4164" spans="29:29" x14ac:dyDescent="0.25">
      <c r="AC4164" s="8"/>
    </row>
    <row r="4165" spans="29:29" x14ac:dyDescent="0.25">
      <c r="AC4165" s="8"/>
    </row>
    <row r="4166" spans="29:29" x14ac:dyDescent="0.25">
      <c r="AC4166" s="8"/>
    </row>
    <row r="4167" spans="29:29" x14ac:dyDescent="0.25">
      <c r="AC4167" s="8"/>
    </row>
    <row r="4168" spans="29:29" x14ac:dyDescent="0.25">
      <c r="AC4168" s="8"/>
    </row>
    <row r="4169" spans="29:29" x14ac:dyDescent="0.25">
      <c r="AC4169" s="8"/>
    </row>
    <row r="4170" spans="29:29" x14ac:dyDescent="0.25">
      <c r="AC4170" s="8"/>
    </row>
    <row r="4171" spans="29:29" x14ac:dyDescent="0.25">
      <c r="AC4171" s="8"/>
    </row>
    <row r="4172" spans="29:29" x14ac:dyDescent="0.25">
      <c r="AC4172" s="8"/>
    </row>
    <row r="4173" spans="29:29" x14ac:dyDescent="0.25">
      <c r="AC4173" s="8"/>
    </row>
    <row r="4174" spans="29:29" x14ac:dyDescent="0.25">
      <c r="AC4174" s="8"/>
    </row>
    <row r="4175" spans="29:29" x14ac:dyDescent="0.25">
      <c r="AC4175" s="8"/>
    </row>
    <row r="4176" spans="29:29" x14ac:dyDescent="0.25">
      <c r="AC4176" s="8"/>
    </row>
    <row r="4177" spans="29:29" x14ac:dyDescent="0.25">
      <c r="AC4177" s="8"/>
    </row>
    <row r="4178" spans="29:29" x14ac:dyDescent="0.25">
      <c r="AC4178" s="8"/>
    </row>
    <row r="4179" spans="29:29" x14ac:dyDescent="0.25">
      <c r="AC4179" s="8"/>
    </row>
    <row r="4180" spans="29:29" x14ac:dyDescent="0.25">
      <c r="AC4180" s="8"/>
    </row>
    <row r="4181" spans="29:29" x14ac:dyDescent="0.25">
      <c r="AC4181" s="8"/>
    </row>
    <row r="4182" spans="29:29" x14ac:dyDescent="0.25">
      <c r="AC4182" s="8"/>
    </row>
    <row r="4183" spans="29:29" x14ac:dyDescent="0.25">
      <c r="AC4183" s="8"/>
    </row>
    <row r="4184" spans="29:29" x14ac:dyDescent="0.25">
      <c r="AC4184" s="8"/>
    </row>
    <row r="4185" spans="29:29" x14ac:dyDescent="0.25">
      <c r="AC4185" s="8"/>
    </row>
    <row r="4186" spans="29:29" x14ac:dyDescent="0.25">
      <c r="AC4186" s="8"/>
    </row>
    <row r="4187" spans="29:29" x14ac:dyDescent="0.25">
      <c r="AC4187" s="8"/>
    </row>
    <row r="4188" spans="29:29" x14ac:dyDescent="0.25">
      <c r="AC4188" s="8"/>
    </row>
    <row r="4189" spans="29:29" x14ac:dyDescent="0.25">
      <c r="AC4189" s="8"/>
    </row>
    <row r="4190" spans="29:29" x14ac:dyDescent="0.25">
      <c r="AC4190" s="8"/>
    </row>
    <row r="4191" spans="29:29" x14ac:dyDescent="0.25">
      <c r="AC4191" s="8"/>
    </row>
    <row r="4192" spans="29:29" x14ac:dyDescent="0.25">
      <c r="AC4192" s="8"/>
    </row>
    <row r="4193" spans="29:29" x14ac:dyDescent="0.25">
      <c r="AC4193" s="8"/>
    </row>
    <row r="4194" spans="29:29" x14ac:dyDescent="0.25">
      <c r="AC4194" s="8"/>
    </row>
    <row r="4195" spans="29:29" x14ac:dyDescent="0.25">
      <c r="AC4195" s="8"/>
    </row>
    <row r="4196" spans="29:29" x14ac:dyDescent="0.25">
      <c r="AC4196" s="8"/>
    </row>
    <row r="4197" spans="29:29" x14ac:dyDescent="0.25">
      <c r="AC4197" s="8"/>
    </row>
    <row r="4198" spans="29:29" x14ac:dyDescent="0.25">
      <c r="AC4198" s="8"/>
    </row>
    <row r="4199" spans="29:29" x14ac:dyDescent="0.25">
      <c r="AC4199" s="8"/>
    </row>
    <row r="4200" spans="29:29" x14ac:dyDescent="0.25">
      <c r="AC4200" s="8"/>
    </row>
    <row r="4201" spans="29:29" x14ac:dyDescent="0.25">
      <c r="AC4201" s="8"/>
    </row>
    <row r="4202" spans="29:29" x14ac:dyDescent="0.25">
      <c r="AC4202" s="8"/>
    </row>
    <row r="4203" spans="29:29" x14ac:dyDescent="0.25">
      <c r="AC4203" s="8"/>
    </row>
    <row r="4204" spans="29:29" x14ac:dyDescent="0.25">
      <c r="AC4204" s="8"/>
    </row>
    <row r="4205" spans="29:29" x14ac:dyDescent="0.25">
      <c r="AC4205" s="8"/>
    </row>
    <row r="4206" spans="29:29" x14ac:dyDescent="0.25">
      <c r="AC4206" s="8"/>
    </row>
    <row r="4207" spans="29:29" x14ac:dyDescent="0.25">
      <c r="AC4207" s="8"/>
    </row>
    <row r="4208" spans="29:29" x14ac:dyDescent="0.25">
      <c r="AC4208" s="8"/>
    </row>
    <row r="4209" spans="29:29" x14ac:dyDescent="0.25">
      <c r="AC4209" s="8"/>
    </row>
    <row r="4210" spans="29:29" x14ac:dyDescent="0.25">
      <c r="AC4210" s="8"/>
    </row>
    <row r="4211" spans="29:29" x14ac:dyDescent="0.25">
      <c r="AC4211" s="8"/>
    </row>
    <row r="4212" spans="29:29" x14ac:dyDescent="0.25">
      <c r="AC4212" s="8"/>
    </row>
    <row r="4213" spans="29:29" x14ac:dyDescent="0.25">
      <c r="AC4213" s="8"/>
    </row>
    <row r="4214" spans="29:29" x14ac:dyDescent="0.25">
      <c r="AC4214" s="8"/>
    </row>
    <row r="4215" spans="29:29" x14ac:dyDescent="0.25">
      <c r="AC4215" s="8"/>
    </row>
    <row r="4216" spans="29:29" x14ac:dyDescent="0.25">
      <c r="AC4216" s="8"/>
    </row>
    <row r="4217" spans="29:29" x14ac:dyDescent="0.25">
      <c r="AC4217" s="8"/>
    </row>
    <row r="4218" spans="29:29" x14ac:dyDescent="0.25">
      <c r="AC4218" s="8"/>
    </row>
    <row r="4219" spans="29:29" x14ac:dyDescent="0.25">
      <c r="AC4219" s="8"/>
    </row>
    <row r="4220" spans="29:29" x14ac:dyDescent="0.25">
      <c r="AC4220" s="8"/>
    </row>
    <row r="4221" spans="29:29" x14ac:dyDescent="0.25">
      <c r="AC4221" s="8"/>
    </row>
    <row r="4222" spans="29:29" x14ac:dyDescent="0.25">
      <c r="AC4222" s="8"/>
    </row>
    <row r="4223" spans="29:29" x14ac:dyDescent="0.25">
      <c r="AC4223" s="8"/>
    </row>
    <row r="4224" spans="29:29" x14ac:dyDescent="0.25">
      <c r="AC4224" s="8"/>
    </row>
    <row r="4225" spans="29:29" x14ac:dyDescent="0.25">
      <c r="AC4225" s="8"/>
    </row>
    <row r="4226" spans="29:29" x14ac:dyDescent="0.25">
      <c r="AC4226" s="8"/>
    </row>
    <row r="4227" spans="29:29" x14ac:dyDescent="0.25">
      <c r="AC4227" s="8"/>
    </row>
    <row r="4228" spans="29:29" x14ac:dyDescent="0.25">
      <c r="AC4228" s="8"/>
    </row>
    <row r="4229" spans="29:29" x14ac:dyDescent="0.25">
      <c r="AC4229" s="8"/>
    </row>
    <row r="4230" spans="29:29" x14ac:dyDescent="0.25">
      <c r="AC4230" s="8"/>
    </row>
    <row r="4231" spans="29:29" x14ac:dyDescent="0.25">
      <c r="AC4231" s="8"/>
    </row>
    <row r="4232" spans="29:29" x14ac:dyDescent="0.25">
      <c r="AC4232" s="8"/>
    </row>
    <row r="4233" spans="29:29" x14ac:dyDescent="0.25">
      <c r="AC4233" s="8"/>
    </row>
    <row r="4234" spans="29:29" x14ac:dyDescent="0.25">
      <c r="AC4234" s="8"/>
    </row>
    <row r="4235" spans="29:29" x14ac:dyDescent="0.25">
      <c r="AC4235" s="8"/>
    </row>
    <row r="4236" spans="29:29" x14ac:dyDescent="0.25">
      <c r="AC4236" s="8"/>
    </row>
    <row r="4237" spans="29:29" x14ac:dyDescent="0.25">
      <c r="AC4237" s="8"/>
    </row>
    <row r="4238" spans="29:29" x14ac:dyDescent="0.25">
      <c r="AC4238" s="8"/>
    </row>
    <row r="4239" spans="29:29" x14ac:dyDescent="0.25">
      <c r="AC4239" s="8"/>
    </row>
    <row r="4240" spans="29:29" x14ac:dyDescent="0.25">
      <c r="AC4240" s="8"/>
    </row>
    <row r="4241" spans="29:29" x14ac:dyDescent="0.25">
      <c r="AC4241" s="8"/>
    </row>
    <row r="4242" spans="29:29" x14ac:dyDescent="0.25">
      <c r="AC4242" s="8"/>
    </row>
    <row r="4243" spans="29:29" x14ac:dyDescent="0.25">
      <c r="AC4243" s="8"/>
    </row>
    <row r="4244" spans="29:29" x14ac:dyDescent="0.25">
      <c r="AC4244" s="8"/>
    </row>
    <row r="4245" spans="29:29" x14ac:dyDescent="0.25">
      <c r="AC4245" s="8"/>
    </row>
    <row r="4246" spans="29:29" x14ac:dyDescent="0.25">
      <c r="AC4246" s="8"/>
    </row>
    <row r="4247" spans="29:29" x14ac:dyDescent="0.25">
      <c r="AC4247" s="8"/>
    </row>
    <row r="4248" spans="29:29" x14ac:dyDescent="0.25">
      <c r="AC4248" s="8"/>
    </row>
    <row r="4249" spans="29:29" x14ac:dyDescent="0.25">
      <c r="AC4249" s="8"/>
    </row>
    <row r="4250" spans="29:29" x14ac:dyDescent="0.25">
      <c r="AC4250" s="8"/>
    </row>
    <row r="4251" spans="29:29" x14ac:dyDescent="0.25">
      <c r="AC4251" s="8"/>
    </row>
    <row r="4252" spans="29:29" x14ac:dyDescent="0.25">
      <c r="AC4252" s="8"/>
    </row>
    <row r="4253" spans="29:29" x14ac:dyDescent="0.25">
      <c r="AC4253" s="8"/>
    </row>
    <row r="4254" spans="29:29" x14ac:dyDescent="0.25">
      <c r="AC4254" s="8"/>
    </row>
    <row r="4255" spans="29:29" x14ac:dyDescent="0.25">
      <c r="AC4255" s="8"/>
    </row>
    <row r="4256" spans="29:29" x14ac:dyDescent="0.25">
      <c r="AC4256" s="8"/>
    </row>
    <row r="4257" spans="29:29" x14ac:dyDescent="0.25">
      <c r="AC4257" s="8"/>
    </row>
    <row r="4258" spans="29:29" x14ac:dyDescent="0.25">
      <c r="AC4258" s="8"/>
    </row>
    <row r="4259" spans="29:29" x14ac:dyDescent="0.25">
      <c r="AC4259" s="8"/>
    </row>
    <row r="4260" spans="29:29" x14ac:dyDescent="0.25">
      <c r="AC4260" s="8"/>
    </row>
    <row r="4261" spans="29:29" x14ac:dyDescent="0.25">
      <c r="AC4261" s="8"/>
    </row>
    <row r="4262" spans="29:29" x14ac:dyDescent="0.25">
      <c r="AC4262" s="8"/>
    </row>
    <row r="4263" spans="29:29" x14ac:dyDescent="0.25">
      <c r="AC4263" s="8"/>
    </row>
    <row r="4264" spans="29:29" x14ac:dyDescent="0.25">
      <c r="AC4264" s="8"/>
    </row>
    <row r="4265" spans="29:29" x14ac:dyDescent="0.25">
      <c r="AC4265" s="8"/>
    </row>
    <row r="4266" spans="29:29" x14ac:dyDescent="0.25">
      <c r="AC4266" s="8"/>
    </row>
    <row r="4267" spans="29:29" x14ac:dyDescent="0.25">
      <c r="AC4267" s="8"/>
    </row>
    <row r="4268" spans="29:29" x14ac:dyDescent="0.25">
      <c r="AC4268" s="8"/>
    </row>
    <row r="4269" spans="29:29" x14ac:dyDescent="0.25">
      <c r="AC4269" s="8"/>
    </row>
    <row r="4270" spans="29:29" x14ac:dyDescent="0.25">
      <c r="AC4270" s="8"/>
    </row>
    <row r="4271" spans="29:29" x14ac:dyDescent="0.25">
      <c r="AC4271" s="8"/>
    </row>
    <row r="4272" spans="29:29" x14ac:dyDescent="0.25">
      <c r="AC4272" s="8"/>
    </row>
    <row r="4273" spans="29:29" x14ac:dyDescent="0.25">
      <c r="AC4273" s="8"/>
    </row>
    <row r="4274" spans="29:29" x14ac:dyDescent="0.25">
      <c r="AC4274" s="8"/>
    </row>
    <row r="4275" spans="29:29" x14ac:dyDescent="0.25">
      <c r="AC4275" s="8"/>
    </row>
    <row r="4276" spans="29:29" x14ac:dyDescent="0.25">
      <c r="AC4276" s="8"/>
    </row>
    <row r="4277" spans="29:29" x14ac:dyDescent="0.25">
      <c r="AC4277" s="8"/>
    </row>
    <row r="4278" spans="29:29" x14ac:dyDescent="0.25">
      <c r="AC4278" s="8"/>
    </row>
    <row r="4279" spans="29:29" x14ac:dyDescent="0.25">
      <c r="AC4279" s="8"/>
    </row>
    <row r="4280" spans="29:29" x14ac:dyDescent="0.25">
      <c r="AC4280" s="8"/>
    </row>
    <row r="4281" spans="29:29" x14ac:dyDescent="0.25">
      <c r="AC4281" s="8"/>
    </row>
    <row r="4282" spans="29:29" x14ac:dyDescent="0.25">
      <c r="AC4282" s="8"/>
    </row>
    <row r="4283" spans="29:29" x14ac:dyDescent="0.25">
      <c r="AC4283" s="8"/>
    </row>
    <row r="4284" spans="29:29" x14ac:dyDescent="0.25">
      <c r="AC4284" s="8"/>
    </row>
    <row r="4285" spans="29:29" x14ac:dyDescent="0.25">
      <c r="AC4285" s="8"/>
    </row>
    <row r="4286" spans="29:29" x14ac:dyDescent="0.25">
      <c r="AC4286" s="8"/>
    </row>
    <row r="4287" spans="29:29" x14ac:dyDescent="0.25">
      <c r="AC4287" s="8"/>
    </row>
    <row r="4288" spans="29:29" x14ac:dyDescent="0.25">
      <c r="AC4288" s="8"/>
    </row>
    <row r="4289" spans="29:29" x14ac:dyDescent="0.25">
      <c r="AC4289" s="8"/>
    </row>
    <row r="4290" spans="29:29" x14ac:dyDescent="0.25">
      <c r="AC4290" s="8"/>
    </row>
    <row r="4291" spans="29:29" x14ac:dyDescent="0.25">
      <c r="AC4291" s="8"/>
    </row>
    <row r="4292" spans="29:29" x14ac:dyDescent="0.25">
      <c r="AC4292" s="8"/>
    </row>
    <row r="4293" spans="29:29" x14ac:dyDescent="0.25">
      <c r="AC4293" s="8"/>
    </row>
    <row r="4294" spans="29:29" x14ac:dyDescent="0.25">
      <c r="AC4294" s="8"/>
    </row>
    <row r="4295" spans="29:29" x14ac:dyDescent="0.25">
      <c r="AC4295" s="8"/>
    </row>
    <row r="4296" spans="29:29" x14ac:dyDescent="0.25">
      <c r="AC4296" s="8"/>
    </row>
    <row r="4297" spans="29:29" x14ac:dyDescent="0.25">
      <c r="AC4297" s="8"/>
    </row>
    <row r="4298" spans="29:29" x14ac:dyDescent="0.25">
      <c r="AC4298" s="8"/>
    </row>
    <row r="4299" spans="29:29" x14ac:dyDescent="0.25">
      <c r="AC4299" s="8"/>
    </row>
    <row r="4300" spans="29:29" x14ac:dyDescent="0.25">
      <c r="AC4300" s="8"/>
    </row>
    <row r="4301" spans="29:29" x14ac:dyDescent="0.25">
      <c r="AC4301" s="8"/>
    </row>
    <row r="4302" spans="29:29" x14ac:dyDescent="0.25">
      <c r="AC4302" s="8"/>
    </row>
    <row r="4303" spans="29:29" x14ac:dyDescent="0.25">
      <c r="AC4303" s="8"/>
    </row>
    <row r="4304" spans="29:29" x14ac:dyDescent="0.25">
      <c r="AC4304" s="8"/>
    </row>
    <row r="4305" spans="29:29" x14ac:dyDescent="0.25">
      <c r="AC4305" s="8"/>
    </row>
    <row r="4306" spans="29:29" x14ac:dyDescent="0.25">
      <c r="AC4306" s="8"/>
    </row>
    <row r="4307" spans="29:29" x14ac:dyDescent="0.25">
      <c r="AC4307" s="8"/>
    </row>
    <row r="4308" spans="29:29" x14ac:dyDescent="0.25">
      <c r="AC4308" s="8"/>
    </row>
    <row r="4309" spans="29:29" x14ac:dyDescent="0.25">
      <c r="AC4309" s="8"/>
    </row>
    <row r="4310" spans="29:29" x14ac:dyDescent="0.25">
      <c r="AC4310" s="8"/>
    </row>
    <row r="4311" spans="29:29" x14ac:dyDescent="0.25">
      <c r="AC4311" s="8"/>
    </row>
    <row r="4312" spans="29:29" x14ac:dyDescent="0.25">
      <c r="AC4312" s="8"/>
    </row>
    <row r="4313" spans="29:29" x14ac:dyDescent="0.25">
      <c r="AC4313" s="8"/>
    </row>
    <row r="4314" spans="29:29" x14ac:dyDescent="0.25">
      <c r="AC4314" s="8"/>
    </row>
    <row r="4315" spans="29:29" x14ac:dyDescent="0.25">
      <c r="AC4315" s="8"/>
    </row>
    <row r="4316" spans="29:29" x14ac:dyDescent="0.25">
      <c r="AC4316" s="8"/>
    </row>
    <row r="4317" spans="29:29" x14ac:dyDescent="0.25">
      <c r="AC4317" s="8"/>
    </row>
    <row r="4318" spans="29:29" x14ac:dyDescent="0.25">
      <c r="AC4318" s="8"/>
    </row>
    <row r="4319" spans="29:29" x14ac:dyDescent="0.25">
      <c r="AC4319" s="8"/>
    </row>
    <row r="4320" spans="29:29" x14ac:dyDescent="0.25">
      <c r="AC4320" s="8"/>
    </row>
    <row r="4321" spans="29:29" x14ac:dyDescent="0.25">
      <c r="AC4321" s="8"/>
    </row>
    <row r="4322" spans="29:29" x14ac:dyDescent="0.25">
      <c r="AC4322" s="8"/>
    </row>
    <row r="4323" spans="29:29" x14ac:dyDescent="0.25">
      <c r="AC4323" s="8"/>
    </row>
    <row r="4324" spans="29:29" x14ac:dyDescent="0.25">
      <c r="AC4324" s="8"/>
    </row>
    <row r="4325" spans="29:29" x14ac:dyDescent="0.25">
      <c r="AC4325" s="8"/>
    </row>
    <row r="4326" spans="29:29" x14ac:dyDescent="0.25">
      <c r="AC4326" s="8"/>
    </row>
    <row r="4327" spans="29:29" x14ac:dyDescent="0.25">
      <c r="AC4327" s="8"/>
    </row>
    <row r="4328" spans="29:29" x14ac:dyDescent="0.25">
      <c r="AC4328" s="8"/>
    </row>
    <row r="4329" spans="29:29" x14ac:dyDescent="0.25">
      <c r="AC4329" s="8"/>
    </row>
    <row r="4330" spans="29:29" x14ac:dyDescent="0.25">
      <c r="AC4330" s="8"/>
    </row>
    <row r="4331" spans="29:29" x14ac:dyDescent="0.25">
      <c r="AC4331" s="8"/>
    </row>
    <row r="4332" spans="29:29" x14ac:dyDescent="0.25">
      <c r="AC4332" s="8"/>
    </row>
    <row r="4333" spans="29:29" x14ac:dyDescent="0.25">
      <c r="AC4333" s="8"/>
    </row>
    <row r="4334" spans="29:29" x14ac:dyDescent="0.25">
      <c r="AC4334" s="8"/>
    </row>
    <row r="4335" spans="29:29" x14ac:dyDescent="0.25">
      <c r="AC4335" s="8"/>
    </row>
    <row r="4336" spans="29:29" x14ac:dyDescent="0.25">
      <c r="AC4336" s="8"/>
    </row>
    <row r="4337" spans="29:29" x14ac:dyDescent="0.25">
      <c r="AC4337" s="8"/>
    </row>
    <row r="4338" spans="29:29" x14ac:dyDescent="0.25">
      <c r="AC4338" s="8"/>
    </row>
    <row r="4339" spans="29:29" x14ac:dyDescent="0.25">
      <c r="AC4339" s="8"/>
    </row>
    <row r="4340" spans="29:29" x14ac:dyDescent="0.25">
      <c r="AC4340" s="8"/>
    </row>
    <row r="4341" spans="29:29" x14ac:dyDescent="0.25">
      <c r="AC4341" s="8"/>
    </row>
    <row r="4342" spans="29:29" x14ac:dyDescent="0.25">
      <c r="AC4342" s="8"/>
    </row>
    <row r="4343" spans="29:29" x14ac:dyDescent="0.25">
      <c r="AC4343" s="8"/>
    </row>
    <row r="4344" spans="29:29" x14ac:dyDescent="0.25">
      <c r="AC4344" s="8"/>
    </row>
    <row r="4345" spans="29:29" x14ac:dyDescent="0.25">
      <c r="AC4345" s="8"/>
    </row>
    <row r="4346" spans="29:29" x14ac:dyDescent="0.25">
      <c r="AC4346" s="8"/>
    </row>
    <row r="4347" spans="29:29" x14ac:dyDescent="0.25">
      <c r="AC4347" s="8"/>
    </row>
    <row r="4348" spans="29:29" x14ac:dyDescent="0.25">
      <c r="AC4348" s="8"/>
    </row>
    <row r="4349" spans="29:29" x14ac:dyDescent="0.25">
      <c r="AC4349" s="8"/>
    </row>
    <row r="4350" spans="29:29" x14ac:dyDescent="0.25">
      <c r="AC4350" s="8"/>
    </row>
    <row r="4351" spans="29:29" x14ac:dyDescent="0.25">
      <c r="AC4351" s="8"/>
    </row>
    <row r="4352" spans="29:29" x14ac:dyDescent="0.25">
      <c r="AC4352" s="8"/>
    </row>
    <row r="4353" spans="29:29" x14ac:dyDescent="0.25">
      <c r="AC4353" s="8"/>
    </row>
    <row r="4354" spans="29:29" x14ac:dyDescent="0.25">
      <c r="AC4354" s="8"/>
    </row>
    <row r="4355" spans="29:29" x14ac:dyDescent="0.25">
      <c r="AC4355" s="8"/>
    </row>
    <row r="4356" spans="29:29" x14ac:dyDescent="0.25">
      <c r="AC4356" s="8"/>
    </row>
    <row r="4357" spans="29:29" x14ac:dyDescent="0.25">
      <c r="AC4357" s="8"/>
    </row>
    <row r="4358" spans="29:29" x14ac:dyDescent="0.25">
      <c r="AC4358" s="8"/>
    </row>
    <row r="4359" spans="29:29" x14ac:dyDescent="0.25">
      <c r="AC4359" s="8"/>
    </row>
    <row r="4360" spans="29:29" x14ac:dyDescent="0.25">
      <c r="AC4360" s="8"/>
    </row>
    <row r="4361" spans="29:29" x14ac:dyDescent="0.25">
      <c r="AC4361" s="8"/>
    </row>
    <row r="4362" spans="29:29" x14ac:dyDescent="0.25">
      <c r="AC4362" s="8"/>
    </row>
    <row r="4363" spans="29:29" x14ac:dyDescent="0.25">
      <c r="AC4363" s="8"/>
    </row>
    <row r="4364" spans="29:29" x14ac:dyDescent="0.25">
      <c r="AC4364" s="8"/>
    </row>
    <row r="4365" spans="29:29" x14ac:dyDescent="0.25">
      <c r="AC4365" s="8"/>
    </row>
    <row r="4366" spans="29:29" x14ac:dyDescent="0.25">
      <c r="AC4366" s="8"/>
    </row>
    <row r="4367" spans="29:29" x14ac:dyDescent="0.25">
      <c r="AC4367" s="8"/>
    </row>
    <row r="4368" spans="29:29" x14ac:dyDescent="0.25">
      <c r="AC4368" s="8"/>
    </row>
    <row r="4369" spans="29:29" x14ac:dyDescent="0.25">
      <c r="AC4369" s="8"/>
    </row>
    <row r="4370" spans="29:29" x14ac:dyDescent="0.25">
      <c r="AC4370" s="8"/>
    </row>
    <row r="4371" spans="29:29" x14ac:dyDescent="0.25">
      <c r="AC4371" s="8"/>
    </row>
    <row r="4372" spans="29:29" x14ac:dyDescent="0.25">
      <c r="AC4372" s="8"/>
    </row>
    <row r="4373" spans="29:29" x14ac:dyDescent="0.25">
      <c r="AC4373" s="8"/>
    </row>
    <row r="4374" spans="29:29" x14ac:dyDescent="0.25">
      <c r="AC4374" s="8"/>
    </row>
    <row r="4375" spans="29:29" x14ac:dyDescent="0.25">
      <c r="AC4375" s="8"/>
    </row>
    <row r="4376" spans="29:29" x14ac:dyDescent="0.25">
      <c r="AC4376" s="8"/>
    </row>
    <row r="4377" spans="29:29" x14ac:dyDescent="0.25">
      <c r="AC4377" s="8"/>
    </row>
    <row r="4378" spans="29:29" x14ac:dyDescent="0.25">
      <c r="AC4378" s="8"/>
    </row>
    <row r="4379" spans="29:29" x14ac:dyDescent="0.25">
      <c r="AC4379" s="8"/>
    </row>
    <row r="4380" spans="29:29" x14ac:dyDescent="0.25">
      <c r="AC4380" s="8"/>
    </row>
    <row r="4381" spans="29:29" x14ac:dyDescent="0.25">
      <c r="AC4381" s="8"/>
    </row>
    <row r="4382" spans="29:29" x14ac:dyDescent="0.25">
      <c r="AC4382" s="8"/>
    </row>
    <row r="4383" spans="29:29" x14ac:dyDescent="0.25">
      <c r="AC4383" s="8"/>
    </row>
    <row r="4384" spans="29:29" x14ac:dyDescent="0.25">
      <c r="AC4384" s="8"/>
    </row>
    <row r="4385" spans="29:29" x14ac:dyDescent="0.25">
      <c r="AC4385" s="8"/>
    </row>
    <row r="4386" spans="29:29" x14ac:dyDescent="0.25">
      <c r="AC4386" s="8"/>
    </row>
    <row r="4387" spans="29:29" x14ac:dyDescent="0.25">
      <c r="AC4387" s="8"/>
    </row>
    <row r="4388" spans="29:29" x14ac:dyDescent="0.25">
      <c r="AC4388" s="8"/>
    </row>
    <row r="4389" spans="29:29" x14ac:dyDescent="0.25">
      <c r="AC4389" s="8"/>
    </row>
    <row r="4390" spans="29:29" x14ac:dyDescent="0.25">
      <c r="AC4390" s="8"/>
    </row>
    <row r="4391" spans="29:29" x14ac:dyDescent="0.25">
      <c r="AC4391" s="8"/>
    </row>
    <row r="4392" spans="29:29" x14ac:dyDescent="0.25">
      <c r="AC4392" s="8"/>
    </row>
    <row r="4393" spans="29:29" x14ac:dyDescent="0.25">
      <c r="AC4393" s="8"/>
    </row>
    <row r="4394" spans="29:29" x14ac:dyDescent="0.25">
      <c r="AC4394" s="8"/>
    </row>
    <row r="4395" spans="29:29" x14ac:dyDescent="0.25">
      <c r="AC4395" s="8"/>
    </row>
    <row r="4396" spans="29:29" x14ac:dyDescent="0.25">
      <c r="AC4396" s="8"/>
    </row>
    <row r="4397" spans="29:29" x14ac:dyDescent="0.25">
      <c r="AC4397" s="8"/>
    </row>
    <row r="4398" spans="29:29" x14ac:dyDescent="0.25">
      <c r="AC4398" s="8"/>
    </row>
    <row r="4399" spans="29:29" x14ac:dyDescent="0.25">
      <c r="AC4399" s="8"/>
    </row>
    <row r="4400" spans="29:29" x14ac:dyDescent="0.25">
      <c r="AC4400" s="8"/>
    </row>
    <row r="4401" spans="29:29" x14ac:dyDescent="0.25">
      <c r="AC4401" s="8"/>
    </row>
    <row r="4402" spans="29:29" x14ac:dyDescent="0.25">
      <c r="AC4402" s="8"/>
    </row>
    <row r="4403" spans="29:29" x14ac:dyDescent="0.25">
      <c r="AC4403" s="8"/>
    </row>
    <row r="4404" spans="29:29" x14ac:dyDescent="0.25">
      <c r="AC4404" s="8"/>
    </row>
    <row r="4405" spans="29:29" x14ac:dyDescent="0.25">
      <c r="AC4405" s="8"/>
    </row>
    <row r="4406" spans="29:29" x14ac:dyDescent="0.25">
      <c r="AC4406" s="8"/>
    </row>
    <row r="4407" spans="29:29" x14ac:dyDescent="0.25">
      <c r="AC4407" s="8"/>
    </row>
    <row r="4408" spans="29:29" x14ac:dyDescent="0.25">
      <c r="AC4408" s="8"/>
    </row>
    <row r="4409" spans="29:29" x14ac:dyDescent="0.25">
      <c r="AC4409" s="8"/>
    </row>
    <row r="4410" spans="29:29" x14ac:dyDescent="0.25">
      <c r="AC4410" s="8"/>
    </row>
    <row r="4411" spans="29:29" x14ac:dyDescent="0.25">
      <c r="AC4411" s="8"/>
    </row>
    <row r="4412" spans="29:29" x14ac:dyDescent="0.25">
      <c r="AC4412" s="8"/>
    </row>
    <row r="4413" spans="29:29" x14ac:dyDescent="0.25">
      <c r="AC4413" s="8"/>
    </row>
    <row r="4414" spans="29:29" x14ac:dyDescent="0.25">
      <c r="AC4414" s="8"/>
    </row>
    <row r="4415" spans="29:29" x14ac:dyDescent="0.25">
      <c r="AC4415" s="8"/>
    </row>
    <row r="4416" spans="29:29" x14ac:dyDescent="0.25">
      <c r="AC4416" s="8"/>
    </row>
    <row r="4417" spans="29:29" x14ac:dyDescent="0.25">
      <c r="AC4417" s="8"/>
    </row>
    <row r="4418" spans="29:29" x14ac:dyDescent="0.25">
      <c r="AC4418" s="8"/>
    </row>
    <row r="4419" spans="29:29" x14ac:dyDescent="0.25">
      <c r="AC4419" s="8"/>
    </row>
    <row r="4420" spans="29:29" x14ac:dyDescent="0.25">
      <c r="AC4420" s="8"/>
    </row>
    <row r="4421" spans="29:29" x14ac:dyDescent="0.25">
      <c r="AC4421" s="8"/>
    </row>
    <row r="4422" spans="29:29" x14ac:dyDescent="0.25">
      <c r="AC4422" s="8"/>
    </row>
    <row r="4423" spans="29:29" x14ac:dyDescent="0.25">
      <c r="AC4423" s="8"/>
    </row>
    <row r="4424" spans="29:29" x14ac:dyDescent="0.25">
      <c r="AC4424" s="8"/>
    </row>
    <row r="4425" spans="29:29" x14ac:dyDescent="0.25">
      <c r="AC4425" s="8"/>
    </row>
    <row r="4426" spans="29:29" x14ac:dyDescent="0.25">
      <c r="AC4426" s="8"/>
    </row>
    <row r="4427" spans="29:29" x14ac:dyDescent="0.25">
      <c r="AC4427" s="8"/>
    </row>
    <row r="4428" spans="29:29" x14ac:dyDescent="0.25">
      <c r="AC4428" s="8"/>
    </row>
    <row r="4429" spans="29:29" x14ac:dyDescent="0.25">
      <c r="AC4429" s="8"/>
    </row>
    <row r="4430" spans="29:29" x14ac:dyDescent="0.25">
      <c r="AC4430" s="8"/>
    </row>
    <row r="4431" spans="29:29" x14ac:dyDescent="0.25">
      <c r="AC4431" s="8"/>
    </row>
    <row r="4432" spans="29:29" x14ac:dyDescent="0.25">
      <c r="AC4432" s="8"/>
    </row>
    <row r="4433" spans="29:29" x14ac:dyDescent="0.25">
      <c r="AC4433" s="8"/>
    </row>
    <row r="4434" spans="29:29" x14ac:dyDescent="0.25">
      <c r="AC4434" s="8"/>
    </row>
    <row r="4435" spans="29:29" x14ac:dyDescent="0.25">
      <c r="AC4435" s="8"/>
    </row>
    <row r="4436" spans="29:29" x14ac:dyDescent="0.25">
      <c r="AC4436" s="8"/>
    </row>
    <row r="4437" spans="29:29" x14ac:dyDescent="0.25">
      <c r="AC4437" s="8"/>
    </row>
    <row r="4438" spans="29:29" x14ac:dyDescent="0.25">
      <c r="AC4438" s="8"/>
    </row>
    <row r="4439" spans="29:29" x14ac:dyDescent="0.25">
      <c r="AC4439" s="8"/>
    </row>
    <row r="4440" spans="29:29" x14ac:dyDescent="0.25">
      <c r="AC4440" s="8"/>
    </row>
    <row r="4441" spans="29:29" x14ac:dyDescent="0.25">
      <c r="AC4441" s="8"/>
    </row>
    <row r="4442" spans="29:29" x14ac:dyDescent="0.25">
      <c r="AC4442" s="8"/>
    </row>
    <row r="4443" spans="29:29" x14ac:dyDescent="0.25">
      <c r="AC4443" s="8"/>
    </row>
    <row r="4444" spans="29:29" x14ac:dyDescent="0.25">
      <c r="AC4444" s="8"/>
    </row>
    <row r="4445" spans="29:29" x14ac:dyDescent="0.25">
      <c r="AC4445" s="8"/>
    </row>
    <row r="4446" spans="29:29" x14ac:dyDescent="0.25">
      <c r="AC4446" s="8"/>
    </row>
    <row r="4447" spans="29:29" x14ac:dyDescent="0.25">
      <c r="AC4447" s="8"/>
    </row>
    <row r="4448" spans="29:29" x14ac:dyDescent="0.25">
      <c r="AC4448" s="8"/>
    </row>
    <row r="4449" spans="29:29" x14ac:dyDescent="0.25">
      <c r="AC4449" s="8"/>
    </row>
    <row r="4450" spans="29:29" x14ac:dyDescent="0.25">
      <c r="AC4450" s="8"/>
    </row>
    <row r="4451" spans="29:29" x14ac:dyDescent="0.25">
      <c r="AC4451" s="8"/>
    </row>
    <row r="4452" spans="29:29" x14ac:dyDescent="0.25">
      <c r="AC4452" s="8"/>
    </row>
    <row r="4453" spans="29:29" x14ac:dyDescent="0.25">
      <c r="AC4453" s="8"/>
    </row>
    <row r="4454" spans="29:29" x14ac:dyDescent="0.25">
      <c r="AC4454" s="8"/>
    </row>
    <row r="4455" spans="29:29" x14ac:dyDescent="0.25">
      <c r="AC4455" s="8"/>
    </row>
    <row r="4456" spans="29:29" x14ac:dyDescent="0.25">
      <c r="AC4456" s="8"/>
    </row>
    <row r="4457" spans="29:29" x14ac:dyDescent="0.25">
      <c r="AC4457" s="8"/>
    </row>
    <row r="4458" spans="29:29" x14ac:dyDescent="0.25">
      <c r="AC4458" s="8"/>
    </row>
    <row r="4459" spans="29:29" x14ac:dyDescent="0.25">
      <c r="AC4459" s="8"/>
    </row>
    <row r="4460" spans="29:29" x14ac:dyDescent="0.25">
      <c r="AC4460" s="8"/>
    </row>
    <row r="4461" spans="29:29" x14ac:dyDescent="0.25">
      <c r="AC4461" s="8"/>
    </row>
    <row r="4462" spans="29:29" x14ac:dyDescent="0.25">
      <c r="AC4462" s="8"/>
    </row>
    <row r="4463" spans="29:29" x14ac:dyDescent="0.25">
      <c r="AC4463" s="8"/>
    </row>
    <row r="4464" spans="29:29" x14ac:dyDescent="0.25">
      <c r="AC4464" s="8"/>
    </row>
    <row r="4465" spans="29:29" x14ac:dyDescent="0.25">
      <c r="AC4465" s="8"/>
    </row>
    <row r="4466" spans="29:29" x14ac:dyDescent="0.25">
      <c r="AC4466" s="8"/>
    </row>
    <row r="4467" spans="29:29" x14ac:dyDescent="0.25">
      <c r="AC4467" s="8"/>
    </row>
    <row r="4468" spans="29:29" x14ac:dyDescent="0.25">
      <c r="AC4468" s="8"/>
    </row>
    <row r="4469" spans="29:29" x14ac:dyDescent="0.25">
      <c r="AC4469" s="8"/>
    </row>
    <row r="4470" spans="29:29" x14ac:dyDescent="0.25">
      <c r="AC4470" s="8"/>
    </row>
    <row r="4471" spans="29:29" x14ac:dyDescent="0.25">
      <c r="AC4471" s="8"/>
    </row>
    <row r="4472" spans="29:29" x14ac:dyDescent="0.25">
      <c r="AC4472" s="8"/>
    </row>
    <row r="4473" spans="29:29" x14ac:dyDescent="0.25">
      <c r="AC4473" s="8"/>
    </row>
    <row r="4474" spans="29:29" x14ac:dyDescent="0.25">
      <c r="AC4474" s="8"/>
    </row>
    <row r="4475" spans="29:29" x14ac:dyDescent="0.25">
      <c r="AC4475" s="8"/>
    </row>
    <row r="4476" spans="29:29" x14ac:dyDescent="0.25">
      <c r="AC4476" s="8"/>
    </row>
    <row r="4477" spans="29:29" x14ac:dyDescent="0.25">
      <c r="AC4477" s="8"/>
    </row>
    <row r="4478" spans="29:29" x14ac:dyDescent="0.25">
      <c r="AC4478" s="8"/>
    </row>
    <row r="4479" spans="29:29" x14ac:dyDescent="0.25">
      <c r="AC4479" s="8"/>
    </row>
    <row r="4480" spans="29:29" x14ac:dyDescent="0.25">
      <c r="AC4480" s="8"/>
    </row>
    <row r="4481" spans="29:29" x14ac:dyDescent="0.25">
      <c r="AC4481" s="8"/>
    </row>
    <row r="4482" spans="29:29" x14ac:dyDescent="0.25">
      <c r="AC4482" s="8"/>
    </row>
    <row r="4483" spans="29:29" x14ac:dyDescent="0.25">
      <c r="AC4483" s="8"/>
    </row>
    <row r="4484" spans="29:29" x14ac:dyDescent="0.25">
      <c r="AC4484" s="8"/>
    </row>
    <row r="4485" spans="29:29" x14ac:dyDescent="0.25">
      <c r="AC4485" s="8"/>
    </row>
    <row r="4486" spans="29:29" x14ac:dyDescent="0.25">
      <c r="AC4486" s="8"/>
    </row>
    <row r="4487" spans="29:29" x14ac:dyDescent="0.25">
      <c r="AC4487" s="8"/>
    </row>
    <row r="4488" spans="29:29" x14ac:dyDescent="0.25">
      <c r="AC4488" s="8"/>
    </row>
    <row r="4489" spans="29:29" x14ac:dyDescent="0.25">
      <c r="AC4489" s="8"/>
    </row>
    <row r="4490" spans="29:29" x14ac:dyDescent="0.25">
      <c r="AC4490" s="8"/>
    </row>
    <row r="4491" spans="29:29" x14ac:dyDescent="0.25">
      <c r="AC4491" s="8"/>
    </row>
    <row r="4492" spans="29:29" x14ac:dyDescent="0.25">
      <c r="AC4492" s="8"/>
    </row>
    <row r="4493" spans="29:29" x14ac:dyDescent="0.25">
      <c r="AC4493" s="8"/>
    </row>
    <row r="4494" spans="29:29" x14ac:dyDescent="0.25">
      <c r="AC4494" s="8"/>
    </row>
    <row r="4495" spans="29:29" x14ac:dyDescent="0.25">
      <c r="AC4495" s="8"/>
    </row>
    <row r="4496" spans="29:29" x14ac:dyDescent="0.25">
      <c r="AC4496" s="8"/>
    </row>
    <row r="4497" spans="29:29" x14ac:dyDescent="0.25">
      <c r="AC4497" s="8"/>
    </row>
    <row r="4498" spans="29:29" x14ac:dyDescent="0.25">
      <c r="AC4498" s="8"/>
    </row>
    <row r="4499" spans="29:29" x14ac:dyDescent="0.25">
      <c r="AC4499" s="8"/>
    </row>
    <row r="4500" spans="29:29" x14ac:dyDescent="0.25">
      <c r="AC4500" s="8"/>
    </row>
    <row r="4501" spans="29:29" x14ac:dyDescent="0.25">
      <c r="AC4501" s="8"/>
    </row>
    <row r="4502" spans="29:29" x14ac:dyDescent="0.25">
      <c r="AC4502" s="8"/>
    </row>
    <row r="4503" spans="29:29" x14ac:dyDescent="0.25">
      <c r="AC4503" s="8"/>
    </row>
    <row r="4504" spans="29:29" x14ac:dyDescent="0.25">
      <c r="AC4504" s="8"/>
    </row>
    <row r="4505" spans="29:29" x14ac:dyDescent="0.25">
      <c r="AC4505" s="8"/>
    </row>
    <row r="4506" spans="29:29" x14ac:dyDescent="0.25">
      <c r="AC4506" s="8"/>
    </row>
    <row r="4507" spans="29:29" x14ac:dyDescent="0.25">
      <c r="AC4507" s="8"/>
    </row>
    <row r="4508" spans="29:29" x14ac:dyDescent="0.25">
      <c r="AC4508" s="8"/>
    </row>
    <row r="4509" spans="29:29" x14ac:dyDescent="0.25">
      <c r="AC4509" s="8"/>
    </row>
    <row r="4510" spans="29:29" x14ac:dyDescent="0.25">
      <c r="AC4510" s="8"/>
    </row>
    <row r="4511" spans="29:29" x14ac:dyDescent="0.25">
      <c r="AC4511" s="8"/>
    </row>
    <row r="4512" spans="29:29" x14ac:dyDescent="0.25">
      <c r="AC4512" s="8"/>
    </row>
    <row r="4513" spans="29:29" x14ac:dyDescent="0.25">
      <c r="AC4513" s="8"/>
    </row>
    <row r="4514" spans="29:29" x14ac:dyDescent="0.25">
      <c r="AC4514" s="8"/>
    </row>
    <row r="4515" spans="29:29" x14ac:dyDescent="0.25">
      <c r="AC4515" s="8"/>
    </row>
    <row r="4516" spans="29:29" x14ac:dyDescent="0.25">
      <c r="AC4516" s="8"/>
    </row>
    <row r="4517" spans="29:29" x14ac:dyDescent="0.25">
      <c r="AC4517" s="8"/>
    </row>
    <row r="4518" spans="29:29" x14ac:dyDescent="0.25">
      <c r="AC4518" s="8"/>
    </row>
    <row r="4519" spans="29:29" x14ac:dyDescent="0.25">
      <c r="AC4519" s="8"/>
    </row>
    <row r="4520" spans="29:29" x14ac:dyDescent="0.25">
      <c r="AC4520" s="8"/>
    </row>
    <row r="4521" spans="29:29" x14ac:dyDescent="0.25">
      <c r="AC4521" s="8"/>
    </row>
    <row r="4522" spans="29:29" x14ac:dyDescent="0.25">
      <c r="AC4522" s="8"/>
    </row>
    <row r="4523" spans="29:29" x14ac:dyDescent="0.25">
      <c r="AC4523" s="8"/>
    </row>
    <row r="4524" spans="29:29" x14ac:dyDescent="0.25">
      <c r="AC4524" s="8"/>
    </row>
    <row r="4525" spans="29:29" x14ac:dyDescent="0.25">
      <c r="AC4525" s="8"/>
    </row>
    <row r="4526" spans="29:29" x14ac:dyDescent="0.25">
      <c r="AC4526" s="8"/>
    </row>
    <row r="4527" spans="29:29" x14ac:dyDescent="0.25">
      <c r="AC4527" s="8"/>
    </row>
    <row r="4528" spans="29:29" x14ac:dyDescent="0.25">
      <c r="AC4528" s="8"/>
    </row>
    <row r="4529" spans="29:29" x14ac:dyDescent="0.25">
      <c r="AC4529" s="8"/>
    </row>
    <row r="4530" spans="29:29" x14ac:dyDescent="0.25">
      <c r="AC4530" s="8"/>
    </row>
    <row r="4531" spans="29:29" x14ac:dyDescent="0.25">
      <c r="AC4531" s="8"/>
    </row>
    <row r="4532" spans="29:29" x14ac:dyDescent="0.25">
      <c r="AC4532" s="8"/>
    </row>
    <row r="4533" spans="29:29" x14ac:dyDescent="0.25">
      <c r="AC4533" s="8"/>
    </row>
    <row r="4534" spans="29:29" x14ac:dyDescent="0.25">
      <c r="AC4534" s="8"/>
    </row>
    <row r="4535" spans="29:29" x14ac:dyDescent="0.25">
      <c r="AC4535" s="8"/>
    </row>
    <row r="4536" spans="29:29" x14ac:dyDescent="0.25">
      <c r="AC4536" s="8"/>
    </row>
    <row r="4537" spans="29:29" x14ac:dyDescent="0.25">
      <c r="AC4537" s="8"/>
    </row>
    <row r="4538" spans="29:29" x14ac:dyDescent="0.25">
      <c r="AC4538" s="8"/>
    </row>
    <row r="4539" spans="29:29" x14ac:dyDescent="0.25">
      <c r="AC4539" s="8"/>
    </row>
    <row r="4540" spans="29:29" x14ac:dyDescent="0.25">
      <c r="AC4540" s="8"/>
    </row>
    <row r="4541" spans="29:29" x14ac:dyDescent="0.25">
      <c r="AC4541" s="8"/>
    </row>
    <row r="4542" spans="29:29" x14ac:dyDescent="0.25">
      <c r="AC4542" s="8"/>
    </row>
    <row r="4543" spans="29:29" x14ac:dyDescent="0.25">
      <c r="AC4543" s="8"/>
    </row>
    <row r="4544" spans="29:29" x14ac:dyDescent="0.25">
      <c r="AC4544" s="8"/>
    </row>
    <row r="4545" spans="29:29" x14ac:dyDescent="0.25">
      <c r="AC4545" s="8"/>
    </row>
    <row r="4546" spans="29:29" x14ac:dyDescent="0.25">
      <c r="AC4546" s="8"/>
    </row>
    <row r="4547" spans="29:29" x14ac:dyDescent="0.25">
      <c r="AC4547" s="8"/>
    </row>
    <row r="4548" spans="29:29" x14ac:dyDescent="0.25">
      <c r="AC4548" s="8"/>
    </row>
    <row r="4549" spans="29:29" x14ac:dyDescent="0.25">
      <c r="AC4549" s="8"/>
    </row>
    <row r="4550" spans="29:29" x14ac:dyDescent="0.25">
      <c r="AC4550" s="8"/>
    </row>
    <row r="4551" spans="29:29" x14ac:dyDescent="0.25">
      <c r="AC4551" s="8"/>
    </row>
    <row r="4552" spans="29:29" x14ac:dyDescent="0.25">
      <c r="AC4552" s="8"/>
    </row>
    <row r="4553" spans="29:29" x14ac:dyDescent="0.25">
      <c r="AC4553" s="8"/>
    </row>
    <row r="4554" spans="29:29" x14ac:dyDescent="0.25">
      <c r="AC4554" s="8"/>
    </row>
    <row r="4555" spans="29:29" x14ac:dyDescent="0.25">
      <c r="AC4555" s="8"/>
    </row>
    <row r="4556" spans="29:29" x14ac:dyDescent="0.25">
      <c r="AC4556" s="8"/>
    </row>
    <row r="4557" spans="29:29" x14ac:dyDescent="0.25">
      <c r="AC4557" s="8"/>
    </row>
    <row r="4558" spans="29:29" x14ac:dyDescent="0.25">
      <c r="AC4558" s="8"/>
    </row>
    <row r="4559" spans="29:29" x14ac:dyDescent="0.25">
      <c r="AC4559" s="8"/>
    </row>
    <row r="4560" spans="29:29" x14ac:dyDescent="0.25">
      <c r="AC4560" s="8"/>
    </row>
    <row r="4561" spans="29:29" x14ac:dyDescent="0.25">
      <c r="AC4561" s="8"/>
    </row>
    <row r="4562" spans="29:29" x14ac:dyDescent="0.25">
      <c r="AC4562" s="8"/>
    </row>
    <row r="4563" spans="29:29" x14ac:dyDescent="0.25">
      <c r="AC4563" s="8"/>
    </row>
    <row r="4564" spans="29:29" x14ac:dyDescent="0.25">
      <c r="AC4564" s="8"/>
    </row>
    <row r="4565" spans="29:29" x14ac:dyDescent="0.25">
      <c r="AC4565" s="8"/>
    </row>
    <row r="4566" spans="29:29" x14ac:dyDescent="0.25">
      <c r="AC4566" s="8"/>
    </row>
    <row r="4567" spans="29:29" x14ac:dyDescent="0.25">
      <c r="AC4567" s="8"/>
    </row>
    <row r="4568" spans="29:29" x14ac:dyDescent="0.25">
      <c r="AC4568" s="8"/>
    </row>
    <row r="4569" spans="29:29" x14ac:dyDescent="0.25">
      <c r="AC4569" s="8"/>
    </row>
    <row r="4570" spans="29:29" x14ac:dyDescent="0.25">
      <c r="AC4570" s="8"/>
    </row>
    <row r="4571" spans="29:29" x14ac:dyDescent="0.25">
      <c r="AC4571" s="8"/>
    </row>
    <row r="4572" spans="29:29" x14ac:dyDescent="0.25">
      <c r="AC4572" s="8"/>
    </row>
    <row r="4573" spans="29:29" x14ac:dyDescent="0.25">
      <c r="AC4573" s="8"/>
    </row>
    <row r="4574" spans="29:29" x14ac:dyDescent="0.25">
      <c r="AC4574" s="8"/>
    </row>
    <row r="4575" spans="29:29" x14ac:dyDescent="0.25">
      <c r="AC4575" s="8"/>
    </row>
    <row r="4576" spans="29:29" x14ac:dyDescent="0.25">
      <c r="AC4576" s="8"/>
    </row>
    <row r="4577" spans="29:29" x14ac:dyDescent="0.25">
      <c r="AC4577" s="8"/>
    </row>
    <row r="4578" spans="29:29" x14ac:dyDescent="0.25">
      <c r="AC4578" s="8"/>
    </row>
    <row r="4579" spans="29:29" x14ac:dyDescent="0.25">
      <c r="AC4579" s="8"/>
    </row>
    <row r="4580" spans="29:29" x14ac:dyDescent="0.25">
      <c r="AC4580" s="8"/>
    </row>
    <row r="4581" spans="29:29" x14ac:dyDescent="0.25">
      <c r="AC4581" s="8"/>
    </row>
    <row r="4582" spans="29:29" x14ac:dyDescent="0.25">
      <c r="AC4582" s="8"/>
    </row>
    <row r="4583" spans="29:29" x14ac:dyDescent="0.25">
      <c r="AC4583" s="8"/>
    </row>
    <row r="4584" spans="29:29" x14ac:dyDescent="0.25">
      <c r="AC4584" s="8"/>
    </row>
    <row r="4585" spans="29:29" x14ac:dyDescent="0.25">
      <c r="AC4585" s="8"/>
    </row>
    <row r="4586" spans="29:29" x14ac:dyDescent="0.25">
      <c r="AC4586" s="8"/>
    </row>
    <row r="4587" spans="29:29" x14ac:dyDescent="0.25">
      <c r="AC4587" s="8"/>
    </row>
    <row r="4588" spans="29:29" x14ac:dyDescent="0.25">
      <c r="AC4588" s="8"/>
    </row>
    <row r="4589" spans="29:29" x14ac:dyDescent="0.25">
      <c r="AC4589" s="8"/>
    </row>
    <row r="4590" spans="29:29" x14ac:dyDescent="0.25">
      <c r="AC4590" s="8"/>
    </row>
    <row r="4591" spans="29:29" x14ac:dyDescent="0.25">
      <c r="AC4591" s="8"/>
    </row>
    <row r="4592" spans="29:29" x14ac:dyDescent="0.25">
      <c r="AC4592" s="8"/>
    </row>
    <row r="4593" spans="29:29" x14ac:dyDescent="0.25">
      <c r="AC4593" s="8"/>
    </row>
    <row r="4594" spans="29:29" x14ac:dyDescent="0.25">
      <c r="AC4594" s="8"/>
    </row>
    <row r="4595" spans="29:29" x14ac:dyDescent="0.25">
      <c r="AC4595" s="8"/>
    </row>
    <row r="4596" spans="29:29" x14ac:dyDescent="0.25">
      <c r="AC4596" s="8"/>
    </row>
    <row r="4597" spans="29:29" x14ac:dyDescent="0.25">
      <c r="AC4597" s="8"/>
    </row>
    <row r="4598" spans="29:29" x14ac:dyDescent="0.25">
      <c r="AC4598" s="8"/>
    </row>
    <row r="4599" spans="29:29" x14ac:dyDescent="0.25">
      <c r="AC4599" s="8"/>
    </row>
    <row r="4600" spans="29:29" x14ac:dyDescent="0.25">
      <c r="AC4600" s="8"/>
    </row>
    <row r="4601" spans="29:29" x14ac:dyDescent="0.25">
      <c r="AC4601" s="8"/>
    </row>
    <row r="4602" spans="29:29" x14ac:dyDescent="0.25">
      <c r="AC4602" s="8"/>
    </row>
    <row r="4603" spans="29:29" x14ac:dyDescent="0.25">
      <c r="AC4603" s="8"/>
    </row>
    <row r="4604" spans="29:29" x14ac:dyDescent="0.25">
      <c r="AC4604" s="8"/>
    </row>
    <row r="4605" spans="29:29" x14ac:dyDescent="0.25">
      <c r="AC4605" s="8"/>
    </row>
    <row r="4606" spans="29:29" x14ac:dyDescent="0.25">
      <c r="AC4606" s="8"/>
    </row>
    <row r="4607" spans="29:29" x14ac:dyDescent="0.25">
      <c r="AC4607" s="8"/>
    </row>
    <row r="4608" spans="29:29" x14ac:dyDescent="0.25">
      <c r="AC4608" s="8"/>
    </row>
    <row r="4609" spans="29:29" x14ac:dyDescent="0.25">
      <c r="AC4609" s="8"/>
    </row>
    <row r="4610" spans="29:29" x14ac:dyDescent="0.25">
      <c r="AC4610" s="8"/>
    </row>
    <row r="4611" spans="29:29" x14ac:dyDescent="0.25">
      <c r="AC4611" s="8"/>
    </row>
    <row r="4612" spans="29:29" x14ac:dyDescent="0.25">
      <c r="AC4612" s="8"/>
    </row>
    <row r="4613" spans="29:29" x14ac:dyDescent="0.25">
      <c r="AC4613" s="8"/>
    </row>
    <row r="4614" spans="29:29" x14ac:dyDescent="0.25">
      <c r="AC4614" s="8"/>
    </row>
    <row r="4615" spans="29:29" x14ac:dyDescent="0.25">
      <c r="AC4615" s="8"/>
    </row>
    <row r="4616" spans="29:29" x14ac:dyDescent="0.25">
      <c r="AC4616" s="8"/>
    </row>
    <row r="4617" spans="29:29" x14ac:dyDescent="0.25">
      <c r="AC4617" s="8"/>
    </row>
    <row r="4618" spans="29:29" x14ac:dyDescent="0.25">
      <c r="AC4618" s="8"/>
    </row>
    <row r="4619" spans="29:29" x14ac:dyDescent="0.25">
      <c r="AC4619" s="8"/>
    </row>
    <row r="4620" spans="29:29" x14ac:dyDescent="0.25">
      <c r="AC4620" s="8"/>
    </row>
    <row r="4621" spans="29:29" x14ac:dyDescent="0.25">
      <c r="AC4621" s="8"/>
    </row>
    <row r="4622" spans="29:29" x14ac:dyDescent="0.25">
      <c r="AC4622" s="8"/>
    </row>
    <row r="4623" spans="29:29" x14ac:dyDescent="0.25">
      <c r="AC4623" s="8"/>
    </row>
    <row r="4624" spans="29:29" x14ac:dyDescent="0.25">
      <c r="AC4624" s="8"/>
    </row>
    <row r="4625" spans="29:29" x14ac:dyDescent="0.25">
      <c r="AC4625" s="8"/>
    </row>
    <row r="4626" spans="29:29" x14ac:dyDescent="0.25">
      <c r="AC4626" s="8"/>
    </row>
    <row r="4627" spans="29:29" x14ac:dyDescent="0.25">
      <c r="AC4627" s="8"/>
    </row>
    <row r="4628" spans="29:29" x14ac:dyDescent="0.25">
      <c r="AC4628" s="8"/>
    </row>
    <row r="4629" spans="29:29" x14ac:dyDescent="0.25">
      <c r="AC4629" s="8"/>
    </row>
    <row r="4630" spans="29:29" x14ac:dyDescent="0.25">
      <c r="AC4630" s="8"/>
    </row>
    <row r="4631" spans="29:29" x14ac:dyDescent="0.25">
      <c r="AC4631" s="8"/>
    </row>
    <row r="4632" spans="29:29" x14ac:dyDescent="0.25">
      <c r="AC4632" s="8"/>
    </row>
    <row r="4633" spans="29:29" x14ac:dyDescent="0.25">
      <c r="AC4633" s="8"/>
    </row>
    <row r="4634" spans="29:29" x14ac:dyDescent="0.25">
      <c r="AC4634" s="8"/>
    </row>
    <row r="4635" spans="29:29" x14ac:dyDescent="0.25">
      <c r="AC4635" s="8"/>
    </row>
    <row r="4636" spans="29:29" x14ac:dyDescent="0.25">
      <c r="AC4636" s="8"/>
    </row>
    <row r="4637" spans="29:29" x14ac:dyDescent="0.25">
      <c r="AC4637" s="8"/>
    </row>
    <row r="4638" spans="29:29" x14ac:dyDescent="0.25">
      <c r="AC4638" s="8"/>
    </row>
    <row r="4639" spans="29:29" x14ac:dyDescent="0.25">
      <c r="AC4639" s="8"/>
    </row>
    <row r="4640" spans="29:29" x14ac:dyDescent="0.25">
      <c r="AC4640" s="8"/>
    </row>
    <row r="4641" spans="29:29" x14ac:dyDescent="0.25">
      <c r="AC4641" s="8"/>
    </row>
    <row r="4642" spans="29:29" x14ac:dyDescent="0.25">
      <c r="AC4642" s="8"/>
    </row>
    <row r="4643" spans="29:29" x14ac:dyDescent="0.25">
      <c r="AC4643" s="8"/>
    </row>
    <row r="4644" spans="29:29" x14ac:dyDescent="0.25">
      <c r="AC4644" s="8"/>
    </row>
    <row r="4645" spans="29:29" x14ac:dyDescent="0.25">
      <c r="AC4645" s="8"/>
    </row>
    <row r="4646" spans="29:29" x14ac:dyDescent="0.25">
      <c r="AC4646" s="8"/>
    </row>
    <row r="4647" spans="29:29" x14ac:dyDescent="0.25">
      <c r="AC4647" s="8"/>
    </row>
    <row r="4648" spans="29:29" x14ac:dyDescent="0.25">
      <c r="AC4648" s="8"/>
    </row>
    <row r="4649" spans="29:29" x14ac:dyDescent="0.25">
      <c r="AC4649" s="8"/>
    </row>
    <row r="4650" spans="29:29" x14ac:dyDescent="0.25">
      <c r="AC4650" s="8"/>
    </row>
    <row r="4651" spans="29:29" x14ac:dyDescent="0.25">
      <c r="AC4651" s="8"/>
    </row>
    <row r="4652" spans="29:29" x14ac:dyDescent="0.25">
      <c r="AC4652" s="8"/>
    </row>
    <row r="4653" spans="29:29" x14ac:dyDescent="0.25">
      <c r="AC4653" s="8"/>
    </row>
    <row r="4654" spans="29:29" x14ac:dyDescent="0.25">
      <c r="AC4654" s="8"/>
    </row>
    <row r="4655" spans="29:29" x14ac:dyDescent="0.25">
      <c r="AC4655" s="8"/>
    </row>
    <row r="4656" spans="29:29" x14ac:dyDescent="0.25">
      <c r="AC4656" s="8"/>
    </row>
    <row r="4657" spans="29:29" x14ac:dyDescent="0.25">
      <c r="AC4657" s="8"/>
    </row>
    <row r="4658" spans="29:29" x14ac:dyDescent="0.25">
      <c r="AC4658" s="8"/>
    </row>
    <row r="4659" spans="29:29" x14ac:dyDescent="0.25">
      <c r="AC4659" s="8"/>
    </row>
    <row r="4660" spans="29:29" x14ac:dyDescent="0.25">
      <c r="AC4660" s="8"/>
    </row>
    <row r="4661" spans="29:29" x14ac:dyDescent="0.25">
      <c r="AC4661" s="8"/>
    </row>
    <row r="4662" spans="29:29" x14ac:dyDescent="0.25">
      <c r="AC4662" s="8"/>
    </row>
    <row r="4663" spans="29:29" x14ac:dyDescent="0.25">
      <c r="AC4663" s="8"/>
    </row>
    <row r="4664" spans="29:29" x14ac:dyDescent="0.25">
      <c r="AC4664" s="8"/>
    </row>
    <row r="4665" spans="29:29" x14ac:dyDescent="0.25">
      <c r="AC4665" s="8"/>
    </row>
    <row r="4666" spans="29:29" x14ac:dyDescent="0.25">
      <c r="AC4666" s="8"/>
    </row>
    <row r="4667" spans="29:29" x14ac:dyDescent="0.25">
      <c r="AC4667" s="8"/>
    </row>
    <row r="4668" spans="29:29" x14ac:dyDescent="0.25">
      <c r="AC4668" s="8"/>
    </row>
    <row r="4669" spans="29:29" x14ac:dyDescent="0.25">
      <c r="AC4669" s="8"/>
    </row>
    <row r="4670" spans="29:29" x14ac:dyDescent="0.25">
      <c r="AC4670" s="8"/>
    </row>
    <row r="4671" spans="29:29" x14ac:dyDescent="0.25">
      <c r="AC4671" s="8"/>
    </row>
    <row r="4672" spans="29:29" x14ac:dyDescent="0.25">
      <c r="AC4672" s="8"/>
    </row>
    <row r="4673" spans="29:29" x14ac:dyDescent="0.25">
      <c r="AC4673" s="8"/>
    </row>
    <row r="4674" spans="29:29" x14ac:dyDescent="0.25">
      <c r="AC4674" s="8"/>
    </row>
    <row r="4675" spans="29:29" x14ac:dyDescent="0.25">
      <c r="AC4675" s="8"/>
    </row>
    <row r="4676" spans="29:29" x14ac:dyDescent="0.25">
      <c r="AC4676" s="8"/>
    </row>
    <row r="4677" spans="29:29" x14ac:dyDescent="0.25">
      <c r="AC4677" s="8"/>
    </row>
    <row r="4678" spans="29:29" x14ac:dyDescent="0.25">
      <c r="AC4678" s="8"/>
    </row>
    <row r="4679" spans="29:29" x14ac:dyDescent="0.25">
      <c r="AC4679" s="8"/>
    </row>
    <row r="4680" spans="29:29" x14ac:dyDescent="0.25">
      <c r="AC4680" s="8"/>
    </row>
    <row r="4681" spans="29:29" x14ac:dyDescent="0.25">
      <c r="AC4681" s="8"/>
    </row>
    <row r="4682" spans="29:29" x14ac:dyDescent="0.25">
      <c r="AC4682" s="8"/>
    </row>
    <row r="4683" spans="29:29" x14ac:dyDescent="0.25">
      <c r="AC4683" s="8"/>
    </row>
    <row r="4684" spans="29:29" x14ac:dyDescent="0.25">
      <c r="AC4684" s="8"/>
    </row>
    <row r="4685" spans="29:29" x14ac:dyDescent="0.25">
      <c r="AC4685" s="8"/>
    </row>
    <row r="4686" spans="29:29" x14ac:dyDescent="0.25">
      <c r="AC4686" s="8"/>
    </row>
    <row r="4687" spans="29:29" x14ac:dyDescent="0.25">
      <c r="AC4687" s="8"/>
    </row>
    <row r="4688" spans="29:29" x14ac:dyDescent="0.25">
      <c r="AC4688" s="8"/>
    </row>
    <row r="4689" spans="29:29" x14ac:dyDescent="0.25">
      <c r="AC4689" s="8"/>
    </row>
    <row r="4690" spans="29:29" x14ac:dyDescent="0.25">
      <c r="AC4690" s="8"/>
    </row>
    <row r="4691" spans="29:29" x14ac:dyDescent="0.25">
      <c r="AC4691" s="8"/>
    </row>
    <row r="4692" spans="29:29" x14ac:dyDescent="0.25">
      <c r="AC4692" s="8"/>
    </row>
    <row r="4693" spans="29:29" x14ac:dyDescent="0.25">
      <c r="AC4693" s="8"/>
    </row>
    <row r="4694" spans="29:29" x14ac:dyDescent="0.25">
      <c r="AC4694" s="8"/>
    </row>
    <row r="4695" spans="29:29" x14ac:dyDescent="0.25">
      <c r="AC4695" s="8"/>
    </row>
    <row r="4696" spans="29:29" x14ac:dyDescent="0.25">
      <c r="AC4696" s="8"/>
    </row>
    <row r="4697" spans="29:29" x14ac:dyDescent="0.25">
      <c r="AC4697" s="8"/>
    </row>
    <row r="4698" spans="29:29" x14ac:dyDescent="0.25">
      <c r="AC4698" s="8"/>
    </row>
    <row r="4699" spans="29:29" x14ac:dyDescent="0.25">
      <c r="AC4699" s="8"/>
    </row>
    <row r="4700" spans="29:29" x14ac:dyDescent="0.25">
      <c r="AC4700" s="8"/>
    </row>
    <row r="4701" spans="29:29" x14ac:dyDescent="0.25">
      <c r="AC4701" s="8"/>
    </row>
    <row r="4702" spans="29:29" x14ac:dyDescent="0.25">
      <c r="AC4702" s="8"/>
    </row>
    <row r="4703" spans="29:29" x14ac:dyDescent="0.25">
      <c r="AC4703" s="8"/>
    </row>
    <row r="4704" spans="29:29" x14ac:dyDescent="0.25">
      <c r="AC4704" s="8"/>
    </row>
    <row r="4705" spans="29:29" x14ac:dyDescent="0.25">
      <c r="AC4705" s="8"/>
    </row>
    <row r="4706" spans="29:29" x14ac:dyDescent="0.25">
      <c r="AC4706" s="8"/>
    </row>
    <row r="4707" spans="29:29" x14ac:dyDescent="0.25">
      <c r="AC4707" s="8"/>
    </row>
    <row r="4708" spans="29:29" x14ac:dyDescent="0.25">
      <c r="AC4708" s="8"/>
    </row>
    <row r="4709" spans="29:29" x14ac:dyDescent="0.25">
      <c r="AC4709" s="8"/>
    </row>
    <row r="4710" spans="29:29" x14ac:dyDescent="0.25">
      <c r="AC4710" s="8"/>
    </row>
    <row r="4711" spans="29:29" x14ac:dyDescent="0.25">
      <c r="AC4711" s="8"/>
    </row>
    <row r="4712" spans="29:29" x14ac:dyDescent="0.25">
      <c r="AC4712" s="8"/>
    </row>
    <row r="4713" spans="29:29" x14ac:dyDescent="0.25">
      <c r="AC4713" s="8"/>
    </row>
    <row r="4714" spans="29:29" x14ac:dyDescent="0.25">
      <c r="AC4714" s="8"/>
    </row>
    <row r="4715" spans="29:29" x14ac:dyDescent="0.25">
      <c r="AC4715" s="8"/>
    </row>
    <row r="4716" spans="29:29" x14ac:dyDescent="0.25">
      <c r="AC4716" s="8"/>
    </row>
    <row r="4717" spans="29:29" x14ac:dyDescent="0.25">
      <c r="AC4717" s="8"/>
    </row>
    <row r="4718" spans="29:29" x14ac:dyDescent="0.25">
      <c r="AC4718" s="8"/>
    </row>
    <row r="4719" spans="29:29" x14ac:dyDescent="0.25">
      <c r="AC4719" s="8"/>
    </row>
    <row r="4720" spans="29:29" x14ac:dyDescent="0.25">
      <c r="AC4720" s="8"/>
    </row>
    <row r="4721" spans="29:29" x14ac:dyDescent="0.25">
      <c r="AC4721" s="8"/>
    </row>
    <row r="4722" spans="29:29" x14ac:dyDescent="0.25">
      <c r="AC4722" s="8"/>
    </row>
    <row r="4723" spans="29:29" x14ac:dyDescent="0.25">
      <c r="AC4723" s="8"/>
    </row>
    <row r="4724" spans="29:29" x14ac:dyDescent="0.25">
      <c r="AC4724" s="8"/>
    </row>
    <row r="4725" spans="29:29" x14ac:dyDescent="0.25">
      <c r="AC4725" s="8"/>
    </row>
    <row r="4726" spans="29:29" x14ac:dyDescent="0.25">
      <c r="AC4726" s="8"/>
    </row>
    <row r="4727" spans="29:29" x14ac:dyDescent="0.25">
      <c r="AC4727" s="8"/>
    </row>
    <row r="4728" spans="29:29" x14ac:dyDescent="0.25">
      <c r="AC4728" s="8"/>
    </row>
    <row r="4729" spans="29:29" x14ac:dyDescent="0.25">
      <c r="AC4729" s="8"/>
    </row>
    <row r="4730" spans="29:29" x14ac:dyDescent="0.25">
      <c r="AC4730" s="8"/>
    </row>
    <row r="4731" spans="29:29" x14ac:dyDescent="0.25">
      <c r="AC4731" s="8"/>
    </row>
    <row r="4732" spans="29:29" x14ac:dyDescent="0.25">
      <c r="AC4732" s="8"/>
    </row>
    <row r="4733" spans="29:29" x14ac:dyDescent="0.25">
      <c r="AC4733" s="8"/>
    </row>
    <row r="4734" spans="29:29" x14ac:dyDescent="0.25">
      <c r="AC4734" s="8"/>
    </row>
    <row r="4735" spans="29:29" x14ac:dyDescent="0.25">
      <c r="AC4735" s="8"/>
    </row>
    <row r="4736" spans="29:29" x14ac:dyDescent="0.25">
      <c r="AC4736" s="8"/>
    </row>
    <row r="4737" spans="29:29" x14ac:dyDescent="0.25">
      <c r="AC4737" s="8"/>
    </row>
    <row r="4738" spans="29:29" x14ac:dyDescent="0.25">
      <c r="AC4738" s="8"/>
    </row>
    <row r="4739" spans="29:29" x14ac:dyDescent="0.25">
      <c r="AC4739" s="8"/>
    </row>
    <row r="4740" spans="29:29" x14ac:dyDescent="0.25">
      <c r="AC4740" s="8"/>
    </row>
    <row r="4741" spans="29:29" x14ac:dyDescent="0.25">
      <c r="AC4741" s="8"/>
    </row>
    <row r="4742" spans="29:29" x14ac:dyDescent="0.25">
      <c r="AC4742" s="8"/>
    </row>
    <row r="4743" spans="29:29" x14ac:dyDescent="0.25">
      <c r="AC4743" s="8"/>
    </row>
    <row r="4744" spans="29:29" x14ac:dyDescent="0.25">
      <c r="AC4744" s="8"/>
    </row>
    <row r="4745" spans="29:29" x14ac:dyDescent="0.25">
      <c r="AC4745" s="8"/>
    </row>
    <row r="4746" spans="29:29" x14ac:dyDescent="0.25">
      <c r="AC4746" s="8"/>
    </row>
    <row r="4747" spans="29:29" x14ac:dyDescent="0.25">
      <c r="AC4747" s="8"/>
    </row>
    <row r="4748" spans="29:29" x14ac:dyDescent="0.25">
      <c r="AC4748" s="8"/>
    </row>
    <row r="4749" spans="29:29" x14ac:dyDescent="0.25">
      <c r="AC4749" s="8"/>
    </row>
    <row r="4750" spans="29:29" x14ac:dyDescent="0.25">
      <c r="AC4750" s="8"/>
    </row>
    <row r="4751" spans="29:29" x14ac:dyDescent="0.25">
      <c r="AC4751" s="8"/>
    </row>
    <row r="4752" spans="29:29" x14ac:dyDescent="0.25">
      <c r="AC4752" s="8"/>
    </row>
    <row r="4753" spans="29:29" x14ac:dyDescent="0.25">
      <c r="AC4753" s="8"/>
    </row>
    <row r="4754" spans="29:29" x14ac:dyDescent="0.25">
      <c r="AC4754" s="8"/>
    </row>
    <row r="4755" spans="29:29" x14ac:dyDescent="0.25">
      <c r="AC4755" s="8"/>
    </row>
    <row r="4756" spans="29:29" x14ac:dyDescent="0.25">
      <c r="AC4756" s="8"/>
    </row>
    <row r="4757" spans="29:29" x14ac:dyDescent="0.25">
      <c r="AC4757" s="8"/>
    </row>
    <row r="4758" spans="29:29" x14ac:dyDescent="0.25">
      <c r="AC4758" s="8"/>
    </row>
    <row r="4759" spans="29:29" x14ac:dyDescent="0.25">
      <c r="AC4759" s="8"/>
    </row>
    <row r="4760" spans="29:29" x14ac:dyDescent="0.25">
      <c r="AC4760" s="8"/>
    </row>
    <row r="4761" spans="29:29" x14ac:dyDescent="0.25">
      <c r="AC4761" s="8"/>
    </row>
    <row r="4762" spans="29:29" x14ac:dyDescent="0.25">
      <c r="AC4762" s="8"/>
    </row>
    <row r="4763" spans="29:29" x14ac:dyDescent="0.25">
      <c r="AC4763" s="8"/>
    </row>
    <row r="4764" spans="29:29" x14ac:dyDescent="0.25">
      <c r="AC4764" s="8"/>
    </row>
    <row r="4765" spans="29:29" x14ac:dyDescent="0.25">
      <c r="AC4765" s="8"/>
    </row>
    <row r="4766" spans="29:29" x14ac:dyDescent="0.25">
      <c r="AC4766" s="8"/>
    </row>
    <row r="4767" spans="29:29" x14ac:dyDescent="0.25">
      <c r="AC4767" s="8"/>
    </row>
    <row r="4768" spans="29:29" x14ac:dyDescent="0.25">
      <c r="AC4768" s="8"/>
    </row>
    <row r="4769" spans="29:29" x14ac:dyDescent="0.25">
      <c r="AC4769" s="8"/>
    </row>
    <row r="4770" spans="29:29" x14ac:dyDescent="0.25">
      <c r="AC4770" s="8"/>
    </row>
    <row r="4771" spans="29:29" x14ac:dyDescent="0.25">
      <c r="AC4771" s="8"/>
    </row>
    <row r="4772" spans="29:29" x14ac:dyDescent="0.25">
      <c r="AC4772" s="8"/>
    </row>
    <row r="4773" spans="29:29" x14ac:dyDescent="0.25">
      <c r="AC4773" s="8"/>
    </row>
    <row r="4774" spans="29:29" x14ac:dyDescent="0.25">
      <c r="AC4774" s="8"/>
    </row>
    <row r="4775" spans="29:29" x14ac:dyDescent="0.25">
      <c r="AC4775" s="8"/>
    </row>
    <row r="4776" spans="29:29" x14ac:dyDescent="0.25">
      <c r="AC4776" s="8"/>
    </row>
    <row r="4777" spans="29:29" x14ac:dyDescent="0.25">
      <c r="AC4777" s="8"/>
    </row>
    <row r="4778" spans="29:29" x14ac:dyDescent="0.25">
      <c r="AC4778" s="8"/>
    </row>
    <row r="4779" spans="29:29" x14ac:dyDescent="0.25">
      <c r="AC4779" s="8"/>
    </row>
    <row r="4780" spans="29:29" x14ac:dyDescent="0.25">
      <c r="AC4780" s="8"/>
    </row>
    <row r="4781" spans="29:29" x14ac:dyDescent="0.25">
      <c r="AC4781" s="8"/>
    </row>
    <row r="4782" spans="29:29" x14ac:dyDescent="0.25">
      <c r="AC4782" s="8"/>
    </row>
    <row r="4783" spans="29:29" x14ac:dyDescent="0.25">
      <c r="AC4783" s="8"/>
    </row>
    <row r="4784" spans="29:29" x14ac:dyDescent="0.25">
      <c r="AC4784" s="8"/>
    </row>
    <row r="4785" spans="29:29" x14ac:dyDescent="0.25">
      <c r="AC4785" s="8"/>
    </row>
    <row r="4786" spans="29:29" x14ac:dyDescent="0.25">
      <c r="AC4786" s="8"/>
    </row>
    <row r="4787" spans="29:29" x14ac:dyDescent="0.25">
      <c r="AC4787" s="8"/>
    </row>
    <row r="4788" spans="29:29" x14ac:dyDescent="0.25">
      <c r="AC4788" s="8"/>
    </row>
    <row r="4789" spans="29:29" x14ac:dyDescent="0.25">
      <c r="AC4789" s="8"/>
    </row>
    <row r="4790" spans="29:29" x14ac:dyDescent="0.25">
      <c r="AC4790" s="8"/>
    </row>
    <row r="4791" spans="29:29" x14ac:dyDescent="0.25">
      <c r="AC4791" s="8"/>
    </row>
    <row r="4792" spans="29:29" x14ac:dyDescent="0.25">
      <c r="AC4792" s="8"/>
    </row>
    <row r="4793" spans="29:29" x14ac:dyDescent="0.25">
      <c r="AC4793" s="8"/>
    </row>
    <row r="4794" spans="29:29" x14ac:dyDescent="0.25">
      <c r="AC4794" s="8"/>
    </row>
    <row r="4795" spans="29:29" x14ac:dyDescent="0.25">
      <c r="AC4795" s="8"/>
    </row>
    <row r="4796" spans="29:29" x14ac:dyDescent="0.25">
      <c r="AC4796" s="8"/>
    </row>
    <row r="4797" spans="29:29" x14ac:dyDescent="0.25">
      <c r="AC4797" s="8"/>
    </row>
    <row r="4798" spans="29:29" x14ac:dyDescent="0.25">
      <c r="AC4798" s="8"/>
    </row>
    <row r="4799" spans="29:29" x14ac:dyDescent="0.25">
      <c r="AC4799" s="8"/>
    </row>
    <row r="4800" spans="29:29" x14ac:dyDescent="0.25">
      <c r="AC4800" s="8"/>
    </row>
    <row r="4801" spans="29:29" x14ac:dyDescent="0.25">
      <c r="AC4801" s="8"/>
    </row>
    <row r="4802" spans="29:29" x14ac:dyDescent="0.25">
      <c r="AC4802" s="8"/>
    </row>
    <row r="4803" spans="29:29" x14ac:dyDescent="0.25">
      <c r="AC4803" s="8"/>
    </row>
    <row r="4804" spans="29:29" x14ac:dyDescent="0.25">
      <c r="AC4804" s="8"/>
    </row>
    <row r="4805" spans="29:29" x14ac:dyDescent="0.25">
      <c r="AC4805" s="8"/>
    </row>
    <row r="4806" spans="29:29" x14ac:dyDescent="0.25">
      <c r="AC4806" s="8"/>
    </row>
    <row r="4807" spans="29:29" x14ac:dyDescent="0.25">
      <c r="AC4807" s="8"/>
    </row>
    <row r="4808" spans="29:29" x14ac:dyDescent="0.25">
      <c r="AC4808" s="8"/>
    </row>
    <row r="4809" spans="29:29" x14ac:dyDescent="0.25">
      <c r="AC4809" s="8"/>
    </row>
    <row r="4810" spans="29:29" x14ac:dyDescent="0.25">
      <c r="AC4810" s="8"/>
    </row>
    <row r="4811" spans="29:29" x14ac:dyDescent="0.25">
      <c r="AC4811" s="8"/>
    </row>
    <row r="4812" spans="29:29" x14ac:dyDescent="0.25">
      <c r="AC4812" s="8"/>
    </row>
    <row r="4813" spans="29:29" x14ac:dyDescent="0.25">
      <c r="AC4813" s="8"/>
    </row>
    <row r="4814" spans="29:29" x14ac:dyDescent="0.25">
      <c r="AC4814" s="8"/>
    </row>
    <row r="4815" spans="29:29" x14ac:dyDescent="0.25">
      <c r="AC4815" s="8"/>
    </row>
    <row r="4816" spans="29:29" x14ac:dyDescent="0.25">
      <c r="AC4816" s="8"/>
    </row>
    <row r="4817" spans="29:29" x14ac:dyDescent="0.25">
      <c r="AC4817" s="8"/>
    </row>
    <row r="4818" spans="29:29" x14ac:dyDescent="0.25">
      <c r="AC4818" s="8"/>
    </row>
    <row r="4819" spans="29:29" x14ac:dyDescent="0.25">
      <c r="AC4819" s="8"/>
    </row>
    <row r="4820" spans="29:29" x14ac:dyDescent="0.25">
      <c r="AC4820" s="8"/>
    </row>
    <row r="4821" spans="29:29" x14ac:dyDescent="0.25">
      <c r="AC4821" s="8"/>
    </row>
    <row r="4822" spans="29:29" x14ac:dyDescent="0.25">
      <c r="AC4822" s="8"/>
    </row>
    <row r="4823" spans="29:29" x14ac:dyDescent="0.25">
      <c r="AC4823" s="8"/>
    </row>
    <row r="4824" spans="29:29" x14ac:dyDescent="0.25">
      <c r="AC4824" s="8"/>
    </row>
    <row r="4825" spans="29:29" x14ac:dyDescent="0.25">
      <c r="AC4825" s="8"/>
    </row>
    <row r="4826" spans="29:29" x14ac:dyDescent="0.25">
      <c r="AC4826" s="8"/>
    </row>
    <row r="4827" spans="29:29" x14ac:dyDescent="0.25">
      <c r="AC4827" s="8"/>
    </row>
    <row r="4828" spans="29:29" x14ac:dyDescent="0.25">
      <c r="AC4828" s="8"/>
    </row>
    <row r="4829" spans="29:29" x14ac:dyDescent="0.25">
      <c r="AC4829" s="8"/>
    </row>
    <row r="4830" spans="29:29" x14ac:dyDescent="0.25">
      <c r="AC4830" s="8"/>
    </row>
    <row r="4831" spans="29:29" x14ac:dyDescent="0.25">
      <c r="AC4831" s="8"/>
    </row>
    <row r="4832" spans="29:29" x14ac:dyDescent="0.25">
      <c r="AC4832" s="8"/>
    </row>
    <row r="4833" spans="29:29" x14ac:dyDescent="0.25">
      <c r="AC4833" s="8"/>
    </row>
    <row r="4834" spans="29:29" x14ac:dyDescent="0.25">
      <c r="AC4834" s="8"/>
    </row>
    <row r="4835" spans="29:29" x14ac:dyDescent="0.25">
      <c r="AC4835" s="8"/>
    </row>
    <row r="4836" spans="29:29" x14ac:dyDescent="0.25">
      <c r="AC4836" s="8"/>
    </row>
    <row r="4837" spans="29:29" x14ac:dyDescent="0.25">
      <c r="AC4837" s="8"/>
    </row>
    <row r="4838" spans="29:29" x14ac:dyDescent="0.25">
      <c r="AC4838" s="8"/>
    </row>
    <row r="4839" spans="29:29" x14ac:dyDescent="0.25">
      <c r="AC4839" s="8"/>
    </row>
    <row r="4840" spans="29:29" x14ac:dyDescent="0.25">
      <c r="AC4840" s="8"/>
    </row>
    <row r="4841" spans="29:29" x14ac:dyDescent="0.25">
      <c r="AC4841" s="8"/>
    </row>
    <row r="4842" spans="29:29" x14ac:dyDescent="0.25">
      <c r="AC4842" s="8"/>
    </row>
    <row r="4843" spans="29:29" x14ac:dyDescent="0.25">
      <c r="AC4843" s="8"/>
    </row>
    <row r="4844" spans="29:29" x14ac:dyDescent="0.25">
      <c r="AC4844" s="8"/>
    </row>
    <row r="4845" spans="29:29" x14ac:dyDescent="0.25">
      <c r="AC4845" s="8"/>
    </row>
    <row r="4846" spans="29:29" x14ac:dyDescent="0.25">
      <c r="AC4846" s="8"/>
    </row>
    <row r="4847" spans="29:29" x14ac:dyDescent="0.25">
      <c r="AC4847" s="8"/>
    </row>
    <row r="4848" spans="29:29" x14ac:dyDescent="0.25">
      <c r="AC4848" s="8"/>
    </row>
    <row r="4849" spans="29:29" x14ac:dyDescent="0.25">
      <c r="AC4849" s="8"/>
    </row>
    <row r="4850" spans="29:29" x14ac:dyDescent="0.25">
      <c r="AC4850" s="8"/>
    </row>
    <row r="4851" spans="29:29" x14ac:dyDescent="0.25">
      <c r="AC4851" s="8"/>
    </row>
    <row r="4852" spans="29:29" x14ac:dyDescent="0.25">
      <c r="AC4852" s="8"/>
    </row>
    <row r="4853" spans="29:29" x14ac:dyDescent="0.25">
      <c r="AC4853" s="8"/>
    </row>
    <row r="4854" spans="29:29" x14ac:dyDescent="0.25">
      <c r="AC4854" s="8"/>
    </row>
    <row r="4855" spans="29:29" x14ac:dyDescent="0.25">
      <c r="AC4855" s="8"/>
    </row>
    <row r="4856" spans="29:29" x14ac:dyDescent="0.25">
      <c r="AC4856" s="8"/>
    </row>
    <row r="4857" spans="29:29" x14ac:dyDescent="0.25">
      <c r="AC4857" s="8"/>
    </row>
    <row r="4858" spans="29:29" x14ac:dyDescent="0.25">
      <c r="AC4858" s="8"/>
    </row>
    <row r="4859" spans="29:29" x14ac:dyDescent="0.25">
      <c r="AC4859" s="8"/>
    </row>
    <row r="4860" spans="29:29" x14ac:dyDescent="0.25">
      <c r="AC4860" s="8"/>
    </row>
    <row r="4861" spans="29:29" x14ac:dyDescent="0.25">
      <c r="AC4861" s="8"/>
    </row>
    <row r="4862" spans="29:29" x14ac:dyDescent="0.25">
      <c r="AC4862" s="8"/>
    </row>
    <row r="4863" spans="29:29" x14ac:dyDescent="0.25">
      <c r="AC4863" s="8"/>
    </row>
    <row r="4864" spans="29:29" x14ac:dyDescent="0.25">
      <c r="AC4864" s="8"/>
    </row>
    <row r="4865" spans="29:29" x14ac:dyDescent="0.25">
      <c r="AC4865" s="8"/>
    </row>
    <row r="4866" spans="29:29" x14ac:dyDescent="0.25">
      <c r="AC4866" s="8"/>
    </row>
    <row r="4867" spans="29:29" x14ac:dyDescent="0.25">
      <c r="AC4867" s="8"/>
    </row>
    <row r="4868" spans="29:29" x14ac:dyDescent="0.25">
      <c r="AC4868" s="8"/>
    </row>
    <row r="4869" spans="29:29" x14ac:dyDescent="0.25">
      <c r="AC4869" s="8"/>
    </row>
    <row r="4870" spans="29:29" x14ac:dyDescent="0.25">
      <c r="AC4870" s="8"/>
    </row>
    <row r="4871" spans="29:29" x14ac:dyDescent="0.25">
      <c r="AC4871" s="8"/>
    </row>
    <row r="4872" spans="29:29" x14ac:dyDescent="0.25">
      <c r="AC4872" s="8"/>
    </row>
    <row r="4873" spans="29:29" x14ac:dyDescent="0.25">
      <c r="AC4873" s="8"/>
    </row>
    <row r="4874" spans="29:29" x14ac:dyDescent="0.25">
      <c r="AC4874" s="8"/>
    </row>
    <row r="4875" spans="29:29" x14ac:dyDescent="0.25">
      <c r="AC4875" s="8"/>
    </row>
    <row r="4876" spans="29:29" x14ac:dyDescent="0.25">
      <c r="AC4876" s="8"/>
    </row>
    <row r="4877" spans="29:29" x14ac:dyDescent="0.25">
      <c r="AC4877" s="8"/>
    </row>
    <row r="4878" spans="29:29" x14ac:dyDescent="0.25">
      <c r="AC4878" s="8"/>
    </row>
    <row r="4879" spans="29:29" x14ac:dyDescent="0.25">
      <c r="AC4879" s="8"/>
    </row>
    <row r="4880" spans="29:29" x14ac:dyDescent="0.25">
      <c r="AC4880" s="8"/>
    </row>
    <row r="4881" spans="29:29" x14ac:dyDescent="0.25">
      <c r="AC4881" s="8"/>
    </row>
    <row r="4882" spans="29:29" x14ac:dyDescent="0.25">
      <c r="AC4882" s="8"/>
    </row>
    <row r="4883" spans="29:29" x14ac:dyDescent="0.25">
      <c r="AC4883" s="8"/>
    </row>
    <row r="4884" spans="29:29" x14ac:dyDescent="0.25">
      <c r="AC4884" s="8"/>
    </row>
    <row r="4885" spans="29:29" x14ac:dyDescent="0.25">
      <c r="AC4885" s="8"/>
    </row>
    <row r="4886" spans="29:29" x14ac:dyDescent="0.25">
      <c r="AC4886" s="8"/>
    </row>
    <row r="4887" spans="29:29" x14ac:dyDescent="0.25">
      <c r="AC4887" s="8"/>
    </row>
    <row r="4888" spans="29:29" x14ac:dyDescent="0.25">
      <c r="AC4888" s="8"/>
    </row>
    <row r="4889" spans="29:29" x14ac:dyDescent="0.25">
      <c r="AC4889" s="8"/>
    </row>
    <row r="4890" spans="29:29" x14ac:dyDescent="0.25">
      <c r="AC4890" s="8"/>
    </row>
    <row r="4891" spans="29:29" x14ac:dyDescent="0.25">
      <c r="AC4891" s="8"/>
    </row>
    <row r="4892" spans="29:29" x14ac:dyDescent="0.25">
      <c r="AC4892" s="8"/>
    </row>
    <row r="4893" spans="29:29" x14ac:dyDescent="0.25">
      <c r="AC4893" s="8"/>
    </row>
    <row r="4894" spans="29:29" x14ac:dyDescent="0.25">
      <c r="AC4894" s="8"/>
    </row>
    <row r="4895" spans="29:29" x14ac:dyDescent="0.25">
      <c r="AC4895" s="8"/>
    </row>
    <row r="4896" spans="29:29" x14ac:dyDescent="0.25">
      <c r="AC4896" s="8"/>
    </row>
    <row r="4897" spans="29:29" x14ac:dyDescent="0.25">
      <c r="AC4897" s="8"/>
    </row>
    <row r="4898" spans="29:29" x14ac:dyDescent="0.25">
      <c r="AC4898" s="8"/>
    </row>
    <row r="4899" spans="29:29" x14ac:dyDescent="0.25">
      <c r="AC4899" s="8"/>
    </row>
    <row r="4900" spans="29:29" x14ac:dyDescent="0.25">
      <c r="AC4900" s="8"/>
    </row>
    <row r="4901" spans="29:29" x14ac:dyDescent="0.25">
      <c r="AC4901" s="8"/>
    </row>
    <row r="4902" spans="29:29" x14ac:dyDescent="0.25">
      <c r="AC4902" s="8"/>
    </row>
    <row r="4903" spans="29:29" x14ac:dyDescent="0.25">
      <c r="AC4903" s="8"/>
    </row>
    <row r="4904" spans="29:29" x14ac:dyDescent="0.25">
      <c r="AC4904" s="8"/>
    </row>
    <row r="4905" spans="29:29" x14ac:dyDescent="0.25">
      <c r="AC4905" s="8"/>
    </row>
    <row r="4906" spans="29:29" x14ac:dyDescent="0.25">
      <c r="AC4906" s="8"/>
    </row>
    <row r="4907" spans="29:29" x14ac:dyDescent="0.25">
      <c r="AC4907" s="8"/>
    </row>
    <row r="4908" spans="29:29" x14ac:dyDescent="0.25">
      <c r="AC4908" s="8"/>
    </row>
    <row r="4909" spans="29:29" x14ac:dyDescent="0.25">
      <c r="AC4909" s="8"/>
    </row>
    <row r="4910" spans="29:29" x14ac:dyDescent="0.25">
      <c r="AC4910" s="8"/>
    </row>
    <row r="4911" spans="29:29" x14ac:dyDescent="0.25">
      <c r="AC4911" s="8"/>
    </row>
    <row r="4912" spans="29:29" x14ac:dyDescent="0.25">
      <c r="AC4912" s="8"/>
    </row>
    <row r="4913" spans="29:29" x14ac:dyDescent="0.25">
      <c r="AC4913" s="8"/>
    </row>
    <row r="4914" spans="29:29" x14ac:dyDescent="0.25">
      <c r="AC4914" s="8"/>
    </row>
    <row r="4915" spans="29:29" x14ac:dyDescent="0.25">
      <c r="AC4915" s="8"/>
    </row>
    <row r="4916" spans="29:29" x14ac:dyDescent="0.25">
      <c r="AC4916" s="8"/>
    </row>
    <row r="4917" spans="29:29" x14ac:dyDescent="0.25">
      <c r="AC4917" s="8"/>
    </row>
    <row r="4918" spans="29:29" x14ac:dyDescent="0.25">
      <c r="AC4918" s="8"/>
    </row>
    <row r="4919" spans="29:29" x14ac:dyDescent="0.25">
      <c r="AC4919" s="8"/>
    </row>
    <row r="4920" spans="29:29" x14ac:dyDescent="0.25">
      <c r="AC4920" s="8"/>
    </row>
    <row r="4921" spans="29:29" x14ac:dyDescent="0.25">
      <c r="AC4921" s="8"/>
    </row>
    <row r="4922" spans="29:29" x14ac:dyDescent="0.25">
      <c r="AC4922" s="8"/>
    </row>
    <row r="4923" spans="29:29" x14ac:dyDescent="0.25">
      <c r="AC4923" s="8"/>
    </row>
    <row r="4924" spans="29:29" x14ac:dyDescent="0.25">
      <c r="AC4924" s="8"/>
    </row>
    <row r="4925" spans="29:29" x14ac:dyDescent="0.25">
      <c r="AC4925" s="8"/>
    </row>
    <row r="4926" spans="29:29" x14ac:dyDescent="0.25">
      <c r="AC4926" s="8"/>
    </row>
    <row r="4927" spans="29:29" x14ac:dyDescent="0.25">
      <c r="AC4927" s="8"/>
    </row>
    <row r="4928" spans="29:29" x14ac:dyDescent="0.25">
      <c r="AC4928" s="8"/>
    </row>
    <row r="4929" spans="29:29" x14ac:dyDescent="0.25">
      <c r="AC4929" s="8"/>
    </row>
    <row r="4930" spans="29:29" x14ac:dyDescent="0.25">
      <c r="AC4930" s="8"/>
    </row>
    <row r="4931" spans="29:29" x14ac:dyDescent="0.25">
      <c r="AC4931" s="8"/>
    </row>
    <row r="4932" spans="29:29" x14ac:dyDescent="0.25">
      <c r="AC4932" s="8"/>
    </row>
    <row r="4933" spans="29:29" x14ac:dyDescent="0.25">
      <c r="AC4933" s="8"/>
    </row>
    <row r="4934" spans="29:29" x14ac:dyDescent="0.25">
      <c r="AC4934" s="8"/>
    </row>
    <row r="4935" spans="29:29" x14ac:dyDescent="0.25">
      <c r="AC4935" s="8"/>
    </row>
    <row r="4936" spans="29:29" x14ac:dyDescent="0.25">
      <c r="AC4936" s="8"/>
    </row>
    <row r="4937" spans="29:29" x14ac:dyDescent="0.25">
      <c r="AC4937" s="8"/>
    </row>
    <row r="4938" spans="29:29" x14ac:dyDescent="0.25">
      <c r="AC4938" s="8"/>
    </row>
    <row r="4939" spans="29:29" x14ac:dyDescent="0.25">
      <c r="AC4939" s="8"/>
    </row>
    <row r="4940" spans="29:29" x14ac:dyDescent="0.25">
      <c r="AC4940" s="8"/>
    </row>
    <row r="4941" spans="29:29" x14ac:dyDescent="0.25">
      <c r="AC4941" s="8"/>
    </row>
    <row r="4942" spans="29:29" x14ac:dyDescent="0.25">
      <c r="AC4942" s="8"/>
    </row>
    <row r="4943" spans="29:29" x14ac:dyDescent="0.25">
      <c r="AC4943" s="8"/>
    </row>
    <row r="4944" spans="29:29" x14ac:dyDescent="0.25">
      <c r="AC4944" s="8"/>
    </row>
    <row r="4945" spans="29:29" x14ac:dyDescent="0.25">
      <c r="AC4945" s="8"/>
    </row>
    <row r="4946" spans="29:29" x14ac:dyDescent="0.25">
      <c r="AC4946" s="8"/>
    </row>
    <row r="4947" spans="29:29" x14ac:dyDescent="0.25">
      <c r="AC4947" s="8"/>
    </row>
    <row r="4948" spans="29:29" x14ac:dyDescent="0.25">
      <c r="AC4948" s="8"/>
    </row>
    <row r="4949" spans="29:29" x14ac:dyDescent="0.25">
      <c r="AC4949" s="8"/>
    </row>
    <row r="4950" spans="29:29" x14ac:dyDescent="0.25">
      <c r="AC4950" s="8"/>
    </row>
    <row r="4951" spans="29:29" x14ac:dyDescent="0.25">
      <c r="AC4951" s="8"/>
    </row>
    <row r="4952" spans="29:29" x14ac:dyDescent="0.25">
      <c r="AC4952" s="8"/>
    </row>
    <row r="4953" spans="29:29" x14ac:dyDescent="0.25">
      <c r="AC4953" s="8"/>
    </row>
    <row r="4954" spans="29:29" x14ac:dyDescent="0.25">
      <c r="AC4954" s="8"/>
    </row>
    <row r="4955" spans="29:29" x14ac:dyDescent="0.25">
      <c r="AC4955" s="8"/>
    </row>
    <row r="4956" spans="29:29" x14ac:dyDescent="0.25">
      <c r="AC4956" s="8"/>
    </row>
    <row r="4957" spans="29:29" x14ac:dyDescent="0.25">
      <c r="AC4957" s="8"/>
    </row>
    <row r="4958" spans="29:29" x14ac:dyDescent="0.25">
      <c r="AC4958" s="8"/>
    </row>
    <row r="4959" spans="29:29" x14ac:dyDescent="0.25">
      <c r="AC4959" s="8"/>
    </row>
    <row r="4960" spans="29:29" x14ac:dyDescent="0.25">
      <c r="AC4960" s="8"/>
    </row>
    <row r="4961" spans="29:29" x14ac:dyDescent="0.25">
      <c r="AC4961" s="8"/>
    </row>
    <row r="4962" spans="29:29" x14ac:dyDescent="0.25">
      <c r="AC4962" s="8"/>
    </row>
    <row r="4963" spans="29:29" x14ac:dyDescent="0.25">
      <c r="AC4963" s="8"/>
    </row>
    <row r="4964" spans="29:29" x14ac:dyDescent="0.25">
      <c r="AC4964" s="8"/>
    </row>
    <row r="4965" spans="29:29" x14ac:dyDescent="0.25">
      <c r="AC4965" s="8"/>
    </row>
    <row r="4966" spans="29:29" x14ac:dyDescent="0.25">
      <c r="AC4966" s="8"/>
    </row>
    <row r="4967" spans="29:29" x14ac:dyDescent="0.25">
      <c r="AC4967" s="8"/>
    </row>
    <row r="4968" spans="29:29" x14ac:dyDescent="0.25">
      <c r="AC4968" s="8"/>
    </row>
    <row r="4969" spans="29:29" x14ac:dyDescent="0.25">
      <c r="AC4969" s="8"/>
    </row>
    <row r="4970" spans="29:29" x14ac:dyDescent="0.25">
      <c r="AC4970" s="8"/>
    </row>
    <row r="4971" spans="29:29" x14ac:dyDescent="0.25">
      <c r="AC4971" s="8"/>
    </row>
    <row r="4972" spans="29:29" x14ac:dyDescent="0.25">
      <c r="AC4972" s="8"/>
    </row>
    <row r="4973" spans="29:29" x14ac:dyDescent="0.25">
      <c r="AC4973" s="8"/>
    </row>
    <row r="4974" spans="29:29" x14ac:dyDescent="0.25">
      <c r="AC4974" s="8"/>
    </row>
    <row r="4975" spans="29:29" x14ac:dyDescent="0.25">
      <c r="AC4975" s="8"/>
    </row>
    <row r="4976" spans="29:29" x14ac:dyDescent="0.25">
      <c r="AC4976" s="8"/>
    </row>
    <row r="4977" spans="29:29" x14ac:dyDescent="0.25">
      <c r="AC4977" s="8"/>
    </row>
    <row r="4978" spans="29:29" x14ac:dyDescent="0.25">
      <c r="AC4978" s="8"/>
    </row>
    <row r="4979" spans="29:29" x14ac:dyDescent="0.25">
      <c r="AC4979" s="8"/>
    </row>
    <row r="4980" spans="29:29" x14ac:dyDescent="0.25">
      <c r="AC4980" s="8"/>
    </row>
    <row r="4981" spans="29:29" x14ac:dyDescent="0.25">
      <c r="AC4981" s="8"/>
    </row>
    <row r="4982" spans="29:29" x14ac:dyDescent="0.25">
      <c r="AC4982" s="8"/>
    </row>
    <row r="4983" spans="29:29" x14ac:dyDescent="0.25">
      <c r="AC4983" s="8"/>
    </row>
    <row r="4984" spans="29:29" x14ac:dyDescent="0.25">
      <c r="AC4984" s="8"/>
    </row>
    <row r="4985" spans="29:29" x14ac:dyDescent="0.25">
      <c r="AC4985" s="8"/>
    </row>
    <row r="4986" spans="29:29" x14ac:dyDescent="0.25">
      <c r="AC4986" s="8"/>
    </row>
    <row r="4987" spans="29:29" x14ac:dyDescent="0.25">
      <c r="AC4987" s="8"/>
    </row>
    <row r="4988" spans="29:29" x14ac:dyDescent="0.25">
      <c r="AC4988" s="8"/>
    </row>
    <row r="4989" spans="29:29" x14ac:dyDescent="0.25">
      <c r="AC4989" s="8"/>
    </row>
    <row r="4990" spans="29:29" x14ac:dyDescent="0.25">
      <c r="AC4990" s="8"/>
    </row>
    <row r="4991" spans="29:29" x14ac:dyDescent="0.25">
      <c r="AC4991" s="8"/>
    </row>
    <row r="4992" spans="29:29" x14ac:dyDescent="0.25">
      <c r="AC4992" s="8"/>
    </row>
    <row r="4993" spans="29:29" x14ac:dyDescent="0.25">
      <c r="AC4993" s="8"/>
    </row>
    <row r="4994" spans="29:29" x14ac:dyDescent="0.25">
      <c r="AC4994" s="8"/>
    </row>
    <row r="4995" spans="29:29" x14ac:dyDescent="0.25">
      <c r="AC4995" s="8"/>
    </row>
    <row r="4996" spans="29:29" x14ac:dyDescent="0.25">
      <c r="AC4996" s="8"/>
    </row>
    <row r="4997" spans="29:29" x14ac:dyDescent="0.25">
      <c r="AC4997" s="8"/>
    </row>
    <row r="4998" spans="29:29" x14ac:dyDescent="0.25">
      <c r="AC4998" s="8"/>
    </row>
    <row r="4999" spans="29:29" x14ac:dyDescent="0.25">
      <c r="AC4999" s="8"/>
    </row>
    <row r="5000" spans="29:29" x14ac:dyDescent="0.25">
      <c r="AC5000" s="8"/>
    </row>
    <row r="5001" spans="29:29" x14ac:dyDescent="0.25">
      <c r="AC5001" s="8"/>
    </row>
    <row r="5002" spans="29:29" x14ac:dyDescent="0.25">
      <c r="AC5002" s="8"/>
    </row>
    <row r="5003" spans="29:29" x14ac:dyDescent="0.25">
      <c r="AC5003" s="8"/>
    </row>
    <row r="5004" spans="29:29" x14ac:dyDescent="0.25">
      <c r="AC5004" s="8"/>
    </row>
    <row r="5005" spans="29:29" x14ac:dyDescent="0.25">
      <c r="AC5005" s="8"/>
    </row>
    <row r="5006" spans="29:29" x14ac:dyDescent="0.25">
      <c r="AC5006" s="8"/>
    </row>
    <row r="5007" spans="29:29" x14ac:dyDescent="0.25">
      <c r="AC5007" s="8"/>
    </row>
    <row r="5008" spans="29:29" x14ac:dyDescent="0.25">
      <c r="AC5008" s="8"/>
    </row>
    <row r="5009" spans="29:29" x14ac:dyDescent="0.25">
      <c r="AC5009" s="8"/>
    </row>
    <row r="5010" spans="29:29" x14ac:dyDescent="0.25">
      <c r="AC5010" s="8"/>
    </row>
    <row r="5011" spans="29:29" x14ac:dyDescent="0.25">
      <c r="AC5011" s="8"/>
    </row>
    <row r="5012" spans="29:29" x14ac:dyDescent="0.25">
      <c r="AC5012" s="8"/>
    </row>
    <row r="5013" spans="29:29" x14ac:dyDescent="0.25">
      <c r="AC5013" s="8"/>
    </row>
    <row r="5014" spans="29:29" x14ac:dyDescent="0.25">
      <c r="AC5014" s="8"/>
    </row>
    <row r="5015" spans="29:29" x14ac:dyDescent="0.25">
      <c r="AC5015" s="8"/>
    </row>
    <row r="5016" spans="29:29" x14ac:dyDescent="0.25">
      <c r="AC5016" s="8"/>
    </row>
    <row r="5017" spans="29:29" x14ac:dyDescent="0.25">
      <c r="AC5017" s="8"/>
    </row>
    <row r="5018" spans="29:29" x14ac:dyDescent="0.25">
      <c r="AC5018" s="8"/>
    </row>
    <row r="5019" spans="29:29" x14ac:dyDescent="0.25">
      <c r="AC5019" s="8"/>
    </row>
    <row r="5020" spans="29:29" x14ac:dyDescent="0.25">
      <c r="AC5020" s="8"/>
    </row>
    <row r="5021" spans="29:29" x14ac:dyDescent="0.25">
      <c r="AC5021" s="8"/>
    </row>
    <row r="5022" spans="29:29" x14ac:dyDescent="0.25">
      <c r="AC5022" s="8"/>
    </row>
    <row r="5023" spans="29:29" x14ac:dyDescent="0.25">
      <c r="AC5023" s="8"/>
    </row>
    <row r="5024" spans="29:29" x14ac:dyDescent="0.25">
      <c r="AC5024" s="8"/>
    </row>
    <row r="5025" spans="29:29" x14ac:dyDescent="0.25">
      <c r="AC5025" s="8"/>
    </row>
    <row r="5026" spans="29:29" x14ac:dyDescent="0.25">
      <c r="AC5026" s="8"/>
    </row>
    <row r="5027" spans="29:29" x14ac:dyDescent="0.25">
      <c r="AC5027" s="8"/>
    </row>
    <row r="5028" spans="29:29" x14ac:dyDescent="0.25">
      <c r="AC5028" s="8"/>
    </row>
    <row r="5029" spans="29:29" x14ac:dyDescent="0.25">
      <c r="AC5029" s="8"/>
    </row>
    <row r="5030" spans="29:29" x14ac:dyDescent="0.25">
      <c r="AC5030" s="8"/>
    </row>
    <row r="5031" spans="29:29" x14ac:dyDescent="0.25">
      <c r="AC5031" s="8"/>
    </row>
    <row r="5032" spans="29:29" x14ac:dyDescent="0.25">
      <c r="AC5032" s="8"/>
    </row>
    <row r="5033" spans="29:29" x14ac:dyDescent="0.25">
      <c r="AC5033" s="8"/>
    </row>
    <row r="5034" spans="29:29" x14ac:dyDescent="0.25">
      <c r="AC5034" s="8"/>
    </row>
    <row r="5035" spans="29:29" x14ac:dyDescent="0.25">
      <c r="AC5035" s="8"/>
    </row>
    <row r="5036" spans="29:29" x14ac:dyDescent="0.25">
      <c r="AC5036" s="8"/>
    </row>
    <row r="5037" spans="29:29" x14ac:dyDescent="0.25">
      <c r="AC5037" s="8"/>
    </row>
    <row r="5038" spans="29:29" x14ac:dyDescent="0.25">
      <c r="AC5038" s="8"/>
    </row>
    <row r="5039" spans="29:29" x14ac:dyDescent="0.25">
      <c r="AC5039" s="8"/>
    </row>
    <row r="5040" spans="29:29" x14ac:dyDescent="0.25">
      <c r="AC5040" s="8"/>
    </row>
    <row r="5041" spans="29:29" x14ac:dyDescent="0.25">
      <c r="AC5041" s="8"/>
    </row>
    <row r="5042" spans="29:29" x14ac:dyDescent="0.25">
      <c r="AC5042" s="8"/>
    </row>
    <row r="5043" spans="29:29" x14ac:dyDescent="0.25">
      <c r="AC5043" s="8"/>
    </row>
    <row r="5044" spans="29:29" x14ac:dyDescent="0.25">
      <c r="AC5044" s="8"/>
    </row>
    <row r="5045" spans="29:29" x14ac:dyDescent="0.25">
      <c r="AC5045" s="8"/>
    </row>
    <row r="5046" spans="29:29" x14ac:dyDescent="0.25">
      <c r="AC5046" s="8"/>
    </row>
    <row r="5047" spans="29:29" x14ac:dyDescent="0.25">
      <c r="AC5047" s="8"/>
    </row>
    <row r="5048" spans="29:29" x14ac:dyDescent="0.25">
      <c r="AC5048" s="8"/>
    </row>
    <row r="5049" spans="29:29" x14ac:dyDescent="0.25">
      <c r="AC5049" s="8"/>
    </row>
    <row r="5050" spans="29:29" x14ac:dyDescent="0.25">
      <c r="AC5050" s="8"/>
    </row>
    <row r="5051" spans="29:29" x14ac:dyDescent="0.25">
      <c r="AC5051" s="8"/>
    </row>
    <row r="5052" spans="29:29" x14ac:dyDescent="0.25">
      <c r="AC5052" s="8"/>
    </row>
    <row r="5053" spans="29:29" x14ac:dyDescent="0.25">
      <c r="AC5053" s="8"/>
    </row>
    <row r="5054" spans="29:29" x14ac:dyDescent="0.25">
      <c r="AC5054" s="8"/>
    </row>
    <row r="5055" spans="29:29" x14ac:dyDescent="0.25">
      <c r="AC5055" s="8"/>
    </row>
    <row r="5056" spans="29:29" x14ac:dyDescent="0.25">
      <c r="AC5056" s="8"/>
    </row>
    <row r="5057" spans="29:29" x14ac:dyDescent="0.25">
      <c r="AC5057" s="8"/>
    </row>
    <row r="5058" spans="29:29" x14ac:dyDescent="0.25">
      <c r="AC5058" s="8"/>
    </row>
    <row r="5059" spans="29:29" x14ac:dyDescent="0.25">
      <c r="AC5059" s="8"/>
    </row>
    <row r="5060" spans="29:29" x14ac:dyDescent="0.25">
      <c r="AC5060" s="8"/>
    </row>
    <row r="5061" spans="29:29" x14ac:dyDescent="0.25">
      <c r="AC5061" s="8"/>
    </row>
    <row r="5062" spans="29:29" x14ac:dyDescent="0.25">
      <c r="AC5062" s="8"/>
    </row>
    <row r="5063" spans="29:29" x14ac:dyDescent="0.25">
      <c r="AC5063" s="8"/>
    </row>
    <row r="5064" spans="29:29" x14ac:dyDescent="0.25">
      <c r="AC5064" s="8"/>
    </row>
    <row r="5065" spans="29:29" x14ac:dyDescent="0.25">
      <c r="AC5065" s="8"/>
    </row>
    <row r="5066" spans="29:29" x14ac:dyDescent="0.25">
      <c r="AC5066" s="8"/>
    </row>
    <row r="5067" spans="29:29" x14ac:dyDescent="0.25">
      <c r="AC5067" s="8"/>
    </row>
    <row r="5068" spans="29:29" x14ac:dyDescent="0.25">
      <c r="AC5068" s="8"/>
    </row>
    <row r="5069" spans="29:29" x14ac:dyDescent="0.25">
      <c r="AC5069" s="8"/>
    </row>
    <row r="5070" spans="29:29" x14ac:dyDescent="0.25">
      <c r="AC5070" s="8"/>
    </row>
    <row r="5071" spans="29:29" x14ac:dyDescent="0.25">
      <c r="AC5071" s="8"/>
    </row>
    <row r="5072" spans="29:29" x14ac:dyDescent="0.25">
      <c r="AC5072" s="8"/>
    </row>
    <row r="5073" spans="29:29" x14ac:dyDescent="0.25">
      <c r="AC5073" s="8"/>
    </row>
    <row r="5074" spans="29:29" x14ac:dyDescent="0.25">
      <c r="AC5074" s="8"/>
    </row>
    <row r="5075" spans="29:29" x14ac:dyDescent="0.25">
      <c r="AC5075" s="8"/>
    </row>
    <row r="5076" spans="29:29" x14ac:dyDescent="0.25">
      <c r="AC5076" s="8"/>
    </row>
    <row r="5077" spans="29:29" x14ac:dyDescent="0.25">
      <c r="AC5077" s="8"/>
    </row>
    <row r="5078" spans="29:29" x14ac:dyDescent="0.25">
      <c r="AC5078" s="8"/>
    </row>
    <row r="5079" spans="29:29" x14ac:dyDescent="0.25">
      <c r="AC5079" s="8"/>
    </row>
    <row r="5080" spans="29:29" x14ac:dyDescent="0.25">
      <c r="AC5080" s="8"/>
    </row>
    <row r="5081" spans="29:29" x14ac:dyDescent="0.25">
      <c r="AC5081" s="8"/>
    </row>
    <row r="5082" spans="29:29" x14ac:dyDescent="0.25">
      <c r="AC5082" s="8"/>
    </row>
    <row r="5083" spans="29:29" x14ac:dyDescent="0.25">
      <c r="AC5083" s="8"/>
    </row>
    <row r="5084" spans="29:29" x14ac:dyDescent="0.25">
      <c r="AC5084" s="8"/>
    </row>
    <row r="5085" spans="29:29" x14ac:dyDescent="0.25">
      <c r="AC5085" s="8"/>
    </row>
    <row r="5086" spans="29:29" x14ac:dyDescent="0.25">
      <c r="AC5086" s="8"/>
    </row>
    <row r="5087" spans="29:29" x14ac:dyDescent="0.25">
      <c r="AC5087" s="8"/>
    </row>
    <row r="5088" spans="29:29" x14ac:dyDescent="0.25">
      <c r="AC5088" s="8"/>
    </row>
    <row r="5089" spans="29:29" x14ac:dyDescent="0.25">
      <c r="AC5089" s="8"/>
    </row>
    <row r="5090" spans="29:29" x14ac:dyDescent="0.25">
      <c r="AC5090" s="8"/>
    </row>
    <row r="5091" spans="29:29" x14ac:dyDescent="0.25">
      <c r="AC5091" s="8"/>
    </row>
    <row r="5092" spans="29:29" x14ac:dyDescent="0.25">
      <c r="AC5092" s="8"/>
    </row>
    <row r="5093" spans="29:29" x14ac:dyDescent="0.25">
      <c r="AC5093" s="8"/>
    </row>
    <row r="5094" spans="29:29" x14ac:dyDescent="0.25">
      <c r="AC5094" s="8"/>
    </row>
    <row r="5095" spans="29:29" x14ac:dyDescent="0.25">
      <c r="AC5095" s="8"/>
    </row>
    <row r="5096" spans="29:29" x14ac:dyDescent="0.25">
      <c r="AC5096" s="8"/>
    </row>
    <row r="5097" spans="29:29" x14ac:dyDescent="0.25">
      <c r="AC5097" s="8"/>
    </row>
    <row r="5098" spans="29:29" x14ac:dyDescent="0.25">
      <c r="AC5098" s="8"/>
    </row>
    <row r="5099" spans="29:29" x14ac:dyDescent="0.25">
      <c r="AC5099" s="8"/>
    </row>
    <row r="5100" spans="29:29" x14ac:dyDescent="0.25">
      <c r="AC5100" s="8"/>
    </row>
    <row r="5101" spans="29:29" x14ac:dyDescent="0.25">
      <c r="AC5101" s="8"/>
    </row>
    <row r="5102" spans="29:29" x14ac:dyDescent="0.25">
      <c r="AC5102" s="8"/>
    </row>
    <row r="5103" spans="29:29" x14ac:dyDescent="0.25">
      <c r="AC5103" s="8"/>
    </row>
    <row r="5104" spans="29:29" x14ac:dyDescent="0.25">
      <c r="AC5104" s="8"/>
    </row>
    <row r="5105" spans="29:29" x14ac:dyDescent="0.25">
      <c r="AC5105" s="8"/>
    </row>
    <row r="5106" spans="29:29" x14ac:dyDescent="0.25">
      <c r="AC5106" s="8"/>
    </row>
    <row r="5107" spans="29:29" x14ac:dyDescent="0.25">
      <c r="AC5107" s="8"/>
    </row>
    <row r="5108" spans="29:29" x14ac:dyDescent="0.25">
      <c r="AC5108" s="8"/>
    </row>
    <row r="5109" spans="29:29" x14ac:dyDescent="0.25">
      <c r="AC5109" s="8"/>
    </row>
    <row r="5110" spans="29:29" x14ac:dyDescent="0.25">
      <c r="AC5110" s="8"/>
    </row>
    <row r="5111" spans="29:29" x14ac:dyDescent="0.25">
      <c r="AC5111" s="8"/>
    </row>
    <row r="5112" spans="29:29" x14ac:dyDescent="0.25">
      <c r="AC5112" s="8"/>
    </row>
    <row r="5113" spans="29:29" x14ac:dyDescent="0.25">
      <c r="AC5113" s="8"/>
    </row>
    <row r="5114" spans="29:29" x14ac:dyDescent="0.25">
      <c r="AC5114" s="8"/>
    </row>
    <row r="5115" spans="29:29" x14ac:dyDescent="0.25">
      <c r="AC5115" s="8"/>
    </row>
    <row r="5116" spans="29:29" x14ac:dyDescent="0.25">
      <c r="AC5116" s="8"/>
    </row>
    <row r="5117" spans="29:29" x14ac:dyDescent="0.25">
      <c r="AC5117" s="8"/>
    </row>
    <row r="5118" spans="29:29" x14ac:dyDescent="0.25">
      <c r="AC5118" s="8"/>
    </row>
    <row r="5119" spans="29:29" x14ac:dyDescent="0.25">
      <c r="AC5119" s="8"/>
    </row>
    <row r="5120" spans="29:29" x14ac:dyDescent="0.25">
      <c r="AC5120" s="8"/>
    </row>
    <row r="5121" spans="29:29" x14ac:dyDescent="0.25">
      <c r="AC5121" s="8"/>
    </row>
    <row r="5122" spans="29:29" x14ac:dyDescent="0.25">
      <c r="AC5122" s="8"/>
    </row>
    <row r="5123" spans="29:29" x14ac:dyDescent="0.25">
      <c r="AC5123" s="8"/>
    </row>
    <row r="5124" spans="29:29" x14ac:dyDescent="0.25">
      <c r="AC5124" s="8"/>
    </row>
    <row r="5125" spans="29:29" x14ac:dyDescent="0.25">
      <c r="AC5125" s="8"/>
    </row>
    <row r="5126" spans="29:29" x14ac:dyDescent="0.25">
      <c r="AC5126" s="8"/>
    </row>
    <row r="5127" spans="29:29" x14ac:dyDescent="0.25">
      <c r="AC5127" s="8"/>
    </row>
    <row r="5128" spans="29:29" x14ac:dyDescent="0.25">
      <c r="AC5128" s="8"/>
    </row>
    <row r="5129" spans="29:29" x14ac:dyDescent="0.25">
      <c r="AC5129" s="8"/>
    </row>
    <row r="5130" spans="29:29" x14ac:dyDescent="0.25">
      <c r="AC5130" s="8"/>
    </row>
    <row r="5131" spans="29:29" x14ac:dyDescent="0.25">
      <c r="AC5131" s="8"/>
    </row>
    <row r="5132" spans="29:29" x14ac:dyDescent="0.25">
      <c r="AC5132" s="8"/>
    </row>
    <row r="5133" spans="29:29" x14ac:dyDescent="0.25">
      <c r="AC5133" s="8"/>
    </row>
    <row r="5134" spans="29:29" x14ac:dyDescent="0.25">
      <c r="AC5134" s="8"/>
    </row>
    <row r="5135" spans="29:29" x14ac:dyDescent="0.25">
      <c r="AC5135" s="8"/>
    </row>
    <row r="5136" spans="29:29" x14ac:dyDescent="0.25">
      <c r="AC5136" s="8"/>
    </row>
    <row r="5137" spans="29:29" x14ac:dyDescent="0.25">
      <c r="AC5137" s="8"/>
    </row>
    <row r="5138" spans="29:29" x14ac:dyDescent="0.25">
      <c r="AC5138" s="8"/>
    </row>
    <row r="5139" spans="29:29" x14ac:dyDescent="0.25">
      <c r="AC5139" s="8"/>
    </row>
    <row r="5140" spans="29:29" x14ac:dyDescent="0.25">
      <c r="AC5140" s="8"/>
    </row>
    <row r="5141" spans="29:29" x14ac:dyDescent="0.25">
      <c r="AC5141" s="8"/>
    </row>
    <row r="5142" spans="29:29" x14ac:dyDescent="0.25">
      <c r="AC5142" s="8"/>
    </row>
    <row r="5143" spans="29:29" x14ac:dyDescent="0.25">
      <c r="AC5143" s="8"/>
    </row>
    <row r="5144" spans="29:29" x14ac:dyDescent="0.25">
      <c r="AC5144" s="8"/>
    </row>
    <row r="5145" spans="29:29" x14ac:dyDescent="0.25">
      <c r="AC5145" s="8"/>
    </row>
    <row r="5146" spans="29:29" x14ac:dyDescent="0.25">
      <c r="AC5146" s="8"/>
    </row>
    <row r="5147" spans="29:29" x14ac:dyDescent="0.25">
      <c r="AC5147" s="8"/>
    </row>
    <row r="5148" spans="29:29" x14ac:dyDescent="0.25">
      <c r="AC5148" s="8"/>
    </row>
    <row r="5149" spans="29:29" x14ac:dyDescent="0.25">
      <c r="AC5149" s="8"/>
    </row>
    <row r="5150" spans="29:29" x14ac:dyDescent="0.25">
      <c r="AC5150" s="8"/>
    </row>
    <row r="5151" spans="29:29" x14ac:dyDescent="0.25">
      <c r="AC5151" s="8"/>
    </row>
    <row r="5152" spans="29:29" x14ac:dyDescent="0.25">
      <c r="AC5152" s="8"/>
    </row>
    <row r="5153" spans="29:29" x14ac:dyDescent="0.25">
      <c r="AC5153" s="8"/>
    </row>
    <row r="5154" spans="29:29" x14ac:dyDescent="0.25">
      <c r="AC5154" s="8"/>
    </row>
    <row r="5155" spans="29:29" x14ac:dyDescent="0.25">
      <c r="AC5155" s="8"/>
    </row>
    <row r="5156" spans="29:29" x14ac:dyDescent="0.25">
      <c r="AC5156" s="8"/>
    </row>
    <row r="5157" spans="29:29" x14ac:dyDescent="0.25">
      <c r="AC5157" s="8"/>
    </row>
    <row r="5158" spans="29:29" x14ac:dyDescent="0.25">
      <c r="AC5158" s="8"/>
    </row>
    <row r="5159" spans="29:29" x14ac:dyDescent="0.25">
      <c r="AC5159" s="8"/>
    </row>
    <row r="5160" spans="29:29" x14ac:dyDescent="0.25">
      <c r="AC5160" s="8"/>
    </row>
    <row r="5161" spans="29:29" x14ac:dyDescent="0.25">
      <c r="AC5161" s="8"/>
    </row>
    <row r="5162" spans="29:29" x14ac:dyDescent="0.25">
      <c r="AC5162" s="8"/>
    </row>
    <row r="5163" spans="29:29" x14ac:dyDescent="0.25">
      <c r="AC5163" s="8"/>
    </row>
    <row r="5164" spans="29:29" x14ac:dyDescent="0.25">
      <c r="AC5164" s="8"/>
    </row>
    <row r="5165" spans="29:29" x14ac:dyDescent="0.25">
      <c r="AC5165" s="8"/>
    </row>
    <row r="5166" spans="29:29" x14ac:dyDescent="0.25">
      <c r="AC5166" s="8"/>
    </row>
    <row r="5167" spans="29:29" x14ac:dyDescent="0.25">
      <c r="AC5167" s="8"/>
    </row>
    <row r="5168" spans="29:29" x14ac:dyDescent="0.25">
      <c r="AC5168" s="8"/>
    </row>
    <row r="5169" spans="29:29" x14ac:dyDescent="0.25">
      <c r="AC5169" s="8"/>
    </row>
    <row r="5170" spans="29:29" x14ac:dyDescent="0.25">
      <c r="AC5170" s="8"/>
    </row>
    <row r="5171" spans="29:29" x14ac:dyDescent="0.25">
      <c r="AC5171" s="8"/>
    </row>
    <row r="5172" spans="29:29" x14ac:dyDescent="0.25">
      <c r="AC5172" s="8"/>
    </row>
    <row r="5173" spans="29:29" x14ac:dyDescent="0.25">
      <c r="AC5173" s="8"/>
    </row>
    <row r="5174" spans="29:29" x14ac:dyDescent="0.25">
      <c r="AC5174" s="8"/>
    </row>
    <row r="5175" spans="29:29" x14ac:dyDescent="0.25">
      <c r="AC5175" s="8"/>
    </row>
    <row r="5176" spans="29:29" x14ac:dyDescent="0.25">
      <c r="AC5176" s="8"/>
    </row>
    <row r="5177" spans="29:29" x14ac:dyDescent="0.25">
      <c r="AC5177" s="8"/>
    </row>
    <row r="5178" spans="29:29" x14ac:dyDescent="0.25">
      <c r="AC5178" s="8"/>
    </row>
    <row r="5179" spans="29:29" x14ac:dyDescent="0.25">
      <c r="AC5179" s="8"/>
    </row>
    <row r="5180" spans="29:29" x14ac:dyDescent="0.25">
      <c r="AC5180" s="8"/>
    </row>
    <row r="5181" spans="29:29" x14ac:dyDescent="0.25">
      <c r="AC5181" s="8"/>
    </row>
    <row r="5182" spans="29:29" x14ac:dyDescent="0.25">
      <c r="AC5182" s="8"/>
    </row>
    <row r="5183" spans="29:29" x14ac:dyDescent="0.25">
      <c r="AC5183" s="8"/>
    </row>
    <row r="5184" spans="29:29" x14ac:dyDescent="0.25">
      <c r="AC5184" s="8"/>
    </row>
    <row r="5185" spans="29:29" x14ac:dyDescent="0.25">
      <c r="AC5185" s="8"/>
    </row>
    <row r="5186" spans="29:29" x14ac:dyDescent="0.25">
      <c r="AC5186" s="8"/>
    </row>
    <row r="5187" spans="29:29" x14ac:dyDescent="0.25">
      <c r="AC5187" s="8"/>
    </row>
    <row r="5188" spans="29:29" x14ac:dyDescent="0.25">
      <c r="AC5188" s="8"/>
    </row>
    <row r="5189" spans="29:29" x14ac:dyDescent="0.25">
      <c r="AC5189" s="8"/>
    </row>
    <row r="5190" spans="29:29" x14ac:dyDescent="0.25">
      <c r="AC5190" s="8"/>
    </row>
    <row r="5191" spans="29:29" x14ac:dyDescent="0.25">
      <c r="AC5191" s="8"/>
    </row>
    <row r="5192" spans="29:29" x14ac:dyDescent="0.25">
      <c r="AC5192" s="8"/>
    </row>
    <row r="5193" spans="29:29" x14ac:dyDescent="0.25">
      <c r="AC5193" s="8"/>
    </row>
    <row r="5194" spans="29:29" x14ac:dyDescent="0.25">
      <c r="AC5194" s="8"/>
    </row>
    <row r="5195" spans="29:29" x14ac:dyDescent="0.25">
      <c r="AC5195" s="8"/>
    </row>
    <row r="5196" spans="29:29" x14ac:dyDescent="0.25">
      <c r="AC5196" s="8"/>
    </row>
    <row r="5197" spans="29:29" x14ac:dyDescent="0.25">
      <c r="AC5197" s="8"/>
    </row>
    <row r="5198" spans="29:29" x14ac:dyDescent="0.25">
      <c r="AC5198" s="8"/>
    </row>
    <row r="5199" spans="29:29" x14ac:dyDescent="0.25">
      <c r="AC5199" s="8"/>
    </row>
    <row r="5200" spans="29:29" x14ac:dyDescent="0.25">
      <c r="AC5200" s="8"/>
    </row>
    <row r="5201" spans="29:29" x14ac:dyDescent="0.25">
      <c r="AC5201" s="8"/>
    </row>
    <row r="5202" spans="29:29" x14ac:dyDescent="0.25">
      <c r="AC5202" s="8"/>
    </row>
    <row r="5203" spans="29:29" x14ac:dyDescent="0.25">
      <c r="AC5203" s="8"/>
    </row>
    <row r="5204" spans="29:29" x14ac:dyDescent="0.25">
      <c r="AC5204" s="8"/>
    </row>
    <row r="5205" spans="29:29" x14ac:dyDescent="0.25">
      <c r="AC5205" s="8"/>
    </row>
    <row r="5206" spans="29:29" x14ac:dyDescent="0.25">
      <c r="AC5206" s="8"/>
    </row>
    <row r="5207" spans="29:29" x14ac:dyDescent="0.25">
      <c r="AC5207" s="8"/>
    </row>
    <row r="5208" spans="29:29" x14ac:dyDescent="0.25">
      <c r="AC5208" s="8"/>
    </row>
    <row r="5209" spans="29:29" x14ac:dyDescent="0.25">
      <c r="AC5209" s="8"/>
    </row>
    <row r="5210" spans="29:29" x14ac:dyDescent="0.25">
      <c r="AC5210" s="8"/>
    </row>
    <row r="5211" spans="29:29" x14ac:dyDescent="0.25">
      <c r="AC5211" s="8"/>
    </row>
    <row r="5212" spans="29:29" x14ac:dyDescent="0.25">
      <c r="AC5212" s="8"/>
    </row>
    <row r="5213" spans="29:29" x14ac:dyDescent="0.25">
      <c r="AC5213" s="8"/>
    </row>
    <row r="5214" spans="29:29" x14ac:dyDescent="0.25">
      <c r="AC5214" s="8"/>
    </row>
    <row r="5215" spans="29:29" x14ac:dyDescent="0.25">
      <c r="AC5215" s="8"/>
    </row>
    <row r="5216" spans="29:29" x14ac:dyDescent="0.25">
      <c r="AC5216" s="8"/>
    </row>
    <row r="5217" spans="29:29" x14ac:dyDescent="0.25">
      <c r="AC5217" s="8"/>
    </row>
    <row r="5218" spans="29:29" x14ac:dyDescent="0.25">
      <c r="AC5218" s="8"/>
    </row>
    <row r="5219" spans="29:29" x14ac:dyDescent="0.25">
      <c r="AC5219" s="8"/>
    </row>
    <row r="5220" spans="29:29" x14ac:dyDescent="0.25">
      <c r="AC5220" s="8"/>
    </row>
    <row r="5221" spans="29:29" x14ac:dyDescent="0.25">
      <c r="AC5221" s="8"/>
    </row>
    <row r="5222" spans="29:29" x14ac:dyDescent="0.25">
      <c r="AC5222" s="8"/>
    </row>
    <row r="5223" spans="29:29" x14ac:dyDescent="0.25">
      <c r="AC5223" s="8"/>
    </row>
    <row r="5224" spans="29:29" x14ac:dyDescent="0.25">
      <c r="AC5224" s="8"/>
    </row>
    <row r="5225" spans="29:29" x14ac:dyDescent="0.25">
      <c r="AC5225" s="8"/>
    </row>
    <row r="5226" spans="29:29" x14ac:dyDescent="0.25">
      <c r="AC5226" s="8"/>
    </row>
    <row r="5227" spans="29:29" x14ac:dyDescent="0.25">
      <c r="AC5227" s="8"/>
    </row>
    <row r="5228" spans="29:29" x14ac:dyDescent="0.25">
      <c r="AC5228" s="8"/>
    </row>
    <row r="5229" spans="29:29" x14ac:dyDescent="0.25">
      <c r="AC5229" s="8"/>
    </row>
    <row r="5230" spans="29:29" x14ac:dyDescent="0.25">
      <c r="AC5230" s="8"/>
    </row>
    <row r="5231" spans="29:29" x14ac:dyDescent="0.25">
      <c r="AC5231" s="8"/>
    </row>
    <row r="5232" spans="29:29" x14ac:dyDescent="0.25">
      <c r="AC5232" s="8"/>
    </row>
    <row r="5233" spans="29:29" x14ac:dyDescent="0.25">
      <c r="AC5233" s="8"/>
    </row>
    <row r="5234" spans="29:29" x14ac:dyDescent="0.25">
      <c r="AC5234" s="8"/>
    </row>
    <row r="5235" spans="29:29" x14ac:dyDescent="0.25">
      <c r="AC5235" s="8"/>
    </row>
    <row r="5236" spans="29:29" x14ac:dyDescent="0.25">
      <c r="AC5236" s="8"/>
    </row>
    <row r="5237" spans="29:29" x14ac:dyDescent="0.25">
      <c r="AC5237" s="8"/>
    </row>
    <row r="5238" spans="29:29" x14ac:dyDescent="0.25">
      <c r="AC5238" s="8"/>
    </row>
    <row r="5239" spans="29:29" x14ac:dyDescent="0.25">
      <c r="AC5239" s="8"/>
    </row>
    <row r="5240" spans="29:29" x14ac:dyDescent="0.25">
      <c r="AC5240" s="8"/>
    </row>
    <row r="5241" spans="29:29" x14ac:dyDescent="0.25">
      <c r="AC5241" s="8"/>
    </row>
    <row r="5242" spans="29:29" x14ac:dyDescent="0.25">
      <c r="AC5242" s="8"/>
    </row>
    <row r="5243" spans="29:29" x14ac:dyDescent="0.25">
      <c r="AC5243" s="8"/>
    </row>
    <row r="5244" spans="29:29" x14ac:dyDescent="0.25">
      <c r="AC5244" s="8"/>
    </row>
    <row r="5245" spans="29:29" x14ac:dyDescent="0.25">
      <c r="AC5245" s="8"/>
    </row>
    <row r="5246" spans="29:29" x14ac:dyDescent="0.25">
      <c r="AC5246" s="8"/>
    </row>
    <row r="5247" spans="29:29" x14ac:dyDescent="0.25">
      <c r="AC5247" s="8"/>
    </row>
    <row r="5248" spans="29:29" x14ac:dyDescent="0.25">
      <c r="AC5248" s="8"/>
    </row>
    <row r="5249" spans="29:29" x14ac:dyDescent="0.25">
      <c r="AC5249" s="8"/>
    </row>
    <row r="5250" spans="29:29" x14ac:dyDescent="0.25">
      <c r="AC5250" s="8"/>
    </row>
    <row r="5251" spans="29:29" x14ac:dyDescent="0.25">
      <c r="AC5251" s="8"/>
    </row>
    <row r="5252" spans="29:29" x14ac:dyDescent="0.25">
      <c r="AC5252" s="8"/>
    </row>
    <row r="5253" spans="29:29" x14ac:dyDescent="0.25">
      <c r="AC5253" s="8"/>
    </row>
    <row r="5254" spans="29:29" x14ac:dyDescent="0.25">
      <c r="AC5254" s="8"/>
    </row>
    <row r="5255" spans="29:29" x14ac:dyDescent="0.25">
      <c r="AC5255" s="8"/>
    </row>
    <row r="5256" spans="29:29" x14ac:dyDescent="0.25">
      <c r="AC5256" s="8"/>
    </row>
    <row r="5257" spans="29:29" x14ac:dyDescent="0.25">
      <c r="AC5257" s="8"/>
    </row>
    <row r="5258" spans="29:29" x14ac:dyDescent="0.25">
      <c r="AC5258" s="8"/>
    </row>
    <row r="5259" spans="29:29" x14ac:dyDescent="0.25">
      <c r="AC5259" s="8"/>
    </row>
    <row r="5260" spans="29:29" x14ac:dyDescent="0.25">
      <c r="AC5260" s="8"/>
    </row>
    <row r="5261" spans="29:29" x14ac:dyDescent="0.25">
      <c r="AC5261" s="8"/>
    </row>
    <row r="5262" spans="29:29" x14ac:dyDescent="0.25">
      <c r="AC5262" s="8"/>
    </row>
    <row r="5263" spans="29:29" x14ac:dyDescent="0.25">
      <c r="AC5263" s="8"/>
    </row>
    <row r="5264" spans="29:29" x14ac:dyDescent="0.25">
      <c r="AC5264" s="8"/>
    </row>
    <row r="5265" spans="29:29" x14ac:dyDescent="0.25">
      <c r="AC5265" s="8"/>
    </row>
    <row r="5266" spans="29:29" x14ac:dyDescent="0.25">
      <c r="AC5266" s="8"/>
    </row>
    <row r="5267" spans="29:29" x14ac:dyDescent="0.25">
      <c r="AC5267" s="8"/>
    </row>
    <row r="5268" spans="29:29" x14ac:dyDescent="0.25">
      <c r="AC5268" s="8"/>
    </row>
    <row r="5269" spans="29:29" x14ac:dyDescent="0.25">
      <c r="AC5269" s="8"/>
    </row>
    <row r="5270" spans="29:29" x14ac:dyDescent="0.25">
      <c r="AC5270" s="8"/>
    </row>
    <row r="5271" spans="29:29" x14ac:dyDescent="0.25">
      <c r="AC5271" s="8"/>
    </row>
    <row r="5272" spans="29:29" x14ac:dyDescent="0.25">
      <c r="AC5272" s="8"/>
    </row>
    <row r="5273" spans="29:29" x14ac:dyDescent="0.25">
      <c r="AC5273" s="8"/>
    </row>
    <row r="5274" spans="29:29" x14ac:dyDescent="0.25">
      <c r="AC5274" s="8"/>
    </row>
    <row r="5275" spans="29:29" x14ac:dyDescent="0.25">
      <c r="AC5275" s="8"/>
    </row>
    <row r="5276" spans="29:29" x14ac:dyDescent="0.25">
      <c r="AC5276" s="8"/>
    </row>
    <row r="5277" spans="29:29" x14ac:dyDescent="0.25">
      <c r="AC5277" s="8"/>
    </row>
    <row r="5278" spans="29:29" x14ac:dyDescent="0.25">
      <c r="AC5278" s="8"/>
    </row>
    <row r="5279" spans="29:29" x14ac:dyDescent="0.25">
      <c r="AC5279" s="8"/>
    </row>
    <row r="5280" spans="29:29" x14ac:dyDescent="0.25">
      <c r="AC5280" s="8"/>
    </row>
    <row r="5281" spans="29:29" x14ac:dyDescent="0.25">
      <c r="AC5281" s="8"/>
    </row>
    <row r="5282" spans="29:29" x14ac:dyDescent="0.25">
      <c r="AC5282" s="8"/>
    </row>
    <row r="5283" spans="29:29" x14ac:dyDescent="0.25">
      <c r="AC5283" s="8"/>
    </row>
    <row r="5284" spans="29:29" x14ac:dyDescent="0.25">
      <c r="AC5284" s="8"/>
    </row>
    <row r="5285" spans="29:29" x14ac:dyDescent="0.25">
      <c r="AC5285" s="8"/>
    </row>
    <row r="5286" spans="29:29" x14ac:dyDescent="0.25">
      <c r="AC5286" s="8"/>
    </row>
    <row r="5287" spans="29:29" x14ac:dyDescent="0.25">
      <c r="AC5287" s="8"/>
    </row>
    <row r="5288" spans="29:29" x14ac:dyDescent="0.25">
      <c r="AC5288" s="8"/>
    </row>
    <row r="5289" spans="29:29" x14ac:dyDescent="0.25">
      <c r="AC5289" s="8"/>
    </row>
    <row r="5290" spans="29:29" x14ac:dyDescent="0.25">
      <c r="AC5290" s="8"/>
    </row>
    <row r="5291" spans="29:29" x14ac:dyDescent="0.25">
      <c r="AC5291" s="8"/>
    </row>
    <row r="5292" spans="29:29" x14ac:dyDescent="0.25">
      <c r="AC5292" s="8"/>
    </row>
    <row r="5293" spans="29:29" x14ac:dyDescent="0.25">
      <c r="AC5293" s="8"/>
    </row>
    <row r="5294" spans="29:29" x14ac:dyDescent="0.25">
      <c r="AC5294" s="8"/>
    </row>
    <row r="5295" spans="29:29" x14ac:dyDescent="0.25">
      <c r="AC5295" s="8"/>
    </row>
    <row r="5296" spans="29:29" x14ac:dyDescent="0.25">
      <c r="AC5296" s="8"/>
    </row>
    <row r="5297" spans="29:29" x14ac:dyDescent="0.25">
      <c r="AC5297" s="8"/>
    </row>
    <row r="5298" spans="29:29" x14ac:dyDescent="0.25">
      <c r="AC5298" s="8"/>
    </row>
    <row r="5299" spans="29:29" x14ac:dyDescent="0.25">
      <c r="AC5299" s="8"/>
    </row>
    <row r="5300" spans="29:29" x14ac:dyDescent="0.25">
      <c r="AC5300" s="8"/>
    </row>
    <row r="5301" spans="29:29" x14ac:dyDescent="0.25">
      <c r="AC5301" s="8"/>
    </row>
    <row r="5302" spans="29:29" x14ac:dyDescent="0.25">
      <c r="AC5302" s="8"/>
    </row>
    <row r="5303" spans="29:29" x14ac:dyDescent="0.25">
      <c r="AC5303" s="8"/>
    </row>
    <row r="5304" spans="29:29" x14ac:dyDescent="0.25">
      <c r="AC5304" s="8"/>
    </row>
    <row r="5305" spans="29:29" x14ac:dyDescent="0.25">
      <c r="AC5305" s="8"/>
    </row>
    <row r="5306" spans="29:29" x14ac:dyDescent="0.25">
      <c r="AC5306" s="8"/>
    </row>
    <row r="5307" spans="29:29" x14ac:dyDescent="0.25">
      <c r="AC5307" s="8"/>
    </row>
    <row r="5308" spans="29:29" x14ac:dyDescent="0.25">
      <c r="AC5308" s="8"/>
    </row>
    <row r="5309" spans="29:29" x14ac:dyDescent="0.25">
      <c r="AC5309" s="8"/>
    </row>
    <row r="5310" spans="29:29" x14ac:dyDescent="0.25">
      <c r="AC5310" s="8"/>
    </row>
    <row r="5311" spans="29:29" x14ac:dyDescent="0.25">
      <c r="AC5311" s="8"/>
    </row>
    <row r="5312" spans="29:29" x14ac:dyDescent="0.25">
      <c r="AC5312" s="8"/>
    </row>
    <row r="5313" spans="29:29" x14ac:dyDescent="0.25">
      <c r="AC5313" s="8"/>
    </row>
    <row r="5314" spans="29:29" x14ac:dyDescent="0.25">
      <c r="AC5314" s="8"/>
    </row>
    <row r="5315" spans="29:29" x14ac:dyDescent="0.25">
      <c r="AC5315" s="8"/>
    </row>
    <row r="5316" spans="29:29" x14ac:dyDescent="0.25">
      <c r="AC5316" s="8"/>
    </row>
    <row r="5317" spans="29:29" x14ac:dyDescent="0.25">
      <c r="AC5317" s="8"/>
    </row>
    <row r="5318" spans="29:29" x14ac:dyDescent="0.25">
      <c r="AC5318" s="8"/>
    </row>
    <row r="5319" spans="29:29" x14ac:dyDescent="0.25">
      <c r="AC5319" s="8"/>
    </row>
    <row r="5320" spans="29:29" x14ac:dyDescent="0.25">
      <c r="AC5320" s="8"/>
    </row>
    <row r="5321" spans="29:29" x14ac:dyDescent="0.25">
      <c r="AC5321" s="8"/>
    </row>
    <row r="5322" spans="29:29" x14ac:dyDescent="0.25">
      <c r="AC5322" s="8"/>
    </row>
    <row r="5323" spans="29:29" x14ac:dyDescent="0.25">
      <c r="AC5323" s="8"/>
    </row>
    <row r="5324" spans="29:29" x14ac:dyDescent="0.25">
      <c r="AC5324" s="8"/>
    </row>
    <row r="5325" spans="29:29" x14ac:dyDescent="0.25">
      <c r="AC5325" s="8"/>
    </row>
    <row r="5326" spans="29:29" x14ac:dyDescent="0.25">
      <c r="AC5326" s="8"/>
    </row>
    <row r="5327" spans="29:29" x14ac:dyDescent="0.25">
      <c r="AC5327" s="8"/>
    </row>
    <row r="5328" spans="29:29" x14ac:dyDescent="0.25">
      <c r="AC5328" s="8"/>
    </row>
    <row r="5329" spans="29:29" x14ac:dyDescent="0.25">
      <c r="AC5329" s="8"/>
    </row>
    <row r="5330" spans="29:29" x14ac:dyDescent="0.25">
      <c r="AC5330" s="8"/>
    </row>
    <row r="5331" spans="29:29" x14ac:dyDescent="0.25">
      <c r="AC5331" s="8"/>
    </row>
    <row r="5332" spans="29:29" x14ac:dyDescent="0.25">
      <c r="AC5332" s="8"/>
    </row>
    <row r="5333" spans="29:29" x14ac:dyDescent="0.25">
      <c r="AC5333" s="8"/>
    </row>
    <row r="5334" spans="29:29" x14ac:dyDescent="0.25">
      <c r="AC5334" s="8"/>
    </row>
    <row r="5335" spans="29:29" x14ac:dyDescent="0.25">
      <c r="AC5335" s="8"/>
    </row>
    <row r="5336" spans="29:29" x14ac:dyDescent="0.25">
      <c r="AC5336" s="8"/>
    </row>
    <row r="5337" spans="29:29" x14ac:dyDescent="0.25">
      <c r="AC5337" s="8"/>
    </row>
    <row r="5338" spans="29:29" x14ac:dyDescent="0.25">
      <c r="AC5338" s="8"/>
    </row>
    <row r="5339" spans="29:29" x14ac:dyDescent="0.25">
      <c r="AC5339" s="8"/>
    </row>
    <row r="5340" spans="29:29" x14ac:dyDescent="0.25">
      <c r="AC5340" s="8"/>
    </row>
    <row r="5341" spans="29:29" x14ac:dyDescent="0.25">
      <c r="AC5341" s="8"/>
    </row>
    <row r="5342" spans="29:29" x14ac:dyDescent="0.25">
      <c r="AC5342" s="8"/>
    </row>
    <row r="5343" spans="29:29" x14ac:dyDescent="0.25">
      <c r="AC5343" s="8"/>
    </row>
    <row r="5344" spans="29:29" x14ac:dyDescent="0.25">
      <c r="AC5344" s="8"/>
    </row>
    <row r="5345" spans="29:29" x14ac:dyDescent="0.25">
      <c r="AC5345" s="8"/>
    </row>
    <row r="5346" spans="29:29" x14ac:dyDescent="0.25">
      <c r="AC5346" s="8"/>
    </row>
    <row r="5347" spans="29:29" x14ac:dyDescent="0.25">
      <c r="AC5347" s="8"/>
    </row>
    <row r="5348" spans="29:29" x14ac:dyDescent="0.25">
      <c r="AC5348" s="8"/>
    </row>
    <row r="5349" spans="29:29" x14ac:dyDescent="0.25">
      <c r="AC5349" s="8"/>
    </row>
    <row r="5350" spans="29:29" x14ac:dyDescent="0.25">
      <c r="AC5350" s="8"/>
    </row>
    <row r="5351" spans="29:29" x14ac:dyDescent="0.25">
      <c r="AC5351" s="8"/>
    </row>
    <row r="5352" spans="29:29" x14ac:dyDescent="0.25">
      <c r="AC5352" s="8"/>
    </row>
    <row r="5353" spans="29:29" x14ac:dyDescent="0.25">
      <c r="AC5353" s="8"/>
    </row>
    <row r="5354" spans="29:29" x14ac:dyDescent="0.25">
      <c r="AC5354" s="8"/>
    </row>
    <row r="5355" spans="29:29" x14ac:dyDescent="0.25">
      <c r="AC5355" s="8"/>
    </row>
    <row r="5356" spans="29:29" x14ac:dyDescent="0.25">
      <c r="AC5356" s="8"/>
    </row>
    <row r="5357" spans="29:29" x14ac:dyDescent="0.25">
      <c r="AC5357" s="8"/>
    </row>
    <row r="5358" spans="29:29" x14ac:dyDescent="0.25">
      <c r="AC5358" s="8"/>
    </row>
    <row r="5359" spans="29:29" x14ac:dyDescent="0.25">
      <c r="AC5359" s="8"/>
    </row>
    <row r="5360" spans="29:29" x14ac:dyDescent="0.25">
      <c r="AC5360" s="8"/>
    </row>
    <row r="5361" spans="29:29" x14ac:dyDescent="0.25">
      <c r="AC5361" s="8"/>
    </row>
    <row r="5362" spans="29:29" x14ac:dyDescent="0.25">
      <c r="AC5362" s="8"/>
    </row>
    <row r="5363" spans="29:29" x14ac:dyDescent="0.25">
      <c r="AC5363" s="8"/>
    </row>
    <row r="5364" spans="29:29" x14ac:dyDescent="0.25">
      <c r="AC5364" s="8"/>
    </row>
    <row r="5365" spans="29:29" x14ac:dyDescent="0.25">
      <c r="AC5365" s="8"/>
    </row>
    <row r="5366" spans="29:29" x14ac:dyDescent="0.25">
      <c r="AC5366" s="8"/>
    </row>
    <row r="5367" spans="29:29" x14ac:dyDescent="0.25">
      <c r="AC5367" s="8"/>
    </row>
    <row r="5368" spans="29:29" x14ac:dyDescent="0.25">
      <c r="AC5368" s="8"/>
    </row>
    <row r="5369" spans="29:29" x14ac:dyDescent="0.25">
      <c r="AC5369" s="8"/>
    </row>
    <row r="5370" spans="29:29" x14ac:dyDescent="0.25">
      <c r="AC5370" s="8"/>
    </row>
    <row r="5371" spans="29:29" x14ac:dyDescent="0.25">
      <c r="AC5371" s="8"/>
    </row>
    <row r="5372" spans="29:29" x14ac:dyDescent="0.25">
      <c r="AC5372" s="8"/>
    </row>
    <row r="5373" spans="29:29" x14ac:dyDescent="0.25">
      <c r="AC5373" s="8"/>
    </row>
    <row r="5374" spans="29:29" x14ac:dyDescent="0.25">
      <c r="AC5374" s="8"/>
    </row>
    <row r="5375" spans="29:29" x14ac:dyDescent="0.25">
      <c r="AC5375" s="8"/>
    </row>
    <row r="5376" spans="29:29" x14ac:dyDescent="0.25">
      <c r="AC5376" s="8"/>
    </row>
    <row r="5377" spans="29:29" x14ac:dyDescent="0.25">
      <c r="AC5377" s="8"/>
    </row>
    <row r="5378" spans="29:29" x14ac:dyDescent="0.25">
      <c r="AC5378" s="8"/>
    </row>
    <row r="5379" spans="29:29" x14ac:dyDescent="0.25">
      <c r="AC5379" s="8"/>
    </row>
    <row r="5380" spans="29:29" x14ac:dyDescent="0.25">
      <c r="AC5380" s="8"/>
    </row>
    <row r="5381" spans="29:29" x14ac:dyDescent="0.25">
      <c r="AC5381" s="8"/>
    </row>
    <row r="5382" spans="29:29" x14ac:dyDescent="0.25">
      <c r="AC5382" s="8"/>
    </row>
    <row r="5383" spans="29:29" x14ac:dyDescent="0.25">
      <c r="AC5383" s="8"/>
    </row>
    <row r="5384" spans="29:29" x14ac:dyDescent="0.25">
      <c r="AC5384" s="8"/>
    </row>
    <row r="5385" spans="29:29" x14ac:dyDescent="0.25">
      <c r="AC5385" s="8"/>
    </row>
    <row r="5386" spans="29:29" x14ac:dyDescent="0.25">
      <c r="AC5386" s="8"/>
    </row>
    <row r="5387" spans="29:29" x14ac:dyDescent="0.25">
      <c r="AC5387" s="8"/>
    </row>
    <row r="5388" spans="29:29" x14ac:dyDescent="0.25">
      <c r="AC5388" s="8"/>
    </row>
    <row r="5389" spans="29:29" x14ac:dyDescent="0.25">
      <c r="AC5389" s="8"/>
    </row>
    <row r="5390" spans="29:29" x14ac:dyDescent="0.25">
      <c r="AC5390" s="8"/>
    </row>
    <row r="5391" spans="29:29" x14ac:dyDescent="0.25">
      <c r="AC5391" s="8"/>
    </row>
    <row r="5392" spans="29:29" x14ac:dyDescent="0.25">
      <c r="AC5392" s="8"/>
    </row>
    <row r="5393" spans="29:29" x14ac:dyDescent="0.25">
      <c r="AC5393" s="8"/>
    </row>
    <row r="5394" spans="29:29" x14ac:dyDescent="0.25">
      <c r="AC5394" s="8"/>
    </row>
    <row r="5395" spans="29:29" x14ac:dyDescent="0.25">
      <c r="AC5395" s="8"/>
    </row>
    <row r="5396" spans="29:29" x14ac:dyDescent="0.25">
      <c r="AC5396" s="8"/>
    </row>
    <row r="5397" spans="29:29" x14ac:dyDescent="0.25">
      <c r="AC5397" s="8"/>
    </row>
    <row r="5398" spans="29:29" x14ac:dyDescent="0.25">
      <c r="AC5398" s="8"/>
    </row>
    <row r="5399" spans="29:29" x14ac:dyDescent="0.25">
      <c r="AC5399" s="8"/>
    </row>
    <row r="5400" spans="29:29" x14ac:dyDescent="0.25">
      <c r="AC5400" s="8"/>
    </row>
    <row r="5401" spans="29:29" x14ac:dyDescent="0.25">
      <c r="AC5401" s="8"/>
    </row>
    <row r="5402" spans="29:29" x14ac:dyDescent="0.25">
      <c r="AC5402" s="8"/>
    </row>
    <row r="5403" spans="29:29" x14ac:dyDescent="0.25">
      <c r="AC5403" s="8"/>
    </row>
    <row r="5404" spans="29:29" x14ac:dyDescent="0.25">
      <c r="AC5404" s="8"/>
    </row>
    <row r="5405" spans="29:29" x14ac:dyDescent="0.25">
      <c r="AC5405" s="8"/>
    </row>
    <row r="5406" spans="29:29" x14ac:dyDescent="0.25">
      <c r="AC5406" s="8"/>
    </row>
    <row r="5407" spans="29:29" x14ac:dyDescent="0.25">
      <c r="AC5407" s="8"/>
    </row>
    <row r="5408" spans="29:29" x14ac:dyDescent="0.25">
      <c r="AC5408" s="8"/>
    </row>
    <row r="5409" spans="29:29" x14ac:dyDescent="0.25">
      <c r="AC5409" s="8"/>
    </row>
    <row r="5410" spans="29:29" x14ac:dyDescent="0.25">
      <c r="AC5410" s="8"/>
    </row>
    <row r="5411" spans="29:29" x14ac:dyDescent="0.25">
      <c r="AC5411" s="8"/>
    </row>
    <row r="5412" spans="29:29" x14ac:dyDescent="0.25">
      <c r="AC5412" s="8"/>
    </row>
    <row r="5413" spans="29:29" x14ac:dyDescent="0.25">
      <c r="AC5413" s="8"/>
    </row>
    <row r="5414" spans="29:29" x14ac:dyDescent="0.25">
      <c r="AC5414" s="8"/>
    </row>
    <row r="5415" spans="29:29" x14ac:dyDescent="0.25">
      <c r="AC5415" s="8"/>
    </row>
    <row r="5416" spans="29:29" x14ac:dyDescent="0.25">
      <c r="AC5416" s="8"/>
    </row>
    <row r="5417" spans="29:29" x14ac:dyDescent="0.25">
      <c r="AC5417" s="8"/>
    </row>
    <row r="5418" spans="29:29" x14ac:dyDescent="0.25">
      <c r="AC5418" s="8"/>
    </row>
    <row r="5419" spans="29:29" x14ac:dyDescent="0.25">
      <c r="AC5419" s="8"/>
    </row>
    <row r="5420" spans="29:29" x14ac:dyDescent="0.25">
      <c r="AC5420" s="8"/>
    </row>
    <row r="5421" spans="29:29" x14ac:dyDescent="0.25">
      <c r="AC5421" s="8"/>
    </row>
    <row r="5422" spans="29:29" x14ac:dyDescent="0.25">
      <c r="AC5422" s="8"/>
    </row>
    <row r="5423" spans="29:29" x14ac:dyDescent="0.25">
      <c r="AC5423" s="8"/>
    </row>
    <row r="5424" spans="29:29" x14ac:dyDescent="0.25">
      <c r="AC5424" s="8"/>
    </row>
    <row r="5425" spans="29:29" x14ac:dyDescent="0.25">
      <c r="AC5425" s="8"/>
    </row>
    <row r="5426" spans="29:29" x14ac:dyDescent="0.25">
      <c r="AC5426" s="8"/>
    </row>
    <row r="5427" spans="29:29" x14ac:dyDescent="0.25">
      <c r="AC5427" s="8"/>
    </row>
    <row r="5428" spans="29:29" x14ac:dyDescent="0.25">
      <c r="AC5428" s="8"/>
    </row>
    <row r="5429" spans="29:29" x14ac:dyDescent="0.25">
      <c r="AC5429" s="8"/>
    </row>
    <row r="5430" spans="29:29" x14ac:dyDescent="0.25">
      <c r="AC5430" s="8"/>
    </row>
    <row r="5431" spans="29:29" x14ac:dyDescent="0.25">
      <c r="AC5431" s="8"/>
    </row>
    <row r="5432" spans="29:29" x14ac:dyDescent="0.25">
      <c r="AC5432" s="8"/>
    </row>
    <row r="5433" spans="29:29" x14ac:dyDescent="0.25">
      <c r="AC5433" s="8"/>
    </row>
    <row r="5434" spans="29:29" x14ac:dyDescent="0.25">
      <c r="AC5434" s="8"/>
    </row>
    <row r="5435" spans="29:29" x14ac:dyDescent="0.25">
      <c r="AC5435" s="8"/>
    </row>
    <row r="5436" spans="29:29" x14ac:dyDescent="0.25">
      <c r="AC5436" s="8"/>
    </row>
    <row r="5437" spans="29:29" x14ac:dyDescent="0.25">
      <c r="AC5437" s="8"/>
    </row>
    <row r="5438" spans="29:29" x14ac:dyDescent="0.25">
      <c r="AC5438" s="8"/>
    </row>
    <row r="5439" spans="29:29" x14ac:dyDescent="0.25">
      <c r="AC5439" s="8"/>
    </row>
    <row r="5440" spans="29:29" x14ac:dyDescent="0.25">
      <c r="AC5440" s="8"/>
    </row>
    <row r="5441" spans="29:29" x14ac:dyDescent="0.25">
      <c r="AC5441" s="8"/>
    </row>
    <row r="5442" spans="29:29" x14ac:dyDescent="0.25">
      <c r="AC5442" s="8"/>
    </row>
    <row r="5443" spans="29:29" x14ac:dyDescent="0.25">
      <c r="AC5443" s="8"/>
    </row>
    <row r="5444" spans="29:29" x14ac:dyDescent="0.25">
      <c r="AC5444" s="8"/>
    </row>
    <row r="5445" spans="29:29" x14ac:dyDescent="0.25">
      <c r="AC5445" s="8"/>
    </row>
    <row r="5446" spans="29:29" x14ac:dyDescent="0.25">
      <c r="AC5446" s="8"/>
    </row>
    <row r="5447" spans="29:29" x14ac:dyDescent="0.25">
      <c r="AC5447" s="8"/>
    </row>
    <row r="5448" spans="29:29" x14ac:dyDescent="0.25">
      <c r="AC5448" s="8"/>
    </row>
    <row r="5449" spans="29:29" x14ac:dyDescent="0.25">
      <c r="AC5449" s="8"/>
    </row>
    <row r="5450" spans="29:29" x14ac:dyDescent="0.25">
      <c r="AC5450" s="8"/>
    </row>
    <row r="5451" spans="29:29" x14ac:dyDescent="0.25">
      <c r="AC5451" s="8"/>
    </row>
    <row r="5452" spans="29:29" x14ac:dyDescent="0.25">
      <c r="AC5452" s="8"/>
    </row>
    <row r="5453" spans="29:29" x14ac:dyDescent="0.25">
      <c r="AC5453" s="8"/>
    </row>
    <row r="5454" spans="29:29" x14ac:dyDescent="0.25">
      <c r="AC5454" s="8"/>
    </row>
    <row r="5455" spans="29:29" x14ac:dyDescent="0.25">
      <c r="AC5455" s="8"/>
    </row>
    <row r="5456" spans="29:29" x14ac:dyDescent="0.25">
      <c r="AC5456" s="8"/>
    </row>
    <row r="5457" spans="29:29" x14ac:dyDescent="0.25">
      <c r="AC5457" s="8"/>
    </row>
    <row r="5458" spans="29:29" x14ac:dyDescent="0.25">
      <c r="AC5458" s="8"/>
    </row>
    <row r="5459" spans="29:29" x14ac:dyDescent="0.25">
      <c r="AC5459" s="8"/>
    </row>
    <row r="5460" spans="29:29" x14ac:dyDescent="0.25">
      <c r="AC5460" s="8"/>
    </row>
    <row r="5461" spans="29:29" x14ac:dyDescent="0.25">
      <c r="AC5461" s="8"/>
    </row>
    <row r="5462" spans="29:29" x14ac:dyDescent="0.25">
      <c r="AC5462" s="8"/>
    </row>
    <row r="5463" spans="29:29" x14ac:dyDescent="0.25">
      <c r="AC5463" s="8"/>
    </row>
    <row r="5464" spans="29:29" x14ac:dyDescent="0.25">
      <c r="AC5464" s="8"/>
    </row>
    <row r="5465" spans="29:29" x14ac:dyDescent="0.25">
      <c r="AC5465" s="8"/>
    </row>
    <row r="5466" spans="29:29" x14ac:dyDescent="0.25">
      <c r="AC5466" s="8"/>
    </row>
    <row r="5467" spans="29:29" x14ac:dyDescent="0.25">
      <c r="AC5467" s="8"/>
    </row>
    <row r="5468" spans="29:29" x14ac:dyDescent="0.25">
      <c r="AC5468" s="8"/>
    </row>
    <row r="5469" spans="29:29" x14ac:dyDescent="0.25">
      <c r="AC5469" s="8"/>
    </row>
    <row r="5470" spans="29:29" x14ac:dyDescent="0.25">
      <c r="AC5470" s="8"/>
    </row>
    <row r="5471" spans="29:29" x14ac:dyDescent="0.25">
      <c r="AC5471" s="8"/>
    </row>
    <row r="5472" spans="29:29" x14ac:dyDescent="0.25">
      <c r="AC5472" s="8"/>
    </row>
    <row r="5473" spans="29:29" x14ac:dyDescent="0.25">
      <c r="AC5473" s="8"/>
    </row>
    <row r="5474" spans="29:29" x14ac:dyDescent="0.25">
      <c r="AC5474" s="8"/>
    </row>
    <row r="5475" spans="29:29" x14ac:dyDescent="0.25">
      <c r="AC5475" s="8"/>
    </row>
    <row r="5476" spans="29:29" x14ac:dyDescent="0.25">
      <c r="AC5476" s="8"/>
    </row>
    <row r="5477" spans="29:29" x14ac:dyDescent="0.25">
      <c r="AC5477" s="8"/>
    </row>
    <row r="5478" spans="29:29" x14ac:dyDescent="0.25">
      <c r="AC5478" s="8"/>
    </row>
    <row r="5479" spans="29:29" x14ac:dyDescent="0.25">
      <c r="AC5479" s="8"/>
    </row>
    <row r="5480" spans="29:29" x14ac:dyDescent="0.25">
      <c r="AC5480" s="8"/>
    </row>
    <row r="5481" spans="29:29" x14ac:dyDescent="0.25">
      <c r="AC5481" s="8"/>
    </row>
    <row r="5482" spans="29:29" x14ac:dyDescent="0.25">
      <c r="AC5482" s="8"/>
    </row>
    <row r="5483" spans="29:29" x14ac:dyDescent="0.25">
      <c r="AC5483" s="8"/>
    </row>
    <row r="5484" spans="29:29" x14ac:dyDescent="0.25">
      <c r="AC5484" s="8"/>
    </row>
    <row r="5485" spans="29:29" x14ac:dyDescent="0.25">
      <c r="AC5485" s="8"/>
    </row>
    <row r="5486" spans="29:29" x14ac:dyDescent="0.25">
      <c r="AC5486" s="8"/>
    </row>
    <row r="5487" spans="29:29" x14ac:dyDescent="0.25">
      <c r="AC5487" s="8"/>
    </row>
    <row r="5488" spans="29:29" x14ac:dyDescent="0.25">
      <c r="AC5488" s="8"/>
    </row>
    <row r="5489" spans="29:29" x14ac:dyDescent="0.25">
      <c r="AC5489" s="8"/>
    </row>
    <row r="5490" spans="29:29" x14ac:dyDescent="0.25">
      <c r="AC5490" s="8"/>
    </row>
    <row r="5491" spans="29:29" x14ac:dyDescent="0.25">
      <c r="AC5491" s="8"/>
    </row>
    <row r="5492" spans="29:29" x14ac:dyDescent="0.25">
      <c r="AC5492" s="8"/>
    </row>
    <row r="5493" spans="29:29" x14ac:dyDescent="0.25">
      <c r="AC5493" s="8"/>
    </row>
    <row r="5494" spans="29:29" x14ac:dyDescent="0.25">
      <c r="AC5494" s="8"/>
    </row>
    <row r="5495" spans="29:29" x14ac:dyDescent="0.25">
      <c r="AC5495" s="8"/>
    </row>
    <row r="5496" spans="29:29" x14ac:dyDescent="0.25">
      <c r="AC5496" s="8"/>
    </row>
    <row r="5497" spans="29:29" x14ac:dyDescent="0.25">
      <c r="AC5497" s="8"/>
    </row>
    <row r="5498" spans="29:29" x14ac:dyDescent="0.25">
      <c r="AC5498" s="8"/>
    </row>
    <row r="5499" spans="29:29" x14ac:dyDescent="0.25">
      <c r="AC5499" s="8"/>
    </row>
    <row r="5500" spans="29:29" x14ac:dyDescent="0.25">
      <c r="AC5500" s="8"/>
    </row>
    <row r="5501" spans="29:29" x14ac:dyDescent="0.25">
      <c r="AC5501" s="8"/>
    </row>
    <row r="5502" spans="29:29" x14ac:dyDescent="0.25">
      <c r="AC5502" s="8"/>
    </row>
    <row r="5503" spans="29:29" x14ac:dyDescent="0.25">
      <c r="AC5503" s="8"/>
    </row>
    <row r="5504" spans="29:29" x14ac:dyDescent="0.25">
      <c r="AC5504" s="8"/>
    </row>
    <row r="5505" spans="29:29" x14ac:dyDescent="0.25">
      <c r="AC5505" s="8"/>
    </row>
    <row r="5506" spans="29:29" x14ac:dyDescent="0.25">
      <c r="AC5506" s="8"/>
    </row>
    <row r="5507" spans="29:29" x14ac:dyDescent="0.25">
      <c r="AC5507" s="8"/>
    </row>
    <row r="5508" spans="29:29" x14ac:dyDescent="0.25">
      <c r="AC5508" s="8"/>
    </row>
    <row r="5509" spans="29:29" x14ac:dyDescent="0.25">
      <c r="AC5509" s="8"/>
    </row>
    <row r="5510" spans="29:29" x14ac:dyDescent="0.25">
      <c r="AC5510" s="8"/>
    </row>
    <row r="5511" spans="29:29" x14ac:dyDescent="0.25">
      <c r="AC5511" s="8"/>
    </row>
    <row r="5512" spans="29:29" x14ac:dyDescent="0.25">
      <c r="AC5512" s="8"/>
    </row>
    <row r="5513" spans="29:29" x14ac:dyDescent="0.25">
      <c r="AC5513" s="8"/>
    </row>
    <row r="5514" spans="29:29" x14ac:dyDescent="0.25">
      <c r="AC5514" s="8"/>
    </row>
    <row r="5515" spans="29:29" x14ac:dyDescent="0.25">
      <c r="AC5515" s="8"/>
    </row>
    <row r="5516" spans="29:29" x14ac:dyDescent="0.25">
      <c r="AC5516" s="8"/>
    </row>
    <row r="5517" spans="29:29" x14ac:dyDescent="0.25">
      <c r="AC5517" s="8"/>
    </row>
    <row r="5518" spans="29:29" x14ac:dyDescent="0.25">
      <c r="AC5518" s="8"/>
    </row>
    <row r="5519" spans="29:29" x14ac:dyDescent="0.25">
      <c r="AC5519" s="8"/>
    </row>
    <row r="5520" spans="29:29" x14ac:dyDescent="0.25">
      <c r="AC5520" s="8"/>
    </row>
    <row r="5521" spans="29:29" x14ac:dyDescent="0.25">
      <c r="AC5521" s="8"/>
    </row>
    <row r="5522" spans="29:29" x14ac:dyDescent="0.25">
      <c r="AC5522" s="8"/>
    </row>
    <row r="5523" spans="29:29" x14ac:dyDescent="0.25">
      <c r="AC5523" s="8"/>
    </row>
    <row r="5524" spans="29:29" x14ac:dyDescent="0.25">
      <c r="AC5524" s="8"/>
    </row>
    <row r="5525" spans="29:29" x14ac:dyDescent="0.25">
      <c r="AC5525" s="8"/>
    </row>
    <row r="5526" spans="29:29" x14ac:dyDescent="0.25">
      <c r="AC5526" s="8"/>
    </row>
    <row r="5527" spans="29:29" x14ac:dyDescent="0.25">
      <c r="AC5527" s="8"/>
    </row>
    <row r="5528" spans="29:29" x14ac:dyDescent="0.25">
      <c r="AC5528" s="8"/>
    </row>
    <row r="5529" spans="29:29" x14ac:dyDescent="0.25">
      <c r="AC5529" s="8"/>
    </row>
    <row r="5530" spans="29:29" x14ac:dyDescent="0.25">
      <c r="AC5530" s="8"/>
    </row>
    <row r="5531" spans="29:29" x14ac:dyDescent="0.25">
      <c r="AC5531" s="8"/>
    </row>
    <row r="5532" spans="29:29" x14ac:dyDescent="0.25">
      <c r="AC5532" s="8"/>
    </row>
    <row r="5533" spans="29:29" x14ac:dyDescent="0.25">
      <c r="AC5533" s="8"/>
    </row>
    <row r="5534" spans="29:29" x14ac:dyDescent="0.25">
      <c r="AC5534" s="8"/>
    </row>
    <row r="5535" spans="29:29" x14ac:dyDescent="0.25">
      <c r="AC5535" s="8"/>
    </row>
    <row r="5536" spans="29:29" x14ac:dyDescent="0.25">
      <c r="AC5536" s="8"/>
    </row>
    <row r="5537" spans="29:29" x14ac:dyDescent="0.25">
      <c r="AC5537" s="8"/>
    </row>
    <row r="5538" spans="29:29" x14ac:dyDescent="0.25">
      <c r="AC5538" s="8"/>
    </row>
    <row r="5539" spans="29:29" x14ac:dyDescent="0.25">
      <c r="AC5539" s="8"/>
    </row>
    <row r="5540" spans="29:29" x14ac:dyDescent="0.25">
      <c r="AC5540" s="8"/>
    </row>
    <row r="5541" spans="29:29" x14ac:dyDescent="0.25">
      <c r="AC5541" s="8"/>
    </row>
    <row r="5542" spans="29:29" x14ac:dyDescent="0.25">
      <c r="AC5542" s="8"/>
    </row>
    <row r="5543" spans="29:29" x14ac:dyDescent="0.25">
      <c r="AC5543" s="8"/>
    </row>
    <row r="5544" spans="29:29" x14ac:dyDescent="0.25">
      <c r="AC5544" s="8"/>
    </row>
    <row r="5545" spans="29:29" x14ac:dyDescent="0.25">
      <c r="AC5545" s="8"/>
    </row>
    <row r="5546" spans="29:29" x14ac:dyDescent="0.25">
      <c r="AC5546" s="8"/>
    </row>
    <row r="5547" spans="29:29" x14ac:dyDescent="0.25">
      <c r="AC5547" s="8"/>
    </row>
    <row r="5548" spans="29:29" x14ac:dyDescent="0.25">
      <c r="AC5548" s="8"/>
    </row>
    <row r="5549" spans="29:29" x14ac:dyDescent="0.25">
      <c r="AC5549" s="8"/>
    </row>
    <row r="5550" spans="29:29" x14ac:dyDescent="0.25">
      <c r="AC5550" s="8"/>
    </row>
    <row r="5551" spans="29:29" x14ac:dyDescent="0.25">
      <c r="AC5551" s="8"/>
    </row>
    <row r="5552" spans="29:29" x14ac:dyDescent="0.25">
      <c r="AC5552" s="8"/>
    </row>
    <row r="5553" spans="29:29" x14ac:dyDescent="0.25">
      <c r="AC5553" s="8"/>
    </row>
    <row r="5554" spans="29:29" x14ac:dyDescent="0.25">
      <c r="AC5554" s="8"/>
    </row>
    <row r="5555" spans="29:29" x14ac:dyDescent="0.25">
      <c r="AC5555" s="8"/>
    </row>
    <row r="5556" spans="29:29" x14ac:dyDescent="0.25">
      <c r="AC5556" s="8"/>
    </row>
    <row r="5557" spans="29:29" x14ac:dyDescent="0.25">
      <c r="AC5557" s="8"/>
    </row>
    <row r="5558" spans="29:29" x14ac:dyDescent="0.25">
      <c r="AC5558" s="8"/>
    </row>
    <row r="5559" spans="29:29" x14ac:dyDescent="0.25">
      <c r="AC5559" s="8"/>
    </row>
    <row r="5560" spans="29:29" x14ac:dyDescent="0.25">
      <c r="AC5560" s="8"/>
    </row>
    <row r="5561" spans="29:29" x14ac:dyDescent="0.25">
      <c r="AC5561" s="8"/>
    </row>
    <row r="5562" spans="29:29" x14ac:dyDescent="0.25">
      <c r="AC5562" s="8"/>
    </row>
    <row r="5563" spans="29:29" x14ac:dyDescent="0.25">
      <c r="AC5563" s="8"/>
    </row>
    <row r="5564" spans="29:29" x14ac:dyDescent="0.25">
      <c r="AC5564" s="8"/>
    </row>
    <row r="5565" spans="29:29" x14ac:dyDescent="0.25">
      <c r="AC5565" s="8"/>
    </row>
    <row r="5566" spans="29:29" x14ac:dyDescent="0.25">
      <c r="AC5566" s="8"/>
    </row>
    <row r="5567" spans="29:29" x14ac:dyDescent="0.25">
      <c r="AC5567" s="8"/>
    </row>
    <row r="5568" spans="29:29" x14ac:dyDescent="0.25">
      <c r="AC5568" s="8"/>
    </row>
    <row r="5569" spans="29:29" x14ac:dyDescent="0.25">
      <c r="AC5569" s="8"/>
    </row>
    <row r="5570" spans="29:29" x14ac:dyDescent="0.25">
      <c r="AC5570" s="8"/>
    </row>
    <row r="5571" spans="29:29" x14ac:dyDescent="0.25">
      <c r="AC5571" s="8"/>
    </row>
    <row r="5572" spans="29:29" x14ac:dyDescent="0.25">
      <c r="AC5572" s="8"/>
    </row>
    <row r="5573" spans="29:29" x14ac:dyDescent="0.25">
      <c r="AC5573" s="8"/>
    </row>
    <row r="5574" spans="29:29" x14ac:dyDescent="0.25">
      <c r="AC5574" s="8"/>
    </row>
    <row r="5575" spans="29:29" x14ac:dyDescent="0.25">
      <c r="AC5575" s="8"/>
    </row>
    <row r="5576" spans="29:29" x14ac:dyDescent="0.25">
      <c r="AC5576" s="8"/>
    </row>
    <row r="5577" spans="29:29" x14ac:dyDescent="0.25">
      <c r="AC5577" s="8"/>
    </row>
    <row r="5578" spans="29:29" x14ac:dyDescent="0.25">
      <c r="AC5578" s="8"/>
    </row>
    <row r="5579" spans="29:29" x14ac:dyDescent="0.25">
      <c r="AC5579" s="8"/>
    </row>
    <row r="5580" spans="29:29" x14ac:dyDescent="0.25">
      <c r="AC5580" s="8"/>
    </row>
    <row r="5581" spans="29:29" x14ac:dyDescent="0.25">
      <c r="AC5581" s="8"/>
    </row>
    <row r="5582" spans="29:29" x14ac:dyDescent="0.25">
      <c r="AC5582" s="8"/>
    </row>
    <row r="5583" spans="29:29" x14ac:dyDescent="0.25">
      <c r="AC5583" s="8"/>
    </row>
    <row r="5584" spans="29:29" x14ac:dyDescent="0.25">
      <c r="AC5584" s="8"/>
    </row>
    <row r="5585" spans="29:29" x14ac:dyDescent="0.25">
      <c r="AC5585" s="8"/>
    </row>
    <row r="5586" spans="29:29" x14ac:dyDescent="0.25">
      <c r="AC5586" s="8"/>
    </row>
    <row r="5587" spans="29:29" x14ac:dyDescent="0.25">
      <c r="AC5587" s="8"/>
    </row>
    <row r="5588" spans="29:29" x14ac:dyDescent="0.25">
      <c r="AC5588" s="8"/>
    </row>
    <row r="5589" spans="29:29" x14ac:dyDescent="0.25">
      <c r="AC5589" s="8"/>
    </row>
    <row r="5590" spans="29:29" x14ac:dyDescent="0.25">
      <c r="AC5590" s="8"/>
    </row>
    <row r="5591" spans="29:29" x14ac:dyDescent="0.25">
      <c r="AC5591" s="8"/>
    </row>
    <row r="5592" spans="29:29" x14ac:dyDescent="0.25">
      <c r="AC5592" s="8"/>
    </row>
    <row r="5593" spans="29:29" x14ac:dyDescent="0.25">
      <c r="AC5593" s="8"/>
    </row>
    <row r="5594" spans="29:29" x14ac:dyDescent="0.25">
      <c r="AC5594" s="8"/>
    </row>
    <row r="5595" spans="29:29" x14ac:dyDescent="0.25">
      <c r="AC5595" s="8"/>
    </row>
    <row r="5596" spans="29:29" x14ac:dyDescent="0.25">
      <c r="AC5596" s="8"/>
    </row>
    <row r="5597" spans="29:29" x14ac:dyDescent="0.25">
      <c r="AC5597" s="8"/>
    </row>
    <row r="5598" spans="29:29" x14ac:dyDescent="0.25">
      <c r="AC5598" s="8"/>
    </row>
    <row r="5599" spans="29:29" x14ac:dyDescent="0.25">
      <c r="AC5599" s="8"/>
    </row>
    <row r="5600" spans="29:29" x14ac:dyDescent="0.25">
      <c r="AC5600" s="8"/>
    </row>
    <row r="5601" spans="29:29" x14ac:dyDescent="0.25">
      <c r="AC5601" s="8"/>
    </row>
    <row r="5602" spans="29:29" x14ac:dyDescent="0.25">
      <c r="AC5602" s="8"/>
    </row>
    <row r="5603" spans="29:29" x14ac:dyDescent="0.25">
      <c r="AC5603" s="8"/>
    </row>
    <row r="5604" spans="29:29" x14ac:dyDescent="0.25">
      <c r="AC5604" s="8"/>
    </row>
    <row r="5605" spans="29:29" x14ac:dyDescent="0.25">
      <c r="AC5605" s="8"/>
    </row>
    <row r="5606" spans="29:29" x14ac:dyDescent="0.25">
      <c r="AC5606" s="8"/>
    </row>
    <row r="5607" spans="29:29" x14ac:dyDescent="0.25">
      <c r="AC5607" s="8"/>
    </row>
    <row r="5608" spans="29:29" x14ac:dyDescent="0.25">
      <c r="AC5608" s="8"/>
    </row>
    <row r="5609" spans="29:29" x14ac:dyDescent="0.25">
      <c r="AC5609" s="8"/>
    </row>
    <row r="5610" spans="29:29" x14ac:dyDescent="0.25">
      <c r="AC5610" s="8"/>
    </row>
    <row r="5611" spans="29:29" x14ac:dyDescent="0.25">
      <c r="AC5611" s="8"/>
    </row>
    <row r="5612" spans="29:29" x14ac:dyDescent="0.25">
      <c r="AC5612" s="8"/>
    </row>
    <row r="5613" spans="29:29" x14ac:dyDescent="0.25">
      <c r="AC5613" s="8"/>
    </row>
    <row r="5614" spans="29:29" x14ac:dyDescent="0.25">
      <c r="AC5614" s="8"/>
    </row>
    <row r="5615" spans="29:29" x14ac:dyDescent="0.25">
      <c r="AC5615" s="8"/>
    </row>
    <row r="5616" spans="29:29" x14ac:dyDescent="0.25">
      <c r="AC5616" s="8"/>
    </row>
    <row r="5617" spans="29:29" x14ac:dyDescent="0.25">
      <c r="AC5617" s="8"/>
    </row>
    <row r="5618" spans="29:29" x14ac:dyDescent="0.25">
      <c r="AC5618" s="8"/>
    </row>
    <row r="5619" spans="29:29" x14ac:dyDescent="0.25">
      <c r="AC5619" s="8"/>
    </row>
    <row r="5620" spans="29:29" x14ac:dyDescent="0.25">
      <c r="AC5620" s="8"/>
    </row>
    <row r="5621" spans="29:29" x14ac:dyDescent="0.25">
      <c r="AC5621" s="8"/>
    </row>
    <row r="5622" spans="29:29" x14ac:dyDescent="0.25">
      <c r="AC5622" s="8"/>
    </row>
    <row r="5623" spans="29:29" x14ac:dyDescent="0.25">
      <c r="AC5623" s="8"/>
    </row>
    <row r="5624" spans="29:29" x14ac:dyDescent="0.25">
      <c r="AC5624" s="8"/>
    </row>
    <row r="5625" spans="29:29" x14ac:dyDescent="0.25">
      <c r="AC5625" s="8"/>
    </row>
    <row r="5626" spans="29:29" x14ac:dyDescent="0.25">
      <c r="AC5626" s="8"/>
    </row>
    <row r="5627" spans="29:29" x14ac:dyDescent="0.25">
      <c r="AC5627" s="8"/>
    </row>
    <row r="5628" spans="29:29" x14ac:dyDescent="0.25">
      <c r="AC5628" s="8"/>
    </row>
    <row r="5629" spans="29:29" x14ac:dyDescent="0.25">
      <c r="AC5629" s="8"/>
    </row>
    <row r="5630" spans="29:29" x14ac:dyDescent="0.25">
      <c r="AC5630" s="8"/>
    </row>
    <row r="5631" spans="29:29" x14ac:dyDescent="0.25">
      <c r="AC5631" s="8"/>
    </row>
    <row r="5632" spans="29:29" x14ac:dyDescent="0.25">
      <c r="AC5632" s="8"/>
    </row>
    <row r="5633" spans="29:29" x14ac:dyDescent="0.25">
      <c r="AC5633" s="8"/>
    </row>
    <row r="5634" spans="29:29" x14ac:dyDescent="0.25">
      <c r="AC5634" s="8"/>
    </row>
    <row r="5635" spans="29:29" x14ac:dyDescent="0.25">
      <c r="AC5635" s="8"/>
    </row>
    <row r="5636" spans="29:29" x14ac:dyDescent="0.25">
      <c r="AC5636" s="8"/>
    </row>
    <row r="5637" spans="29:29" x14ac:dyDescent="0.25">
      <c r="AC5637" s="8"/>
    </row>
    <row r="5638" spans="29:29" x14ac:dyDescent="0.25">
      <c r="AC5638" s="8"/>
    </row>
    <row r="5639" spans="29:29" x14ac:dyDescent="0.25">
      <c r="AC5639" s="8"/>
    </row>
    <row r="5640" spans="29:29" x14ac:dyDescent="0.25">
      <c r="AC5640" s="8"/>
    </row>
    <row r="5641" spans="29:29" x14ac:dyDescent="0.25">
      <c r="AC5641" s="8"/>
    </row>
    <row r="5642" spans="29:29" x14ac:dyDescent="0.25">
      <c r="AC5642" s="8"/>
    </row>
    <row r="5643" spans="29:29" x14ac:dyDescent="0.25">
      <c r="AC5643" s="8"/>
    </row>
    <row r="5644" spans="29:29" x14ac:dyDescent="0.25">
      <c r="AC5644" s="8"/>
    </row>
    <row r="5645" spans="29:29" x14ac:dyDescent="0.25">
      <c r="AC5645" s="8"/>
    </row>
    <row r="5646" spans="29:29" x14ac:dyDescent="0.25">
      <c r="AC5646" s="8"/>
    </row>
    <row r="5647" spans="29:29" x14ac:dyDescent="0.25">
      <c r="AC5647" s="8"/>
    </row>
    <row r="5648" spans="29:29" x14ac:dyDescent="0.25">
      <c r="AC5648" s="8"/>
    </row>
    <row r="5649" spans="29:29" x14ac:dyDescent="0.25">
      <c r="AC5649" s="8"/>
    </row>
    <row r="5650" spans="29:29" x14ac:dyDescent="0.25">
      <c r="AC5650" s="8"/>
    </row>
    <row r="5651" spans="29:29" x14ac:dyDescent="0.25">
      <c r="AC5651" s="8"/>
    </row>
    <row r="5652" spans="29:29" x14ac:dyDescent="0.25">
      <c r="AC5652" s="8"/>
    </row>
    <row r="5653" spans="29:29" x14ac:dyDescent="0.25">
      <c r="AC5653" s="8"/>
    </row>
    <row r="5654" spans="29:29" x14ac:dyDescent="0.25">
      <c r="AC5654" s="8"/>
    </row>
    <row r="5655" spans="29:29" x14ac:dyDescent="0.25">
      <c r="AC5655" s="8"/>
    </row>
    <row r="5656" spans="29:29" x14ac:dyDescent="0.25">
      <c r="AC5656" s="8"/>
    </row>
    <row r="5657" spans="29:29" x14ac:dyDescent="0.25">
      <c r="AC5657" s="8"/>
    </row>
    <row r="5658" spans="29:29" x14ac:dyDescent="0.25">
      <c r="AC5658" s="8"/>
    </row>
    <row r="5659" spans="29:29" x14ac:dyDescent="0.25">
      <c r="AC5659" s="8"/>
    </row>
    <row r="5660" spans="29:29" x14ac:dyDescent="0.25">
      <c r="AC5660" s="8"/>
    </row>
    <row r="5661" spans="29:29" x14ac:dyDescent="0.25">
      <c r="AC5661" s="8"/>
    </row>
    <row r="5662" spans="29:29" x14ac:dyDescent="0.25">
      <c r="AC5662" s="8"/>
    </row>
    <row r="5663" spans="29:29" x14ac:dyDescent="0.25">
      <c r="AC5663" s="8"/>
    </row>
    <row r="5664" spans="29:29" x14ac:dyDescent="0.25">
      <c r="AC5664" s="8"/>
    </row>
    <row r="5665" spans="29:29" x14ac:dyDescent="0.25">
      <c r="AC5665" s="8"/>
    </row>
    <row r="5666" spans="29:29" x14ac:dyDescent="0.25">
      <c r="AC5666" s="8"/>
    </row>
    <row r="5667" spans="29:29" x14ac:dyDescent="0.25">
      <c r="AC5667" s="8"/>
    </row>
    <row r="5668" spans="29:29" x14ac:dyDescent="0.25">
      <c r="AC5668" s="8"/>
    </row>
    <row r="5669" spans="29:29" x14ac:dyDescent="0.25">
      <c r="AC5669" s="8"/>
    </row>
    <row r="5670" spans="29:29" x14ac:dyDescent="0.25">
      <c r="AC5670" s="8"/>
    </row>
    <row r="5671" spans="29:29" x14ac:dyDescent="0.25">
      <c r="AC5671" s="8"/>
    </row>
    <row r="5672" spans="29:29" x14ac:dyDescent="0.25">
      <c r="AC5672" s="8"/>
    </row>
    <row r="5673" spans="29:29" x14ac:dyDescent="0.25">
      <c r="AC5673" s="8"/>
    </row>
    <row r="5674" spans="29:29" x14ac:dyDescent="0.25">
      <c r="AC5674" s="8"/>
    </row>
    <row r="5675" spans="29:29" x14ac:dyDescent="0.25">
      <c r="AC5675" s="8"/>
    </row>
    <row r="5676" spans="29:29" x14ac:dyDescent="0.25">
      <c r="AC5676" s="8"/>
    </row>
    <row r="5677" spans="29:29" x14ac:dyDescent="0.25">
      <c r="AC5677" s="8"/>
    </row>
    <row r="5678" spans="29:29" x14ac:dyDescent="0.25">
      <c r="AC5678" s="8"/>
    </row>
    <row r="5679" spans="29:29" x14ac:dyDescent="0.25">
      <c r="AC5679" s="8"/>
    </row>
    <row r="5680" spans="29:29" x14ac:dyDescent="0.25">
      <c r="AC5680" s="8"/>
    </row>
    <row r="5681" spans="29:29" x14ac:dyDescent="0.25">
      <c r="AC5681" s="8"/>
    </row>
    <row r="5682" spans="29:29" x14ac:dyDescent="0.25">
      <c r="AC5682" s="8"/>
    </row>
    <row r="5683" spans="29:29" x14ac:dyDescent="0.25">
      <c r="AC5683" s="8"/>
    </row>
    <row r="5684" spans="29:29" x14ac:dyDescent="0.25">
      <c r="AC5684" s="8"/>
    </row>
    <row r="5685" spans="29:29" x14ac:dyDescent="0.25">
      <c r="AC5685" s="8"/>
    </row>
    <row r="5686" spans="29:29" x14ac:dyDescent="0.25">
      <c r="AC5686" s="8"/>
    </row>
    <row r="5687" spans="29:29" x14ac:dyDescent="0.25">
      <c r="AC5687" s="8"/>
    </row>
    <row r="5688" spans="29:29" x14ac:dyDescent="0.25">
      <c r="AC5688" s="8"/>
    </row>
    <row r="5689" spans="29:29" x14ac:dyDescent="0.25">
      <c r="AC5689" s="8"/>
    </row>
    <row r="5690" spans="29:29" x14ac:dyDescent="0.25">
      <c r="AC5690" s="8"/>
    </row>
    <row r="5691" spans="29:29" x14ac:dyDescent="0.25">
      <c r="AC5691" s="8"/>
    </row>
    <row r="5692" spans="29:29" x14ac:dyDescent="0.25">
      <c r="AC5692" s="8"/>
    </row>
    <row r="5693" spans="29:29" x14ac:dyDescent="0.25">
      <c r="AC5693" s="8"/>
    </row>
    <row r="5694" spans="29:29" x14ac:dyDescent="0.25">
      <c r="AC5694" s="8"/>
    </row>
    <row r="5695" spans="29:29" x14ac:dyDescent="0.25">
      <c r="AC5695" s="8"/>
    </row>
    <row r="5696" spans="29:29" x14ac:dyDescent="0.25">
      <c r="AC5696" s="8"/>
    </row>
    <row r="5697" spans="29:29" x14ac:dyDescent="0.25">
      <c r="AC5697" s="8"/>
    </row>
    <row r="5698" spans="29:29" x14ac:dyDescent="0.25">
      <c r="AC5698" s="8"/>
    </row>
    <row r="5699" spans="29:29" x14ac:dyDescent="0.25">
      <c r="AC5699" s="8"/>
    </row>
    <row r="5700" spans="29:29" x14ac:dyDescent="0.25">
      <c r="AC5700" s="8"/>
    </row>
    <row r="5701" spans="29:29" x14ac:dyDescent="0.25">
      <c r="AC5701" s="8"/>
    </row>
    <row r="5702" spans="29:29" x14ac:dyDescent="0.25">
      <c r="AC5702" s="8"/>
    </row>
    <row r="5703" spans="29:29" x14ac:dyDescent="0.25">
      <c r="AC5703" s="8"/>
    </row>
    <row r="5704" spans="29:29" x14ac:dyDescent="0.25">
      <c r="AC5704" s="8"/>
    </row>
    <row r="5705" spans="29:29" x14ac:dyDescent="0.25">
      <c r="AC5705" s="8"/>
    </row>
    <row r="5706" spans="29:29" x14ac:dyDescent="0.25">
      <c r="AC5706" s="8"/>
    </row>
    <row r="5707" spans="29:29" x14ac:dyDescent="0.25">
      <c r="AC5707" s="8"/>
    </row>
    <row r="5708" spans="29:29" x14ac:dyDescent="0.25">
      <c r="AC5708" s="8"/>
    </row>
    <row r="5709" spans="29:29" x14ac:dyDescent="0.25">
      <c r="AC5709" s="8"/>
    </row>
    <row r="5710" spans="29:29" x14ac:dyDescent="0.25">
      <c r="AC5710" s="8"/>
    </row>
    <row r="5711" spans="29:29" x14ac:dyDescent="0.25">
      <c r="AC5711" s="8"/>
    </row>
    <row r="5712" spans="29:29" x14ac:dyDescent="0.25">
      <c r="AC5712" s="8"/>
    </row>
    <row r="5713" spans="29:29" x14ac:dyDescent="0.25">
      <c r="AC5713" s="8"/>
    </row>
    <row r="5714" spans="29:29" x14ac:dyDescent="0.25">
      <c r="AC5714" s="8"/>
    </row>
    <row r="5715" spans="29:29" x14ac:dyDescent="0.25">
      <c r="AC5715" s="8"/>
    </row>
    <row r="5716" spans="29:29" x14ac:dyDescent="0.25">
      <c r="AC5716" s="8"/>
    </row>
    <row r="5717" spans="29:29" x14ac:dyDescent="0.25">
      <c r="AC5717" s="8"/>
    </row>
    <row r="5718" spans="29:29" x14ac:dyDescent="0.25">
      <c r="AC5718" s="8"/>
    </row>
    <row r="5719" spans="29:29" x14ac:dyDescent="0.25">
      <c r="AC5719" s="8"/>
    </row>
    <row r="5720" spans="29:29" x14ac:dyDescent="0.25">
      <c r="AC5720" s="8"/>
    </row>
    <row r="5721" spans="29:29" x14ac:dyDescent="0.25">
      <c r="AC5721" s="8"/>
    </row>
    <row r="5722" spans="29:29" x14ac:dyDescent="0.25">
      <c r="AC5722" s="8"/>
    </row>
    <row r="5723" spans="29:29" x14ac:dyDescent="0.25">
      <c r="AC5723" s="8"/>
    </row>
    <row r="5724" spans="29:29" x14ac:dyDescent="0.25">
      <c r="AC5724" s="8"/>
    </row>
    <row r="5725" spans="29:29" x14ac:dyDescent="0.25">
      <c r="AC5725" s="8"/>
    </row>
    <row r="5726" spans="29:29" x14ac:dyDescent="0.25">
      <c r="AC5726" s="8"/>
    </row>
    <row r="5727" spans="29:29" x14ac:dyDescent="0.25">
      <c r="AC5727" s="8"/>
    </row>
    <row r="5728" spans="29:29" x14ac:dyDescent="0.25">
      <c r="AC5728" s="8"/>
    </row>
    <row r="5729" spans="29:29" x14ac:dyDescent="0.25">
      <c r="AC5729" s="8"/>
    </row>
    <row r="5730" spans="29:29" x14ac:dyDescent="0.25">
      <c r="AC5730" s="8"/>
    </row>
    <row r="5731" spans="29:29" x14ac:dyDescent="0.25">
      <c r="AC5731" s="8"/>
    </row>
    <row r="5732" spans="29:29" x14ac:dyDescent="0.25">
      <c r="AC5732" s="8"/>
    </row>
    <row r="5733" spans="29:29" x14ac:dyDescent="0.25">
      <c r="AC5733" s="8"/>
    </row>
    <row r="5734" spans="29:29" x14ac:dyDescent="0.25">
      <c r="AC5734" s="8"/>
    </row>
    <row r="5735" spans="29:29" x14ac:dyDescent="0.25">
      <c r="AC5735" s="8"/>
    </row>
    <row r="5736" spans="29:29" x14ac:dyDescent="0.25">
      <c r="AC5736" s="8"/>
    </row>
    <row r="5737" spans="29:29" x14ac:dyDescent="0.25">
      <c r="AC5737" s="8"/>
    </row>
    <row r="5738" spans="29:29" x14ac:dyDescent="0.25">
      <c r="AC5738" s="8"/>
    </row>
    <row r="5739" spans="29:29" x14ac:dyDescent="0.25">
      <c r="AC5739" s="8"/>
    </row>
    <row r="5740" spans="29:29" x14ac:dyDescent="0.25">
      <c r="AC5740" s="8"/>
    </row>
    <row r="5741" spans="29:29" x14ac:dyDescent="0.25">
      <c r="AC5741" s="8"/>
    </row>
    <row r="5742" spans="29:29" x14ac:dyDescent="0.25">
      <c r="AC5742" s="8"/>
    </row>
    <row r="5743" spans="29:29" x14ac:dyDescent="0.25">
      <c r="AC5743" s="8"/>
    </row>
    <row r="5744" spans="29:29" x14ac:dyDescent="0.25">
      <c r="AC5744" s="8"/>
    </row>
    <row r="5745" spans="29:29" x14ac:dyDescent="0.25">
      <c r="AC5745" s="8"/>
    </row>
    <row r="5746" spans="29:29" x14ac:dyDescent="0.25">
      <c r="AC5746" s="8"/>
    </row>
    <row r="5747" spans="29:29" x14ac:dyDescent="0.25">
      <c r="AC5747" s="8"/>
    </row>
    <row r="5748" spans="29:29" x14ac:dyDescent="0.25">
      <c r="AC5748" s="8"/>
    </row>
    <row r="5749" spans="29:29" x14ac:dyDescent="0.25">
      <c r="AC5749" s="8"/>
    </row>
    <row r="5750" spans="29:29" x14ac:dyDescent="0.25">
      <c r="AC5750" s="8"/>
    </row>
    <row r="5751" spans="29:29" x14ac:dyDescent="0.25">
      <c r="AC5751" s="8"/>
    </row>
    <row r="5752" spans="29:29" x14ac:dyDescent="0.25">
      <c r="AC5752" s="8"/>
    </row>
    <row r="5753" spans="29:29" x14ac:dyDescent="0.25">
      <c r="AC5753" s="8"/>
    </row>
    <row r="5754" spans="29:29" x14ac:dyDescent="0.25">
      <c r="AC5754" s="8"/>
    </row>
    <row r="5755" spans="29:29" x14ac:dyDescent="0.25">
      <c r="AC5755" s="8"/>
    </row>
    <row r="5756" spans="29:29" x14ac:dyDescent="0.25">
      <c r="AC5756" s="8"/>
    </row>
    <row r="5757" spans="29:29" x14ac:dyDescent="0.25">
      <c r="AC5757" s="8"/>
    </row>
    <row r="5758" spans="29:29" x14ac:dyDescent="0.25">
      <c r="AC5758" s="8"/>
    </row>
    <row r="5759" spans="29:29" x14ac:dyDescent="0.25">
      <c r="AC5759" s="8"/>
    </row>
    <row r="5760" spans="29:29" x14ac:dyDescent="0.25">
      <c r="AC5760" s="8"/>
    </row>
    <row r="5761" spans="29:29" x14ac:dyDescent="0.25">
      <c r="AC5761" s="8"/>
    </row>
    <row r="5762" spans="29:29" x14ac:dyDescent="0.25">
      <c r="AC5762" s="8"/>
    </row>
    <row r="5763" spans="29:29" x14ac:dyDescent="0.25">
      <c r="AC5763" s="8"/>
    </row>
    <row r="5764" spans="29:29" x14ac:dyDescent="0.25">
      <c r="AC5764" s="8"/>
    </row>
    <row r="5765" spans="29:29" x14ac:dyDescent="0.25">
      <c r="AC5765" s="8"/>
    </row>
    <row r="5766" spans="29:29" x14ac:dyDescent="0.25">
      <c r="AC5766" s="8"/>
    </row>
    <row r="5767" spans="29:29" x14ac:dyDescent="0.25">
      <c r="AC5767" s="8"/>
    </row>
    <row r="5768" spans="29:29" x14ac:dyDescent="0.25">
      <c r="AC5768" s="8"/>
    </row>
    <row r="5769" spans="29:29" x14ac:dyDescent="0.25">
      <c r="AC5769" s="8"/>
    </row>
    <row r="5770" spans="29:29" x14ac:dyDescent="0.25">
      <c r="AC5770" s="8"/>
    </row>
    <row r="5771" spans="29:29" x14ac:dyDescent="0.25">
      <c r="AC5771" s="8"/>
    </row>
    <row r="5772" spans="29:29" x14ac:dyDescent="0.25">
      <c r="AC5772" s="8"/>
    </row>
    <row r="5773" spans="29:29" x14ac:dyDescent="0.25">
      <c r="AC5773" s="8"/>
    </row>
    <row r="5774" spans="29:29" x14ac:dyDescent="0.25">
      <c r="AC5774" s="8"/>
    </row>
    <row r="5775" spans="29:29" x14ac:dyDescent="0.25">
      <c r="AC5775" s="8"/>
    </row>
    <row r="5776" spans="29:29" x14ac:dyDescent="0.25">
      <c r="AC5776" s="8"/>
    </row>
    <row r="5777" spans="29:29" x14ac:dyDescent="0.25">
      <c r="AC5777" s="8"/>
    </row>
    <row r="5778" spans="29:29" x14ac:dyDescent="0.25">
      <c r="AC5778" s="8"/>
    </row>
    <row r="5779" spans="29:29" x14ac:dyDescent="0.25">
      <c r="AC5779" s="8"/>
    </row>
    <row r="5780" spans="29:29" x14ac:dyDescent="0.25">
      <c r="AC5780" s="8"/>
    </row>
    <row r="5781" spans="29:29" x14ac:dyDescent="0.25">
      <c r="AC5781" s="8"/>
    </row>
    <row r="5782" spans="29:29" x14ac:dyDescent="0.25">
      <c r="AC5782" s="8"/>
    </row>
    <row r="5783" spans="29:29" x14ac:dyDescent="0.25">
      <c r="AC5783" s="8"/>
    </row>
    <row r="5784" spans="29:29" x14ac:dyDescent="0.25">
      <c r="AC5784" s="8"/>
    </row>
    <row r="5785" spans="29:29" x14ac:dyDescent="0.25">
      <c r="AC5785" s="8"/>
    </row>
    <row r="5786" spans="29:29" x14ac:dyDescent="0.25">
      <c r="AC5786" s="8"/>
    </row>
    <row r="5787" spans="29:29" x14ac:dyDescent="0.25">
      <c r="AC5787" s="8"/>
    </row>
    <row r="5788" spans="29:29" x14ac:dyDescent="0.25">
      <c r="AC5788" s="8"/>
    </row>
    <row r="5789" spans="29:29" x14ac:dyDescent="0.25">
      <c r="AC5789" s="8"/>
    </row>
    <row r="5790" spans="29:29" x14ac:dyDescent="0.25">
      <c r="AC5790" s="8"/>
    </row>
    <row r="5791" spans="29:29" x14ac:dyDescent="0.25">
      <c r="AC5791" s="8"/>
    </row>
    <row r="5792" spans="29:29" x14ac:dyDescent="0.25">
      <c r="AC5792" s="8"/>
    </row>
    <row r="5793" spans="29:29" x14ac:dyDescent="0.25">
      <c r="AC5793" s="8"/>
    </row>
    <row r="5794" spans="29:29" x14ac:dyDescent="0.25">
      <c r="AC5794" s="8"/>
    </row>
    <row r="5795" spans="29:29" x14ac:dyDescent="0.25">
      <c r="AC5795" s="8"/>
    </row>
    <row r="5796" spans="29:29" x14ac:dyDescent="0.25">
      <c r="AC5796" s="8"/>
    </row>
    <row r="5797" spans="29:29" x14ac:dyDescent="0.25">
      <c r="AC5797" s="8"/>
    </row>
    <row r="5798" spans="29:29" x14ac:dyDescent="0.25">
      <c r="AC5798" s="8"/>
    </row>
    <row r="5799" spans="29:29" x14ac:dyDescent="0.25">
      <c r="AC5799" s="8"/>
    </row>
    <row r="5800" spans="29:29" x14ac:dyDescent="0.25">
      <c r="AC5800" s="8"/>
    </row>
    <row r="5801" spans="29:29" x14ac:dyDescent="0.25">
      <c r="AC5801" s="8"/>
    </row>
    <row r="5802" spans="29:29" x14ac:dyDescent="0.25">
      <c r="AC5802" s="8"/>
    </row>
    <row r="5803" spans="29:29" x14ac:dyDescent="0.25">
      <c r="AC5803" s="8"/>
    </row>
    <row r="5804" spans="29:29" x14ac:dyDescent="0.25">
      <c r="AC5804" s="8"/>
    </row>
    <row r="5805" spans="29:29" x14ac:dyDescent="0.25">
      <c r="AC5805" s="8"/>
    </row>
    <row r="5806" spans="29:29" x14ac:dyDescent="0.25">
      <c r="AC5806" s="8"/>
    </row>
    <row r="5807" spans="29:29" x14ac:dyDescent="0.25">
      <c r="AC5807" s="8"/>
    </row>
    <row r="5808" spans="29:29" x14ac:dyDescent="0.25">
      <c r="AC5808" s="8"/>
    </row>
    <row r="5809" spans="29:29" x14ac:dyDescent="0.25">
      <c r="AC5809" s="8"/>
    </row>
    <row r="5810" spans="29:29" x14ac:dyDescent="0.25">
      <c r="AC5810" s="8"/>
    </row>
    <row r="5811" spans="29:29" x14ac:dyDescent="0.25">
      <c r="AC5811" s="8"/>
    </row>
    <row r="5812" spans="29:29" x14ac:dyDescent="0.25">
      <c r="AC5812" s="8"/>
    </row>
    <row r="5813" spans="29:29" x14ac:dyDescent="0.25">
      <c r="AC5813" s="8"/>
    </row>
    <row r="5814" spans="29:29" x14ac:dyDescent="0.25">
      <c r="AC5814" s="8"/>
    </row>
    <row r="5815" spans="29:29" x14ac:dyDescent="0.25">
      <c r="AC5815" s="8"/>
    </row>
    <row r="5816" spans="29:29" x14ac:dyDescent="0.25">
      <c r="AC5816" s="8"/>
    </row>
    <row r="5817" spans="29:29" x14ac:dyDescent="0.25">
      <c r="AC5817" s="8"/>
    </row>
    <row r="5818" spans="29:29" x14ac:dyDescent="0.25">
      <c r="AC5818" s="8"/>
    </row>
    <row r="5819" spans="29:29" x14ac:dyDescent="0.25">
      <c r="AC5819" s="8"/>
    </row>
    <row r="5820" spans="29:29" x14ac:dyDescent="0.25">
      <c r="AC5820" s="8"/>
    </row>
    <row r="5821" spans="29:29" x14ac:dyDescent="0.25">
      <c r="AC5821" s="8"/>
    </row>
    <row r="5822" spans="29:29" x14ac:dyDescent="0.25">
      <c r="AC5822" s="8"/>
    </row>
    <row r="5823" spans="29:29" x14ac:dyDescent="0.25">
      <c r="AC5823" s="8"/>
    </row>
    <row r="5824" spans="29:29" x14ac:dyDescent="0.25">
      <c r="AC5824" s="8"/>
    </row>
    <row r="5825" spans="29:29" x14ac:dyDescent="0.25">
      <c r="AC5825" s="8"/>
    </row>
    <row r="5826" spans="29:29" x14ac:dyDescent="0.25">
      <c r="AC5826" s="8"/>
    </row>
    <row r="5827" spans="29:29" x14ac:dyDescent="0.25">
      <c r="AC5827" s="8"/>
    </row>
    <row r="5828" spans="29:29" x14ac:dyDescent="0.25">
      <c r="AC5828" s="8"/>
    </row>
    <row r="5829" spans="29:29" x14ac:dyDescent="0.25">
      <c r="AC5829" s="8"/>
    </row>
    <row r="5830" spans="29:29" x14ac:dyDescent="0.25">
      <c r="AC5830" s="8"/>
    </row>
    <row r="5831" spans="29:29" x14ac:dyDescent="0.25">
      <c r="AC5831" s="8"/>
    </row>
    <row r="5832" spans="29:29" x14ac:dyDescent="0.25">
      <c r="AC5832" s="8"/>
    </row>
    <row r="5833" spans="29:29" x14ac:dyDescent="0.25">
      <c r="AC5833" s="8"/>
    </row>
    <row r="5834" spans="29:29" x14ac:dyDescent="0.25">
      <c r="AC5834" s="8"/>
    </row>
    <row r="5835" spans="29:29" x14ac:dyDescent="0.25">
      <c r="AC5835" s="8"/>
    </row>
    <row r="5836" spans="29:29" x14ac:dyDescent="0.25">
      <c r="AC5836" s="8"/>
    </row>
    <row r="5837" spans="29:29" x14ac:dyDescent="0.25">
      <c r="AC5837" s="8"/>
    </row>
    <row r="5838" spans="29:29" x14ac:dyDescent="0.25">
      <c r="AC5838" s="8"/>
    </row>
    <row r="5839" spans="29:29" x14ac:dyDescent="0.25">
      <c r="AC5839" s="8"/>
    </row>
    <row r="5840" spans="29:29" x14ac:dyDescent="0.25">
      <c r="AC5840" s="8"/>
    </row>
    <row r="5841" spans="29:29" x14ac:dyDescent="0.25">
      <c r="AC5841" s="8"/>
    </row>
    <row r="5842" spans="29:29" x14ac:dyDescent="0.25">
      <c r="AC5842" s="8"/>
    </row>
    <row r="5843" spans="29:29" x14ac:dyDescent="0.25">
      <c r="AC5843" s="8"/>
    </row>
    <row r="5844" spans="29:29" x14ac:dyDescent="0.25">
      <c r="AC5844" s="8"/>
    </row>
    <row r="5845" spans="29:29" x14ac:dyDescent="0.25">
      <c r="AC5845" s="8"/>
    </row>
    <row r="5846" spans="29:29" x14ac:dyDescent="0.25">
      <c r="AC5846" s="8"/>
    </row>
    <row r="5847" spans="29:29" x14ac:dyDescent="0.25">
      <c r="AC5847" s="8"/>
    </row>
    <row r="5848" spans="29:29" x14ac:dyDescent="0.25">
      <c r="AC5848" s="8"/>
    </row>
    <row r="5849" spans="29:29" x14ac:dyDescent="0.25">
      <c r="AC5849" s="8"/>
    </row>
    <row r="5850" spans="29:29" x14ac:dyDescent="0.25">
      <c r="AC5850" s="8"/>
    </row>
    <row r="5851" spans="29:29" x14ac:dyDescent="0.25">
      <c r="AC5851" s="8"/>
    </row>
    <row r="5852" spans="29:29" x14ac:dyDescent="0.25">
      <c r="AC5852" s="8"/>
    </row>
    <row r="5853" spans="29:29" x14ac:dyDescent="0.25">
      <c r="AC5853" s="8"/>
    </row>
    <row r="5854" spans="29:29" x14ac:dyDescent="0.25">
      <c r="AC5854" s="8"/>
    </row>
    <row r="5855" spans="29:29" x14ac:dyDescent="0.25">
      <c r="AC5855" s="8"/>
    </row>
    <row r="5856" spans="29:29" x14ac:dyDescent="0.25">
      <c r="AC5856" s="8"/>
    </row>
    <row r="5857" spans="29:29" x14ac:dyDescent="0.25">
      <c r="AC5857" s="8"/>
    </row>
    <row r="5858" spans="29:29" x14ac:dyDescent="0.25">
      <c r="AC5858" s="8"/>
    </row>
    <row r="5859" spans="29:29" x14ac:dyDescent="0.25">
      <c r="AC5859" s="8"/>
    </row>
    <row r="5860" spans="29:29" x14ac:dyDescent="0.25">
      <c r="AC5860" s="8"/>
    </row>
    <row r="5861" spans="29:29" x14ac:dyDescent="0.25">
      <c r="AC5861" s="8"/>
    </row>
    <row r="5862" spans="29:29" x14ac:dyDescent="0.25">
      <c r="AC5862" s="8"/>
    </row>
    <row r="5863" spans="29:29" x14ac:dyDescent="0.25">
      <c r="AC5863" s="8"/>
    </row>
    <row r="5864" spans="29:29" x14ac:dyDescent="0.25">
      <c r="AC5864" s="8"/>
    </row>
    <row r="5865" spans="29:29" x14ac:dyDescent="0.25">
      <c r="AC5865" s="8"/>
    </row>
    <row r="5866" spans="29:29" x14ac:dyDescent="0.25">
      <c r="AC5866" s="8"/>
    </row>
    <row r="5867" spans="29:29" x14ac:dyDescent="0.25">
      <c r="AC5867" s="8"/>
    </row>
    <row r="5868" spans="29:29" x14ac:dyDescent="0.25">
      <c r="AC5868" s="8"/>
    </row>
    <row r="5869" spans="29:29" x14ac:dyDescent="0.25">
      <c r="AC5869" s="8"/>
    </row>
    <row r="5870" spans="29:29" x14ac:dyDescent="0.25">
      <c r="AC5870" s="8"/>
    </row>
    <row r="5871" spans="29:29" x14ac:dyDescent="0.25">
      <c r="AC5871" s="8"/>
    </row>
    <row r="5872" spans="29:29" x14ac:dyDescent="0.25">
      <c r="AC5872" s="8"/>
    </row>
    <row r="5873" spans="29:29" x14ac:dyDescent="0.25">
      <c r="AC5873" s="8"/>
    </row>
    <row r="5874" spans="29:29" x14ac:dyDescent="0.25">
      <c r="AC5874" s="8"/>
    </row>
    <row r="5875" spans="29:29" x14ac:dyDescent="0.25">
      <c r="AC5875" s="8"/>
    </row>
    <row r="5876" spans="29:29" x14ac:dyDescent="0.25">
      <c r="AC5876" s="8"/>
    </row>
    <row r="5877" spans="29:29" x14ac:dyDescent="0.25">
      <c r="AC5877" s="8"/>
    </row>
    <row r="5878" spans="29:29" x14ac:dyDescent="0.25">
      <c r="AC5878" s="8"/>
    </row>
    <row r="5879" spans="29:29" x14ac:dyDescent="0.25">
      <c r="AC5879" s="8"/>
    </row>
    <row r="5880" spans="29:29" x14ac:dyDescent="0.25">
      <c r="AC5880" s="8"/>
    </row>
    <row r="5881" spans="29:29" x14ac:dyDescent="0.25">
      <c r="AC5881" s="8"/>
    </row>
    <row r="5882" spans="29:29" x14ac:dyDescent="0.25">
      <c r="AC5882" s="8"/>
    </row>
    <row r="5883" spans="29:29" x14ac:dyDescent="0.25">
      <c r="AC5883" s="8"/>
    </row>
    <row r="5884" spans="29:29" x14ac:dyDescent="0.25">
      <c r="AC5884" s="8"/>
    </row>
    <row r="5885" spans="29:29" x14ac:dyDescent="0.25">
      <c r="AC5885" s="8"/>
    </row>
    <row r="5886" spans="29:29" x14ac:dyDescent="0.25">
      <c r="AC5886" s="8"/>
    </row>
    <row r="5887" spans="29:29" x14ac:dyDescent="0.25">
      <c r="AC5887" s="8"/>
    </row>
    <row r="5888" spans="29:29" x14ac:dyDescent="0.25">
      <c r="AC5888" s="8"/>
    </row>
    <row r="5889" spans="29:29" x14ac:dyDescent="0.25">
      <c r="AC5889" s="8"/>
    </row>
    <row r="5890" spans="29:29" x14ac:dyDescent="0.25">
      <c r="AC5890" s="8"/>
    </row>
    <row r="5891" spans="29:29" x14ac:dyDescent="0.25">
      <c r="AC5891" s="8"/>
    </row>
    <row r="5892" spans="29:29" x14ac:dyDescent="0.25">
      <c r="AC5892" s="8"/>
    </row>
    <row r="5893" spans="29:29" x14ac:dyDescent="0.25">
      <c r="AC5893" s="8"/>
    </row>
    <row r="5894" spans="29:29" x14ac:dyDescent="0.25">
      <c r="AC5894" s="8"/>
    </row>
    <row r="5895" spans="29:29" x14ac:dyDescent="0.25">
      <c r="AC5895" s="8"/>
    </row>
    <row r="5896" spans="29:29" x14ac:dyDescent="0.25">
      <c r="AC5896" s="8"/>
    </row>
    <row r="5897" spans="29:29" x14ac:dyDescent="0.25">
      <c r="AC5897" s="8"/>
    </row>
    <row r="5898" spans="29:29" x14ac:dyDescent="0.25">
      <c r="AC5898" s="8"/>
    </row>
    <row r="5899" spans="29:29" x14ac:dyDescent="0.25">
      <c r="AC5899" s="8"/>
    </row>
    <row r="5900" spans="29:29" x14ac:dyDescent="0.25">
      <c r="AC5900" s="8"/>
    </row>
    <row r="5901" spans="29:29" x14ac:dyDescent="0.25">
      <c r="AC5901" s="8"/>
    </row>
    <row r="5902" spans="29:29" x14ac:dyDescent="0.25">
      <c r="AC5902" s="8"/>
    </row>
    <row r="5903" spans="29:29" x14ac:dyDescent="0.25">
      <c r="AC5903" s="8"/>
    </row>
    <row r="5904" spans="29:29" x14ac:dyDescent="0.25">
      <c r="AC5904" s="8"/>
    </row>
    <row r="5905" spans="29:29" x14ac:dyDescent="0.25">
      <c r="AC5905" s="8"/>
    </row>
    <row r="5906" spans="29:29" x14ac:dyDescent="0.25">
      <c r="AC5906" s="8"/>
    </row>
    <row r="5907" spans="29:29" x14ac:dyDescent="0.25">
      <c r="AC5907" s="8"/>
    </row>
    <row r="5908" spans="29:29" x14ac:dyDescent="0.25">
      <c r="AC5908" s="8"/>
    </row>
    <row r="5909" spans="29:29" x14ac:dyDescent="0.25">
      <c r="AC5909" s="8"/>
    </row>
    <row r="5910" spans="29:29" x14ac:dyDescent="0.25">
      <c r="AC5910" s="8"/>
    </row>
    <row r="5911" spans="29:29" x14ac:dyDescent="0.25">
      <c r="AC5911" s="8"/>
    </row>
    <row r="5912" spans="29:29" x14ac:dyDescent="0.25">
      <c r="AC5912" s="8"/>
    </row>
    <row r="5913" spans="29:29" x14ac:dyDescent="0.25">
      <c r="AC5913" s="8"/>
    </row>
    <row r="5914" spans="29:29" x14ac:dyDescent="0.25">
      <c r="AC5914" s="8"/>
    </row>
    <row r="5915" spans="29:29" x14ac:dyDescent="0.25">
      <c r="AC5915" s="8"/>
    </row>
    <row r="5916" spans="29:29" x14ac:dyDescent="0.25">
      <c r="AC5916" s="8"/>
    </row>
    <row r="5917" spans="29:29" x14ac:dyDescent="0.25">
      <c r="AC5917" s="8"/>
    </row>
    <row r="5918" spans="29:29" x14ac:dyDescent="0.25">
      <c r="AC5918" s="8"/>
    </row>
    <row r="5919" spans="29:29" x14ac:dyDescent="0.25">
      <c r="AC5919" s="8"/>
    </row>
    <row r="5920" spans="29:29" x14ac:dyDescent="0.25">
      <c r="AC5920" s="8"/>
    </row>
    <row r="5921" spans="29:29" x14ac:dyDescent="0.25">
      <c r="AC5921" s="8"/>
    </row>
    <row r="5922" spans="29:29" x14ac:dyDescent="0.25">
      <c r="AC5922" s="8"/>
    </row>
    <row r="5923" spans="29:29" x14ac:dyDescent="0.25">
      <c r="AC5923" s="8"/>
    </row>
    <row r="5924" spans="29:29" x14ac:dyDescent="0.25">
      <c r="AC5924" s="8"/>
    </row>
    <row r="5925" spans="29:29" x14ac:dyDescent="0.25">
      <c r="AC5925" s="8"/>
    </row>
    <row r="5926" spans="29:29" x14ac:dyDescent="0.25">
      <c r="AC5926" s="8"/>
    </row>
    <row r="5927" spans="29:29" x14ac:dyDescent="0.25">
      <c r="AC5927" s="8"/>
    </row>
    <row r="5928" spans="29:29" x14ac:dyDescent="0.25">
      <c r="AC5928" s="8"/>
    </row>
    <row r="5929" spans="29:29" x14ac:dyDescent="0.25">
      <c r="AC5929" s="8"/>
    </row>
    <row r="5930" spans="29:29" x14ac:dyDescent="0.25">
      <c r="AC5930" s="8"/>
    </row>
    <row r="5931" spans="29:29" x14ac:dyDescent="0.25">
      <c r="AC5931" s="8"/>
    </row>
    <row r="5932" spans="29:29" x14ac:dyDescent="0.25">
      <c r="AC5932" s="8"/>
    </row>
    <row r="5933" spans="29:29" x14ac:dyDescent="0.25">
      <c r="AC5933" s="8"/>
    </row>
    <row r="5934" spans="29:29" x14ac:dyDescent="0.25">
      <c r="AC5934" s="8"/>
    </row>
    <row r="5935" spans="29:29" x14ac:dyDescent="0.25">
      <c r="AC5935" s="8"/>
    </row>
    <row r="5936" spans="29:29" x14ac:dyDescent="0.25">
      <c r="AC5936" s="8"/>
    </row>
    <row r="5937" spans="29:29" x14ac:dyDescent="0.25">
      <c r="AC5937" s="8"/>
    </row>
    <row r="5938" spans="29:29" x14ac:dyDescent="0.25">
      <c r="AC5938" s="8"/>
    </row>
    <row r="5939" spans="29:29" x14ac:dyDescent="0.25">
      <c r="AC5939" s="8"/>
    </row>
    <row r="5940" spans="29:29" x14ac:dyDescent="0.25">
      <c r="AC5940" s="8"/>
    </row>
    <row r="5941" spans="29:29" x14ac:dyDescent="0.25">
      <c r="AC5941" s="8"/>
    </row>
    <row r="5942" spans="29:29" x14ac:dyDescent="0.25">
      <c r="AC5942" s="8"/>
    </row>
    <row r="5943" spans="29:29" x14ac:dyDescent="0.25">
      <c r="AC5943" s="8"/>
    </row>
    <row r="5944" spans="29:29" x14ac:dyDescent="0.25">
      <c r="AC5944" s="8"/>
    </row>
    <row r="5945" spans="29:29" x14ac:dyDescent="0.25">
      <c r="AC5945" s="8"/>
    </row>
    <row r="5946" spans="29:29" x14ac:dyDescent="0.25">
      <c r="AC5946" s="8"/>
    </row>
    <row r="5947" spans="29:29" x14ac:dyDescent="0.25">
      <c r="AC5947" s="8"/>
    </row>
    <row r="5948" spans="29:29" x14ac:dyDescent="0.25">
      <c r="AC5948" s="8"/>
    </row>
    <row r="5949" spans="29:29" x14ac:dyDescent="0.25">
      <c r="AC5949" s="8"/>
    </row>
    <row r="5950" spans="29:29" x14ac:dyDescent="0.25">
      <c r="AC5950" s="8"/>
    </row>
    <row r="5951" spans="29:29" x14ac:dyDescent="0.25">
      <c r="AC5951" s="8"/>
    </row>
    <row r="5952" spans="29:29" x14ac:dyDescent="0.25">
      <c r="AC5952" s="8"/>
    </row>
    <row r="5953" spans="29:29" x14ac:dyDescent="0.25">
      <c r="AC5953" s="8"/>
    </row>
    <row r="5954" spans="29:29" x14ac:dyDescent="0.25">
      <c r="AC5954" s="8"/>
    </row>
    <row r="5955" spans="29:29" x14ac:dyDescent="0.25">
      <c r="AC5955" s="8"/>
    </row>
    <row r="5956" spans="29:29" x14ac:dyDescent="0.25">
      <c r="AC5956" s="8"/>
    </row>
    <row r="5957" spans="29:29" x14ac:dyDescent="0.25">
      <c r="AC5957" s="8"/>
    </row>
    <row r="5958" spans="29:29" x14ac:dyDescent="0.25">
      <c r="AC5958" s="8"/>
    </row>
    <row r="5959" spans="29:29" x14ac:dyDescent="0.25">
      <c r="AC5959" s="8"/>
    </row>
    <row r="5960" spans="29:29" x14ac:dyDescent="0.25">
      <c r="AC5960" s="8"/>
    </row>
    <row r="5961" spans="29:29" x14ac:dyDescent="0.25">
      <c r="AC5961" s="8"/>
    </row>
    <row r="5962" spans="29:29" x14ac:dyDescent="0.25">
      <c r="AC5962" s="8"/>
    </row>
    <row r="5963" spans="29:29" x14ac:dyDescent="0.25">
      <c r="AC5963" s="8"/>
    </row>
    <row r="5964" spans="29:29" x14ac:dyDescent="0.25">
      <c r="AC5964" s="8"/>
    </row>
    <row r="5965" spans="29:29" x14ac:dyDescent="0.25">
      <c r="AC5965" s="8"/>
    </row>
    <row r="5966" spans="29:29" x14ac:dyDescent="0.25">
      <c r="AC5966" s="8"/>
    </row>
    <row r="5967" spans="29:29" x14ac:dyDescent="0.25">
      <c r="AC5967" s="8"/>
    </row>
    <row r="5968" spans="29:29" x14ac:dyDescent="0.25">
      <c r="AC5968" s="8"/>
    </row>
    <row r="5969" spans="29:29" x14ac:dyDescent="0.25">
      <c r="AC5969" s="8"/>
    </row>
    <row r="5970" spans="29:29" x14ac:dyDescent="0.25">
      <c r="AC5970" s="8"/>
    </row>
    <row r="5971" spans="29:29" x14ac:dyDescent="0.25">
      <c r="AC5971" s="8"/>
    </row>
    <row r="5972" spans="29:29" x14ac:dyDescent="0.25">
      <c r="AC5972" s="8"/>
    </row>
    <row r="5973" spans="29:29" x14ac:dyDescent="0.25">
      <c r="AC5973" s="8"/>
    </row>
    <row r="5974" spans="29:29" x14ac:dyDescent="0.25">
      <c r="AC5974" s="8"/>
    </row>
    <row r="5975" spans="29:29" x14ac:dyDescent="0.25">
      <c r="AC5975" s="8"/>
    </row>
    <row r="5976" spans="29:29" x14ac:dyDescent="0.25">
      <c r="AC5976" s="8"/>
    </row>
    <row r="5977" spans="29:29" x14ac:dyDescent="0.25">
      <c r="AC5977" s="8"/>
    </row>
    <row r="5978" spans="29:29" x14ac:dyDescent="0.25">
      <c r="AC5978" s="8"/>
    </row>
    <row r="5979" spans="29:29" x14ac:dyDescent="0.25">
      <c r="AC5979" s="8"/>
    </row>
    <row r="5980" spans="29:29" x14ac:dyDescent="0.25">
      <c r="AC5980" s="8"/>
    </row>
    <row r="5981" spans="29:29" x14ac:dyDescent="0.25">
      <c r="AC5981" s="8"/>
    </row>
    <row r="5982" spans="29:29" x14ac:dyDescent="0.25">
      <c r="AC5982" s="8"/>
    </row>
    <row r="5983" spans="29:29" x14ac:dyDescent="0.25">
      <c r="AC5983" s="8"/>
    </row>
    <row r="5984" spans="29:29" x14ac:dyDescent="0.25">
      <c r="AC5984" s="8"/>
    </row>
    <row r="5985" spans="29:29" x14ac:dyDescent="0.25">
      <c r="AC5985" s="8"/>
    </row>
    <row r="5986" spans="29:29" x14ac:dyDescent="0.25">
      <c r="AC5986" s="8"/>
    </row>
    <row r="5987" spans="29:29" x14ac:dyDescent="0.25">
      <c r="AC5987" s="8"/>
    </row>
    <row r="5988" spans="29:29" x14ac:dyDescent="0.25">
      <c r="AC5988" s="8"/>
    </row>
    <row r="5989" spans="29:29" x14ac:dyDescent="0.25">
      <c r="AC5989" s="8"/>
    </row>
    <row r="5990" spans="29:29" x14ac:dyDescent="0.25">
      <c r="AC5990" s="8"/>
    </row>
    <row r="5991" spans="29:29" x14ac:dyDescent="0.25">
      <c r="AC5991" s="8"/>
    </row>
    <row r="5992" spans="29:29" x14ac:dyDescent="0.25">
      <c r="AC5992" s="8"/>
    </row>
    <row r="5993" spans="29:29" x14ac:dyDescent="0.25">
      <c r="AC5993" s="8"/>
    </row>
    <row r="5994" spans="29:29" x14ac:dyDescent="0.25">
      <c r="AC5994" s="8"/>
    </row>
    <row r="5995" spans="29:29" x14ac:dyDescent="0.25">
      <c r="AC5995" s="8"/>
    </row>
    <row r="5996" spans="29:29" x14ac:dyDescent="0.25">
      <c r="AC5996" s="8"/>
    </row>
    <row r="5997" spans="29:29" x14ac:dyDescent="0.25">
      <c r="AC5997" s="8"/>
    </row>
    <row r="5998" spans="29:29" x14ac:dyDescent="0.25">
      <c r="AC5998" s="8"/>
    </row>
    <row r="5999" spans="29:29" x14ac:dyDescent="0.25">
      <c r="AC5999" s="8"/>
    </row>
    <row r="6000" spans="29:29" x14ac:dyDescent="0.25">
      <c r="AC6000" s="8"/>
    </row>
    <row r="6001" spans="29:29" x14ac:dyDescent="0.25">
      <c r="AC6001" s="8"/>
    </row>
    <row r="6002" spans="29:29" x14ac:dyDescent="0.25">
      <c r="AC6002" s="8"/>
    </row>
    <row r="6003" spans="29:29" x14ac:dyDescent="0.25">
      <c r="AC6003" s="8"/>
    </row>
    <row r="6004" spans="29:29" x14ac:dyDescent="0.25">
      <c r="AC6004" s="8"/>
    </row>
    <row r="6005" spans="29:29" x14ac:dyDescent="0.25">
      <c r="AC6005" s="8"/>
    </row>
    <row r="6006" spans="29:29" x14ac:dyDescent="0.25">
      <c r="AC6006" s="8"/>
    </row>
    <row r="6007" spans="29:29" x14ac:dyDescent="0.25">
      <c r="AC6007" s="8"/>
    </row>
    <row r="6008" spans="29:29" x14ac:dyDescent="0.25">
      <c r="AC6008" s="8"/>
    </row>
    <row r="6009" spans="29:29" x14ac:dyDescent="0.25">
      <c r="AC6009" s="8"/>
    </row>
    <row r="6010" spans="29:29" x14ac:dyDescent="0.25">
      <c r="AC6010" s="8"/>
    </row>
    <row r="6011" spans="29:29" x14ac:dyDescent="0.25">
      <c r="AC6011" s="8"/>
    </row>
    <row r="6012" spans="29:29" x14ac:dyDescent="0.25">
      <c r="AC6012" s="8"/>
    </row>
    <row r="6013" spans="29:29" x14ac:dyDescent="0.25">
      <c r="AC6013" s="8"/>
    </row>
    <row r="6014" spans="29:29" x14ac:dyDescent="0.25">
      <c r="AC6014" s="8"/>
    </row>
    <row r="6015" spans="29:29" x14ac:dyDescent="0.25">
      <c r="AC6015" s="8"/>
    </row>
    <row r="6016" spans="29:29" x14ac:dyDescent="0.25">
      <c r="AC6016" s="8"/>
    </row>
    <row r="6017" spans="29:29" x14ac:dyDescent="0.25">
      <c r="AC6017" s="8"/>
    </row>
    <row r="6018" spans="29:29" x14ac:dyDescent="0.25">
      <c r="AC6018" s="8"/>
    </row>
    <row r="6019" spans="29:29" x14ac:dyDescent="0.25">
      <c r="AC6019" s="8"/>
    </row>
    <row r="6020" spans="29:29" x14ac:dyDescent="0.25">
      <c r="AC6020" s="8"/>
    </row>
    <row r="6021" spans="29:29" x14ac:dyDescent="0.25">
      <c r="AC6021" s="8"/>
    </row>
    <row r="6022" spans="29:29" x14ac:dyDescent="0.25">
      <c r="AC6022" s="8"/>
    </row>
    <row r="6023" spans="29:29" x14ac:dyDescent="0.25">
      <c r="AC6023" s="8"/>
    </row>
    <row r="6024" spans="29:29" x14ac:dyDescent="0.25">
      <c r="AC6024" s="8"/>
    </row>
    <row r="6025" spans="29:29" x14ac:dyDescent="0.25">
      <c r="AC6025" s="8"/>
    </row>
    <row r="6026" spans="29:29" x14ac:dyDescent="0.25">
      <c r="AC6026" s="8"/>
    </row>
    <row r="6027" spans="29:29" x14ac:dyDescent="0.25">
      <c r="AC6027" s="8"/>
    </row>
    <row r="6028" spans="29:29" x14ac:dyDescent="0.25">
      <c r="AC6028" s="8"/>
    </row>
    <row r="6029" spans="29:29" x14ac:dyDescent="0.25">
      <c r="AC6029" s="8"/>
    </row>
    <row r="6030" spans="29:29" x14ac:dyDescent="0.25">
      <c r="AC6030" s="8"/>
    </row>
    <row r="6031" spans="29:29" x14ac:dyDescent="0.25">
      <c r="AC6031" s="8"/>
    </row>
    <row r="6032" spans="29:29" x14ac:dyDescent="0.25">
      <c r="AC6032" s="8"/>
    </row>
    <row r="6033" spans="29:29" x14ac:dyDescent="0.25">
      <c r="AC6033" s="8"/>
    </row>
    <row r="6034" spans="29:29" x14ac:dyDescent="0.25">
      <c r="AC6034" s="8"/>
    </row>
    <row r="6035" spans="29:29" x14ac:dyDescent="0.25">
      <c r="AC6035" s="8"/>
    </row>
    <row r="6036" spans="29:29" x14ac:dyDescent="0.25">
      <c r="AC6036" s="8"/>
    </row>
    <row r="6037" spans="29:29" x14ac:dyDescent="0.25">
      <c r="AC6037" s="8"/>
    </row>
    <row r="6038" spans="29:29" x14ac:dyDescent="0.25">
      <c r="AC6038" s="8"/>
    </row>
    <row r="6039" spans="29:29" x14ac:dyDescent="0.25">
      <c r="AC6039" s="8"/>
    </row>
    <row r="6040" spans="29:29" x14ac:dyDescent="0.25">
      <c r="AC6040" s="8"/>
    </row>
    <row r="6041" spans="29:29" x14ac:dyDescent="0.25">
      <c r="AC6041" s="8"/>
    </row>
    <row r="6042" spans="29:29" x14ac:dyDescent="0.25">
      <c r="AC6042" s="8"/>
    </row>
    <row r="6043" spans="29:29" x14ac:dyDescent="0.25">
      <c r="AC6043" s="8"/>
    </row>
    <row r="6044" spans="29:29" x14ac:dyDescent="0.25">
      <c r="AC6044" s="8"/>
    </row>
    <row r="6045" spans="29:29" x14ac:dyDescent="0.25">
      <c r="AC6045" s="8"/>
    </row>
    <row r="6046" spans="29:29" x14ac:dyDescent="0.25">
      <c r="AC6046" s="8"/>
    </row>
    <row r="6047" spans="29:29" x14ac:dyDescent="0.25">
      <c r="AC6047" s="8"/>
    </row>
    <row r="6048" spans="29:29" x14ac:dyDescent="0.25">
      <c r="AC6048" s="8"/>
    </row>
    <row r="6049" spans="29:29" x14ac:dyDescent="0.25">
      <c r="AC6049" s="8"/>
    </row>
    <row r="6050" spans="29:29" x14ac:dyDescent="0.25">
      <c r="AC6050" s="8"/>
    </row>
    <row r="6051" spans="29:29" x14ac:dyDescent="0.25">
      <c r="AC6051" s="8"/>
    </row>
    <row r="6052" spans="29:29" x14ac:dyDescent="0.25">
      <c r="AC6052" s="8"/>
    </row>
    <row r="6053" spans="29:29" x14ac:dyDescent="0.25">
      <c r="AC6053" s="8"/>
    </row>
    <row r="6054" spans="29:29" x14ac:dyDescent="0.25">
      <c r="AC6054" s="8"/>
    </row>
    <row r="6055" spans="29:29" x14ac:dyDescent="0.25">
      <c r="AC6055" s="8"/>
    </row>
    <row r="6056" spans="29:29" x14ac:dyDescent="0.25">
      <c r="AC6056" s="8"/>
    </row>
    <row r="6057" spans="29:29" x14ac:dyDescent="0.25">
      <c r="AC6057" s="8"/>
    </row>
    <row r="6058" spans="29:29" x14ac:dyDescent="0.25">
      <c r="AC6058" s="8"/>
    </row>
    <row r="6059" spans="29:29" x14ac:dyDescent="0.25">
      <c r="AC6059" s="8"/>
    </row>
    <row r="6060" spans="29:29" x14ac:dyDescent="0.25">
      <c r="AC6060" s="8"/>
    </row>
    <row r="6061" spans="29:29" x14ac:dyDescent="0.25">
      <c r="AC6061" s="8"/>
    </row>
    <row r="6062" spans="29:29" x14ac:dyDescent="0.25">
      <c r="AC6062" s="8"/>
    </row>
    <row r="6063" spans="29:29" x14ac:dyDescent="0.25">
      <c r="AC6063" s="8"/>
    </row>
    <row r="6064" spans="29:29" x14ac:dyDescent="0.25">
      <c r="AC6064" s="8"/>
    </row>
    <row r="6065" spans="29:29" x14ac:dyDescent="0.25">
      <c r="AC6065" s="8"/>
    </row>
    <row r="6066" spans="29:29" x14ac:dyDescent="0.25">
      <c r="AC6066" s="8"/>
    </row>
    <row r="6067" spans="29:29" x14ac:dyDescent="0.25">
      <c r="AC6067" s="8"/>
    </row>
    <row r="6068" spans="29:29" x14ac:dyDescent="0.25">
      <c r="AC6068" s="8"/>
    </row>
    <row r="6069" spans="29:29" x14ac:dyDescent="0.25">
      <c r="AC6069" s="8"/>
    </row>
    <row r="6070" spans="29:29" x14ac:dyDescent="0.25">
      <c r="AC6070" s="8"/>
    </row>
    <row r="6071" spans="29:29" x14ac:dyDescent="0.25">
      <c r="AC6071" s="8"/>
    </row>
    <row r="6072" spans="29:29" x14ac:dyDescent="0.25">
      <c r="AC6072" s="8"/>
    </row>
    <row r="6073" spans="29:29" x14ac:dyDescent="0.25">
      <c r="AC6073" s="8"/>
    </row>
    <row r="6074" spans="29:29" x14ac:dyDescent="0.25">
      <c r="AC6074" s="8"/>
    </row>
    <row r="6075" spans="29:29" x14ac:dyDescent="0.25">
      <c r="AC6075" s="8"/>
    </row>
    <row r="6076" spans="29:29" x14ac:dyDescent="0.25">
      <c r="AC6076" s="8"/>
    </row>
    <row r="6077" spans="29:29" x14ac:dyDescent="0.25">
      <c r="AC6077" s="8"/>
    </row>
    <row r="6078" spans="29:29" x14ac:dyDescent="0.25">
      <c r="AC6078" s="8"/>
    </row>
    <row r="6079" spans="29:29" x14ac:dyDescent="0.25">
      <c r="AC6079" s="8"/>
    </row>
    <row r="6080" spans="29:29" x14ac:dyDescent="0.25">
      <c r="AC6080" s="8"/>
    </row>
    <row r="6081" spans="29:29" x14ac:dyDescent="0.25">
      <c r="AC6081" s="8"/>
    </row>
    <row r="6082" spans="29:29" x14ac:dyDescent="0.25">
      <c r="AC6082" s="8"/>
    </row>
    <row r="6083" spans="29:29" x14ac:dyDescent="0.25">
      <c r="AC6083" s="8"/>
    </row>
    <row r="6084" spans="29:29" x14ac:dyDescent="0.25">
      <c r="AC6084" s="8"/>
    </row>
    <row r="6085" spans="29:29" x14ac:dyDescent="0.25">
      <c r="AC6085" s="8"/>
    </row>
    <row r="6086" spans="29:29" x14ac:dyDescent="0.25">
      <c r="AC6086" s="8"/>
    </row>
    <row r="6087" spans="29:29" x14ac:dyDescent="0.25">
      <c r="AC6087" s="8"/>
    </row>
    <row r="6088" spans="29:29" x14ac:dyDescent="0.25">
      <c r="AC6088" s="8"/>
    </row>
    <row r="6089" spans="29:29" x14ac:dyDescent="0.25">
      <c r="AC6089" s="8"/>
    </row>
    <row r="6090" spans="29:29" x14ac:dyDescent="0.25">
      <c r="AC6090" s="8"/>
    </row>
    <row r="6091" spans="29:29" x14ac:dyDescent="0.25">
      <c r="AC6091" s="8"/>
    </row>
    <row r="6092" spans="29:29" x14ac:dyDescent="0.25">
      <c r="AC6092" s="8"/>
    </row>
    <row r="6093" spans="29:29" x14ac:dyDescent="0.25">
      <c r="AC6093" s="8"/>
    </row>
    <row r="6094" spans="29:29" x14ac:dyDescent="0.25">
      <c r="AC6094" s="8"/>
    </row>
    <row r="6095" spans="29:29" x14ac:dyDescent="0.25">
      <c r="AC6095" s="8"/>
    </row>
    <row r="6096" spans="29:29" x14ac:dyDescent="0.25">
      <c r="AC6096" s="8"/>
    </row>
    <row r="6097" spans="29:29" x14ac:dyDescent="0.25">
      <c r="AC6097" s="8"/>
    </row>
    <row r="6098" spans="29:29" x14ac:dyDescent="0.25">
      <c r="AC6098" s="8"/>
    </row>
    <row r="6099" spans="29:29" x14ac:dyDescent="0.25">
      <c r="AC6099" s="8"/>
    </row>
    <row r="6100" spans="29:29" x14ac:dyDescent="0.25">
      <c r="AC6100" s="8"/>
    </row>
    <row r="6101" spans="29:29" x14ac:dyDescent="0.25">
      <c r="AC6101" s="8"/>
    </row>
    <row r="6102" spans="29:29" x14ac:dyDescent="0.25">
      <c r="AC6102" s="8"/>
    </row>
    <row r="6103" spans="29:29" x14ac:dyDescent="0.25">
      <c r="AC6103" s="8"/>
    </row>
    <row r="6104" spans="29:29" x14ac:dyDescent="0.25">
      <c r="AC6104" s="8"/>
    </row>
    <row r="6105" spans="29:29" x14ac:dyDescent="0.25">
      <c r="AC6105" s="8"/>
    </row>
    <row r="6106" spans="29:29" x14ac:dyDescent="0.25">
      <c r="AC6106" s="8"/>
    </row>
    <row r="6107" spans="29:29" x14ac:dyDescent="0.25">
      <c r="AC6107" s="8"/>
    </row>
    <row r="6108" spans="29:29" x14ac:dyDescent="0.25">
      <c r="AC6108" s="8"/>
    </row>
    <row r="6109" spans="29:29" x14ac:dyDescent="0.25">
      <c r="AC6109" s="8"/>
    </row>
    <row r="6110" spans="29:29" x14ac:dyDescent="0.25">
      <c r="AC6110" s="8"/>
    </row>
    <row r="6111" spans="29:29" x14ac:dyDescent="0.25">
      <c r="AC6111" s="8"/>
    </row>
    <row r="6112" spans="29:29" x14ac:dyDescent="0.25">
      <c r="AC6112" s="8"/>
    </row>
    <row r="6113" spans="29:29" x14ac:dyDescent="0.25">
      <c r="AC6113" s="8"/>
    </row>
    <row r="6114" spans="29:29" x14ac:dyDescent="0.25">
      <c r="AC6114" s="8"/>
    </row>
    <row r="6115" spans="29:29" x14ac:dyDescent="0.25">
      <c r="AC6115" s="8"/>
    </row>
    <row r="6116" spans="29:29" x14ac:dyDescent="0.25">
      <c r="AC6116" s="8"/>
    </row>
    <row r="6117" spans="29:29" x14ac:dyDescent="0.25">
      <c r="AC6117" s="8"/>
    </row>
    <row r="6118" spans="29:29" x14ac:dyDescent="0.25">
      <c r="AC6118" s="8"/>
    </row>
    <row r="6119" spans="29:29" x14ac:dyDescent="0.25">
      <c r="AC6119" s="8"/>
    </row>
    <row r="6120" spans="29:29" x14ac:dyDescent="0.25">
      <c r="AC6120" s="8"/>
    </row>
    <row r="6121" spans="29:29" x14ac:dyDescent="0.25">
      <c r="AC6121" s="8"/>
    </row>
    <row r="6122" spans="29:29" x14ac:dyDescent="0.25">
      <c r="AC6122" s="8"/>
    </row>
    <row r="6123" spans="29:29" x14ac:dyDescent="0.25">
      <c r="AC6123" s="8"/>
    </row>
    <row r="6124" spans="29:29" x14ac:dyDescent="0.25">
      <c r="AC6124" s="8"/>
    </row>
    <row r="6125" spans="29:29" x14ac:dyDescent="0.25">
      <c r="AC6125" s="8"/>
    </row>
    <row r="6126" spans="29:29" x14ac:dyDescent="0.25">
      <c r="AC6126" s="8"/>
    </row>
    <row r="6127" spans="29:29" x14ac:dyDescent="0.25">
      <c r="AC6127" s="8"/>
    </row>
    <row r="6128" spans="29:29" x14ac:dyDescent="0.25">
      <c r="AC6128" s="8"/>
    </row>
    <row r="6129" spans="29:29" x14ac:dyDescent="0.25">
      <c r="AC6129" s="8"/>
    </row>
    <row r="6130" spans="29:29" x14ac:dyDescent="0.25">
      <c r="AC6130" s="8"/>
    </row>
    <row r="6131" spans="29:29" x14ac:dyDescent="0.25">
      <c r="AC6131" s="8"/>
    </row>
    <row r="6132" spans="29:29" x14ac:dyDescent="0.25">
      <c r="AC6132" s="8"/>
    </row>
    <row r="6133" spans="29:29" x14ac:dyDescent="0.25">
      <c r="AC6133" s="8"/>
    </row>
    <row r="6134" spans="29:29" x14ac:dyDescent="0.25">
      <c r="AC6134" s="8"/>
    </row>
    <row r="6135" spans="29:29" x14ac:dyDescent="0.25">
      <c r="AC6135" s="8"/>
    </row>
    <row r="6136" spans="29:29" x14ac:dyDescent="0.25">
      <c r="AC6136" s="8"/>
    </row>
    <row r="6137" spans="29:29" x14ac:dyDescent="0.25">
      <c r="AC6137" s="8"/>
    </row>
    <row r="6138" spans="29:29" x14ac:dyDescent="0.25">
      <c r="AC6138" s="8"/>
    </row>
    <row r="6139" spans="29:29" x14ac:dyDescent="0.25">
      <c r="AC6139" s="8"/>
    </row>
    <row r="6140" spans="29:29" x14ac:dyDescent="0.25">
      <c r="AC6140" s="8"/>
    </row>
    <row r="6141" spans="29:29" x14ac:dyDescent="0.25">
      <c r="AC6141" s="8"/>
    </row>
    <row r="6142" spans="29:29" x14ac:dyDescent="0.25">
      <c r="AC6142" s="8"/>
    </row>
    <row r="6143" spans="29:29" x14ac:dyDescent="0.25">
      <c r="AC6143" s="8"/>
    </row>
    <row r="6144" spans="29:29" x14ac:dyDescent="0.25">
      <c r="AC6144" s="8"/>
    </row>
    <row r="6145" spans="29:29" x14ac:dyDescent="0.25">
      <c r="AC6145" s="8"/>
    </row>
    <row r="6146" spans="29:29" x14ac:dyDescent="0.25">
      <c r="AC6146" s="8"/>
    </row>
    <row r="6147" spans="29:29" x14ac:dyDescent="0.25">
      <c r="AC6147" s="8"/>
    </row>
    <row r="6148" spans="29:29" x14ac:dyDescent="0.25">
      <c r="AC6148" s="8"/>
    </row>
    <row r="6149" spans="29:29" x14ac:dyDescent="0.25">
      <c r="AC6149" s="8"/>
    </row>
    <row r="6150" spans="29:29" x14ac:dyDescent="0.25">
      <c r="AC6150" s="8"/>
    </row>
    <row r="6151" spans="29:29" x14ac:dyDescent="0.25">
      <c r="AC6151" s="8"/>
    </row>
    <row r="6152" spans="29:29" x14ac:dyDescent="0.25">
      <c r="AC6152" s="8"/>
    </row>
    <row r="6153" spans="29:29" x14ac:dyDescent="0.25">
      <c r="AC6153" s="8"/>
    </row>
    <row r="6154" spans="29:29" x14ac:dyDescent="0.25">
      <c r="AC6154" s="8"/>
    </row>
    <row r="6155" spans="29:29" x14ac:dyDescent="0.25">
      <c r="AC6155" s="8"/>
    </row>
    <row r="6156" spans="29:29" x14ac:dyDescent="0.25">
      <c r="AC6156" s="8"/>
    </row>
    <row r="6157" spans="29:29" x14ac:dyDescent="0.25">
      <c r="AC6157" s="8"/>
    </row>
    <row r="6158" spans="29:29" x14ac:dyDescent="0.25">
      <c r="AC6158" s="8"/>
    </row>
    <row r="6159" spans="29:29" x14ac:dyDescent="0.25">
      <c r="AC6159" s="8"/>
    </row>
    <row r="6160" spans="29:29" x14ac:dyDescent="0.25">
      <c r="AC6160" s="8"/>
    </row>
    <row r="6161" spans="29:29" x14ac:dyDescent="0.25">
      <c r="AC6161" s="8"/>
    </row>
    <row r="6162" spans="29:29" x14ac:dyDescent="0.25">
      <c r="AC6162" s="8"/>
    </row>
    <row r="6163" spans="29:29" x14ac:dyDescent="0.25">
      <c r="AC6163" s="8"/>
    </row>
    <row r="6164" spans="29:29" x14ac:dyDescent="0.25">
      <c r="AC6164" s="8"/>
    </row>
    <row r="6165" spans="29:29" x14ac:dyDescent="0.25">
      <c r="AC6165" s="8"/>
    </row>
    <row r="6166" spans="29:29" x14ac:dyDescent="0.25">
      <c r="AC6166" s="8"/>
    </row>
    <row r="6167" spans="29:29" x14ac:dyDescent="0.25">
      <c r="AC6167" s="8"/>
    </row>
    <row r="6168" spans="29:29" x14ac:dyDescent="0.25">
      <c r="AC6168" s="8"/>
    </row>
    <row r="6169" spans="29:29" x14ac:dyDescent="0.25">
      <c r="AC6169" s="8"/>
    </row>
    <row r="6170" spans="29:29" x14ac:dyDescent="0.25">
      <c r="AC6170" s="8"/>
    </row>
    <row r="6171" spans="29:29" x14ac:dyDescent="0.25">
      <c r="AC6171" s="8"/>
    </row>
    <row r="6172" spans="29:29" x14ac:dyDescent="0.25">
      <c r="AC6172" s="8"/>
    </row>
    <row r="6173" spans="29:29" x14ac:dyDescent="0.25">
      <c r="AC6173" s="8"/>
    </row>
    <row r="6174" spans="29:29" x14ac:dyDescent="0.25">
      <c r="AC6174" s="8"/>
    </row>
    <row r="6175" spans="29:29" x14ac:dyDescent="0.25">
      <c r="AC6175" s="8"/>
    </row>
    <row r="6176" spans="29:29" x14ac:dyDescent="0.25">
      <c r="AC6176" s="8"/>
    </row>
    <row r="6177" spans="29:29" x14ac:dyDescent="0.25">
      <c r="AC6177" s="8"/>
    </row>
    <row r="6178" spans="29:29" x14ac:dyDescent="0.25">
      <c r="AC6178" s="8"/>
    </row>
    <row r="6179" spans="29:29" x14ac:dyDescent="0.25">
      <c r="AC6179" s="8"/>
    </row>
    <row r="6180" spans="29:29" x14ac:dyDescent="0.25">
      <c r="AC6180" s="8"/>
    </row>
    <row r="6181" spans="29:29" x14ac:dyDescent="0.25">
      <c r="AC6181" s="8"/>
    </row>
    <row r="6182" spans="29:29" x14ac:dyDescent="0.25">
      <c r="AC6182" s="8"/>
    </row>
    <row r="6183" spans="29:29" x14ac:dyDescent="0.25">
      <c r="AC6183" s="8"/>
    </row>
    <row r="6184" spans="29:29" x14ac:dyDescent="0.25">
      <c r="AC6184" s="8"/>
    </row>
    <row r="6185" spans="29:29" x14ac:dyDescent="0.25">
      <c r="AC6185" s="8"/>
    </row>
    <row r="6186" spans="29:29" x14ac:dyDescent="0.25">
      <c r="AC6186" s="8"/>
    </row>
    <row r="6187" spans="29:29" x14ac:dyDescent="0.25">
      <c r="AC6187" s="8"/>
    </row>
    <row r="6188" spans="29:29" x14ac:dyDescent="0.25">
      <c r="AC6188" s="8"/>
    </row>
    <row r="6189" spans="29:29" x14ac:dyDescent="0.25">
      <c r="AC6189" s="8"/>
    </row>
    <row r="6190" spans="29:29" x14ac:dyDescent="0.25">
      <c r="AC6190" s="8"/>
    </row>
    <row r="6191" spans="29:29" x14ac:dyDescent="0.25">
      <c r="AC6191" s="8"/>
    </row>
    <row r="6192" spans="29:29" x14ac:dyDescent="0.25">
      <c r="AC6192" s="8"/>
    </row>
    <row r="6193" spans="29:29" x14ac:dyDescent="0.25">
      <c r="AC6193" s="8"/>
    </row>
    <row r="6194" spans="29:29" x14ac:dyDescent="0.25">
      <c r="AC6194" s="8"/>
    </row>
    <row r="6195" spans="29:29" x14ac:dyDescent="0.25">
      <c r="AC6195" s="8"/>
    </row>
    <row r="6196" spans="29:29" x14ac:dyDescent="0.25">
      <c r="AC6196" s="8"/>
    </row>
    <row r="6197" spans="29:29" x14ac:dyDescent="0.25">
      <c r="AC6197" s="8"/>
    </row>
    <row r="6198" spans="29:29" x14ac:dyDescent="0.25">
      <c r="AC6198" s="8"/>
    </row>
    <row r="6199" spans="29:29" x14ac:dyDescent="0.25">
      <c r="AC6199" s="8"/>
    </row>
    <row r="6200" spans="29:29" x14ac:dyDescent="0.25">
      <c r="AC6200" s="8"/>
    </row>
    <row r="6201" spans="29:29" x14ac:dyDescent="0.25">
      <c r="AC6201" s="8"/>
    </row>
    <row r="6202" spans="29:29" x14ac:dyDescent="0.25">
      <c r="AC6202" s="8"/>
    </row>
    <row r="6203" spans="29:29" x14ac:dyDescent="0.25">
      <c r="AC6203" s="8"/>
    </row>
    <row r="6204" spans="29:29" x14ac:dyDescent="0.25">
      <c r="AC6204" s="8"/>
    </row>
    <row r="6205" spans="29:29" x14ac:dyDescent="0.25">
      <c r="AC6205" s="8"/>
    </row>
    <row r="6206" spans="29:29" x14ac:dyDescent="0.25">
      <c r="AC6206" s="8"/>
    </row>
    <row r="6207" spans="29:29" x14ac:dyDescent="0.25">
      <c r="AC6207" s="8"/>
    </row>
    <row r="6208" spans="29:29" x14ac:dyDescent="0.25">
      <c r="AC6208" s="8"/>
    </row>
    <row r="6209" spans="29:29" x14ac:dyDescent="0.25">
      <c r="AC6209" s="8"/>
    </row>
    <row r="6210" spans="29:29" x14ac:dyDescent="0.25">
      <c r="AC6210" s="8"/>
    </row>
    <row r="6211" spans="29:29" x14ac:dyDescent="0.25">
      <c r="AC6211" s="8"/>
    </row>
    <row r="6212" spans="29:29" x14ac:dyDescent="0.25">
      <c r="AC6212" s="8"/>
    </row>
    <row r="6213" spans="29:29" x14ac:dyDescent="0.25">
      <c r="AC6213" s="8"/>
    </row>
    <row r="6214" spans="29:29" x14ac:dyDescent="0.25">
      <c r="AC6214" s="8"/>
    </row>
    <row r="6215" spans="29:29" x14ac:dyDescent="0.25">
      <c r="AC6215" s="8"/>
    </row>
    <row r="6216" spans="29:29" x14ac:dyDescent="0.25">
      <c r="AC6216" s="8"/>
    </row>
    <row r="6217" spans="29:29" x14ac:dyDescent="0.25">
      <c r="AC6217" s="8"/>
    </row>
    <row r="6218" spans="29:29" x14ac:dyDescent="0.25">
      <c r="AC6218" s="8"/>
    </row>
    <row r="6219" spans="29:29" x14ac:dyDescent="0.25">
      <c r="AC6219" s="8"/>
    </row>
    <row r="6220" spans="29:29" x14ac:dyDescent="0.25">
      <c r="AC6220" s="8"/>
    </row>
    <row r="6221" spans="29:29" x14ac:dyDescent="0.25">
      <c r="AC6221" s="8"/>
    </row>
    <row r="6222" spans="29:29" x14ac:dyDescent="0.25">
      <c r="AC6222" s="8"/>
    </row>
    <row r="6223" spans="29:29" x14ac:dyDescent="0.25">
      <c r="AC6223" s="8"/>
    </row>
    <row r="6224" spans="29:29" x14ac:dyDescent="0.25">
      <c r="AC6224" s="8"/>
    </row>
    <row r="6225" spans="29:29" x14ac:dyDescent="0.25">
      <c r="AC6225" s="8"/>
    </row>
    <row r="6226" spans="29:29" x14ac:dyDescent="0.25">
      <c r="AC6226" s="8"/>
    </row>
    <row r="6227" spans="29:29" x14ac:dyDescent="0.25">
      <c r="AC6227" s="8"/>
    </row>
    <row r="6228" spans="29:29" x14ac:dyDescent="0.25">
      <c r="AC6228" s="8"/>
    </row>
    <row r="6229" spans="29:29" x14ac:dyDescent="0.25">
      <c r="AC6229" s="8"/>
    </row>
    <row r="6230" spans="29:29" x14ac:dyDescent="0.25">
      <c r="AC6230" s="8"/>
    </row>
    <row r="6231" spans="29:29" x14ac:dyDescent="0.25">
      <c r="AC6231" s="8"/>
    </row>
    <row r="6232" spans="29:29" x14ac:dyDescent="0.25">
      <c r="AC6232" s="8"/>
    </row>
    <row r="6233" spans="29:29" x14ac:dyDescent="0.25">
      <c r="AC6233" s="8"/>
    </row>
    <row r="6234" spans="29:29" x14ac:dyDescent="0.25">
      <c r="AC6234" s="8"/>
    </row>
    <row r="6235" spans="29:29" x14ac:dyDescent="0.25">
      <c r="AC6235" s="8"/>
    </row>
    <row r="6236" spans="29:29" x14ac:dyDescent="0.25">
      <c r="AC6236" s="8"/>
    </row>
    <row r="6237" spans="29:29" x14ac:dyDescent="0.25">
      <c r="AC6237" s="8"/>
    </row>
    <row r="6238" spans="29:29" x14ac:dyDescent="0.25">
      <c r="AC6238" s="8"/>
    </row>
    <row r="6239" spans="29:29" x14ac:dyDescent="0.25">
      <c r="AC6239" s="8"/>
    </row>
    <row r="6240" spans="29:29" x14ac:dyDescent="0.25">
      <c r="AC6240" s="8"/>
    </row>
    <row r="6241" spans="29:29" x14ac:dyDescent="0.25">
      <c r="AC6241" s="8"/>
    </row>
    <row r="6242" spans="29:29" x14ac:dyDescent="0.25">
      <c r="AC6242" s="8"/>
    </row>
    <row r="6243" spans="29:29" x14ac:dyDescent="0.25">
      <c r="AC6243" s="8"/>
    </row>
    <row r="6244" spans="29:29" x14ac:dyDescent="0.25">
      <c r="AC6244" s="8"/>
    </row>
    <row r="6245" spans="29:29" x14ac:dyDescent="0.25">
      <c r="AC6245" s="8"/>
    </row>
    <row r="6246" spans="29:29" x14ac:dyDescent="0.25">
      <c r="AC6246" s="8"/>
    </row>
    <row r="6247" spans="29:29" x14ac:dyDescent="0.25">
      <c r="AC6247" s="8"/>
    </row>
    <row r="6248" spans="29:29" x14ac:dyDescent="0.25">
      <c r="AC6248" s="8"/>
    </row>
    <row r="6249" spans="29:29" x14ac:dyDescent="0.25">
      <c r="AC6249" s="8"/>
    </row>
    <row r="6250" spans="29:29" x14ac:dyDescent="0.25">
      <c r="AC6250" s="8"/>
    </row>
    <row r="6251" spans="29:29" x14ac:dyDescent="0.25">
      <c r="AC6251" s="8"/>
    </row>
    <row r="6252" spans="29:29" x14ac:dyDescent="0.25">
      <c r="AC6252" s="8"/>
    </row>
    <row r="6253" spans="29:29" x14ac:dyDescent="0.25">
      <c r="AC6253" s="8"/>
    </row>
    <row r="6254" spans="29:29" x14ac:dyDescent="0.25">
      <c r="AC6254" s="8"/>
    </row>
    <row r="6255" spans="29:29" x14ac:dyDescent="0.25">
      <c r="AC6255" s="8"/>
    </row>
    <row r="6256" spans="29:29" x14ac:dyDescent="0.25">
      <c r="AC6256" s="8"/>
    </row>
    <row r="6257" spans="29:29" x14ac:dyDescent="0.25">
      <c r="AC6257" s="8"/>
    </row>
    <row r="6258" spans="29:29" x14ac:dyDescent="0.25">
      <c r="AC6258" s="8"/>
    </row>
    <row r="6259" spans="29:29" x14ac:dyDescent="0.25">
      <c r="AC6259" s="8"/>
    </row>
    <row r="6260" spans="29:29" x14ac:dyDescent="0.25">
      <c r="AC6260" s="8"/>
    </row>
    <row r="6261" spans="29:29" x14ac:dyDescent="0.25">
      <c r="AC6261" s="8"/>
    </row>
    <row r="6262" spans="29:29" x14ac:dyDescent="0.25">
      <c r="AC6262" s="8"/>
    </row>
    <row r="6263" spans="29:29" x14ac:dyDescent="0.25">
      <c r="AC6263" s="8"/>
    </row>
    <row r="6264" spans="29:29" x14ac:dyDescent="0.25">
      <c r="AC6264" s="8"/>
    </row>
    <row r="6265" spans="29:29" x14ac:dyDescent="0.25">
      <c r="AC6265" s="8"/>
    </row>
    <row r="6266" spans="29:29" x14ac:dyDescent="0.25">
      <c r="AC6266" s="8"/>
    </row>
    <row r="6267" spans="29:29" x14ac:dyDescent="0.25">
      <c r="AC6267" s="8"/>
    </row>
    <row r="6268" spans="29:29" x14ac:dyDescent="0.25">
      <c r="AC6268" s="8"/>
    </row>
    <row r="6269" spans="29:29" x14ac:dyDescent="0.25">
      <c r="AC6269" s="8"/>
    </row>
    <row r="6270" spans="29:29" x14ac:dyDescent="0.25">
      <c r="AC6270" s="8"/>
    </row>
    <row r="6271" spans="29:29" x14ac:dyDescent="0.25">
      <c r="AC6271" s="8"/>
    </row>
    <row r="6272" spans="29:29" x14ac:dyDescent="0.25">
      <c r="AC6272" s="8"/>
    </row>
    <row r="6273" spans="29:29" x14ac:dyDescent="0.25">
      <c r="AC6273" s="8"/>
    </row>
    <row r="6274" spans="29:29" x14ac:dyDescent="0.25">
      <c r="AC6274" s="8"/>
    </row>
    <row r="6275" spans="29:29" x14ac:dyDescent="0.25">
      <c r="AC6275" s="8"/>
    </row>
    <row r="6276" spans="29:29" x14ac:dyDescent="0.25">
      <c r="AC6276" s="8"/>
    </row>
    <row r="6277" spans="29:29" x14ac:dyDescent="0.25">
      <c r="AC6277" s="8"/>
    </row>
    <row r="6278" spans="29:29" x14ac:dyDescent="0.25">
      <c r="AC6278" s="8"/>
    </row>
    <row r="6279" spans="29:29" x14ac:dyDescent="0.25">
      <c r="AC6279" s="8"/>
    </row>
    <row r="6280" spans="29:29" x14ac:dyDescent="0.25">
      <c r="AC6280" s="8"/>
    </row>
    <row r="6281" spans="29:29" x14ac:dyDescent="0.25">
      <c r="AC6281" s="8"/>
    </row>
    <row r="6282" spans="29:29" x14ac:dyDescent="0.25">
      <c r="AC6282" s="8"/>
    </row>
    <row r="6283" spans="29:29" x14ac:dyDescent="0.25">
      <c r="AC6283" s="8"/>
    </row>
    <row r="6284" spans="29:29" x14ac:dyDescent="0.25">
      <c r="AC6284" s="8"/>
    </row>
    <row r="6285" spans="29:29" x14ac:dyDescent="0.25">
      <c r="AC6285" s="8"/>
    </row>
    <row r="6286" spans="29:29" x14ac:dyDescent="0.25">
      <c r="AC6286" s="8"/>
    </row>
    <row r="6287" spans="29:29" x14ac:dyDescent="0.25">
      <c r="AC6287" s="8"/>
    </row>
    <row r="6288" spans="29:29" x14ac:dyDescent="0.25">
      <c r="AC6288" s="8"/>
    </row>
    <row r="6289" spans="29:29" x14ac:dyDescent="0.25">
      <c r="AC6289" s="8"/>
    </row>
    <row r="6290" spans="29:29" x14ac:dyDescent="0.25">
      <c r="AC6290" s="8"/>
    </row>
    <row r="6291" spans="29:29" x14ac:dyDescent="0.25">
      <c r="AC6291" s="8"/>
    </row>
    <row r="6292" spans="29:29" x14ac:dyDescent="0.25">
      <c r="AC6292" s="8"/>
    </row>
    <row r="6293" spans="29:29" x14ac:dyDescent="0.25">
      <c r="AC6293" s="8"/>
    </row>
    <row r="6294" spans="29:29" x14ac:dyDescent="0.25">
      <c r="AC6294" s="8"/>
    </row>
    <row r="6295" spans="29:29" x14ac:dyDescent="0.25">
      <c r="AC6295" s="8"/>
    </row>
    <row r="6296" spans="29:29" x14ac:dyDescent="0.25">
      <c r="AC6296" s="8"/>
    </row>
    <row r="6297" spans="29:29" x14ac:dyDescent="0.25">
      <c r="AC6297" s="8"/>
    </row>
    <row r="6298" spans="29:29" x14ac:dyDescent="0.25">
      <c r="AC6298" s="8"/>
    </row>
    <row r="6299" spans="29:29" x14ac:dyDescent="0.25">
      <c r="AC6299" s="8"/>
    </row>
    <row r="6300" spans="29:29" x14ac:dyDescent="0.25">
      <c r="AC6300" s="8"/>
    </row>
    <row r="6301" spans="29:29" x14ac:dyDescent="0.25">
      <c r="AC6301" s="8"/>
    </row>
    <row r="6302" spans="29:29" x14ac:dyDescent="0.25">
      <c r="AC6302" s="8"/>
    </row>
    <row r="6303" spans="29:29" x14ac:dyDescent="0.25">
      <c r="AC6303" s="8"/>
    </row>
    <row r="6304" spans="29:29" x14ac:dyDescent="0.25">
      <c r="AC6304" s="8"/>
    </row>
    <row r="6305" spans="29:29" x14ac:dyDescent="0.25">
      <c r="AC6305" s="8"/>
    </row>
    <row r="6306" spans="29:29" x14ac:dyDescent="0.25">
      <c r="AC6306" s="8"/>
    </row>
    <row r="6307" spans="29:29" x14ac:dyDescent="0.25">
      <c r="AC6307" s="8"/>
    </row>
    <row r="6308" spans="29:29" x14ac:dyDescent="0.25">
      <c r="AC6308" s="8"/>
    </row>
    <row r="6309" spans="29:29" x14ac:dyDescent="0.25">
      <c r="AC6309" s="8"/>
    </row>
    <row r="6310" spans="29:29" x14ac:dyDescent="0.25">
      <c r="AC6310" s="8"/>
    </row>
    <row r="6311" spans="29:29" x14ac:dyDescent="0.25">
      <c r="AC6311" s="8"/>
    </row>
    <row r="6312" spans="29:29" x14ac:dyDescent="0.25">
      <c r="AC6312" s="8"/>
    </row>
    <row r="6313" spans="29:29" x14ac:dyDescent="0.25">
      <c r="AC6313" s="8"/>
    </row>
    <row r="6314" spans="29:29" x14ac:dyDescent="0.25">
      <c r="AC6314" s="8"/>
    </row>
    <row r="6315" spans="29:29" x14ac:dyDescent="0.25">
      <c r="AC6315" s="8"/>
    </row>
    <row r="6316" spans="29:29" x14ac:dyDescent="0.25">
      <c r="AC6316" s="8"/>
    </row>
    <row r="6317" spans="29:29" x14ac:dyDescent="0.25">
      <c r="AC6317" s="8"/>
    </row>
    <row r="6318" spans="29:29" x14ac:dyDescent="0.25">
      <c r="AC6318" s="8"/>
    </row>
    <row r="6319" spans="29:29" x14ac:dyDescent="0.25">
      <c r="AC6319" s="8"/>
    </row>
    <row r="6320" spans="29:29" x14ac:dyDescent="0.25">
      <c r="AC6320" s="8"/>
    </row>
    <row r="6321" spans="29:29" x14ac:dyDescent="0.25">
      <c r="AC6321" s="8"/>
    </row>
    <row r="6322" spans="29:29" x14ac:dyDescent="0.25">
      <c r="AC6322" s="8"/>
    </row>
    <row r="6323" spans="29:29" x14ac:dyDescent="0.25">
      <c r="AC6323" s="8"/>
    </row>
    <row r="6324" spans="29:29" x14ac:dyDescent="0.25">
      <c r="AC6324" s="8"/>
    </row>
    <row r="6325" spans="29:29" x14ac:dyDescent="0.25">
      <c r="AC6325" s="8"/>
    </row>
    <row r="6326" spans="29:29" x14ac:dyDescent="0.25">
      <c r="AC6326" s="8"/>
    </row>
    <row r="6327" spans="29:29" x14ac:dyDescent="0.25">
      <c r="AC6327" s="8"/>
    </row>
    <row r="6328" spans="29:29" x14ac:dyDescent="0.25">
      <c r="AC6328" s="8"/>
    </row>
    <row r="6329" spans="29:29" x14ac:dyDescent="0.25">
      <c r="AC6329" s="8"/>
    </row>
    <row r="6330" spans="29:29" x14ac:dyDescent="0.25">
      <c r="AC6330" s="8"/>
    </row>
    <row r="6331" spans="29:29" x14ac:dyDescent="0.25">
      <c r="AC6331" s="8"/>
    </row>
    <row r="6332" spans="29:29" x14ac:dyDescent="0.25">
      <c r="AC6332" s="8"/>
    </row>
    <row r="6333" spans="29:29" x14ac:dyDescent="0.25">
      <c r="AC6333" s="8"/>
    </row>
    <row r="6334" spans="29:29" x14ac:dyDescent="0.25">
      <c r="AC6334" s="8"/>
    </row>
    <row r="6335" spans="29:29" x14ac:dyDescent="0.25">
      <c r="AC6335" s="8"/>
    </row>
    <row r="6336" spans="29:29" x14ac:dyDescent="0.25">
      <c r="AC6336" s="8"/>
    </row>
    <row r="6337" spans="29:29" x14ac:dyDescent="0.25">
      <c r="AC6337" s="8"/>
    </row>
    <row r="6338" spans="29:29" x14ac:dyDescent="0.25">
      <c r="AC6338" s="8"/>
    </row>
    <row r="6339" spans="29:29" x14ac:dyDescent="0.25">
      <c r="AC6339" s="8"/>
    </row>
    <row r="6340" spans="29:29" x14ac:dyDescent="0.25">
      <c r="AC6340" s="8"/>
    </row>
    <row r="6341" spans="29:29" x14ac:dyDescent="0.25">
      <c r="AC6341" s="8"/>
    </row>
    <row r="6342" spans="29:29" x14ac:dyDescent="0.25">
      <c r="AC6342" s="8"/>
    </row>
    <row r="6343" spans="29:29" x14ac:dyDescent="0.25">
      <c r="AC6343" s="8"/>
    </row>
    <row r="6344" spans="29:29" x14ac:dyDescent="0.25">
      <c r="AC6344" s="8"/>
    </row>
    <row r="6345" spans="29:29" x14ac:dyDescent="0.25">
      <c r="AC6345" s="8"/>
    </row>
    <row r="6346" spans="29:29" x14ac:dyDescent="0.25">
      <c r="AC6346" s="8"/>
    </row>
    <row r="6347" spans="29:29" x14ac:dyDescent="0.25">
      <c r="AC6347" s="8"/>
    </row>
    <row r="6348" spans="29:29" x14ac:dyDescent="0.25">
      <c r="AC6348" s="8"/>
    </row>
    <row r="6349" spans="29:29" x14ac:dyDescent="0.25">
      <c r="AC6349" s="8"/>
    </row>
    <row r="6350" spans="29:29" x14ac:dyDescent="0.25">
      <c r="AC6350" s="8"/>
    </row>
    <row r="6351" spans="29:29" x14ac:dyDescent="0.25">
      <c r="AC6351" s="8"/>
    </row>
    <row r="6352" spans="29:29" x14ac:dyDescent="0.25">
      <c r="AC6352" s="8"/>
    </row>
    <row r="6353" spans="29:29" x14ac:dyDescent="0.25">
      <c r="AC6353" s="8"/>
    </row>
    <row r="6354" spans="29:29" x14ac:dyDescent="0.25">
      <c r="AC6354" s="8"/>
    </row>
    <row r="6355" spans="29:29" x14ac:dyDescent="0.25">
      <c r="AC6355" s="8"/>
    </row>
    <row r="6356" spans="29:29" x14ac:dyDescent="0.25">
      <c r="AC6356" s="8"/>
    </row>
    <row r="6357" spans="29:29" x14ac:dyDescent="0.25">
      <c r="AC6357" s="8"/>
    </row>
    <row r="6358" spans="29:29" x14ac:dyDescent="0.25">
      <c r="AC6358" s="8"/>
    </row>
    <row r="6359" spans="29:29" x14ac:dyDescent="0.25">
      <c r="AC6359" s="8"/>
    </row>
    <row r="6360" spans="29:29" x14ac:dyDescent="0.25">
      <c r="AC6360" s="8"/>
    </row>
    <row r="6361" spans="29:29" x14ac:dyDescent="0.25">
      <c r="AC6361" s="8"/>
    </row>
    <row r="6362" spans="29:29" x14ac:dyDescent="0.25">
      <c r="AC6362" s="8"/>
    </row>
    <row r="6363" spans="29:29" x14ac:dyDescent="0.25">
      <c r="AC6363" s="8"/>
    </row>
    <row r="6364" spans="29:29" x14ac:dyDescent="0.25">
      <c r="AC6364" s="8"/>
    </row>
    <row r="6365" spans="29:29" x14ac:dyDescent="0.25">
      <c r="AC6365" s="8"/>
    </row>
    <row r="6366" spans="29:29" x14ac:dyDescent="0.25">
      <c r="AC6366" s="8"/>
    </row>
    <row r="6367" spans="29:29" x14ac:dyDescent="0.25">
      <c r="AC6367" s="8"/>
    </row>
    <row r="6368" spans="29:29" x14ac:dyDescent="0.25">
      <c r="AC6368" s="8"/>
    </row>
    <row r="6369" spans="29:29" x14ac:dyDescent="0.25">
      <c r="AC6369" s="8"/>
    </row>
    <row r="6370" spans="29:29" x14ac:dyDescent="0.25">
      <c r="AC6370" s="8"/>
    </row>
    <row r="6371" spans="29:29" x14ac:dyDescent="0.25">
      <c r="AC6371" s="8"/>
    </row>
    <row r="6372" spans="29:29" x14ac:dyDescent="0.25">
      <c r="AC6372" s="8"/>
    </row>
    <row r="6373" spans="29:29" x14ac:dyDescent="0.25">
      <c r="AC6373" s="8"/>
    </row>
    <row r="6374" spans="29:29" x14ac:dyDescent="0.25">
      <c r="AC6374" s="8"/>
    </row>
    <row r="6375" spans="29:29" x14ac:dyDescent="0.25">
      <c r="AC6375" s="8"/>
    </row>
    <row r="6376" spans="29:29" x14ac:dyDescent="0.25">
      <c r="AC6376" s="8"/>
    </row>
    <row r="6377" spans="29:29" x14ac:dyDescent="0.25">
      <c r="AC6377" s="8"/>
    </row>
    <row r="6378" spans="29:29" x14ac:dyDescent="0.25">
      <c r="AC6378" s="8"/>
    </row>
    <row r="6379" spans="29:29" x14ac:dyDescent="0.25">
      <c r="AC6379" s="8"/>
    </row>
    <row r="6380" spans="29:29" x14ac:dyDescent="0.25">
      <c r="AC6380" s="8"/>
    </row>
    <row r="6381" spans="29:29" x14ac:dyDescent="0.25">
      <c r="AC6381" s="8"/>
    </row>
    <row r="6382" spans="29:29" x14ac:dyDescent="0.25">
      <c r="AC6382" s="8"/>
    </row>
    <row r="6383" spans="29:29" x14ac:dyDescent="0.25">
      <c r="AC6383" s="8"/>
    </row>
    <row r="6384" spans="29:29" x14ac:dyDescent="0.25">
      <c r="AC6384" s="8"/>
    </row>
    <row r="6385" spans="29:29" x14ac:dyDescent="0.25">
      <c r="AC6385" s="8"/>
    </row>
    <row r="6386" spans="29:29" x14ac:dyDescent="0.25">
      <c r="AC6386" s="8"/>
    </row>
    <row r="6387" spans="29:29" x14ac:dyDescent="0.25">
      <c r="AC6387" s="8"/>
    </row>
    <row r="6388" spans="29:29" x14ac:dyDescent="0.25">
      <c r="AC6388" s="8"/>
    </row>
    <row r="6389" spans="29:29" x14ac:dyDescent="0.25">
      <c r="AC6389" s="8"/>
    </row>
    <row r="6390" spans="29:29" x14ac:dyDescent="0.25">
      <c r="AC6390" s="8"/>
    </row>
    <row r="6391" spans="29:29" x14ac:dyDescent="0.25">
      <c r="AC6391" s="8"/>
    </row>
    <row r="6392" spans="29:29" x14ac:dyDescent="0.25">
      <c r="AC6392" s="8"/>
    </row>
    <row r="6393" spans="29:29" x14ac:dyDescent="0.25">
      <c r="AC6393" s="8"/>
    </row>
    <row r="6394" spans="29:29" x14ac:dyDescent="0.25">
      <c r="AC6394" s="8"/>
    </row>
    <row r="6395" spans="29:29" x14ac:dyDescent="0.25">
      <c r="AC6395" s="8"/>
    </row>
    <row r="6396" spans="29:29" x14ac:dyDescent="0.25">
      <c r="AC6396" s="8"/>
    </row>
    <row r="6397" spans="29:29" x14ac:dyDescent="0.25">
      <c r="AC6397" s="8"/>
    </row>
    <row r="6398" spans="29:29" x14ac:dyDescent="0.25">
      <c r="AC6398" s="8"/>
    </row>
    <row r="6399" spans="29:29" x14ac:dyDescent="0.25">
      <c r="AC6399" s="8"/>
    </row>
    <row r="6400" spans="29:29" x14ac:dyDescent="0.25">
      <c r="AC6400" s="8"/>
    </row>
    <row r="6401" spans="29:29" x14ac:dyDescent="0.25">
      <c r="AC6401" s="8"/>
    </row>
    <row r="6402" spans="29:29" x14ac:dyDescent="0.25">
      <c r="AC6402" s="8"/>
    </row>
    <row r="6403" spans="29:29" x14ac:dyDescent="0.25">
      <c r="AC6403" s="8"/>
    </row>
    <row r="6404" spans="29:29" x14ac:dyDescent="0.25">
      <c r="AC6404" s="8"/>
    </row>
    <row r="6405" spans="29:29" x14ac:dyDescent="0.25">
      <c r="AC6405" s="8"/>
    </row>
    <row r="6406" spans="29:29" x14ac:dyDescent="0.25">
      <c r="AC6406" s="8"/>
    </row>
    <row r="6407" spans="29:29" x14ac:dyDescent="0.25">
      <c r="AC6407" s="8"/>
    </row>
    <row r="6408" spans="29:29" x14ac:dyDescent="0.25">
      <c r="AC6408" s="8"/>
    </row>
    <row r="6409" spans="29:29" x14ac:dyDescent="0.25">
      <c r="AC6409" s="8"/>
    </row>
    <row r="6410" spans="29:29" x14ac:dyDescent="0.25">
      <c r="AC6410" s="8"/>
    </row>
    <row r="6411" spans="29:29" x14ac:dyDescent="0.25">
      <c r="AC6411" s="8"/>
    </row>
    <row r="6412" spans="29:29" x14ac:dyDescent="0.25">
      <c r="AC6412" s="8"/>
    </row>
    <row r="6413" spans="29:29" x14ac:dyDescent="0.25">
      <c r="AC6413" s="8"/>
    </row>
    <row r="6414" spans="29:29" x14ac:dyDescent="0.25">
      <c r="AC6414" s="8"/>
    </row>
    <row r="6415" spans="29:29" x14ac:dyDescent="0.25">
      <c r="AC6415" s="8"/>
    </row>
    <row r="6416" spans="29:29" x14ac:dyDescent="0.25">
      <c r="AC6416" s="8"/>
    </row>
    <row r="6417" spans="29:29" x14ac:dyDescent="0.25">
      <c r="AC6417" s="8"/>
    </row>
    <row r="6418" spans="29:29" x14ac:dyDescent="0.25">
      <c r="AC6418" s="8"/>
    </row>
    <row r="6419" spans="29:29" x14ac:dyDescent="0.25">
      <c r="AC6419" s="8"/>
    </row>
    <row r="6420" spans="29:29" x14ac:dyDescent="0.25">
      <c r="AC6420" s="8"/>
    </row>
    <row r="6421" spans="29:29" x14ac:dyDescent="0.25">
      <c r="AC6421" s="8"/>
    </row>
    <row r="6422" spans="29:29" x14ac:dyDescent="0.25">
      <c r="AC6422" s="8"/>
    </row>
    <row r="6423" spans="29:29" x14ac:dyDescent="0.25">
      <c r="AC6423" s="8"/>
    </row>
    <row r="6424" spans="29:29" x14ac:dyDescent="0.25">
      <c r="AC6424" s="8"/>
    </row>
    <row r="6425" spans="29:29" x14ac:dyDescent="0.25">
      <c r="AC6425" s="8"/>
    </row>
    <row r="6426" spans="29:29" x14ac:dyDescent="0.25">
      <c r="AC6426" s="8"/>
    </row>
    <row r="6427" spans="29:29" x14ac:dyDescent="0.25">
      <c r="AC6427" s="8"/>
    </row>
    <row r="6428" spans="29:29" x14ac:dyDescent="0.25">
      <c r="AC6428" s="8"/>
    </row>
    <row r="6429" spans="29:29" x14ac:dyDescent="0.25">
      <c r="AC6429" s="8"/>
    </row>
    <row r="6430" spans="29:29" x14ac:dyDescent="0.25">
      <c r="AC6430" s="8"/>
    </row>
    <row r="6431" spans="29:29" x14ac:dyDescent="0.25">
      <c r="AC6431" s="8"/>
    </row>
    <row r="6432" spans="29:29" x14ac:dyDescent="0.25">
      <c r="AC6432" s="8"/>
    </row>
    <row r="6433" spans="29:29" x14ac:dyDescent="0.25">
      <c r="AC6433" s="8"/>
    </row>
    <row r="6434" spans="29:29" x14ac:dyDescent="0.25">
      <c r="AC6434" s="8"/>
    </row>
    <row r="6435" spans="29:29" x14ac:dyDescent="0.25">
      <c r="AC6435" s="8"/>
    </row>
    <row r="6436" spans="29:29" x14ac:dyDescent="0.25">
      <c r="AC6436" s="8"/>
    </row>
    <row r="6437" spans="29:29" x14ac:dyDescent="0.25">
      <c r="AC6437" s="8"/>
    </row>
    <row r="6438" spans="29:29" x14ac:dyDescent="0.25">
      <c r="AC6438" s="8"/>
    </row>
    <row r="6439" spans="29:29" x14ac:dyDescent="0.25">
      <c r="AC6439" s="8"/>
    </row>
    <row r="6440" spans="29:29" x14ac:dyDescent="0.25">
      <c r="AC6440" s="8"/>
    </row>
    <row r="6441" spans="29:29" x14ac:dyDescent="0.25">
      <c r="AC6441" s="8"/>
    </row>
    <row r="6442" spans="29:29" x14ac:dyDescent="0.25">
      <c r="AC6442" s="8"/>
    </row>
    <row r="6443" spans="29:29" x14ac:dyDescent="0.25">
      <c r="AC6443" s="8"/>
    </row>
    <row r="6444" spans="29:29" x14ac:dyDescent="0.25">
      <c r="AC6444" s="8"/>
    </row>
    <row r="6445" spans="29:29" x14ac:dyDescent="0.25">
      <c r="AC6445" s="8"/>
    </row>
    <row r="6446" spans="29:29" x14ac:dyDescent="0.25">
      <c r="AC6446" s="8"/>
    </row>
    <row r="6447" spans="29:29" x14ac:dyDescent="0.25">
      <c r="AC6447" s="8"/>
    </row>
    <row r="6448" spans="29:29" x14ac:dyDescent="0.25">
      <c r="AC6448" s="8"/>
    </row>
    <row r="6449" spans="29:29" x14ac:dyDescent="0.25">
      <c r="AC6449" s="8"/>
    </row>
    <row r="6450" spans="29:29" x14ac:dyDescent="0.25">
      <c r="AC6450" s="8"/>
    </row>
    <row r="6451" spans="29:29" x14ac:dyDescent="0.25">
      <c r="AC6451" s="8"/>
    </row>
    <row r="6452" spans="29:29" x14ac:dyDescent="0.25">
      <c r="AC6452" s="8"/>
    </row>
    <row r="6453" spans="29:29" x14ac:dyDescent="0.25">
      <c r="AC6453" s="8"/>
    </row>
    <row r="6454" spans="29:29" x14ac:dyDescent="0.25">
      <c r="AC6454" s="8"/>
    </row>
    <row r="6455" spans="29:29" x14ac:dyDescent="0.25">
      <c r="AC6455" s="8"/>
    </row>
    <row r="6456" spans="29:29" x14ac:dyDescent="0.25">
      <c r="AC6456" s="8"/>
    </row>
    <row r="6457" spans="29:29" x14ac:dyDescent="0.25">
      <c r="AC6457" s="8"/>
    </row>
    <row r="6458" spans="29:29" x14ac:dyDescent="0.25">
      <c r="AC6458" s="8"/>
    </row>
    <row r="6459" spans="29:29" x14ac:dyDescent="0.25">
      <c r="AC6459" s="8"/>
    </row>
    <row r="6460" spans="29:29" x14ac:dyDescent="0.25">
      <c r="AC6460" s="8"/>
    </row>
    <row r="6461" spans="29:29" x14ac:dyDescent="0.25">
      <c r="AC6461" s="8"/>
    </row>
    <row r="6462" spans="29:29" x14ac:dyDescent="0.25">
      <c r="AC6462" s="8"/>
    </row>
    <row r="6463" spans="29:29" x14ac:dyDescent="0.25">
      <c r="AC6463" s="8"/>
    </row>
    <row r="6464" spans="29:29" x14ac:dyDescent="0.25">
      <c r="AC6464" s="8"/>
    </row>
    <row r="6465" spans="29:29" x14ac:dyDescent="0.25">
      <c r="AC6465" s="8"/>
    </row>
    <row r="6466" spans="29:29" x14ac:dyDescent="0.25">
      <c r="AC6466" s="8"/>
    </row>
    <row r="6467" spans="29:29" x14ac:dyDescent="0.25">
      <c r="AC6467" s="8"/>
    </row>
    <row r="6468" spans="29:29" x14ac:dyDescent="0.25">
      <c r="AC6468" s="8"/>
    </row>
    <row r="6469" spans="29:29" x14ac:dyDescent="0.25">
      <c r="AC6469" s="8"/>
    </row>
    <row r="6470" spans="29:29" x14ac:dyDescent="0.25">
      <c r="AC6470" s="8"/>
    </row>
    <row r="6471" spans="29:29" x14ac:dyDescent="0.25">
      <c r="AC6471" s="8"/>
    </row>
    <row r="6472" spans="29:29" x14ac:dyDescent="0.25">
      <c r="AC6472" s="8"/>
    </row>
    <row r="6473" spans="29:29" x14ac:dyDescent="0.25">
      <c r="AC6473" s="8"/>
    </row>
    <row r="6474" spans="29:29" x14ac:dyDescent="0.25">
      <c r="AC6474" s="8"/>
    </row>
    <row r="6475" spans="29:29" x14ac:dyDescent="0.25">
      <c r="AC6475" s="8"/>
    </row>
    <row r="6476" spans="29:29" x14ac:dyDescent="0.25">
      <c r="AC6476" s="8"/>
    </row>
    <row r="6477" spans="29:29" x14ac:dyDescent="0.25">
      <c r="AC6477" s="8"/>
    </row>
    <row r="6478" spans="29:29" x14ac:dyDescent="0.25">
      <c r="AC6478" s="8"/>
    </row>
    <row r="6479" spans="29:29" x14ac:dyDescent="0.25">
      <c r="AC6479" s="8"/>
    </row>
    <row r="6480" spans="29:29" x14ac:dyDescent="0.25">
      <c r="AC6480" s="8"/>
    </row>
    <row r="6481" spans="29:29" x14ac:dyDescent="0.25">
      <c r="AC6481" s="8"/>
    </row>
    <row r="6482" spans="29:29" x14ac:dyDescent="0.25">
      <c r="AC6482" s="8"/>
    </row>
    <row r="6483" spans="29:29" x14ac:dyDescent="0.25">
      <c r="AC6483" s="8"/>
    </row>
    <row r="6484" spans="29:29" x14ac:dyDescent="0.25">
      <c r="AC6484" s="8"/>
    </row>
    <row r="6485" spans="29:29" x14ac:dyDescent="0.25">
      <c r="AC6485" s="8"/>
    </row>
    <row r="6486" spans="29:29" x14ac:dyDescent="0.25">
      <c r="AC6486" s="8"/>
    </row>
    <row r="6487" spans="29:29" x14ac:dyDescent="0.25">
      <c r="AC6487" s="8"/>
    </row>
    <row r="6488" spans="29:29" x14ac:dyDescent="0.25">
      <c r="AC6488" s="8"/>
    </row>
    <row r="6489" spans="29:29" x14ac:dyDescent="0.25">
      <c r="AC6489" s="8"/>
    </row>
    <row r="6490" spans="29:29" x14ac:dyDescent="0.25">
      <c r="AC6490" s="8"/>
    </row>
    <row r="6491" spans="29:29" x14ac:dyDescent="0.25">
      <c r="AC6491" s="8"/>
    </row>
    <row r="6492" spans="29:29" x14ac:dyDescent="0.25">
      <c r="AC6492" s="8"/>
    </row>
    <row r="6493" spans="29:29" x14ac:dyDescent="0.25">
      <c r="AC6493" s="8"/>
    </row>
    <row r="6494" spans="29:29" x14ac:dyDescent="0.25">
      <c r="AC6494" s="8"/>
    </row>
    <row r="6495" spans="29:29" x14ac:dyDescent="0.25">
      <c r="AC6495" s="8"/>
    </row>
    <row r="6496" spans="29:29" x14ac:dyDescent="0.25">
      <c r="AC6496" s="8"/>
    </row>
    <row r="6497" spans="29:29" x14ac:dyDescent="0.25">
      <c r="AC6497" s="8"/>
    </row>
    <row r="6498" spans="29:29" x14ac:dyDescent="0.25">
      <c r="AC6498" s="8"/>
    </row>
    <row r="6499" spans="29:29" x14ac:dyDescent="0.25">
      <c r="AC6499" s="8"/>
    </row>
    <row r="6500" spans="29:29" x14ac:dyDescent="0.25">
      <c r="AC6500" s="8"/>
    </row>
    <row r="6501" spans="29:29" x14ac:dyDescent="0.25">
      <c r="AC6501" s="8"/>
    </row>
    <row r="6502" spans="29:29" x14ac:dyDescent="0.25">
      <c r="AC6502" s="8"/>
    </row>
    <row r="6503" spans="29:29" x14ac:dyDescent="0.25">
      <c r="AC6503" s="8"/>
    </row>
    <row r="6504" spans="29:29" x14ac:dyDescent="0.25">
      <c r="AC6504" s="8"/>
    </row>
    <row r="6505" spans="29:29" x14ac:dyDescent="0.25">
      <c r="AC6505" s="8"/>
    </row>
    <row r="6506" spans="29:29" x14ac:dyDescent="0.25">
      <c r="AC6506" s="8"/>
    </row>
    <row r="6507" spans="29:29" x14ac:dyDescent="0.25">
      <c r="AC6507" s="8"/>
    </row>
    <row r="6508" spans="29:29" x14ac:dyDescent="0.25">
      <c r="AC6508" s="8"/>
    </row>
    <row r="6509" spans="29:29" x14ac:dyDescent="0.25">
      <c r="AC6509" s="8"/>
    </row>
    <row r="6510" spans="29:29" x14ac:dyDescent="0.25">
      <c r="AC6510" s="8"/>
    </row>
    <row r="6511" spans="29:29" x14ac:dyDescent="0.25">
      <c r="AC6511" s="8"/>
    </row>
    <row r="6512" spans="29:29" x14ac:dyDescent="0.25">
      <c r="AC6512" s="8"/>
    </row>
    <row r="6513" spans="29:29" x14ac:dyDescent="0.25">
      <c r="AC6513" s="8"/>
    </row>
    <row r="6514" spans="29:29" x14ac:dyDescent="0.25">
      <c r="AC6514" s="8"/>
    </row>
    <row r="6515" spans="29:29" x14ac:dyDescent="0.25">
      <c r="AC6515" s="8"/>
    </row>
    <row r="6516" spans="29:29" x14ac:dyDescent="0.25">
      <c r="AC6516" s="8"/>
    </row>
    <row r="6517" spans="29:29" x14ac:dyDescent="0.25">
      <c r="AC6517" s="8"/>
    </row>
    <row r="6518" spans="29:29" x14ac:dyDescent="0.25">
      <c r="AC6518" s="8"/>
    </row>
    <row r="6519" spans="29:29" x14ac:dyDescent="0.25">
      <c r="AC6519" s="8"/>
    </row>
    <row r="6520" spans="29:29" x14ac:dyDescent="0.25">
      <c r="AC6520" s="8"/>
    </row>
    <row r="6521" spans="29:29" x14ac:dyDescent="0.25">
      <c r="AC6521" s="8"/>
    </row>
    <row r="6522" spans="29:29" x14ac:dyDescent="0.25">
      <c r="AC6522" s="8"/>
    </row>
    <row r="6523" spans="29:29" x14ac:dyDescent="0.25">
      <c r="AC6523" s="8"/>
    </row>
    <row r="6524" spans="29:29" x14ac:dyDescent="0.25">
      <c r="AC6524" s="8"/>
    </row>
    <row r="6525" spans="29:29" x14ac:dyDescent="0.25">
      <c r="AC6525" s="8"/>
    </row>
    <row r="6526" spans="29:29" x14ac:dyDescent="0.25">
      <c r="AC6526" s="8"/>
    </row>
    <row r="6527" spans="29:29" x14ac:dyDescent="0.25">
      <c r="AC6527" s="8"/>
    </row>
    <row r="6528" spans="29:29" x14ac:dyDescent="0.25">
      <c r="AC6528" s="8"/>
    </row>
    <row r="6529" spans="29:29" x14ac:dyDescent="0.25">
      <c r="AC6529" s="8"/>
    </row>
    <row r="6530" spans="29:29" x14ac:dyDescent="0.25">
      <c r="AC6530" s="8"/>
    </row>
    <row r="6531" spans="29:29" x14ac:dyDescent="0.25">
      <c r="AC6531" s="8"/>
    </row>
    <row r="6532" spans="29:29" x14ac:dyDescent="0.25">
      <c r="AC6532" s="8"/>
    </row>
    <row r="6533" spans="29:29" x14ac:dyDescent="0.25">
      <c r="AC6533" s="8"/>
    </row>
    <row r="6534" spans="29:29" x14ac:dyDescent="0.25">
      <c r="AC6534" s="8"/>
    </row>
    <row r="6535" spans="29:29" x14ac:dyDescent="0.25">
      <c r="AC6535" s="8"/>
    </row>
    <row r="6536" spans="29:29" x14ac:dyDescent="0.25">
      <c r="AC6536" s="8"/>
    </row>
    <row r="6537" spans="29:29" x14ac:dyDescent="0.25">
      <c r="AC6537" s="8"/>
    </row>
    <row r="6538" spans="29:29" x14ac:dyDescent="0.25">
      <c r="AC6538" s="8"/>
    </row>
    <row r="6539" spans="29:29" x14ac:dyDescent="0.25">
      <c r="AC6539" s="8"/>
    </row>
    <row r="6540" spans="29:29" x14ac:dyDescent="0.25">
      <c r="AC6540" s="8"/>
    </row>
    <row r="6541" spans="29:29" x14ac:dyDescent="0.25">
      <c r="AC6541" s="8"/>
    </row>
    <row r="6542" spans="29:29" x14ac:dyDescent="0.25">
      <c r="AC6542" s="8"/>
    </row>
    <row r="6543" spans="29:29" x14ac:dyDescent="0.25">
      <c r="AC6543" s="8"/>
    </row>
    <row r="6544" spans="29:29" x14ac:dyDescent="0.25">
      <c r="AC6544" s="8"/>
    </row>
    <row r="6545" spans="29:29" x14ac:dyDescent="0.25">
      <c r="AC6545" s="8"/>
    </row>
    <row r="6546" spans="29:29" x14ac:dyDescent="0.25">
      <c r="AC6546" s="8"/>
    </row>
    <row r="6547" spans="29:29" x14ac:dyDescent="0.25">
      <c r="AC6547" s="8"/>
    </row>
    <row r="6548" spans="29:29" x14ac:dyDescent="0.25">
      <c r="AC6548" s="8"/>
    </row>
    <row r="6549" spans="29:29" x14ac:dyDescent="0.25">
      <c r="AC6549" s="8"/>
    </row>
    <row r="6550" spans="29:29" x14ac:dyDescent="0.25">
      <c r="AC6550" s="8"/>
    </row>
    <row r="6551" spans="29:29" x14ac:dyDescent="0.25">
      <c r="AC6551" s="8"/>
    </row>
    <row r="6552" spans="29:29" x14ac:dyDescent="0.25">
      <c r="AC6552" s="8"/>
    </row>
    <row r="6553" spans="29:29" x14ac:dyDescent="0.25">
      <c r="AC6553" s="8"/>
    </row>
    <row r="6554" spans="29:29" x14ac:dyDescent="0.25">
      <c r="AC6554" s="8"/>
    </row>
    <row r="6555" spans="29:29" x14ac:dyDescent="0.25">
      <c r="AC6555" s="8"/>
    </row>
    <row r="6556" spans="29:29" x14ac:dyDescent="0.25">
      <c r="AC6556" s="8"/>
    </row>
    <row r="6557" spans="29:29" x14ac:dyDescent="0.25">
      <c r="AC6557" s="8"/>
    </row>
    <row r="6558" spans="29:29" x14ac:dyDescent="0.25">
      <c r="AC6558" s="8"/>
    </row>
    <row r="6559" spans="29:29" x14ac:dyDescent="0.25">
      <c r="AC6559" s="8"/>
    </row>
    <row r="6560" spans="29:29" x14ac:dyDescent="0.25">
      <c r="AC6560" s="8"/>
    </row>
    <row r="6561" spans="29:29" x14ac:dyDescent="0.25">
      <c r="AC6561" s="8"/>
    </row>
    <row r="6562" spans="29:29" x14ac:dyDescent="0.25">
      <c r="AC6562" s="8"/>
    </row>
    <row r="6563" spans="29:29" x14ac:dyDescent="0.25">
      <c r="AC6563" s="8"/>
    </row>
    <row r="6564" spans="29:29" x14ac:dyDescent="0.25">
      <c r="AC6564" s="8"/>
    </row>
    <row r="6565" spans="29:29" x14ac:dyDescent="0.25">
      <c r="AC6565" s="8"/>
    </row>
    <row r="6566" spans="29:29" x14ac:dyDescent="0.25">
      <c r="AC6566" s="8"/>
    </row>
    <row r="6567" spans="29:29" x14ac:dyDescent="0.25">
      <c r="AC6567" s="8"/>
    </row>
    <row r="6568" spans="29:29" x14ac:dyDescent="0.25">
      <c r="AC6568" s="8"/>
    </row>
    <row r="6569" spans="29:29" x14ac:dyDescent="0.25">
      <c r="AC6569" s="8"/>
    </row>
    <row r="6570" spans="29:29" x14ac:dyDescent="0.25">
      <c r="AC6570" s="8"/>
    </row>
    <row r="6571" spans="29:29" x14ac:dyDescent="0.25">
      <c r="AC6571" s="8"/>
    </row>
    <row r="6572" spans="29:29" x14ac:dyDescent="0.25">
      <c r="AC6572" s="8"/>
    </row>
    <row r="6573" spans="29:29" x14ac:dyDescent="0.25">
      <c r="AC6573" s="8"/>
    </row>
    <row r="6574" spans="29:29" x14ac:dyDescent="0.25">
      <c r="AC6574" s="8"/>
    </row>
    <row r="6575" spans="29:29" x14ac:dyDescent="0.25">
      <c r="AC6575" s="8"/>
    </row>
    <row r="6576" spans="29:29" x14ac:dyDescent="0.25">
      <c r="AC6576" s="8"/>
    </row>
    <row r="6577" spans="29:29" x14ac:dyDescent="0.25">
      <c r="AC6577" s="8"/>
    </row>
    <row r="6578" spans="29:29" x14ac:dyDescent="0.25">
      <c r="AC6578" s="8"/>
    </row>
    <row r="6579" spans="29:29" x14ac:dyDescent="0.25">
      <c r="AC6579" s="8"/>
    </row>
    <row r="6580" spans="29:29" x14ac:dyDescent="0.25">
      <c r="AC6580" s="8"/>
    </row>
    <row r="6581" spans="29:29" x14ac:dyDescent="0.25">
      <c r="AC6581" s="8"/>
    </row>
    <row r="6582" spans="29:29" x14ac:dyDescent="0.25">
      <c r="AC6582" s="8"/>
    </row>
    <row r="6583" spans="29:29" x14ac:dyDescent="0.25">
      <c r="AC6583" s="8"/>
    </row>
    <row r="6584" spans="29:29" x14ac:dyDescent="0.25">
      <c r="AC6584" s="8"/>
    </row>
    <row r="6585" spans="29:29" x14ac:dyDescent="0.25">
      <c r="AC6585" s="8"/>
    </row>
    <row r="6586" spans="29:29" x14ac:dyDescent="0.25">
      <c r="AC6586" s="8"/>
    </row>
    <row r="6587" spans="29:29" x14ac:dyDescent="0.25">
      <c r="AC6587" s="8"/>
    </row>
    <row r="6588" spans="29:29" x14ac:dyDescent="0.25">
      <c r="AC6588" s="8"/>
    </row>
    <row r="6589" spans="29:29" x14ac:dyDescent="0.25">
      <c r="AC6589" s="8"/>
    </row>
    <row r="6590" spans="29:29" x14ac:dyDescent="0.25">
      <c r="AC6590" s="8"/>
    </row>
    <row r="6591" spans="29:29" x14ac:dyDescent="0.25">
      <c r="AC6591" s="8"/>
    </row>
    <row r="6592" spans="29:29" x14ac:dyDescent="0.25">
      <c r="AC6592" s="8"/>
    </row>
    <row r="6593" spans="29:29" x14ac:dyDescent="0.25">
      <c r="AC6593" s="8"/>
    </row>
    <row r="6594" spans="29:29" x14ac:dyDescent="0.25">
      <c r="AC6594" s="8"/>
    </row>
    <row r="6595" spans="29:29" x14ac:dyDescent="0.25">
      <c r="AC6595" s="8"/>
    </row>
    <row r="6596" spans="29:29" x14ac:dyDescent="0.25">
      <c r="AC6596" s="8"/>
    </row>
    <row r="6597" spans="29:29" x14ac:dyDescent="0.25">
      <c r="AC6597" s="8"/>
    </row>
    <row r="6598" spans="29:29" x14ac:dyDescent="0.25">
      <c r="AC6598" s="8"/>
    </row>
    <row r="6599" spans="29:29" x14ac:dyDescent="0.25">
      <c r="AC6599" s="8"/>
    </row>
    <row r="6600" spans="29:29" x14ac:dyDescent="0.25">
      <c r="AC6600" s="8"/>
    </row>
    <row r="6601" spans="29:29" x14ac:dyDescent="0.25">
      <c r="AC6601" s="8"/>
    </row>
    <row r="6602" spans="29:29" x14ac:dyDescent="0.25">
      <c r="AC6602" s="8"/>
    </row>
    <row r="6603" spans="29:29" x14ac:dyDescent="0.25">
      <c r="AC6603" s="8"/>
    </row>
    <row r="6604" spans="29:29" x14ac:dyDescent="0.25">
      <c r="AC6604" s="8"/>
    </row>
    <row r="6605" spans="29:29" x14ac:dyDescent="0.25">
      <c r="AC6605" s="8"/>
    </row>
    <row r="6606" spans="29:29" x14ac:dyDescent="0.25">
      <c r="AC6606" s="8"/>
    </row>
    <row r="6607" spans="29:29" x14ac:dyDescent="0.25">
      <c r="AC6607" s="8"/>
    </row>
    <row r="6608" spans="29:29" x14ac:dyDescent="0.25">
      <c r="AC6608" s="8"/>
    </row>
    <row r="6609" spans="29:29" x14ac:dyDescent="0.25">
      <c r="AC6609" s="8"/>
    </row>
    <row r="6610" spans="29:29" x14ac:dyDescent="0.25">
      <c r="AC6610" s="8"/>
    </row>
    <row r="6611" spans="29:29" x14ac:dyDescent="0.25">
      <c r="AC6611" s="8"/>
    </row>
    <row r="6612" spans="29:29" x14ac:dyDescent="0.25">
      <c r="AC6612" s="8"/>
    </row>
    <row r="6613" spans="29:29" x14ac:dyDescent="0.25">
      <c r="AC6613" s="8"/>
    </row>
    <row r="6614" spans="29:29" x14ac:dyDescent="0.25">
      <c r="AC6614" s="8"/>
    </row>
    <row r="6615" spans="29:29" x14ac:dyDescent="0.25">
      <c r="AC6615" s="8"/>
    </row>
    <row r="6616" spans="29:29" x14ac:dyDescent="0.25">
      <c r="AC6616" s="8"/>
    </row>
    <row r="6617" spans="29:29" x14ac:dyDescent="0.25">
      <c r="AC6617" s="8"/>
    </row>
    <row r="6618" spans="29:29" x14ac:dyDescent="0.25">
      <c r="AC6618" s="8"/>
    </row>
    <row r="6619" spans="29:29" x14ac:dyDescent="0.25">
      <c r="AC6619" s="8"/>
    </row>
    <row r="6620" spans="29:29" x14ac:dyDescent="0.25">
      <c r="AC6620" s="8"/>
    </row>
    <row r="6621" spans="29:29" x14ac:dyDescent="0.25">
      <c r="AC6621" s="8"/>
    </row>
    <row r="6622" spans="29:29" x14ac:dyDescent="0.25">
      <c r="AC6622" s="8"/>
    </row>
    <row r="6623" spans="29:29" x14ac:dyDescent="0.25">
      <c r="AC6623" s="8"/>
    </row>
    <row r="6624" spans="29:29" x14ac:dyDescent="0.25">
      <c r="AC6624" s="8"/>
    </row>
    <row r="6625" spans="29:29" x14ac:dyDescent="0.25">
      <c r="AC6625" s="8"/>
    </row>
    <row r="6626" spans="29:29" x14ac:dyDescent="0.25">
      <c r="AC6626" s="8"/>
    </row>
    <row r="6627" spans="29:29" x14ac:dyDescent="0.25">
      <c r="AC6627" s="8"/>
    </row>
    <row r="6628" spans="29:29" x14ac:dyDescent="0.25">
      <c r="AC6628" s="8"/>
    </row>
    <row r="6629" spans="29:29" x14ac:dyDescent="0.25">
      <c r="AC6629" s="8"/>
    </row>
    <row r="6630" spans="29:29" x14ac:dyDescent="0.25">
      <c r="AC6630" s="8"/>
    </row>
    <row r="6631" spans="29:29" x14ac:dyDescent="0.25">
      <c r="AC6631" s="8"/>
    </row>
    <row r="6632" spans="29:29" x14ac:dyDescent="0.25">
      <c r="AC6632" s="8"/>
    </row>
    <row r="6633" spans="29:29" x14ac:dyDescent="0.25">
      <c r="AC6633" s="8"/>
    </row>
    <row r="6634" spans="29:29" x14ac:dyDescent="0.25">
      <c r="AC6634" s="8"/>
    </row>
    <row r="6635" spans="29:29" x14ac:dyDescent="0.25">
      <c r="AC6635" s="8"/>
    </row>
    <row r="6636" spans="29:29" x14ac:dyDescent="0.25">
      <c r="AC6636" s="8"/>
    </row>
    <row r="6637" spans="29:29" x14ac:dyDescent="0.25">
      <c r="AC6637" s="8"/>
    </row>
    <row r="6638" spans="29:29" x14ac:dyDescent="0.25">
      <c r="AC6638" s="8"/>
    </row>
    <row r="6639" spans="29:29" x14ac:dyDescent="0.25">
      <c r="AC6639" s="8"/>
    </row>
    <row r="6640" spans="29:29" x14ac:dyDescent="0.25">
      <c r="AC6640" s="8"/>
    </row>
    <row r="6641" spans="29:29" x14ac:dyDescent="0.25">
      <c r="AC6641" s="8"/>
    </row>
    <row r="6642" spans="29:29" x14ac:dyDescent="0.25">
      <c r="AC6642" s="8"/>
    </row>
    <row r="6643" spans="29:29" x14ac:dyDescent="0.25">
      <c r="AC6643" s="8"/>
    </row>
    <row r="6644" spans="29:29" x14ac:dyDescent="0.25">
      <c r="AC6644" s="8"/>
    </row>
    <row r="6645" spans="29:29" x14ac:dyDescent="0.25">
      <c r="AC6645" s="8"/>
    </row>
    <row r="6646" spans="29:29" x14ac:dyDescent="0.25">
      <c r="AC6646" s="8"/>
    </row>
    <row r="6647" spans="29:29" x14ac:dyDescent="0.25">
      <c r="AC6647" s="8"/>
    </row>
    <row r="6648" spans="29:29" x14ac:dyDescent="0.25">
      <c r="AC6648" s="8"/>
    </row>
    <row r="6649" spans="29:29" x14ac:dyDescent="0.25">
      <c r="AC6649" s="8"/>
    </row>
    <row r="6650" spans="29:29" x14ac:dyDescent="0.25">
      <c r="AC6650" s="8"/>
    </row>
    <row r="6651" spans="29:29" x14ac:dyDescent="0.25">
      <c r="AC6651" s="8"/>
    </row>
    <row r="6652" spans="29:29" x14ac:dyDescent="0.25">
      <c r="AC6652" s="8"/>
    </row>
    <row r="6653" spans="29:29" x14ac:dyDescent="0.25">
      <c r="AC6653" s="8"/>
    </row>
    <row r="6654" spans="29:29" x14ac:dyDescent="0.25">
      <c r="AC6654" s="8"/>
    </row>
    <row r="6655" spans="29:29" x14ac:dyDescent="0.25">
      <c r="AC6655" s="8"/>
    </row>
    <row r="6656" spans="29:29" x14ac:dyDescent="0.25">
      <c r="AC6656" s="8"/>
    </row>
    <row r="6657" spans="29:29" x14ac:dyDescent="0.25">
      <c r="AC6657" s="8"/>
    </row>
    <row r="6658" spans="29:29" x14ac:dyDescent="0.25">
      <c r="AC6658" s="8"/>
    </row>
    <row r="6659" spans="29:29" x14ac:dyDescent="0.25">
      <c r="AC6659" s="8"/>
    </row>
    <row r="6660" spans="29:29" x14ac:dyDescent="0.25">
      <c r="AC6660" s="8"/>
    </row>
    <row r="6661" spans="29:29" x14ac:dyDescent="0.25">
      <c r="AC6661" s="8"/>
    </row>
    <row r="6662" spans="29:29" x14ac:dyDescent="0.25">
      <c r="AC6662" s="8"/>
    </row>
    <row r="6663" spans="29:29" x14ac:dyDescent="0.25">
      <c r="AC6663" s="8"/>
    </row>
    <row r="6664" spans="29:29" x14ac:dyDescent="0.25">
      <c r="AC6664" s="8"/>
    </row>
    <row r="6665" spans="29:29" x14ac:dyDescent="0.25">
      <c r="AC6665" s="8"/>
    </row>
    <row r="6666" spans="29:29" x14ac:dyDescent="0.25">
      <c r="AC6666" s="8"/>
    </row>
    <row r="6667" spans="29:29" x14ac:dyDescent="0.25">
      <c r="AC6667" s="8"/>
    </row>
    <row r="6668" spans="29:29" x14ac:dyDescent="0.25">
      <c r="AC6668" s="8"/>
    </row>
    <row r="6669" spans="29:29" x14ac:dyDescent="0.25">
      <c r="AC6669" s="8"/>
    </row>
    <row r="6670" spans="29:29" x14ac:dyDescent="0.25">
      <c r="AC6670" s="8"/>
    </row>
    <row r="6671" spans="29:29" x14ac:dyDescent="0.25">
      <c r="AC6671" s="8"/>
    </row>
    <row r="6672" spans="29:29" x14ac:dyDescent="0.25">
      <c r="AC6672" s="8"/>
    </row>
    <row r="6673" spans="29:29" x14ac:dyDescent="0.25">
      <c r="AC6673" s="8"/>
    </row>
    <row r="6674" spans="29:29" x14ac:dyDescent="0.25">
      <c r="AC6674" s="8"/>
    </row>
    <row r="6675" spans="29:29" x14ac:dyDescent="0.25">
      <c r="AC6675" s="8"/>
    </row>
    <row r="6676" spans="29:29" x14ac:dyDescent="0.25">
      <c r="AC6676" s="8"/>
    </row>
    <row r="6677" spans="29:29" x14ac:dyDescent="0.25">
      <c r="AC6677" s="8"/>
    </row>
    <row r="6678" spans="29:29" x14ac:dyDescent="0.25">
      <c r="AC6678" s="8"/>
    </row>
    <row r="6679" spans="29:29" x14ac:dyDescent="0.25">
      <c r="AC6679" s="8"/>
    </row>
    <row r="6680" spans="29:29" x14ac:dyDescent="0.25">
      <c r="AC6680" s="8"/>
    </row>
    <row r="6681" spans="29:29" x14ac:dyDescent="0.25">
      <c r="AC6681" s="8"/>
    </row>
    <row r="6682" spans="29:29" x14ac:dyDescent="0.25">
      <c r="AC6682" s="8"/>
    </row>
    <row r="6683" spans="29:29" x14ac:dyDescent="0.25">
      <c r="AC6683" s="8"/>
    </row>
    <row r="6684" spans="29:29" x14ac:dyDescent="0.25">
      <c r="AC6684" s="8"/>
    </row>
    <row r="6685" spans="29:29" x14ac:dyDescent="0.25">
      <c r="AC6685" s="8"/>
    </row>
    <row r="6686" spans="29:29" x14ac:dyDescent="0.25">
      <c r="AC6686" s="8"/>
    </row>
    <row r="6687" spans="29:29" x14ac:dyDescent="0.25">
      <c r="AC6687" s="8"/>
    </row>
    <row r="6688" spans="29:29" x14ac:dyDescent="0.25">
      <c r="AC6688" s="8"/>
    </row>
    <row r="6689" spans="29:29" x14ac:dyDescent="0.25">
      <c r="AC6689" s="8"/>
    </row>
    <row r="6690" spans="29:29" x14ac:dyDescent="0.25">
      <c r="AC6690" s="8"/>
    </row>
    <row r="6691" spans="29:29" x14ac:dyDescent="0.25">
      <c r="AC6691" s="8"/>
    </row>
    <row r="6692" spans="29:29" x14ac:dyDescent="0.25">
      <c r="AC6692" s="8"/>
    </row>
    <row r="6693" spans="29:29" x14ac:dyDescent="0.25">
      <c r="AC6693" s="8"/>
    </row>
    <row r="6694" spans="29:29" x14ac:dyDescent="0.25">
      <c r="AC6694" s="8"/>
    </row>
    <row r="6695" spans="29:29" x14ac:dyDescent="0.25">
      <c r="AC6695" s="8"/>
    </row>
    <row r="6696" spans="29:29" x14ac:dyDescent="0.25">
      <c r="AC6696" s="8"/>
    </row>
    <row r="6697" spans="29:29" x14ac:dyDescent="0.25">
      <c r="AC6697" s="8"/>
    </row>
    <row r="6698" spans="29:29" x14ac:dyDescent="0.25">
      <c r="AC6698" s="8"/>
    </row>
    <row r="6699" spans="29:29" x14ac:dyDescent="0.25">
      <c r="AC6699" s="8"/>
    </row>
    <row r="6700" spans="29:29" x14ac:dyDescent="0.25">
      <c r="AC6700" s="8"/>
    </row>
    <row r="6701" spans="29:29" x14ac:dyDescent="0.25">
      <c r="AC6701" s="8"/>
    </row>
    <row r="6702" spans="29:29" x14ac:dyDescent="0.25">
      <c r="AC6702" s="8"/>
    </row>
    <row r="6703" spans="29:29" x14ac:dyDescent="0.25">
      <c r="AC6703" s="8"/>
    </row>
    <row r="6704" spans="29:29" x14ac:dyDescent="0.25">
      <c r="AC6704" s="8"/>
    </row>
    <row r="6705" spans="29:29" x14ac:dyDescent="0.25">
      <c r="AC6705" s="8"/>
    </row>
    <row r="6706" spans="29:29" x14ac:dyDescent="0.25">
      <c r="AC6706" s="8"/>
    </row>
    <row r="6707" spans="29:29" x14ac:dyDescent="0.25">
      <c r="AC6707" s="8"/>
    </row>
    <row r="6708" spans="29:29" x14ac:dyDescent="0.25">
      <c r="AC6708" s="8"/>
    </row>
    <row r="6709" spans="29:29" x14ac:dyDescent="0.25">
      <c r="AC6709" s="8"/>
    </row>
    <row r="6710" spans="29:29" x14ac:dyDescent="0.25">
      <c r="AC6710" s="8"/>
    </row>
    <row r="6711" spans="29:29" x14ac:dyDescent="0.25">
      <c r="AC6711" s="8"/>
    </row>
    <row r="6712" spans="29:29" x14ac:dyDescent="0.25">
      <c r="AC6712" s="8"/>
    </row>
    <row r="6713" spans="29:29" x14ac:dyDescent="0.25">
      <c r="AC6713" s="8"/>
    </row>
    <row r="6714" spans="29:29" x14ac:dyDescent="0.25">
      <c r="AC6714" s="8"/>
    </row>
    <row r="6715" spans="29:29" x14ac:dyDescent="0.25">
      <c r="AC6715" s="8"/>
    </row>
    <row r="6716" spans="29:29" x14ac:dyDescent="0.25">
      <c r="AC6716" s="8"/>
    </row>
    <row r="6717" spans="29:29" x14ac:dyDescent="0.25">
      <c r="AC6717" s="8"/>
    </row>
    <row r="6718" spans="29:29" x14ac:dyDescent="0.25">
      <c r="AC6718" s="8"/>
    </row>
    <row r="6719" spans="29:29" x14ac:dyDescent="0.25">
      <c r="AC6719" s="8"/>
    </row>
    <row r="6720" spans="29:29" x14ac:dyDescent="0.25">
      <c r="AC6720" s="8"/>
    </row>
    <row r="6721" spans="29:29" x14ac:dyDescent="0.25">
      <c r="AC6721" s="8"/>
    </row>
    <row r="6722" spans="29:29" x14ac:dyDescent="0.25">
      <c r="AC6722" s="8"/>
    </row>
    <row r="6723" spans="29:29" x14ac:dyDescent="0.25">
      <c r="AC6723" s="8"/>
    </row>
    <row r="6724" spans="29:29" x14ac:dyDescent="0.25">
      <c r="AC6724" s="8"/>
    </row>
    <row r="6725" spans="29:29" x14ac:dyDescent="0.25">
      <c r="AC6725" s="8"/>
    </row>
    <row r="6726" spans="29:29" x14ac:dyDescent="0.25">
      <c r="AC6726" s="8"/>
    </row>
    <row r="6727" spans="29:29" x14ac:dyDescent="0.25">
      <c r="AC6727" s="8"/>
    </row>
    <row r="6728" spans="29:29" x14ac:dyDescent="0.25">
      <c r="AC6728" s="8"/>
    </row>
    <row r="6729" spans="29:29" x14ac:dyDescent="0.25">
      <c r="AC6729" s="8"/>
    </row>
    <row r="6730" spans="29:29" x14ac:dyDescent="0.25">
      <c r="AC6730" s="8"/>
    </row>
    <row r="6731" spans="29:29" x14ac:dyDescent="0.25">
      <c r="AC6731" s="8"/>
    </row>
    <row r="6732" spans="29:29" x14ac:dyDescent="0.25">
      <c r="AC6732" s="8"/>
    </row>
    <row r="6733" spans="29:29" x14ac:dyDescent="0.25">
      <c r="AC6733" s="8"/>
    </row>
    <row r="6734" spans="29:29" x14ac:dyDescent="0.25">
      <c r="AC6734" s="8"/>
    </row>
    <row r="6735" spans="29:29" x14ac:dyDescent="0.25">
      <c r="AC6735" s="8"/>
    </row>
    <row r="6736" spans="29:29" x14ac:dyDescent="0.25">
      <c r="AC6736" s="8"/>
    </row>
    <row r="6737" spans="29:29" x14ac:dyDescent="0.25">
      <c r="AC6737" s="8"/>
    </row>
    <row r="6738" spans="29:29" x14ac:dyDescent="0.25">
      <c r="AC6738" s="8"/>
    </row>
    <row r="6739" spans="29:29" x14ac:dyDescent="0.25">
      <c r="AC6739" s="8"/>
    </row>
    <row r="6740" spans="29:29" x14ac:dyDescent="0.25">
      <c r="AC6740" s="8"/>
    </row>
    <row r="6741" spans="29:29" x14ac:dyDescent="0.25">
      <c r="AC6741" s="8"/>
    </row>
    <row r="6742" spans="29:29" x14ac:dyDescent="0.25">
      <c r="AC6742" s="8"/>
    </row>
    <row r="6743" spans="29:29" x14ac:dyDescent="0.25">
      <c r="AC6743" s="8"/>
    </row>
    <row r="6744" spans="29:29" x14ac:dyDescent="0.25">
      <c r="AC6744" s="8"/>
    </row>
    <row r="6745" spans="29:29" x14ac:dyDescent="0.25">
      <c r="AC6745" s="8"/>
    </row>
    <row r="6746" spans="29:29" x14ac:dyDescent="0.25">
      <c r="AC6746" s="8"/>
    </row>
    <row r="6747" spans="29:29" x14ac:dyDescent="0.25">
      <c r="AC6747" s="8"/>
    </row>
    <row r="6748" spans="29:29" x14ac:dyDescent="0.25">
      <c r="AC6748" s="8"/>
    </row>
    <row r="6749" spans="29:29" x14ac:dyDescent="0.25">
      <c r="AC6749" s="8"/>
    </row>
    <row r="6750" spans="29:29" x14ac:dyDescent="0.25">
      <c r="AC6750" s="8"/>
    </row>
    <row r="6751" spans="29:29" x14ac:dyDescent="0.25">
      <c r="AC6751" s="8"/>
    </row>
    <row r="6752" spans="29:29" x14ac:dyDescent="0.25">
      <c r="AC6752" s="8"/>
    </row>
    <row r="6753" spans="29:29" x14ac:dyDescent="0.25">
      <c r="AC6753" s="8"/>
    </row>
    <row r="6754" spans="29:29" x14ac:dyDescent="0.25">
      <c r="AC6754" s="8"/>
    </row>
    <row r="6755" spans="29:29" x14ac:dyDescent="0.25">
      <c r="AC6755" s="8"/>
    </row>
    <row r="6756" spans="29:29" x14ac:dyDescent="0.25">
      <c r="AC6756" s="8"/>
    </row>
    <row r="6757" spans="29:29" x14ac:dyDescent="0.25">
      <c r="AC6757" s="8"/>
    </row>
    <row r="6758" spans="29:29" x14ac:dyDescent="0.25">
      <c r="AC6758" s="8"/>
    </row>
    <row r="6759" spans="29:29" x14ac:dyDescent="0.25">
      <c r="AC6759" s="8"/>
    </row>
    <row r="6760" spans="29:29" x14ac:dyDescent="0.25">
      <c r="AC6760" s="8"/>
    </row>
    <row r="6761" spans="29:29" x14ac:dyDescent="0.25">
      <c r="AC6761" s="8"/>
    </row>
    <row r="6762" spans="29:29" x14ac:dyDescent="0.25">
      <c r="AC6762" s="8"/>
    </row>
    <row r="6763" spans="29:29" x14ac:dyDescent="0.25">
      <c r="AC6763" s="8"/>
    </row>
    <row r="6764" spans="29:29" x14ac:dyDescent="0.25">
      <c r="AC6764" s="8"/>
    </row>
    <row r="6765" spans="29:29" x14ac:dyDescent="0.25">
      <c r="AC6765" s="8"/>
    </row>
    <row r="6766" spans="29:29" x14ac:dyDescent="0.25">
      <c r="AC6766" s="8"/>
    </row>
    <row r="6767" spans="29:29" x14ac:dyDescent="0.25">
      <c r="AC6767" s="8"/>
    </row>
    <row r="6768" spans="29:29" x14ac:dyDescent="0.25">
      <c r="AC6768" s="8"/>
    </row>
    <row r="6769" spans="29:29" x14ac:dyDescent="0.25">
      <c r="AC6769" s="8"/>
    </row>
    <row r="6770" spans="29:29" x14ac:dyDescent="0.25">
      <c r="AC6770" s="8"/>
    </row>
    <row r="6771" spans="29:29" x14ac:dyDescent="0.25">
      <c r="AC6771" s="8"/>
    </row>
    <row r="6772" spans="29:29" x14ac:dyDescent="0.25">
      <c r="AC6772" s="8"/>
    </row>
    <row r="6773" spans="29:29" x14ac:dyDescent="0.25">
      <c r="AC6773" s="8"/>
    </row>
    <row r="6774" spans="29:29" x14ac:dyDescent="0.25">
      <c r="AC6774" s="8"/>
    </row>
    <row r="6775" spans="29:29" x14ac:dyDescent="0.25">
      <c r="AC6775" s="8"/>
    </row>
    <row r="6776" spans="29:29" x14ac:dyDescent="0.25">
      <c r="AC6776" s="8"/>
    </row>
    <row r="6777" spans="29:29" x14ac:dyDescent="0.25">
      <c r="AC6777" s="8"/>
    </row>
    <row r="6778" spans="29:29" x14ac:dyDescent="0.25">
      <c r="AC6778" s="8"/>
    </row>
    <row r="6779" spans="29:29" x14ac:dyDescent="0.25">
      <c r="AC6779" s="8"/>
    </row>
    <row r="6780" spans="29:29" x14ac:dyDescent="0.25">
      <c r="AC6780" s="8"/>
    </row>
    <row r="6781" spans="29:29" x14ac:dyDescent="0.25">
      <c r="AC6781" s="8"/>
    </row>
    <row r="6782" spans="29:29" x14ac:dyDescent="0.25">
      <c r="AC6782" s="8"/>
    </row>
    <row r="6783" spans="29:29" x14ac:dyDescent="0.25">
      <c r="AC6783" s="8"/>
    </row>
    <row r="6784" spans="29:29" x14ac:dyDescent="0.25">
      <c r="AC6784" s="8"/>
    </row>
    <row r="6785" spans="29:29" x14ac:dyDescent="0.25">
      <c r="AC6785" s="8"/>
    </row>
    <row r="6786" spans="29:29" x14ac:dyDescent="0.25">
      <c r="AC6786" s="8"/>
    </row>
    <row r="6787" spans="29:29" x14ac:dyDescent="0.25">
      <c r="AC6787" s="8"/>
    </row>
    <row r="6788" spans="29:29" x14ac:dyDescent="0.25">
      <c r="AC6788" s="8"/>
    </row>
    <row r="6789" spans="29:29" x14ac:dyDescent="0.25">
      <c r="AC6789" s="8"/>
    </row>
    <row r="6790" spans="29:29" x14ac:dyDescent="0.25">
      <c r="AC6790" s="8"/>
    </row>
    <row r="6791" spans="29:29" x14ac:dyDescent="0.25">
      <c r="AC6791" s="8"/>
    </row>
    <row r="6792" spans="29:29" x14ac:dyDescent="0.25">
      <c r="AC6792" s="8"/>
    </row>
    <row r="6793" spans="29:29" x14ac:dyDescent="0.25">
      <c r="AC6793" s="8"/>
    </row>
    <row r="6794" spans="29:29" x14ac:dyDescent="0.25">
      <c r="AC6794" s="8"/>
    </row>
    <row r="6795" spans="29:29" x14ac:dyDescent="0.25">
      <c r="AC6795" s="8"/>
    </row>
    <row r="6796" spans="29:29" x14ac:dyDescent="0.25">
      <c r="AC6796" s="8"/>
    </row>
    <row r="6797" spans="29:29" x14ac:dyDescent="0.25">
      <c r="AC6797" s="8"/>
    </row>
    <row r="6798" spans="29:29" x14ac:dyDescent="0.25">
      <c r="AC6798" s="8"/>
    </row>
    <row r="6799" spans="29:29" x14ac:dyDescent="0.25">
      <c r="AC6799" s="8"/>
    </row>
    <row r="6800" spans="29:29" x14ac:dyDescent="0.25">
      <c r="AC6800" s="8"/>
    </row>
    <row r="6801" spans="29:29" x14ac:dyDescent="0.25">
      <c r="AC6801" s="8"/>
    </row>
    <row r="6802" spans="29:29" x14ac:dyDescent="0.25">
      <c r="AC6802" s="8"/>
    </row>
    <row r="6803" spans="29:29" x14ac:dyDescent="0.25">
      <c r="AC6803" s="8"/>
    </row>
    <row r="6804" spans="29:29" x14ac:dyDescent="0.25">
      <c r="AC6804" s="8"/>
    </row>
    <row r="6805" spans="29:29" x14ac:dyDescent="0.25">
      <c r="AC6805" s="8"/>
    </row>
    <row r="6806" spans="29:29" x14ac:dyDescent="0.25">
      <c r="AC6806" s="8"/>
    </row>
    <row r="6807" spans="29:29" x14ac:dyDescent="0.25">
      <c r="AC6807" s="8"/>
    </row>
    <row r="6808" spans="29:29" x14ac:dyDescent="0.25">
      <c r="AC6808" s="8"/>
    </row>
    <row r="6809" spans="29:29" x14ac:dyDescent="0.25">
      <c r="AC6809" s="8"/>
    </row>
    <row r="6810" spans="29:29" x14ac:dyDescent="0.25">
      <c r="AC6810" s="8"/>
    </row>
    <row r="6811" spans="29:29" x14ac:dyDescent="0.25">
      <c r="AC6811" s="8"/>
    </row>
    <row r="6812" spans="29:29" x14ac:dyDescent="0.25">
      <c r="AC6812" s="8"/>
    </row>
    <row r="6813" spans="29:29" x14ac:dyDescent="0.25">
      <c r="AC6813" s="8"/>
    </row>
    <row r="6814" spans="29:29" x14ac:dyDescent="0.25">
      <c r="AC6814" s="8"/>
    </row>
    <row r="6815" spans="29:29" x14ac:dyDescent="0.25">
      <c r="AC6815" s="8"/>
    </row>
    <row r="6816" spans="29:29" x14ac:dyDescent="0.25">
      <c r="AC6816" s="8"/>
    </row>
    <row r="6817" spans="29:29" x14ac:dyDescent="0.25">
      <c r="AC6817" s="8"/>
    </row>
    <row r="6818" spans="29:29" x14ac:dyDescent="0.25">
      <c r="AC6818" s="8"/>
    </row>
    <row r="6819" spans="29:29" x14ac:dyDescent="0.25">
      <c r="AC6819" s="8"/>
    </row>
    <row r="6820" spans="29:29" x14ac:dyDescent="0.25">
      <c r="AC6820" s="8"/>
    </row>
    <row r="6821" spans="29:29" x14ac:dyDescent="0.25">
      <c r="AC6821" s="8"/>
    </row>
    <row r="6822" spans="29:29" x14ac:dyDescent="0.25">
      <c r="AC6822" s="8"/>
    </row>
    <row r="6823" spans="29:29" x14ac:dyDescent="0.25">
      <c r="AC6823" s="8"/>
    </row>
    <row r="6824" spans="29:29" x14ac:dyDescent="0.25">
      <c r="AC6824" s="8"/>
    </row>
    <row r="6825" spans="29:29" x14ac:dyDescent="0.25">
      <c r="AC6825" s="8"/>
    </row>
    <row r="6826" spans="29:29" x14ac:dyDescent="0.25">
      <c r="AC6826" s="8"/>
    </row>
    <row r="6827" spans="29:29" x14ac:dyDescent="0.25">
      <c r="AC6827" s="8"/>
    </row>
    <row r="6828" spans="29:29" x14ac:dyDescent="0.25">
      <c r="AC6828" s="8"/>
    </row>
    <row r="6829" spans="29:29" x14ac:dyDescent="0.25">
      <c r="AC6829" s="8"/>
    </row>
    <row r="6830" spans="29:29" x14ac:dyDescent="0.25">
      <c r="AC6830" s="8"/>
    </row>
    <row r="6831" spans="29:29" x14ac:dyDescent="0.25">
      <c r="AC6831" s="8"/>
    </row>
    <row r="6832" spans="29:29" x14ac:dyDescent="0.25">
      <c r="AC6832" s="8"/>
    </row>
    <row r="6833" spans="29:29" x14ac:dyDescent="0.25">
      <c r="AC6833" s="8"/>
    </row>
    <row r="6834" spans="29:29" x14ac:dyDescent="0.25">
      <c r="AC6834" s="8"/>
    </row>
    <row r="6835" spans="29:29" x14ac:dyDescent="0.25">
      <c r="AC6835" s="8"/>
    </row>
    <row r="6836" spans="29:29" x14ac:dyDescent="0.25">
      <c r="AC6836" s="8"/>
    </row>
    <row r="6837" spans="29:29" x14ac:dyDescent="0.25">
      <c r="AC6837" s="8"/>
    </row>
    <row r="6838" spans="29:29" x14ac:dyDescent="0.25">
      <c r="AC6838" s="8"/>
    </row>
    <row r="6839" spans="29:29" x14ac:dyDescent="0.25">
      <c r="AC6839" s="8"/>
    </row>
    <row r="6840" spans="29:29" x14ac:dyDescent="0.25">
      <c r="AC6840" s="8"/>
    </row>
    <row r="6841" spans="29:29" x14ac:dyDescent="0.25">
      <c r="AC6841" s="8"/>
    </row>
    <row r="6842" spans="29:29" x14ac:dyDescent="0.25">
      <c r="AC6842" s="8"/>
    </row>
    <row r="6843" spans="29:29" x14ac:dyDescent="0.25">
      <c r="AC6843" s="8"/>
    </row>
    <row r="6844" spans="29:29" x14ac:dyDescent="0.25">
      <c r="AC6844" s="8"/>
    </row>
    <row r="6845" spans="29:29" x14ac:dyDescent="0.25">
      <c r="AC6845" s="8"/>
    </row>
    <row r="6846" spans="29:29" x14ac:dyDescent="0.25">
      <c r="AC6846" s="8"/>
    </row>
    <row r="6847" spans="29:29" x14ac:dyDescent="0.25">
      <c r="AC6847" s="8"/>
    </row>
    <row r="6848" spans="29:29" x14ac:dyDescent="0.25">
      <c r="AC6848" s="8"/>
    </row>
    <row r="6849" spans="29:29" x14ac:dyDescent="0.25">
      <c r="AC6849" s="8"/>
    </row>
    <row r="6850" spans="29:29" x14ac:dyDescent="0.25">
      <c r="AC6850" s="8"/>
    </row>
    <row r="6851" spans="29:29" x14ac:dyDescent="0.25">
      <c r="AC6851" s="8"/>
    </row>
    <row r="6852" spans="29:29" x14ac:dyDescent="0.25">
      <c r="AC6852" s="8"/>
    </row>
    <row r="6853" spans="29:29" x14ac:dyDescent="0.25">
      <c r="AC6853" s="8"/>
    </row>
    <row r="6854" spans="29:29" x14ac:dyDescent="0.25">
      <c r="AC6854" s="8"/>
    </row>
    <row r="6855" spans="29:29" x14ac:dyDescent="0.25">
      <c r="AC6855" s="8"/>
    </row>
    <row r="6856" spans="29:29" x14ac:dyDescent="0.25">
      <c r="AC6856" s="8"/>
    </row>
    <row r="6857" spans="29:29" x14ac:dyDescent="0.25">
      <c r="AC6857" s="8"/>
    </row>
    <row r="6858" spans="29:29" x14ac:dyDescent="0.25">
      <c r="AC6858" s="8"/>
    </row>
    <row r="6859" spans="29:29" x14ac:dyDescent="0.25">
      <c r="AC6859" s="8"/>
    </row>
    <row r="6860" spans="29:29" x14ac:dyDescent="0.25">
      <c r="AC6860" s="8"/>
    </row>
    <row r="6861" spans="29:29" x14ac:dyDescent="0.25">
      <c r="AC6861" s="8"/>
    </row>
    <row r="6862" spans="29:29" x14ac:dyDescent="0.25">
      <c r="AC6862" s="8"/>
    </row>
    <row r="6863" spans="29:29" x14ac:dyDescent="0.25">
      <c r="AC6863" s="8"/>
    </row>
    <row r="6864" spans="29:29" x14ac:dyDescent="0.25">
      <c r="AC6864" s="8"/>
    </row>
    <row r="6865" spans="29:29" x14ac:dyDescent="0.25">
      <c r="AC6865" s="8"/>
    </row>
    <row r="6866" spans="29:29" x14ac:dyDescent="0.25">
      <c r="AC6866" s="8"/>
    </row>
    <row r="6867" spans="29:29" x14ac:dyDescent="0.25">
      <c r="AC6867" s="8"/>
    </row>
    <row r="6868" spans="29:29" x14ac:dyDescent="0.25">
      <c r="AC6868" s="8"/>
    </row>
    <row r="6869" spans="29:29" x14ac:dyDescent="0.25">
      <c r="AC6869" s="8"/>
    </row>
    <row r="6870" spans="29:29" x14ac:dyDescent="0.25">
      <c r="AC6870" s="8"/>
    </row>
    <row r="6871" spans="29:29" x14ac:dyDescent="0.25">
      <c r="AC6871" s="8"/>
    </row>
    <row r="6872" spans="29:29" x14ac:dyDescent="0.25">
      <c r="AC6872" s="8"/>
    </row>
    <row r="6873" spans="29:29" x14ac:dyDescent="0.25">
      <c r="AC6873" s="8"/>
    </row>
    <row r="6874" spans="29:29" x14ac:dyDescent="0.25">
      <c r="AC6874" s="8"/>
    </row>
    <row r="6875" spans="29:29" x14ac:dyDescent="0.25">
      <c r="AC6875" s="8"/>
    </row>
    <row r="6876" spans="29:29" x14ac:dyDescent="0.25">
      <c r="AC6876" s="8"/>
    </row>
    <row r="6877" spans="29:29" x14ac:dyDescent="0.25">
      <c r="AC6877" s="8"/>
    </row>
    <row r="6878" spans="29:29" x14ac:dyDescent="0.25">
      <c r="AC6878" s="8"/>
    </row>
    <row r="6879" spans="29:29" x14ac:dyDescent="0.25">
      <c r="AC6879" s="8"/>
    </row>
    <row r="6880" spans="29:29" x14ac:dyDescent="0.25">
      <c r="AC6880" s="8"/>
    </row>
    <row r="6881" spans="29:29" x14ac:dyDescent="0.25">
      <c r="AC6881" s="8"/>
    </row>
    <row r="6882" spans="29:29" x14ac:dyDescent="0.25">
      <c r="AC6882" s="8"/>
    </row>
    <row r="6883" spans="29:29" x14ac:dyDescent="0.25">
      <c r="AC6883" s="8"/>
    </row>
    <row r="6884" spans="29:29" x14ac:dyDescent="0.25">
      <c r="AC6884" s="8"/>
    </row>
    <row r="6885" spans="29:29" x14ac:dyDescent="0.25">
      <c r="AC6885" s="8"/>
    </row>
    <row r="6886" spans="29:29" x14ac:dyDescent="0.25">
      <c r="AC6886" s="8"/>
    </row>
    <row r="6887" spans="29:29" x14ac:dyDescent="0.25">
      <c r="AC6887" s="8"/>
    </row>
    <row r="6888" spans="29:29" x14ac:dyDescent="0.25">
      <c r="AC6888" s="8"/>
    </row>
    <row r="6889" spans="29:29" x14ac:dyDescent="0.25">
      <c r="AC6889" s="8"/>
    </row>
    <row r="6890" spans="29:29" x14ac:dyDescent="0.25">
      <c r="AC6890" s="8"/>
    </row>
    <row r="6891" spans="29:29" x14ac:dyDescent="0.25">
      <c r="AC6891" s="8"/>
    </row>
    <row r="6892" spans="29:29" x14ac:dyDescent="0.25">
      <c r="AC6892" s="8"/>
    </row>
    <row r="6893" spans="29:29" x14ac:dyDescent="0.25">
      <c r="AC6893" s="8"/>
    </row>
    <row r="6894" spans="29:29" x14ac:dyDescent="0.25">
      <c r="AC6894" s="8"/>
    </row>
    <row r="6895" spans="29:29" x14ac:dyDescent="0.25">
      <c r="AC6895" s="8"/>
    </row>
    <row r="6896" spans="29:29" x14ac:dyDescent="0.25">
      <c r="AC6896" s="8"/>
    </row>
    <row r="6897" spans="29:29" x14ac:dyDescent="0.25">
      <c r="AC6897" s="8"/>
    </row>
    <row r="6898" spans="29:29" x14ac:dyDescent="0.25">
      <c r="AC6898" s="8"/>
    </row>
    <row r="6899" spans="29:29" x14ac:dyDescent="0.25">
      <c r="AC6899" s="8"/>
    </row>
    <row r="6900" spans="29:29" x14ac:dyDescent="0.25">
      <c r="AC6900" s="8"/>
    </row>
    <row r="6901" spans="29:29" x14ac:dyDescent="0.25">
      <c r="AC6901" s="8"/>
    </row>
    <row r="6902" spans="29:29" x14ac:dyDescent="0.25">
      <c r="AC6902" s="8"/>
    </row>
    <row r="6903" spans="29:29" x14ac:dyDescent="0.25">
      <c r="AC6903" s="8"/>
    </row>
    <row r="6904" spans="29:29" x14ac:dyDescent="0.25">
      <c r="AC6904" s="8"/>
    </row>
    <row r="6905" spans="29:29" x14ac:dyDescent="0.25">
      <c r="AC6905" s="8"/>
    </row>
    <row r="6906" spans="29:29" x14ac:dyDescent="0.25">
      <c r="AC6906" s="8"/>
    </row>
    <row r="6907" spans="29:29" x14ac:dyDescent="0.25">
      <c r="AC6907" s="8"/>
    </row>
    <row r="6908" spans="29:29" x14ac:dyDescent="0.25">
      <c r="AC6908" s="8"/>
    </row>
    <row r="6909" spans="29:29" x14ac:dyDescent="0.25">
      <c r="AC6909" s="8"/>
    </row>
    <row r="6910" spans="29:29" x14ac:dyDescent="0.25">
      <c r="AC6910" s="8"/>
    </row>
    <row r="6911" spans="29:29" x14ac:dyDescent="0.25">
      <c r="AC6911" s="8"/>
    </row>
    <row r="6912" spans="29:29" x14ac:dyDescent="0.25">
      <c r="AC6912" s="8"/>
    </row>
    <row r="6913" spans="29:29" x14ac:dyDescent="0.25">
      <c r="AC6913" s="8"/>
    </row>
    <row r="6914" spans="29:29" x14ac:dyDescent="0.25">
      <c r="AC6914" s="8"/>
    </row>
    <row r="6915" spans="29:29" x14ac:dyDescent="0.25">
      <c r="AC6915" s="8"/>
    </row>
    <row r="6916" spans="29:29" x14ac:dyDescent="0.25">
      <c r="AC6916" s="8"/>
    </row>
    <row r="6917" spans="29:29" x14ac:dyDescent="0.25">
      <c r="AC6917" s="8"/>
    </row>
    <row r="6918" spans="29:29" x14ac:dyDescent="0.25">
      <c r="AC6918" s="8"/>
    </row>
    <row r="6919" spans="29:29" x14ac:dyDescent="0.25">
      <c r="AC6919" s="8"/>
    </row>
    <row r="6920" spans="29:29" x14ac:dyDescent="0.25">
      <c r="AC6920" s="8"/>
    </row>
    <row r="6921" spans="29:29" x14ac:dyDescent="0.25">
      <c r="AC6921" s="8"/>
    </row>
    <row r="6922" spans="29:29" x14ac:dyDescent="0.25">
      <c r="AC6922" s="8"/>
    </row>
    <row r="6923" spans="29:29" x14ac:dyDescent="0.25">
      <c r="AC6923" s="8"/>
    </row>
    <row r="6924" spans="29:29" x14ac:dyDescent="0.25">
      <c r="AC6924" s="8"/>
    </row>
    <row r="6925" spans="29:29" x14ac:dyDescent="0.25">
      <c r="AC6925" s="8"/>
    </row>
    <row r="6926" spans="29:29" x14ac:dyDescent="0.25">
      <c r="AC6926" s="8"/>
    </row>
    <row r="6927" spans="29:29" x14ac:dyDescent="0.25">
      <c r="AC6927" s="8"/>
    </row>
    <row r="6928" spans="29:29" x14ac:dyDescent="0.25">
      <c r="AC6928" s="8"/>
    </row>
    <row r="6929" spans="29:29" x14ac:dyDescent="0.25">
      <c r="AC6929" s="8"/>
    </row>
    <row r="6930" spans="29:29" x14ac:dyDescent="0.25">
      <c r="AC6930" s="8"/>
    </row>
    <row r="6931" spans="29:29" x14ac:dyDescent="0.25">
      <c r="AC6931" s="8"/>
    </row>
    <row r="6932" spans="29:29" x14ac:dyDescent="0.25">
      <c r="AC6932" s="8"/>
    </row>
    <row r="6933" spans="29:29" x14ac:dyDescent="0.25">
      <c r="AC6933" s="8"/>
    </row>
    <row r="6934" spans="29:29" x14ac:dyDescent="0.25">
      <c r="AC6934" s="8"/>
    </row>
    <row r="6935" spans="29:29" x14ac:dyDescent="0.25">
      <c r="AC6935" s="8"/>
    </row>
    <row r="6936" spans="29:29" x14ac:dyDescent="0.25">
      <c r="AC6936" s="8"/>
    </row>
    <row r="6937" spans="29:29" x14ac:dyDescent="0.25">
      <c r="AC6937" s="8"/>
    </row>
    <row r="6938" spans="29:29" x14ac:dyDescent="0.25">
      <c r="AC6938" s="8"/>
    </row>
    <row r="6939" spans="29:29" x14ac:dyDescent="0.25">
      <c r="AC6939" s="8"/>
    </row>
    <row r="6940" spans="29:29" x14ac:dyDescent="0.25">
      <c r="AC6940" s="8"/>
    </row>
    <row r="6941" spans="29:29" x14ac:dyDescent="0.25">
      <c r="AC6941" s="8"/>
    </row>
    <row r="6942" spans="29:29" x14ac:dyDescent="0.25">
      <c r="AC6942" s="8"/>
    </row>
    <row r="6943" spans="29:29" x14ac:dyDescent="0.25">
      <c r="AC6943" s="8"/>
    </row>
    <row r="6944" spans="29:29" x14ac:dyDescent="0.25">
      <c r="AC6944" s="8"/>
    </row>
    <row r="6945" spans="29:29" x14ac:dyDescent="0.25">
      <c r="AC6945" s="8"/>
    </row>
    <row r="6946" spans="29:29" x14ac:dyDescent="0.25">
      <c r="AC6946" s="8"/>
    </row>
    <row r="6947" spans="29:29" x14ac:dyDescent="0.25">
      <c r="AC6947" s="8"/>
    </row>
    <row r="6948" spans="29:29" x14ac:dyDescent="0.25">
      <c r="AC6948" s="8"/>
    </row>
    <row r="6949" spans="29:29" x14ac:dyDescent="0.25">
      <c r="AC6949" s="8"/>
    </row>
    <row r="6950" spans="29:29" x14ac:dyDescent="0.25">
      <c r="AC6950" s="8"/>
    </row>
    <row r="6951" spans="29:29" x14ac:dyDescent="0.25">
      <c r="AC6951" s="8"/>
    </row>
    <row r="6952" spans="29:29" x14ac:dyDescent="0.25">
      <c r="AC6952" s="8"/>
    </row>
    <row r="6953" spans="29:29" x14ac:dyDescent="0.25">
      <c r="AC6953" s="8"/>
    </row>
    <row r="6954" spans="29:29" x14ac:dyDescent="0.25">
      <c r="AC6954" s="8"/>
    </row>
    <row r="6955" spans="29:29" x14ac:dyDescent="0.25">
      <c r="AC6955" s="8"/>
    </row>
    <row r="6956" spans="29:29" x14ac:dyDescent="0.25">
      <c r="AC6956" s="8"/>
    </row>
    <row r="6957" spans="29:29" x14ac:dyDescent="0.25">
      <c r="AC6957" s="8"/>
    </row>
    <row r="6958" spans="29:29" x14ac:dyDescent="0.25">
      <c r="AC6958" s="8"/>
    </row>
    <row r="6959" spans="29:29" x14ac:dyDescent="0.25">
      <c r="AC6959" s="8"/>
    </row>
    <row r="6960" spans="29:29" x14ac:dyDescent="0.25">
      <c r="AC6960" s="8"/>
    </row>
    <row r="6961" spans="29:29" x14ac:dyDescent="0.25">
      <c r="AC6961" s="8"/>
    </row>
    <row r="6962" spans="29:29" x14ac:dyDescent="0.25">
      <c r="AC6962" s="8"/>
    </row>
    <row r="6963" spans="29:29" x14ac:dyDescent="0.25">
      <c r="AC6963" s="8"/>
    </row>
    <row r="6964" spans="29:29" x14ac:dyDescent="0.25">
      <c r="AC6964" s="8"/>
    </row>
    <row r="6965" spans="29:29" x14ac:dyDescent="0.25">
      <c r="AC6965" s="8"/>
    </row>
    <row r="6966" spans="29:29" x14ac:dyDescent="0.25">
      <c r="AC6966" s="8"/>
    </row>
    <row r="6967" spans="29:29" x14ac:dyDescent="0.25">
      <c r="AC6967" s="8"/>
    </row>
    <row r="6968" spans="29:29" x14ac:dyDescent="0.25">
      <c r="AC6968" s="8"/>
    </row>
    <row r="6969" spans="29:29" x14ac:dyDescent="0.25">
      <c r="AC6969" s="8"/>
    </row>
    <row r="6970" spans="29:29" x14ac:dyDescent="0.25">
      <c r="AC6970" s="8"/>
    </row>
    <row r="6971" spans="29:29" x14ac:dyDescent="0.25">
      <c r="AC6971" s="8"/>
    </row>
    <row r="6972" spans="29:29" x14ac:dyDescent="0.25">
      <c r="AC6972" s="8"/>
    </row>
    <row r="6973" spans="29:29" x14ac:dyDescent="0.25">
      <c r="AC6973" s="8"/>
    </row>
    <row r="6974" spans="29:29" x14ac:dyDescent="0.25">
      <c r="AC6974" s="8"/>
    </row>
    <row r="6975" spans="29:29" x14ac:dyDescent="0.25">
      <c r="AC6975" s="8"/>
    </row>
    <row r="6976" spans="29:29" x14ac:dyDescent="0.25">
      <c r="AC6976" s="8"/>
    </row>
    <row r="6977" spans="29:29" x14ac:dyDescent="0.25">
      <c r="AC6977" s="8"/>
    </row>
    <row r="6978" spans="29:29" x14ac:dyDescent="0.25">
      <c r="AC6978" s="8"/>
    </row>
    <row r="6979" spans="29:29" x14ac:dyDescent="0.25">
      <c r="AC6979" s="8"/>
    </row>
    <row r="6980" spans="29:29" x14ac:dyDescent="0.25">
      <c r="AC6980" s="8"/>
    </row>
    <row r="6981" spans="29:29" x14ac:dyDescent="0.25">
      <c r="AC6981" s="8"/>
    </row>
    <row r="6982" spans="29:29" x14ac:dyDescent="0.25">
      <c r="AC6982" s="8"/>
    </row>
    <row r="6983" spans="29:29" x14ac:dyDescent="0.25">
      <c r="AC6983" s="8"/>
    </row>
    <row r="6984" spans="29:29" x14ac:dyDescent="0.25">
      <c r="AC6984" s="8"/>
    </row>
    <row r="6985" spans="29:29" x14ac:dyDescent="0.25">
      <c r="AC6985" s="8"/>
    </row>
    <row r="6986" spans="29:29" x14ac:dyDescent="0.25">
      <c r="AC6986" s="8"/>
    </row>
    <row r="6987" spans="29:29" x14ac:dyDescent="0.25">
      <c r="AC6987" s="8"/>
    </row>
    <row r="6988" spans="29:29" x14ac:dyDescent="0.25">
      <c r="AC6988" s="8"/>
    </row>
    <row r="6989" spans="29:29" x14ac:dyDescent="0.25">
      <c r="AC6989" s="8"/>
    </row>
    <row r="6990" spans="29:29" x14ac:dyDescent="0.25">
      <c r="AC6990" s="8"/>
    </row>
    <row r="6991" spans="29:29" x14ac:dyDescent="0.25">
      <c r="AC6991" s="8"/>
    </row>
    <row r="6992" spans="29:29" x14ac:dyDescent="0.25">
      <c r="AC6992" s="8"/>
    </row>
    <row r="6993" spans="29:29" x14ac:dyDescent="0.25">
      <c r="AC6993" s="8"/>
    </row>
    <row r="6994" spans="29:29" x14ac:dyDescent="0.25">
      <c r="AC6994" s="8"/>
    </row>
    <row r="6995" spans="29:29" x14ac:dyDescent="0.25">
      <c r="AC6995" s="8"/>
    </row>
    <row r="6996" spans="29:29" x14ac:dyDescent="0.25">
      <c r="AC6996" s="8"/>
    </row>
    <row r="6997" spans="29:29" x14ac:dyDescent="0.25">
      <c r="AC6997" s="8"/>
    </row>
    <row r="6998" spans="29:29" x14ac:dyDescent="0.25">
      <c r="AC6998" s="8"/>
    </row>
    <row r="6999" spans="29:29" x14ac:dyDescent="0.25">
      <c r="AC6999" s="8"/>
    </row>
    <row r="7000" spans="29:29" x14ac:dyDescent="0.25">
      <c r="AC7000" s="8"/>
    </row>
    <row r="7001" spans="29:29" x14ac:dyDescent="0.25">
      <c r="AC7001" s="8"/>
    </row>
    <row r="7002" spans="29:29" x14ac:dyDescent="0.25">
      <c r="AC7002" s="8"/>
    </row>
    <row r="7003" spans="29:29" x14ac:dyDescent="0.25">
      <c r="AC7003" s="8"/>
    </row>
    <row r="7004" spans="29:29" x14ac:dyDescent="0.25">
      <c r="AC7004" s="8"/>
    </row>
    <row r="7005" spans="29:29" x14ac:dyDescent="0.25">
      <c r="AC7005" s="8"/>
    </row>
    <row r="7006" spans="29:29" x14ac:dyDescent="0.25">
      <c r="AC7006" s="8"/>
    </row>
    <row r="7007" spans="29:29" x14ac:dyDescent="0.25">
      <c r="AC7007" s="8"/>
    </row>
    <row r="7008" spans="29:29" x14ac:dyDescent="0.25">
      <c r="AC7008" s="8"/>
    </row>
    <row r="7009" spans="29:29" x14ac:dyDescent="0.25">
      <c r="AC7009" s="8"/>
    </row>
    <row r="7010" spans="29:29" x14ac:dyDescent="0.25">
      <c r="AC7010" s="8"/>
    </row>
    <row r="7011" spans="29:29" x14ac:dyDescent="0.25">
      <c r="AC7011" s="8"/>
    </row>
    <row r="7012" spans="29:29" x14ac:dyDescent="0.25">
      <c r="AC7012" s="8"/>
    </row>
    <row r="7013" spans="29:29" x14ac:dyDescent="0.25">
      <c r="AC7013" s="8"/>
    </row>
    <row r="7014" spans="29:29" x14ac:dyDescent="0.25">
      <c r="AC7014" s="8"/>
    </row>
    <row r="7015" spans="29:29" x14ac:dyDescent="0.25">
      <c r="AC7015" s="8"/>
    </row>
    <row r="7016" spans="29:29" x14ac:dyDescent="0.25">
      <c r="AC7016" s="8"/>
    </row>
    <row r="7017" spans="29:29" x14ac:dyDescent="0.25">
      <c r="AC7017" s="8"/>
    </row>
    <row r="7018" spans="29:29" x14ac:dyDescent="0.25">
      <c r="AC7018" s="8"/>
    </row>
    <row r="7019" spans="29:29" x14ac:dyDescent="0.25">
      <c r="AC7019" s="8"/>
    </row>
    <row r="7020" spans="29:29" x14ac:dyDescent="0.25">
      <c r="AC7020" s="8"/>
    </row>
    <row r="7021" spans="29:29" x14ac:dyDescent="0.25">
      <c r="AC7021" s="8"/>
    </row>
    <row r="7022" spans="29:29" x14ac:dyDescent="0.25">
      <c r="AC7022" s="8"/>
    </row>
    <row r="7023" spans="29:29" x14ac:dyDescent="0.25">
      <c r="AC7023" s="8"/>
    </row>
    <row r="7024" spans="29:29" x14ac:dyDescent="0.25">
      <c r="AC7024" s="8"/>
    </row>
    <row r="7025" spans="29:29" x14ac:dyDescent="0.25">
      <c r="AC7025" s="8"/>
    </row>
    <row r="7026" spans="29:29" x14ac:dyDescent="0.25">
      <c r="AC7026" s="8"/>
    </row>
    <row r="7027" spans="29:29" x14ac:dyDescent="0.25">
      <c r="AC7027" s="8"/>
    </row>
    <row r="7028" spans="29:29" x14ac:dyDescent="0.25">
      <c r="AC7028" s="8"/>
    </row>
    <row r="7029" spans="29:29" x14ac:dyDescent="0.25">
      <c r="AC7029" s="8"/>
    </row>
    <row r="7030" spans="29:29" x14ac:dyDescent="0.25">
      <c r="AC7030" s="8"/>
    </row>
    <row r="7031" spans="29:29" x14ac:dyDescent="0.25">
      <c r="AC7031" s="8"/>
    </row>
    <row r="7032" spans="29:29" x14ac:dyDescent="0.25">
      <c r="AC7032" s="8"/>
    </row>
    <row r="7033" spans="29:29" x14ac:dyDescent="0.25">
      <c r="AC7033" s="8"/>
    </row>
    <row r="7034" spans="29:29" x14ac:dyDescent="0.25">
      <c r="AC7034" s="8"/>
    </row>
    <row r="7035" spans="29:29" x14ac:dyDescent="0.25">
      <c r="AC7035" s="8"/>
    </row>
    <row r="7036" spans="29:29" x14ac:dyDescent="0.25">
      <c r="AC7036" s="8"/>
    </row>
    <row r="7037" spans="29:29" x14ac:dyDescent="0.25">
      <c r="AC7037" s="8"/>
    </row>
    <row r="7038" spans="29:29" x14ac:dyDescent="0.25">
      <c r="AC7038" s="8"/>
    </row>
    <row r="7039" spans="29:29" x14ac:dyDescent="0.25">
      <c r="AC7039" s="8"/>
    </row>
    <row r="7040" spans="29:29" x14ac:dyDescent="0.25">
      <c r="AC7040" s="8"/>
    </row>
    <row r="7041" spans="29:29" x14ac:dyDescent="0.25">
      <c r="AC7041" s="8"/>
    </row>
    <row r="7042" spans="29:29" x14ac:dyDescent="0.25">
      <c r="AC7042" s="8"/>
    </row>
    <row r="7043" spans="29:29" x14ac:dyDescent="0.25">
      <c r="AC7043" s="8"/>
    </row>
    <row r="7044" spans="29:29" x14ac:dyDescent="0.25">
      <c r="AC7044" s="8"/>
    </row>
    <row r="7045" spans="29:29" x14ac:dyDescent="0.25">
      <c r="AC7045" s="8"/>
    </row>
    <row r="7046" spans="29:29" x14ac:dyDescent="0.25">
      <c r="AC7046" s="8"/>
    </row>
    <row r="7047" spans="29:29" x14ac:dyDescent="0.25">
      <c r="AC7047" s="8"/>
    </row>
    <row r="7048" spans="29:29" x14ac:dyDescent="0.25">
      <c r="AC7048" s="8"/>
    </row>
    <row r="7049" spans="29:29" x14ac:dyDescent="0.25">
      <c r="AC7049" s="8"/>
    </row>
    <row r="7050" spans="29:29" x14ac:dyDescent="0.25">
      <c r="AC7050" s="8"/>
    </row>
    <row r="7051" spans="29:29" x14ac:dyDescent="0.25">
      <c r="AC7051" s="8"/>
    </row>
    <row r="7052" spans="29:29" x14ac:dyDescent="0.25">
      <c r="AC7052" s="8"/>
    </row>
    <row r="7053" spans="29:29" x14ac:dyDescent="0.25">
      <c r="AC7053" s="8"/>
    </row>
    <row r="7054" spans="29:29" x14ac:dyDescent="0.25">
      <c r="AC7054" s="8"/>
    </row>
    <row r="7055" spans="29:29" x14ac:dyDescent="0.25">
      <c r="AC7055" s="8"/>
    </row>
    <row r="7056" spans="29:29" x14ac:dyDescent="0.25">
      <c r="AC7056" s="8"/>
    </row>
    <row r="7057" spans="29:29" x14ac:dyDescent="0.25">
      <c r="AC7057" s="8"/>
    </row>
    <row r="7058" spans="29:29" x14ac:dyDescent="0.25">
      <c r="AC7058" s="8"/>
    </row>
    <row r="7059" spans="29:29" x14ac:dyDescent="0.25">
      <c r="AC7059" s="8"/>
    </row>
    <row r="7060" spans="29:29" x14ac:dyDescent="0.25">
      <c r="AC7060" s="8"/>
    </row>
    <row r="7061" spans="29:29" x14ac:dyDescent="0.25">
      <c r="AC7061" s="8"/>
    </row>
    <row r="7062" spans="29:29" x14ac:dyDescent="0.25">
      <c r="AC7062" s="8"/>
    </row>
    <row r="7063" spans="29:29" x14ac:dyDescent="0.25">
      <c r="AC7063" s="8"/>
    </row>
    <row r="7064" spans="29:29" x14ac:dyDescent="0.25">
      <c r="AC7064" s="8"/>
    </row>
    <row r="7065" spans="29:29" x14ac:dyDescent="0.25">
      <c r="AC7065" s="8"/>
    </row>
    <row r="7066" spans="29:29" x14ac:dyDescent="0.25">
      <c r="AC7066" s="8"/>
    </row>
    <row r="7067" spans="29:29" x14ac:dyDescent="0.25">
      <c r="AC7067" s="8"/>
    </row>
    <row r="7068" spans="29:29" x14ac:dyDescent="0.25">
      <c r="AC7068" s="8"/>
    </row>
    <row r="7069" spans="29:29" x14ac:dyDescent="0.25">
      <c r="AC7069" s="8"/>
    </row>
    <row r="7070" spans="29:29" x14ac:dyDescent="0.25">
      <c r="AC7070" s="8"/>
    </row>
    <row r="7071" spans="29:29" x14ac:dyDescent="0.25">
      <c r="AC7071" s="8"/>
    </row>
    <row r="7072" spans="29:29" x14ac:dyDescent="0.25">
      <c r="AC7072" s="8"/>
    </row>
    <row r="7073" spans="29:29" x14ac:dyDescent="0.25">
      <c r="AC7073" s="8"/>
    </row>
    <row r="7074" spans="29:29" x14ac:dyDescent="0.25">
      <c r="AC7074" s="8"/>
    </row>
    <row r="7075" spans="29:29" x14ac:dyDescent="0.25">
      <c r="AC7075" s="8"/>
    </row>
    <row r="7076" spans="29:29" x14ac:dyDescent="0.25">
      <c r="AC7076" s="8"/>
    </row>
    <row r="7077" spans="29:29" x14ac:dyDescent="0.25">
      <c r="AC7077" s="8"/>
    </row>
    <row r="7078" spans="29:29" x14ac:dyDescent="0.25">
      <c r="AC7078" s="8"/>
    </row>
    <row r="7079" spans="29:29" x14ac:dyDescent="0.25">
      <c r="AC7079" s="8"/>
    </row>
    <row r="7080" spans="29:29" x14ac:dyDescent="0.25">
      <c r="AC7080" s="8"/>
    </row>
    <row r="7081" spans="29:29" x14ac:dyDescent="0.25">
      <c r="AC7081" s="8"/>
    </row>
    <row r="7082" spans="29:29" x14ac:dyDescent="0.25">
      <c r="AC7082" s="8"/>
    </row>
    <row r="7083" spans="29:29" x14ac:dyDescent="0.25">
      <c r="AC7083" s="8"/>
    </row>
    <row r="7084" spans="29:29" x14ac:dyDescent="0.25">
      <c r="AC7084" s="8"/>
    </row>
    <row r="7085" spans="29:29" x14ac:dyDescent="0.25">
      <c r="AC7085" s="8"/>
    </row>
    <row r="7086" spans="29:29" x14ac:dyDescent="0.25">
      <c r="AC7086" s="8"/>
    </row>
    <row r="7087" spans="29:29" x14ac:dyDescent="0.25">
      <c r="AC7087" s="8"/>
    </row>
    <row r="7088" spans="29:29" x14ac:dyDescent="0.25">
      <c r="AC7088" s="8"/>
    </row>
    <row r="7089" spans="29:29" x14ac:dyDescent="0.25">
      <c r="AC7089" s="8"/>
    </row>
    <row r="7090" spans="29:29" x14ac:dyDescent="0.25">
      <c r="AC7090" s="8"/>
    </row>
    <row r="7091" spans="29:29" x14ac:dyDescent="0.25">
      <c r="AC7091" s="8"/>
    </row>
    <row r="7092" spans="29:29" x14ac:dyDescent="0.25">
      <c r="AC7092" s="8"/>
    </row>
    <row r="7093" spans="29:29" x14ac:dyDescent="0.25">
      <c r="AC7093" s="8"/>
    </row>
    <row r="7094" spans="29:29" x14ac:dyDescent="0.25">
      <c r="AC7094" s="8"/>
    </row>
    <row r="7095" spans="29:29" x14ac:dyDescent="0.25">
      <c r="AC7095" s="8"/>
    </row>
    <row r="7096" spans="29:29" x14ac:dyDescent="0.25">
      <c r="AC7096" s="8"/>
    </row>
    <row r="7097" spans="29:29" x14ac:dyDescent="0.25">
      <c r="AC7097" s="8"/>
    </row>
    <row r="7098" spans="29:29" x14ac:dyDescent="0.25">
      <c r="AC7098" s="8"/>
    </row>
    <row r="7099" spans="29:29" x14ac:dyDescent="0.25">
      <c r="AC7099" s="8"/>
    </row>
    <row r="7100" spans="29:29" x14ac:dyDescent="0.25">
      <c r="AC7100" s="8"/>
    </row>
    <row r="7101" spans="29:29" x14ac:dyDescent="0.25">
      <c r="AC7101" s="8"/>
    </row>
    <row r="7102" spans="29:29" x14ac:dyDescent="0.25">
      <c r="AC7102" s="8"/>
    </row>
    <row r="7103" spans="29:29" x14ac:dyDescent="0.25">
      <c r="AC7103" s="8"/>
    </row>
    <row r="7104" spans="29:29" x14ac:dyDescent="0.25">
      <c r="AC7104" s="8"/>
    </row>
    <row r="7105" spans="29:29" x14ac:dyDescent="0.25">
      <c r="AC7105" s="8"/>
    </row>
    <row r="7106" spans="29:29" x14ac:dyDescent="0.25">
      <c r="AC7106" s="8"/>
    </row>
    <row r="7107" spans="29:29" x14ac:dyDescent="0.25">
      <c r="AC7107" s="8"/>
    </row>
    <row r="7108" spans="29:29" x14ac:dyDescent="0.25">
      <c r="AC7108" s="8"/>
    </row>
    <row r="7109" spans="29:29" x14ac:dyDescent="0.25">
      <c r="AC7109" s="8"/>
    </row>
    <row r="7110" spans="29:29" x14ac:dyDescent="0.25">
      <c r="AC7110" s="8"/>
    </row>
    <row r="7111" spans="29:29" x14ac:dyDescent="0.25">
      <c r="AC7111" s="8"/>
    </row>
    <row r="7112" spans="29:29" x14ac:dyDescent="0.25">
      <c r="AC7112" s="8"/>
    </row>
    <row r="7113" spans="29:29" x14ac:dyDescent="0.25">
      <c r="AC7113" s="8"/>
    </row>
    <row r="7114" spans="29:29" x14ac:dyDescent="0.25">
      <c r="AC7114" s="8"/>
    </row>
    <row r="7115" spans="29:29" x14ac:dyDescent="0.25">
      <c r="AC7115" s="8"/>
    </row>
    <row r="7116" spans="29:29" x14ac:dyDescent="0.25">
      <c r="AC7116" s="8"/>
    </row>
    <row r="7117" spans="29:29" x14ac:dyDescent="0.25">
      <c r="AC7117" s="8"/>
    </row>
    <row r="7118" spans="29:29" x14ac:dyDescent="0.25">
      <c r="AC7118" s="8"/>
    </row>
    <row r="7119" spans="29:29" x14ac:dyDescent="0.25">
      <c r="AC7119" s="8"/>
    </row>
    <row r="7120" spans="29:29" x14ac:dyDescent="0.25">
      <c r="AC7120" s="8"/>
    </row>
    <row r="7121" spans="29:29" x14ac:dyDescent="0.25">
      <c r="AC7121" s="8"/>
    </row>
    <row r="7122" spans="29:29" x14ac:dyDescent="0.25">
      <c r="AC7122" s="8"/>
    </row>
    <row r="7123" spans="29:29" x14ac:dyDescent="0.25">
      <c r="AC7123" s="8"/>
    </row>
    <row r="7124" spans="29:29" x14ac:dyDescent="0.25">
      <c r="AC7124" s="8"/>
    </row>
    <row r="7125" spans="29:29" x14ac:dyDescent="0.25">
      <c r="AC7125" s="8"/>
    </row>
    <row r="7126" spans="29:29" x14ac:dyDescent="0.25">
      <c r="AC7126" s="8"/>
    </row>
    <row r="7127" spans="29:29" x14ac:dyDescent="0.25">
      <c r="AC7127" s="8"/>
    </row>
    <row r="7128" spans="29:29" x14ac:dyDescent="0.25">
      <c r="AC7128" s="8"/>
    </row>
    <row r="7129" spans="29:29" x14ac:dyDescent="0.25">
      <c r="AC7129" s="8"/>
    </row>
    <row r="7130" spans="29:29" x14ac:dyDescent="0.25">
      <c r="AC7130" s="8"/>
    </row>
    <row r="7131" spans="29:29" x14ac:dyDescent="0.25">
      <c r="AC7131" s="8"/>
    </row>
    <row r="7132" spans="29:29" x14ac:dyDescent="0.25">
      <c r="AC7132" s="8"/>
    </row>
    <row r="7133" spans="29:29" x14ac:dyDescent="0.25">
      <c r="AC7133" s="8"/>
    </row>
    <row r="7134" spans="29:29" x14ac:dyDescent="0.25">
      <c r="AC7134" s="8"/>
    </row>
    <row r="7135" spans="29:29" x14ac:dyDescent="0.25">
      <c r="AC7135" s="8"/>
    </row>
    <row r="7136" spans="29:29" x14ac:dyDescent="0.25">
      <c r="AC7136" s="8"/>
    </row>
    <row r="7137" spans="29:29" x14ac:dyDescent="0.25">
      <c r="AC7137" s="8"/>
    </row>
    <row r="7138" spans="29:29" x14ac:dyDescent="0.25">
      <c r="AC7138" s="8"/>
    </row>
    <row r="7139" spans="29:29" x14ac:dyDescent="0.25">
      <c r="AC7139" s="8"/>
    </row>
    <row r="7140" spans="29:29" x14ac:dyDescent="0.25">
      <c r="AC7140" s="8"/>
    </row>
    <row r="7141" spans="29:29" x14ac:dyDescent="0.25">
      <c r="AC7141" s="8"/>
    </row>
    <row r="7142" spans="29:29" x14ac:dyDescent="0.25">
      <c r="AC7142" s="8"/>
    </row>
    <row r="7143" spans="29:29" x14ac:dyDescent="0.25">
      <c r="AC7143" s="8"/>
    </row>
    <row r="7144" spans="29:29" x14ac:dyDescent="0.25">
      <c r="AC7144" s="8"/>
    </row>
    <row r="7145" spans="29:29" x14ac:dyDescent="0.25">
      <c r="AC7145" s="8"/>
    </row>
    <row r="7146" spans="29:29" x14ac:dyDescent="0.25">
      <c r="AC7146" s="8"/>
    </row>
    <row r="7147" spans="29:29" x14ac:dyDescent="0.25">
      <c r="AC7147" s="8"/>
    </row>
    <row r="7148" spans="29:29" x14ac:dyDescent="0.25">
      <c r="AC7148" s="8"/>
    </row>
    <row r="7149" spans="29:29" x14ac:dyDescent="0.25">
      <c r="AC7149" s="8"/>
    </row>
    <row r="7150" spans="29:29" x14ac:dyDescent="0.25">
      <c r="AC7150" s="8"/>
    </row>
    <row r="7151" spans="29:29" x14ac:dyDescent="0.25">
      <c r="AC7151" s="8"/>
    </row>
    <row r="7152" spans="29:29" x14ac:dyDescent="0.25">
      <c r="AC7152" s="8"/>
    </row>
    <row r="7153" spans="29:29" x14ac:dyDescent="0.25">
      <c r="AC7153" s="8"/>
    </row>
    <row r="7154" spans="29:29" x14ac:dyDescent="0.25">
      <c r="AC7154" s="8"/>
    </row>
    <row r="7155" spans="29:29" x14ac:dyDescent="0.25">
      <c r="AC7155" s="8"/>
    </row>
    <row r="7156" spans="29:29" x14ac:dyDescent="0.25">
      <c r="AC7156" s="8"/>
    </row>
    <row r="7157" spans="29:29" x14ac:dyDescent="0.25">
      <c r="AC7157" s="8"/>
    </row>
    <row r="7158" spans="29:29" x14ac:dyDescent="0.25">
      <c r="AC7158" s="8"/>
    </row>
    <row r="7159" spans="29:29" x14ac:dyDescent="0.25">
      <c r="AC7159" s="8"/>
    </row>
    <row r="7160" spans="29:29" x14ac:dyDescent="0.25">
      <c r="AC7160" s="8"/>
    </row>
    <row r="7161" spans="29:29" x14ac:dyDescent="0.25">
      <c r="AC7161" s="8"/>
    </row>
    <row r="7162" spans="29:29" x14ac:dyDescent="0.25">
      <c r="AC7162" s="8"/>
    </row>
    <row r="7163" spans="29:29" x14ac:dyDescent="0.25">
      <c r="AC7163" s="8"/>
    </row>
    <row r="7164" spans="29:29" x14ac:dyDescent="0.25">
      <c r="AC7164" s="8"/>
    </row>
    <row r="7165" spans="29:29" x14ac:dyDescent="0.25">
      <c r="AC7165" s="8"/>
    </row>
    <row r="7166" spans="29:29" x14ac:dyDescent="0.25">
      <c r="AC7166" s="8"/>
    </row>
    <row r="7167" spans="29:29" x14ac:dyDescent="0.25">
      <c r="AC7167" s="8"/>
    </row>
    <row r="7168" spans="29:29" x14ac:dyDescent="0.25">
      <c r="AC7168" s="8"/>
    </row>
    <row r="7169" spans="29:29" x14ac:dyDescent="0.25">
      <c r="AC7169" s="8"/>
    </row>
    <row r="7170" spans="29:29" x14ac:dyDescent="0.25">
      <c r="AC7170" s="8"/>
    </row>
    <row r="7171" spans="29:29" x14ac:dyDescent="0.25">
      <c r="AC7171" s="8"/>
    </row>
    <row r="7172" spans="29:29" x14ac:dyDescent="0.25">
      <c r="AC7172" s="8"/>
    </row>
    <row r="7173" spans="29:29" x14ac:dyDescent="0.25">
      <c r="AC7173" s="8"/>
    </row>
    <row r="7174" spans="29:29" x14ac:dyDescent="0.25">
      <c r="AC7174" s="8"/>
    </row>
    <row r="7175" spans="29:29" x14ac:dyDescent="0.25">
      <c r="AC7175" s="8"/>
    </row>
    <row r="7176" spans="29:29" x14ac:dyDescent="0.25">
      <c r="AC7176" s="8"/>
    </row>
    <row r="7177" spans="29:29" x14ac:dyDescent="0.25">
      <c r="AC7177" s="8"/>
    </row>
    <row r="7178" spans="29:29" x14ac:dyDescent="0.25">
      <c r="AC7178" s="8"/>
    </row>
    <row r="7179" spans="29:29" x14ac:dyDescent="0.25">
      <c r="AC7179" s="8"/>
    </row>
    <row r="7180" spans="29:29" x14ac:dyDescent="0.25">
      <c r="AC7180" s="8"/>
    </row>
    <row r="7181" spans="29:29" x14ac:dyDescent="0.25">
      <c r="AC7181" s="8"/>
    </row>
    <row r="7182" spans="29:29" x14ac:dyDescent="0.25">
      <c r="AC7182" s="8"/>
    </row>
    <row r="7183" spans="29:29" x14ac:dyDescent="0.25">
      <c r="AC7183" s="8"/>
    </row>
    <row r="7184" spans="29:29" x14ac:dyDescent="0.25">
      <c r="AC7184" s="8"/>
    </row>
    <row r="7185" spans="29:29" x14ac:dyDescent="0.25">
      <c r="AC7185" s="8"/>
    </row>
    <row r="7186" spans="29:29" x14ac:dyDescent="0.25">
      <c r="AC7186" s="8"/>
    </row>
    <row r="7187" spans="29:29" x14ac:dyDescent="0.25">
      <c r="AC7187" s="8"/>
    </row>
    <row r="7188" spans="29:29" x14ac:dyDescent="0.25">
      <c r="AC7188" s="8"/>
    </row>
    <row r="7189" spans="29:29" x14ac:dyDescent="0.25">
      <c r="AC7189" s="8"/>
    </row>
    <row r="7190" spans="29:29" x14ac:dyDescent="0.25">
      <c r="AC7190" s="8"/>
    </row>
    <row r="7191" spans="29:29" x14ac:dyDescent="0.25">
      <c r="AC7191" s="8"/>
    </row>
    <row r="7192" spans="29:29" x14ac:dyDescent="0.25">
      <c r="AC7192" s="8"/>
    </row>
    <row r="7193" spans="29:29" x14ac:dyDescent="0.25">
      <c r="AC7193" s="8"/>
    </row>
    <row r="7194" spans="29:29" x14ac:dyDescent="0.25">
      <c r="AC7194" s="8"/>
    </row>
    <row r="7195" spans="29:29" x14ac:dyDescent="0.25">
      <c r="AC7195" s="8"/>
    </row>
    <row r="7196" spans="29:29" x14ac:dyDescent="0.25">
      <c r="AC7196" s="8"/>
    </row>
    <row r="7197" spans="29:29" x14ac:dyDescent="0.25">
      <c r="AC7197" s="8"/>
    </row>
    <row r="7198" spans="29:29" x14ac:dyDescent="0.25">
      <c r="AC7198" s="8"/>
    </row>
    <row r="7199" spans="29:29" x14ac:dyDescent="0.25">
      <c r="AC7199" s="8"/>
    </row>
    <row r="7200" spans="29:29" x14ac:dyDescent="0.25">
      <c r="AC7200" s="8"/>
    </row>
    <row r="7201" spans="29:29" x14ac:dyDescent="0.25">
      <c r="AC7201" s="8"/>
    </row>
    <row r="7202" spans="29:29" x14ac:dyDescent="0.25">
      <c r="AC7202" s="8"/>
    </row>
    <row r="7203" spans="29:29" x14ac:dyDescent="0.25">
      <c r="AC7203" s="8"/>
    </row>
    <row r="7204" spans="29:29" x14ac:dyDescent="0.25">
      <c r="AC7204" s="8"/>
    </row>
    <row r="7205" spans="29:29" x14ac:dyDescent="0.25">
      <c r="AC7205" s="8"/>
    </row>
    <row r="7206" spans="29:29" x14ac:dyDescent="0.25">
      <c r="AC7206" s="8"/>
    </row>
    <row r="7207" spans="29:29" x14ac:dyDescent="0.25">
      <c r="AC7207" s="8"/>
    </row>
    <row r="7208" spans="29:29" x14ac:dyDescent="0.25">
      <c r="AC7208" s="8"/>
    </row>
    <row r="7209" spans="29:29" x14ac:dyDescent="0.25">
      <c r="AC7209" s="8"/>
    </row>
    <row r="7210" spans="29:29" x14ac:dyDescent="0.25">
      <c r="AC7210" s="8"/>
    </row>
    <row r="7211" spans="29:29" x14ac:dyDescent="0.25">
      <c r="AC7211" s="8"/>
    </row>
    <row r="7212" spans="29:29" x14ac:dyDescent="0.25">
      <c r="AC7212" s="8"/>
    </row>
    <row r="7213" spans="29:29" x14ac:dyDescent="0.25">
      <c r="AC7213" s="8"/>
    </row>
    <row r="7214" spans="29:29" x14ac:dyDescent="0.25">
      <c r="AC7214" s="8"/>
    </row>
    <row r="7215" spans="29:29" x14ac:dyDescent="0.25">
      <c r="AC7215" s="8"/>
    </row>
    <row r="7216" spans="29:29" x14ac:dyDescent="0.25">
      <c r="AC7216" s="8"/>
    </row>
    <row r="7217" spans="29:29" x14ac:dyDescent="0.25">
      <c r="AC7217" s="8"/>
    </row>
    <row r="7218" spans="29:29" x14ac:dyDescent="0.25">
      <c r="AC7218" s="8"/>
    </row>
    <row r="7219" spans="29:29" x14ac:dyDescent="0.25">
      <c r="AC7219" s="8"/>
    </row>
    <row r="7220" spans="29:29" x14ac:dyDescent="0.25">
      <c r="AC7220" s="8"/>
    </row>
    <row r="7221" spans="29:29" x14ac:dyDescent="0.25">
      <c r="AC7221" s="8"/>
    </row>
    <row r="7222" spans="29:29" x14ac:dyDescent="0.25">
      <c r="AC7222" s="8"/>
    </row>
    <row r="7223" spans="29:29" x14ac:dyDescent="0.25">
      <c r="AC7223" s="8"/>
    </row>
    <row r="7224" spans="29:29" x14ac:dyDescent="0.25">
      <c r="AC7224" s="8"/>
    </row>
    <row r="7225" spans="29:29" x14ac:dyDescent="0.25">
      <c r="AC7225" s="8"/>
    </row>
    <row r="7226" spans="29:29" x14ac:dyDescent="0.25">
      <c r="AC7226" s="8"/>
    </row>
    <row r="7227" spans="29:29" x14ac:dyDescent="0.25">
      <c r="AC7227" s="8"/>
    </row>
    <row r="7228" spans="29:29" x14ac:dyDescent="0.25">
      <c r="AC7228" s="8"/>
    </row>
    <row r="7229" spans="29:29" x14ac:dyDescent="0.25">
      <c r="AC7229" s="8"/>
    </row>
    <row r="7230" spans="29:29" x14ac:dyDescent="0.25">
      <c r="AC7230" s="8"/>
    </row>
    <row r="7231" spans="29:29" x14ac:dyDescent="0.25">
      <c r="AC7231" s="8"/>
    </row>
    <row r="7232" spans="29:29" x14ac:dyDescent="0.25">
      <c r="AC7232" s="8"/>
    </row>
    <row r="7233" spans="29:29" x14ac:dyDescent="0.25">
      <c r="AC7233" s="8"/>
    </row>
    <row r="7234" spans="29:29" x14ac:dyDescent="0.25">
      <c r="AC7234" s="8"/>
    </row>
    <row r="7235" spans="29:29" x14ac:dyDescent="0.25">
      <c r="AC7235" s="8"/>
    </row>
    <row r="7236" spans="29:29" x14ac:dyDescent="0.25">
      <c r="AC7236" s="8"/>
    </row>
    <row r="7237" spans="29:29" x14ac:dyDescent="0.25">
      <c r="AC7237" s="8"/>
    </row>
    <row r="7238" spans="29:29" x14ac:dyDescent="0.25">
      <c r="AC7238" s="8"/>
    </row>
    <row r="7239" spans="29:29" x14ac:dyDescent="0.25">
      <c r="AC7239" s="8"/>
    </row>
    <row r="7240" spans="29:29" x14ac:dyDescent="0.25">
      <c r="AC7240" s="8"/>
    </row>
    <row r="7241" spans="29:29" x14ac:dyDescent="0.25">
      <c r="AC7241" s="8"/>
    </row>
    <row r="7242" spans="29:29" x14ac:dyDescent="0.25">
      <c r="AC7242" s="8"/>
    </row>
    <row r="7243" spans="29:29" x14ac:dyDescent="0.25">
      <c r="AC7243" s="8"/>
    </row>
    <row r="7244" spans="29:29" x14ac:dyDescent="0.25">
      <c r="AC7244" s="8"/>
    </row>
    <row r="7245" spans="29:29" x14ac:dyDescent="0.25">
      <c r="AC7245" s="8"/>
    </row>
    <row r="7246" spans="29:29" x14ac:dyDescent="0.25">
      <c r="AC7246" s="8"/>
    </row>
    <row r="7247" spans="29:29" x14ac:dyDescent="0.25">
      <c r="AC7247" s="8"/>
    </row>
    <row r="7248" spans="29:29" x14ac:dyDescent="0.25">
      <c r="AC7248" s="8"/>
    </row>
    <row r="7249" spans="29:29" x14ac:dyDescent="0.25">
      <c r="AC7249" s="8"/>
    </row>
    <row r="7250" spans="29:29" x14ac:dyDescent="0.25">
      <c r="AC7250" s="8"/>
    </row>
    <row r="7251" spans="29:29" x14ac:dyDescent="0.25">
      <c r="AC7251" s="8"/>
    </row>
    <row r="7252" spans="29:29" x14ac:dyDescent="0.25">
      <c r="AC7252" s="8"/>
    </row>
    <row r="7253" spans="29:29" x14ac:dyDescent="0.25">
      <c r="AC7253" s="8"/>
    </row>
    <row r="7254" spans="29:29" x14ac:dyDescent="0.25">
      <c r="AC7254" s="8"/>
    </row>
    <row r="7255" spans="29:29" x14ac:dyDescent="0.25">
      <c r="AC7255" s="8"/>
    </row>
    <row r="7256" spans="29:29" x14ac:dyDescent="0.25">
      <c r="AC7256" s="8"/>
    </row>
    <row r="7257" spans="29:29" x14ac:dyDescent="0.25">
      <c r="AC7257" s="8"/>
    </row>
    <row r="7258" spans="29:29" x14ac:dyDescent="0.25">
      <c r="AC7258" s="8"/>
    </row>
    <row r="7259" spans="29:29" x14ac:dyDescent="0.25">
      <c r="AC7259" s="8"/>
    </row>
    <row r="7260" spans="29:29" x14ac:dyDescent="0.25">
      <c r="AC7260" s="8"/>
    </row>
    <row r="7261" spans="29:29" x14ac:dyDescent="0.25">
      <c r="AC7261" s="8"/>
    </row>
    <row r="7262" spans="29:29" x14ac:dyDescent="0.25">
      <c r="AC7262" s="8"/>
    </row>
    <row r="7263" spans="29:29" x14ac:dyDescent="0.25">
      <c r="AC7263" s="8"/>
    </row>
    <row r="7264" spans="29:29" x14ac:dyDescent="0.25">
      <c r="AC7264" s="8"/>
    </row>
    <row r="7265" spans="29:29" x14ac:dyDescent="0.25">
      <c r="AC7265" s="8"/>
    </row>
    <row r="7266" spans="29:29" x14ac:dyDescent="0.25">
      <c r="AC7266" s="8"/>
    </row>
    <row r="7267" spans="29:29" x14ac:dyDescent="0.25">
      <c r="AC7267" s="8"/>
    </row>
    <row r="7268" spans="29:29" x14ac:dyDescent="0.25">
      <c r="AC7268" s="8"/>
    </row>
    <row r="7269" spans="29:29" x14ac:dyDescent="0.25">
      <c r="AC7269" s="8"/>
    </row>
    <row r="7270" spans="29:29" x14ac:dyDescent="0.25">
      <c r="AC7270" s="8"/>
    </row>
    <row r="7271" spans="29:29" x14ac:dyDescent="0.25">
      <c r="AC7271" s="8"/>
    </row>
    <row r="7272" spans="29:29" x14ac:dyDescent="0.25">
      <c r="AC7272" s="8"/>
    </row>
    <row r="7273" spans="29:29" x14ac:dyDescent="0.25">
      <c r="AC7273" s="8"/>
    </row>
    <row r="7274" spans="29:29" x14ac:dyDescent="0.25">
      <c r="AC7274" s="8"/>
    </row>
    <row r="7275" spans="29:29" x14ac:dyDescent="0.25">
      <c r="AC7275" s="8"/>
    </row>
    <row r="7276" spans="29:29" x14ac:dyDescent="0.25">
      <c r="AC7276" s="8"/>
    </row>
    <row r="7277" spans="29:29" x14ac:dyDescent="0.25">
      <c r="AC7277" s="8"/>
    </row>
    <row r="7278" spans="29:29" x14ac:dyDescent="0.25">
      <c r="AC7278" s="8"/>
    </row>
    <row r="7279" spans="29:29" x14ac:dyDescent="0.25">
      <c r="AC7279" s="8"/>
    </row>
    <row r="7280" spans="29:29" x14ac:dyDescent="0.25">
      <c r="AC7280" s="8"/>
    </row>
    <row r="7281" spans="29:29" x14ac:dyDescent="0.25">
      <c r="AC7281" s="8"/>
    </row>
    <row r="7282" spans="29:29" x14ac:dyDescent="0.25">
      <c r="AC7282" s="8"/>
    </row>
    <row r="7283" spans="29:29" x14ac:dyDescent="0.25">
      <c r="AC7283" s="8"/>
    </row>
    <row r="7284" spans="29:29" x14ac:dyDescent="0.25">
      <c r="AC7284" s="8"/>
    </row>
    <row r="7285" spans="29:29" x14ac:dyDescent="0.25">
      <c r="AC7285" s="8"/>
    </row>
    <row r="7286" spans="29:29" x14ac:dyDescent="0.25">
      <c r="AC7286" s="8"/>
    </row>
    <row r="7287" spans="29:29" x14ac:dyDescent="0.25">
      <c r="AC7287" s="8"/>
    </row>
    <row r="7288" spans="29:29" x14ac:dyDescent="0.25">
      <c r="AC7288" s="8"/>
    </row>
    <row r="7289" spans="29:29" x14ac:dyDescent="0.25">
      <c r="AC7289" s="8"/>
    </row>
    <row r="7290" spans="29:29" x14ac:dyDescent="0.25">
      <c r="AC7290" s="8"/>
    </row>
    <row r="7291" spans="29:29" x14ac:dyDescent="0.25">
      <c r="AC7291" s="8"/>
    </row>
    <row r="7292" spans="29:29" x14ac:dyDescent="0.25">
      <c r="AC7292" s="8"/>
    </row>
    <row r="7293" spans="29:29" x14ac:dyDescent="0.25">
      <c r="AC7293" s="8"/>
    </row>
    <row r="7294" spans="29:29" x14ac:dyDescent="0.25">
      <c r="AC7294" s="8"/>
    </row>
    <row r="7295" spans="29:29" x14ac:dyDescent="0.25">
      <c r="AC7295" s="8"/>
    </row>
    <row r="7296" spans="29:29" x14ac:dyDescent="0.25">
      <c r="AC7296" s="8"/>
    </row>
    <row r="7297" spans="29:29" x14ac:dyDescent="0.25">
      <c r="AC7297" s="8"/>
    </row>
    <row r="7298" spans="29:29" x14ac:dyDescent="0.25">
      <c r="AC7298" s="8"/>
    </row>
    <row r="7299" spans="29:29" x14ac:dyDescent="0.25">
      <c r="AC7299" s="8"/>
    </row>
    <row r="7300" spans="29:29" x14ac:dyDescent="0.25">
      <c r="AC7300" s="8"/>
    </row>
    <row r="7301" spans="29:29" x14ac:dyDescent="0.25">
      <c r="AC7301" s="8"/>
    </row>
    <row r="7302" spans="29:29" x14ac:dyDescent="0.25">
      <c r="AC7302" s="8"/>
    </row>
    <row r="7303" spans="29:29" x14ac:dyDescent="0.25">
      <c r="AC7303" s="8"/>
    </row>
    <row r="7304" spans="29:29" x14ac:dyDescent="0.25">
      <c r="AC7304" s="8"/>
    </row>
    <row r="7305" spans="29:29" x14ac:dyDescent="0.25">
      <c r="AC7305" s="8"/>
    </row>
    <row r="7306" spans="29:29" x14ac:dyDescent="0.25">
      <c r="AC7306" s="8"/>
    </row>
    <row r="7307" spans="29:29" x14ac:dyDescent="0.25">
      <c r="AC7307" s="8"/>
    </row>
    <row r="7308" spans="29:29" x14ac:dyDescent="0.25">
      <c r="AC7308" s="8"/>
    </row>
    <row r="7309" spans="29:29" x14ac:dyDescent="0.25">
      <c r="AC7309" s="8"/>
    </row>
    <row r="7310" spans="29:29" x14ac:dyDescent="0.25">
      <c r="AC7310" s="8"/>
    </row>
    <row r="7311" spans="29:29" x14ac:dyDescent="0.25">
      <c r="AC7311" s="8"/>
    </row>
    <row r="7312" spans="29:29" x14ac:dyDescent="0.25">
      <c r="AC7312" s="8"/>
    </row>
    <row r="7313" spans="29:29" x14ac:dyDescent="0.25">
      <c r="AC7313" s="8"/>
    </row>
    <row r="7314" spans="29:29" x14ac:dyDescent="0.25">
      <c r="AC7314" s="8"/>
    </row>
    <row r="7315" spans="29:29" x14ac:dyDescent="0.25">
      <c r="AC7315" s="8"/>
    </row>
    <row r="7316" spans="29:29" x14ac:dyDescent="0.25">
      <c r="AC7316" s="8"/>
    </row>
    <row r="7317" spans="29:29" x14ac:dyDescent="0.25">
      <c r="AC7317" s="8"/>
    </row>
    <row r="7318" spans="29:29" x14ac:dyDescent="0.25">
      <c r="AC7318" s="8"/>
    </row>
    <row r="7319" spans="29:29" x14ac:dyDescent="0.25">
      <c r="AC7319" s="8"/>
    </row>
    <row r="7320" spans="29:29" x14ac:dyDescent="0.25">
      <c r="AC7320" s="8"/>
    </row>
    <row r="7321" spans="29:29" x14ac:dyDescent="0.25">
      <c r="AC7321" s="8"/>
    </row>
    <row r="7322" spans="29:29" x14ac:dyDescent="0.25">
      <c r="AC7322" s="8"/>
    </row>
    <row r="7323" spans="29:29" x14ac:dyDescent="0.25">
      <c r="AC7323" s="8"/>
    </row>
    <row r="7324" spans="29:29" x14ac:dyDescent="0.25">
      <c r="AC7324" s="8"/>
    </row>
    <row r="7325" spans="29:29" x14ac:dyDescent="0.25">
      <c r="AC7325" s="8"/>
    </row>
    <row r="7326" spans="29:29" x14ac:dyDescent="0.25">
      <c r="AC7326" s="8"/>
    </row>
    <row r="7327" spans="29:29" x14ac:dyDescent="0.25">
      <c r="AC7327" s="8"/>
    </row>
    <row r="7328" spans="29:29" x14ac:dyDescent="0.25">
      <c r="AC7328" s="8"/>
    </row>
    <row r="7329" spans="29:29" x14ac:dyDescent="0.25">
      <c r="AC7329" s="8"/>
    </row>
    <row r="7330" spans="29:29" x14ac:dyDescent="0.25">
      <c r="AC7330" s="8"/>
    </row>
    <row r="7331" spans="29:29" x14ac:dyDescent="0.25">
      <c r="AC7331" s="8"/>
    </row>
    <row r="7332" spans="29:29" x14ac:dyDescent="0.25">
      <c r="AC7332" s="8"/>
    </row>
    <row r="7333" spans="29:29" x14ac:dyDescent="0.25">
      <c r="AC7333" s="8"/>
    </row>
    <row r="7334" spans="29:29" x14ac:dyDescent="0.25">
      <c r="AC7334" s="8"/>
    </row>
    <row r="7335" spans="29:29" x14ac:dyDescent="0.25">
      <c r="AC7335" s="8"/>
    </row>
    <row r="7336" spans="29:29" x14ac:dyDescent="0.25">
      <c r="AC7336" s="8"/>
    </row>
    <row r="7337" spans="29:29" x14ac:dyDescent="0.25">
      <c r="AC7337" s="8"/>
    </row>
    <row r="7338" spans="29:29" x14ac:dyDescent="0.25">
      <c r="AC7338" s="8"/>
    </row>
    <row r="7339" spans="29:29" x14ac:dyDescent="0.25">
      <c r="AC7339" s="8"/>
    </row>
    <row r="7340" spans="29:29" x14ac:dyDescent="0.25">
      <c r="AC7340" s="8"/>
    </row>
    <row r="7341" spans="29:29" x14ac:dyDescent="0.25">
      <c r="AC7341" s="8"/>
    </row>
    <row r="7342" spans="29:29" x14ac:dyDescent="0.25">
      <c r="AC7342" s="8"/>
    </row>
    <row r="7343" spans="29:29" x14ac:dyDescent="0.25">
      <c r="AC7343" s="8"/>
    </row>
    <row r="7344" spans="29:29" x14ac:dyDescent="0.25">
      <c r="AC7344" s="8"/>
    </row>
    <row r="7345" spans="29:29" x14ac:dyDescent="0.25">
      <c r="AC7345" s="8"/>
    </row>
    <row r="7346" spans="29:29" x14ac:dyDescent="0.25">
      <c r="AC7346" s="8"/>
    </row>
    <row r="7347" spans="29:29" x14ac:dyDescent="0.25">
      <c r="AC7347" s="8"/>
    </row>
    <row r="7348" spans="29:29" x14ac:dyDescent="0.25">
      <c r="AC7348" s="8"/>
    </row>
    <row r="7349" spans="29:29" x14ac:dyDescent="0.25">
      <c r="AC7349" s="8"/>
    </row>
    <row r="7350" spans="29:29" x14ac:dyDescent="0.25">
      <c r="AC7350" s="8"/>
    </row>
    <row r="7351" spans="29:29" x14ac:dyDescent="0.25">
      <c r="AC7351" s="8"/>
    </row>
    <row r="7352" spans="29:29" x14ac:dyDescent="0.25">
      <c r="AC7352" s="8"/>
    </row>
    <row r="7353" spans="29:29" x14ac:dyDescent="0.25">
      <c r="AC7353" s="8"/>
    </row>
    <row r="7354" spans="29:29" x14ac:dyDescent="0.25">
      <c r="AC7354" s="8"/>
    </row>
    <row r="7355" spans="29:29" x14ac:dyDescent="0.25">
      <c r="AC7355" s="8"/>
    </row>
    <row r="7356" spans="29:29" x14ac:dyDescent="0.25">
      <c r="AC7356" s="8"/>
    </row>
    <row r="7357" spans="29:29" x14ac:dyDescent="0.25">
      <c r="AC7357" s="8"/>
    </row>
    <row r="7358" spans="29:29" x14ac:dyDescent="0.25">
      <c r="AC7358" s="8"/>
    </row>
    <row r="7359" spans="29:29" x14ac:dyDescent="0.25">
      <c r="AC7359" s="8"/>
    </row>
    <row r="7360" spans="29:29" x14ac:dyDescent="0.25">
      <c r="AC7360" s="8"/>
    </row>
    <row r="7361" spans="29:29" x14ac:dyDescent="0.25">
      <c r="AC7361" s="8"/>
    </row>
    <row r="7362" spans="29:29" x14ac:dyDescent="0.25">
      <c r="AC7362" s="8"/>
    </row>
    <row r="7363" spans="29:29" x14ac:dyDescent="0.25">
      <c r="AC7363" s="8"/>
    </row>
    <row r="7364" spans="29:29" x14ac:dyDescent="0.25">
      <c r="AC7364" s="8"/>
    </row>
    <row r="7365" spans="29:29" x14ac:dyDescent="0.25">
      <c r="AC7365" s="8"/>
    </row>
    <row r="7366" spans="29:29" x14ac:dyDescent="0.25">
      <c r="AC7366" s="8"/>
    </row>
    <row r="7367" spans="29:29" x14ac:dyDescent="0.25">
      <c r="AC7367" s="8"/>
    </row>
    <row r="7368" spans="29:29" x14ac:dyDescent="0.25">
      <c r="AC7368" s="8"/>
    </row>
    <row r="7369" spans="29:29" x14ac:dyDescent="0.25">
      <c r="AC7369" s="8"/>
    </row>
    <row r="7370" spans="29:29" x14ac:dyDescent="0.25">
      <c r="AC7370" s="8"/>
    </row>
    <row r="7371" spans="29:29" x14ac:dyDescent="0.25">
      <c r="AC7371" s="8"/>
    </row>
    <row r="7372" spans="29:29" x14ac:dyDescent="0.25">
      <c r="AC7372" s="8"/>
    </row>
    <row r="7373" spans="29:29" x14ac:dyDescent="0.25">
      <c r="AC7373" s="8"/>
    </row>
    <row r="7374" spans="29:29" x14ac:dyDescent="0.25">
      <c r="AC7374" s="8"/>
    </row>
    <row r="7375" spans="29:29" x14ac:dyDescent="0.25">
      <c r="AC7375" s="8"/>
    </row>
    <row r="7376" spans="29:29" x14ac:dyDescent="0.25">
      <c r="AC7376" s="8"/>
    </row>
    <row r="7377" spans="29:29" x14ac:dyDescent="0.25">
      <c r="AC7377" s="8"/>
    </row>
    <row r="7378" spans="29:29" x14ac:dyDescent="0.25">
      <c r="AC7378" s="8"/>
    </row>
    <row r="7379" spans="29:29" x14ac:dyDescent="0.25">
      <c r="AC7379" s="8"/>
    </row>
    <row r="7380" spans="29:29" x14ac:dyDescent="0.25">
      <c r="AC7380" s="8"/>
    </row>
    <row r="7381" spans="29:29" x14ac:dyDescent="0.25">
      <c r="AC7381" s="8"/>
    </row>
    <row r="7382" spans="29:29" x14ac:dyDescent="0.25">
      <c r="AC7382" s="8"/>
    </row>
    <row r="7383" spans="29:29" x14ac:dyDescent="0.25">
      <c r="AC7383" s="8"/>
    </row>
    <row r="7384" spans="29:29" x14ac:dyDescent="0.25">
      <c r="AC7384" s="8"/>
    </row>
    <row r="7385" spans="29:29" x14ac:dyDescent="0.25">
      <c r="AC7385" s="8"/>
    </row>
    <row r="7386" spans="29:29" x14ac:dyDescent="0.25">
      <c r="AC7386" s="8"/>
    </row>
    <row r="7387" spans="29:29" x14ac:dyDescent="0.25">
      <c r="AC7387" s="8"/>
    </row>
    <row r="7388" spans="29:29" x14ac:dyDescent="0.25">
      <c r="AC7388" s="8"/>
    </row>
    <row r="7389" spans="29:29" x14ac:dyDescent="0.25">
      <c r="AC7389" s="8"/>
    </row>
    <row r="7390" spans="29:29" x14ac:dyDescent="0.25">
      <c r="AC7390" s="8"/>
    </row>
    <row r="7391" spans="29:29" x14ac:dyDescent="0.25">
      <c r="AC7391" s="8"/>
    </row>
    <row r="7392" spans="29:29" x14ac:dyDescent="0.25">
      <c r="AC7392" s="8"/>
    </row>
    <row r="7393" spans="29:29" x14ac:dyDescent="0.25">
      <c r="AC7393" s="8"/>
    </row>
    <row r="7394" spans="29:29" x14ac:dyDescent="0.25">
      <c r="AC7394" s="8"/>
    </row>
    <row r="7395" spans="29:29" x14ac:dyDescent="0.25">
      <c r="AC7395" s="8"/>
    </row>
    <row r="7396" spans="29:29" x14ac:dyDescent="0.25">
      <c r="AC7396" s="8"/>
    </row>
    <row r="7397" spans="29:29" x14ac:dyDescent="0.25">
      <c r="AC7397" s="8"/>
    </row>
    <row r="7398" spans="29:29" x14ac:dyDescent="0.25">
      <c r="AC7398" s="8"/>
    </row>
    <row r="7399" spans="29:29" x14ac:dyDescent="0.25">
      <c r="AC7399" s="8"/>
    </row>
    <row r="7400" spans="29:29" x14ac:dyDescent="0.25">
      <c r="AC7400" s="8"/>
    </row>
    <row r="7401" spans="29:29" x14ac:dyDescent="0.25">
      <c r="AC7401" s="8"/>
    </row>
    <row r="7402" spans="29:29" x14ac:dyDescent="0.25">
      <c r="AC7402" s="8"/>
    </row>
    <row r="7403" spans="29:29" x14ac:dyDescent="0.25">
      <c r="AC7403" s="8"/>
    </row>
    <row r="7404" spans="29:29" x14ac:dyDescent="0.25">
      <c r="AC7404" s="8"/>
    </row>
    <row r="7405" spans="29:29" x14ac:dyDescent="0.25">
      <c r="AC7405" s="8"/>
    </row>
    <row r="7406" spans="29:29" x14ac:dyDescent="0.25">
      <c r="AC7406" s="8"/>
    </row>
    <row r="7407" spans="29:29" x14ac:dyDescent="0.25">
      <c r="AC7407" s="8"/>
    </row>
    <row r="7408" spans="29:29" x14ac:dyDescent="0.25">
      <c r="AC7408" s="8"/>
    </row>
    <row r="7409" spans="29:29" x14ac:dyDescent="0.25">
      <c r="AC7409" s="8"/>
    </row>
    <row r="7410" spans="29:29" x14ac:dyDescent="0.25">
      <c r="AC7410" s="8"/>
    </row>
    <row r="7411" spans="29:29" x14ac:dyDescent="0.25">
      <c r="AC7411" s="8"/>
    </row>
    <row r="7412" spans="29:29" x14ac:dyDescent="0.25">
      <c r="AC7412" s="8"/>
    </row>
    <row r="7413" spans="29:29" x14ac:dyDescent="0.25">
      <c r="AC7413" s="8"/>
    </row>
    <row r="7414" spans="29:29" x14ac:dyDescent="0.25">
      <c r="AC7414" s="8"/>
    </row>
    <row r="7415" spans="29:29" x14ac:dyDescent="0.25">
      <c r="AC7415" s="8"/>
    </row>
    <row r="7416" spans="29:29" x14ac:dyDescent="0.25">
      <c r="AC7416" s="8"/>
    </row>
    <row r="7417" spans="29:29" x14ac:dyDescent="0.25">
      <c r="AC7417" s="8"/>
    </row>
    <row r="7418" spans="29:29" x14ac:dyDescent="0.25">
      <c r="AC7418" s="8"/>
    </row>
    <row r="7419" spans="29:29" x14ac:dyDescent="0.25">
      <c r="AC7419" s="8"/>
    </row>
    <row r="7420" spans="29:29" x14ac:dyDescent="0.25">
      <c r="AC7420" s="8"/>
    </row>
    <row r="7421" spans="29:29" x14ac:dyDescent="0.25">
      <c r="AC7421" s="8"/>
    </row>
    <row r="7422" spans="29:29" x14ac:dyDescent="0.25">
      <c r="AC7422" s="8"/>
    </row>
    <row r="7423" spans="29:29" x14ac:dyDescent="0.25">
      <c r="AC7423" s="8"/>
    </row>
    <row r="7424" spans="29:29" x14ac:dyDescent="0.25">
      <c r="AC7424" s="8"/>
    </row>
    <row r="7425" spans="29:29" x14ac:dyDescent="0.25">
      <c r="AC7425" s="8"/>
    </row>
    <row r="7426" spans="29:29" x14ac:dyDescent="0.25">
      <c r="AC7426" s="8"/>
    </row>
    <row r="7427" spans="29:29" x14ac:dyDescent="0.25">
      <c r="AC7427" s="8"/>
    </row>
    <row r="7428" spans="29:29" x14ac:dyDescent="0.25">
      <c r="AC7428" s="8"/>
    </row>
    <row r="7429" spans="29:29" x14ac:dyDescent="0.25">
      <c r="AC7429" s="8"/>
    </row>
    <row r="7430" spans="29:29" x14ac:dyDescent="0.25">
      <c r="AC7430" s="8"/>
    </row>
    <row r="7431" spans="29:29" x14ac:dyDescent="0.25">
      <c r="AC7431" s="8"/>
    </row>
    <row r="7432" spans="29:29" x14ac:dyDescent="0.25">
      <c r="AC7432" s="8"/>
    </row>
    <row r="7433" spans="29:29" x14ac:dyDescent="0.25">
      <c r="AC7433" s="8"/>
    </row>
    <row r="7434" spans="29:29" x14ac:dyDescent="0.25">
      <c r="AC7434" s="8"/>
    </row>
    <row r="7435" spans="29:29" x14ac:dyDescent="0.25">
      <c r="AC7435" s="8"/>
    </row>
    <row r="7436" spans="29:29" x14ac:dyDescent="0.25">
      <c r="AC7436" s="8"/>
    </row>
    <row r="7437" spans="29:29" x14ac:dyDescent="0.25">
      <c r="AC7437" s="8"/>
    </row>
    <row r="7438" spans="29:29" x14ac:dyDescent="0.25">
      <c r="AC7438" s="8"/>
    </row>
    <row r="7439" spans="29:29" x14ac:dyDescent="0.25">
      <c r="AC7439" s="8"/>
    </row>
    <row r="7440" spans="29:29" x14ac:dyDescent="0.25">
      <c r="AC7440" s="8"/>
    </row>
    <row r="7441" spans="29:29" x14ac:dyDescent="0.25">
      <c r="AC7441" s="8"/>
    </row>
    <row r="7442" spans="29:29" x14ac:dyDescent="0.25">
      <c r="AC7442" s="8"/>
    </row>
    <row r="7443" spans="29:29" x14ac:dyDescent="0.25">
      <c r="AC7443" s="8"/>
    </row>
    <row r="7444" spans="29:29" x14ac:dyDescent="0.25">
      <c r="AC7444" s="8"/>
    </row>
    <row r="7445" spans="29:29" x14ac:dyDescent="0.25">
      <c r="AC7445" s="8"/>
    </row>
    <row r="7446" spans="29:29" x14ac:dyDescent="0.25">
      <c r="AC7446" s="8"/>
    </row>
    <row r="7447" spans="29:29" x14ac:dyDescent="0.25">
      <c r="AC7447" s="8"/>
    </row>
    <row r="7448" spans="29:29" x14ac:dyDescent="0.25">
      <c r="AC7448" s="8"/>
    </row>
    <row r="7449" spans="29:29" x14ac:dyDescent="0.25">
      <c r="AC7449" s="8"/>
    </row>
    <row r="7450" spans="29:29" x14ac:dyDescent="0.25">
      <c r="AC7450" s="8"/>
    </row>
    <row r="7451" spans="29:29" x14ac:dyDescent="0.25">
      <c r="AC7451" s="8"/>
    </row>
    <row r="7452" spans="29:29" x14ac:dyDescent="0.25">
      <c r="AC7452" s="8"/>
    </row>
    <row r="7453" spans="29:29" x14ac:dyDescent="0.25">
      <c r="AC7453" s="8"/>
    </row>
    <row r="7454" spans="29:29" x14ac:dyDescent="0.25">
      <c r="AC7454" s="8"/>
    </row>
    <row r="7455" spans="29:29" x14ac:dyDescent="0.25">
      <c r="AC7455" s="8"/>
    </row>
    <row r="7456" spans="29:29" x14ac:dyDescent="0.25">
      <c r="AC7456" s="8"/>
    </row>
    <row r="7457" spans="29:29" x14ac:dyDescent="0.25">
      <c r="AC7457" s="8"/>
    </row>
    <row r="7458" spans="29:29" x14ac:dyDescent="0.25">
      <c r="AC7458" s="8"/>
    </row>
    <row r="7459" spans="29:29" x14ac:dyDescent="0.25">
      <c r="AC7459" s="8"/>
    </row>
    <row r="7460" spans="29:29" x14ac:dyDescent="0.25">
      <c r="AC7460" s="8"/>
    </row>
    <row r="7461" spans="29:29" x14ac:dyDescent="0.25">
      <c r="AC7461" s="8"/>
    </row>
    <row r="7462" spans="29:29" x14ac:dyDescent="0.25">
      <c r="AC7462" s="8"/>
    </row>
    <row r="7463" spans="29:29" x14ac:dyDescent="0.25">
      <c r="AC7463" s="8"/>
    </row>
    <row r="7464" spans="29:29" x14ac:dyDescent="0.25">
      <c r="AC7464" s="8"/>
    </row>
    <row r="7465" spans="29:29" x14ac:dyDescent="0.25">
      <c r="AC7465" s="8"/>
    </row>
    <row r="7466" spans="29:29" x14ac:dyDescent="0.25">
      <c r="AC7466" s="8"/>
    </row>
    <row r="7467" spans="29:29" x14ac:dyDescent="0.25">
      <c r="AC7467" s="8"/>
    </row>
    <row r="7468" spans="29:29" x14ac:dyDescent="0.25">
      <c r="AC7468" s="8"/>
    </row>
    <row r="7469" spans="29:29" x14ac:dyDescent="0.25">
      <c r="AC7469" s="8"/>
    </row>
    <row r="7470" spans="29:29" x14ac:dyDescent="0.25">
      <c r="AC7470" s="8"/>
    </row>
    <row r="7471" spans="29:29" x14ac:dyDescent="0.25">
      <c r="AC7471" s="8"/>
    </row>
    <row r="7472" spans="29:29" x14ac:dyDescent="0.25">
      <c r="AC7472" s="8"/>
    </row>
    <row r="7473" spans="29:29" x14ac:dyDescent="0.25">
      <c r="AC7473" s="8"/>
    </row>
    <row r="7474" spans="29:29" x14ac:dyDescent="0.25">
      <c r="AC7474" s="8"/>
    </row>
    <row r="7475" spans="29:29" x14ac:dyDescent="0.25">
      <c r="AC7475" s="8"/>
    </row>
    <row r="7476" spans="29:29" x14ac:dyDescent="0.25">
      <c r="AC7476" s="8"/>
    </row>
    <row r="7477" spans="29:29" x14ac:dyDescent="0.25">
      <c r="AC7477" s="8"/>
    </row>
    <row r="7478" spans="29:29" x14ac:dyDescent="0.25">
      <c r="AC7478" s="8"/>
    </row>
    <row r="7479" spans="29:29" x14ac:dyDescent="0.25">
      <c r="AC7479" s="8"/>
    </row>
    <row r="7480" spans="29:29" x14ac:dyDescent="0.25">
      <c r="AC7480" s="8"/>
    </row>
    <row r="7481" spans="29:29" x14ac:dyDescent="0.25">
      <c r="AC7481" s="8"/>
    </row>
    <row r="7482" spans="29:29" x14ac:dyDescent="0.25">
      <c r="AC7482" s="8"/>
    </row>
    <row r="7483" spans="29:29" x14ac:dyDescent="0.25">
      <c r="AC7483" s="8"/>
    </row>
    <row r="7484" spans="29:29" x14ac:dyDescent="0.25">
      <c r="AC7484" s="8"/>
    </row>
    <row r="7485" spans="29:29" x14ac:dyDescent="0.25">
      <c r="AC7485" s="8"/>
    </row>
    <row r="7486" spans="29:29" x14ac:dyDescent="0.25">
      <c r="AC7486" s="8"/>
    </row>
    <row r="7487" spans="29:29" x14ac:dyDescent="0.25">
      <c r="AC7487" s="8"/>
    </row>
    <row r="7488" spans="29:29" x14ac:dyDescent="0.25">
      <c r="AC7488" s="8"/>
    </row>
    <row r="7489" spans="29:29" x14ac:dyDescent="0.25">
      <c r="AC7489" s="8"/>
    </row>
    <row r="7490" spans="29:29" x14ac:dyDescent="0.25">
      <c r="AC7490" s="8"/>
    </row>
    <row r="7491" spans="29:29" x14ac:dyDescent="0.25">
      <c r="AC7491" s="8"/>
    </row>
    <row r="7492" spans="29:29" x14ac:dyDescent="0.25">
      <c r="AC7492" s="8"/>
    </row>
    <row r="7493" spans="29:29" x14ac:dyDescent="0.25">
      <c r="AC7493" s="8"/>
    </row>
    <row r="7494" spans="29:29" x14ac:dyDescent="0.25">
      <c r="AC7494" s="8"/>
    </row>
    <row r="7495" spans="29:29" x14ac:dyDescent="0.25">
      <c r="AC7495" s="8"/>
    </row>
    <row r="7496" spans="29:29" x14ac:dyDescent="0.25">
      <c r="AC7496" s="8"/>
    </row>
    <row r="7497" spans="29:29" x14ac:dyDescent="0.25">
      <c r="AC7497" s="8"/>
    </row>
    <row r="7498" spans="29:29" x14ac:dyDescent="0.25">
      <c r="AC7498" s="8"/>
    </row>
    <row r="7499" spans="29:29" x14ac:dyDescent="0.25">
      <c r="AC7499" s="8"/>
    </row>
    <row r="7500" spans="29:29" x14ac:dyDescent="0.25">
      <c r="AC7500" s="8"/>
    </row>
    <row r="7501" spans="29:29" x14ac:dyDescent="0.25">
      <c r="AC7501" s="8"/>
    </row>
    <row r="7502" spans="29:29" x14ac:dyDescent="0.25">
      <c r="AC7502" s="8"/>
    </row>
    <row r="7503" spans="29:29" x14ac:dyDescent="0.25">
      <c r="AC7503" s="8"/>
    </row>
    <row r="7504" spans="29:29" x14ac:dyDescent="0.25">
      <c r="AC7504" s="8"/>
    </row>
    <row r="7505" spans="29:29" x14ac:dyDescent="0.25">
      <c r="AC7505" s="8"/>
    </row>
    <row r="7506" spans="29:29" x14ac:dyDescent="0.25">
      <c r="AC7506" s="8"/>
    </row>
    <row r="7507" spans="29:29" x14ac:dyDescent="0.25">
      <c r="AC7507" s="8"/>
    </row>
    <row r="7508" spans="29:29" x14ac:dyDescent="0.25">
      <c r="AC7508" s="8"/>
    </row>
    <row r="7509" spans="29:29" x14ac:dyDescent="0.25">
      <c r="AC7509" s="8"/>
    </row>
    <row r="7510" spans="29:29" x14ac:dyDescent="0.25">
      <c r="AC7510" s="8"/>
    </row>
    <row r="7511" spans="29:29" x14ac:dyDescent="0.25">
      <c r="AC7511" s="8"/>
    </row>
    <row r="7512" spans="29:29" x14ac:dyDescent="0.25">
      <c r="AC7512" s="8"/>
    </row>
    <row r="7513" spans="29:29" x14ac:dyDescent="0.25">
      <c r="AC7513" s="8"/>
    </row>
    <row r="7514" spans="29:29" x14ac:dyDescent="0.25">
      <c r="AC7514" s="8"/>
    </row>
    <row r="7515" spans="29:29" x14ac:dyDescent="0.25">
      <c r="AC7515" s="8"/>
    </row>
    <row r="7516" spans="29:29" x14ac:dyDescent="0.25">
      <c r="AC7516" s="8"/>
    </row>
    <row r="7517" spans="29:29" x14ac:dyDescent="0.25">
      <c r="AC7517" s="8"/>
    </row>
    <row r="7518" spans="29:29" x14ac:dyDescent="0.25">
      <c r="AC7518" s="8"/>
    </row>
    <row r="7519" spans="29:29" x14ac:dyDescent="0.25">
      <c r="AC7519" s="8"/>
    </row>
    <row r="7520" spans="29:29" x14ac:dyDescent="0.25">
      <c r="AC7520" s="8"/>
    </row>
    <row r="7521" spans="29:29" x14ac:dyDescent="0.25">
      <c r="AC7521" s="8"/>
    </row>
    <row r="7522" spans="29:29" x14ac:dyDescent="0.25">
      <c r="AC7522" s="8"/>
    </row>
    <row r="7523" spans="29:29" x14ac:dyDescent="0.25">
      <c r="AC7523" s="8"/>
    </row>
    <row r="7524" spans="29:29" x14ac:dyDescent="0.25">
      <c r="AC7524" s="8"/>
    </row>
    <row r="7525" spans="29:29" x14ac:dyDescent="0.25">
      <c r="AC7525" s="8"/>
    </row>
    <row r="7526" spans="29:29" x14ac:dyDescent="0.25">
      <c r="AC7526" s="8"/>
    </row>
    <row r="7527" spans="29:29" x14ac:dyDescent="0.25">
      <c r="AC7527" s="8"/>
    </row>
    <row r="7528" spans="29:29" x14ac:dyDescent="0.25">
      <c r="AC7528" s="8"/>
    </row>
    <row r="7529" spans="29:29" x14ac:dyDescent="0.25">
      <c r="AC7529" s="8"/>
    </row>
    <row r="7530" spans="29:29" x14ac:dyDescent="0.25">
      <c r="AC7530" s="8"/>
    </row>
    <row r="7531" spans="29:29" x14ac:dyDescent="0.25">
      <c r="AC7531" s="8"/>
    </row>
    <row r="7532" spans="29:29" x14ac:dyDescent="0.25">
      <c r="AC7532" s="8"/>
    </row>
    <row r="7533" spans="29:29" x14ac:dyDescent="0.25">
      <c r="AC7533" s="8"/>
    </row>
    <row r="7534" spans="29:29" x14ac:dyDescent="0.25">
      <c r="AC7534" s="8"/>
    </row>
    <row r="7535" spans="29:29" x14ac:dyDescent="0.25">
      <c r="AC7535" s="8"/>
    </row>
    <row r="7536" spans="29:29" x14ac:dyDescent="0.25">
      <c r="AC7536" s="8"/>
    </row>
    <row r="7537" spans="29:29" x14ac:dyDescent="0.25">
      <c r="AC7537" s="8"/>
    </row>
    <row r="7538" spans="29:29" x14ac:dyDescent="0.25">
      <c r="AC7538" s="8"/>
    </row>
    <row r="7539" spans="29:29" x14ac:dyDescent="0.25">
      <c r="AC7539" s="8"/>
    </row>
    <row r="7540" spans="29:29" x14ac:dyDescent="0.25">
      <c r="AC7540" s="8"/>
    </row>
    <row r="7541" spans="29:29" x14ac:dyDescent="0.25">
      <c r="AC7541" s="8"/>
    </row>
    <row r="7542" spans="29:29" x14ac:dyDescent="0.25">
      <c r="AC7542" s="8"/>
    </row>
    <row r="7543" spans="29:29" x14ac:dyDescent="0.25">
      <c r="AC7543" s="8"/>
    </row>
    <row r="7544" spans="29:29" x14ac:dyDescent="0.25">
      <c r="AC7544" s="8"/>
    </row>
    <row r="7545" spans="29:29" x14ac:dyDescent="0.25">
      <c r="AC7545" s="8"/>
    </row>
    <row r="7546" spans="29:29" x14ac:dyDescent="0.25">
      <c r="AC7546" s="8"/>
    </row>
    <row r="7547" spans="29:29" x14ac:dyDescent="0.25">
      <c r="AC7547" s="8"/>
    </row>
    <row r="7548" spans="29:29" x14ac:dyDescent="0.25">
      <c r="AC7548" s="8"/>
    </row>
    <row r="7549" spans="29:29" x14ac:dyDescent="0.25">
      <c r="AC7549" s="8"/>
    </row>
    <row r="7550" spans="29:29" x14ac:dyDescent="0.25">
      <c r="AC7550" s="8"/>
    </row>
    <row r="7551" spans="29:29" x14ac:dyDescent="0.25">
      <c r="AC7551" s="8"/>
    </row>
    <row r="7552" spans="29:29" x14ac:dyDescent="0.25">
      <c r="AC7552" s="8"/>
    </row>
    <row r="7553" spans="29:29" x14ac:dyDescent="0.25">
      <c r="AC7553" s="8"/>
    </row>
    <row r="7554" spans="29:29" x14ac:dyDescent="0.25">
      <c r="AC7554" s="8"/>
    </row>
    <row r="7555" spans="29:29" x14ac:dyDescent="0.25">
      <c r="AC7555" s="8"/>
    </row>
    <row r="7556" spans="29:29" x14ac:dyDescent="0.25">
      <c r="AC7556" s="8"/>
    </row>
    <row r="7557" spans="29:29" x14ac:dyDescent="0.25">
      <c r="AC7557" s="8"/>
    </row>
    <row r="7558" spans="29:29" x14ac:dyDescent="0.25">
      <c r="AC7558" s="8"/>
    </row>
    <row r="7559" spans="29:29" x14ac:dyDescent="0.25">
      <c r="AC7559" s="8"/>
    </row>
    <row r="7560" spans="29:29" x14ac:dyDescent="0.25">
      <c r="AC7560" s="8"/>
    </row>
    <row r="7561" spans="29:29" x14ac:dyDescent="0.25">
      <c r="AC7561" s="8"/>
    </row>
    <row r="7562" spans="29:29" x14ac:dyDescent="0.25">
      <c r="AC7562" s="8"/>
    </row>
    <row r="7563" spans="29:29" x14ac:dyDescent="0.25">
      <c r="AC7563" s="8"/>
    </row>
    <row r="7564" spans="29:29" x14ac:dyDescent="0.25">
      <c r="AC7564" s="8"/>
    </row>
    <row r="7565" spans="29:29" x14ac:dyDescent="0.25">
      <c r="AC7565" s="8"/>
    </row>
    <row r="7566" spans="29:29" x14ac:dyDescent="0.25">
      <c r="AC7566" s="8"/>
    </row>
    <row r="7567" spans="29:29" x14ac:dyDescent="0.25">
      <c r="AC7567" s="8"/>
    </row>
    <row r="7568" spans="29:29" x14ac:dyDescent="0.25">
      <c r="AC7568" s="8"/>
    </row>
    <row r="7569" spans="29:29" x14ac:dyDescent="0.25">
      <c r="AC7569" s="8"/>
    </row>
    <row r="7570" spans="29:29" x14ac:dyDescent="0.25">
      <c r="AC7570" s="8"/>
    </row>
    <row r="7571" spans="29:29" x14ac:dyDescent="0.25">
      <c r="AC7571" s="8"/>
    </row>
    <row r="7572" spans="29:29" x14ac:dyDescent="0.25">
      <c r="AC7572" s="8"/>
    </row>
    <row r="7573" spans="29:29" x14ac:dyDescent="0.25">
      <c r="AC7573" s="8"/>
    </row>
    <row r="7574" spans="29:29" x14ac:dyDescent="0.25">
      <c r="AC7574" s="8"/>
    </row>
    <row r="7575" spans="29:29" x14ac:dyDescent="0.25">
      <c r="AC7575" s="8"/>
    </row>
    <row r="7576" spans="29:29" x14ac:dyDescent="0.25">
      <c r="AC7576" s="8"/>
    </row>
    <row r="7577" spans="29:29" x14ac:dyDescent="0.25">
      <c r="AC7577" s="8"/>
    </row>
    <row r="7578" spans="29:29" x14ac:dyDescent="0.25">
      <c r="AC7578" s="8"/>
    </row>
    <row r="7579" spans="29:29" x14ac:dyDescent="0.25">
      <c r="AC7579" s="8"/>
    </row>
    <row r="7580" spans="29:29" x14ac:dyDescent="0.25">
      <c r="AC7580" s="8"/>
    </row>
    <row r="7581" spans="29:29" x14ac:dyDescent="0.25">
      <c r="AC7581" s="8"/>
    </row>
    <row r="7582" spans="29:29" x14ac:dyDescent="0.25">
      <c r="AC7582" s="8"/>
    </row>
    <row r="7583" spans="29:29" x14ac:dyDescent="0.25">
      <c r="AC7583" s="8"/>
    </row>
    <row r="7584" spans="29:29" x14ac:dyDescent="0.25">
      <c r="AC7584" s="8"/>
    </row>
    <row r="7585" spans="29:29" x14ac:dyDescent="0.25">
      <c r="AC7585" s="8"/>
    </row>
    <row r="7586" spans="29:29" x14ac:dyDescent="0.25">
      <c r="AC7586" s="8"/>
    </row>
    <row r="7587" spans="29:29" x14ac:dyDescent="0.25">
      <c r="AC7587" s="8"/>
    </row>
    <row r="7588" spans="29:29" x14ac:dyDescent="0.25">
      <c r="AC7588" s="8"/>
    </row>
    <row r="7589" spans="29:29" x14ac:dyDescent="0.25">
      <c r="AC7589" s="8"/>
    </row>
    <row r="7590" spans="29:29" x14ac:dyDescent="0.25">
      <c r="AC7590" s="8"/>
    </row>
    <row r="7591" spans="29:29" x14ac:dyDescent="0.25">
      <c r="AC7591" s="8"/>
    </row>
    <row r="7592" spans="29:29" x14ac:dyDescent="0.25">
      <c r="AC7592" s="8"/>
    </row>
    <row r="7593" spans="29:29" x14ac:dyDescent="0.25">
      <c r="AC7593" s="8"/>
    </row>
    <row r="7594" spans="29:29" x14ac:dyDescent="0.25">
      <c r="AC7594" s="8"/>
    </row>
    <row r="7595" spans="29:29" x14ac:dyDescent="0.25">
      <c r="AC7595" s="8"/>
    </row>
    <row r="7596" spans="29:29" x14ac:dyDescent="0.25">
      <c r="AC7596" s="8"/>
    </row>
    <row r="7597" spans="29:29" x14ac:dyDescent="0.25">
      <c r="AC7597" s="8"/>
    </row>
    <row r="7598" spans="29:29" x14ac:dyDescent="0.25">
      <c r="AC7598" s="8"/>
    </row>
    <row r="7599" spans="29:29" x14ac:dyDescent="0.25">
      <c r="AC7599" s="8"/>
    </row>
    <row r="7600" spans="29:29" x14ac:dyDescent="0.25">
      <c r="AC7600" s="8"/>
    </row>
    <row r="7601" spans="29:29" x14ac:dyDescent="0.25">
      <c r="AC7601" s="8"/>
    </row>
    <row r="7602" spans="29:29" x14ac:dyDescent="0.25">
      <c r="AC7602" s="8"/>
    </row>
    <row r="7603" spans="29:29" x14ac:dyDescent="0.25">
      <c r="AC7603" s="8"/>
    </row>
    <row r="7604" spans="29:29" x14ac:dyDescent="0.25">
      <c r="AC7604" s="8"/>
    </row>
    <row r="7605" spans="29:29" x14ac:dyDescent="0.25">
      <c r="AC7605" s="8"/>
    </row>
    <row r="7606" spans="29:29" x14ac:dyDescent="0.25">
      <c r="AC7606" s="8"/>
    </row>
    <row r="7607" spans="29:29" x14ac:dyDescent="0.25">
      <c r="AC7607" s="8"/>
    </row>
    <row r="7608" spans="29:29" x14ac:dyDescent="0.25">
      <c r="AC7608" s="8"/>
    </row>
    <row r="7609" spans="29:29" x14ac:dyDescent="0.25">
      <c r="AC7609" s="8"/>
    </row>
    <row r="7610" spans="29:29" x14ac:dyDescent="0.25">
      <c r="AC7610" s="8"/>
    </row>
    <row r="7611" spans="29:29" x14ac:dyDescent="0.25">
      <c r="AC7611" s="8"/>
    </row>
    <row r="7612" spans="29:29" x14ac:dyDescent="0.25">
      <c r="AC7612" s="8"/>
    </row>
    <row r="7613" spans="29:29" x14ac:dyDescent="0.25">
      <c r="AC7613" s="8"/>
    </row>
    <row r="7614" spans="29:29" x14ac:dyDescent="0.25">
      <c r="AC7614" s="8"/>
    </row>
    <row r="7615" spans="29:29" x14ac:dyDescent="0.25">
      <c r="AC7615" s="8"/>
    </row>
    <row r="7616" spans="29:29" x14ac:dyDescent="0.25">
      <c r="AC7616" s="8"/>
    </row>
    <row r="7617" spans="29:29" x14ac:dyDescent="0.25">
      <c r="AC7617" s="8"/>
    </row>
    <row r="7618" spans="29:29" x14ac:dyDescent="0.25">
      <c r="AC7618" s="8"/>
    </row>
    <row r="7619" spans="29:29" x14ac:dyDescent="0.25">
      <c r="AC7619" s="8"/>
    </row>
    <row r="7620" spans="29:29" x14ac:dyDescent="0.25">
      <c r="AC7620" s="8"/>
    </row>
    <row r="7621" spans="29:29" x14ac:dyDescent="0.25">
      <c r="AC7621" s="8"/>
    </row>
    <row r="7622" spans="29:29" x14ac:dyDescent="0.25">
      <c r="AC7622" s="8"/>
    </row>
    <row r="7623" spans="29:29" x14ac:dyDescent="0.25">
      <c r="AC7623" s="8"/>
    </row>
    <row r="7624" spans="29:29" x14ac:dyDescent="0.25">
      <c r="AC7624" s="8"/>
    </row>
    <row r="7625" spans="29:29" x14ac:dyDescent="0.25">
      <c r="AC7625" s="8"/>
    </row>
    <row r="7626" spans="29:29" x14ac:dyDescent="0.25">
      <c r="AC7626" s="8"/>
    </row>
    <row r="7627" spans="29:29" x14ac:dyDescent="0.25">
      <c r="AC7627" s="8"/>
    </row>
    <row r="7628" spans="29:29" x14ac:dyDescent="0.25">
      <c r="AC7628" s="8"/>
    </row>
    <row r="7629" spans="29:29" x14ac:dyDescent="0.25">
      <c r="AC7629" s="8"/>
    </row>
    <row r="7630" spans="29:29" x14ac:dyDescent="0.25">
      <c r="AC7630" s="8"/>
    </row>
    <row r="7631" spans="29:29" x14ac:dyDescent="0.25">
      <c r="AC7631" s="8"/>
    </row>
    <row r="7632" spans="29:29" x14ac:dyDescent="0.25">
      <c r="AC7632" s="8"/>
    </row>
    <row r="7633" spans="29:29" x14ac:dyDescent="0.25">
      <c r="AC7633" s="8"/>
    </row>
    <row r="7634" spans="29:29" x14ac:dyDescent="0.25">
      <c r="AC7634" s="8"/>
    </row>
    <row r="7635" spans="29:29" x14ac:dyDescent="0.25">
      <c r="AC7635" s="8"/>
    </row>
    <row r="7636" spans="29:29" x14ac:dyDescent="0.25">
      <c r="AC7636" s="8"/>
    </row>
    <row r="7637" spans="29:29" x14ac:dyDescent="0.25">
      <c r="AC7637" s="8"/>
    </row>
    <row r="7638" spans="29:29" x14ac:dyDescent="0.25">
      <c r="AC7638" s="8"/>
    </row>
    <row r="7639" spans="29:29" x14ac:dyDescent="0.25">
      <c r="AC7639" s="8"/>
    </row>
    <row r="7640" spans="29:29" x14ac:dyDescent="0.25">
      <c r="AC7640" s="8"/>
    </row>
    <row r="7641" spans="29:29" x14ac:dyDescent="0.25">
      <c r="AC7641" s="8"/>
    </row>
    <row r="7642" spans="29:29" x14ac:dyDescent="0.25">
      <c r="AC7642" s="8"/>
    </row>
    <row r="7643" spans="29:29" x14ac:dyDescent="0.25">
      <c r="AC7643" s="8"/>
    </row>
    <row r="7644" spans="29:29" x14ac:dyDescent="0.25">
      <c r="AC7644" s="8"/>
    </row>
    <row r="7645" spans="29:29" x14ac:dyDescent="0.25">
      <c r="AC7645" s="8"/>
    </row>
    <row r="7646" spans="29:29" x14ac:dyDescent="0.25">
      <c r="AC7646" s="8"/>
    </row>
    <row r="7647" spans="29:29" x14ac:dyDescent="0.25">
      <c r="AC7647" s="8"/>
    </row>
    <row r="7648" spans="29:29" x14ac:dyDescent="0.25">
      <c r="AC7648" s="8"/>
    </row>
    <row r="7649" spans="29:29" x14ac:dyDescent="0.25">
      <c r="AC7649" s="8"/>
    </row>
    <row r="7650" spans="29:29" x14ac:dyDescent="0.25">
      <c r="AC7650" s="8"/>
    </row>
    <row r="7651" spans="29:29" x14ac:dyDescent="0.25">
      <c r="AC7651" s="8"/>
    </row>
    <row r="7652" spans="29:29" x14ac:dyDescent="0.25">
      <c r="AC7652" s="8"/>
    </row>
    <row r="7653" spans="29:29" x14ac:dyDescent="0.25">
      <c r="AC7653" s="8"/>
    </row>
    <row r="7654" spans="29:29" x14ac:dyDescent="0.25">
      <c r="AC7654" s="8"/>
    </row>
    <row r="7655" spans="29:29" x14ac:dyDescent="0.25">
      <c r="AC7655" s="8"/>
    </row>
    <row r="7656" spans="29:29" x14ac:dyDescent="0.25">
      <c r="AC7656" s="8"/>
    </row>
    <row r="7657" spans="29:29" x14ac:dyDescent="0.25">
      <c r="AC7657" s="8"/>
    </row>
    <row r="7658" spans="29:29" x14ac:dyDescent="0.25">
      <c r="AC7658" s="8"/>
    </row>
    <row r="7659" spans="29:29" x14ac:dyDescent="0.25">
      <c r="AC7659" s="8"/>
    </row>
    <row r="7660" spans="29:29" x14ac:dyDescent="0.25">
      <c r="AC7660" s="8"/>
    </row>
    <row r="7661" spans="29:29" x14ac:dyDescent="0.25">
      <c r="AC7661" s="8"/>
    </row>
    <row r="7662" spans="29:29" x14ac:dyDescent="0.25">
      <c r="AC7662" s="8"/>
    </row>
    <row r="7663" spans="29:29" x14ac:dyDescent="0.25">
      <c r="AC7663" s="8"/>
    </row>
    <row r="7664" spans="29:29" x14ac:dyDescent="0.25">
      <c r="AC7664" s="8"/>
    </row>
    <row r="7665" spans="29:29" x14ac:dyDescent="0.25">
      <c r="AC7665" s="8"/>
    </row>
    <row r="7666" spans="29:29" x14ac:dyDescent="0.25">
      <c r="AC7666" s="8"/>
    </row>
    <row r="7667" spans="29:29" x14ac:dyDescent="0.25">
      <c r="AC7667" s="8"/>
    </row>
    <row r="7668" spans="29:29" x14ac:dyDescent="0.25">
      <c r="AC7668" s="8"/>
    </row>
    <row r="7669" spans="29:29" x14ac:dyDescent="0.25">
      <c r="AC7669" s="8"/>
    </row>
    <row r="7670" spans="29:29" x14ac:dyDescent="0.25">
      <c r="AC7670" s="8"/>
    </row>
    <row r="7671" spans="29:29" x14ac:dyDescent="0.25">
      <c r="AC7671" s="8"/>
    </row>
    <row r="7672" spans="29:29" x14ac:dyDescent="0.25">
      <c r="AC7672" s="8"/>
    </row>
    <row r="7673" spans="29:29" x14ac:dyDescent="0.25">
      <c r="AC7673" s="8"/>
    </row>
    <row r="7674" spans="29:29" x14ac:dyDescent="0.25">
      <c r="AC7674" s="8"/>
    </row>
    <row r="7675" spans="29:29" x14ac:dyDescent="0.25">
      <c r="AC7675" s="8"/>
    </row>
    <row r="7676" spans="29:29" x14ac:dyDescent="0.25">
      <c r="AC7676" s="8"/>
    </row>
    <row r="7677" spans="29:29" x14ac:dyDescent="0.25">
      <c r="AC7677" s="8"/>
    </row>
    <row r="7678" spans="29:29" x14ac:dyDescent="0.25">
      <c r="AC7678" s="8"/>
    </row>
    <row r="7679" spans="29:29" x14ac:dyDescent="0.25">
      <c r="AC7679" s="8"/>
    </row>
    <row r="7680" spans="29:29" x14ac:dyDescent="0.25">
      <c r="AC7680" s="8"/>
    </row>
    <row r="7681" spans="29:29" x14ac:dyDescent="0.25">
      <c r="AC7681" s="8"/>
    </row>
    <row r="7682" spans="29:29" x14ac:dyDescent="0.25">
      <c r="AC7682" s="8"/>
    </row>
    <row r="7683" spans="29:29" x14ac:dyDescent="0.25">
      <c r="AC7683" s="8"/>
    </row>
    <row r="7684" spans="29:29" x14ac:dyDescent="0.25">
      <c r="AC7684" s="8"/>
    </row>
    <row r="7685" spans="29:29" x14ac:dyDescent="0.25">
      <c r="AC7685" s="8"/>
    </row>
    <row r="7686" spans="29:29" x14ac:dyDescent="0.25">
      <c r="AC7686" s="8"/>
    </row>
    <row r="7687" spans="29:29" x14ac:dyDescent="0.25">
      <c r="AC7687" s="8"/>
    </row>
    <row r="7688" spans="29:29" x14ac:dyDescent="0.25">
      <c r="AC7688" s="8"/>
    </row>
    <row r="7689" spans="29:29" x14ac:dyDescent="0.25">
      <c r="AC7689" s="8"/>
    </row>
    <row r="7690" spans="29:29" x14ac:dyDescent="0.25">
      <c r="AC7690" s="8"/>
    </row>
    <row r="7691" spans="29:29" x14ac:dyDescent="0.25">
      <c r="AC7691" s="8"/>
    </row>
    <row r="7692" spans="29:29" x14ac:dyDescent="0.25">
      <c r="AC7692" s="8"/>
    </row>
    <row r="7693" spans="29:29" x14ac:dyDescent="0.25">
      <c r="AC7693" s="8"/>
    </row>
    <row r="7694" spans="29:29" x14ac:dyDescent="0.25">
      <c r="AC7694" s="8"/>
    </row>
    <row r="7695" spans="29:29" x14ac:dyDescent="0.25">
      <c r="AC7695" s="8"/>
    </row>
    <row r="7696" spans="29:29" x14ac:dyDescent="0.25">
      <c r="AC7696" s="8"/>
    </row>
    <row r="7697" spans="29:29" x14ac:dyDescent="0.25">
      <c r="AC7697" s="8"/>
    </row>
    <row r="7698" spans="29:29" x14ac:dyDescent="0.25">
      <c r="AC7698" s="8"/>
    </row>
    <row r="7699" spans="29:29" x14ac:dyDescent="0.25">
      <c r="AC7699" s="8"/>
    </row>
    <row r="7700" spans="29:29" x14ac:dyDescent="0.25">
      <c r="AC7700" s="8"/>
    </row>
    <row r="7701" spans="29:29" x14ac:dyDescent="0.25">
      <c r="AC7701" s="8"/>
    </row>
    <row r="7702" spans="29:29" x14ac:dyDescent="0.25">
      <c r="AC7702" s="8"/>
    </row>
    <row r="7703" spans="29:29" x14ac:dyDescent="0.25">
      <c r="AC7703" s="8"/>
    </row>
    <row r="7704" spans="29:29" x14ac:dyDescent="0.25">
      <c r="AC7704" s="8"/>
    </row>
    <row r="7705" spans="29:29" x14ac:dyDescent="0.25">
      <c r="AC7705" s="8"/>
    </row>
    <row r="7706" spans="29:29" x14ac:dyDescent="0.25">
      <c r="AC7706" s="8"/>
    </row>
    <row r="7707" spans="29:29" x14ac:dyDescent="0.25">
      <c r="AC7707" s="8"/>
    </row>
    <row r="7708" spans="29:29" x14ac:dyDescent="0.25">
      <c r="AC7708" s="8"/>
    </row>
    <row r="7709" spans="29:29" x14ac:dyDescent="0.25">
      <c r="AC7709" s="8"/>
    </row>
    <row r="7710" spans="29:29" x14ac:dyDescent="0.25">
      <c r="AC7710" s="8"/>
    </row>
    <row r="7711" spans="29:29" x14ac:dyDescent="0.25">
      <c r="AC7711" s="8"/>
    </row>
    <row r="7712" spans="29:29" x14ac:dyDescent="0.25">
      <c r="AC7712" s="8"/>
    </row>
    <row r="7713" spans="29:29" x14ac:dyDescent="0.25">
      <c r="AC7713" s="8"/>
    </row>
    <row r="7714" spans="29:29" x14ac:dyDescent="0.25">
      <c r="AC7714" s="8"/>
    </row>
    <row r="7715" spans="29:29" x14ac:dyDescent="0.25">
      <c r="AC7715" s="8"/>
    </row>
    <row r="7716" spans="29:29" x14ac:dyDescent="0.25">
      <c r="AC7716" s="8"/>
    </row>
    <row r="7717" spans="29:29" x14ac:dyDescent="0.25">
      <c r="AC7717" s="8"/>
    </row>
    <row r="7718" spans="29:29" x14ac:dyDescent="0.25">
      <c r="AC7718" s="8"/>
    </row>
    <row r="7719" spans="29:29" x14ac:dyDescent="0.25">
      <c r="AC7719" s="8"/>
    </row>
    <row r="7720" spans="29:29" x14ac:dyDescent="0.25">
      <c r="AC7720" s="8"/>
    </row>
    <row r="7721" spans="29:29" x14ac:dyDescent="0.25">
      <c r="AC7721" s="8"/>
    </row>
    <row r="7722" spans="29:29" x14ac:dyDescent="0.25">
      <c r="AC7722" s="8"/>
    </row>
    <row r="7723" spans="29:29" x14ac:dyDescent="0.25">
      <c r="AC7723" s="8"/>
    </row>
    <row r="7724" spans="29:29" x14ac:dyDescent="0.25">
      <c r="AC7724" s="8"/>
    </row>
    <row r="7725" spans="29:29" x14ac:dyDescent="0.25">
      <c r="AC7725" s="8"/>
    </row>
    <row r="7726" spans="29:29" x14ac:dyDescent="0.25">
      <c r="AC7726" s="8"/>
    </row>
    <row r="7727" spans="29:29" x14ac:dyDescent="0.25">
      <c r="AC7727" s="8"/>
    </row>
    <row r="7728" spans="29:29" x14ac:dyDescent="0.25">
      <c r="AC7728" s="8"/>
    </row>
    <row r="7729" spans="29:29" x14ac:dyDescent="0.25">
      <c r="AC7729" s="8"/>
    </row>
    <row r="7730" spans="29:29" x14ac:dyDescent="0.25">
      <c r="AC7730" s="8"/>
    </row>
    <row r="7731" spans="29:29" x14ac:dyDescent="0.25">
      <c r="AC7731" s="8"/>
    </row>
    <row r="7732" spans="29:29" x14ac:dyDescent="0.25">
      <c r="AC7732" s="8"/>
    </row>
    <row r="7733" spans="29:29" x14ac:dyDescent="0.25">
      <c r="AC7733" s="8"/>
    </row>
    <row r="7734" spans="29:29" x14ac:dyDescent="0.25">
      <c r="AC7734" s="8"/>
    </row>
    <row r="7735" spans="29:29" x14ac:dyDescent="0.25">
      <c r="AC7735" s="8"/>
    </row>
    <row r="7736" spans="29:29" x14ac:dyDescent="0.25">
      <c r="AC7736" s="8"/>
    </row>
    <row r="7737" spans="29:29" x14ac:dyDescent="0.25">
      <c r="AC7737" s="8"/>
    </row>
    <row r="7738" spans="29:29" x14ac:dyDescent="0.25">
      <c r="AC7738" s="8"/>
    </row>
    <row r="7739" spans="29:29" x14ac:dyDescent="0.25">
      <c r="AC7739" s="8"/>
    </row>
    <row r="7740" spans="29:29" x14ac:dyDescent="0.25">
      <c r="AC7740" s="8"/>
    </row>
    <row r="7741" spans="29:29" x14ac:dyDescent="0.25">
      <c r="AC7741" s="8"/>
    </row>
    <row r="7742" spans="29:29" x14ac:dyDescent="0.25">
      <c r="AC7742" s="8"/>
    </row>
    <row r="7743" spans="29:29" x14ac:dyDescent="0.25">
      <c r="AC7743" s="8"/>
    </row>
    <row r="7744" spans="29:29" x14ac:dyDescent="0.25">
      <c r="AC7744" s="8"/>
    </row>
    <row r="7745" spans="29:29" x14ac:dyDescent="0.25">
      <c r="AC7745" s="8"/>
    </row>
    <row r="7746" spans="29:29" x14ac:dyDescent="0.25">
      <c r="AC7746" s="8"/>
    </row>
    <row r="7747" spans="29:29" x14ac:dyDescent="0.25">
      <c r="AC7747" s="8"/>
    </row>
    <row r="7748" spans="29:29" x14ac:dyDescent="0.25">
      <c r="AC7748" s="8"/>
    </row>
    <row r="7749" spans="29:29" x14ac:dyDescent="0.25">
      <c r="AC7749" s="8"/>
    </row>
    <row r="7750" spans="29:29" x14ac:dyDescent="0.25">
      <c r="AC7750" s="8"/>
    </row>
    <row r="7751" spans="29:29" x14ac:dyDescent="0.25">
      <c r="AC7751" s="8"/>
    </row>
    <row r="7752" spans="29:29" x14ac:dyDescent="0.25">
      <c r="AC7752" s="8"/>
    </row>
    <row r="7753" spans="29:29" x14ac:dyDescent="0.25">
      <c r="AC7753" s="8"/>
    </row>
    <row r="7754" spans="29:29" x14ac:dyDescent="0.25">
      <c r="AC7754" s="8"/>
    </row>
    <row r="7755" spans="29:29" x14ac:dyDescent="0.25">
      <c r="AC7755" s="8"/>
    </row>
    <row r="7756" spans="29:29" x14ac:dyDescent="0.25">
      <c r="AC7756" s="8"/>
    </row>
    <row r="7757" spans="29:29" x14ac:dyDescent="0.25">
      <c r="AC7757" s="8"/>
    </row>
    <row r="7758" spans="29:29" x14ac:dyDescent="0.25">
      <c r="AC7758" s="8"/>
    </row>
    <row r="7759" spans="29:29" x14ac:dyDescent="0.25">
      <c r="AC7759" s="8"/>
    </row>
    <row r="7760" spans="29:29" x14ac:dyDescent="0.25">
      <c r="AC7760" s="8"/>
    </row>
    <row r="7761" spans="29:29" x14ac:dyDescent="0.25">
      <c r="AC7761" s="8"/>
    </row>
    <row r="7762" spans="29:29" x14ac:dyDescent="0.25">
      <c r="AC7762" s="8"/>
    </row>
    <row r="7763" spans="29:29" x14ac:dyDescent="0.25">
      <c r="AC7763" s="8"/>
    </row>
    <row r="7764" spans="29:29" x14ac:dyDescent="0.25">
      <c r="AC7764" s="8"/>
    </row>
    <row r="7765" spans="29:29" x14ac:dyDescent="0.25">
      <c r="AC7765" s="8"/>
    </row>
    <row r="7766" spans="29:29" x14ac:dyDescent="0.25">
      <c r="AC7766" s="8"/>
    </row>
    <row r="7767" spans="29:29" x14ac:dyDescent="0.25">
      <c r="AC7767" s="8"/>
    </row>
    <row r="7768" spans="29:29" x14ac:dyDescent="0.25">
      <c r="AC7768" s="8"/>
    </row>
    <row r="7769" spans="29:29" x14ac:dyDescent="0.25">
      <c r="AC7769" s="8"/>
    </row>
    <row r="7770" spans="29:29" x14ac:dyDescent="0.25">
      <c r="AC7770" s="8"/>
    </row>
    <row r="7771" spans="29:29" x14ac:dyDescent="0.25">
      <c r="AC7771" s="8"/>
    </row>
    <row r="7772" spans="29:29" x14ac:dyDescent="0.25">
      <c r="AC7772" s="8"/>
    </row>
    <row r="7773" spans="29:29" x14ac:dyDescent="0.25">
      <c r="AC7773" s="8"/>
    </row>
    <row r="7774" spans="29:29" x14ac:dyDescent="0.25">
      <c r="AC7774" s="8"/>
    </row>
    <row r="7775" spans="29:29" x14ac:dyDescent="0.25">
      <c r="AC7775" s="8"/>
    </row>
    <row r="7776" spans="29:29" x14ac:dyDescent="0.25">
      <c r="AC7776" s="8"/>
    </row>
    <row r="7777" spans="29:29" x14ac:dyDescent="0.25">
      <c r="AC7777" s="8"/>
    </row>
    <row r="7778" spans="29:29" x14ac:dyDescent="0.25">
      <c r="AC7778" s="8"/>
    </row>
    <row r="7779" spans="29:29" x14ac:dyDescent="0.25">
      <c r="AC7779" s="8"/>
    </row>
    <row r="7780" spans="29:29" x14ac:dyDescent="0.25">
      <c r="AC7780" s="8"/>
    </row>
    <row r="7781" spans="29:29" x14ac:dyDescent="0.25">
      <c r="AC7781" s="8"/>
    </row>
    <row r="7782" spans="29:29" x14ac:dyDescent="0.25">
      <c r="AC7782" s="8"/>
    </row>
    <row r="7783" spans="29:29" x14ac:dyDescent="0.25">
      <c r="AC7783" s="8"/>
    </row>
    <row r="7784" spans="29:29" x14ac:dyDescent="0.25">
      <c r="AC7784" s="8"/>
    </row>
    <row r="7785" spans="29:29" x14ac:dyDescent="0.25">
      <c r="AC7785" s="8"/>
    </row>
    <row r="7786" spans="29:29" x14ac:dyDescent="0.25">
      <c r="AC7786" s="8"/>
    </row>
    <row r="7787" spans="29:29" x14ac:dyDescent="0.25">
      <c r="AC7787" s="8"/>
    </row>
    <row r="7788" spans="29:29" x14ac:dyDescent="0.25">
      <c r="AC7788" s="8"/>
    </row>
    <row r="7789" spans="29:29" x14ac:dyDescent="0.25">
      <c r="AC7789" s="8"/>
    </row>
    <row r="7790" spans="29:29" x14ac:dyDescent="0.25">
      <c r="AC7790" s="8"/>
    </row>
    <row r="7791" spans="29:29" x14ac:dyDescent="0.25">
      <c r="AC7791" s="8"/>
    </row>
    <row r="7792" spans="29:29" x14ac:dyDescent="0.25">
      <c r="AC7792" s="8"/>
    </row>
    <row r="7793" spans="29:29" x14ac:dyDescent="0.25">
      <c r="AC7793" s="8"/>
    </row>
    <row r="7794" spans="29:29" x14ac:dyDescent="0.25">
      <c r="AC7794" s="8"/>
    </row>
    <row r="7795" spans="29:29" x14ac:dyDescent="0.25">
      <c r="AC7795" s="8"/>
    </row>
    <row r="7796" spans="29:29" x14ac:dyDescent="0.25">
      <c r="AC7796" s="8"/>
    </row>
    <row r="7797" spans="29:29" x14ac:dyDescent="0.25">
      <c r="AC7797" s="8"/>
    </row>
    <row r="7798" spans="29:29" x14ac:dyDescent="0.25">
      <c r="AC7798" s="8"/>
    </row>
    <row r="7799" spans="29:29" x14ac:dyDescent="0.25">
      <c r="AC7799" s="8"/>
    </row>
    <row r="7800" spans="29:29" x14ac:dyDescent="0.25">
      <c r="AC7800" s="8"/>
    </row>
    <row r="7801" spans="29:29" x14ac:dyDescent="0.25">
      <c r="AC7801" s="8"/>
    </row>
    <row r="7802" spans="29:29" x14ac:dyDescent="0.25">
      <c r="AC7802" s="8"/>
    </row>
    <row r="7803" spans="29:29" x14ac:dyDescent="0.25">
      <c r="AC7803" s="8"/>
    </row>
    <row r="7804" spans="29:29" x14ac:dyDescent="0.25">
      <c r="AC7804" s="8"/>
    </row>
    <row r="7805" spans="29:29" x14ac:dyDescent="0.25">
      <c r="AC7805" s="8"/>
    </row>
    <row r="7806" spans="29:29" x14ac:dyDescent="0.25">
      <c r="AC7806" s="8"/>
    </row>
    <row r="7807" spans="29:29" x14ac:dyDescent="0.25">
      <c r="AC7807" s="8"/>
    </row>
    <row r="7808" spans="29:29" x14ac:dyDescent="0.25">
      <c r="AC7808" s="8"/>
    </row>
    <row r="7809" spans="29:29" x14ac:dyDescent="0.25">
      <c r="AC7809" s="8"/>
    </row>
    <row r="7810" spans="29:29" x14ac:dyDescent="0.25">
      <c r="AC7810" s="8"/>
    </row>
    <row r="7811" spans="29:29" x14ac:dyDescent="0.25">
      <c r="AC7811" s="8"/>
    </row>
    <row r="7812" spans="29:29" x14ac:dyDescent="0.25">
      <c r="AC7812" s="8"/>
    </row>
    <row r="7813" spans="29:29" x14ac:dyDescent="0.25">
      <c r="AC7813" s="8"/>
    </row>
    <row r="7814" spans="29:29" x14ac:dyDescent="0.25">
      <c r="AC7814" s="8"/>
    </row>
    <row r="7815" spans="29:29" x14ac:dyDescent="0.25">
      <c r="AC7815" s="8"/>
    </row>
    <row r="7816" spans="29:29" x14ac:dyDescent="0.25">
      <c r="AC7816" s="8"/>
    </row>
    <row r="7817" spans="29:29" x14ac:dyDescent="0.25">
      <c r="AC7817" s="8"/>
    </row>
    <row r="7818" spans="29:29" x14ac:dyDescent="0.25">
      <c r="AC7818" s="8"/>
    </row>
    <row r="7819" spans="29:29" x14ac:dyDescent="0.25">
      <c r="AC7819" s="8"/>
    </row>
    <row r="7820" spans="29:29" x14ac:dyDescent="0.25">
      <c r="AC7820" s="8"/>
    </row>
    <row r="7821" spans="29:29" x14ac:dyDescent="0.25">
      <c r="AC7821" s="8"/>
    </row>
    <row r="7822" spans="29:29" x14ac:dyDescent="0.25">
      <c r="AC7822" s="8"/>
    </row>
    <row r="7823" spans="29:29" x14ac:dyDescent="0.25">
      <c r="AC7823" s="8"/>
    </row>
    <row r="7824" spans="29:29" x14ac:dyDescent="0.25">
      <c r="AC7824" s="8"/>
    </row>
    <row r="7825" spans="29:29" x14ac:dyDescent="0.25">
      <c r="AC7825" s="8"/>
    </row>
    <row r="7826" spans="29:29" x14ac:dyDescent="0.25">
      <c r="AC7826" s="8"/>
    </row>
    <row r="7827" spans="29:29" x14ac:dyDescent="0.25">
      <c r="AC7827" s="8"/>
    </row>
    <row r="7828" spans="29:29" x14ac:dyDescent="0.25">
      <c r="AC7828" s="8"/>
    </row>
    <row r="7829" spans="29:29" x14ac:dyDescent="0.25">
      <c r="AC7829" s="8"/>
    </row>
    <row r="7830" spans="29:29" x14ac:dyDescent="0.25">
      <c r="AC7830" s="8"/>
    </row>
    <row r="7831" spans="29:29" x14ac:dyDescent="0.25">
      <c r="AC7831" s="8"/>
    </row>
    <row r="7832" spans="29:29" x14ac:dyDescent="0.25">
      <c r="AC7832" s="8"/>
    </row>
    <row r="7833" spans="29:29" x14ac:dyDescent="0.25">
      <c r="AC7833" s="8"/>
    </row>
    <row r="7834" spans="29:29" x14ac:dyDescent="0.25">
      <c r="AC7834" s="8"/>
    </row>
    <row r="7835" spans="29:29" x14ac:dyDescent="0.25">
      <c r="AC7835" s="8"/>
    </row>
    <row r="7836" spans="29:29" x14ac:dyDescent="0.25">
      <c r="AC7836" s="8"/>
    </row>
    <row r="7837" spans="29:29" x14ac:dyDescent="0.25">
      <c r="AC7837" s="8"/>
    </row>
    <row r="7838" spans="29:29" x14ac:dyDescent="0.25">
      <c r="AC7838" s="8"/>
    </row>
    <row r="7839" spans="29:29" x14ac:dyDescent="0.25">
      <c r="AC7839" s="8"/>
    </row>
    <row r="7840" spans="29:29" x14ac:dyDescent="0.25">
      <c r="AC7840" s="8"/>
    </row>
    <row r="7841" spans="29:29" x14ac:dyDescent="0.25">
      <c r="AC7841" s="8"/>
    </row>
    <row r="7842" spans="29:29" x14ac:dyDescent="0.25">
      <c r="AC7842" s="8"/>
    </row>
    <row r="7843" spans="29:29" x14ac:dyDescent="0.25">
      <c r="AC7843" s="8"/>
    </row>
    <row r="7844" spans="29:29" x14ac:dyDescent="0.25">
      <c r="AC7844" s="8"/>
    </row>
    <row r="7845" spans="29:29" x14ac:dyDescent="0.25">
      <c r="AC7845" s="8"/>
    </row>
    <row r="7846" spans="29:29" x14ac:dyDescent="0.25">
      <c r="AC7846" s="8"/>
    </row>
    <row r="7847" spans="29:29" x14ac:dyDescent="0.25">
      <c r="AC7847" s="8"/>
    </row>
    <row r="7848" spans="29:29" x14ac:dyDescent="0.25">
      <c r="AC7848" s="8"/>
    </row>
    <row r="7849" spans="29:29" x14ac:dyDescent="0.25">
      <c r="AC7849" s="8"/>
    </row>
    <row r="7850" spans="29:29" x14ac:dyDescent="0.25">
      <c r="AC7850" s="8"/>
    </row>
    <row r="7851" spans="29:29" x14ac:dyDescent="0.25">
      <c r="AC7851" s="8"/>
    </row>
    <row r="7852" spans="29:29" x14ac:dyDescent="0.25">
      <c r="AC7852" s="8"/>
    </row>
    <row r="7853" spans="29:29" x14ac:dyDescent="0.25">
      <c r="AC7853" s="8"/>
    </row>
    <row r="7854" spans="29:29" x14ac:dyDescent="0.25">
      <c r="AC7854" s="8"/>
    </row>
    <row r="7855" spans="29:29" x14ac:dyDescent="0.25">
      <c r="AC7855" s="8"/>
    </row>
    <row r="7856" spans="29:29" x14ac:dyDescent="0.25">
      <c r="AC7856" s="8"/>
    </row>
    <row r="7857" spans="29:29" x14ac:dyDescent="0.25">
      <c r="AC7857" s="8"/>
    </row>
    <row r="7858" spans="29:29" x14ac:dyDescent="0.25">
      <c r="AC7858" s="8"/>
    </row>
    <row r="7859" spans="29:29" x14ac:dyDescent="0.25">
      <c r="AC7859" s="8"/>
    </row>
    <row r="7860" spans="29:29" x14ac:dyDescent="0.25">
      <c r="AC7860" s="8"/>
    </row>
    <row r="7861" spans="29:29" x14ac:dyDescent="0.25">
      <c r="AC7861" s="8"/>
    </row>
    <row r="7862" spans="29:29" x14ac:dyDescent="0.25">
      <c r="AC7862" s="8"/>
    </row>
    <row r="7863" spans="29:29" x14ac:dyDescent="0.25">
      <c r="AC7863" s="8"/>
    </row>
    <row r="7864" spans="29:29" x14ac:dyDescent="0.25">
      <c r="AC7864" s="8"/>
    </row>
    <row r="7865" spans="29:29" x14ac:dyDescent="0.25">
      <c r="AC7865" s="8"/>
    </row>
    <row r="7866" spans="29:29" x14ac:dyDescent="0.25">
      <c r="AC7866" s="8"/>
    </row>
    <row r="7867" spans="29:29" x14ac:dyDescent="0.25">
      <c r="AC7867" s="8"/>
    </row>
    <row r="7868" spans="29:29" x14ac:dyDescent="0.25">
      <c r="AC7868" s="8"/>
    </row>
    <row r="7869" spans="29:29" x14ac:dyDescent="0.25">
      <c r="AC7869" s="8"/>
    </row>
    <row r="7870" spans="29:29" x14ac:dyDescent="0.25">
      <c r="AC7870" s="8"/>
    </row>
    <row r="7871" spans="29:29" x14ac:dyDescent="0.25">
      <c r="AC7871" s="8"/>
    </row>
    <row r="7872" spans="29:29" x14ac:dyDescent="0.25">
      <c r="AC7872" s="8"/>
    </row>
    <row r="7873" spans="29:29" x14ac:dyDescent="0.25">
      <c r="AC7873" s="8"/>
    </row>
    <row r="7874" spans="29:29" x14ac:dyDescent="0.25">
      <c r="AC7874" s="8"/>
    </row>
    <row r="7875" spans="29:29" x14ac:dyDescent="0.25">
      <c r="AC7875" s="8"/>
    </row>
    <row r="7876" spans="29:29" x14ac:dyDescent="0.25">
      <c r="AC7876" s="8"/>
    </row>
    <row r="7877" spans="29:29" x14ac:dyDescent="0.25">
      <c r="AC7877" s="8"/>
    </row>
    <row r="7878" spans="29:29" x14ac:dyDescent="0.25">
      <c r="AC7878" s="8"/>
    </row>
    <row r="7879" spans="29:29" x14ac:dyDescent="0.25">
      <c r="AC7879" s="8"/>
    </row>
    <row r="7880" spans="29:29" x14ac:dyDescent="0.25">
      <c r="AC7880" s="8"/>
    </row>
    <row r="7881" spans="29:29" x14ac:dyDescent="0.25">
      <c r="AC7881" s="8"/>
    </row>
    <row r="7882" spans="29:29" x14ac:dyDescent="0.25">
      <c r="AC7882" s="8"/>
    </row>
    <row r="7883" spans="29:29" x14ac:dyDescent="0.25">
      <c r="AC7883" s="8"/>
    </row>
    <row r="7884" spans="29:29" x14ac:dyDescent="0.25">
      <c r="AC7884" s="8"/>
    </row>
    <row r="7885" spans="29:29" x14ac:dyDescent="0.25">
      <c r="AC7885" s="8"/>
    </row>
    <row r="7886" spans="29:29" x14ac:dyDescent="0.25">
      <c r="AC7886" s="8"/>
    </row>
    <row r="7887" spans="29:29" x14ac:dyDescent="0.25">
      <c r="AC7887" s="8"/>
    </row>
    <row r="7888" spans="29:29" x14ac:dyDescent="0.25">
      <c r="AC7888" s="8"/>
    </row>
    <row r="7889" spans="29:29" x14ac:dyDescent="0.25">
      <c r="AC7889" s="8"/>
    </row>
    <row r="7890" spans="29:29" x14ac:dyDescent="0.25">
      <c r="AC7890" s="8"/>
    </row>
    <row r="7891" spans="29:29" x14ac:dyDescent="0.25">
      <c r="AC7891" s="8"/>
    </row>
    <row r="7892" spans="29:29" x14ac:dyDescent="0.25">
      <c r="AC7892" s="8"/>
    </row>
    <row r="7893" spans="29:29" x14ac:dyDescent="0.25">
      <c r="AC7893" s="8"/>
    </row>
    <row r="7894" spans="29:29" x14ac:dyDescent="0.25">
      <c r="AC7894" s="8"/>
    </row>
    <row r="7895" spans="29:29" x14ac:dyDescent="0.25">
      <c r="AC7895" s="8"/>
    </row>
    <row r="7896" spans="29:29" x14ac:dyDescent="0.25">
      <c r="AC7896" s="8"/>
    </row>
    <row r="7897" spans="29:29" x14ac:dyDescent="0.25">
      <c r="AC7897" s="8"/>
    </row>
    <row r="7898" spans="29:29" x14ac:dyDescent="0.25">
      <c r="AC7898" s="8"/>
    </row>
    <row r="7899" spans="29:29" x14ac:dyDescent="0.25">
      <c r="AC7899" s="8"/>
    </row>
    <row r="7900" spans="29:29" x14ac:dyDescent="0.25">
      <c r="AC7900" s="8"/>
    </row>
    <row r="7901" spans="29:29" x14ac:dyDescent="0.25">
      <c r="AC7901" s="8"/>
    </row>
    <row r="7902" spans="29:29" x14ac:dyDescent="0.25">
      <c r="AC7902" s="8"/>
    </row>
    <row r="7903" spans="29:29" x14ac:dyDescent="0.25">
      <c r="AC7903" s="8"/>
    </row>
    <row r="7904" spans="29:29" x14ac:dyDescent="0.25">
      <c r="AC7904" s="8"/>
    </row>
    <row r="7905" spans="29:29" x14ac:dyDescent="0.25">
      <c r="AC7905" s="8"/>
    </row>
    <row r="7906" spans="29:29" x14ac:dyDescent="0.25">
      <c r="AC7906" s="8"/>
    </row>
    <row r="7907" spans="29:29" x14ac:dyDescent="0.25">
      <c r="AC7907" s="8"/>
    </row>
    <row r="7908" spans="29:29" x14ac:dyDescent="0.25">
      <c r="AC7908" s="8"/>
    </row>
    <row r="7909" spans="29:29" x14ac:dyDescent="0.25">
      <c r="AC7909" s="8"/>
    </row>
    <row r="7910" spans="29:29" x14ac:dyDescent="0.25">
      <c r="AC7910" s="8"/>
    </row>
    <row r="7911" spans="29:29" x14ac:dyDescent="0.25">
      <c r="AC7911" s="8"/>
    </row>
    <row r="7912" spans="29:29" x14ac:dyDescent="0.25">
      <c r="AC7912" s="8"/>
    </row>
    <row r="7913" spans="29:29" x14ac:dyDescent="0.25">
      <c r="AC7913" s="8"/>
    </row>
    <row r="7914" spans="29:29" x14ac:dyDescent="0.25">
      <c r="AC7914" s="8"/>
    </row>
    <row r="7915" spans="29:29" x14ac:dyDescent="0.25">
      <c r="AC7915" s="8"/>
    </row>
    <row r="7916" spans="29:29" x14ac:dyDescent="0.25">
      <c r="AC7916" s="8"/>
    </row>
    <row r="7917" spans="29:29" x14ac:dyDescent="0.25">
      <c r="AC7917" s="8"/>
    </row>
    <row r="7918" spans="29:29" x14ac:dyDescent="0.25">
      <c r="AC7918" s="8"/>
    </row>
    <row r="7919" spans="29:29" x14ac:dyDescent="0.25">
      <c r="AC7919" s="8"/>
    </row>
    <row r="7920" spans="29:29" x14ac:dyDescent="0.25">
      <c r="AC7920" s="8"/>
    </row>
    <row r="7921" spans="29:29" x14ac:dyDescent="0.25">
      <c r="AC7921" s="8"/>
    </row>
    <row r="7922" spans="29:29" x14ac:dyDescent="0.25">
      <c r="AC7922" s="8"/>
    </row>
    <row r="7923" spans="29:29" x14ac:dyDescent="0.25">
      <c r="AC7923" s="8"/>
    </row>
    <row r="7924" spans="29:29" x14ac:dyDescent="0.25">
      <c r="AC7924" s="8"/>
    </row>
    <row r="7925" spans="29:29" x14ac:dyDescent="0.25">
      <c r="AC7925" s="8"/>
    </row>
    <row r="7926" spans="29:29" x14ac:dyDescent="0.25">
      <c r="AC7926" s="8"/>
    </row>
    <row r="7927" spans="29:29" x14ac:dyDescent="0.25">
      <c r="AC7927" s="8"/>
    </row>
    <row r="7928" spans="29:29" x14ac:dyDescent="0.25">
      <c r="AC7928" s="8"/>
    </row>
    <row r="7929" spans="29:29" x14ac:dyDescent="0.25">
      <c r="AC7929" s="8"/>
    </row>
    <row r="7930" spans="29:29" x14ac:dyDescent="0.25">
      <c r="AC7930" s="8"/>
    </row>
    <row r="7931" spans="29:29" x14ac:dyDescent="0.25">
      <c r="AC7931" s="8"/>
    </row>
    <row r="7932" spans="29:29" x14ac:dyDescent="0.25">
      <c r="AC7932" s="8"/>
    </row>
    <row r="7933" spans="29:29" x14ac:dyDescent="0.25">
      <c r="AC7933" s="8"/>
    </row>
    <row r="7934" spans="29:29" x14ac:dyDescent="0.25">
      <c r="AC7934" s="8"/>
    </row>
    <row r="7935" spans="29:29" x14ac:dyDescent="0.25">
      <c r="AC7935" s="8"/>
    </row>
    <row r="7936" spans="29:29" x14ac:dyDescent="0.25">
      <c r="AC7936" s="8"/>
    </row>
    <row r="7937" spans="29:29" x14ac:dyDescent="0.25">
      <c r="AC7937" s="8"/>
    </row>
    <row r="7938" spans="29:29" x14ac:dyDescent="0.25">
      <c r="AC7938" s="8"/>
    </row>
    <row r="7939" spans="29:29" x14ac:dyDescent="0.25">
      <c r="AC7939" s="8"/>
    </row>
    <row r="7940" spans="29:29" x14ac:dyDescent="0.25">
      <c r="AC7940" s="8"/>
    </row>
    <row r="7941" spans="29:29" x14ac:dyDescent="0.25">
      <c r="AC7941" s="8"/>
    </row>
    <row r="7942" spans="29:29" x14ac:dyDescent="0.25">
      <c r="AC7942" s="8"/>
    </row>
    <row r="7943" spans="29:29" x14ac:dyDescent="0.25">
      <c r="AC7943" s="8"/>
    </row>
    <row r="7944" spans="29:29" x14ac:dyDescent="0.25">
      <c r="AC7944" s="8"/>
    </row>
    <row r="7945" spans="29:29" x14ac:dyDescent="0.25">
      <c r="AC7945" s="8"/>
    </row>
    <row r="7946" spans="29:29" x14ac:dyDescent="0.25">
      <c r="AC7946" s="8"/>
    </row>
    <row r="7947" spans="29:29" x14ac:dyDescent="0.25">
      <c r="AC7947" s="8"/>
    </row>
    <row r="7948" spans="29:29" x14ac:dyDescent="0.25">
      <c r="AC7948" s="8"/>
    </row>
    <row r="7949" spans="29:29" x14ac:dyDescent="0.25">
      <c r="AC7949" s="8"/>
    </row>
    <row r="7950" spans="29:29" x14ac:dyDescent="0.25">
      <c r="AC7950" s="8"/>
    </row>
    <row r="7951" spans="29:29" x14ac:dyDescent="0.25">
      <c r="AC7951" s="8"/>
    </row>
    <row r="7952" spans="29:29" x14ac:dyDescent="0.25">
      <c r="AC7952" s="8"/>
    </row>
    <row r="7953" spans="29:29" x14ac:dyDescent="0.25">
      <c r="AC7953" s="8"/>
    </row>
    <row r="7954" spans="29:29" x14ac:dyDescent="0.25">
      <c r="AC7954" s="8"/>
    </row>
    <row r="7955" spans="29:29" x14ac:dyDescent="0.25">
      <c r="AC7955" s="8"/>
    </row>
    <row r="7956" spans="29:29" x14ac:dyDescent="0.25">
      <c r="AC7956" s="8"/>
    </row>
    <row r="7957" spans="29:29" x14ac:dyDescent="0.25">
      <c r="AC7957" s="8"/>
    </row>
    <row r="7958" spans="29:29" x14ac:dyDescent="0.25">
      <c r="AC7958" s="8"/>
    </row>
    <row r="7959" spans="29:29" x14ac:dyDescent="0.25">
      <c r="AC7959" s="8"/>
    </row>
    <row r="7960" spans="29:29" x14ac:dyDescent="0.25">
      <c r="AC7960" s="8"/>
    </row>
    <row r="7961" spans="29:29" x14ac:dyDescent="0.25">
      <c r="AC7961" s="8"/>
    </row>
    <row r="7962" spans="29:29" x14ac:dyDescent="0.25">
      <c r="AC7962" s="8"/>
    </row>
    <row r="7963" spans="29:29" x14ac:dyDescent="0.25">
      <c r="AC7963" s="8"/>
    </row>
    <row r="7964" spans="29:29" x14ac:dyDescent="0.25">
      <c r="AC7964" s="8"/>
    </row>
    <row r="7965" spans="29:29" x14ac:dyDescent="0.25">
      <c r="AC7965" s="8"/>
    </row>
    <row r="7966" spans="29:29" x14ac:dyDescent="0.25">
      <c r="AC7966" s="8"/>
    </row>
    <row r="7967" spans="29:29" x14ac:dyDescent="0.25">
      <c r="AC7967" s="8"/>
    </row>
    <row r="7968" spans="29:29" x14ac:dyDescent="0.25">
      <c r="AC7968" s="8"/>
    </row>
    <row r="7969" spans="29:29" x14ac:dyDescent="0.25">
      <c r="AC7969" s="8"/>
    </row>
    <row r="7970" spans="29:29" x14ac:dyDescent="0.25">
      <c r="AC7970" s="8"/>
    </row>
    <row r="7971" spans="29:29" x14ac:dyDescent="0.25">
      <c r="AC7971" s="8"/>
    </row>
    <row r="7972" spans="29:29" x14ac:dyDescent="0.25">
      <c r="AC7972" s="8"/>
    </row>
    <row r="7973" spans="29:29" x14ac:dyDescent="0.25">
      <c r="AC7973" s="8"/>
    </row>
    <row r="7974" spans="29:29" x14ac:dyDescent="0.25">
      <c r="AC7974" s="8"/>
    </row>
    <row r="7975" spans="29:29" x14ac:dyDescent="0.25">
      <c r="AC7975" s="8"/>
    </row>
    <row r="7976" spans="29:29" x14ac:dyDescent="0.25">
      <c r="AC7976" s="8"/>
    </row>
    <row r="7977" spans="29:29" x14ac:dyDescent="0.25">
      <c r="AC7977" s="8"/>
    </row>
    <row r="7978" spans="29:29" x14ac:dyDescent="0.25">
      <c r="AC7978" s="8"/>
    </row>
    <row r="7979" spans="29:29" x14ac:dyDescent="0.25">
      <c r="AC7979" s="8"/>
    </row>
    <row r="7980" spans="29:29" x14ac:dyDescent="0.25">
      <c r="AC7980" s="8"/>
    </row>
    <row r="7981" spans="29:29" x14ac:dyDescent="0.25">
      <c r="AC7981" s="8"/>
    </row>
    <row r="7982" spans="29:29" x14ac:dyDescent="0.25">
      <c r="AC7982" s="8"/>
    </row>
    <row r="7983" spans="29:29" x14ac:dyDescent="0.25">
      <c r="AC7983" s="8"/>
    </row>
    <row r="7984" spans="29:29" x14ac:dyDescent="0.25">
      <c r="AC7984" s="8"/>
    </row>
    <row r="7985" spans="29:29" x14ac:dyDescent="0.25">
      <c r="AC7985" s="8"/>
    </row>
    <row r="7986" spans="29:29" x14ac:dyDescent="0.25">
      <c r="AC7986" s="8"/>
    </row>
    <row r="7987" spans="29:29" x14ac:dyDescent="0.25">
      <c r="AC7987" s="8"/>
    </row>
    <row r="7988" spans="29:29" x14ac:dyDescent="0.25">
      <c r="AC7988" s="8"/>
    </row>
    <row r="7989" spans="29:29" x14ac:dyDescent="0.25">
      <c r="AC7989" s="8"/>
    </row>
    <row r="7990" spans="29:29" x14ac:dyDescent="0.25">
      <c r="AC7990" s="8"/>
    </row>
    <row r="7991" spans="29:29" x14ac:dyDescent="0.25">
      <c r="AC7991" s="8"/>
    </row>
    <row r="7992" spans="29:29" x14ac:dyDescent="0.25">
      <c r="AC7992" s="8"/>
    </row>
    <row r="7993" spans="29:29" x14ac:dyDescent="0.25">
      <c r="AC7993" s="8"/>
    </row>
    <row r="7994" spans="29:29" x14ac:dyDescent="0.25">
      <c r="AC7994" s="8"/>
    </row>
    <row r="7995" spans="29:29" x14ac:dyDescent="0.25">
      <c r="AC7995" s="8"/>
    </row>
    <row r="7996" spans="29:29" x14ac:dyDescent="0.25">
      <c r="AC7996" s="8"/>
    </row>
    <row r="7997" spans="29:29" x14ac:dyDescent="0.25">
      <c r="AC7997" s="8"/>
    </row>
    <row r="7998" spans="29:29" x14ac:dyDescent="0.25">
      <c r="AC7998" s="8"/>
    </row>
    <row r="7999" spans="29:29" x14ac:dyDescent="0.25">
      <c r="AC7999" s="8"/>
    </row>
    <row r="8000" spans="29:29" x14ac:dyDescent="0.25">
      <c r="AC8000" s="8"/>
    </row>
    <row r="8001" spans="29:29" x14ac:dyDescent="0.25">
      <c r="AC8001" s="8"/>
    </row>
    <row r="8002" spans="29:29" x14ac:dyDescent="0.25">
      <c r="AC8002" s="8"/>
    </row>
    <row r="8003" spans="29:29" x14ac:dyDescent="0.25">
      <c r="AC8003" s="8"/>
    </row>
    <row r="8004" spans="29:29" x14ac:dyDescent="0.25">
      <c r="AC8004" s="8"/>
    </row>
    <row r="8005" spans="29:29" x14ac:dyDescent="0.25">
      <c r="AC8005" s="8"/>
    </row>
    <row r="8006" spans="29:29" x14ac:dyDescent="0.25">
      <c r="AC8006" s="8"/>
    </row>
    <row r="8007" spans="29:29" x14ac:dyDescent="0.25">
      <c r="AC8007" s="8"/>
    </row>
    <row r="8008" spans="29:29" x14ac:dyDescent="0.25">
      <c r="AC8008" s="8"/>
    </row>
    <row r="8009" spans="29:29" x14ac:dyDescent="0.25">
      <c r="AC8009" s="8"/>
    </row>
    <row r="8010" spans="29:29" x14ac:dyDescent="0.25">
      <c r="AC8010" s="8"/>
    </row>
    <row r="8011" spans="29:29" x14ac:dyDescent="0.25">
      <c r="AC8011" s="8"/>
    </row>
    <row r="8012" spans="29:29" x14ac:dyDescent="0.25">
      <c r="AC8012" s="8"/>
    </row>
    <row r="8013" spans="29:29" x14ac:dyDescent="0.25">
      <c r="AC8013" s="8"/>
    </row>
    <row r="8014" spans="29:29" x14ac:dyDescent="0.25">
      <c r="AC8014" s="8"/>
    </row>
    <row r="8015" spans="29:29" x14ac:dyDescent="0.25">
      <c r="AC8015" s="8"/>
    </row>
    <row r="8016" spans="29:29" x14ac:dyDescent="0.25">
      <c r="AC8016" s="8"/>
    </row>
    <row r="8017" spans="29:29" x14ac:dyDescent="0.25">
      <c r="AC8017" s="8"/>
    </row>
    <row r="8018" spans="29:29" x14ac:dyDescent="0.25">
      <c r="AC8018" s="8"/>
    </row>
    <row r="8019" spans="29:29" x14ac:dyDescent="0.25">
      <c r="AC8019" s="8"/>
    </row>
    <row r="8020" spans="29:29" x14ac:dyDescent="0.25">
      <c r="AC8020" s="8"/>
    </row>
    <row r="8021" spans="29:29" x14ac:dyDescent="0.25">
      <c r="AC8021" s="8"/>
    </row>
    <row r="8022" spans="29:29" x14ac:dyDescent="0.25">
      <c r="AC8022" s="8"/>
    </row>
    <row r="8023" spans="29:29" x14ac:dyDescent="0.25">
      <c r="AC8023" s="8"/>
    </row>
    <row r="8024" spans="29:29" x14ac:dyDescent="0.25">
      <c r="AC8024" s="8"/>
    </row>
    <row r="8025" spans="29:29" x14ac:dyDescent="0.25">
      <c r="AC8025" s="8"/>
    </row>
    <row r="8026" spans="29:29" x14ac:dyDescent="0.25">
      <c r="AC8026" s="8"/>
    </row>
    <row r="8027" spans="29:29" x14ac:dyDescent="0.25">
      <c r="AC8027" s="8"/>
    </row>
    <row r="8028" spans="29:29" x14ac:dyDescent="0.25">
      <c r="AC8028" s="8"/>
    </row>
    <row r="8029" spans="29:29" x14ac:dyDescent="0.25">
      <c r="AC8029" s="8"/>
    </row>
    <row r="8030" spans="29:29" x14ac:dyDescent="0.25">
      <c r="AC8030" s="8"/>
    </row>
    <row r="8031" spans="29:29" x14ac:dyDescent="0.25">
      <c r="AC8031" s="8"/>
    </row>
    <row r="8032" spans="29:29" x14ac:dyDescent="0.25">
      <c r="AC8032" s="8"/>
    </row>
    <row r="8033" spans="29:29" x14ac:dyDescent="0.25">
      <c r="AC8033" s="8"/>
    </row>
    <row r="8034" spans="29:29" x14ac:dyDescent="0.25">
      <c r="AC8034" s="8"/>
    </row>
    <row r="8035" spans="29:29" x14ac:dyDescent="0.25">
      <c r="AC8035" s="8"/>
    </row>
    <row r="8036" spans="29:29" x14ac:dyDescent="0.25">
      <c r="AC8036" s="8"/>
    </row>
    <row r="8037" spans="29:29" x14ac:dyDescent="0.25">
      <c r="AC8037" s="8"/>
    </row>
    <row r="8038" spans="29:29" x14ac:dyDescent="0.25">
      <c r="AC8038" s="8"/>
    </row>
    <row r="8039" spans="29:29" x14ac:dyDescent="0.25">
      <c r="AC8039" s="8"/>
    </row>
    <row r="8040" spans="29:29" x14ac:dyDescent="0.25">
      <c r="AC8040" s="8"/>
    </row>
    <row r="8041" spans="29:29" x14ac:dyDescent="0.25">
      <c r="AC8041" s="8"/>
    </row>
    <row r="8042" spans="29:29" x14ac:dyDescent="0.25">
      <c r="AC8042" s="8"/>
    </row>
    <row r="8043" spans="29:29" x14ac:dyDescent="0.25">
      <c r="AC8043" s="8"/>
    </row>
    <row r="8044" spans="29:29" x14ac:dyDescent="0.25">
      <c r="AC8044" s="8"/>
    </row>
    <row r="8045" spans="29:29" x14ac:dyDescent="0.25">
      <c r="AC8045" s="8"/>
    </row>
    <row r="8046" spans="29:29" x14ac:dyDescent="0.25">
      <c r="AC8046" s="8"/>
    </row>
    <row r="8047" spans="29:29" x14ac:dyDescent="0.25">
      <c r="AC8047" s="8"/>
    </row>
    <row r="8048" spans="29:29" x14ac:dyDescent="0.25">
      <c r="AC8048" s="8"/>
    </row>
    <row r="8049" spans="29:29" x14ac:dyDescent="0.25">
      <c r="AC8049" s="8"/>
    </row>
    <row r="8050" spans="29:29" x14ac:dyDescent="0.25">
      <c r="AC8050" s="8"/>
    </row>
    <row r="8051" spans="29:29" x14ac:dyDescent="0.25">
      <c r="AC8051" s="8"/>
    </row>
    <row r="8052" spans="29:29" x14ac:dyDescent="0.25">
      <c r="AC8052" s="8"/>
    </row>
    <row r="8053" spans="29:29" x14ac:dyDescent="0.25">
      <c r="AC8053" s="8"/>
    </row>
    <row r="8054" spans="29:29" x14ac:dyDescent="0.25">
      <c r="AC8054" s="8"/>
    </row>
    <row r="8055" spans="29:29" x14ac:dyDescent="0.25">
      <c r="AC8055" s="8"/>
    </row>
    <row r="8056" spans="29:29" x14ac:dyDescent="0.25">
      <c r="AC8056" s="8"/>
    </row>
    <row r="8057" spans="29:29" x14ac:dyDescent="0.25">
      <c r="AC8057" s="8"/>
    </row>
    <row r="8058" spans="29:29" x14ac:dyDescent="0.25">
      <c r="AC8058" s="8"/>
    </row>
    <row r="8059" spans="29:29" x14ac:dyDescent="0.25">
      <c r="AC8059" s="8"/>
    </row>
    <row r="8060" spans="29:29" x14ac:dyDescent="0.25">
      <c r="AC8060" s="8"/>
    </row>
    <row r="8061" spans="29:29" x14ac:dyDescent="0.25">
      <c r="AC8061" s="8"/>
    </row>
    <row r="8062" spans="29:29" x14ac:dyDescent="0.25">
      <c r="AC8062" s="8"/>
    </row>
    <row r="8063" spans="29:29" x14ac:dyDescent="0.25">
      <c r="AC8063" s="8"/>
    </row>
    <row r="8064" spans="29:29" x14ac:dyDescent="0.25">
      <c r="AC8064" s="8"/>
    </row>
    <row r="8065" spans="29:29" x14ac:dyDescent="0.25">
      <c r="AC8065" s="8"/>
    </row>
    <row r="8066" spans="29:29" x14ac:dyDescent="0.25">
      <c r="AC8066" s="8"/>
    </row>
    <row r="8067" spans="29:29" x14ac:dyDescent="0.25">
      <c r="AC8067" s="8"/>
    </row>
    <row r="8068" spans="29:29" x14ac:dyDescent="0.25">
      <c r="AC8068" s="8"/>
    </row>
    <row r="8069" spans="29:29" x14ac:dyDescent="0.25">
      <c r="AC8069" s="8"/>
    </row>
    <row r="8070" spans="29:29" x14ac:dyDescent="0.25">
      <c r="AC8070" s="8"/>
    </row>
    <row r="8071" spans="29:29" x14ac:dyDescent="0.25">
      <c r="AC8071" s="8"/>
    </row>
    <row r="8072" spans="29:29" x14ac:dyDescent="0.25">
      <c r="AC8072" s="8"/>
    </row>
    <row r="8073" spans="29:29" x14ac:dyDescent="0.25">
      <c r="AC8073" s="8"/>
    </row>
    <row r="8074" spans="29:29" x14ac:dyDescent="0.25">
      <c r="AC8074" s="8"/>
    </row>
    <row r="8075" spans="29:29" x14ac:dyDescent="0.25">
      <c r="AC8075" s="8"/>
    </row>
    <row r="8076" spans="29:29" x14ac:dyDescent="0.25">
      <c r="AC8076" s="8"/>
    </row>
    <row r="8077" spans="29:29" x14ac:dyDescent="0.25">
      <c r="AC8077" s="8"/>
    </row>
    <row r="8078" spans="29:29" x14ac:dyDescent="0.25">
      <c r="AC8078" s="8"/>
    </row>
    <row r="8079" spans="29:29" x14ac:dyDescent="0.25">
      <c r="AC8079" s="8"/>
    </row>
    <row r="8080" spans="29:29" x14ac:dyDescent="0.25">
      <c r="AC8080" s="8"/>
    </row>
    <row r="8081" spans="29:29" x14ac:dyDescent="0.25">
      <c r="AC8081" s="8"/>
    </row>
    <row r="8082" spans="29:29" x14ac:dyDescent="0.25">
      <c r="AC8082" s="8"/>
    </row>
    <row r="8083" spans="29:29" x14ac:dyDescent="0.25">
      <c r="AC8083" s="8"/>
    </row>
    <row r="8084" spans="29:29" x14ac:dyDescent="0.25">
      <c r="AC8084" s="8"/>
    </row>
    <row r="8085" spans="29:29" x14ac:dyDescent="0.25">
      <c r="AC8085" s="8"/>
    </row>
    <row r="8086" spans="29:29" x14ac:dyDescent="0.25">
      <c r="AC8086" s="8"/>
    </row>
    <row r="8087" spans="29:29" x14ac:dyDescent="0.25">
      <c r="AC8087" s="8"/>
    </row>
    <row r="8088" spans="29:29" x14ac:dyDescent="0.25">
      <c r="AC8088" s="8"/>
    </row>
    <row r="8089" spans="29:29" x14ac:dyDescent="0.25">
      <c r="AC8089" s="8"/>
    </row>
    <row r="8090" spans="29:29" x14ac:dyDescent="0.25">
      <c r="AC8090" s="8"/>
    </row>
    <row r="8091" spans="29:29" x14ac:dyDescent="0.25">
      <c r="AC8091" s="8"/>
    </row>
    <row r="8092" spans="29:29" x14ac:dyDescent="0.25">
      <c r="AC8092" s="8"/>
    </row>
    <row r="8093" spans="29:29" x14ac:dyDescent="0.25">
      <c r="AC8093" s="8"/>
    </row>
    <row r="8094" spans="29:29" x14ac:dyDescent="0.25">
      <c r="AC8094" s="8"/>
    </row>
    <row r="8095" spans="29:29" x14ac:dyDescent="0.25">
      <c r="AC8095" s="8"/>
    </row>
    <row r="8096" spans="29:29" x14ac:dyDescent="0.25">
      <c r="AC8096" s="8"/>
    </row>
    <row r="8097" spans="29:29" x14ac:dyDescent="0.25">
      <c r="AC8097" s="8"/>
    </row>
    <row r="8098" spans="29:29" x14ac:dyDescent="0.25">
      <c r="AC8098" s="8"/>
    </row>
    <row r="8099" spans="29:29" x14ac:dyDescent="0.25">
      <c r="AC8099" s="8"/>
    </row>
    <row r="8100" spans="29:29" x14ac:dyDescent="0.25">
      <c r="AC8100" s="8"/>
    </row>
    <row r="8101" spans="29:29" x14ac:dyDescent="0.25">
      <c r="AC8101" s="8"/>
    </row>
    <row r="8102" spans="29:29" x14ac:dyDescent="0.25">
      <c r="AC8102" s="8"/>
    </row>
    <row r="8103" spans="29:29" x14ac:dyDescent="0.25">
      <c r="AC8103" s="8"/>
    </row>
    <row r="8104" spans="29:29" x14ac:dyDescent="0.25">
      <c r="AC8104" s="8"/>
    </row>
    <row r="8105" spans="29:29" x14ac:dyDescent="0.25">
      <c r="AC8105" s="8"/>
    </row>
    <row r="8106" spans="29:29" x14ac:dyDescent="0.25">
      <c r="AC8106" s="8"/>
    </row>
    <row r="8107" spans="29:29" x14ac:dyDescent="0.25">
      <c r="AC8107" s="8"/>
    </row>
    <row r="8108" spans="29:29" x14ac:dyDescent="0.25">
      <c r="AC8108" s="8"/>
    </row>
    <row r="8109" spans="29:29" x14ac:dyDescent="0.25">
      <c r="AC8109" s="8"/>
    </row>
    <row r="8110" spans="29:29" x14ac:dyDescent="0.25">
      <c r="AC8110" s="8"/>
    </row>
    <row r="8111" spans="29:29" x14ac:dyDescent="0.25">
      <c r="AC8111" s="8"/>
    </row>
    <row r="8112" spans="29:29" x14ac:dyDescent="0.25">
      <c r="AC8112" s="8"/>
    </row>
    <row r="8113" spans="29:29" x14ac:dyDescent="0.25">
      <c r="AC8113" s="8"/>
    </row>
    <row r="8114" spans="29:29" x14ac:dyDescent="0.25">
      <c r="AC8114" s="8"/>
    </row>
    <row r="8115" spans="29:29" x14ac:dyDescent="0.25">
      <c r="AC8115" s="8"/>
    </row>
    <row r="8116" spans="29:29" x14ac:dyDescent="0.25">
      <c r="AC8116" s="8"/>
    </row>
    <row r="8117" spans="29:29" x14ac:dyDescent="0.25">
      <c r="AC8117" s="8"/>
    </row>
    <row r="8118" spans="29:29" x14ac:dyDescent="0.25">
      <c r="AC8118" s="8"/>
    </row>
    <row r="8119" spans="29:29" x14ac:dyDescent="0.25">
      <c r="AC8119" s="8"/>
    </row>
    <row r="8120" spans="29:29" x14ac:dyDescent="0.25">
      <c r="AC8120" s="8"/>
    </row>
    <row r="8121" spans="29:29" x14ac:dyDescent="0.25">
      <c r="AC8121" s="8"/>
    </row>
    <row r="8122" spans="29:29" x14ac:dyDescent="0.25">
      <c r="AC8122" s="8"/>
    </row>
    <row r="8123" spans="29:29" x14ac:dyDescent="0.25">
      <c r="AC8123" s="8"/>
    </row>
    <row r="8124" spans="29:29" x14ac:dyDescent="0.25">
      <c r="AC8124" s="8"/>
    </row>
    <row r="8125" spans="29:29" x14ac:dyDescent="0.25">
      <c r="AC8125" s="8"/>
    </row>
    <row r="8126" spans="29:29" x14ac:dyDescent="0.25">
      <c r="AC8126" s="8"/>
    </row>
    <row r="8127" spans="29:29" x14ac:dyDescent="0.25">
      <c r="AC8127" s="8"/>
    </row>
    <row r="8128" spans="29:29" x14ac:dyDescent="0.25">
      <c r="AC8128" s="8"/>
    </row>
    <row r="8129" spans="29:29" x14ac:dyDescent="0.25">
      <c r="AC8129" s="8"/>
    </row>
    <row r="8130" spans="29:29" x14ac:dyDescent="0.25">
      <c r="AC8130" s="8"/>
    </row>
    <row r="8131" spans="29:29" x14ac:dyDescent="0.25">
      <c r="AC8131" s="8"/>
    </row>
    <row r="8132" spans="29:29" x14ac:dyDescent="0.25">
      <c r="AC8132" s="8"/>
    </row>
    <row r="8133" spans="29:29" x14ac:dyDescent="0.25">
      <c r="AC8133" s="8"/>
    </row>
    <row r="8134" spans="29:29" x14ac:dyDescent="0.25">
      <c r="AC8134" s="8"/>
    </row>
    <row r="8135" spans="29:29" x14ac:dyDescent="0.25">
      <c r="AC8135" s="8"/>
    </row>
    <row r="8136" spans="29:29" x14ac:dyDescent="0.25">
      <c r="AC8136" s="8"/>
    </row>
    <row r="8137" spans="29:29" x14ac:dyDescent="0.25">
      <c r="AC8137" s="8"/>
    </row>
    <row r="8138" spans="29:29" x14ac:dyDescent="0.25">
      <c r="AC8138" s="8"/>
    </row>
    <row r="8139" spans="29:29" x14ac:dyDescent="0.25">
      <c r="AC8139" s="8"/>
    </row>
    <row r="8140" spans="29:29" x14ac:dyDescent="0.25">
      <c r="AC8140" s="8"/>
    </row>
    <row r="8141" spans="29:29" x14ac:dyDescent="0.25">
      <c r="AC8141" s="8"/>
    </row>
    <row r="8142" spans="29:29" x14ac:dyDescent="0.25">
      <c r="AC8142" s="8"/>
    </row>
    <row r="8143" spans="29:29" x14ac:dyDescent="0.25">
      <c r="AC8143" s="8"/>
    </row>
    <row r="8144" spans="29:29" x14ac:dyDescent="0.25">
      <c r="AC8144" s="8"/>
    </row>
    <row r="8145" spans="29:29" x14ac:dyDescent="0.25">
      <c r="AC8145" s="8"/>
    </row>
    <row r="8146" spans="29:29" x14ac:dyDescent="0.25">
      <c r="AC8146" s="8"/>
    </row>
    <row r="8147" spans="29:29" x14ac:dyDescent="0.25">
      <c r="AC8147" s="8"/>
    </row>
    <row r="8148" spans="29:29" x14ac:dyDescent="0.25">
      <c r="AC8148" s="8"/>
    </row>
    <row r="8149" spans="29:29" x14ac:dyDescent="0.25">
      <c r="AC8149" s="8"/>
    </row>
    <row r="8150" spans="29:29" x14ac:dyDescent="0.25">
      <c r="AC8150" s="8"/>
    </row>
    <row r="8151" spans="29:29" x14ac:dyDescent="0.25">
      <c r="AC8151" s="8"/>
    </row>
    <row r="8152" spans="29:29" x14ac:dyDescent="0.25">
      <c r="AC8152" s="8"/>
    </row>
    <row r="8153" spans="29:29" x14ac:dyDescent="0.25">
      <c r="AC8153" s="8"/>
    </row>
    <row r="8154" spans="29:29" x14ac:dyDescent="0.25">
      <c r="AC8154" s="8"/>
    </row>
    <row r="8155" spans="29:29" x14ac:dyDescent="0.25">
      <c r="AC8155" s="8"/>
    </row>
    <row r="8156" spans="29:29" x14ac:dyDescent="0.25">
      <c r="AC8156" s="8"/>
    </row>
    <row r="8157" spans="29:29" x14ac:dyDescent="0.25">
      <c r="AC8157" s="8"/>
    </row>
    <row r="8158" spans="29:29" x14ac:dyDescent="0.25">
      <c r="AC8158" s="8"/>
    </row>
    <row r="8159" spans="29:29" x14ac:dyDescent="0.25">
      <c r="AC8159" s="8"/>
    </row>
    <row r="8160" spans="29:29" x14ac:dyDescent="0.25">
      <c r="AC8160" s="8"/>
    </row>
    <row r="8161" spans="29:29" x14ac:dyDescent="0.25">
      <c r="AC8161" s="8"/>
    </row>
    <row r="8162" spans="29:29" x14ac:dyDescent="0.25">
      <c r="AC8162" s="8"/>
    </row>
    <row r="8163" spans="29:29" x14ac:dyDescent="0.25">
      <c r="AC8163" s="8"/>
    </row>
    <row r="8164" spans="29:29" x14ac:dyDescent="0.25">
      <c r="AC8164" s="8"/>
    </row>
    <row r="8165" spans="29:29" x14ac:dyDescent="0.25">
      <c r="AC8165" s="8"/>
    </row>
    <row r="8166" spans="29:29" x14ac:dyDescent="0.25">
      <c r="AC8166" s="8"/>
    </row>
    <row r="8167" spans="29:29" x14ac:dyDescent="0.25">
      <c r="AC8167" s="8"/>
    </row>
    <row r="8168" spans="29:29" x14ac:dyDescent="0.25">
      <c r="AC8168" s="8"/>
    </row>
    <row r="8169" spans="29:29" x14ac:dyDescent="0.25">
      <c r="AC8169" s="8"/>
    </row>
    <row r="8170" spans="29:29" x14ac:dyDescent="0.25">
      <c r="AC8170" s="8"/>
    </row>
    <row r="8171" spans="29:29" x14ac:dyDescent="0.25">
      <c r="AC8171" s="8"/>
    </row>
    <row r="8172" spans="29:29" x14ac:dyDescent="0.25">
      <c r="AC8172" s="8"/>
    </row>
    <row r="8173" spans="29:29" x14ac:dyDescent="0.25">
      <c r="AC8173" s="8"/>
    </row>
    <row r="8174" spans="29:29" x14ac:dyDescent="0.25">
      <c r="AC8174" s="8"/>
    </row>
    <row r="8175" spans="29:29" x14ac:dyDescent="0.25">
      <c r="AC8175" s="8"/>
    </row>
    <row r="8176" spans="29:29" x14ac:dyDescent="0.25">
      <c r="AC8176" s="8"/>
    </row>
    <row r="8177" spans="29:29" x14ac:dyDescent="0.25">
      <c r="AC8177" s="8"/>
    </row>
    <row r="8178" spans="29:29" x14ac:dyDescent="0.25">
      <c r="AC8178" s="8"/>
    </row>
    <row r="8179" spans="29:29" x14ac:dyDescent="0.25">
      <c r="AC8179" s="8"/>
    </row>
    <row r="8180" spans="29:29" x14ac:dyDescent="0.25">
      <c r="AC8180" s="8"/>
    </row>
    <row r="8181" spans="29:29" x14ac:dyDescent="0.25">
      <c r="AC8181" s="8"/>
    </row>
    <row r="8182" spans="29:29" x14ac:dyDescent="0.25">
      <c r="AC8182" s="8"/>
    </row>
    <row r="8183" spans="29:29" x14ac:dyDescent="0.25">
      <c r="AC8183" s="8"/>
    </row>
    <row r="8184" spans="29:29" x14ac:dyDescent="0.25">
      <c r="AC8184" s="8"/>
    </row>
    <row r="8185" spans="29:29" x14ac:dyDescent="0.25">
      <c r="AC8185" s="8"/>
    </row>
    <row r="8186" spans="29:29" x14ac:dyDescent="0.25">
      <c r="AC8186" s="8"/>
    </row>
    <row r="8187" spans="29:29" x14ac:dyDescent="0.25">
      <c r="AC8187" s="8"/>
    </row>
    <row r="8188" spans="29:29" x14ac:dyDescent="0.25">
      <c r="AC8188" s="8"/>
    </row>
    <row r="8189" spans="29:29" x14ac:dyDescent="0.25">
      <c r="AC8189" s="8"/>
    </row>
    <row r="8190" spans="29:29" x14ac:dyDescent="0.25">
      <c r="AC8190" s="8"/>
    </row>
    <row r="8191" spans="29:29" x14ac:dyDescent="0.25">
      <c r="AC8191" s="8"/>
    </row>
    <row r="8192" spans="29:29" x14ac:dyDescent="0.25">
      <c r="AC8192" s="8"/>
    </row>
    <row r="8193" spans="29:29" x14ac:dyDescent="0.25">
      <c r="AC8193" s="8"/>
    </row>
    <row r="8194" spans="29:29" x14ac:dyDescent="0.25">
      <c r="AC8194" s="8"/>
    </row>
    <row r="8195" spans="29:29" x14ac:dyDescent="0.25">
      <c r="AC8195" s="8"/>
    </row>
    <row r="8196" spans="29:29" x14ac:dyDescent="0.25">
      <c r="AC8196" s="8"/>
    </row>
    <row r="8197" spans="29:29" x14ac:dyDescent="0.25">
      <c r="AC8197" s="8"/>
    </row>
    <row r="8198" spans="29:29" x14ac:dyDescent="0.25">
      <c r="AC8198" s="8"/>
    </row>
    <row r="8199" spans="29:29" x14ac:dyDescent="0.25">
      <c r="AC8199" s="8"/>
    </row>
    <row r="8200" spans="29:29" x14ac:dyDescent="0.25">
      <c r="AC8200" s="8"/>
    </row>
    <row r="8201" spans="29:29" x14ac:dyDescent="0.25">
      <c r="AC8201" s="8"/>
    </row>
    <row r="8202" spans="29:29" x14ac:dyDescent="0.25">
      <c r="AC8202" s="8"/>
    </row>
    <row r="8203" spans="29:29" x14ac:dyDescent="0.25">
      <c r="AC8203" s="8"/>
    </row>
    <row r="8204" spans="29:29" x14ac:dyDescent="0.25">
      <c r="AC8204" s="8"/>
    </row>
    <row r="8205" spans="29:29" x14ac:dyDescent="0.25">
      <c r="AC8205" s="8"/>
    </row>
    <row r="8206" spans="29:29" x14ac:dyDescent="0.25">
      <c r="AC8206" s="8"/>
    </row>
    <row r="8207" spans="29:29" x14ac:dyDescent="0.25">
      <c r="AC8207" s="8"/>
    </row>
    <row r="8208" spans="29:29" x14ac:dyDescent="0.25">
      <c r="AC8208" s="8"/>
    </row>
    <row r="8209" spans="29:29" x14ac:dyDescent="0.25">
      <c r="AC8209" s="8"/>
    </row>
    <row r="8210" spans="29:29" x14ac:dyDescent="0.25">
      <c r="AC8210" s="8"/>
    </row>
    <row r="8211" spans="29:29" x14ac:dyDescent="0.25">
      <c r="AC8211" s="8"/>
    </row>
    <row r="8212" spans="29:29" x14ac:dyDescent="0.25">
      <c r="AC8212" s="8"/>
    </row>
    <row r="8213" spans="29:29" x14ac:dyDescent="0.25">
      <c r="AC8213" s="8"/>
    </row>
    <row r="8214" spans="29:29" x14ac:dyDescent="0.25">
      <c r="AC8214" s="8"/>
    </row>
    <row r="8215" spans="29:29" x14ac:dyDescent="0.25">
      <c r="AC8215" s="8"/>
    </row>
    <row r="8216" spans="29:29" x14ac:dyDescent="0.25">
      <c r="AC8216" s="8"/>
    </row>
    <row r="8217" spans="29:29" x14ac:dyDescent="0.25">
      <c r="AC8217" s="8"/>
    </row>
    <row r="8218" spans="29:29" x14ac:dyDescent="0.25">
      <c r="AC8218" s="8"/>
    </row>
    <row r="8219" spans="29:29" x14ac:dyDescent="0.25">
      <c r="AC8219" s="8"/>
    </row>
    <row r="8220" spans="29:29" x14ac:dyDescent="0.25">
      <c r="AC8220" s="8"/>
    </row>
    <row r="8221" spans="29:29" x14ac:dyDescent="0.25">
      <c r="AC8221" s="8"/>
    </row>
    <row r="8222" spans="29:29" x14ac:dyDescent="0.25">
      <c r="AC8222" s="8"/>
    </row>
    <row r="8223" spans="29:29" x14ac:dyDescent="0.25">
      <c r="AC8223" s="8"/>
    </row>
    <row r="8224" spans="29:29" x14ac:dyDescent="0.25">
      <c r="AC8224" s="8"/>
    </row>
    <row r="8225" spans="29:29" x14ac:dyDescent="0.25">
      <c r="AC8225" s="8"/>
    </row>
    <row r="8226" spans="29:29" x14ac:dyDescent="0.25">
      <c r="AC8226" s="8"/>
    </row>
    <row r="8227" spans="29:29" x14ac:dyDescent="0.25">
      <c r="AC8227" s="8"/>
    </row>
    <row r="8228" spans="29:29" x14ac:dyDescent="0.25">
      <c r="AC8228" s="8"/>
    </row>
    <row r="8229" spans="29:29" x14ac:dyDescent="0.25">
      <c r="AC8229" s="8"/>
    </row>
    <row r="8230" spans="29:29" x14ac:dyDescent="0.25">
      <c r="AC8230" s="8"/>
    </row>
    <row r="8231" spans="29:29" x14ac:dyDescent="0.25">
      <c r="AC8231" s="8"/>
    </row>
    <row r="8232" spans="29:29" x14ac:dyDescent="0.25">
      <c r="AC8232" s="8"/>
    </row>
    <row r="8233" spans="29:29" x14ac:dyDescent="0.25">
      <c r="AC8233" s="8"/>
    </row>
    <row r="8234" spans="29:29" x14ac:dyDescent="0.25">
      <c r="AC8234" s="8"/>
    </row>
    <row r="8235" spans="29:29" x14ac:dyDescent="0.25">
      <c r="AC8235" s="8"/>
    </row>
    <row r="8236" spans="29:29" x14ac:dyDescent="0.25">
      <c r="AC8236" s="8"/>
    </row>
    <row r="8237" spans="29:29" x14ac:dyDescent="0.25">
      <c r="AC8237" s="8"/>
    </row>
    <row r="8238" spans="29:29" x14ac:dyDescent="0.25">
      <c r="AC8238" s="8"/>
    </row>
    <row r="8239" spans="29:29" x14ac:dyDescent="0.25">
      <c r="AC8239" s="8"/>
    </row>
    <row r="8240" spans="29:29" x14ac:dyDescent="0.25">
      <c r="AC8240" s="8"/>
    </row>
    <row r="8241" spans="29:29" x14ac:dyDescent="0.25">
      <c r="AC8241" s="8"/>
    </row>
    <row r="8242" spans="29:29" x14ac:dyDescent="0.25">
      <c r="AC8242" s="8"/>
    </row>
    <row r="8243" spans="29:29" x14ac:dyDescent="0.25">
      <c r="AC8243" s="8"/>
    </row>
    <row r="8244" spans="29:29" x14ac:dyDescent="0.25">
      <c r="AC8244" s="8"/>
    </row>
    <row r="8245" spans="29:29" x14ac:dyDescent="0.25">
      <c r="AC8245" s="8"/>
    </row>
    <row r="8246" spans="29:29" x14ac:dyDescent="0.25">
      <c r="AC8246" s="8"/>
    </row>
    <row r="8247" spans="29:29" x14ac:dyDescent="0.25">
      <c r="AC8247" s="8"/>
    </row>
    <row r="8248" spans="29:29" x14ac:dyDescent="0.25">
      <c r="AC8248" s="8"/>
    </row>
    <row r="8249" spans="29:29" x14ac:dyDescent="0.25">
      <c r="AC8249" s="8"/>
    </row>
    <row r="8250" spans="29:29" x14ac:dyDescent="0.25">
      <c r="AC8250" s="8"/>
    </row>
    <row r="8251" spans="29:29" x14ac:dyDescent="0.25">
      <c r="AC8251" s="8"/>
    </row>
    <row r="8252" spans="29:29" x14ac:dyDescent="0.25">
      <c r="AC8252" s="8"/>
    </row>
    <row r="8253" spans="29:29" x14ac:dyDescent="0.25">
      <c r="AC8253" s="8"/>
    </row>
    <row r="8254" spans="29:29" x14ac:dyDescent="0.25">
      <c r="AC8254" s="8"/>
    </row>
    <row r="8255" spans="29:29" x14ac:dyDescent="0.25">
      <c r="AC8255" s="8"/>
    </row>
    <row r="8256" spans="29:29" x14ac:dyDescent="0.25">
      <c r="AC8256" s="8"/>
    </row>
    <row r="8257" spans="29:29" x14ac:dyDescent="0.25">
      <c r="AC8257" s="8"/>
    </row>
    <row r="8258" spans="29:29" x14ac:dyDescent="0.25">
      <c r="AC8258" s="8"/>
    </row>
    <row r="8259" spans="29:29" x14ac:dyDescent="0.25">
      <c r="AC8259" s="8"/>
    </row>
    <row r="8260" spans="29:29" x14ac:dyDescent="0.25">
      <c r="AC8260" s="8"/>
    </row>
    <row r="8261" spans="29:29" x14ac:dyDescent="0.25">
      <c r="AC8261" s="8"/>
    </row>
    <row r="8262" spans="29:29" x14ac:dyDescent="0.25">
      <c r="AC8262" s="8"/>
    </row>
    <row r="8263" spans="29:29" x14ac:dyDescent="0.25">
      <c r="AC8263" s="8"/>
    </row>
    <row r="8264" spans="29:29" x14ac:dyDescent="0.25">
      <c r="AC8264" s="8"/>
    </row>
    <row r="8265" spans="29:29" x14ac:dyDescent="0.25">
      <c r="AC8265" s="8"/>
    </row>
    <row r="8266" spans="29:29" x14ac:dyDescent="0.25">
      <c r="AC8266" s="8"/>
    </row>
    <row r="8267" spans="29:29" x14ac:dyDescent="0.25">
      <c r="AC8267" s="8"/>
    </row>
    <row r="8268" spans="29:29" x14ac:dyDescent="0.25">
      <c r="AC8268" s="8"/>
    </row>
    <row r="8269" spans="29:29" x14ac:dyDescent="0.25">
      <c r="AC8269" s="8"/>
    </row>
    <row r="8270" spans="29:29" x14ac:dyDescent="0.25">
      <c r="AC8270" s="8"/>
    </row>
    <row r="8271" spans="29:29" x14ac:dyDescent="0.25">
      <c r="AC8271" s="8"/>
    </row>
    <row r="8272" spans="29:29" x14ac:dyDescent="0.25">
      <c r="AC8272" s="8"/>
    </row>
    <row r="8273" spans="29:29" x14ac:dyDescent="0.25">
      <c r="AC8273" s="8"/>
    </row>
    <row r="8274" spans="29:29" x14ac:dyDescent="0.25">
      <c r="AC8274" s="8"/>
    </row>
    <row r="8275" spans="29:29" x14ac:dyDescent="0.25">
      <c r="AC8275" s="8"/>
    </row>
    <row r="8276" spans="29:29" x14ac:dyDescent="0.25">
      <c r="AC8276" s="8"/>
    </row>
    <row r="8277" spans="29:29" x14ac:dyDescent="0.25">
      <c r="AC8277" s="8"/>
    </row>
    <row r="8278" spans="29:29" x14ac:dyDescent="0.25">
      <c r="AC8278" s="8"/>
    </row>
    <row r="8279" spans="29:29" x14ac:dyDescent="0.25">
      <c r="AC8279" s="8"/>
    </row>
    <row r="8280" spans="29:29" x14ac:dyDescent="0.25">
      <c r="AC8280" s="8"/>
    </row>
    <row r="8281" spans="29:29" x14ac:dyDescent="0.25">
      <c r="AC8281" s="8"/>
    </row>
    <row r="8282" spans="29:29" x14ac:dyDescent="0.25">
      <c r="AC8282" s="8"/>
    </row>
    <row r="8283" spans="29:29" x14ac:dyDescent="0.25">
      <c r="AC8283" s="8"/>
    </row>
    <row r="8284" spans="29:29" x14ac:dyDescent="0.25">
      <c r="AC8284" s="8"/>
    </row>
    <row r="8285" spans="29:29" x14ac:dyDescent="0.25">
      <c r="AC8285" s="8"/>
    </row>
    <row r="8286" spans="29:29" x14ac:dyDescent="0.25">
      <c r="AC8286" s="8"/>
    </row>
    <row r="8287" spans="29:29" x14ac:dyDescent="0.25">
      <c r="AC8287" s="8"/>
    </row>
    <row r="8288" spans="29:29" x14ac:dyDescent="0.25">
      <c r="AC8288" s="8"/>
    </row>
    <row r="8289" spans="29:29" x14ac:dyDescent="0.25">
      <c r="AC8289" s="8"/>
    </row>
    <row r="8290" spans="29:29" x14ac:dyDescent="0.25">
      <c r="AC8290" s="8"/>
    </row>
    <row r="8291" spans="29:29" x14ac:dyDescent="0.25">
      <c r="AC8291" s="8"/>
    </row>
    <row r="8292" spans="29:29" x14ac:dyDescent="0.25">
      <c r="AC8292" s="8"/>
    </row>
    <row r="8293" spans="29:29" x14ac:dyDescent="0.25">
      <c r="AC8293" s="8"/>
    </row>
    <row r="8294" spans="29:29" x14ac:dyDescent="0.25">
      <c r="AC8294" s="8"/>
    </row>
    <row r="8295" spans="29:29" x14ac:dyDescent="0.25">
      <c r="AC8295" s="8"/>
    </row>
    <row r="8296" spans="29:29" x14ac:dyDescent="0.25">
      <c r="AC8296" s="8"/>
    </row>
    <row r="8297" spans="29:29" x14ac:dyDescent="0.25">
      <c r="AC8297" s="8"/>
    </row>
    <row r="8298" spans="29:29" x14ac:dyDescent="0.25">
      <c r="AC8298" s="8"/>
    </row>
    <row r="8299" spans="29:29" x14ac:dyDescent="0.25">
      <c r="AC8299" s="8"/>
    </row>
    <row r="8300" spans="29:29" x14ac:dyDescent="0.25">
      <c r="AC8300" s="8"/>
    </row>
    <row r="8301" spans="29:29" x14ac:dyDescent="0.25">
      <c r="AC8301" s="8"/>
    </row>
    <row r="8302" spans="29:29" x14ac:dyDescent="0.25">
      <c r="AC8302" s="8"/>
    </row>
    <row r="8303" spans="29:29" x14ac:dyDescent="0.25">
      <c r="AC8303" s="8"/>
    </row>
    <row r="8304" spans="29:29" x14ac:dyDescent="0.25">
      <c r="AC8304" s="8"/>
    </row>
    <row r="8305" spans="29:29" x14ac:dyDescent="0.25">
      <c r="AC8305" s="8"/>
    </row>
    <row r="8306" spans="29:29" x14ac:dyDescent="0.25">
      <c r="AC8306" s="8"/>
    </row>
    <row r="8307" spans="29:29" x14ac:dyDescent="0.25">
      <c r="AC8307" s="8"/>
    </row>
    <row r="8308" spans="29:29" x14ac:dyDescent="0.25">
      <c r="AC8308" s="8"/>
    </row>
    <row r="8309" spans="29:29" x14ac:dyDescent="0.25">
      <c r="AC8309" s="8"/>
    </row>
    <row r="8310" spans="29:29" x14ac:dyDescent="0.25">
      <c r="AC8310" s="8"/>
    </row>
    <row r="8311" spans="29:29" x14ac:dyDescent="0.25">
      <c r="AC8311" s="8"/>
    </row>
    <row r="8312" spans="29:29" x14ac:dyDescent="0.25">
      <c r="AC8312" s="8"/>
    </row>
    <row r="8313" spans="29:29" x14ac:dyDescent="0.25">
      <c r="AC8313" s="8"/>
    </row>
    <row r="8314" spans="29:29" x14ac:dyDescent="0.25">
      <c r="AC8314" s="8"/>
    </row>
    <row r="8315" spans="29:29" x14ac:dyDescent="0.25">
      <c r="AC8315" s="8"/>
    </row>
    <row r="8316" spans="29:29" x14ac:dyDescent="0.25">
      <c r="AC8316" s="8"/>
    </row>
    <row r="8317" spans="29:29" x14ac:dyDescent="0.25">
      <c r="AC8317" s="8"/>
    </row>
    <row r="8318" spans="29:29" x14ac:dyDescent="0.25">
      <c r="AC8318" s="8"/>
    </row>
    <row r="8319" spans="29:29" x14ac:dyDescent="0.25">
      <c r="AC8319" s="8"/>
    </row>
    <row r="8320" spans="29:29" x14ac:dyDescent="0.25">
      <c r="AC8320" s="8"/>
    </row>
    <row r="8321" spans="29:29" x14ac:dyDescent="0.25">
      <c r="AC8321" s="8"/>
    </row>
    <row r="8322" spans="29:29" x14ac:dyDescent="0.25">
      <c r="AC8322" s="8"/>
    </row>
    <row r="8323" spans="29:29" x14ac:dyDescent="0.25">
      <c r="AC8323" s="8"/>
    </row>
    <row r="8324" spans="29:29" x14ac:dyDescent="0.25">
      <c r="AC8324" s="8"/>
    </row>
    <row r="8325" spans="29:29" x14ac:dyDescent="0.25">
      <c r="AC8325" s="8"/>
    </row>
    <row r="8326" spans="29:29" x14ac:dyDescent="0.25">
      <c r="AC8326" s="8"/>
    </row>
    <row r="8327" spans="29:29" x14ac:dyDescent="0.25">
      <c r="AC8327" s="8"/>
    </row>
    <row r="8328" spans="29:29" x14ac:dyDescent="0.25">
      <c r="AC8328" s="8"/>
    </row>
    <row r="8329" spans="29:29" x14ac:dyDescent="0.25">
      <c r="AC8329" s="8"/>
    </row>
    <row r="8330" spans="29:29" x14ac:dyDescent="0.25">
      <c r="AC8330" s="8"/>
    </row>
    <row r="8331" spans="29:29" x14ac:dyDescent="0.25">
      <c r="AC8331" s="8"/>
    </row>
    <row r="8332" spans="29:29" x14ac:dyDescent="0.25">
      <c r="AC8332" s="8"/>
    </row>
    <row r="8333" spans="29:29" x14ac:dyDescent="0.25">
      <c r="AC8333" s="8"/>
    </row>
    <row r="8334" spans="29:29" x14ac:dyDescent="0.25">
      <c r="AC8334" s="8"/>
    </row>
    <row r="8335" spans="29:29" x14ac:dyDescent="0.25">
      <c r="AC8335" s="8"/>
    </row>
    <row r="8336" spans="29:29" x14ac:dyDescent="0.25">
      <c r="AC8336" s="8"/>
    </row>
    <row r="8337" spans="29:29" x14ac:dyDescent="0.25">
      <c r="AC8337" s="8"/>
    </row>
    <row r="8338" spans="29:29" x14ac:dyDescent="0.25">
      <c r="AC8338" s="8"/>
    </row>
    <row r="8339" spans="29:29" x14ac:dyDescent="0.25">
      <c r="AC8339" s="8"/>
    </row>
    <row r="8340" spans="29:29" x14ac:dyDescent="0.25">
      <c r="AC8340" s="8"/>
    </row>
    <row r="8341" spans="29:29" x14ac:dyDescent="0.25">
      <c r="AC8341" s="8"/>
    </row>
    <row r="8342" spans="29:29" x14ac:dyDescent="0.25">
      <c r="AC8342" s="8"/>
    </row>
    <row r="8343" spans="29:29" x14ac:dyDescent="0.25">
      <c r="AC8343" s="8"/>
    </row>
    <row r="8344" spans="29:29" x14ac:dyDescent="0.25">
      <c r="AC8344" s="8"/>
    </row>
    <row r="8345" spans="29:29" x14ac:dyDescent="0.25">
      <c r="AC8345" s="8"/>
    </row>
    <row r="8346" spans="29:29" x14ac:dyDescent="0.25">
      <c r="AC8346" s="8"/>
    </row>
    <row r="8347" spans="29:29" x14ac:dyDescent="0.25">
      <c r="AC8347" s="8"/>
    </row>
    <row r="8348" spans="29:29" x14ac:dyDescent="0.25">
      <c r="AC8348" s="8"/>
    </row>
    <row r="8349" spans="29:29" x14ac:dyDescent="0.25">
      <c r="AC8349" s="8"/>
    </row>
    <row r="8350" spans="29:29" x14ac:dyDescent="0.25">
      <c r="AC8350" s="8"/>
    </row>
    <row r="8351" spans="29:29" x14ac:dyDescent="0.25">
      <c r="AC8351" s="8"/>
    </row>
    <row r="8352" spans="29:29" x14ac:dyDescent="0.25">
      <c r="AC8352" s="8"/>
    </row>
    <row r="8353" spans="29:29" x14ac:dyDescent="0.25">
      <c r="AC8353" s="8"/>
    </row>
    <row r="8354" spans="29:29" x14ac:dyDescent="0.25">
      <c r="AC8354" s="8"/>
    </row>
    <row r="8355" spans="29:29" x14ac:dyDescent="0.25">
      <c r="AC8355" s="8"/>
    </row>
    <row r="8356" spans="29:29" x14ac:dyDescent="0.25">
      <c r="AC8356" s="8"/>
    </row>
    <row r="8357" spans="29:29" x14ac:dyDescent="0.25">
      <c r="AC8357" s="8"/>
    </row>
    <row r="8358" spans="29:29" x14ac:dyDescent="0.25">
      <c r="AC8358" s="8"/>
    </row>
    <row r="8359" spans="29:29" x14ac:dyDescent="0.25">
      <c r="AC8359" s="8"/>
    </row>
    <row r="8360" spans="29:29" x14ac:dyDescent="0.25">
      <c r="AC8360" s="8"/>
    </row>
    <row r="8361" spans="29:29" x14ac:dyDescent="0.25">
      <c r="AC8361" s="8"/>
    </row>
    <row r="8362" spans="29:29" x14ac:dyDescent="0.25">
      <c r="AC8362" s="8"/>
    </row>
    <row r="8363" spans="29:29" x14ac:dyDescent="0.25">
      <c r="AC8363" s="8"/>
    </row>
    <row r="8364" spans="29:29" x14ac:dyDescent="0.25">
      <c r="AC8364" s="8"/>
    </row>
    <row r="8365" spans="29:29" x14ac:dyDescent="0.25">
      <c r="AC8365" s="8"/>
    </row>
    <row r="8366" spans="29:29" x14ac:dyDescent="0.25">
      <c r="AC8366" s="8"/>
    </row>
    <row r="8367" spans="29:29" x14ac:dyDescent="0.25">
      <c r="AC8367" s="8"/>
    </row>
    <row r="8368" spans="29:29" x14ac:dyDescent="0.25">
      <c r="AC8368" s="8"/>
    </row>
    <row r="8369" spans="29:29" x14ac:dyDescent="0.25">
      <c r="AC8369" s="8"/>
    </row>
    <row r="8370" spans="29:29" x14ac:dyDescent="0.25">
      <c r="AC8370" s="8"/>
    </row>
    <row r="8371" spans="29:29" x14ac:dyDescent="0.25">
      <c r="AC8371" s="8"/>
    </row>
    <row r="8372" spans="29:29" x14ac:dyDescent="0.25">
      <c r="AC8372" s="8"/>
    </row>
    <row r="8373" spans="29:29" x14ac:dyDescent="0.25">
      <c r="AC8373" s="8"/>
    </row>
    <row r="8374" spans="29:29" x14ac:dyDescent="0.25">
      <c r="AC8374" s="8"/>
    </row>
    <row r="8375" spans="29:29" x14ac:dyDescent="0.25">
      <c r="AC8375" s="8"/>
    </row>
    <row r="8376" spans="29:29" x14ac:dyDescent="0.25">
      <c r="AC8376" s="8"/>
    </row>
    <row r="8377" spans="29:29" x14ac:dyDescent="0.25">
      <c r="AC8377" s="8"/>
    </row>
    <row r="8378" spans="29:29" x14ac:dyDescent="0.25">
      <c r="AC8378" s="8"/>
    </row>
    <row r="8379" spans="29:29" x14ac:dyDescent="0.25">
      <c r="AC8379" s="8"/>
    </row>
    <row r="8380" spans="29:29" x14ac:dyDescent="0.25">
      <c r="AC8380" s="8"/>
    </row>
    <row r="8381" spans="29:29" x14ac:dyDescent="0.25">
      <c r="AC8381" s="8"/>
    </row>
    <row r="8382" spans="29:29" x14ac:dyDescent="0.25">
      <c r="AC8382" s="8"/>
    </row>
    <row r="8383" spans="29:29" x14ac:dyDescent="0.25">
      <c r="AC8383" s="8"/>
    </row>
    <row r="8384" spans="29:29" x14ac:dyDescent="0.25">
      <c r="AC8384" s="8"/>
    </row>
    <row r="8385" spans="29:29" x14ac:dyDescent="0.25">
      <c r="AC8385" s="8"/>
    </row>
    <row r="8386" spans="29:29" x14ac:dyDescent="0.25">
      <c r="AC8386" s="8"/>
    </row>
    <row r="8387" spans="29:29" x14ac:dyDescent="0.25">
      <c r="AC8387" s="8"/>
    </row>
    <row r="8388" spans="29:29" x14ac:dyDescent="0.25">
      <c r="AC8388" s="8"/>
    </row>
    <row r="8389" spans="29:29" x14ac:dyDescent="0.25">
      <c r="AC8389" s="8"/>
    </row>
    <row r="8390" spans="29:29" x14ac:dyDescent="0.25">
      <c r="AC8390" s="8"/>
    </row>
    <row r="8391" spans="29:29" x14ac:dyDescent="0.25">
      <c r="AC8391" s="8"/>
    </row>
    <row r="8392" spans="29:29" x14ac:dyDescent="0.25">
      <c r="AC8392" s="8"/>
    </row>
    <row r="8393" spans="29:29" x14ac:dyDescent="0.25">
      <c r="AC8393" s="8"/>
    </row>
    <row r="8394" spans="29:29" x14ac:dyDescent="0.25">
      <c r="AC8394" s="8"/>
    </row>
    <row r="8395" spans="29:29" x14ac:dyDescent="0.25">
      <c r="AC8395" s="8"/>
    </row>
    <row r="8396" spans="29:29" x14ac:dyDescent="0.25">
      <c r="AC8396" s="8"/>
    </row>
    <row r="8397" spans="29:29" x14ac:dyDescent="0.25">
      <c r="AC8397" s="8"/>
    </row>
    <row r="8398" spans="29:29" x14ac:dyDescent="0.25">
      <c r="AC8398" s="8"/>
    </row>
    <row r="8399" spans="29:29" x14ac:dyDescent="0.25">
      <c r="AC8399" s="8"/>
    </row>
    <row r="8400" spans="29:29" x14ac:dyDescent="0.25">
      <c r="AC8400" s="8"/>
    </row>
    <row r="8401" spans="29:29" x14ac:dyDescent="0.25">
      <c r="AC8401" s="8"/>
    </row>
    <row r="8402" spans="29:29" x14ac:dyDescent="0.25">
      <c r="AC8402" s="8"/>
    </row>
    <row r="8403" spans="29:29" x14ac:dyDescent="0.25">
      <c r="AC8403" s="8"/>
    </row>
    <row r="8404" spans="29:29" x14ac:dyDescent="0.25">
      <c r="AC8404" s="8"/>
    </row>
    <row r="8405" spans="29:29" x14ac:dyDescent="0.25">
      <c r="AC8405" s="8"/>
    </row>
    <row r="8406" spans="29:29" x14ac:dyDescent="0.25">
      <c r="AC8406" s="8"/>
    </row>
    <row r="8407" spans="29:29" x14ac:dyDescent="0.25">
      <c r="AC8407" s="8"/>
    </row>
    <row r="8408" spans="29:29" x14ac:dyDescent="0.25">
      <c r="AC8408" s="8"/>
    </row>
    <row r="8409" spans="29:29" x14ac:dyDescent="0.25">
      <c r="AC8409" s="8"/>
    </row>
    <row r="8410" spans="29:29" x14ac:dyDescent="0.25">
      <c r="AC8410" s="8"/>
    </row>
    <row r="8411" spans="29:29" x14ac:dyDescent="0.25">
      <c r="AC8411" s="8"/>
    </row>
    <row r="8412" spans="29:29" x14ac:dyDescent="0.25">
      <c r="AC8412" s="8"/>
    </row>
    <row r="8413" spans="29:29" x14ac:dyDescent="0.25">
      <c r="AC8413" s="8"/>
    </row>
    <row r="8414" spans="29:29" x14ac:dyDescent="0.25">
      <c r="AC8414" s="8"/>
    </row>
    <row r="8415" spans="29:29" x14ac:dyDescent="0.25">
      <c r="AC8415" s="8"/>
    </row>
    <row r="8416" spans="29:29" x14ac:dyDescent="0.25">
      <c r="AC8416" s="8"/>
    </row>
    <row r="8417" spans="29:29" x14ac:dyDescent="0.25">
      <c r="AC8417" s="8"/>
    </row>
    <row r="8418" spans="29:29" x14ac:dyDescent="0.25">
      <c r="AC8418" s="8"/>
    </row>
    <row r="8419" spans="29:29" x14ac:dyDescent="0.25">
      <c r="AC8419" s="8"/>
    </row>
    <row r="8420" spans="29:29" x14ac:dyDescent="0.25">
      <c r="AC8420" s="8"/>
    </row>
    <row r="8421" spans="29:29" x14ac:dyDescent="0.25">
      <c r="AC8421" s="8"/>
    </row>
    <row r="8422" spans="29:29" x14ac:dyDescent="0.25">
      <c r="AC8422" s="8"/>
    </row>
    <row r="8423" spans="29:29" x14ac:dyDescent="0.25">
      <c r="AC8423" s="8"/>
    </row>
    <row r="8424" spans="29:29" x14ac:dyDescent="0.25">
      <c r="AC8424" s="8"/>
    </row>
    <row r="8425" spans="29:29" x14ac:dyDescent="0.25">
      <c r="AC8425" s="8"/>
    </row>
    <row r="8426" spans="29:29" x14ac:dyDescent="0.25">
      <c r="AC8426" s="8"/>
    </row>
    <row r="8427" spans="29:29" x14ac:dyDescent="0.25">
      <c r="AC8427" s="8"/>
    </row>
    <row r="8428" spans="29:29" x14ac:dyDescent="0.25">
      <c r="AC8428" s="8"/>
    </row>
    <row r="8429" spans="29:29" x14ac:dyDescent="0.25">
      <c r="AC8429" s="8"/>
    </row>
    <row r="8430" spans="29:29" x14ac:dyDescent="0.25">
      <c r="AC8430" s="8"/>
    </row>
    <row r="8431" spans="29:29" x14ac:dyDescent="0.25">
      <c r="AC8431" s="8"/>
    </row>
    <row r="8432" spans="29:29" x14ac:dyDescent="0.25">
      <c r="AC8432" s="8"/>
    </row>
    <row r="8433" spans="29:29" x14ac:dyDescent="0.25">
      <c r="AC8433" s="8"/>
    </row>
    <row r="8434" spans="29:29" x14ac:dyDescent="0.25">
      <c r="AC8434" s="8"/>
    </row>
    <row r="8435" spans="29:29" x14ac:dyDescent="0.25">
      <c r="AC8435" s="8"/>
    </row>
    <row r="8436" spans="29:29" x14ac:dyDescent="0.25">
      <c r="AC8436" s="8"/>
    </row>
    <row r="8437" spans="29:29" x14ac:dyDescent="0.25">
      <c r="AC8437" s="8"/>
    </row>
    <row r="8438" spans="29:29" x14ac:dyDescent="0.25">
      <c r="AC8438" s="8"/>
    </row>
    <row r="8439" spans="29:29" x14ac:dyDescent="0.25">
      <c r="AC8439" s="8"/>
    </row>
    <row r="8440" spans="29:29" x14ac:dyDescent="0.25">
      <c r="AC8440" s="8"/>
    </row>
    <row r="8441" spans="29:29" x14ac:dyDescent="0.25">
      <c r="AC8441" s="8"/>
    </row>
    <row r="8442" spans="29:29" x14ac:dyDescent="0.25">
      <c r="AC8442" s="8"/>
    </row>
    <row r="8443" spans="29:29" x14ac:dyDescent="0.25">
      <c r="AC8443" s="8"/>
    </row>
    <row r="8444" spans="29:29" x14ac:dyDescent="0.25">
      <c r="AC8444" s="8"/>
    </row>
    <row r="8445" spans="29:29" x14ac:dyDescent="0.25">
      <c r="AC8445" s="8"/>
    </row>
    <row r="8446" spans="29:29" x14ac:dyDescent="0.25">
      <c r="AC8446" s="8"/>
    </row>
    <row r="8447" spans="29:29" x14ac:dyDescent="0.25">
      <c r="AC8447" s="8"/>
    </row>
    <row r="8448" spans="29:29" x14ac:dyDescent="0.25">
      <c r="AC8448" s="8"/>
    </row>
    <row r="8449" spans="29:29" x14ac:dyDescent="0.25">
      <c r="AC8449" s="8"/>
    </row>
    <row r="8450" spans="29:29" x14ac:dyDescent="0.25">
      <c r="AC8450" s="8"/>
    </row>
    <row r="8451" spans="29:29" x14ac:dyDescent="0.25">
      <c r="AC8451" s="8"/>
    </row>
    <row r="8452" spans="29:29" x14ac:dyDescent="0.25">
      <c r="AC8452" s="8"/>
    </row>
    <row r="8453" spans="29:29" x14ac:dyDescent="0.25">
      <c r="AC8453" s="8"/>
    </row>
    <row r="8454" spans="29:29" x14ac:dyDescent="0.25">
      <c r="AC8454" s="8"/>
    </row>
    <row r="8455" spans="29:29" x14ac:dyDescent="0.25">
      <c r="AC8455" s="8"/>
    </row>
    <row r="8456" spans="29:29" x14ac:dyDescent="0.25">
      <c r="AC8456" s="8"/>
    </row>
    <row r="8457" spans="29:29" x14ac:dyDescent="0.25">
      <c r="AC8457" s="8"/>
    </row>
    <row r="8458" spans="29:29" x14ac:dyDescent="0.25">
      <c r="AC8458" s="8"/>
    </row>
    <row r="8459" spans="29:29" x14ac:dyDescent="0.25">
      <c r="AC8459" s="8"/>
    </row>
    <row r="8460" spans="29:29" x14ac:dyDescent="0.25">
      <c r="AC8460" s="8"/>
    </row>
    <row r="8461" spans="29:29" x14ac:dyDescent="0.25">
      <c r="AC8461" s="8"/>
    </row>
    <row r="8462" spans="29:29" x14ac:dyDescent="0.25">
      <c r="AC8462" s="8"/>
    </row>
    <row r="8463" spans="29:29" x14ac:dyDescent="0.25">
      <c r="AC8463" s="8"/>
    </row>
    <row r="8464" spans="29:29" x14ac:dyDescent="0.25">
      <c r="AC8464" s="8"/>
    </row>
    <row r="8465" spans="29:29" x14ac:dyDescent="0.25">
      <c r="AC8465" s="8"/>
    </row>
    <row r="8466" spans="29:29" x14ac:dyDescent="0.25">
      <c r="AC8466" s="8"/>
    </row>
    <row r="8467" spans="29:29" x14ac:dyDescent="0.25">
      <c r="AC8467" s="8"/>
    </row>
    <row r="8468" spans="29:29" x14ac:dyDescent="0.25">
      <c r="AC8468" s="8"/>
    </row>
    <row r="8469" spans="29:29" x14ac:dyDescent="0.25">
      <c r="AC8469" s="8"/>
    </row>
    <row r="8470" spans="29:29" x14ac:dyDescent="0.25">
      <c r="AC8470" s="8"/>
    </row>
    <row r="8471" spans="29:29" x14ac:dyDescent="0.25">
      <c r="AC8471" s="8"/>
    </row>
    <row r="8472" spans="29:29" x14ac:dyDescent="0.25">
      <c r="AC8472" s="8"/>
    </row>
    <row r="8473" spans="29:29" x14ac:dyDescent="0.25">
      <c r="AC8473" s="8"/>
    </row>
    <row r="8474" spans="29:29" x14ac:dyDescent="0.25">
      <c r="AC8474" s="8"/>
    </row>
    <row r="8475" spans="29:29" x14ac:dyDescent="0.25">
      <c r="AC8475" s="8"/>
    </row>
    <row r="8476" spans="29:29" x14ac:dyDescent="0.25">
      <c r="AC8476" s="8"/>
    </row>
    <row r="8477" spans="29:29" x14ac:dyDescent="0.25">
      <c r="AC8477" s="8"/>
    </row>
    <row r="8478" spans="29:29" x14ac:dyDescent="0.25">
      <c r="AC8478" s="8"/>
    </row>
    <row r="8479" spans="29:29" x14ac:dyDescent="0.25">
      <c r="AC8479" s="8"/>
    </row>
    <row r="8480" spans="29:29" x14ac:dyDescent="0.25">
      <c r="AC8480" s="8"/>
    </row>
    <row r="8481" spans="29:29" x14ac:dyDescent="0.25">
      <c r="AC8481" s="8"/>
    </row>
    <row r="8482" spans="29:29" x14ac:dyDescent="0.25">
      <c r="AC8482" s="8"/>
    </row>
    <row r="8483" spans="29:29" x14ac:dyDescent="0.25">
      <c r="AC8483" s="8"/>
    </row>
    <row r="8484" spans="29:29" x14ac:dyDescent="0.25">
      <c r="AC8484" s="8"/>
    </row>
    <row r="8485" spans="29:29" x14ac:dyDescent="0.25">
      <c r="AC8485" s="8"/>
    </row>
    <row r="8486" spans="29:29" x14ac:dyDescent="0.25">
      <c r="AC8486" s="8"/>
    </row>
    <row r="8487" spans="29:29" x14ac:dyDescent="0.25">
      <c r="AC8487" s="8"/>
    </row>
    <row r="8488" spans="29:29" x14ac:dyDescent="0.25">
      <c r="AC8488" s="8"/>
    </row>
    <row r="8489" spans="29:29" x14ac:dyDescent="0.25">
      <c r="AC8489" s="8"/>
    </row>
    <row r="8490" spans="29:29" x14ac:dyDescent="0.25">
      <c r="AC8490" s="8"/>
    </row>
    <row r="8491" spans="29:29" x14ac:dyDescent="0.25">
      <c r="AC8491" s="8"/>
    </row>
    <row r="8492" spans="29:29" x14ac:dyDescent="0.25">
      <c r="AC8492" s="8"/>
    </row>
    <row r="8493" spans="29:29" x14ac:dyDescent="0.25">
      <c r="AC8493" s="8"/>
    </row>
    <row r="8494" spans="29:29" x14ac:dyDescent="0.25">
      <c r="AC8494" s="8"/>
    </row>
    <row r="8495" spans="29:29" x14ac:dyDescent="0.25">
      <c r="AC8495" s="8"/>
    </row>
    <row r="8496" spans="29:29" x14ac:dyDescent="0.25">
      <c r="AC8496" s="8"/>
    </row>
    <row r="8497" spans="29:29" x14ac:dyDescent="0.25">
      <c r="AC8497" s="8"/>
    </row>
    <row r="8498" spans="29:29" x14ac:dyDescent="0.25">
      <c r="AC8498" s="8"/>
    </row>
    <row r="8499" spans="29:29" x14ac:dyDescent="0.25">
      <c r="AC8499" s="8"/>
    </row>
    <row r="8500" spans="29:29" x14ac:dyDescent="0.25">
      <c r="AC8500" s="8"/>
    </row>
    <row r="8501" spans="29:29" x14ac:dyDescent="0.25">
      <c r="AC8501" s="8"/>
    </row>
    <row r="8502" spans="29:29" x14ac:dyDescent="0.25">
      <c r="AC8502" s="8"/>
    </row>
    <row r="8503" spans="29:29" x14ac:dyDescent="0.25">
      <c r="AC8503" s="8"/>
    </row>
    <row r="8504" spans="29:29" x14ac:dyDescent="0.25">
      <c r="AC8504" s="8"/>
    </row>
    <row r="8505" spans="29:29" x14ac:dyDescent="0.25">
      <c r="AC8505" s="8"/>
    </row>
    <row r="8506" spans="29:29" x14ac:dyDescent="0.25">
      <c r="AC8506" s="8"/>
    </row>
    <row r="8507" spans="29:29" x14ac:dyDescent="0.25">
      <c r="AC8507" s="8"/>
    </row>
    <row r="8508" spans="29:29" x14ac:dyDescent="0.25">
      <c r="AC8508" s="8"/>
    </row>
    <row r="8509" spans="29:29" x14ac:dyDescent="0.25">
      <c r="AC8509" s="8"/>
    </row>
    <row r="8510" spans="29:29" x14ac:dyDescent="0.25">
      <c r="AC8510" s="8"/>
    </row>
    <row r="8511" spans="29:29" x14ac:dyDescent="0.25">
      <c r="AC8511" s="8"/>
    </row>
    <row r="8512" spans="29:29" x14ac:dyDescent="0.25">
      <c r="AC8512" s="8"/>
    </row>
    <row r="8513" spans="29:29" x14ac:dyDescent="0.25">
      <c r="AC8513" s="8"/>
    </row>
    <row r="8514" spans="29:29" x14ac:dyDescent="0.25">
      <c r="AC8514" s="8"/>
    </row>
    <row r="8515" spans="29:29" x14ac:dyDescent="0.25">
      <c r="AC8515" s="8"/>
    </row>
    <row r="8516" spans="29:29" x14ac:dyDescent="0.25">
      <c r="AC8516" s="8"/>
    </row>
    <row r="8517" spans="29:29" x14ac:dyDescent="0.25">
      <c r="AC8517" s="8"/>
    </row>
    <row r="8518" spans="29:29" x14ac:dyDescent="0.25">
      <c r="AC8518" s="8"/>
    </row>
    <row r="8519" spans="29:29" x14ac:dyDescent="0.25">
      <c r="AC8519" s="8"/>
    </row>
    <row r="8520" spans="29:29" x14ac:dyDescent="0.25">
      <c r="AC8520" s="8"/>
    </row>
    <row r="8521" spans="29:29" x14ac:dyDescent="0.25">
      <c r="AC8521" s="8"/>
    </row>
    <row r="8522" spans="29:29" x14ac:dyDescent="0.25">
      <c r="AC8522" s="8"/>
    </row>
    <row r="8523" spans="29:29" x14ac:dyDescent="0.25">
      <c r="AC8523" s="8"/>
    </row>
    <row r="8524" spans="29:29" x14ac:dyDescent="0.25">
      <c r="AC8524" s="8"/>
    </row>
    <row r="8525" spans="29:29" x14ac:dyDescent="0.25">
      <c r="AC8525" s="8"/>
    </row>
    <row r="8526" spans="29:29" x14ac:dyDescent="0.25">
      <c r="AC8526" s="8"/>
    </row>
    <row r="8527" spans="29:29" x14ac:dyDescent="0.25">
      <c r="AC8527" s="8"/>
    </row>
    <row r="8528" spans="29:29" x14ac:dyDescent="0.25">
      <c r="AC8528" s="8"/>
    </row>
    <row r="8529" spans="29:29" x14ac:dyDescent="0.25">
      <c r="AC8529" s="8"/>
    </row>
    <row r="8530" spans="29:29" x14ac:dyDescent="0.25">
      <c r="AC8530" s="8"/>
    </row>
    <row r="8531" spans="29:29" x14ac:dyDescent="0.25">
      <c r="AC8531" s="8"/>
    </row>
    <row r="8532" spans="29:29" x14ac:dyDescent="0.25">
      <c r="AC8532" s="8"/>
    </row>
    <row r="8533" spans="29:29" x14ac:dyDescent="0.25">
      <c r="AC8533" s="8"/>
    </row>
    <row r="8534" spans="29:29" x14ac:dyDescent="0.25">
      <c r="AC8534" s="8"/>
    </row>
    <row r="8535" spans="29:29" x14ac:dyDescent="0.25">
      <c r="AC8535" s="8"/>
    </row>
    <row r="8536" spans="29:29" x14ac:dyDescent="0.25">
      <c r="AC8536" s="8"/>
    </row>
    <row r="8537" spans="29:29" x14ac:dyDescent="0.25">
      <c r="AC8537" s="8"/>
    </row>
    <row r="8538" spans="29:29" x14ac:dyDescent="0.25">
      <c r="AC8538" s="8"/>
    </row>
    <row r="8539" spans="29:29" x14ac:dyDescent="0.25">
      <c r="AC8539" s="8"/>
    </row>
    <row r="8540" spans="29:29" x14ac:dyDescent="0.25">
      <c r="AC8540" s="8"/>
    </row>
    <row r="8541" spans="29:29" x14ac:dyDescent="0.25">
      <c r="AC8541" s="8"/>
    </row>
    <row r="8542" spans="29:29" x14ac:dyDescent="0.25">
      <c r="AC8542" s="8"/>
    </row>
    <row r="8543" spans="29:29" x14ac:dyDescent="0.25">
      <c r="AC8543" s="8"/>
    </row>
    <row r="8544" spans="29:29" x14ac:dyDescent="0.25">
      <c r="AC8544" s="8"/>
    </row>
    <row r="8545" spans="29:29" x14ac:dyDescent="0.25">
      <c r="AC8545" s="8"/>
    </row>
    <row r="8546" spans="29:29" x14ac:dyDescent="0.25">
      <c r="AC8546" s="8"/>
    </row>
    <row r="8547" spans="29:29" x14ac:dyDescent="0.25">
      <c r="AC8547" s="8"/>
    </row>
    <row r="8548" spans="29:29" x14ac:dyDescent="0.25">
      <c r="AC8548" s="8"/>
    </row>
    <row r="8549" spans="29:29" x14ac:dyDescent="0.25">
      <c r="AC8549" s="8"/>
    </row>
    <row r="8550" spans="29:29" x14ac:dyDescent="0.25">
      <c r="AC8550" s="8"/>
    </row>
    <row r="8551" spans="29:29" x14ac:dyDescent="0.25">
      <c r="AC8551" s="8"/>
    </row>
    <row r="8552" spans="29:29" x14ac:dyDescent="0.25">
      <c r="AC8552" s="8"/>
    </row>
    <row r="8553" spans="29:29" x14ac:dyDescent="0.25">
      <c r="AC8553" s="8"/>
    </row>
    <row r="8554" spans="29:29" x14ac:dyDescent="0.25">
      <c r="AC8554" s="8"/>
    </row>
    <row r="8555" spans="29:29" x14ac:dyDescent="0.25">
      <c r="AC8555" s="8"/>
    </row>
    <row r="8556" spans="29:29" x14ac:dyDescent="0.25">
      <c r="AC8556" s="8"/>
    </row>
    <row r="8557" spans="29:29" x14ac:dyDescent="0.25">
      <c r="AC8557" s="8"/>
    </row>
    <row r="8558" spans="29:29" x14ac:dyDescent="0.25">
      <c r="AC8558" s="8"/>
    </row>
    <row r="8559" spans="29:29" x14ac:dyDescent="0.25">
      <c r="AC8559" s="8"/>
    </row>
    <row r="8560" spans="29:29" x14ac:dyDescent="0.25">
      <c r="AC8560" s="8"/>
    </row>
    <row r="8561" spans="29:29" x14ac:dyDescent="0.25">
      <c r="AC8561" s="8"/>
    </row>
    <row r="8562" spans="29:29" x14ac:dyDescent="0.25">
      <c r="AC8562" s="8"/>
    </row>
    <row r="8563" spans="29:29" x14ac:dyDescent="0.25">
      <c r="AC8563" s="8"/>
    </row>
    <row r="8564" spans="29:29" x14ac:dyDescent="0.25">
      <c r="AC8564" s="8"/>
    </row>
    <row r="8565" spans="29:29" x14ac:dyDescent="0.25">
      <c r="AC8565" s="8"/>
    </row>
    <row r="8566" spans="29:29" x14ac:dyDescent="0.25">
      <c r="AC8566" s="8"/>
    </row>
    <row r="8567" spans="29:29" x14ac:dyDescent="0.25">
      <c r="AC8567" s="8"/>
    </row>
    <row r="8568" spans="29:29" x14ac:dyDescent="0.25">
      <c r="AC8568" s="8"/>
    </row>
    <row r="8569" spans="29:29" x14ac:dyDescent="0.25">
      <c r="AC8569" s="8"/>
    </row>
    <row r="8570" spans="29:29" x14ac:dyDescent="0.25">
      <c r="AC8570" s="8"/>
    </row>
    <row r="8571" spans="29:29" x14ac:dyDescent="0.25">
      <c r="AC8571" s="8"/>
    </row>
    <row r="8572" spans="29:29" x14ac:dyDescent="0.25">
      <c r="AC8572" s="8"/>
    </row>
    <row r="8573" spans="29:29" x14ac:dyDescent="0.25">
      <c r="AC8573" s="8"/>
    </row>
    <row r="8574" spans="29:29" x14ac:dyDescent="0.25">
      <c r="AC8574" s="8"/>
    </row>
    <row r="8575" spans="29:29" x14ac:dyDescent="0.25">
      <c r="AC8575" s="8"/>
    </row>
    <row r="8576" spans="29:29" x14ac:dyDescent="0.25">
      <c r="AC8576" s="8"/>
    </row>
    <row r="8577" spans="29:29" x14ac:dyDescent="0.25">
      <c r="AC8577" s="8"/>
    </row>
    <row r="8578" spans="29:29" x14ac:dyDescent="0.25">
      <c r="AC8578" s="8"/>
    </row>
    <row r="8579" spans="29:29" x14ac:dyDescent="0.25">
      <c r="AC8579" s="8"/>
    </row>
    <row r="8580" spans="29:29" x14ac:dyDescent="0.25">
      <c r="AC8580" s="8"/>
    </row>
    <row r="8581" spans="29:29" x14ac:dyDescent="0.25">
      <c r="AC8581" s="8"/>
    </row>
    <row r="8582" spans="29:29" x14ac:dyDescent="0.25">
      <c r="AC8582" s="8"/>
    </row>
    <row r="8583" spans="29:29" x14ac:dyDescent="0.25">
      <c r="AC8583" s="8"/>
    </row>
    <row r="8584" spans="29:29" x14ac:dyDescent="0.25">
      <c r="AC8584" s="8"/>
    </row>
    <row r="8585" spans="29:29" x14ac:dyDescent="0.25">
      <c r="AC8585" s="8"/>
    </row>
    <row r="8586" spans="29:29" x14ac:dyDescent="0.25">
      <c r="AC8586" s="8"/>
    </row>
    <row r="8587" spans="29:29" x14ac:dyDescent="0.25">
      <c r="AC8587" s="8"/>
    </row>
    <row r="8588" spans="29:29" x14ac:dyDescent="0.25">
      <c r="AC8588" s="8"/>
    </row>
    <row r="8589" spans="29:29" x14ac:dyDescent="0.25">
      <c r="AC8589" s="8"/>
    </row>
    <row r="8590" spans="29:29" x14ac:dyDescent="0.25">
      <c r="AC8590" s="8"/>
    </row>
    <row r="8591" spans="29:29" x14ac:dyDescent="0.25">
      <c r="AC8591" s="8"/>
    </row>
    <row r="8592" spans="29:29" x14ac:dyDescent="0.25">
      <c r="AC8592" s="8"/>
    </row>
    <row r="8593" spans="29:29" x14ac:dyDescent="0.25">
      <c r="AC8593" s="8"/>
    </row>
    <row r="8594" spans="29:29" x14ac:dyDescent="0.25">
      <c r="AC8594" s="8"/>
    </row>
    <row r="8595" spans="29:29" x14ac:dyDescent="0.25">
      <c r="AC8595" s="8"/>
    </row>
    <row r="8596" spans="29:29" x14ac:dyDescent="0.25">
      <c r="AC8596" s="8"/>
    </row>
    <row r="8597" spans="29:29" x14ac:dyDescent="0.25">
      <c r="AC8597" s="8"/>
    </row>
    <row r="8598" spans="29:29" x14ac:dyDescent="0.25">
      <c r="AC8598" s="8"/>
    </row>
    <row r="8599" spans="29:29" x14ac:dyDescent="0.25">
      <c r="AC8599" s="8"/>
    </row>
    <row r="8600" spans="29:29" x14ac:dyDescent="0.25">
      <c r="AC8600" s="8"/>
    </row>
    <row r="8601" spans="29:29" x14ac:dyDescent="0.25">
      <c r="AC8601" s="8"/>
    </row>
    <row r="8602" spans="29:29" x14ac:dyDescent="0.25">
      <c r="AC8602" s="8"/>
    </row>
    <row r="8603" spans="29:29" x14ac:dyDescent="0.25">
      <c r="AC8603" s="8"/>
    </row>
    <row r="8604" spans="29:29" x14ac:dyDescent="0.25">
      <c r="AC8604" s="8"/>
    </row>
    <row r="8605" spans="29:29" x14ac:dyDescent="0.25">
      <c r="AC8605" s="8"/>
    </row>
    <row r="8606" spans="29:29" x14ac:dyDescent="0.25">
      <c r="AC8606" s="8"/>
    </row>
    <row r="8607" spans="29:29" x14ac:dyDescent="0.25">
      <c r="AC8607" s="8"/>
    </row>
    <row r="8608" spans="29:29" x14ac:dyDescent="0.25">
      <c r="AC8608" s="8"/>
    </row>
    <row r="8609" spans="29:29" x14ac:dyDescent="0.25">
      <c r="AC8609" s="8"/>
    </row>
    <row r="8610" spans="29:29" x14ac:dyDescent="0.25">
      <c r="AC8610" s="8"/>
    </row>
    <row r="8611" spans="29:29" x14ac:dyDescent="0.25">
      <c r="AC8611" s="8"/>
    </row>
    <row r="8612" spans="29:29" x14ac:dyDescent="0.25">
      <c r="AC8612" s="8"/>
    </row>
    <row r="8613" spans="29:29" x14ac:dyDescent="0.25">
      <c r="AC8613" s="8"/>
    </row>
    <row r="8614" spans="29:29" x14ac:dyDescent="0.25">
      <c r="AC8614" s="8"/>
    </row>
    <row r="8615" spans="29:29" x14ac:dyDescent="0.25">
      <c r="AC8615" s="8"/>
    </row>
    <row r="8616" spans="29:29" x14ac:dyDescent="0.25">
      <c r="AC8616" s="8"/>
    </row>
    <row r="8617" spans="29:29" x14ac:dyDescent="0.25">
      <c r="AC8617" s="8"/>
    </row>
    <row r="8618" spans="29:29" x14ac:dyDescent="0.25">
      <c r="AC8618" s="8"/>
    </row>
    <row r="8619" spans="29:29" x14ac:dyDescent="0.25">
      <c r="AC8619" s="8"/>
    </row>
    <row r="8620" spans="29:29" x14ac:dyDescent="0.25">
      <c r="AC8620" s="8"/>
    </row>
    <row r="8621" spans="29:29" x14ac:dyDescent="0.25">
      <c r="AC8621" s="8"/>
    </row>
    <row r="8622" spans="29:29" x14ac:dyDescent="0.25">
      <c r="AC8622" s="8"/>
    </row>
    <row r="8623" spans="29:29" x14ac:dyDescent="0.25">
      <c r="AC8623" s="8"/>
    </row>
    <row r="8624" spans="29:29" x14ac:dyDescent="0.25">
      <c r="AC8624" s="8"/>
    </row>
    <row r="8625" spans="29:29" x14ac:dyDescent="0.25">
      <c r="AC8625" s="8"/>
    </row>
    <row r="8626" spans="29:29" x14ac:dyDescent="0.25">
      <c r="AC8626" s="8"/>
    </row>
    <row r="8627" spans="29:29" x14ac:dyDescent="0.25">
      <c r="AC8627" s="8"/>
    </row>
    <row r="8628" spans="29:29" x14ac:dyDescent="0.25">
      <c r="AC8628" s="8"/>
    </row>
    <row r="8629" spans="29:29" x14ac:dyDescent="0.25">
      <c r="AC8629" s="8"/>
    </row>
    <row r="8630" spans="29:29" x14ac:dyDescent="0.25">
      <c r="AC8630" s="8"/>
    </row>
    <row r="8631" spans="29:29" x14ac:dyDescent="0.25">
      <c r="AC8631" s="8"/>
    </row>
    <row r="8632" spans="29:29" x14ac:dyDescent="0.25">
      <c r="AC8632" s="8"/>
    </row>
    <row r="8633" spans="29:29" x14ac:dyDescent="0.25">
      <c r="AC8633" s="8"/>
    </row>
    <row r="8634" spans="29:29" x14ac:dyDescent="0.25">
      <c r="AC8634" s="8"/>
    </row>
    <row r="8635" spans="29:29" x14ac:dyDescent="0.25">
      <c r="AC8635" s="8"/>
    </row>
    <row r="8636" spans="29:29" x14ac:dyDescent="0.25">
      <c r="AC8636" s="8"/>
    </row>
    <row r="8637" spans="29:29" x14ac:dyDescent="0.25">
      <c r="AC8637" s="8"/>
    </row>
    <row r="8638" spans="29:29" x14ac:dyDescent="0.25">
      <c r="AC8638" s="8"/>
    </row>
    <row r="8639" spans="29:29" x14ac:dyDescent="0.25">
      <c r="AC8639" s="8"/>
    </row>
    <row r="8640" spans="29:29" x14ac:dyDescent="0.25">
      <c r="AC8640" s="8"/>
    </row>
    <row r="8641" spans="29:29" x14ac:dyDescent="0.25">
      <c r="AC8641" s="8"/>
    </row>
    <row r="8642" spans="29:29" x14ac:dyDescent="0.25">
      <c r="AC8642" s="8"/>
    </row>
    <row r="8643" spans="29:29" x14ac:dyDescent="0.25">
      <c r="AC8643" s="8"/>
    </row>
    <row r="8644" spans="29:29" x14ac:dyDescent="0.25">
      <c r="AC8644" s="8"/>
    </row>
    <row r="8645" spans="29:29" x14ac:dyDescent="0.25">
      <c r="AC8645" s="8"/>
    </row>
    <row r="8646" spans="29:29" x14ac:dyDescent="0.25">
      <c r="AC8646" s="8"/>
    </row>
    <row r="8647" spans="29:29" x14ac:dyDescent="0.25">
      <c r="AC8647" s="8"/>
    </row>
    <row r="8648" spans="29:29" x14ac:dyDescent="0.25">
      <c r="AC8648" s="8"/>
    </row>
    <row r="8649" spans="29:29" x14ac:dyDescent="0.25">
      <c r="AC8649" s="8"/>
    </row>
    <row r="8650" spans="29:29" x14ac:dyDescent="0.25">
      <c r="AC8650" s="8"/>
    </row>
    <row r="8651" spans="29:29" x14ac:dyDescent="0.25">
      <c r="AC8651" s="8"/>
    </row>
    <row r="8652" spans="29:29" x14ac:dyDescent="0.25">
      <c r="AC8652" s="8"/>
    </row>
    <row r="8653" spans="29:29" x14ac:dyDescent="0.25">
      <c r="AC8653" s="8"/>
    </row>
    <row r="8654" spans="29:29" x14ac:dyDescent="0.25">
      <c r="AC8654" s="8"/>
    </row>
    <row r="8655" spans="29:29" x14ac:dyDescent="0.25">
      <c r="AC8655" s="8"/>
    </row>
    <row r="8656" spans="29:29" x14ac:dyDescent="0.25">
      <c r="AC8656" s="8"/>
    </row>
    <row r="8657" spans="29:29" x14ac:dyDescent="0.25">
      <c r="AC8657" s="8"/>
    </row>
    <row r="8658" spans="29:29" x14ac:dyDescent="0.25">
      <c r="AC8658" s="8"/>
    </row>
    <row r="8659" spans="29:29" x14ac:dyDescent="0.25">
      <c r="AC8659" s="8"/>
    </row>
    <row r="8660" spans="29:29" x14ac:dyDescent="0.25">
      <c r="AC8660" s="8"/>
    </row>
    <row r="8661" spans="29:29" x14ac:dyDescent="0.25">
      <c r="AC8661" s="8"/>
    </row>
    <row r="8662" spans="29:29" x14ac:dyDescent="0.25">
      <c r="AC8662" s="8"/>
    </row>
    <row r="8663" spans="29:29" x14ac:dyDescent="0.25">
      <c r="AC8663" s="8"/>
    </row>
    <row r="8664" spans="29:29" x14ac:dyDescent="0.25">
      <c r="AC8664" s="8"/>
    </row>
    <row r="8665" spans="29:29" x14ac:dyDescent="0.25">
      <c r="AC8665" s="8"/>
    </row>
    <row r="8666" spans="29:29" x14ac:dyDescent="0.25">
      <c r="AC8666" s="8"/>
    </row>
    <row r="8667" spans="29:29" x14ac:dyDescent="0.25">
      <c r="AC8667" s="8"/>
    </row>
    <row r="8668" spans="29:29" x14ac:dyDescent="0.25">
      <c r="AC8668" s="8"/>
    </row>
    <row r="8669" spans="29:29" x14ac:dyDescent="0.25">
      <c r="AC8669" s="8"/>
    </row>
    <row r="8670" spans="29:29" x14ac:dyDescent="0.25">
      <c r="AC8670" s="8"/>
    </row>
    <row r="8671" spans="29:29" x14ac:dyDescent="0.25">
      <c r="AC8671" s="8"/>
    </row>
    <row r="8672" spans="29:29" x14ac:dyDescent="0.25">
      <c r="AC8672" s="8"/>
    </row>
    <row r="8673" spans="29:29" x14ac:dyDescent="0.25">
      <c r="AC8673" s="8"/>
    </row>
    <row r="8674" spans="29:29" x14ac:dyDescent="0.25">
      <c r="AC8674" s="8"/>
    </row>
    <row r="8675" spans="29:29" x14ac:dyDescent="0.25">
      <c r="AC8675" s="8"/>
    </row>
    <row r="8676" spans="29:29" x14ac:dyDescent="0.25">
      <c r="AC8676" s="8"/>
    </row>
    <row r="8677" spans="29:29" x14ac:dyDescent="0.25">
      <c r="AC8677" s="8"/>
    </row>
    <row r="8678" spans="29:29" x14ac:dyDescent="0.25">
      <c r="AC8678" s="8"/>
    </row>
    <row r="8679" spans="29:29" x14ac:dyDescent="0.25">
      <c r="AC8679" s="8"/>
    </row>
    <row r="8680" spans="29:29" x14ac:dyDescent="0.25">
      <c r="AC8680" s="8"/>
    </row>
    <row r="8681" spans="29:29" x14ac:dyDescent="0.25">
      <c r="AC8681" s="8"/>
    </row>
    <row r="8682" spans="29:29" x14ac:dyDescent="0.25">
      <c r="AC8682" s="8"/>
    </row>
    <row r="8683" spans="29:29" x14ac:dyDescent="0.25">
      <c r="AC8683" s="8"/>
    </row>
    <row r="8684" spans="29:29" x14ac:dyDescent="0.25">
      <c r="AC8684" s="8"/>
    </row>
    <row r="8685" spans="29:29" x14ac:dyDescent="0.25">
      <c r="AC8685" s="8"/>
    </row>
    <row r="8686" spans="29:29" x14ac:dyDescent="0.25">
      <c r="AC8686" s="8"/>
    </row>
    <row r="8687" spans="29:29" x14ac:dyDescent="0.25">
      <c r="AC8687" s="8"/>
    </row>
    <row r="8688" spans="29:29" x14ac:dyDescent="0.25">
      <c r="AC8688" s="8"/>
    </row>
    <row r="8689" spans="29:29" x14ac:dyDescent="0.25">
      <c r="AC8689" s="8"/>
    </row>
    <row r="8690" spans="29:29" x14ac:dyDescent="0.25">
      <c r="AC8690" s="8"/>
    </row>
    <row r="8691" spans="29:29" x14ac:dyDescent="0.25">
      <c r="AC8691" s="8"/>
    </row>
    <row r="8692" spans="29:29" x14ac:dyDescent="0.25">
      <c r="AC8692" s="8"/>
    </row>
    <row r="8693" spans="29:29" x14ac:dyDescent="0.25">
      <c r="AC8693" s="8"/>
    </row>
    <row r="8694" spans="29:29" x14ac:dyDescent="0.25">
      <c r="AC8694" s="8"/>
    </row>
    <row r="8695" spans="29:29" x14ac:dyDescent="0.25">
      <c r="AC8695" s="8"/>
    </row>
    <row r="8696" spans="29:29" x14ac:dyDescent="0.25">
      <c r="AC8696" s="8"/>
    </row>
    <row r="8697" spans="29:29" x14ac:dyDescent="0.25">
      <c r="AC8697" s="8"/>
    </row>
    <row r="8698" spans="29:29" x14ac:dyDescent="0.25">
      <c r="AC8698" s="8"/>
    </row>
    <row r="8699" spans="29:29" x14ac:dyDescent="0.25">
      <c r="AC8699" s="8"/>
    </row>
    <row r="8700" spans="29:29" x14ac:dyDescent="0.25">
      <c r="AC8700" s="8"/>
    </row>
    <row r="8701" spans="29:29" x14ac:dyDescent="0.25">
      <c r="AC8701" s="8"/>
    </row>
    <row r="8702" spans="29:29" x14ac:dyDescent="0.25">
      <c r="AC8702" s="8"/>
    </row>
    <row r="8703" spans="29:29" x14ac:dyDescent="0.25">
      <c r="AC8703" s="8"/>
    </row>
    <row r="8704" spans="29:29" x14ac:dyDescent="0.25">
      <c r="AC8704" s="8"/>
    </row>
    <row r="8705" spans="29:29" x14ac:dyDescent="0.25">
      <c r="AC8705" s="8"/>
    </row>
    <row r="8706" spans="29:29" x14ac:dyDescent="0.25">
      <c r="AC8706" s="8"/>
    </row>
    <row r="8707" spans="29:29" x14ac:dyDescent="0.25">
      <c r="AC8707" s="8"/>
    </row>
    <row r="8708" spans="29:29" x14ac:dyDescent="0.25">
      <c r="AC8708" s="8"/>
    </row>
    <row r="8709" spans="29:29" x14ac:dyDescent="0.25">
      <c r="AC8709" s="8"/>
    </row>
    <row r="8710" spans="29:29" x14ac:dyDescent="0.25">
      <c r="AC8710" s="8"/>
    </row>
    <row r="8711" spans="29:29" x14ac:dyDescent="0.25">
      <c r="AC8711" s="8"/>
    </row>
    <row r="8712" spans="29:29" x14ac:dyDescent="0.25">
      <c r="AC8712" s="8"/>
    </row>
    <row r="8713" spans="29:29" x14ac:dyDescent="0.25">
      <c r="AC8713" s="8"/>
    </row>
    <row r="8714" spans="29:29" x14ac:dyDescent="0.25">
      <c r="AC8714" s="8"/>
    </row>
    <row r="8715" spans="29:29" x14ac:dyDescent="0.25">
      <c r="AC8715" s="8"/>
    </row>
    <row r="8716" spans="29:29" x14ac:dyDescent="0.25">
      <c r="AC8716" s="8"/>
    </row>
    <row r="8717" spans="29:29" x14ac:dyDescent="0.25">
      <c r="AC8717" s="8"/>
    </row>
    <row r="8718" spans="29:29" x14ac:dyDescent="0.25">
      <c r="AC8718" s="8"/>
    </row>
    <row r="8719" spans="29:29" x14ac:dyDescent="0.25">
      <c r="AC8719" s="8"/>
    </row>
    <row r="8720" spans="29:29" x14ac:dyDescent="0.25">
      <c r="AC8720" s="8"/>
    </row>
    <row r="8721" spans="29:29" x14ac:dyDescent="0.25">
      <c r="AC8721" s="8"/>
    </row>
    <row r="8722" spans="29:29" x14ac:dyDescent="0.25">
      <c r="AC8722" s="8"/>
    </row>
    <row r="8723" spans="29:29" x14ac:dyDescent="0.25">
      <c r="AC8723" s="8"/>
    </row>
    <row r="8724" spans="29:29" x14ac:dyDescent="0.25">
      <c r="AC8724" s="8"/>
    </row>
    <row r="8725" spans="29:29" x14ac:dyDescent="0.25">
      <c r="AC8725" s="8"/>
    </row>
    <row r="8726" spans="29:29" x14ac:dyDescent="0.25">
      <c r="AC8726" s="8"/>
    </row>
    <row r="8727" spans="29:29" x14ac:dyDescent="0.25">
      <c r="AC8727" s="8"/>
    </row>
    <row r="8728" spans="29:29" x14ac:dyDescent="0.25">
      <c r="AC8728" s="8"/>
    </row>
    <row r="8729" spans="29:29" x14ac:dyDescent="0.25">
      <c r="AC8729" s="8"/>
    </row>
    <row r="8730" spans="29:29" x14ac:dyDescent="0.25">
      <c r="AC8730" s="8"/>
    </row>
    <row r="8731" spans="29:29" x14ac:dyDescent="0.25">
      <c r="AC8731" s="8"/>
    </row>
    <row r="8732" spans="29:29" x14ac:dyDescent="0.25">
      <c r="AC8732" s="8"/>
    </row>
    <row r="8733" spans="29:29" x14ac:dyDescent="0.25">
      <c r="AC8733" s="8"/>
    </row>
    <row r="8734" spans="29:29" x14ac:dyDescent="0.25">
      <c r="AC8734" s="8"/>
    </row>
    <row r="8735" spans="29:29" x14ac:dyDescent="0.25">
      <c r="AC8735" s="8"/>
    </row>
    <row r="8736" spans="29:29" x14ac:dyDescent="0.25">
      <c r="AC8736" s="8"/>
    </row>
    <row r="8737" spans="29:29" x14ac:dyDescent="0.25">
      <c r="AC8737" s="8"/>
    </row>
    <row r="8738" spans="29:29" x14ac:dyDescent="0.25">
      <c r="AC8738" s="8"/>
    </row>
    <row r="8739" spans="29:29" x14ac:dyDescent="0.25">
      <c r="AC8739" s="8"/>
    </row>
    <row r="8740" spans="29:29" x14ac:dyDescent="0.25">
      <c r="AC8740" s="8"/>
    </row>
    <row r="8741" spans="29:29" x14ac:dyDescent="0.25">
      <c r="AC8741" s="8"/>
    </row>
    <row r="8742" spans="29:29" x14ac:dyDescent="0.25">
      <c r="AC8742" s="8"/>
    </row>
    <row r="8743" spans="29:29" x14ac:dyDescent="0.25">
      <c r="AC8743" s="8"/>
    </row>
    <row r="8744" spans="29:29" x14ac:dyDescent="0.25">
      <c r="AC8744" s="8"/>
    </row>
    <row r="8745" spans="29:29" x14ac:dyDescent="0.25">
      <c r="AC8745" s="8"/>
    </row>
    <row r="8746" spans="29:29" x14ac:dyDescent="0.25">
      <c r="AC8746" s="8"/>
    </row>
    <row r="8747" spans="29:29" x14ac:dyDescent="0.25">
      <c r="AC8747" s="8"/>
    </row>
    <row r="8748" spans="29:29" x14ac:dyDescent="0.25">
      <c r="AC8748" s="8"/>
    </row>
    <row r="8749" spans="29:29" x14ac:dyDescent="0.25">
      <c r="AC8749" s="8"/>
    </row>
    <row r="8750" spans="29:29" x14ac:dyDescent="0.25">
      <c r="AC8750" s="8"/>
    </row>
    <row r="8751" spans="29:29" x14ac:dyDescent="0.25">
      <c r="AC8751" s="8"/>
    </row>
    <row r="8752" spans="29:29" x14ac:dyDescent="0.25">
      <c r="AC8752" s="8"/>
    </row>
    <row r="8753" spans="29:29" x14ac:dyDescent="0.25">
      <c r="AC8753" s="8"/>
    </row>
    <row r="8754" spans="29:29" x14ac:dyDescent="0.25">
      <c r="AC8754" s="8"/>
    </row>
    <row r="8755" spans="29:29" x14ac:dyDescent="0.25">
      <c r="AC8755" s="8"/>
    </row>
    <row r="8756" spans="29:29" x14ac:dyDescent="0.25">
      <c r="AC8756" s="8"/>
    </row>
    <row r="8757" spans="29:29" x14ac:dyDescent="0.25">
      <c r="AC8757" s="8"/>
    </row>
    <row r="8758" spans="29:29" x14ac:dyDescent="0.25">
      <c r="AC8758" s="8"/>
    </row>
    <row r="8759" spans="29:29" x14ac:dyDescent="0.25">
      <c r="AC8759" s="8"/>
    </row>
    <row r="8760" spans="29:29" x14ac:dyDescent="0.25">
      <c r="AC8760" s="8"/>
    </row>
    <row r="8761" spans="29:29" x14ac:dyDescent="0.25">
      <c r="AC8761" s="8"/>
    </row>
    <row r="8762" spans="29:29" x14ac:dyDescent="0.25">
      <c r="AC8762" s="8"/>
    </row>
    <row r="8763" spans="29:29" x14ac:dyDescent="0.25">
      <c r="AC8763" s="8"/>
    </row>
    <row r="8764" spans="29:29" x14ac:dyDescent="0.25">
      <c r="AC8764" s="8"/>
    </row>
    <row r="8765" spans="29:29" x14ac:dyDescent="0.25">
      <c r="AC8765" s="8"/>
    </row>
    <row r="8766" spans="29:29" x14ac:dyDescent="0.25">
      <c r="AC8766" s="8"/>
    </row>
    <row r="8767" spans="29:29" x14ac:dyDescent="0.25">
      <c r="AC8767" s="8"/>
    </row>
    <row r="8768" spans="29:29" x14ac:dyDescent="0.25">
      <c r="AC8768" s="8"/>
    </row>
    <row r="8769" spans="29:29" x14ac:dyDescent="0.25">
      <c r="AC8769" s="8"/>
    </row>
    <row r="8770" spans="29:29" x14ac:dyDescent="0.25">
      <c r="AC8770" s="8"/>
    </row>
    <row r="8771" spans="29:29" x14ac:dyDescent="0.25">
      <c r="AC8771" s="8"/>
    </row>
    <row r="8772" spans="29:29" x14ac:dyDescent="0.25">
      <c r="AC8772" s="8"/>
    </row>
    <row r="8773" spans="29:29" x14ac:dyDescent="0.25">
      <c r="AC8773" s="8"/>
    </row>
    <row r="8774" spans="29:29" x14ac:dyDescent="0.25">
      <c r="AC8774" s="8"/>
    </row>
    <row r="8775" spans="29:29" x14ac:dyDescent="0.25">
      <c r="AC8775" s="8"/>
    </row>
    <row r="8776" spans="29:29" x14ac:dyDescent="0.25">
      <c r="AC8776" s="8"/>
    </row>
    <row r="8777" spans="29:29" x14ac:dyDescent="0.25">
      <c r="AC8777" s="8"/>
    </row>
    <row r="8778" spans="29:29" x14ac:dyDescent="0.25">
      <c r="AC8778" s="8"/>
    </row>
    <row r="8779" spans="29:29" x14ac:dyDescent="0.25">
      <c r="AC8779" s="8"/>
    </row>
    <row r="8780" spans="29:29" x14ac:dyDescent="0.25">
      <c r="AC8780" s="8"/>
    </row>
    <row r="8781" spans="29:29" x14ac:dyDescent="0.25">
      <c r="AC8781" s="8"/>
    </row>
    <row r="8782" spans="29:29" x14ac:dyDescent="0.25">
      <c r="AC8782" s="8"/>
    </row>
    <row r="8783" spans="29:29" x14ac:dyDescent="0.25">
      <c r="AC8783" s="8"/>
    </row>
    <row r="8784" spans="29:29" x14ac:dyDescent="0.25">
      <c r="AC8784" s="8"/>
    </row>
    <row r="8785" spans="29:29" x14ac:dyDescent="0.25">
      <c r="AC8785" s="8"/>
    </row>
    <row r="8786" spans="29:29" x14ac:dyDescent="0.25">
      <c r="AC8786" s="8"/>
    </row>
    <row r="8787" spans="29:29" x14ac:dyDescent="0.25">
      <c r="AC8787" s="8"/>
    </row>
    <row r="8788" spans="29:29" x14ac:dyDescent="0.25">
      <c r="AC8788" s="8"/>
    </row>
    <row r="8789" spans="29:29" x14ac:dyDescent="0.25">
      <c r="AC8789" s="8"/>
    </row>
    <row r="8790" spans="29:29" x14ac:dyDescent="0.25">
      <c r="AC8790" s="8"/>
    </row>
    <row r="8791" spans="29:29" x14ac:dyDescent="0.25">
      <c r="AC8791" s="8"/>
    </row>
    <row r="8792" spans="29:29" x14ac:dyDescent="0.25">
      <c r="AC8792" s="8"/>
    </row>
    <row r="8793" spans="29:29" x14ac:dyDescent="0.25">
      <c r="AC8793" s="8"/>
    </row>
    <row r="8794" spans="29:29" x14ac:dyDescent="0.25">
      <c r="AC8794" s="8"/>
    </row>
    <row r="8795" spans="29:29" x14ac:dyDescent="0.25">
      <c r="AC8795" s="8"/>
    </row>
    <row r="8796" spans="29:29" x14ac:dyDescent="0.25">
      <c r="AC8796" s="8"/>
    </row>
    <row r="8797" spans="29:29" x14ac:dyDescent="0.25">
      <c r="AC8797" s="8"/>
    </row>
    <row r="8798" spans="29:29" x14ac:dyDescent="0.25">
      <c r="AC8798" s="8"/>
    </row>
    <row r="8799" spans="29:29" x14ac:dyDescent="0.25">
      <c r="AC8799" s="8"/>
    </row>
    <row r="8800" spans="29:29" x14ac:dyDescent="0.25">
      <c r="AC8800" s="8"/>
    </row>
    <row r="8801" spans="29:29" x14ac:dyDescent="0.25">
      <c r="AC8801" s="8"/>
    </row>
    <row r="8802" spans="29:29" x14ac:dyDescent="0.25">
      <c r="AC8802" s="8"/>
    </row>
    <row r="8803" spans="29:29" x14ac:dyDescent="0.25">
      <c r="AC8803" s="8"/>
    </row>
    <row r="8804" spans="29:29" x14ac:dyDescent="0.25">
      <c r="AC8804" s="8"/>
    </row>
    <row r="8805" spans="29:29" x14ac:dyDescent="0.25">
      <c r="AC8805" s="8"/>
    </row>
    <row r="8806" spans="29:29" x14ac:dyDescent="0.25">
      <c r="AC8806" s="8"/>
    </row>
    <row r="8807" spans="29:29" x14ac:dyDescent="0.25">
      <c r="AC8807" s="8"/>
    </row>
    <row r="8808" spans="29:29" x14ac:dyDescent="0.25">
      <c r="AC8808" s="8"/>
    </row>
    <row r="8809" spans="29:29" x14ac:dyDescent="0.25">
      <c r="AC8809" s="8"/>
    </row>
    <row r="8810" spans="29:29" x14ac:dyDescent="0.25">
      <c r="AC8810" s="8"/>
    </row>
    <row r="8811" spans="29:29" x14ac:dyDescent="0.25">
      <c r="AC8811" s="8"/>
    </row>
    <row r="8812" spans="29:29" x14ac:dyDescent="0.25">
      <c r="AC8812" s="8"/>
    </row>
    <row r="8813" spans="29:29" x14ac:dyDescent="0.25">
      <c r="AC8813" s="8"/>
    </row>
    <row r="8814" spans="29:29" x14ac:dyDescent="0.25">
      <c r="AC8814" s="8"/>
    </row>
    <row r="8815" spans="29:29" x14ac:dyDescent="0.25">
      <c r="AC8815" s="8"/>
    </row>
    <row r="8816" spans="29:29" x14ac:dyDescent="0.25">
      <c r="AC8816" s="8"/>
    </row>
    <row r="8817" spans="29:29" x14ac:dyDescent="0.25">
      <c r="AC8817" s="8"/>
    </row>
    <row r="8818" spans="29:29" x14ac:dyDescent="0.25">
      <c r="AC8818" s="8"/>
    </row>
    <row r="8819" spans="29:29" x14ac:dyDescent="0.25">
      <c r="AC8819" s="8"/>
    </row>
    <row r="8820" spans="29:29" x14ac:dyDescent="0.25">
      <c r="AC8820" s="8"/>
    </row>
    <row r="8821" spans="29:29" x14ac:dyDescent="0.25">
      <c r="AC8821" s="8"/>
    </row>
    <row r="8822" spans="29:29" x14ac:dyDescent="0.25">
      <c r="AC8822" s="8"/>
    </row>
    <row r="8823" spans="29:29" x14ac:dyDescent="0.25">
      <c r="AC8823" s="8"/>
    </row>
    <row r="8824" spans="29:29" x14ac:dyDescent="0.25">
      <c r="AC8824" s="8"/>
    </row>
    <row r="8825" spans="29:29" x14ac:dyDescent="0.25">
      <c r="AC8825" s="8"/>
    </row>
    <row r="8826" spans="29:29" x14ac:dyDescent="0.25">
      <c r="AC8826" s="8"/>
    </row>
    <row r="8827" spans="29:29" x14ac:dyDescent="0.25">
      <c r="AC8827" s="8"/>
    </row>
    <row r="8828" spans="29:29" x14ac:dyDescent="0.25">
      <c r="AC8828" s="8"/>
    </row>
    <row r="8829" spans="29:29" x14ac:dyDescent="0.25">
      <c r="AC8829" s="8"/>
    </row>
    <row r="8830" spans="29:29" x14ac:dyDescent="0.25">
      <c r="AC8830" s="8"/>
    </row>
    <row r="8831" spans="29:29" x14ac:dyDescent="0.25">
      <c r="AC8831" s="8"/>
    </row>
    <row r="8832" spans="29:29" x14ac:dyDescent="0.25">
      <c r="AC8832" s="8"/>
    </row>
    <row r="8833" spans="29:29" x14ac:dyDescent="0.25">
      <c r="AC8833" s="8"/>
    </row>
    <row r="8834" spans="29:29" x14ac:dyDescent="0.25">
      <c r="AC8834" s="8"/>
    </row>
    <row r="8835" spans="29:29" x14ac:dyDescent="0.25">
      <c r="AC8835" s="8"/>
    </row>
    <row r="8836" spans="29:29" x14ac:dyDescent="0.25">
      <c r="AC8836" s="8"/>
    </row>
    <row r="8837" spans="29:29" x14ac:dyDescent="0.25">
      <c r="AC8837" s="8"/>
    </row>
    <row r="8838" spans="29:29" x14ac:dyDescent="0.25">
      <c r="AC8838" s="8"/>
    </row>
    <row r="8839" spans="29:29" x14ac:dyDescent="0.25">
      <c r="AC8839" s="8"/>
    </row>
    <row r="8840" spans="29:29" x14ac:dyDescent="0.25">
      <c r="AC8840" s="8"/>
    </row>
    <row r="8841" spans="29:29" x14ac:dyDescent="0.25">
      <c r="AC8841" s="8"/>
    </row>
    <row r="8842" spans="29:29" x14ac:dyDescent="0.25">
      <c r="AC8842" s="8"/>
    </row>
    <row r="8843" spans="29:29" x14ac:dyDescent="0.25">
      <c r="AC8843" s="8"/>
    </row>
    <row r="8844" spans="29:29" x14ac:dyDescent="0.25">
      <c r="AC8844" s="8"/>
    </row>
    <row r="8845" spans="29:29" x14ac:dyDescent="0.25">
      <c r="AC8845" s="8"/>
    </row>
    <row r="8846" spans="29:29" x14ac:dyDescent="0.25">
      <c r="AC8846" s="8"/>
    </row>
    <row r="8847" spans="29:29" x14ac:dyDescent="0.25">
      <c r="AC8847" s="8"/>
    </row>
    <row r="8848" spans="29:29" x14ac:dyDescent="0.25">
      <c r="AC8848" s="8"/>
    </row>
    <row r="8849" spans="29:29" x14ac:dyDescent="0.25">
      <c r="AC8849" s="8"/>
    </row>
    <row r="8850" spans="29:29" x14ac:dyDescent="0.25">
      <c r="AC8850" s="8"/>
    </row>
    <row r="8851" spans="29:29" x14ac:dyDescent="0.25">
      <c r="AC8851" s="8"/>
    </row>
    <row r="8852" spans="29:29" x14ac:dyDescent="0.25">
      <c r="AC8852" s="8"/>
    </row>
    <row r="8853" spans="29:29" x14ac:dyDescent="0.25">
      <c r="AC8853" s="8"/>
    </row>
    <row r="8854" spans="29:29" x14ac:dyDescent="0.25">
      <c r="AC8854" s="8"/>
    </row>
    <row r="8855" spans="29:29" x14ac:dyDescent="0.25">
      <c r="AC8855" s="8"/>
    </row>
    <row r="8856" spans="29:29" x14ac:dyDescent="0.25">
      <c r="AC8856" s="8"/>
    </row>
    <row r="8857" spans="29:29" x14ac:dyDescent="0.25">
      <c r="AC8857" s="8"/>
    </row>
    <row r="8858" spans="29:29" x14ac:dyDescent="0.25">
      <c r="AC8858" s="8"/>
    </row>
    <row r="8859" spans="29:29" x14ac:dyDescent="0.25">
      <c r="AC8859" s="8"/>
    </row>
    <row r="8860" spans="29:29" x14ac:dyDescent="0.25">
      <c r="AC8860" s="8"/>
    </row>
    <row r="8861" spans="29:29" x14ac:dyDescent="0.25">
      <c r="AC8861" s="8"/>
    </row>
    <row r="8862" spans="29:29" x14ac:dyDescent="0.25">
      <c r="AC8862" s="8"/>
    </row>
    <row r="8863" spans="29:29" x14ac:dyDescent="0.25">
      <c r="AC8863" s="8"/>
    </row>
    <row r="8864" spans="29:29" x14ac:dyDescent="0.25">
      <c r="AC8864" s="8"/>
    </row>
    <row r="8865" spans="29:29" x14ac:dyDescent="0.25">
      <c r="AC8865" s="8"/>
    </row>
    <row r="8866" spans="29:29" x14ac:dyDescent="0.25">
      <c r="AC8866" s="8"/>
    </row>
    <row r="8867" spans="29:29" x14ac:dyDescent="0.25">
      <c r="AC8867" s="8"/>
    </row>
    <row r="8868" spans="29:29" x14ac:dyDescent="0.25">
      <c r="AC8868" s="8"/>
    </row>
    <row r="8869" spans="29:29" x14ac:dyDescent="0.25">
      <c r="AC8869" s="8"/>
    </row>
    <row r="8870" spans="29:29" x14ac:dyDescent="0.25">
      <c r="AC8870" s="8"/>
    </row>
    <row r="8871" spans="29:29" x14ac:dyDescent="0.25">
      <c r="AC8871" s="8"/>
    </row>
    <row r="8872" spans="29:29" x14ac:dyDescent="0.25">
      <c r="AC8872" s="8"/>
    </row>
    <row r="8873" spans="29:29" x14ac:dyDescent="0.25">
      <c r="AC8873" s="8"/>
    </row>
    <row r="8874" spans="29:29" x14ac:dyDescent="0.25">
      <c r="AC8874" s="8"/>
    </row>
    <row r="8875" spans="29:29" x14ac:dyDescent="0.25">
      <c r="AC8875" s="8"/>
    </row>
    <row r="8876" spans="29:29" x14ac:dyDescent="0.25">
      <c r="AC8876" s="8"/>
    </row>
    <row r="8877" spans="29:29" x14ac:dyDescent="0.25">
      <c r="AC8877" s="8"/>
    </row>
    <row r="8878" spans="29:29" x14ac:dyDescent="0.25">
      <c r="AC8878" s="8"/>
    </row>
    <row r="8879" spans="29:29" x14ac:dyDescent="0.25">
      <c r="AC8879" s="8"/>
    </row>
    <row r="8880" spans="29:29" x14ac:dyDescent="0.25">
      <c r="AC8880" s="8"/>
    </row>
    <row r="8881" spans="29:29" x14ac:dyDescent="0.25">
      <c r="AC8881" s="8"/>
    </row>
    <row r="8882" spans="29:29" x14ac:dyDescent="0.25">
      <c r="AC8882" s="8"/>
    </row>
    <row r="8883" spans="29:29" x14ac:dyDescent="0.25">
      <c r="AC8883" s="8"/>
    </row>
    <row r="8884" spans="29:29" x14ac:dyDescent="0.25">
      <c r="AC8884" s="8"/>
    </row>
    <row r="8885" spans="29:29" x14ac:dyDescent="0.25">
      <c r="AC8885" s="8"/>
    </row>
    <row r="8886" spans="29:29" x14ac:dyDescent="0.25">
      <c r="AC8886" s="8"/>
    </row>
    <row r="8887" spans="29:29" x14ac:dyDescent="0.25">
      <c r="AC8887" s="8"/>
    </row>
    <row r="8888" spans="29:29" x14ac:dyDescent="0.25">
      <c r="AC8888" s="8"/>
    </row>
    <row r="8889" spans="29:29" x14ac:dyDescent="0.25">
      <c r="AC8889" s="8"/>
    </row>
    <row r="8890" spans="29:29" x14ac:dyDescent="0.25">
      <c r="AC8890" s="8"/>
    </row>
    <row r="8891" spans="29:29" x14ac:dyDescent="0.25">
      <c r="AC8891" s="8"/>
    </row>
    <row r="8892" spans="29:29" x14ac:dyDescent="0.25">
      <c r="AC8892" s="8"/>
    </row>
    <row r="8893" spans="29:29" x14ac:dyDescent="0.25">
      <c r="AC8893" s="8"/>
    </row>
    <row r="8894" spans="29:29" x14ac:dyDescent="0.25">
      <c r="AC8894" s="8"/>
    </row>
    <row r="8895" spans="29:29" x14ac:dyDescent="0.25">
      <c r="AC8895" s="8"/>
    </row>
    <row r="8896" spans="29:29" x14ac:dyDescent="0.25">
      <c r="AC8896" s="8"/>
    </row>
    <row r="8897" spans="29:29" x14ac:dyDescent="0.25">
      <c r="AC8897" s="8"/>
    </row>
    <row r="8898" spans="29:29" x14ac:dyDescent="0.25">
      <c r="AC8898" s="8"/>
    </row>
    <row r="8899" spans="29:29" x14ac:dyDescent="0.25">
      <c r="AC8899" s="8"/>
    </row>
    <row r="8900" spans="29:29" x14ac:dyDescent="0.25">
      <c r="AC8900" s="8"/>
    </row>
    <row r="8901" spans="29:29" x14ac:dyDescent="0.25">
      <c r="AC8901" s="8"/>
    </row>
    <row r="8902" spans="29:29" x14ac:dyDescent="0.25">
      <c r="AC8902" s="8"/>
    </row>
    <row r="8903" spans="29:29" x14ac:dyDescent="0.25">
      <c r="AC8903" s="8"/>
    </row>
    <row r="8904" spans="29:29" x14ac:dyDescent="0.25">
      <c r="AC8904" s="8"/>
    </row>
    <row r="8905" spans="29:29" x14ac:dyDescent="0.25">
      <c r="AC8905" s="8"/>
    </row>
    <row r="8906" spans="29:29" x14ac:dyDescent="0.25">
      <c r="AC8906" s="8"/>
    </row>
    <row r="8907" spans="29:29" x14ac:dyDescent="0.25">
      <c r="AC8907" s="8"/>
    </row>
    <row r="8908" spans="29:29" x14ac:dyDescent="0.25">
      <c r="AC8908" s="8"/>
    </row>
    <row r="8909" spans="29:29" x14ac:dyDescent="0.25">
      <c r="AC8909" s="8"/>
    </row>
    <row r="8910" spans="29:29" x14ac:dyDescent="0.25">
      <c r="AC8910" s="8"/>
    </row>
    <row r="8911" spans="29:29" x14ac:dyDescent="0.25">
      <c r="AC8911" s="8"/>
    </row>
    <row r="8912" spans="29:29" x14ac:dyDescent="0.25">
      <c r="AC8912" s="8"/>
    </row>
    <row r="8913" spans="29:29" x14ac:dyDescent="0.25">
      <c r="AC8913" s="8"/>
    </row>
    <row r="8914" spans="29:29" x14ac:dyDescent="0.25">
      <c r="AC8914" s="8"/>
    </row>
    <row r="8915" spans="29:29" x14ac:dyDescent="0.25">
      <c r="AC8915" s="8"/>
    </row>
    <row r="8916" spans="29:29" x14ac:dyDescent="0.25">
      <c r="AC8916" s="8"/>
    </row>
    <row r="8917" spans="29:29" x14ac:dyDescent="0.25">
      <c r="AC8917" s="8"/>
    </row>
    <row r="8918" spans="29:29" x14ac:dyDescent="0.25">
      <c r="AC8918" s="8"/>
    </row>
    <row r="8919" spans="29:29" x14ac:dyDescent="0.25">
      <c r="AC8919" s="8"/>
    </row>
    <row r="8920" spans="29:29" x14ac:dyDescent="0.25">
      <c r="AC8920" s="8"/>
    </row>
    <row r="8921" spans="29:29" x14ac:dyDescent="0.25">
      <c r="AC8921" s="8"/>
    </row>
    <row r="8922" spans="29:29" x14ac:dyDescent="0.25">
      <c r="AC8922" s="8"/>
    </row>
    <row r="8923" spans="29:29" x14ac:dyDescent="0.25">
      <c r="AC8923" s="8"/>
    </row>
    <row r="8924" spans="29:29" x14ac:dyDescent="0.25">
      <c r="AC8924" s="8"/>
    </row>
    <row r="8925" spans="29:29" x14ac:dyDescent="0.25">
      <c r="AC8925" s="8"/>
    </row>
    <row r="8926" spans="29:29" x14ac:dyDescent="0.25">
      <c r="AC8926" s="8"/>
    </row>
    <row r="8927" spans="29:29" x14ac:dyDescent="0.25">
      <c r="AC8927" s="8"/>
    </row>
    <row r="8928" spans="29:29" x14ac:dyDescent="0.25">
      <c r="AC8928" s="8"/>
    </row>
    <row r="8929" spans="29:29" x14ac:dyDescent="0.25">
      <c r="AC8929" s="8"/>
    </row>
    <row r="8930" spans="29:29" x14ac:dyDescent="0.25">
      <c r="AC8930" s="8"/>
    </row>
    <row r="8931" spans="29:29" x14ac:dyDescent="0.25">
      <c r="AC8931" s="8"/>
    </row>
    <row r="8932" spans="29:29" x14ac:dyDescent="0.25">
      <c r="AC8932" s="8"/>
    </row>
    <row r="8933" spans="29:29" x14ac:dyDescent="0.25">
      <c r="AC8933" s="8"/>
    </row>
    <row r="8934" spans="29:29" x14ac:dyDescent="0.25">
      <c r="AC8934" s="8"/>
    </row>
    <row r="8935" spans="29:29" x14ac:dyDescent="0.25">
      <c r="AC8935" s="8"/>
    </row>
    <row r="8936" spans="29:29" x14ac:dyDescent="0.25">
      <c r="AC8936" s="8"/>
    </row>
    <row r="8937" spans="29:29" x14ac:dyDescent="0.25">
      <c r="AC8937" s="8"/>
    </row>
    <row r="8938" spans="29:29" x14ac:dyDescent="0.25">
      <c r="AC8938" s="8"/>
    </row>
    <row r="8939" spans="29:29" x14ac:dyDescent="0.25">
      <c r="AC8939" s="8"/>
    </row>
    <row r="8940" spans="29:29" x14ac:dyDescent="0.25">
      <c r="AC8940" s="8"/>
    </row>
    <row r="8941" spans="29:29" x14ac:dyDescent="0.25">
      <c r="AC8941" s="8"/>
    </row>
    <row r="8942" spans="29:29" x14ac:dyDescent="0.25">
      <c r="AC8942" s="8"/>
    </row>
    <row r="8943" spans="29:29" x14ac:dyDescent="0.25">
      <c r="AC8943" s="8"/>
    </row>
    <row r="8944" spans="29:29" x14ac:dyDescent="0.25">
      <c r="AC8944" s="8"/>
    </row>
    <row r="8945" spans="29:29" x14ac:dyDescent="0.25">
      <c r="AC8945" s="8"/>
    </row>
    <row r="8946" spans="29:29" x14ac:dyDescent="0.25">
      <c r="AC8946" s="8"/>
    </row>
    <row r="8947" spans="29:29" x14ac:dyDescent="0.25">
      <c r="AC8947" s="8"/>
    </row>
    <row r="8948" spans="29:29" x14ac:dyDescent="0.25">
      <c r="AC8948" s="8"/>
    </row>
    <row r="8949" spans="29:29" x14ac:dyDescent="0.25">
      <c r="AC8949" s="8"/>
    </row>
    <row r="8950" spans="29:29" x14ac:dyDescent="0.25">
      <c r="AC8950" s="8"/>
    </row>
    <row r="8951" spans="29:29" x14ac:dyDescent="0.25">
      <c r="AC8951" s="8"/>
    </row>
    <row r="8952" spans="29:29" x14ac:dyDescent="0.25">
      <c r="AC8952" s="8"/>
    </row>
    <row r="8953" spans="29:29" x14ac:dyDescent="0.25">
      <c r="AC8953" s="8"/>
    </row>
    <row r="8954" spans="29:29" x14ac:dyDescent="0.25">
      <c r="AC8954" s="8"/>
    </row>
    <row r="8955" spans="29:29" x14ac:dyDescent="0.25">
      <c r="AC8955" s="8"/>
    </row>
    <row r="8956" spans="29:29" x14ac:dyDescent="0.25">
      <c r="AC8956" s="8"/>
    </row>
    <row r="8957" spans="29:29" x14ac:dyDescent="0.25">
      <c r="AC8957" s="8"/>
    </row>
    <row r="8958" spans="29:29" x14ac:dyDescent="0.25">
      <c r="AC8958" s="8"/>
    </row>
    <row r="8959" spans="29:29" x14ac:dyDescent="0.25">
      <c r="AC8959" s="8"/>
    </row>
    <row r="8960" spans="29:29" x14ac:dyDescent="0.25">
      <c r="AC8960" s="8"/>
    </row>
    <row r="8961" spans="29:29" x14ac:dyDescent="0.25">
      <c r="AC8961" s="8"/>
    </row>
    <row r="8962" spans="29:29" x14ac:dyDescent="0.25">
      <c r="AC8962" s="8"/>
    </row>
    <row r="8963" spans="29:29" x14ac:dyDescent="0.25">
      <c r="AC8963" s="8"/>
    </row>
    <row r="8964" spans="29:29" x14ac:dyDescent="0.25">
      <c r="AC8964" s="8"/>
    </row>
    <row r="8965" spans="29:29" x14ac:dyDescent="0.25">
      <c r="AC8965" s="8"/>
    </row>
    <row r="8966" spans="29:29" x14ac:dyDescent="0.25">
      <c r="AC8966" s="8"/>
    </row>
    <row r="8967" spans="29:29" x14ac:dyDescent="0.25">
      <c r="AC8967" s="8"/>
    </row>
    <row r="8968" spans="29:29" x14ac:dyDescent="0.25">
      <c r="AC8968" s="8"/>
    </row>
    <row r="8969" spans="29:29" x14ac:dyDescent="0.25">
      <c r="AC8969" s="8"/>
    </row>
    <row r="8970" spans="29:29" x14ac:dyDescent="0.25">
      <c r="AC8970" s="8"/>
    </row>
    <row r="8971" spans="29:29" x14ac:dyDescent="0.25">
      <c r="AC8971" s="8"/>
    </row>
    <row r="8972" spans="29:29" x14ac:dyDescent="0.25">
      <c r="AC8972" s="8"/>
    </row>
    <row r="8973" spans="29:29" x14ac:dyDescent="0.25">
      <c r="AC8973" s="8"/>
    </row>
    <row r="8974" spans="29:29" x14ac:dyDescent="0.25">
      <c r="AC8974" s="8"/>
    </row>
    <row r="8975" spans="29:29" x14ac:dyDescent="0.25">
      <c r="AC8975" s="8"/>
    </row>
    <row r="8976" spans="29:29" x14ac:dyDescent="0.25">
      <c r="AC8976" s="8"/>
    </row>
    <row r="8977" spans="29:29" x14ac:dyDescent="0.25">
      <c r="AC8977" s="8"/>
    </row>
    <row r="8978" spans="29:29" x14ac:dyDescent="0.25">
      <c r="AC8978" s="8"/>
    </row>
    <row r="8979" spans="29:29" x14ac:dyDescent="0.25">
      <c r="AC8979" s="8"/>
    </row>
    <row r="8980" spans="29:29" x14ac:dyDescent="0.25">
      <c r="AC8980" s="8"/>
    </row>
    <row r="8981" spans="29:29" x14ac:dyDescent="0.25">
      <c r="AC8981" s="8"/>
    </row>
    <row r="8982" spans="29:29" x14ac:dyDescent="0.25">
      <c r="AC8982" s="8"/>
    </row>
    <row r="8983" spans="29:29" x14ac:dyDescent="0.25">
      <c r="AC8983" s="8"/>
    </row>
    <row r="8984" spans="29:29" x14ac:dyDescent="0.25">
      <c r="AC8984" s="8"/>
    </row>
    <row r="8985" spans="29:29" x14ac:dyDescent="0.25">
      <c r="AC8985" s="8"/>
    </row>
    <row r="8986" spans="29:29" x14ac:dyDescent="0.25">
      <c r="AC8986" s="8"/>
    </row>
    <row r="8987" spans="29:29" x14ac:dyDescent="0.25">
      <c r="AC8987" s="8"/>
    </row>
    <row r="8988" spans="29:29" x14ac:dyDescent="0.25">
      <c r="AC8988" s="8"/>
    </row>
    <row r="8989" spans="29:29" x14ac:dyDescent="0.25">
      <c r="AC8989" s="8"/>
    </row>
    <row r="8990" spans="29:29" x14ac:dyDescent="0.25">
      <c r="AC8990" s="8"/>
    </row>
    <row r="8991" spans="29:29" x14ac:dyDescent="0.25">
      <c r="AC8991" s="8"/>
    </row>
    <row r="8992" spans="29:29" x14ac:dyDescent="0.25">
      <c r="AC8992" s="8"/>
    </row>
    <row r="8993" spans="29:29" x14ac:dyDescent="0.25">
      <c r="AC8993" s="8"/>
    </row>
    <row r="8994" spans="29:29" x14ac:dyDescent="0.25">
      <c r="AC8994" s="8"/>
    </row>
    <row r="8995" spans="29:29" x14ac:dyDescent="0.25">
      <c r="AC8995" s="8"/>
    </row>
    <row r="8996" spans="29:29" x14ac:dyDescent="0.25">
      <c r="AC8996" s="8"/>
    </row>
    <row r="8997" spans="29:29" x14ac:dyDescent="0.25">
      <c r="AC8997" s="8"/>
    </row>
    <row r="8998" spans="29:29" x14ac:dyDescent="0.25">
      <c r="AC8998" s="8"/>
    </row>
    <row r="8999" spans="29:29" x14ac:dyDescent="0.25">
      <c r="AC8999" s="8"/>
    </row>
    <row r="9000" spans="29:29" x14ac:dyDescent="0.25">
      <c r="AC9000" s="8"/>
    </row>
    <row r="9001" spans="29:29" x14ac:dyDescent="0.25">
      <c r="AC9001" s="8"/>
    </row>
    <row r="9002" spans="29:29" x14ac:dyDescent="0.25">
      <c r="AC9002" s="8"/>
    </row>
    <row r="9003" spans="29:29" x14ac:dyDescent="0.25">
      <c r="AC9003" s="8"/>
    </row>
    <row r="9004" spans="29:29" x14ac:dyDescent="0.25">
      <c r="AC9004" s="8"/>
    </row>
    <row r="9005" spans="29:29" x14ac:dyDescent="0.25">
      <c r="AC9005" s="8"/>
    </row>
    <row r="9006" spans="29:29" x14ac:dyDescent="0.25">
      <c r="AC9006" s="8"/>
    </row>
    <row r="9007" spans="29:29" x14ac:dyDescent="0.25">
      <c r="AC9007" s="8"/>
    </row>
    <row r="9008" spans="29:29" x14ac:dyDescent="0.25">
      <c r="AC9008" s="8"/>
    </row>
    <row r="9009" spans="29:29" x14ac:dyDescent="0.25">
      <c r="AC9009" s="8"/>
    </row>
    <row r="9010" spans="29:29" x14ac:dyDescent="0.25">
      <c r="AC9010" s="8"/>
    </row>
    <row r="9011" spans="29:29" x14ac:dyDescent="0.25">
      <c r="AC9011" s="8"/>
    </row>
    <row r="9012" spans="29:29" x14ac:dyDescent="0.25">
      <c r="AC9012" s="8"/>
    </row>
    <row r="9013" spans="29:29" x14ac:dyDescent="0.25">
      <c r="AC9013" s="8"/>
    </row>
    <row r="9014" spans="29:29" x14ac:dyDescent="0.25">
      <c r="AC9014" s="8"/>
    </row>
    <row r="9015" spans="29:29" x14ac:dyDescent="0.25">
      <c r="AC9015" s="8"/>
    </row>
    <row r="9016" spans="29:29" x14ac:dyDescent="0.25">
      <c r="AC9016" s="8"/>
    </row>
    <row r="9017" spans="29:29" x14ac:dyDescent="0.25">
      <c r="AC9017" s="8"/>
    </row>
    <row r="9018" spans="29:29" x14ac:dyDescent="0.25">
      <c r="AC9018" s="8"/>
    </row>
    <row r="9019" spans="29:29" x14ac:dyDescent="0.25">
      <c r="AC9019" s="8"/>
    </row>
    <row r="9020" spans="29:29" x14ac:dyDescent="0.25">
      <c r="AC9020" s="8"/>
    </row>
    <row r="9021" spans="29:29" x14ac:dyDescent="0.25">
      <c r="AC9021" s="8"/>
    </row>
    <row r="9022" spans="29:29" x14ac:dyDescent="0.25">
      <c r="AC9022" s="8"/>
    </row>
    <row r="9023" spans="29:29" x14ac:dyDescent="0.25">
      <c r="AC9023" s="8"/>
    </row>
    <row r="9024" spans="29:29" x14ac:dyDescent="0.25">
      <c r="AC9024" s="8"/>
    </row>
    <row r="9025" spans="29:29" x14ac:dyDescent="0.25">
      <c r="AC9025" s="8"/>
    </row>
    <row r="9026" spans="29:29" x14ac:dyDescent="0.25">
      <c r="AC9026" s="8"/>
    </row>
    <row r="9027" spans="29:29" x14ac:dyDescent="0.25">
      <c r="AC9027" s="8"/>
    </row>
    <row r="9028" spans="29:29" x14ac:dyDescent="0.25">
      <c r="AC9028" s="8"/>
    </row>
    <row r="9029" spans="29:29" x14ac:dyDescent="0.25">
      <c r="AC9029" s="8"/>
    </row>
    <row r="9030" spans="29:29" x14ac:dyDescent="0.25">
      <c r="AC9030" s="8"/>
    </row>
    <row r="9031" spans="29:29" x14ac:dyDescent="0.25">
      <c r="AC9031" s="8"/>
    </row>
    <row r="9032" spans="29:29" x14ac:dyDescent="0.25">
      <c r="AC9032" s="8"/>
    </row>
    <row r="9033" spans="29:29" x14ac:dyDescent="0.25">
      <c r="AC9033" s="8"/>
    </row>
    <row r="9034" spans="29:29" x14ac:dyDescent="0.25">
      <c r="AC9034" s="8"/>
    </row>
    <row r="9035" spans="29:29" x14ac:dyDescent="0.25">
      <c r="AC9035" s="8"/>
    </row>
    <row r="9036" spans="29:29" x14ac:dyDescent="0.25">
      <c r="AC9036" s="8"/>
    </row>
    <row r="9037" spans="29:29" x14ac:dyDescent="0.25">
      <c r="AC9037" s="8"/>
    </row>
    <row r="9038" spans="29:29" x14ac:dyDescent="0.25">
      <c r="AC9038" s="8"/>
    </row>
    <row r="9039" spans="29:29" x14ac:dyDescent="0.25">
      <c r="AC9039" s="8"/>
    </row>
    <row r="9040" spans="29:29" x14ac:dyDescent="0.25">
      <c r="AC9040" s="8"/>
    </row>
    <row r="9041" spans="29:29" x14ac:dyDescent="0.25">
      <c r="AC9041" s="8"/>
    </row>
    <row r="9042" spans="29:29" x14ac:dyDescent="0.25">
      <c r="AC9042" s="8"/>
    </row>
    <row r="9043" spans="29:29" x14ac:dyDescent="0.25">
      <c r="AC9043" s="8"/>
    </row>
    <row r="9044" spans="29:29" x14ac:dyDescent="0.25">
      <c r="AC9044" s="8"/>
    </row>
    <row r="9045" spans="29:29" x14ac:dyDescent="0.25">
      <c r="AC9045" s="8"/>
    </row>
    <row r="9046" spans="29:29" x14ac:dyDescent="0.25">
      <c r="AC9046" s="8"/>
    </row>
    <row r="9047" spans="29:29" x14ac:dyDescent="0.25">
      <c r="AC9047" s="8"/>
    </row>
    <row r="9048" spans="29:29" x14ac:dyDescent="0.25">
      <c r="AC9048" s="8"/>
    </row>
    <row r="9049" spans="29:29" x14ac:dyDescent="0.25">
      <c r="AC9049" s="8"/>
    </row>
    <row r="9050" spans="29:29" x14ac:dyDescent="0.25">
      <c r="AC9050" s="8"/>
    </row>
    <row r="9051" spans="29:29" x14ac:dyDescent="0.25">
      <c r="AC9051" s="8"/>
    </row>
    <row r="9052" spans="29:29" x14ac:dyDescent="0.25">
      <c r="AC9052" s="8"/>
    </row>
    <row r="9053" spans="29:29" x14ac:dyDescent="0.25">
      <c r="AC9053" s="8"/>
    </row>
    <row r="9054" spans="29:29" x14ac:dyDescent="0.25">
      <c r="AC9054" s="8"/>
    </row>
    <row r="9055" spans="29:29" x14ac:dyDescent="0.25">
      <c r="AC9055" s="8"/>
    </row>
    <row r="9056" spans="29:29" x14ac:dyDescent="0.25">
      <c r="AC9056" s="8"/>
    </row>
    <row r="9057" spans="29:29" x14ac:dyDescent="0.25">
      <c r="AC9057" s="8"/>
    </row>
    <row r="9058" spans="29:29" x14ac:dyDescent="0.25">
      <c r="AC9058" s="8"/>
    </row>
    <row r="9059" spans="29:29" x14ac:dyDescent="0.25">
      <c r="AC9059" s="8"/>
    </row>
    <row r="9060" spans="29:29" x14ac:dyDescent="0.25">
      <c r="AC9060" s="8"/>
    </row>
    <row r="9061" spans="29:29" x14ac:dyDescent="0.25">
      <c r="AC9061" s="8"/>
    </row>
    <row r="9062" spans="29:29" x14ac:dyDescent="0.25">
      <c r="AC9062" s="8"/>
    </row>
    <row r="9063" spans="29:29" x14ac:dyDescent="0.25">
      <c r="AC9063" s="8"/>
    </row>
    <row r="9064" spans="29:29" x14ac:dyDescent="0.25">
      <c r="AC9064" s="8"/>
    </row>
    <row r="9065" spans="29:29" x14ac:dyDescent="0.25">
      <c r="AC9065" s="8"/>
    </row>
    <row r="9066" spans="29:29" x14ac:dyDescent="0.25">
      <c r="AC9066" s="8"/>
    </row>
    <row r="9067" spans="29:29" x14ac:dyDescent="0.25">
      <c r="AC9067" s="8"/>
    </row>
    <row r="9068" spans="29:29" x14ac:dyDescent="0.25">
      <c r="AC9068" s="8"/>
    </row>
    <row r="9069" spans="29:29" x14ac:dyDescent="0.25">
      <c r="AC9069" s="8"/>
    </row>
    <row r="9070" spans="29:29" x14ac:dyDescent="0.25">
      <c r="AC9070" s="8"/>
    </row>
    <row r="9071" spans="29:29" x14ac:dyDescent="0.25">
      <c r="AC9071" s="8"/>
    </row>
    <row r="9072" spans="29:29" x14ac:dyDescent="0.25">
      <c r="AC9072" s="8"/>
    </row>
    <row r="9073" spans="29:29" x14ac:dyDescent="0.25">
      <c r="AC9073" s="8"/>
    </row>
    <row r="9074" spans="29:29" x14ac:dyDescent="0.25">
      <c r="AC9074" s="8"/>
    </row>
    <row r="9075" spans="29:29" x14ac:dyDescent="0.25">
      <c r="AC9075" s="8"/>
    </row>
    <row r="9076" spans="29:29" x14ac:dyDescent="0.25">
      <c r="AC9076" s="8"/>
    </row>
    <row r="9077" spans="29:29" x14ac:dyDescent="0.25">
      <c r="AC9077" s="8"/>
    </row>
    <row r="9078" spans="29:29" x14ac:dyDescent="0.25">
      <c r="AC9078" s="8"/>
    </row>
    <row r="9079" spans="29:29" x14ac:dyDescent="0.25">
      <c r="AC9079" s="8"/>
    </row>
    <row r="9080" spans="29:29" x14ac:dyDescent="0.25">
      <c r="AC9080" s="8"/>
    </row>
    <row r="9081" spans="29:29" x14ac:dyDescent="0.25">
      <c r="AC9081" s="8"/>
    </row>
    <row r="9082" spans="29:29" x14ac:dyDescent="0.25">
      <c r="AC9082" s="8"/>
    </row>
    <row r="9083" spans="29:29" x14ac:dyDescent="0.25">
      <c r="AC9083" s="8"/>
    </row>
    <row r="9084" spans="29:29" x14ac:dyDescent="0.25">
      <c r="AC9084" s="8"/>
    </row>
    <row r="9085" spans="29:29" x14ac:dyDescent="0.25">
      <c r="AC9085" s="8"/>
    </row>
    <row r="9086" spans="29:29" x14ac:dyDescent="0.25">
      <c r="AC9086" s="8"/>
    </row>
    <row r="9087" spans="29:29" x14ac:dyDescent="0.25">
      <c r="AC9087" s="8"/>
    </row>
    <row r="9088" spans="29:29" x14ac:dyDescent="0.25">
      <c r="AC9088" s="8"/>
    </row>
    <row r="9089" spans="29:29" x14ac:dyDescent="0.25">
      <c r="AC9089" s="8"/>
    </row>
    <row r="9090" spans="29:29" x14ac:dyDescent="0.25">
      <c r="AC9090" s="8"/>
    </row>
    <row r="9091" spans="29:29" x14ac:dyDescent="0.25">
      <c r="AC9091" s="8"/>
    </row>
    <row r="9092" spans="29:29" x14ac:dyDescent="0.25">
      <c r="AC9092" s="8"/>
    </row>
    <row r="9093" spans="29:29" x14ac:dyDescent="0.25">
      <c r="AC9093" s="8"/>
    </row>
    <row r="9094" spans="29:29" x14ac:dyDescent="0.25">
      <c r="AC9094" s="8"/>
    </row>
    <row r="9095" spans="29:29" x14ac:dyDescent="0.25">
      <c r="AC9095" s="8"/>
    </row>
    <row r="9096" spans="29:29" x14ac:dyDescent="0.25">
      <c r="AC9096" s="8"/>
    </row>
    <row r="9097" spans="29:29" x14ac:dyDescent="0.25">
      <c r="AC9097" s="8"/>
    </row>
    <row r="9098" spans="29:29" x14ac:dyDescent="0.25">
      <c r="AC9098" s="8"/>
    </row>
    <row r="9099" spans="29:29" x14ac:dyDescent="0.25">
      <c r="AC9099" s="8"/>
    </row>
    <row r="9100" spans="29:29" x14ac:dyDescent="0.25">
      <c r="AC9100" s="8"/>
    </row>
    <row r="9101" spans="29:29" x14ac:dyDescent="0.25">
      <c r="AC9101" s="8"/>
    </row>
    <row r="9102" spans="29:29" x14ac:dyDescent="0.25">
      <c r="AC9102" s="8"/>
    </row>
    <row r="9103" spans="29:29" x14ac:dyDescent="0.25">
      <c r="AC9103" s="8"/>
    </row>
    <row r="9104" spans="29:29" x14ac:dyDescent="0.25">
      <c r="AC9104" s="8"/>
    </row>
    <row r="9105" spans="29:29" x14ac:dyDescent="0.25">
      <c r="AC9105" s="8"/>
    </row>
    <row r="9106" spans="29:29" x14ac:dyDescent="0.25">
      <c r="AC9106" s="8"/>
    </row>
    <row r="9107" spans="29:29" x14ac:dyDescent="0.25">
      <c r="AC9107" s="8"/>
    </row>
    <row r="9108" spans="29:29" x14ac:dyDescent="0.25">
      <c r="AC9108" s="8"/>
    </row>
    <row r="9109" spans="29:29" x14ac:dyDescent="0.25">
      <c r="AC9109" s="8"/>
    </row>
    <row r="9110" spans="29:29" x14ac:dyDescent="0.25">
      <c r="AC9110" s="8"/>
    </row>
    <row r="9111" spans="29:29" x14ac:dyDescent="0.25">
      <c r="AC9111" s="8"/>
    </row>
    <row r="9112" spans="29:29" x14ac:dyDescent="0.25">
      <c r="AC9112" s="8"/>
    </row>
    <row r="9113" spans="29:29" x14ac:dyDescent="0.25">
      <c r="AC9113" s="8"/>
    </row>
    <row r="9114" spans="29:29" x14ac:dyDescent="0.25">
      <c r="AC9114" s="8"/>
    </row>
    <row r="9115" spans="29:29" x14ac:dyDescent="0.25">
      <c r="AC9115" s="8"/>
    </row>
    <row r="9116" spans="29:29" x14ac:dyDescent="0.25">
      <c r="AC9116" s="8"/>
    </row>
    <row r="9117" spans="29:29" x14ac:dyDescent="0.25">
      <c r="AC9117" s="8"/>
    </row>
    <row r="9118" spans="29:29" x14ac:dyDescent="0.25">
      <c r="AC9118" s="8"/>
    </row>
    <row r="9119" spans="29:29" x14ac:dyDescent="0.25">
      <c r="AC9119" s="8"/>
    </row>
    <row r="9120" spans="29:29" x14ac:dyDescent="0.25">
      <c r="AC9120" s="8"/>
    </row>
    <row r="9121" spans="29:29" x14ac:dyDescent="0.25">
      <c r="AC9121" s="8"/>
    </row>
    <row r="9122" spans="29:29" x14ac:dyDescent="0.25">
      <c r="AC9122" s="8"/>
    </row>
    <row r="9123" spans="29:29" x14ac:dyDescent="0.25">
      <c r="AC9123" s="8"/>
    </row>
    <row r="9124" spans="29:29" x14ac:dyDescent="0.25">
      <c r="AC9124" s="8"/>
    </row>
    <row r="9125" spans="29:29" x14ac:dyDescent="0.25">
      <c r="AC9125" s="8"/>
    </row>
    <row r="9126" spans="29:29" x14ac:dyDescent="0.25">
      <c r="AC9126" s="8"/>
    </row>
    <row r="9127" spans="29:29" x14ac:dyDescent="0.25">
      <c r="AC9127" s="8"/>
    </row>
    <row r="9128" spans="29:29" x14ac:dyDescent="0.25">
      <c r="AC9128" s="8"/>
    </row>
    <row r="9129" spans="29:29" x14ac:dyDescent="0.25">
      <c r="AC9129" s="8"/>
    </row>
    <row r="9130" spans="29:29" x14ac:dyDescent="0.25">
      <c r="AC9130" s="8"/>
    </row>
    <row r="9131" spans="29:29" x14ac:dyDescent="0.25">
      <c r="AC9131" s="8"/>
    </row>
    <row r="9132" spans="29:29" x14ac:dyDescent="0.25">
      <c r="AC9132" s="8"/>
    </row>
    <row r="9133" spans="29:29" x14ac:dyDescent="0.25">
      <c r="AC9133" s="8"/>
    </row>
    <row r="9134" spans="29:29" x14ac:dyDescent="0.25">
      <c r="AC9134" s="8"/>
    </row>
    <row r="9135" spans="29:29" x14ac:dyDescent="0.25">
      <c r="AC9135" s="8"/>
    </row>
    <row r="9136" spans="29:29" x14ac:dyDescent="0.25">
      <c r="AC9136" s="8"/>
    </row>
    <row r="9137" spans="29:29" x14ac:dyDescent="0.25">
      <c r="AC9137" s="8"/>
    </row>
    <row r="9138" spans="29:29" x14ac:dyDescent="0.25">
      <c r="AC9138" s="8"/>
    </row>
    <row r="9139" spans="29:29" x14ac:dyDescent="0.25">
      <c r="AC9139" s="8"/>
    </row>
    <row r="9140" spans="29:29" x14ac:dyDescent="0.25">
      <c r="AC9140" s="8"/>
    </row>
    <row r="9141" spans="29:29" x14ac:dyDescent="0.25">
      <c r="AC9141" s="8"/>
    </row>
    <row r="9142" spans="29:29" x14ac:dyDescent="0.25">
      <c r="AC9142" s="8"/>
    </row>
    <row r="9143" spans="29:29" x14ac:dyDescent="0.25">
      <c r="AC9143" s="8"/>
    </row>
    <row r="9144" spans="29:29" x14ac:dyDescent="0.25">
      <c r="AC9144" s="8"/>
    </row>
    <row r="9145" spans="29:29" x14ac:dyDescent="0.25">
      <c r="AC9145" s="8"/>
    </row>
    <row r="9146" spans="29:29" x14ac:dyDescent="0.25">
      <c r="AC9146" s="8"/>
    </row>
    <row r="9147" spans="29:29" x14ac:dyDescent="0.25">
      <c r="AC9147" s="8"/>
    </row>
    <row r="9148" spans="29:29" x14ac:dyDescent="0.25">
      <c r="AC9148" s="8"/>
    </row>
    <row r="9149" spans="29:29" x14ac:dyDescent="0.25">
      <c r="AC9149" s="8"/>
    </row>
    <row r="9150" spans="29:29" x14ac:dyDescent="0.25">
      <c r="AC9150" s="8"/>
    </row>
    <row r="9151" spans="29:29" x14ac:dyDescent="0.25">
      <c r="AC9151" s="8"/>
    </row>
    <row r="9152" spans="29:29" x14ac:dyDescent="0.25">
      <c r="AC9152" s="8"/>
    </row>
    <row r="9153" spans="29:29" x14ac:dyDescent="0.25">
      <c r="AC9153" s="8"/>
    </row>
    <row r="9154" spans="29:29" x14ac:dyDescent="0.25">
      <c r="AC9154" s="8"/>
    </row>
    <row r="9155" spans="29:29" x14ac:dyDescent="0.25">
      <c r="AC9155" s="8"/>
    </row>
    <row r="9156" spans="29:29" x14ac:dyDescent="0.25">
      <c r="AC9156" s="8"/>
    </row>
    <row r="9157" spans="29:29" x14ac:dyDescent="0.25">
      <c r="AC9157" s="8"/>
    </row>
    <row r="9158" spans="29:29" x14ac:dyDescent="0.25">
      <c r="AC9158" s="8"/>
    </row>
    <row r="9159" spans="29:29" x14ac:dyDescent="0.25">
      <c r="AC9159" s="8"/>
    </row>
    <row r="9160" spans="29:29" x14ac:dyDescent="0.25">
      <c r="AC9160" s="8"/>
    </row>
    <row r="9161" spans="29:29" x14ac:dyDescent="0.25">
      <c r="AC9161" s="8"/>
    </row>
    <row r="9162" spans="29:29" x14ac:dyDescent="0.25">
      <c r="AC9162" s="8"/>
    </row>
    <row r="9163" spans="29:29" x14ac:dyDescent="0.25">
      <c r="AC9163" s="8"/>
    </row>
    <row r="9164" spans="29:29" x14ac:dyDescent="0.25">
      <c r="AC9164" s="8"/>
    </row>
    <row r="9165" spans="29:29" x14ac:dyDescent="0.25">
      <c r="AC9165" s="8"/>
    </row>
    <row r="9166" spans="29:29" x14ac:dyDescent="0.25">
      <c r="AC9166" s="8"/>
    </row>
    <row r="9167" spans="29:29" x14ac:dyDescent="0.25">
      <c r="AC9167" s="8"/>
    </row>
    <row r="9168" spans="29:29" x14ac:dyDescent="0.25">
      <c r="AC9168" s="8"/>
    </row>
    <row r="9169" spans="29:29" x14ac:dyDescent="0.25">
      <c r="AC9169" s="8"/>
    </row>
    <row r="9170" spans="29:29" x14ac:dyDescent="0.25">
      <c r="AC9170" s="8"/>
    </row>
    <row r="9171" spans="29:29" x14ac:dyDescent="0.25">
      <c r="AC9171" s="8"/>
    </row>
    <row r="9172" spans="29:29" x14ac:dyDescent="0.25">
      <c r="AC9172" s="8"/>
    </row>
    <row r="9173" spans="29:29" x14ac:dyDescent="0.25">
      <c r="AC9173" s="8"/>
    </row>
    <row r="9174" spans="29:29" x14ac:dyDescent="0.25">
      <c r="AC9174" s="8"/>
    </row>
    <row r="9175" spans="29:29" x14ac:dyDescent="0.25">
      <c r="AC9175" s="8"/>
    </row>
    <row r="9176" spans="29:29" x14ac:dyDescent="0.25">
      <c r="AC9176" s="8"/>
    </row>
    <row r="9177" spans="29:29" x14ac:dyDescent="0.25">
      <c r="AC9177" s="8"/>
    </row>
    <row r="9178" spans="29:29" x14ac:dyDescent="0.25">
      <c r="AC9178" s="8"/>
    </row>
    <row r="9179" spans="29:29" x14ac:dyDescent="0.25">
      <c r="AC9179" s="8"/>
    </row>
    <row r="9180" spans="29:29" x14ac:dyDescent="0.25">
      <c r="AC9180" s="8"/>
    </row>
    <row r="9181" spans="29:29" x14ac:dyDescent="0.25">
      <c r="AC9181" s="8"/>
    </row>
    <row r="9182" spans="29:29" x14ac:dyDescent="0.25">
      <c r="AC9182" s="8"/>
    </row>
    <row r="9183" spans="29:29" x14ac:dyDescent="0.25">
      <c r="AC9183" s="8"/>
    </row>
    <row r="9184" spans="29:29" x14ac:dyDescent="0.25">
      <c r="AC9184" s="8"/>
    </row>
    <row r="9185" spans="29:29" x14ac:dyDescent="0.25">
      <c r="AC9185" s="8"/>
    </row>
    <row r="9186" spans="29:29" x14ac:dyDescent="0.25">
      <c r="AC9186" s="8"/>
    </row>
    <row r="9187" spans="29:29" x14ac:dyDescent="0.25">
      <c r="AC9187" s="8"/>
    </row>
    <row r="9188" spans="29:29" x14ac:dyDescent="0.25">
      <c r="AC9188" s="8"/>
    </row>
    <row r="9189" spans="29:29" x14ac:dyDescent="0.25">
      <c r="AC9189" s="8"/>
    </row>
    <row r="9190" spans="29:29" x14ac:dyDescent="0.25">
      <c r="AC9190" s="8"/>
    </row>
    <row r="9191" spans="29:29" x14ac:dyDescent="0.25">
      <c r="AC9191" s="8"/>
    </row>
    <row r="9192" spans="29:29" x14ac:dyDescent="0.25">
      <c r="AC9192" s="8"/>
    </row>
    <row r="9193" spans="29:29" x14ac:dyDescent="0.25">
      <c r="AC9193" s="8"/>
    </row>
    <row r="9194" spans="29:29" x14ac:dyDescent="0.25">
      <c r="AC9194" s="8"/>
    </row>
    <row r="9195" spans="29:29" x14ac:dyDescent="0.25">
      <c r="AC9195" s="8"/>
    </row>
    <row r="9196" spans="29:29" x14ac:dyDescent="0.25">
      <c r="AC9196" s="8"/>
    </row>
    <row r="9197" spans="29:29" x14ac:dyDescent="0.25">
      <c r="AC9197" s="8"/>
    </row>
    <row r="9198" spans="29:29" x14ac:dyDescent="0.25">
      <c r="AC9198" s="8"/>
    </row>
    <row r="9199" spans="29:29" x14ac:dyDescent="0.25">
      <c r="AC9199" s="8"/>
    </row>
    <row r="9200" spans="29:29" x14ac:dyDescent="0.25">
      <c r="AC9200" s="8"/>
    </row>
    <row r="9201" spans="29:29" x14ac:dyDescent="0.25">
      <c r="AC9201" s="8"/>
    </row>
    <row r="9202" spans="29:29" x14ac:dyDescent="0.25">
      <c r="AC9202" s="8"/>
    </row>
    <row r="9203" spans="29:29" x14ac:dyDescent="0.25">
      <c r="AC9203" s="8"/>
    </row>
    <row r="9204" spans="29:29" x14ac:dyDescent="0.25">
      <c r="AC9204" s="8"/>
    </row>
    <row r="9205" spans="29:29" x14ac:dyDescent="0.25">
      <c r="AC9205" s="8"/>
    </row>
    <row r="9206" spans="29:29" x14ac:dyDescent="0.25">
      <c r="AC9206" s="8"/>
    </row>
    <row r="9207" spans="29:29" x14ac:dyDescent="0.25">
      <c r="AC9207" s="8"/>
    </row>
    <row r="9208" spans="29:29" x14ac:dyDescent="0.25">
      <c r="AC9208" s="8"/>
    </row>
    <row r="9209" spans="29:29" x14ac:dyDescent="0.25">
      <c r="AC9209" s="8"/>
    </row>
    <row r="9210" spans="29:29" x14ac:dyDescent="0.25">
      <c r="AC9210" s="8"/>
    </row>
    <row r="9211" spans="29:29" x14ac:dyDescent="0.25">
      <c r="AC9211" s="8"/>
    </row>
    <row r="9212" spans="29:29" x14ac:dyDescent="0.25">
      <c r="AC9212" s="8"/>
    </row>
    <row r="9213" spans="29:29" x14ac:dyDescent="0.25">
      <c r="AC9213" s="8"/>
    </row>
    <row r="9214" spans="29:29" x14ac:dyDescent="0.25">
      <c r="AC9214" s="8"/>
    </row>
    <row r="9215" spans="29:29" x14ac:dyDescent="0.25">
      <c r="AC9215" s="8"/>
    </row>
    <row r="9216" spans="29:29" x14ac:dyDescent="0.25">
      <c r="AC9216" s="8"/>
    </row>
    <row r="9217" spans="29:29" x14ac:dyDescent="0.25">
      <c r="AC9217" s="8"/>
    </row>
    <row r="9218" spans="29:29" x14ac:dyDescent="0.25">
      <c r="AC9218" s="8"/>
    </row>
    <row r="9219" spans="29:29" x14ac:dyDescent="0.25">
      <c r="AC9219" s="8"/>
    </row>
    <row r="9220" spans="29:29" x14ac:dyDescent="0.25">
      <c r="AC9220" s="8"/>
    </row>
    <row r="9221" spans="29:29" x14ac:dyDescent="0.25">
      <c r="AC9221" s="8"/>
    </row>
    <row r="9222" spans="29:29" x14ac:dyDescent="0.25">
      <c r="AC9222" s="8"/>
    </row>
    <row r="9223" spans="29:29" x14ac:dyDescent="0.25">
      <c r="AC9223" s="8"/>
    </row>
    <row r="9224" spans="29:29" x14ac:dyDescent="0.25">
      <c r="AC9224" s="8"/>
    </row>
    <row r="9225" spans="29:29" x14ac:dyDescent="0.25">
      <c r="AC9225" s="8"/>
    </row>
    <row r="9226" spans="29:29" x14ac:dyDescent="0.25">
      <c r="AC9226" s="8"/>
    </row>
    <row r="9227" spans="29:29" x14ac:dyDescent="0.25">
      <c r="AC9227" s="8"/>
    </row>
    <row r="9228" spans="29:29" x14ac:dyDescent="0.25">
      <c r="AC9228" s="8"/>
    </row>
    <row r="9229" spans="29:29" x14ac:dyDescent="0.25">
      <c r="AC9229" s="8"/>
    </row>
    <row r="9230" spans="29:29" x14ac:dyDescent="0.25">
      <c r="AC9230" s="8"/>
    </row>
    <row r="9231" spans="29:29" x14ac:dyDescent="0.25">
      <c r="AC9231" s="8"/>
    </row>
    <row r="9232" spans="29:29" x14ac:dyDescent="0.25">
      <c r="AC9232" s="8"/>
    </row>
    <row r="9233" spans="29:29" x14ac:dyDescent="0.25">
      <c r="AC9233" s="8"/>
    </row>
    <row r="9234" spans="29:29" x14ac:dyDescent="0.25">
      <c r="AC9234" s="8"/>
    </row>
    <row r="9235" spans="29:29" x14ac:dyDescent="0.25">
      <c r="AC9235" s="8"/>
    </row>
    <row r="9236" spans="29:29" x14ac:dyDescent="0.25">
      <c r="AC9236" s="8"/>
    </row>
    <row r="9237" spans="29:29" x14ac:dyDescent="0.25">
      <c r="AC9237" s="8"/>
    </row>
    <row r="9238" spans="29:29" x14ac:dyDescent="0.25">
      <c r="AC9238" s="8"/>
    </row>
    <row r="9239" spans="29:29" x14ac:dyDescent="0.25">
      <c r="AC9239" s="8"/>
    </row>
    <row r="9240" spans="29:29" x14ac:dyDescent="0.25">
      <c r="AC9240" s="8"/>
    </row>
    <row r="9241" spans="29:29" x14ac:dyDescent="0.25">
      <c r="AC9241" s="8"/>
    </row>
    <row r="9242" spans="29:29" x14ac:dyDescent="0.25">
      <c r="AC9242" s="8"/>
    </row>
    <row r="9243" spans="29:29" x14ac:dyDescent="0.25">
      <c r="AC9243" s="8"/>
    </row>
    <row r="9244" spans="29:29" x14ac:dyDescent="0.25">
      <c r="AC9244" s="8"/>
    </row>
    <row r="9245" spans="29:29" x14ac:dyDescent="0.25">
      <c r="AC9245" s="8"/>
    </row>
    <row r="9246" spans="29:29" x14ac:dyDescent="0.25">
      <c r="AC9246" s="8"/>
    </row>
    <row r="9247" spans="29:29" x14ac:dyDescent="0.25">
      <c r="AC9247" s="8"/>
    </row>
    <row r="9248" spans="29:29" x14ac:dyDescent="0.25">
      <c r="AC9248" s="8"/>
    </row>
    <row r="9249" spans="29:29" x14ac:dyDescent="0.25">
      <c r="AC9249" s="8"/>
    </row>
    <row r="9250" spans="29:29" x14ac:dyDescent="0.25">
      <c r="AC9250" s="8"/>
    </row>
    <row r="9251" spans="29:29" x14ac:dyDescent="0.25">
      <c r="AC9251" s="8"/>
    </row>
    <row r="9252" spans="29:29" x14ac:dyDescent="0.25">
      <c r="AC9252" s="8"/>
    </row>
    <row r="9253" spans="29:29" x14ac:dyDescent="0.25">
      <c r="AC9253" s="8"/>
    </row>
    <row r="9254" spans="29:29" x14ac:dyDescent="0.25">
      <c r="AC9254" s="8"/>
    </row>
    <row r="9255" spans="29:29" x14ac:dyDescent="0.25">
      <c r="AC9255" s="8"/>
    </row>
    <row r="9256" spans="29:29" x14ac:dyDescent="0.25">
      <c r="AC9256" s="8"/>
    </row>
    <row r="9257" spans="29:29" x14ac:dyDescent="0.25">
      <c r="AC9257" s="8"/>
    </row>
    <row r="9258" spans="29:29" x14ac:dyDescent="0.25">
      <c r="AC9258" s="8"/>
    </row>
    <row r="9259" spans="29:29" x14ac:dyDescent="0.25">
      <c r="AC9259" s="8"/>
    </row>
    <row r="9260" spans="29:29" x14ac:dyDescent="0.25">
      <c r="AC9260" s="8"/>
    </row>
    <row r="9261" spans="29:29" x14ac:dyDescent="0.25">
      <c r="AC9261" s="8"/>
    </row>
    <row r="9262" spans="29:29" x14ac:dyDescent="0.25">
      <c r="AC9262" s="8"/>
    </row>
    <row r="9263" spans="29:29" x14ac:dyDescent="0.25">
      <c r="AC9263" s="8"/>
    </row>
    <row r="9264" spans="29:29" x14ac:dyDescent="0.25">
      <c r="AC9264" s="8"/>
    </row>
    <row r="9265" spans="29:29" x14ac:dyDescent="0.25">
      <c r="AC9265" s="8"/>
    </row>
    <row r="9266" spans="29:29" x14ac:dyDescent="0.25">
      <c r="AC9266" s="8"/>
    </row>
    <row r="9267" spans="29:29" x14ac:dyDescent="0.25">
      <c r="AC9267" s="8"/>
    </row>
    <row r="9268" spans="29:29" x14ac:dyDescent="0.25">
      <c r="AC9268" s="8"/>
    </row>
    <row r="9269" spans="29:29" x14ac:dyDescent="0.25">
      <c r="AC9269" s="8"/>
    </row>
    <row r="9270" spans="29:29" x14ac:dyDescent="0.25">
      <c r="AC9270" s="8"/>
    </row>
    <row r="9271" spans="29:29" x14ac:dyDescent="0.25">
      <c r="AC9271" s="8"/>
    </row>
    <row r="9272" spans="29:29" x14ac:dyDescent="0.25">
      <c r="AC9272" s="8"/>
    </row>
    <row r="9273" spans="29:29" x14ac:dyDescent="0.25">
      <c r="AC9273" s="8"/>
    </row>
    <row r="9274" spans="29:29" x14ac:dyDescent="0.25">
      <c r="AC9274" s="8"/>
    </row>
    <row r="9275" spans="29:29" x14ac:dyDescent="0.25">
      <c r="AC9275" s="8"/>
    </row>
    <row r="9276" spans="29:29" x14ac:dyDescent="0.25">
      <c r="AC9276" s="8"/>
    </row>
    <row r="9277" spans="29:29" x14ac:dyDescent="0.25">
      <c r="AC9277" s="8"/>
    </row>
    <row r="9278" spans="29:29" x14ac:dyDescent="0.25">
      <c r="AC9278" s="8"/>
    </row>
    <row r="9279" spans="29:29" x14ac:dyDescent="0.25">
      <c r="AC9279" s="8"/>
    </row>
    <row r="9280" spans="29:29" x14ac:dyDescent="0.25">
      <c r="AC9280" s="8"/>
    </row>
    <row r="9281" spans="29:29" x14ac:dyDescent="0.25">
      <c r="AC9281" s="8"/>
    </row>
    <row r="9282" spans="29:29" x14ac:dyDescent="0.25">
      <c r="AC9282" s="8"/>
    </row>
    <row r="9283" spans="29:29" x14ac:dyDescent="0.25">
      <c r="AC9283" s="8"/>
    </row>
    <row r="9284" spans="29:29" x14ac:dyDescent="0.25">
      <c r="AC9284" s="8"/>
    </row>
    <row r="9285" spans="29:29" x14ac:dyDescent="0.25">
      <c r="AC9285" s="8"/>
    </row>
    <row r="9286" spans="29:29" x14ac:dyDescent="0.25">
      <c r="AC9286" s="8"/>
    </row>
    <row r="9287" spans="29:29" x14ac:dyDescent="0.25">
      <c r="AC9287" s="8"/>
    </row>
    <row r="9288" spans="29:29" x14ac:dyDescent="0.25">
      <c r="AC9288" s="8"/>
    </row>
    <row r="9289" spans="29:29" x14ac:dyDescent="0.25">
      <c r="AC9289" s="8"/>
    </row>
    <row r="9290" spans="29:29" x14ac:dyDescent="0.25">
      <c r="AC9290" s="8"/>
    </row>
    <row r="9291" spans="29:29" x14ac:dyDescent="0.25">
      <c r="AC9291" s="8"/>
    </row>
    <row r="9292" spans="29:29" x14ac:dyDescent="0.25">
      <c r="AC9292" s="8"/>
    </row>
    <row r="9293" spans="29:29" x14ac:dyDescent="0.25">
      <c r="AC9293" s="8"/>
    </row>
    <row r="9294" spans="29:29" x14ac:dyDescent="0.25">
      <c r="AC9294" s="8"/>
    </row>
    <row r="9295" spans="29:29" x14ac:dyDescent="0.25">
      <c r="AC9295" s="8"/>
    </row>
    <row r="9296" spans="29:29" x14ac:dyDescent="0.25">
      <c r="AC9296" s="8"/>
    </row>
    <row r="9297" spans="29:29" x14ac:dyDescent="0.25">
      <c r="AC9297" s="8"/>
    </row>
    <row r="9298" spans="29:29" x14ac:dyDescent="0.25">
      <c r="AC9298" s="8"/>
    </row>
    <row r="9299" spans="29:29" x14ac:dyDescent="0.25">
      <c r="AC9299" s="8"/>
    </row>
    <row r="9300" spans="29:29" x14ac:dyDescent="0.25">
      <c r="AC9300" s="8"/>
    </row>
    <row r="9301" spans="29:29" x14ac:dyDescent="0.25">
      <c r="AC9301" s="8"/>
    </row>
    <row r="9302" spans="29:29" x14ac:dyDescent="0.25">
      <c r="AC9302" s="8"/>
    </row>
    <row r="9303" spans="29:29" x14ac:dyDescent="0.25">
      <c r="AC9303" s="8"/>
    </row>
    <row r="9304" spans="29:29" x14ac:dyDescent="0.25">
      <c r="AC9304" s="8"/>
    </row>
    <row r="9305" spans="29:29" x14ac:dyDescent="0.25">
      <c r="AC9305" s="8"/>
    </row>
    <row r="9306" spans="29:29" x14ac:dyDescent="0.25">
      <c r="AC9306" s="8"/>
    </row>
    <row r="9307" spans="29:29" x14ac:dyDescent="0.25">
      <c r="AC9307" s="8"/>
    </row>
    <row r="9308" spans="29:29" x14ac:dyDescent="0.25">
      <c r="AC9308" s="8"/>
    </row>
    <row r="9309" spans="29:29" x14ac:dyDescent="0.25">
      <c r="AC9309" s="8"/>
    </row>
    <row r="9310" spans="29:29" x14ac:dyDescent="0.25">
      <c r="AC9310" s="8"/>
    </row>
    <row r="9311" spans="29:29" x14ac:dyDescent="0.25">
      <c r="AC9311" s="8"/>
    </row>
    <row r="9312" spans="29:29" x14ac:dyDescent="0.25">
      <c r="AC9312" s="8"/>
    </row>
    <row r="9313" spans="29:29" x14ac:dyDescent="0.25">
      <c r="AC9313" s="8"/>
    </row>
    <row r="9314" spans="29:29" x14ac:dyDescent="0.25">
      <c r="AC9314" s="8"/>
    </row>
    <row r="9315" spans="29:29" x14ac:dyDescent="0.25">
      <c r="AC9315" s="8"/>
    </row>
    <row r="9316" spans="29:29" x14ac:dyDescent="0.25">
      <c r="AC9316" s="8"/>
    </row>
    <row r="9317" spans="29:29" x14ac:dyDescent="0.25">
      <c r="AC9317" s="8"/>
    </row>
    <row r="9318" spans="29:29" x14ac:dyDescent="0.25">
      <c r="AC9318" s="8"/>
    </row>
    <row r="9319" spans="29:29" x14ac:dyDescent="0.25">
      <c r="AC9319" s="8"/>
    </row>
    <row r="9320" spans="29:29" x14ac:dyDescent="0.25">
      <c r="AC9320" s="8"/>
    </row>
    <row r="9321" spans="29:29" x14ac:dyDescent="0.25">
      <c r="AC9321" s="8"/>
    </row>
    <row r="9322" spans="29:29" x14ac:dyDescent="0.25">
      <c r="AC9322" s="8"/>
    </row>
    <row r="9323" spans="29:29" x14ac:dyDescent="0.25">
      <c r="AC9323" s="8"/>
    </row>
    <row r="9324" spans="29:29" x14ac:dyDescent="0.25">
      <c r="AC9324" s="8"/>
    </row>
    <row r="9325" spans="29:29" x14ac:dyDescent="0.25">
      <c r="AC9325" s="8"/>
    </row>
    <row r="9326" spans="29:29" x14ac:dyDescent="0.25">
      <c r="AC9326" s="8"/>
    </row>
    <row r="9327" spans="29:29" x14ac:dyDescent="0.25">
      <c r="AC9327" s="8"/>
    </row>
    <row r="9328" spans="29:29" x14ac:dyDescent="0.25">
      <c r="AC9328" s="8"/>
    </row>
    <row r="9329" spans="29:29" x14ac:dyDescent="0.25">
      <c r="AC9329" s="8"/>
    </row>
    <row r="9330" spans="29:29" x14ac:dyDescent="0.25">
      <c r="AC9330" s="8"/>
    </row>
    <row r="9331" spans="29:29" x14ac:dyDescent="0.25">
      <c r="AC9331" s="8"/>
    </row>
    <row r="9332" spans="29:29" x14ac:dyDescent="0.25">
      <c r="AC9332" s="8"/>
    </row>
    <row r="9333" spans="29:29" x14ac:dyDescent="0.25">
      <c r="AC9333" s="8"/>
    </row>
    <row r="9334" spans="29:29" x14ac:dyDescent="0.25">
      <c r="AC9334" s="8"/>
    </row>
    <row r="9335" spans="29:29" x14ac:dyDescent="0.25">
      <c r="AC9335" s="8"/>
    </row>
    <row r="9336" spans="29:29" x14ac:dyDescent="0.25">
      <c r="AC9336" s="8"/>
    </row>
    <row r="9337" spans="29:29" x14ac:dyDescent="0.25">
      <c r="AC9337" s="8"/>
    </row>
    <row r="9338" spans="29:29" x14ac:dyDescent="0.25">
      <c r="AC9338" s="8"/>
    </row>
    <row r="9339" spans="29:29" x14ac:dyDescent="0.25">
      <c r="AC9339" s="8"/>
    </row>
    <row r="9340" spans="29:29" x14ac:dyDescent="0.25">
      <c r="AC9340" s="8"/>
    </row>
    <row r="9341" spans="29:29" x14ac:dyDescent="0.25">
      <c r="AC9341" s="8"/>
    </row>
    <row r="9342" spans="29:29" x14ac:dyDescent="0.25">
      <c r="AC9342" s="8"/>
    </row>
    <row r="9343" spans="29:29" x14ac:dyDescent="0.25">
      <c r="AC9343" s="8"/>
    </row>
    <row r="9344" spans="29:29" x14ac:dyDescent="0.25">
      <c r="AC9344" s="8"/>
    </row>
    <row r="9345" spans="29:29" x14ac:dyDescent="0.25">
      <c r="AC9345" s="8"/>
    </row>
    <row r="9346" spans="29:29" x14ac:dyDescent="0.25">
      <c r="AC9346" s="8"/>
    </row>
    <row r="9347" spans="29:29" x14ac:dyDescent="0.25">
      <c r="AC9347" s="8"/>
    </row>
    <row r="9348" spans="29:29" x14ac:dyDescent="0.25">
      <c r="AC9348" s="8"/>
    </row>
    <row r="9349" spans="29:29" x14ac:dyDescent="0.25">
      <c r="AC9349" s="8"/>
    </row>
    <row r="9350" spans="29:29" x14ac:dyDescent="0.25">
      <c r="AC9350" s="8"/>
    </row>
    <row r="9351" spans="29:29" x14ac:dyDescent="0.25">
      <c r="AC9351" s="8"/>
    </row>
    <row r="9352" spans="29:29" x14ac:dyDescent="0.25">
      <c r="AC9352" s="8"/>
    </row>
    <row r="9353" spans="29:29" x14ac:dyDescent="0.25">
      <c r="AC9353" s="8"/>
    </row>
    <row r="9354" spans="29:29" x14ac:dyDescent="0.25">
      <c r="AC9354" s="8"/>
    </row>
    <row r="9355" spans="29:29" x14ac:dyDescent="0.25">
      <c r="AC9355" s="8"/>
    </row>
    <row r="9356" spans="29:29" x14ac:dyDescent="0.25">
      <c r="AC9356" s="8"/>
    </row>
    <row r="9357" spans="29:29" x14ac:dyDescent="0.25">
      <c r="AC9357" s="8"/>
    </row>
    <row r="9358" spans="29:29" x14ac:dyDescent="0.25">
      <c r="AC9358" s="8"/>
    </row>
    <row r="9359" spans="29:29" x14ac:dyDescent="0.25">
      <c r="AC9359" s="8"/>
    </row>
    <row r="9360" spans="29:29" x14ac:dyDescent="0.25">
      <c r="AC9360" s="8"/>
    </row>
    <row r="9361" spans="29:29" x14ac:dyDescent="0.25">
      <c r="AC9361" s="8"/>
    </row>
    <row r="9362" spans="29:29" x14ac:dyDescent="0.25">
      <c r="AC9362" s="8"/>
    </row>
    <row r="9363" spans="29:29" x14ac:dyDescent="0.25">
      <c r="AC9363" s="8"/>
    </row>
    <row r="9364" spans="29:29" x14ac:dyDescent="0.25">
      <c r="AC9364" s="8"/>
    </row>
    <row r="9365" spans="29:29" x14ac:dyDescent="0.25">
      <c r="AC9365" s="8"/>
    </row>
    <row r="9366" spans="29:29" x14ac:dyDescent="0.25">
      <c r="AC9366" s="8"/>
    </row>
    <row r="9367" spans="29:29" x14ac:dyDescent="0.25">
      <c r="AC9367" s="8"/>
    </row>
    <row r="9368" spans="29:29" x14ac:dyDescent="0.25">
      <c r="AC9368" s="8"/>
    </row>
    <row r="9369" spans="29:29" x14ac:dyDescent="0.25">
      <c r="AC9369" s="8"/>
    </row>
    <row r="9370" spans="29:29" x14ac:dyDescent="0.25">
      <c r="AC9370" s="8"/>
    </row>
    <row r="9371" spans="29:29" x14ac:dyDescent="0.25">
      <c r="AC9371" s="8"/>
    </row>
    <row r="9372" spans="29:29" x14ac:dyDescent="0.25">
      <c r="AC9372" s="8"/>
    </row>
    <row r="9373" spans="29:29" x14ac:dyDescent="0.25">
      <c r="AC9373" s="8"/>
    </row>
    <row r="9374" spans="29:29" x14ac:dyDescent="0.25">
      <c r="AC9374" s="8"/>
    </row>
    <row r="9375" spans="29:29" x14ac:dyDescent="0.25">
      <c r="AC9375" s="8"/>
    </row>
    <row r="9376" spans="29:29" x14ac:dyDescent="0.25">
      <c r="AC9376" s="8"/>
    </row>
    <row r="9377" spans="29:29" x14ac:dyDescent="0.25">
      <c r="AC9377" s="8"/>
    </row>
    <row r="9378" spans="29:29" x14ac:dyDescent="0.25">
      <c r="AC9378" s="8"/>
    </row>
    <row r="9379" spans="29:29" x14ac:dyDescent="0.25">
      <c r="AC9379" s="8"/>
    </row>
    <row r="9380" spans="29:29" x14ac:dyDescent="0.25">
      <c r="AC9380" s="8"/>
    </row>
    <row r="9381" spans="29:29" x14ac:dyDescent="0.25">
      <c r="AC9381" s="8"/>
    </row>
    <row r="9382" spans="29:29" x14ac:dyDescent="0.25">
      <c r="AC9382" s="8"/>
    </row>
    <row r="9383" spans="29:29" x14ac:dyDescent="0.25">
      <c r="AC9383" s="8"/>
    </row>
    <row r="9384" spans="29:29" x14ac:dyDescent="0.25">
      <c r="AC9384" s="8"/>
    </row>
    <row r="9385" spans="29:29" x14ac:dyDescent="0.25">
      <c r="AC9385" s="8"/>
    </row>
    <row r="9386" spans="29:29" x14ac:dyDescent="0.25">
      <c r="AC9386" s="8"/>
    </row>
    <row r="9387" spans="29:29" x14ac:dyDescent="0.25">
      <c r="AC9387" s="8"/>
    </row>
    <row r="9388" spans="29:29" x14ac:dyDescent="0.25">
      <c r="AC9388" s="8"/>
    </row>
    <row r="9389" spans="29:29" x14ac:dyDescent="0.25">
      <c r="AC9389" s="8"/>
    </row>
    <row r="9390" spans="29:29" x14ac:dyDescent="0.25">
      <c r="AC9390" s="8"/>
    </row>
    <row r="9391" spans="29:29" x14ac:dyDescent="0.25">
      <c r="AC9391" s="8"/>
    </row>
    <row r="9392" spans="29:29" x14ac:dyDescent="0.25">
      <c r="AC9392" s="8"/>
    </row>
    <row r="9393" spans="29:29" x14ac:dyDescent="0.25">
      <c r="AC9393" s="8"/>
    </row>
    <row r="9394" spans="29:29" x14ac:dyDescent="0.25">
      <c r="AC9394" s="8"/>
    </row>
    <row r="9395" spans="29:29" x14ac:dyDescent="0.25">
      <c r="AC9395" s="8"/>
    </row>
    <row r="9396" spans="29:29" x14ac:dyDescent="0.25">
      <c r="AC9396" s="8"/>
    </row>
    <row r="9397" spans="29:29" x14ac:dyDescent="0.25">
      <c r="AC9397" s="8"/>
    </row>
    <row r="9398" spans="29:29" x14ac:dyDescent="0.25">
      <c r="AC9398" s="8"/>
    </row>
    <row r="9399" spans="29:29" x14ac:dyDescent="0.25">
      <c r="AC9399" s="8"/>
    </row>
    <row r="9400" spans="29:29" x14ac:dyDescent="0.25">
      <c r="AC9400" s="8"/>
    </row>
    <row r="9401" spans="29:29" x14ac:dyDescent="0.25">
      <c r="AC9401" s="8"/>
    </row>
    <row r="9402" spans="29:29" x14ac:dyDescent="0.25">
      <c r="AC9402" s="8"/>
    </row>
    <row r="9403" spans="29:29" x14ac:dyDescent="0.25">
      <c r="AC9403" s="8"/>
    </row>
    <row r="9404" spans="29:29" x14ac:dyDescent="0.25">
      <c r="AC9404" s="8"/>
    </row>
    <row r="9405" spans="29:29" x14ac:dyDescent="0.25">
      <c r="AC9405" s="8"/>
    </row>
    <row r="9406" spans="29:29" x14ac:dyDescent="0.25">
      <c r="AC9406" s="8"/>
    </row>
    <row r="9407" spans="29:29" x14ac:dyDescent="0.25">
      <c r="AC9407" s="8"/>
    </row>
    <row r="9408" spans="29:29" x14ac:dyDescent="0.25">
      <c r="AC9408" s="8"/>
    </row>
    <row r="9409" spans="29:29" x14ac:dyDescent="0.25">
      <c r="AC9409" s="8"/>
    </row>
    <row r="9410" spans="29:29" x14ac:dyDescent="0.25">
      <c r="AC9410" s="8"/>
    </row>
    <row r="9411" spans="29:29" x14ac:dyDescent="0.25">
      <c r="AC9411" s="8"/>
    </row>
    <row r="9412" spans="29:29" x14ac:dyDescent="0.25">
      <c r="AC9412" s="8"/>
    </row>
    <row r="9413" spans="29:29" x14ac:dyDescent="0.25">
      <c r="AC9413" s="8"/>
    </row>
    <row r="9414" spans="29:29" x14ac:dyDescent="0.25">
      <c r="AC9414" s="8"/>
    </row>
    <row r="9415" spans="29:29" x14ac:dyDescent="0.25">
      <c r="AC9415" s="8"/>
    </row>
    <row r="9416" spans="29:29" x14ac:dyDescent="0.25">
      <c r="AC9416" s="8"/>
    </row>
    <row r="9417" spans="29:29" x14ac:dyDescent="0.25">
      <c r="AC9417" s="8"/>
    </row>
    <row r="9418" spans="29:29" x14ac:dyDescent="0.25">
      <c r="AC9418" s="8"/>
    </row>
    <row r="9419" spans="29:29" x14ac:dyDescent="0.25">
      <c r="AC9419" s="8"/>
    </row>
    <row r="9420" spans="29:29" x14ac:dyDescent="0.25">
      <c r="AC9420" s="8"/>
    </row>
    <row r="9421" spans="29:29" x14ac:dyDescent="0.25">
      <c r="AC9421" s="8"/>
    </row>
    <row r="9422" spans="29:29" x14ac:dyDescent="0.25">
      <c r="AC9422" s="8"/>
    </row>
    <row r="9423" spans="29:29" x14ac:dyDescent="0.25">
      <c r="AC9423" s="8"/>
    </row>
    <row r="9424" spans="29:29" x14ac:dyDescent="0.25">
      <c r="AC9424" s="8"/>
    </row>
    <row r="9425" spans="29:29" x14ac:dyDescent="0.25">
      <c r="AC9425" s="8"/>
    </row>
    <row r="9426" spans="29:29" x14ac:dyDescent="0.25">
      <c r="AC9426" s="8"/>
    </row>
    <row r="9427" spans="29:29" x14ac:dyDescent="0.25">
      <c r="AC9427" s="8"/>
    </row>
    <row r="9428" spans="29:29" x14ac:dyDescent="0.25">
      <c r="AC9428" s="8"/>
    </row>
    <row r="9429" spans="29:29" x14ac:dyDescent="0.25">
      <c r="AC9429" s="8"/>
    </row>
    <row r="9430" spans="29:29" x14ac:dyDescent="0.25">
      <c r="AC9430" s="8"/>
    </row>
    <row r="9431" spans="29:29" x14ac:dyDescent="0.25">
      <c r="AC9431" s="8"/>
    </row>
    <row r="9432" spans="29:29" x14ac:dyDescent="0.25">
      <c r="AC9432" s="8"/>
    </row>
    <row r="9433" spans="29:29" x14ac:dyDescent="0.25">
      <c r="AC9433" s="8"/>
    </row>
    <row r="9434" spans="29:29" x14ac:dyDescent="0.25">
      <c r="AC9434" s="8"/>
    </row>
    <row r="9435" spans="29:29" x14ac:dyDescent="0.25">
      <c r="AC9435" s="8"/>
    </row>
    <row r="9436" spans="29:29" x14ac:dyDescent="0.25">
      <c r="AC9436" s="8"/>
    </row>
    <row r="9437" spans="29:29" x14ac:dyDescent="0.25">
      <c r="AC9437" s="8"/>
    </row>
    <row r="9438" spans="29:29" x14ac:dyDescent="0.25">
      <c r="AC9438" s="8"/>
    </row>
    <row r="9439" spans="29:29" x14ac:dyDescent="0.25">
      <c r="AC9439" s="8"/>
    </row>
    <row r="9440" spans="29:29" x14ac:dyDescent="0.25">
      <c r="AC9440" s="8"/>
    </row>
    <row r="9441" spans="29:29" x14ac:dyDescent="0.25">
      <c r="AC9441" s="8"/>
    </row>
    <row r="9442" spans="29:29" x14ac:dyDescent="0.25">
      <c r="AC9442" s="8"/>
    </row>
    <row r="9443" spans="29:29" x14ac:dyDescent="0.25">
      <c r="AC9443" s="8"/>
    </row>
    <row r="9444" spans="29:29" x14ac:dyDescent="0.25">
      <c r="AC9444" s="8"/>
    </row>
    <row r="9445" spans="29:29" x14ac:dyDescent="0.25">
      <c r="AC9445" s="8"/>
    </row>
    <row r="9446" spans="29:29" x14ac:dyDescent="0.25">
      <c r="AC9446" s="8"/>
    </row>
    <row r="9447" spans="29:29" x14ac:dyDescent="0.25">
      <c r="AC9447" s="8"/>
    </row>
    <row r="9448" spans="29:29" x14ac:dyDescent="0.25">
      <c r="AC9448" s="8"/>
    </row>
    <row r="9449" spans="29:29" x14ac:dyDescent="0.25">
      <c r="AC9449" s="8"/>
    </row>
    <row r="9450" spans="29:29" x14ac:dyDescent="0.25">
      <c r="AC9450" s="8"/>
    </row>
    <row r="9451" spans="29:29" x14ac:dyDescent="0.25">
      <c r="AC9451" s="8"/>
    </row>
    <row r="9452" spans="29:29" x14ac:dyDescent="0.25">
      <c r="AC9452" s="8"/>
    </row>
    <row r="9453" spans="29:29" x14ac:dyDescent="0.25">
      <c r="AC9453" s="8"/>
    </row>
    <row r="9454" spans="29:29" x14ac:dyDescent="0.25">
      <c r="AC9454" s="8"/>
    </row>
    <row r="9455" spans="29:29" x14ac:dyDescent="0.25">
      <c r="AC9455" s="8"/>
    </row>
    <row r="9456" spans="29:29" x14ac:dyDescent="0.25">
      <c r="AC9456" s="8"/>
    </row>
    <row r="9457" spans="29:29" x14ac:dyDescent="0.25">
      <c r="AC9457" s="8"/>
    </row>
    <row r="9458" spans="29:29" x14ac:dyDescent="0.25">
      <c r="AC9458" s="8"/>
    </row>
    <row r="9459" spans="29:29" x14ac:dyDescent="0.25">
      <c r="AC9459" s="8"/>
    </row>
    <row r="9460" spans="29:29" x14ac:dyDescent="0.25">
      <c r="AC9460" s="8"/>
    </row>
    <row r="9461" spans="29:29" x14ac:dyDescent="0.25">
      <c r="AC9461" s="8"/>
    </row>
    <row r="9462" spans="29:29" x14ac:dyDescent="0.25">
      <c r="AC9462" s="8"/>
    </row>
    <row r="9463" spans="29:29" x14ac:dyDescent="0.25">
      <c r="AC9463" s="8"/>
    </row>
    <row r="9464" spans="29:29" x14ac:dyDescent="0.25">
      <c r="AC9464" s="8"/>
    </row>
    <row r="9465" spans="29:29" x14ac:dyDescent="0.25">
      <c r="AC9465" s="8"/>
    </row>
    <row r="9466" spans="29:29" x14ac:dyDescent="0.25">
      <c r="AC9466" s="8"/>
    </row>
    <row r="9467" spans="29:29" x14ac:dyDescent="0.25">
      <c r="AC9467" s="8"/>
    </row>
    <row r="9468" spans="29:29" x14ac:dyDescent="0.25">
      <c r="AC9468" s="8"/>
    </row>
    <row r="9469" spans="29:29" x14ac:dyDescent="0.25">
      <c r="AC9469" s="8"/>
    </row>
    <row r="9470" spans="29:29" x14ac:dyDescent="0.25">
      <c r="AC9470" s="8"/>
    </row>
    <row r="9471" spans="29:29" x14ac:dyDescent="0.25">
      <c r="AC9471" s="8"/>
    </row>
    <row r="9472" spans="29:29" x14ac:dyDescent="0.25">
      <c r="AC9472" s="8"/>
    </row>
    <row r="9473" spans="29:29" x14ac:dyDescent="0.25">
      <c r="AC9473" s="8"/>
    </row>
    <row r="9474" spans="29:29" x14ac:dyDescent="0.25">
      <c r="AC9474" s="8"/>
    </row>
    <row r="9475" spans="29:29" x14ac:dyDescent="0.25">
      <c r="AC9475" s="8"/>
    </row>
    <row r="9476" spans="29:29" x14ac:dyDescent="0.25">
      <c r="AC9476" s="8"/>
    </row>
    <row r="9477" spans="29:29" x14ac:dyDescent="0.25">
      <c r="AC9477" s="8"/>
    </row>
    <row r="9478" spans="29:29" x14ac:dyDescent="0.25">
      <c r="AC9478" s="8"/>
    </row>
    <row r="9479" spans="29:29" x14ac:dyDescent="0.25">
      <c r="AC9479" s="8"/>
    </row>
    <row r="9480" spans="29:29" x14ac:dyDescent="0.25">
      <c r="AC9480" s="8"/>
    </row>
    <row r="9481" spans="29:29" x14ac:dyDescent="0.25">
      <c r="AC9481" s="8"/>
    </row>
    <row r="9482" spans="29:29" x14ac:dyDescent="0.25">
      <c r="AC9482" s="8"/>
    </row>
    <row r="9483" spans="29:29" x14ac:dyDescent="0.25">
      <c r="AC9483" s="8"/>
    </row>
    <row r="9484" spans="29:29" x14ac:dyDescent="0.25">
      <c r="AC9484" s="8"/>
    </row>
    <row r="9485" spans="29:29" x14ac:dyDescent="0.25">
      <c r="AC9485" s="8"/>
    </row>
    <row r="9486" spans="29:29" x14ac:dyDescent="0.25">
      <c r="AC9486" s="8"/>
    </row>
    <row r="9487" spans="29:29" x14ac:dyDescent="0.25">
      <c r="AC9487" s="8"/>
    </row>
    <row r="9488" spans="29:29" x14ac:dyDescent="0.25">
      <c r="AC9488" s="8"/>
    </row>
    <row r="9489" spans="29:29" x14ac:dyDescent="0.25">
      <c r="AC9489" s="8"/>
    </row>
    <row r="9490" spans="29:29" x14ac:dyDescent="0.25">
      <c r="AC9490" s="8"/>
    </row>
    <row r="9491" spans="29:29" x14ac:dyDescent="0.25">
      <c r="AC9491" s="8"/>
    </row>
    <row r="9492" spans="29:29" x14ac:dyDescent="0.25">
      <c r="AC9492" s="8"/>
    </row>
    <row r="9493" spans="29:29" x14ac:dyDescent="0.25">
      <c r="AC9493" s="8"/>
    </row>
    <row r="9494" spans="29:29" x14ac:dyDescent="0.25">
      <c r="AC9494" s="8"/>
    </row>
    <row r="9495" spans="29:29" x14ac:dyDescent="0.25">
      <c r="AC9495" s="8"/>
    </row>
    <row r="9496" spans="29:29" x14ac:dyDescent="0.25">
      <c r="AC9496" s="8"/>
    </row>
    <row r="9497" spans="29:29" x14ac:dyDescent="0.25">
      <c r="AC9497" s="8"/>
    </row>
    <row r="9498" spans="29:29" x14ac:dyDescent="0.25">
      <c r="AC9498" s="8"/>
    </row>
    <row r="9499" spans="29:29" x14ac:dyDescent="0.25">
      <c r="AC9499" s="8"/>
    </row>
    <row r="9500" spans="29:29" x14ac:dyDescent="0.25">
      <c r="AC9500" s="8"/>
    </row>
    <row r="9501" spans="29:29" x14ac:dyDescent="0.25">
      <c r="AC9501" s="8"/>
    </row>
    <row r="9502" spans="29:29" x14ac:dyDescent="0.25">
      <c r="AC9502" s="8"/>
    </row>
    <row r="9503" spans="29:29" x14ac:dyDescent="0.25">
      <c r="AC9503" s="8"/>
    </row>
    <row r="9504" spans="29:29" x14ac:dyDescent="0.25">
      <c r="AC9504" s="8"/>
    </row>
    <row r="9505" spans="29:29" x14ac:dyDescent="0.25">
      <c r="AC9505" s="8"/>
    </row>
    <row r="9506" spans="29:29" x14ac:dyDescent="0.25">
      <c r="AC9506" s="8"/>
    </row>
    <row r="9507" spans="29:29" x14ac:dyDescent="0.25">
      <c r="AC9507" s="8"/>
    </row>
    <row r="9508" spans="29:29" x14ac:dyDescent="0.25">
      <c r="AC9508" s="8"/>
    </row>
    <row r="9509" spans="29:29" x14ac:dyDescent="0.25">
      <c r="AC9509" s="8"/>
    </row>
    <row r="9510" spans="29:29" x14ac:dyDescent="0.25">
      <c r="AC9510" s="8"/>
    </row>
    <row r="9511" spans="29:29" x14ac:dyDescent="0.25">
      <c r="AC9511" s="8"/>
    </row>
    <row r="9512" spans="29:29" x14ac:dyDescent="0.25">
      <c r="AC9512" s="8"/>
    </row>
    <row r="9513" spans="29:29" x14ac:dyDescent="0.25">
      <c r="AC9513" s="8"/>
    </row>
    <row r="9514" spans="29:29" x14ac:dyDescent="0.25">
      <c r="AC9514" s="8"/>
    </row>
    <row r="9515" spans="29:29" x14ac:dyDescent="0.25">
      <c r="AC9515" s="8"/>
    </row>
    <row r="9516" spans="29:29" x14ac:dyDescent="0.25">
      <c r="AC9516" s="8"/>
    </row>
    <row r="9517" spans="29:29" x14ac:dyDescent="0.25">
      <c r="AC9517" s="8"/>
    </row>
    <row r="9518" spans="29:29" x14ac:dyDescent="0.25">
      <c r="AC9518" s="8"/>
    </row>
    <row r="9519" spans="29:29" x14ac:dyDescent="0.25">
      <c r="AC9519" s="8"/>
    </row>
    <row r="9520" spans="29:29" x14ac:dyDescent="0.25">
      <c r="AC9520" s="8"/>
    </row>
    <row r="9521" spans="29:29" x14ac:dyDescent="0.25">
      <c r="AC9521" s="8"/>
    </row>
    <row r="9522" spans="29:29" x14ac:dyDescent="0.25">
      <c r="AC9522" s="8"/>
    </row>
    <row r="9523" spans="29:29" x14ac:dyDescent="0.25">
      <c r="AC9523" s="8"/>
    </row>
    <row r="9524" spans="29:29" x14ac:dyDescent="0.25">
      <c r="AC9524" s="8"/>
    </row>
    <row r="9525" spans="29:29" x14ac:dyDescent="0.25">
      <c r="AC9525" s="8"/>
    </row>
    <row r="9526" spans="29:29" x14ac:dyDescent="0.25">
      <c r="AC9526" s="8"/>
    </row>
    <row r="9527" spans="29:29" x14ac:dyDescent="0.25">
      <c r="AC9527" s="8"/>
    </row>
    <row r="9528" spans="29:29" x14ac:dyDescent="0.25">
      <c r="AC9528" s="8"/>
    </row>
    <row r="9529" spans="29:29" x14ac:dyDescent="0.25">
      <c r="AC9529" s="8"/>
    </row>
    <row r="9530" spans="29:29" x14ac:dyDescent="0.25">
      <c r="AC9530" s="8"/>
    </row>
    <row r="9531" spans="29:29" x14ac:dyDescent="0.25">
      <c r="AC9531" s="8"/>
    </row>
    <row r="9532" spans="29:29" x14ac:dyDescent="0.25">
      <c r="AC9532" s="8"/>
    </row>
    <row r="9533" spans="29:29" x14ac:dyDescent="0.25">
      <c r="AC9533" s="8"/>
    </row>
    <row r="9534" spans="29:29" x14ac:dyDescent="0.25">
      <c r="AC9534" s="8"/>
    </row>
    <row r="9535" spans="29:29" x14ac:dyDescent="0.25">
      <c r="AC9535" s="8"/>
    </row>
    <row r="9536" spans="29:29" x14ac:dyDescent="0.25">
      <c r="AC9536" s="8"/>
    </row>
    <row r="9537" spans="29:29" x14ac:dyDescent="0.25">
      <c r="AC9537" s="8"/>
    </row>
    <row r="9538" spans="29:29" x14ac:dyDescent="0.25">
      <c r="AC9538" s="8"/>
    </row>
    <row r="9539" spans="29:29" x14ac:dyDescent="0.25">
      <c r="AC9539" s="8"/>
    </row>
    <row r="9540" spans="29:29" x14ac:dyDescent="0.25">
      <c r="AC9540" s="8"/>
    </row>
    <row r="9541" spans="29:29" x14ac:dyDescent="0.25">
      <c r="AC9541" s="8"/>
    </row>
    <row r="9542" spans="29:29" x14ac:dyDescent="0.25">
      <c r="AC9542" s="8"/>
    </row>
    <row r="9543" spans="29:29" x14ac:dyDescent="0.25">
      <c r="AC9543" s="8"/>
    </row>
    <row r="9544" spans="29:29" x14ac:dyDescent="0.25">
      <c r="AC9544" s="8"/>
    </row>
    <row r="9545" spans="29:29" x14ac:dyDescent="0.25">
      <c r="AC9545" s="8"/>
    </row>
    <row r="9546" spans="29:29" x14ac:dyDescent="0.25">
      <c r="AC9546" s="8"/>
    </row>
    <row r="9547" spans="29:29" x14ac:dyDescent="0.25">
      <c r="AC9547" s="8"/>
    </row>
    <row r="9548" spans="29:29" x14ac:dyDescent="0.25">
      <c r="AC9548" s="8"/>
    </row>
    <row r="9549" spans="29:29" x14ac:dyDescent="0.25">
      <c r="AC9549" s="8"/>
    </row>
    <row r="9550" spans="29:29" x14ac:dyDescent="0.25">
      <c r="AC9550" s="8"/>
    </row>
    <row r="9551" spans="29:29" x14ac:dyDescent="0.25">
      <c r="AC9551" s="8"/>
    </row>
    <row r="9552" spans="29:29" x14ac:dyDescent="0.25">
      <c r="AC9552" s="8"/>
    </row>
    <row r="9553" spans="29:29" x14ac:dyDescent="0.25">
      <c r="AC9553" s="8"/>
    </row>
    <row r="9554" spans="29:29" x14ac:dyDescent="0.25">
      <c r="AC9554" s="8"/>
    </row>
    <row r="9555" spans="29:29" x14ac:dyDescent="0.25">
      <c r="AC9555" s="8"/>
    </row>
    <row r="9556" spans="29:29" x14ac:dyDescent="0.25">
      <c r="AC9556" s="8"/>
    </row>
    <row r="9557" spans="29:29" x14ac:dyDescent="0.25">
      <c r="AC9557" s="8"/>
    </row>
    <row r="9558" spans="29:29" x14ac:dyDescent="0.25">
      <c r="AC9558" s="8"/>
    </row>
    <row r="9559" spans="29:29" x14ac:dyDescent="0.25">
      <c r="AC9559" s="8"/>
    </row>
    <row r="9560" spans="29:29" x14ac:dyDescent="0.25">
      <c r="AC9560" s="8"/>
    </row>
    <row r="9561" spans="29:29" x14ac:dyDescent="0.25">
      <c r="AC9561" s="8"/>
    </row>
    <row r="9562" spans="29:29" x14ac:dyDescent="0.25">
      <c r="AC9562" s="8"/>
    </row>
    <row r="9563" spans="29:29" x14ac:dyDescent="0.25">
      <c r="AC9563" s="8"/>
    </row>
    <row r="9564" spans="29:29" x14ac:dyDescent="0.25">
      <c r="AC9564" s="8"/>
    </row>
    <row r="9565" spans="29:29" x14ac:dyDescent="0.25">
      <c r="AC9565" s="8"/>
    </row>
    <row r="9566" spans="29:29" x14ac:dyDescent="0.25">
      <c r="AC9566" s="8"/>
    </row>
    <row r="9567" spans="29:29" x14ac:dyDescent="0.25">
      <c r="AC9567" s="8"/>
    </row>
    <row r="9568" spans="29:29" x14ac:dyDescent="0.25">
      <c r="AC9568" s="8"/>
    </row>
    <row r="9569" spans="29:29" x14ac:dyDescent="0.25">
      <c r="AC9569" s="8"/>
    </row>
    <row r="9570" spans="29:29" x14ac:dyDescent="0.25">
      <c r="AC9570" s="8"/>
    </row>
    <row r="9571" spans="29:29" x14ac:dyDescent="0.25">
      <c r="AC9571" s="8"/>
    </row>
    <row r="9572" spans="29:29" x14ac:dyDescent="0.25">
      <c r="AC9572" s="8"/>
    </row>
    <row r="9573" spans="29:29" x14ac:dyDescent="0.25">
      <c r="AC9573" s="8"/>
    </row>
    <row r="9574" spans="29:29" x14ac:dyDescent="0.25">
      <c r="AC9574" s="8"/>
    </row>
    <row r="9575" spans="29:29" x14ac:dyDescent="0.25">
      <c r="AC9575" s="8"/>
    </row>
    <row r="9576" spans="29:29" x14ac:dyDescent="0.25">
      <c r="AC9576" s="8"/>
    </row>
    <row r="9577" spans="29:29" x14ac:dyDescent="0.25">
      <c r="AC9577" s="8"/>
    </row>
    <row r="9578" spans="29:29" x14ac:dyDescent="0.25">
      <c r="AC9578" s="8"/>
    </row>
    <row r="9579" spans="29:29" x14ac:dyDescent="0.25">
      <c r="AC9579" s="8"/>
    </row>
    <row r="9580" spans="29:29" x14ac:dyDescent="0.25">
      <c r="AC9580" s="8"/>
    </row>
    <row r="9581" spans="29:29" x14ac:dyDescent="0.25">
      <c r="AC9581" s="8"/>
    </row>
    <row r="9582" spans="29:29" x14ac:dyDescent="0.25">
      <c r="AC9582" s="8"/>
    </row>
    <row r="9583" spans="29:29" x14ac:dyDescent="0.25">
      <c r="AC9583" s="8"/>
    </row>
    <row r="9584" spans="29:29" x14ac:dyDescent="0.25">
      <c r="AC9584" s="8"/>
    </row>
    <row r="9585" spans="29:29" x14ac:dyDescent="0.25">
      <c r="AC9585" s="8"/>
    </row>
    <row r="9586" spans="29:29" x14ac:dyDescent="0.25">
      <c r="AC9586" s="8"/>
    </row>
    <row r="9587" spans="29:29" x14ac:dyDescent="0.25">
      <c r="AC9587" s="8"/>
    </row>
    <row r="9588" spans="29:29" x14ac:dyDescent="0.25">
      <c r="AC9588" s="8"/>
    </row>
    <row r="9589" spans="29:29" x14ac:dyDescent="0.25">
      <c r="AC9589" s="8"/>
    </row>
    <row r="9590" spans="29:29" x14ac:dyDescent="0.25">
      <c r="AC9590" s="8"/>
    </row>
    <row r="9591" spans="29:29" x14ac:dyDescent="0.25">
      <c r="AC9591" s="8"/>
    </row>
    <row r="9592" spans="29:29" x14ac:dyDescent="0.25">
      <c r="AC9592" s="8"/>
    </row>
    <row r="9593" spans="29:29" x14ac:dyDescent="0.25">
      <c r="AC9593" s="8"/>
    </row>
    <row r="9594" spans="29:29" x14ac:dyDescent="0.25">
      <c r="AC9594" s="8"/>
    </row>
    <row r="9595" spans="29:29" x14ac:dyDescent="0.25">
      <c r="AC9595" s="8"/>
    </row>
    <row r="9596" spans="29:29" x14ac:dyDescent="0.25">
      <c r="AC9596" s="8"/>
    </row>
    <row r="9597" spans="29:29" x14ac:dyDescent="0.25">
      <c r="AC9597" s="8"/>
    </row>
    <row r="9598" spans="29:29" x14ac:dyDescent="0.25">
      <c r="AC9598" s="8"/>
    </row>
    <row r="9599" spans="29:29" x14ac:dyDescent="0.25">
      <c r="AC9599" s="8"/>
    </row>
    <row r="9600" spans="29:29" x14ac:dyDescent="0.25">
      <c r="AC9600" s="8"/>
    </row>
    <row r="9601" spans="29:29" x14ac:dyDescent="0.25">
      <c r="AC9601" s="8"/>
    </row>
    <row r="9602" spans="29:29" x14ac:dyDescent="0.25">
      <c r="AC9602" s="8"/>
    </row>
    <row r="9603" spans="29:29" x14ac:dyDescent="0.25">
      <c r="AC9603" s="8"/>
    </row>
    <row r="9604" spans="29:29" x14ac:dyDescent="0.25">
      <c r="AC9604" s="8"/>
    </row>
    <row r="9605" spans="29:29" x14ac:dyDescent="0.25">
      <c r="AC9605" s="8"/>
    </row>
    <row r="9606" spans="29:29" x14ac:dyDescent="0.25">
      <c r="AC9606" s="8"/>
    </row>
    <row r="9607" spans="29:29" x14ac:dyDescent="0.25">
      <c r="AC9607" s="8"/>
    </row>
    <row r="9608" spans="29:29" x14ac:dyDescent="0.25">
      <c r="AC9608" s="8"/>
    </row>
    <row r="9609" spans="29:29" x14ac:dyDescent="0.25">
      <c r="AC9609" s="8"/>
    </row>
    <row r="9610" spans="29:29" x14ac:dyDescent="0.25">
      <c r="AC9610" s="8"/>
    </row>
    <row r="9611" spans="29:29" x14ac:dyDescent="0.25">
      <c r="AC9611" s="8"/>
    </row>
    <row r="9612" spans="29:29" x14ac:dyDescent="0.25">
      <c r="AC9612" s="8"/>
    </row>
    <row r="9613" spans="29:29" x14ac:dyDescent="0.25">
      <c r="AC9613" s="8"/>
    </row>
    <row r="9614" spans="29:29" x14ac:dyDescent="0.25">
      <c r="AC9614" s="8"/>
    </row>
    <row r="9615" spans="29:29" x14ac:dyDescent="0.25">
      <c r="AC9615" s="8"/>
    </row>
    <row r="9616" spans="29:29" x14ac:dyDescent="0.25">
      <c r="AC9616" s="8"/>
    </row>
    <row r="9617" spans="29:29" x14ac:dyDescent="0.25">
      <c r="AC9617" s="8"/>
    </row>
    <row r="9618" spans="29:29" x14ac:dyDescent="0.25">
      <c r="AC9618" s="8"/>
    </row>
    <row r="9619" spans="29:29" x14ac:dyDescent="0.25">
      <c r="AC9619" s="8"/>
    </row>
    <row r="9620" spans="29:29" x14ac:dyDescent="0.25">
      <c r="AC9620" s="8"/>
    </row>
    <row r="9621" spans="29:29" x14ac:dyDescent="0.25">
      <c r="AC9621" s="8"/>
    </row>
    <row r="9622" spans="29:29" x14ac:dyDescent="0.25">
      <c r="AC9622" s="8"/>
    </row>
    <row r="9623" spans="29:29" x14ac:dyDescent="0.25">
      <c r="AC9623" s="8"/>
    </row>
    <row r="9624" spans="29:29" x14ac:dyDescent="0.25">
      <c r="AC9624" s="8"/>
    </row>
    <row r="9625" spans="29:29" x14ac:dyDescent="0.25">
      <c r="AC9625" s="8"/>
    </row>
    <row r="9626" spans="29:29" x14ac:dyDescent="0.25">
      <c r="AC9626" s="8"/>
    </row>
    <row r="9627" spans="29:29" x14ac:dyDescent="0.25">
      <c r="AC9627" s="8"/>
    </row>
    <row r="9628" spans="29:29" x14ac:dyDescent="0.25">
      <c r="AC9628" s="8"/>
    </row>
    <row r="9629" spans="29:29" x14ac:dyDescent="0.25">
      <c r="AC9629" s="8"/>
    </row>
    <row r="9630" spans="29:29" x14ac:dyDescent="0.25">
      <c r="AC9630" s="8"/>
    </row>
    <row r="9631" spans="29:29" x14ac:dyDescent="0.25">
      <c r="AC9631" s="8"/>
    </row>
    <row r="9632" spans="29:29" x14ac:dyDescent="0.25">
      <c r="AC9632" s="8"/>
    </row>
    <row r="9633" spans="29:29" x14ac:dyDescent="0.25">
      <c r="AC9633" s="8"/>
    </row>
    <row r="9634" spans="29:29" x14ac:dyDescent="0.25">
      <c r="AC9634" s="8"/>
    </row>
    <row r="9635" spans="29:29" x14ac:dyDescent="0.25">
      <c r="AC9635" s="8"/>
    </row>
    <row r="9636" spans="29:29" x14ac:dyDescent="0.25">
      <c r="AC9636" s="8"/>
    </row>
    <row r="9637" spans="29:29" x14ac:dyDescent="0.25">
      <c r="AC9637" s="8"/>
    </row>
    <row r="9638" spans="29:29" x14ac:dyDescent="0.25">
      <c r="AC9638" s="8"/>
    </row>
    <row r="9639" spans="29:29" x14ac:dyDescent="0.25">
      <c r="AC9639" s="8"/>
    </row>
    <row r="9640" spans="29:29" x14ac:dyDescent="0.25">
      <c r="AC9640" s="8"/>
    </row>
    <row r="9641" spans="29:29" x14ac:dyDescent="0.25">
      <c r="AC9641" s="8"/>
    </row>
    <row r="9642" spans="29:29" x14ac:dyDescent="0.25">
      <c r="AC9642" s="8"/>
    </row>
    <row r="9643" spans="29:29" x14ac:dyDescent="0.25">
      <c r="AC9643" s="8"/>
    </row>
    <row r="9644" spans="29:29" x14ac:dyDescent="0.25">
      <c r="AC9644" s="8"/>
    </row>
    <row r="9645" spans="29:29" x14ac:dyDescent="0.25">
      <c r="AC9645" s="8"/>
    </row>
    <row r="9646" spans="29:29" x14ac:dyDescent="0.25">
      <c r="AC9646" s="8"/>
    </row>
    <row r="9647" spans="29:29" x14ac:dyDescent="0.25">
      <c r="AC9647" s="8"/>
    </row>
    <row r="9648" spans="29:29" x14ac:dyDescent="0.25">
      <c r="AC9648" s="8"/>
    </row>
    <row r="9649" spans="29:29" x14ac:dyDescent="0.25">
      <c r="AC9649" s="8"/>
    </row>
    <row r="9650" spans="29:29" x14ac:dyDescent="0.25">
      <c r="AC9650" s="8"/>
    </row>
    <row r="9651" spans="29:29" x14ac:dyDescent="0.25">
      <c r="AC9651" s="8"/>
    </row>
    <row r="9652" spans="29:29" x14ac:dyDescent="0.25">
      <c r="AC9652" s="8"/>
    </row>
    <row r="9653" spans="29:29" x14ac:dyDescent="0.25">
      <c r="AC9653" s="8"/>
    </row>
    <row r="9654" spans="29:29" x14ac:dyDescent="0.25">
      <c r="AC9654" s="8"/>
    </row>
    <row r="9655" spans="29:29" x14ac:dyDescent="0.25">
      <c r="AC9655" s="8"/>
    </row>
    <row r="9656" spans="29:29" x14ac:dyDescent="0.25">
      <c r="AC9656" s="8"/>
    </row>
    <row r="9657" spans="29:29" x14ac:dyDescent="0.25">
      <c r="AC9657" s="8"/>
    </row>
    <row r="9658" spans="29:29" x14ac:dyDescent="0.25">
      <c r="AC9658" s="8"/>
    </row>
    <row r="9659" spans="29:29" x14ac:dyDescent="0.25">
      <c r="AC9659" s="8"/>
    </row>
    <row r="9660" spans="29:29" x14ac:dyDescent="0.25">
      <c r="AC9660" s="8"/>
    </row>
    <row r="9661" spans="29:29" x14ac:dyDescent="0.25">
      <c r="AC9661" s="8"/>
    </row>
    <row r="9662" spans="29:29" x14ac:dyDescent="0.25">
      <c r="AC9662" s="8"/>
    </row>
    <row r="9663" spans="29:29" x14ac:dyDescent="0.25">
      <c r="AC9663" s="8"/>
    </row>
    <row r="9664" spans="29:29" x14ac:dyDescent="0.25">
      <c r="AC9664" s="8"/>
    </row>
    <row r="9665" spans="29:29" x14ac:dyDescent="0.25">
      <c r="AC9665" s="8"/>
    </row>
    <row r="9666" spans="29:29" x14ac:dyDescent="0.25">
      <c r="AC9666" s="8"/>
    </row>
    <row r="9667" spans="29:29" x14ac:dyDescent="0.25">
      <c r="AC9667" s="8"/>
    </row>
    <row r="9668" spans="29:29" x14ac:dyDescent="0.25">
      <c r="AC9668" s="8"/>
    </row>
    <row r="9669" spans="29:29" x14ac:dyDescent="0.25">
      <c r="AC9669" s="8"/>
    </row>
    <row r="9670" spans="29:29" x14ac:dyDescent="0.25">
      <c r="AC9670" s="8"/>
    </row>
    <row r="9671" spans="29:29" x14ac:dyDescent="0.25">
      <c r="AC9671" s="8"/>
    </row>
    <row r="9672" spans="29:29" x14ac:dyDescent="0.25">
      <c r="AC9672" s="8"/>
    </row>
    <row r="9673" spans="29:29" x14ac:dyDescent="0.25">
      <c r="AC9673" s="8"/>
    </row>
    <row r="9674" spans="29:29" x14ac:dyDescent="0.25">
      <c r="AC9674" s="8"/>
    </row>
    <row r="9675" spans="29:29" x14ac:dyDescent="0.25">
      <c r="AC9675" s="8"/>
    </row>
    <row r="9676" spans="29:29" x14ac:dyDescent="0.25">
      <c r="AC9676" s="8"/>
    </row>
    <row r="9677" spans="29:29" x14ac:dyDescent="0.25">
      <c r="AC9677" s="8"/>
    </row>
    <row r="9678" spans="29:29" x14ac:dyDescent="0.25">
      <c r="AC9678" s="8"/>
    </row>
    <row r="9679" spans="29:29" x14ac:dyDescent="0.25">
      <c r="AC9679" s="8"/>
    </row>
    <row r="9680" spans="29:29" x14ac:dyDescent="0.25">
      <c r="AC9680" s="8"/>
    </row>
    <row r="9681" spans="29:29" x14ac:dyDescent="0.25">
      <c r="AC9681" s="8"/>
    </row>
    <row r="9682" spans="29:29" x14ac:dyDescent="0.25">
      <c r="AC9682" s="8"/>
    </row>
    <row r="9683" spans="29:29" x14ac:dyDescent="0.25">
      <c r="AC9683" s="8"/>
    </row>
    <row r="9684" spans="29:29" x14ac:dyDescent="0.25">
      <c r="AC9684" s="8"/>
    </row>
    <row r="9685" spans="29:29" x14ac:dyDescent="0.25">
      <c r="AC9685" s="8"/>
    </row>
    <row r="9686" spans="29:29" x14ac:dyDescent="0.25">
      <c r="AC9686" s="8"/>
    </row>
    <row r="9687" spans="29:29" x14ac:dyDescent="0.25">
      <c r="AC9687" s="8"/>
    </row>
    <row r="9688" spans="29:29" x14ac:dyDescent="0.25">
      <c r="AC9688" s="8"/>
    </row>
    <row r="9689" spans="29:29" x14ac:dyDescent="0.25">
      <c r="AC9689" s="8"/>
    </row>
    <row r="9690" spans="29:29" x14ac:dyDescent="0.25">
      <c r="AC9690" s="8"/>
    </row>
    <row r="9691" spans="29:29" x14ac:dyDescent="0.25">
      <c r="AC9691" s="8"/>
    </row>
    <row r="9692" spans="29:29" x14ac:dyDescent="0.25">
      <c r="AC9692" s="8"/>
    </row>
    <row r="9693" spans="29:29" x14ac:dyDescent="0.25">
      <c r="AC9693" s="8"/>
    </row>
    <row r="9694" spans="29:29" x14ac:dyDescent="0.25">
      <c r="AC9694" s="8"/>
    </row>
    <row r="9695" spans="29:29" x14ac:dyDescent="0.25">
      <c r="AC9695" s="8"/>
    </row>
    <row r="9696" spans="29:29" x14ac:dyDescent="0.25">
      <c r="AC9696" s="8"/>
    </row>
    <row r="9697" spans="29:29" x14ac:dyDescent="0.25">
      <c r="AC9697" s="8"/>
    </row>
    <row r="9698" spans="29:29" x14ac:dyDescent="0.25">
      <c r="AC9698" s="8"/>
    </row>
    <row r="9699" spans="29:29" x14ac:dyDescent="0.25">
      <c r="AC9699" s="8"/>
    </row>
    <row r="9700" spans="29:29" x14ac:dyDescent="0.25">
      <c r="AC9700" s="8"/>
    </row>
    <row r="9701" spans="29:29" x14ac:dyDescent="0.25">
      <c r="AC9701" s="8"/>
    </row>
    <row r="9702" spans="29:29" x14ac:dyDescent="0.25">
      <c r="AC9702" s="8"/>
    </row>
    <row r="9703" spans="29:29" x14ac:dyDescent="0.25">
      <c r="AC9703" s="8"/>
    </row>
    <row r="9704" spans="29:29" x14ac:dyDescent="0.25">
      <c r="AC9704" s="8"/>
    </row>
    <row r="9705" spans="29:29" x14ac:dyDescent="0.25">
      <c r="AC9705" s="8"/>
    </row>
    <row r="9706" spans="29:29" x14ac:dyDescent="0.25">
      <c r="AC9706" s="8"/>
    </row>
    <row r="9707" spans="29:29" x14ac:dyDescent="0.25">
      <c r="AC9707" s="8"/>
    </row>
    <row r="9708" spans="29:29" x14ac:dyDescent="0.25">
      <c r="AC9708" s="8"/>
    </row>
    <row r="9709" spans="29:29" x14ac:dyDescent="0.25">
      <c r="AC9709" s="8"/>
    </row>
    <row r="9710" spans="29:29" x14ac:dyDescent="0.25">
      <c r="AC9710" s="8"/>
    </row>
    <row r="9711" spans="29:29" x14ac:dyDescent="0.25">
      <c r="AC9711" s="8"/>
    </row>
    <row r="9712" spans="29:29" x14ac:dyDescent="0.25">
      <c r="AC9712" s="8"/>
    </row>
    <row r="9713" spans="29:29" x14ac:dyDescent="0.25">
      <c r="AC9713" s="8"/>
    </row>
    <row r="9714" spans="29:29" x14ac:dyDescent="0.25">
      <c r="AC9714" s="8"/>
    </row>
    <row r="9715" spans="29:29" x14ac:dyDescent="0.25">
      <c r="AC9715" s="8"/>
    </row>
    <row r="9716" spans="29:29" x14ac:dyDescent="0.25">
      <c r="AC9716" s="8"/>
    </row>
    <row r="9717" spans="29:29" x14ac:dyDescent="0.25">
      <c r="AC9717" s="8"/>
    </row>
    <row r="9718" spans="29:29" x14ac:dyDescent="0.25">
      <c r="AC9718" s="8"/>
    </row>
    <row r="9719" spans="29:29" x14ac:dyDescent="0.25">
      <c r="AC9719" s="8"/>
    </row>
    <row r="9720" spans="29:29" x14ac:dyDescent="0.25">
      <c r="AC9720" s="8"/>
    </row>
    <row r="9721" spans="29:29" x14ac:dyDescent="0.25">
      <c r="AC9721" s="8"/>
    </row>
    <row r="9722" spans="29:29" x14ac:dyDescent="0.25">
      <c r="AC9722" s="8"/>
    </row>
    <row r="9723" spans="29:29" x14ac:dyDescent="0.25">
      <c r="AC9723" s="8"/>
    </row>
    <row r="9724" spans="29:29" x14ac:dyDescent="0.25">
      <c r="AC9724" s="8"/>
    </row>
    <row r="9725" spans="29:29" x14ac:dyDescent="0.25">
      <c r="AC9725" s="8"/>
    </row>
    <row r="9726" spans="29:29" x14ac:dyDescent="0.25">
      <c r="AC9726" s="8"/>
    </row>
    <row r="9727" spans="29:29" x14ac:dyDescent="0.25">
      <c r="AC9727" s="8"/>
    </row>
    <row r="9728" spans="29:29" x14ac:dyDescent="0.25">
      <c r="AC9728" s="8"/>
    </row>
    <row r="9729" spans="29:29" x14ac:dyDescent="0.25">
      <c r="AC9729" s="8"/>
    </row>
    <row r="9730" spans="29:29" x14ac:dyDescent="0.25">
      <c r="AC9730" s="8"/>
    </row>
    <row r="9731" spans="29:29" x14ac:dyDescent="0.25">
      <c r="AC9731" s="8"/>
    </row>
    <row r="9732" spans="29:29" x14ac:dyDescent="0.25">
      <c r="AC9732" s="8"/>
    </row>
    <row r="9733" spans="29:29" x14ac:dyDescent="0.25">
      <c r="AC9733" s="8"/>
    </row>
    <row r="9734" spans="29:29" x14ac:dyDescent="0.25">
      <c r="AC9734" s="8"/>
    </row>
    <row r="9735" spans="29:29" x14ac:dyDescent="0.25">
      <c r="AC9735" s="8"/>
    </row>
    <row r="9736" spans="29:29" x14ac:dyDescent="0.25">
      <c r="AC9736" s="8"/>
    </row>
    <row r="9737" spans="29:29" x14ac:dyDescent="0.25">
      <c r="AC9737" s="8"/>
    </row>
    <row r="9738" spans="29:29" x14ac:dyDescent="0.25">
      <c r="AC9738" s="8"/>
    </row>
    <row r="9739" spans="29:29" x14ac:dyDescent="0.25">
      <c r="AC9739" s="8"/>
    </row>
    <row r="9740" spans="29:29" x14ac:dyDescent="0.25">
      <c r="AC9740" s="8"/>
    </row>
    <row r="9741" spans="29:29" x14ac:dyDescent="0.25">
      <c r="AC9741" s="8"/>
    </row>
    <row r="9742" spans="29:29" x14ac:dyDescent="0.25">
      <c r="AC9742" s="8"/>
    </row>
    <row r="9743" spans="29:29" x14ac:dyDescent="0.25">
      <c r="AC9743" s="8"/>
    </row>
    <row r="9744" spans="29:29" x14ac:dyDescent="0.25">
      <c r="AC9744" s="8"/>
    </row>
    <row r="9745" spans="29:29" x14ac:dyDescent="0.25">
      <c r="AC9745" s="8"/>
    </row>
    <row r="9746" spans="29:29" x14ac:dyDescent="0.25">
      <c r="AC9746" s="8"/>
    </row>
    <row r="9747" spans="29:29" x14ac:dyDescent="0.25">
      <c r="AC9747" s="8"/>
    </row>
    <row r="9748" spans="29:29" x14ac:dyDescent="0.25">
      <c r="AC9748" s="8"/>
    </row>
    <row r="9749" spans="29:29" x14ac:dyDescent="0.25">
      <c r="AC9749" s="8"/>
    </row>
    <row r="9750" spans="29:29" x14ac:dyDescent="0.25">
      <c r="AC9750" s="8"/>
    </row>
    <row r="9751" spans="29:29" x14ac:dyDescent="0.25">
      <c r="AC9751" s="8"/>
    </row>
    <row r="9752" spans="29:29" x14ac:dyDescent="0.25">
      <c r="AC9752" s="8"/>
    </row>
    <row r="9753" spans="29:29" x14ac:dyDescent="0.25">
      <c r="AC9753" s="8"/>
    </row>
    <row r="9754" spans="29:29" x14ac:dyDescent="0.25">
      <c r="AC9754" s="8"/>
    </row>
    <row r="9755" spans="29:29" x14ac:dyDescent="0.25">
      <c r="AC9755" s="8"/>
    </row>
    <row r="9756" spans="29:29" x14ac:dyDescent="0.25">
      <c r="AC9756" s="8"/>
    </row>
    <row r="9757" spans="29:29" x14ac:dyDescent="0.25">
      <c r="AC9757" s="8"/>
    </row>
    <row r="9758" spans="29:29" x14ac:dyDescent="0.25">
      <c r="AC9758" s="8"/>
    </row>
    <row r="9759" spans="29:29" x14ac:dyDescent="0.25">
      <c r="AC9759" s="8"/>
    </row>
    <row r="9760" spans="29:29" x14ac:dyDescent="0.25">
      <c r="AC9760" s="8"/>
    </row>
    <row r="9761" spans="29:29" x14ac:dyDescent="0.25">
      <c r="AC9761" s="8"/>
    </row>
    <row r="9762" spans="29:29" x14ac:dyDescent="0.25">
      <c r="AC9762" s="8"/>
    </row>
    <row r="9763" spans="29:29" x14ac:dyDescent="0.25">
      <c r="AC9763" s="8"/>
    </row>
    <row r="9764" spans="29:29" x14ac:dyDescent="0.25">
      <c r="AC9764" s="8"/>
    </row>
    <row r="9765" spans="29:29" x14ac:dyDescent="0.25">
      <c r="AC9765" s="8"/>
    </row>
    <row r="9766" spans="29:29" x14ac:dyDescent="0.25">
      <c r="AC9766" s="8"/>
    </row>
    <row r="9767" spans="29:29" x14ac:dyDescent="0.25">
      <c r="AC9767" s="8"/>
    </row>
    <row r="9768" spans="29:29" x14ac:dyDescent="0.25">
      <c r="AC9768" s="8"/>
    </row>
    <row r="9769" spans="29:29" x14ac:dyDescent="0.25">
      <c r="AC9769" s="8"/>
    </row>
    <row r="9770" spans="29:29" x14ac:dyDescent="0.25">
      <c r="AC9770" s="8"/>
    </row>
    <row r="9771" spans="29:29" x14ac:dyDescent="0.25">
      <c r="AC9771" s="8"/>
    </row>
    <row r="9772" spans="29:29" x14ac:dyDescent="0.25">
      <c r="AC9772" s="8"/>
    </row>
    <row r="9773" spans="29:29" x14ac:dyDescent="0.25">
      <c r="AC9773" s="8"/>
    </row>
    <row r="9774" spans="29:29" x14ac:dyDescent="0.25">
      <c r="AC9774" s="8"/>
    </row>
    <row r="9775" spans="29:29" x14ac:dyDescent="0.25">
      <c r="AC9775" s="8"/>
    </row>
    <row r="9776" spans="29:29" x14ac:dyDescent="0.25">
      <c r="AC9776" s="8"/>
    </row>
    <row r="9777" spans="29:29" x14ac:dyDescent="0.25">
      <c r="AC9777" s="8"/>
    </row>
    <row r="9778" spans="29:29" x14ac:dyDescent="0.25">
      <c r="AC9778" s="8"/>
    </row>
    <row r="9779" spans="29:29" x14ac:dyDescent="0.25">
      <c r="AC9779" s="8"/>
    </row>
    <row r="9780" spans="29:29" x14ac:dyDescent="0.25">
      <c r="AC9780" s="8"/>
    </row>
    <row r="9781" spans="29:29" x14ac:dyDescent="0.25">
      <c r="AC9781" s="8"/>
    </row>
    <row r="9782" spans="29:29" x14ac:dyDescent="0.25">
      <c r="AC9782" s="8"/>
    </row>
    <row r="9783" spans="29:29" x14ac:dyDescent="0.25">
      <c r="AC9783" s="8"/>
    </row>
    <row r="9784" spans="29:29" x14ac:dyDescent="0.25">
      <c r="AC9784" s="8"/>
    </row>
    <row r="9785" spans="29:29" x14ac:dyDescent="0.25">
      <c r="AC9785" s="8"/>
    </row>
    <row r="9786" spans="29:29" x14ac:dyDescent="0.25">
      <c r="AC9786" s="8"/>
    </row>
    <row r="9787" spans="29:29" x14ac:dyDescent="0.25">
      <c r="AC9787" s="8"/>
    </row>
    <row r="9788" spans="29:29" x14ac:dyDescent="0.25">
      <c r="AC9788" s="8"/>
    </row>
    <row r="9789" spans="29:29" x14ac:dyDescent="0.25">
      <c r="AC9789" s="8"/>
    </row>
    <row r="9790" spans="29:29" x14ac:dyDescent="0.25">
      <c r="AC9790" s="8"/>
    </row>
    <row r="9791" spans="29:29" x14ac:dyDescent="0.25">
      <c r="AC9791" s="8"/>
    </row>
    <row r="9792" spans="29:29" x14ac:dyDescent="0.25">
      <c r="AC9792" s="8"/>
    </row>
    <row r="9793" spans="29:29" x14ac:dyDescent="0.25">
      <c r="AC9793" s="8"/>
    </row>
    <row r="9794" spans="29:29" x14ac:dyDescent="0.25">
      <c r="AC9794" s="8"/>
    </row>
    <row r="9795" spans="29:29" x14ac:dyDescent="0.25">
      <c r="AC9795" s="8"/>
    </row>
    <row r="9796" spans="29:29" x14ac:dyDescent="0.25">
      <c r="AC9796" s="8"/>
    </row>
    <row r="9797" spans="29:29" x14ac:dyDescent="0.25">
      <c r="AC9797" s="8"/>
    </row>
    <row r="9798" spans="29:29" x14ac:dyDescent="0.25">
      <c r="AC9798" s="8"/>
    </row>
    <row r="9799" spans="29:29" x14ac:dyDescent="0.25">
      <c r="AC9799" s="8"/>
    </row>
    <row r="9800" spans="29:29" x14ac:dyDescent="0.25">
      <c r="AC9800" s="8"/>
    </row>
    <row r="9801" spans="29:29" x14ac:dyDescent="0.25">
      <c r="AC9801" s="8"/>
    </row>
    <row r="9802" spans="29:29" x14ac:dyDescent="0.25">
      <c r="AC9802" s="8"/>
    </row>
    <row r="9803" spans="29:29" x14ac:dyDescent="0.25">
      <c r="AC9803" s="8"/>
    </row>
    <row r="9804" spans="29:29" x14ac:dyDescent="0.25">
      <c r="AC9804" s="8"/>
    </row>
    <row r="9805" spans="29:29" x14ac:dyDescent="0.25">
      <c r="AC9805" s="8"/>
    </row>
    <row r="9806" spans="29:29" x14ac:dyDescent="0.25">
      <c r="AC9806" s="8"/>
    </row>
    <row r="9807" spans="29:29" x14ac:dyDescent="0.25">
      <c r="AC9807" s="8"/>
    </row>
    <row r="9808" spans="29:29" x14ac:dyDescent="0.25">
      <c r="AC9808" s="8"/>
    </row>
    <row r="9809" spans="29:29" x14ac:dyDescent="0.25">
      <c r="AC9809" s="8"/>
    </row>
    <row r="9810" spans="29:29" x14ac:dyDescent="0.25">
      <c r="AC9810" s="8"/>
    </row>
    <row r="9811" spans="29:29" x14ac:dyDescent="0.25">
      <c r="AC9811" s="8"/>
    </row>
    <row r="9812" spans="29:29" x14ac:dyDescent="0.25">
      <c r="AC9812" s="8"/>
    </row>
    <row r="9813" spans="29:29" x14ac:dyDescent="0.25">
      <c r="AC9813" s="8"/>
    </row>
    <row r="9814" spans="29:29" x14ac:dyDescent="0.25">
      <c r="AC9814" s="8"/>
    </row>
    <row r="9815" spans="29:29" x14ac:dyDescent="0.25">
      <c r="AC9815" s="8"/>
    </row>
    <row r="9816" spans="29:29" x14ac:dyDescent="0.25">
      <c r="AC9816" s="8"/>
    </row>
    <row r="9817" spans="29:29" x14ac:dyDescent="0.25">
      <c r="AC9817" s="8"/>
    </row>
    <row r="9818" spans="29:29" x14ac:dyDescent="0.25">
      <c r="AC9818" s="8"/>
    </row>
    <row r="9819" spans="29:29" x14ac:dyDescent="0.25">
      <c r="AC9819" s="8"/>
    </row>
    <row r="9820" spans="29:29" x14ac:dyDescent="0.25">
      <c r="AC9820" s="8"/>
    </row>
    <row r="9821" spans="29:29" x14ac:dyDescent="0.25">
      <c r="AC9821" s="8"/>
    </row>
    <row r="9822" spans="29:29" x14ac:dyDescent="0.25">
      <c r="AC9822" s="8"/>
    </row>
    <row r="9823" spans="29:29" x14ac:dyDescent="0.25">
      <c r="AC9823" s="8"/>
    </row>
    <row r="9824" spans="29:29" x14ac:dyDescent="0.25">
      <c r="AC9824" s="8"/>
    </row>
    <row r="9825" spans="29:29" x14ac:dyDescent="0.25">
      <c r="AC9825" s="8"/>
    </row>
    <row r="9826" spans="29:29" x14ac:dyDescent="0.25">
      <c r="AC9826" s="8"/>
    </row>
    <row r="9827" spans="29:29" x14ac:dyDescent="0.25">
      <c r="AC9827" s="8"/>
    </row>
    <row r="9828" spans="29:29" x14ac:dyDescent="0.25">
      <c r="AC9828" s="8"/>
    </row>
    <row r="9829" spans="29:29" x14ac:dyDescent="0.25">
      <c r="AC9829" s="8"/>
    </row>
    <row r="9830" spans="29:29" x14ac:dyDescent="0.25">
      <c r="AC9830" s="8"/>
    </row>
    <row r="9831" spans="29:29" x14ac:dyDescent="0.25">
      <c r="AC9831" s="8"/>
    </row>
    <row r="9832" spans="29:29" x14ac:dyDescent="0.25">
      <c r="AC9832" s="8"/>
    </row>
    <row r="9833" spans="29:29" x14ac:dyDescent="0.25">
      <c r="AC9833" s="8"/>
    </row>
    <row r="9834" spans="29:29" x14ac:dyDescent="0.25">
      <c r="AC9834" s="8"/>
    </row>
    <row r="9835" spans="29:29" x14ac:dyDescent="0.25">
      <c r="AC9835" s="8"/>
    </row>
    <row r="9836" spans="29:29" x14ac:dyDescent="0.25">
      <c r="AC9836" s="8"/>
    </row>
    <row r="9837" spans="29:29" x14ac:dyDescent="0.25">
      <c r="AC9837" s="8"/>
    </row>
    <row r="9838" spans="29:29" x14ac:dyDescent="0.25">
      <c r="AC9838" s="8"/>
    </row>
    <row r="9839" spans="29:29" x14ac:dyDescent="0.25">
      <c r="AC9839" s="8"/>
    </row>
    <row r="9840" spans="29:29" x14ac:dyDescent="0.25">
      <c r="AC9840" s="8"/>
    </row>
    <row r="9841" spans="29:29" x14ac:dyDescent="0.25">
      <c r="AC9841" s="8"/>
    </row>
    <row r="9842" spans="29:29" x14ac:dyDescent="0.25">
      <c r="AC9842" s="8"/>
    </row>
    <row r="9843" spans="29:29" x14ac:dyDescent="0.25">
      <c r="AC9843" s="8"/>
    </row>
    <row r="9844" spans="29:29" x14ac:dyDescent="0.25">
      <c r="AC9844" s="8"/>
    </row>
    <row r="9845" spans="29:29" x14ac:dyDescent="0.25">
      <c r="AC9845" s="8"/>
    </row>
    <row r="9846" spans="29:29" x14ac:dyDescent="0.25">
      <c r="AC9846" s="8"/>
    </row>
    <row r="9847" spans="29:29" x14ac:dyDescent="0.25">
      <c r="AC9847" s="8"/>
    </row>
    <row r="9848" spans="29:29" x14ac:dyDescent="0.25">
      <c r="AC9848" s="8"/>
    </row>
    <row r="9849" spans="29:29" x14ac:dyDescent="0.25">
      <c r="AC9849" s="8"/>
    </row>
    <row r="9850" spans="29:29" x14ac:dyDescent="0.25">
      <c r="AC9850" s="8"/>
    </row>
    <row r="9851" spans="29:29" x14ac:dyDescent="0.25">
      <c r="AC9851" s="8"/>
    </row>
    <row r="9852" spans="29:29" x14ac:dyDescent="0.25">
      <c r="AC9852" s="8"/>
    </row>
    <row r="9853" spans="29:29" x14ac:dyDescent="0.25">
      <c r="AC9853" s="8"/>
    </row>
    <row r="9854" spans="29:29" x14ac:dyDescent="0.25">
      <c r="AC9854" s="8"/>
    </row>
    <row r="9855" spans="29:29" x14ac:dyDescent="0.25">
      <c r="AC9855" s="8"/>
    </row>
    <row r="9856" spans="29:29" x14ac:dyDescent="0.25">
      <c r="AC9856" s="8"/>
    </row>
    <row r="9857" spans="29:29" x14ac:dyDescent="0.25">
      <c r="AC9857" s="8"/>
    </row>
    <row r="9858" spans="29:29" x14ac:dyDescent="0.25">
      <c r="AC9858" s="8"/>
    </row>
    <row r="9859" spans="29:29" x14ac:dyDescent="0.25">
      <c r="AC9859" s="8"/>
    </row>
    <row r="9860" spans="29:29" x14ac:dyDescent="0.25">
      <c r="AC9860" s="8"/>
    </row>
    <row r="9861" spans="29:29" x14ac:dyDescent="0.25">
      <c r="AC9861" s="8"/>
    </row>
    <row r="9862" spans="29:29" x14ac:dyDescent="0.25">
      <c r="AC9862" s="8"/>
    </row>
    <row r="9863" spans="29:29" x14ac:dyDescent="0.25">
      <c r="AC9863" s="8"/>
    </row>
    <row r="9864" spans="29:29" x14ac:dyDescent="0.25">
      <c r="AC9864" s="8"/>
    </row>
    <row r="9865" spans="29:29" x14ac:dyDescent="0.25">
      <c r="AC9865" s="8"/>
    </row>
    <row r="9866" spans="29:29" x14ac:dyDescent="0.25">
      <c r="AC9866" s="8"/>
    </row>
    <row r="9867" spans="29:29" x14ac:dyDescent="0.25">
      <c r="AC9867" s="8"/>
    </row>
    <row r="9868" spans="29:29" x14ac:dyDescent="0.25">
      <c r="AC9868" s="8"/>
    </row>
    <row r="9869" spans="29:29" x14ac:dyDescent="0.25">
      <c r="AC9869" s="8"/>
    </row>
    <row r="9870" spans="29:29" x14ac:dyDescent="0.25">
      <c r="AC9870" s="8"/>
    </row>
    <row r="9871" spans="29:29" x14ac:dyDescent="0.25">
      <c r="AC9871" s="8"/>
    </row>
    <row r="9872" spans="29:29" x14ac:dyDescent="0.25">
      <c r="AC9872" s="8"/>
    </row>
    <row r="9873" spans="29:29" x14ac:dyDescent="0.25">
      <c r="AC9873" s="8"/>
    </row>
    <row r="9874" spans="29:29" x14ac:dyDescent="0.25">
      <c r="AC9874" s="8"/>
    </row>
    <row r="9875" spans="29:29" x14ac:dyDescent="0.25">
      <c r="AC9875" s="8"/>
    </row>
    <row r="9876" spans="29:29" x14ac:dyDescent="0.25">
      <c r="AC9876" s="8"/>
    </row>
    <row r="9877" spans="29:29" x14ac:dyDescent="0.25">
      <c r="AC9877" s="8"/>
    </row>
    <row r="9878" spans="29:29" x14ac:dyDescent="0.25">
      <c r="AC9878" s="8"/>
    </row>
    <row r="9879" spans="29:29" x14ac:dyDescent="0.25">
      <c r="AC9879" s="8"/>
    </row>
    <row r="9880" spans="29:29" x14ac:dyDescent="0.25">
      <c r="AC9880" s="8"/>
    </row>
    <row r="9881" spans="29:29" x14ac:dyDescent="0.25">
      <c r="AC9881" s="8"/>
    </row>
    <row r="9882" spans="29:29" x14ac:dyDescent="0.25">
      <c r="AC9882" s="8"/>
    </row>
    <row r="9883" spans="29:29" x14ac:dyDescent="0.25">
      <c r="AC9883" s="8"/>
    </row>
    <row r="9884" spans="29:29" x14ac:dyDescent="0.25">
      <c r="AC9884" s="8"/>
    </row>
    <row r="9885" spans="29:29" x14ac:dyDescent="0.25">
      <c r="AC9885" s="8"/>
    </row>
    <row r="9886" spans="29:29" x14ac:dyDescent="0.25">
      <c r="AC9886" s="8"/>
    </row>
    <row r="9887" spans="29:29" x14ac:dyDescent="0.25">
      <c r="AC9887" s="8"/>
    </row>
    <row r="9888" spans="29:29" x14ac:dyDescent="0.25">
      <c r="AC9888" s="8"/>
    </row>
    <row r="9889" spans="29:29" x14ac:dyDescent="0.25">
      <c r="AC9889" s="8"/>
    </row>
    <row r="9890" spans="29:29" x14ac:dyDescent="0.25">
      <c r="AC9890" s="8"/>
    </row>
    <row r="9891" spans="29:29" x14ac:dyDescent="0.25">
      <c r="AC9891" s="8"/>
    </row>
    <row r="9892" spans="29:29" x14ac:dyDescent="0.25">
      <c r="AC9892" s="8"/>
    </row>
    <row r="9893" spans="29:29" x14ac:dyDescent="0.25">
      <c r="AC9893" s="8"/>
    </row>
    <row r="9894" spans="29:29" x14ac:dyDescent="0.25">
      <c r="AC9894" s="8"/>
    </row>
    <row r="9895" spans="29:29" x14ac:dyDescent="0.25">
      <c r="AC9895" s="8"/>
    </row>
    <row r="9896" spans="29:29" x14ac:dyDescent="0.25">
      <c r="AC9896" s="8"/>
    </row>
    <row r="9897" spans="29:29" x14ac:dyDescent="0.25">
      <c r="AC9897" s="8"/>
    </row>
    <row r="9898" spans="29:29" x14ac:dyDescent="0.25">
      <c r="AC9898" s="8"/>
    </row>
    <row r="9899" spans="29:29" x14ac:dyDescent="0.25">
      <c r="AC9899" s="8"/>
    </row>
    <row r="9900" spans="29:29" x14ac:dyDescent="0.25">
      <c r="AC9900" s="8"/>
    </row>
    <row r="9901" spans="29:29" x14ac:dyDescent="0.25">
      <c r="AC9901" s="8"/>
    </row>
    <row r="9902" spans="29:29" x14ac:dyDescent="0.25">
      <c r="AC9902" s="8"/>
    </row>
    <row r="9903" spans="29:29" x14ac:dyDescent="0.25">
      <c r="AC9903" s="8"/>
    </row>
    <row r="9904" spans="29:29" x14ac:dyDescent="0.25">
      <c r="AC9904" s="8"/>
    </row>
    <row r="9905" spans="29:29" x14ac:dyDescent="0.25">
      <c r="AC9905" s="8"/>
    </row>
    <row r="9906" spans="29:29" x14ac:dyDescent="0.25">
      <c r="AC9906" s="8"/>
    </row>
    <row r="9907" spans="29:29" x14ac:dyDescent="0.25">
      <c r="AC9907" s="8"/>
    </row>
    <row r="9908" spans="29:29" x14ac:dyDescent="0.25">
      <c r="AC9908" s="8"/>
    </row>
    <row r="9909" spans="29:29" x14ac:dyDescent="0.25">
      <c r="AC9909" s="8"/>
    </row>
    <row r="9910" spans="29:29" x14ac:dyDescent="0.25">
      <c r="AC9910" s="8"/>
    </row>
    <row r="9911" spans="29:29" x14ac:dyDescent="0.25">
      <c r="AC9911" s="8"/>
    </row>
    <row r="9912" spans="29:29" x14ac:dyDescent="0.25">
      <c r="AC9912" s="8"/>
    </row>
    <row r="9913" spans="29:29" x14ac:dyDescent="0.25">
      <c r="AC9913" s="8"/>
    </row>
    <row r="9914" spans="29:29" x14ac:dyDescent="0.25">
      <c r="AC9914" s="8"/>
    </row>
    <row r="9915" spans="29:29" x14ac:dyDescent="0.25">
      <c r="AC9915" s="8"/>
    </row>
    <row r="9916" spans="29:29" x14ac:dyDescent="0.25">
      <c r="AC9916" s="8"/>
    </row>
    <row r="9917" spans="29:29" x14ac:dyDescent="0.25">
      <c r="AC9917" s="8"/>
    </row>
    <row r="9918" spans="29:29" x14ac:dyDescent="0.25">
      <c r="AC9918" s="8"/>
    </row>
    <row r="9919" spans="29:29" x14ac:dyDescent="0.25">
      <c r="AC9919" s="8"/>
    </row>
    <row r="9920" spans="29:29" x14ac:dyDescent="0.25">
      <c r="AC9920" s="8"/>
    </row>
    <row r="9921" spans="29:29" x14ac:dyDescent="0.25">
      <c r="AC9921" s="8"/>
    </row>
    <row r="9922" spans="29:29" x14ac:dyDescent="0.25">
      <c r="AC9922" s="8"/>
    </row>
    <row r="9923" spans="29:29" x14ac:dyDescent="0.25">
      <c r="AC9923" s="8"/>
    </row>
    <row r="9924" spans="29:29" x14ac:dyDescent="0.25">
      <c r="AC9924" s="8"/>
    </row>
    <row r="9925" spans="29:29" x14ac:dyDescent="0.25">
      <c r="AC9925" s="8"/>
    </row>
    <row r="9926" spans="29:29" x14ac:dyDescent="0.25">
      <c r="AC9926" s="8"/>
    </row>
    <row r="9927" spans="29:29" x14ac:dyDescent="0.25">
      <c r="AC9927" s="8"/>
    </row>
    <row r="9928" spans="29:29" x14ac:dyDescent="0.25">
      <c r="AC9928" s="8"/>
    </row>
    <row r="9929" spans="29:29" x14ac:dyDescent="0.25">
      <c r="AC9929" s="8"/>
    </row>
    <row r="9930" spans="29:29" x14ac:dyDescent="0.25">
      <c r="AC9930" s="8"/>
    </row>
    <row r="9931" spans="29:29" x14ac:dyDescent="0.25">
      <c r="AC9931" s="8"/>
    </row>
    <row r="9932" spans="29:29" x14ac:dyDescent="0.25">
      <c r="AC9932" s="8"/>
    </row>
    <row r="9933" spans="29:29" x14ac:dyDescent="0.25">
      <c r="AC9933" s="8"/>
    </row>
    <row r="9934" spans="29:29" x14ac:dyDescent="0.25">
      <c r="AC9934" s="8"/>
    </row>
    <row r="9935" spans="29:29" x14ac:dyDescent="0.25">
      <c r="AC9935" s="8"/>
    </row>
    <row r="9936" spans="29:29" x14ac:dyDescent="0.25">
      <c r="AC9936" s="8"/>
    </row>
    <row r="9937" spans="29:29" x14ac:dyDescent="0.25">
      <c r="AC9937" s="8"/>
    </row>
    <row r="9938" spans="29:29" x14ac:dyDescent="0.25">
      <c r="AC9938" s="8"/>
    </row>
    <row r="9939" spans="29:29" x14ac:dyDescent="0.25">
      <c r="AC9939" s="8"/>
    </row>
    <row r="9940" spans="29:29" x14ac:dyDescent="0.25">
      <c r="AC9940" s="8"/>
    </row>
    <row r="9941" spans="29:29" x14ac:dyDescent="0.25">
      <c r="AC9941" s="8"/>
    </row>
    <row r="9942" spans="29:29" x14ac:dyDescent="0.25">
      <c r="AC9942" s="8"/>
    </row>
    <row r="9943" spans="29:29" x14ac:dyDescent="0.25">
      <c r="AC9943" s="8"/>
    </row>
    <row r="9944" spans="29:29" x14ac:dyDescent="0.25">
      <c r="AC9944" s="8"/>
    </row>
    <row r="9945" spans="29:29" x14ac:dyDescent="0.25">
      <c r="AC9945" s="8"/>
    </row>
    <row r="9946" spans="29:29" x14ac:dyDescent="0.25">
      <c r="AC9946" s="8"/>
    </row>
    <row r="9947" spans="29:29" x14ac:dyDescent="0.25">
      <c r="AC9947" s="8"/>
    </row>
    <row r="9948" spans="29:29" x14ac:dyDescent="0.25">
      <c r="AC9948" s="8"/>
    </row>
    <row r="9949" spans="29:29" x14ac:dyDescent="0.25">
      <c r="AC9949" s="8"/>
    </row>
    <row r="9950" spans="29:29" x14ac:dyDescent="0.25">
      <c r="AC9950" s="8"/>
    </row>
    <row r="9951" spans="29:29" x14ac:dyDescent="0.25">
      <c r="AC9951" s="8"/>
    </row>
    <row r="9952" spans="29:29" x14ac:dyDescent="0.25">
      <c r="AC9952" s="8"/>
    </row>
    <row r="9953" spans="29:29" x14ac:dyDescent="0.25">
      <c r="AC9953" s="8"/>
    </row>
    <row r="9954" spans="29:29" x14ac:dyDescent="0.25">
      <c r="AC9954" s="8"/>
    </row>
    <row r="9955" spans="29:29" x14ac:dyDescent="0.25">
      <c r="AC9955" s="8"/>
    </row>
    <row r="9956" spans="29:29" x14ac:dyDescent="0.25">
      <c r="AC9956" s="8"/>
    </row>
    <row r="9957" spans="29:29" x14ac:dyDescent="0.25">
      <c r="AC9957" s="8"/>
    </row>
    <row r="9958" spans="29:29" x14ac:dyDescent="0.25">
      <c r="AC9958" s="8"/>
    </row>
    <row r="9959" spans="29:29" x14ac:dyDescent="0.25">
      <c r="AC9959" s="8"/>
    </row>
    <row r="9960" spans="29:29" x14ac:dyDescent="0.25">
      <c r="AC9960" s="8"/>
    </row>
    <row r="9961" spans="29:29" x14ac:dyDescent="0.25">
      <c r="AC9961" s="8"/>
    </row>
    <row r="9962" spans="29:29" x14ac:dyDescent="0.25">
      <c r="AC9962" s="8"/>
    </row>
    <row r="9963" spans="29:29" x14ac:dyDescent="0.25">
      <c r="AC9963" s="8"/>
    </row>
    <row r="9964" spans="29:29" x14ac:dyDescent="0.25">
      <c r="AC9964" s="8"/>
    </row>
    <row r="9965" spans="29:29" x14ac:dyDescent="0.25">
      <c r="AC9965" s="8"/>
    </row>
    <row r="9966" spans="29:29" x14ac:dyDescent="0.25">
      <c r="AC9966" s="8"/>
    </row>
    <row r="9967" spans="29:29" x14ac:dyDescent="0.25">
      <c r="AC9967" s="8"/>
    </row>
    <row r="9968" spans="29:29" x14ac:dyDescent="0.25">
      <c r="AC9968" s="8"/>
    </row>
    <row r="9969" spans="29:29" x14ac:dyDescent="0.25">
      <c r="AC9969" s="8"/>
    </row>
    <row r="9970" spans="29:29" x14ac:dyDescent="0.25">
      <c r="AC9970" s="8"/>
    </row>
    <row r="9971" spans="29:29" x14ac:dyDescent="0.25">
      <c r="AC9971" s="8"/>
    </row>
    <row r="9972" spans="29:29" x14ac:dyDescent="0.25">
      <c r="AC9972" s="8"/>
    </row>
    <row r="9973" spans="29:29" x14ac:dyDescent="0.25">
      <c r="AC9973" s="8"/>
    </row>
    <row r="9974" spans="29:29" x14ac:dyDescent="0.25">
      <c r="AC9974" s="8"/>
    </row>
    <row r="9975" spans="29:29" x14ac:dyDescent="0.25">
      <c r="AC9975" s="8"/>
    </row>
    <row r="9976" spans="29:29" x14ac:dyDescent="0.25">
      <c r="AC9976" s="8"/>
    </row>
    <row r="9977" spans="29:29" x14ac:dyDescent="0.25">
      <c r="AC9977" s="8"/>
    </row>
    <row r="9978" spans="29:29" x14ac:dyDescent="0.25">
      <c r="AC9978" s="8"/>
    </row>
    <row r="9979" spans="29:29" x14ac:dyDescent="0.25">
      <c r="AC9979" s="8"/>
    </row>
    <row r="9980" spans="29:29" x14ac:dyDescent="0.25">
      <c r="AC9980" s="8"/>
    </row>
    <row r="9981" spans="29:29" x14ac:dyDescent="0.25">
      <c r="AC9981" s="8"/>
    </row>
    <row r="9982" spans="29:29" x14ac:dyDescent="0.25">
      <c r="AC9982" s="8"/>
    </row>
    <row r="9983" spans="29:29" x14ac:dyDescent="0.25">
      <c r="AC9983" s="8"/>
    </row>
    <row r="9984" spans="29:29" x14ac:dyDescent="0.25">
      <c r="AC9984" s="8"/>
    </row>
    <row r="9985" spans="29:29" x14ac:dyDescent="0.25">
      <c r="AC9985" s="8"/>
    </row>
    <row r="9986" spans="29:29" x14ac:dyDescent="0.25">
      <c r="AC9986" s="8"/>
    </row>
    <row r="9987" spans="29:29" x14ac:dyDescent="0.25">
      <c r="AC9987" s="8"/>
    </row>
    <row r="9988" spans="29:29" x14ac:dyDescent="0.25">
      <c r="AC9988" s="8"/>
    </row>
    <row r="9989" spans="29:29" x14ac:dyDescent="0.25">
      <c r="AC9989" s="8"/>
    </row>
    <row r="9990" spans="29:29" x14ac:dyDescent="0.25">
      <c r="AC9990" s="8"/>
    </row>
    <row r="9991" spans="29:29" x14ac:dyDescent="0.25">
      <c r="AC9991" s="8"/>
    </row>
    <row r="9992" spans="29:29" x14ac:dyDescent="0.25">
      <c r="AC9992" s="8"/>
    </row>
    <row r="9993" spans="29:29" x14ac:dyDescent="0.25">
      <c r="AC9993" s="8"/>
    </row>
    <row r="9994" spans="29:29" x14ac:dyDescent="0.25">
      <c r="AC9994" s="8"/>
    </row>
    <row r="9995" spans="29:29" x14ac:dyDescent="0.25">
      <c r="AC9995" s="8"/>
    </row>
    <row r="9996" spans="29:29" x14ac:dyDescent="0.25">
      <c r="AC9996" s="8"/>
    </row>
    <row r="9997" spans="29:29" x14ac:dyDescent="0.25">
      <c r="AC9997" s="8"/>
    </row>
    <row r="9998" spans="29:29" x14ac:dyDescent="0.25">
      <c r="AC9998" s="8"/>
    </row>
    <row r="9999" spans="29:29" x14ac:dyDescent="0.25">
      <c r="AC9999" s="8"/>
    </row>
    <row r="10000" spans="29:29" x14ac:dyDescent="0.25">
      <c r="AC10000" s="8"/>
    </row>
    <row r="10001" spans="29:29" x14ac:dyDescent="0.25">
      <c r="AC10001" s="8"/>
    </row>
    <row r="10002" spans="29:29" x14ac:dyDescent="0.25">
      <c r="AC10002" s="8"/>
    </row>
  </sheetData>
  <mergeCells count="2">
    <mergeCell ref="B10:L10"/>
    <mergeCell ref="B36:L36"/>
  </mergeCells>
  <phoneticPr fontId="1" type="noConversion"/>
  <dataValidations count="2">
    <dataValidation type="list" allowBlank="1" showInputMessage="1" showErrorMessage="1" sqref="C2">
      <formula1>$Q$1:$Q$2</formula1>
    </dataValidation>
    <dataValidation type="list" allowBlank="1" showInputMessage="1" showErrorMessage="1" sqref="E2">
      <formula1>$P$6:$P$58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96"/>
  <sheetViews>
    <sheetView showGridLines="0" topLeftCell="A34" workbookViewId="0">
      <selection activeCell="F7" sqref="F7"/>
    </sheetView>
  </sheetViews>
  <sheetFormatPr defaultRowHeight="13.5" x14ac:dyDescent="0.25"/>
  <cols>
    <col min="1" max="1" width="9.140625" style="1"/>
    <col min="2" max="2" width="19" style="14" bestFit="1" customWidth="1"/>
    <col min="3" max="3" width="5.42578125" style="15" bestFit="1" customWidth="1"/>
    <col min="4" max="4" width="9.28515625" style="1" bestFit="1" customWidth="1"/>
    <col min="5" max="5" width="16.42578125" customWidth="1"/>
    <col min="6" max="6" width="22.28515625" bestFit="1" customWidth="1"/>
  </cols>
  <sheetData>
    <row r="1" spans="1:6" x14ac:dyDescent="0.25">
      <c r="A1" s="18" t="s">
        <v>200</v>
      </c>
      <c r="B1" s="18" t="s">
        <v>201</v>
      </c>
      <c r="C1" s="18" t="s">
        <v>1</v>
      </c>
      <c r="D1" s="18" t="s">
        <v>200</v>
      </c>
      <c r="E1" s="18" t="s">
        <v>2</v>
      </c>
      <c r="F1" s="18" t="s">
        <v>1</v>
      </c>
    </row>
    <row r="2" spans="1:6" x14ac:dyDescent="0.25">
      <c r="A2" s="19" t="s">
        <v>3</v>
      </c>
      <c r="B2" s="17" t="s">
        <v>3</v>
      </c>
      <c r="C2" s="16" t="s">
        <v>0</v>
      </c>
      <c r="D2" s="19" t="s">
        <v>87</v>
      </c>
      <c r="E2" s="17" t="s">
        <v>87</v>
      </c>
      <c r="F2" s="16" t="s">
        <v>86</v>
      </c>
    </row>
    <row r="3" spans="1:6" x14ac:dyDescent="0.25">
      <c r="A3" s="19" t="s">
        <v>3</v>
      </c>
      <c r="B3" s="17" t="s">
        <v>5</v>
      </c>
      <c r="C3" s="16" t="s">
        <v>4</v>
      </c>
      <c r="D3" s="19" t="s">
        <v>87</v>
      </c>
      <c r="E3" s="17" t="s">
        <v>89</v>
      </c>
      <c r="F3" s="16" t="s">
        <v>88</v>
      </c>
    </row>
    <row r="4" spans="1:6" x14ac:dyDescent="0.25">
      <c r="A4" s="19" t="s">
        <v>3</v>
      </c>
      <c r="B4" s="17" t="s">
        <v>7</v>
      </c>
      <c r="C4" s="16" t="s">
        <v>6</v>
      </c>
      <c r="D4" s="19" t="s">
        <v>87</v>
      </c>
      <c r="E4" s="17" t="s">
        <v>91</v>
      </c>
      <c r="F4" s="16" t="s">
        <v>90</v>
      </c>
    </row>
    <row r="5" spans="1:6" x14ac:dyDescent="0.25">
      <c r="A5" s="19" t="s">
        <v>3</v>
      </c>
      <c r="B5" s="17" t="s">
        <v>9</v>
      </c>
      <c r="C5" s="16" t="s">
        <v>8</v>
      </c>
      <c r="D5" s="19" t="s">
        <v>87</v>
      </c>
      <c r="E5" s="17" t="s">
        <v>93</v>
      </c>
      <c r="F5" s="16" t="s">
        <v>92</v>
      </c>
    </row>
    <row r="6" spans="1:6" x14ac:dyDescent="0.25">
      <c r="A6" s="19" t="s">
        <v>3</v>
      </c>
      <c r="B6" s="17" t="s">
        <v>11</v>
      </c>
      <c r="C6" s="16" t="s">
        <v>10</v>
      </c>
      <c r="D6" s="19" t="s">
        <v>87</v>
      </c>
      <c r="E6" s="17" t="s">
        <v>95</v>
      </c>
      <c r="F6" s="16" t="s">
        <v>94</v>
      </c>
    </row>
    <row r="7" spans="1:6" x14ac:dyDescent="0.25">
      <c r="A7" s="19" t="s">
        <v>3</v>
      </c>
      <c r="B7" s="17" t="s">
        <v>13</v>
      </c>
      <c r="C7" s="16" t="s">
        <v>12</v>
      </c>
      <c r="D7" s="19" t="s">
        <v>87</v>
      </c>
      <c r="E7" s="17" t="s">
        <v>97</v>
      </c>
      <c r="F7" s="16" t="s">
        <v>96</v>
      </c>
    </row>
    <row r="8" spans="1:6" x14ac:dyDescent="0.25">
      <c r="A8" s="19" t="s">
        <v>3</v>
      </c>
      <c r="B8" s="17" t="s">
        <v>15</v>
      </c>
      <c r="C8" s="16" t="s">
        <v>14</v>
      </c>
      <c r="D8" s="19" t="s">
        <v>87</v>
      </c>
      <c r="E8" s="17" t="s">
        <v>99</v>
      </c>
      <c r="F8" s="16" t="s">
        <v>98</v>
      </c>
    </row>
    <row r="9" spans="1:6" x14ac:dyDescent="0.25">
      <c r="A9" s="19" t="s">
        <v>3</v>
      </c>
      <c r="B9" s="17" t="s">
        <v>17</v>
      </c>
      <c r="C9" s="16" t="s">
        <v>16</v>
      </c>
      <c r="D9" s="19" t="s">
        <v>87</v>
      </c>
      <c r="E9" s="17" t="s">
        <v>101</v>
      </c>
      <c r="F9" s="16" t="s">
        <v>100</v>
      </c>
    </row>
    <row r="10" spans="1:6" x14ac:dyDescent="0.25">
      <c r="A10" s="19" t="s">
        <v>3</v>
      </c>
      <c r="B10" s="17" t="s">
        <v>19</v>
      </c>
      <c r="C10" s="16" t="s">
        <v>18</v>
      </c>
      <c r="D10" s="19" t="s">
        <v>87</v>
      </c>
      <c r="E10" s="17" t="s">
        <v>103</v>
      </c>
      <c r="F10" s="16" t="s">
        <v>102</v>
      </c>
    </row>
    <row r="11" spans="1:6" x14ac:dyDescent="0.25">
      <c r="A11" s="19" t="s">
        <v>3</v>
      </c>
      <c r="B11" s="17" t="s">
        <v>21</v>
      </c>
      <c r="C11" s="16" t="s">
        <v>20</v>
      </c>
      <c r="D11" s="19" t="s">
        <v>87</v>
      </c>
      <c r="E11" s="17" t="s">
        <v>105</v>
      </c>
      <c r="F11" s="16" t="s">
        <v>104</v>
      </c>
    </row>
    <row r="12" spans="1:6" x14ac:dyDescent="0.25">
      <c r="A12" s="19" t="s">
        <v>3</v>
      </c>
      <c r="B12" s="17" t="s">
        <v>23</v>
      </c>
      <c r="C12" s="16" t="s">
        <v>22</v>
      </c>
      <c r="D12" s="19" t="s">
        <v>87</v>
      </c>
      <c r="E12" s="17" t="s">
        <v>107</v>
      </c>
      <c r="F12" s="16" t="s">
        <v>106</v>
      </c>
    </row>
    <row r="13" spans="1:6" x14ac:dyDescent="0.25">
      <c r="A13" s="19" t="s">
        <v>3</v>
      </c>
      <c r="B13" s="17" t="s">
        <v>25</v>
      </c>
      <c r="C13" s="16" t="s">
        <v>24</v>
      </c>
      <c r="D13" s="19" t="s">
        <v>87</v>
      </c>
      <c r="E13" s="17" t="s">
        <v>109</v>
      </c>
      <c r="F13" s="16" t="s">
        <v>108</v>
      </c>
    </row>
    <row r="14" spans="1:6" x14ac:dyDescent="0.25">
      <c r="A14" s="19" t="s">
        <v>3</v>
      </c>
      <c r="B14" s="17" t="s">
        <v>27</v>
      </c>
      <c r="C14" s="16" t="s">
        <v>26</v>
      </c>
      <c r="D14" s="19" t="s">
        <v>87</v>
      </c>
      <c r="E14" s="17" t="s">
        <v>111</v>
      </c>
      <c r="F14" s="16" t="s">
        <v>110</v>
      </c>
    </row>
    <row r="15" spans="1:6" x14ac:dyDescent="0.25">
      <c r="A15" s="19" t="s">
        <v>3</v>
      </c>
      <c r="B15" s="17" t="s">
        <v>29</v>
      </c>
      <c r="C15" s="16" t="s">
        <v>28</v>
      </c>
      <c r="D15" s="19" t="s">
        <v>87</v>
      </c>
      <c r="E15" s="17" t="s">
        <v>113</v>
      </c>
      <c r="F15" s="16" t="s">
        <v>112</v>
      </c>
    </row>
    <row r="16" spans="1:6" x14ac:dyDescent="0.25">
      <c r="A16" s="19" t="s">
        <v>3</v>
      </c>
      <c r="B16" s="17" t="s">
        <v>31</v>
      </c>
      <c r="C16" s="16" t="s">
        <v>30</v>
      </c>
      <c r="D16" s="19" t="s">
        <v>87</v>
      </c>
      <c r="E16" s="17" t="s">
        <v>115</v>
      </c>
      <c r="F16" s="16" t="s">
        <v>114</v>
      </c>
    </row>
    <row r="17" spans="1:6" x14ac:dyDescent="0.25">
      <c r="A17" s="19" t="s">
        <v>3</v>
      </c>
      <c r="B17" s="17" t="s">
        <v>33</v>
      </c>
      <c r="C17" s="16" t="s">
        <v>32</v>
      </c>
      <c r="D17" s="19" t="s">
        <v>87</v>
      </c>
      <c r="E17" s="17" t="s">
        <v>117</v>
      </c>
      <c r="F17" s="16" t="s">
        <v>116</v>
      </c>
    </row>
    <row r="18" spans="1:6" x14ac:dyDescent="0.25">
      <c r="A18" s="19" t="s">
        <v>3</v>
      </c>
      <c r="B18" s="17" t="s">
        <v>35</v>
      </c>
      <c r="C18" s="16" t="s">
        <v>34</v>
      </c>
      <c r="D18" s="19" t="s">
        <v>87</v>
      </c>
      <c r="E18" s="17" t="s">
        <v>119</v>
      </c>
      <c r="F18" s="16" t="s">
        <v>118</v>
      </c>
    </row>
    <row r="19" spans="1:6" x14ac:dyDescent="0.25">
      <c r="A19" s="19" t="s">
        <v>3</v>
      </c>
      <c r="B19" s="17" t="s">
        <v>37</v>
      </c>
      <c r="C19" s="16" t="s">
        <v>36</v>
      </c>
      <c r="D19" s="19" t="s">
        <v>87</v>
      </c>
      <c r="E19" s="17" t="s">
        <v>121</v>
      </c>
      <c r="F19" s="16" t="s">
        <v>120</v>
      </c>
    </row>
    <row r="20" spans="1:6" x14ac:dyDescent="0.25">
      <c r="A20" s="19" t="s">
        <v>3</v>
      </c>
      <c r="B20" s="17" t="s">
        <v>39</v>
      </c>
      <c r="C20" s="16" t="s">
        <v>38</v>
      </c>
      <c r="D20" s="19" t="s">
        <v>87</v>
      </c>
      <c r="E20" s="17" t="s">
        <v>11</v>
      </c>
      <c r="F20" s="16" t="s">
        <v>122</v>
      </c>
    </row>
    <row r="21" spans="1:6" x14ac:dyDescent="0.25">
      <c r="A21" s="19" t="s">
        <v>3</v>
      </c>
      <c r="B21" s="17" t="s">
        <v>41</v>
      </c>
      <c r="C21" s="16" t="s">
        <v>40</v>
      </c>
      <c r="D21" s="19" t="s">
        <v>87</v>
      </c>
      <c r="E21" s="17" t="s">
        <v>124</v>
      </c>
      <c r="F21" s="16" t="s">
        <v>123</v>
      </c>
    </row>
    <row r="22" spans="1:6" x14ac:dyDescent="0.25">
      <c r="A22" s="19" t="s">
        <v>3</v>
      </c>
      <c r="B22" s="17" t="s">
        <v>43</v>
      </c>
      <c r="C22" s="16" t="s">
        <v>42</v>
      </c>
      <c r="D22" s="19" t="s">
        <v>87</v>
      </c>
      <c r="E22" s="17" t="s">
        <v>13</v>
      </c>
      <c r="F22" s="16" t="s">
        <v>125</v>
      </c>
    </row>
    <row r="23" spans="1:6" x14ac:dyDescent="0.25">
      <c r="A23" s="19" t="s">
        <v>3</v>
      </c>
      <c r="B23" s="17" t="s">
        <v>45</v>
      </c>
      <c r="C23" s="16" t="s">
        <v>44</v>
      </c>
      <c r="D23" s="19" t="s">
        <v>87</v>
      </c>
      <c r="E23" s="17" t="s">
        <v>127</v>
      </c>
      <c r="F23" s="16" t="s">
        <v>126</v>
      </c>
    </row>
    <row r="24" spans="1:6" x14ac:dyDescent="0.25">
      <c r="A24" s="19" t="s">
        <v>3</v>
      </c>
      <c r="B24" s="17" t="s">
        <v>47</v>
      </c>
      <c r="C24" s="16" t="s">
        <v>46</v>
      </c>
      <c r="D24" s="19" t="s">
        <v>87</v>
      </c>
      <c r="E24" s="17" t="s">
        <v>129</v>
      </c>
      <c r="F24" s="16" t="s">
        <v>128</v>
      </c>
    </row>
    <row r="25" spans="1:6" x14ac:dyDescent="0.25">
      <c r="A25" s="19" t="s">
        <v>3</v>
      </c>
      <c r="B25" s="17" t="s">
        <v>49</v>
      </c>
      <c r="C25" s="16" t="s">
        <v>48</v>
      </c>
      <c r="D25" s="19" t="s">
        <v>87</v>
      </c>
      <c r="E25" s="17" t="s">
        <v>131</v>
      </c>
      <c r="F25" s="16" t="s">
        <v>130</v>
      </c>
    </row>
    <row r="26" spans="1:6" x14ac:dyDescent="0.25">
      <c r="A26" s="19" t="s">
        <v>3</v>
      </c>
      <c r="B26" s="17" t="s">
        <v>51</v>
      </c>
      <c r="C26" s="16" t="s">
        <v>50</v>
      </c>
      <c r="D26" s="19" t="s">
        <v>87</v>
      </c>
      <c r="E26" s="17" t="s">
        <v>133</v>
      </c>
      <c r="F26" s="16" t="s">
        <v>132</v>
      </c>
    </row>
    <row r="27" spans="1:6" x14ac:dyDescent="0.25">
      <c r="A27" s="19" t="s">
        <v>3</v>
      </c>
      <c r="B27" s="17" t="s">
        <v>53</v>
      </c>
      <c r="C27" s="16" t="s">
        <v>52</v>
      </c>
      <c r="D27" s="19" t="s">
        <v>87</v>
      </c>
      <c r="E27" s="17" t="s">
        <v>135</v>
      </c>
      <c r="F27" s="16" t="s">
        <v>134</v>
      </c>
    </row>
    <row r="28" spans="1:6" x14ac:dyDescent="0.25">
      <c r="A28" s="19" t="s">
        <v>3</v>
      </c>
      <c r="B28" s="17" t="s">
        <v>55</v>
      </c>
      <c r="C28" s="16" t="s">
        <v>54</v>
      </c>
      <c r="D28" s="19" t="s">
        <v>87</v>
      </c>
      <c r="E28" s="17" t="s">
        <v>137</v>
      </c>
      <c r="F28" s="16" t="s">
        <v>136</v>
      </c>
    </row>
    <row r="29" spans="1:6" x14ac:dyDescent="0.25">
      <c r="A29" s="19" t="s">
        <v>3</v>
      </c>
      <c r="B29" s="17" t="s">
        <v>57</v>
      </c>
      <c r="C29" s="16" t="s">
        <v>56</v>
      </c>
      <c r="D29" s="19" t="s">
        <v>87</v>
      </c>
      <c r="E29" s="17" t="s">
        <v>139</v>
      </c>
      <c r="F29" s="16" t="s">
        <v>138</v>
      </c>
    </row>
    <row r="30" spans="1:6" x14ac:dyDescent="0.25">
      <c r="A30" s="19" t="s">
        <v>3</v>
      </c>
      <c r="B30" s="17" t="s">
        <v>59</v>
      </c>
      <c r="C30" s="16" t="s">
        <v>58</v>
      </c>
      <c r="D30" s="19" t="s">
        <v>87</v>
      </c>
      <c r="E30" s="17" t="s">
        <v>141</v>
      </c>
      <c r="F30" s="16" t="s">
        <v>140</v>
      </c>
    </row>
    <row r="31" spans="1:6" x14ac:dyDescent="0.25">
      <c r="A31" s="19" t="s">
        <v>3</v>
      </c>
      <c r="B31" s="17" t="s">
        <v>61</v>
      </c>
      <c r="C31" s="16" t="s">
        <v>60</v>
      </c>
      <c r="D31" s="19" t="s">
        <v>87</v>
      </c>
      <c r="E31" s="17" t="s">
        <v>143</v>
      </c>
      <c r="F31" s="16" t="s">
        <v>142</v>
      </c>
    </row>
    <row r="32" spans="1:6" x14ac:dyDescent="0.25">
      <c r="A32" s="19" t="s">
        <v>3</v>
      </c>
      <c r="B32" s="17" t="s">
        <v>63</v>
      </c>
      <c r="C32" s="16" t="s">
        <v>62</v>
      </c>
      <c r="D32" s="19" t="s">
        <v>87</v>
      </c>
      <c r="E32" s="17" t="s">
        <v>145</v>
      </c>
      <c r="F32" s="16" t="s">
        <v>144</v>
      </c>
    </row>
    <row r="33" spans="1:6" x14ac:dyDescent="0.25">
      <c r="A33" s="19" t="s">
        <v>3</v>
      </c>
      <c r="B33" s="17" t="s">
        <v>65</v>
      </c>
      <c r="C33" s="16" t="s">
        <v>64</v>
      </c>
      <c r="D33" s="19" t="s">
        <v>87</v>
      </c>
      <c r="E33" s="17" t="s">
        <v>147</v>
      </c>
      <c r="F33" s="16" t="s">
        <v>146</v>
      </c>
    </row>
    <row r="34" spans="1:6" x14ac:dyDescent="0.25">
      <c r="A34" s="19" t="s">
        <v>3</v>
      </c>
      <c r="B34" s="17" t="s">
        <v>67</v>
      </c>
      <c r="C34" s="16" t="s">
        <v>66</v>
      </c>
      <c r="D34" s="19" t="s">
        <v>87</v>
      </c>
      <c r="E34" s="17" t="s">
        <v>149</v>
      </c>
      <c r="F34" s="16" t="s">
        <v>148</v>
      </c>
    </row>
    <row r="35" spans="1:6" x14ac:dyDescent="0.25">
      <c r="A35" s="19" t="s">
        <v>3</v>
      </c>
      <c r="B35" s="17" t="s">
        <v>69</v>
      </c>
      <c r="C35" s="16" t="s">
        <v>68</v>
      </c>
      <c r="D35" s="19" t="s">
        <v>87</v>
      </c>
      <c r="E35" s="17" t="s">
        <v>151</v>
      </c>
      <c r="F35" s="16" t="s">
        <v>150</v>
      </c>
    </row>
    <row r="36" spans="1:6" x14ac:dyDescent="0.25">
      <c r="A36" s="19" t="s">
        <v>3</v>
      </c>
      <c r="B36" s="17" t="s">
        <v>71</v>
      </c>
      <c r="C36" s="16" t="s">
        <v>70</v>
      </c>
      <c r="D36" s="19" t="s">
        <v>87</v>
      </c>
      <c r="E36" s="17" t="s">
        <v>153</v>
      </c>
      <c r="F36" s="16" t="s">
        <v>152</v>
      </c>
    </row>
    <row r="37" spans="1:6" x14ac:dyDescent="0.25">
      <c r="A37" s="19" t="s">
        <v>3</v>
      </c>
      <c r="B37" s="17" t="s">
        <v>73</v>
      </c>
      <c r="C37" s="16" t="s">
        <v>72</v>
      </c>
      <c r="D37" s="19" t="s">
        <v>87</v>
      </c>
      <c r="E37" s="17" t="s">
        <v>155</v>
      </c>
      <c r="F37" s="16" t="s">
        <v>154</v>
      </c>
    </row>
    <row r="38" spans="1:6" x14ac:dyDescent="0.25">
      <c r="A38" s="19" t="s">
        <v>3</v>
      </c>
      <c r="B38" s="17" t="s">
        <v>75</v>
      </c>
      <c r="C38" s="16" t="s">
        <v>74</v>
      </c>
      <c r="D38" s="19" t="s">
        <v>87</v>
      </c>
      <c r="E38" s="17" t="s">
        <v>157</v>
      </c>
      <c r="F38" s="16" t="s">
        <v>156</v>
      </c>
    </row>
    <row r="39" spans="1:6" x14ac:dyDescent="0.25">
      <c r="A39" s="19" t="s">
        <v>3</v>
      </c>
      <c r="B39" s="17" t="s">
        <v>77</v>
      </c>
      <c r="C39" s="16" t="s">
        <v>76</v>
      </c>
      <c r="D39" s="19" t="s">
        <v>87</v>
      </c>
      <c r="E39" s="17" t="s">
        <v>159</v>
      </c>
      <c r="F39" s="16" t="s">
        <v>158</v>
      </c>
    </row>
    <row r="40" spans="1:6" x14ac:dyDescent="0.25">
      <c r="A40" s="19" t="s">
        <v>3</v>
      </c>
      <c r="B40" s="17" t="s">
        <v>79</v>
      </c>
      <c r="C40" s="16" t="s">
        <v>78</v>
      </c>
      <c r="D40" s="19" t="s">
        <v>87</v>
      </c>
      <c r="E40" s="17" t="s">
        <v>161</v>
      </c>
      <c r="F40" s="16" t="s">
        <v>160</v>
      </c>
    </row>
    <row r="41" spans="1:6" x14ac:dyDescent="0.25">
      <c r="A41" s="19" t="s">
        <v>3</v>
      </c>
      <c r="B41" s="17" t="s">
        <v>81</v>
      </c>
      <c r="C41" s="16" t="s">
        <v>80</v>
      </c>
      <c r="D41" s="19" t="s">
        <v>87</v>
      </c>
      <c r="E41" s="17" t="s">
        <v>163</v>
      </c>
      <c r="F41" s="16" t="s">
        <v>162</v>
      </c>
    </row>
    <row r="42" spans="1:6" x14ac:dyDescent="0.25">
      <c r="A42" s="19" t="s">
        <v>3</v>
      </c>
      <c r="B42" s="17" t="s">
        <v>83</v>
      </c>
      <c r="C42" s="16" t="s">
        <v>82</v>
      </c>
      <c r="D42" s="19" t="s">
        <v>87</v>
      </c>
      <c r="E42" s="17" t="s">
        <v>165</v>
      </c>
      <c r="F42" s="16" t="s">
        <v>164</v>
      </c>
    </row>
    <row r="43" spans="1:6" x14ac:dyDescent="0.25">
      <c r="A43" s="19" t="s">
        <v>3</v>
      </c>
      <c r="B43" s="17" t="s">
        <v>85</v>
      </c>
      <c r="C43" s="16" t="s">
        <v>84</v>
      </c>
      <c r="D43" s="19" t="s">
        <v>87</v>
      </c>
      <c r="E43" s="17" t="s">
        <v>167</v>
      </c>
      <c r="F43" s="16" t="s">
        <v>166</v>
      </c>
    </row>
    <row r="44" spans="1:6" x14ac:dyDescent="0.25">
      <c r="A44" s="19" t="s">
        <v>87</v>
      </c>
      <c r="B44" s="17" t="s">
        <v>87</v>
      </c>
      <c r="C44" s="16" t="s">
        <v>86</v>
      </c>
      <c r="D44" s="19" t="s">
        <v>87</v>
      </c>
      <c r="E44" s="17" t="s">
        <v>169</v>
      </c>
      <c r="F44" s="16" t="s">
        <v>168</v>
      </c>
    </row>
    <row r="45" spans="1:6" x14ac:dyDescent="0.25">
      <c r="A45" s="19" t="s">
        <v>87</v>
      </c>
      <c r="B45" s="17" t="s">
        <v>89</v>
      </c>
      <c r="C45" s="16" t="s">
        <v>88</v>
      </c>
      <c r="D45" s="19" t="s">
        <v>87</v>
      </c>
      <c r="E45" s="17" t="s">
        <v>171</v>
      </c>
      <c r="F45" s="16" t="s">
        <v>170</v>
      </c>
    </row>
    <row r="46" spans="1:6" x14ac:dyDescent="0.25">
      <c r="A46" s="19" t="s">
        <v>87</v>
      </c>
      <c r="B46" s="17" t="s">
        <v>91</v>
      </c>
      <c r="C46" s="16" t="s">
        <v>90</v>
      </c>
      <c r="D46" s="19" t="s">
        <v>87</v>
      </c>
      <c r="E46" s="17" t="s">
        <v>181</v>
      </c>
      <c r="F46" s="16" t="s">
        <v>172</v>
      </c>
    </row>
    <row r="47" spans="1:6" x14ac:dyDescent="0.25">
      <c r="A47" s="19" t="s">
        <v>87</v>
      </c>
      <c r="B47" s="17" t="s">
        <v>93</v>
      </c>
      <c r="C47" s="16" t="s">
        <v>92</v>
      </c>
      <c r="D47" s="19" t="s">
        <v>87</v>
      </c>
      <c r="E47" s="17" t="s">
        <v>182</v>
      </c>
      <c r="F47" s="16" t="s">
        <v>173</v>
      </c>
    </row>
    <row r="48" spans="1:6" x14ac:dyDescent="0.25">
      <c r="A48" s="19" t="s">
        <v>87</v>
      </c>
      <c r="B48" s="17" t="s">
        <v>95</v>
      </c>
      <c r="C48" s="16" t="s">
        <v>94</v>
      </c>
      <c r="D48" s="19" t="s">
        <v>87</v>
      </c>
      <c r="E48" s="17" t="s">
        <v>183</v>
      </c>
      <c r="F48" s="16" t="s">
        <v>174</v>
      </c>
    </row>
    <row r="49" spans="1:6" x14ac:dyDescent="0.25">
      <c r="A49" s="19" t="s">
        <v>87</v>
      </c>
      <c r="B49" s="17" t="s">
        <v>97</v>
      </c>
      <c r="C49" s="16" t="s">
        <v>96</v>
      </c>
      <c r="D49" s="19" t="s">
        <v>87</v>
      </c>
      <c r="E49" s="17" t="s">
        <v>184</v>
      </c>
      <c r="F49" s="16" t="s">
        <v>175</v>
      </c>
    </row>
    <row r="50" spans="1:6" x14ac:dyDescent="0.25">
      <c r="A50" s="19" t="s">
        <v>87</v>
      </c>
      <c r="B50" s="17" t="s">
        <v>99</v>
      </c>
      <c r="C50" s="16" t="s">
        <v>98</v>
      </c>
      <c r="D50" s="19" t="s">
        <v>87</v>
      </c>
      <c r="E50" s="17" t="s">
        <v>185</v>
      </c>
      <c r="F50" s="16" t="s">
        <v>176</v>
      </c>
    </row>
    <row r="51" spans="1:6" x14ac:dyDescent="0.25">
      <c r="A51" s="19" t="s">
        <v>87</v>
      </c>
      <c r="B51" s="17" t="s">
        <v>101</v>
      </c>
      <c r="C51" s="16" t="s">
        <v>100</v>
      </c>
      <c r="D51" s="19" t="s">
        <v>87</v>
      </c>
      <c r="E51" s="17" t="s">
        <v>186</v>
      </c>
      <c r="F51" s="16" t="s">
        <v>177</v>
      </c>
    </row>
    <row r="52" spans="1:6" x14ac:dyDescent="0.25">
      <c r="A52" s="19" t="s">
        <v>87</v>
      </c>
      <c r="B52" s="17" t="s">
        <v>103</v>
      </c>
      <c r="C52" s="16" t="s">
        <v>102</v>
      </c>
      <c r="D52" s="19" t="s">
        <v>87</v>
      </c>
      <c r="E52" s="17" t="s">
        <v>187</v>
      </c>
      <c r="F52" s="16" t="s">
        <v>178</v>
      </c>
    </row>
    <row r="53" spans="1:6" x14ac:dyDescent="0.25">
      <c r="A53" s="19" t="s">
        <v>87</v>
      </c>
      <c r="B53" s="17" t="s">
        <v>105</v>
      </c>
      <c r="C53" s="16" t="s">
        <v>104</v>
      </c>
      <c r="D53" s="19" t="s">
        <v>87</v>
      </c>
      <c r="E53" s="17" t="s">
        <v>188</v>
      </c>
      <c r="F53" s="16" t="s">
        <v>179</v>
      </c>
    </row>
    <row r="54" spans="1:6" x14ac:dyDescent="0.25">
      <c r="A54" s="19" t="s">
        <v>87</v>
      </c>
      <c r="B54" s="17" t="s">
        <v>107</v>
      </c>
      <c r="C54" s="16" t="s">
        <v>106</v>
      </c>
      <c r="D54" s="19" t="s">
        <v>87</v>
      </c>
      <c r="E54" s="17" t="s">
        <v>189</v>
      </c>
      <c r="F54" s="16" t="s">
        <v>180</v>
      </c>
    </row>
    <row r="55" spans="1:6" x14ac:dyDescent="0.25">
      <c r="A55" s="19" t="s">
        <v>87</v>
      </c>
      <c r="B55" s="17" t="s">
        <v>109</v>
      </c>
      <c r="C55" s="16" t="s">
        <v>108</v>
      </c>
    </row>
    <row r="56" spans="1:6" x14ac:dyDescent="0.25">
      <c r="A56" s="19" t="s">
        <v>87</v>
      </c>
      <c r="B56" s="17" t="s">
        <v>111</v>
      </c>
      <c r="C56" s="16" t="s">
        <v>110</v>
      </c>
    </row>
    <row r="57" spans="1:6" x14ac:dyDescent="0.25">
      <c r="A57" s="19" t="s">
        <v>87</v>
      </c>
      <c r="B57" s="17" t="s">
        <v>113</v>
      </c>
      <c r="C57" s="16" t="s">
        <v>112</v>
      </c>
    </row>
    <row r="58" spans="1:6" x14ac:dyDescent="0.25">
      <c r="A58" s="19" t="s">
        <v>87</v>
      </c>
      <c r="B58" s="17" t="s">
        <v>115</v>
      </c>
      <c r="C58" s="16" t="s">
        <v>114</v>
      </c>
    </row>
    <row r="59" spans="1:6" x14ac:dyDescent="0.25">
      <c r="A59" s="19" t="s">
        <v>87</v>
      </c>
      <c r="B59" s="17" t="s">
        <v>117</v>
      </c>
      <c r="C59" s="16" t="s">
        <v>116</v>
      </c>
    </row>
    <row r="60" spans="1:6" x14ac:dyDescent="0.25">
      <c r="A60" s="19" t="s">
        <v>87</v>
      </c>
      <c r="B60" s="17" t="s">
        <v>119</v>
      </c>
      <c r="C60" s="16" t="s">
        <v>118</v>
      </c>
    </row>
    <row r="61" spans="1:6" x14ac:dyDescent="0.25">
      <c r="A61" s="19" t="s">
        <v>87</v>
      </c>
      <c r="B61" s="17" t="s">
        <v>121</v>
      </c>
      <c r="C61" s="16" t="s">
        <v>120</v>
      </c>
    </row>
    <row r="62" spans="1:6" x14ac:dyDescent="0.25">
      <c r="A62" s="19" t="s">
        <v>87</v>
      </c>
      <c r="B62" s="17" t="s">
        <v>11</v>
      </c>
      <c r="C62" s="16" t="s">
        <v>122</v>
      </c>
    </row>
    <row r="63" spans="1:6" x14ac:dyDescent="0.25">
      <c r="A63" s="19" t="s">
        <v>87</v>
      </c>
      <c r="B63" s="17" t="s">
        <v>124</v>
      </c>
      <c r="C63" s="16" t="s">
        <v>123</v>
      </c>
    </row>
    <row r="64" spans="1:6" x14ac:dyDescent="0.25">
      <c r="A64" s="19" t="s">
        <v>87</v>
      </c>
      <c r="B64" s="17" t="s">
        <v>13</v>
      </c>
      <c r="C64" s="16" t="s">
        <v>125</v>
      </c>
    </row>
    <row r="65" spans="1:3" x14ac:dyDescent="0.25">
      <c r="A65" s="19" t="s">
        <v>87</v>
      </c>
      <c r="B65" s="17" t="s">
        <v>127</v>
      </c>
      <c r="C65" s="16" t="s">
        <v>126</v>
      </c>
    </row>
    <row r="66" spans="1:3" x14ac:dyDescent="0.25">
      <c r="A66" s="19" t="s">
        <v>87</v>
      </c>
      <c r="B66" s="17" t="s">
        <v>129</v>
      </c>
      <c r="C66" s="16" t="s">
        <v>128</v>
      </c>
    </row>
    <row r="67" spans="1:3" x14ac:dyDescent="0.25">
      <c r="A67" s="19" t="s">
        <v>87</v>
      </c>
      <c r="B67" s="17" t="s">
        <v>131</v>
      </c>
      <c r="C67" s="16" t="s">
        <v>130</v>
      </c>
    </row>
    <row r="68" spans="1:3" x14ac:dyDescent="0.25">
      <c r="A68" s="19" t="s">
        <v>87</v>
      </c>
      <c r="B68" s="17" t="s">
        <v>133</v>
      </c>
      <c r="C68" s="16" t="s">
        <v>132</v>
      </c>
    </row>
    <row r="69" spans="1:3" x14ac:dyDescent="0.25">
      <c r="A69" s="19" t="s">
        <v>87</v>
      </c>
      <c r="B69" s="17" t="s">
        <v>135</v>
      </c>
      <c r="C69" s="16" t="s">
        <v>134</v>
      </c>
    </row>
    <row r="70" spans="1:3" x14ac:dyDescent="0.25">
      <c r="A70" s="19" t="s">
        <v>87</v>
      </c>
      <c r="B70" s="17" t="s">
        <v>137</v>
      </c>
      <c r="C70" s="16" t="s">
        <v>136</v>
      </c>
    </row>
    <row r="71" spans="1:3" x14ac:dyDescent="0.25">
      <c r="A71" s="19" t="s">
        <v>87</v>
      </c>
      <c r="B71" s="17" t="s">
        <v>139</v>
      </c>
      <c r="C71" s="16" t="s">
        <v>138</v>
      </c>
    </row>
    <row r="72" spans="1:3" x14ac:dyDescent="0.25">
      <c r="A72" s="19" t="s">
        <v>87</v>
      </c>
      <c r="B72" s="17" t="s">
        <v>141</v>
      </c>
      <c r="C72" s="16" t="s">
        <v>140</v>
      </c>
    </row>
    <row r="73" spans="1:3" x14ac:dyDescent="0.25">
      <c r="A73" s="19" t="s">
        <v>87</v>
      </c>
      <c r="B73" s="17" t="s">
        <v>143</v>
      </c>
      <c r="C73" s="16" t="s">
        <v>142</v>
      </c>
    </row>
    <row r="74" spans="1:3" x14ac:dyDescent="0.25">
      <c r="A74" s="19" t="s">
        <v>87</v>
      </c>
      <c r="B74" s="17" t="s">
        <v>145</v>
      </c>
      <c r="C74" s="16" t="s">
        <v>144</v>
      </c>
    </row>
    <row r="75" spans="1:3" x14ac:dyDescent="0.25">
      <c r="A75" s="19" t="s">
        <v>87</v>
      </c>
      <c r="B75" s="17" t="s">
        <v>147</v>
      </c>
      <c r="C75" s="16" t="s">
        <v>146</v>
      </c>
    </row>
    <row r="76" spans="1:3" x14ac:dyDescent="0.25">
      <c r="A76" s="19" t="s">
        <v>87</v>
      </c>
      <c r="B76" s="17" t="s">
        <v>149</v>
      </c>
      <c r="C76" s="16" t="s">
        <v>148</v>
      </c>
    </row>
    <row r="77" spans="1:3" x14ac:dyDescent="0.25">
      <c r="A77" s="19" t="s">
        <v>87</v>
      </c>
      <c r="B77" s="17" t="s">
        <v>151</v>
      </c>
      <c r="C77" s="16" t="s">
        <v>150</v>
      </c>
    </row>
    <row r="78" spans="1:3" x14ac:dyDescent="0.25">
      <c r="A78" s="19" t="s">
        <v>87</v>
      </c>
      <c r="B78" s="17" t="s">
        <v>153</v>
      </c>
      <c r="C78" s="16" t="s">
        <v>152</v>
      </c>
    </row>
    <row r="79" spans="1:3" x14ac:dyDescent="0.25">
      <c r="A79" s="19" t="s">
        <v>87</v>
      </c>
      <c r="B79" s="17" t="s">
        <v>155</v>
      </c>
      <c r="C79" s="16" t="s">
        <v>154</v>
      </c>
    </row>
    <row r="80" spans="1:3" x14ac:dyDescent="0.25">
      <c r="A80" s="19" t="s">
        <v>87</v>
      </c>
      <c r="B80" s="17" t="s">
        <v>157</v>
      </c>
      <c r="C80" s="16" t="s">
        <v>156</v>
      </c>
    </row>
    <row r="81" spans="1:3" x14ac:dyDescent="0.25">
      <c r="A81" s="19" t="s">
        <v>87</v>
      </c>
      <c r="B81" s="17" t="s">
        <v>159</v>
      </c>
      <c r="C81" s="16" t="s">
        <v>158</v>
      </c>
    </row>
    <row r="82" spans="1:3" x14ac:dyDescent="0.25">
      <c r="A82" s="19" t="s">
        <v>87</v>
      </c>
      <c r="B82" s="17" t="s">
        <v>161</v>
      </c>
      <c r="C82" s="16" t="s">
        <v>160</v>
      </c>
    </row>
    <row r="83" spans="1:3" x14ac:dyDescent="0.25">
      <c r="A83" s="19" t="s">
        <v>87</v>
      </c>
      <c r="B83" s="17" t="s">
        <v>163</v>
      </c>
      <c r="C83" s="16" t="s">
        <v>162</v>
      </c>
    </row>
    <row r="84" spans="1:3" x14ac:dyDescent="0.25">
      <c r="A84" s="19" t="s">
        <v>87</v>
      </c>
      <c r="B84" s="17" t="s">
        <v>165</v>
      </c>
      <c r="C84" s="16" t="s">
        <v>164</v>
      </c>
    </row>
    <row r="85" spans="1:3" x14ac:dyDescent="0.25">
      <c r="A85" s="19" t="s">
        <v>87</v>
      </c>
      <c r="B85" s="17" t="s">
        <v>167</v>
      </c>
      <c r="C85" s="16" t="s">
        <v>166</v>
      </c>
    </row>
    <row r="86" spans="1:3" x14ac:dyDescent="0.25">
      <c r="A86" s="19" t="s">
        <v>87</v>
      </c>
      <c r="B86" s="17" t="s">
        <v>169</v>
      </c>
      <c r="C86" s="16" t="s">
        <v>168</v>
      </c>
    </row>
    <row r="87" spans="1:3" x14ac:dyDescent="0.25">
      <c r="A87" s="19" t="s">
        <v>87</v>
      </c>
      <c r="B87" s="17" t="s">
        <v>171</v>
      </c>
      <c r="C87" s="16" t="s">
        <v>170</v>
      </c>
    </row>
    <row r="88" spans="1:3" x14ac:dyDescent="0.25">
      <c r="A88" s="19" t="s">
        <v>87</v>
      </c>
      <c r="B88" s="17" t="s">
        <v>181</v>
      </c>
      <c r="C88" s="16" t="s">
        <v>172</v>
      </c>
    </row>
    <row r="89" spans="1:3" x14ac:dyDescent="0.25">
      <c r="A89" s="19" t="s">
        <v>87</v>
      </c>
      <c r="B89" s="17" t="s">
        <v>182</v>
      </c>
      <c r="C89" s="16" t="s">
        <v>173</v>
      </c>
    </row>
    <row r="90" spans="1:3" x14ac:dyDescent="0.25">
      <c r="A90" s="19" t="s">
        <v>87</v>
      </c>
      <c r="B90" s="17" t="s">
        <v>183</v>
      </c>
      <c r="C90" s="16" t="s">
        <v>174</v>
      </c>
    </row>
    <row r="91" spans="1:3" x14ac:dyDescent="0.25">
      <c r="A91" s="19" t="s">
        <v>87</v>
      </c>
      <c r="B91" s="17" t="s">
        <v>184</v>
      </c>
      <c r="C91" s="16" t="s">
        <v>175</v>
      </c>
    </row>
    <row r="92" spans="1:3" x14ac:dyDescent="0.25">
      <c r="A92" s="19" t="s">
        <v>87</v>
      </c>
      <c r="B92" s="17" t="s">
        <v>185</v>
      </c>
      <c r="C92" s="16" t="s">
        <v>176</v>
      </c>
    </row>
    <row r="93" spans="1:3" x14ac:dyDescent="0.25">
      <c r="A93" s="19" t="s">
        <v>87</v>
      </c>
      <c r="B93" s="17" t="s">
        <v>186</v>
      </c>
      <c r="C93" s="16" t="s">
        <v>177</v>
      </c>
    </row>
    <row r="94" spans="1:3" x14ac:dyDescent="0.25">
      <c r="A94" s="19" t="s">
        <v>87</v>
      </c>
      <c r="B94" s="17" t="s">
        <v>187</v>
      </c>
      <c r="C94" s="16" t="s">
        <v>178</v>
      </c>
    </row>
    <row r="95" spans="1:3" x14ac:dyDescent="0.25">
      <c r="A95" s="19" t="s">
        <v>87</v>
      </c>
      <c r="B95" s="17" t="s">
        <v>188</v>
      </c>
      <c r="C95" s="16" t="s">
        <v>179</v>
      </c>
    </row>
    <row r="96" spans="1:3" x14ac:dyDescent="0.25">
      <c r="A96" s="19" t="s">
        <v>87</v>
      </c>
      <c r="B96" s="17" t="s">
        <v>189</v>
      </c>
      <c r="C96" s="16" t="s">
        <v>180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3.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Market Overview</vt:lpstr>
      <vt:lpstr>업종코드</vt:lpstr>
      <vt:lpstr>도움말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2015-04-30T06:23:04Z</dcterms:created>
  <dcterms:modified xsi:type="dcterms:W3CDTF">2019-09-29T23:11:17Z</dcterms:modified>
</cp:coreProperties>
</file>