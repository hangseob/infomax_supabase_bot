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Works\0승환\템플릿\1시장분석\4해외\"/>
    </mc:Choice>
  </mc:AlternateContent>
  <xr:revisionPtr revIDLastSave="0" documentId="13_ncr:1_{8CE26782-3E76-44CC-BFED-04ECC30D59EF}" xr6:coauthVersionLast="47" xr6:coauthVersionMax="47" xr10:uidLastSave="{00000000-0000-0000-0000-000000000000}"/>
  <bookViews>
    <workbookView xWindow="855" yWindow="450" windowWidth="28065" windowHeight="15030" firstSheet="1" activeTab="1" xr2:uid="{D148C286-792B-4A87-8ABF-73D681E71694}"/>
  </bookViews>
  <sheets>
    <sheet name="code" sheetId="3" state="hidden" r:id="rId1"/>
    <sheet name="table" sheetId="10" r:id="rId2"/>
  </sheets>
  <definedNames>
    <definedName name="afr">code!$Z$2:$Z$51</definedName>
    <definedName name="america">code!$V$2:$V$36</definedName>
    <definedName name="asia">code!$W$2:$W$49</definedName>
    <definedName name="conti_select">code!$M$6</definedName>
    <definedName name="default">code!$U$2:$U$36</definedName>
    <definedName name="europe">code!$X$2:$X$45</definedName>
    <definedName name="fields">table!$B$8:$B$57</definedName>
    <definedName name="mide">code!$Y$2:$Y$15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0" l="1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C41" i="10" l="1"/>
  <c r="C40" i="10"/>
  <c r="C39" i="10"/>
  <c r="J39" i="10" s="1" a="1"/>
  <c r="J39" i="10" s="1"/>
  <c r="C38" i="10"/>
  <c r="J38" i="10" s="1" a="1"/>
  <c r="J38" i="10" s="1"/>
  <c r="C37" i="10"/>
  <c r="C36" i="10"/>
  <c r="C35" i="10"/>
  <c r="J35" i="10" s="1" a="1"/>
  <c r="J35" i="10" s="1"/>
  <c r="C34" i="10"/>
  <c r="J34" i="10" s="1" a="1"/>
  <c r="J34" i="10" s="1"/>
  <c r="C33" i="10"/>
  <c r="C32" i="10"/>
  <c r="C31" i="10"/>
  <c r="J31" i="10" s="1" a="1"/>
  <c r="J31" i="10" s="1"/>
  <c r="C30" i="10"/>
  <c r="J30" i="10" s="1" a="1"/>
  <c r="J30" i="10" s="1"/>
  <c r="C29" i="10"/>
  <c r="C28" i="10"/>
  <c r="C27" i="10"/>
  <c r="J27" i="10" s="1" a="1"/>
  <c r="J27" i="10" s="1"/>
  <c r="C26" i="10"/>
  <c r="J26" i="10" s="1" a="1"/>
  <c r="J26" i="10" s="1"/>
  <c r="C25" i="10"/>
  <c r="C24" i="10"/>
  <c r="C23" i="10"/>
  <c r="J23" i="10" s="1" a="1"/>
  <c r="J23" i="10" s="1"/>
  <c r="C22" i="10"/>
  <c r="J22" i="10" s="1" a="1"/>
  <c r="J22" i="10" s="1"/>
  <c r="C21" i="10"/>
  <c r="C20" i="10"/>
  <c r="C19" i="10"/>
  <c r="J19" i="10" s="1" a="1"/>
  <c r="J19" i="10" s="1"/>
  <c r="C18" i="10"/>
  <c r="J18" i="10" s="1" a="1"/>
  <c r="J18" i="10" s="1"/>
  <c r="C17" i="10"/>
  <c r="C16" i="10"/>
  <c r="C15" i="10"/>
  <c r="J15" i="10" s="1" a="1"/>
  <c r="J15" i="10" s="1"/>
  <c r="C14" i="10"/>
  <c r="J14" i="10" s="1" a="1"/>
  <c r="J14" i="10" s="1"/>
  <c r="C13" i="10"/>
  <c r="C12" i="10"/>
  <c r="C11" i="10"/>
  <c r="J11" i="10" s="1" a="1"/>
  <c r="J11" i="10" s="1"/>
  <c r="C10" i="10"/>
  <c r="J10" i="10" s="1" a="1"/>
  <c r="J10" i="10" s="1"/>
  <c r="C9" i="10"/>
  <c r="C8" i="10"/>
  <c r="J8" i="10" s="1" a="1"/>
  <c r="J8" i="10" s="1"/>
  <c r="C57" i="10"/>
  <c r="J57" i="10" s="1" a="1"/>
  <c r="J57" i="10" s="1"/>
  <c r="C56" i="10"/>
  <c r="C55" i="10"/>
  <c r="J55" i="10" s="1" a="1"/>
  <c r="J55" i="10" s="1"/>
  <c r="C54" i="10"/>
  <c r="C53" i="10"/>
  <c r="J53" i="10" s="1" a="1"/>
  <c r="J53" i="10" s="1"/>
  <c r="C52" i="10"/>
  <c r="C51" i="10"/>
  <c r="J51" i="10" s="1" a="1"/>
  <c r="J51" i="10" s="1"/>
  <c r="C50" i="10"/>
  <c r="C49" i="10"/>
  <c r="J49" i="10" s="1" a="1"/>
  <c r="J49" i="10" s="1"/>
  <c r="C48" i="10"/>
  <c r="J48" i="10" s="1" a="1"/>
  <c r="J48" i="10" s="1"/>
  <c r="C47" i="10"/>
  <c r="J47" i="10" s="1" a="1"/>
  <c r="J47" i="10" s="1"/>
  <c r="C46" i="10"/>
  <c r="C45" i="10"/>
  <c r="J45" i="10" s="1" a="1"/>
  <c r="J45" i="10" s="1"/>
  <c r="C44" i="10"/>
  <c r="J44" i="10" s="1" a="1"/>
  <c r="J44" i="10" s="1"/>
  <c r="C43" i="10"/>
  <c r="J43" i="10" s="1" a="1"/>
  <c r="J43" i="10" s="1"/>
  <c r="C42" i="10"/>
  <c r="J42" i="10" s="1" a="1"/>
  <c r="J42" i="10" s="1"/>
  <c r="O7" i="10" a="1"/>
  <c r="O7" i="10" s="1"/>
  <c r="I7" i="10" a="1"/>
  <c r="I7" i="10" s="1"/>
  <c r="K39" i="10" a="1"/>
  <c r="L34" i="10" a="1"/>
  <c r="L26" i="10" a="1"/>
  <c r="L18" i="10" a="1"/>
  <c r="L10" i="10" a="1"/>
  <c r="K11" i="10" a="1"/>
  <c r="L42" i="10" a="1"/>
  <c r="K15" i="10" a="1"/>
  <c r="L15" i="10" a="1"/>
  <c r="K26" i="10" a="1"/>
  <c r="K19" i="10" a="1"/>
  <c r="L27" i="10" a="1"/>
  <c r="K38" i="10" a="1"/>
  <c r="K30" i="10" a="1"/>
  <c r="K22" i="10" a="1"/>
  <c r="K14" i="10" a="1"/>
  <c r="K31" i="10" a="1"/>
  <c r="K8" i="10" a="1"/>
  <c r="K35" i="10" a="1"/>
  <c r="L19" i="10" a="1"/>
  <c r="L23" i="10" a="1"/>
  <c r="L8" i="10" a="1"/>
  <c r="L39" i="10" a="1"/>
  <c r="K34" i="10" a="1"/>
  <c r="K10" i="10" a="1"/>
  <c r="K27" i="10" a="1"/>
  <c r="L38" i="10" a="1"/>
  <c r="L30" i="10" a="1"/>
  <c r="L22" i="10" a="1"/>
  <c r="L14" i="10" a="1"/>
  <c r="K23" i="10" a="1"/>
  <c r="L35" i="10" a="1"/>
  <c r="L11" i="10" a="1"/>
  <c r="K18" i="10" a="1"/>
  <c r="K42" i="10" a="1"/>
  <c r="L31" i="10" a="1"/>
  <c r="K15" i="10" l="1"/>
  <c r="K27" i="10"/>
  <c r="L35" i="10"/>
  <c r="K35" i="10"/>
  <c r="L42" i="10"/>
  <c r="K42" i="10"/>
  <c r="L8" i="10"/>
  <c r="K8" i="10"/>
  <c r="K11" i="10"/>
  <c r="K19" i="10"/>
  <c r="K23" i="10"/>
  <c r="K31" i="10"/>
  <c r="L10" i="10"/>
  <c r="K10" i="10"/>
  <c r="L14" i="10"/>
  <c r="K14" i="10"/>
  <c r="L18" i="10"/>
  <c r="K18" i="10"/>
  <c r="L22" i="10"/>
  <c r="K22" i="10"/>
  <c r="L26" i="10"/>
  <c r="K26" i="10"/>
  <c r="L30" i="10"/>
  <c r="K30" i="10"/>
  <c r="L34" i="10"/>
  <c r="K34" i="10"/>
  <c r="L38" i="10"/>
  <c r="K38" i="10"/>
  <c r="K39" i="10"/>
  <c r="L31" i="10"/>
  <c r="L39" i="10"/>
  <c r="L23" i="10"/>
  <c r="L15" i="10"/>
  <c r="L27" i="10"/>
  <c r="L11" i="10"/>
  <c r="L19" i="10"/>
  <c r="F52" i="10" a="1"/>
  <c r="F52" i="10" s="1"/>
  <c r="J52" i="10" a="1"/>
  <c r="J52" i="10" s="1"/>
  <c r="F56" i="10" a="1"/>
  <c r="F56" i="10" s="1"/>
  <c r="J56" i="10" a="1"/>
  <c r="J56" i="10" s="1"/>
  <c r="F12" i="10" a="1"/>
  <c r="F12" i="10" s="1"/>
  <c r="J12" i="10" a="1"/>
  <c r="J12" i="10" s="1"/>
  <c r="F16" i="10" a="1"/>
  <c r="F16" i="10" s="1"/>
  <c r="J16" i="10" a="1"/>
  <c r="J16" i="10" s="1"/>
  <c r="F20" i="10" a="1"/>
  <c r="F20" i="10" s="1"/>
  <c r="J20" i="10" a="1"/>
  <c r="J20" i="10" s="1"/>
  <c r="F24" i="10" a="1"/>
  <c r="F24" i="10" s="1"/>
  <c r="J24" i="10" a="1"/>
  <c r="J24" i="10" s="1"/>
  <c r="F28" i="10" a="1"/>
  <c r="F28" i="10" s="1"/>
  <c r="J28" i="10" a="1"/>
  <c r="J28" i="10" s="1"/>
  <c r="F32" i="10" a="1"/>
  <c r="F32" i="10" s="1"/>
  <c r="J32" i="10" a="1"/>
  <c r="J32" i="10" s="1"/>
  <c r="F36" i="10" a="1"/>
  <c r="F36" i="10" s="1"/>
  <c r="J36" i="10" a="1"/>
  <c r="J36" i="10" s="1"/>
  <c r="F40" i="10" a="1"/>
  <c r="F40" i="10" s="1"/>
  <c r="J40" i="10" a="1"/>
  <c r="J40" i="10" s="1"/>
  <c r="F46" i="10" a="1"/>
  <c r="F46" i="10" s="1"/>
  <c r="J46" i="10" a="1"/>
  <c r="J46" i="10" s="1"/>
  <c r="F50" i="10" a="1"/>
  <c r="F50" i="10" s="1"/>
  <c r="J50" i="10" a="1"/>
  <c r="J50" i="10" s="1"/>
  <c r="F54" i="10" a="1"/>
  <c r="F54" i="10" s="1"/>
  <c r="J54" i="10" a="1"/>
  <c r="J54" i="10" s="1"/>
  <c r="F9" i="10" a="1"/>
  <c r="F9" i="10" s="1"/>
  <c r="J9" i="10" a="1"/>
  <c r="J9" i="10" s="1"/>
  <c r="F13" i="10" a="1"/>
  <c r="F13" i="10" s="1"/>
  <c r="J13" i="10" a="1"/>
  <c r="J13" i="10" s="1"/>
  <c r="F17" i="10" a="1"/>
  <c r="F17" i="10" s="1"/>
  <c r="J17" i="10" a="1"/>
  <c r="J17" i="10" s="1"/>
  <c r="F21" i="10" a="1"/>
  <c r="F21" i="10" s="1"/>
  <c r="J21" i="10" a="1"/>
  <c r="J21" i="10" s="1"/>
  <c r="F25" i="10" a="1"/>
  <c r="F25" i="10" s="1"/>
  <c r="J25" i="10" a="1"/>
  <c r="J25" i="10" s="1"/>
  <c r="F29" i="10" a="1"/>
  <c r="F29" i="10" s="1"/>
  <c r="J29" i="10" a="1"/>
  <c r="J29" i="10" s="1"/>
  <c r="F33" i="10" a="1"/>
  <c r="F33" i="10" s="1"/>
  <c r="J33" i="10" a="1"/>
  <c r="J33" i="10" s="1"/>
  <c r="F37" i="10" a="1"/>
  <c r="F37" i="10" s="1"/>
  <c r="J37" i="10" a="1"/>
  <c r="J37" i="10" s="1"/>
  <c r="F41" i="10" a="1"/>
  <c r="F41" i="10" s="1"/>
  <c r="J41" i="10" a="1"/>
  <c r="J41" i="10" s="1"/>
  <c r="F8" i="10" a="1"/>
  <c r="F8" i="10" s="1"/>
  <c r="G42" i="10" a="1"/>
  <c r="G42" i="10" s="1"/>
  <c r="G44" i="10" a="1"/>
  <c r="G44" i="10" s="1"/>
  <c r="G48" i="10" a="1"/>
  <c r="G48" i="10" s="1"/>
  <c r="G18" i="10" a="1"/>
  <c r="G18" i="10" s="1"/>
  <c r="G22" i="10" a="1"/>
  <c r="G22" i="10" s="1"/>
  <c r="G26" i="10" a="1"/>
  <c r="G26" i="10" s="1"/>
  <c r="G38" i="10" a="1"/>
  <c r="G38" i="10" s="1"/>
  <c r="F44" i="10" a="1"/>
  <c r="F44" i="10" s="1"/>
  <c r="F48" i="10" a="1"/>
  <c r="F48" i="10" s="1"/>
  <c r="G45" i="10" a="1"/>
  <c r="G45" i="10" s="1"/>
  <c r="G49" i="10" a="1"/>
  <c r="G49" i="10" s="1"/>
  <c r="G53" i="10" a="1"/>
  <c r="G53" i="10" s="1"/>
  <c r="G57" i="10" a="1"/>
  <c r="G57" i="10" s="1"/>
  <c r="G11" i="10" a="1"/>
  <c r="G11" i="10" s="1"/>
  <c r="G15" i="10" a="1"/>
  <c r="G15" i="10" s="1"/>
  <c r="G19" i="10" a="1"/>
  <c r="G19" i="10" s="1"/>
  <c r="G23" i="10" a="1"/>
  <c r="G23" i="10" s="1"/>
  <c r="G27" i="10" a="1"/>
  <c r="G27" i="10" s="1"/>
  <c r="G31" i="10" a="1"/>
  <c r="G31" i="10" s="1"/>
  <c r="G35" i="10" a="1"/>
  <c r="G35" i="10" s="1"/>
  <c r="G39" i="10" a="1"/>
  <c r="G39" i="10" s="1"/>
  <c r="F45" i="10" a="1"/>
  <c r="F45" i="10" s="1"/>
  <c r="F49" i="10" a="1"/>
  <c r="F49" i="10" s="1"/>
  <c r="F53" i="10" a="1"/>
  <c r="F53" i="10" s="1"/>
  <c r="F57" i="10" a="1"/>
  <c r="F57" i="10" s="1"/>
  <c r="G52" i="10" a="1"/>
  <c r="G52" i="10" s="1"/>
  <c r="G56" i="10" a="1"/>
  <c r="G56" i="10" s="1"/>
  <c r="G10" i="10" a="1"/>
  <c r="G10" i="10" s="1"/>
  <c r="G14" i="10" a="1"/>
  <c r="G14" i="10" s="1"/>
  <c r="G30" i="10" a="1"/>
  <c r="G30" i="10" s="1"/>
  <c r="G34" i="10" a="1"/>
  <c r="G34" i="10" s="1"/>
  <c r="G8" i="10" a="1"/>
  <c r="G8" i="10" s="1"/>
  <c r="G12" i="10" a="1"/>
  <c r="G12" i="10" s="1"/>
  <c r="G16" i="10" a="1"/>
  <c r="G16" i="10" s="1"/>
  <c r="G20" i="10" a="1"/>
  <c r="G20" i="10" s="1"/>
  <c r="G24" i="10" a="1"/>
  <c r="G24" i="10" s="1"/>
  <c r="G28" i="10" a="1"/>
  <c r="G28" i="10" s="1"/>
  <c r="G32" i="10" a="1"/>
  <c r="G32" i="10" s="1"/>
  <c r="G36" i="10" a="1"/>
  <c r="G36" i="10" s="1"/>
  <c r="G40" i="10" a="1"/>
  <c r="G40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G46" i="10" a="1"/>
  <c r="G46" i="10" s="1"/>
  <c r="G50" i="10" a="1"/>
  <c r="G50" i="10" s="1"/>
  <c r="G54" i="10" a="1"/>
  <c r="G54" i="10" s="1"/>
  <c r="G43" i="10" a="1"/>
  <c r="G43" i="10" s="1"/>
  <c r="G47" i="10" a="1"/>
  <c r="G47" i="10" s="1"/>
  <c r="G51" i="10" a="1"/>
  <c r="G51" i="10" s="1"/>
  <c r="G55" i="10" a="1"/>
  <c r="G55" i="10" s="1"/>
  <c r="G9" i="10" a="1"/>
  <c r="G9" i="10" s="1"/>
  <c r="G13" i="10" a="1"/>
  <c r="G13" i="10" s="1"/>
  <c r="G17" i="10" a="1"/>
  <c r="G17" i="10" s="1"/>
  <c r="G21" i="10" a="1"/>
  <c r="G21" i="10" s="1"/>
  <c r="G25" i="10" a="1"/>
  <c r="G25" i="10" s="1"/>
  <c r="G29" i="10" a="1"/>
  <c r="G29" i="10" s="1"/>
  <c r="G33" i="10" a="1"/>
  <c r="G33" i="10" s="1"/>
  <c r="G37" i="10" a="1"/>
  <c r="G37" i="10" s="1"/>
  <c r="G41" i="10" a="1"/>
  <c r="G41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N43" i="10" a="1"/>
  <c r="N43" i="10" s="1"/>
  <c r="O43" i="10" s="1" a="1"/>
  <c r="O43" i="10" s="1"/>
  <c r="P43" i="10" s="1" a="1"/>
  <c r="P43" i="10" s="1"/>
  <c r="N51" i="10" a="1"/>
  <c r="N51" i="10" s="1"/>
  <c r="N14" i="10" a="1"/>
  <c r="N14" i="10" s="1"/>
  <c r="N30" i="10" a="1"/>
  <c r="N30" i="10" s="1"/>
  <c r="N38" i="10" a="1"/>
  <c r="N38" i="10" s="1"/>
  <c r="N11" i="10" a="1"/>
  <c r="N11" i="10" s="1"/>
  <c r="N15" i="10" a="1"/>
  <c r="N15" i="10" s="1"/>
  <c r="N19" i="10" a="1"/>
  <c r="N19" i="10" s="1"/>
  <c r="N23" i="10" a="1"/>
  <c r="N23" i="10" s="1"/>
  <c r="N27" i="10" a="1"/>
  <c r="N27" i="10" s="1"/>
  <c r="N31" i="10" a="1"/>
  <c r="N31" i="10" s="1"/>
  <c r="N35" i="10" a="1"/>
  <c r="N35" i="10" s="1"/>
  <c r="N39" i="10" a="1"/>
  <c r="N39" i="10" s="1"/>
  <c r="N42" i="10" a="1"/>
  <c r="N42" i="10" s="1"/>
  <c r="N18" i="10" a="1"/>
  <c r="N18" i="10" s="1"/>
  <c r="N33" i="10" a="1"/>
  <c r="N33" i="10" s="1"/>
  <c r="N34" i="10" a="1"/>
  <c r="N34" i="10" s="1"/>
  <c r="N49" i="10" a="1"/>
  <c r="N49" i="10" s="1"/>
  <c r="O49" i="10" s="1" a="1"/>
  <c r="O49" i="10" s="1"/>
  <c r="P49" i="10" s="1" a="1"/>
  <c r="P49" i="10" s="1"/>
  <c r="N10" i="10" a="1"/>
  <c r="N10" i="10" s="1"/>
  <c r="N22" i="10" a="1"/>
  <c r="N22" i="10" s="1"/>
  <c r="N17" i="10" a="1"/>
  <c r="N17" i="10" s="1"/>
  <c r="N26" i="10" a="1"/>
  <c r="N26" i="10" s="1"/>
  <c r="N9" i="10" a="1"/>
  <c r="N9" i="10" s="1"/>
  <c r="N41" i="10" a="1"/>
  <c r="N41" i="10" s="1"/>
  <c r="N57" i="10" a="1"/>
  <c r="N57" i="10" s="1"/>
  <c r="O57" i="10" s="1" a="1"/>
  <c r="O57" i="10" s="1"/>
  <c r="P57" i="10" s="1" a="1"/>
  <c r="P57" i="10" s="1"/>
  <c r="N8" i="10" a="1"/>
  <c r="N8" i="10" s="1"/>
  <c r="N12" i="10" a="1"/>
  <c r="N12" i="10" s="1"/>
  <c r="N16" i="10" a="1"/>
  <c r="N16" i="10" s="1"/>
  <c r="N20" i="10" a="1"/>
  <c r="N20" i="10" s="1"/>
  <c r="N24" i="10" a="1"/>
  <c r="N24" i="10" s="1"/>
  <c r="N28" i="10" a="1"/>
  <c r="N28" i="10" s="1"/>
  <c r="N36" i="10" a="1"/>
  <c r="N36" i="10" s="1"/>
  <c r="N40" i="10" a="1"/>
  <c r="N40" i="10" s="1"/>
  <c r="N44" i="10" a="1"/>
  <c r="N44" i="10" s="1"/>
  <c r="N48" i="10" a="1"/>
  <c r="N48" i="10" s="1"/>
  <c r="O48" i="10" s="1" a="1"/>
  <c r="O48" i="10" s="1"/>
  <c r="P48" i="10" s="1" a="1"/>
  <c r="P48" i="10" s="1"/>
  <c r="N52" i="10" a="1"/>
  <c r="N52" i="10" s="1"/>
  <c r="N56" i="10" a="1"/>
  <c r="N56" i="10" s="1"/>
  <c r="O56" i="10" s="1" a="1"/>
  <c r="O56" i="10" s="1"/>
  <c r="P56" i="10" s="1" a="1"/>
  <c r="P56" i="10" s="1"/>
  <c r="O52" i="10" a="1"/>
  <c r="O44" i="10" a="1"/>
  <c r="O51" i="10" a="1"/>
  <c r="K43" i="10" a="1"/>
  <c r="L47" i="10" a="1"/>
  <c r="L51" i="10" a="1"/>
  <c r="L53" i="10" a="1"/>
  <c r="K44" i="10" a="1"/>
  <c r="K47" i="10" a="1"/>
  <c r="L43" i="10" a="1"/>
  <c r="K55" i="10" a="1"/>
  <c r="K49" i="10" a="1"/>
  <c r="K53" i="10" a="1"/>
  <c r="L48" i="10" a="1"/>
  <c r="K45" i="10" a="1"/>
  <c r="K57" i="10" a="1"/>
  <c r="K51" i="10" a="1"/>
  <c r="L55" i="10" a="1"/>
  <c r="L49" i="10" a="1"/>
  <c r="L44" i="10" a="1"/>
  <c r="K48" i="10" a="1"/>
  <c r="L45" i="10" a="1"/>
  <c r="L57" i="10" a="1"/>
  <c r="K24" i="10" a="1"/>
  <c r="K40" i="10" a="1"/>
  <c r="L17" i="10" a="1"/>
  <c r="L33" i="10" a="1"/>
  <c r="K12" i="10" a="1"/>
  <c r="L13" i="10" a="1"/>
  <c r="K20" i="10" a="1"/>
  <c r="L21" i="10" a="1"/>
  <c r="H26" i="10" a="1"/>
  <c r="H27" i="10" a="1"/>
  <c r="H16" i="10" a="1"/>
  <c r="H13" i="10" a="1"/>
  <c r="H38" i="10" a="1"/>
  <c r="H31" i="10" a="1"/>
  <c r="H20" i="10" a="1"/>
  <c r="H17" i="10" a="1"/>
  <c r="H18" i="10" a="1"/>
  <c r="H35" i="10" a="1"/>
  <c r="H8" i="10" a="1"/>
  <c r="H40" i="10" a="1"/>
  <c r="H37" i="10" a="1"/>
  <c r="H23" i="10" a="1"/>
  <c r="H14" i="10" a="1"/>
  <c r="H28" i="10" a="1"/>
  <c r="H25" i="10" a="1"/>
  <c r="O27" i="10" a="1"/>
  <c r="O38" i="10" a="1"/>
  <c r="O17" i="10" a="1"/>
  <c r="O36" i="10" a="1"/>
  <c r="O18" i="10" a="1"/>
  <c r="O19" i="10" a="1"/>
  <c r="O15" i="10" a="1"/>
  <c r="O40" i="10" a="1"/>
  <c r="L32" i="10" a="1"/>
  <c r="K29" i="10" a="1"/>
  <c r="K37" i="10" a="1"/>
  <c r="I32" i="10" a="1"/>
  <c r="I34" i="10" a="1"/>
  <c r="L24" i="10" a="1"/>
  <c r="L40" i="10" a="1"/>
  <c r="K17" i="10" a="1"/>
  <c r="K33" i="10" a="1"/>
  <c r="L12" i="10" a="1"/>
  <c r="K13" i="10" a="1"/>
  <c r="L20" i="10" a="1"/>
  <c r="K21" i="10" a="1"/>
  <c r="I26" i="10" a="1"/>
  <c r="I27" i="10" a="1"/>
  <c r="I16" i="10" a="1"/>
  <c r="I13" i="10" a="1"/>
  <c r="I38" i="10" a="1"/>
  <c r="I31" i="10" a="1"/>
  <c r="I20" i="10" a="1"/>
  <c r="I17" i="10" a="1"/>
  <c r="I18" i="10" a="1"/>
  <c r="I35" i="10" a="1"/>
  <c r="I8" i="10" a="1"/>
  <c r="I40" i="10" a="1"/>
  <c r="I37" i="10" a="1"/>
  <c r="I23" i="10" a="1"/>
  <c r="I14" i="10" a="1"/>
  <c r="I28" i="10" a="1"/>
  <c r="I25" i="10" a="1"/>
  <c r="O24" i="10" a="1"/>
  <c r="O22" i="10" a="1"/>
  <c r="O12" i="10" a="1"/>
  <c r="O23" i="10" a="1"/>
  <c r="O42" i="10" a="1"/>
  <c r="O35" i="10" a="1"/>
  <c r="O33" i="10" a="1"/>
  <c r="O39" i="10" a="1"/>
  <c r="O8" i="10" a="1"/>
  <c r="K9" i="10" a="1"/>
  <c r="L28" i="10" a="1"/>
  <c r="I11" i="10" a="1"/>
  <c r="I29" i="10" a="1"/>
  <c r="I36" i="10" a="1"/>
  <c r="I19" i="10" a="1"/>
  <c r="I24" i="10" a="1"/>
  <c r="I22" i="10" a="1"/>
  <c r="I12" i="10" a="1"/>
  <c r="I41" i="10" a="1"/>
  <c r="O30" i="10" a="1"/>
  <c r="O28" i="10" a="1"/>
  <c r="O20" i="10" a="1"/>
  <c r="K16" i="10" a="1"/>
  <c r="K32" i="10" a="1"/>
  <c r="L9" i="10" a="1"/>
  <c r="L25" i="10" a="1"/>
  <c r="L41" i="10" a="1"/>
  <c r="K28" i="10" a="1"/>
  <c r="L29" i="10" a="1"/>
  <c r="K36" i="10" a="1"/>
  <c r="L37" i="10" a="1"/>
  <c r="H11" i="10" a="1"/>
  <c r="H30" i="10" a="1"/>
  <c r="H32" i="10" a="1"/>
  <c r="H29" i="10" a="1"/>
  <c r="H15" i="10" a="1"/>
  <c r="H34" i="10" a="1"/>
  <c r="H36" i="10" a="1"/>
  <c r="H33" i="10" a="1"/>
  <c r="H19" i="10" a="1"/>
  <c r="H10" i="10" a="1"/>
  <c r="H24" i="10" a="1"/>
  <c r="H21" i="10" a="1"/>
  <c r="H22" i="10" a="1"/>
  <c r="H39" i="10" a="1"/>
  <c r="H12" i="10" a="1"/>
  <c r="H9" i="10" a="1"/>
  <c r="H41" i="10" a="1"/>
  <c r="O14" i="10" a="1"/>
  <c r="O41" i="10" a="1"/>
  <c r="O10" i="10" a="1"/>
  <c r="O11" i="10" a="1"/>
  <c r="O16" i="10" a="1"/>
  <c r="L16" i="10" a="1"/>
  <c r="K25" i="10" a="1"/>
  <c r="K41" i="10" a="1"/>
  <c r="L36" i="10" a="1"/>
  <c r="I30" i="10" a="1"/>
  <c r="I15" i="10" a="1"/>
  <c r="I33" i="10" a="1"/>
  <c r="I10" i="10" a="1"/>
  <c r="I21" i="10" a="1"/>
  <c r="I39" i="10" a="1"/>
  <c r="I9" i="10" a="1"/>
  <c r="O9" i="10" a="1"/>
  <c r="O31" i="10" a="1"/>
  <c r="O26" i="10" a="1"/>
  <c r="O34" i="10" a="1"/>
  <c r="O51" i="10" l="1"/>
  <c r="O44" i="10"/>
  <c r="O52" i="10"/>
  <c r="M27" i="10"/>
  <c r="M23" i="10"/>
  <c r="M19" i="10"/>
  <c r="M11" i="10"/>
  <c r="M39" i="10"/>
  <c r="M38" i="10"/>
  <c r="M30" i="10"/>
  <c r="M22" i="10"/>
  <c r="M14" i="10"/>
  <c r="M8" i="10"/>
  <c r="M35" i="10"/>
  <c r="M31" i="10"/>
  <c r="M34" i="10"/>
  <c r="M26" i="10"/>
  <c r="M18" i="10"/>
  <c r="M10" i="10"/>
  <c r="M42" i="10"/>
  <c r="L57" i="10"/>
  <c r="M57" i="10" s="1"/>
  <c r="L45" i="10"/>
  <c r="K48" i="10"/>
  <c r="L44" i="10"/>
  <c r="L49" i="10"/>
  <c r="L55" i="10"/>
  <c r="K51" i="10"/>
  <c r="K57" i="10"/>
  <c r="K45" i="10"/>
  <c r="L48" i="10"/>
  <c r="K53" i="10"/>
  <c r="K49" i="10"/>
  <c r="K55" i="10"/>
  <c r="L43" i="10"/>
  <c r="K47" i="10"/>
  <c r="K44" i="10"/>
  <c r="L53" i="10"/>
  <c r="L51" i="10"/>
  <c r="L47" i="10"/>
  <c r="M47" i="10" s="1"/>
  <c r="K43" i="10"/>
  <c r="M15" i="10"/>
  <c r="K37" i="10"/>
  <c r="L37" i="10"/>
  <c r="K21" i="10"/>
  <c r="L21" i="10"/>
  <c r="L36" i="10"/>
  <c r="K36" i="10"/>
  <c r="L20" i="10"/>
  <c r="K20" i="10"/>
  <c r="K29" i="10"/>
  <c r="L29" i="10"/>
  <c r="K13" i="10"/>
  <c r="L13" i="10"/>
  <c r="L28" i="10"/>
  <c r="K28" i="10"/>
  <c r="L12" i="10"/>
  <c r="K12" i="10"/>
  <c r="K41" i="10"/>
  <c r="L41" i="10"/>
  <c r="K33" i="10"/>
  <c r="L33" i="10"/>
  <c r="K25" i="10"/>
  <c r="L25" i="10"/>
  <c r="K17" i="10"/>
  <c r="L17" i="10"/>
  <c r="K9" i="10"/>
  <c r="L9" i="10"/>
  <c r="L40" i="10"/>
  <c r="K40" i="10"/>
  <c r="L32" i="10"/>
  <c r="K32" i="10"/>
  <c r="L24" i="10"/>
  <c r="K24" i="10"/>
  <c r="L16" i="10"/>
  <c r="K16" i="10"/>
  <c r="I41" i="10"/>
  <c r="H41" i="10"/>
  <c r="I25" i="10"/>
  <c r="H25" i="10"/>
  <c r="I9" i="10"/>
  <c r="H9" i="10"/>
  <c r="I28" i="10"/>
  <c r="H28" i="10"/>
  <c r="I12" i="10"/>
  <c r="H12" i="10"/>
  <c r="I14" i="10"/>
  <c r="H14" i="10"/>
  <c r="I39" i="10"/>
  <c r="H39" i="10"/>
  <c r="I23" i="10"/>
  <c r="H23" i="10"/>
  <c r="I22" i="10"/>
  <c r="H22" i="10"/>
  <c r="I37" i="10"/>
  <c r="H37" i="10"/>
  <c r="I21" i="10"/>
  <c r="H21" i="10"/>
  <c r="I40" i="10"/>
  <c r="H40" i="10"/>
  <c r="I24" i="10"/>
  <c r="H24" i="10"/>
  <c r="I8" i="10"/>
  <c r="H8" i="10"/>
  <c r="I10" i="10"/>
  <c r="H10" i="10"/>
  <c r="I35" i="10"/>
  <c r="H35" i="10"/>
  <c r="I19" i="10"/>
  <c r="H19" i="10"/>
  <c r="I18" i="10"/>
  <c r="H18" i="10"/>
  <c r="I33" i="10"/>
  <c r="H33" i="10"/>
  <c r="I17" i="10"/>
  <c r="H17" i="10"/>
  <c r="I36" i="10"/>
  <c r="H36" i="10"/>
  <c r="I20" i="10"/>
  <c r="H20" i="10"/>
  <c r="I34" i="10"/>
  <c r="H34" i="10"/>
  <c r="I31" i="10"/>
  <c r="H31" i="10"/>
  <c r="I15" i="10"/>
  <c r="H15" i="10"/>
  <c r="I38" i="10"/>
  <c r="H38" i="10"/>
  <c r="I29" i="10"/>
  <c r="H29" i="10"/>
  <c r="I13" i="10"/>
  <c r="H13" i="10"/>
  <c r="I32" i="10"/>
  <c r="H32" i="10"/>
  <c r="I16" i="10"/>
  <c r="H16" i="10"/>
  <c r="I30" i="10"/>
  <c r="H30" i="10"/>
  <c r="I27" i="10"/>
  <c r="H27" i="10"/>
  <c r="I11" i="10"/>
  <c r="H11" i="10"/>
  <c r="I26" i="10"/>
  <c r="H26" i="10"/>
  <c r="I57" i="10" a="1"/>
  <c r="I57" i="10" s="1"/>
  <c r="H57" i="10" a="1"/>
  <c r="H57" i="10" s="1"/>
  <c r="H56" i="10" a="1"/>
  <c r="H56" i="10" s="1"/>
  <c r="I56" i="10" a="1"/>
  <c r="I56" i="10" s="1"/>
  <c r="I49" i="10" a="1"/>
  <c r="I49" i="10" s="1"/>
  <c r="H49" i="10" a="1"/>
  <c r="H49" i="10" s="1"/>
  <c r="I48" i="10" a="1"/>
  <c r="I48" i="10" s="1"/>
  <c r="H48" i="10" a="1"/>
  <c r="H48" i="10" s="1"/>
  <c r="I46" i="10" a="1"/>
  <c r="I46" i="10" s="1"/>
  <c r="H46" i="10" a="1"/>
  <c r="H46" i="10" s="1"/>
  <c r="I45" i="10" a="1"/>
  <c r="I45" i="10" s="1"/>
  <c r="H45" i="10" a="1"/>
  <c r="H45" i="10" s="1"/>
  <c r="N37" i="10" a="1"/>
  <c r="N37" i="10" s="1"/>
  <c r="N29" i="10" a="1"/>
  <c r="N29" i="10" s="1"/>
  <c r="N21" i="10" a="1"/>
  <c r="N21" i="10" s="1"/>
  <c r="N13" i="10" a="1"/>
  <c r="N13" i="10" s="1"/>
  <c r="N54" i="10" a="1"/>
  <c r="N54" i="10" s="1"/>
  <c r="N46" i="10" a="1"/>
  <c r="N46" i="10" s="1"/>
  <c r="O46" i="10" s="1" a="1"/>
  <c r="O46" i="10" s="1"/>
  <c r="P46" i="10" s="1" a="1"/>
  <c r="P46" i="10" s="1"/>
  <c r="N32" i="10" a="1"/>
  <c r="N32" i="10" s="1"/>
  <c r="N53" i="10" a="1"/>
  <c r="N53" i="10" s="1"/>
  <c r="N45" i="10" a="1"/>
  <c r="N45" i="10" s="1"/>
  <c r="O45" i="10" s="1" a="1"/>
  <c r="O45" i="10" s="1"/>
  <c r="P45" i="10" s="1" a="1"/>
  <c r="P45" i="10" s="1"/>
  <c r="N25" i="10" a="1"/>
  <c r="N25" i="10" s="1"/>
  <c r="N50" i="10" a="1"/>
  <c r="N50" i="10" s="1"/>
  <c r="N55" i="10" a="1"/>
  <c r="N55" i="10" s="1"/>
  <c r="N47" i="10" a="1"/>
  <c r="N47" i="10" s="1"/>
  <c r="O47" i="10" s="1" a="1"/>
  <c r="O47" i="10" s="1"/>
  <c r="P47" i="10" s="1" a="1"/>
  <c r="P47" i="10" s="1"/>
  <c r="O15" i="10"/>
  <c r="O17" i="10"/>
  <c r="O35" i="10"/>
  <c r="O16" i="10"/>
  <c r="O14" i="10"/>
  <c r="O20" i="10"/>
  <c r="O34" i="10"/>
  <c r="O19" i="10"/>
  <c r="O31" i="10"/>
  <c r="O28" i="10"/>
  <c r="O12" i="10"/>
  <c r="O22" i="10"/>
  <c r="O33" i="10"/>
  <c r="O27" i="10"/>
  <c r="O11" i="10"/>
  <c r="O36" i="10"/>
  <c r="O18" i="10"/>
  <c r="O30" i="10"/>
  <c r="O41" i="10"/>
  <c r="O40" i="10"/>
  <c r="O24" i="10"/>
  <c r="O8" i="10"/>
  <c r="O9" i="10"/>
  <c r="O26" i="10"/>
  <c r="O10" i="10"/>
  <c r="O39" i="10"/>
  <c r="O23" i="10"/>
  <c r="O38" i="10"/>
  <c r="O42" i="10"/>
  <c r="P51" i="10" a="1"/>
  <c r="H54" i="10" a="1"/>
  <c r="H51" i="10" a="1"/>
  <c r="P44" i="10" a="1"/>
  <c r="I55" i="10" a="1"/>
  <c r="I53" i="10" a="1"/>
  <c r="I50" i="10" a="1"/>
  <c r="I47" i="10" a="1"/>
  <c r="I52" i="10" a="1"/>
  <c r="I44" i="10" a="1"/>
  <c r="O50" i="10" a="1"/>
  <c r="I54" i="10" a="1"/>
  <c r="P52" i="10" a="1"/>
  <c r="H55" i="10" a="1"/>
  <c r="H53" i="10" a="1"/>
  <c r="H50" i="10" a="1"/>
  <c r="H47" i="10" a="1"/>
  <c r="H52" i="10" a="1"/>
  <c r="H44" i="10" a="1"/>
  <c r="O53" i="10" a="1"/>
  <c r="O55" i="10" a="1"/>
  <c r="I51" i="10" a="1"/>
  <c r="O54" i="10" a="1"/>
  <c r="L54" i="10" a="1"/>
  <c r="K52" i="10" a="1"/>
  <c r="K46" i="10" a="1"/>
  <c r="K50" i="10" a="1"/>
  <c r="K56" i="10" a="1"/>
  <c r="L52" i="10" a="1"/>
  <c r="L46" i="10" a="1"/>
  <c r="L50" i="10" a="1"/>
  <c r="I43" i="10" a="1"/>
  <c r="K54" i="10" a="1"/>
  <c r="L56" i="10" a="1"/>
  <c r="H43" i="10" a="1"/>
  <c r="P42" i="10" a="1"/>
  <c r="P31" i="10" a="1"/>
  <c r="P10" i="10" a="1"/>
  <c r="P20" i="10" a="1"/>
  <c r="P39" i="10" a="1"/>
  <c r="P34" i="10" a="1"/>
  <c r="P8" i="10" a="1"/>
  <c r="O32" i="10" a="1"/>
  <c r="O21" i="10" a="1"/>
  <c r="P14" i="10" a="1"/>
  <c r="P30" i="10" a="1"/>
  <c r="P26" i="10" a="1"/>
  <c r="O37" i="10" a="1"/>
  <c r="P33" i="10" a="1"/>
  <c r="P11" i="10" a="1"/>
  <c r="P28" i="10" a="1"/>
  <c r="P41" i="10" a="1"/>
  <c r="P12" i="10" a="1"/>
  <c r="I42" i="10" a="1"/>
  <c r="O13" i="10" a="1"/>
  <c r="P17" i="10" a="1"/>
  <c r="P35" i="10" a="1"/>
  <c r="P15" i="10" a="1"/>
  <c r="P18" i="10" a="1"/>
  <c r="P23" i="10" a="1"/>
  <c r="P27" i="10" a="1"/>
  <c r="P9" i="10" a="1"/>
  <c r="H42" i="10" a="1"/>
  <c r="O29" i="10" a="1"/>
  <c r="P24" i="10" a="1"/>
  <c r="P38" i="10" a="1"/>
  <c r="O25" i="10" a="1"/>
  <c r="P16" i="10" a="1"/>
  <c r="P40" i="10" a="1"/>
  <c r="P19" i="10" a="1"/>
  <c r="P22" i="10" a="1"/>
  <c r="P36" i="10" a="1"/>
  <c r="M48" i="10" l="1"/>
  <c r="M51" i="10"/>
  <c r="M53" i="10"/>
  <c r="O54" i="10"/>
  <c r="I51" i="10"/>
  <c r="O55" i="10"/>
  <c r="O53" i="10"/>
  <c r="H44" i="10"/>
  <c r="H52" i="10"/>
  <c r="H47" i="10"/>
  <c r="H50" i="10"/>
  <c r="H53" i="10"/>
  <c r="H55" i="10"/>
  <c r="P52" i="10"/>
  <c r="I54" i="10"/>
  <c r="O50" i="10"/>
  <c r="I44" i="10"/>
  <c r="I52" i="10"/>
  <c r="I47" i="10"/>
  <c r="I50" i="10"/>
  <c r="I53" i="10"/>
  <c r="I55" i="10"/>
  <c r="P44" i="10"/>
  <c r="H51" i="10"/>
  <c r="H54" i="10"/>
  <c r="P51" i="10"/>
  <c r="M44" i="10"/>
  <c r="M43" i="10"/>
  <c r="M55" i="10"/>
  <c r="M45" i="10"/>
  <c r="M49" i="10"/>
  <c r="P22" i="10"/>
  <c r="P42" i="10"/>
  <c r="P38" i="10"/>
  <c r="P40" i="10"/>
  <c r="P19" i="10"/>
  <c r="P16" i="10"/>
  <c r="P26" i="10"/>
  <c r="P9" i="10"/>
  <c r="P12" i="10"/>
  <c r="P34" i="10"/>
  <c r="P35" i="10"/>
  <c r="P36" i="10"/>
  <c r="P41" i="10"/>
  <c r="P39" i="10"/>
  <c r="P30" i="10"/>
  <c r="P27" i="10"/>
  <c r="P28" i="10"/>
  <c r="P20" i="10"/>
  <c r="P17" i="10"/>
  <c r="P23" i="10"/>
  <c r="P11" i="10"/>
  <c r="P10" i="10"/>
  <c r="P24" i="10"/>
  <c r="P18" i="10"/>
  <c r="P33" i="10"/>
  <c r="P31" i="10"/>
  <c r="P14" i="10"/>
  <c r="P15" i="10"/>
  <c r="P8" i="10"/>
  <c r="M9" i="10"/>
  <c r="M25" i="10"/>
  <c r="M41" i="10"/>
  <c r="M29" i="10"/>
  <c r="M24" i="10"/>
  <c r="M40" i="10"/>
  <c r="M20" i="10"/>
  <c r="M37" i="10"/>
  <c r="M12" i="10"/>
  <c r="M16" i="10"/>
  <c r="M32" i="10"/>
  <c r="M28" i="10"/>
  <c r="M36" i="10"/>
  <c r="M17" i="10"/>
  <c r="M33" i="10"/>
  <c r="M13" i="10"/>
  <c r="M21" i="10"/>
  <c r="H42" i="10"/>
  <c r="I42" i="10"/>
  <c r="H43" i="10"/>
  <c r="L56" i="10"/>
  <c r="M56" i="10" s="1"/>
  <c r="K54" i="10"/>
  <c r="I43" i="10"/>
  <c r="L50" i="10"/>
  <c r="L46" i="10"/>
  <c r="L52" i="10"/>
  <c r="K56" i="10"/>
  <c r="K50" i="10"/>
  <c r="K46" i="10"/>
  <c r="K52" i="10"/>
  <c r="L54" i="10"/>
  <c r="O37" i="10"/>
  <c r="O21" i="10"/>
  <c r="O32" i="10"/>
  <c r="O25" i="10"/>
  <c r="O29" i="10"/>
  <c r="O13" i="10"/>
  <c r="P54" i="10" a="1"/>
  <c r="P50" i="10" a="1"/>
  <c r="P55" i="10" a="1"/>
  <c r="P53" i="10" a="1"/>
  <c r="P13" i="10" a="1"/>
  <c r="P32" i="10" a="1"/>
  <c r="P21" i="10" a="1"/>
  <c r="P25" i="10" a="1"/>
  <c r="P37" i="10" a="1"/>
  <c r="P29" i="10" a="1"/>
  <c r="M54" i="10" l="1"/>
  <c r="M52" i="10"/>
  <c r="P53" i="10"/>
  <c r="P55" i="10"/>
  <c r="P50" i="10"/>
  <c r="P54" i="10"/>
  <c r="M46" i="10"/>
  <c r="M50" i="10"/>
  <c r="P32" i="10"/>
  <c r="P13" i="10"/>
  <c r="P29" i="10"/>
  <c r="P25" i="10"/>
  <c r="P21" i="10"/>
  <c r="P37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<sst xmlns="http://schemas.openxmlformats.org/spreadsheetml/2006/main" count="1720" uniqueCount="1012">
  <si>
    <t>가나</t>
  </si>
  <si>
    <t>가봉</t>
  </si>
  <si>
    <t>가이아나</t>
  </si>
  <si>
    <t>감비아</t>
  </si>
  <si>
    <t>과테말라</t>
  </si>
  <si>
    <t>그리스</t>
  </si>
  <si>
    <t>기니</t>
  </si>
  <si>
    <t>기니비사우</t>
  </si>
  <si>
    <t>나미비아</t>
  </si>
  <si>
    <t>나이지리아</t>
  </si>
  <si>
    <t>남아프리카공화국</t>
  </si>
  <si>
    <t>네덜란드</t>
  </si>
  <si>
    <t>네팔</t>
  </si>
  <si>
    <t>노르웨이</t>
  </si>
  <si>
    <t>뉴질랜드</t>
  </si>
  <si>
    <t>니제르</t>
  </si>
  <si>
    <t>니카라과</t>
  </si>
  <si>
    <t>대만</t>
  </si>
  <si>
    <t>덴마크</t>
  </si>
  <si>
    <t>도미니카</t>
  </si>
  <si>
    <t>독일</t>
  </si>
  <si>
    <t>라오스</t>
  </si>
  <si>
    <t>라이베리아</t>
  </si>
  <si>
    <t>라트비아</t>
  </si>
  <si>
    <t>러시아</t>
  </si>
  <si>
    <t>레바논</t>
  </si>
  <si>
    <t>레소토</t>
  </si>
  <si>
    <t>루마니아</t>
  </si>
  <si>
    <t>룩셈부르크</t>
  </si>
  <si>
    <t>르완다</t>
  </si>
  <si>
    <t>리비아</t>
  </si>
  <si>
    <t>리투아니아</t>
  </si>
  <si>
    <t>마다가스카르</t>
  </si>
  <si>
    <t>마카오</t>
  </si>
  <si>
    <t>북마케도니아</t>
  </si>
  <si>
    <t>말라위</t>
  </si>
  <si>
    <t>말레이시아</t>
  </si>
  <si>
    <t>말리</t>
  </si>
  <si>
    <t>멕시코</t>
  </si>
  <si>
    <t>모로코</t>
  </si>
  <si>
    <t>모리셔스</t>
  </si>
  <si>
    <t>모리타니</t>
  </si>
  <si>
    <t>모잠비크</t>
  </si>
  <si>
    <t>몬테네그로</t>
  </si>
  <si>
    <t>몰도바</t>
  </si>
  <si>
    <t>몰디브</t>
  </si>
  <si>
    <t>몽골</t>
  </si>
  <si>
    <t>미얀마(버마)</t>
  </si>
  <si>
    <t>바누아투</t>
  </si>
  <si>
    <t>바레인</t>
  </si>
  <si>
    <t>바베이도스</t>
  </si>
  <si>
    <t>바하마</t>
  </si>
  <si>
    <t>방글라데시</t>
  </si>
  <si>
    <t>버뮤다</t>
  </si>
  <si>
    <t>베네수엘라</t>
  </si>
  <si>
    <t>베넹</t>
  </si>
  <si>
    <t>베트남</t>
  </si>
  <si>
    <t>벨기에</t>
  </si>
  <si>
    <t>벨라루스</t>
  </si>
  <si>
    <t>벨리즈</t>
  </si>
  <si>
    <t>보츠와나</t>
  </si>
  <si>
    <t>볼리비아</t>
  </si>
  <si>
    <t>부룬디</t>
  </si>
  <si>
    <t>부르키나파소</t>
  </si>
  <si>
    <t>부탄</t>
  </si>
  <si>
    <t>불가리아</t>
  </si>
  <si>
    <t>브라질</t>
  </si>
  <si>
    <t>브루나이</t>
  </si>
  <si>
    <t>사모아</t>
  </si>
  <si>
    <t>사우디아라비아</t>
  </si>
  <si>
    <t>세네갈</t>
  </si>
  <si>
    <t>세르비아</t>
  </si>
  <si>
    <t>세이셸</t>
  </si>
  <si>
    <t>수단</t>
  </si>
  <si>
    <t>수리남</t>
  </si>
  <si>
    <t>스리랑카</t>
  </si>
  <si>
    <t>에스와티니</t>
  </si>
  <si>
    <t>스웨덴</t>
  </si>
  <si>
    <t>스위스</t>
  </si>
  <si>
    <t>스페인</t>
  </si>
  <si>
    <t>슬로바키아</t>
  </si>
  <si>
    <t>슬로베니아</t>
  </si>
  <si>
    <t>시리아</t>
  </si>
  <si>
    <t>시에라리온</t>
  </si>
  <si>
    <t>싱가포르</t>
  </si>
  <si>
    <t>아루바</t>
  </si>
  <si>
    <t>아르메니아</t>
  </si>
  <si>
    <t>아르헨티나</t>
  </si>
  <si>
    <t>아이슬란드</t>
  </si>
  <si>
    <t>아이티</t>
  </si>
  <si>
    <t>아일랜드</t>
  </si>
  <si>
    <t>아제르바이잔</t>
  </si>
  <si>
    <t>아프가니스탄</t>
  </si>
  <si>
    <t>알바니아</t>
  </si>
  <si>
    <t>알제리</t>
  </si>
  <si>
    <t>앙골라</t>
  </si>
  <si>
    <t>앤티가바부다</t>
  </si>
  <si>
    <t>에리트레아</t>
  </si>
  <si>
    <t>에스토니아</t>
  </si>
  <si>
    <t>에티오피아</t>
  </si>
  <si>
    <t>엘살바도르</t>
  </si>
  <si>
    <t>영국</t>
  </si>
  <si>
    <t>예멘</t>
  </si>
  <si>
    <t>오만</t>
  </si>
  <si>
    <t>오스트리아</t>
  </si>
  <si>
    <t>온두라스</t>
  </si>
  <si>
    <t>요르단</t>
  </si>
  <si>
    <t>우간다</t>
  </si>
  <si>
    <t>우루과이</t>
  </si>
  <si>
    <t>우즈베키스탄</t>
  </si>
  <si>
    <t>우크라이나</t>
  </si>
  <si>
    <t>이라크</t>
  </si>
  <si>
    <t>이란</t>
  </si>
  <si>
    <t>이스라엘</t>
  </si>
  <si>
    <t>이집트</t>
  </si>
  <si>
    <t>이탈리아</t>
  </si>
  <si>
    <t>인도</t>
  </si>
  <si>
    <t>인도네시아</t>
  </si>
  <si>
    <t>자메이카</t>
  </si>
  <si>
    <t>적도기니</t>
  </si>
  <si>
    <t>조지아(그루지아)</t>
  </si>
  <si>
    <t>중앙아프리카공화국</t>
  </si>
  <si>
    <t>지부티</t>
  </si>
  <si>
    <t>지브롤터</t>
  </si>
  <si>
    <t>차드</t>
  </si>
  <si>
    <t>체코</t>
  </si>
  <si>
    <t>칠레</t>
  </si>
  <si>
    <t>카메룬</t>
  </si>
  <si>
    <t>카보베르데</t>
  </si>
  <si>
    <t>카자흐스탄</t>
  </si>
  <si>
    <t>카타르</t>
  </si>
  <si>
    <t>캄보디아</t>
  </si>
  <si>
    <t>캐나다</t>
  </si>
  <si>
    <t>케냐</t>
  </si>
  <si>
    <t>케이맨제도</t>
  </si>
  <si>
    <t>코모로</t>
  </si>
  <si>
    <t>코소보</t>
  </si>
  <si>
    <t>코스타리카</t>
  </si>
  <si>
    <t>코트디부아르</t>
  </si>
  <si>
    <t>콜롬비아</t>
  </si>
  <si>
    <t>콩고</t>
  </si>
  <si>
    <t>콩고민주공화국</t>
  </si>
  <si>
    <t>쿠바</t>
  </si>
  <si>
    <t>쿠웨이트</t>
  </si>
  <si>
    <t>퀴라소</t>
  </si>
  <si>
    <t>크로아티아</t>
  </si>
  <si>
    <t>키르기스스탄</t>
  </si>
  <si>
    <t>타지키스탄</t>
  </si>
  <si>
    <t>탄자니아</t>
  </si>
  <si>
    <t>태국</t>
  </si>
  <si>
    <t>토고</t>
  </si>
  <si>
    <t>통가</t>
  </si>
  <si>
    <t>투르크메니스탄</t>
  </si>
  <si>
    <t>튀니지</t>
  </si>
  <si>
    <t>트리니다드토바고</t>
  </si>
  <si>
    <t>파나마</t>
  </si>
  <si>
    <t>파라과이</t>
  </si>
  <si>
    <t>파키스탄</t>
  </si>
  <si>
    <t>파푸아뉴기니</t>
  </si>
  <si>
    <t>페루</t>
  </si>
  <si>
    <t>포르투갈</t>
  </si>
  <si>
    <t>폴란드</t>
  </si>
  <si>
    <t>프랑스</t>
  </si>
  <si>
    <t>피지</t>
  </si>
  <si>
    <t>핀란드</t>
  </si>
  <si>
    <t>필리핀</t>
  </si>
  <si>
    <t>헝가리</t>
  </si>
  <si>
    <t>호주</t>
  </si>
  <si>
    <t>GRI:ASE</t>
  </si>
  <si>
    <t>MSI:136645</t>
  </si>
  <si>
    <t>NLI:AEX</t>
  </si>
  <si>
    <t>NOI:OSEAX</t>
  </si>
  <si>
    <t>NZI:NZ50</t>
  </si>
  <si>
    <t>TWS:TI01</t>
  </si>
  <si>
    <t>DKI:KFX</t>
  </si>
  <si>
    <t>XTR:DAX30</t>
  </si>
  <si>
    <t>LVI:RIGSE</t>
  </si>
  <si>
    <t>RUI:RTSI</t>
  </si>
  <si>
    <t>MSI:136642</t>
  </si>
  <si>
    <t>MSI:136639</t>
  </si>
  <si>
    <t>LUI:LUXX</t>
  </si>
  <si>
    <t>MSI:136638</t>
  </si>
  <si>
    <t>MXI:IPC</t>
  </si>
  <si>
    <t>MSI:136644</t>
  </si>
  <si>
    <t>DJI:DJI</t>
  </si>
  <si>
    <t>MSI:133712</t>
  </si>
  <si>
    <t>MSI:700396</t>
  </si>
  <si>
    <t>VEI:INDG</t>
  </si>
  <si>
    <t>VNI:VIDX</t>
  </si>
  <si>
    <t>BEI:MFX</t>
  </si>
  <si>
    <t>MSI:700589</t>
  </si>
  <si>
    <t>BUI:SOFIX</t>
  </si>
  <si>
    <t>BRI:BVSP</t>
  </si>
  <si>
    <t>SAI:TASI</t>
  </si>
  <si>
    <t>MSI:141415</t>
  </si>
  <si>
    <t>MSI:914400</t>
  </si>
  <si>
    <t>SEI:SXASI</t>
  </si>
  <si>
    <t>CHI:SSMI</t>
  </si>
  <si>
    <t>ESI:IBEX</t>
  </si>
  <si>
    <t>MSI:136640</t>
  </si>
  <si>
    <t>AEI:DFM</t>
  </si>
  <si>
    <t>ARI:MERV</t>
  </si>
  <si>
    <t>IEI:ISEQ</t>
  </si>
  <si>
    <t>MSI:136636</t>
  </si>
  <si>
    <t>OMI:MSMI</t>
  </si>
  <si>
    <t>ATI:ATX</t>
  </si>
  <si>
    <t>JOI:FTI</t>
  </si>
  <si>
    <t>MSI:136641</t>
  </si>
  <si>
    <t>ILI:TA100</t>
  </si>
  <si>
    <t>EGI:CASE30</t>
  </si>
  <si>
    <t>INI:BSE30</t>
  </si>
  <si>
    <t>IDI:JKSE</t>
  </si>
  <si>
    <t>NII:NI225</t>
  </si>
  <si>
    <t>MSI:700071</t>
  </si>
  <si>
    <t>PSE:PX</t>
  </si>
  <si>
    <t>CLI:IGPA</t>
  </si>
  <si>
    <t>MSI:136637</t>
  </si>
  <si>
    <t>QAI:MKIX</t>
  </si>
  <si>
    <t>CAI:SPTSX</t>
  </si>
  <si>
    <t>MSI:136643</t>
  </si>
  <si>
    <t>COI:IGBC</t>
  </si>
  <si>
    <t>KWI:BKP</t>
  </si>
  <si>
    <t>MSI:136635</t>
  </si>
  <si>
    <t>THI:SET</t>
  </si>
  <si>
    <t>TRI:ISE100</t>
  </si>
  <si>
    <t>MSI:136646</t>
  </si>
  <si>
    <t>MSI:700072</t>
  </si>
  <si>
    <t>PKI:KSE100</t>
  </si>
  <si>
    <t>PEI:IGBVL</t>
  </si>
  <si>
    <t>PTI:PSI20</t>
  </si>
  <si>
    <t>PLI:WIGI</t>
  </si>
  <si>
    <t>PAS:CAC40</t>
  </si>
  <si>
    <t>FII:HEX</t>
  </si>
  <si>
    <t>PHI:COMP</t>
  </si>
  <si>
    <t>HUI:BUX</t>
  </si>
  <si>
    <t>AUI:AORD</t>
  </si>
  <si>
    <t>HSI:HSI</t>
  </si>
  <si>
    <t>소말리아</t>
  </si>
  <si>
    <t>USDGHS</t>
  </si>
  <si>
    <t>USDXAFIDC</t>
  </si>
  <si>
    <t>USDGYDIDC</t>
  </si>
  <si>
    <t>USDGMDIDC</t>
  </si>
  <si>
    <t>USDGTQ</t>
  </si>
  <si>
    <t>USDGNFIDC</t>
  </si>
  <si>
    <t>USDXOFIDC</t>
  </si>
  <si>
    <t>USDNADIDC</t>
  </si>
  <si>
    <t>USDNGN</t>
  </si>
  <si>
    <t>USDZAR</t>
  </si>
  <si>
    <t>USDNPRIDC</t>
  </si>
  <si>
    <t>USDNOK</t>
  </si>
  <si>
    <t>USDNIO</t>
  </si>
  <si>
    <t>USDTWD</t>
  </si>
  <si>
    <t>USDDKK</t>
  </si>
  <si>
    <t>USDDOPIDC</t>
  </si>
  <si>
    <t>USDLAKIDC</t>
  </si>
  <si>
    <t>USDLRD</t>
  </si>
  <si>
    <t>USDRUB</t>
  </si>
  <si>
    <t>USDLBPIDC</t>
  </si>
  <si>
    <t>USDLSLIDC</t>
  </si>
  <si>
    <t>USDRON</t>
  </si>
  <si>
    <t>USDRWF</t>
  </si>
  <si>
    <t>USDLYD</t>
  </si>
  <si>
    <t>USDMGAIDC</t>
  </si>
  <si>
    <t>USDMOPIDC</t>
  </si>
  <si>
    <t>USDMWKIDC</t>
  </si>
  <si>
    <t>USDMYR</t>
  </si>
  <si>
    <t>USDMXN</t>
  </si>
  <si>
    <t>USDMAD</t>
  </si>
  <si>
    <t>USDMUR</t>
  </si>
  <si>
    <t>USDMRUIDC</t>
  </si>
  <si>
    <t>USDMZN</t>
  </si>
  <si>
    <t>USDMDL</t>
  </si>
  <si>
    <t>USDMVRIDC</t>
  </si>
  <si>
    <t>USDMNT</t>
  </si>
  <si>
    <t>USDMMK</t>
  </si>
  <si>
    <t>USDVUVIDC</t>
  </si>
  <si>
    <t>USDBHD</t>
  </si>
  <si>
    <t>USDBBD</t>
  </si>
  <si>
    <t>USDBSD</t>
  </si>
  <si>
    <t>USDBDT</t>
  </si>
  <si>
    <t>USDBMD</t>
  </si>
  <si>
    <t>USDVND</t>
  </si>
  <si>
    <t>USDBYNIDC</t>
  </si>
  <si>
    <t>USDBZDIDC</t>
  </si>
  <si>
    <t>USDBAMIDC</t>
  </si>
  <si>
    <t>USDBOBIDC</t>
  </si>
  <si>
    <t>USDBIFIDC</t>
  </si>
  <si>
    <t>USDBTNIDC</t>
  </si>
  <si>
    <t>USDMKDIDC</t>
  </si>
  <si>
    <t>USDBGN</t>
  </si>
  <si>
    <t>USDBRL</t>
  </si>
  <si>
    <t>USDBNDIDC</t>
  </si>
  <si>
    <t>USDSAR</t>
  </si>
  <si>
    <t>USDSTNIDC</t>
  </si>
  <si>
    <t>USDRSDIDC</t>
  </si>
  <si>
    <t>USDSCRIDC</t>
  </si>
  <si>
    <t>USDSOS</t>
  </si>
  <si>
    <t>USDSDG</t>
  </si>
  <si>
    <t>USDSRDIDC</t>
  </si>
  <si>
    <t>USDLKR</t>
  </si>
  <si>
    <t>USDSEK</t>
  </si>
  <si>
    <t>USDCHF</t>
  </si>
  <si>
    <t>USDSYPIDC</t>
  </si>
  <si>
    <t>USDSLL</t>
  </si>
  <si>
    <t>USDSGD</t>
  </si>
  <si>
    <t>USDAED</t>
  </si>
  <si>
    <t>USDAWGIDC</t>
  </si>
  <si>
    <t>USDAMDIDC</t>
  </si>
  <si>
    <t>USDARS</t>
  </si>
  <si>
    <t>USDISK</t>
  </si>
  <si>
    <t>USDHTGIDC</t>
  </si>
  <si>
    <t>USDAZNIDC</t>
  </si>
  <si>
    <t>USDAFN</t>
  </si>
  <si>
    <t>USDALLIDC</t>
  </si>
  <si>
    <t>USDDZD</t>
  </si>
  <si>
    <t>USDAOA</t>
  </si>
  <si>
    <t>USDXCDIDC</t>
  </si>
  <si>
    <t>USDERNIDC</t>
  </si>
  <si>
    <t>USDSZLIDC</t>
  </si>
  <si>
    <t>USDETBIDC</t>
  </si>
  <si>
    <t>USDSVCIDC</t>
  </si>
  <si>
    <t>USDYER</t>
  </si>
  <si>
    <t>USDOMR</t>
  </si>
  <si>
    <t>USDHNL</t>
  </si>
  <si>
    <t>USDJOD</t>
  </si>
  <si>
    <t>USDUGX</t>
  </si>
  <si>
    <t>USDUYU</t>
  </si>
  <si>
    <t>USDUZS</t>
  </si>
  <si>
    <t>USDUAH</t>
  </si>
  <si>
    <t>USDIQDIDC</t>
  </si>
  <si>
    <t>USDIRR</t>
  </si>
  <si>
    <t>USDILS</t>
  </si>
  <si>
    <t>USDEGP</t>
  </si>
  <si>
    <t>USDINR</t>
  </si>
  <si>
    <t>USDIDR</t>
  </si>
  <si>
    <t>USDJPY</t>
  </si>
  <si>
    <t>USDJMDIDC</t>
  </si>
  <si>
    <t>USDGELIDC</t>
  </si>
  <si>
    <t>USDDJFIDC</t>
  </si>
  <si>
    <t>USDCZK</t>
  </si>
  <si>
    <t>USDCLP</t>
  </si>
  <si>
    <t>USDCVEIDC</t>
  </si>
  <si>
    <t>USDKZT</t>
  </si>
  <si>
    <t>USDQAR</t>
  </si>
  <si>
    <t>USDKHRIDC</t>
  </si>
  <si>
    <t>USDCAD</t>
  </si>
  <si>
    <t>USDKES</t>
  </si>
  <si>
    <t>USDKMFIDC</t>
  </si>
  <si>
    <t>USDCRCIDC</t>
  </si>
  <si>
    <t>USDCOP</t>
  </si>
  <si>
    <t>USDCDFIDC</t>
  </si>
  <si>
    <t>USDCUP</t>
  </si>
  <si>
    <t>USDKWD</t>
  </si>
  <si>
    <t>USDANGIDC</t>
  </si>
  <si>
    <t>USDHRK</t>
  </si>
  <si>
    <t>USDKGSIDC</t>
  </si>
  <si>
    <t>USDTJSIDC</t>
  </si>
  <si>
    <t>USDTZS</t>
  </si>
  <si>
    <t>USDTHB</t>
  </si>
  <si>
    <t>USDTRY</t>
  </si>
  <si>
    <t>USDTOPIDC</t>
  </si>
  <si>
    <t>USDTMTIDC</t>
  </si>
  <si>
    <t>USDTND</t>
  </si>
  <si>
    <t>USDTTD</t>
  </si>
  <si>
    <t>USDPAB</t>
  </si>
  <si>
    <t>USDPYGIDC</t>
  </si>
  <si>
    <t>USDPKR</t>
  </si>
  <si>
    <t>USDPEN</t>
  </si>
  <si>
    <t>USDPLN</t>
  </si>
  <si>
    <t>USDPHP</t>
  </si>
  <si>
    <t>USDHUF</t>
  </si>
  <si>
    <t>USDHKD</t>
  </si>
  <si>
    <t>EURUSD</t>
  </si>
  <si>
    <t>AED</t>
  </si>
  <si>
    <t>아랍에미리트</t>
  </si>
  <si>
    <t>AFN</t>
  </si>
  <si>
    <t>ALL</t>
  </si>
  <si>
    <t>USDALL</t>
  </si>
  <si>
    <t>AMD</t>
  </si>
  <si>
    <t>USDAMD</t>
  </si>
  <si>
    <t>ANG</t>
  </si>
  <si>
    <t>USDANG</t>
  </si>
  <si>
    <t>AOA</t>
  </si>
  <si>
    <t>ARS</t>
  </si>
  <si>
    <t>AUD</t>
  </si>
  <si>
    <t>AUDUSD</t>
  </si>
  <si>
    <t>AWG</t>
  </si>
  <si>
    <t>USDAWG</t>
  </si>
  <si>
    <t>AZN</t>
  </si>
  <si>
    <t>USDAZN</t>
  </si>
  <si>
    <t>BAM</t>
  </si>
  <si>
    <t>USDBAM</t>
  </si>
  <si>
    <t>보스니아-헤르체고비나</t>
  </si>
  <si>
    <t>BBD</t>
  </si>
  <si>
    <t>USDBBDIDC</t>
  </si>
  <si>
    <t>BDT</t>
  </si>
  <si>
    <t>BGN</t>
  </si>
  <si>
    <t>BHD</t>
  </si>
  <si>
    <t>BIF</t>
  </si>
  <si>
    <t>USDBIF</t>
  </si>
  <si>
    <t>BMD</t>
  </si>
  <si>
    <t>USDBMDIDC</t>
  </si>
  <si>
    <t>BND</t>
  </si>
  <si>
    <t>USDBND</t>
  </si>
  <si>
    <t>BOB</t>
  </si>
  <si>
    <t>USDBOB</t>
  </si>
  <si>
    <t>BRL</t>
  </si>
  <si>
    <t>BSD</t>
  </si>
  <si>
    <t>USDBSDIDC</t>
  </si>
  <si>
    <t>BTN</t>
  </si>
  <si>
    <t>USDBTN</t>
  </si>
  <si>
    <t>BWP</t>
  </si>
  <si>
    <t>BWPUSD</t>
  </si>
  <si>
    <t>BWPUSDIDC</t>
  </si>
  <si>
    <t>BYN</t>
  </si>
  <si>
    <t>USDBYN</t>
  </si>
  <si>
    <t>BZD</t>
  </si>
  <si>
    <t>USDBZD</t>
  </si>
  <si>
    <t>CAD</t>
  </si>
  <si>
    <t>CDF</t>
  </si>
  <si>
    <t>USDCDF</t>
  </si>
  <si>
    <t>CHF</t>
  </si>
  <si>
    <t>CLP</t>
  </si>
  <si>
    <t>COP</t>
  </si>
  <si>
    <t>CRC</t>
  </si>
  <si>
    <t>USDCRC</t>
  </si>
  <si>
    <t>CUP</t>
  </si>
  <si>
    <t>USDCUPIDC</t>
  </si>
  <si>
    <t>CVE</t>
  </si>
  <si>
    <t>USDCVE</t>
  </si>
  <si>
    <t>CZK</t>
  </si>
  <si>
    <t>DJF</t>
  </si>
  <si>
    <t>USDDJF</t>
  </si>
  <si>
    <t>DKK</t>
  </si>
  <si>
    <t>DOP</t>
  </si>
  <si>
    <t>USDDOP</t>
  </si>
  <si>
    <t>DZD</t>
  </si>
  <si>
    <t>EGP</t>
  </si>
  <si>
    <t>ERN</t>
  </si>
  <si>
    <t>USDERN</t>
  </si>
  <si>
    <t>ETB</t>
  </si>
  <si>
    <t>USDETB</t>
  </si>
  <si>
    <t>EUR</t>
  </si>
  <si>
    <t>FJD</t>
  </si>
  <si>
    <t>FJDUSD</t>
  </si>
  <si>
    <t>GBP</t>
  </si>
  <si>
    <t>GBPUSD</t>
  </si>
  <si>
    <t>GEL</t>
  </si>
  <si>
    <t>USDGEL</t>
  </si>
  <si>
    <t>GHS</t>
  </si>
  <si>
    <t>GIP</t>
  </si>
  <si>
    <t>GIPUSD</t>
  </si>
  <si>
    <t>GIPUSDIDC</t>
  </si>
  <si>
    <t>GMD</t>
  </si>
  <si>
    <t>USDGMD</t>
  </si>
  <si>
    <t>GNF</t>
  </si>
  <si>
    <t>USDGNF</t>
  </si>
  <si>
    <t>GTQ</t>
  </si>
  <si>
    <t>GYD</t>
  </si>
  <si>
    <t>USDGYD</t>
  </si>
  <si>
    <t>HKD</t>
  </si>
  <si>
    <t>HNL</t>
  </si>
  <si>
    <t>HRK</t>
  </si>
  <si>
    <t>HTG</t>
  </si>
  <si>
    <t>USDHTG</t>
  </si>
  <si>
    <t>HUF</t>
  </si>
  <si>
    <t>IDR</t>
  </si>
  <si>
    <t>ILS</t>
  </si>
  <si>
    <t>INR</t>
  </si>
  <si>
    <t>IQD</t>
  </si>
  <si>
    <t>USDIQD</t>
  </si>
  <si>
    <t>IRR</t>
  </si>
  <si>
    <t>ISK</t>
  </si>
  <si>
    <t>JMD</t>
  </si>
  <si>
    <t>USDJMD</t>
  </si>
  <si>
    <t>JOD</t>
  </si>
  <si>
    <t>JPY</t>
  </si>
  <si>
    <t>KES</t>
  </si>
  <si>
    <t>KGS</t>
  </si>
  <si>
    <t>USDKGS</t>
  </si>
  <si>
    <t>KHR</t>
  </si>
  <si>
    <t>USDKHR</t>
  </si>
  <si>
    <t>KMF</t>
  </si>
  <si>
    <t>USDKMF</t>
  </si>
  <si>
    <t>KWD</t>
  </si>
  <si>
    <t>KYD</t>
  </si>
  <si>
    <t>KYDUSD</t>
  </si>
  <si>
    <t>KYDUSDIDC</t>
  </si>
  <si>
    <t>KZT</t>
  </si>
  <si>
    <t>LAK</t>
  </si>
  <si>
    <t>USDLAK</t>
  </si>
  <si>
    <t>LBP</t>
  </si>
  <si>
    <t>USDLBP</t>
  </si>
  <si>
    <t>LKR</t>
  </si>
  <si>
    <t>LRD</t>
  </si>
  <si>
    <t>LSL</t>
  </si>
  <si>
    <t>USDLSL</t>
  </si>
  <si>
    <t>LYD</t>
  </si>
  <si>
    <t>MAD</t>
  </si>
  <si>
    <t>MDL</t>
  </si>
  <si>
    <t>MGA</t>
  </si>
  <si>
    <t>USDMGA</t>
  </si>
  <si>
    <t>MKD</t>
  </si>
  <si>
    <t>USDMKD</t>
  </si>
  <si>
    <t>MMK</t>
  </si>
  <si>
    <t>MNT</t>
  </si>
  <si>
    <t>MOP</t>
  </si>
  <si>
    <t>USDMOP</t>
  </si>
  <si>
    <t>USDMRU</t>
  </si>
  <si>
    <t>MUR</t>
  </si>
  <si>
    <t>MVR</t>
  </si>
  <si>
    <t>USDMVR</t>
  </si>
  <si>
    <t>MWK</t>
  </si>
  <si>
    <t>MXN</t>
  </si>
  <si>
    <t>MYR</t>
  </si>
  <si>
    <t>MZN</t>
  </si>
  <si>
    <t>NAD</t>
  </si>
  <si>
    <t>USDNAD</t>
  </si>
  <si>
    <t>NGN</t>
  </si>
  <si>
    <t>NIO</t>
  </si>
  <si>
    <t>NOK</t>
  </si>
  <si>
    <t>NPR</t>
  </si>
  <si>
    <t>USDNPR</t>
  </si>
  <si>
    <t>NZD</t>
  </si>
  <si>
    <t>NZDUSD</t>
  </si>
  <si>
    <t>OMR</t>
  </si>
  <si>
    <t>PAB</t>
  </si>
  <si>
    <t>USDPABIDC</t>
  </si>
  <si>
    <t>PEN</t>
  </si>
  <si>
    <t>PGK</t>
  </si>
  <si>
    <t>PGKUSD</t>
  </si>
  <si>
    <t>PGKUSDIDC</t>
  </si>
  <si>
    <t>PHP</t>
  </si>
  <si>
    <t>PKR</t>
  </si>
  <si>
    <t>PLN</t>
  </si>
  <si>
    <t>PYG</t>
  </si>
  <si>
    <t>USDPYG</t>
  </si>
  <si>
    <t>QAR</t>
  </si>
  <si>
    <t>RON</t>
  </si>
  <si>
    <t>RSD</t>
  </si>
  <si>
    <t>USDRSD</t>
  </si>
  <si>
    <t>RUB</t>
  </si>
  <si>
    <t>RWF</t>
  </si>
  <si>
    <t>SAR</t>
  </si>
  <si>
    <t>SBD</t>
  </si>
  <si>
    <t>SBDUSD</t>
  </si>
  <si>
    <t>SBDUSDIDC</t>
  </si>
  <si>
    <t>솔로몬제도</t>
    <phoneticPr fontId="1" type="noConversion"/>
  </si>
  <si>
    <t>SCR</t>
  </si>
  <si>
    <t>USDSCR</t>
  </si>
  <si>
    <t>SDG</t>
  </si>
  <si>
    <t>SEK</t>
  </si>
  <si>
    <t>SGD</t>
  </si>
  <si>
    <t>SLL</t>
  </si>
  <si>
    <t>SOS</t>
  </si>
  <si>
    <t>SRD</t>
  </si>
  <si>
    <t>USDSRD</t>
  </si>
  <si>
    <t>STN</t>
  </si>
  <si>
    <t>USDSTN</t>
  </si>
  <si>
    <t>SVC</t>
  </si>
  <si>
    <t>USDSVC</t>
  </si>
  <si>
    <t>SYP</t>
  </si>
  <si>
    <t>USDSYP</t>
  </si>
  <si>
    <t>SZL</t>
  </si>
  <si>
    <t>USDSZL</t>
  </si>
  <si>
    <t>THB</t>
  </si>
  <si>
    <t>TJS</t>
  </si>
  <si>
    <t>USDTJS</t>
  </si>
  <si>
    <t>TMT</t>
  </si>
  <si>
    <t>USDTMT</t>
  </si>
  <si>
    <t>TND</t>
  </si>
  <si>
    <t>TOP</t>
  </si>
  <si>
    <t>USDTOP</t>
  </si>
  <si>
    <t>TRY</t>
  </si>
  <si>
    <t>튀르키예</t>
  </si>
  <si>
    <t>TTD</t>
  </si>
  <si>
    <t>TWD</t>
  </si>
  <si>
    <t>TZS</t>
  </si>
  <si>
    <t>UAH</t>
  </si>
  <si>
    <t>UGX</t>
  </si>
  <si>
    <t>UYU</t>
  </si>
  <si>
    <t>UZS</t>
  </si>
  <si>
    <t>VND</t>
  </si>
  <si>
    <t>VUV</t>
  </si>
  <si>
    <t>USDVUV</t>
  </si>
  <si>
    <t>WST</t>
  </si>
  <si>
    <t>WSTUSD</t>
  </si>
  <si>
    <t>WSTUSDIDC</t>
  </si>
  <si>
    <t>XAF</t>
  </si>
  <si>
    <t>USDXAF</t>
  </si>
  <si>
    <t>XCD</t>
  </si>
  <si>
    <t>USDXCD</t>
  </si>
  <si>
    <t>XOF</t>
  </si>
  <si>
    <t>USDXOF</t>
  </si>
  <si>
    <t>YER</t>
  </si>
  <si>
    <t>ZAR</t>
  </si>
  <si>
    <t>MRU</t>
  </si>
  <si>
    <t>VEF</t>
  </si>
  <si>
    <t>1/USDFJDIDC</t>
  </si>
  <si>
    <t>USDMWK</t>
  </si>
  <si>
    <t>유럽</t>
  </si>
  <si>
    <t>아프리카</t>
  </si>
  <si>
    <t>중동</t>
  </si>
  <si>
    <t>아메리카</t>
  </si>
  <si>
    <t>상투메프린시페</t>
  </si>
  <si>
    <t>아시아/태평양</t>
  </si>
  <si>
    <t>MYI:KLSE</t>
  </si>
  <si>
    <t>SGI:STI</t>
  </si>
  <si>
    <t>LNS:FTSE100</t>
  </si>
  <si>
    <t>ITI:FTSEMIB</t>
  </si>
  <si>
    <t>유럽</t>
    <phoneticPr fontId="1" type="noConversion"/>
  </si>
  <si>
    <t>아메리카</t>
    <phoneticPr fontId="1" type="noConversion"/>
  </si>
  <si>
    <t>아시아/태평양</t>
    <phoneticPr fontId="1" type="noConversion"/>
  </si>
  <si>
    <t>MSI:105765L</t>
  </si>
  <si>
    <t>MSI:105766L</t>
  </si>
  <si>
    <t>MSI:105767L</t>
  </si>
  <si>
    <t>MSI:105768L</t>
  </si>
  <si>
    <t>MSI:105769L</t>
  </si>
  <si>
    <t>MSI:133712L</t>
  </si>
  <si>
    <t>MSI:133713</t>
  </si>
  <si>
    <t>MSI:133713L</t>
  </si>
  <si>
    <t>MSI:133714</t>
  </si>
  <si>
    <t>MSI:133714L</t>
  </si>
  <si>
    <t>MSI:133715</t>
  </si>
  <si>
    <t>MSI:133715L</t>
  </si>
  <si>
    <t>MSI:133717</t>
  </si>
  <si>
    <t>MSI:133717L</t>
  </si>
  <si>
    <t>MSI:133722</t>
  </si>
  <si>
    <t>MSI:133722L</t>
  </si>
  <si>
    <t>MSI:136634</t>
  </si>
  <si>
    <t>MSI:136634L</t>
  </si>
  <si>
    <t>MSI:136635L</t>
  </si>
  <si>
    <t>MSI:136636L</t>
  </si>
  <si>
    <t>MSI:136637L</t>
  </si>
  <si>
    <t>MSI:136638L</t>
  </si>
  <si>
    <t>MSI:136639L</t>
  </si>
  <si>
    <t>MSI:136640L</t>
  </si>
  <si>
    <t>MSI:136641L</t>
  </si>
  <si>
    <t>MSI:136642L</t>
  </si>
  <si>
    <t>MSI:136643L</t>
  </si>
  <si>
    <t>MSI:136644L</t>
  </si>
  <si>
    <t>MSI:136645L</t>
  </si>
  <si>
    <t>MSI:136646L</t>
  </si>
  <si>
    <t>MSI:136647</t>
  </si>
  <si>
    <t>MSI:136647L</t>
  </si>
  <si>
    <t>MSI:141415L</t>
  </si>
  <si>
    <t>MSI:300400L</t>
  </si>
  <si>
    <t>MSI:302400L</t>
  </si>
  <si>
    <t>MSI:700071L</t>
  </si>
  <si>
    <t>MSI:700396L</t>
  </si>
  <si>
    <t>MSI:700589L</t>
  </si>
  <si>
    <t>MSI:848400L</t>
  </si>
  <si>
    <t>MSI:860800L</t>
  </si>
  <si>
    <t>MSI:903200</t>
  </si>
  <si>
    <t>MSI:903200L</t>
  </si>
  <si>
    <t>MSI:903600L</t>
  </si>
  <si>
    <t>MSI:904000L</t>
  </si>
  <si>
    <t>MSI:905600L</t>
  </si>
  <si>
    <t>MSI:907600L</t>
  </si>
  <si>
    <t>MSI:912400L</t>
  </si>
  <si>
    <t>MSI:914400L</t>
  </si>
  <si>
    <t>MSI:915200L</t>
  </si>
  <si>
    <t>MSI:915800L</t>
  </si>
  <si>
    <t>MSI:917000L</t>
  </si>
  <si>
    <t>MSI:920000L</t>
  </si>
  <si>
    <t>MSI:920800L</t>
  </si>
  <si>
    <t>MSI:924600L</t>
  </si>
  <si>
    <t>MSI:925000L</t>
  </si>
  <si>
    <t>MSI:928000L</t>
  </si>
  <si>
    <t>MSI:930000L</t>
  </si>
  <si>
    <t>MSI:934400L</t>
  </si>
  <si>
    <t>MSI:934800L</t>
  </si>
  <si>
    <t>MSI:935600L</t>
  </si>
  <si>
    <t>MSI:937200L</t>
  </si>
  <si>
    <t>MSI:938000L</t>
  </si>
  <si>
    <t>MSI:939200L</t>
  </si>
  <si>
    <t>MSI:940000</t>
  </si>
  <si>
    <t>MSI:940000L</t>
  </si>
  <si>
    <t>MSI:941000L</t>
  </si>
  <si>
    <t>MSI:952800L</t>
  </si>
  <si>
    <t>MSI:955400L</t>
  </si>
  <si>
    <t>MSI:957800L</t>
  </si>
  <si>
    <t>MSI:958600</t>
  </si>
  <si>
    <t>MSI:958600L</t>
  </si>
  <si>
    <t>MSI:960400L</t>
  </si>
  <si>
    <t>MSI:961600L</t>
  </si>
  <si>
    <t>MSI:962000L</t>
  </si>
  <si>
    <t>MSI:971000L</t>
  </si>
  <si>
    <t>MSI:972400L</t>
  </si>
  <si>
    <t>MSI:975200L</t>
  </si>
  <si>
    <t>MSI:975600L</t>
  </si>
  <si>
    <t>MSI:979200L</t>
  </si>
  <si>
    <t>MSI:982600L</t>
  </si>
  <si>
    <t>MSI:984000L</t>
  </si>
  <si>
    <t>MSI:998100L</t>
  </si>
  <si>
    <t>STX:TCARV</t>
  </si>
  <si>
    <t>STX:TCAUV</t>
  </si>
  <si>
    <t>STX:TCATV</t>
  </si>
  <si>
    <t>STX:TCBEV</t>
  </si>
  <si>
    <t>STX:TCBRV</t>
  </si>
  <si>
    <t>STX:TCBGV</t>
  </si>
  <si>
    <t>STX:TCCAV</t>
  </si>
  <si>
    <t>STX:TCCLV</t>
  </si>
  <si>
    <t>STX:TCCNV</t>
  </si>
  <si>
    <t>STX:TCCOV</t>
  </si>
  <si>
    <t>STX:TCHRV</t>
  </si>
  <si>
    <t>STX:TCCZV</t>
  </si>
  <si>
    <t>STX:TCDKV</t>
  </si>
  <si>
    <t>STX:TCEGV</t>
  </si>
  <si>
    <t>STX:TCEEV</t>
  </si>
  <si>
    <t>STX:TCFIV</t>
  </si>
  <si>
    <t>STX:TCFRV</t>
  </si>
  <si>
    <t>STX:TCDEV</t>
  </si>
  <si>
    <t>STX:TCGRV</t>
  </si>
  <si>
    <t>STX:TCHKV</t>
  </si>
  <si>
    <t>STX:TCHUV</t>
  </si>
  <si>
    <t>STX:TCISV</t>
  </si>
  <si>
    <t>STX:TCINV</t>
  </si>
  <si>
    <t>STX:TCIDV</t>
  </si>
  <si>
    <t>STX:TCIEV</t>
  </si>
  <si>
    <t>STX:TCILV</t>
  </si>
  <si>
    <t>STX:TCITV</t>
  </si>
  <si>
    <t>STX:TCJPV</t>
  </si>
  <si>
    <t>STX:TCLVV</t>
  </si>
  <si>
    <t>STX:TCLTV</t>
  </si>
  <si>
    <t>STX:TCLUV</t>
  </si>
  <si>
    <t>STX:TCMKDV</t>
  </si>
  <si>
    <t>STX:TCMYV</t>
  </si>
  <si>
    <t>STX:TCMXV</t>
  </si>
  <si>
    <t>STX:TCMAV</t>
  </si>
  <si>
    <t>STX:TCNLV</t>
  </si>
  <si>
    <t>STX:TCNZV</t>
  </si>
  <si>
    <t>STX:TCNGV</t>
  </si>
  <si>
    <t>STX:TCNOV</t>
  </si>
  <si>
    <t>STX:TCPKV</t>
  </si>
  <si>
    <t>STX:TCPEV</t>
  </si>
  <si>
    <t>STX:TCPHV</t>
  </si>
  <si>
    <t>STX:TCPLV</t>
  </si>
  <si>
    <t>STX:TCPTV</t>
  </si>
  <si>
    <t>STX:TCROV</t>
  </si>
  <si>
    <t>STX:TCRUV</t>
  </si>
  <si>
    <t>STX:TCRSV</t>
  </si>
  <si>
    <t>STX:TCSGV</t>
  </si>
  <si>
    <t>STX:TCSKV</t>
  </si>
  <si>
    <t>STX:TCSIV</t>
  </si>
  <si>
    <t>STX:TCZAV</t>
  </si>
  <si>
    <t>STX:TCKRV</t>
  </si>
  <si>
    <t>STX:TCESV</t>
  </si>
  <si>
    <t>STX:TCSEV</t>
  </si>
  <si>
    <t>STX:TCCHV</t>
  </si>
  <si>
    <t>STX:TCTWV</t>
  </si>
  <si>
    <t>STX:TCTHV</t>
  </si>
  <si>
    <t>STX:TCTNV</t>
  </si>
  <si>
    <t>STX:TCUKV</t>
  </si>
  <si>
    <t>STX:TCUAV</t>
  </si>
  <si>
    <t>STX:TCUSV</t>
  </si>
  <si>
    <t>STX:TCVNV</t>
  </si>
  <si>
    <t>MSI:105765</t>
  </si>
  <si>
    <t>MSI:105766</t>
  </si>
  <si>
    <t>MSI:105767</t>
  </si>
  <si>
    <t>MSI:105768</t>
  </si>
  <si>
    <t>MSI:105769</t>
  </si>
  <si>
    <t>MSI:300400</t>
  </si>
  <si>
    <t>MSI:302400</t>
  </si>
  <si>
    <t>MSI:848400</t>
  </si>
  <si>
    <t>MSI:860800</t>
  </si>
  <si>
    <t>MSI:903600</t>
  </si>
  <si>
    <t>MSI:904000</t>
  </si>
  <si>
    <t>MSI:905600</t>
  </si>
  <si>
    <t>MSI:907600</t>
  </si>
  <si>
    <t>MSI:912400</t>
  </si>
  <si>
    <t>MSI:915200</t>
  </si>
  <si>
    <t>MSI:915800</t>
  </si>
  <si>
    <t>MSI:917000</t>
  </si>
  <si>
    <t>MSI:920000</t>
  </si>
  <si>
    <t>MSI:920800</t>
  </si>
  <si>
    <t>MSI:924600</t>
  </si>
  <si>
    <t>MSI:925000</t>
  </si>
  <si>
    <t>MSI:928000</t>
  </si>
  <si>
    <t>MSI:930000</t>
  </si>
  <si>
    <t>MSI:934400</t>
  </si>
  <si>
    <t>MSI:934800</t>
  </si>
  <si>
    <t>MSI:935600</t>
  </si>
  <si>
    <t>MSI:937200</t>
  </si>
  <si>
    <t>MSI:938000</t>
  </si>
  <si>
    <t>MSI:939200</t>
  </si>
  <si>
    <t>MSI:941000</t>
  </si>
  <si>
    <t>MSI:952800</t>
  </si>
  <si>
    <t>MSI:955400</t>
  </si>
  <si>
    <t>MSI:957800</t>
  </si>
  <si>
    <t>MSI:960400</t>
  </si>
  <si>
    <t>MSI:961600</t>
  </si>
  <si>
    <t>MSI:962000</t>
  </si>
  <si>
    <t>MSI:971000</t>
  </si>
  <si>
    <t>MSI:972400</t>
  </si>
  <si>
    <t>MSI:975200</t>
  </si>
  <si>
    <t>MSI:975600</t>
  </si>
  <si>
    <t>MSI:979200</t>
  </si>
  <si>
    <t>MSI:982600</t>
  </si>
  <si>
    <t>MSI:984000</t>
  </si>
  <si>
    <t>MSI:998100</t>
  </si>
  <si>
    <t>FX</t>
    <phoneticPr fontId="1" type="noConversion"/>
  </si>
  <si>
    <t>FX code</t>
    <phoneticPr fontId="1" type="noConversion"/>
  </si>
  <si>
    <t>FX fair</t>
    <phoneticPr fontId="1" type="noConversion"/>
  </si>
  <si>
    <t>대륙</t>
    <phoneticPr fontId="1" type="noConversion"/>
  </si>
  <si>
    <t>국가</t>
    <phoneticPr fontId="1" type="noConversion"/>
  </si>
  <si>
    <t>HSI:HSCE</t>
  </si>
  <si>
    <t>TSE:TSI01</t>
  </si>
  <si>
    <t>[6535] 국가별 금융종합</t>
    <phoneticPr fontId="1" type="noConversion"/>
  </si>
  <si>
    <t>미국 (DJI)</t>
    <phoneticPr fontId="1" type="noConversion"/>
  </si>
  <si>
    <t>미국 (S&amp;P)</t>
    <phoneticPr fontId="1" type="noConversion"/>
  </si>
  <si>
    <t>미국 (NASDAQ)</t>
    <phoneticPr fontId="1" type="noConversion"/>
  </si>
  <si>
    <t>NAS:IXIC</t>
    <phoneticPr fontId="1" type="noConversion"/>
  </si>
  <si>
    <t>KRW</t>
    <phoneticPr fontId="1" type="noConversion"/>
  </si>
  <si>
    <t>USDKRW</t>
    <phoneticPr fontId="1" type="noConversion"/>
  </si>
  <si>
    <t>한국 (KOSDAQ)</t>
    <phoneticPr fontId="1" type="noConversion"/>
  </si>
  <si>
    <t>한국 (KOSPI)</t>
    <phoneticPr fontId="1" type="noConversion"/>
  </si>
  <si>
    <t>801</t>
    <phoneticPr fontId="1" type="noConversion"/>
  </si>
  <si>
    <t>001</t>
    <phoneticPr fontId="1" type="noConversion"/>
  </si>
  <si>
    <t>일본 (NIKKEI225)</t>
    <phoneticPr fontId="1" type="noConversion"/>
  </si>
  <si>
    <t>일본 (TOPIX)</t>
    <phoneticPr fontId="1" type="noConversion"/>
  </si>
  <si>
    <t>홍콩 (항셍)</t>
    <phoneticPr fontId="1" type="noConversion"/>
  </si>
  <si>
    <t>홍콩 (항셍H)</t>
    <phoneticPr fontId="1" type="noConversion"/>
  </si>
  <si>
    <t>SHS:000002</t>
    <phoneticPr fontId="1" type="noConversion"/>
  </si>
  <si>
    <t>SHS:000003</t>
  </si>
  <si>
    <t>SHS:000001</t>
    <phoneticPr fontId="1" type="noConversion"/>
  </si>
  <si>
    <t>중국 (심천 A)</t>
    <phoneticPr fontId="1" type="noConversion"/>
  </si>
  <si>
    <t>중국 (상해 A)</t>
    <phoneticPr fontId="1" type="noConversion"/>
  </si>
  <si>
    <t>중국 (상해 B)</t>
    <phoneticPr fontId="1" type="noConversion"/>
  </si>
  <si>
    <t>중국 (심천 B)</t>
    <phoneticPr fontId="1" type="noConversion"/>
  </si>
  <si>
    <t>중국 (심천 종합)</t>
    <phoneticPr fontId="1" type="noConversion"/>
  </si>
  <si>
    <t>중국 (CSI 300)</t>
    <phoneticPr fontId="1" type="noConversion"/>
  </si>
  <si>
    <t>SZS:399107</t>
    <phoneticPr fontId="1" type="noConversion"/>
  </si>
  <si>
    <t>SZS:399108</t>
    <phoneticPr fontId="1" type="noConversion"/>
  </si>
  <si>
    <t>SZS:399106</t>
    <phoneticPr fontId="1" type="noConversion"/>
  </si>
  <si>
    <t>SHS:000300</t>
    <phoneticPr fontId="1" type="noConversion"/>
  </si>
  <si>
    <t>DOLLAR</t>
    <phoneticPr fontId="1" type="noConversion"/>
  </si>
  <si>
    <t>EUR (LVL)</t>
    <phoneticPr fontId="1" type="noConversion"/>
  </si>
  <si>
    <t>EUR (LTL)</t>
    <phoneticPr fontId="1" type="noConversion"/>
  </si>
  <si>
    <t>EUR (EEK)</t>
    <phoneticPr fontId="1" type="noConversion"/>
  </si>
  <si>
    <t>미국 (DJI)</t>
  </si>
  <si>
    <t>한국 (KOSDAQ)</t>
  </si>
  <si>
    <t>한국 (KOSPI)</t>
  </si>
  <si>
    <t>일본 (NIKKEI225)</t>
  </si>
  <si>
    <t>홍콩 (항셍)</t>
  </si>
  <si>
    <t>ATX</t>
  </si>
  <si>
    <t>SMI OHNE</t>
  </si>
  <si>
    <t>다우 산업</t>
  </si>
  <si>
    <t>항셍 H</t>
  </si>
  <si>
    <t>항셍</t>
  </si>
  <si>
    <t>TASE-100</t>
  </si>
  <si>
    <t>나스닥 종합</t>
  </si>
  <si>
    <t>니케이 225</t>
  </si>
  <si>
    <t>ALL SHARE</t>
  </si>
  <si>
    <t>Philippines Index Composite</t>
  </si>
  <si>
    <t>프라하 주가지수</t>
  </si>
  <si>
    <t>SAUDI SHARE PRICE</t>
  </si>
  <si>
    <t>S&amp;P 500</t>
  </si>
  <si>
    <t>심천 종합</t>
  </si>
  <si>
    <t>SET</t>
  </si>
  <si>
    <t>TOPIX 1부</t>
  </si>
  <si>
    <t>KLCI</t>
    <phoneticPr fontId="1" type="noConversion"/>
  </si>
  <si>
    <t>SPI:SPX</t>
    <phoneticPr fontId="1" type="noConversion"/>
  </si>
  <si>
    <t>STI</t>
    <phoneticPr fontId="1" type="noConversion"/>
  </si>
  <si>
    <t>FTSE MIB</t>
    <phoneticPr fontId="1" type="noConversion"/>
  </si>
  <si>
    <t>FTSE 100</t>
    <phoneticPr fontId="1" type="noConversion"/>
  </si>
  <si>
    <t>상해 종합</t>
    <phoneticPr fontId="1" type="noConversion"/>
  </si>
  <si>
    <t>중국 (상해 종합)</t>
  </si>
  <si>
    <t>중국 (상해 종합)</t>
    <phoneticPr fontId="1" type="noConversion"/>
  </si>
  <si>
    <t>CSI 300</t>
  </si>
  <si>
    <t>상해 A</t>
  </si>
  <si>
    <t>상해 B</t>
  </si>
  <si>
    <t>심천 A</t>
  </si>
  <si>
    <t>심천 B</t>
  </si>
  <si>
    <t>KOSPI</t>
    <phoneticPr fontId="1" type="noConversion"/>
  </si>
  <si>
    <t>KOSDAQ</t>
    <phoneticPr fontId="1" type="noConversion"/>
  </si>
  <si>
    <t>ATEHN INDEX COMPOSITE</t>
    <phoneticPr fontId="1" type="noConversion"/>
  </si>
  <si>
    <t>AEX</t>
    <phoneticPr fontId="1" type="noConversion"/>
  </si>
  <si>
    <t>NZSX 50</t>
    <phoneticPr fontId="1" type="noConversion"/>
  </si>
  <si>
    <t>가권</t>
    <phoneticPr fontId="1" type="noConversion"/>
  </si>
  <si>
    <t>OMX COPENHAGEN 20</t>
    <phoneticPr fontId="1" type="noConversion"/>
  </si>
  <si>
    <t>DAX</t>
    <phoneticPr fontId="1" type="noConversion"/>
  </si>
  <si>
    <t>RIGSE</t>
    <phoneticPr fontId="1" type="noConversion"/>
  </si>
  <si>
    <t>RTS</t>
    <phoneticPr fontId="1" type="noConversion"/>
  </si>
  <si>
    <t>LUXX</t>
    <phoneticPr fontId="1" type="noConversion"/>
  </si>
  <si>
    <t>IPC</t>
    <phoneticPr fontId="1" type="noConversion"/>
  </si>
  <si>
    <t>VENEZUELA GENERAL</t>
    <phoneticPr fontId="1" type="noConversion"/>
  </si>
  <si>
    <t>호치민</t>
    <phoneticPr fontId="1" type="noConversion"/>
  </si>
  <si>
    <t>SOFIX</t>
    <phoneticPr fontId="1" type="noConversion"/>
  </si>
  <si>
    <t>BOVESPA</t>
    <phoneticPr fontId="1" type="noConversion"/>
  </si>
  <si>
    <t>IBEX-35</t>
    <phoneticPr fontId="1" type="noConversion"/>
  </si>
  <si>
    <t>Dubai Financial Market</t>
    <phoneticPr fontId="1" type="noConversion"/>
  </si>
  <si>
    <t>OMX Stockholm</t>
    <phoneticPr fontId="1" type="noConversion"/>
  </si>
  <si>
    <t>MERVAL</t>
    <phoneticPr fontId="1" type="noConversion"/>
  </si>
  <si>
    <t>ISEQ</t>
    <phoneticPr fontId="1" type="noConversion"/>
  </si>
  <si>
    <t>MSM</t>
    <phoneticPr fontId="1" type="noConversion"/>
  </si>
  <si>
    <t>FTI</t>
    <phoneticPr fontId="1" type="noConversion"/>
  </si>
  <si>
    <t>CSE CASE 30</t>
    <phoneticPr fontId="1" type="noConversion"/>
  </si>
  <si>
    <t>SENSEX</t>
    <phoneticPr fontId="1" type="noConversion"/>
  </si>
  <si>
    <t>IDX 종합</t>
    <phoneticPr fontId="1" type="noConversion"/>
  </si>
  <si>
    <t>IGPA</t>
    <phoneticPr fontId="1" type="noConversion"/>
  </si>
  <si>
    <t>QATAR MARKET INDEX</t>
    <phoneticPr fontId="1" type="noConversion"/>
  </si>
  <si>
    <t>S&amp;P TSX</t>
    <phoneticPr fontId="1" type="noConversion"/>
  </si>
  <si>
    <t>IGBC</t>
    <phoneticPr fontId="1" type="noConversion"/>
  </si>
  <si>
    <t>Premier Market Price Return</t>
    <phoneticPr fontId="1" type="noConversion"/>
  </si>
  <si>
    <t>ISE 100</t>
    <phoneticPr fontId="1" type="noConversion"/>
  </si>
  <si>
    <t>KARACHI 100</t>
    <phoneticPr fontId="1" type="noConversion"/>
  </si>
  <si>
    <t>LIMA INDEX</t>
    <phoneticPr fontId="1" type="noConversion"/>
  </si>
  <si>
    <t>PSI 20</t>
    <phoneticPr fontId="1" type="noConversion"/>
  </si>
  <si>
    <t>WARSAW WIG</t>
    <phoneticPr fontId="1" type="noConversion"/>
  </si>
  <si>
    <t>HEL25</t>
    <phoneticPr fontId="1" type="noConversion"/>
  </si>
  <si>
    <t>BUX</t>
    <phoneticPr fontId="1" type="noConversion"/>
  </si>
  <si>
    <t>ALL ORDS</t>
    <phoneticPr fontId="1" type="noConversion"/>
  </si>
  <si>
    <t>BEL 20</t>
    <phoneticPr fontId="1" type="noConversion"/>
  </si>
  <si>
    <t>CAC 40</t>
    <phoneticPr fontId="1" type="noConversion"/>
  </si>
  <si>
    <t>지수</t>
    <phoneticPr fontId="1" type="noConversion"/>
  </si>
  <si>
    <t>MSCI (Local)</t>
    <phoneticPr fontId="1" type="noConversion"/>
  </si>
  <si>
    <t>MSCI (USD)</t>
    <phoneticPr fontId="1" type="noConversion"/>
  </si>
  <si>
    <t>EURUSD</t>
    <phoneticPr fontId="1" type="noConversion"/>
  </si>
  <si>
    <t>USDCNY</t>
    <phoneticPr fontId="1" type="noConversion"/>
  </si>
  <si>
    <t>USDSP_AMBC</t>
    <phoneticPr fontId="1" type="noConversion"/>
  </si>
  <si>
    <r>
      <rPr>
        <sz val="11"/>
        <color theme="1"/>
        <rFont val="맑은 고딕"/>
        <family val="3"/>
        <charset val="129"/>
        <scheme val="minor"/>
      </rPr>
      <t>지수</t>
    </r>
    <phoneticPr fontId="1" type="noConversion"/>
  </si>
  <si>
    <r>
      <rPr>
        <sz val="11"/>
        <color theme="1"/>
        <rFont val="맑은 고딕"/>
        <family val="2"/>
        <charset val="129"/>
        <scheme val="minor"/>
      </rPr>
      <t>전일대비</t>
    </r>
    <phoneticPr fontId="1" type="noConversion"/>
  </si>
  <si>
    <r>
      <rPr>
        <sz val="11"/>
        <color theme="1"/>
        <rFont val="맑은 고딕"/>
        <family val="2"/>
        <charset val="129"/>
        <scheme val="minor"/>
      </rPr>
      <t>등락률</t>
    </r>
    <phoneticPr fontId="1" type="noConversion"/>
  </si>
  <si>
    <t>USD</t>
    <phoneticPr fontId="1" type="noConversion"/>
  </si>
  <si>
    <t>CNY</t>
    <phoneticPr fontId="1" type="noConversion"/>
  </si>
  <si>
    <t>IR</t>
  </si>
  <si>
    <t>IR</t>
    <phoneticPr fontId="1" type="noConversion"/>
  </si>
  <si>
    <t>BR</t>
  </si>
  <si>
    <t>CA</t>
  </si>
  <si>
    <t>CO</t>
  </si>
  <si>
    <t>NZ</t>
  </si>
  <si>
    <t>AU</t>
  </si>
  <si>
    <t>TW</t>
  </si>
  <si>
    <t>SG</t>
  </si>
  <si>
    <t>MY</t>
  </si>
  <si>
    <t>PH</t>
  </si>
  <si>
    <t>ID</t>
  </si>
  <si>
    <t>IN</t>
  </si>
  <si>
    <t>DK</t>
  </si>
  <si>
    <t>NO</t>
  </si>
  <si>
    <t>GB</t>
  </si>
  <si>
    <t>SE</t>
  </si>
  <si>
    <t>ES</t>
  </si>
  <si>
    <t>BE</t>
  </si>
  <si>
    <t>DE</t>
  </si>
  <si>
    <t>NL</t>
  </si>
  <si>
    <t>FR</t>
  </si>
  <si>
    <t>IT</t>
  </si>
  <si>
    <t>PT</t>
  </si>
  <si>
    <t>IE</t>
  </si>
  <si>
    <t>GR</t>
  </si>
  <si>
    <t>MX</t>
  </si>
  <si>
    <t>TH</t>
  </si>
  <si>
    <t>TR</t>
  </si>
  <si>
    <t>PL</t>
  </si>
  <si>
    <t>HU</t>
  </si>
  <si>
    <t>CZ</t>
  </si>
  <si>
    <t>ZA</t>
  </si>
  <si>
    <t>US</t>
    <phoneticPr fontId="1" type="noConversion"/>
  </si>
  <si>
    <t>JP</t>
    <phoneticPr fontId="1" type="noConversion"/>
  </si>
  <si>
    <t>RM</t>
    <phoneticPr fontId="1" type="noConversion"/>
  </si>
  <si>
    <t>HK</t>
    <phoneticPr fontId="1" type="noConversion"/>
  </si>
  <si>
    <t>BONDHANYLD410</t>
  </si>
  <si>
    <t>KR1035G00002</t>
  </si>
  <si>
    <t>KR1035G00003</t>
  </si>
  <si>
    <t>KR1035G00005</t>
  </si>
  <si>
    <t>KR1035G00010</t>
  </si>
  <si>
    <t>KR1035G00020</t>
  </si>
  <si>
    <t>KR1035G00030</t>
  </si>
  <si>
    <t>KR1035G00050</t>
  </si>
  <si>
    <t>01Y</t>
    <phoneticPr fontId="1" type="noConversion"/>
  </si>
  <si>
    <t>02Y</t>
    <phoneticPr fontId="1" type="noConversion"/>
  </si>
  <si>
    <t>03Y</t>
    <phoneticPr fontId="1" type="noConversion"/>
  </si>
  <si>
    <t>05Y</t>
    <phoneticPr fontId="1" type="noConversion"/>
  </si>
  <si>
    <t>10Y</t>
    <phoneticPr fontId="1" type="noConversion"/>
  </si>
  <si>
    <t>20Y</t>
    <phoneticPr fontId="1" type="noConversion"/>
  </si>
  <si>
    <t>30Y</t>
    <phoneticPr fontId="1" type="noConversion"/>
  </si>
  <si>
    <t>50Y</t>
    <phoneticPr fontId="1" type="noConversion"/>
  </si>
  <si>
    <t>01M</t>
    <phoneticPr fontId="1" type="noConversion"/>
  </si>
  <si>
    <t>03M</t>
    <phoneticPr fontId="1" type="noConversion"/>
  </si>
  <si>
    <t>06M</t>
    <phoneticPr fontId="1" type="noConversion"/>
  </si>
  <si>
    <t>04Y</t>
    <phoneticPr fontId="1" type="noConversion"/>
  </si>
  <si>
    <t>06Y</t>
    <phoneticPr fontId="1" type="noConversion"/>
  </si>
  <si>
    <t>07Y</t>
    <phoneticPr fontId="1" type="noConversion"/>
  </si>
  <si>
    <t>08Y</t>
    <phoneticPr fontId="1" type="noConversion"/>
  </si>
  <si>
    <t>09Y</t>
    <phoneticPr fontId="1" type="noConversion"/>
  </si>
  <si>
    <t>11Y</t>
    <phoneticPr fontId="1" type="noConversion"/>
  </si>
  <si>
    <t>12Y</t>
    <phoneticPr fontId="1" type="noConversion"/>
  </si>
  <si>
    <t>15Y</t>
    <phoneticPr fontId="1" type="noConversion"/>
  </si>
  <si>
    <t>25Y</t>
    <phoneticPr fontId="1" type="noConversion"/>
  </si>
  <si>
    <t>40Y</t>
    <phoneticPr fontId="1" type="noConversion"/>
  </si>
  <si>
    <t>전일대비(bp)</t>
    <phoneticPr fontId="1" type="noConversion"/>
  </si>
  <si>
    <t>STX:TCTRV</t>
    <phoneticPr fontId="1" type="noConversion"/>
  </si>
  <si>
    <t>STOXX (USD/NR)</t>
  </si>
  <si>
    <t>STOXX (USD/NR)</t>
    <phoneticPr fontId="1" type="noConversion"/>
  </si>
  <si>
    <t>초기화</t>
    <phoneticPr fontId="1" type="noConversion"/>
  </si>
  <si>
    <t>솔로몬제도</t>
  </si>
  <si>
    <t>일본 (TOPIX)</t>
  </si>
  <si>
    <t>중국 (심천 종합)</t>
  </si>
  <si>
    <t>중국 (CSI 300)</t>
  </si>
  <si>
    <t>중국 (상해 A)</t>
  </si>
  <si>
    <t>중국 (상해 B)</t>
  </si>
  <si>
    <t>중국 (심천 A)</t>
  </si>
  <si>
    <t>중국 (심천 B)</t>
  </si>
  <si>
    <t>홍콩 (항셍H)</t>
  </si>
  <si>
    <t>미국 (NASDAQ)</t>
  </si>
  <si>
    <t>미국 (S&amp;P)</t>
  </si>
  <si>
    <t>전일대비</t>
    <phoneticPr fontId="1" type="noConversion"/>
  </si>
  <si>
    <t>환율</t>
    <phoneticPr fontId="1" type="noConversion"/>
  </si>
  <si>
    <t>금리</t>
    <phoneticPr fontId="1" type="noConversion"/>
  </si>
  <si>
    <t>국가 직접 입력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</si>
</sst>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_ "/>
    <numFmt numFmtId="177" formatCode="#,##0.0000_ 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22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49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3" fillId="2" borderId="4" xfId="0" applyFont="1" applyFill="1" applyBorder="1">
      <alignment vertical="center"/>
    </xf>
    <xf numFmtId="0" fontId="3" fillId="2" borderId="5" xfId="0" applyFont="1" applyFill="1" applyBorder="1">
      <alignment vertical="center"/>
    </xf>
    <xf numFmtId="176" fontId="4" fillId="0" borderId="8" xfId="0" applyNumberFormat="1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>
      <alignment vertical="center"/>
    </xf>
    <xf numFmtId="176" fontId="4" fillId="0" borderId="11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9" xfId="0" applyFont="1" applyBorder="1">
      <alignment vertical="center"/>
    </xf>
    <xf numFmtId="176" fontId="4" fillId="0" borderId="15" xfId="0" applyNumberFormat="1" applyFont="1" applyBorder="1">
      <alignment vertical="center"/>
    </xf>
    <xf numFmtId="176" fontId="4" fillId="0" borderId="16" xfId="0" applyNumberFormat="1" applyFont="1" applyBorder="1">
      <alignment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0" fontId="4" fillId="0" borderId="15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16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22" xfId="0" applyFont="1" applyFill="1" applyBorder="1">
      <alignment vertical="center"/>
    </xf>
    <xf numFmtId="0" fontId="4" fillId="0" borderId="2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24" xfId="0" applyFont="1" applyBorder="1">
      <alignment vertical="center"/>
    </xf>
    <xf numFmtId="176" fontId="4" fillId="0" borderId="25" xfId="0" applyNumberFormat="1" applyFont="1" applyBorder="1">
      <alignment vertical="center"/>
    </xf>
    <xf numFmtId="176" fontId="4" fillId="0" borderId="26" xfId="0" applyNumberFormat="1" applyFont="1" applyBorder="1">
      <alignment vertical="center"/>
    </xf>
    <xf numFmtId="0" fontId="4" fillId="0" borderId="27" xfId="0" applyFont="1" applyBorder="1">
      <alignment vertical="center"/>
    </xf>
    <xf numFmtId="0" fontId="4" fillId="0" borderId="25" xfId="0" applyFont="1" applyBorder="1">
      <alignment vertical="center"/>
    </xf>
    <xf numFmtId="0" fontId="4" fillId="0" borderId="12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23" xfId="0" applyFont="1" applyBorder="1">
      <alignment vertical="center"/>
    </xf>
    <xf numFmtId="0" fontId="0" fillId="0" borderId="18" xfId="0" applyBorder="1">
      <alignment vertical="center"/>
    </xf>
    <xf numFmtId="0" fontId="5" fillId="0" borderId="18" xfId="0" applyFont="1" applyBorder="1" applyAlignment="1">
      <alignment horizontal="center" vertical="center"/>
    </xf>
    <xf numFmtId="0" fontId="0" fillId="0" borderId="28" xfId="0" applyBorder="1">
      <alignment vertical="center"/>
    </xf>
    <xf numFmtId="0" fontId="5" fillId="0" borderId="19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9" fillId="0" borderId="7" xfId="0" applyFont="1" applyBorder="1">
      <alignment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177" fontId="4" fillId="0" borderId="12" xfId="0" applyNumberFormat="1" applyFont="1" applyBorder="1">
      <alignment vertical="center"/>
    </xf>
    <xf numFmtId="177" fontId="4" fillId="0" borderId="2" xfId="0" applyNumberFormat="1" applyFont="1" applyBorder="1">
      <alignment vertical="center"/>
    </xf>
    <xf numFmtId="177" fontId="4" fillId="0" borderId="10" xfId="0" applyNumberFormat="1" applyFont="1" applyBorder="1">
      <alignment vertical="center"/>
    </xf>
    <xf numFmtId="0" fontId="12" fillId="3" borderId="0" xfId="0" applyFont="1" applyFill="1">
      <alignment vertical="center"/>
    </xf>
    <xf numFmtId="0" fontId="13" fillId="3" borderId="0" xfId="0" applyFont="1" applyFill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</cellXfs>
  <cellStyles count="1">
    <cellStyle name="표준" xfId="0" builtinId="0"/>
  </cellStyles>
  <dxfs count="3">
    <dxf>
      <fill>
        <patternFill patternType="none">
          <bgColor auto="1"/>
        </patternFill>
      </fill>
    </dxf>
    <dxf>
      <fill>
        <patternFill>
          <bgColor rgb="FFFF9B9B"/>
        </patternFill>
      </fill>
    </dxf>
    <dxf>
      <fill>
        <patternFill>
          <bgColor rgb="FF7DC7FF"/>
        </patternFill>
      </fill>
    </dxf>
  </dxfs>
  <tableStyles count="0" defaultTableStyle="TableStyleMedium2" defaultPivotStyle="PivotStyleLight16"/>
  <colors>
    <mruColors>
      <color rgb="FF7DC7FF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-4.6100000000000002E-2</v>
        <stp/>
        <stp>P</stp>
        <stp>0</stp>
        <stp>FX</stp>
        <stp>USDBRL</stp>
        <stp>NY_BID_Chg</stp>
        <stp>45244</stp>
        <stp/>
        <tr r="L8" s="10"/>
      </tp>
      <tp>
        <v>-7.4999999999999997E-2</v>
        <stp/>
        <stp>P</stp>
        <stp>0</stp>
        <stp>IR</stp>
        <stp>PH10Y</stp>
        <stp>BID_Chg</stp>
        <stp>45244</stp>
        <stp/>
        <tr r="P20" s="10"/>
      </tp>
      <tp>
        <v>1.2800000000000001E-2</v>
        <stp/>
        <stp>P</stp>
        <stp>0</stp>
        <stp>FX</stp>
        <stp>NZDUSD</stp>
        <stp>NY_BID_Chg</stp>
        <stp>45244</stp>
        <stp/>
        <tr r="L13" s="10"/>
      </tp>
      <tp>
        <v>-1.6240000000000001</v>
        <stp/>
        <stp>P</stp>
        <stp>0</stp>
        <stp>FX</stp>
        <stp>DOLLAR</stp>
        <stp>NY_BID_Chg</stp>
        <stp>45244</stp>
        <stp/>
        <tr r="L10" s="10"/>
      </tp>
      <tp>
        <v>-0.24149999999999999</v>
        <stp/>
        <stp>P</stp>
        <stp>0</stp>
        <stp>FX</stp>
        <stp>USDMXN</stp>
        <stp>NY_BID_Chg</stp>
        <stp>45244</stp>
        <stp/>
        <tr r="L11" s="10"/>
      </tp>
      <tp>
        <v>-9.7199999999999995E-2</v>
        <stp/>
        <stp>P</stp>
        <stp>0</stp>
        <stp>FX</stp>
        <stp>USDPLN</stp>
        <stp>NY_BID_Chg</stp>
        <stp>45244</stp>
        <stp/>
        <tr r="L30" s="10"/>
      </tp>
      <tp>
        <v>-0.13</v>
        <stp/>
        <stp>P</stp>
        <stp>0</stp>
        <stp>IR</stp>
        <stp>DK10Y</stp>
        <stp>BID_Chg</stp>
        <stp>45244</stp>
        <stp/>
        <tr r="P26" s="10"/>
      </tp>
      <tp>
        <v>-0.1368</v>
        <stp/>
        <stp>P</stp>
        <stp>0</stp>
        <stp>IR</stp>
        <stp>NL10Y</stp>
        <stp>BID_Chg</stp>
        <stp>45244</stp>
        <stp/>
        <tr r="P36" s="10"/>
      </tp>
      <tp>
        <v>0</v>
        <stp/>
        <stp>P</stp>
        <stp>0</stp>
        <stp>IR</stp>
        <stp>PL10Y</stp>
        <stp>BID_Chg</stp>
        <stp>45244</stp>
        <stp/>
        <tr r="P30" s="10"/>
      </tp>
      <tp>
        <v>9.1000000000000004E-3</v>
        <stp/>
        <stp>P</stp>
        <stp>0</stp>
        <stp>IR</stp>
        <stp>RM10Y</stp>
        <stp>BID_Chg</stp>
        <stp>45244</stp>
        <stp/>
        <tr r="P21" s="10"/>
      </tp>
      <tp>
        <v>0</v>
        <stp/>
        <stp>P</stp>
        <stp>0</stp>
        <stp>IR</stp>
        <stp>IN10Y</stp>
        <stp>BID_Chg</stp>
        <stp>45244</stp>
        <stp/>
        <tr r="P24" s="10"/>
      </tp>
      <tp>
        <v>-0.2059</v>
        <stp/>
        <stp>P</stp>
        <stp>0</stp>
        <stp>FX</stp>
        <stp>USDNOK</stp>
        <stp>NY_BID_Chg</stp>
        <stp>45244</stp>
        <stp/>
        <tr r="L27" s="10"/>
      </tp>
      <tp>
        <v>-0.1176</v>
        <stp/>
        <stp>P</stp>
        <stp>0</stp>
        <stp>FX</stp>
        <stp>USDDKK</stp>
        <stp>NY_BID_Chg</stp>
        <stp>45244</stp>
        <stp/>
        <tr r="L26" s="10"/>
      </tp>
      <tp>
        <v>-0.505</v>
        <stp/>
        <stp>P</stp>
        <stp>0</stp>
        <stp>FX</stp>
        <stp>USDCZK</stp>
        <stp>NY_BID_Chg</stp>
        <stp>45244</stp>
        <stp/>
        <tr r="L32" s="10"/>
      </tp>
      <tp>
        <v>-0.26040000000000002</v>
        <stp/>
        <stp>P</stp>
        <stp>0</stp>
        <stp>FX</stp>
        <stp>USDSEK</stp>
        <stp>NY_BID_Chg</stp>
        <stp>45244</stp>
        <stp/>
        <tr r="L29" s="10"/>
      </tp>
      <tp>
        <v>-6.6000000000000003E-2</v>
        <stp/>
        <stp>P</stp>
        <stp>0</stp>
        <stp>IR</stp>
        <stp>CO10Y</stp>
        <stp>BID_Chg</stp>
        <stp>45244</stp>
        <stp/>
        <tr r="P12" s="10"/>
      </tp>
      <tp>
        <v>-9.98E-2</v>
        <stp/>
        <stp>P</stp>
        <stp>0</stp>
        <stp>IR</stp>
        <stp>NO10Y</stp>
        <stp>BID_Chg</stp>
        <stp>45244</stp>
        <stp/>
        <tr r="P27" s="10"/>
      </tp>
      <tp>
        <v>-1.8E-3</v>
        <stp/>
        <stp>P</stp>
        <stp>0</stp>
        <stp>FX</stp>
        <stp>USDHKD</stp>
        <stp>NY_BID_Chg</stp>
        <stp>45244</stp>
        <stp/>
        <tr r="L22" s="10"/>
      </tp>
      <tp>
        <v>-1.0999999999999999E-2</v>
        <stp/>
        <stp>P</stp>
        <stp>0</stp>
        <stp>FX</stp>
        <stp>USDCAD</stp>
        <stp>NY_BID_Chg</stp>
        <stp>45244</stp>
        <stp/>
        <tr r="L9" s="10"/>
      </tp>
      <tp>
        <v>-0.2</v>
        <stp/>
        <stp>P</stp>
        <stp>0</stp>
        <stp>FX</stp>
        <stp>USDTWD</stp>
        <stp>NY_BID_Chg</stp>
        <stp>45244</stp>
        <stp/>
        <tr r="L17" s="10"/>
      </tp>
      <tp>
        <v>-1.0699999999999999E-2</v>
        <stp/>
        <stp>P</stp>
        <stp>0</stp>
        <stp>FX</stp>
        <stp>USDSGD</stp>
        <stp>NY_BID_Chg</stp>
        <stp>45244</stp>
        <stp/>
        <tr r="L18" s="10"/>
      </tp>
      <tp>
        <v>-0.1615</v>
        <stp/>
        <stp>P</stp>
        <stp>0</stp>
        <stp>IR</stp>
        <stp>CA10Y</stp>
        <stp>BID_Chg</stp>
        <stp>45244</stp>
        <stp/>
        <tr r="P9" s="10"/>
      </tp>
      <tp>
        <v>-7.08</v>
        <stp/>
        <stp>P</stp>
        <stp>0</stp>
        <stp>FX</stp>
        <stp>USDHUF</stp>
        <stp>NY_BID_Chg</stp>
        <stp>45244</stp>
        <stp/>
        <tr r="L31" s="10"/>
      </tp>
      <tp>
        <v>-0.16600000000000001</v>
        <stp/>
        <stp>P</stp>
        <stp>0</stp>
        <stp>IR</stp>
        <stp>GB10Y</stp>
        <stp>BID_Chg</stp>
        <stp>45244</stp>
        <stp/>
        <tr r="P28" s="10"/>
      </tp>
      <tp>
        <v>0</v>
        <stp/>
        <stp>P</stp>
        <stp>0</stp>
        <stp>IR</stp>
        <stp>ID10Y</stp>
        <stp>BID_Chg</stp>
        <stp>45244</stp>
        <stp/>
        <tr r="P23" s="10"/>
      </tp>
      <tp>
        <v>-0.111</v>
        <stp/>
        <stp>P</stp>
        <stp>0</stp>
        <stp>IR</stp>
        <stp>DE10Y</stp>
        <stp>BID_Chg</stp>
        <stp>45244</stp>
        <stp/>
        <tr r="P35" s="10"/>
      </tp>
      <tp>
        <v>-0.13969999999999999</v>
        <stp/>
        <stp>P</stp>
        <stp>0</stp>
        <stp>IR</stp>
        <stp>BE10Y</stp>
        <stp>BID_Chg</stp>
        <stp>45244</stp>
        <stp/>
        <tr r="P34" s="10"/>
      </tp>
      <tp>
        <v>-0.14319999999999999</v>
        <stp/>
        <stp>P</stp>
        <stp>0</stp>
        <stp>IR</stp>
        <stp>IE10Y</stp>
        <stp>BID_Chg</stp>
        <stp>45244</stp>
        <stp/>
        <tr r="P40" s="10"/>
      </tp>
      <tp>
        <v>-0.14360000000000001</v>
        <stp/>
        <stp>P</stp>
        <stp>0</stp>
        <stp>IR</stp>
        <stp>SE10Y</stp>
        <stp>BID_Chg</stp>
        <stp>45244</stp>
        <stp/>
        <tr r="P29" s="10"/>
      </tp>
      <tp>
        <v>1.29E-2</v>
        <stp/>
        <stp>P</stp>
        <stp>0</stp>
        <stp>FX</stp>
        <stp>AUDUSD</stp>
        <stp>NY_BID_Chg</stp>
        <stp>45244</stp>
        <stp/>
        <tr r="L14" s="10"/>
      </tp>
      <tp>
        <v>1.8249999999999999E-2</v>
        <stp/>
        <stp>P</stp>
        <stp>0</stp>
        <stp>FX</stp>
        <stp>EURUSD</stp>
        <stp>NY_BID_Chg</stp>
        <stp>45244</stp>
        <stp/>
        <tr r="L36" s="10"/>
        <tr r="L37" s="10"/>
        <tr r="L41" s="10"/>
        <tr r="L40" s="10"/>
        <tr r="L33" s="10"/>
        <tr r="L35" s="10"/>
        <tr r="L38" s="10"/>
        <tr r="L39" s="10"/>
        <tr r="L34" s="10"/>
      </tp>
      <tp>
        <v>-0.01</v>
        <stp/>
        <stp>P</stp>
        <stp>0</stp>
        <stp>IR</stp>
        <stp>SG10Y</stp>
        <stp>BID_Chg</stp>
        <stp>45244</stp>
        <stp/>
        <tr r="P18" s="10"/>
      </tp>
      <tp>
        <v>-6.2E-2</v>
        <stp/>
        <stp>P</stp>
        <stp>0</stp>
        <stp>IR</stp>
        <stp>MX10Y</stp>
        <stp>BID_Chg</stp>
        <stp>45244</stp>
        <stp/>
        <tr r="P11" s="10"/>
      </tp>
      <tp>
        <v>5.0000000000000001E-3</v>
        <stp/>
        <stp>P</stp>
        <stp>0</stp>
        <stp>IR</stp>
        <stp>MY10Y</stp>
        <stp>BID_Chg</stp>
        <stp>45244</stp>
        <stp/>
        <tr r="P19" s="10"/>
      </tp>
      <tp>
        <v>-2.1700000000000001E-2</v>
        <stp/>
        <stp>P</stp>
        <stp>0</stp>
        <stp>IR</stp>
        <stp>NZ10Y</stp>
        <stp>BID_Chg</stp>
        <stp>45244</stp>
        <stp/>
        <tr r="P13" s="10"/>
      </tp>
      <tp>
        <v>-1.4039999999999999</v>
        <stp/>
        <stp>P</stp>
        <stp>0</stp>
        <stp>FX</stp>
        <stp>USDJPY</stp>
        <stp>NY_BID_Chg</stp>
        <stp>45244</stp>
        <stp/>
        <tr r="L16" s="10"/>
      </tp>
      <tp>
        <v>-3.6999999999999998E-2</v>
        <stp/>
        <stp>P</stp>
        <stp>0</stp>
        <stp>FX</stp>
        <stp>USDCNY</stp>
        <stp>NY_BID_Chg</stp>
        <stp>45244</stp>
        <stp/>
        <tr r="L21" s="10"/>
      </tp>
      <tp>
        <v>4.1399999999999999E-2</v>
        <stp/>
        <stp>P</stp>
        <stp>0</stp>
        <stp>FX</stp>
        <stp>USDTRY</stp>
        <stp>NY_BID_Chg</stp>
        <stp>45244</stp>
        <stp/>
        <tr r="L25" s="10"/>
      </tp>
      <tp>
        <v>-2.1299999999999999E-2</v>
        <stp/>
        <stp>P</stp>
        <stp>0</stp>
        <stp>IR</stp>
        <stp>JP10Y</stp>
        <stp>BID_Chg</stp>
        <stp>45244</stp>
        <stp/>
        <tr r="P16" s="10"/>
      </tp>
      <tp>
        <v>2.247E-2</v>
        <stp/>
        <stp>P</stp>
        <stp>0</stp>
        <stp>FX</stp>
        <stp>GBPUSD</stp>
        <stp>NY_BID_Chg</stp>
        <stp>45244</stp>
        <stp/>
        <tr r="L28" s="10"/>
      </tp>
      <tp>
        <v>-7.4999999999999997E-2</v>
        <stp/>
        <stp>P</stp>
        <stp>0</stp>
        <stp>IR</stp>
        <stp>GR10Y</stp>
        <stp>BID_Chg</stp>
        <stp>45244</stp>
        <stp/>
        <tr r="P41" s="10"/>
      </tp>
      <tp>
        <v>-0.13919999999999999</v>
        <stp/>
        <stp>P</stp>
        <stp>0</stp>
        <stp>IR</stp>
        <stp>FR10Y</stp>
        <stp>BID_Chg</stp>
        <stp>45244</stp>
        <stp/>
        <tr r="P37" s="10"/>
      </tp>
      <tp>
        <v>-8.4000000000000005E-2</v>
        <stp/>
        <stp>P</stp>
        <stp>0</stp>
        <stp>IR</stp>
        <stp>BR10Y</stp>
        <stp>BID_Chg</stp>
        <stp>45244</stp>
        <stp/>
        <tr r="P8" s="10"/>
      </tp>
      <tp>
        <v>-0.14099999999999999</v>
        <stp/>
        <stp>P</stp>
        <stp>0</stp>
        <stp>IR</stp>
        <stp>TR10Y</stp>
        <stp>BID_Chg</stp>
        <stp>45244</stp>
        <stp/>
        <tr r="P25" s="10"/>
      </tp>
      <tp>
        <v>-0.13389999999999999</v>
        <stp/>
        <stp>P</stp>
        <stp>0</stp>
        <stp>IR</stp>
        <stp>ES10Y</stp>
        <stp>BID_Chg</stp>
        <stp>45244</stp>
        <stp/>
        <tr r="P33" s="10"/>
      </tp>
      <tp>
        <v>-0.19059999999999999</v>
        <stp/>
        <stp>P</stp>
        <stp>0</stp>
        <stp>IR</stp>
        <stp>US10Y</stp>
        <stp>BID_Chg</stp>
        <stp>45244</stp>
        <stp/>
        <tr r="P10" s="10"/>
      </tp>
      <tp>
        <v>-62.15</v>
        <stp/>
        <stp>P</stp>
        <stp>0</stp>
        <stp>FX</stp>
        <stp>USDCOP</stp>
        <stp>NY_BID_Chg</stp>
        <stp>45244</stp>
        <stp/>
        <tr r="L12" s="10"/>
      </tp>
      <tp>
        <v>-0.24199999999999999</v>
        <stp/>
        <stp>P</stp>
        <stp>0</stp>
        <stp>FX</stp>
        <stp>USDPHP</stp>
        <stp>NY_BID_Chg</stp>
        <stp>45244</stp>
        <stp/>
        <tr r="L20" s="10"/>
      </tp>
      <tp>
        <v>-0.15060000000000001</v>
        <stp/>
        <stp>P</stp>
        <stp>0</stp>
        <stp>IR</stp>
        <stp>IT10Y</stp>
        <stp>BID_Chg</stp>
        <stp>45244</stp>
        <stp/>
        <tr r="P38" s="10"/>
      </tp>
      <tp>
        <v>-0.1236</v>
        <stp/>
        <stp>P</stp>
        <stp>0</stp>
        <stp>IR</stp>
        <stp>PT10Y</stp>
        <stp>BID_Chg</stp>
        <stp>45244</stp>
        <stp/>
        <tr r="P39" s="10"/>
      </tp>
      <tp>
        <v>-1.4500000000000001E-2</v>
        <stp/>
        <stp>P</stp>
        <stp>0</stp>
        <stp>IR</stp>
        <stp>AU10Y</stp>
        <stp>BID_Chg</stp>
        <stp>45244</stp>
        <stp/>
        <tr r="P14" s="10"/>
      </tp>
      <tp>
        <v>-0.12</v>
        <stp/>
        <stp>P</stp>
        <stp>0</stp>
        <stp>IR</stp>
        <stp>HU10Y</stp>
        <stp>BID_Chg</stp>
        <stp>45244</stp>
        <stp/>
        <tr r="P31" s="10"/>
      </tp>
      <tp>
        <v>1.0800000000000001E-2</v>
        <stp/>
        <stp>P</stp>
        <stp>0</stp>
        <stp>FX</stp>
        <stp>USDMYR</stp>
        <stp>NY_BID_Chg</stp>
        <stp>45244</stp>
        <stp/>
        <tr r="L19" s="10"/>
      </tp>
      <tp>
        <v>-5</v>
        <stp/>
        <stp>P</stp>
        <stp>0</stp>
        <stp>FX</stp>
        <stp>USDIDR</stp>
        <stp>NY_BID_Chg</stp>
        <stp>45244</stp>
        <stp/>
        <tr r="L23" s="10"/>
      </tp>
      <tp>
        <v>-0.24679999999999999</v>
        <stp/>
        <stp>P</stp>
        <stp>0</stp>
        <stp>FX</stp>
        <stp>USDINR</stp>
        <stp>NY_BID_Chg</stp>
        <stp>45244</stp>
        <stp/>
        <tr r="L24" s="10"/>
      </tp>
      <tp>
        <v>-0.48730000000000001</v>
        <stp/>
        <stp>P</stp>
        <stp>0</stp>
        <stp>FX</stp>
        <stp>USDZAR</stp>
        <stp>NY_BID_Chg</stp>
        <stp>45244</stp>
        <stp/>
        <tr r="L42" s="10"/>
      </tp>
      <tp>
        <v>-5.0000000000000001E-3</v>
        <stp/>
        <stp>P</stp>
        <stp>0</stp>
        <stp>IR</stp>
        <stp>TW10Y</stp>
        <stp>BID_Chg</stp>
        <stp>45244</stp>
        <stp/>
        <tr r="P17" s="10"/>
      </tp>
      <tp>
        <v>10.8726</v>
        <stp/>
        <stp>P</stp>
        <stp>0</stp>
        <stp>FX</stp>
        <stp>USDNOK</stp>
        <stp>NY_BID_Close</stp>
        <stp>45244</stp>
        <stp/>
        <tr r="K27" s="10"/>
      </tp>
      <tp>
        <v>17.349499999999999</v>
        <stp/>
        <stp>P</stp>
        <stp>0</stp>
        <stp>FX</stp>
        <stp>USDMXN</stp>
        <stp>NY_BID_Close</stp>
        <stp>45244</stp>
        <stp/>
        <tr r="K11" s="10"/>
      </tp>
      <tp>
        <v>4.7163000000000004</v>
        <stp/>
        <stp>P</stp>
        <stp>0</stp>
        <stp>FX</stp>
        <stp>USDMYR</stp>
        <stp>NY_BID_Close</stp>
        <stp>45244</stp>
        <stp/>
        <tr r="K19" s="10"/>
      </tp>
      <tp>
        <v>104.029</v>
        <stp/>
        <stp>P</stp>
        <stp>0</stp>
        <stp>FX</stp>
        <stp>DOLLAR</stp>
        <stp>NY_BID_Close</stp>
        <stp>45244</stp>
        <stp/>
        <tr r="K10" s="10"/>
      </tp>
      <tp>
        <v>150.23699999999999</v>
        <stp/>
        <stp>P</stp>
        <stp>0</stp>
        <stp>FX</stp>
        <stp>USDJPY</stp>
        <stp>NY_BID_Close</stp>
        <stp>45244</stp>
        <stp/>
        <tr r="K16" s="10"/>
      </tp>
      <tp>
        <v>82.990899999999996</v>
        <stp/>
        <stp>P</stp>
        <stp>0</stp>
        <stp>FX</stp>
        <stp>USDINR</stp>
        <stp>NY_BID_Close</stp>
        <stp>45244</stp>
        <stp/>
        <tr r="K24" s="10"/>
      </tp>
      <tp>
        <v>15692</v>
        <stp/>
        <stp>P</stp>
        <stp>0</stp>
        <stp>FX</stp>
        <stp>USDIDR</stp>
        <stp>NY_BID_Close</stp>
        <stp>45244</stp>
        <stp/>
        <tr r="K23" s="10"/>
      </tp>
      <tp>
        <v>7.8049999999999997</v>
        <stp/>
        <stp>P</stp>
        <stp>0</stp>
        <stp>FX</stp>
        <stp>USDHKD</stp>
        <stp>NY_BID_Close</stp>
        <stp>45244</stp>
        <stp/>
        <tr r="K22" s="10"/>
      </tp>
      <tp>
        <v>345.42</v>
        <stp/>
        <stp>P</stp>
        <stp>0</stp>
        <stp>FX</stp>
        <stp>USDHUF</stp>
        <stp>NY_BID_Close</stp>
        <stp>45244</stp>
        <stp/>
        <tr r="K31" s="10"/>
      </tp>
      <tp>
        <v>6.8539000000000003</v>
        <stp/>
        <stp>P</stp>
        <stp>0</stp>
        <stp>FX</stp>
        <stp>USDDKK</stp>
        <stp>NY_BID_Close</stp>
        <stp>45244</stp>
        <stp/>
        <tr r="K26" s="10"/>
      </tp>
      <tp>
        <v>7.2525000000000004</v>
        <stp/>
        <stp>P</stp>
        <stp>0</stp>
        <stp>FX</stp>
        <stp>USDCNY</stp>
        <stp>NY_BID_Close</stp>
        <stp>45244</stp>
        <stp/>
        <tr r="K21" s="10"/>
      </tp>
      <tp>
        <v>3961.75</v>
        <stp/>
        <stp>P</stp>
        <stp>0</stp>
        <stp>FX</stp>
        <stp>USDCOP</stp>
        <stp>NY_BID_Close</stp>
        <stp>45244</stp>
        <stp/>
        <tr r="K12" s="10"/>
      </tp>
      <tp>
        <v>1.3691</v>
        <stp/>
        <stp>P</stp>
        <stp>0</stp>
        <stp>FX</stp>
        <stp>USDCAD</stp>
        <stp>NY_BID_Close</stp>
        <stp>45244</stp>
        <stp/>
        <tr r="K9" s="10"/>
      </tp>
      <tp>
        <v>22.459</v>
        <stp/>
        <stp>P</stp>
        <stp>0</stp>
        <stp>FX</stp>
        <stp>USDCZK</stp>
        <stp>NY_BID_Close</stp>
        <stp>45244</stp>
        <stp/>
        <tr r="K32" s="10"/>
      </tp>
      <tp>
        <v>4.8639000000000001</v>
        <stp/>
        <stp>P</stp>
        <stp>0</stp>
        <stp>FX</stp>
        <stp>USDBRL</stp>
        <stp>NY_BID_Close</stp>
        <stp>45244</stp>
        <stp/>
        <tr r="K8" s="10"/>
      </tp>
      <tp>
        <v>18.215699999999998</v>
        <stp/>
        <stp>P</stp>
        <stp>0</stp>
        <stp>FX</stp>
        <stp>USDZAR</stp>
        <stp>NY_BID_Close</stp>
        <stp>45244</stp>
        <stp/>
        <tr r="K42" s="10"/>
      </tp>
      <tp>
        <v>0.60089999999999999</v>
        <stp/>
        <stp>P</stp>
        <stp>0</stp>
        <stp>FX</stp>
        <stp>NZDUSD</stp>
        <stp>NY_BID_Close</stp>
        <stp>45244</stp>
        <stp/>
        <tr r="K13" s="10"/>
      </tp>
      <tp>
        <v>1.2501100000000001</v>
        <stp/>
        <stp>P</stp>
        <stp>0</stp>
        <stp>FX</stp>
        <stp>GBPUSD</stp>
        <stp>NY_BID_Close</stp>
        <stp>45244</stp>
        <stp/>
        <tr r="K28" s="10"/>
      </tp>
      <tp>
        <v>1.0882499999999999</v>
        <stp/>
        <stp>P</stp>
        <stp>0</stp>
        <stp>FX</stp>
        <stp>EURUSD</stp>
        <stp>NY_BID_Close</stp>
        <stp>45244</stp>
        <stp/>
        <tr r="K41" s="10"/>
        <tr r="K36" s="10"/>
        <tr r="K33" s="10"/>
        <tr r="K37" s="10"/>
        <tr r="K40" s="10"/>
        <tr r="K34" s="10"/>
        <tr r="K35" s="10"/>
        <tr r="K38" s="10"/>
        <tr r="K39" s="10"/>
      </tp>
      <tp>
        <v>0.65069999999999995</v>
        <stp/>
        <stp>P</stp>
        <stp>0</stp>
        <stp>FX</stp>
        <stp>AUDUSD</stp>
        <stp>NY_BID_Close</stp>
        <stp>45244</stp>
        <stp/>
        <tr r="K14" s="10"/>
      </tp>
      <tp>
        <v>28.624600000000001</v>
        <stp/>
        <stp>P</stp>
        <stp>0</stp>
        <stp>FX</stp>
        <stp>USDTRY</stp>
        <stp>NY_BID_Close</stp>
        <stp>45244</stp>
        <stp/>
        <tr r="K25" s="10"/>
      </tp>
      <tp>
        <v>32.075000000000003</v>
        <stp/>
        <stp>P</stp>
        <stp>0</stp>
        <stp>FX</stp>
        <stp>USDTWD</stp>
        <stp>NY_BID_Close</stp>
        <stp>45244</stp>
        <stp/>
        <tr r="K17" s="10"/>
      </tp>
      <tp>
        <v>10.582100000000001</v>
        <stp/>
        <stp>P</stp>
        <stp>0</stp>
        <stp>FX</stp>
        <stp>USDSEK</stp>
        <stp>NY_BID_Close</stp>
        <stp>45244</stp>
        <stp/>
        <tr r="K29" s="10"/>
      </tp>
      <tp>
        <v>1.3481000000000001</v>
        <stp/>
        <stp>P</stp>
        <stp>0</stp>
        <stp>FX</stp>
        <stp>USDSGD</stp>
        <stp>NY_BID_Close</stp>
        <stp>45244</stp>
        <stp/>
        <tr r="K18" s="10"/>
      </tp>
      <tp>
        <v>55.726999999999997</v>
        <stp/>
        <stp>P</stp>
        <stp>0</stp>
        <stp>FX</stp>
        <stp>USDPHP</stp>
        <stp>NY_BID_Close</stp>
        <stp>45244</stp>
        <stp/>
        <tr r="K20" s="10"/>
      </tp>
      <tp>
        <v>4.0414000000000003</v>
        <stp/>
        <stp>P</stp>
        <stp>0</stp>
        <stp>FX</stp>
        <stp>USDPLN</stp>
        <stp>NY_BID_Close</stp>
        <stp>45244</stp>
        <stp/>
        <tr r="K30" s="10"/>
      </tp>
      <tp t="s">
        <v/>
        <stp/>
        <stp>P</stp>
        <stp>0</stp>
        <stp>IR</stp>
        <stp>ZA10Y</stp>
        <stp>BID_Close</stp>
        <stp>45244</stp>
        <stp/>
        <tr r="O42" s="10"/>
      </tp>
      <tp>
        <v>4.4452999999999996</v>
        <stp/>
        <stp>P</stp>
        <stp>0</stp>
        <stp>IR</stp>
        <stp>US10Y</stp>
        <stp>BID_Close</stp>
        <stp>45244</stp>
        <stp/>
        <tr r="O10" s="10"/>
      </tp>
      <tp>
        <v>27.04</v>
        <stp/>
        <stp>P</stp>
        <stp>0</stp>
        <stp>IR</stp>
        <stp>TR10Y</stp>
        <stp>BID_Close</stp>
        <stp>45244</stp>
        <stp/>
        <tr r="O25" s="10"/>
      </tp>
      <tp>
        <v>1.2849999999999999</v>
        <stp/>
        <stp>P</stp>
        <stp>0</stp>
        <stp>IR</stp>
        <stp>TW10Y</stp>
        <stp>BID_Close</stp>
        <stp>45244</stp>
        <stp/>
        <tr r="O17" s="10"/>
      </tp>
      <tp>
        <v>3.2887</v>
        <stp/>
        <stp>P</stp>
        <stp>0</stp>
        <stp>IR</stp>
        <stp>PT10Y</stp>
        <stp>BID_Close</stp>
        <stp>45244</stp>
        <stp/>
        <tr r="O39" s="10"/>
      </tp>
      <tp>
        <v>6.7249999999999996</v>
        <stp/>
        <stp>P</stp>
        <stp>0</stp>
        <stp>IR</stp>
        <stp>PH10Y</stp>
        <stp>BID_Close</stp>
        <stp>45244</stp>
        <stp/>
        <tr r="O20" s="10"/>
      </tp>
      <tp>
        <v>5.5410000000000004</v>
        <stp/>
        <stp>P</stp>
        <stp>0</stp>
        <stp>IR</stp>
        <stp>PL10Y</stp>
        <stp>BID_Close</stp>
        <stp>45244</stp>
        <stp/>
        <tr r="O30" s="10"/>
      </tp>
      <tp>
        <v>2.7216</v>
        <stp/>
        <stp>P</stp>
        <stp>0</stp>
        <stp>IR</stp>
        <stp>SE10Y</stp>
        <stp>BID_Close</stp>
        <stp>45244</stp>
        <stp/>
        <tr r="O29" s="10"/>
      </tp>
      <tp>
        <v>3.1</v>
        <stp/>
        <stp>P</stp>
        <stp>0</stp>
        <stp>IR</stp>
        <stp>SG10Y</stp>
        <stp>BID_Close</stp>
        <stp>45244</stp>
        <stp/>
        <tr r="O18" s="10"/>
      </tp>
      <tp>
        <v>2.6835</v>
        <stp/>
        <stp>P</stp>
        <stp>0</stp>
        <stp>IR</stp>
        <stp>RM10Y</stp>
        <stp>BID_Close</stp>
        <stp>45244</stp>
        <stp/>
        <tr r="O21" s="10"/>
      </tp>
      <tp>
        <v>3.915</v>
        <stp/>
        <stp>P</stp>
        <stp>0</stp>
        <stp>IR</stp>
        <stp>MY10Y</stp>
        <stp>BID_Close</stp>
        <stp>45244</stp>
        <stp/>
        <tr r="O19" s="10"/>
      </tp>
      <tp>
        <v>9.6039999999999992</v>
        <stp/>
        <stp>P</stp>
        <stp>0</stp>
        <stp>IR</stp>
        <stp>MX10Y</stp>
        <stp>BID_Close</stp>
        <stp>45244</stp>
        <stp/>
        <tr r="O11" s="10"/>
      </tp>
      <tp>
        <v>5.1558000000000002</v>
        <stp/>
        <stp>P</stp>
        <stp>0</stp>
        <stp>IR</stp>
        <stp>NZ10Y</stp>
        <stp>BID_Close</stp>
        <stp>45244</stp>
        <stp/>
        <tr r="O13" s="10"/>
      </tp>
      <tp>
        <v>2.9317000000000002</v>
        <stp/>
        <stp>P</stp>
        <stp>0</stp>
        <stp>IR</stp>
        <stp>NL10Y</stp>
        <stp>BID_Close</stp>
        <stp>45244</stp>
        <stp/>
        <tr r="O36" s="10"/>
      </tp>
      <tp>
        <v>3.7643</v>
        <stp/>
        <stp>P</stp>
        <stp>0</stp>
        <stp>IR</stp>
        <stp>NO10Y</stp>
        <stp>BID_Close</stp>
        <stp>45244</stp>
        <stp/>
        <tr r="O27" s="10"/>
      </tp>
      <tp>
        <v>4.4096000000000002</v>
        <stp/>
        <stp>P</stp>
        <stp>0</stp>
        <stp>IR</stp>
        <stp>IT10Y</stp>
        <stp>BID_Close</stp>
        <stp>45244</stp>
        <stp/>
        <tr r="O38" s="10"/>
      </tp>
      <tp>
        <v>2.9929999999999999</v>
        <stp/>
        <stp>P</stp>
        <stp>0</stp>
        <stp>IR</stp>
        <stp>IE10Y</stp>
        <stp>BID_Close</stp>
        <stp>45244</stp>
        <stp/>
        <tr r="O40" s="10"/>
      </tp>
      <tp>
        <v>6.92</v>
        <stp/>
        <stp>P</stp>
        <stp>0</stp>
        <stp>IR</stp>
        <stp>ID10Y</stp>
        <stp>BID_Close</stp>
        <stp>45244</stp>
        <stp/>
        <tr r="O23" s="10"/>
      </tp>
      <tp>
        <v>7.282</v>
        <stp/>
        <stp>P</stp>
        <stp>0</stp>
        <stp>IR</stp>
        <stp>IN10Y</stp>
        <stp>BID_Close</stp>
        <stp>45244</stp>
        <stp/>
        <tr r="O24" s="10"/>
      </tp>
      <tp>
        <v>6.87</v>
        <stp/>
        <stp>P</stp>
        <stp>0</stp>
        <stp>IR</stp>
        <stp>HU10Y</stp>
        <stp>BID_Close</stp>
        <stp>45244</stp>
        <stp/>
        <tr r="O31" s="10"/>
      </tp>
      <tp t="s">
        <v/>
        <stp/>
        <stp>P</stp>
        <stp>0</stp>
        <stp>IR</stp>
        <stp>HK10Y</stp>
        <stp>BID_Close</stp>
        <stp>45244</stp>
        <stp/>
        <tr r="O22" s="10"/>
      </tp>
      <tp>
        <v>0.8548</v>
        <stp/>
        <stp>P</stp>
        <stp>0</stp>
        <stp>IR</stp>
        <stp>JP10Y</stp>
        <stp>BID_Close</stp>
        <stp>45244</stp>
        <stp/>
        <tr r="O16" s="10"/>
      </tp>
      <tp>
        <v>3.6467000000000001</v>
        <stp/>
        <stp>P</stp>
        <stp>0</stp>
        <stp>IR</stp>
        <stp>ES10Y</stp>
        <stp>BID_Close</stp>
        <stp>45244</stp>
        <stp/>
        <tr r="O33" s="10"/>
      </tp>
      <tp>
        <v>2.6061999999999999</v>
        <stp/>
        <stp>P</stp>
        <stp>0</stp>
        <stp>IR</stp>
        <stp>DE10Y</stp>
        <stp>BID_Close</stp>
        <stp>45244</stp>
        <stp/>
        <tr r="O35" s="10"/>
      </tp>
      <tp>
        <v>2.8323999999999998</v>
        <stp/>
        <stp>P</stp>
        <stp>0</stp>
        <stp>IR</stp>
        <stp>DK10Y</stp>
        <stp>BID_Close</stp>
        <stp>45244</stp>
        <stp/>
        <tr r="O26" s="10"/>
      </tp>
      <tp>
        <v>3.8936000000000002</v>
        <stp/>
        <stp>P</stp>
        <stp>0</stp>
        <stp>IR</stp>
        <stp>GR10Y</stp>
        <stp>BID_Close</stp>
        <stp>45244</stp>
        <stp/>
        <tr r="O41" s="10"/>
      </tp>
      <tp>
        <v>4.1574</v>
        <stp/>
        <stp>P</stp>
        <stp>0</stp>
        <stp>IR</stp>
        <stp>GB10Y</stp>
        <stp>BID_Close</stp>
        <stp>45244</stp>
        <stp/>
        <tr r="O28" s="10"/>
      </tp>
      <tp>
        <v>3.1686999999999999</v>
        <stp/>
        <stp>P</stp>
        <stp>0</stp>
        <stp>IR</stp>
        <stp>FR10Y</stp>
        <stp>BID_Close</stp>
        <stp>45244</stp>
        <stp/>
        <tr r="O37" s="10"/>
      </tp>
      <tp>
        <v>4.6711999999999998</v>
        <stp/>
        <stp>P</stp>
        <stp>0</stp>
        <stp>IR</stp>
        <stp>AU10Y</stp>
        <stp>BID_Close</stp>
        <stp>45244</stp>
        <stp/>
        <tr r="O14" s="10"/>
      </tp>
      <tp t="s">
        <v/>
        <stp/>
        <stp>P</stp>
        <stp>0</stp>
        <stp>IR</stp>
        <stp>CZ10Y</stp>
        <stp>BID_Close</stp>
        <stp>45244</stp>
        <stp/>
        <tr r="O32" s="10"/>
      </tp>
      <tp>
        <v>3.6724999999999999</v>
        <stp/>
        <stp>P</stp>
        <stp>0</stp>
        <stp>IR</stp>
        <stp>CA10Y</stp>
        <stp>BID_Close</stp>
        <stp>45244</stp>
        <stp/>
        <tr r="O9" s="10"/>
      </tp>
      <tp>
        <v>10.768000000000001</v>
        <stp/>
        <stp>P</stp>
        <stp>0</stp>
        <stp>IR</stp>
        <stp>CO10Y</stp>
        <stp>BID_Close</stp>
        <stp>45244</stp>
        <stp/>
        <tr r="O12" s="10"/>
      </tp>
      <tp>
        <v>10.894</v>
        <stp/>
        <stp>P</stp>
        <stp>0</stp>
        <stp>IR</stp>
        <stp>BR10Y</stp>
        <stp>BID_Close</stp>
        <stp>45244</stp>
        <stp/>
        <tr r="O8" s="10"/>
      </tp>
      <tp>
        <v>3.2010000000000001</v>
        <stp/>
        <stp>P</stp>
        <stp>0</stp>
        <stp>IR</stp>
        <stp>BE10Y</stp>
        <stp>BID_Close</stp>
        <stp>45244</stp>
        <stp/>
        <tr r="O34" s="10"/>
      </tp>
      <tp>
        <v>-2.3E-2</v>
        <stp/>
        <stp>P</stp>
        <stp>0</stp>
        <stp>BND</stp>
        <stp>KR1035G00010</stp>
        <stp>장내국채-민평수익률대비</stp>
        <stp>45244</stp>
        <stp/>
        <tr r="P15" s="10"/>
      </tp>
      <tp>
        <v>1061.0550000000001</v>
        <stp/>
        <stp>P</stp>
        <stp>0</stp>
        <stp>FRN</stp>
        <stp>MSI:860800L</stp>
        <stp>현재가</stp>
        <stp>45244</stp>
        <stp/>
        <tr r="H20" s="10"/>
      </tp>
      <tp>
        <v>2455.125</v>
        <stp/>
        <stp>P</stp>
        <stp>0</stp>
        <stp>FRN</stp>
        <stp>MSI:952800L</stp>
        <stp>현재가</stp>
        <stp>45244</stp>
        <stp/>
        <tr r="H36" s="10"/>
      </tp>
      <tp>
        <v>3541.837</v>
        <stp/>
        <stp>P</stp>
        <stp>0</stp>
        <stp>FRN</stp>
        <stp>MSI:957800L</stp>
        <stp>현재가</stp>
        <stp>45244</stp>
        <stp/>
        <tr r="H27" s="10"/>
      </tp>
      <tp>
        <v>647.76300000000003</v>
        <stp/>
        <stp>P</stp>
        <stp>0</stp>
        <stp>FRN</stp>
        <stp>MSI:915800L</stp>
        <stp>현재가</stp>
        <stp>45244</stp>
        <stp/>
        <tr r="H17" s="10"/>
      </tp>
      <tp>
        <v>2277.953</v>
        <stp/>
        <stp>P</stp>
        <stp>0</stp>
        <stp>FRN</stp>
        <stp>MSI:934800L</stp>
        <stp>현재가</stp>
        <stp>45244</stp>
        <stp/>
        <tr r="H31" s="10"/>
      </tp>
      <tp>
        <v>18774.243999999999</v>
        <stp/>
        <stp>P</stp>
        <stp>0</stp>
        <stp>FRN</stp>
        <stp>MSI:920800L</stp>
        <stp>현재가</stp>
        <stp>45244</stp>
        <stp/>
        <tr r="H26" s="10"/>
      </tp>
      <tp>
        <v>7577627.7889999999</v>
        <stp/>
        <stp>P</stp>
        <stp>0</stp>
        <stp>FRN</stp>
        <stp>MSI:979200L</stp>
        <stp>현재가</stp>
        <stp>45244</stp>
        <stp/>
        <tr r="H25" s="10"/>
      </tp>
      <tp>
        <v>16919.707999999999</v>
        <stp/>
        <stp>P</stp>
        <stp>0</stp>
        <stp>FRN</stp>
        <stp>MSI:975200L</stp>
        <stp>현재가</stp>
        <stp>45244</stp>
        <stp/>
        <tr r="H29" s="10"/>
      </tp>
      <tp>
        <v>1436.6959999999999</v>
        <stp/>
        <stp>P</stp>
        <stp>0</stp>
        <stp>FRN</stp>
        <stp>MSI:939200L</stp>
        <stp>현재가</stp>
        <stp>45244</stp>
        <stp/>
        <tr r="H16" s="10"/>
      </tp>
      <tp>
        <v>258.50700000000001</v>
        <stp/>
        <stp>P</stp>
        <stp>0</stp>
        <stp>FRN</stp>
        <stp>MSI:937200L</stp>
        <stp>현재가</stp>
        <stp>45244</stp>
        <stp/>
        <tr r="H40" s="10"/>
      </tp>
      <tp>
        <v>1266.1990000000001</v>
        <stp/>
        <stp>P</stp>
        <stp>0</stp>
        <stp>FRN</stp>
        <stp>MSI:998100L</stp>
        <stp>현재가</stp>
        <stp>45244</stp>
        <stp/>
        <tr r="H18" s="10"/>
      </tp>
      <tp>
        <v>4278.7790000000005</v>
        <stp/>
        <stp>P</stp>
        <stp>0</stp>
        <stp>FRN</stp>
        <stp>MSI:984000L</stp>
        <stp>현재가</stp>
        <stp>45244</stp>
        <stp/>
        <tr r="H10" s="10"/>
      </tp>
      <tp>
        <v>756.78399999999999</v>
        <stp/>
        <stp>P</stp>
        <stp>0</stp>
        <stp>FRN</stp>
        <stp>MSI:941000L</stp>
        <stp>현재가</stp>
        <stp>45244</stp>
        <stp/>
        <tr r="H15" s="10"/>
      </tp>
      <tp>
        <v>1470.8510000000001</v>
        <stp/>
        <stp>P</stp>
        <stp>0</stp>
        <stp>FRN</stp>
        <stp>MSI:971000L</stp>
        <stp>현재가</stp>
        <stp>45244</stp>
        <stp/>
        <tr r="H42" s="10"/>
      </tp>
      <tp>
        <v>105.357</v>
        <stp/>
        <stp>P</stp>
        <stp>0</stp>
        <stp>FRN</stp>
        <stp>MSI:962000L</stp>
        <stp>현재가</stp>
        <stp>45244</stp>
        <stp/>
        <tr r="H39" s="10"/>
      </tp>
      <tp>
        <v>1975.3219999999999</v>
        <stp/>
        <stp>P</stp>
        <stp>0</stp>
        <stp>FRN</stp>
        <stp>MSI:917000L</stp>
        <stp>현재가</stp>
        <stp>45244</stp>
        <stp/>
        <tr r="H12" s="10"/>
      </tp>
      <tp>
        <v>933.97699999999998</v>
        <stp/>
        <stp>P</stp>
        <stp>0</stp>
        <stp>FRN</stp>
        <stp>MSI:938000L</stp>
        <stp>현재가</stp>
        <stp>45244</stp>
        <stp/>
        <tr r="H38" s="10"/>
      </tp>
      <tp>
        <v>62.255000000000003</v>
        <stp/>
        <stp>P</stp>
        <stp>0</stp>
        <stp>FRN</stp>
        <stp>MSI:930000L</stp>
        <stp>현재가</stp>
        <stp>45244</stp>
        <stp/>
        <tr r="H41" s="10"/>
      </tp>
      <tp>
        <v>985.928</v>
        <stp/>
        <stp>P</stp>
        <stp>0</stp>
        <stp>FRN</stp>
        <stp>MSI:928000L</stp>
        <stp>현재가</stp>
        <stp>45244</stp>
        <stp/>
        <tr r="H35" s="10"/>
      </tp>
      <tp>
        <v>315.94099999999997</v>
        <stp/>
        <stp>P</stp>
        <stp>0</stp>
        <stp>FRN</stp>
        <stp>MSI:920000L</stp>
        <stp>현재가</stp>
        <stp>45244</stp>
        <stp/>
        <tr r="H32" s="10"/>
      </tp>
      <tp>
        <v>2521.7979999999998</v>
        <stp/>
        <stp>P</stp>
        <stp>0</stp>
        <stp>FRN</stp>
        <stp>MSI:925000L</stp>
        <stp>현재가</stp>
        <stp>45244</stp>
        <stp/>
        <tr r="H37" s="10"/>
      </tp>
      <tp>
        <v>460.42700000000002</v>
        <stp/>
        <stp>P</stp>
        <stp>0</stp>
        <stp>FRN</stp>
        <stp>MSI:105768L</stp>
        <stp>현재가</stp>
        <stp>45244</stp>
        <stp/>
        <tr r="H19" s="10"/>
      </tp>
      <tp>
        <v>7129.6779999999999</v>
        <stp/>
        <stp>P</stp>
        <stp>0</stp>
        <stp>FRN</stp>
        <stp>MSI:105767L</stp>
        <stp>현재가</stp>
        <stp>45244</stp>
        <stp/>
        <tr r="H23" s="10"/>
      </tp>
      <tp>
        <v>2133.5830000000001</v>
        <stp/>
        <stp>P</stp>
        <stp>0</stp>
        <stp>FRN</stp>
        <stp>MSI:982600L</stp>
        <stp>현재가</stp>
        <stp>45244</stp>
        <stp/>
        <tr r="H28" s="10"/>
      </tp>
      <tp>
        <v>1427.3</v>
        <stp/>
        <stp>P</stp>
        <stp>0</stp>
        <stp>FRN</stp>
        <stp>MSI:961600L</stp>
        <stp>현재가</stp>
        <stp>45244</stp>
        <stp/>
        <tr r="H30" s="10"/>
      </tp>
      <tp>
        <v>1402.2670000000001</v>
        <stp/>
        <stp>P</stp>
        <stp>0</stp>
        <stp>FRN</stp>
        <stp>MSI:903600L</stp>
        <stp>현재가</stp>
        <stp>45244</stp>
        <stp/>
        <tr r="H14" s="10"/>
      </tp>
      <tp>
        <v>313209.93400000001</v>
        <stp/>
        <stp>P</stp>
        <stp>0</stp>
        <stp>FRN</stp>
        <stp>MSI:907600L</stp>
        <stp>현재가</stp>
        <stp>45244</stp>
        <stp/>
        <tr r="H8" s="10"/>
      </tp>
      <tp>
        <v>899.70100000000002</v>
        <stp/>
        <stp>P</stp>
        <stp>0</stp>
        <stp>FRN</stp>
        <stp>MSI:905600L</stp>
        <stp>현재가</stp>
        <stp>45244</stp>
        <stp/>
        <tr r="H34" s="10"/>
      </tp>
      <tp>
        <v>2218.973</v>
        <stp/>
        <stp>P</stp>
        <stp>0</stp>
        <stp>FRN</stp>
        <stp>MSI:935600L</stp>
        <stp>현재가</stp>
        <stp>45244</stp>
        <stp/>
        <tr r="H24" s="10"/>
      </tp>
      <tp>
        <v>57.89</v>
        <stp/>
        <stp>P</stp>
        <stp>0</stp>
        <stp>FRN</stp>
        <stp>MSI:302400L</stp>
        <stp>현재가</stp>
        <stp>45244</stp>
        <stp/>
        <tr r="H21" s="10"/>
      </tp>
      <tp>
        <v>48848.470999999998</v>
        <stp/>
        <stp>P</stp>
        <stp>0</stp>
        <stp>FRN</stp>
        <stp>MSI:848400L</stp>
        <stp>현재가</stp>
        <stp>45244</stp>
        <stp/>
        <tr r="H11" s="10"/>
      </tp>
      <tp>
        <v>148.65600000000001</v>
        <stp/>
        <stp>P</stp>
        <stp>0</stp>
        <stp>FRN</stp>
        <stp>MSI:955400L</stp>
        <stp>현재가</stp>
        <stp>45244</stp>
        <stp/>
        <tr r="H13" s="10"/>
      </tp>
      <tp>
        <v>973.428</v>
        <stp/>
        <stp>P</stp>
        <stp>0</stp>
        <stp>FRN</stp>
        <stp>MSI:972400L</stp>
        <stp>현재가</stp>
        <stp>45244</stp>
        <stp/>
        <tr r="H33" s="10"/>
      </tp>
      <tp>
        <v>2547.029</v>
        <stp/>
        <stp>P</stp>
        <stp>0</stp>
        <stp>FRN</stp>
        <stp>MSI:912400L</stp>
        <stp>현재가</stp>
        <stp>45244</stp>
        <stp/>
        <tr r="H9" s="10"/>
      </tp>
      <tp>
        <v>11804.684999999999</v>
        <stp/>
        <stp>P</stp>
        <stp>0</stp>
        <stp>FRN</stp>
        <stp>MSI:934400L</stp>
        <stp>현재가</stp>
        <stp>45244</stp>
        <stp/>
        <tr r="H22" s="10"/>
      </tp>
      <tp>
        <v>-0.124</v>
        <stp/>
        <stp>P</stp>
        <stp>0</stp>
        <stp>FRN</stp>
        <stp>MSI:302400L</stp>
        <stp>전일대비</stp>
        <stp>45244</stp>
        <stp/>
        <tr r="I21" s="10"/>
      </tp>
      <tp>
        <v>19.937999999999999</v>
        <stp/>
        <stp>P</stp>
        <stp>0</stp>
        <stp>FRN</stp>
        <stp>MSI:105767L</stp>
        <stp>전일대비</stp>
        <stp>45244</stp>
        <stp/>
        <tr r="I23" s="10"/>
      </tp>
      <tp>
        <v>2.2069999999999999</v>
        <stp/>
        <stp>P</stp>
        <stp>0</stp>
        <stp>FRN</stp>
        <stp>MSI:105768L</stp>
        <stp>전일대비</stp>
        <stp>45244</stp>
        <stp/>
        <tr r="I19" s="10"/>
      </tp>
      <tp>
        <v>15.739000000000001</v>
        <stp/>
        <stp>P</stp>
        <stp>0</stp>
        <stp>FRN</stp>
        <stp>MSI:972400L</stp>
        <stp>전일대비</stp>
        <stp>45244</stp>
        <stp/>
        <tr r="I33" s="10"/>
      </tp>
      <tp>
        <v>34.466999999999999</v>
        <stp/>
        <stp>P</stp>
        <stp>0</stp>
        <stp>FRN</stp>
        <stp>MSI:971000L</stp>
        <stp>전일대비</stp>
        <stp>45244</stp>
        <stp/>
        <tr r="I42" s="10"/>
      </tp>
      <tp>
        <v>440.74099999999999</v>
        <stp/>
        <stp>P</stp>
        <stp>0</stp>
        <stp>FRN</stp>
        <stp>MSI:975200L</stp>
        <stp>전일대비</stp>
        <stp>45244</stp>
        <stp/>
        <tr r="I29" s="10"/>
      </tp>
      <tp>
        <v>133931.889</v>
        <stp/>
        <stp>P</stp>
        <stp>0</stp>
        <stp>FRN</stp>
        <stp>MSI:979200L</stp>
        <stp>전일대비</stp>
        <stp>45244</stp>
        <stp/>
        <tr r="I25" s="10"/>
      </tp>
      <tp>
        <v>1.8879999999999999</v>
        <stp/>
        <stp>P</stp>
        <stp>0</stp>
        <stp>FRN</stp>
        <stp>MSI:962000L</stp>
        <stp>전일대비</stp>
        <stp>45244</stp>
        <stp/>
        <tr r="I39" s="10"/>
      </tp>
      <tp>
        <v>70.387</v>
        <stp/>
        <stp>P</stp>
        <stp>0</stp>
        <stp>FRN</stp>
        <stp>MSI:961600L</stp>
        <stp>전일대비</stp>
        <stp>45244</stp>
        <stp/>
        <tr r="I30" s="10"/>
      </tp>
      <tp>
        <v>36.729999999999997</v>
        <stp/>
        <stp>P</stp>
        <stp>0</stp>
        <stp>FRN</stp>
        <stp>MSI:952800L</stp>
        <stp>전일대비</stp>
        <stp>45244</stp>
        <stp/>
        <tr r="I36" s="10"/>
      </tp>
      <tp>
        <v>-17.175999999999998</v>
        <stp/>
        <stp>P</stp>
        <stp>0</stp>
        <stp>FRN</stp>
        <stp>MSI:957800L</stp>
        <stp>전일대비</stp>
        <stp>45244</stp>
        <stp/>
        <tr r="I27" s="10"/>
      </tp>
      <tp>
        <v>1.851</v>
        <stp/>
        <stp>P</stp>
        <stp>0</stp>
        <stp>FRN</stp>
        <stp>MSI:955400L</stp>
        <stp>전일대비</stp>
        <stp>45244</stp>
        <stp/>
        <tr r="I13" s="10"/>
      </tp>
      <tp>
        <v>9.5359999999999996</v>
        <stp/>
        <stp>P</stp>
        <stp>0</stp>
        <stp>FRN</stp>
        <stp>MSI:941000L</stp>
        <stp>전일대비</stp>
        <stp>45244</stp>
        <stp/>
        <tr r="I15" s="10"/>
      </tp>
      <tp>
        <v>2.0840000000000001</v>
        <stp/>
        <stp>P</stp>
        <stp>0</stp>
        <stp>FRN</stp>
        <stp>MSI:930000L</stp>
        <stp>전일대비</stp>
        <stp>45244</stp>
        <stp/>
        <tr r="I41" s="10"/>
      </tp>
      <tp>
        <v>6.7039999999999997</v>
        <stp/>
        <stp>P</stp>
        <stp>0</stp>
        <stp>FRN</stp>
        <stp>MSI:937200L</stp>
        <stp>전일대비</stp>
        <stp>45244</stp>
        <stp/>
        <tr r="I40" s="10"/>
      </tp>
      <tp>
        <v>0</v>
        <stp/>
        <stp>P</stp>
        <stp>0</stp>
        <stp>FRN</stp>
        <stp>MSI:935600L</stp>
        <stp>전일대비</stp>
        <stp>45244</stp>
        <stp/>
        <tr r="I24" s="10"/>
      </tp>
      <tp>
        <v>88.471000000000004</v>
        <stp/>
        <stp>P</stp>
        <stp>0</stp>
        <stp>FRN</stp>
        <stp>MSI:934400L</stp>
        <stp>전일대비</stp>
        <stp>45244</stp>
        <stp/>
        <tr r="I22" s="10"/>
      </tp>
      <tp>
        <v>27.109000000000002</v>
        <stp/>
        <stp>P</stp>
        <stp>0</stp>
        <stp>FRN</stp>
        <stp>MSI:934800L</stp>
        <stp>전일대비</stp>
        <stp>45244</stp>
        <stp/>
        <tr r="I31" s="10"/>
      </tp>
      <tp>
        <v>6.492</v>
        <stp/>
        <stp>P</stp>
        <stp>0</stp>
        <stp>FRN</stp>
        <stp>MSI:939200L</stp>
        <stp>전일대비</stp>
        <stp>45244</stp>
        <stp/>
        <tr r="I16" s="10"/>
      </tp>
      <tp>
        <v>12.31</v>
        <stp/>
        <stp>P</stp>
        <stp>0</stp>
        <stp>FRN</stp>
        <stp>MSI:938000L</stp>
        <stp>전일대비</stp>
        <stp>45244</stp>
        <stp/>
        <tr r="I38" s="10"/>
      </tp>
      <tp>
        <v>2.3159999999999998</v>
        <stp/>
        <stp>P</stp>
        <stp>0</stp>
        <stp>FRN</stp>
        <stp>MSI:920000L</stp>
        <stp>전일대비</stp>
        <stp>45244</stp>
        <stp/>
        <tr r="I32" s="10"/>
      </tp>
      <tp>
        <v>-61.829000000000001</v>
        <stp/>
        <stp>P</stp>
        <stp>0</stp>
        <stp>FRN</stp>
        <stp>MSI:920800L</stp>
        <stp>전일대비</stp>
        <stp>45244</stp>
        <stp/>
        <tr r="I26" s="10"/>
      </tp>
      <tp>
        <v>36.737000000000002</v>
        <stp/>
        <stp>P</stp>
        <stp>0</stp>
        <stp>FRN</stp>
        <stp>MSI:925000L</stp>
        <stp>전일대비</stp>
        <stp>45244</stp>
        <stp/>
        <tr r="I37" s="10"/>
      </tp>
      <tp>
        <v>18.547000000000001</v>
        <stp/>
        <stp>P</stp>
        <stp>0</stp>
        <stp>FRN</stp>
        <stp>MSI:928000L</stp>
        <stp>전일대비</stp>
        <stp>45244</stp>
        <stp/>
        <tr r="I35" s="10"/>
      </tp>
      <tp>
        <v>35.753999999999998</v>
        <stp/>
        <stp>P</stp>
        <stp>0</stp>
        <stp>FRN</stp>
        <stp>MSI:912400L</stp>
        <stp>전일대비</stp>
        <stp>45244</stp>
        <stp/>
        <tr r="I9" s="10"/>
      </tp>
      <tp>
        <v>11.316000000000001</v>
        <stp/>
        <stp>P</stp>
        <stp>0</stp>
        <stp>FRN</stp>
        <stp>MSI:917000L</stp>
        <stp>전일대비</stp>
        <stp>45244</stp>
        <stp/>
        <tr r="I12" s="10"/>
      </tp>
      <tp>
        <v>2.4009999999999998</v>
        <stp/>
        <stp>P</stp>
        <stp>0</stp>
        <stp>FRN</stp>
        <stp>MSI:915800L</stp>
        <stp>전일대비</stp>
        <stp>45244</stp>
        <stp/>
        <tr r="I17" s="10"/>
      </tp>
      <tp>
        <v>10.819000000000001</v>
        <stp/>
        <stp>P</stp>
        <stp>0</stp>
        <stp>FRN</stp>
        <stp>MSI:903600L</stp>
        <stp>전일대비</stp>
        <stp>45244</stp>
        <stp/>
        <tr r="I14" s="10"/>
      </tp>
      <tp>
        <v>6445.9440000000004</v>
        <stp/>
        <stp>P</stp>
        <stp>0</stp>
        <stp>FRN</stp>
        <stp>MSI:907600L</stp>
        <stp>전일대비</stp>
        <stp>45244</stp>
        <stp/>
        <tr r="I8" s="10"/>
      </tp>
      <tp>
        <v>7.8959999999999999</v>
        <stp/>
        <stp>P</stp>
        <stp>0</stp>
        <stp>FRN</stp>
        <stp>MSI:905600L</stp>
        <stp>전일대비</stp>
        <stp>45244</stp>
        <stp/>
        <tr r="I34" s="10"/>
      </tp>
      <tp>
        <v>-25.225000000000001</v>
        <stp/>
        <stp>P</stp>
        <stp>0</stp>
        <stp>FRN</stp>
        <stp>MSI:998100L</stp>
        <stp>전일대비</stp>
        <stp>45244</stp>
        <stp/>
        <tr r="I18" s="10"/>
      </tp>
      <tp>
        <v>2.72</v>
        <stp/>
        <stp>P</stp>
        <stp>0</stp>
        <stp>FRN</stp>
        <stp>MSI:982600L</stp>
        <stp>전일대비</stp>
        <stp>45244</stp>
        <stp/>
        <tr r="I28" s="10"/>
      </tp>
      <tp>
        <v>83.3</v>
        <stp/>
        <stp>P</stp>
        <stp>0</stp>
        <stp>FRN</stp>
        <stp>MSI:984000L</stp>
        <stp>전일대비</stp>
        <stp>45244</stp>
        <stp/>
        <tr r="I10" s="10"/>
      </tp>
      <tp>
        <v>-1.353</v>
        <stp/>
        <stp>P</stp>
        <stp>0</stp>
        <stp>FRN</stp>
        <stp>MSI:860800L</stp>
        <stp>전일대비</stp>
        <stp>45244</stp>
        <stp/>
        <tr r="I20" s="10"/>
      </tp>
      <tp>
        <v>1387.1110000000001</v>
        <stp/>
        <stp>P</stp>
        <stp>0</stp>
        <stp>FRN</stp>
        <stp>MSI:848400L</stp>
        <stp>전일대비</stp>
        <stp>45244</stp>
        <stp/>
        <tr r="I11" s="10"/>
      </tp>
      <tp>
        <v>1325.1</v>
        <stp/>
        <stp>P</stp>
        <stp>0</stp>
        <stp>FX</stp>
        <stp>USDSP_AMBC</stp>
        <stp>현재가</stp>
        <stp>45243</stp>
        <stp/>
        <tr r="L15" s="10"/>
      </tp>
      <tp>
        <v>1328.9</v>
        <stp/>
        <stp>P</stp>
        <stp>0</stp>
        <stp>FX</stp>
        <stp>USDSP_AMBC</stp>
        <stp>현재가</stp>
        <stp>45244</stp>
        <stp/>
        <tr r="K15" s="10"/>
      </tp>
      <tp>
        <v>3.984</v>
        <stp/>
        <stp>P</stp>
        <stp>0</stp>
        <stp>BND</stp>
        <stp>KR1035G00010</stp>
        <stp>장내국채-현재수익률</stp>
        <stp>45244</stp>
        <stp/>
        <tr r="O15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4" dropStyle="combo" dx="22" fmlaLink="$G$7" fmlaRange="code!$M$2:$M$5" noThreeD="1" sel="2" val="0"/>
</file>

<file path=xl/ctrlProps/ctrlProp2.xml><?xml version="1.0" encoding="utf-8"?>
<formControlPr xmlns="http://schemas.microsoft.com/office/spreadsheetml/2009/9/main" objectType="Drop" dropLines="2" dropStyle="combo" dx="22" fmlaLink="code!$N$1" fmlaRange="code!$N$2:$N$3" noThreeD="1" sel="1" val="0"/>
</file>

<file path=xl/ctrlProps/ctrlProp3.xml><?xml version="1.0" encoding="utf-8"?>
<formControlPr xmlns="http://schemas.microsoft.com/office/spreadsheetml/2009/9/main" objectType="Drop" dropLines="4" dropStyle="combo" dx="22" fmlaLink="table!$K$7" fmlaRange="code!$O$2:$O$3" noThreeD="1" sel="1" val="0"/>
</file>

<file path=xl/ctrlProps/ctrlProp4.xml><?xml version="1.0" encoding="utf-8"?>
<formControlPr xmlns="http://schemas.microsoft.com/office/spreadsheetml/2009/9/main" objectType="Drop" dropLines="30" dropStyle="combo" dx="22" fmlaLink="code!$P$1" fmlaRange="code!$P$2:$P$22" noThreeD="1" sel="13" val="0"/>
</file>

<file path=xl/ctrlProps/ctrlProp5.xml><?xml version="1.0" encoding="utf-8"?>
<formControlPr xmlns="http://schemas.microsoft.com/office/spreadsheetml/2009/9/main" objectType="Drop" dropLines="10" dropStyle="combo" dx="22" fmlaLink="code!$M$6" fmlaRange="code!$M$7:$M$11" noThreeD="1" sel="2" val="0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19050</xdr:rowOff>
        </xdr:from>
        <xdr:to>
          <xdr:col>8</xdr:col>
          <xdr:colOff>9525</xdr:colOff>
          <xdr:row>6</xdr:row>
          <xdr:rowOff>200025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6</xdr:row>
          <xdr:rowOff>19050</xdr:rowOff>
        </xdr:from>
        <xdr:to>
          <xdr:col>9</xdr:col>
          <xdr:colOff>0</xdr:colOff>
          <xdr:row>6</xdr:row>
          <xdr:rowOff>200025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6</xdr:row>
          <xdr:rowOff>19050</xdr:rowOff>
        </xdr:from>
        <xdr:to>
          <xdr:col>10</xdr:col>
          <xdr:colOff>923925</xdr:colOff>
          <xdr:row>6</xdr:row>
          <xdr:rowOff>200025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19050</xdr:rowOff>
        </xdr:from>
        <xdr:to>
          <xdr:col>14</xdr:col>
          <xdr:colOff>933450</xdr:colOff>
          <xdr:row>6</xdr:row>
          <xdr:rowOff>200025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1190625</xdr:colOff>
          <xdr:row>5</xdr:row>
          <xdr:rowOff>57150</xdr:rowOff>
        </xdr:from>
        <xdr:to>
          <xdr:col>5</xdr:col>
          <xdr:colOff>904875</xdr:colOff>
          <xdr:row>5</xdr:row>
          <xdr:rowOff>276225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57150</xdr:rowOff>
        </xdr:from>
        <xdr:to>
          <xdr:col>1</xdr:col>
          <xdr:colOff>1057275</xdr:colOff>
          <xdr:row>5</xdr:row>
          <xdr:rowOff>304800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920C-1D32-4731-9A9B-CDE74E5CE4F7}">
  <sheetPr codeName="Sheet2"/>
  <dimension ref="A1:Z192"/>
  <sheetViews>
    <sheetView showGridLines="0" showRowColHeaders="0" workbookViewId="0">
      <pane xSplit="2" ySplit="1" topLeftCell="K2" activePane="bottomRight" state="frozen"/>
      <selection pane="topRight" activeCell="B1" sqref="B1"/>
      <selection pane="bottomLeft" activeCell="A2" sqref="A2"/>
      <selection pane="bottomRight" activeCell="M6" sqref="M6"/>
    </sheetView>
  </sheetViews>
  <sheetFormatPr defaultRowHeight="16.5" x14ac:dyDescent="0.3"/>
  <cols>
    <col min="1" max="1" width="22.25" bestFit="1" customWidth="1"/>
    <col min="2" max="2" width="13.875" bestFit="1" customWidth="1"/>
    <col min="3" max="3" width="12.25" customWidth="1"/>
    <col min="4" max="5" width="12.25" bestFit="1" customWidth="1"/>
    <col min="6" max="6" width="11.25" bestFit="1" customWidth="1"/>
    <col min="7" max="7" width="14.875" bestFit="1" customWidth="1"/>
    <col min="8" max="8" width="15.875" bestFit="1" customWidth="1"/>
    <col min="9" max="9" width="9.875" bestFit="1" customWidth="1"/>
    <col min="10" max="10" width="13.375" bestFit="1" customWidth="1"/>
    <col min="17" max="17" width="4.5" bestFit="1" customWidth="1"/>
    <col min="18" max="18" width="5.375" bestFit="1" customWidth="1"/>
    <col min="19" max="19" width="17.875" bestFit="1" customWidth="1"/>
  </cols>
  <sheetData>
    <row r="1" spans="1:26" s="3" customFormat="1" x14ac:dyDescent="0.3">
      <c r="A1" s="2" t="s">
        <v>805</v>
      </c>
      <c r="B1" s="2" t="s">
        <v>804</v>
      </c>
      <c r="C1" s="2" t="e">
        <v>#N/A</v>
      </c>
      <c r="D1" s="2" t="s">
        <v>915</v>
      </c>
      <c r="E1" s="2" t="s">
        <v>916</v>
      </c>
      <c r="F1" s="2" t="s">
        <v>917</v>
      </c>
      <c r="G1" s="2" t="s">
        <v>994</v>
      </c>
      <c r="H1" s="2" t="s">
        <v>801</v>
      </c>
      <c r="I1" s="2" t="s">
        <v>803</v>
      </c>
      <c r="J1" s="2" t="s">
        <v>802</v>
      </c>
      <c r="K1" s="2" t="s">
        <v>927</v>
      </c>
      <c r="M1"/>
      <c r="N1">
        <v>1</v>
      </c>
      <c r="P1" s="3">
        <v>13</v>
      </c>
      <c r="U1" s="2" t="s">
        <v>996</v>
      </c>
      <c r="V1" s="8" t="s">
        <v>603</v>
      </c>
      <c r="W1" s="8" t="s">
        <v>605</v>
      </c>
      <c r="X1" s="8" t="s">
        <v>600</v>
      </c>
      <c r="Y1" s="8" t="s">
        <v>602</v>
      </c>
      <c r="Z1" s="8" t="s">
        <v>601</v>
      </c>
    </row>
    <row r="2" spans="1:26" x14ac:dyDescent="0.3">
      <c r="A2" t="s">
        <v>0</v>
      </c>
      <c r="B2" t="s">
        <v>601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  <c r="H2" t="s">
        <v>449</v>
      </c>
      <c r="I2" t="s">
        <v>238</v>
      </c>
      <c r="J2" t="s">
        <v>238</v>
      </c>
      <c r="K2" t="e">
        <v>#N/A</v>
      </c>
      <c r="M2" t="s">
        <v>921</v>
      </c>
      <c r="N2" t="s">
        <v>922</v>
      </c>
      <c r="O2" t="s">
        <v>924</v>
      </c>
      <c r="P2" t="s">
        <v>979</v>
      </c>
      <c r="Q2" s="5" t="s">
        <v>971</v>
      </c>
      <c r="R2" s="5" t="s">
        <v>926</v>
      </c>
      <c r="S2" s="5" t="s">
        <v>963</v>
      </c>
      <c r="U2" t="s">
        <v>66</v>
      </c>
      <c r="V2" t="s">
        <v>2</v>
      </c>
      <c r="W2" t="s">
        <v>12</v>
      </c>
      <c r="X2" t="s">
        <v>5</v>
      </c>
      <c r="Y2" t="s">
        <v>25</v>
      </c>
      <c r="Z2" t="s">
        <v>0</v>
      </c>
    </row>
    <row r="3" spans="1:26" x14ac:dyDescent="0.3">
      <c r="A3" t="s">
        <v>1</v>
      </c>
      <c r="B3" t="s">
        <v>601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s">
        <v>588</v>
      </c>
      <c r="I3" t="s">
        <v>589</v>
      </c>
      <c r="J3" t="s">
        <v>239</v>
      </c>
      <c r="K3" t="e">
        <v>#N/A</v>
      </c>
      <c r="M3" t="s">
        <v>916</v>
      </c>
      <c r="N3" t="s">
        <v>923</v>
      </c>
      <c r="O3" t="s">
        <v>813</v>
      </c>
      <c r="P3" t="s">
        <v>980</v>
      </c>
      <c r="Q3" s="5" t="s">
        <v>972</v>
      </c>
      <c r="R3" s="5" t="s">
        <v>402</v>
      </c>
      <c r="S3" s="5" t="s">
        <v>964</v>
      </c>
      <c r="U3" t="s">
        <v>132</v>
      </c>
      <c r="V3" t="s">
        <v>4</v>
      </c>
      <c r="W3" t="s">
        <v>14</v>
      </c>
      <c r="X3" t="s">
        <v>11</v>
      </c>
      <c r="Y3" t="s">
        <v>49</v>
      </c>
      <c r="Z3" t="s">
        <v>1</v>
      </c>
    </row>
    <row r="4" spans="1:26" x14ac:dyDescent="0.3">
      <c r="A4" t="s">
        <v>2</v>
      </c>
      <c r="B4" t="s">
        <v>603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s">
        <v>458</v>
      </c>
      <c r="I4" t="s">
        <v>459</v>
      </c>
      <c r="J4" t="s">
        <v>240</v>
      </c>
      <c r="K4" t="e">
        <v>#N/A</v>
      </c>
      <c r="M4" t="s">
        <v>917</v>
      </c>
      <c r="P4" t="s">
        <v>981</v>
      </c>
      <c r="Q4" s="5" t="s">
        <v>973</v>
      </c>
      <c r="R4" s="5" t="s">
        <v>402</v>
      </c>
      <c r="S4" s="5" t="s">
        <v>965</v>
      </c>
      <c r="U4" t="s">
        <v>840</v>
      </c>
      <c r="V4" t="s">
        <v>16</v>
      </c>
      <c r="W4" t="s">
        <v>17</v>
      </c>
      <c r="X4" t="s">
        <v>13</v>
      </c>
      <c r="Y4" t="s">
        <v>69</v>
      </c>
      <c r="Z4" t="s">
        <v>3</v>
      </c>
    </row>
    <row r="5" spans="1:26" x14ac:dyDescent="0.3">
      <c r="A5" t="s">
        <v>3</v>
      </c>
      <c r="B5" t="s">
        <v>601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s">
        <v>453</v>
      </c>
      <c r="I5" t="s">
        <v>454</v>
      </c>
      <c r="J5" t="s">
        <v>241</v>
      </c>
      <c r="K5" t="e">
        <v>#N/A</v>
      </c>
      <c r="M5" t="s">
        <v>995</v>
      </c>
      <c r="P5" t="s">
        <v>971</v>
      </c>
      <c r="Q5" s="5" t="s">
        <v>974</v>
      </c>
      <c r="R5" s="5" t="s">
        <v>402</v>
      </c>
      <c r="S5" s="5" t="s">
        <v>966</v>
      </c>
      <c r="U5" t="s">
        <v>38</v>
      </c>
      <c r="V5" t="s">
        <v>19</v>
      </c>
      <c r="W5" t="s">
        <v>21</v>
      </c>
      <c r="X5" t="s">
        <v>18</v>
      </c>
      <c r="Y5" t="s">
        <v>82</v>
      </c>
      <c r="Z5" t="s">
        <v>6</v>
      </c>
    </row>
    <row r="6" spans="1:26" x14ac:dyDescent="0.3">
      <c r="A6" t="s">
        <v>4</v>
      </c>
      <c r="B6" t="s">
        <v>603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s">
        <v>457</v>
      </c>
      <c r="I6" t="s">
        <v>242</v>
      </c>
      <c r="J6" t="s">
        <v>242</v>
      </c>
      <c r="K6" t="e">
        <v>#N/A</v>
      </c>
      <c r="M6">
        <v>2</v>
      </c>
      <c r="P6" t="s">
        <v>972</v>
      </c>
      <c r="Q6" s="5" t="s">
        <v>975</v>
      </c>
      <c r="R6" s="5" t="s">
        <v>402</v>
      </c>
      <c r="S6" s="5" t="s">
        <v>967</v>
      </c>
      <c r="U6" t="s">
        <v>139</v>
      </c>
      <c r="V6" t="s">
        <v>38</v>
      </c>
      <c r="W6" t="s">
        <v>33</v>
      </c>
      <c r="X6" t="s">
        <v>20</v>
      </c>
      <c r="Y6" t="s">
        <v>374</v>
      </c>
      <c r="Z6" t="s">
        <v>7</v>
      </c>
    </row>
    <row r="7" spans="1:26" x14ac:dyDescent="0.3">
      <c r="A7" t="s">
        <v>5</v>
      </c>
      <c r="B7" t="s">
        <v>600</v>
      </c>
      <c r="C7" t="s">
        <v>876</v>
      </c>
      <c r="D7" t="s">
        <v>168</v>
      </c>
      <c r="E7" t="s">
        <v>669</v>
      </c>
      <c r="F7" t="s">
        <v>779</v>
      </c>
      <c r="G7" t="s">
        <v>713</v>
      </c>
      <c r="H7" t="s">
        <v>442</v>
      </c>
      <c r="I7" t="s">
        <v>372</v>
      </c>
      <c r="J7" t="s">
        <v>372</v>
      </c>
      <c r="K7" t="s">
        <v>951</v>
      </c>
      <c r="M7" t="s">
        <v>603</v>
      </c>
      <c r="P7" t="s">
        <v>973</v>
      </c>
      <c r="Q7" s="5" t="s">
        <v>976</v>
      </c>
      <c r="R7" s="5" t="s">
        <v>402</v>
      </c>
      <c r="S7" s="5" t="s">
        <v>968</v>
      </c>
      <c r="U7" t="s">
        <v>14</v>
      </c>
      <c r="V7" t="s">
        <v>840</v>
      </c>
      <c r="W7" t="s">
        <v>36</v>
      </c>
      <c r="X7" t="s">
        <v>23</v>
      </c>
      <c r="Y7" t="s">
        <v>102</v>
      </c>
      <c r="Z7" t="s">
        <v>8</v>
      </c>
    </row>
    <row r="8" spans="1:26" x14ac:dyDescent="0.3">
      <c r="A8" t="s">
        <v>6</v>
      </c>
      <c r="B8" t="s">
        <v>601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s">
        <v>455</v>
      </c>
      <c r="I8" t="s">
        <v>456</v>
      </c>
      <c r="J8" t="s">
        <v>243</v>
      </c>
      <c r="K8" t="e">
        <v>#N/A</v>
      </c>
      <c r="M8" t="s">
        <v>605</v>
      </c>
      <c r="P8" t="s">
        <v>982</v>
      </c>
      <c r="Q8" s="5" t="s">
        <v>977</v>
      </c>
      <c r="R8" s="5" t="s">
        <v>402</v>
      </c>
      <c r="S8" s="5" t="s">
        <v>969</v>
      </c>
      <c r="U8" t="s">
        <v>167</v>
      </c>
      <c r="V8" t="s">
        <v>1006</v>
      </c>
      <c r="W8" t="s">
        <v>45</v>
      </c>
      <c r="X8" t="s">
        <v>24</v>
      </c>
      <c r="Y8" t="s">
        <v>103</v>
      </c>
      <c r="Z8" t="s">
        <v>9</v>
      </c>
    </row>
    <row r="9" spans="1:26" x14ac:dyDescent="0.3">
      <c r="A9" t="s">
        <v>7</v>
      </c>
      <c r="B9" t="s">
        <v>601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s">
        <v>592</v>
      </c>
      <c r="I9" t="s">
        <v>593</v>
      </c>
      <c r="J9" t="s">
        <v>244</v>
      </c>
      <c r="K9" t="e">
        <v>#N/A</v>
      </c>
      <c r="M9" t="s">
        <v>600</v>
      </c>
      <c r="P9" t="s">
        <v>974</v>
      </c>
      <c r="Q9" s="5" t="s">
        <v>978</v>
      </c>
      <c r="R9" s="5" t="s">
        <v>402</v>
      </c>
      <c r="S9" s="5" t="s">
        <v>970</v>
      </c>
      <c r="U9" t="s">
        <v>842</v>
      </c>
      <c r="V9" t="s">
        <v>1007</v>
      </c>
      <c r="W9" t="s">
        <v>46</v>
      </c>
      <c r="X9" t="s">
        <v>27</v>
      </c>
      <c r="Y9" t="s">
        <v>106</v>
      </c>
      <c r="Z9" t="s">
        <v>10</v>
      </c>
    </row>
    <row r="10" spans="1:26" x14ac:dyDescent="0.3">
      <c r="A10" t="s">
        <v>8</v>
      </c>
      <c r="B10" t="s">
        <v>601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s">
        <v>516</v>
      </c>
      <c r="I10" t="s">
        <v>517</v>
      </c>
      <c r="J10" t="s">
        <v>245</v>
      </c>
      <c r="K10" t="e">
        <v>#N/A</v>
      </c>
      <c r="M10" t="s">
        <v>602</v>
      </c>
      <c r="P10" t="s">
        <v>983</v>
      </c>
      <c r="U10" t="s">
        <v>843</v>
      </c>
      <c r="V10" t="s">
        <v>50</v>
      </c>
      <c r="W10" t="s">
        <v>47</v>
      </c>
      <c r="X10" t="s">
        <v>28</v>
      </c>
      <c r="Y10" t="s">
        <v>111</v>
      </c>
      <c r="Z10" t="s">
        <v>15</v>
      </c>
    </row>
    <row r="11" spans="1:26" x14ac:dyDescent="0.3">
      <c r="A11" t="s">
        <v>9</v>
      </c>
      <c r="B11" t="s">
        <v>601</v>
      </c>
      <c r="C11" t="e">
        <v>#N/A</v>
      </c>
      <c r="D11" t="e">
        <v>#N/A</v>
      </c>
      <c r="E11" t="s">
        <v>641</v>
      </c>
      <c r="F11" t="s">
        <v>169</v>
      </c>
      <c r="G11" t="s">
        <v>732</v>
      </c>
      <c r="H11" t="s">
        <v>518</v>
      </c>
      <c r="I11" t="s">
        <v>246</v>
      </c>
      <c r="J11" t="s">
        <v>246</v>
      </c>
      <c r="K11" t="e">
        <v>#N/A</v>
      </c>
      <c r="M11" t="s">
        <v>601</v>
      </c>
      <c r="P11" t="s">
        <v>984</v>
      </c>
      <c r="U11" t="s">
        <v>17</v>
      </c>
      <c r="V11" t="s">
        <v>51</v>
      </c>
      <c r="W11" t="s">
        <v>48</v>
      </c>
      <c r="X11" t="s">
        <v>31</v>
      </c>
      <c r="Y11" t="s">
        <v>112</v>
      </c>
      <c r="Z11" t="s">
        <v>22</v>
      </c>
    </row>
    <row r="12" spans="1:26" x14ac:dyDescent="0.3">
      <c r="A12" t="s">
        <v>10</v>
      </c>
      <c r="B12" t="s">
        <v>601</v>
      </c>
      <c r="C12" t="e">
        <v>#N/A</v>
      </c>
      <c r="D12" t="e">
        <v>#N/A</v>
      </c>
      <c r="E12" t="s">
        <v>687</v>
      </c>
      <c r="F12" t="s">
        <v>793</v>
      </c>
      <c r="G12" t="s">
        <v>745</v>
      </c>
      <c r="H12" t="s">
        <v>595</v>
      </c>
      <c r="I12" t="s">
        <v>247</v>
      </c>
      <c r="J12" t="s">
        <v>247</v>
      </c>
      <c r="K12" t="s">
        <v>958</v>
      </c>
      <c r="P12" t="s">
        <v>985</v>
      </c>
      <c r="U12" t="s">
        <v>84</v>
      </c>
      <c r="V12" t="s">
        <v>53</v>
      </c>
      <c r="W12" t="s">
        <v>52</v>
      </c>
      <c r="X12" t="s">
        <v>43</v>
      </c>
      <c r="Y12" t="s">
        <v>113</v>
      </c>
      <c r="Z12" t="s">
        <v>26</v>
      </c>
    </row>
    <row r="13" spans="1:26" x14ac:dyDescent="0.3">
      <c r="A13" t="s">
        <v>11</v>
      </c>
      <c r="B13" t="s">
        <v>600</v>
      </c>
      <c r="C13" t="s">
        <v>877</v>
      </c>
      <c r="D13" t="s">
        <v>170</v>
      </c>
      <c r="E13" t="s">
        <v>679</v>
      </c>
      <c r="F13" t="s">
        <v>787</v>
      </c>
      <c r="G13" t="s">
        <v>730</v>
      </c>
      <c r="H13" t="s">
        <v>442</v>
      </c>
      <c r="I13" t="s">
        <v>372</v>
      </c>
      <c r="J13" t="s">
        <v>372</v>
      </c>
      <c r="K13" t="s">
        <v>946</v>
      </c>
      <c r="P13" t="s">
        <v>986</v>
      </c>
      <c r="U13" t="s">
        <v>36</v>
      </c>
      <c r="V13" t="s">
        <v>54</v>
      </c>
      <c r="W13" t="s">
        <v>56</v>
      </c>
      <c r="X13" t="s">
        <v>44</v>
      </c>
      <c r="Y13" t="s">
        <v>130</v>
      </c>
      <c r="Z13" t="s">
        <v>29</v>
      </c>
    </row>
    <row r="14" spans="1:26" x14ac:dyDescent="0.3">
      <c r="A14" t="s">
        <v>12</v>
      </c>
      <c r="B14" t="s">
        <v>605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  <c r="H14" t="s">
        <v>521</v>
      </c>
      <c r="I14" t="s">
        <v>522</v>
      </c>
      <c r="J14" t="s">
        <v>248</v>
      </c>
      <c r="K14" t="e">
        <v>#N/A</v>
      </c>
      <c r="P14" t="s">
        <v>975</v>
      </c>
      <c r="U14" t="s">
        <v>165</v>
      </c>
      <c r="V14" t="s">
        <v>59</v>
      </c>
      <c r="W14" t="s">
        <v>62</v>
      </c>
      <c r="X14" t="s">
        <v>57</v>
      </c>
      <c r="Y14" t="s">
        <v>143</v>
      </c>
      <c r="Z14" t="s">
        <v>30</v>
      </c>
    </row>
    <row r="15" spans="1:26" x14ac:dyDescent="0.3">
      <c r="A15" t="s">
        <v>13</v>
      </c>
      <c r="B15" t="s">
        <v>600</v>
      </c>
      <c r="C15" t="s">
        <v>853</v>
      </c>
      <c r="D15" t="s">
        <v>171</v>
      </c>
      <c r="E15" t="s">
        <v>681</v>
      </c>
      <c r="F15" t="s">
        <v>789</v>
      </c>
      <c r="G15" t="s">
        <v>733</v>
      </c>
      <c r="H15" t="s">
        <v>520</v>
      </c>
      <c r="I15" t="s">
        <v>249</v>
      </c>
      <c r="J15" t="s">
        <v>249</v>
      </c>
      <c r="K15" t="s">
        <v>940</v>
      </c>
      <c r="P15" t="s">
        <v>987</v>
      </c>
      <c r="U15" t="s">
        <v>867</v>
      </c>
      <c r="V15" t="s">
        <v>61</v>
      </c>
      <c r="W15" t="s">
        <v>64</v>
      </c>
      <c r="X15" t="s">
        <v>58</v>
      </c>
      <c r="Y15" t="s">
        <v>113</v>
      </c>
      <c r="Z15" t="s">
        <v>32</v>
      </c>
    </row>
    <row r="16" spans="1:26" x14ac:dyDescent="0.3">
      <c r="A16" t="s">
        <v>14</v>
      </c>
      <c r="B16" t="s">
        <v>605</v>
      </c>
      <c r="C16" t="s">
        <v>878</v>
      </c>
      <c r="D16" t="s">
        <v>172</v>
      </c>
      <c r="E16" t="s">
        <v>680</v>
      </c>
      <c r="F16" t="s">
        <v>788</v>
      </c>
      <c r="G16" t="s">
        <v>731</v>
      </c>
      <c r="H16" t="s">
        <v>523</v>
      </c>
      <c r="I16" t="s">
        <v>524</v>
      </c>
      <c r="J16" t="s">
        <v>524</v>
      </c>
      <c r="K16" t="s">
        <v>931</v>
      </c>
      <c r="P16" t="s">
        <v>988</v>
      </c>
      <c r="U16" t="s">
        <v>844</v>
      </c>
      <c r="V16" t="s">
        <v>66</v>
      </c>
      <c r="W16" t="s">
        <v>67</v>
      </c>
      <c r="X16" t="s">
        <v>392</v>
      </c>
      <c r="Z16" t="s">
        <v>35</v>
      </c>
    </row>
    <row r="17" spans="1:26" x14ac:dyDescent="0.3">
      <c r="A17" t="s">
        <v>15</v>
      </c>
      <c r="B17" t="s">
        <v>601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 t="s">
        <v>592</v>
      </c>
      <c r="I17" t="s">
        <v>593</v>
      </c>
      <c r="J17" t="s">
        <v>244</v>
      </c>
      <c r="K17" t="e">
        <v>#N/A</v>
      </c>
      <c r="P17" t="s">
        <v>989</v>
      </c>
      <c r="U17" t="s">
        <v>117</v>
      </c>
      <c r="V17" t="s">
        <v>74</v>
      </c>
      <c r="W17" t="s">
        <v>68</v>
      </c>
      <c r="X17" t="s">
        <v>34</v>
      </c>
      <c r="Z17" t="s">
        <v>37</v>
      </c>
    </row>
    <row r="18" spans="1:26" x14ac:dyDescent="0.3">
      <c r="A18" t="s">
        <v>16</v>
      </c>
      <c r="B18" t="s">
        <v>603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  <c r="H18" t="s">
        <v>519</v>
      </c>
      <c r="I18" t="s">
        <v>250</v>
      </c>
      <c r="J18" t="s">
        <v>250</v>
      </c>
      <c r="K18" t="e">
        <v>#N/A</v>
      </c>
      <c r="P18" t="s">
        <v>976</v>
      </c>
      <c r="U18" t="s">
        <v>116</v>
      </c>
      <c r="V18" t="s">
        <v>85</v>
      </c>
      <c r="W18" t="s">
        <v>997</v>
      </c>
      <c r="X18" t="s">
        <v>65</v>
      </c>
      <c r="Z18" t="s">
        <v>39</v>
      </c>
    </row>
    <row r="19" spans="1:26" x14ac:dyDescent="0.3">
      <c r="A19" t="s">
        <v>17</v>
      </c>
      <c r="B19" t="s">
        <v>605</v>
      </c>
      <c r="C19" t="s">
        <v>879</v>
      </c>
      <c r="D19" t="s">
        <v>173</v>
      </c>
      <c r="E19" t="s">
        <v>662</v>
      </c>
      <c r="F19" t="s">
        <v>772</v>
      </c>
      <c r="G19" t="s">
        <v>750</v>
      </c>
      <c r="H19" t="s">
        <v>576</v>
      </c>
      <c r="I19" t="s">
        <v>251</v>
      </c>
      <c r="J19" t="s">
        <v>251</v>
      </c>
      <c r="K19" t="s">
        <v>933</v>
      </c>
      <c r="P19" t="s">
        <v>990</v>
      </c>
      <c r="U19" t="s">
        <v>574</v>
      </c>
      <c r="V19" t="s">
        <v>87</v>
      </c>
      <c r="W19" t="s">
        <v>75</v>
      </c>
      <c r="X19" t="s">
        <v>71</v>
      </c>
      <c r="Z19" t="s">
        <v>40</v>
      </c>
    </row>
    <row r="20" spans="1:26" x14ac:dyDescent="0.3">
      <c r="A20" t="s">
        <v>18</v>
      </c>
      <c r="B20" t="s">
        <v>600</v>
      </c>
      <c r="C20" t="s">
        <v>880</v>
      </c>
      <c r="D20" t="s">
        <v>174</v>
      </c>
      <c r="E20" t="s">
        <v>665</v>
      </c>
      <c r="F20" t="s">
        <v>775</v>
      </c>
      <c r="G20" t="s">
        <v>707</v>
      </c>
      <c r="H20" t="s">
        <v>433</v>
      </c>
      <c r="I20" t="s">
        <v>252</v>
      </c>
      <c r="J20" t="s">
        <v>252</v>
      </c>
      <c r="K20" t="s">
        <v>939</v>
      </c>
      <c r="P20" t="s">
        <v>977</v>
      </c>
      <c r="U20" t="s">
        <v>18</v>
      </c>
      <c r="V20" t="s">
        <v>89</v>
      </c>
      <c r="W20" t="s">
        <v>84</v>
      </c>
      <c r="X20" t="s">
        <v>77</v>
      </c>
      <c r="Z20" t="s">
        <v>41</v>
      </c>
    </row>
    <row r="21" spans="1:26" x14ac:dyDescent="0.3">
      <c r="A21" t="s">
        <v>19</v>
      </c>
      <c r="B21" t="s">
        <v>603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s">
        <v>434</v>
      </c>
      <c r="I21" t="s">
        <v>435</v>
      </c>
      <c r="J21" t="s">
        <v>253</v>
      </c>
      <c r="K21" t="e">
        <v>#N/A</v>
      </c>
      <c r="P21" t="s">
        <v>991</v>
      </c>
      <c r="U21" t="s">
        <v>13</v>
      </c>
      <c r="V21" t="s">
        <v>96</v>
      </c>
      <c r="W21" t="s">
        <v>92</v>
      </c>
      <c r="X21" t="s">
        <v>78</v>
      </c>
      <c r="Z21" t="s">
        <v>42</v>
      </c>
    </row>
    <row r="22" spans="1:26" x14ac:dyDescent="0.3">
      <c r="A22" t="s">
        <v>20</v>
      </c>
      <c r="B22" t="s">
        <v>600</v>
      </c>
      <c r="C22" t="s">
        <v>881</v>
      </c>
      <c r="D22" t="s">
        <v>175</v>
      </c>
      <c r="E22" t="s">
        <v>668</v>
      </c>
      <c r="F22" t="s">
        <v>778</v>
      </c>
      <c r="G22" t="s">
        <v>712</v>
      </c>
      <c r="H22" t="s">
        <v>442</v>
      </c>
      <c r="I22" t="s">
        <v>372</v>
      </c>
      <c r="J22" t="s">
        <v>372</v>
      </c>
      <c r="K22" t="s">
        <v>945</v>
      </c>
      <c r="P22" t="s">
        <v>978</v>
      </c>
      <c r="U22" t="s">
        <v>101</v>
      </c>
      <c r="V22" t="s">
        <v>100</v>
      </c>
      <c r="W22" t="s">
        <v>109</v>
      </c>
      <c r="X22" t="s">
        <v>79</v>
      </c>
      <c r="Z22" t="s">
        <v>55</v>
      </c>
    </row>
    <row r="23" spans="1:26" x14ac:dyDescent="0.3">
      <c r="A23" t="s">
        <v>21</v>
      </c>
      <c r="B23" t="s">
        <v>605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  <c r="H23" t="s">
        <v>489</v>
      </c>
      <c r="I23" t="s">
        <v>490</v>
      </c>
      <c r="J23" t="s">
        <v>254</v>
      </c>
      <c r="K23" t="e">
        <v>#N/A</v>
      </c>
      <c r="U23" t="s">
        <v>77</v>
      </c>
      <c r="V23" t="s">
        <v>105</v>
      </c>
      <c r="W23" t="s">
        <v>116</v>
      </c>
      <c r="X23" t="s">
        <v>80</v>
      </c>
      <c r="Z23" t="s">
        <v>60</v>
      </c>
    </row>
    <row r="24" spans="1:26" x14ac:dyDescent="0.3">
      <c r="A24" t="s">
        <v>22</v>
      </c>
      <c r="B24" t="s">
        <v>601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  <c r="H24" t="s">
        <v>494</v>
      </c>
      <c r="I24" t="s">
        <v>255</v>
      </c>
      <c r="J24" t="s">
        <v>255</v>
      </c>
      <c r="K24" t="e">
        <v>#N/A</v>
      </c>
      <c r="U24" t="s">
        <v>161</v>
      </c>
      <c r="V24" t="s">
        <v>108</v>
      </c>
      <c r="W24" t="s">
        <v>117</v>
      </c>
      <c r="X24" t="s">
        <v>81</v>
      </c>
      <c r="Z24" t="s">
        <v>63</v>
      </c>
    </row>
    <row r="25" spans="1:26" x14ac:dyDescent="0.3">
      <c r="A25" t="s">
        <v>23</v>
      </c>
      <c r="B25" t="s">
        <v>600</v>
      </c>
      <c r="C25" t="s">
        <v>882</v>
      </c>
      <c r="D25" t="s">
        <v>176</v>
      </c>
      <c r="E25" t="e">
        <v>#N/A</v>
      </c>
      <c r="F25" t="e">
        <v>#N/A</v>
      </c>
      <c r="G25" t="s">
        <v>723</v>
      </c>
      <c r="H25" t="s">
        <v>837</v>
      </c>
      <c r="I25" t="s">
        <v>918</v>
      </c>
      <c r="J25" t="s">
        <v>918</v>
      </c>
      <c r="K25" t="e">
        <v>#N/A</v>
      </c>
      <c r="U25" t="s">
        <v>166</v>
      </c>
      <c r="V25" t="s">
        <v>118</v>
      </c>
      <c r="W25" t="s">
        <v>843</v>
      </c>
      <c r="X25" t="s">
        <v>86</v>
      </c>
      <c r="Z25" t="s">
        <v>604</v>
      </c>
    </row>
    <row r="26" spans="1:26" x14ac:dyDescent="0.3">
      <c r="A26" t="s">
        <v>24</v>
      </c>
      <c r="B26" t="s">
        <v>600</v>
      </c>
      <c r="C26" t="s">
        <v>883</v>
      </c>
      <c r="D26" t="s">
        <v>177</v>
      </c>
      <c r="E26" t="e">
        <v>#N/A</v>
      </c>
      <c r="F26" t="e">
        <v>#N/A</v>
      </c>
      <c r="G26" t="s">
        <v>740</v>
      </c>
      <c r="H26" t="s">
        <v>541</v>
      </c>
      <c r="I26" t="s">
        <v>256</v>
      </c>
      <c r="J26" t="s">
        <v>256</v>
      </c>
      <c r="K26" t="e">
        <v>#N/A</v>
      </c>
      <c r="U26" t="s">
        <v>125</v>
      </c>
      <c r="V26" t="s">
        <v>126</v>
      </c>
      <c r="W26" t="s">
        <v>998</v>
      </c>
      <c r="X26" t="s">
        <v>88</v>
      </c>
      <c r="Z26" t="s">
        <v>70</v>
      </c>
    </row>
    <row r="27" spans="1:26" x14ac:dyDescent="0.3">
      <c r="A27" t="s">
        <v>25</v>
      </c>
      <c r="B27" t="s">
        <v>602</v>
      </c>
      <c r="C27" t="e">
        <v>#N/A</v>
      </c>
      <c r="D27" t="e">
        <v>#N/A</v>
      </c>
      <c r="E27" t="s">
        <v>638</v>
      </c>
      <c r="F27" t="s">
        <v>178</v>
      </c>
      <c r="G27" t="e">
        <v>#N/A</v>
      </c>
      <c r="H27" t="s">
        <v>491</v>
      </c>
      <c r="I27" t="s">
        <v>492</v>
      </c>
      <c r="J27" t="s">
        <v>257</v>
      </c>
      <c r="K27" t="e">
        <v>#N/A</v>
      </c>
      <c r="U27" t="s">
        <v>79</v>
      </c>
      <c r="V27" t="s">
        <v>132</v>
      </c>
      <c r="W27" t="s">
        <v>867</v>
      </c>
      <c r="X27" t="s">
        <v>90</v>
      </c>
      <c r="Z27" t="s">
        <v>72</v>
      </c>
    </row>
    <row r="28" spans="1:26" x14ac:dyDescent="0.3">
      <c r="A28" t="s">
        <v>26</v>
      </c>
      <c r="B28" t="s">
        <v>601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  <c r="H28" t="s">
        <v>495</v>
      </c>
      <c r="I28" t="s">
        <v>496</v>
      </c>
      <c r="J28" t="s">
        <v>258</v>
      </c>
      <c r="K28" t="e">
        <v>#N/A</v>
      </c>
      <c r="U28" t="s">
        <v>57</v>
      </c>
      <c r="V28" t="s">
        <v>134</v>
      </c>
      <c r="W28" t="s">
        <v>999</v>
      </c>
      <c r="X28" t="s">
        <v>91</v>
      </c>
      <c r="Z28" t="s">
        <v>237</v>
      </c>
    </row>
    <row r="29" spans="1:26" x14ac:dyDescent="0.3">
      <c r="A29" t="s">
        <v>27</v>
      </c>
      <c r="B29" t="s">
        <v>600</v>
      </c>
      <c r="C29" t="e">
        <v>#N/A</v>
      </c>
      <c r="D29" t="e">
        <v>#N/A</v>
      </c>
      <c r="E29" t="s">
        <v>635</v>
      </c>
      <c r="F29" t="s">
        <v>179</v>
      </c>
      <c r="G29" t="s">
        <v>739</v>
      </c>
      <c r="H29" t="s">
        <v>538</v>
      </c>
      <c r="I29" t="s">
        <v>259</v>
      </c>
      <c r="J29" t="s">
        <v>259</v>
      </c>
      <c r="K29" t="e">
        <v>#N/A</v>
      </c>
      <c r="U29" t="s">
        <v>20</v>
      </c>
      <c r="V29" t="s">
        <v>137</v>
      </c>
      <c r="W29" t="s">
        <v>1000</v>
      </c>
      <c r="X29" t="s">
        <v>93</v>
      </c>
      <c r="Z29" t="s">
        <v>73</v>
      </c>
    </row>
    <row r="30" spans="1:26" x14ac:dyDescent="0.3">
      <c r="A30" t="s">
        <v>28</v>
      </c>
      <c r="B30" t="s">
        <v>600</v>
      </c>
      <c r="C30" t="s">
        <v>884</v>
      </c>
      <c r="D30" t="s">
        <v>180</v>
      </c>
      <c r="E30" t="e">
        <v>#N/A</v>
      </c>
      <c r="F30" t="e">
        <v>#N/A</v>
      </c>
      <c r="G30" t="s">
        <v>725</v>
      </c>
      <c r="H30" t="s">
        <v>442</v>
      </c>
      <c r="I30" t="s">
        <v>372</v>
      </c>
      <c r="J30" t="s">
        <v>372</v>
      </c>
      <c r="K30" t="e">
        <v>#N/A</v>
      </c>
      <c r="U30" t="s">
        <v>11</v>
      </c>
      <c r="V30" t="s">
        <v>139</v>
      </c>
      <c r="W30" t="s">
        <v>1001</v>
      </c>
      <c r="X30" t="s">
        <v>98</v>
      </c>
      <c r="Z30" t="s">
        <v>83</v>
      </c>
    </row>
    <row r="31" spans="1:26" x14ac:dyDescent="0.3">
      <c r="A31" t="s">
        <v>29</v>
      </c>
      <c r="B31" t="s">
        <v>601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  <c r="H31" t="s">
        <v>542</v>
      </c>
      <c r="I31" t="s">
        <v>260</v>
      </c>
      <c r="J31" t="s">
        <v>260</v>
      </c>
      <c r="K31" t="e">
        <v>#N/A</v>
      </c>
      <c r="U31" t="s">
        <v>162</v>
      </c>
      <c r="V31" t="s">
        <v>142</v>
      </c>
      <c r="W31" t="s">
        <v>1002</v>
      </c>
      <c r="X31" t="s">
        <v>101</v>
      </c>
      <c r="Z31" t="s">
        <v>94</v>
      </c>
    </row>
    <row r="32" spans="1:26" x14ac:dyDescent="0.3">
      <c r="A32" t="s">
        <v>30</v>
      </c>
      <c r="B32" t="s">
        <v>601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  <c r="H32" t="s">
        <v>497</v>
      </c>
      <c r="I32" t="s">
        <v>261</v>
      </c>
      <c r="J32" t="s">
        <v>261</v>
      </c>
      <c r="K32" t="e">
        <v>#N/A</v>
      </c>
      <c r="U32" t="s">
        <v>115</v>
      </c>
      <c r="V32" t="s">
        <v>144</v>
      </c>
      <c r="W32" t="s">
        <v>1003</v>
      </c>
      <c r="X32" t="s">
        <v>104</v>
      </c>
      <c r="Z32" t="s">
        <v>95</v>
      </c>
    </row>
    <row r="33" spans="1:26" x14ac:dyDescent="0.3">
      <c r="A33" t="s">
        <v>31</v>
      </c>
      <c r="B33" t="s">
        <v>600</v>
      </c>
      <c r="C33" t="e">
        <v>#N/A</v>
      </c>
      <c r="D33" t="e">
        <v>#N/A</v>
      </c>
      <c r="E33" t="s">
        <v>634</v>
      </c>
      <c r="F33" t="s">
        <v>181</v>
      </c>
      <c r="G33" t="s">
        <v>724</v>
      </c>
      <c r="H33" t="s">
        <v>838</v>
      </c>
      <c r="I33" t="s">
        <v>918</v>
      </c>
      <c r="J33" t="s">
        <v>918</v>
      </c>
      <c r="K33" t="e">
        <v>#N/A</v>
      </c>
      <c r="U33" t="s">
        <v>160</v>
      </c>
      <c r="V33" t="s">
        <v>154</v>
      </c>
      <c r="W33" t="s">
        <v>1004</v>
      </c>
      <c r="X33" t="s">
        <v>110</v>
      </c>
      <c r="Z33" t="s">
        <v>97</v>
      </c>
    </row>
    <row r="34" spans="1:26" x14ac:dyDescent="0.3">
      <c r="A34" t="s">
        <v>32</v>
      </c>
      <c r="B34" t="s">
        <v>601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  <c r="H34" t="s">
        <v>500</v>
      </c>
      <c r="I34" t="s">
        <v>501</v>
      </c>
      <c r="J34" t="s">
        <v>262</v>
      </c>
      <c r="K34" t="e">
        <v>#N/A</v>
      </c>
      <c r="U34" t="s">
        <v>90</v>
      </c>
      <c r="V34" t="s">
        <v>155</v>
      </c>
      <c r="W34" t="s">
        <v>129</v>
      </c>
      <c r="X34" t="s">
        <v>115</v>
      </c>
      <c r="Z34" t="s">
        <v>76</v>
      </c>
    </row>
    <row r="35" spans="1:26" x14ac:dyDescent="0.3">
      <c r="A35" t="s">
        <v>33</v>
      </c>
      <c r="B35" t="s">
        <v>605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  <c r="H35" t="s">
        <v>506</v>
      </c>
      <c r="I35" t="s">
        <v>507</v>
      </c>
      <c r="J35" t="s">
        <v>263</v>
      </c>
      <c r="K35" t="e">
        <v>#N/A</v>
      </c>
      <c r="U35" t="s">
        <v>5</v>
      </c>
      <c r="V35" t="s">
        <v>156</v>
      </c>
      <c r="W35" t="s">
        <v>131</v>
      </c>
      <c r="X35" t="s">
        <v>120</v>
      </c>
      <c r="Z35" t="s">
        <v>99</v>
      </c>
    </row>
    <row r="36" spans="1:26" x14ac:dyDescent="0.3">
      <c r="A36" t="s">
        <v>35</v>
      </c>
      <c r="B36" t="s">
        <v>601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  <c r="H36" t="s">
        <v>512</v>
      </c>
      <c r="I36" t="s">
        <v>599</v>
      </c>
      <c r="J36" t="s">
        <v>264</v>
      </c>
      <c r="K36" t="e">
        <v>#N/A</v>
      </c>
      <c r="U36" t="s">
        <v>10</v>
      </c>
      <c r="V36" t="s">
        <v>159</v>
      </c>
      <c r="W36" t="s">
        <v>146</v>
      </c>
      <c r="X36" t="s">
        <v>123</v>
      </c>
      <c r="Z36" t="s">
        <v>107</v>
      </c>
    </row>
    <row r="37" spans="1:26" x14ac:dyDescent="0.3">
      <c r="A37" t="s">
        <v>36</v>
      </c>
      <c r="B37" t="s">
        <v>605</v>
      </c>
      <c r="C37" t="s">
        <v>861</v>
      </c>
      <c r="D37" s="1" t="s">
        <v>606</v>
      </c>
      <c r="E37" t="s">
        <v>616</v>
      </c>
      <c r="F37" t="s">
        <v>760</v>
      </c>
      <c r="G37" t="s">
        <v>727</v>
      </c>
      <c r="H37" t="s">
        <v>514</v>
      </c>
      <c r="I37" t="s">
        <v>265</v>
      </c>
      <c r="J37" t="s">
        <v>265</v>
      </c>
      <c r="K37" t="s">
        <v>935</v>
      </c>
      <c r="W37" t="s">
        <v>147</v>
      </c>
      <c r="X37" t="s">
        <v>125</v>
      </c>
      <c r="Z37" t="s">
        <v>114</v>
      </c>
    </row>
    <row r="38" spans="1:26" x14ac:dyDescent="0.3">
      <c r="A38" t="s">
        <v>37</v>
      </c>
      <c r="B38" t="s">
        <v>601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s">
        <v>592</v>
      </c>
      <c r="I38" t="s">
        <v>593</v>
      </c>
      <c r="J38" t="s">
        <v>244</v>
      </c>
      <c r="K38" t="e">
        <v>#N/A</v>
      </c>
      <c r="W38" t="s">
        <v>149</v>
      </c>
      <c r="X38" t="s">
        <v>136</v>
      </c>
      <c r="Z38" t="s">
        <v>119</v>
      </c>
    </row>
    <row r="39" spans="1:26" x14ac:dyDescent="0.3">
      <c r="A39" t="s">
        <v>38</v>
      </c>
      <c r="B39" t="s">
        <v>603</v>
      </c>
      <c r="C39" t="s">
        <v>885</v>
      </c>
      <c r="D39" t="s">
        <v>182</v>
      </c>
      <c r="E39" t="s">
        <v>651</v>
      </c>
      <c r="F39" t="s">
        <v>764</v>
      </c>
      <c r="G39" t="s">
        <v>728</v>
      </c>
      <c r="H39" t="s">
        <v>513</v>
      </c>
      <c r="I39" t="s">
        <v>266</v>
      </c>
      <c r="J39" t="s">
        <v>266</v>
      </c>
      <c r="K39" t="s">
        <v>952</v>
      </c>
      <c r="W39" t="s">
        <v>151</v>
      </c>
      <c r="X39" t="s">
        <v>145</v>
      </c>
      <c r="Z39" t="s">
        <v>121</v>
      </c>
    </row>
    <row r="40" spans="1:26" x14ac:dyDescent="0.3">
      <c r="A40" t="s">
        <v>39</v>
      </c>
      <c r="B40" t="s">
        <v>601</v>
      </c>
      <c r="C40" t="e">
        <v>#N/A</v>
      </c>
      <c r="D40" t="e">
        <v>#N/A</v>
      </c>
      <c r="E40" t="s">
        <v>613</v>
      </c>
      <c r="F40" t="s">
        <v>757</v>
      </c>
      <c r="G40" t="s">
        <v>729</v>
      </c>
      <c r="H40" t="s">
        <v>498</v>
      </c>
      <c r="I40" t="s">
        <v>267</v>
      </c>
      <c r="J40" t="s">
        <v>267</v>
      </c>
      <c r="K40" t="e">
        <v>#N/A</v>
      </c>
      <c r="W40" t="s">
        <v>152</v>
      </c>
      <c r="X40" t="s">
        <v>574</v>
      </c>
      <c r="Z40" t="s">
        <v>122</v>
      </c>
    </row>
    <row r="41" spans="1:26" x14ac:dyDescent="0.3">
      <c r="A41" t="s">
        <v>40</v>
      </c>
      <c r="B41" t="s">
        <v>601</v>
      </c>
      <c r="C41" t="e">
        <v>#N/A</v>
      </c>
      <c r="D41" t="e">
        <v>#N/A</v>
      </c>
      <c r="E41" t="s">
        <v>640</v>
      </c>
      <c r="F41" t="s">
        <v>183</v>
      </c>
      <c r="G41" t="e">
        <v>#N/A</v>
      </c>
      <c r="H41" t="s">
        <v>509</v>
      </c>
      <c r="I41" t="s">
        <v>268</v>
      </c>
      <c r="J41" t="s">
        <v>268</v>
      </c>
      <c r="K41" t="e">
        <v>#N/A</v>
      </c>
      <c r="W41" t="s">
        <v>157</v>
      </c>
      <c r="X41" t="s">
        <v>160</v>
      </c>
      <c r="Z41" t="s">
        <v>124</v>
      </c>
    </row>
    <row r="42" spans="1:26" x14ac:dyDescent="0.3">
      <c r="A42" t="s">
        <v>41</v>
      </c>
      <c r="B42" t="s">
        <v>601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  <c r="H42" t="s">
        <v>596</v>
      </c>
      <c r="I42" t="s">
        <v>508</v>
      </c>
      <c r="J42" t="s">
        <v>269</v>
      </c>
      <c r="K42" t="e">
        <v>#N/A</v>
      </c>
      <c r="W42" t="s">
        <v>158</v>
      </c>
      <c r="X42" t="s">
        <v>161</v>
      </c>
      <c r="Z42" t="s">
        <v>127</v>
      </c>
    </row>
    <row r="43" spans="1:26" x14ac:dyDescent="0.3">
      <c r="A43" t="s">
        <v>42</v>
      </c>
      <c r="B43" t="s">
        <v>601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  <c r="H43" t="s">
        <v>515</v>
      </c>
      <c r="I43" t="s">
        <v>270</v>
      </c>
      <c r="J43" t="s">
        <v>270</v>
      </c>
      <c r="K43" t="e">
        <v>#N/A</v>
      </c>
      <c r="W43" t="s">
        <v>163</v>
      </c>
      <c r="X43" t="s">
        <v>162</v>
      </c>
      <c r="Z43" t="s">
        <v>128</v>
      </c>
    </row>
    <row r="44" spans="1:26" x14ac:dyDescent="0.3">
      <c r="A44" t="s">
        <v>43</v>
      </c>
      <c r="B44" t="s">
        <v>600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  <c r="H44" t="s">
        <v>442</v>
      </c>
      <c r="I44" t="s">
        <v>372</v>
      </c>
      <c r="J44" t="s">
        <v>372</v>
      </c>
      <c r="K44" t="e">
        <v>#N/A</v>
      </c>
      <c r="W44" t="s">
        <v>165</v>
      </c>
      <c r="X44" t="s">
        <v>164</v>
      </c>
      <c r="Z44" t="s">
        <v>133</v>
      </c>
    </row>
    <row r="45" spans="1:26" x14ac:dyDescent="0.3">
      <c r="A45" t="s">
        <v>44</v>
      </c>
      <c r="B45" t="s">
        <v>600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  <c r="H45" t="s">
        <v>499</v>
      </c>
      <c r="I45" t="s">
        <v>271</v>
      </c>
      <c r="J45" t="s">
        <v>271</v>
      </c>
      <c r="K45" t="e">
        <v>#N/A</v>
      </c>
      <c r="W45" t="s">
        <v>842</v>
      </c>
      <c r="X45" t="s">
        <v>166</v>
      </c>
      <c r="Z45" t="s">
        <v>135</v>
      </c>
    </row>
    <row r="46" spans="1:26" x14ac:dyDescent="0.3">
      <c r="A46" t="s">
        <v>45</v>
      </c>
      <c r="B46" t="s">
        <v>605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  <c r="H46" t="s">
        <v>510</v>
      </c>
      <c r="I46" t="s">
        <v>511</v>
      </c>
      <c r="J46" t="s">
        <v>272</v>
      </c>
      <c r="K46" t="e">
        <v>#N/A</v>
      </c>
      <c r="W46" t="s">
        <v>841</v>
      </c>
      <c r="Z46" t="s">
        <v>138</v>
      </c>
    </row>
    <row r="47" spans="1:26" x14ac:dyDescent="0.3">
      <c r="A47" t="s">
        <v>46</v>
      </c>
      <c r="B47" t="s">
        <v>605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  <c r="H47" t="s">
        <v>505</v>
      </c>
      <c r="I47" t="s">
        <v>273</v>
      </c>
      <c r="J47" t="s">
        <v>273</v>
      </c>
      <c r="K47" t="e">
        <v>#N/A</v>
      </c>
      <c r="W47" t="s">
        <v>167</v>
      </c>
      <c r="Z47" t="s">
        <v>140</v>
      </c>
    </row>
    <row r="48" spans="1:26" x14ac:dyDescent="0.3">
      <c r="A48" t="s">
        <v>809</v>
      </c>
      <c r="B48" t="s">
        <v>611</v>
      </c>
      <c r="C48" t="s">
        <v>847</v>
      </c>
      <c r="D48" t="s">
        <v>184</v>
      </c>
      <c r="E48" t="s">
        <v>693</v>
      </c>
      <c r="F48" t="s">
        <v>799</v>
      </c>
      <c r="G48" t="s">
        <v>755</v>
      </c>
      <c r="H48" t="s">
        <v>836</v>
      </c>
      <c r="I48" t="s">
        <v>836</v>
      </c>
      <c r="J48" t="s">
        <v>836</v>
      </c>
      <c r="K48" t="s">
        <v>959</v>
      </c>
      <c r="W48" t="s">
        <v>844</v>
      </c>
      <c r="Z48" t="s">
        <v>141</v>
      </c>
    </row>
    <row r="49" spans="1:26" x14ac:dyDescent="0.3">
      <c r="A49" t="s">
        <v>811</v>
      </c>
      <c r="B49" t="s">
        <v>611</v>
      </c>
      <c r="C49" t="s">
        <v>851</v>
      </c>
      <c r="D49" t="s">
        <v>812</v>
      </c>
      <c r="E49" t="s">
        <v>693</v>
      </c>
      <c r="F49" t="s">
        <v>799</v>
      </c>
      <c r="G49" t="s">
        <v>755</v>
      </c>
      <c r="H49" t="s">
        <v>836</v>
      </c>
      <c r="I49" t="s">
        <v>836</v>
      </c>
      <c r="J49" t="s">
        <v>836</v>
      </c>
      <c r="K49" t="s">
        <v>959</v>
      </c>
      <c r="W49" t="s">
        <v>1005</v>
      </c>
      <c r="Z49" t="s">
        <v>148</v>
      </c>
    </row>
    <row r="50" spans="1:26" x14ac:dyDescent="0.3">
      <c r="A50" t="s">
        <v>810</v>
      </c>
      <c r="B50" t="s">
        <v>611</v>
      </c>
      <c r="C50" t="s">
        <v>857</v>
      </c>
      <c r="D50" t="s">
        <v>862</v>
      </c>
      <c r="E50" t="s">
        <v>693</v>
      </c>
      <c r="F50" t="s">
        <v>799</v>
      </c>
      <c r="G50" t="s">
        <v>755</v>
      </c>
      <c r="H50" t="s">
        <v>836</v>
      </c>
      <c r="I50" t="s">
        <v>836</v>
      </c>
      <c r="J50" t="s">
        <v>836</v>
      </c>
      <c r="K50" t="s">
        <v>959</v>
      </c>
      <c r="Z50" t="s">
        <v>150</v>
      </c>
    </row>
    <row r="51" spans="1:26" x14ac:dyDescent="0.3">
      <c r="A51" t="s">
        <v>47</v>
      </c>
      <c r="B51" t="s">
        <v>605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  <c r="H51" t="s">
        <v>504</v>
      </c>
      <c r="I51" t="s">
        <v>274</v>
      </c>
      <c r="J51" t="s">
        <v>274</v>
      </c>
      <c r="K51" t="e">
        <v>#N/A</v>
      </c>
      <c r="Z51" t="s">
        <v>153</v>
      </c>
    </row>
    <row r="52" spans="1:26" x14ac:dyDescent="0.3">
      <c r="A52" t="s">
        <v>48</v>
      </c>
      <c r="B52" t="s">
        <v>605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s">
        <v>583</v>
      </c>
      <c r="I52" t="s">
        <v>584</v>
      </c>
      <c r="J52" t="s">
        <v>275</v>
      </c>
      <c r="K52" t="e">
        <v>#N/A</v>
      </c>
    </row>
    <row r="53" spans="1:26" x14ac:dyDescent="0.3">
      <c r="A53" t="s">
        <v>49</v>
      </c>
      <c r="B53" t="s">
        <v>602</v>
      </c>
      <c r="C53" t="e">
        <v>#N/A</v>
      </c>
      <c r="D53" t="e">
        <v>#N/A</v>
      </c>
      <c r="E53" t="s">
        <v>618</v>
      </c>
      <c r="F53" t="s">
        <v>185</v>
      </c>
      <c r="G53" t="e">
        <v>#N/A</v>
      </c>
      <c r="H53" t="s">
        <v>397</v>
      </c>
      <c r="I53" t="s">
        <v>276</v>
      </c>
      <c r="J53" t="s">
        <v>276</v>
      </c>
      <c r="K53" t="e">
        <v>#N/A</v>
      </c>
    </row>
    <row r="54" spans="1:26" x14ac:dyDescent="0.3">
      <c r="A54" t="s">
        <v>50</v>
      </c>
      <c r="B54" t="s">
        <v>603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  <c r="H54" t="s">
        <v>393</v>
      </c>
      <c r="I54" t="s">
        <v>277</v>
      </c>
      <c r="J54" t="s">
        <v>394</v>
      </c>
      <c r="K54" t="e">
        <v>#N/A</v>
      </c>
    </row>
    <row r="55" spans="1:26" x14ac:dyDescent="0.3">
      <c r="A55" t="s">
        <v>51</v>
      </c>
      <c r="B55" t="s">
        <v>603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  <c r="H55" t="s">
        <v>407</v>
      </c>
      <c r="I55" t="s">
        <v>278</v>
      </c>
      <c r="J55" t="s">
        <v>408</v>
      </c>
      <c r="K55" t="e">
        <v>#N/A</v>
      </c>
    </row>
    <row r="56" spans="1:26" x14ac:dyDescent="0.3">
      <c r="A56" t="s">
        <v>52</v>
      </c>
      <c r="B56" t="s">
        <v>605</v>
      </c>
      <c r="C56" t="e">
        <v>#N/A</v>
      </c>
      <c r="D56" t="e">
        <v>#N/A</v>
      </c>
      <c r="E56" t="s">
        <v>649</v>
      </c>
      <c r="F56" t="s">
        <v>186</v>
      </c>
      <c r="G56" t="e">
        <v>#N/A</v>
      </c>
      <c r="H56" t="s">
        <v>395</v>
      </c>
      <c r="I56" t="s">
        <v>279</v>
      </c>
      <c r="J56" t="s">
        <v>279</v>
      </c>
      <c r="K56" t="e">
        <v>#N/A</v>
      </c>
    </row>
    <row r="57" spans="1:26" x14ac:dyDescent="0.3">
      <c r="A57" t="s">
        <v>53</v>
      </c>
      <c r="B57" t="s">
        <v>603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s">
        <v>400</v>
      </c>
      <c r="I57" t="s">
        <v>280</v>
      </c>
      <c r="J57" t="s">
        <v>401</v>
      </c>
      <c r="K57" t="e">
        <v>#N/A</v>
      </c>
    </row>
    <row r="58" spans="1:26" x14ac:dyDescent="0.3">
      <c r="A58" t="s">
        <v>54</v>
      </c>
      <c r="B58" t="s">
        <v>603</v>
      </c>
      <c r="C58" t="s">
        <v>886</v>
      </c>
      <c r="D58" t="s">
        <v>187</v>
      </c>
      <c r="E58" t="e">
        <v>#N/A</v>
      </c>
      <c r="F58" t="e">
        <v>#N/A</v>
      </c>
      <c r="G58" t="e">
        <v>#N/A</v>
      </c>
      <c r="H58" t="s">
        <v>597</v>
      </c>
      <c r="I58" t="e">
        <v>#N/A</v>
      </c>
      <c r="J58" t="e">
        <v>#N/A</v>
      </c>
      <c r="K58" t="e">
        <v>#N/A</v>
      </c>
    </row>
    <row r="59" spans="1:26" x14ac:dyDescent="0.3">
      <c r="A59" t="s">
        <v>55</v>
      </c>
      <c r="B59" t="s">
        <v>601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s">
        <v>592</v>
      </c>
      <c r="I59" t="s">
        <v>593</v>
      </c>
      <c r="J59" t="s">
        <v>244</v>
      </c>
      <c r="K59" t="e">
        <v>#N/A</v>
      </c>
    </row>
    <row r="60" spans="1:26" x14ac:dyDescent="0.3">
      <c r="A60" t="s">
        <v>56</v>
      </c>
      <c r="B60" t="s">
        <v>605</v>
      </c>
      <c r="C60" t="s">
        <v>887</v>
      </c>
      <c r="D60" t="s">
        <v>188</v>
      </c>
      <c r="E60" t="s">
        <v>644</v>
      </c>
      <c r="F60" t="s">
        <v>643</v>
      </c>
      <c r="G60" t="s">
        <v>756</v>
      </c>
      <c r="H60" t="s">
        <v>582</v>
      </c>
      <c r="I60" t="s">
        <v>281</v>
      </c>
      <c r="J60" t="s">
        <v>281</v>
      </c>
      <c r="K60" t="e">
        <v>#N/A</v>
      </c>
    </row>
    <row r="61" spans="1:26" x14ac:dyDescent="0.3">
      <c r="A61" t="s">
        <v>57</v>
      </c>
      <c r="B61" t="s">
        <v>600</v>
      </c>
      <c r="C61" t="s">
        <v>913</v>
      </c>
      <c r="D61" t="s">
        <v>189</v>
      </c>
      <c r="E61" t="s">
        <v>657</v>
      </c>
      <c r="F61" t="s">
        <v>768</v>
      </c>
      <c r="G61" t="s">
        <v>698</v>
      </c>
      <c r="H61" t="s">
        <v>442</v>
      </c>
      <c r="I61" t="s">
        <v>372</v>
      </c>
      <c r="J61" t="s">
        <v>372</v>
      </c>
      <c r="K61" t="s">
        <v>944</v>
      </c>
    </row>
    <row r="62" spans="1:26" x14ac:dyDescent="0.3">
      <c r="A62" t="s">
        <v>58</v>
      </c>
      <c r="B62" t="s">
        <v>600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  <c r="H62" t="s">
        <v>414</v>
      </c>
      <c r="I62" t="s">
        <v>415</v>
      </c>
      <c r="J62" t="s">
        <v>282</v>
      </c>
      <c r="K62" t="e">
        <v>#N/A</v>
      </c>
    </row>
    <row r="63" spans="1:26" x14ac:dyDescent="0.3">
      <c r="A63" t="s">
        <v>59</v>
      </c>
      <c r="B63" t="s">
        <v>603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  <c r="H63" t="s">
        <v>416</v>
      </c>
      <c r="I63" t="s">
        <v>417</v>
      </c>
      <c r="J63" t="s">
        <v>283</v>
      </c>
      <c r="K63" t="e">
        <v>#N/A</v>
      </c>
    </row>
    <row r="64" spans="1:26" x14ac:dyDescent="0.3">
      <c r="A64" t="s">
        <v>392</v>
      </c>
      <c r="B64" t="s">
        <v>600</v>
      </c>
      <c r="C64" t="e">
        <v>#N/A</v>
      </c>
      <c r="D64" t="e">
        <v>#N/A</v>
      </c>
      <c r="E64" t="s">
        <v>650</v>
      </c>
      <c r="F64" t="s">
        <v>190</v>
      </c>
      <c r="G64" t="e">
        <v>#N/A</v>
      </c>
      <c r="H64" t="s">
        <v>390</v>
      </c>
      <c r="I64" t="s">
        <v>391</v>
      </c>
      <c r="J64" t="s">
        <v>284</v>
      </c>
      <c r="K64" t="e">
        <v>#N/A</v>
      </c>
    </row>
    <row r="65" spans="1:11" x14ac:dyDescent="0.3">
      <c r="A65" t="s">
        <v>60</v>
      </c>
      <c r="B65" t="s">
        <v>601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 t="s">
        <v>411</v>
      </c>
      <c r="I65" t="s">
        <v>412</v>
      </c>
      <c r="J65" t="s">
        <v>413</v>
      </c>
      <c r="K65" t="e">
        <v>#N/A</v>
      </c>
    </row>
    <row r="66" spans="1:11" x14ac:dyDescent="0.3">
      <c r="A66" t="s">
        <v>61</v>
      </c>
      <c r="B66" t="s">
        <v>603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 t="s">
        <v>404</v>
      </c>
      <c r="I66" t="s">
        <v>405</v>
      </c>
      <c r="J66" t="s">
        <v>285</v>
      </c>
      <c r="K66" t="e">
        <v>#N/A</v>
      </c>
    </row>
    <row r="67" spans="1:11" x14ac:dyDescent="0.3">
      <c r="A67" t="s">
        <v>62</v>
      </c>
      <c r="B67" t="s">
        <v>605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  <c r="H67" t="s">
        <v>398</v>
      </c>
      <c r="I67" t="s">
        <v>399</v>
      </c>
      <c r="J67" t="s">
        <v>286</v>
      </c>
      <c r="K67" t="e">
        <v>#N/A</v>
      </c>
    </row>
    <row r="68" spans="1:11" x14ac:dyDescent="0.3">
      <c r="A68" t="s">
        <v>63</v>
      </c>
      <c r="B68" t="s">
        <v>601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  <c r="H68" t="s">
        <v>592</v>
      </c>
      <c r="I68" t="s">
        <v>593</v>
      </c>
      <c r="J68" t="s">
        <v>244</v>
      </c>
      <c r="K68" t="e">
        <v>#N/A</v>
      </c>
    </row>
    <row r="69" spans="1:11" x14ac:dyDescent="0.3">
      <c r="A69" t="s">
        <v>64</v>
      </c>
      <c r="B69" t="s">
        <v>605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  <c r="H69" t="s">
        <v>409</v>
      </c>
      <c r="I69" t="s">
        <v>410</v>
      </c>
      <c r="J69" t="s">
        <v>287</v>
      </c>
      <c r="K69" t="e">
        <v>#N/A</v>
      </c>
    </row>
    <row r="70" spans="1:11" x14ac:dyDescent="0.3">
      <c r="A70" t="s">
        <v>34</v>
      </c>
      <c r="B70" t="s">
        <v>600</v>
      </c>
      <c r="C70" t="e">
        <v>#N/A</v>
      </c>
      <c r="D70" t="e">
        <v>#N/A</v>
      </c>
      <c r="E70" t="e">
        <v>#N/A</v>
      </c>
      <c r="F70" t="e">
        <v>#N/A</v>
      </c>
      <c r="G70" t="s">
        <v>726</v>
      </c>
      <c r="H70" t="s">
        <v>502</v>
      </c>
      <c r="I70" t="s">
        <v>503</v>
      </c>
      <c r="J70" t="s">
        <v>288</v>
      </c>
      <c r="K70" t="e">
        <v>#N/A</v>
      </c>
    </row>
    <row r="71" spans="1:11" x14ac:dyDescent="0.3">
      <c r="A71" t="s">
        <v>65</v>
      </c>
      <c r="B71" t="s">
        <v>600</v>
      </c>
      <c r="C71" t="s">
        <v>888</v>
      </c>
      <c r="D71" t="s">
        <v>191</v>
      </c>
      <c r="E71" t="s">
        <v>630</v>
      </c>
      <c r="F71" t="s">
        <v>629</v>
      </c>
      <c r="G71" t="s">
        <v>700</v>
      </c>
      <c r="H71" t="s">
        <v>396</v>
      </c>
      <c r="I71" t="s">
        <v>289</v>
      </c>
      <c r="J71" t="s">
        <v>289</v>
      </c>
      <c r="K71" t="e">
        <v>#N/A</v>
      </c>
    </row>
    <row r="72" spans="1:11" x14ac:dyDescent="0.3">
      <c r="A72" t="s">
        <v>66</v>
      </c>
      <c r="B72" t="s">
        <v>603</v>
      </c>
      <c r="C72" t="s">
        <v>889</v>
      </c>
      <c r="D72" t="s">
        <v>192</v>
      </c>
      <c r="E72" t="s">
        <v>658</v>
      </c>
      <c r="F72" t="s">
        <v>769</v>
      </c>
      <c r="G72" t="s">
        <v>699</v>
      </c>
      <c r="H72" t="s">
        <v>406</v>
      </c>
      <c r="I72" t="s">
        <v>290</v>
      </c>
      <c r="J72" t="s">
        <v>290</v>
      </c>
      <c r="K72" t="s">
        <v>928</v>
      </c>
    </row>
    <row r="73" spans="1:11" x14ac:dyDescent="0.3">
      <c r="A73" t="s">
        <v>67</v>
      </c>
      <c r="B73" t="s">
        <v>605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  <c r="H73" t="s">
        <v>402</v>
      </c>
      <c r="I73" t="s">
        <v>403</v>
      </c>
      <c r="J73" t="s">
        <v>291</v>
      </c>
      <c r="K73" t="e">
        <v>#N/A</v>
      </c>
    </row>
    <row r="74" spans="1:11" x14ac:dyDescent="0.3">
      <c r="A74" t="s">
        <v>68</v>
      </c>
      <c r="B74" t="s">
        <v>605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  <c r="H74" t="s">
        <v>585</v>
      </c>
      <c r="I74" t="s">
        <v>586</v>
      </c>
      <c r="J74" t="s">
        <v>587</v>
      </c>
      <c r="K74" t="e">
        <v>#N/A</v>
      </c>
    </row>
    <row r="75" spans="1:11" x14ac:dyDescent="0.3">
      <c r="A75" t="s">
        <v>69</v>
      </c>
      <c r="B75" t="s">
        <v>602</v>
      </c>
      <c r="C75" t="s">
        <v>856</v>
      </c>
      <c r="D75" t="s">
        <v>193</v>
      </c>
      <c r="E75" t="s">
        <v>628</v>
      </c>
      <c r="F75" t="s">
        <v>627</v>
      </c>
      <c r="G75" t="e">
        <v>#N/A</v>
      </c>
      <c r="H75" t="s">
        <v>543</v>
      </c>
      <c r="I75" t="s">
        <v>292</v>
      </c>
      <c r="J75" t="s">
        <v>292</v>
      </c>
      <c r="K75" t="e">
        <v>#N/A</v>
      </c>
    </row>
    <row r="76" spans="1:11" x14ac:dyDescent="0.3">
      <c r="A76" t="s">
        <v>604</v>
      </c>
      <c r="B76" t="s">
        <v>601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  <c r="H76" t="s">
        <v>557</v>
      </c>
      <c r="I76" t="s">
        <v>558</v>
      </c>
      <c r="J76" t="s">
        <v>293</v>
      </c>
      <c r="K76" t="e">
        <v>#N/A</v>
      </c>
    </row>
    <row r="77" spans="1:11" x14ac:dyDescent="0.3">
      <c r="A77" t="s">
        <v>70</v>
      </c>
      <c r="B77" t="s">
        <v>601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s">
        <v>592</v>
      </c>
      <c r="I77" t="s">
        <v>593</v>
      </c>
      <c r="J77" t="s">
        <v>244</v>
      </c>
      <c r="K77" t="e">
        <v>#N/A</v>
      </c>
    </row>
    <row r="78" spans="1:11" x14ac:dyDescent="0.3">
      <c r="A78" t="s">
        <v>71</v>
      </c>
      <c r="B78" t="s">
        <v>600</v>
      </c>
      <c r="C78" t="e">
        <v>#N/A</v>
      </c>
      <c r="D78" t="e">
        <v>#N/A</v>
      </c>
      <c r="E78" t="s">
        <v>645</v>
      </c>
      <c r="F78" t="s">
        <v>194</v>
      </c>
      <c r="G78" t="s">
        <v>741</v>
      </c>
      <c r="H78" t="s">
        <v>539</v>
      </c>
      <c r="I78" t="s">
        <v>540</v>
      </c>
      <c r="J78" t="s">
        <v>294</v>
      </c>
      <c r="K78" t="e">
        <v>#N/A</v>
      </c>
    </row>
    <row r="79" spans="1:11" x14ac:dyDescent="0.3">
      <c r="A79" t="s">
        <v>72</v>
      </c>
      <c r="B79" t="s">
        <v>601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s">
        <v>548</v>
      </c>
      <c r="I79" t="s">
        <v>549</v>
      </c>
      <c r="J79" t="s">
        <v>295</v>
      </c>
      <c r="K79" t="e">
        <v>#N/A</v>
      </c>
    </row>
    <row r="80" spans="1:11" x14ac:dyDescent="0.3">
      <c r="A80" t="s">
        <v>237</v>
      </c>
      <c r="B80" t="s">
        <v>601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s">
        <v>554</v>
      </c>
      <c r="I80" t="s">
        <v>296</v>
      </c>
      <c r="J80" t="s">
        <v>296</v>
      </c>
      <c r="K80" t="e">
        <v>#N/A</v>
      </c>
    </row>
    <row r="81" spans="1:11" x14ac:dyDescent="0.3">
      <c r="A81" t="s">
        <v>547</v>
      </c>
      <c r="B81" t="s">
        <v>605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s">
        <v>544</v>
      </c>
      <c r="I81" t="s">
        <v>545</v>
      </c>
      <c r="J81" t="s">
        <v>546</v>
      </c>
      <c r="K81" t="e">
        <v>#N/A</v>
      </c>
    </row>
    <row r="82" spans="1:11" x14ac:dyDescent="0.3">
      <c r="A82" t="s">
        <v>73</v>
      </c>
      <c r="B82" t="s">
        <v>601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s">
        <v>550</v>
      </c>
      <c r="I82" t="s">
        <v>297</v>
      </c>
      <c r="J82" t="s">
        <v>297</v>
      </c>
      <c r="K82" t="e">
        <v>#N/A</v>
      </c>
    </row>
    <row r="83" spans="1:11" x14ac:dyDescent="0.3">
      <c r="A83" t="s">
        <v>74</v>
      </c>
      <c r="B83" t="s">
        <v>603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s">
        <v>555</v>
      </c>
      <c r="I83" t="s">
        <v>556</v>
      </c>
      <c r="J83" t="s">
        <v>298</v>
      </c>
      <c r="K83" t="e">
        <v>#N/A</v>
      </c>
    </row>
    <row r="84" spans="1:11" x14ac:dyDescent="0.3">
      <c r="A84" t="s">
        <v>75</v>
      </c>
      <c r="B84" t="s">
        <v>605</v>
      </c>
      <c r="C84" t="e">
        <v>#N/A</v>
      </c>
      <c r="D84" t="e">
        <v>#N/A</v>
      </c>
      <c r="E84" t="s">
        <v>660</v>
      </c>
      <c r="F84" t="s">
        <v>195</v>
      </c>
      <c r="G84" t="e">
        <v>#N/A</v>
      </c>
      <c r="H84" t="s">
        <v>493</v>
      </c>
      <c r="I84" t="s">
        <v>299</v>
      </c>
      <c r="J84" t="s">
        <v>299</v>
      </c>
      <c r="K84" t="e">
        <v>#N/A</v>
      </c>
    </row>
    <row r="85" spans="1:11" x14ac:dyDescent="0.3">
      <c r="A85" t="s">
        <v>77</v>
      </c>
      <c r="B85" t="s">
        <v>600</v>
      </c>
      <c r="C85" t="s">
        <v>892</v>
      </c>
      <c r="D85" t="s">
        <v>196</v>
      </c>
      <c r="E85" t="s">
        <v>689</v>
      </c>
      <c r="F85" t="s">
        <v>795</v>
      </c>
      <c r="G85" t="s">
        <v>748</v>
      </c>
      <c r="H85" t="s">
        <v>551</v>
      </c>
      <c r="I85" t="s">
        <v>300</v>
      </c>
      <c r="J85" t="s">
        <v>300</v>
      </c>
      <c r="K85" t="s">
        <v>942</v>
      </c>
    </row>
    <row r="86" spans="1:11" x14ac:dyDescent="0.3">
      <c r="A86" t="s">
        <v>78</v>
      </c>
      <c r="B86" t="s">
        <v>600</v>
      </c>
      <c r="C86" t="s">
        <v>846</v>
      </c>
      <c r="D86" t="s">
        <v>197</v>
      </c>
      <c r="E86" t="s">
        <v>690</v>
      </c>
      <c r="F86" t="s">
        <v>796</v>
      </c>
      <c r="G86" t="s">
        <v>749</v>
      </c>
      <c r="H86" t="s">
        <v>421</v>
      </c>
      <c r="I86" t="s">
        <v>301</v>
      </c>
      <c r="J86" t="s">
        <v>301</v>
      </c>
      <c r="K86" t="e">
        <v>#N/A</v>
      </c>
    </row>
    <row r="87" spans="1:11" x14ac:dyDescent="0.3">
      <c r="A87" t="s">
        <v>79</v>
      </c>
      <c r="B87" t="s">
        <v>600</v>
      </c>
      <c r="C87" t="s">
        <v>890</v>
      </c>
      <c r="D87" t="s">
        <v>198</v>
      </c>
      <c r="E87" t="s">
        <v>688</v>
      </c>
      <c r="F87" t="s">
        <v>794</v>
      </c>
      <c r="G87" t="s">
        <v>747</v>
      </c>
      <c r="H87" t="s">
        <v>442</v>
      </c>
      <c r="I87" t="s">
        <v>372</v>
      </c>
      <c r="J87" t="s">
        <v>372</v>
      </c>
      <c r="K87" t="s">
        <v>943</v>
      </c>
    </row>
    <row r="88" spans="1:11" x14ac:dyDescent="0.3">
      <c r="A88" t="s">
        <v>80</v>
      </c>
      <c r="B88" t="s">
        <v>600</v>
      </c>
      <c r="C88" t="e">
        <v>#N/A</v>
      </c>
      <c r="D88" t="e">
        <v>#N/A</v>
      </c>
      <c r="E88" t="e">
        <v>#N/A</v>
      </c>
      <c r="F88" t="e">
        <v>#N/A</v>
      </c>
      <c r="G88" t="s">
        <v>743</v>
      </c>
      <c r="H88" t="s">
        <v>442</v>
      </c>
      <c r="I88" t="s">
        <v>372</v>
      </c>
      <c r="J88" t="s">
        <v>372</v>
      </c>
      <c r="K88" t="e">
        <v>#N/A</v>
      </c>
    </row>
    <row r="89" spans="1:11" x14ac:dyDescent="0.3">
      <c r="A89" t="s">
        <v>81</v>
      </c>
      <c r="B89" t="s">
        <v>600</v>
      </c>
      <c r="C89" t="e">
        <v>#N/A</v>
      </c>
      <c r="D89" t="e">
        <v>#N/A</v>
      </c>
      <c r="E89" t="s">
        <v>636</v>
      </c>
      <c r="F89" t="s">
        <v>199</v>
      </c>
      <c r="G89" t="s">
        <v>744</v>
      </c>
      <c r="H89" t="s">
        <v>442</v>
      </c>
      <c r="I89" t="s">
        <v>372</v>
      </c>
      <c r="J89" t="s">
        <v>372</v>
      </c>
      <c r="K89" t="e">
        <v>#N/A</v>
      </c>
    </row>
    <row r="90" spans="1:11" x14ac:dyDescent="0.3">
      <c r="A90" t="s">
        <v>82</v>
      </c>
      <c r="B90" t="s">
        <v>602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s">
        <v>561</v>
      </c>
      <c r="I90" t="s">
        <v>562</v>
      </c>
      <c r="J90" t="s">
        <v>302</v>
      </c>
      <c r="K90" t="e">
        <v>#N/A</v>
      </c>
    </row>
    <row r="91" spans="1:11" x14ac:dyDescent="0.3">
      <c r="A91" t="s">
        <v>83</v>
      </c>
      <c r="B91" t="s">
        <v>601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s">
        <v>553</v>
      </c>
      <c r="I91" t="s">
        <v>303</v>
      </c>
      <c r="J91" t="s">
        <v>303</v>
      </c>
      <c r="K91" t="e">
        <v>#N/A</v>
      </c>
    </row>
    <row r="92" spans="1:11" x14ac:dyDescent="0.3">
      <c r="A92" t="s">
        <v>84</v>
      </c>
      <c r="B92" t="s">
        <v>605</v>
      </c>
      <c r="C92" t="s">
        <v>863</v>
      </c>
      <c r="D92" s="1" t="s">
        <v>607</v>
      </c>
      <c r="E92" t="s">
        <v>694</v>
      </c>
      <c r="F92" t="s">
        <v>800</v>
      </c>
      <c r="G92" t="s">
        <v>742</v>
      </c>
      <c r="H92" t="s">
        <v>552</v>
      </c>
      <c r="I92" t="s">
        <v>304</v>
      </c>
      <c r="J92" t="s">
        <v>304</v>
      </c>
      <c r="K92" t="s">
        <v>934</v>
      </c>
    </row>
    <row r="93" spans="1:11" x14ac:dyDescent="0.3">
      <c r="A93" t="s">
        <v>374</v>
      </c>
      <c r="B93" t="s">
        <v>602</v>
      </c>
      <c r="C93" t="s">
        <v>891</v>
      </c>
      <c r="D93" t="s">
        <v>200</v>
      </c>
      <c r="E93" t="s">
        <v>626</v>
      </c>
      <c r="F93" t="s">
        <v>625</v>
      </c>
      <c r="G93" t="e">
        <v>#N/A</v>
      </c>
      <c r="H93" t="s">
        <v>373</v>
      </c>
      <c r="I93" t="s">
        <v>305</v>
      </c>
      <c r="J93" t="s">
        <v>305</v>
      </c>
      <c r="K93" t="e">
        <v>#N/A</v>
      </c>
    </row>
    <row r="94" spans="1:11" x14ac:dyDescent="0.3">
      <c r="A94" t="s">
        <v>85</v>
      </c>
      <c r="B94" t="s">
        <v>603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s">
        <v>386</v>
      </c>
      <c r="I94" t="s">
        <v>387</v>
      </c>
      <c r="J94" t="s">
        <v>306</v>
      </c>
      <c r="K94" t="e">
        <v>#N/A</v>
      </c>
    </row>
    <row r="95" spans="1:11" x14ac:dyDescent="0.3">
      <c r="A95" t="s">
        <v>86</v>
      </c>
      <c r="B95" t="s">
        <v>600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s">
        <v>378</v>
      </c>
      <c r="I95" t="s">
        <v>379</v>
      </c>
      <c r="J95" t="s">
        <v>307</v>
      </c>
      <c r="K95" t="e">
        <v>#N/A</v>
      </c>
    </row>
    <row r="96" spans="1:11" x14ac:dyDescent="0.3">
      <c r="A96" t="s">
        <v>87</v>
      </c>
      <c r="B96" t="s">
        <v>603</v>
      </c>
      <c r="C96" t="s">
        <v>893</v>
      </c>
      <c r="D96" t="s">
        <v>201</v>
      </c>
      <c r="E96" t="s">
        <v>654</v>
      </c>
      <c r="F96" t="s">
        <v>653</v>
      </c>
      <c r="G96" t="s">
        <v>695</v>
      </c>
      <c r="H96" t="s">
        <v>383</v>
      </c>
      <c r="I96" t="s">
        <v>308</v>
      </c>
      <c r="J96" t="s">
        <v>308</v>
      </c>
      <c r="K96" t="e">
        <v>#N/A</v>
      </c>
    </row>
    <row r="97" spans="1:11" x14ac:dyDescent="0.3">
      <c r="A97" t="s">
        <v>88</v>
      </c>
      <c r="B97" t="s">
        <v>600</v>
      </c>
      <c r="C97" t="e">
        <v>#N/A</v>
      </c>
      <c r="D97" t="e">
        <v>#N/A</v>
      </c>
      <c r="E97" t="e">
        <v>#N/A</v>
      </c>
      <c r="F97" t="e">
        <v>#N/A</v>
      </c>
      <c r="G97" t="s">
        <v>716</v>
      </c>
      <c r="H97" t="s">
        <v>472</v>
      </c>
      <c r="I97" t="s">
        <v>309</v>
      </c>
      <c r="J97" t="s">
        <v>309</v>
      </c>
      <c r="K97" t="e">
        <v>#N/A</v>
      </c>
    </row>
    <row r="98" spans="1:11" x14ac:dyDescent="0.3">
      <c r="A98" t="s">
        <v>89</v>
      </c>
      <c r="B98" t="s">
        <v>603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s">
        <v>463</v>
      </c>
      <c r="I98" t="s">
        <v>464</v>
      </c>
      <c r="J98" t="s">
        <v>310</v>
      </c>
      <c r="K98" t="e">
        <v>#N/A</v>
      </c>
    </row>
    <row r="99" spans="1:11" x14ac:dyDescent="0.3">
      <c r="A99" t="s">
        <v>90</v>
      </c>
      <c r="B99" t="s">
        <v>600</v>
      </c>
      <c r="C99" t="s">
        <v>894</v>
      </c>
      <c r="D99" s="1" t="s">
        <v>202</v>
      </c>
      <c r="E99" t="s">
        <v>673</v>
      </c>
      <c r="F99" t="s">
        <v>783</v>
      </c>
      <c r="G99" t="s">
        <v>719</v>
      </c>
      <c r="H99" t="s">
        <v>442</v>
      </c>
      <c r="I99" t="s">
        <v>372</v>
      </c>
      <c r="J99" t="s">
        <v>372</v>
      </c>
      <c r="K99" t="s">
        <v>950</v>
      </c>
    </row>
    <row r="100" spans="1:11" x14ac:dyDescent="0.3">
      <c r="A100" t="s">
        <v>91</v>
      </c>
      <c r="B100" t="s">
        <v>600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s">
        <v>388</v>
      </c>
      <c r="I100" t="s">
        <v>389</v>
      </c>
      <c r="J100" t="s">
        <v>311</v>
      </c>
      <c r="K100" t="e">
        <v>#N/A</v>
      </c>
    </row>
    <row r="101" spans="1:11" x14ac:dyDescent="0.3">
      <c r="A101" t="s">
        <v>92</v>
      </c>
      <c r="B101" t="s">
        <v>605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s">
        <v>375</v>
      </c>
      <c r="I101" t="s">
        <v>312</v>
      </c>
      <c r="J101" t="s">
        <v>312</v>
      </c>
      <c r="K101" t="e">
        <v>#N/A</v>
      </c>
    </row>
    <row r="102" spans="1:11" x14ac:dyDescent="0.3">
      <c r="A102" t="s">
        <v>93</v>
      </c>
      <c r="B102" t="s">
        <v>600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s">
        <v>376</v>
      </c>
      <c r="I102" t="s">
        <v>377</v>
      </c>
      <c r="J102" t="s">
        <v>313</v>
      </c>
      <c r="K102" t="e">
        <v>#N/A</v>
      </c>
    </row>
    <row r="103" spans="1:11" x14ac:dyDescent="0.3">
      <c r="A103" t="s">
        <v>94</v>
      </c>
      <c r="B103" t="s">
        <v>601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s">
        <v>436</v>
      </c>
      <c r="I103" t="s">
        <v>314</v>
      </c>
      <c r="J103" t="s">
        <v>314</v>
      </c>
      <c r="K103" t="e">
        <v>#N/A</v>
      </c>
    </row>
    <row r="104" spans="1:11" x14ac:dyDescent="0.3">
      <c r="A104" t="s">
        <v>95</v>
      </c>
      <c r="B104" t="s">
        <v>601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s">
        <v>382</v>
      </c>
      <c r="I104" t="s">
        <v>315</v>
      </c>
      <c r="J104" t="s">
        <v>315</v>
      </c>
      <c r="K104" t="e">
        <v>#N/A</v>
      </c>
    </row>
    <row r="105" spans="1:11" x14ac:dyDescent="0.3">
      <c r="A105" t="s">
        <v>96</v>
      </c>
      <c r="B105" t="s">
        <v>603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s">
        <v>590</v>
      </c>
      <c r="I105" t="s">
        <v>591</v>
      </c>
      <c r="J105" t="s">
        <v>316</v>
      </c>
      <c r="K105" t="e">
        <v>#N/A</v>
      </c>
    </row>
    <row r="106" spans="1:11" x14ac:dyDescent="0.3">
      <c r="A106" t="s">
        <v>97</v>
      </c>
      <c r="B106" t="s">
        <v>601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s">
        <v>438</v>
      </c>
      <c r="I106" t="s">
        <v>439</v>
      </c>
      <c r="J106" t="s">
        <v>317</v>
      </c>
      <c r="K106" t="e">
        <v>#N/A</v>
      </c>
    </row>
    <row r="107" spans="1:11" x14ac:dyDescent="0.3">
      <c r="A107" t="s">
        <v>76</v>
      </c>
      <c r="B107" t="s">
        <v>601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s">
        <v>563</v>
      </c>
      <c r="I107" t="s">
        <v>564</v>
      </c>
      <c r="J107" t="s">
        <v>318</v>
      </c>
      <c r="K107" t="e">
        <v>#N/A</v>
      </c>
    </row>
    <row r="108" spans="1:11" x14ac:dyDescent="0.3">
      <c r="A108" t="s">
        <v>98</v>
      </c>
      <c r="B108" t="s">
        <v>610</v>
      </c>
      <c r="C108" t="e">
        <v>#N/A</v>
      </c>
      <c r="D108" t="e">
        <v>#N/A</v>
      </c>
      <c r="E108" t="s">
        <v>632</v>
      </c>
      <c r="F108" t="s">
        <v>203</v>
      </c>
      <c r="G108" t="s">
        <v>709</v>
      </c>
      <c r="H108" t="s">
        <v>839</v>
      </c>
      <c r="I108" t="s">
        <v>918</v>
      </c>
      <c r="J108" t="s">
        <v>918</v>
      </c>
      <c r="K108" t="e">
        <v>#N/A</v>
      </c>
    </row>
    <row r="109" spans="1:11" x14ac:dyDescent="0.3">
      <c r="A109" t="s">
        <v>99</v>
      </c>
      <c r="B109" t="s">
        <v>601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s">
        <v>440</v>
      </c>
      <c r="I109" t="s">
        <v>441</v>
      </c>
      <c r="J109" t="s">
        <v>319</v>
      </c>
      <c r="K109" t="e">
        <v>#N/A</v>
      </c>
    </row>
    <row r="110" spans="1:11" x14ac:dyDescent="0.3">
      <c r="A110" t="s">
        <v>100</v>
      </c>
      <c r="B110" t="s">
        <v>603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s">
        <v>559</v>
      </c>
      <c r="I110" t="s">
        <v>560</v>
      </c>
      <c r="J110" t="s">
        <v>320</v>
      </c>
      <c r="K110" t="e">
        <v>#N/A</v>
      </c>
    </row>
    <row r="111" spans="1:11" x14ac:dyDescent="0.3">
      <c r="A111" t="s">
        <v>101</v>
      </c>
      <c r="B111" t="s">
        <v>600</v>
      </c>
      <c r="C111" t="s">
        <v>865</v>
      </c>
      <c r="D111" s="1" t="s">
        <v>608</v>
      </c>
      <c r="E111" t="s">
        <v>692</v>
      </c>
      <c r="F111" t="s">
        <v>798</v>
      </c>
      <c r="G111" t="s">
        <v>753</v>
      </c>
      <c r="H111" t="s">
        <v>445</v>
      </c>
      <c r="I111" t="s">
        <v>446</v>
      </c>
      <c r="J111" t="s">
        <v>446</v>
      </c>
      <c r="K111" t="s">
        <v>941</v>
      </c>
    </row>
    <row r="112" spans="1:11" x14ac:dyDescent="0.3">
      <c r="A112" t="s">
        <v>102</v>
      </c>
      <c r="B112" t="s">
        <v>602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s">
        <v>594</v>
      </c>
      <c r="I112" t="s">
        <v>321</v>
      </c>
      <c r="J112" t="s">
        <v>321</v>
      </c>
      <c r="K112" t="e">
        <v>#N/A</v>
      </c>
    </row>
    <row r="113" spans="1:11" x14ac:dyDescent="0.3">
      <c r="A113" t="s">
        <v>103</v>
      </c>
      <c r="B113" t="s">
        <v>602</v>
      </c>
      <c r="C113" t="s">
        <v>895</v>
      </c>
      <c r="D113" t="s">
        <v>204</v>
      </c>
      <c r="E113" t="s">
        <v>622</v>
      </c>
      <c r="F113" t="s">
        <v>621</v>
      </c>
      <c r="G113" t="e">
        <v>#N/A</v>
      </c>
      <c r="H113" t="s">
        <v>525</v>
      </c>
      <c r="I113" t="s">
        <v>322</v>
      </c>
      <c r="J113" t="s">
        <v>322</v>
      </c>
      <c r="K113" t="e">
        <v>#N/A</v>
      </c>
    </row>
    <row r="114" spans="1:11" x14ac:dyDescent="0.3">
      <c r="A114" t="s">
        <v>104</v>
      </c>
      <c r="B114" t="s">
        <v>600</v>
      </c>
      <c r="C114" t="s">
        <v>845</v>
      </c>
      <c r="D114" t="s">
        <v>205</v>
      </c>
      <c r="E114" t="s">
        <v>656</v>
      </c>
      <c r="F114" t="s">
        <v>767</v>
      </c>
      <c r="G114" t="s">
        <v>697</v>
      </c>
      <c r="H114" t="s">
        <v>442</v>
      </c>
      <c r="I114" t="s">
        <v>372</v>
      </c>
      <c r="J114" t="s">
        <v>372</v>
      </c>
      <c r="K114" t="e">
        <v>#N/A</v>
      </c>
    </row>
    <row r="115" spans="1:11" x14ac:dyDescent="0.3">
      <c r="A115" t="s">
        <v>105</v>
      </c>
      <c r="B115" t="s">
        <v>603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s">
        <v>461</v>
      </c>
      <c r="I115" t="s">
        <v>323</v>
      </c>
      <c r="J115" t="s">
        <v>323</v>
      </c>
      <c r="K115" t="e">
        <v>#N/A</v>
      </c>
    </row>
    <row r="116" spans="1:11" x14ac:dyDescent="0.3">
      <c r="A116" t="s">
        <v>106</v>
      </c>
      <c r="B116" t="s">
        <v>602</v>
      </c>
      <c r="C116" t="s">
        <v>896</v>
      </c>
      <c r="D116" t="s">
        <v>206</v>
      </c>
      <c r="E116" t="s">
        <v>677</v>
      </c>
      <c r="F116" t="s">
        <v>676</v>
      </c>
      <c r="G116" t="e">
        <v>#N/A</v>
      </c>
      <c r="H116" t="s">
        <v>475</v>
      </c>
      <c r="I116" t="s">
        <v>324</v>
      </c>
      <c r="J116" t="s">
        <v>324</v>
      </c>
      <c r="K116" t="e">
        <v>#N/A</v>
      </c>
    </row>
    <row r="117" spans="1:11" x14ac:dyDescent="0.3">
      <c r="A117" t="s">
        <v>107</v>
      </c>
      <c r="B117" t="s">
        <v>601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s">
        <v>579</v>
      </c>
      <c r="I117" t="s">
        <v>325</v>
      </c>
      <c r="J117" t="s">
        <v>325</v>
      </c>
      <c r="K117" t="e">
        <v>#N/A</v>
      </c>
    </row>
    <row r="118" spans="1:11" x14ac:dyDescent="0.3">
      <c r="A118" t="s">
        <v>108</v>
      </c>
      <c r="B118" t="s">
        <v>603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s">
        <v>580</v>
      </c>
      <c r="I118" t="s">
        <v>326</v>
      </c>
      <c r="J118" t="s">
        <v>326</v>
      </c>
      <c r="K118" t="e">
        <v>#N/A</v>
      </c>
    </row>
    <row r="119" spans="1:11" x14ac:dyDescent="0.3">
      <c r="A119" t="s">
        <v>109</v>
      </c>
      <c r="B119" t="s">
        <v>605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s">
        <v>581</v>
      </c>
      <c r="I119" t="s">
        <v>327</v>
      </c>
      <c r="J119" t="s">
        <v>327</v>
      </c>
      <c r="K119" t="e">
        <v>#N/A</v>
      </c>
    </row>
    <row r="120" spans="1:11" x14ac:dyDescent="0.3">
      <c r="A120" t="s">
        <v>110</v>
      </c>
      <c r="B120" t="s">
        <v>600</v>
      </c>
      <c r="C120" t="e">
        <v>#N/A</v>
      </c>
      <c r="D120" t="e">
        <v>#N/A</v>
      </c>
      <c r="E120" t="s">
        <v>637</v>
      </c>
      <c r="F120" t="s">
        <v>207</v>
      </c>
      <c r="G120" t="s">
        <v>754</v>
      </c>
      <c r="H120" t="s">
        <v>578</v>
      </c>
      <c r="I120" t="s">
        <v>328</v>
      </c>
      <c r="J120" t="s">
        <v>328</v>
      </c>
      <c r="K120" t="e">
        <v>#N/A</v>
      </c>
    </row>
    <row r="121" spans="1:11" x14ac:dyDescent="0.3">
      <c r="A121" t="s">
        <v>111</v>
      </c>
      <c r="B121" t="s">
        <v>602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s">
        <v>469</v>
      </c>
      <c r="I121" t="s">
        <v>470</v>
      </c>
      <c r="J121" t="s">
        <v>329</v>
      </c>
      <c r="K121" t="e">
        <v>#N/A</v>
      </c>
    </row>
    <row r="122" spans="1:11" x14ac:dyDescent="0.3">
      <c r="A122" t="s">
        <v>112</v>
      </c>
      <c r="B122" t="s">
        <v>602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s">
        <v>471</v>
      </c>
      <c r="I122" t="s">
        <v>330</v>
      </c>
      <c r="J122" t="s">
        <v>330</v>
      </c>
      <c r="K122" t="e">
        <v>#N/A</v>
      </c>
    </row>
    <row r="123" spans="1:11" x14ac:dyDescent="0.3">
      <c r="A123" t="s">
        <v>113</v>
      </c>
      <c r="B123" t="s">
        <v>602</v>
      </c>
      <c r="C123" t="s">
        <v>850</v>
      </c>
      <c r="D123" t="s">
        <v>208</v>
      </c>
      <c r="E123" t="s">
        <v>646</v>
      </c>
      <c r="F123" t="s">
        <v>762</v>
      </c>
      <c r="G123" t="s">
        <v>720</v>
      </c>
      <c r="H123" t="s">
        <v>467</v>
      </c>
      <c r="I123" t="s">
        <v>331</v>
      </c>
      <c r="J123" t="s">
        <v>331</v>
      </c>
      <c r="K123" t="e">
        <v>#N/A</v>
      </c>
    </row>
    <row r="124" spans="1:11" x14ac:dyDescent="0.3">
      <c r="A124" t="s">
        <v>114</v>
      </c>
      <c r="B124" t="s">
        <v>601</v>
      </c>
      <c r="C124" t="s">
        <v>897</v>
      </c>
      <c r="D124" t="s">
        <v>209</v>
      </c>
      <c r="E124" t="s">
        <v>614</v>
      </c>
      <c r="F124" t="s">
        <v>758</v>
      </c>
      <c r="G124" t="s">
        <v>708</v>
      </c>
      <c r="H124" t="s">
        <v>437</v>
      </c>
      <c r="I124" t="s">
        <v>332</v>
      </c>
      <c r="J124" t="s">
        <v>332</v>
      </c>
      <c r="K124" t="e">
        <v>#N/A</v>
      </c>
    </row>
    <row r="125" spans="1:11" x14ac:dyDescent="0.3">
      <c r="A125" t="s">
        <v>115</v>
      </c>
      <c r="B125" t="s">
        <v>600</v>
      </c>
      <c r="C125" t="s">
        <v>864</v>
      </c>
      <c r="D125" s="1" t="s">
        <v>609</v>
      </c>
      <c r="E125" t="s">
        <v>674</v>
      </c>
      <c r="F125" t="s">
        <v>784</v>
      </c>
      <c r="G125" t="s">
        <v>721</v>
      </c>
      <c r="H125" t="s">
        <v>442</v>
      </c>
      <c r="I125" t="s">
        <v>372</v>
      </c>
      <c r="J125" t="s">
        <v>372</v>
      </c>
      <c r="K125" t="s">
        <v>948</v>
      </c>
    </row>
    <row r="126" spans="1:11" x14ac:dyDescent="0.3">
      <c r="A126" t="s">
        <v>116</v>
      </c>
      <c r="B126" t="s">
        <v>605</v>
      </c>
      <c r="C126" t="s">
        <v>898</v>
      </c>
      <c r="D126" t="s">
        <v>210</v>
      </c>
      <c r="E126" t="s">
        <v>672</v>
      </c>
      <c r="F126" t="s">
        <v>782</v>
      </c>
      <c r="G126" t="s">
        <v>717</v>
      </c>
      <c r="H126" t="s">
        <v>468</v>
      </c>
      <c r="I126" t="s">
        <v>333</v>
      </c>
      <c r="J126" t="s">
        <v>333</v>
      </c>
      <c r="K126" t="s">
        <v>938</v>
      </c>
    </row>
    <row r="127" spans="1:11" x14ac:dyDescent="0.3">
      <c r="A127" t="s">
        <v>117</v>
      </c>
      <c r="B127" t="s">
        <v>605</v>
      </c>
      <c r="C127" t="s">
        <v>899</v>
      </c>
      <c r="D127" t="s">
        <v>211</v>
      </c>
      <c r="E127" t="s">
        <v>615</v>
      </c>
      <c r="F127" t="s">
        <v>759</v>
      </c>
      <c r="G127" t="s">
        <v>718</v>
      </c>
      <c r="H127" t="s">
        <v>466</v>
      </c>
      <c r="I127" t="s">
        <v>334</v>
      </c>
      <c r="J127" t="s">
        <v>334</v>
      </c>
      <c r="K127" t="s">
        <v>937</v>
      </c>
    </row>
    <row r="128" spans="1:11" x14ac:dyDescent="0.3">
      <c r="A128" t="s">
        <v>819</v>
      </c>
      <c r="B128" t="s">
        <v>605</v>
      </c>
      <c r="C128" t="s">
        <v>852</v>
      </c>
      <c r="D128" t="s">
        <v>212</v>
      </c>
      <c r="E128" t="s">
        <v>675</v>
      </c>
      <c r="F128" t="s">
        <v>785</v>
      </c>
      <c r="G128" t="s">
        <v>722</v>
      </c>
      <c r="H128" t="s">
        <v>476</v>
      </c>
      <c r="I128" t="s">
        <v>335</v>
      </c>
      <c r="J128" t="s">
        <v>335</v>
      </c>
      <c r="K128" t="s">
        <v>960</v>
      </c>
    </row>
    <row r="129" spans="1:11" x14ac:dyDescent="0.3">
      <c r="A129" t="s">
        <v>820</v>
      </c>
      <c r="B129" t="s">
        <v>605</v>
      </c>
      <c r="C129" t="s">
        <v>860</v>
      </c>
      <c r="D129" t="s">
        <v>807</v>
      </c>
      <c r="E129" t="s">
        <v>675</v>
      </c>
      <c r="F129" t="s">
        <v>785</v>
      </c>
      <c r="G129" t="s">
        <v>722</v>
      </c>
      <c r="H129" t="s">
        <v>476</v>
      </c>
      <c r="I129" t="s">
        <v>335</v>
      </c>
      <c r="J129" t="s">
        <v>335</v>
      </c>
      <c r="K129" t="s">
        <v>960</v>
      </c>
    </row>
    <row r="130" spans="1:11" x14ac:dyDescent="0.3">
      <c r="A130" t="s">
        <v>118</v>
      </c>
      <c r="B130" t="s">
        <v>603</v>
      </c>
      <c r="C130" t="e">
        <v>#N/A</v>
      </c>
      <c r="D130" t="e">
        <v>#N/A</v>
      </c>
      <c r="E130" t="s">
        <v>648</v>
      </c>
      <c r="F130" t="s">
        <v>213</v>
      </c>
      <c r="G130" t="e">
        <v>#N/A</v>
      </c>
      <c r="H130" t="s">
        <v>473</v>
      </c>
      <c r="I130" t="s">
        <v>474</v>
      </c>
      <c r="J130" t="s">
        <v>336</v>
      </c>
      <c r="K130" t="e">
        <v>#N/A</v>
      </c>
    </row>
    <row r="131" spans="1:11" x14ac:dyDescent="0.3">
      <c r="A131" t="s">
        <v>119</v>
      </c>
      <c r="B131" t="s">
        <v>601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s">
        <v>588</v>
      </c>
      <c r="I131" t="s">
        <v>589</v>
      </c>
      <c r="J131" t="s">
        <v>239</v>
      </c>
      <c r="K131" t="e">
        <v>#N/A</v>
      </c>
    </row>
    <row r="132" spans="1:11" x14ac:dyDescent="0.3">
      <c r="A132" t="s">
        <v>120</v>
      </c>
      <c r="B132" t="s">
        <v>600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s">
        <v>447</v>
      </c>
      <c r="I132" t="s">
        <v>448</v>
      </c>
      <c r="J132" t="s">
        <v>337</v>
      </c>
      <c r="K132" t="e">
        <v>#N/A</v>
      </c>
    </row>
    <row r="133" spans="1:11" x14ac:dyDescent="0.3">
      <c r="A133" t="s">
        <v>868</v>
      </c>
      <c r="B133" t="s">
        <v>612</v>
      </c>
      <c r="C133" t="s">
        <v>866</v>
      </c>
      <c r="D133" t="s">
        <v>825</v>
      </c>
      <c r="E133" t="s">
        <v>647</v>
      </c>
      <c r="F133" t="s">
        <v>763</v>
      </c>
      <c r="G133" t="s">
        <v>703</v>
      </c>
      <c r="H133" t="s">
        <v>925</v>
      </c>
      <c r="I133" t="s">
        <v>919</v>
      </c>
      <c r="J133" t="s">
        <v>919</v>
      </c>
      <c r="K133" t="s">
        <v>961</v>
      </c>
    </row>
    <row r="134" spans="1:11" x14ac:dyDescent="0.3">
      <c r="A134" t="s">
        <v>830</v>
      </c>
      <c r="B134" t="s">
        <v>612</v>
      </c>
      <c r="C134" t="s">
        <v>858</v>
      </c>
      <c r="D134" t="s">
        <v>834</v>
      </c>
      <c r="E134" t="s">
        <v>647</v>
      </c>
      <c r="F134" t="s">
        <v>763</v>
      </c>
      <c r="G134" t="s">
        <v>703</v>
      </c>
      <c r="H134" t="s">
        <v>925</v>
      </c>
      <c r="I134" t="s">
        <v>919</v>
      </c>
      <c r="J134" t="s">
        <v>919</v>
      </c>
      <c r="K134" t="s">
        <v>961</v>
      </c>
    </row>
    <row r="135" spans="1:11" x14ac:dyDescent="0.3">
      <c r="A135" t="s">
        <v>831</v>
      </c>
      <c r="B135" t="s">
        <v>612</v>
      </c>
      <c r="C135" t="s">
        <v>869</v>
      </c>
      <c r="D135" t="s">
        <v>835</v>
      </c>
      <c r="E135" t="s">
        <v>647</v>
      </c>
      <c r="F135" t="s">
        <v>763</v>
      </c>
      <c r="G135" t="s">
        <v>703</v>
      </c>
      <c r="H135" t="s">
        <v>925</v>
      </c>
      <c r="I135" t="s">
        <v>919</v>
      </c>
      <c r="J135" t="s">
        <v>919</v>
      </c>
      <c r="K135" t="s">
        <v>961</v>
      </c>
    </row>
    <row r="136" spans="1:11" x14ac:dyDescent="0.3">
      <c r="A136" t="s">
        <v>827</v>
      </c>
      <c r="B136" t="s">
        <v>612</v>
      </c>
      <c r="C136" t="s">
        <v>870</v>
      </c>
      <c r="D136" t="s">
        <v>823</v>
      </c>
      <c r="E136" t="s">
        <v>647</v>
      </c>
      <c r="F136" t="s">
        <v>763</v>
      </c>
      <c r="G136" t="s">
        <v>703</v>
      </c>
      <c r="H136" t="s">
        <v>925</v>
      </c>
      <c r="I136" t="s">
        <v>919</v>
      </c>
      <c r="J136" t="s">
        <v>919</v>
      </c>
      <c r="K136" t="s">
        <v>961</v>
      </c>
    </row>
    <row r="137" spans="1:11" x14ac:dyDescent="0.3">
      <c r="A137" t="s">
        <v>828</v>
      </c>
      <c r="B137" t="s">
        <v>612</v>
      </c>
      <c r="C137" t="s">
        <v>871</v>
      </c>
      <c r="D137" t="s">
        <v>824</v>
      </c>
      <c r="E137" t="s">
        <v>647</v>
      </c>
      <c r="F137" t="s">
        <v>763</v>
      </c>
      <c r="G137" t="s">
        <v>703</v>
      </c>
      <c r="H137" t="s">
        <v>925</v>
      </c>
      <c r="I137" t="s">
        <v>919</v>
      </c>
      <c r="J137" t="s">
        <v>919</v>
      </c>
      <c r="K137" t="s">
        <v>961</v>
      </c>
    </row>
    <row r="138" spans="1:11" x14ac:dyDescent="0.3">
      <c r="A138" t="s">
        <v>826</v>
      </c>
      <c r="B138" t="s">
        <v>612</v>
      </c>
      <c r="C138" t="s">
        <v>872</v>
      </c>
      <c r="D138" t="s">
        <v>832</v>
      </c>
      <c r="E138" t="s">
        <v>647</v>
      </c>
      <c r="F138" t="s">
        <v>763</v>
      </c>
      <c r="G138" t="s">
        <v>703</v>
      </c>
      <c r="H138" t="s">
        <v>925</v>
      </c>
      <c r="I138" t="s">
        <v>919</v>
      </c>
      <c r="J138" t="s">
        <v>919</v>
      </c>
      <c r="K138" t="s">
        <v>961</v>
      </c>
    </row>
    <row r="139" spans="1:11" x14ac:dyDescent="0.3">
      <c r="A139" t="s">
        <v>829</v>
      </c>
      <c r="B139" t="s">
        <v>612</v>
      </c>
      <c r="C139" t="s">
        <v>873</v>
      </c>
      <c r="D139" t="s">
        <v>833</v>
      </c>
      <c r="E139" t="s">
        <v>647</v>
      </c>
      <c r="F139" t="s">
        <v>763</v>
      </c>
      <c r="G139" t="s">
        <v>703</v>
      </c>
      <c r="H139" t="s">
        <v>925</v>
      </c>
      <c r="I139" t="s">
        <v>919</v>
      </c>
      <c r="J139" t="s">
        <v>919</v>
      </c>
      <c r="K139" t="s">
        <v>961</v>
      </c>
    </row>
    <row r="140" spans="1:11" x14ac:dyDescent="0.3">
      <c r="A140" t="s">
        <v>121</v>
      </c>
      <c r="B140" t="s">
        <v>601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s">
        <v>588</v>
      </c>
      <c r="I140" t="s">
        <v>589</v>
      </c>
      <c r="J140" t="s">
        <v>239</v>
      </c>
      <c r="K140" t="e">
        <v>#N/A</v>
      </c>
    </row>
    <row r="141" spans="1:11" x14ac:dyDescent="0.3">
      <c r="A141" t="s">
        <v>122</v>
      </c>
      <c r="B141" t="s">
        <v>601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s">
        <v>431</v>
      </c>
      <c r="I141" t="s">
        <v>432</v>
      </c>
      <c r="J141" t="s">
        <v>338</v>
      </c>
      <c r="K141" t="e">
        <v>#N/A</v>
      </c>
    </row>
    <row r="142" spans="1:11" x14ac:dyDescent="0.3">
      <c r="A142" t="s">
        <v>123</v>
      </c>
      <c r="B142" t="s">
        <v>600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  <c r="H142" t="s">
        <v>450</v>
      </c>
      <c r="I142" t="s">
        <v>451</v>
      </c>
      <c r="J142" t="s">
        <v>452</v>
      </c>
      <c r="K142" t="e">
        <v>#N/A</v>
      </c>
    </row>
    <row r="143" spans="1:11" x14ac:dyDescent="0.3">
      <c r="A143" t="s">
        <v>124</v>
      </c>
      <c r="B143" t="s">
        <v>601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  <c r="H143" t="s">
        <v>588</v>
      </c>
      <c r="I143" t="s">
        <v>589</v>
      </c>
      <c r="J143" t="s">
        <v>239</v>
      </c>
      <c r="K143" t="e">
        <v>#N/A</v>
      </c>
    </row>
    <row r="144" spans="1:11" x14ac:dyDescent="0.3">
      <c r="A144" t="s">
        <v>125</v>
      </c>
      <c r="B144" t="s">
        <v>610</v>
      </c>
      <c r="C144" t="s">
        <v>855</v>
      </c>
      <c r="D144" t="s">
        <v>214</v>
      </c>
      <c r="E144" t="s">
        <v>664</v>
      </c>
      <c r="F144" t="s">
        <v>774</v>
      </c>
      <c r="G144" t="s">
        <v>706</v>
      </c>
      <c r="H144" t="s">
        <v>430</v>
      </c>
      <c r="I144" t="s">
        <v>339</v>
      </c>
      <c r="J144" t="s">
        <v>339</v>
      </c>
      <c r="K144" t="s">
        <v>957</v>
      </c>
    </row>
    <row r="145" spans="1:11" x14ac:dyDescent="0.3">
      <c r="A145" t="s">
        <v>126</v>
      </c>
      <c r="B145" t="s">
        <v>603</v>
      </c>
      <c r="C145" t="s">
        <v>900</v>
      </c>
      <c r="D145" t="s">
        <v>215</v>
      </c>
      <c r="E145" t="s">
        <v>661</v>
      </c>
      <c r="F145" t="s">
        <v>771</v>
      </c>
      <c r="G145" t="s">
        <v>702</v>
      </c>
      <c r="H145" t="s">
        <v>422</v>
      </c>
      <c r="I145" t="s">
        <v>340</v>
      </c>
      <c r="J145" t="s">
        <v>340</v>
      </c>
      <c r="K145" t="e">
        <v>#N/A</v>
      </c>
    </row>
    <row r="146" spans="1:11" x14ac:dyDescent="0.3">
      <c r="A146" t="s">
        <v>127</v>
      </c>
      <c r="B146" t="s">
        <v>601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  <c r="H146" t="s">
        <v>588</v>
      </c>
      <c r="I146" t="s">
        <v>589</v>
      </c>
      <c r="J146" t="s">
        <v>239</v>
      </c>
      <c r="K146" t="e">
        <v>#N/A</v>
      </c>
    </row>
    <row r="147" spans="1:11" x14ac:dyDescent="0.3">
      <c r="A147" t="s">
        <v>128</v>
      </c>
      <c r="B147" t="s">
        <v>601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  <c r="H147" t="s">
        <v>428</v>
      </c>
      <c r="I147" t="s">
        <v>429</v>
      </c>
      <c r="J147" t="s">
        <v>341</v>
      </c>
      <c r="K147" t="e">
        <v>#N/A</v>
      </c>
    </row>
    <row r="148" spans="1:11" x14ac:dyDescent="0.3">
      <c r="A148" t="s">
        <v>129</v>
      </c>
      <c r="B148" t="s">
        <v>605</v>
      </c>
      <c r="C148" t="e">
        <v>#N/A</v>
      </c>
      <c r="D148" t="e">
        <v>#N/A</v>
      </c>
      <c r="E148" t="s">
        <v>633</v>
      </c>
      <c r="F148" t="s">
        <v>216</v>
      </c>
      <c r="G148" t="e">
        <v>#N/A</v>
      </c>
      <c r="H148" t="s">
        <v>488</v>
      </c>
      <c r="I148" t="s">
        <v>342</v>
      </c>
      <c r="J148" t="s">
        <v>342</v>
      </c>
      <c r="K148" t="e">
        <v>#N/A</v>
      </c>
    </row>
    <row r="149" spans="1:11" x14ac:dyDescent="0.3">
      <c r="A149" t="s">
        <v>130</v>
      </c>
      <c r="B149" t="s">
        <v>602</v>
      </c>
      <c r="C149" t="s">
        <v>901</v>
      </c>
      <c r="D149" t="s">
        <v>217</v>
      </c>
      <c r="E149" t="s">
        <v>624</v>
      </c>
      <c r="F149" t="s">
        <v>623</v>
      </c>
      <c r="G149" t="e">
        <v>#N/A</v>
      </c>
      <c r="H149" t="s">
        <v>537</v>
      </c>
      <c r="I149" t="s">
        <v>343</v>
      </c>
      <c r="J149" t="s">
        <v>343</v>
      </c>
      <c r="K149" t="e">
        <v>#N/A</v>
      </c>
    </row>
    <row r="150" spans="1:11" x14ac:dyDescent="0.3">
      <c r="A150" t="s">
        <v>131</v>
      </c>
      <c r="B150" t="s">
        <v>605</v>
      </c>
      <c r="C150" t="e">
        <v>#N/A</v>
      </c>
      <c r="D150" t="e">
        <v>#N/A</v>
      </c>
      <c r="E150" t="e">
        <v>#N/A</v>
      </c>
      <c r="F150" t="e">
        <v>#N/A</v>
      </c>
      <c r="G150" t="e">
        <v>#N/A</v>
      </c>
      <c r="H150" t="s">
        <v>480</v>
      </c>
      <c r="I150" t="s">
        <v>481</v>
      </c>
      <c r="J150" t="s">
        <v>344</v>
      </c>
      <c r="K150" t="e">
        <v>#N/A</v>
      </c>
    </row>
    <row r="151" spans="1:11" x14ac:dyDescent="0.3">
      <c r="A151" t="s">
        <v>132</v>
      </c>
      <c r="B151" t="s">
        <v>603</v>
      </c>
      <c r="C151" t="s">
        <v>902</v>
      </c>
      <c r="D151" t="s">
        <v>218</v>
      </c>
      <c r="E151" t="s">
        <v>659</v>
      </c>
      <c r="F151" t="s">
        <v>770</v>
      </c>
      <c r="G151" t="s">
        <v>701</v>
      </c>
      <c r="H151" t="s">
        <v>418</v>
      </c>
      <c r="I151" t="s">
        <v>345</v>
      </c>
      <c r="J151" t="s">
        <v>345</v>
      </c>
      <c r="K151" t="s">
        <v>929</v>
      </c>
    </row>
    <row r="152" spans="1:11" x14ac:dyDescent="0.3">
      <c r="A152" t="s">
        <v>133</v>
      </c>
      <c r="B152" t="s">
        <v>601</v>
      </c>
      <c r="C152" t="e">
        <v>#N/A</v>
      </c>
      <c r="D152" t="e">
        <v>#N/A</v>
      </c>
      <c r="E152" t="s">
        <v>639</v>
      </c>
      <c r="F152" t="s">
        <v>219</v>
      </c>
      <c r="G152" t="e">
        <v>#N/A</v>
      </c>
      <c r="H152" t="s">
        <v>477</v>
      </c>
      <c r="I152" t="s">
        <v>346</v>
      </c>
      <c r="J152" t="s">
        <v>346</v>
      </c>
      <c r="K152" t="e">
        <v>#N/A</v>
      </c>
    </row>
    <row r="153" spans="1:11" x14ac:dyDescent="0.3">
      <c r="A153" t="s">
        <v>134</v>
      </c>
      <c r="B153" t="s">
        <v>611</v>
      </c>
      <c r="C153" t="e">
        <v>#N/A</v>
      </c>
      <c r="D153" t="e">
        <v>#N/A</v>
      </c>
      <c r="E153" t="e">
        <v>#N/A</v>
      </c>
      <c r="F153" t="e">
        <v>#N/A</v>
      </c>
      <c r="G153" t="e">
        <v>#N/A</v>
      </c>
      <c r="H153" t="s">
        <v>485</v>
      </c>
      <c r="I153" t="s">
        <v>486</v>
      </c>
      <c r="J153" t="s">
        <v>487</v>
      </c>
      <c r="K153" t="e">
        <v>#N/A</v>
      </c>
    </row>
    <row r="154" spans="1:11" x14ac:dyDescent="0.3">
      <c r="A154" t="s">
        <v>135</v>
      </c>
      <c r="B154" t="s">
        <v>601</v>
      </c>
      <c r="C154" t="e">
        <v>#N/A</v>
      </c>
      <c r="D154" t="e">
        <v>#N/A</v>
      </c>
      <c r="E154" t="e">
        <v>#N/A</v>
      </c>
      <c r="F154" t="e">
        <v>#N/A</v>
      </c>
      <c r="G154" t="e">
        <v>#N/A</v>
      </c>
      <c r="H154" t="s">
        <v>482</v>
      </c>
      <c r="I154" t="s">
        <v>483</v>
      </c>
      <c r="J154" t="s">
        <v>347</v>
      </c>
      <c r="K154" t="e">
        <v>#N/A</v>
      </c>
    </row>
    <row r="155" spans="1:11" x14ac:dyDescent="0.3">
      <c r="A155" t="s">
        <v>136</v>
      </c>
      <c r="B155" t="s">
        <v>600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 t="s">
        <v>442</v>
      </c>
      <c r="I155" t="s">
        <v>372</v>
      </c>
      <c r="J155" t="s">
        <v>372</v>
      </c>
      <c r="K155" t="e">
        <v>#N/A</v>
      </c>
    </row>
    <row r="156" spans="1:11" x14ac:dyDescent="0.3">
      <c r="A156" t="s">
        <v>137</v>
      </c>
      <c r="B156" t="s">
        <v>603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 t="s">
        <v>424</v>
      </c>
      <c r="I156" t="s">
        <v>425</v>
      </c>
      <c r="J156" t="s">
        <v>348</v>
      </c>
      <c r="K156" t="e">
        <v>#N/A</v>
      </c>
    </row>
    <row r="157" spans="1:11" x14ac:dyDescent="0.3">
      <c r="A157" t="s">
        <v>138</v>
      </c>
      <c r="B157" t="s">
        <v>601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 t="s">
        <v>592</v>
      </c>
      <c r="I157" t="s">
        <v>593</v>
      </c>
      <c r="J157" t="s">
        <v>244</v>
      </c>
      <c r="K157" t="e">
        <v>#N/A</v>
      </c>
    </row>
    <row r="158" spans="1:11" x14ac:dyDescent="0.3">
      <c r="A158" t="s">
        <v>139</v>
      </c>
      <c r="B158" t="s">
        <v>603</v>
      </c>
      <c r="C158" t="s">
        <v>903</v>
      </c>
      <c r="D158" t="s">
        <v>220</v>
      </c>
      <c r="E158" t="s">
        <v>663</v>
      </c>
      <c r="F158" t="s">
        <v>773</v>
      </c>
      <c r="G158" t="s">
        <v>704</v>
      </c>
      <c r="H158" t="s">
        <v>423</v>
      </c>
      <c r="I158" t="s">
        <v>349</v>
      </c>
      <c r="J158" t="s">
        <v>349</v>
      </c>
      <c r="K158" t="s">
        <v>930</v>
      </c>
    </row>
    <row r="159" spans="1:11" x14ac:dyDescent="0.3">
      <c r="A159" t="s">
        <v>140</v>
      </c>
      <c r="B159" t="s">
        <v>601</v>
      </c>
      <c r="C159" t="e">
        <v>#N/A</v>
      </c>
      <c r="D159" t="e">
        <v>#N/A</v>
      </c>
      <c r="E159" t="e">
        <v>#N/A</v>
      </c>
      <c r="F159" t="e">
        <v>#N/A</v>
      </c>
      <c r="G159" t="e">
        <v>#N/A</v>
      </c>
      <c r="H159" t="s">
        <v>588</v>
      </c>
      <c r="I159" t="s">
        <v>589</v>
      </c>
      <c r="J159" t="s">
        <v>239</v>
      </c>
      <c r="K159" t="e">
        <v>#N/A</v>
      </c>
    </row>
    <row r="160" spans="1:11" x14ac:dyDescent="0.3">
      <c r="A160" t="s">
        <v>141</v>
      </c>
      <c r="B160" t="s">
        <v>601</v>
      </c>
      <c r="C160" t="e">
        <v>#N/A</v>
      </c>
      <c r="D160" t="e">
        <v>#N/A</v>
      </c>
      <c r="E160" t="e">
        <v>#N/A</v>
      </c>
      <c r="F160" t="e">
        <v>#N/A</v>
      </c>
      <c r="G160" t="e">
        <v>#N/A</v>
      </c>
      <c r="H160" t="s">
        <v>419</v>
      </c>
      <c r="I160" t="s">
        <v>420</v>
      </c>
      <c r="J160" t="s">
        <v>350</v>
      </c>
      <c r="K160" t="e">
        <v>#N/A</v>
      </c>
    </row>
    <row r="161" spans="1:11" x14ac:dyDescent="0.3">
      <c r="A161" t="s">
        <v>142</v>
      </c>
      <c r="B161" t="s">
        <v>603</v>
      </c>
      <c r="C161" t="e">
        <v>#N/A</v>
      </c>
      <c r="D161" t="e">
        <v>#N/A</v>
      </c>
      <c r="E161" t="e">
        <v>#N/A</v>
      </c>
      <c r="F161" t="e">
        <v>#N/A</v>
      </c>
      <c r="G161" t="e">
        <v>#N/A</v>
      </c>
      <c r="H161" t="s">
        <v>426</v>
      </c>
      <c r="I161" t="s">
        <v>351</v>
      </c>
      <c r="J161" t="s">
        <v>427</v>
      </c>
      <c r="K161" t="e">
        <v>#N/A</v>
      </c>
    </row>
    <row r="162" spans="1:11" x14ac:dyDescent="0.3">
      <c r="A162" t="s">
        <v>143</v>
      </c>
      <c r="B162" t="s">
        <v>602</v>
      </c>
      <c r="C162" t="s">
        <v>904</v>
      </c>
      <c r="D162" t="s">
        <v>221</v>
      </c>
      <c r="E162" t="s">
        <v>620</v>
      </c>
      <c r="F162" t="s">
        <v>619</v>
      </c>
      <c r="G162" t="e">
        <v>#N/A</v>
      </c>
      <c r="H162" t="s">
        <v>484</v>
      </c>
      <c r="I162" t="s">
        <v>352</v>
      </c>
      <c r="J162" t="s">
        <v>352</v>
      </c>
      <c r="K162" t="e">
        <v>#N/A</v>
      </c>
    </row>
    <row r="163" spans="1:11" x14ac:dyDescent="0.3">
      <c r="A163" t="s">
        <v>144</v>
      </c>
      <c r="B163" t="s">
        <v>603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  <c r="H163" t="s">
        <v>380</v>
      </c>
      <c r="I163" t="s">
        <v>381</v>
      </c>
      <c r="J163" t="s">
        <v>353</v>
      </c>
      <c r="K163" t="e">
        <v>#N/A</v>
      </c>
    </row>
    <row r="164" spans="1:11" x14ac:dyDescent="0.3">
      <c r="A164" t="s">
        <v>145</v>
      </c>
      <c r="B164" t="s">
        <v>600</v>
      </c>
      <c r="C164" t="e">
        <v>#N/A</v>
      </c>
      <c r="D164" t="e">
        <v>#N/A</v>
      </c>
      <c r="E164" t="s">
        <v>631</v>
      </c>
      <c r="F164" t="s">
        <v>222</v>
      </c>
      <c r="G164" t="s">
        <v>705</v>
      </c>
      <c r="H164" t="s">
        <v>462</v>
      </c>
      <c r="I164" t="s">
        <v>354</v>
      </c>
      <c r="J164" t="s">
        <v>354</v>
      </c>
      <c r="K164" t="e">
        <v>#N/A</v>
      </c>
    </row>
    <row r="165" spans="1:11" x14ac:dyDescent="0.3">
      <c r="A165" t="s">
        <v>146</v>
      </c>
      <c r="B165" t="s">
        <v>605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  <c r="H165" t="s">
        <v>478</v>
      </c>
      <c r="I165" t="s">
        <v>479</v>
      </c>
      <c r="J165" t="s">
        <v>355</v>
      </c>
      <c r="K165" t="e">
        <v>#N/A</v>
      </c>
    </row>
    <row r="166" spans="1:11" x14ac:dyDescent="0.3">
      <c r="A166" t="s">
        <v>147</v>
      </c>
      <c r="B166" t="s">
        <v>605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  <c r="H166" t="s">
        <v>566</v>
      </c>
      <c r="I166" t="s">
        <v>567</v>
      </c>
      <c r="J166" t="s">
        <v>356</v>
      </c>
      <c r="K166" t="e">
        <v>#N/A</v>
      </c>
    </row>
    <row r="167" spans="1:11" x14ac:dyDescent="0.3">
      <c r="A167" t="s">
        <v>148</v>
      </c>
      <c r="B167" t="s">
        <v>601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  <c r="H167" t="s">
        <v>577</v>
      </c>
      <c r="I167" t="s">
        <v>357</v>
      </c>
      <c r="J167" t="s">
        <v>357</v>
      </c>
      <c r="K167" t="e">
        <v>#N/A</v>
      </c>
    </row>
    <row r="168" spans="1:11" x14ac:dyDescent="0.3">
      <c r="A168" t="s">
        <v>149</v>
      </c>
      <c r="B168" t="s">
        <v>605</v>
      </c>
      <c r="C168" t="s">
        <v>859</v>
      </c>
      <c r="D168" t="s">
        <v>223</v>
      </c>
      <c r="E168" t="s">
        <v>617</v>
      </c>
      <c r="F168" t="s">
        <v>761</v>
      </c>
      <c r="G168" t="s">
        <v>751</v>
      </c>
      <c r="H168" t="s">
        <v>565</v>
      </c>
      <c r="I168" t="s">
        <v>358</v>
      </c>
      <c r="J168" t="s">
        <v>358</v>
      </c>
      <c r="K168" t="s">
        <v>953</v>
      </c>
    </row>
    <row r="169" spans="1:11" x14ac:dyDescent="0.3">
      <c r="A169" t="s">
        <v>574</v>
      </c>
      <c r="B169" t="s">
        <v>610</v>
      </c>
      <c r="C169" t="s">
        <v>905</v>
      </c>
      <c r="D169" t="s">
        <v>224</v>
      </c>
      <c r="E169" t="s">
        <v>691</v>
      </c>
      <c r="F169" t="s">
        <v>797</v>
      </c>
      <c r="G169" t="s">
        <v>993</v>
      </c>
      <c r="H169" t="s">
        <v>573</v>
      </c>
      <c r="I169" t="s">
        <v>359</v>
      </c>
      <c r="J169" t="s">
        <v>359</v>
      </c>
      <c r="K169" t="s">
        <v>954</v>
      </c>
    </row>
    <row r="170" spans="1:11" x14ac:dyDescent="0.3">
      <c r="A170" t="s">
        <v>150</v>
      </c>
      <c r="B170" t="s">
        <v>601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s">
        <v>592</v>
      </c>
      <c r="I170" t="s">
        <v>593</v>
      </c>
      <c r="J170" t="s">
        <v>244</v>
      </c>
      <c r="K170" t="e">
        <v>#N/A</v>
      </c>
    </row>
    <row r="171" spans="1:11" x14ac:dyDescent="0.3">
      <c r="A171" t="s">
        <v>151</v>
      </c>
      <c r="B171" t="s">
        <v>605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  <c r="H171" t="s">
        <v>571</v>
      </c>
      <c r="I171" t="s">
        <v>572</v>
      </c>
      <c r="J171" t="s">
        <v>360</v>
      </c>
      <c r="K171" t="e">
        <v>#N/A</v>
      </c>
    </row>
    <row r="172" spans="1:11" x14ac:dyDescent="0.3">
      <c r="A172" t="s">
        <v>152</v>
      </c>
      <c r="B172" t="s">
        <v>605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  <c r="H172" t="s">
        <v>568</v>
      </c>
      <c r="I172" t="s">
        <v>569</v>
      </c>
      <c r="J172" t="s">
        <v>361</v>
      </c>
      <c r="K172" t="e">
        <v>#N/A</v>
      </c>
    </row>
    <row r="173" spans="1:11" x14ac:dyDescent="0.3">
      <c r="A173" t="s">
        <v>153</v>
      </c>
      <c r="B173" t="s">
        <v>601</v>
      </c>
      <c r="C173" t="e">
        <v>#N/A</v>
      </c>
      <c r="D173" t="e">
        <v>#N/A</v>
      </c>
      <c r="E173" t="s">
        <v>642</v>
      </c>
      <c r="F173" t="s">
        <v>225</v>
      </c>
      <c r="G173" t="s">
        <v>752</v>
      </c>
      <c r="H173" t="s">
        <v>570</v>
      </c>
      <c r="I173" t="s">
        <v>362</v>
      </c>
      <c r="J173" t="s">
        <v>362</v>
      </c>
      <c r="K173" t="e">
        <v>#N/A</v>
      </c>
    </row>
    <row r="174" spans="1:11" x14ac:dyDescent="0.3">
      <c r="A174" t="s">
        <v>154</v>
      </c>
      <c r="B174" t="s">
        <v>603</v>
      </c>
      <c r="C174" t="e">
        <v>#N/A</v>
      </c>
      <c r="D174" t="e">
        <v>#N/A</v>
      </c>
      <c r="E174" t="e">
        <v>#N/A</v>
      </c>
      <c r="F174" t="s">
        <v>226</v>
      </c>
      <c r="G174" t="e">
        <v>#N/A</v>
      </c>
      <c r="H174" t="s">
        <v>575</v>
      </c>
      <c r="I174" t="s">
        <v>363</v>
      </c>
      <c r="J174" t="s">
        <v>363</v>
      </c>
      <c r="K174" t="e">
        <v>#N/A</v>
      </c>
    </row>
    <row r="175" spans="1:11" x14ac:dyDescent="0.3">
      <c r="A175" t="s">
        <v>155</v>
      </c>
      <c r="B175" t="s">
        <v>603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  <c r="H175" t="s">
        <v>526</v>
      </c>
      <c r="I175" t="s">
        <v>364</v>
      </c>
      <c r="J175" t="s">
        <v>527</v>
      </c>
      <c r="K175" t="e">
        <v>#N/A</v>
      </c>
    </row>
    <row r="176" spans="1:11" x14ac:dyDescent="0.3">
      <c r="A176" t="s">
        <v>156</v>
      </c>
      <c r="B176" t="s">
        <v>603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  <c r="H176" t="s">
        <v>535</v>
      </c>
      <c r="I176" t="s">
        <v>536</v>
      </c>
      <c r="J176" t="s">
        <v>365</v>
      </c>
      <c r="K176" t="e">
        <v>#N/A</v>
      </c>
    </row>
    <row r="177" spans="1:11" x14ac:dyDescent="0.3">
      <c r="A177" t="s">
        <v>157</v>
      </c>
      <c r="B177" t="s">
        <v>605</v>
      </c>
      <c r="C177" t="s">
        <v>906</v>
      </c>
      <c r="D177" t="s">
        <v>227</v>
      </c>
      <c r="E177" t="s">
        <v>683</v>
      </c>
      <c r="F177" t="s">
        <v>682</v>
      </c>
      <c r="G177" t="s">
        <v>734</v>
      </c>
      <c r="H177" t="s">
        <v>533</v>
      </c>
      <c r="I177" t="s">
        <v>366</v>
      </c>
      <c r="J177" t="s">
        <v>366</v>
      </c>
      <c r="K177" t="e">
        <v>#N/A</v>
      </c>
    </row>
    <row r="178" spans="1:11" x14ac:dyDescent="0.3">
      <c r="A178" t="s">
        <v>158</v>
      </c>
      <c r="B178" t="s">
        <v>605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  <c r="H178" t="s">
        <v>529</v>
      </c>
      <c r="I178" t="s">
        <v>530</v>
      </c>
      <c r="J178" t="s">
        <v>531</v>
      </c>
      <c r="K178" t="e">
        <v>#N/A</v>
      </c>
    </row>
    <row r="179" spans="1:11" x14ac:dyDescent="0.3">
      <c r="A179" t="s">
        <v>113</v>
      </c>
      <c r="B179" t="s">
        <v>602</v>
      </c>
      <c r="C179" t="e">
        <v>#N/A</v>
      </c>
      <c r="D179" t="e">
        <v>#N/A</v>
      </c>
      <c r="E179" t="s">
        <v>646</v>
      </c>
      <c r="F179" t="s">
        <v>762</v>
      </c>
      <c r="G179" t="s">
        <v>720</v>
      </c>
      <c r="H179" t="s">
        <v>467</v>
      </c>
      <c r="I179" t="s">
        <v>331</v>
      </c>
      <c r="J179" t="s">
        <v>331</v>
      </c>
      <c r="K179" t="e">
        <v>#N/A</v>
      </c>
    </row>
    <row r="180" spans="1:11" x14ac:dyDescent="0.3">
      <c r="A180" t="s">
        <v>159</v>
      </c>
      <c r="B180" t="s">
        <v>603</v>
      </c>
      <c r="C180" t="s">
        <v>907</v>
      </c>
      <c r="D180" t="s">
        <v>228</v>
      </c>
      <c r="E180" t="s">
        <v>684</v>
      </c>
      <c r="F180" t="s">
        <v>790</v>
      </c>
      <c r="G180" t="s">
        <v>735</v>
      </c>
      <c r="H180" t="s">
        <v>528</v>
      </c>
      <c r="I180" t="s">
        <v>367</v>
      </c>
      <c r="J180" t="s">
        <v>367</v>
      </c>
      <c r="K180" t="e">
        <v>#N/A</v>
      </c>
    </row>
    <row r="181" spans="1:11" x14ac:dyDescent="0.3">
      <c r="A181" t="s">
        <v>160</v>
      </c>
      <c r="B181" t="s">
        <v>600</v>
      </c>
      <c r="C181" t="s">
        <v>908</v>
      </c>
      <c r="D181" t="s">
        <v>229</v>
      </c>
      <c r="E181" t="s">
        <v>686</v>
      </c>
      <c r="F181" t="s">
        <v>792</v>
      </c>
      <c r="G181" t="s">
        <v>738</v>
      </c>
      <c r="H181" t="s">
        <v>442</v>
      </c>
      <c r="I181" t="s">
        <v>372</v>
      </c>
      <c r="J181" t="s">
        <v>372</v>
      </c>
      <c r="K181" t="s">
        <v>949</v>
      </c>
    </row>
    <row r="182" spans="1:11" x14ac:dyDescent="0.3">
      <c r="A182" t="s">
        <v>161</v>
      </c>
      <c r="B182" t="s">
        <v>600</v>
      </c>
      <c r="C182" t="s">
        <v>909</v>
      </c>
      <c r="D182" t="s">
        <v>230</v>
      </c>
      <c r="E182" t="s">
        <v>685</v>
      </c>
      <c r="F182" t="s">
        <v>791</v>
      </c>
      <c r="G182" t="s">
        <v>737</v>
      </c>
      <c r="H182" t="s">
        <v>534</v>
      </c>
      <c r="I182" t="s">
        <v>368</v>
      </c>
      <c r="J182" t="s">
        <v>368</v>
      </c>
      <c r="K182" t="s">
        <v>955</v>
      </c>
    </row>
    <row r="183" spans="1:11" x14ac:dyDescent="0.3">
      <c r="A183" t="s">
        <v>162</v>
      </c>
      <c r="B183" t="s">
        <v>600</v>
      </c>
      <c r="C183" t="s">
        <v>914</v>
      </c>
      <c r="D183" t="s">
        <v>231</v>
      </c>
      <c r="E183" t="s">
        <v>667</v>
      </c>
      <c r="F183" t="s">
        <v>777</v>
      </c>
      <c r="G183" t="s">
        <v>711</v>
      </c>
      <c r="H183" t="s">
        <v>442</v>
      </c>
      <c r="I183" t="s">
        <v>372</v>
      </c>
      <c r="J183" t="s">
        <v>372</v>
      </c>
      <c r="K183" t="s">
        <v>947</v>
      </c>
    </row>
    <row r="184" spans="1:11" x14ac:dyDescent="0.3">
      <c r="A184" t="s">
        <v>163</v>
      </c>
      <c r="B184" t="s">
        <v>605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  <c r="H184" t="s">
        <v>443</v>
      </c>
      <c r="I184" t="s">
        <v>444</v>
      </c>
      <c r="J184" t="s">
        <v>598</v>
      </c>
      <c r="K184" t="e">
        <v>#N/A</v>
      </c>
    </row>
    <row r="185" spans="1:11" x14ac:dyDescent="0.3">
      <c r="A185" t="s">
        <v>164</v>
      </c>
      <c r="B185" t="s">
        <v>600</v>
      </c>
      <c r="C185" t="s">
        <v>910</v>
      </c>
      <c r="D185" t="s">
        <v>232</v>
      </c>
      <c r="E185" t="s">
        <v>666</v>
      </c>
      <c r="F185" t="s">
        <v>776</v>
      </c>
      <c r="G185" t="s">
        <v>710</v>
      </c>
      <c r="H185" t="s">
        <v>442</v>
      </c>
      <c r="I185" t="s">
        <v>372</v>
      </c>
      <c r="J185" t="s">
        <v>372</v>
      </c>
      <c r="K185" t="e">
        <v>#N/A</v>
      </c>
    </row>
    <row r="186" spans="1:11" x14ac:dyDescent="0.3">
      <c r="A186" t="s">
        <v>165</v>
      </c>
      <c r="B186" t="s">
        <v>605</v>
      </c>
      <c r="C186" t="s">
        <v>854</v>
      </c>
      <c r="D186" t="s">
        <v>233</v>
      </c>
      <c r="E186" t="s">
        <v>652</v>
      </c>
      <c r="F186" t="s">
        <v>765</v>
      </c>
      <c r="G186" t="s">
        <v>736</v>
      </c>
      <c r="H186" t="s">
        <v>532</v>
      </c>
      <c r="I186" t="s">
        <v>369</v>
      </c>
      <c r="J186" t="s">
        <v>369</v>
      </c>
      <c r="K186" t="s">
        <v>936</v>
      </c>
    </row>
    <row r="187" spans="1:11" x14ac:dyDescent="0.3">
      <c r="A187" t="s">
        <v>816</v>
      </c>
      <c r="B187" t="s">
        <v>605</v>
      </c>
      <c r="C187" t="s">
        <v>874</v>
      </c>
      <c r="D187" s="4" t="s">
        <v>818</v>
      </c>
      <c r="E187" t="s">
        <v>678</v>
      </c>
      <c r="F187" t="s">
        <v>786</v>
      </c>
      <c r="G187" t="s">
        <v>746</v>
      </c>
      <c r="H187" t="s">
        <v>813</v>
      </c>
      <c r="I187" t="s">
        <v>814</v>
      </c>
      <c r="J187" t="s">
        <v>920</v>
      </c>
      <c r="K187" t="e">
        <v>#N/A</v>
      </c>
    </row>
    <row r="188" spans="1:11" x14ac:dyDescent="0.3">
      <c r="A188" t="s">
        <v>815</v>
      </c>
      <c r="B188" t="s">
        <v>605</v>
      </c>
      <c r="C188" t="s">
        <v>875</v>
      </c>
      <c r="D188" s="4" t="s">
        <v>817</v>
      </c>
      <c r="E188" t="s">
        <v>678</v>
      </c>
      <c r="F188" t="s">
        <v>786</v>
      </c>
      <c r="G188" t="s">
        <v>746</v>
      </c>
      <c r="H188" t="s">
        <v>813</v>
      </c>
      <c r="I188" t="s">
        <v>814</v>
      </c>
      <c r="J188" t="s">
        <v>920</v>
      </c>
      <c r="K188" t="e">
        <v>#N/A</v>
      </c>
    </row>
    <row r="189" spans="1:11" x14ac:dyDescent="0.3">
      <c r="A189" t="s">
        <v>166</v>
      </c>
      <c r="B189" t="s">
        <v>600</v>
      </c>
      <c r="C189" t="s">
        <v>911</v>
      </c>
      <c r="D189" t="s">
        <v>234</v>
      </c>
      <c r="E189" t="s">
        <v>671</v>
      </c>
      <c r="F189" t="s">
        <v>781</v>
      </c>
      <c r="G189" t="s">
        <v>715</v>
      </c>
      <c r="H189" t="s">
        <v>465</v>
      </c>
      <c r="I189" t="s">
        <v>370</v>
      </c>
      <c r="J189" t="s">
        <v>370</v>
      </c>
      <c r="K189" t="s">
        <v>956</v>
      </c>
    </row>
    <row r="190" spans="1:11" x14ac:dyDescent="0.3">
      <c r="A190" t="s">
        <v>167</v>
      </c>
      <c r="B190" t="s">
        <v>605</v>
      </c>
      <c r="C190" t="s">
        <v>912</v>
      </c>
      <c r="D190" t="s">
        <v>235</v>
      </c>
      <c r="E190" t="s">
        <v>655</v>
      </c>
      <c r="F190" t="s">
        <v>766</v>
      </c>
      <c r="G190" t="s">
        <v>696</v>
      </c>
      <c r="H190" t="s">
        <v>384</v>
      </c>
      <c r="I190" t="s">
        <v>385</v>
      </c>
      <c r="J190" t="s">
        <v>385</v>
      </c>
      <c r="K190" t="s">
        <v>932</v>
      </c>
    </row>
    <row r="191" spans="1:11" x14ac:dyDescent="0.3">
      <c r="A191" t="s">
        <v>821</v>
      </c>
      <c r="B191" t="s">
        <v>605</v>
      </c>
      <c r="C191" t="s">
        <v>849</v>
      </c>
      <c r="D191" t="s">
        <v>236</v>
      </c>
      <c r="E191" t="s">
        <v>670</v>
      </c>
      <c r="F191" t="s">
        <v>780</v>
      </c>
      <c r="G191" t="s">
        <v>714</v>
      </c>
      <c r="H191" t="s">
        <v>460</v>
      </c>
      <c r="I191" t="s">
        <v>371</v>
      </c>
      <c r="J191" t="s">
        <v>371</v>
      </c>
      <c r="K191" t="s">
        <v>962</v>
      </c>
    </row>
    <row r="192" spans="1:11" x14ac:dyDescent="0.3">
      <c r="A192" t="s">
        <v>822</v>
      </c>
      <c r="B192" t="s">
        <v>605</v>
      </c>
      <c r="C192" t="s">
        <v>848</v>
      </c>
      <c r="D192" t="s">
        <v>806</v>
      </c>
      <c r="E192" t="s">
        <v>670</v>
      </c>
      <c r="F192" t="s">
        <v>780</v>
      </c>
      <c r="G192" t="s">
        <v>714</v>
      </c>
      <c r="H192" t="s">
        <v>460</v>
      </c>
      <c r="I192" t="s">
        <v>371</v>
      </c>
      <c r="J192" t="s">
        <v>371</v>
      </c>
      <c r="K192" t="s">
        <v>962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8B8E6-68B1-409A-B3F7-82C917D924F8}">
  <sheetPr codeName="Sheet3"/>
  <dimension ref="A1:Q60"/>
  <sheetViews>
    <sheetView showGridLines="0" showRowColHeaders="0" tabSelected="1" workbookViewId="0">
      <selection activeCell="Q60" sqref="Q60"/>
    </sheetView>
  </sheetViews>
  <sheetFormatPr defaultColWidth="0" defaultRowHeight="16.5" zeroHeight="1" x14ac:dyDescent="0.3"/>
  <cols>
    <col min="1" max="1" width="1.75" customWidth="1"/>
    <col min="2" max="2" width="17.375" customWidth="1"/>
    <col min="3" max="3" width="4.125" hidden="1" customWidth="1"/>
    <col min="4" max="5" width="5.875" hidden="1" customWidth="1"/>
    <col min="6" max="6" width="12.125" bestFit="1" customWidth="1"/>
    <col min="7" max="7" width="10.875" hidden="1" customWidth="1"/>
    <col min="8" max="8" width="12.375" customWidth="1"/>
    <col min="9" max="9" width="12.5" customWidth="1"/>
    <col min="10" max="10" width="0" hidden="1" customWidth="1"/>
    <col min="11" max="11" width="12.375" customWidth="1"/>
    <col min="12" max="12" width="11" hidden="1" customWidth="1"/>
    <col min="13" max="13" width="12.5" customWidth="1"/>
    <col min="14" max="14" width="12.75" hidden="1" customWidth="1"/>
    <col min="15" max="15" width="12.375" customWidth="1"/>
    <col min="16" max="16" width="12.5" customWidth="1"/>
    <col min="17" max="17" width="3.25" customWidth="1"/>
    <col min="18" max="16384" width="9" hidden="1"/>
  </cols>
  <sheetData>
    <row r="1" spans="2:16" ht="9" customHeight="1" x14ac:dyDescent="0.3"/>
    <row r="2" spans="2:16" ht="33.75" x14ac:dyDescent="0.3">
      <c r="B2" s="58" t="s">
        <v>808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</row>
    <row r="3" spans="2:16" ht="9.75" customHeight="1" thickBot="1" x14ac:dyDescent="0.35"/>
    <row r="4" spans="2:16" ht="17.25" thickBot="1" x14ac:dyDescent="0.35">
      <c r="B4" s="6">
        <f ca="1">TODAY()-1</f>
        <v>45244</v>
      </c>
      <c r="M4" s="4"/>
    </row>
    <row r="5" spans="2:16" ht="17.25" thickBot="1" x14ac:dyDescent="0.25">
      <c r="B5" s="54" t="s">
        <v>1011</v>
      </c>
    </row>
    <row r="6" spans="2:16" ht="27.75" customHeight="1" thickBot="1" x14ac:dyDescent="0.35">
      <c r="B6" s="49"/>
      <c r="C6" s="50"/>
      <c r="D6" s="50"/>
      <c r="E6" s="50"/>
      <c r="F6" s="50"/>
      <c r="G6" s="50"/>
      <c r="H6" s="60" t="s">
        <v>915</v>
      </c>
      <c r="I6" s="62"/>
      <c r="J6" s="50"/>
      <c r="K6" s="60" t="s">
        <v>1009</v>
      </c>
      <c r="L6" s="61"/>
      <c r="M6" s="62"/>
      <c r="N6" s="50"/>
      <c r="O6" s="60" t="s">
        <v>1010</v>
      </c>
      <c r="P6" s="62"/>
    </row>
    <row r="7" spans="2:16" ht="17.25" thickBot="1" x14ac:dyDescent="0.35">
      <c r="B7" s="19" t="s">
        <v>805</v>
      </c>
      <c r="C7" s="43"/>
      <c r="D7" s="43"/>
      <c r="E7" s="43"/>
      <c r="F7" s="19" t="s">
        <v>804</v>
      </c>
      <c r="G7" s="44">
        <v>2</v>
      </c>
      <c r="H7" s="45"/>
      <c r="I7" s="46" t="str" cm="1">
        <f t="array" ref="I7">INDEX(code!$N$2:$N$3, code!$N$1)</f>
        <v>전일대비</v>
      </c>
      <c r="J7" s="44"/>
      <c r="K7" s="47">
        <v>1</v>
      </c>
      <c r="L7" s="44"/>
      <c r="M7" s="48" t="s">
        <v>1008</v>
      </c>
      <c r="N7" s="43"/>
      <c r="O7" s="44" t="str" cm="1">
        <f t="array" ref="O7">INDEX(code!$P$2:$P$22, code!$P$1)</f>
        <v>10Y</v>
      </c>
      <c r="P7" s="48" t="s">
        <v>992</v>
      </c>
    </row>
    <row r="8" spans="2:16" s="7" customFormat="1" ht="13.5" x14ac:dyDescent="0.3">
      <c r="B8" s="32" t="s">
        <v>66</v>
      </c>
      <c r="C8" s="33">
        <f>MATCH($B8, code!$A:$A, 0)</f>
        <v>72</v>
      </c>
      <c r="D8" s="34" t="b">
        <f>ISNUMBER( FIND("한국", $B8))</f>
        <v>0</v>
      </c>
      <c r="E8" s="34" t="b">
        <f>OR( ISNUMBER( FIND("한국", $B8)), ISNUMBER( FIND("미국", $B8)) )</f>
        <v>0</v>
      </c>
      <c r="F8" s="51" t="str" cm="1">
        <f t="array" ref="F8">IFERROR( INDEX(code!$B:$B, $C8), "")</f>
        <v>아메리카</v>
      </c>
      <c r="G8" s="35" t="str" cm="1">
        <f t="array" ref="G8">IFERROR( INDEX(code!$D:$G, $C8, $G$7), "")</f>
        <v>MSI:907600L</v>
      </c>
      <c r="H8" s="36" cm="1">
        <f t="array" aca="1" ref="H8" ca="1">IF( $G8="",
"",
_xll.IMDP( IF($D8*$G$7=1,"IDX","FRN"), $G8, "현재가", $B$4 ) )</f>
        <v>313209.93400000001</v>
      </c>
      <c r="I8" s="37" cm="1">
        <f t="array" aca="1" ref="I8" ca="1">IF( $G8="",
"",
_xll.IMDP( IF($D8*$G$7=1,"IDX","FRN"), $G8, $I$7, $B$4 ) )</f>
        <v>6445.9440000000004</v>
      </c>
      <c r="J8" s="38" t="str" cm="1">
        <f t="array" ref="J8">IFERROR( CHOOSE($K$7,
INDEX(code!$J:$J, $C8),
IF($E8, INDEX(code!$J:$J, $C8), INDEX(code!$H:$H, $C8)&amp;"KRW") ), "")</f>
        <v>USDBRL</v>
      </c>
      <c r="K8" s="39" cm="1">
        <f t="array" aca="1" ref="K8" ca="1">IF( $J8="",
"",
_xll.IMDP( "FX", $J8, IF($D8, "현재가", "NY_BID_Close"), $B$4 ) )</f>
        <v>4.8639000000000001</v>
      </c>
      <c r="L8" s="40" cm="1">
        <f t="array" aca="1" ref="L8" ca="1">IF( $J8="",
"",
      IF($B$4=TODAY(),
      _xll.IMDP( "FX", $J8, IF($D8, "전일종가", "전일BID")),
      IF($D8, _xll.IMDP("FX", $J8, "현재가", WORKDAY($B$4, -1)), _xll.IMDP("FX", $J8, "NY_BID_Chg", $B$4) ) )
)</f>
        <v>-4.6100000000000002E-2</v>
      </c>
      <c r="M8" s="41">
        <f ca="1">IF( $J8="",
"",
    IF($B$4=TODAY(),
    $K8-$L8,
    IF($D8, $K8-$L8, $L8 )
    )
)</f>
        <v>-4.6100000000000002E-2</v>
      </c>
      <c r="N8" s="42" t="str" cm="1">
        <f t="array" ref="N8">IFERROR( IF( $D8, VLOOKUP(table!$O$7, code!$Q$2:$S$9, 3, 0), INDEX(code!$K:$K, $C8)&amp;$O$7 ), "")</f>
        <v>BR10Y</v>
      </c>
      <c r="O8" s="55" cm="1">
        <f t="array" aca="1" ref="O8" ca="1">IF( $N8="", "", IF( $D8, IF($O$7="01Y", _xll.IMDP("IR", $N8, "수익률", $B$4), _xll.IMDP("BND", $N8, "장내국채-현재수익률", $B$4)), _xll.IMDP("IR", $N8, "BID_Close", $B$4) ) )</f>
        <v>10.894</v>
      </c>
      <c r="P8" s="37" cm="1">
        <f t="array" aca="1" ref="P8" ca="1">IF( $O8="",
"",
IF( $D8,
    IF($O$7="01Y",
    _xll.IMDP("IR", $N8, "전일대비", $B$4)*100,
    IF($B$4=TODAY(), _xll.IMDP("BND", $N8, "장내국채-수익률전일대비"), _xll.IMDP("BND", $N8, "장내국채-민평수익률대비", $B$4)*100) ),
_xll.IMDP("IR", $N8, "BID_Chg", $B$4)*100 )
)</f>
        <v>-8.4</v>
      </c>
    </row>
    <row r="9" spans="2:16" s="7" customFormat="1" ht="13.5" x14ac:dyDescent="0.3">
      <c r="B9" s="12" t="s">
        <v>132</v>
      </c>
      <c r="C9" s="11">
        <f>MATCH($B9, code!$A:$A, 0)</f>
        <v>151</v>
      </c>
      <c r="D9" s="9" t="b">
        <f t="shared" ref="D9:D57" si="0">ISNUMBER( FIND("한국", $B9))</f>
        <v>0</v>
      </c>
      <c r="E9" s="9" t="b">
        <f t="shared" ref="E9:E57" si="1">OR( ISNUMBER( FIND("한국", $B9)), ISNUMBER( FIND("미국", $B9)) )</f>
        <v>0</v>
      </c>
      <c r="F9" s="52" t="str" cm="1">
        <f t="array" ref="F9">IFERROR( INDEX(code!$B:$B, $C9), "")</f>
        <v>아메리카</v>
      </c>
      <c r="G9" s="20" t="str" cm="1">
        <f t="array" ref="G9">IFERROR( INDEX(code!$D:$G, $C9, $G$7), "")</f>
        <v>MSI:912400L</v>
      </c>
      <c r="H9" s="24" cm="1">
        <f t="array" aca="1" ref="H9" ca="1">IF( $G9="",
"",
_xll.IMDP( IF($D9*$G$7=1,"IDX","FRN"), $G9, "현재가", $B$4 ) )</f>
        <v>2547.029</v>
      </c>
      <c r="I9" s="14" cm="1">
        <f t="array" aca="1" ref="I9" ca="1">IF( $G9="",
"",
_xll.IMDP( IF($D9*$G$7=1,"IDX","FRN"), $G9, $I$7, $B$4 ) )</f>
        <v>35.753999999999998</v>
      </c>
      <c r="J9" s="26" t="str" cm="1">
        <f t="array" ref="J9">IFERROR( CHOOSE($K$7,
INDEX(code!$J:$J, $C9),
IF($E9, INDEX(code!$J:$J, $C9), INDEX(code!$H:$H, $C9)&amp;"KRW") ), "")</f>
        <v>USDCAD</v>
      </c>
      <c r="K9" s="28" cm="1">
        <f t="array" aca="1" ref="K9" ca="1">IF( $J9="",
"",
_xll.IMDP( "FX", $J9, IF($D9, "현재가", "NY_BID_Close"), $B$4 ) )</f>
        <v>1.3691</v>
      </c>
      <c r="L9" s="10" cm="1">
        <f t="array" aca="1" ref="L9" ca="1">IF( $J9="",
"",
      IF($B$4=TODAY(),
      _xll.IMDP( "FX", $J9, IF($D9, "전일종가", "전일BID")),
      IF($D9, _xll.IMDP("FX", $J9, "현재가", WORKDAY($B$4, -1)), _xll.IMDP("FX", $J9, "NY_BID_Chg", $B$4) ) )
)</f>
        <v>-1.0999999999999999E-2</v>
      </c>
      <c r="M9" s="29">
        <f t="shared" ref="M9:M57" ca="1" si="2">IF( $J9="",
"",
    IF($B$4=TODAY(),
    $K9-$L9,
    IF($D9, $K9-$L9, $L9 )
    )
)</f>
        <v>-1.0999999999999999E-2</v>
      </c>
      <c r="N9" s="22" t="str" cm="1">
        <f t="array" ref="N9">IFERROR( IF( $D9, VLOOKUP(table!$O$7, code!$Q$2:$S$9, 3, 0), INDEX(code!$K:$K, $C9)&amp;$O$7 ), "")</f>
        <v>CA10Y</v>
      </c>
      <c r="O9" s="56" cm="1">
        <f t="array" aca="1" ref="O9" ca="1">IF( $N9="", "", IF( $D9, IF($O$7="01Y", _xll.IMDP("IR", $N9, "수익률", $B$4), _xll.IMDP("BND", $N9, "장내국채-현재수익률", $B$4)), _xll.IMDP("IR", $N9, "BID_Close", $B$4) ) )</f>
        <v>3.6724999999999999</v>
      </c>
      <c r="P9" s="14" cm="1">
        <f t="array" aca="1" ref="P9" ca="1">IF( $O9="",
"",
IF( $D9,
    IF($O$7="01Y",
    _xll.IMDP("IR", $N9, "전일대비", $B$4)*100,
    IF($B$4=TODAY(), _xll.IMDP("BND", $N9, "장내국채-수익률전일대비"), _xll.IMDP("BND", $N9, "장내국채-민평수익률대비", $B$4)*100) ),
_xll.IMDP("IR", $N9, "BID_Chg", $B$4)*100 )
)</f>
        <v>-16.150000000000002</v>
      </c>
    </row>
    <row r="10" spans="2:16" s="7" customFormat="1" ht="13.5" x14ac:dyDescent="0.3">
      <c r="B10" s="12" t="s">
        <v>840</v>
      </c>
      <c r="C10" s="11">
        <f>MATCH($B10, code!$A:$A, 0)</f>
        <v>48</v>
      </c>
      <c r="D10" s="9" t="b">
        <f t="shared" si="0"/>
        <v>0</v>
      </c>
      <c r="E10" s="9" t="b">
        <f t="shared" si="1"/>
        <v>1</v>
      </c>
      <c r="F10" s="52" t="str" cm="1">
        <f t="array" ref="F10">IFERROR( INDEX(code!$B:$B, $C10), "")</f>
        <v>아메리카</v>
      </c>
      <c r="G10" s="20" t="str" cm="1">
        <f t="array" ref="G10">IFERROR( INDEX(code!$D:$G, $C10, $G$7), "")</f>
        <v>MSI:984000L</v>
      </c>
      <c r="H10" s="24" cm="1">
        <f t="array" aca="1" ref="H10" ca="1">IF( $G10="",
"",
_xll.IMDP( IF($D10*$G$7=1,"IDX","FRN"), $G10, "현재가", $B$4 ) )</f>
        <v>4278.7790000000005</v>
      </c>
      <c r="I10" s="14" cm="1">
        <f t="array" aca="1" ref="I10" ca="1">IF( $G10="",
"",
_xll.IMDP( IF($D10*$G$7=1,"IDX","FRN"), $G10, $I$7, $B$4 ) )</f>
        <v>83.3</v>
      </c>
      <c r="J10" s="26" t="str" cm="1">
        <f t="array" ref="J10">IFERROR( CHOOSE($K$7,
INDEX(code!$J:$J, $C10),
IF($E10, INDEX(code!$J:$J, $C10), INDEX(code!$H:$H, $C10)&amp;"KRW") ), "")</f>
        <v>DOLLAR</v>
      </c>
      <c r="K10" s="28" cm="1">
        <f t="array" aca="1" ref="K10" ca="1">IF( $J10="",
"",
_xll.IMDP( "FX", $J10, IF($D10, "현재가", "NY_BID_Close"), $B$4 ) )</f>
        <v>104.029</v>
      </c>
      <c r="L10" s="10" cm="1">
        <f t="array" aca="1" ref="L10" ca="1">IF( $J10="",
"",
      IF($B$4=TODAY(),
      _xll.IMDP( "FX", $J10, IF($D10, "전일종가", "전일BID")),
      IF($D10, _xll.IMDP("FX", $J10, "현재가", WORKDAY($B$4, -1)), _xll.IMDP("FX", $J10, "NY_BID_Chg", $B$4) ) )
)</f>
        <v>-1.6240000000000001</v>
      </c>
      <c r="M10" s="29">
        <f t="shared" ca="1" si="2"/>
        <v>-1.6240000000000001</v>
      </c>
      <c r="N10" s="22" t="str" cm="1">
        <f t="array" ref="N10">IFERROR( IF( $D10, VLOOKUP(table!$O$7, code!$Q$2:$S$9, 3, 0), INDEX(code!$K:$K, $C10)&amp;$O$7 ), "")</f>
        <v>US10Y</v>
      </c>
      <c r="O10" s="56" cm="1">
        <f t="array" aca="1" ref="O10" ca="1">IF( $N10="", "", IF( $D10, IF($O$7="01Y", _xll.IMDP("IR", $N10, "수익률", $B$4), _xll.IMDP("BND", $N10, "장내국채-현재수익률", $B$4)), _xll.IMDP("IR", $N10, "BID_Close", $B$4) ) )</f>
        <v>4.4452999999999996</v>
      </c>
      <c r="P10" s="14" cm="1">
        <f t="array" aca="1" ref="P10" ca="1">IF( $O10="",
"",
IF( $D10,
    IF($O$7="01Y",
    _xll.IMDP("IR", $N10, "전일대비", $B$4)*100,
    IF($B$4=TODAY(), _xll.IMDP("BND", $N10, "장내국채-수익률전일대비"), _xll.IMDP("BND", $N10, "장내국채-민평수익률대비", $B$4)*100) ),
_xll.IMDP("IR", $N10, "BID_Chg", $B$4)*100 )
)</f>
        <v>-19.059999999999999</v>
      </c>
    </row>
    <row r="11" spans="2:16" s="7" customFormat="1" ht="13.5" x14ac:dyDescent="0.3">
      <c r="B11" s="12" t="s">
        <v>38</v>
      </c>
      <c r="C11" s="11">
        <f>MATCH($B11, code!$A:$A, 0)</f>
        <v>39</v>
      </c>
      <c r="D11" s="9" t="b">
        <f t="shared" si="0"/>
        <v>0</v>
      </c>
      <c r="E11" s="9" t="b">
        <f t="shared" si="1"/>
        <v>0</v>
      </c>
      <c r="F11" s="52" t="str" cm="1">
        <f t="array" ref="F11">IFERROR( INDEX(code!$B:$B, $C11), "")</f>
        <v>아메리카</v>
      </c>
      <c r="G11" s="20" t="str" cm="1">
        <f t="array" ref="G11">IFERROR( INDEX(code!$D:$G, $C11, $G$7), "")</f>
        <v>MSI:848400L</v>
      </c>
      <c r="H11" s="24" cm="1">
        <f t="array" aca="1" ref="H11" ca="1">IF( $G11="",
"",
_xll.IMDP( IF($D11*$G$7=1,"IDX","FRN"), $G11, "현재가", $B$4 ) )</f>
        <v>48848.470999999998</v>
      </c>
      <c r="I11" s="14" cm="1">
        <f t="array" aca="1" ref="I11" ca="1">IF( $G11="",
"",
_xll.IMDP( IF($D11*$G$7=1,"IDX","FRN"), $G11, $I$7, $B$4 ) )</f>
        <v>1387.1110000000001</v>
      </c>
      <c r="J11" s="26" t="str" cm="1">
        <f t="array" ref="J11">IFERROR( CHOOSE($K$7,
INDEX(code!$J:$J, $C11),
IF($E11, INDEX(code!$J:$J, $C11), INDEX(code!$H:$H, $C11)&amp;"KRW") ), "")</f>
        <v>USDMXN</v>
      </c>
      <c r="K11" s="28" cm="1">
        <f t="array" aca="1" ref="K11" ca="1">IF( $J11="",
"",
_xll.IMDP( "FX", $J11, IF($D11, "현재가", "NY_BID_Close"), $B$4 ) )</f>
        <v>17.349499999999999</v>
      </c>
      <c r="L11" s="10" cm="1">
        <f t="array" aca="1" ref="L11" ca="1">IF( $J11="",
"",
      IF($B$4=TODAY(),
      _xll.IMDP( "FX", $J11, IF($D11, "전일종가", "전일BID")),
      IF($D11, _xll.IMDP("FX", $J11, "현재가", WORKDAY($B$4, -1)), _xll.IMDP("FX", $J11, "NY_BID_Chg", $B$4) ) )
)</f>
        <v>-0.24149999999999999</v>
      </c>
      <c r="M11" s="29">
        <f t="shared" ca="1" si="2"/>
        <v>-0.24149999999999999</v>
      </c>
      <c r="N11" s="22" t="str" cm="1">
        <f t="array" ref="N11">IFERROR( IF( $D11, VLOOKUP(table!$O$7, code!$Q$2:$S$9, 3, 0), INDEX(code!$K:$K, $C11)&amp;$O$7 ), "")</f>
        <v>MX10Y</v>
      </c>
      <c r="O11" s="56" cm="1">
        <f t="array" aca="1" ref="O11" ca="1">IF( $N11="", "", IF( $D11, IF($O$7="01Y", _xll.IMDP("IR", $N11, "수익률", $B$4), _xll.IMDP("BND", $N11, "장내국채-현재수익률", $B$4)), _xll.IMDP("IR", $N11, "BID_Close", $B$4) ) )</f>
        <v>9.6039999999999992</v>
      </c>
      <c r="P11" s="14" cm="1">
        <f t="array" aca="1" ref="P11" ca="1">IF( $O11="",
"",
IF( $D11,
    IF($O$7="01Y",
    _xll.IMDP("IR", $N11, "전일대비", $B$4)*100,
    IF($B$4=TODAY(), _xll.IMDP("BND", $N11, "장내국채-수익률전일대비"), _xll.IMDP("BND", $N11, "장내국채-민평수익률대비", $B$4)*100) ),
_xll.IMDP("IR", $N11, "BID_Chg", $B$4)*100 )
)</f>
        <v>-6.2</v>
      </c>
    </row>
    <row r="12" spans="2:16" s="7" customFormat="1" ht="13.5" x14ac:dyDescent="0.3">
      <c r="B12" s="12" t="s">
        <v>139</v>
      </c>
      <c r="C12" s="11">
        <f>MATCH($B12, code!$A:$A, 0)</f>
        <v>158</v>
      </c>
      <c r="D12" s="9" t="b">
        <f t="shared" si="0"/>
        <v>0</v>
      </c>
      <c r="E12" s="9" t="b">
        <f t="shared" si="1"/>
        <v>0</v>
      </c>
      <c r="F12" s="52" t="str" cm="1">
        <f t="array" ref="F12">IFERROR( INDEX(code!$B:$B, $C12), "")</f>
        <v>아메리카</v>
      </c>
      <c r="G12" s="20" t="str" cm="1">
        <f t="array" ref="G12">IFERROR( INDEX(code!$D:$G, $C12, $G$7), "")</f>
        <v>MSI:917000L</v>
      </c>
      <c r="H12" s="24" cm="1">
        <f t="array" aca="1" ref="H12" ca="1">IF( $G12="",
"",
_xll.IMDP( IF($D12*$G$7=1,"IDX","FRN"), $G12, "현재가", $B$4 ) )</f>
        <v>1975.3219999999999</v>
      </c>
      <c r="I12" s="14" cm="1">
        <f t="array" aca="1" ref="I12" ca="1">IF( $G12="",
"",
_xll.IMDP( IF($D12*$G$7=1,"IDX","FRN"), $G12, $I$7, $B$4 ) )</f>
        <v>11.316000000000001</v>
      </c>
      <c r="J12" s="26" t="str" cm="1">
        <f t="array" ref="J12">IFERROR( CHOOSE($K$7,
INDEX(code!$J:$J, $C12),
IF($E12, INDEX(code!$J:$J, $C12), INDEX(code!$H:$H, $C12)&amp;"KRW") ), "")</f>
        <v>USDCOP</v>
      </c>
      <c r="K12" s="28" cm="1">
        <f t="array" aca="1" ref="K12" ca="1">IF( $J12="",
"",
_xll.IMDP( "FX", $J12, IF($D12, "현재가", "NY_BID_Close"), $B$4 ) )</f>
        <v>3961.75</v>
      </c>
      <c r="L12" s="10" cm="1">
        <f t="array" aca="1" ref="L12" ca="1">IF( $J12="",
"",
      IF($B$4=TODAY(),
      _xll.IMDP( "FX", $J12, IF($D12, "전일종가", "전일BID")),
      IF($D12, _xll.IMDP("FX", $J12, "현재가", WORKDAY($B$4, -1)), _xll.IMDP("FX", $J12, "NY_BID_Chg", $B$4) ) )
)</f>
        <v>-62.15</v>
      </c>
      <c r="M12" s="29">
        <f t="shared" ca="1" si="2"/>
        <v>-62.15</v>
      </c>
      <c r="N12" s="22" t="str" cm="1">
        <f t="array" ref="N12">IFERROR( IF( $D12, VLOOKUP(table!$O$7, code!$Q$2:$S$9, 3, 0), INDEX(code!$K:$K, $C12)&amp;$O$7 ), "")</f>
        <v>CO10Y</v>
      </c>
      <c r="O12" s="56" cm="1">
        <f t="array" aca="1" ref="O12" ca="1">IF( $N12="", "", IF( $D12, IF($O$7="01Y", _xll.IMDP("IR", $N12, "수익률", $B$4), _xll.IMDP("BND", $N12, "장내국채-현재수익률", $B$4)), _xll.IMDP("IR", $N12, "BID_Close", $B$4) ) )</f>
        <v>10.768000000000001</v>
      </c>
      <c r="P12" s="14" cm="1">
        <f t="array" aca="1" ref="P12" ca="1">IF( $O12="",
"",
IF( $D12,
    IF($O$7="01Y",
    _xll.IMDP("IR", $N12, "전일대비", $B$4)*100,
    IF($B$4=TODAY(), _xll.IMDP("BND", $N12, "장내국채-수익률전일대비"), _xll.IMDP("BND", $N12, "장내국채-민평수익률대비", $B$4)*100) ),
_xll.IMDP("IR", $N12, "BID_Chg", $B$4)*100 )
)</f>
        <v>-6.6000000000000005</v>
      </c>
    </row>
    <row r="13" spans="2:16" s="7" customFormat="1" ht="13.5" x14ac:dyDescent="0.3">
      <c r="B13" s="12" t="s">
        <v>14</v>
      </c>
      <c r="C13" s="11">
        <f>MATCH($B13, code!$A:$A, 0)</f>
        <v>16</v>
      </c>
      <c r="D13" s="9" t="b">
        <f t="shared" si="0"/>
        <v>0</v>
      </c>
      <c r="E13" s="9" t="b">
        <f t="shared" si="1"/>
        <v>0</v>
      </c>
      <c r="F13" s="52" t="str" cm="1">
        <f t="array" ref="F13">IFERROR( INDEX(code!$B:$B, $C13), "")</f>
        <v>아시아/태평양</v>
      </c>
      <c r="G13" s="20" t="str" cm="1">
        <f t="array" ref="G13">IFERROR( INDEX(code!$D:$G, $C13, $G$7), "")</f>
        <v>MSI:955400L</v>
      </c>
      <c r="H13" s="24" cm="1">
        <f t="array" aca="1" ref="H13" ca="1">IF( $G13="",
"",
_xll.IMDP( IF($D13*$G$7=1,"IDX","FRN"), $G13, "현재가", $B$4 ) )</f>
        <v>148.65600000000001</v>
      </c>
      <c r="I13" s="14" cm="1">
        <f t="array" aca="1" ref="I13" ca="1">IF( $G13="",
"",
_xll.IMDP( IF($D13*$G$7=1,"IDX","FRN"), $G13, $I$7, $B$4 ) )</f>
        <v>1.851</v>
      </c>
      <c r="J13" s="26" t="str" cm="1">
        <f t="array" ref="J13">IFERROR( CHOOSE($K$7,
INDEX(code!$J:$J, $C13),
IF($E13, INDEX(code!$J:$J, $C13), INDEX(code!$H:$H, $C13)&amp;"KRW") ), "")</f>
        <v>NZDUSD</v>
      </c>
      <c r="K13" s="28" cm="1">
        <f t="array" aca="1" ref="K13" ca="1">IF( $J13="",
"",
_xll.IMDP( "FX", $J13, IF($D13, "현재가", "NY_BID_Close"), $B$4 ) )</f>
        <v>0.60089999999999999</v>
      </c>
      <c r="L13" s="10" cm="1">
        <f t="array" aca="1" ref="L13" ca="1">IF( $J13="",
"",
      IF($B$4=TODAY(),
      _xll.IMDP( "FX", $J13, IF($D13, "전일종가", "전일BID")),
      IF($D13, _xll.IMDP("FX", $J13, "현재가", WORKDAY($B$4, -1)), _xll.IMDP("FX", $J13, "NY_BID_Chg", $B$4) ) )
)</f>
        <v>1.2800000000000001E-2</v>
      </c>
      <c r="M13" s="29">
        <f t="shared" ca="1" si="2"/>
        <v>1.2800000000000001E-2</v>
      </c>
      <c r="N13" s="22" t="str" cm="1">
        <f t="array" ref="N13">IFERROR( IF( $D13, VLOOKUP(table!$O$7, code!$Q$2:$S$9, 3, 0), INDEX(code!$K:$K, $C13)&amp;$O$7 ), "")</f>
        <v>NZ10Y</v>
      </c>
      <c r="O13" s="56" cm="1">
        <f t="array" aca="1" ref="O13" ca="1">IF( $N13="", "", IF( $D13, IF($O$7="01Y", _xll.IMDP("IR", $N13, "수익률", $B$4), _xll.IMDP("BND", $N13, "장내국채-현재수익률", $B$4)), _xll.IMDP("IR", $N13, "BID_Close", $B$4) ) )</f>
        <v>5.1558000000000002</v>
      </c>
      <c r="P13" s="14" cm="1">
        <f t="array" aca="1" ref="P13" ca="1">IF( $O13="",
"",
IF( $D13,
    IF($O$7="01Y",
    _xll.IMDP("IR", $N13, "전일대비", $B$4)*100,
    IF($B$4=TODAY(), _xll.IMDP("BND", $N13, "장내국채-수익률전일대비"), _xll.IMDP("BND", $N13, "장내국채-민평수익률대비", $B$4)*100) ),
_xll.IMDP("IR", $N13, "BID_Chg", $B$4)*100 )
)</f>
        <v>-2.17</v>
      </c>
    </row>
    <row r="14" spans="2:16" s="7" customFormat="1" ht="13.5" x14ac:dyDescent="0.3">
      <c r="B14" s="12" t="s">
        <v>167</v>
      </c>
      <c r="C14" s="11">
        <f>MATCH($B14, code!$A:$A, 0)</f>
        <v>190</v>
      </c>
      <c r="D14" s="9" t="b">
        <f t="shared" si="0"/>
        <v>0</v>
      </c>
      <c r="E14" s="9" t="b">
        <f t="shared" si="1"/>
        <v>0</v>
      </c>
      <c r="F14" s="52" t="str" cm="1">
        <f t="array" ref="F14">IFERROR( INDEX(code!$B:$B, $C14), "")</f>
        <v>아시아/태평양</v>
      </c>
      <c r="G14" s="20" t="str" cm="1">
        <f t="array" ref="G14">IFERROR( INDEX(code!$D:$G, $C14, $G$7), "")</f>
        <v>MSI:903600L</v>
      </c>
      <c r="H14" s="24" cm="1">
        <f t="array" aca="1" ref="H14" ca="1">IF( $G14="",
"",
_xll.IMDP( IF($D14*$G$7=1,"IDX","FRN"), $G14, "현재가", $B$4 ) )</f>
        <v>1402.2670000000001</v>
      </c>
      <c r="I14" s="14" cm="1">
        <f t="array" aca="1" ref="I14" ca="1">IF( $G14="",
"",
_xll.IMDP( IF($D14*$G$7=1,"IDX","FRN"), $G14, $I$7, $B$4 ) )</f>
        <v>10.819000000000001</v>
      </c>
      <c r="J14" s="26" t="str" cm="1">
        <f t="array" ref="J14">IFERROR( CHOOSE($K$7,
INDEX(code!$J:$J, $C14),
IF($E14, INDEX(code!$J:$J, $C14), INDEX(code!$H:$H, $C14)&amp;"KRW") ), "")</f>
        <v>AUDUSD</v>
      </c>
      <c r="K14" s="28" cm="1">
        <f t="array" aca="1" ref="K14" ca="1">IF( $J14="",
"",
_xll.IMDP( "FX", $J14, IF($D14, "현재가", "NY_BID_Close"), $B$4 ) )</f>
        <v>0.65069999999999995</v>
      </c>
      <c r="L14" s="10" cm="1">
        <f t="array" aca="1" ref="L14" ca="1">IF( $J14="",
"",
      IF($B$4=TODAY(),
      _xll.IMDP( "FX", $J14, IF($D14, "전일종가", "전일BID")),
      IF($D14, _xll.IMDP("FX", $J14, "현재가", WORKDAY($B$4, -1)), _xll.IMDP("FX", $J14, "NY_BID_Chg", $B$4) ) )
)</f>
        <v>1.29E-2</v>
      </c>
      <c r="M14" s="29">
        <f t="shared" ca="1" si="2"/>
        <v>1.29E-2</v>
      </c>
      <c r="N14" s="22" t="str" cm="1">
        <f t="array" ref="N14">IFERROR( IF( $D14, VLOOKUP(table!$O$7, code!$Q$2:$S$9, 3, 0), INDEX(code!$K:$K, $C14)&amp;$O$7 ), "")</f>
        <v>AU10Y</v>
      </c>
      <c r="O14" s="56" cm="1">
        <f t="array" aca="1" ref="O14" ca="1">IF( $N14="", "", IF( $D14, IF($O$7="01Y", _xll.IMDP("IR", $N14, "수익률", $B$4), _xll.IMDP("BND", $N14, "장내국채-현재수익률", $B$4)), _xll.IMDP("IR", $N14, "BID_Close", $B$4) ) )</f>
        <v>4.6711999999999998</v>
      </c>
      <c r="P14" s="14" cm="1">
        <f t="array" aca="1" ref="P14" ca="1">IF( $O14="",
"",
IF( $D14,
    IF($O$7="01Y",
    _xll.IMDP("IR", $N14, "전일대비", $B$4)*100,
    IF($B$4=TODAY(), _xll.IMDP("BND", $N14, "장내국채-수익률전일대비"), _xll.IMDP("BND", $N14, "장내국채-민평수익률대비", $B$4)*100) ),
_xll.IMDP("IR", $N14, "BID_Chg", $B$4)*100 )
)</f>
        <v>-1.4500000000000002</v>
      </c>
    </row>
    <row r="15" spans="2:16" s="7" customFormat="1" ht="13.5" x14ac:dyDescent="0.3">
      <c r="B15" s="12" t="s">
        <v>842</v>
      </c>
      <c r="C15" s="11">
        <f>MATCH($B15, code!$A:$A, 0)</f>
        <v>187</v>
      </c>
      <c r="D15" s="9" t="b">
        <f t="shared" si="0"/>
        <v>1</v>
      </c>
      <c r="E15" s="9" t="b">
        <f t="shared" si="1"/>
        <v>1</v>
      </c>
      <c r="F15" s="52" t="str" cm="1">
        <f t="array" ref="F15">IFERROR( INDEX(code!$B:$B, $C15), "")</f>
        <v>아시아/태평양</v>
      </c>
      <c r="G15" s="20" t="str" cm="1">
        <f t="array" ref="G15">IFERROR( INDEX(code!$D:$G, $C15, $G$7), "")</f>
        <v>MSI:941000L</v>
      </c>
      <c r="H15" s="24" cm="1">
        <f t="array" aca="1" ref="H15" ca="1">IF( $G15="",
"",
_xll.IMDP( IF($D15*$G$7=1,"IDX","FRN"), $G15, "현재가", $B$4 ) )</f>
        <v>756.78399999999999</v>
      </c>
      <c r="I15" s="14" cm="1">
        <f t="array" aca="1" ref="I15" ca="1">IF( $G15="",
"",
_xll.IMDP( IF($D15*$G$7=1,"IDX","FRN"), $G15, $I$7, $B$4 ) )</f>
        <v>9.5359999999999996</v>
      </c>
      <c r="J15" s="26" t="str" cm="1">
        <f t="array" ref="J15">IFERROR( CHOOSE($K$7,
INDEX(code!$J:$J, $C15),
IF($E15, INDEX(code!$J:$J, $C15), INDEX(code!$H:$H, $C15)&amp;"KRW") ), "")</f>
        <v>USDSP_AMBC</v>
      </c>
      <c r="K15" s="28" cm="1">
        <f t="array" aca="1" ref="K15" ca="1">IF( $J15="",
"",
_xll.IMDP( "FX", $J15, IF($D15, "현재가", "NY_BID_Close"), $B$4 ) )</f>
        <v>1328.9</v>
      </c>
      <c r="L15" s="10" cm="1">
        <f t="array" aca="1" ref="L15" ca="1">IF( $J15="",
"",
      IF($B$4=TODAY(),
      _xll.IMDP( "FX", $J15, IF($D15, "전일종가", "전일BID")),
      IF($D15, _xll.IMDP("FX", $J15, "현재가", WORKDAY($B$4, -1)), _xll.IMDP("FX", $J15, "NY_BID_Chg", $B$4) ) )
)</f>
        <v>1325.1</v>
      </c>
      <c r="M15" s="29">
        <f t="shared" ca="1" si="2"/>
        <v>3.8000000000001819</v>
      </c>
      <c r="N15" s="22" t="str" cm="1">
        <f t="array" ref="N15">IFERROR( IF( $D15, VLOOKUP(table!$O$7, code!$Q$2:$S$9, 3, 0), INDEX(code!$K:$K, $C15)&amp;$O$7 ), "")</f>
        <v>KR1035G00010</v>
      </c>
      <c r="O15" s="56" cm="1">
        <f t="array" aca="1" ref="O15" ca="1">IF( $N15="", "", IF( $D15, IF($O$7="01Y", _xll.IMDP("IR", $N15, "수익률", $B$4), _xll.IMDP("BND", $N15, "장내국채-현재수익률", $B$4)), _xll.IMDP("IR", $N15, "BID_Close", $B$4) ) )</f>
        <v>3.984</v>
      </c>
      <c r="P15" s="14" cm="1">
        <f t="array" aca="1" ref="P15" ca="1">IF( $O15="",
"",
IF( $D15,
    IF($O$7="01Y",
    _xll.IMDP("IR", $N15, "전일대비", $B$4)*100,
    IF($B$4=TODAY(), _xll.IMDP("BND", $N15, "장내국채-수익률전일대비"), _xll.IMDP("BND", $N15, "장내국채-민평수익률대비", $B$4)*100) ),
_xll.IMDP("IR", $N15, "BID_Chg", $B$4)*100 )
)</f>
        <v>-2.2999999999999998</v>
      </c>
    </row>
    <row r="16" spans="2:16" s="7" customFormat="1" ht="13.5" x14ac:dyDescent="0.3">
      <c r="B16" s="12" t="s">
        <v>843</v>
      </c>
      <c r="C16" s="11">
        <f>MATCH($B16, code!$A:$A, 0)</f>
        <v>128</v>
      </c>
      <c r="D16" s="9" t="b">
        <f t="shared" si="0"/>
        <v>0</v>
      </c>
      <c r="E16" s="9" t="b">
        <f t="shared" si="1"/>
        <v>0</v>
      </c>
      <c r="F16" s="52" t="str" cm="1">
        <f t="array" ref="F16">IFERROR( INDEX(code!$B:$B, $C16), "")</f>
        <v>아시아/태평양</v>
      </c>
      <c r="G16" s="20" t="str" cm="1">
        <f t="array" ref="G16">IFERROR( INDEX(code!$D:$G, $C16, $G$7), "")</f>
        <v>MSI:939200L</v>
      </c>
      <c r="H16" s="24" cm="1">
        <f t="array" aca="1" ref="H16" ca="1">IF( $G16="",
"",
_xll.IMDP( IF($D16*$G$7=1,"IDX","FRN"), $G16, "현재가", $B$4 ) )</f>
        <v>1436.6959999999999</v>
      </c>
      <c r="I16" s="14" cm="1">
        <f t="array" aca="1" ref="I16" ca="1">IF( $G16="",
"",
_xll.IMDP( IF($D16*$G$7=1,"IDX","FRN"), $G16, $I$7, $B$4 ) )</f>
        <v>6.492</v>
      </c>
      <c r="J16" s="26" t="str" cm="1">
        <f t="array" ref="J16">IFERROR( CHOOSE($K$7,
INDEX(code!$J:$J, $C16),
IF($E16, INDEX(code!$J:$J, $C16), INDEX(code!$H:$H, $C16)&amp;"KRW") ), "")</f>
        <v>USDJPY</v>
      </c>
      <c r="K16" s="28" cm="1">
        <f t="array" aca="1" ref="K16" ca="1">IF( $J16="",
"",
_xll.IMDP( "FX", $J16, IF($D16, "현재가", "NY_BID_Close"), $B$4 ) )</f>
        <v>150.23699999999999</v>
      </c>
      <c r="L16" s="10" cm="1">
        <f t="array" aca="1" ref="L16" ca="1">IF( $J16="",
"",
      IF($B$4=TODAY(),
      _xll.IMDP( "FX", $J16, IF($D16, "전일종가", "전일BID")),
      IF($D16, _xll.IMDP("FX", $J16, "현재가", WORKDAY($B$4, -1)), _xll.IMDP("FX", $J16, "NY_BID_Chg", $B$4) ) )
)</f>
        <v>-1.4039999999999999</v>
      </c>
      <c r="M16" s="29">
        <f t="shared" ca="1" si="2"/>
        <v>-1.4039999999999999</v>
      </c>
      <c r="N16" s="22" t="str" cm="1">
        <f t="array" ref="N16">IFERROR( IF( $D16, VLOOKUP(table!$O$7, code!$Q$2:$S$9, 3, 0), INDEX(code!$K:$K, $C16)&amp;$O$7 ), "")</f>
        <v>JP10Y</v>
      </c>
      <c r="O16" s="56" cm="1">
        <f t="array" aca="1" ref="O16" ca="1">IF( $N16="", "", IF( $D16, IF($O$7="01Y", _xll.IMDP("IR", $N16, "수익률", $B$4), _xll.IMDP("BND", $N16, "장내국채-현재수익률", $B$4)), _xll.IMDP("IR", $N16, "BID_Close", $B$4) ) )</f>
        <v>0.8548</v>
      </c>
      <c r="P16" s="14" cm="1">
        <f t="array" aca="1" ref="P16" ca="1">IF( $O16="",
"",
IF( $D16,
    IF($O$7="01Y",
    _xll.IMDP("IR", $N16, "전일대비", $B$4)*100,
    IF($B$4=TODAY(), _xll.IMDP("BND", $N16, "장내국채-수익률전일대비"), _xll.IMDP("BND", $N16, "장내국채-민평수익률대비", $B$4)*100) ),
_xll.IMDP("IR", $N16, "BID_Chg", $B$4)*100 )
)</f>
        <v>-2.13</v>
      </c>
    </row>
    <row r="17" spans="2:16" s="7" customFormat="1" ht="13.5" x14ac:dyDescent="0.3">
      <c r="B17" s="12" t="s">
        <v>17</v>
      </c>
      <c r="C17" s="11">
        <f>MATCH($B17, code!$A:$A, 0)</f>
        <v>19</v>
      </c>
      <c r="D17" s="9" t="b">
        <f t="shared" si="0"/>
        <v>0</v>
      </c>
      <c r="E17" s="9" t="b">
        <f t="shared" si="1"/>
        <v>0</v>
      </c>
      <c r="F17" s="52" t="str" cm="1">
        <f t="array" ref="F17">IFERROR( INDEX(code!$B:$B, $C17), "")</f>
        <v>아시아/태평양</v>
      </c>
      <c r="G17" s="20" t="str" cm="1">
        <f t="array" ref="G17">IFERROR( INDEX(code!$D:$G, $C17, $G$7), "")</f>
        <v>MSI:915800L</v>
      </c>
      <c r="H17" s="24" cm="1">
        <f t="array" aca="1" ref="H17" ca="1">IF( $G17="",
"",
_xll.IMDP( IF($D17*$G$7=1,"IDX","FRN"), $G17, "현재가", $B$4 ) )</f>
        <v>647.76300000000003</v>
      </c>
      <c r="I17" s="14" cm="1">
        <f t="array" aca="1" ref="I17" ca="1">IF( $G17="",
"",
_xll.IMDP( IF($D17*$G$7=1,"IDX","FRN"), $G17, $I$7, $B$4 ) )</f>
        <v>2.4009999999999998</v>
      </c>
      <c r="J17" s="26" t="str" cm="1">
        <f t="array" ref="J17">IFERROR( CHOOSE($K$7,
INDEX(code!$J:$J, $C17),
IF($E17, INDEX(code!$J:$J, $C17), INDEX(code!$H:$H, $C17)&amp;"KRW") ), "")</f>
        <v>USDTWD</v>
      </c>
      <c r="K17" s="28" cm="1">
        <f t="array" aca="1" ref="K17" ca="1">IF( $J17="",
"",
_xll.IMDP( "FX", $J17, IF($D17, "현재가", "NY_BID_Close"), $B$4 ) )</f>
        <v>32.075000000000003</v>
      </c>
      <c r="L17" s="10" cm="1">
        <f t="array" aca="1" ref="L17" ca="1">IF( $J17="",
"",
      IF($B$4=TODAY(),
      _xll.IMDP( "FX", $J17, IF($D17, "전일종가", "전일BID")),
      IF($D17, _xll.IMDP("FX", $J17, "현재가", WORKDAY($B$4, -1)), _xll.IMDP("FX", $J17, "NY_BID_Chg", $B$4) ) )
)</f>
        <v>-0.2</v>
      </c>
      <c r="M17" s="29">
        <f t="shared" ca="1" si="2"/>
        <v>-0.2</v>
      </c>
      <c r="N17" s="22" t="str" cm="1">
        <f t="array" ref="N17">IFERROR( IF( $D17, VLOOKUP(table!$O$7, code!$Q$2:$S$9, 3, 0), INDEX(code!$K:$K, $C17)&amp;$O$7 ), "")</f>
        <v>TW10Y</v>
      </c>
      <c r="O17" s="56" cm="1">
        <f t="array" aca="1" ref="O17" ca="1">IF( $N17="", "", IF( $D17, IF($O$7="01Y", _xll.IMDP("IR", $N17, "수익률", $B$4), _xll.IMDP("BND", $N17, "장내국채-현재수익률", $B$4)), _xll.IMDP("IR", $N17, "BID_Close", $B$4) ) )</f>
        <v>1.2849999999999999</v>
      </c>
      <c r="P17" s="14" cm="1">
        <f t="array" aca="1" ref="P17" ca="1">IF( $O17="",
"",
IF( $D17,
    IF($O$7="01Y",
    _xll.IMDP("IR", $N17, "전일대비", $B$4)*100,
    IF($B$4=TODAY(), _xll.IMDP("BND", $N17, "장내국채-수익률전일대비"), _xll.IMDP("BND", $N17, "장내국채-민평수익률대비", $B$4)*100) ),
_xll.IMDP("IR", $N17, "BID_Chg", $B$4)*100 )
)</f>
        <v>-0.5</v>
      </c>
    </row>
    <row r="18" spans="2:16" s="7" customFormat="1" ht="13.5" x14ac:dyDescent="0.3">
      <c r="B18" s="12" t="s">
        <v>84</v>
      </c>
      <c r="C18" s="11">
        <f>MATCH($B18, code!$A:$A, 0)</f>
        <v>92</v>
      </c>
      <c r="D18" s="9" t="b">
        <f t="shared" si="0"/>
        <v>0</v>
      </c>
      <c r="E18" s="9" t="b">
        <f t="shared" si="1"/>
        <v>0</v>
      </c>
      <c r="F18" s="52" t="str" cm="1">
        <f t="array" ref="F18">IFERROR( INDEX(code!$B:$B, $C18), "")</f>
        <v>아시아/태평양</v>
      </c>
      <c r="G18" s="20" t="str" cm="1">
        <f t="array" ref="G18">IFERROR( INDEX(code!$D:$G, $C18, $G$7), "")</f>
        <v>MSI:998100L</v>
      </c>
      <c r="H18" s="24" cm="1">
        <f t="array" aca="1" ref="H18" ca="1">IF( $G18="",
"",
_xll.IMDP( IF($D18*$G$7=1,"IDX","FRN"), $G18, "현재가", $B$4 ) )</f>
        <v>1266.1990000000001</v>
      </c>
      <c r="I18" s="14" cm="1">
        <f t="array" aca="1" ref="I18" ca="1">IF( $G18="",
"",
_xll.IMDP( IF($D18*$G$7=1,"IDX","FRN"), $G18, $I$7, $B$4 ) )</f>
        <v>-25.225000000000001</v>
      </c>
      <c r="J18" s="26" t="str" cm="1">
        <f t="array" ref="J18">IFERROR( CHOOSE($K$7,
INDEX(code!$J:$J, $C18),
IF($E18, INDEX(code!$J:$J, $C18), INDEX(code!$H:$H, $C18)&amp;"KRW") ), "")</f>
        <v>USDSGD</v>
      </c>
      <c r="K18" s="28" cm="1">
        <f t="array" aca="1" ref="K18" ca="1">IF( $J18="",
"",
_xll.IMDP( "FX", $J18, IF($D18, "현재가", "NY_BID_Close"), $B$4 ) )</f>
        <v>1.3481000000000001</v>
      </c>
      <c r="L18" s="10" cm="1">
        <f t="array" aca="1" ref="L18" ca="1">IF( $J18="",
"",
      IF($B$4=TODAY(),
      _xll.IMDP( "FX", $J18, IF($D18, "전일종가", "전일BID")),
      IF($D18, _xll.IMDP("FX", $J18, "현재가", WORKDAY($B$4, -1)), _xll.IMDP("FX", $J18, "NY_BID_Chg", $B$4) ) )
)</f>
        <v>-1.0699999999999999E-2</v>
      </c>
      <c r="M18" s="29">
        <f t="shared" ca="1" si="2"/>
        <v>-1.0699999999999999E-2</v>
      </c>
      <c r="N18" s="22" t="str" cm="1">
        <f t="array" ref="N18">IFERROR( IF( $D18, VLOOKUP(table!$O$7, code!$Q$2:$S$9, 3, 0), INDEX(code!$K:$K, $C18)&amp;$O$7 ), "")</f>
        <v>SG10Y</v>
      </c>
      <c r="O18" s="56" cm="1">
        <f t="array" aca="1" ref="O18" ca="1">IF( $N18="", "", IF( $D18, IF($O$7="01Y", _xll.IMDP("IR", $N18, "수익률", $B$4), _xll.IMDP("BND", $N18, "장내국채-현재수익률", $B$4)), _xll.IMDP("IR", $N18, "BID_Close", $B$4) ) )</f>
        <v>3.1</v>
      </c>
      <c r="P18" s="14" cm="1">
        <f t="array" aca="1" ref="P18" ca="1">IF( $O18="",
"",
IF( $D18,
    IF($O$7="01Y",
    _xll.IMDP("IR", $N18, "전일대비", $B$4)*100,
    IF($B$4=TODAY(), _xll.IMDP("BND", $N18, "장내국채-수익률전일대비"), _xll.IMDP("BND", $N18, "장내국채-민평수익률대비", $B$4)*100) ),
_xll.IMDP("IR", $N18, "BID_Chg", $B$4)*100 )
)</f>
        <v>-1</v>
      </c>
    </row>
    <row r="19" spans="2:16" s="7" customFormat="1" ht="13.5" x14ac:dyDescent="0.3">
      <c r="B19" s="12" t="s">
        <v>36</v>
      </c>
      <c r="C19" s="11">
        <f>MATCH($B19, code!$A:$A, 0)</f>
        <v>37</v>
      </c>
      <c r="D19" s="9" t="b">
        <f t="shared" si="0"/>
        <v>0</v>
      </c>
      <c r="E19" s="9" t="b">
        <f t="shared" si="1"/>
        <v>0</v>
      </c>
      <c r="F19" s="52" t="str" cm="1">
        <f t="array" ref="F19">IFERROR( INDEX(code!$B:$B, $C19), "")</f>
        <v>아시아/태평양</v>
      </c>
      <c r="G19" s="20" t="str" cm="1">
        <f t="array" ref="G19">IFERROR( INDEX(code!$D:$G, $C19, $G$7), "")</f>
        <v>MSI:105768L</v>
      </c>
      <c r="H19" s="24" cm="1">
        <f t="array" aca="1" ref="H19" ca="1">IF( $G19="",
"",
_xll.IMDP( IF($D19*$G$7=1,"IDX","FRN"), $G19, "현재가", $B$4 ) )</f>
        <v>460.42700000000002</v>
      </c>
      <c r="I19" s="14" cm="1">
        <f t="array" aca="1" ref="I19" ca="1">IF( $G19="",
"",
_xll.IMDP( IF($D19*$G$7=1,"IDX","FRN"), $G19, $I$7, $B$4 ) )</f>
        <v>2.2069999999999999</v>
      </c>
      <c r="J19" s="26" t="str" cm="1">
        <f t="array" ref="J19">IFERROR( CHOOSE($K$7,
INDEX(code!$J:$J, $C19),
IF($E19, INDEX(code!$J:$J, $C19), INDEX(code!$H:$H, $C19)&amp;"KRW") ), "")</f>
        <v>USDMYR</v>
      </c>
      <c r="K19" s="28" cm="1">
        <f t="array" aca="1" ref="K19" ca="1">IF( $J19="",
"",
_xll.IMDP( "FX", $J19, IF($D19, "현재가", "NY_BID_Close"), $B$4 ) )</f>
        <v>4.7163000000000004</v>
      </c>
      <c r="L19" s="10" cm="1">
        <f t="array" aca="1" ref="L19" ca="1">IF( $J19="",
"",
      IF($B$4=TODAY(),
      _xll.IMDP( "FX", $J19, IF($D19, "전일종가", "전일BID")),
      IF($D19, _xll.IMDP("FX", $J19, "현재가", WORKDAY($B$4, -1)), _xll.IMDP("FX", $J19, "NY_BID_Chg", $B$4) ) )
)</f>
        <v>1.0800000000000001E-2</v>
      </c>
      <c r="M19" s="29">
        <f t="shared" ca="1" si="2"/>
        <v>1.0800000000000001E-2</v>
      </c>
      <c r="N19" s="22" t="str" cm="1">
        <f t="array" ref="N19">IFERROR( IF( $D19, VLOOKUP(table!$O$7, code!$Q$2:$S$9, 3, 0), INDEX(code!$K:$K, $C19)&amp;$O$7 ), "")</f>
        <v>MY10Y</v>
      </c>
      <c r="O19" s="56" cm="1">
        <f t="array" aca="1" ref="O19" ca="1">IF( $N19="", "", IF( $D19, IF($O$7="01Y", _xll.IMDP("IR", $N19, "수익률", $B$4), _xll.IMDP("BND", $N19, "장내국채-현재수익률", $B$4)), _xll.IMDP("IR", $N19, "BID_Close", $B$4) ) )</f>
        <v>3.915</v>
      </c>
      <c r="P19" s="14" cm="1">
        <f t="array" aca="1" ref="P19" ca="1">IF( $O19="",
"",
IF( $D19,
    IF($O$7="01Y",
    _xll.IMDP("IR", $N19, "전일대비", $B$4)*100,
    IF($B$4=TODAY(), _xll.IMDP("BND", $N19, "장내국채-수익률전일대비"), _xll.IMDP("BND", $N19, "장내국채-민평수익률대비", $B$4)*100) ),
_xll.IMDP("IR", $N19, "BID_Chg", $B$4)*100 )
)</f>
        <v>0.5</v>
      </c>
    </row>
    <row r="20" spans="2:16" s="7" customFormat="1" ht="13.5" x14ac:dyDescent="0.3">
      <c r="B20" s="12" t="s">
        <v>165</v>
      </c>
      <c r="C20" s="11">
        <f>MATCH($B20, code!$A:$A, 0)</f>
        <v>186</v>
      </c>
      <c r="D20" s="9" t="b">
        <f t="shared" si="0"/>
        <v>0</v>
      </c>
      <c r="E20" s="9" t="b">
        <f t="shared" si="1"/>
        <v>0</v>
      </c>
      <c r="F20" s="52" t="str" cm="1">
        <f t="array" ref="F20">IFERROR( INDEX(code!$B:$B, $C20), "")</f>
        <v>아시아/태평양</v>
      </c>
      <c r="G20" s="20" t="str" cm="1">
        <f t="array" ref="G20">IFERROR( INDEX(code!$D:$G, $C20, $G$7), "")</f>
        <v>MSI:860800L</v>
      </c>
      <c r="H20" s="24" cm="1">
        <f t="array" aca="1" ref="H20" ca="1">IF( $G20="",
"",
_xll.IMDP( IF($D20*$G$7=1,"IDX","FRN"), $G20, "현재가", $B$4 ) )</f>
        <v>1061.0550000000001</v>
      </c>
      <c r="I20" s="14" cm="1">
        <f t="array" aca="1" ref="I20" ca="1">IF( $G20="",
"",
_xll.IMDP( IF($D20*$G$7=1,"IDX","FRN"), $G20, $I$7, $B$4 ) )</f>
        <v>-1.353</v>
      </c>
      <c r="J20" s="26" t="str" cm="1">
        <f t="array" ref="J20">IFERROR( CHOOSE($K$7,
INDEX(code!$J:$J, $C20),
IF($E20, INDEX(code!$J:$J, $C20), INDEX(code!$H:$H, $C20)&amp;"KRW") ), "")</f>
        <v>USDPHP</v>
      </c>
      <c r="K20" s="28" cm="1">
        <f t="array" aca="1" ref="K20" ca="1">IF( $J20="",
"",
_xll.IMDP( "FX", $J20, IF($D20, "현재가", "NY_BID_Close"), $B$4 ) )</f>
        <v>55.726999999999997</v>
      </c>
      <c r="L20" s="10" cm="1">
        <f t="array" aca="1" ref="L20" ca="1">IF( $J20="",
"",
      IF($B$4=TODAY(),
      _xll.IMDP( "FX", $J20, IF($D20, "전일종가", "전일BID")),
      IF($D20, _xll.IMDP("FX", $J20, "현재가", WORKDAY($B$4, -1)), _xll.IMDP("FX", $J20, "NY_BID_Chg", $B$4) ) )
)</f>
        <v>-0.24199999999999999</v>
      </c>
      <c r="M20" s="29">
        <f t="shared" ca="1" si="2"/>
        <v>-0.24199999999999999</v>
      </c>
      <c r="N20" s="22" t="str" cm="1">
        <f t="array" ref="N20">IFERROR( IF( $D20, VLOOKUP(table!$O$7, code!$Q$2:$S$9, 3, 0), INDEX(code!$K:$K, $C20)&amp;$O$7 ), "")</f>
        <v>PH10Y</v>
      </c>
      <c r="O20" s="56" cm="1">
        <f t="array" aca="1" ref="O20" ca="1">IF( $N20="", "", IF( $D20, IF($O$7="01Y", _xll.IMDP("IR", $N20, "수익률", $B$4), _xll.IMDP("BND", $N20, "장내국채-현재수익률", $B$4)), _xll.IMDP("IR", $N20, "BID_Close", $B$4) ) )</f>
        <v>6.7249999999999996</v>
      </c>
      <c r="P20" s="14" cm="1">
        <f t="array" aca="1" ref="P20" ca="1">IF( $O20="",
"",
IF( $D20,
    IF($O$7="01Y",
    _xll.IMDP("IR", $N20, "전일대비", $B$4)*100,
    IF($B$4=TODAY(), _xll.IMDP("BND", $N20, "장내국채-수익률전일대비"), _xll.IMDP("BND", $N20, "장내국채-민평수익률대비", $B$4)*100) ),
_xll.IMDP("IR", $N20, "BID_Chg", $B$4)*100 )
)</f>
        <v>-7.5</v>
      </c>
    </row>
    <row r="21" spans="2:16" s="7" customFormat="1" ht="13.5" x14ac:dyDescent="0.3">
      <c r="B21" s="12" t="s">
        <v>867</v>
      </c>
      <c r="C21" s="11">
        <f>MATCH($B21, code!$A:$A, 0)</f>
        <v>133</v>
      </c>
      <c r="D21" s="9" t="b">
        <f t="shared" si="0"/>
        <v>0</v>
      </c>
      <c r="E21" s="9" t="b">
        <f t="shared" si="1"/>
        <v>0</v>
      </c>
      <c r="F21" s="52" t="str" cm="1">
        <f t="array" ref="F21">IFERROR( INDEX(code!$B:$B, $C21), "")</f>
        <v>아시아/태평양</v>
      </c>
      <c r="G21" s="20" t="str" cm="1">
        <f t="array" ref="G21">IFERROR( INDEX(code!$D:$G, $C21, $G$7), "")</f>
        <v>MSI:302400L</v>
      </c>
      <c r="H21" s="24" cm="1">
        <f t="array" aca="1" ref="H21" ca="1">IF( $G21="",
"",
_xll.IMDP( IF($D21*$G$7=1,"IDX","FRN"), $G21, "현재가", $B$4 ) )</f>
        <v>57.89</v>
      </c>
      <c r="I21" s="14" cm="1">
        <f t="array" aca="1" ref="I21" ca="1">IF( $G21="",
"",
_xll.IMDP( IF($D21*$G$7=1,"IDX","FRN"), $G21, $I$7, $B$4 ) )</f>
        <v>-0.124</v>
      </c>
      <c r="J21" s="26" t="str" cm="1">
        <f t="array" ref="J21">IFERROR( CHOOSE($K$7,
INDEX(code!$J:$J, $C21),
IF($E21, INDEX(code!$J:$J, $C21), INDEX(code!$H:$H, $C21)&amp;"KRW") ), "")</f>
        <v>USDCNY</v>
      </c>
      <c r="K21" s="28" cm="1">
        <f t="array" aca="1" ref="K21" ca="1">IF( $J21="",
"",
_xll.IMDP( "FX", $J21, IF($D21, "현재가", "NY_BID_Close"), $B$4 ) )</f>
        <v>7.2525000000000004</v>
      </c>
      <c r="L21" s="10" cm="1">
        <f t="array" aca="1" ref="L21" ca="1">IF( $J21="",
"",
      IF($B$4=TODAY(),
      _xll.IMDP( "FX", $J21, IF($D21, "전일종가", "전일BID")),
      IF($D21, _xll.IMDP("FX", $J21, "현재가", WORKDAY($B$4, -1)), _xll.IMDP("FX", $J21, "NY_BID_Chg", $B$4) ) )
)</f>
        <v>-3.6999999999999998E-2</v>
      </c>
      <c r="M21" s="29">
        <f t="shared" ca="1" si="2"/>
        <v>-3.6999999999999998E-2</v>
      </c>
      <c r="N21" s="22" t="str" cm="1">
        <f t="array" ref="N21">IFERROR( IF( $D21, VLOOKUP(table!$O$7, code!$Q$2:$S$9, 3, 0), INDEX(code!$K:$K, $C21)&amp;$O$7 ), "")</f>
        <v>RM10Y</v>
      </c>
      <c r="O21" s="56" cm="1">
        <f t="array" aca="1" ref="O21" ca="1">IF( $N21="", "", IF( $D21, IF($O$7="01Y", _xll.IMDP("IR", $N21, "수익률", $B$4), _xll.IMDP("BND", $N21, "장내국채-현재수익률", $B$4)), _xll.IMDP("IR", $N21, "BID_Close", $B$4) ) )</f>
        <v>2.6835</v>
      </c>
      <c r="P21" s="14" cm="1">
        <f t="array" aca="1" ref="P21" ca="1">IF( $O21="",
"",
IF( $D21,
    IF($O$7="01Y",
    _xll.IMDP("IR", $N21, "전일대비", $B$4)*100,
    IF($B$4=TODAY(), _xll.IMDP("BND", $N21, "장내국채-수익률전일대비"), _xll.IMDP("BND", $N21, "장내국채-민평수익률대비", $B$4)*100) ),
_xll.IMDP("IR", $N21, "BID_Chg", $B$4)*100 )
)</f>
        <v>0.91</v>
      </c>
    </row>
    <row r="22" spans="2:16" s="7" customFormat="1" ht="13.5" x14ac:dyDescent="0.3">
      <c r="B22" s="12" t="s">
        <v>844</v>
      </c>
      <c r="C22" s="11">
        <f>MATCH($B22, code!$A:$A, 0)</f>
        <v>191</v>
      </c>
      <c r="D22" s="9" t="b">
        <f t="shared" si="0"/>
        <v>0</v>
      </c>
      <c r="E22" s="9" t="b">
        <f t="shared" si="1"/>
        <v>0</v>
      </c>
      <c r="F22" s="52" t="str" cm="1">
        <f t="array" ref="F22">IFERROR( INDEX(code!$B:$B, $C22), "")</f>
        <v>아시아/태평양</v>
      </c>
      <c r="G22" s="20" t="str" cm="1">
        <f t="array" ref="G22">IFERROR( INDEX(code!$D:$G, $C22, $G$7), "")</f>
        <v>MSI:934400L</v>
      </c>
      <c r="H22" s="24" cm="1">
        <f t="array" aca="1" ref="H22" ca="1">IF( $G22="",
"",
_xll.IMDP( IF($D22*$G$7=1,"IDX","FRN"), $G22, "현재가", $B$4 ) )</f>
        <v>11804.684999999999</v>
      </c>
      <c r="I22" s="14" cm="1">
        <f t="array" aca="1" ref="I22" ca="1">IF( $G22="",
"",
_xll.IMDP( IF($D22*$G$7=1,"IDX","FRN"), $G22, $I$7, $B$4 ) )</f>
        <v>88.471000000000004</v>
      </c>
      <c r="J22" s="26" t="str" cm="1">
        <f t="array" ref="J22">IFERROR( CHOOSE($K$7,
INDEX(code!$J:$J, $C22),
IF($E22, INDEX(code!$J:$J, $C22), INDEX(code!$H:$H, $C22)&amp;"KRW") ), "")</f>
        <v>USDHKD</v>
      </c>
      <c r="K22" s="28" cm="1">
        <f t="array" aca="1" ref="K22" ca="1">IF( $J22="",
"",
_xll.IMDP( "FX", $J22, IF($D22, "현재가", "NY_BID_Close"), $B$4 ) )</f>
        <v>7.8049999999999997</v>
      </c>
      <c r="L22" s="10" cm="1">
        <f t="array" aca="1" ref="L22" ca="1">IF( $J22="",
"",
      IF($B$4=TODAY(),
      _xll.IMDP( "FX", $J22, IF($D22, "전일종가", "전일BID")),
      IF($D22, _xll.IMDP("FX", $J22, "현재가", WORKDAY($B$4, -1)), _xll.IMDP("FX", $J22, "NY_BID_Chg", $B$4) ) )
)</f>
        <v>-1.8E-3</v>
      </c>
      <c r="M22" s="29">
        <f t="shared" ca="1" si="2"/>
        <v>-1.8E-3</v>
      </c>
      <c r="N22" s="22" t="str" cm="1">
        <f t="array" ref="N22">IFERROR( IF( $D22, VLOOKUP(table!$O$7, code!$Q$2:$S$9, 3, 0), INDEX(code!$K:$K, $C22)&amp;$O$7 ), "")</f>
        <v>HK10Y</v>
      </c>
      <c r="O22" s="56" t="str" cm="1">
        <f t="array" aca="1" ref="O22" ca="1">IF( $N22="", "", IF( $D22, IF($O$7="01Y", _xll.IMDP("IR", $N22, "수익률", $B$4), _xll.IMDP("BND", $N22, "장내국채-현재수익률", $B$4)), _xll.IMDP("IR", $N22, "BID_Close", $B$4) ) )</f>
        <v/>
      </c>
      <c r="P22" s="14" t="str" cm="1">
        <f t="array" aca="1" ref="P22" ca="1">IF( $O22="",
"",
IF( $D22,
    IF($O$7="01Y",
    _xll.IMDP("IR", $N22, "전일대비", $B$4)*100,
    IF($B$4=TODAY(), _xll.IMDP("BND", $N22, "장내국채-수익률전일대비"), _xll.IMDP("BND", $N22, "장내국채-민평수익률대비", $B$4)*100) ),
_xll.IMDP("IR", $N22, "BID_Chg", $B$4)*100 )
)</f>
        <v/>
      </c>
    </row>
    <row r="23" spans="2:16" s="7" customFormat="1" ht="13.5" x14ac:dyDescent="0.3">
      <c r="B23" s="12" t="s">
        <v>117</v>
      </c>
      <c r="C23" s="11">
        <f>MATCH($B23, code!$A:$A, 0)</f>
        <v>127</v>
      </c>
      <c r="D23" s="9" t="b">
        <f t="shared" si="0"/>
        <v>0</v>
      </c>
      <c r="E23" s="9" t="b">
        <f t="shared" si="1"/>
        <v>0</v>
      </c>
      <c r="F23" s="52" t="str" cm="1">
        <f t="array" ref="F23">IFERROR( INDEX(code!$B:$B, $C23), "")</f>
        <v>아시아/태평양</v>
      </c>
      <c r="G23" s="20" t="str" cm="1">
        <f t="array" ref="G23">IFERROR( INDEX(code!$D:$G, $C23, $G$7), "")</f>
        <v>MSI:105767L</v>
      </c>
      <c r="H23" s="24" cm="1">
        <f t="array" aca="1" ref="H23" ca="1">IF( $G23="",
"",
_xll.IMDP( IF($D23*$G$7=1,"IDX","FRN"), $G23, "현재가", $B$4 ) )</f>
        <v>7129.6779999999999</v>
      </c>
      <c r="I23" s="14" cm="1">
        <f t="array" aca="1" ref="I23" ca="1">IF( $G23="",
"",
_xll.IMDP( IF($D23*$G$7=1,"IDX","FRN"), $G23, $I$7, $B$4 ) )</f>
        <v>19.937999999999999</v>
      </c>
      <c r="J23" s="26" t="str" cm="1">
        <f t="array" ref="J23">IFERROR( CHOOSE($K$7,
INDEX(code!$J:$J, $C23),
IF($E23, INDEX(code!$J:$J, $C23), INDEX(code!$H:$H, $C23)&amp;"KRW") ), "")</f>
        <v>USDIDR</v>
      </c>
      <c r="K23" s="28" cm="1">
        <f t="array" aca="1" ref="K23" ca="1">IF( $J23="",
"",
_xll.IMDP( "FX", $J23, IF($D23, "현재가", "NY_BID_Close"), $B$4 ) )</f>
        <v>15692</v>
      </c>
      <c r="L23" s="10" cm="1">
        <f t="array" aca="1" ref="L23" ca="1">IF( $J23="",
"",
      IF($B$4=TODAY(),
      _xll.IMDP( "FX", $J23, IF($D23, "전일종가", "전일BID")),
      IF($D23, _xll.IMDP("FX", $J23, "현재가", WORKDAY($B$4, -1)), _xll.IMDP("FX", $J23, "NY_BID_Chg", $B$4) ) )
)</f>
        <v>-5</v>
      </c>
      <c r="M23" s="29">
        <f t="shared" ca="1" si="2"/>
        <v>-5</v>
      </c>
      <c r="N23" s="22" t="str" cm="1">
        <f t="array" ref="N23">IFERROR( IF( $D23, VLOOKUP(table!$O$7, code!$Q$2:$S$9, 3, 0), INDEX(code!$K:$K, $C23)&amp;$O$7 ), "")</f>
        <v>ID10Y</v>
      </c>
      <c r="O23" s="56" cm="1">
        <f t="array" aca="1" ref="O23" ca="1">IF( $N23="", "", IF( $D23, IF($O$7="01Y", _xll.IMDP("IR", $N23, "수익률", $B$4), _xll.IMDP("BND", $N23, "장내국채-현재수익률", $B$4)), _xll.IMDP("IR", $N23, "BID_Close", $B$4) ) )</f>
        <v>6.92</v>
      </c>
      <c r="P23" s="14" cm="1">
        <f t="array" aca="1" ref="P23" ca="1">IF( $O23="",
"",
IF( $D23,
    IF($O$7="01Y",
    _xll.IMDP("IR", $N23, "전일대비", $B$4)*100,
    IF($B$4=TODAY(), _xll.IMDP("BND", $N23, "장내국채-수익률전일대비"), _xll.IMDP("BND", $N23, "장내국채-민평수익률대비", $B$4)*100) ),
_xll.IMDP("IR", $N23, "BID_Chg", $B$4)*100 )
)</f>
        <v>0</v>
      </c>
    </row>
    <row r="24" spans="2:16" s="7" customFormat="1" ht="13.5" x14ac:dyDescent="0.3">
      <c r="B24" s="12" t="s">
        <v>116</v>
      </c>
      <c r="C24" s="11">
        <f>MATCH($B24, code!$A:$A, 0)</f>
        <v>126</v>
      </c>
      <c r="D24" s="9" t="b">
        <f t="shared" si="0"/>
        <v>0</v>
      </c>
      <c r="E24" s="9" t="b">
        <f t="shared" si="1"/>
        <v>0</v>
      </c>
      <c r="F24" s="52" t="str" cm="1">
        <f t="array" ref="F24">IFERROR( INDEX(code!$B:$B, $C24), "")</f>
        <v>아시아/태평양</v>
      </c>
      <c r="G24" s="20" t="str" cm="1">
        <f t="array" ref="G24">IFERROR( INDEX(code!$D:$G, $C24, $G$7), "")</f>
        <v>MSI:935600L</v>
      </c>
      <c r="H24" s="24" cm="1">
        <f t="array" aca="1" ref="H24" ca="1">IF( $G24="",
"",
_xll.IMDP( IF($D24*$G$7=1,"IDX","FRN"), $G24, "현재가", $B$4 ) )</f>
        <v>2218.973</v>
      </c>
      <c r="I24" s="14" cm="1">
        <f t="array" aca="1" ref="I24" ca="1">IF( $G24="",
"",
_xll.IMDP( IF($D24*$G$7=1,"IDX","FRN"), $G24, $I$7, $B$4 ) )</f>
        <v>0</v>
      </c>
      <c r="J24" s="26" t="str" cm="1">
        <f t="array" ref="J24">IFERROR( CHOOSE($K$7,
INDEX(code!$J:$J, $C24),
IF($E24, INDEX(code!$J:$J, $C24), INDEX(code!$H:$H, $C24)&amp;"KRW") ), "")</f>
        <v>USDINR</v>
      </c>
      <c r="K24" s="28" cm="1">
        <f t="array" aca="1" ref="K24" ca="1">IF( $J24="",
"",
_xll.IMDP( "FX", $J24, IF($D24, "현재가", "NY_BID_Close"), $B$4 ) )</f>
        <v>82.990899999999996</v>
      </c>
      <c r="L24" s="10" cm="1">
        <f t="array" aca="1" ref="L24" ca="1">IF( $J24="",
"",
      IF($B$4=TODAY(),
      _xll.IMDP( "FX", $J24, IF($D24, "전일종가", "전일BID")),
      IF($D24, _xll.IMDP("FX", $J24, "현재가", WORKDAY($B$4, -1)), _xll.IMDP("FX", $J24, "NY_BID_Chg", $B$4) ) )
)</f>
        <v>-0.24679999999999999</v>
      </c>
      <c r="M24" s="29">
        <f t="shared" ca="1" si="2"/>
        <v>-0.24679999999999999</v>
      </c>
      <c r="N24" s="22" t="str" cm="1">
        <f t="array" ref="N24">IFERROR( IF( $D24, VLOOKUP(table!$O$7, code!$Q$2:$S$9, 3, 0), INDEX(code!$K:$K, $C24)&amp;$O$7 ), "")</f>
        <v>IN10Y</v>
      </c>
      <c r="O24" s="56" cm="1">
        <f t="array" aca="1" ref="O24" ca="1">IF( $N24="", "", IF( $D24, IF($O$7="01Y", _xll.IMDP("IR", $N24, "수익률", $B$4), _xll.IMDP("BND", $N24, "장내국채-현재수익률", $B$4)), _xll.IMDP("IR", $N24, "BID_Close", $B$4) ) )</f>
        <v>7.282</v>
      </c>
      <c r="P24" s="14" cm="1">
        <f t="array" aca="1" ref="P24" ca="1">IF( $O24="",
"",
IF( $D24,
    IF($O$7="01Y",
    _xll.IMDP("IR", $N24, "전일대비", $B$4)*100,
    IF($B$4=TODAY(), _xll.IMDP("BND", $N24, "장내국채-수익률전일대비"), _xll.IMDP("BND", $N24, "장내국채-민평수익률대비", $B$4)*100) ),
_xll.IMDP("IR", $N24, "BID_Chg", $B$4)*100 )
)</f>
        <v>0</v>
      </c>
    </row>
    <row r="25" spans="2:16" s="7" customFormat="1" ht="13.5" x14ac:dyDescent="0.3">
      <c r="B25" s="12" t="s">
        <v>574</v>
      </c>
      <c r="C25" s="11">
        <f>MATCH($B25, code!$A:$A, 0)</f>
        <v>169</v>
      </c>
      <c r="D25" s="9" t="b">
        <f t="shared" si="0"/>
        <v>0</v>
      </c>
      <c r="E25" s="9" t="b">
        <f t="shared" si="1"/>
        <v>0</v>
      </c>
      <c r="F25" s="52" t="str" cm="1">
        <f t="array" ref="F25">IFERROR( INDEX(code!$B:$B, $C25), "")</f>
        <v>유럽</v>
      </c>
      <c r="G25" s="20" t="str" cm="1">
        <f t="array" ref="G25">IFERROR( INDEX(code!$D:$G, $C25, $G$7), "")</f>
        <v>MSI:979200L</v>
      </c>
      <c r="H25" s="24" cm="1">
        <f t="array" aca="1" ref="H25" ca="1">IF( $G25="",
"",
_xll.IMDP( IF($D25*$G$7=1,"IDX","FRN"), $G25, "현재가", $B$4 ) )</f>
        <v>7577627.7889999999</v>
      </c>
      <c r="I25" s="14" cm="1">
        <f t="array" aca="1" ref="I25" ca="1">IF( $G25="",
"",
_xll.IMDP( IF($D25*$G$7=1,"IDX","FRN"), $G25, $I$7, $B$4 ) )</f>
        <v>133931.889</v>
      </c>
      <c r="J25" s="26" t="str" cm="1">
        <f t="array" ref="J25">IFERROR( CHOOSE($K$7,
INDEX(code!$J:$J, $C25),
IF($E25, INDEX(code!$J:$J, $C25), INDEX(code!$H:$H, $C25)&amp;"KRW") ), "")</f>
        <v>USDTRY</v>
      </c>
      <c r="K25" s="28" cm="1">
        <f t="array" aca="1" ref="K25" ca="1">IF( $J25="",
"",
_xll.IMDP( "FX", $J25, IF($D25, "현재가", "NY_BID_Close"), $B$4 ) )</f>
        <v>28.624600000000001</v>
      </c>
      <c r="L25" s="10" cm="1">
        <f t="array" aca="1" ref="L25" ca="1">IF( $J25="",
"",
      IF($B$4=TODAY(),
      _xll.IMDP( "FX", $J25, IF($D25, "전일종가", "전일BID")),
      IF($D25, _xll.IMDP("FX", $J25, "현재가", WORKDAY($B$4, -1)), _xll.IMDP("FX", $J25, "NY_BID_Chg", $B$4) ) )
)</f>
        <v>4.1399999999999999E-2</v>
      </c>
      <c r="M25" s="29">
        <f t="shared" ca="1" si="2"/>
        <v>4.1399999999999999E-2</v>
      </c>
      <c r="N25" s="22" t="str" cm="1">
        <f t="array" ref="N25">IFERROR( IF( $D25, VLOOKUP(table!$O$7, code!$Q$2:$S$9, 3, 0), INDEX(code!$K:$K, $C25)&amp;$O$7 ), "")</f>
        <v>TR10Y</v>
      </c>
      <c r="O25" s="56" cm="1">
        <f t="array" aca="1" ref="O25" ca="1">IF( $N25="", "", IF( $D25, IF($O$7="01Y", _xll.IMDP("IR", $N25, "수익률", $B$4), _xll.IMDP("BND", $N25, "장내국채-현재수익률", $B$4)), _xll.IMDP("IR", $N25, "BID_Close", $B$4) ) )</f>
        <v>27.04</v>
      </c>
      <c r="P25" s="14" cm="1">
        <f t="array" aca="1" ref="P25" ca="1">IF( $O25="",
"",
IF( $D25,
    IF($O$7="01Y",
    _xll.IMDP("IR", $N25, "전일대비", $B$4)*100,
    IF($B$4=TODAY(), _xll.IMDP("BND", $N25, "장내국채-수익률전일대비"), _xll.IMDP("BND", $N25, "장내국채-민평수익률대비", $B$4)*100) ),
_xll.IMDP("IR", $N25, "BID_Chg", $B$4)*100 )
)</f>
        <v>-14.099999999999998</v>
      </c>
    </row>
    <row r="26" spans="2:16" s="7" customFormat="1" ht="13.5" x14ac:dyDescent="0.3">
      <c r="B26" s="12" t="s">
        <v>18</v>
      </c>
      <c r="C26" s="11">
        <f>MATCH($B26, code!$A:$A, 0)</f>
        <v>20</v>
      </c>
      <c r="D26" s="9" t="b">
        <f t="shared" si="0"/>
        <v>0</v>
      </c>
      <c r="E26" s="9" t="b">
        <f t="shared" si="1"/>
        <v>0</v>
      </c>
      <c r="F26" s="52" t="str" cm="1">
        <f t="array" ref="F26">IFERROR( INDEX(code!$B:$B, $C26), "")</f>
        <v>유럽</v>
      </c>
      <c r="G26" s="20" t="str" cm="1">
        <f t="array" ref="G26">IFERROR( INDEX(code!$D:$G, $C26, $G$7), "")</f>
        <v>MSI:920800L</v>
      </c>
      <c r="H26" s="24" cm="1">
        <f t="array" aca="1" ref="H26" ca="1">IF( $G26="",
"",
_xll.IMDP( IF($D26*$G$7=1,"IDX","FRN"), $G26, "현재가", $B$4 ) )</f>
        <v>18774.243999999999</v>
      </c>
      <c r="I26" s="14" cm="1">
        <f t="array" aca="1" ref="I26" ca="1">IF( $G26="",
"",
_xll.IMDP( IF($D26*$G$7=1,"IDX","FRN"), $G26, $I$7, $B$4 ) )</f>
        <v>-61.829000000000001</v>
      </c>
      <c r="J26" s="26" t="str" cm="1">
        <f t="array" ref="J26">IFERROR( CHOOSE($K$7,
INDEX(code!$J:$J, $C26),
IF($E26, INDEX(code!$J:$J, $C26), INDEX(code!$H:$H, $C26)&amp;"KRW") ), "")</f>
        <v>USDDKK</v>
      </c>
      <c r="K26" s="28" cm="1">
        <f t="array" aca="1" ref="K26" ca="1">IF( $J26="",
"",
_xll.IMDP( "FX", $J26, IF($D26, "현재가", "NY_BID_Close"), $B$4 ) )</f>
        <v>6.8539000000000003</v>
      </c>
      <c r="L26" s="10" cm="1">
        <f t="array" aca="1" ref="L26" ca="1">IF( $J26="",
"",
      IF($B$4=TODAY(),
      _xll.IMDP( "FX", $J26, IF($D26, "전일종가", "전일BID")),
      IF($D26, _xll.IMDP("FX", $J26, "현재가", WORKDAY($B$4, -1)), _xll.IMDP("FX", $J26, "NY_BID_Chg", $B$4) ) )
)</f>
        <v>-0.1176</v>
      </c>
      <c r="M26" s="29">
        <f t="shared" ca="1" si="2"/>
        <v>-0.1176</v>
      </c>
      <c r="N26" s="22" t="str" cm="1">
        <f t="array" ref="N26">IFERROR( IF( $D26, VLOOKUP(table!$O$7, code!$Q$2:$S$9, 3, 0), INDEX(code!$K:$K, $C26)&amp;$O$7 ), "")</f>
        <v>DK10Y</v>
      </c>
      <c r="O26" s="56" cm="1">
        <f t="array" aca="1" ref="O26" ca="1">IF( $N26="", "", IF( $D26, IF($O$7="01Y", _xll.IMDP("IR", $N26, "수익률", $B$4), _xll.IMDP("BND", $N26, "장내국채-현재수익률", $B$4)), _xll.IMDP("IR", $N26, "BID_Close", $B$4) ) )</f>
        <v>2.8323999999999998</v>
      </c>
      <c r="P26" s="14" cm="1">
        <f t="array" aca="1" ref="P26" ca="1">IF( $O26="",
"",
IF( $D26,
    IF($O$7="01Y",
    _xll.IMDP("IR", $N26, "전일대비", $B$4)*100,
    IF($B$4=TODAY(), _xll.IMDP("BND", $N26, "장내국채-수익률전일대비"), _xll.IMDP("BND", $N26, "장내국채-민평수익률대비", $B$4)*100) ),
_xll.IMDP("IR", $N26, "BID_Chg", $B$4)*100 )
)</f>
        <v>-13</v>
      </c>
    </row>
    <row r="27" spans="2:16" s="7" customFormat="1" ht="13.5" x14ac:dyDescent="0.3">
      <c r="B27" s="12" t="s">
        <v>13</v>
      </c>
      <c r="C27" s="11">
        <f>MATCH($B27, code!$A:$A, 0)</f>
        <v>15</v>
      </c>
      <c r="D27" s="9" t="b">
        <f t="shared" si="0"/>
        <v>0</v>
      </c>
      <c r="E27" s="9" t="b">
        <f t="shared" si="1"/>
        <v>0</v>
      </c>
      <c r="F27" s="52" t="str" cm="1">
        <f t="array" ref="F27">IFERROR( INDEX(code!$B:$B, $C27), "")</f>
        <v>유럽</v>
      </c>
      <c r="G27" s="20" t="str" cm="1">
        <f t="array" ref="G27">IFERROR( INDEX(code!$D:$G, $C27, $G$7), "")</f>
        <v>MSI:957800L</v>
      </c>
      <c r="H27" s="24" cm="1">
        <f t="array" aca="1" ref="H27" ca="1">IF( $G27="",
"",
_xll.IMDP( IF($D27*$G$7=1,"IDX","FRN"), $G27, "현재가", $B$4 ) )</f>
        <v>3541.837</v>
      </c>
      <c r="I27" s="14" cm="1">
        <f t="array" aca="1" ref="I27" ca="1">IF( $G27="",
"",
_xll.IMDP( IF($D27*$G$7=1,"IDX","FRN"), $G27, $I$7, $B$4 ) )</f>
        <v>-17.175999999999998</v>
      </c>
      <c r="J27" s="26" t="str" cm="1">
        <f t="array" ref="J27">IFERROR( CHOOSE($K$7,
INDEX(code!$J:$J, $C27),
IF($E27, INDEX(code!$J:$J, $C27), INDEX(code!$H:$H, $C27)&amp;"KRW") ), "")</f>
        <v>USDNOK</v>
      </c>
      <c r="K27" s="28" cm="1">
        <f t="array" aca="1" ref="K27" ca="1">IF( $J27="",
"",
_xll.IMDP( "FX", $J27, IF($D27, "현재가", "NY_BID_Close"), $B$4 ) )</f>
        <v>10.8726</v>
      </c>
      <c r="L27" s="10" cm="1">
        <f t="array" aca="1" ref="L27" ca="1">IF( $J27="",
"",
      IF($B$4=TODAY(),
      _xll.IMDP( "FX", $J27, IF($D27, "전일종가", "전일BID")),
      IF($D27, _xll.IMDP("FX", $J27, "현재가", WORKDAY($B$4, -1)), _xll.IMDP("FX", $J27, "NY_BID_Chg", $B$4) ) )
)</f>
        <v>-0.2059</v>
      </c>
      <c r="M27" s="29">
        <f t="shared" ca="1" si="2"/>
        <v>-0.2059</v>
      </c>
      <c r="N27" s="22" t="str" cm="1">
        <f t="array" ref="N27">IFERROR( IF( $D27, VLOOKUP(table!$O$7, code!$Q$2:$S$9, 3, 0), INDEX(code!$K:$K, $C27)&amp;$O$7 ), "")</f>
        <v>NO10Y</v>
      </c>
      <c r="O27" s="56" cm="1">
        <f t="array" aca="1" ref="O27" ca="1">IF( $N27="", "", IF( $D27, IF($O$7="01Y", _xll.IMDP("IR", $N27, "수익률", $B$4), _xll.IMDP("BND", $N27, "장내국채-현재수익률", $B$4)), _xll.IMDP("IR", $N27, "BID_Close", $B$4) ) )</f>
        <v>3.7643</v>
      </c>
      <c r="P27" s="14" cm="1">
        <f t="array" aca="1" ref="P27" ca="1">IF( $O27="",
"",
IF( $D27,
    IF($O$7="01Y",
    _xll.IMDP("IR", $N27, "전일대비", $B$4)*100,
    IF($B$4=TODAY(), _xll.IMDP("BND", $N27, "장내국채-수익률전일대비"), _xll.IMDP("BND", $N27, "장내국채-민평수익률대비", $B$4)*100) ),
_xll.IMDP("IR", $N27, "BID_Chg", $B$4)*100 )
)</f>
        <v>-9.98</v>
      </c>
    </row>
    <row r="28" spans="2:16" s="7" customFormat="1" ht="13.5" x14ac:dyDescent="0.3">
      <c r="B28" s="12" t="s">
        <v>101</v>
      </c>
      <c r="C28" s="11">
        <f>MATCH($B28, code!$A:$A, 0)</f>
        <v>111</v>
      </c>
      <c r="D28" s="9" t="b">
        <f t="shared" si="0"/>
        <v>0</v>
      </c>
      <c r="E28" s="9" t="b">
        <f t="shared" si="1"/>
        <v>0</v>
      </c>
      <c r="F28" s="52" t="str" cm="1">
        <f t="array" ref="F28">IFERROR( INDEX(code!$B:$B, $C28), "")</f>
        <v>유럽</v>
      </c>
      <c r="G28" s="20" t="str" cm="1">
        <f t="array" ref="G28">IFERROR( INDEX(code!$D:$G, $C28, $G$7), "")</f>
        <v>MSI:982600L</v>
      </c>
      <c r="H28" s="24" cm="1">
        <f t="array" aca="1" ref="H28" ca="1">IF( $G28="",
"",
_xll.IMDP( IF($D28*$G$7=1,"IDX","FRN"), $G28, "현재가", $B$4 ) )</f>
        <v>2133.5830000000001</v>
      </c>
      <c r="I28" s="14" cm="1">
        <f t="array" aca="1" ref="I28" ca="1">IF( $G28="",
"",
_xll.IMDP( IF($D28*$G$7=1,"IDX","FRN"), $G28, $I$7, $B$4 ) )</f>
        <v>2.72</v>
      </c>
      <c r="J28" s="26" t="str" cm="1">
        <f t="array" ref="J28">IFERROR( CHOOSE($K$7,
INDEX(code!$J:$J, $C28),
IF($E28, INDEX(code!$J:$J, $C28), INDEX(code!$H:$H, $C28)&amp;"KRW") ), "")</f>
        <v>GBPUSD</v>
      </c>
      <c r="K28" s="28" cm="1">
        <f t="array" aca="1" ref="K28" ca="1">IF( $J28="",
"",
_xll.IMDP( "FX", $J28, IF($D28, "현재가", "NY_BID_Close"), $B$4 ) )</f>
        <v>1.2501100000000001</v>
      </c>
      <c r="L28" s="10" cm="1">
        <f t="array" aca="1" ref="L28" ca="1">IF( $J28="",
"",
      IF($B$4=TODAY(),
      _xll.IMDP( "FX", $J28, IF($D28, "전일종가", "전일BID")),
      IF($D28, _xll.IMDP("FX", $J28, "현재가", WORKDAY($B$4, -1)), _xll.IMDP("FX", $J28, "NY_BID_Chg", $B$4) ) )
)</f>
        <v>2.247E-2</v>
      </c>
      <c r="M28" s="29">
        <f t="shared" ca="1" si="2"/>
        <v>2.247E-2</v>
      </c>
      <c r="N28" s="22" t="str" cm="1">
        <f t="array" ref="N28">IFERROR( IF( $D28, VLOOKUP(table!$O$7, code!$Q$2:$S$9, 3, 0), INDEX(code!$K:$K, $C28)&amp;$O$7 ), "")</f>
        <v>GB10Y</v>
      </c>
      <c r="O28" s="56" cm="1">
        <f t="array" aca="1" ref="O28" ca="1">IF( $N28="", "", IF( $D28, IF($O$7="01Y", _xll.IMDP("IR", $N28, "수익률", $B$4), _xll.IMDP("BND", $N28, "장내국채-현재수익률", $B$4)), _xll.IMDP("IR", $N28, "BID_Close", $B$4) ) )</f>
        <v>4.1574</v>
      </c>
      <c r="P28" s="14" cm="1">
        <f t="array" aca="1" ref="P28" ca="1">IF( $O28="",
"",
IF( $D28,
    IF($O$7="01Y",
    _xll.IMDP("IR", $N28, "전일대비", $B$4)*100,
    IF($B$4=TODAY(), _xll.IMDP("BND", $N28, "장내국채-수익률전일대비"), _xll.IMDP("BND", $N28, "장내국채-민평수익률대비", $B$4)*100) ),
_xll.IMDP("IR", $N28, "BID_Chg", $B$4)*100 )
)</f>
        <v>-16.600000000000001</v>
      </c>
    </row>
    <row r="29" spans="2:16" s="7" customFormat="1" ht="13.5" x14ac:dyDescent="0.3">
      <c r="B29" s="12" t="s">
        <v>77</v>
      </c>
      <c r="C29" s="11">
        <f>MATCH($B29, code!$A:$A, 0)</f>
        <v>85</v>
      </c>
      <c r="D29" s="9" t="b">
        <f t="shared" si="0"/>
        <v>0</v>
      </c>
      <c r="E29" s="9" t="b">
        <f t="shared" si="1"/>
        <v>0</v>
      </c>
      <c r="F29" s="52" t="str" cm="1">
        <f t="array" ref="F29">IFERROR( INDEX(code!$B:$B, $C29), "")</f>
        <v>유럽</v>
      </c>
      <c r="G29" s="20" t="str" cm="1">
        <f t="array" ref="G29">IFERROR( INDEX(code!$D:$G, $C29, $G$7), "")</f>
        <v>MSI:975200L</v>
      </c>
      <c r="H29" s="24" cm="1">
        <f t="array" aca="1" ref="H29" ca="1">IF( $G29="",
"",
_xll.IMDP( IF($D29*$G$7=1,"IDX","FRN"), $G29, "현재가", $B$4 ) )</f>
        <v>16919.707999999999</v>
      </c>
      <c r="I29" s="14" cm="1">
        <f t="array" aca="1" ref="I29" ca="1">IF( $G29="",
"",
_xll.IMDP( IF($D29*$G$7=1,"IDX","FRN"), $G29, $I$7, $B$4 ) )</f>
        <v>440.74099999999999</v>
      </c>
      <c r="J29" s="26" t="str" cm="1">
        <f t="array" ref="J29">IFERROR( CHOOSE($K$7,
INDEX(code!$J:$J, $C29),
IF($E29, INDEX(code!$J:$J, $C29), INDEX(code!$H:$H, $C29)&amp;"KRW") ), "")</f>
        <v>USDSEK</v>
      </c>
      <c r="K29" s="28" cm="1">
        <f t="array" aca="1" ref="K29" ca="1">IF( $J29="",
"",
_xll.IMDP( "FX", $J29, IF($D29, "현재가", "NY_BID_Close"), $B$4 ) )</f>
        <v>10.582100000000001</v>
      </c>
      <c r="L29" s="10" cm="1">
        <f t="array" aca="1" ref="L29" ca="1">IF( $J29="",
"",
      IF($B$4=TODAY(),
      _xll.IMDP( "FX", $J29, IF($D29, "전일종가", "전일BID")),
      IF($D29, _xll.IMDP("FX", $J29, "현재가", WORKDAY($B$4, -1)), _xll.IMDP("FX", $J29, "NY_BID_Chg", $B$4) ) )
)</f>
        <v>-0.26040000000000002</v>
      </c>
      <c r="M29" s="29">
        <f t="shared" ca="1" si="2"/>
        <v>-0.26040000000000002</v>
      </c>
      <c r="N29" s="22" t="str" cm="1">
        <f t="array" ref="N29">IFERROR( IF( $D29, VLOOKUP(table!$O$7, code!$Q$2:$S$9, 3, 0), INDEX(code!$K:$K, $C29)&amp;$O$7 ), "")</f>
        <v>SE10Y</v>
      </c>
      <c r="O29" s="56" cm="1">
        <f t="array" aca="1" ref="O29" ca="1">IF( $N29="", "", IF( $D29, IF($O$7="01Y", _xll.IMDP("IR", $N29, "수익률", $B$4), _xll.IMDP("BND", $N29, "장내국채-현재수익률", $B$4)), _xll.IMDP("IR", $N29, "BID_Close", $B$4) ) )</f>
        <v>2.7216</v>
      </c>
      <c r="P29" s="14" cm="1">
        <f t="array" aca="1" ref="P29" ca="1">IF( $O29="",
"",
IF( $D29,
    IF($O$7="01Y",
    _xll.IMDP("IR", $N29, "전일대비", $B$4)*100,
    IF($B$4=TODAY(), _xll.IMDP("BND", $N29, "장내국채-수익률전일대비"), _xll.IMDP("BND", $N29, "장내국채-민평수익률대비", $B$4)*100) ),
_xll.IMDP("IR", $N29, "BID_Chg", $B$4)*100 )
)</f>
        <v>-14.360000000000001</v>
      </c>
    </row>
    <row r="30" spans="2:16" s="7" customFormat="1" ht="13.5" x14ac:dyDescent="0.3">
      <c r="B30" s="12" t="s">
        <v>161</v>
      </c>
      <c r="C30" s="11">
        <f>MATCH($B30, code!$A:$A, 0)</f>
        <v>182</v>
      </c>
      <c r="D30" s="9" t="b">
        <f t="shared" si="0"/>
        <v>0</v>
      </c>
      <c r="E30" s="9" t="b">
        <f t="shared" si="1"/>
        <v>0</v>
      </c>
      <c r="F30" s="52" t="str" cm="1">
        <f t="array" ref="F30">IFERROR( INDEX(code!$B:$B, $C30), "")</f>
        <v>유럽</v>
      </c>
      <c r="G30" s="20" t="str" cm="1">
        <f t="array" ref="G30">IFERROR( INDEX(code!$D:$G, $C30, $G$7), "")</f>
        <v>MSI:961600L</v>
      </c>
      <c r="H30" s="24" cm="1">
        <f t="array" aca="1" ref="H30" ca="1">IF( $G30="",
"",
_xll.IMDP( IF($D30*$G$7=1,"IDX","FRN"), $G30, "현재가", $B$4 ) )</f>
        <v>1427.3</v>
      </c>
      <c r="I30" s="14" cm="1">
        <f t="array" aca="1" ref="I30" ca="1">IF( $G30="",
"",
_xll.IMDP( IF($D30*$G$7=1,"IDX","FRN"), $G30, $I$7, $B$4 ) )</f>
        <v>70.387</v>
      </c>
      <c r="J30" s="26" t="str" cm="1">
        <f t="array" ref="J30">IFERROR( CHOOSE($K$7,
INDEX(code!$J:$J, $C30),
IF($E30, INDEX(code!$J:$J, $C30), INDEX(code!$H:$H, $C30)&amp;"KRW") ), "")</f>
        <v>USDPLN</v>
      </c>
      <c r="K30" s="28" cm="1">
        <f t="array" aca="1" ref="K30" ca="1">IF( $J30="",
"",
_xll.IMDP( "FX", $J30, IF($D30, "현재가", "NY_BID_Close"), $B$4 ) )</f>
        <v>4.0414000000000003</v>
      </c>
      <c r="L30" s="10" cm="1">
        <f t="array" aca="1" ref="L30" ca="1">IF( $J30="",
"",
      IF($B$4=TODAY(),
      _xll.IMDP( "FX", $J30, IF($D30, "전일종가", "전일BID")),
      IF($D30, _xll.IMDP("FX", $J30, "현재가", WORKDAY($B$4, -1)), _xll.IMDP("FX", $J30, "NY_BID_Chg", $B$4) ) )
)</f>
        <v>-9.7199999999999995E-2</v>
      </c>
      <c r="M30" s="29">
        <f t="shared" ca="1" si="2"/>
        <v>-9.7199999999999995E-2</v>
      </c>
      <c r="N30" s="22" t="str" cm="1">
        <f t="array" ref="N30">IFERROR( IF( $D30, VLOOKUP(table!$O$7, code!$Q$2:$S$9, 3, 0), INDEX(code!$K:$K, $C30)&amp;$O$7 ), "")</f>
        <v>PL10Y</v>
      </c>
      <c r="O30" s="56" cm="1">
        <f t="array" aca="1" ref="O30" ca="1">IF( $N30="", "", IF( $D30, IF($O$7="01Y", _xll.IMDP("IR", $N30, "수익률", $B$4), _xll.IMDP("BND", $N30, "장내국채-현재수익률", $B$4)), _xll.IMDP("IR", $N30, "BID_Close", $B$4) ) )</f>
        <v>5.5410000000000004</v>
      </c>
      <c r="P30" s="14" cm="1">
        <f t="array" aca="1" ref="P30" ca="1">IF( $O30="",
"",
IF( $D30,
    IF($O$7="01Y",
    _xll.IMDP("IR", $N30, "전일대비", $B$4)*100,
    IF($B$4=TODAY(), _xll.IMDP("BND", $N30, "장내국채-수익률전일대비"), _xll.IMDP("BND", $N30, "장내국채-민평수익률대비", $B$4)*100) ),
_xll.IMDP("IR", $N30, "BID_Chg", $B$4)*100 )
)</f>
        <v>0</v>
      </c>
    </row>
    <row r="31" spans="2:16" s="7" customFormat="1" ht="13.5" x14ac:dyDescent="0.3">
      <c r="B31" s="12" t="s">
        <v>166</v>
      </c>
      <c r="C31" s="11">
        <f>MATCH($B31, code!$A:$A, 0)</f>
        <v>189</v>
      </c>
      <c r="D31" s="9" t="b">
        <f t="shared" si="0"/>
        <v>0</v>
      </c>
      <c r="E31" s="9" t="b">
        <f t="shared" si="1"/>
        <v>0</v>
      </c>
      <c r="F31" s="52" t="str" cm="1">
        <f t="array" ref="F31">IFERROR( INDEX(code!$B:$B, $C31), "")</f>
        <v>유럽</v>
      </c>
      <c r="G31" s="20" t="str" cm="1">
        <f t="array" ref="G31">IFERROR( INDEX(code!$D:$G, $C31, $G$7), "")</f>
        <v>MSI:934800L</v>
      </c>
      <c r="H31" s="24" cm="1">
        <f t="array" aca="1" ref="H31" ca="1">IF( $G31="",
"",
_xll.IMDP( IF($D31*$G$7=1,"IDX","FRN"), $G31, "현재가", $B$4 ) )</f>
        <v>2277.953</v>
      </c>
      <c r="I31" s="14" cm="1">
        <f t="array" aca="1" ref="I31" ca="1">IF( $G31="",
"",
_xll.IMDP( IF($D31*$G$7=1,"IDX","FRN"), $G31, $I$7, $B$4 ) )</f>
        <v>27.109000000000002</v>
      </c>
      <c r="J31" s="26" t="str" cm="1">
        <f t="array" ref="J31">IFERROR( CHOOSE($K$7,
INDEX(code!$J:$J, $C31),
IF($E31, INDEX(code!$J:$J, $C31), INDEX(code!$H:$H, $C31)&amp;"KRW") ), "")</f>
        <v>USDHUF</v>
      </c>
      <c r="K31" s="28" cm="1">
        <f t="array" aca="1" ref="K31" ca="1">IF( $J31="",
"",
_xll.IMDP( "FX", $J31, IF($D31, "현재가", "NY_BID_Close"), $B$4 ) )</f>
        <v>345.42</v>
      </c>
      <c r="L31" s="10" cm="1">
        <f t="array" aca="1" ref="L31" ca="1">IF( $J31="",
"",
      IF($B$4=TODAY(),
      _xll.IMDP( "FX", $J31, IF($D31, "전일종가", "전일BID")),
      IF($D31, _xll.IMDP("FX", $J31, "현재가", WORKDAY($B$4, -1)), _xll.IMDP("FX", $J31, "NY_BID_Chg", $B$4) ) )
)</f>
        <v>-7.08</v>
      </c>
      <c r="M31" s="29">
        <f t="shared" ca="1" si="2"/>
        <v>-7.08</v>
      </c>
      <c r="N31" s="22" t="str" cm="1">
        <f t="array" ref="N31">IFERROR( IF( $D31, VLOOKUP(table!$O$7, code!$Q$2:$S$9, 3, 0), INDEX(code!$K:$K, $C31)&amp;$O$7 ), "")</f>
        <v>HU10Y</v>
      </c>
      <c r="O31" s="56" cm="1">
        <f t="array" aca="1" ref="O31" ca="1">IF( $N31="", "", IF( $D31, IF($O$7="01Y", _xll.IMDP("IR", $N31, "수익률", $B$4), _xll.IMDP("BND", $N31, "장내국채-현재수익률", $B$4)), _xll.IMDP("IR", $N31, "BID_Close", $B$4) ) )</f>
        <v>6.87</v>
      </c>
      <c r="P31" s="14" cm="1">
        <f t="array" aca="1" ref="P31" ca="1">IF( $O31="",
"",
IF( $D31,
    IF($O$7="01Y",
    _xll.IMDP("IR", $N31, "전일대비", $B$4)*100,
    IF($B$4=TODAY(), _xll.IMDP("BND", $N31, "장내국채-수익률전일대비"), _xll.IMDP("BND", $N31, "장내국채-민평수익률대비", $B$4)*100) ),
_xll.IMDP("IR", $N31, "BID_Chg", $B$4)*100 )
)</f>
        <v>-12</v>
      </c>
    </row>
    <row r="32" spans="2:16" s="7" customFormat="1" ht="13.5" x14ac:dyDescent="0.3">
      <c r="B32" s="12" t="s">
        <v>125</v>
      </c>
      <c r="C32" s="11">
        <f>MATCH($B32, code!$A:$A, 0)</f>
        <v>144</v>
      </c>
      <c r="D32" s="9" t="b">
        <f t="shared" si="0"/>
        <v>0</v>
      </c>
      <c r="E32" s="9" t="b">
        <f t="shared" si="1"/>
        <v>0</v>
      </c>
      <c r="F32" s="52" t="str" cm="1">
        <f t="array" ref="F32">IFERROR( INDEX(code!$B:$B, $C32), "")</f>
        <v>유럽</v>
      </c>
      <c r="G32" s="20" t="str" cm="1">
        <f t="array" ref="G32">IFERROR( INDEX(code!$D:$G, $C32, $G$7), "")</f>
        <v>MSI:920000L</v>
      </c>
      <c r="H32" s="24" cm="1">
        <f t="array" aca="1" ref="H32" ca="1">IF( $G32="",
"",
_xll.IMDP( IF($D32*$G$7=1,"IDX","FRN"), $G32, "현재가", $B$4 ) )</f>
        <v>315.94099999999997</v>
      </c>
      <c r="I32" s="14" cm="1">
        <f t="array" aca="1" ref="I32" ca="1">IF( $G32="",
"",
_xll.IMDP( IF($D32*$G$7=1,"IDX","FRN"), $G32, $I$7, $B$4 ) )</f>
        <v>2.3159999999999998</v>
      </c>
      <c r="J32" s="26" t="str" cm="1">
        <f t="array" ref="J32">IFERROR( CHOOSE($K$7,
INDEX(code!$J:$J, $C32),
IF($E32, INDEX(code!$J:$J, $C32), INDEX(code!$H:$H, $C32)&amp;"KRW") ), "")</f>
        <v>USDCZK</v>
      </c>
      <c r="K32" s="28" cm="1">
        <f t="array" aca="1" ref="K32" ca="1">IF( $J32="",
"",
_xll.IMDP( "FX", $J32, IF($D32, "현재가", "NY_BID_Close"), $B$4 ) )</f>
        <v>22.459</v>
      </c>
      <c r="L32" s="10" cm="1">
        <f t="array" aca="1" ref="L32" ca="1">IF( $J32="",
"",
      IF($B$4=TODAY(),
      _xll.IMDP( "FX", $J32, IF($D32, "전일종가", "전일BID")),
      IF($D32, _xll.IMDP("FX", $J32, "현재가", WORKDAY($B$4, -1)), _xll.IMDP("FX", $J32, "NY_BID_Chg", $B$4) ) )
)</f>
        <v>-0.505</v>
      </c>
      <c r="M32" s="29">
        <f t="shared" ca="1" si="2"/>
        <v>-0.505</v>
      </c>
      <c r="N32" s="22" t="str" cm="1">
        <f t="array" ref="N32">IFERROR( IF( $D32, VLOOKUP(table!$O$7, code!$Q$2:$S$9, 3, 0), INDEX(code!$K:$K, $C32)&amp;$O$7 ), "")</f>
        <v>CZ10Y</v>
      </c>
      <c r="O32" s="56" t="str" cm="1">
        <f t="array" aca="1" ref="O32" ca="1">IF( $N32="", "", IF( $D32, IF($O$7="01Y", _xll.IMDP("IR", $N32, "수익률", $B$4), _xll.IMDP("BND", $N32, "장내국채-현재수익률", $B$4)), _xll.IMDP("IR", $N32, "BID_Close", $B$4) ) )</f>
        <v/>
      </c>
      <c r="P32" s="14" t="str" cm="1">
        <f t="array" aca="1" ref="P32" ca="1">IF( $O32="",
"",
IF( $D32,
    IF($O$7="01Y",
    _xll.IMDP("IR", $N32, "전일대비", $B$4)*100,
    IF($B$4=TODAY(), _xll.IMDP("BND", $N32, "장내국채-수익률전일대비"), _xll.IMDP("BND", $N32, "장내국채-민평수익률대비", $B$4)*100) ),
_xll.IMDP("IR", $N32, "BID_Chg", $B$4)*100 )
)</f>
        <v/>
      </c>
    </row>
    <row r="33" spans="2:16" s="7" customFormat="1" ht="13.5" x14ac:dyDescent="0.3">
      <c r="B33" s="12" t="s">
        <v>79</v>
      </c>
      <c r="C33" s="11">
        <f>MATCH($B33, code!$A:$A, 0)</f>
        <v>87</v>
      </c>
      <c r="D33" s="9" t="b">
        <f t="shared" si="0"/>
        <v>0</v>
      </c>
      <c r="E33" s="9" t="b">
        <f t="shared" si="1"/>
        <v>0</v>
      </c>
      <c r="F33" s="52" t="str" cm="1">
        <f t="array" ref="F33">IFERROR( INDEX(code!$B:$B, $C33), "")</f>
        <v>유럽</v>
      </c>
      <c r="G33" s="20" t="str" cm="1">
        <f t="array" ref="G33">IFERROR( INDEX(code!$D:$G, $C33, $G$7), "")</f>
        <v>MSI:972400L</v>
      </c>
      <c r="H33" s="24" cm="1">
        <f t="array" aca="1" ref="H33" ca="1">IF( $G33="",
"",
_xll.IMDP( IF($D33*$G$7=1,"IDX","FRN"), $G33, "현재가", $B$4 ) )</f>
        <v>973.428</v>
      </c>
      <c r="I33" s="14" cm="1">
        <f t="array" aca="1" ref="I33" ca="1">IF( $G33="",
"",
_xll.IMDP( IF($D33*$G$7=1,"IDX","FRN"), $G33, $I$7, $B$4 ) )</f>
        <v>15.739000000000001</v>
      </c>
      <c r="J33" s="26" t="str" cm="1">
        <f t="array" ref="J33">IFERROR( CHOOSE($K$7,
INDEX(code!$J:$J, $C33),
IF($E33, INDEX(code!$J:$J, $C33), INDEX(code!$H:$H, $C33)&amp;"KRW") ), "")</f>
        <v>EURUSD</v>
      </c>
      <c r="K33" s="28" cm="1">
        <f t="array" aca="1" ref="K33" ca="1">IF( $J33="",
"",
_xll.IMDP( "FX", $J33, IF($D33, "현재가", "NY_BID_Close"), $B$4 ) )</f>
        <v>1.0882499999999999</v>
      </c>
      <c r="L33" s="10" cm="1">
        <f t="array" aca="1" ref="L33" ca="1">IF( $J33="",
"",
      IF($B$4=TODAY(),
      _xll.IMDP( "FX", $J33, IF($D33, "전일종가", "전일BID")),
      IF($D33, _xll.IMDP("FX", $J33, "현재가", WORKDAY($B$4, -1)), _xll.IMDP("FX", $J33, "NY_BID_Chg", $B$4) ) )
)</f>
        <v>1.8249999999999999E-2</v>
      </c>
      <c r="M33" s="29">
        <f t="shared" ca="1" si="2"/>
        <v>1.8249999999999999E-2</v>
      </c>
      <c r="N33" s="22" t="str" cm="1">
        <f t="array" ref="N33">IFERROR( IF( $D33, VLOOKUP(table!$O$7, code!$Q$2:$S$9, 3, 0), INDEX(code!$K:$K, $C33)&amp;$O$7 ), "")</f>
        <v>ES10Y</v>
      </c>
      <c r="O33" s="56" cm="1">
        <f t="array" aca="1" ref="O33" ca="1">IF( $N33="", "", IF( $D33, IF($O$7="01Y", _xll.IMDP("IR", $N33, "수익률", $B$4), _xll.IMDP("BND", $N33, "장내국채-현재수익률", $B$4)), _xll.IMDP("IR", $N33, "BID_Close", $B$4) ) )</f>
        <v>3.6467000000000001</v>
      </c>
      <c r="P33" s="14" cm="1">
        <f t="array" aca="1" ref="P33" ca="1">IF( $O33="",
"",
IF( $D33,
    IF($O$7="01Y",
    _xll.IMDP("IR", $N33, "전일대비", $B$4)*100,
    IF($B$4=TODAY(), _xll.IMDP("BND", $N33, "장내국채-수익률전일대비"), _xll.IMDP("BND", $N33, "장내국채-민평수익률대비", $B$4)*100) ),
_xll.IMDP("IR", $N33, "BID_Chg", $B$4)*100 )
)</f>
        <v>-13.389999999999999</v>
      </c>
    </row>
    <row r="34" spans="2:16" s="7" customFormat="1" ht="13.5" x14ac:dyDescent="0.3">
      <c r="B34" s="12" t="s">
        <v>57</v>
      </c>
      <c r="C34" s="11">
        <f>MATCH($B34, code!$A:$A, 0)</f>
        <v>61</v>
      </c>
      <c r="D34" s="9" t="b">
        <f t="shared" si="0"/>
        <v>0</v>
      </c>
      <c r="E34" s="9" t="b">
        <f t="shared" si="1"/>
        <v>0</v>
      </c>
      <c r="F34" s="52" t="str" cm="1">
        <f t="array" ref="F34">IFERROR( INDEX(code!$B:$B, $C34), "")</f>
        <v>유럽</v>
      </c>
      <c r="G34" s="20" t="str" cm="1">
        <f t="array" ref="G34">IFERROR( INDEX(code!$D:$G, $C34, $G$7), "")</f>
        <v>MSI:905600L</v>
      </c>
      <c r="H34" s="24" cm="1">
        <f t="array" aca="1" ref="H34" ca="1">IF( $G34="",
"",
_xll.IMDP( IF($D34*$G$7=1,"IDX","FRN"), $G34, "현재가", $B$4 ) )</f>
        <v>899.70100000000002</v>
      </c>
      <c r="I34" s="14" cm="1">
        <f t="array" aca="1" ref="I34" ca="1">IF( $G34="",
"",
_xll.IMDP( IF($D34*$G$7=1,"IDX","FRN"), $G34, $I$7, $B$4 ) )</f>
        <v>7.8959999999999999</v>
      </c>
      <c r="J34" s="26" t="str" cm="1">
        <f t="array" ref="J34">IFERROR( CHOOSE($K$7,
INDEX(code!$J:$J, $C34),
IF($E34, INDEX(code!$J:$J, $C34), INDEX(code!$H:$H, $C34)&amp;"KRW") ), "")</f>
        <v>EURUSD</v>
      </c>
      <c r="K34" s="28" cm="1">
        <f t="array" aca="1" ref="K34" ca="1">IF( $J34="",
"",
_xll.IMDP( "FX", $J34, IF($D34, "현재가", "NY_BID_Close"), $B$4 ) )</f>
        <v>1.0882499999999999</v>
      </c>
      <c r="L34" s="10" cm="1">
        <f t="array" aca="1" ref="L34" ca="1">IF( $J34="",
"",
      IF($B$4=TODAY(),
      _xll.IMDP( "FX", $J34, IF($D34, "전일종가", "전일BID")),
      IF($D34, _xll.IMDP("FX", $J34, "현재가", WORKDAY($B$4, -1)), _xll.IMDP("FX", $J34, "NY_BID_Chg", $B$4) ) )
)</f>
        <v>1.8249999999999999E-2</v>
      </c>
      <c r="M34" s="29">
        <f t="shared" ca="1" si="2"/>
        <v>1.8249999999999999E-2</v>
      </c>
      <c r="N34" s="22" t="str" cm="1">
        <f t="array" ref="N34">IFERROR( IF( $D34, VLOOKUP(table!$O$7, code!$Q$2:$S$9, 3, 0), INDEX(code!$K:$K, $C34)&amp;$O$7 ), "")</f>
        <v>BE10Y</v>
      </c>
      <c r="O34" s="56" cm="1">
        <f t="array" aca="1" ref="O34" ca="1">IF( $N34="", "", IF( $D34, IF($O$7="01Y", _xll.IMDP("IR", $N34, "수익률", $B$4), _xll.IMDP("BND", $N34, "장내국채-현재수익률", $B$4)), _xll.IMDP("IR", $N34, "BID_Close", $B$4) ) )</f>
        <v>3.2010000000000001</v>
      </c>
      <c r="P34" s="14" cm="1">
        <f t="array" aca="1" ref="P34" ca="1">IF( $O34="",
"",
IF( $D34,
    IF($O$7="01Y",
    _xll.IMDP("IR", $N34, "전일대비", $B$4)*100,
    IF($B$4=TODAY(), _xll.IMDP("BND", $N34, "장내국채-수익률전일대비"), _xll.IMDP("BND", $N34, "장내국채-민평수익률대비", $B$4)*100) ),
_xll.IMDP("IR", $N34, "BID_Chg", $B$4)*100 )
)</f>
        <v>-13.969999999999999</v>
      </c>
    </row>
    <row r="35" spans="2:16" s="7" customFormat="1" ht="13.5" x14ac:dyDescent="0.3">
      <c r="B35" s="12" t="s">
        <v>20</v>
      </c>
      <c r="C35" s="11">
        <f>MATCH($B35, code!$A:$A, 0)</f>
        <v>22</v>
      </c>
      <c r="D35" s="9" t="b">
        <f t="shared" si="0"/>
        <v>0</v>
      </c>
      <c r="E35" s="9" t="b">
        <f t="shared" si="1"/>
        <v>0</v>
      </c>
      <c r="F35" s="52" t="str" cm="1">
        <f t="array" ref="F35">IFERROR( INDEX(code!$B:$B, $C35), "")</f>
        <v>유럽</v>
      </c>
      <c r="G35" s="20" t="str" cm="1">
        <f t="array" ref="G35">IFERROR( INDEX(code!$D:$G, $C35, $G$7), "")</f>
        <v>MSI:928000L</v>
      </c>
      <c r="H35" s="24" cm="1">
        <f t="array" aca="1" ref="H35" ca="1">IF( $G35="",
"",
_xll.IMDP( IF($D35*$G$7=1,"IDX","FRN"), $G35, "현재가", $B$4 ) )</f>
        <v>985.928</v>
      </c>
      <c r="I35" s="14" cm="1">
        <f t="array" aca="1" ref="I35" ca="1">IF( $G35="",
"",
_xll.IMDP( IF($D35*$G$7=1,"IDX","FRN"), $G35, $I$7, $B$4 ) )</f>
        <v>18.547000000000001</v>
      </c>
      <c r="J35" s="26" t="str" cm="1">
        <f t="array" ref="J35">IFERROR( CHOOSE($K$7,
INDEX(code!$J:$J, $C35),
IF($E35, INDEX(code!$J:$J, $C35), INDEX(code!$H:$H, $C35)&amp;"KRW") ), "")</f>
        <v>EURUSD</v>
      </c>
      <c r="K35" s="28" cm="1">
        <f t="array" aca="1" ref="K35" ca="1">IF( $J35="",
"",
_xll.IMDP( "FX", $J35, IF($D35, "현재가", "NY_BID_Close"), $B$4 ) )</f>
        <v>1.0882499999999999</v>
      </c>
      <c r="L35" s="10" cm="1">
        <f t="array" aca="1" ref="L35" ca="1">IF( $J35="",
"",
      IF($B$4=TODAY(),
      _xll.IMDP( "FX", $J35, IF($D35, "전일종가", "전일BID")),
      IF($D35, _xll.IMDP("FX", $J35, "현재가", WORKDAY($B$4, -1)), _xll.IMDP("FX", $J35, "NY_BID_Chg", $B$4) ) )
)</f>
        <v>1.8249999999999999E-2</v>
      </c>
      <c r="M35" s="29">
        <f t="shared" ca="1" si="2"/>
        <v>1.8249999999999999E-2</v>
      </c>
      <c r="N35" s="22" t="str" cm="1">
        <f t="array" ref="N35">IFERROR( IF( $D35, VLOOKUP(table!$O$7, code!$Q$2:$S$9, 3, 0), INDEX(code!$K:$K, $C35)&amp;$O$7 ), "")</f>
        <v>DE10Y</v>
      </c>
      <c r="O35" s="56" cm="1">
        <f t="array" aca="1" ref="O35" ca="1">IF( $N35="", "", IF( $D35, IF($O$7="01Y", _xll.IMDP("IR", $N35, "수익률", $B$4), _xll.IMDP("BND", $N35, "장내국채-현재수익률", $B$4)), _xll.IMDP("IR", $N35, "BID_Close", $B$4) ) )</f>
        <v>2.6061999999999999</v>
      </c>
      <c r="P35" s="14" cm="1">
        <f t="array" aca="1" ref="P35" ca="1">IF( $O35="",
"",
IF( $D35,
    IF($O$7="01Y",
    _xll.IMDP("IR", $N35, "전일대비", $B$4)*100,
    IF($B$4=TODAY(), _xll.IMDP("BND", $N35, "장내국채-수익률전일대비"), _xll.IMDP("BND", $N35, "장내국채-민평수익률대비", $B$4)*100) ),
_xll.IMDP("IR", $N35, "BID_Chg", $B$4)*100 )
)</f>
        <v>-11.1</v>
      </c>
    </row>
    <row r="36" spans="2:16" s="7" customFormat="1" ht="13.5" x14ac:dyDescent="0.3">
      <c r="B36" s="12" t="s">
        <v>11</v>
      </c>
      <c r="C36" s="11">
        <f>MATCH($B36, code!$A:$A, 0)</f>
        <v>13</v>
      </c>
      <c r="D36" s="9" t="b">
        <f t="shared" si="0"/>
        <v>0</v>
      </c>
      <c r="E36" s="9" t="b">
        <f t="shared" si="1"/>
        <v>0</v>
      </c>
      <c r="F36" s="52" t="str" cm="1">
        <f t="array" ref="F36">IFERROR( INDEX(code!$B:$B, $C36), "")</f>
        <v>유럽</v>
      </c>
      <c r="G36" s="20" t="str" cm="1">
        <f t="array" ref="G36">IFERROR( INDEX(code!$D:$G, $C36, $G$7), "")</f>
        <v>MSI:952800L</v>
      </c>
      <c r="H36" s="24" cm="1">
        <f t="array" aca="1" ref="H36" ca="1">IF( $G36="",
"",
_xll.IMDP( IF($D36*$G$7=1,"IDX","FRN"), $G36, "현재가", $B$4 ) )</f>
        <v>2455.125</v>
      </c>
      <c r="I36" s="14" cm="1">
        <f t="array" aca="1" ref="I36" ca="1">IF( $G36="",
"",
_xll.IMDP( IF($D36*$G$7=1,"IDX","FRN"), $G36, $I$7, $B$4 ) )</f>
        <v>36.729999999999997</v>
      </c>
      <c r="J36" s="26" t="str" cm="1">
        <f t="array" ref="J36">IFERROR( CHOOSE($K$7,
INDEX(code!$J:$J, $C36),
IF($E36, INDEX(code!$J:$J, $C36), INDEX(code!$H:$H, $C36)&amp;"KRW") ), "")</f>
        <v>EURUSD</v>
      </c>
      <c r="K36" s="28" cm="1">
        <f t="array" aca="1" ref="K36" ca="1">IF( $J36="",
"",
_xll.IMDP( "FX", $J36, IF($D36, "현재가", "NY_BID_Close"), $B$4 ) )</f>
        <v>1.0882499999999999</v>
      </c>
      <c r="L36" s="10" cm="1">
        <f t="array" aca="1" ref="L36" ca="1">IF( $J36="",
"",
      IF($B$4=TODAY(),
      _xll.IMDP( "FX", $J36, IF($D36, "전일종가", "전일BID")),
      IF($D36, _xll.IMDP("FX", $J36, "현재가", WORKDAY($B$4, -1)), _xll.IMDP("FX", $J36, "NY_BID_Chg", $B$4) ) )
)</f>
        <v>1.8249999999999999E-2</v>
      </c>
      <c r="M36" s="29">
        <f t="shared" ca="1" si="2"/>
        <v>1.8249999999999999E-2</v>
      </c>
      <c r="N36" s="22" t="str" cm="1">
        <f t="array" ref="N36">IFERROR( IF( $D36, VLOOKUP(table!$O$7, code!$Q$2:$S$9, 3, 0), INDEX(code!$K:$K, $C36)&amp;$O$7 ), "")</f>
        <v>NL10Y</v>
      </c>
      <c r="O36" s="56" cm="1">
        <f t="array" aca="1" ref="O36" ca="1">IF( $N36="", "", IF( $D36, IF($O$7="01Y", _xll.IMDP("IR", $N36, "수익률", $B$4), _xll.IMDP("BND", $N36, "장내국채-현재수익률", $B$4)), _xll.IMDP("IR", $N36, "BID_Close", $B$4) ) )</f>
        <v>2.9317000000000002</v>
      </c>
      <c r="P36" s="14" cm="1">
        <f t="array" aca="1" ref="P36" ca="1">IF( $O36="",
"",
IF( $D36,
    IF($O$7="01Y",
    _xll.IMDP("IR", $N36, "전일대비", $B$4)*100,
    IF($B$4=TODAY(), _xll.IMDP("BND", $N36, "장내국채-수익률전일대비"), _xll.IMDP("BND", $N36, "장내국채-민평수익률대비", $B$4)*100) ),
_xll.IMDP("IR", $N36, "BID_Chg", $B$4)*100 )
)</f>
        <v>-13.68</v>
      </c>
    </row>
    <row r="37" spans="2:16" s="7" customFormat="1" ht="13.5" x14ac:dyDescent="0.3">
      <c r="B37" s="12" t="s">
        <v>162</v>
      </c>
      <c r="C37" s="11">
        <f>MATCH($B37, code!$A:$A, 0)</f>
        <v>183</v>
      </c>
      <c r="D37" s="9" t="b">
        <f t="shared" si="0"/>
        <v>0</v>
      </c>
      <c r="E37" s="9" t="b">
        <f t="shared" si="1"/>
        <v>0</v>
      </c>
      <c r="F37" s="52" t="str" cm="1">
        <f t="array" ref="F37">IFERROR( INDEX(code!$B:$B, $C37), "")</f>
        <v>유럽</v>
      </c>
      <c r="G37" s="20" t="str" cm="1">
        <f t="array" ref="G37">IFERROR( INDEX(code!$D:$G, $C37, $G$7), "")</f>
        <v>MSI:925000L</v>
      </c>
      <c r="H37" s="24" cm="1">
        <f t="array" aca="1" ref="H37" ca="1">IF( $G37="",
"",
_xll.IMDP( IF($D37*$G$7=1,"IDX","FRN"), $G37, "현재가", $B$4 ) )</f>
        <v>2521.7979999999998</v>
      </c>
      <c r="I37" s="14" cm="1">
        <f t="array" aca="1" ref="I37" ca="1">IF( $G37="",
"",
_xll.IMDP( IF($D37*$G$7=1,"IDX","FRN"), $G37, $I$7, $B$4 ) )</f>
        <v>36.737000000000002</v>
      </c>
      <c r="J37" s="26" t="str" cm="1">
        <f t="array" ref="J37">IFERROR( CHOOSE($K$7,
INDEX(code!$J:$J, $C37),
IF($E37, INDEX(code!$J:$J, $C37), INDEX(code!$H:$H, $C37)&amp;"KRW") ), "")</f>
        <v>EURUSD</v>
      </c>
      <c r="K37" s="28" cm="1">
        <f t="array" aca="1" ref="K37" ca="1">IF( $J37="",
"",
_xll.IMDP( "FX", $J37, IF($D37, "현재가", "NY_BID_Close"), $B$4 ) )</f>
        <v>1.0882499999999999</v>
      </c>
      <c r="L37" s="10" cm="1">
        <f t="array" aca="1" ref="L37" ca="1">IF( $J37="",
"",
      IF($B$4=TODAY(),
      _xll.IMDP( "FX", $J37, IF($D37, "전일종가", "전일BID")),
      IF($D37, _xll.IMDP("FX", $J37, "현재가", WORKDAY($B$4, -1)), _xll.IMDP("FX", $J37, "NY_BID_Chg", $B$4) ) )
)</f>
        <v>1.8249999999999999E-2</v>
      </c>
      <c r="M37" s="29">
        <f t="shared" ca="1" si="2"/>
        <v>1.8249999999999999E-2</v>
      </c>
      <c r="N37" s="22" t="str" cm="1">
        <f t="array" ref="N37">IFERROR( IF( $D37, VLOOKUP(table!$O$7, code!$Q$2:$S$9, 3, 0), INDEX(code!$K:$K, $C37)&amp;$O$7 ), "")</f>
        <v>FR10Y</v>
      </c>
      <c r="O37" s="56" cm="1">
        <f t="array" aca="1" ref="O37" ca="1">IF( $N37="", "", IF( $D37, IF($O$7="01Y", _xll.IMDP("IR", $N37, "수익률", $B$4), _xll.IMDP("BND", $N37, "장내국채-현재수익률", $B$4)), _xll.IMDP("IR", $N37, "BID_Close", $B$4) ) )</f>
        <v>3.1686999999999999</v>
      </c>
      <c r="P37" s="14" cm="1">
        <f t="array" aca="1" ref="P37" ca="1">IF( $O37="",
"",
IF( $D37,
    IF($O$7="01Y",
    _xll.IMDP("IR", $N37, "전일대비", $B$4)*100,
    IF($B$4=TODAY(), _xll.IMDP("BND", $N37, "장내국채-수익률전일대비"), _xll.IMDP("BND", $N37, "장내국채-민평수익률대비", $B$4)*100) ),
_xll.IMDP("IR", $N37, "BID_Chg", $B$4)*100 )
)</f>
        <v>-13.919999999999998</v>
      </c>
    </row>
    <row r="38" spans="2:16" s="7" customFormat="1" ht="13.5" x14ac:dyDescent="0.3">
      <c r="B38" s="12" t="s">
        <v>115</v>
      </c>
      <c r="C38" s="11">
        <f>MATCH($B38, code!$A:$A, 0)</f>
        <v>125</v>
      </c>
      <c r="D38" s="9" t="b">
        <f t="shared" si="0"/>
        <v>0</v>
      </c>
      <c r="E38" s="9" t="b">
        <f t="shared" si="1"/>
        <v>0</v>
      </c>
      <c r="F38" s="52" t="str" cm="1">
        <f t="array" ref="F38">IFERROR( INDEX(code!$B:$B, $C38), "")</f>
        <v>유럽</v>
      </c>
      <c r="G38" s="20" t="str" cm="1">
        <f t="array" ref="G38">IFERROR( INDEX(code!$D:$G, $C38, $G$7), "")</f>
        <v>MSI:938000L</v>
      </c>
      <c r="H38" s="24" cm="1">
        <f t="array" aca="1" ref="H38" ca="1">IF( $G38="",
"",
_xll.IMDP( IF($D38*$G$7=1,"IDX","FRN"), $G38, "현재가", $B$4 ) )</f>
        <v>933.97699999999998</v>
      </c>
      <c r="I38" s="14" cm="1">
        <f t="array" aca="1" ref="I38" ca="1">IF( $G38="",
"",
_xll.IMDP( IF($D38*$G$7=1,"IDX","FRN"), $G38, $I$7, $B$4 ) )</f>
        <v>12.31</v>
      </c>
      <c r="J38" s="26" t="str" cm="1">
        <f t="array" ref="J38">IFERROR( CHOOSE($K$7,
INDEX(code!$J:$J, $C38),
IF($E38, INDEX(code!$J:$J, $C38), INDEX(code!$H:$H, $C38)&amp;"KRW") ), "")</f>
        <v>EURUSD</v>
      </c>
      <c r="K38" s="28" cm="1">
        <f t="array" aca="1" ref="K38" ca="1">IF( $J38="",
"",
_xll.IMDP( "FX", $J38, IF($D38, "현재가", "NY_BID_Close"), $B$4 ) )</f>
        <v>1.0882499999999999</v>
      </c>
      <c r="L38" s="10" cm="1">
        <f t="array" aca="1" ref="L38" ca="1">IF( $J38="",
"",
      IF($B$4=TODAY(),
      _xll.IMDP( "FX", $J38, IF($D38, "전일종가", "전일BID")),
      IF($D38, _xll.IMDP("FX", $J38, "현재가", WORKDAY($B$4, -1)), _xll.IMDP("FX", $J38, "NY_BID_Chg", $B$4) ) )
)</f>
        <v>1.8249999999999999E-2</v>
      </c>
      <c r="M38" s="29">
        <f t="shared" ca="1" si="2"/>
        <v>1.8249999999999999E-2</v>
      </c>
      <c r="N38" s="22" t="str" cm="1">
        <f t="array" ref="N38">IFERROR( IF( $D38, VLOOKUP(table!$O$7, code!$Q$2:$S$9, 3, 0), INDEX(code!$K:$K, $C38)&amp;$O$7 ), "")</f>
        <v>IT10Y</v>
      </c>
      <c r="O38" s="56" cm="1">
        <f t="array" aca="1" ref="O38" ca="1">IF( $N38="", "", IF( $D38, IF($O$7="01Y", _xll.IMDP("IR", $N38, "수익률", $B$4), _xll.IMDP("BND", $N38, "장내국채-현재수익률", $B$4)), _xll.IMDP("IR", $N38, "BID_Close", $B$4) ) )</f>
        <v>4.4096000000000002</v>
      </c>
      <c r="P38" s="14" cm="1">
        <f t="array" aca="1" ref="P38" ca="1">IF( $O38="",
"",
IF( $D38,
    IF($O$7="01Y",
    _xll.IMDP("IR", $N38, "전일대비", $B$4)*100,
    IF($B$4=TODAY(), _xll.IMDP("BND", $N38, "장내국채-수익률전일대비"), _xll.IMDP("BND", $N38, "장내국채-민평수익률대비", $B$4)*100) ),
_xll.IMDP("IR", $N38, "BID_Chg", $B$4)*100 )
)</f>
        <v>-15.06</v>
      </c>
    </row>
    <row r="39" spans="2:16" s="7" customFormat="1" ht="13.5" x14ac:dyDescent="0.3">
      <c r="B39" s="12" t="s">
        <v>160</v>
      </c>
      <c r="C39" s="11">
        <f>MATCH($B39, code!$A:$A, 0)</f>
        <v>181</v>
      </c>
      <c r="D39" s="9" t="b">
        <f t="shared" si="0"/>
        <v>0</v>
      </c>
      <c r="E39" s="9" t="b">
        <f t="shared" si="1"/>
        <v>0</v>
      </c>
      <c r="F39" s="52" t="str" cm="1">
        <f t="array" ref="F39">IFERROR( INDEX(code!$B:$B, $C39), "")</f>
        <v>유럽</v>
      </c>
      <c r="G39" s="20" t="str" cm="1">
        <f t="array" ref="G39">IFERROR( INDEX(code!$D:$G, $C39, $G$7), "")</f>
        <v>MSI:962000L</v>
      </c>
      <c r="H39" s="24" cm="1">
        <f t="array" aca="1" ref="H39" ca="1">IF( $G39="",
"",
_xll.IMDP( IF($D39*$G$7=1,"IDX","FRN"), $G39, "현재가", $B$4 ) )</f>
        <v>105.357</v>
      </c>
      <c r="I39" s="14" cm="1">
        <f t="array" aca="1" ref="I39" ca="1">IF( $G39="",
"",
_xll.IMDP( IF($D39*$G$7=1,"IDX","FRN"), $G39, $I$7, $B$4 ) )</f>
        <v>1.8879999999999999</v>
      </c>
      <c r="J39" s="26" t="str" cm="1">
        <f t="array" ref="J39">IFERROR( CHOOSE($K$7,
INDEX(code!$J:$J, $C39),
IF($E39, INDEX(code!$J:$J, $C39), INDEX(code!$H:$H, $C39)&amp;"KRW") ), "")</f>
        <v>EURUSD</v>
      </c>
      <c r="K39" s="28" cm="1">
        <f t="array" aca="1" ref="K39" ca="1">IF( $J39="",
"",
_xll.IMDP( "FX", $J39, IF($D39, "현재가", "NY_BID_Close"), $B$4 ) )</f>
        <v>1.0882499999999999</v>
      </c>
      <c r="L39" s="10" cm="1">
        <f t="array" aca="1" ref="L39" ca="1">IF( $J39="",
"",
      IF($B$4=TODAY(),
      _xll.IMDP( "FX", $J39, IF($D39, "전일종가", "전일BID")),
      IF($D39, _xll.IMDP("FX", $J39, "현재가", WORKDAY($B$4, -1)), _xll.IMDP("FX", $J39, "NY_BID_Chg", $B$4) ) )
)</f>
        <v>1.8249999999999999E-2</v>
      </c>
      <c r="M39" s="29">
        <f t="shared" ca="1" si="2"/>
        <v>1.8249999999999999E-2</v>
      </c>
      <c r="N39" s="22" t="str" cm="1">
        <f t="array" ref="N39">IFERROR( IF( $D39, VLOOKUP(table!$O$7, code!$Q$2:$S$9, 3, 0), INDEX(code!$K:$K, $C39)&amp;$O$7 ), "")</f>
        <v>PT10Y</v>
      </c>
      <c r="O39" s="56" cm="1">
        <f t="array" aca="1" ref="O39" ca="1">IF( $N39="", "", IF( $D39, IF($O$7="01Y", _xll.IMDP("IR", $N39, "수익률", $B$4), _xll.IMDP("BND", $N39, "장내국채-현재수익률", $B$4)), _xll.IMDP("IR", $N39, "BID_Close", $B$4) ) )</f>
        <v>3.2887</v>
      </c>
      <c r="P39" s="14" cm="1">
        <f t="array" aca="1" ref="P39" ca="1">IF( $O39="",
"",
IF( $D39,
    IF($O$7="01Y",
    _xll.IMDP("IR", $N39, "전일대비", $B$4)*100,
    IF($B$4=TODAY(), _xll.IMDP("BND", $N39, "장내국채-수익률전일대비"), _xll.IMDP("BND", $N39, "장내국채-민평수익률대비", $B$4)*100) ),
_xll.IMDP("IR", $N39, "BID_Chg", $B$4)*100 )
)</f>
        <v>-12.36</v>
      </c>
    </row>
    <row r="40" spans="2:16" s="7" customFormat="1" ht="13.5" x14ac:dyDescent="0.3">
      <c r="B40" s="12" t="s">
        <v>90</v>
      </c>
      <c r="C40" s="11">
        <f>MATCH($B40, code!$A:$A, 0)</f>
        <v>99</v>
      </c>
      <c r="D40" s="9" t="b">
        <f t="shared" si="0"/>
        <v>0</v>
      </c>
      <c r="E40" s="9" t="b">
        <f t="shared" si="1"/>
        <v>0</v>
      </c>
      <c r="F40" s="52" t="str" cm="1">
        <f t="array" ref="F40">IFERROR( INDEX(code!$B:$B, $C40), "")</f>
        <v>유럽</v>
      </c>
      <c r="G40" s="20" t="str" cm="1">
        <f t="array" ref="G40">IFERROR( INDEX(code!$D:$G, $C40, $G$7), "")</f>
        <v>MSI:937200L</v>
      </c>
      <c r="H40" s="24" cm="1">
        <f t="array" aca="1" ref="H40" ca="1">IF( $G40="",
"",
_xll.IMDP( IF($D40*$G$7=1,"IDX","FRN"), $G40, "현재가", $B$4 ) )</f>
        <v>258.50700000000001</v>
      </c>
      <c r="I40" s="14" cm="1">
        <f t="array" aca="1" ref="I40" ca="1">IF( $G40="",
"",
_xll.IMDP( IF($D40*$G$7=1,"IDX","FRN"), $G40, $I$7, $B$4 ) )</f>
        <v>6.7039999999999997</v>
      </c>
      <c r="J40" s="26" t="str" cm="1">
        <f t="array" ref="J40">IFERROR( CHOOSE($K$7,
INDEX(code!$J:$J, $C40),
IF($E40, INDEX(code!$J:$J, $C40), INDEX(code!$H:$H, $C40)&amp;"KRW") ), "")</f>
        <v>EURUSD</v>
      </c>
      <c r="K40" s="28" cm="1">
        <f t="array" aca="1" ref="K40" ca="1">IF( $J40="",
"",
_xll.IMDP( "FX", $J40, IF($D40, "현재가", "NY_BID_Close"), $B$4 ) )</f>
        <v>1.0882499999999999</v>
      </c>
      <c r="L40" s="10" cm="1">
        <f t="array" aca="1" ref="L40" ca="1">IF( $J40="",
"",
      IF($B$4=TODAY(),
      _xll.IMDP( "FX", $J40, IF($D40, "전일종가", "전일BID")),
      IF($D40, _xll.IMDP("FX", $J40, "현재가", WORKDAY($B$4, -1)), _xll.IMDP("FX", $J40, "NY_BID_Chg", $B$4) ) )
)</f>
        <v>1.8249999999999999E-2</v>
      </c>
      <c r="M40" s="29">
        <f t="shared" ca="1" si="2"/>
        <v>1.8249999999999999E-2</v>
      </c>
      <c r="N40" s="22" t="str" cm="1">
        <f t="array" ref="N40">IFERROR( IF( $D40, VLOOKUP(table!$O$7, code!$Q$2:$S$9, 3, 0), INDEX(code!$K:$K, $C40)&amp;$O$7 ), "")</f>
        <v>IE10Y</v>
      </c>
      <c r="O40" s="56" cm="1">
        <f t="array" aca="1" ref="O40" ca="1">IF( $N40="", "", IF( $D40, IF($O$7="01Y", _xll.IMDP("IR", $N40, "수익률", $B$4), _xll.IMDP("BND", $N40, "장내국채-현재수익률", $B$4)), _xll.IMDP("IR", $N40, "BID_Close", $B$4) ) )</f>
        <v>2.9929999999999999</v>
      </c>
      <c r="P40" s="14" cm="1">
        <f t="array" aca="1" ref="P40" ca="1">IF( $O40="",
"",
IF( $D40,
    IF($O$7="01Y",
    _xll.IMDP("IR", $N40, "전일대비", $B$4)*100,
    IF($B$4=TODAY(), _xll.IMDP("BND", $N40, "장내국채-수익률전일대비"), _xll.IMDP("BND", $N40, "장내국채-민평수익률대비", $B$4)*100) ),
_xll.IMDP("IR", $N40, "BID_Chg", $B$4)*100 )
)</f>
        <v>-14.32</v>
      </c>
    </row>
    <row r="41" spans="2:16" s="7" customFormat="1" ht="13.5" x14ac:dyDescent="0.3">
      <c r="B41" s="12" t="s">
        <v>5</v>
      </c>
      <c r="C41" s="11">
        <f>MATCH($B41, code!$A:$A, 0)</f>
        <v>7</v>
      </c>
      <c r="D41" s="9" t="b">
        <f t="shared" si="0"/>
        <v>0</v>
      </c>
      <c r="E41" s="9" t="b">
        <f t="shared" si="1"/>
        <v>0</v>
      </c>
      <c r="F41" s="52" t="str" cm="1">
        <f t="array" ref="F41">IFERROR( INDEX(code!$B:$B, $C41), "")</f>
        <v>유럽</v>
      </c>
      <c r="G41" s="20" t="str" cm="1">
        <f t="array" ref="G41">IFERROR( INDEX(code!$D:$G, $C41, $G$7), "")</f>
        <v>MSI:930000L</v>
      </c>
      <c r="H41" s="24" cm="1">
        <f t="array" aca="1" ref="H41" ca="1">IF( $G41="",
"",
_xll.IMDP( IF($D41*$G$7=1,"IDX","FRN"), $G41, "현재가", $B$4 ) )</f>
        <v>62.255000000000003</v>
      </c>
      <c r="I41" s="14" cm="1">
        <f t="array" aca="1" ref="I41" ca="1">IF( $G41="",
"",
_xll.IMDP( IF($D41*$G$7=1,"IDX","FRN"), $G41, $I$7, $B$4 ) )</f>
        <v>2.0840000000000001</v>
      </c>
      <c r="J41" s="26" t="str" cm="1">
        <f t="array" ref="J41">IFERROR( CHOOSE($K$7,
INDEX(code!$J:$J, $C41),
IF($E41, INDEX(code!$J:$J, $C41), INDEX(code!$H:$H, $C41)&amp;"KRW") ), "")</f>
        <v>EURUSD</v>
      </c>
      <c r="K41" s="28" cm="1">
        <f t="array" aca="1" ref="K41" ca="1">IF( $J41="",
"",
_xll.IMDP( "FX", $J41, IF($D41, "현재가", "NY_BID_Close"), $B$4 ) )</f>
        <v>1.0882499999999999</v>
      </c>
      <c r="L41" s="10" cm="1">
        <f t="array" aca="1" ref="L41" ca="1">IF( $J41="",
"",
      IF($B$4=TODAY(),
      _xll.IMDP( "FX", $J41, IF($D41, "전일종가", "전일BID")),
      IF($D41, _xll.IMDP("FX", $J41, "현재가", WORKDAY($B$4, -1)), _xll.IMDP("FX", $J41, "NY_BID_Chg", $B$4) ) )
)</f>
        <v>1.8249999999999999E-2</v>
      </c>
      <c r="M41" s="29">
        <f t="shared" ca="1" si="2"/>
        <v>1.8249999999999999E-2</v>
      </c>
      <c r="N41" s="22" t="str" cm="1">
        <f t="array" ref="N41">IFERROR( IF( $D41, VLOOKUP(table!$O$7, code!$Q$2:$S$9, 3, 0), INDEX(code!$K:$K, $C41)&amp;$O$7 ), "")</f>
        <v>GR10Y</v>
      </c>
      <c r="O41" s="56" cm="1">
        <f t="array" aca="1" ref="O41" ca="1">IF( $N41="", "", IF( $D41, IF($O$7="01Y", _xll.IMDP("IR", $N41, "수익률", $B$4), _xll.IMDP("BND", $N41, "장내국채-현재수익률", $B$4)), _xll.IMDP("IR", $N41, "BID_Close", $B$4) ) )</f>
        <v>3.8936000000000002</v>
      </c>
      <c r="P41" s="14" cm="1">
        <f t="array" aca="1" ref="P41" ca="1">IF( $O41="",
"",
IF( $D41,
    IF($O$7="01Y",
    _xll.IMDP("IR", $N41, "전일대비", $B$4)*100,
    IF($B$4=TODAY(), _xll.IMDP("BND", $N41, "장내국채-수익률전일대비"), _xll.IMDP("BND", $N41, "장내국채-민평수익률대비", $B$4)*100) ),
_xll.IMDP("IR", $N41, "BID_Chg", $B$4)*100 )
)</f>
        <v>-7.5</v>
      </c>
    </row>
    <row r="42" spans="2:16" s="7" customFormat="1" ht="13.5" x14ac:dyDescent="0.3">
      <c r="B42" s="12" t="s">
        <v>10</v>
      </c>
      <c r="C42" s="11">
        <f>MATCH($B42, code!$A:$A, 0)</f>
        <v>12</v>
      </c>
      <c r="D42" s="9" t="b">
        <f t="shared" si="0"/>
        <v>0</v>
      </c>
      <c r="E42" s="9" t="b">
        <f t="shared" si="1"/>
        <v>0</v>
      </c>
      <c r="F42" s="52" t="str" cm="1">
        <f t="array" ref="F42">IFERROR( INDEX(code!$B:$B, $C42), "")</f>
        <v>아프리카</v>
      </c>
      <c r="G42" s="20" t="str" cm="1">
        <f t="array" ref="G42">IFERROR( INDEX(code!$D:$G, $C42, $G$7), "")</f>
        <v>MSI:971000L</v>
      </c>
      <c r="H42" s="24" cm="1">
        <f t="array" aca="1" ref="H42" ca="1">IF( $G42="",
"",
_xll.IMDP( IF($D42*$G$7=1,"IDX","FRN"), $G42, "현재가", $B$4 ) )</f>
        <v>1470.8510000000001</v>
      </c>
      <c r="I42" s="14" cm="1">
        <f t="array" aca="1" ref="I42" ca="1">IF( $G42="",
"",
_xll.IMDP( IF($D42*$G$7=1,"IDX","FRN"), $G42, $I$7, $B$4 ) )</f>
        <v>34.466999999999999</v>
      </c>
      <c r="J42" s="26" t="str" cm="1">
        <f t="array" ref="J42">IFERROR( CHOOSE($K$7,
INDEX(code!$J:$J, $C42),
IF($E42, INDEX(code!$J:$J, $C42), INDEX(code!$H:$H, $C42)&amp;"KRW") ), "")</f>
        <v>USDZAR</v>
      </c>
      <c r="K42" s="28" cm="1">
        <f t="array" aca="1" ref="K42" ca="1">IF( $J42="",
"",
_xll.IMDP( "FX", $J42, IF($D42, "현재가", "NY_BID_Close"), $B$4 ) )</f>
        <v>18.215699999999998</v>
      </c>
      <c r="L42" s="10" cm="1">
        <f t="array" aca="1" ref="L42" ca="1">IF( $J42="",
"",
      IF($B$4=TODAY(),
      _xll.IMDP( "FX", $J42, IF($D42, "전일종가", "전일BID")),
      IF($D42, _xll.IMDP("FX", $J42, "현재가", WORKDAY($B$4, -1)), _xll.IMDP("FX", $J42, "NY_BID_Chg", $B$4) ) )
)</f>
        <v>-0.48730000000000001</v>
      </c>
      <c r="M42" s="29">
        <f t="shared" ca="1" si="2"/>
        <v>-0.48730000000000001</v>
      </c>
      <c r="N42" s="22" t="str" cm="1">
        <f t="array" ref="N42">IFERROR( IF( $D42, VLOOKUP(table!$O$7, code!$Q$2:$S$9, 3, 0), INDEX(code!$K:$K, $C42)&amp;$O$7 ), "")</f>
        <v>ZA10Y</v>
      </c>
      <c r="O42" s="56" t="str" cm="1">
        <f t="array" aca="1" ref="O42" ca="1">IF( $N42="", "", IF( $D42, IF($O$7="01Y", _xll.IMDP("IR", $N42, "수익률", $B$4), _xll.IMDP("BND", $N42, "장내국채-현재수익률", $B$4)), _xll.IMDP("IR", $N42, "BID_Close", $B$4) ) )</f>
        <v/>
      </c>
      <c r="P42" s="14" t="str" cm="1">
        <f t="array" aca="1" ref="P42" ca="1">IF( $O42="",
"",
IF( $D42,
    IF($O$7="01Y",
    _xll.IMDP("IR", $N42, "전일대비", $B$4)*100,
    IF($B$4=TODAY(), _xll.IMDP("BND", $N42, "장내국채-수익률전일대비"), _xll.IMDP("BND", $N42, "장내국채-민평수익률대비", $B$4)*100) ),
_xll.IMDP("IR", $N42, "BID_Chg", $B$4)*100 )
)</f>
        <v/>
      </c>
    </row>
    <row r="43" spans="2:16" s="7" customFormat="1" ht="13.5" x14ac:dyDescent="0.3">
      <c r="B43" s="12"/>
      <c r="C43" s="11" t="e">
        <f>MATCH($B43, code!$A:$A, 0)</f>
        <v>#N/A</v>
      </c>
      <c r="D43" s="9" t="b">
        <f t="shared" si="0"/>
        <v>0</v>
      </c>
      <c r="E43" s="9" t="b">
        <f t="shared" si="1"/>
        <v>0</v>
      </c>
      <c r="F43" s="52" t="str" cm="1">
        <f t="array" ref="F43">IFERROR( INDEX(code!$B:$B, $C43), "")</f>
        <v/>
      </c>
      <c r="G43" s="20" t="str" cm="1">
        <f t="array" ref="G43">IFERROR( INDEX(code!$D:$G, $C43, $G$7), "")</f>
        <v/>
      </c>
      <c r="H43" s="24" t="str" cm="1">
        <f t="array" ref="H43">IF( $G43="",
"",
_xll.IMDP( IF($D43*$G$7=1,"IDX","FRN"), $G43, "현재가", $B$4 ) )</f>
        <v/>
      </c>
      <c r="I43" s="14" t="str" cm="1">
        <f t="array" ref="I43">IF( $G43="",
"",
_xll.IMDP( IF($D43*$G$7=1,"IDX","FRN"), $G43, $I$7, $B$4 ) )</f>
        <v/>
      </c>
      <c r="J43" s="26" t="str" cm="1">
        <f t="array" ref="J43">IFERROR( CHOOSE($K$7,
INDEX(code!$J:$J, $C43),
IF($E43, INDEX(code!$J:$J, $C43), INDEX(code!$H:$H, $C43)&amp;"KRW") ), "")</f>
        <v/>
      </c>
      <c r="K43" s="28" t="str" cm="1">
        <f t="array" ref="K43">IF( $J43="",
"",
_xll.IMDP( "FX", $J43, IF($D43, "현재가", "NY_BID_Close"), $B$4 ) )</f>
        <v/>
      </c>
      <c r="L43" s="10" t="str" cm="1">
        <f t="array" aca="1" ref="L43" ca="1">IF( $J43="",
"",
      IF($B$4=TODAY(),
      _xll.IMDP( "FX", $J43, IF($D43, "전일종가", "전일BID")),
      IF($D43, _xll.IMDP("FX", $J43, "현재가", WORKDAY($B$4, -1)), _xll.IMDP("FX", $J43, "NY_BID_Chg", $B$4) ) )
)</f>
        <v/>
      </c>
      <c r="M43" s="29" t="str">
        <f t="shared" ca="1" si="2"/>
        <v/>
      </c>
      <c r="N43" s="22" t="str" cm="1">
        <f t="array" ref="N43">IFERROR( IF( $D43, VLOOKUP(table!$O$7, code!$Q$2:$S$9, 3, 0), INDEX(code!$K:$K, $C43)&amp;$O$7 ), "")</f>
        <v/>
      </c>
      <c r="O43" s="56" t="str" cm="1">
        <f t="array" ref="O43">IF( $N43="", "", IF( $D43, IF($O$7="01Y", _xll.IMDP("IR", $N43, "수익률", $B$4), _xll.IMDP("BND", $N43, "장내국채-현재수익률", $B$4)), _xll.IMDP("IR", $N43, "BID_Close", $B$4) ) )</f>
        <v/>
      </c>
      <c r="P43" s="14" t="str" cm="1">
        <f t="array" aca="1" ref="P43" ca="1">IF( $O43="",
"",
IF( $D43,
    IF($O$7="01Y",
    _xll.IMDP("IR", $N43, "전일대비", $B$4)*100,
    IF($B$4=TODAY(), _xll.IMDP("BND", $N43, "장내국채-수익률전일대비"), _xll.IMDP("BND", $N43, "장내국채-민평수익률대비", $B$4)*100) ),
_xll.IMDP("IR", $N43, "BID_Chg", $B$4)*100 )
)</f>
        <v/>
      </c>
    </row>
    <row r="44" spans="2:16" s="7" customFormat="1" ht="13.5" x14ac:dyDescent="0.3">
      <c r="B44" s="12"/>
      <c r="C44" s="11" t="e">
        <f>MATCH($B44, code!$A:$A, 0)</f>
        <v>#N/A</v>
      </c>
      <c r="D44" s="9" t="b">
        <f t="shared" si="0"/>
        <v>0</v>
      </c>
      <c r="E44" s="9" t="b">
        <f t="shared" si="1"/>
        <v>0</v>
      </c>
      <c r="F44" s="52" t="str" cm="1">
        <f t="array" ref="F44">IFERROR( INDEX(code!$B:$B, $C44), "")</f>
        <v/>
      </c>
      <c r="G44" s="20" t="str" cm="1">
        <f t="array" ref="G44">IFERROR( INDEX(code!$D:$G, $C44, $G$7), "")</f>
        <v/>
      </c>
      <c r="H44" s="24" t="str" cm="1">
        <f t="array" ref="H44">IF( $G44="",
"",
_xll.IMDP( IF($D44*$G$7=1,"IDX","FRN"), $G44, "현재가", $B$4 ) )</f>
        <v/>
      </c>
      <c r="I44" s="14" t="str" cm="1">
        <f t="array" ref="I44">IF( $G44="",
"",
_xll.IMDP( IF($D44*$G$7=1,"IDX","FRN"), $G44, $I$7, $B$4 ) )</f>
        <v/>
      </c>
      <c r="J44" s="26" t="str" cm="1">
        <f t="array" ref="J44">IFERROR( CHOOSE($K$7,
INDEX(code!$J:$J, $C44),
IF($E44, INDEX(code!$J:$J, $C44), INDEX(code!$H:$H, $C44)&amp;"KRW") ), "")</f>
        <v/>
      </c>
      <c r="K44" s="28" t="str" cm="1">
        <f t="array" ref="K44">IF( $J44="",
"",
_xll.IMDP( "FX", $J44, IF($D44, "현재가", "NY_BID_Close"), $B$4 ) )</f>
        <v/>
      </c>
      <c r="L44" s="10" t="str" cm="1">
        <f t="array" aca="1" ref="L44" ca="1">IF( $J44="",
"",
      IF($B$4=TODAY(),
      _xll.IMDP( "FX", $J44, IF($D44, "전일종가", "전일BID")),
      IF($D44, _xll.IMDP("FX", $J44, "현재가", WORKDAY($B$4, -1)), _xll.IMDP("FX", $J44, "NY_BID_Chg", $B$4) ) )
)</f>
        <v/>
      </c>
      <c r="M44" s="29" t="str">
        <f t="shared" ca="1" si="2"/>
        <v/>
      </c>
      <c r="N44" s="22" t="str" cm="1">
        <f t="array" ref="N44">IFERROR( IF( $D44, VLOOKUP(table!$O$7, code!$Q$2:$S$9, 3, 0), INDEX(code!$K:$K, $C44)&amp;$O$7 ), "")</f>
        <v/>
      </c>
      <c r="O44" s="56" t="str" cm="1">
        <f t="array" ref="O44">IF( $N44="", "", IF( $D44, IF($O$7="01Y", _xll.IMDP("IR", $N44, "수익률", $B$4), _xll.IMDP("BND", $N44, "장내국채-현재수익률", $B$4)), _xll.IMDP("IR", $N44, "BID_Close", $B$4) ) )</f>
        <v/>
      </c>
      <c r="P44" s="14" t="str" cm="1">
        <f t="array" aca="1" ref="P44" ca="1">IF( $O44="",
"",
IF( $D44,
    IF($O$7="01Y",
    _xll.IMDP("IR", $N44, "전일대비", $B$4)*100,
    IF($B$4=TODAY(), _xll.IMDP("BND", $N44, "장내국채-수익률전일대비"), _xll.IMDP("BND", $N44, "장내국채-민평수익률대비", $B$4)*100) ),
_xll.IMDP("IR", $N44, "BID_Chg", $B$4)*100 )
)</f>
        <v/>
      </c>
    </row>
    <row r="45" spans="2:16" s="7" customFormat="1" ht="13.5" x14ac:dyDescent="0.3">
      <c r="B45" s="12"/>
      <c r="C45" s="11" t="e">
        <f>MATCH($B45, code!$A:$A, 0)</f>
        <v>#N/A</v>
      </c>
      <c r="D45" s="9" t="b">
        <f t="shared" si="0"/>
        <v>0</v>
      </c>
      <c r="E45" s="9" t="b">
        <f t="shared" si="1"/>
        <v>0</v>
      </c>
      <c r="F45" s="52" t="str" cm="1">
        <f t="array" ref="F45">IFERROR( INDEX(code!$B:$B, $C45), "")</f>
        <v/>
      </c>
      <c r="G45" s="20" t="str" cm="1">
        <f t="array" ref="G45">IFERROR( INDEX(code!$D:$G, $C45, $G$7), "")</f>
        <v/>
      </c>
      <c r="H45" s="24" t="str" cm="1">
        <f t="array" ref="H45">IF( $G45="",
"",
_xll.IMDP( IF($D45*$G$7=1,"IDX","FRN"), $G45, "현재가", $B$4 ) )</f>
        <v/>
      </c>
      <c r="I45" s="14" t="str" cm="1">
        <f t="array" ref="I45">IF( $G45="",
"",
_xll.IMDP( IF($D45*$G$7=1,"IDX","FRN"), $G45, $I$7, $B$4 ) )</f>
        <v/>
      </c>
      <c r="J45" s="26" t="str" cm="1">
        <f t="array" ref="J45">IFERROR( CHOOSE($K$7,
INDEX(code!$J:$J, $C45),
IF($E45, INDEX(code!$J:$J, $C45), INDEX(code!$H:$H, $C45)&amp;"KRW") ), "")</f>
        <v/>
      </c>
      <c r="K45" s="28" t="str" cm="1">
        <f t="array" ref="K45">IF( $J45="",
"",
_xll.IMDP( "FX", $J45, IF($D45, "현재가", "NY_BID_Close"), $B$4 ) )</f>
        <v/>
      </c>
      <c r="L45" s="10" t="str" cm="1">
        <f t="array" aca="1" ref="L45" ca="1">IF( $J45="",
"",
      IF($B$4=TODAY(),
      _xll.IMDP( "FX", $J45, IF($D45, "전일종가", "전일BID")),
      IF($D45, _xll.IMDP("FX", $J45, "현재가", WORKDAY($B$4, -1)), _xll.IMDP("FX", $J45, "NY_BID_Chg", $B$4) ) )
)</f>
        <v/>
      </c>
      <c r="M45" s="29" t="str">
        <f t="shared" ca="1" si="2"/>
        <v/>
      </c>
      <c r="N45" s="22" t="str" cm="1">
        <f t="array" ref="N45">IFERROR( IF( $D45, VLOOKUP(table!$O$7, code!$Q$2:$S$9, 3, 0), INDEX(code!$K:$K, $C45)&amp;$O$7 ), "")</f>
        <v/>
      </c>
      <c r="O45" s="56" t="str" cm="1">
        <f t="array" ref="O45">IF( $N45="", "", IF( $D45, IF($O$7="01Y", _xll.IMDP("IR", $N45, "수익률", $B$4), _xll.IMDP("BND", $N45, "장내국채-현재수익률", $B$4)), _xll.IMDP("IR", $N45, "BID_Close", $B$4) ) )</f>
        <v/>
      </c>
      <c r="P45" s="14" t="str" cm="1">
        <f t="array" aca="1" ref="P45" ca="1">IF( $O45="",
"",
IF( $D45,
    IF($O$7="01Y",
    _xll.IMDP("IR", $N45, "전일대비", $B$4)*100,
    IF($B$4=TODAY(), _xll.IMDP("BND", $N45, "장내국채-수익률전일대비"), _xll.IMDP("BND", $N45, "장내국채-민평수익률대비", $B$4)*100) ),
_xll.IMDP("IR", $N45, "BID_Chg", $B$4)*100 )
)</f>
        <v/>
      </c>
    </row>
    <row r="46" spans="2:16" s="7" customFormat="1" ht="13.5" x14ac:dyDescent="0.3">
      <c r="B46" s="12"/>
      <c r="C46" s="11" t="e">
        <f>MATCH($B46, code!$A:$A, 0)</f>
        <v>#N/A</v>
      </c>
      <c r="D46" s="9" t="b">
        <f t="shared" si="0"/>
        <v>0</v>
      </c>
      <c r="E46" s="9" t="b">
        <f t="shared" si="1"/>
        <v>0</v>
      </c>
      <c r="F46" s="52" t="str" cm="1">
        <f t="array" ref="F46">IFERROR( INDEX(code!$B:$B, $C46), "")</f>
        <v/>
      </c>
      <c r="G46" s="20" t="str" cm="1">
        <f t="array" ref="G46">IFERROR( INDEX(code!$D:$G, $C46, $G$7), "")</f>
        <v/>
      </c>
      <c r="H46" s="24" t="str" cm="1">
        <f t="array" ref="H46">IF( $G46="",
"",
_xll.IMDP( IF($D46*$G$7=1,"IDX","FRN"), $G46, "현재가", $B$4 ) )</f>
        <v/>
      </c>
      <c r="I46" s="14" t="str" cm="1">
        <f t="array" ref="I46">IF( $G46="",
"",
_xll.IMDP( IF($D46*$G$7=1,"IDX","FRN"), $G46, $I$7, $B$4 ) )</f>
        <v/>
      </c>
      <c r="J46" s="26" t="str" cm="1">
        <f t="array" ref="J46">IFERROR( CHOOSE($K$7,
INDEX(code!$J:$J, $C46),
IF($E46, INDEX(code!$J:$J, $C46), INDEX(code!$H:$H, $C46)&amp;"KRW") ), "")</f>
        <v/>
      </c>
      <c r="K46" s="28" t="str" cm="1">
        <f t="array" ref="K46">IF( $J46="",
"",
_xll.IMDP( "FX", $J46, IF($D46, "현재가", "NY_BID_Close"), $B$4 ) )</f>
        <v/>
      </c>
      <c r="L46" s="10" t="str" cm="1">
        <f t="array" aca="1" ref="L46" ca="1">IF( $J46="",
"",
      IF($B$4=TODAY(),
      _xll.IMDP( "FX", $J46, IF($D46, "전일종가", "전일BID")),
      IF($D46, _xll.IMDP("FX", $J46, "현재가", WORKDAY($B$4, -1)), _xll.IMDP("FX", $J46, "NY_BID_Chg", $B$4) ) )
)</f>
        <v/>
      </c>
      <c r="M46" s="29" t="str">
        <f t="shared" ca="1" si="2"/>
        <v/>
      </c>
      <c r="N46" s="22" t="str" cm="1">
        <f t="array" ref="N46">IFERROR( IF( $D46, VLOOKUP(table!$O$7, code!$Q$2:$S$9, 3, 0), INDEX(code!$K:$K, $C46)&amp;$O$7 ), "")</f>
        <v/>
      </c>
      <c r="O46" s="56" t="str" cm="1">
        <f t="array" ref="O46">IF( $N46="", "", IF( $D46, IF($O$7="01Y", _xll.IMDP("IR", $N46, "수익률", $B$4), _xll.IMDP("BND", $N46, "장내국채-현재수익률", $B$4)), _xll.IMDP("IR", $N46, "BID_Close", $B$4) ) )</f>
        <v/>
      </c>
      <c r="P46" s="14" t="str" cm="1">
        <f t="array" aca="1" ref="P46" ca="1">IF( $O46="",
"",
IF( $D46,
    IF($O$7="01Y",
    _xll.IMDP("IR", $N46, "전일대비", $B$4)*100,
    IF($B$4=TODAY(), _xll.IMDP("BND", $N46, "장내국채-수익률전일대비"), _xll.IMDP("BND", $N46, "장내국채-민평수익률대비", $B$4)*100) ),
_xll.IMDP("IR", $N46, "BID_Chg", $B$4)*100 )
)</f>
        <v/>
      </c>
    </row>
    <row r="47" spans="2:16" s="7" customFormat="1" ht="13.5" x14ac:dyDescent="0.3">
      <c r="B47" s="12"/>
      <c r="C47" s="11" t="e">
        <f>MATCH($B47, code!$A:$A, 0)</f>
        <v>#N/A</v>
      </c>
      <c r="D47" s="9" t="b">
        <f t="shared" si="0"/>
        <v>0</v>
      </c>
      <c r="E47" s="9" t="b">
        <f t="shared" si="1"/>
        <v>0</v>
      </c>
      <c r="F47" s="52" t="str" cm="1">
        <f t="array" ref="F47">IFERROR( INDEX(code!$B:$B, $C47), "")</f>
        <v/>
      </c>
      <c r="G47" s="20" t="str" cm="1">
        <f t="array" ref="G47">IFERROR( INDEX(code!$D:$G, $C47, $G$7), "")</f>
        <v/>
      </c>
      <c r="H47" s="24" t="str" cm="1">
        <f t="array" ref="H47">IF( $G47="",
"",
_xll.IMDP( IF($D47*$G$7=1,"IDX","FRN"), $G47, "현재가", $B$4 ) )</f>
        <v/>
      </c>
      <c r="I47" s="14" t="str" cm="1">
        <f t="array" ref="I47">IF( $G47="",
"",
_xll.IMDP( IF($D47*$G$7=1,"IDX","FRN"), $G47, $I$7, $B$4 ) )</f>
        <v/>
      </c>
      <c r="J47" s="26" t="str" cm="1">
        <f t="array" ref="J47">IFERROR( CHOOSE($K$7,
INDEX(code!$J:$J, $C47),
IF($E47, INDEX(code!$J:$J, $C47), INDEX(code!$H:$H, $C47)&amp;"KRW") ), "")</f>
        <v/>
      </c>
      <c r="K47" s="28" t="str" cm="1">
        <f t="array" ref="K47">IF( $J47="",
"",
_xll.IMDP( "FX", $J47, IF($D47, "현재가", "NY_BID_Close"), $B$4 ) )</f>
        <v/>
      </c>
      <c r="L47" s="10" t="str" cm="1">
        <f t="array" aca="1" ref="L47" ca="1">IF( $J47="",
"",
      IF($B$4=TODAY(),
      _xll.IMDP( "FX", $J47, IF($D47, "전일종가", "전일BID")),
      IF($D47, _xll.IMDP("FX", $J47, "현재가", WORKDAY($B$4, -1)), _xll.IMDP("FX", $J47, "NY_BID_Chg", $B$4) ) )
)</f>
        <v/>
      </c>
      <c r="M47" s="29" t="str">
        <f t="shared" ca="1" si="2"/>
        <v/>
      </c>
      <c r="N47" s="22" t="str" cm="1">
        <f t="array" ref="N47">IFERROR( IF( $D47, VLOOKUP(table!$O$7, code!$Q$2:$S$9, 3, 0), INDEX(code!$K:$K, $C47)&amp;$O$7 ), "")</f>
        <v/>
      </c>
      <c r="O47" s="56" t="str" cm="1">
        <f t="array" ref="O47">IF( $N47="", "", IF( $D47, IF($O$7="01Y", _xll.IMDP("IR", $N47, "수익률", $B$4), _xll.IMDP("BND", $N47, "장내국채-현재수익률", $B$4)), _xll.IMDP("IR", $N47, "BID_Close", $B$4) ) )</f>
        <v/>
      </c>
      <c r="P47" s="14" t="str" cm="1">
        <f t="array" aca="1" ref="P47" ca="1">IF( $O47="",
"",
IF( $D47,
    IF($O$7="01Y",
    _xll.IMDP("IR", $N47, "전일대비", $B$4)*100,
    IF($B$4=TODAY(), _xll.IMDP("BND", $N47, "장내국채-수익률전일대비"), _xll.IMDP("BND", $N47, "장내국채-민평수익률대비", $B$4)*100) ),
_xll.IMDP("IR", $N47, "BID_Chg", $B$4)*100 )
)</f>
        <v/>
      </c>
    </row>
    <row r="48" spans="2:16" s="7" customFormat="1" ht="13.5" x14ac:dyDescent="0.3">
      <c r="B48" s="12"/>
      <c r="C48" s="11" t="e">
        <f>MATCH($B48, code!$A:$A, 0)</f>
        <v>#N/A</v>
      </c>
      <c r="D48" s="9" t="b">
        <f t="shared" si="0"/>
        <v>0</v>
      </c>
      <c r="E48" s="9" t="b">
        <f t="shared" si="1"/>
        <v>0</v>
      </c>
      <c r="F48" s="52" t="str" cm="1">
        <f t="array" ref="F48">IFERROR( INDEX(code!$B:$B, $C48), "")</f>
        <v/>
      </c>
      <c r="G48" s="20" t="str" cm="1">
        <f t="array" ref="G48">IFERROR( INDEX(code!$D:$G, $C48, $G$7), "")</f>
        <v/>
      </c>
      <c r="H48" s="24" t="str" cm="1">
        <f t="array" ref="H48">IF( $G48="",
"",
_xll.IMDP( IF($D48*$G$7=1,"IDX","FRN"), $G48, "현재가", $B$4 ) )</f>
        <v/>
      </c>
      <c r="I48" s="14" t="str" cm="1">
        <f t="array" ref="I48">IF( $G48="",
"",
_xll.IMDP( IF($D48*$G$7=1,"IDX","FRN"), $G48, $I$7, $B$4 ) )</f>
        <v/>
      </c>
      <c r="J48" s="26" t="str" cm="1">
        <f t="array" ref="J48">IFERROR( CHOOSE($K$7,
INDEX(code!$J:$J, $C48),
IF($E48, INDEX(code!$J:$J, $C48), INDEX(code!$H:$H, $C48)&amp;"KRW") ), "")</f>
        <v/>
      </c>
      <c r="K48" s="28" t="str" cm="1">
        <f t="array" ref="K48">IF( $J48="",
"",
_xll.IMDP( "FX", $J48, IF($D48, "현재가", "NY_BID_Close"), $B$4 ) )</f>
        <v/>
      </c>
      <c r="L48" s="10" t="str" cm="1">
        <f t="array" aca="1" ref="L48" ca="1">IF( $J48="",
"",
      IF($B$4=TODAY(),
      _xll.IMDP( "FX", $J48, IF($D48, "전일종가", "전일BID")),
      IF($D48, _xll.IMDP("FX", $J48, "현재가", WORKDAY($B$4, -1)), _xll.IMDP("FX", $J48, "NY_BID_Chg", $B$4) ) )
)</f>
        <v/>
      </c>
      <c r="M48" s="29" t="str">
        <f t="shared" ca="1" si="2"/>
        <v/>
      </c>
      <c r="N48" s="22" t="str" cm="1">
        <f t="array" ref="N48">IFERROR( IF( $D48, VLOOKUP(table!$O$7, code!$Q$2:$S$9, 3, 0), INDEX(code!$K:$K, $C48)&amp;$O$7 ), "")</f>
        <v/>
      </c>
      <c r="O48" s="56" t="str" cm="1">
        <f t="array" ref="O48">IF( $N48="", "", IF( $D48, IF($O$7="01Y", _xll.IMDP("IR", $N48, "수익률", $B$4), _xll.IMDP("BND", $N48, "장내국채-현재수익률", $B$4)), _xll.IMDP("IR", $N48, "BID_Close", $B$4) ) )</f>
        <v/>
      </c>
      <c r="P48" s="14" t="str" cm="1">
        <f t="array" aca="1" ref="P48" ca="1">IF( $O48="",
"",
IF( $D48,
    IF($O$7="01Y",
    _xll.IMDP("IR", $N48, "전일대비", $B$4)*100,
    IF($B$4=TODAY(), _xll.IMDP("BND", $N48, "장내국채-수익률전일대비"), _xll.IMDP("BND", $N48, "장내국채-민평수익률대비", $B$4)*100) ),
_xll.IMDP("IR", $N48, "BID_Chg", $B$4)*100 )
)</f>
        <v/>
      </c>
    </row>
    <row r="49" spans="2:16" s="7" customFormat="1" ht="13.5" x14ac:dyDescent="0.3">
      <c r="B49" s="12"/>
      <c r="C49" s="11" t="e">
        <f>MATCH($B49, code!$A:$A, 0)</f>
        <v>#N/A</v>
      </c>
      <c r="D49" s="9" t="b">
        <f t="shared" si="0"/>
        <v>0</v>
      </c>
      <c r="E49" s="9" t="b">
        <f t="shared" si="1"/>
        <v>0</v>
      </c>
      <c r="F49" s="52" t="str" cm="1">
        <f t="array" ref="F49">IFERROR( INDEX(code!$B:$B, $C49), "")</f>
        <v/>
      </c>
      <c r="G49" s="20" t="str" cm="1">
        <f t="array" ref="G49">IFERROR( INDEX(code!$D:$G, $C49, $G$7), "")</f>
        <v/>
      </c>
      <c r="H49" s="24" t="str" cm="1">
        <f t="array" ref="H49">IF( $G49="",
"",
_xll.IMDP( IF($D49*$G$7=1,"IDX","FRN"), $G49, "현재가", $B$4 ) )</f>
        <v/>
      </c>
      <c r="I49" s="14" t="str" cm="1">
        <f t="array" ref="I49">IF( $G49="",
"",
_xll.IMDP( IF($D49*$G$7=1,"IDX","FRN"), $G49, $I$7, $B$4 ) )</f>
        <v/>
      </c>
      <c r="J49" s="26" t="str" cm="1">
        <f t="array" ref="J49">IFERROR( CHOOSE($K$7,
INDEX(code!$J:$J, $C49),
IF($E49, INDEX(code!$J:$J, $C49), INDEX(code!$H:$H, $C49)&amp;"KRW") ), "")</f>
        <v/>
      </c>
      <c r="K49" s="28" t="str" cm="1">
        <f t="array" ref="K49">IF( $J49="",
"",
_xll.IMDP( "FX", $J49, IF($D49, "현재가", "NY_BID_Close"), $B$4 ) )</f>
        <v/>
      </c>
      <c r="L49" s="10" t="str" cm="1">
        <f t="array" aca="1" ref="L49" ca="1">IF( $J49="",
"",
      IF($B$4=TODAY(),
      _xll.IMDP( "FX", $J49, IF($D49, "전일종가", "전일BID")),
      IF($D49, _xll.IMDP("FX", $J49, "현재가", WORKDAY($B$4, -1)), _xll.IMDP("FX", $J49, "NY_BID_Chg", $B$4) ) )
)</f>
        <v/>
      </c>
      <c r="M49" s="29" t="str">
        <f t="shared" ca="1" si="2"/>
        <v/>
      </c>
      <c r="N49" s="22" t="str" cm="1">
        <f t="array" ref="N49">IFERROR( IF( $D49, VLOOKUP(table!$O$7, code!$Q$2:$S$9, 3, 0), INDEX(code!$K:$K, $C49)&amp;$O$7 ), "")</f>
        <v/>
      </c>
      <c r="O49" s="56" t="str" cm="1">
        <f t="array" ref="O49">IF( $N49="", "", IF( $D49, IF($O$7="01Y", _xll.IMDP("IR", $N49, "수익률", $B$4), _xll.IMDP("BND", $N49, "장내국채-현재수익률", $B$4)), _xll.IMDP("IR", $N49, "BID_Close", $B$4) ) )</f>
        <v/>
      </c>
      <c r="P49" s="14" t="str" cm="1">
        <f t="array" aca="1" ref="P49" ca="1">IF( $O49="",
"",
IF( $D49,
    IF($O$7="01Y",
    _xll.IMDP("IR", $N49, "전일대비", $B$4)*100,
    IF($B$4=TODAY(), _xll.IMDP("BND", $N49, "장내국채-수익률전일대비"), _xll.IMDP("BND", $N49, "장내국채-민평수익률대비", $B$4)*100) ),
_xll.IMDP("IR", $N49, "BID_Chg", $B$4)*100 )
)</f>
        <v/>
      </c>
    </row>
    <row r="50" spans="2:16" s="7" customFormat="1" ht="13.5" x14ac:dyDescent="0.3">
      <c r="B50" s="12"/>
      <c r="C50" s="11" t="e">
        <f>MATCH($B50, code!$A:$A, 0)</f>
        <v>#N/A</v>
      </c>
      <c r="D50" s="9" t="b">
        <f t="shared" si="0"/>
        <v>0</v>
      </c>
      <c r="E50" s="9" t="b">
        <f t="shared" si="1"/>
        <v>0</v>
      </c>
      <c r="F50" s="52" t="str" cm="1">
        <f t="array" ref="F50">IFERROR( INDEX(code!$B:$B, $C50), "")</f>
        <v/>
      </c>
      <c r="G50" s="20" t="str" cm="1">
        <f t="array" ref="G50">IFERROR( INDEX(code!$D:$G, $C50, $G$7), "")</f>
        <v/>
      </c>
      <c r="H50" s="24" t="str" cm="1">
        <f t="array" ref="H50">IF( $G50="",
"",
_xll.IMDP( IF($D50*$G$7=1,"IDX","FRN"), $G50, "현재가", $B$4 ) )</f>
        <v/>
      </c>
      <c r="I50" s="14" t="str" cm="1">
        <f t="array" ref="I50">IF( $G50="",
"",
_xll.IMDP( IF($D50*$G$7=1,"IDX","FRN"), $G50, $I$7, $B$4 ) )</f>
        <v/>
      </c>
      <c r="J50" s="26" t="str" cm="1">
        <f t="array" ref="J50">IFERROR( CHOOSE($K$7,
INDEX(code!$J:$J, $C50),
IF($E50, INDEX(code!$J:$J, $C50), INDEX(code!$H:$H, $C50)&amp;"KRW") ), "")</f>
        <v/>
      </c>
      <c r="K50" s="28" t="str" cm="1">
        <f t="array" ref="K50">IF( $J50="",
"",
_xll.IMDP( "FX", $J50, IF($D50, "현재가", "NY_BID_Close"), $B$4 ) )</f>
        <v/>
      </c>
      <c r="L50" s="10" t="str" cm="1">
        <f t="array" aca="1" ref="L50" ca="1">IF( $J50="",
"",
      IF($B$4=TODAY(),
      _xll.IMDP( "FX", $J50, IF($D50, "전일종가", "전일BID")),
      IF($D50, _xll.IMDP("FX", $J50, "현재가", WORKDAY($B$4, -1)), _xll.IMDP("FX", $J50, "NY_BID_Chg", $B$4) ) )
)</f>
        <v/>
      </c>
      <c r="M50" s="29" t="str">
        <f t="shared" ca="1" si="2"/>
        <v/>
      </c>
      <c r="N50" s="22" t="str" cm="1">
        <f t="array" ref="N50">IFERROR( IF( $D50, VLOOKUP(table!$O$7, code!$Q$2:$S$9, 3, 0), INDEX(code!$K:$K, $C50)&amp;$O$7 ), "")</f>
        <v/>
      </c>
      <c r="O50" s="56" t="str" cm="1">
        <f t="array" ref="O50">IF( $N50="", "", IF( $D50, IF($O$7="01Y", _xll.IMDP("IR", $N50, "수익률", $B$4), _xll.IMDP("BND", $N50, "장내국채-현재수익률", $B$4)), _xll.IMDP("IR", $N50, "BID_Close", $B$4) ) )</f>
        <v/>
      </c>
      <c r="P50" s="14" t="str" cm="1">
        <f t="array" aca="1" ref="P50" ca="1">IF( $O50="",
"",
IF( $D50,
    IF($O$7="01Y",
    _xll.IMDP("IR", $N50, "전일대비", $B$4)*100,
    IF($B$4=TODAY(), _xll.IMDP("BND", $N50, "장내국채-수익률전일대비"), _xll.IMDP("BND", $N50, "장내국채-민평수익률대비", $B$4)*100) ),
_xll.IMDP("IR", $N50, "BID_Chg", $B$4)*100 )
)</f>
        <v/>
      </c>
    </row>
    <row r="51" spans="2:16" s="7" customFormat="1" ht="13.5" x14ac:dyDescent="0.3">
      <c r="B51" s="12"/>
      <c r="C51" s="11" t="e">
        <f>MATCH($B51, code!$A:$A, 0)</f>
        <v>#N/A</v>
      </c>
      <c r="D51" s="9" t="b">
        <f t="shared" si="0"/>
        <v>0</v>
      </c>
      <c r="E51" s="9" t="b">
        <f t="shared" si="1"/>
        <v>0</v>
      </c>
      <c r="F51" s="52" t="str" cm="1">
        <f t="array" ref="F51">IFERROR( INDEX(code!$B:$B, $C51), "")</f>
        <v/>
      </c>
      <c r="G51" s="20" t="str" cm="1">
        <f t="array" ref="G51">IFERROR( INDEX(code!$D:$G, $C51, $G$7), "")</f>
        <v/>
      </c>
      <c r="H51" s="24" t="str" cm="1">
        <f t="array" ref="H51">IF( $G51="",
"",
_xll.IMDP( IF($D51*$G$7=1,"IDX","FRN"), $G51, "현재가", $B$4 ) )</f>
        <v/>
      </c>
      <c r="I51" s="14" t="str" cm="1">
        <f t="array" ref="I51">IF( $G51="",
"",
_xll.IMDP( IF($D51*$G$7=1,"IDX","FRN"), $G51, $I$7, $B$4 ) )</f>
        <v/>
      </c>
      <c r="J51" s="26" t="str" cm="1">
        <f t="array" ref="J51">IFERROR( CHOOSE($K$7,
INDEX(code!$J:$J, $C51),
IF($E51, INDEX(code!$J:$J, $C51), INDEX(code!$H:$H, $C51)&amp;"KRW") ), "")</f>
        <v/>
      </c>
      <c r="K51" s="28" t="str" cm="1">
        <f t="array" ref="K51">IF( $J51="",
"",
_xll.IMDP( "FX", $J51, IF($D51, "현재가", "NY_BID_Close"), $B$4 ) )</f>
        <v/>
      </c>
      <c r="L51" s="10" t="str" cm="1">
        <f t="array" aca="1" ref="L51" ca="1">IF( $J51="",
"",
      IF($B$4=TODAY(),
      _xll.IMDP( "FX", $J51, IF($D51, "전일종가", "전일BID")),
      IF($D51, _xll.IMDP("FX", $J51, "현재가", WORKDAY($B$4, -1)), _xll.IMDP("FX", $J51, "NY_BID_Chg", $B$4) ) )
)</f>
        <v/>
      </c>
      <c r="M51" s="29" t="str">
        <f t="shared" ca="1" si="2"/>
        <v/>
      </c>
      <c r="N51" s="22" t="str" cm="1">
        <f t="array" ref="N51">IFERROR( IF( $D51, VLOOKUP(table!$O$7, code!$Q$2:$S$9, 3, 0), INDEX(code!$K:$K, $C51)&amp;$O$7 ), "")</f>
        <v/>
      </c>
      <c r="O51" s="56" t="str" cm="1">
        <f t="array" ref="O51">IF( $N51="", "", IF( $D51, IF($O$7="01Y", _xll.IMDP("IR", $N51, "수익률", $B$4), _xll.IMDP("BND", $N51, "장내국채-현재수익률", $B$4)), _xll.IMDP("IR", $N51, "BID_Close", $B$4) ) )</f>
        <v/>
      </c>
      <c r="P51" s="14" t="str" cm="1">
        <f t="array" aca="1" ref="P51" ca="1">IF( $O51="",
"",
IF( $D51,
    IF($O$7="01Y",
    _xll.IMDP("IR", $N51, "전일대비", $B$4)*100,
    IF($B$4=TODAY(), _xll.IMDP("BND", $N51, "장내국채-수익률전일대비"), _xll.IMDP("BND", $N51, "장내국채-민평수익률대비", $B$4)*100) ),
_xll.IMDP("IR", $N51, "BID_Chg", $B$4)*100 )
)</f>
        <v/>
      </c>
    </row>
    <row r="52" spans="2:16" s="7" customFormat="1" ht="13.5" x14ac:dyDescent="0.3">
      <c r="B52" s="12"/>
      <c r="C52" s="11" t="e">
        <f>MATCH($B52, code!$A:$A, 0)</f>
        <v>#N/A</v>
      </c>
      <c r="D52" s="9" t="b">
        <f t="shared" si="0"/>
        <v>0</v>
      </c>
      <c r="E52" s="9" t="b">
        <f t="shared" si="1"/>
        <v>0</v>
      </c>
      <c r="F52" s="52" t="str" cm="1">
        <f t="array" ref="F52">IFERROR( INDEX(code!$B:$B, $C52), "")</f>
        <v/>
      </c>
      <c r="G52" s="20" t="str" cm="1">
        <f t="array" ref="G52">IFERROR( INDEX(code!$D:$G, $C52, $G$7), "")</f>
        <v/>
      </c>
      <c r="H52" s="24" t="str" cm="1">
        <f t="array" ref="H52">IF( $G52="",
"",
_xll.IMDP( IF($D52*$G$7=1,"IDX","FRN"), $G52, "현재가", $B$4 ) )</f>
        <v/>
      </c>
      <c r="I52" s="14" t="str" cm="1">
        <f t="array" ref="I52">IF( $G52="",
"",
_xll.IMDP( IF($D52*$G$7=1,"IDX","FRN"), $G52, $I$7, $B$4 ) )</f>
        <v/>
      </c>
      <c r="J52" s="26" t="str" cm="1">
        <f t="array" ref="J52">IFERROR( CHOOSE($K$7,
INDEX(code!$J:$J, $C52),
IF($E52, INDEX(code!$J:$J, $C52), INDEX(code!$H:$H, $C52)&amp;"KRW") ), "")</f>
        <v/>
      </c>
      <c r="K52" s="28" t="str" cm="1">
        <f t="array" ref="K52">IF( $J52="",
"",
_xll.IMDP( "FX", $J52, IF($D52, "현재가", "NY_BID_Close"), $B$4 ) )</f>
        <v/>
      </c>
      <c r="L52" s="10" t="str" cm="1">
        <f t="array" aca="1" ref="L52" ca="1">IF( $J52="",
"",
      IF($B$4=TODAY(),
      _xll.IMDP( "FX", $J52, IF($D52, "전일종가", "전일BID")),
      IF($D52, _xll.IMDP("FX", $J52, "현재가", WORKDAY($B$4, -1)), _xll.IMDP("FX", $J52, "NY_BID_Chg", $B$4) ) )
)</f>
        <v/>
      </c>
      <c r="M52" s="29" t="str">
        <f t="shared" ca="1" si="2"/>
        <v/>
      </c>
      <c r="N52" s="22" t="str" cm="1">
        <f t="array" ref="N52">IFERROR( IF( $D52, VLOOKUP(table!$O$7, code!$Q$2:$S$9, 3, 0), INDEX(code!$K:$K, $C52)&amp;$O$7 ), "")</f>
        <v/>
      </c>
      <c r="O52" s="56" t="str" cm="1">
        <f t="array" ref="O52">IF( $N52="", "", IF( $D52, IF($O$7="01Y", _xll.IMDP("IR", $N52, "수익률", $B$4), _xll.IMDP("BND", $N52, "장내국채-현재수익률", $B$4)), _xll.IMDP("IR", $N52, "BID_Close", $B$4) ) )</f>
        <v/>
      </c>
      <c r="P52" s="14" t="str" cm="1">
        <f t="array" aca="1" ref="P52" ca="1">IF( $O52="",
"",
IF( $D52,
    IF($O$7="01Y",
    _xll.IMDP("IR", $N52, "전일대비", $B$4)*100,
    IF($B$4=TODAY(), _xll.IMDP("BND", $N52, "장내국채-수익률전일대비"), _xll.IMDP("BND", $N52, "장내국채-민평수익률대비", $B$4)*100) ),
_xll.IMDP("IR", $N52, "BID_Chg", $B$4)*100 )
)</f>
        <v/>
      </c>
    </row>
    <row r="53" spans="2:16" s="7" customFormat="1" ht="13.5" x14ac:dyDescent="0.3">
      <c r="B53" s="12"/>
      <c r="C53" s="11" t="e">
        <f>MATCH($B53, code!$A:$A, 0)</f>
        <v>#N/A</v>
      </c>
      <c r="D53" s="9" t="b">
        <f t="shared" si="0"/>
        <v>0</v>
      </c>
      <c r="E53" s="9" t="b">
        <f t="shared" si="1"/>
        <v>0</v>
      </c>
      <c r="F53" s="52" t="str" cm="1">
        <f t="array" ref="F53">IFERROR( INDEX(code!$B:$B, $C53), "")</f>
        <v/>
      </c>
      <c r="G53" s="20" t="str" cm="1">
        <f t="array" ref="G53">IFERROR( INDEX(code!$D:$G, $C53, $G$7), "")</f>
        <v/>
      </c>
      <c r="H53" s="24" t="str" cm="1">
        <f t="array" ref="H53">IF( $G53="",
"",
_xll.IMDP( IF($D53*$G$7=1,"IDX","FRN"), $G53, "현재가", $B$4 ) )</f>
        <v/>
      </c>
      <c r="I53" s="14" t="str" cm="1">
        <f t="array" ref="I53">IF( $G53="",
"",
_xll.IMDP( IF($D53*$G$7=1,"IDX","FRN"), $G53, $I$7, $B$4 ) )</f>
        <v/>
      </c>
      <c r="J53" s="26" t="str" cm="1">
        <f t="array" ref="J53">IFERROR( CHOOSE($K$7,
INDEX(code!$J:$J, $C53),
IF($E53, INDEX(code!$J:$J, $C53), INDEX(code!$H:$H, $C53)&amp;"KRW") ), "")</f>
        <v/>
      </c>
      <c r="K53" s="28" t="str" cm="1">
        <f t="array" ref="K53">IF( $J53="",
"",
_xll.IMDP( "FX", $J53, IF($D53, "현재가", "NY_BID_Close"), $B$4 ) )</f>
        <v/>
      </c>
      <c r="L53" s="10" t="str" cm="1">
        <f t="array" aca="1" ref="L53" ca="1">IF( $J53="",
"",
      IF($B$4=TODAY(),
      _xll.IMDP( "FX", $J53, IF($D53, "전일종가", "전일BID")),
      IF($D53, _xll.IMDP("FX", $J53, "현재가", WORKDAY($B$4, -1)), _xll.IMDP("FX", $J53, "NY_BID_Chg", $B$4) ) )
)</f>
        <v/>
      </c>
      <c r="M53" s="29" t="str">
        <f t="shared" ca="1" si="2"/>
        <v/>
      </c>
      <c r="N53" s="22" t="str" cm="1">
        <f t="array" ref="N53">IFERROR( IF( $D53, VLOOKUP(table!$O$7, code!$Q$2:$S$9, 3, 0), INDEX(code!$K:$K, $C53)&amp;$O$7 ), "")</f>
        <v/>
      </c>
      <c r="O53" s="56" t="str" cm="1">
        <f t="array" ref="O53">IF( $N53="", "", IF( $D53, IF($O$7="01Y", _xll.IMDP("IR", $N53, "수익률", $B$4), _xll.IMDP("BND", $N53, "장내국채-현재수익률", $B$4)), _xll.IMDP("IR", $N53, "BID_Close", $B$4) ) )</f>
        <v/>
      </c>
      <c r="P53" s="14" t="str" cm="1">
        <f t="array" aca="1" ref="P53" ca="1">IF( $O53="",
"",
IF( $D53,
    IF($O$7="01Y",
    _xll.IMDP("IR", $N53, "전일대비", $B$4)*100,
    IF($B$4=TODAY(), _xll.IMDP("BND", $N53, "장내국채-수익률전일대비"), _xll.IMDP("BND", $N53, "장내국채-민평수익률대비", $B$4)*100) ),
_xll.IMDP("IR", $N53, "BID_Chg", $B$4)*100 )
)</f>
        <v/>
      </c>
    </row>
    <row r="54" spans="2:16" s="7" customFormat="1" ht="13.5" x14ac:dyDescent="0.3">
      <c r="B54" s="12"/>
      <c r="C54" s="11" t="e">
        <f>MATCH($B54, code!$A:$A, 0)</f>
        <v>#N/A</v>
      </c>
      <c r="D54" s="9" t="b">
        <f t="shared" si="0"/>
        <v>0</v>
      </c>
      <c r="E54" s="9" t="b">
        <f t="shared" si="1"/>
        <v>0</v>
      </c>
      <c r="F54" s="52" t="str" cm="1">
        <f t="array" ref="F54">IFERROR( INDEX(code!$B:$B, $C54), "")</f>
        <v/>
      </c>
      <c r="G54" s="20" t="str" cm="1">
        <f t="array" ref="G54">IFERROR( INDEX(code!$D:$G, $C54, $G$7), "")</f>
        <v/>
      </c>
      <c r="H54" s="24" t="str" cm="1">
        <f t="array" ref="H54">IF( $G54="",
"",
_xll.IMDP( IF($D54*$G$7=1,"IDX","FRN"), $G54, "현재가", $B$4 ) )</f>
        <v/>
      </c>
      <c r="I54" s="14" t="str" cm="1">
        <f t="array" ref="I54">IF( $G54="",
"",
_xll.IMDP( IF($D54*$G$7=1,"IDX","FRN"), $G54, $I$7, $B$4 ) )</f>
        <v/>
      </c>
      <c r="J54" s="26" t="str" cm="1">
        <f t="array" ref="J54">IFERROR( CHOOSE($K$7,
INDEX(code!$J:$J, $C54),
IF($E54, INDEX(code!$J:$J, $C54), INDEX(code!$H:$H, $C54)&amp;"KRW") ), "")</f>
        <v/>
      </c>
      <c r="K54" s="28" t="str" cm="1">
        <f t="array" ref="K54">IF( $J54="",
"",
_xll.IMDP( "FX", $J54, IF($D54, "현재가", "NY_BID_Close"), $B$4 ) )</f>
        <v/>
      </c>
      <c r="L54" s="10" t="str" cm="1">
        <f t="array" aca="1" ref="L54" ca="1">IF( $J54="",
"",
      IF($B$4=TODAY(),
      _xll.IMDP( "FX", $J54, IF($D54, "전일종가", "전일BID")),
      IF($D54, _xll.IMDP("FX", $J54, "현재가", WORKDAY($B$4, -1)), _xll.IMDP("FX", $J54, "NY_BID_Chg", $B$4) ) )
)</f>
        <v/>
      </c>
      <c r="M54" s="29" t="str">
        <f t="shared" ca="1" si="2"/>
        <v/>
      </c>
      <c r="N54" s="22" t="str" cm="1">
        <f t="array" ref="N54">IFERROR( IF( $D54, VLOOKUP(table!$O$7, code!$Q$2:$S$9, 3, 0), INDEX(code!$K:$K, $C54)&amp;$O$7 ), "")</f>
        <v/>
      </c>
      <c r="O54" s="56" t="str" cm="1">
        <f t="array" ref="O54">IF( $N54="", "", IF( $D54, IF($O$7="01Y", _xll.IMDP("IR", $N54, "수익률", $B$4), _xll.IMDP("BND", $N54, "장내국채-현재수익률", $B$4)), _xll.IMDP("IR", $N54, "BID_Close", $B$4) ) )</f>
        <v/>
      </c>
      <c r="P54" s="14" t="str" cm="1">
        <f t="array" aca="1" ref="P54" ca="1">IF( $O54="",
"",
IF( $D54,
    IF($O$7="01Y",
    _xll.IMDP("IR", $N54, "전일대비", $B$4)*100,
    IF($B$4=TODAY(), _xll.IMDP("BND", $N54, "장내국채-수익률전일대비"), _xll.IMDP("BND", $N54, "장내국채-민평수익률대비", $B$4)*100) ),
_xll.IMDP("IR", $N54, "BID_Chg", $B$4)*100 )
)</f>
        <v/>
      </c>
    </row>
    <row r="55" spans="2:16" s="7" customFormat="1" ht="13.5" x14ac:dyDescent="0.3">
      <c r="B55" s="12"/>
      <c r="C55" s="11" t="e">
        <f>MATCH($B55, code!$A:$A, 0)</f>
        <v>#N/A</v>
      </c>
      <c r="D55" s="9" t="b">
        <f t="shared" si="0"/>
        <v>0</v>
      </c>
      <c r="E55" s="9" t="b">
        <f t="shared" si="1"/>
        <v>0</v>
      </c>
      <c r="F55" s="52" t="str" cm="1">
        <f t="array" ref="F55">IFERROR( INDEX(code!$B:$B, $C55), "")</f>
        <v/>
      </c>
      <c r="G55" s="20" t="str" cm="1">
        <f t="array" ref="G55">IFERROR( INDEX(code!$D:$G, $C55, $G$7), "")</f>
        <v/>
      </c>
      <c r="H55" s="24" t="str" cm="1">
        <f t="array" ref="H55">IF( $G55="",
"",
_xll.IMDP( IF($D55*$G$7=1,"IDX","FRN"), $G55, "현재가", $B$4 ) )</f>
        <v/>
      </c>
      <c r="I55" s="14" t="str" cm="1">
        <f t="array" ref="I55">IF( $G55="",
"",
_xll.IMDP( IF($D55*$G$7=1,"IDX","FRN"), $G55, $I$7, $B$4 ) )</f>
        <v/>
      </c>
      <c r="J55" s="26" t="str" cm="1">
        <f t="array" ref="J55">IFERROR( CHOOSE($K$7,
INDEX(code!$J:$J, $C55),
IF($E55, INDEX(code!$J:$J, $C55), INDEX(code!$H:$H, $C55)&amp;"KRW") ), "")</f>
        <v/>
      </c>
      <c r="K55" s="28" t="str" cm="1">
        <f t="array" ref="K55">IF( $J55="",
"",
_xll.IMDP( "FX", $J55, IF($D55, "현재가", "NY_BID_Close"), $B$4 ) )</f>
        <v/>
      </c>
      <c r="L55" s="10" t="str" cm="1">
        <f t="array" aca="1" ref="L55" ca="1">IF( $J55="",
"",
      IF($B$4=TODAY(),
      _xll.IMDP( "FX", $J55, IF($D55, "전일종가", "전일BID")),
      IF($D55, _xll.IMDP("FX", $J55, "현재가", WORKDAY($B$4, -1)), _xll.IMDP("FX", $J55, "NY_BID_Chg", $B$4) ) )
)</f>
        <v/>
      </c>
      <c r="M55" s="29" t="str">
        <f t="shared" ca="1" si="2"/>
        <v/>
      </c>
      <c r="N55" s="22" t="str" cm="1">
        <f t="array" ref="N55">IFERROR( IF( $D55, VLOOKUP(table!$O$7, code!$Q$2:$S$9, 3, 0), INDEX(code!$K:$K, $C55)&amp;$O$7 ), "")</f>
        <v/>
      </c>
      <c r="O55" s="56" t="str" cm="1">
        <f t="array" ref="O55">IF( $N55="", "", IF( $D55, IF($O$7="01Y", _xll.IMDP("IR", $N55, "수익률", $B$4), _xll.IMDP("BND", $N55, "장내국채-현재수익률", $B$4)), _xll.IMDP("IR", $N55, "BID_Close", $B$4) ) )</f>
        <v/>
      </c>
      <c r="P55" s="14" t="str" cm="1">
        <f t="array" aca="1" ref="P55" ca="1">IF( $O55="",
"",
IF( $D55,
    IF($O$7="01Y",
    _xll.IMDP("IR", $N55, "전일대비", $B$4)*100,
    IF($B$4=TODAY(), _xll.IMDP("BND", $N55, "장내국채-수익률전일대비"), _xll.IMDP("BND", $N55, "장내국채-민평수익률대비", $B$4)*100) ),
_xll.IMDP("IR", $N55, "BID_Chg", $B$4)*100 )
)</f>
        <v/>
      </c>
    </row>
    <row r="56" spans="2:16" s="7" customFormat="1" ht="13.5" x14ac:dyDescent="0.3">
      <c r="B56" s="12"/>
      <c r="C56" s="11" t="e">
        <f>MATCH($B56, code!$A:$A, 0)</f>
        <v>#N/A</v>
      </c>
      <c r="D56" s="9" t="b">
        <f t="shared" si="0"/>
        <v>0</v>
      </c>
      <c r="E56" s="9" t="b">
        <f t="shared" si="1"/>
        <v>0</v>
      </c>
      <c r="F56" s="52" t="str" cm="1">
        <f t="array" ref="F56">IFERROR( INDEX(code!$B:$B, $C56), "")</f>
        <v/>
      </c>
      <c r="G56" s="20" t="str" cm="1">
        <f t="array" ref="G56">IFERROR( INDEX(code!$D:$G, $C56, $G$7), "")</f>
        <v/>
      </c>
      <c r="H56" s="24" t="str" cm="1">
        <f t="array" ref="H56">IF( $G56="",
"",
_xll.IMDP( IF($D56*$G$7=1,"IDX","FRN"), $G56, "현재가", $B$4 ) )</f>
        <v/>
      </c>
      <c r="I56" s="14" t="str" cm="1">
        <f t="array" ref="I56">IF( $G56="",
"",
_xll.IMDP( IF($D56*$G$7=1,"IDX","FRN"), $G56, $I$7, $B$4 ) )</f>
        <v/>
      </c>
      <c r="J56" s="26" t="str" cm="1">
        <f t="array" ref="J56">IFERROR( CHOOSE($K$7,
INDEX(code!$J:$J, $C56),
IF($E56, INDEX(code!$J:$J, $C56), INDEX(code!$H:$H, $C56)&amp;"KRW") ), "")</f>
        <v/>
      </c>
      <c r="K56" s="28" t="str" cm="1">
        <f t="array" ref="K56">IF( $J56="",
"",
_xll.IMDP( "FX", $J56, IF($D56, "현재가", "NY_BID_Close"), $B$4 ) )</f>
        <v/>
      </c>
      <c r="L56" s="10" t="str" cm="1">
        <f t="array" aca="1" ref="L56" ca="1">IF( $J56="",
"",
      IF($B$4=TODAY(),
      _xll.IMDP( "FX", $J56, IF($D56, "전일종가", "전일BID")),
      IF($D56, _xll.IMDP("FX", $J56, "현재가", WORKDAY($B$4, -1)), _xll.IMDP("FX", $J56, "NY_BID_Chg", $B$4) ) )
)</f>
        <v/>
      </c>
      <c r="M56" s="29" t="str">
        <f t="shared" ca="1" si="2"/>
        <v/>
      </c>
      <c r="N56" s="22" t="str" cm="1">
        <f t="array" ref="N56">IFERROR( IF( $D56, VLOOKUP(table!$O$7, code!$Q$2:$S$9, 3, 0), INDEX(code!$K:$K, $C56)&amp;$O$7 ), "")</f>
        <v/>
      </c>
      <c r="O56" s="56" t="str" cm="1">
        <f t="array" ref="O56">IF( $N56="", "", IF( $D56, IF($O$7="01Y", _xll.IMDP("IR", $N56, "수익률", $B$4), _xll.IMDP("BND", $N56, "장내국채-현재수익률", $B$4)), _xll.IMDP("IR", $N56, "BID_Close", $B$4) ) )</f>
        <v/>
      </c>
      <c r="P56" s="14" t="str" cm="1">
        <f t="array" aca="1" ref="P56" ca="1">IF( $O56="",
"",
IF( $D56,
    IF($O$7="01Y",
    _xll.IMDP("IR", $N56, "전일대비", $B$4)*100,
    IF($B$4=TODAY(), _xll.IMDP("BND", $N56, "장내국채-수익률전일대비"), _xll.IMDP("BND", $N56, "장내국채-민평수익률대비", $B$4)*100) ),
_xll.IMDP("IR", $N56, "BID_Chg", $B$4)*100 )
)</f>
        <v/>
      </c>
    </row>
    <row r="57" spans="2:16" s="7" customFormat="1" ht="14.25" thickBot="1" x14ac:dyDescent="0.35">
      <c r="B57" s="13"/>
      <c r="C57" s="15" t="e">
        <f>MATCH($B57, code!$A:$A, 0)</f>
        <v>#N/A</v>
      </c>
      <c r="D57" s="16" t="b">
        <f t="shared" si="0"/>
        <v>0</v>
      </c>
      <c r="E57" s="16" t="b">
        <f t="shared" si="1"/>
        <v>0</v>
      </c>
      <c r="F57" s="53" t="str" cm="1">
        <f t="array" ref="F57">IFERROR( INDEX(code!$B:$B, $C57), "")</f>
        <v/>
      </c>
      <c r="G57" s="21" t="str" cm="1">
        <f t="array" ref="G57">IFERROR( INDEX(code!$D:$G, $C57, $G$7), "")</f>
        <v/>
      </c>
      <c r="H57" s="25" t="str" cm="1">
        <f t="array" ref="H57">IF( $G57="",
"",
_xll.IMDP( IF($D57*$G$7=1,"IDX","FRN"), $G57, "현재가", $B$4 ) )</f>
        <v/>
      </c>
      <c r="I57" s="18" t="str" cm="1">
        <f t="array" ref="I57">IF( $G57="",
"",
_xll.IMDP( IF($D57*$G$7=1,"IDX","FRN"), $G57, $I$7, $B$4 ) )</f>
        <v/>
      </c>
      <c r="J57" s="27" t="str" cm="1">
        <f t="array" ref="J57">IFERROR( CHOOSE($K$7,
INDEX(code!$J:$J, $C57),
IF($E57, INDEX(code!$J:$J, $C57), INDEX(code!$H:$H, $C57)&amp;"KRW") ), "")</f>
        <v/>
      </c>
      <c r="K57" s="30" t="str" cm="1">
        <f t="array" ref="K57">IF( $J57="",
"",
_xll.IMDP( "FX", $J57, IF($D57, "현재가", "NY_BID_Close"), $B$4 ) )</f>
        <v/>
      </c>
      <c r="L57" s="17" t="str" cm="1">
        <f t="array" aca="1" ref="L57" ca="1">IF( $J57="",
"",
      IF($B$4=TODAY(),
      _xll.IMDP( "FX", $J57, IF($D57, "전일종가", "전일BID")),
      IF($D57, _xll.IMDP("FX", $J57, "현재가", WORKDAY($B$4, -1)), _xll.IMDP("FX", $J57, "NY_BID_Chg", $B$4) ) )
)</f>
        <v/>
      </c>
      <c r="M57" s="31" t="str">
        <f t="shared" ca="1" si="2"/>
        <v/>
      </c>
      <c r="N57" s="23" t="str" cm="1">
        <f t="array" ref="N57">IFERROR( IF( $D57, VLOOKUP(table!$O$7, code!$Q$2:$S$9, 3, 0), INDEX(code!$K:$K, $C57)&amp;$O$7 ), "")</f>
        <v/>
      </c>
      <c r="O57" s="57" t="str" cm="1">
        <f t="array" ref="O57">IF( $N57="", "", IF( $D57, IF($O$7="01Y", _xll.IMDP("IR", $N57, "수익률", $B$4), _xll.IMDP("BND", $N57, "장내국채-현재수익률", $B$4)), _xll.IMDP("IR", $N57, "BID_Close", $B$4) ) )</f>
        <v/>
      </c>
      <c r="P57" s="18" t="str" cm="1">
        <f t="array" aca="1" ref="P57" ca="1">IF( $O57="",
"",
IF( $D57,
    IF($O$7="01Y",
    _xll.IMDP("IR", $N57, "전일대비", $B$4)*100,
    IF($B$4=TODAY(), _xll.IMDP("BND", $N57, "장내국채-수익률전일대비"), _xll.IMDP("BND", $N57, "장내국채-민평수익률대비", $B$4)*100) ),
_xll.IMDP("IR", $N57, "BID_Chg", $B$4)*100 )
)</f>
        <v/>
      </c>
    </row>
    <row r="58" spans="2:16" x14ac:dyDescent="0.3"/>
    <row r="59" spans="2:16" x14ac:dyDescent="0.3"/>
    <row r="60" spans="2:16" x14ac:dyDescent="0.3"/>
  </sheetData>
  <mergeCells count="3">
    <mergeCell ref="K6:M6"/>
    <mergeCell ref="O6:P6"/>
    <mergeCell ref="H6:I6"/>
  </mergeCells>
  <phoneticPr fontId="1" type="noConversion"/>
  <conditionalFormatting sqref="I8:I57 M8:M57 P8:P57">
    <cfRule type="expression" dxfId="2" priority="2">
      <formula>I8&lt;0</formula>
    </cfRule>
    <cfRule type="expression" dxfId="1" priority="3">
      <formula>I8&gt;0</formula>
    </cfRule>
    <cfRule type="expression" dxfId="0" priority="1">
      <formula>OR(I8="",I8=0)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Drop Down 5">
              <controlPr defaultSize="0" autoLine="0" autoPict="0">
                <anchor moveWithCells="1">
                  <from>
                    <xdr:col>7</xdr:col>
                    <xdr:colOff>19050</xdr:colOff>
                    <xdr:row>6</xdr:row>
                    <xdr:rowOff>19050</xdr:rowOff>
                  </from>
                  <to>
                    <xdr:col>8</xdr:col>
                    <xdr:colOff>9525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Drop Down 8">
              <controlPr defaultSize="0" autoLine="0" autoPict="0">
                <anchor moveWithCells="1">
                  <from>
                    <xdr:col>8</xdr:col>
                    <xdr:colOff>19050</xdr:colOff>
                    <xdr:row>6</xdr:row>
                    <xdr:rowOff>19050</xdr:rowOff>
                  </from>
                  <to>
                    <xdr:col>9</xdr:col>
                    <xdr:colOff>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Drop Down 9">
              <controlPr defaultSize="0" autoLine="0" autoPict="0">
                <anchor moveWithCells="1">
                  <from>
                    <xdr:col>10</xdr:col>
                    <xdr:colOff>28575</xdr:colOff>
                    <xdr:row>6</xdr:row>
                    <xdr:rowOff>19050</xdr:rowOff>
                  </from>
                  <to>
                    <xdr:col>10</xdr:col>
                    <xdr:colOff>923925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14</xdr:col>
                    <xdr:colOff>38100</xdr:colOff>
                    <xdr:row>6</xdr:row>
                    <xdr:rowOff>19050</xdr:rowOff>
                  </from>
                  <to>
                    <xdr:col>14</xdr:col>
                    <xdr:colOff>933450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Drop Down 36">
              <controlPr defaultSize="0" autoLine="0" autoPict="0" macro="[0]!Module1.conti_select">
                <anchor moveWithCells="1">
                  <from>
                    <xdr:col>1</xdr:col>
                    <xdr:colOff>1190625</xdr:colOff>
                    <xdr:row>5</xdr:row>
                    <xdr:rowOff>57150</xdr:rowOff>
                  </from>
                  <to>
                    <xdr:col>5</xdr:col>
                    <xdr:colOff>904875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fields_default">
                <anchor moveWithCells="1">
                  <from>
                    <xdr:col>1</xdr:col>
                    <xdr:colOff>47625</xdr:colOff>
                    <xdr:row>5</xdr:row>
                    <xdr:rowOff>57150</xdr:rowOff>
                  </from>
                  <to>
                    <xdr:col>1</xdr:col>
                    <xdr:colOff>1057275</xdr:colOff>
                    <xdr:row>5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566565-E255-4667-B45F-ED3BF23074C4}">
          <x14:formula1>
            <xm:f>code!$A$2:$A$192</xm:f>
          </x14:formula1>
          <xm:sqref>B8:B57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8</vt:i4>
      </vt:variant>
    </vt:vector>
  </HeadingPairs>
  <TitlesOfParts>
    <vt:vector size="10" baseType="lpstr">
      <vt:lpstr>code</vt:lpstr>
      <vt:lpstr>table</vt:lpstr>
      <vt:lpstr>afr</vt:lpstr>
      <vt:lpstr>america</vt:lpstr>
      <vt:lpstr>asia</vt:lpstr>
      <vt:lpstr>conti_select</vt:lpstr>
      <vt:lpstr>default</vt:lpstr>
      <vt:lpstr>europe</vt:lpstr>
      <vt:lpstr>fields</vt:lpstr>
      <vt:lpstr>mide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정승환</dc:creator>
  <cp:lastModifiedBy>정승환</cp:lastModifiedBy>
  <dcterms:created xsi:type="dcterms:W3CDTF">2023-11-13T04:10:55Z</dcterms:created>
  <dcterms:modified xsi:type="dcterms:W3CDTF">2023-11-15T06:42:55Z</dcterms:modified>
</cp:coreProperties>
</file>