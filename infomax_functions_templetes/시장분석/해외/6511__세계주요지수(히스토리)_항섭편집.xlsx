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GitRepositories\infomax_supabase_bot\infomax_functions_templetes\시장분석\해외\"/>
    </mc:Choice>
  </mc:AlternateContent>
  <xr:revisionPtr revIDLastSave="0" documentId="13_ncr:1_{11C3D0FE-C09A-4A01-A432-DF919C637F24}" xr6:coauthVersionLast="36" xr6:coauthVersionMax="36" xr10:uidLastSave="{00000000-0000-0000-0000-000000000000}"/>
  <bookViews>
    <workbookView xWindow="0" yWindow="0" windowWidth="28800" windowHeight="10860" tabRatio="609" activeTab="2" xr2:uid="{00000000-000D-0000-FFFF-FFFF00000000}"/>
  </bookViews>
  <sheets>
    <sheet name="6511(당일)" sheetId="1" r:id="rId1"/>
    <sheet name="6511 (일주일)" sheetId="6" r:id="rId2"/>
    <sheet name="6511 (히스토리)" sheetId="4" r:id="rId3"/>
    <sheet name="코드표" sheetId="5" r:id="rId4"/>
  </sheets>
  <calcPr calcId="191029"/>
</workbook>
</file>

<file path=xl/calcChain.xml><?xml version="1.0" encoding="utf-8"?>
<calcChain xmlns="http://schemas.openxmlformats.org/spreadsheetml/2006/main">
  <c r="B12" i="4" l="1"/>
  <c r="G12" i="4"/>
  <c r="F12" i="6" l="1" a="1"/>
  <c r="F2" i="6"/>
  <c r="F11" i="6" s="1" a="1"/>
  <c r="M3" i="1"/>
  <c r="F11" i="6" l="1"/>
  <c r="F12" i="6"/>
  <c r="A3" i="4"/>
  <c r="B3" i="4"/>
  <c r="B1" i="1"/>
  <c r="A14" i="4"/>
  <c r="G13" i="4"/>
  <c r="K13" i="4"/>
  <c r="I13" i="4"/>
  <c r="J9" i="1"/>
  <c r="I46" i="1"/>
  <c r="G25" i="1"/>
  <c r="I45" i="1"/>
  <c r="G35" i="1"/>
  <c r="J55" i="1"/>
  <c r="G37" i="1"/>
  <c r="I28" i="1"/>
  <c r="J58" i="1"/>
  <c r="G50" i="1"/>
  <c r="G29" i="1"/>
  <c r="G53" i="1"/>
  <c r="G43" i="1"/>
  <c r="F64" i="1"/>
  <c r="I35" i="1"/>
  <c r="G36" i="1"/>
  <c r="H20" i="1"/>
  <c r="I52" i="1"/>
  <c r="F62" i="1"/>
  <c r="G18" i="1"/>
  <c r="H51" i="1"/>
  <c r="J12" i="1"/>
  <c r="G15" i="1"/>
  <c r="J46" i="1"/>
  <c r="J56" i="1"/>
  <c r="F9" i="1"/>
  <c r="H32" i="1"/>
  <c r="H53" i="1"/>
  <c r="I25" i="1"/>
  <c r="I30" i="1"/>
  <c r="J29" i="1"/>
  <c r="F38" i="1"/>
  <c r="J49" i="1"/>
  <c r="F32" i="1"/>
  <c r="F46" i="1"/>
  <c r="F42" i="1"/>
  <c r="F55" i="1"/>
  <c r="G42" i="1"/>
  <c r="J52" i="1"/>
  <c r="F45" i="1"/>
  <c r="G4" i="1"/>
  <c r="G44" i="1"/>
  <c r="H18" i="1"/>
  <c r="F57" i="1"/>
  <c r="J23" i="1"/>
  <c r="F58" i="1"/>
  <c r="F31" i="1"/>
  <c r="H57" i="1"/>
  <c r="F11" i="1"/>
  <c r="H7" i="1"/>
  <c r="I11" i="1"/>
  <c r="J7" i="1"/>
  <c r="I42" i="1"/>
  <c r="I41" i="1"/>
  <c r="H27" i="1"/>
  <c r="J30" i="1"/>
  <c r="I34" i="1"/>
  <c r="F4" i="1"/>
  <c r="H35" i="1"/>
  <c r="F39" i="1"/>
  <c r="F47" i="1"/>
  <c r="G57" i="1"/>
  <c r="F15" i="1"/>
  <c r="J32" i="1"/>
  <c r="I20" i="1"/>
  <c r="G47" i="1"/>
  <c r="G39" i="1"/>
  <c r="J22" i="1"/>
  <c r="F49" i="1"/>
  <c r="F24" i="1"/>
  <c r="H12" i="1"/>
  <c r="I32" i="1"/>
  <c r="F63" i="1"/>
  <c r="J33" i="1"/>
  <c r="I53" i="1"/>
  <c r="I56" i="1"/>
  <c r="H50" i="1"/>
  <c r="H21" i="1"/>
  <c r="F29" i="1"/>
  <c r="G11" i="1"/>
  <c r="I33" i="1"/>
  <c r="H5" i="1"/>
  <c r="F19" i="1"/>
  <c r="J34" i="1"/>
  <c r="G64" i="1"/>
  <c r="F34" i="1"/>
  <c r="G60" i="1"/>
  <c r="F48" i="1"/>
  <c r="J53" i="1"/>
  <c r="G46" i="1"/>
  <c r="F6" i="1"/>
  <c r="I29" i="1"/>
  <c r="F14" i="1"/>
  <c r="J37" i="1"/>
  <c r="G54" i="1"/>
  <c r="I38" i="1"/>
  <c r="G21" i="1"/>
  <c r="H44" i="1"/>
  <c r="G13" i="1"/>
  <c r="F21" i="1"/>
  <c r="H24" i="1"/>
  <c r="F44" i="1"/>
  <c r="F52" i="1"/>
  <c r="G34" i="1"/>
  <c r="J13" i="1"/>
  <c r="J51" i="1"/>
  <c r="G17" i="1"/>
  <c r="F16" i="1"/>
  <c r="J63" i="1"/>
  <c r="I7" i="1"/>
  <c r="F26" i="1"/>
  <c r="H10" i="1"/>
  <c r="H39" i="1"/>
  <c r="H29" i="1"/>
  <c r="G8" i="1"/>
  <c r="F18" i="1"/>
  <c r="I18" i="1"/>
  <c r="I43" i="1"/>
  <c r="F41" i="1"/>
  <c r="I55" i="1"/>
  <c r="F17" i="1"/>
  <c r="H30" i="1"/>
  <c r="J57" i="1"/>
  <c r="I24" i="1"/>
  <c r="J64" i="1"/>
  <c r="G45" i="1"/>
  <c r="I8" i="1"/>
  <c r="I36" i="1"/>
  <c r="G31" i="1"/>
  <c r="H43" i="1"/>
  <c r="J48" i="1"/>
  <c r="J43" i="1"/>
  <c r="G7" i="1"/>
  <c r="G20" i="1"/>
  <c r="H9" i="1"/>
  <c r="H49" i="1"/>
  <c r="H28" i="1"/>
  <c r="I61" i="1"/>
  <c r="I19" i="1"/>
  <c r="J10" i="1"/>
  <c r="F60" i="1"/>
  <c r="H46" i="1"/>
  <c r="G40" i="1"/>
  <c r="J36" i="1"/>
  <c r="F23" i="1"/>
  <c r="J50" i="1"/>
  <c r="G28" i="1"/>
  <c r="J25" i="1"/>
  <c r="I37" i="1"/>
  <c r="H16" i="1"/>
  <c r="F20" i="1"/>
  <c r="H56" i="1"/>
  <c r="H31" i="1"/>
  <c r="H4" i="1"/>
  <c r="F51" i="1"/>
  <c r="I5" i="1"/>
  <c r="G63" i="1"/>
  <c r="H40" i="1"/>
  <c r="H52" i="1"/>
  <c r="I14" i="1"/>
  <c r="H65" i="1"/>
  <c r="G59" i="1"/>
  <c r="H6" i="1"/>
  <c r="G32" i="1"/>
  <c r="H62" i="1"/>
  <c r="F35" i="1"/>
  <c r="I49" i="1"/>
  <c r="I21" i="1"/>
  <c r="I57" i="1"/>
  <c r="J16" i="1"/>
  <c r="F30" i="1"/>
  <c r="F27" i="1"/>
  <c r="H48" i="1"/>
  <c r="G55" i="1"/>
  <c r="I27" i="1"/>
  <c r="H58" i="1"/>
  <c r="G24" i="1"/>
  <c r="G23" i="1"/>
  <c r="H63" i="1"/>
  <c r="H64" i="1"/>
  <c r="F12" i="1"/>
  <c r="I40" i="1"/>
  <c r="G41" i="1"/>
  <c r="I47" i="1"/>
  <c r="G30" i="1"/>
  <c r="I4" i="1"/>
  <c r="J65" i="1"/>
  <c r="G58" i="1"/>
  <c r="I44" i="1"/>
  <c r="J47" i="1"/>
  <c r="H61" i="1"/>
  <c r="J62" i="1"/>
  <c r="G38" i="1"/>
  <c r="J60" i="1"/>
  <c r="G9" i="1"/>
  <c r="H14" i="1"/>
  <c r="G27" i="1"/>
  <c r="H23" i="1"/>
  <c r="F8" i="1"/>
  <c r="J61" i="1"/>
  <c r="I17" i="1"/>
  <c r="G56" i="1"/>
  <c r="J27" i="1"/>
  <c r="J5" i="1"/>
  <c r="J28" i="1"/>
  <c r="H22" i="1"/>
  <c r="H37" i="1"/>
  <c r="F10" i="1"/>
  <c r="G49" i="1"/>
  <c r="I62" i="1"/>
  <c r="J54" i="1"/>
  <c r="H55" i="1"/>
  <c r="I16" i="1"/>
  <c r="H47" i="1"/>
  <c r="I31" i="1"/>
  <c r="I59" i="1"/>
  <c r="H25" i="1"/>
  <c r="I64" i="1"/>
  <c r="H15" i="1"/>
  <c r="G6" i="1"/>
  <c r="H26" i="1"/>
  <c r="H41" i="1"/>
  <c r="G22" i="1"/>
  <c r="G26" i="1"/>
  <c r="H54" i="1"/>
  <c r="F37" i="1"/>
  <c r="H36" i="1"/>
  <c r="I60" i="1"/>
  <c r="G65" i="1"/>
  <c r="G12" i="1"/>
  <c r="F59" i="1"/>
  <c r="I58" i="1"/>
  <c r="I54" i="1"/>
  <c r="H19" i="1"/>
  <c r="H11" i="1"/>
  <c r="I23" i="1"/>
  <c r="I48" i="1"/>
  <c r="J40" i="1"/>
  <c r="H34" i="1"/>
  <c r="F50" i="1"/>
  <c r="I12" i="1"/>
  <c r="I15" i="1"/>
  <c r="J26" i="1"/>
  <c r="I39" i="1"/>
  <c r="F65" i="1"/>
  <c r="H45" i="1"/>
  <c r="I10" i="1"/>
  <c r="I65" i="1"/>
  <c r="J39" i="1"/>
  <c r="G48" i="1"/>
  <c r="J19" i="1"/>
  <c r="I63" i="1"/>
  <c r="J38" i="1"/>
  <c r="G33" i="1"/>
  <c r="J8" i="1"/>
  <c r="G16" i="1"/>
  <c r="J44" i="1"/>
  <c r="J18" i="1"/>
  <c r="I51" i="1"/>
  <c r="J41" i="1"/>
  <c r="H59" i="1"/>
  <c r="I26" i="1"/>
  <c r="J59" i="1"/>
  <c r="H33" i="1"/>
  <c r="F56" i="1"/>
  <c r="J17" i="1"/>
  <c r="H8" i="1"/>
  <c r="I9" i="1"/>
  <c r="F43" i="1"/>
  <c r="G51" i="1"/>
  <c r="F61" i="1"/>
  <c r="F13" i="1"/>
  <c r="G10" i="1"/>
  <c r="G5" i="1"/>
  <c r="J45" i="1"/>
  <c r="J15" i="1"/>
  <c r="J4" i="1"/>
  <c r="G62" i="1"/>
  <c r="J24" i="1"/>
  <c r="G61" i="1"/>
  <c r="J42" i="1"/>
  <c r="J20" i="1"/>
  <c r="J31" i="1"/>
  <c r="F40" i="1"/>
  <c r="J6" i="1"/>
  <c r="J11" i="1"/>
  <c r="G19" i="1"/>
  <c r="H42" i="1"/>
  <c r="J35" i="1"/>
  <c r="I13" i="1"/>
  <c r="F33" i="1"/>
  <c r="J14" i="1"/>
  <c r="G52" i="1"/>
  <c r="H60" i="1"/>
  <c r="H13" i="1"/>
  <c r="F5" i="1"/>
  <c r="F7" i="1"/>
  <c r="I22" i="1"/>
  <c r="F28" i="1"/>
  <c r="F53" i="1"/>
  <c r="F54" i="1"/>
  <c r="H38" i="1"/>
  <c r="J21" i="1"/>
  <c r="F36" i="1"/>
  <c r="I6" i="1"/>
  <c r="F25" i="1"/>
  <c r="H17" i="1"/>
  <c r="G14" i="1"/>
  <c r="I50" i="1"/>
  <c r="F22" i="1"/>
  <c r="F63" i="6" l="1" a="1"/>
  <c r="F63" i="6" s="1"/>
  <c r="F62" i="6" a="1"/>
  <c r="F62" i="6" s="1"/>
  <c r="G2" i="6"/>
  <c r="F6" i="6" a="1"/>
  <c r="F6" i="6" s="1"/>
  <c r="F22" i="6" a="1"/>
  <c r="F22" i="6" s="1"/>
  <c r="F1" i="6"/>
  <c r="F14" i="6" a="1"/>
  <c r="F14" i="6" s="1"/>
  <c r="F39" i="6" a="1"/>
  <c r="F39" i="6" s="1"/>
  <c r="F4" i="6" a="1"/>
  <c r="F4" i="6" s="1"/>
  <c r="F8" i="6" a="1"/>
  <c r="F8" i="6" s="1"/>
  <c r="F18" i="6" a="1"/>
  <c r="F18" i="6" s="1"/>
  <c r="F28" i="6" a="1"/>
  <c r="F28" i="6" s="1"/>
  <c r="F58" i="6" a="1"/>
  <c r="F58" i="6" s="1"/>
  <c r="F3" i="6" a="1"/>
  <c r="F3" i="6" s="1"/>
  <c r="F5" i="6" a="1"/>
  <c r="F5" i="6" s="1"/>
  <c r="F7" i="6" a="1"/>
  <c r="F7" i="6" s="1"/>
  <c r="F10" i="6" a="1"/>
  <c r="F10" i="6" s="1"/>
  <c r="F16" i="6" a="1"/>
  <c r="F16" i="6" s="1"/>
  <c r="F20" i="6" a="1"/>
  <c r="F20" i="6" s="1"/>
  <c r="F24" i="6" a="1"/>
  <c r="F24" i="6" s="1"/>
  <c r="F32" i="6" a="1"/>
  <c r="F32" i="6" s="1"/>
  <c r="F47" i="6" a="1"/>
  <c r="F47" i="6" s="1"/>
  <c r="F9" i="6" a="1"/>
  <c r="F9" i="6" s="1"/>
  <c r="F13" i="6" a="1"/>
  <c r="F13" i="6" s="1"/>
  <c r="F15" i="6" a="1"/>
  <c r="F15" i="6" s="1"/>
  <c r="F17" i="6" a="1"/>
  <c r="F17" i="6" s="1"/>
  <c r="F19" i="6" a="1"/>
  <c r="F19" i="6" s="1"/>
  <c r="F21" i="6" a="1"/>
  <c r="F21" i="6" s="1"/>
  <c r="F23" i="6" a="1"/>
  <c r="F23" i="6" s="1"/>
  <c r="F26" i="6" a="1"/>
  <c r="F26" i="6" s="1"/>
  <c r="F30" i="6" a="1"/>
  <c r="F30" i="6" s="1"/>
  <c r="F35" i="6" a="1"/>
  <c r="F35" i="6" s="1"/>
  <c r="F43" i="6" a="1"/>
  <c r="F43" i="6" s="1"/>
  <c r="F54" i="6" a="1"/>
  <c r="F54" i="6" s="1"/>
  <c r="F64" i="6" a="1"/>
  <c r="F64" i="6" s="1"/>
  <c r="F25" i="6" a="1"/>
  <c r="F25" i="6" s="1"/>
  <c r="F27" i="6" a="1"/>
  <c r="F27" i="6" s="1"/>
  <c r="F29" i="6" a="1"/>
  <c r="F29" i="6" s="1"/>
  <c r="F31" i="6" a="1"/>
  <c r="F31" i="6" s="1"/>
  <c r="F33" i="6" a="1"/>
  <c r="F33" i="6" s="1"/>
  <c r="F37" i="6" a="1"/>
  <c r="F37" i="6" s="1"/>
  <c r="F41" i="6" a="1"/>
  <c r="F41" i="6" s="1"/>
  <c r="F45" i="6" a="1"/>
  <c r="F45" i="6" s="1"/>
  <c r="F49" i="6" a="1"/>
  <c r="F49" i="6" s="1"/>
  <c r="F56" i="6" a="1"/>
  <c r="F56" i="6" s="1"/>
  <c r="F60" i="6" a="1"/>
  <c r="F60" i="6" s="1"/>
  <c r="F34" i="6" a="1"/>
  <c r="F34" i="6" s="1"/>
  <c r="F36" i="6" a="1"/>
  <c r="F36" i="6" s="1"/>
  <c r="F38" i="6" a="1"/>
  <c r="F38" i="6" s="1"/>
  <c r="F40" i="6" a="1"/>
  <c r="F40" i="6" s="1"/>
  <c r="F42" i="6" a="1"/>
  <c r="F42" i="6" s="1"/>
  <c r="F44" i="6" a="1"/>
  <c r="F44" i="6" s="1"/>
  <c r="F46" i="6" a="1"/>
  <c r="F46" i="6" s="1"/>
  <c r="F48" i="6" a="1"/>
  <c r="F48" i="6" s="1"/>
  <c r="F50" i="6" a="1"/>
  <c r="F50" i="6" s="1"/>
  <c r="F55" i="6" a="1"/>
  <c r="F55" i="6" s="1"/>
  <c r="F57" i="6" a="1"/>
  <c r="F57" i="6" s="1"/>
  <c r="F59" i="6" a="1"/>
  <c r="F59" i="6" s="1"/>
  <c r="F61" i="6" a="1"/>
  <c r="F61" i="6" s="1"/>
  <c r="AK13" i="4"/>
  <c r="CE13" i="4"/>
  <c r="O13" i="4"/>
  <c r="DK13" i="4"/>
  <c r="BO13" i="4"/>
  <c r="AS13" i="4"/>
  <c r="CO13" i="4"/>
  <c r="CK13" i="4"/>
  <c r="BK13" i="4"/>
  <c r="AE13" i="4"/>
  <c r="DM13" i="4"/>
  <c r="AM13" i="4"/>
  <c r="AG13" i="4"/>
  <c r="Q13" i="4"/>
  <c r="DO13" i="4"/>
  <c r="DI13" i="4"/>
  <c r="M13" i="4"/>
  <c r="BE13" i="4"/>
  <c r="AA13" i="4"/>
  <c r="Y13" i="4"/>
  <c r="BU13" i="4"/>
  <c r="CA13" i="4"/>
  <c r="CM13" i="4"/>
  <c r="BQ13" i="4"/>
  <c r="DU13" i="4"/>
  <c r="BA13" i="4"/>
  <c r="DA13" i="4"/>
  <c r="BS13" i="4"/>
  <c r="U13" i="4"/>
  <c r="AQ13" i="4"/>
  <c r="AW13" i="4"/>
  <c r="AY13" i="4"/>
  <c r="S13" i="4"/>
  <c r="BG13" i="4"/>
  <c r="DQ13" i="4"/>
  <c r="BC13" i="4"/>
  <c r="AO13" i="4"/>
  <c r="BW13" i="4"/>
  <c r="CU13" i="4"/>
  <c r="AC13" i="4"/>
  <c r="CC13" i="4"/>
  <c r="AU13" i="4"/>
  <c r="BM13" i="4"/>
  <c r="DG13" i="4"/>
  <c r="DS13" i="4"/>
  <c r="DW13" i="4"/>
  <c r="DE13" i="4"/>
  <c r="CW13" i="4"/>
  <c r="CQ13" i="4"/>
  <c r="DY13" i="4"/>
  <c r="CY13" i="4"/>
  <c r="W13" i="4"/>
  <c r="BI13" i="4"/>
  <c r="CG13" i="4"/>
  <c r="AI13" i="4"/>
  <c r="BY13" i="4"/>
  <c r="DC13" i="4"/>
  <c r="CI13" i="4"/>
  <c r="CS13" i="4"/>
  <c r="G11" i="6" l="1" a="1"/>
  <c r="G11" i="6" s="1"/>
  <c r="G12" i="6" a="1"/>
  <c r="G12" i="6" s="1"/>
  <c r="G61" i="6" a="1"/>
  <c r="G61" i="6" s="1"/>
  <c r="G1" i="6"/>
  <c r="G64" i="6" a="1"/>
  <c r="G64" i="6" s="1"/>
  <c r="G63" i="6" a="1"/>
  <c r="G63" i="6" s="1"/>
  <c r="G62" i="6" a="1"/>
  <c r="G62" i="6" s="1"/>
  <c r="G10" i="6" a="1"/>
  <c r="G10" i="6" s="1"/>
  <c r="G27" i="6" a="1"/>
  <c r="G27" i="6" s="1"/>
  <c r="G6" i="6" a="1"/>
  <c r="G6" i="6" s="1"/>
  <c r="G18" i="6" a="1"/>
  <c r="G18" i="6" s="1"/>
  <c r="G43" i="6" a="1"/>
  <c r="G43" i="6" s="1"/>
  <c r="G4" i="6" a="1"/>
  <c r="G4" i="6" s="1"/>
  <c r="G14" i="6" a="1"/>
  <c r="G14" i="6" s="1"/>
  <c r="G35" i="6" a="1"/>
  <c r="G35" i="6" s="1"/>
  <c r="G3" i="6" a="1"/>
  <c r="G3" i="6" s="1"/>
  <c r="G7" i="6" a="1"/>
  <c r="G7" i="6" s="1"/>
  <c r="G13" i="6" a="1"/>
  <c r="G13" i="6" s="1"/>
  <c r="G20" i="6" a="1"/>
  <c r="G20" i="6" s="1"/>
  <c r="G31" i="6" a="1"/>
  <c r="G31" i="6" s="1"/>
  <c r="G47" i="6" a="1"/>
  <c r="G47" i="6" s="1"/>
  <c r="G15" i="6" a="1"/>
  <c r="G15" i="6" s="1"/>
  <c r="G19" i="6" a="1"/>
  <c r="G19" i="6" s="1"/>
  <c r="G23" i="6" a="1"/>
  <c r="G23" i="6" s="1"/>
  <c r="G29" i="6" a="1"/>
  <c r="G29" i="6" s="1"/>
  <c r="G37" i="6" a="1"/>
  <c r="G37" i="6" s="1"/>
  <c r="G45" i="6" a="1"/>
  <c r="G45" i="6" s="1"/>
  <c r="G56" i="6" a="1"/>
  <c r="G56" i="6" s="1"/>
  <c r="G26" i="6" a="1"/>
  <c r="G26" i="6" s="1"/>
  <c r="G30" i="6" a="1"/>
  <c r="G30" i="6" s="1"/>
  <c r="G34" i="6" a="1"/>
  <c r="G34" i="6" s="1"/>
  <c r="G38" i="6" a="1"/>
  <c r="G38" i="6" s="1"/>
  <c r="G42" i="6" a="1"/>
  <c r="G42" i="6" s="1"/>
  <c r="G46" i="6" a="1"/>
  <c r="G46" i="6" s="1"/>
  <c r="G50" i="6" a="1"/>
  <c r="G50" i="6" s="1"/>
  <c r="G57" i="6" a="1"/>
  <c r="G57" i="6" s="1"/>
  <c r="H2" i="6"/>
  <c r="G8" i="6" a="1"/>
  <c r="G8" i="6" s="1"/>
  <c r="G22" i="6" a="1"/>
  <c r="G22" i="6" s="1"/>
  <c r="G54" i="6" a="1"/>
  <c r="G54" i="6" s="1"/>
  <c r="G5" i="6" a="1"/>
  <c r="G5" i="6" s="1"/>
  <c r="G9" i="6" a="1"/>
  <c r="G9" i="6" s="1"/>
  <c r="G16" i="6" a="1"/>
  <c r="G16" i="6" s="1"/>
  <c r="G24" i="6" a="1"/>
  <c r="G24" i="6" s="1"/>
  <c r="G39" i="6" a="1"/>
  <c r="G39" i="6" s="1"/>
  <c r="G58" i="6" a="1"/>
  <c r="G58" i="6" s="1"/>
  <c r="G17" i="6" a="1"/>
  <c r="G17" i="6" s="1"/>
  <c r="G21" i="6" a="1"/>
  <c r="G21" i="6" s="1"/>
  <c r="G25" i="6" a="1"/>
  <c r="G25" i="6" s="1"/>
  <c r="G33" i="6" a="1"/>
  <c r="G33" i="6" s="1"/>
  <c r="G41" i="6" a="1"/>
  <c r="G41" i="6" s="1"/>
  <c r="G49" i="6" a="1"/>
  <c r="G49" i="6" s="1"/>
  <c r="G60" i="6" a="1"/>
  <c r="G60" i="6" s="1"/>
  <c r="G28" i="6" a="1"/>
  <c r="G28" i="6" s="1"/>
  <c r="G32" i="6" a="1"/>
  <c r="G32" i="6" s="1"/>
  <c r="G36" i="6" a="1"/>
  <c r="G36" i="6" s="1"/>
  <c r="G40" i="6" a="1"/>
  <c r="G40" i="6" s="1"/>
  <c r="G44" i="6" a="1"/>
  <c r="G44" i="6" s="1"/>
  <c r="G48" i="6" a="1"/>
  <c r="G48" i="6" s="1"/>
  <c r="G55" i="6" a="1"/>
  <c r="G55" i="6" s="1"/>
  <c r="G59" i="6" a="1"/>
  <c r="G59" i="6" s="1"/>
  <c r="H12" i="6" l="1" a="1"/>
  <c r="H12" i="6" s="1"/>
  <c r="H11" i="6" a="1"/>
  <c r="H11" i="6" s="1"/>
  <c r="H64" i="6" a="1"/>
  <c r="H64" i="6" s="1"/>
  <c r="H63" i="6" a="1"/>
  <c r="H63" i="6" s="1"/>
  <c r="I2" i="6"/>
  <c r="H61" i="6" a="1"/>
  <c r="H61" i="6" s="1"/>
  <c r="H57" i="6" a="1"/>
  <c r="H57" i="6" s="1"/>
  <c r="H50" i="6" a="1"/>
  <c r="H50" i="6" s="1"/>
  <c r="H46" i="6" a="1"/>
  <c r="H46" i="6" s="1"/>
  <c r="H62" i="6" a="1"/>
  <c r="H62" i="6" s="1"/>
  <c r="H58" i="6" a="1"/>
  <c r="H58" i="6" s="1"/>
  <c r="H54" i="6" a="1"/>
  <c r="H54" i="6" s="1"/>
  <c r="H47" i="6" a="1"/>
  <c r="H47" i="6" s="1"/>
  <c r="H43" i="6" a="1"/>
  <c r="H43" i="6" s="1"/>
  <c r="H40" i="6" a="1"/>
  <c r="H40" i="6" s="1"/>
  <c r="H36" i="6" a="1"/>
  <c r="H36" i="6" s="1"/>
  <c r="H34" i="6" a="1"/>
  <c r="H34" i="6" s="1"/>
  <c r="H32" i="6" a="1"/>
  <c r="H32" i="6" s="1"/>
  <c r="H30" i="6" a="1"/>
  <c r="H30" i="6" s="1"/>
  <c r="H29" i="6" a="1"/>
  <c r="H29" i="6" s="1"/>
  <c r="H28" i="6" a="1"/>
  <c r="H28" i="6" s="1"/>
  <c r="H27" i="6" a="1"/>
  <c r="H27" i="6" s="1"/>
  <c r="H26" i="6" a="1"/>
  <c r="H26" i="6" s="1"/>
  <c r="H41" i="6" a="1"/>
  <c r="H41" i="6" s="1"/>
  <c r="H39" i="6" a="1"/>
  <c r="H39" i="6" s="1"/>
  <c r="H37" i="6" a="1"/>
  <c r="H37" i="6" s="1"/>
  <c r="H35" i="6" a="1"/>
  <c r="H35" i="6" s="1"/>
  <c r="H33" i="6" a="1"/>
  <c r="H33" i="6" s="1"/>
  <c r="H31" i="6" a="1"/>
  <c r="H31" i="6" s="1"/>
  <c r="H25" i="6" a="1"/>
  <c r="H25" i="6" s="1"/>
  <c r="H23" i="6" a="1"/>
  <c r="H23" i="6" s="1"/>
  <c r="H21" i="6" a="1"/>
  <c r="H21" i="6" s="1"/>
  <c r="H19" i="6" a="1"/>
  <c r="H19" i="6" s="1"/>
  <c r="H17" i="6" a="1"/>
  <c r="H17" i="6" s="1"/>
  <c r="H15" i="6" a="1"/>
  <c r="H15" i="6" s="1"/>
  <c r="H13" i="6" a="1"/>
  <c r="H13" i="6" s="1"/>
  <c r="H9" i="6" a="1"/>
  <c r="H9" i="6" s="1"/>
  <c r="H7" i="6" a="1"/>
  <c r="H7" i="6" s="1"/>
  <c r="H5" i="6" a="1"/>
  <c r="H5" i="6" s="1"/>
  <c r="H3" i="6" a="1"/>
  <c r="H3" i="6" s="1"/>
  <c r="H1" i="6"/>
  <c r="H59" i="6" a="1"/>
  <c r="H59" i="6" s="1"/>
  <c r="H55" i="6" a="1"/>
  <c r="H55" i="6" s="1"/>
  <c r="H48" i="6" a="1"/>
  <c r="H48" i="6" s="1"/>
  <c r="H44" i="6" a="1"/>
  <c r="H44" i="6" s="1"/>
  <c r="H60" i="6" a="1"/>
  <c r="H60" i="6" s="1"/>
  <c r="H56" i="6" a="1"/>
  <c r="H56" i="6" s="1"/>
  <c r="H49" i="6" a="1"/>
  <c r="H49" i="6" s="1"/>
  <c r="H45" i="6" a="1"/>
  <c r="H45" i="6" s="1"/>
  <c r="H42" i="6" a="1"/>
  <c r="H42" i="6" s="1"/>
  <c r="H38" i="6" a="1"/>
  <c r="H38" i="6" s="1"/>
  <c r="H24" i="6" a="1"/>
  <c r="H24" i="6" s="1"/>
  <c r="H22" i="6" a="1"/>
  <c r="H22" i="6" s="1"/>
  <c r="H20" i="6" a="1"/>
  <c r="H20" i="6" s="1"/>
  <c r="H18" i="6" a="1"/>
  <c r="H18" i="6" s="1"/>
  <c r="H16" i="6" a="1"/>
  <c r="H16" i="6" s="1"/>
  <c r="H14" i="6" a="1"/>
  <c r="H14" i="6" s="1"/>
  <c r="H10" i="6" a="1"/>
  <c r="H10" i="6" s="1"/>
  <c r="H8" i="6" a="1"/>
  <c r="H8" i="6" s="1"/>
  <c r="H6" i="6" a="1"/>
  <c r="H6" i="6" s="1"/>
  <c r="H4" i="6" a="1"/>
  <c r="H4" i="6" s="1"/>
  <c r="I11" i="6" l="1" a="1"/>
  <c r="I11" i="6" s="1"/>
  <c r="I12" i="6" a="1"/>
  <c r="I12" i="6" s="1"/>
  <c r="I64" i="6" a="1"/>
  <c r="I64" i="6" s="1"/>
  <c r="I63" i="6" a="1"/>
  <c r="I63" i="6" s="1"/>
  <c r="I62" i="6" a="1"/>
  <c r="I62" i="6" s="1"/>
  <c r="I60" i="6" a="1"/>
  <c r="I60" i="6" s="1"/>
  <c r="I58" i="6" a="1"/>
  <c r="I58" i="6" s="1"/>
  <c r="I56" i="6" a="1"/>
  <c r="I56" i="6" s="1"/>
  <c r="I54" i="6" a="1"/>
  <c r="I54" i="6" s="1"/>
  <c r="I49" i="6" a="1"/>
  <c r="I49" i="6" s="1"/>
  <c r="I47" i="6" a="1"/>
  <c r="I47" i="6" s="1"/>
  <c r="I45" i="6" a="1"/>
  <c r="I45" i="6" s="1"/>
  <c r="I43" i="6" a="1"/>
  <c r="I43" i="6" s="1"/>
  <c r="I61" i="6" a="1"/>
  <c r="I61" i="6" s="1"/>
  <c r="I59" i="6" a="1"/>
  <c r="I59" i="6" s="1"/>
  <c r="I57" i="6" a="1"/>
  <c r="I57" i="6" s="1"/>
  <c r="I55" i="6" a="1"/>
  <c r="I55" i="6" s="1"/>
  <c r="I50" i="6" a="1"/>
  <c r="I50" i="6" s="1"/>
  <c r="I48" i="6" a="1"/>
  <c r="I48" i="6" s="1"/>
  <c r="I46" i="6" a="1"/>
  <c r="I46" i="6" s="1"/>
  <c r="I44" i="6" a="1"/>
  <c r="I44" i="6" s="1"/>
  <c r="I42" i="6" a="1"/>
  <c r="I42" i="6" s="1"/>
  <c r="I41" i="6" a="1"/>
  <c r="I41" i="6" s="1"/>
  <c r="I39" i="6" a="1"/>
  <c r="I39" i="6" s="1"/>
  <c r="I37" i="6" a="1"/>
  <c r="I37" i="6" s="1"/>
  <c r="I35" i="6" a="1"/>
  <c r="I35" i="6" s="1"/>
  <c r="I33" i="6" a="1"/>
  <c r="I33" i="6" s="1"/>
  <c r="I31" i="6" a="1"/>
  <c r="I31" i="6" s="1"/>
  <c r="I30" i="6" a="1"/>
  <c r="I30" i="6" s="1"/>
  <c r="I29" i="6" a="1"/>
  <c r="I29" i="6" s="1"/>
  <c r="I28" i="6" a="1"/>
  <c r="I28" i="6" s="1"/>
  <c r="I27" i="6" a="1"/>
  <c r="I27" i="6" s="1"/>
  <c r="I26" i="6" a="1"/>
  <c r="I26" i="6" s="1"/>
  <c r="I40" i="6" a="1"/>
  <c r="I40" i="6" s="1"/>
  <c r="I38" i="6" a="1"/>
  <c r="I38" i="6" s="1"/>
  <c r="I36" i="6" a="1"/>
  <c r="I36" i="6" s="1"/>
  <c r="I34" i="6" a="1"/>
  <c r="I34" i="6" s="1"/>
  <c r="I32" i="6" a="1"/>
  <c r="I32" i="6" s="1"/>
  <c r="I24" i="6" a="1"/>
  <c r="I24" i="6" s="1"/>
  <c r="I22" i="6" a="1"/>
  <c r="I22" i="6" s="1"/>
  <c r="I20" i="6" a="1"/>
  <c r="I20" i="6" s="1"/>
  <c r="I18" i="6" a="1"/>
  <c r="I18" i="6" s="1"/>
  <c r="I16" i="6" a="1"/>
  <c r="I16" i="6" s="1"/>
  <c r="I14" i="6" a="1"/>
  <c r="I14" i="6" s="1"/>
  <c r="I10" i="6" a="1"/>
  <c r="I10" i="6" s="1"/>
  <c r="I8" i="6" a="1"/>
  <c r="I8" i="6" s="1"/>
  <c r="I6" i="6" a="1"/>
  <c r="I6" i="6" s="1"/>
  <c r="I4" i="6" a="1"/>
  <c r="I4" i="6" s="1"/>
  <c r="I1" i="6"/>
  <c r="J2" i="6"/>
  <c r="I25" i="6" a="1"/>
  <c r="I25" i="6" s="1"/>
  <c r="I23" i="6" a="1"/>
  <c r="I23" i="6" s="1"/>
  <c r="I21" i="6" a="1"/>
  <c r="I21" i="6" s="1"/>
  <c r="I19" i="6" a="1"/>
  <c r="I19" i="6" s="1"/>
  <c r="I17" i="6" a="1"/>
  <c r="I17" i="6" s="1"/>
  <c r="I15" i="6" a="1"/>
  <c r="I15" i="6" s="1"/>
  <c r="I13" i="6" a="1"/>
  <c r="I13" i="6" s="1"/>
  <c r="I9" i="6" a="1"/>
  <c r="I9" i="6" s="1"/>
  <c r="I7" i="6" a="1"/>
  <c r="I7" i="6" s="1"/>
  <c r="I5" i="6" a="1"/>
  <c r="I5" i="6" s="1"/>
  <c r="I3" i="6" a="1"/>
  <c r="I3" i="6" s="1"/>
  <c r="J12" i="6" l="1" a="1"/>
  <c r="J12" i="6" s="1"/>
  <c r="J11" i="6" a="1"/>
  <c r="J11" i="6" s="1"/>
  <c r="J61" i="6" a="1"/>
  <c r="J61" i="6" s="1"/>
  <c r="J59" i="6" a="1"/>
  <c r="J59" i="6" s="1"/>
  <c r="J57" i="6" a="1"/>
  <c r="J57" i="6" s="1"/>
  <c r="J55" i="6" a="1"/>
  <c r="J55" i="6" s="1"/>
  <c r="J50" i="6" a="1"/>
  <c r="J50" i="6" s="1"/>
  <c r="J48" i="6" a="1"/>
  <c r="J48" i="6" s="1"/>
  <c r="J46" i="6" a="1"/>
  <c r="J46" i="6" s="1"/>
  <c r="J44" i="6" a="1"/>
  <c r="J44" i="6" s="1"/>
  <c r="J60" i="6" a="1"/>
  <c r="J60" i="6" s="1"/>
  <c r="J58" i="6" a="1"/>
  <c r="J58" i="6" s="1"/>
  <c r="J64" i="6" a="1"/>
  <c r="J64" i="6" s="1"/>
  <c r="J63" i="6" a="1"/>
  <c r="J63" i="6" s="1"/>
  <c r="J62" i="6" a="1"/>
  <c r="J62" i="6" s="1"/>
  <c r="K2" i="6"/>
  <c r="J24" i="6" a="1"/>
  <c r="J24" i="6" s="1"/>
  <c r="J22" i="6" a="1"/>
  <c r="J22" i="6" s="1"/>
  <c r="J20" i="6" a="1"/>
  <c r="J20" i="6" s="1"/>
  <c r="J18" i="6" a="1"/>
  <c r="J18" i="6" s="1"/>
  <c r="J16" i="6" a="1"/>
  <c r="J16" i="6" s="1"/>
  <c r="J14" i="6" a="1"/>
  <c r="J14" i="6" s="1"/>
  <c r="J10" i="6" a="1"/>
  <c r="J10" i="6" s="1"/>
  <c r="J8" i="6" a="1"/>
  <c r="J8" i="6" s="1"/>
  <c r="J6" i="6" a="1"/>
  <c r="J6" i="6" s="1"/>
  <c r="J4" i="6" a="1"/>
  <c r="J4" i="6" s="1"/>
  <c r="J54" i="6" a="1"/>
  <c r="J54" i="6" s="1"/>
  <c r="J47" i="6" a="1"/>
  <c r="J47" i="6" s="1"/>
  <c r="J43" i="6" a="1"/>
  <c r="J43" i="6" s="1"/>
  <c r="J40" i="6" a="1"/>
  <c r="J40" i="6" s="1"/>
  <c r="J36" i="6" a="1"/>
  <c r="J36" i="6" s="1"/>
  <c r="J32" i="6" a="1"/>
  <c r="J32" i="6" s="1"/>
  <c r="J29" i="6" a="1"/>
  <c r="J29" i="6" s="1"/>
  <c r="J27" i="6" a="1"/>
  <c r="J27" i="6" s="1"/>
  <c r="J41" i="6" a="1"/>
  <c r="J41" i="6" s="1"/>
  <c r="J37" i="6" a="1"/>
  <c r="J37" i="6" s="1"/>
  <c r="J33" i="6" a="1"/>
  <c r="J33" i="6" s="1"/>
  <c r="J25" i="6" a="1"/>
  <c r="J25" i="6" s="1"/>
  <c r="J21" i="6" a="1"/>
  <c r="J21" i="6" s="1"/>
  <c r="J17" i="6" a="1"/>
  <c r="J17" i="6" s="1"/>
  <c r="J13" i="6" a="1"/>
  <c r="J13" i="6" s="1"/>
  <c r="J7" i="6" a="1"/>
  <c r="J7" i="6" s="1"/>
  <c r="J3" i="6" a="1"/>
  <c r="J3" i="6" s="1"/>
  <c r="J56" i="6" a="1"/>
  <c r="J56" i="6" s="1"/>
  <c r="J49" i="6" a="1"/>
  <c r="J49" i="6" s="1"/>
  <c r="J45" i="6" a="1"/>
  <c r="J45" i="6" s="1"/>
  <c r="J42" i="6" a="1"/>
  <c r="J42" i="6" s="1"/>
  <c r="J38" i="6" a="1"/>
  <c r="J38" i="6" s="1"/>
  <c r="J34" i="6" a="1"/>
  <c r="J34" i="6" s="1"/>
  <c r="J30" i="6" a="1"/>
  <c r="J30" i="6" s="1"/>
  <c r="J28" i="6" a="1"/>
  <c r="J28" i="6" s="1"/>
  <c r="J26" i="6" a="1"/>
  <c r="J26" i="6" s="1"/>
  <c r="J39" i="6" a="1"/>
  <c r="J39" i="6" s="1"/>
  <c r="J35" i="6" a="1"/>
  <c r="J35" i="6" s="1"/>
  <c r="J31" i="6" a="1"/>
  <c r="J31" i="6" s="1"/>
  <c r="J23" i="6" a="1"/>
  <c r="J23" i="6" s="1"/>
  <c r="J19" i="6" a="1"/>
  <c r="J19" i="6" s="1"/>
  <c r="J15" i="6" a="1"/>
  <c r="J15" i="6" s="1"/>
  <c r="J9" i="6" a="1"/>
  <c r="J9" i="6" s="1"/>
  <c r="J5" i="6" a="1"/>
  <c r="J5" i="6" s="1"/>
  <c r="J1" i="6"/>
  <c r="K11" i="6" l="1" a="1"/>
  <c r="K11" i="6" s="1"/>
  <c r="K12" i="6" a="1"/>
  <c r="K12" i="6" s="1"/>
  <c r="L2" i="6"/>
  <c r="K25" i="6" a="1"/>
  <c r="K25" i="6" s="1"/>
  <c r="K23" i="6" a="1"/>
  <c r="K23" i="6" s="1"/>
  <c r="K21" i="6" a="1"/>
  <c r="K21" i="6" s="1"/>
  <c r="K19" i="6" a="1"/>
  <c r="K19" i="6" s="1"/>
  <c r="K17" i="6" a="1"/>
  <c r="K17" i="6" s="1"/>
  <c r="K15" i="6" a="1"/>
  <c r="K15" i="6" s="1"/>
  <c r="K13" i="6" a="1"/>
  <c r="K13" i="6" s="1"/>
  <c r="K9" i="6" a="1"/>
  <c r="K9" i="6" s="1"/>
  <c r="K7" i="6" a="1"/>
  <c r="K7" i="6" s="1"/>
  <c r="K5" i="6" a="1"/>
  <c r="K5" i="6" s="1"/>
  <c r="K3" i="6" a="1"/>
  <c r="K3" i="6" s="1"/>
  <c r="K64" i="6" a="1"/>
  <c r="K64" i="6" s="1"/>
  <c r="K62" i="6" a="1"/>
  <c r="K62" i="6" s="1"/>
  <c r="K58" i="6" a="1"/>
  <c r="K58" i="6" s="1"/>
  <c r="K54" i="6" a="1"/>
  <c r="K54" i="6" s="1"/>
  <c r="K47" i="6" a="1"/>
  <c r="K47" i="6" s="1"/>
  <c r="K43" i="6" a="1"/>
  <c r="K43" i="6" s="1"/>
  <c r="K59" i="6" a="1"/>
  <c r="K59" i="6" s="1"/>
  <c r="K55" i="6" a="1"/>
  <c r="K55" i="6" s="1"/>
  <c r="K48" i="6" a="1"/>
  <c r="K48" i="6" s="1"/>
  <c r="K44" i="6" a="1"/>
  <c r="K44" i="6" s="1"/>
  <c r="K41" i="6" a="1"/>
  <c r="K41" i="6" s="1"/>
  <c r="K37" i="6" a="1"/>
  <c r="K37" i="6" s="1"/>
  <c r="K33" i="6" a="1"/>
  <c r="K33" i="6" s="1"/>
  <c r="K30" i="6" a="1"/>
  <c r="K30" i="6" s="1"/>
  <c r="K28" i="6" a="1"/>
  <c r="K28" i="6" s="1"/>
  <c r="K26" i="6" a="1"/>
  <c r="K26" i="6" s="1"/>
  <c r="K38" i="6" a="1"/>
  <c r="K38" i="6" s="1"/>
  <c r="K34" i="6" a="1"/>
  <c r="K34" i="6" s="1"/>
  <c r="K24" i="6" a="1"/>
  <c r="K24" i="6" s="1"/>
  <c r="K20" i="6" a="1"/>
  <c r="K20" i="6" s="1"/>
  <c r="K16" i="6" a="1"/>
  <c r="K16" i="6" s="1"/>
  <c r="K10" i="6" a="1"/>
  <c r="K10" i="6" s="1"/>
  <c r="K6" i="6" a="1"/>
  <c r="K6" i="6" s="1"/>
  <c r="K1" i="6"/>
  <c r="K63" i="6" a="1"/>
  <c r="K63" i="6" s="1"/>
  <c r="K60" i="6" a="1"/>
  <c r="K60" i="6" s="1"/>
  <c r="K56" i="6" a="1"/>
  <c r="K56" i="6" s="1"/>
  <c r="K49" i="6" a="1"/>
  <c r="K49" i="6" s="1"/>
  <c r="K45" i="6" a="1"/>
  <c r="K45" i="6" s="1"/>
  <c r="K61" i="6" a="1"/>
  <c r="K61" i="6" s="1"/>
  <c r="K57" i="6" a="1"/>
  <c r="K57" i="6" s="1"/>
  <c r="K50" i="6" a="1"/>
  <c r="K50" i="6" s="1"/>
  <c r="K46" i="6" a="1"/>
  <c r="K46" i="6" s="1"/>
  <c r="K42" i="6" a="1"/>
  <c r="K42" i="6" s="1"/>
  <c r="K39" i="6" a="1"/>
  <c r="K39" i="6" s="1"/>
  <c r="K35" i="6" a="1"/>
  <c r="K35" i="6" s="1"/>
  <c r="K31" i="6" a="1"/>
  <c r="K31" i="6" s="1"/>
  <c r="K29" i="6" a="1"/>
  <c r="K29" i="6" s="1"/>
  <c r="K27" i="6" a="1"/>
  <c r="K27" i="6" s="1"/>
  <c r="K40" i="6" a="1"/>
  <c r="K40" i="6" s="1"/>
  <c r="K36" i="6" a="1"/>
  <c r="K36" i="6" s="1"/>
  <c r="K32" i="6" a="1"/>
  <c r="K32" i="6" s="1"/>
  <c r="K22" i="6" a="1"/>
  <c r="K22" i="6" s="1"/>
  <c r="K18" i="6" a="1"/>
  <c r="K18" i="6" s="1"/>
  <c r="K14" i="6" a="1"/>
  <c r="K14" i="6" s="1"/>
  <c r="K8" i="6" a="1"/>
  <c r="K8" i="6" s="1"/>
  <c r="K4" i="6" a="1"/>
  <c r="K4" i="6" s="1"/>
  <c r="L12" i="6" l="1" a="1"/>
  <c r="L12" i="6" s="1"/>
  <c r="L11" i="6" a="1"/>
  <c r="L11" i="6" s="1"/>
  <c r="L64" i="6" a="1"/>
  <c r="L64" i="6" s="1"/>
  <c r="L63" i="6" a="1"/>
  <c r="L63" i="6" s="1"/>
  <c r="L62" i="6" a="1"/>
  <c r="L62" i="6" s="1"/>
  <c r="M2" i="6"/>
  <c r="L59" i="6" a="1"/>
  <c r="L59" i="6" s="1"/>
  <c r="L55" i="6" a="1"/>
  <c r="L55" i="6" s="1"/>
  <c r="L48" i="6" a="1"/>
  <c r="L48" i="6" s="1"/>
  <c r="L61" i="6" a="1"/>
  <c r="L61" i="6" s="1"/>
  <c r="L57" i="6" a="1"/>
  <c r="L57" i="6" s="1"/>
  <c r="L50" i="6" a="1"/>
  <c r="L50" i="6" s="1"/>
  <c r="L46" i="6" a="1"/>
  <c r="L46" i="6" s="1"/>
  <c r="L44" i="6" a="1"/>
  <c r="L44" i="6" s="1"/>
  <c r="L60" i="6" a="1"/>
  <c r="L60" i="6" s="1"/>
  <c r="L58" i="6" a="1"/>
  <c r="L58" i="6" s="1"/>
  <c r="L56" i="6" a="1"/>
  <c r="L56" i="6" s="1"/>
  <c r="L54" i="6" a="1"/>
  <c r="L54" i="6" s="1"/>
  <c r="L49" i="6" a="1"/>
  <c r="L49" i="6" s="1"/>
  <c r="L47" i="6" a="1"/>
  <c r="L47" i="6" s="1"/>
  <c r="L45" i="6" a="1"/>
  <c r="L45" i="6" s="1"/>
  <c r="L43" i="6" a="1"/>
  <c r="L43" i="6" s="1"/>
  <c r="L42" i="6" a="1"/>
  <c r="L42" i="6" s="1"/>
  <c r="L40" i="6" a="1"/>
  <c r="L40" i="6" s="1"/>
  <c r="L38" i="6" a="1"/>
  <c r="L38" i="6" s="1"/>
  <c r="L36" i="6" a="1"/>
  <c r="L36" i="6" s="1"/>
  <c r="L34" i="6" a="1"/>
  <c r="L34" i="6" s="1"/>
  <c r="L32" i="6" a="1"/>
  <c r="L32" i="6" s="1"/>
  <c r="L30" i="6" a="1"/>
  <c r="L30" i="6" s="1"/>
  <c r="L29" i="6" a="1"/>
  <c r="L29" i="6" s="1"/>
  <c r="L28" i="6" a="1"/>
  <c r="L28" i="6" s="1"/>
  <c r="L27" i="6" a="1"/>
  <c r="L27" i="6" s="1"/>
  <c r="L26" i="6" a="1"/>
  <c r="L26" i="6" s="1"/>
  <c r="L41" i="6" a="1"/>
  <c r="L41" i="6" s="1"/>
  <c r="L39" i="6" a="1"/>
  <c r="L39" i="6" s="1"/>
  <c r="L37" i="6" a="1"/>
  <c r="L37" i="6" s="1"/>
  <c r="L35" i="6" a="1"/>
  <c r="L35" i="6" s="1"/>
  <c r="L33" i="6" a="1"/>
  <c r="L33" i="6" s="1"/>
  <c r="L31" i="6" a="1"/>
  <c r="L31" i="6" s="1"/>
  <c r="L25" i="6" a="1"/>
  <c r="L25" i="6" s="1"/>
  <c r="L23" i="6" a="1"/>
  <c r="L23" i="6" s="1"/>
  <c r="L21" i="6" a="1"/>
  <c r="L21" i="6" s="1"/>
  <c r="L19" i="6" a="1"/>
  <c r="L19" i="6" s="1"/>
  <c r="L17" i="6" a="1"/>
  <c r="L17" i="6" s="1"/>
  <c r="L15" i="6" a="1"/>
  <c r="L15" i="6" s="1"/>
  <c r="L13" i="6" a="1"/>
  <c r="L13" i="6" s="1"/>
  <c r="L9" i="6" a="1"/>
  <c r="L9" i="6" s="1"/>
  <c r="L7" i="6" a="1"/>
  <c r="L7" i="6" s="1"/>
  <c r="L5" i="6" a="1"/>
  <c r="L5" i="6" s="1"/>
  <c r="L3" i="6" a="1"/>
  <c r="L3" i="6" s="1"/>
  <c r="L24" i="6" a="1"/>
  <c r="L24" i="6" s="1"/>
  <c r="L22" i="6" a="1"/>
  <c r="L22" i="6" s="1"/>
  <c r="L20" i="6" a="1"/>
  <c r="L20" i="6" s="1"/>
  <c r="L18" i="6" a="1"/>
  <c r="L18" i="6" s="1"/>
  <c r="L16" i="6" a="1"/>
  <c r="L16" i="6" s="1"/>
  <c r="L14" i="6" a="1"/>
  <c r="L14" i="6" s="1"/>
  <c r="L10" i="6" a="1"/>
  <c r="L10" i="6" s="1"/>
  <c r="L8" i="6" a="1"/>
  <c r="L8" i="6" s="1"/>
  <c r="L6" i="6" a="1"/>
  <c r="L6" i="6" s="1"/>
  <c r="L4" i="6" a="1"/>
  <c r="L4" i="6" s="1"/>
  <c r="L1" i="6"/>
  <c r="M12" i="6" l="1" a="1"/>
  <c r="M12" i="6" s="1"/>
  <c r="M11" i="6" a="1"/>
  <c r="M11" i="6" s="1"/>
  <c r="N2" i="6"/>
  <c r="M25" i="6" a="1"/>
  <c r="M25" i="6" s="1"/>
  <c r="M23" i="6" a="1"/>
  <c r="M23" i="6" s="1"/>
  <c r="M21" i="6" a="1"/>
  <c r="M21" i="6" s="1"/>
  <c r="M19" i="6" a="1"/>
  <c r="M19" i="6" s="1"/>
  <c r="M17" i="6" a="1"/>
  <c r="M17" i="6" s="1"/>
  <c r="M15" i="6" a="1"/>
  <c r="M15" i="6" s="1"/>
  <c r="M13" i="6" a="1"/>
  <c r="M13" i="6" s="1"/>
  <c r="M9" i="6" a="1"/>
  <c r="M9" i="6" s="1"/>
  <c r="M7" i="6" a="1"/>
  <c r="M7" i="6" s="1"/>
  <c r="M5" i="6" a="1"/>
  <c r="M5" i="6" s="1"/>
  <c r="M3" i="6" a="1"/>
  <c r="M3" i="6" s="1"/>
  <c r="M64" i="6" a="1"/>
  <c r="M64" i="6" s="1"/>
  <c r="M63" i="6" a="1"/>
  <c r="M63" i="6" s="1"/>
  <c r="M62" i="6" a="1"/>
  <c r="M62" i="6" s="1"/>
  <c r="M60" i="6" a="1"/>
  <c r="M60" i="6" s="1"/>
  <c r="M58" i="6" a="1"/>
  <c r="M58" i="6" s="1"/>
  <c r="M56" i="6" a="1"/>
  <c r="M56" i="6" s="1"/>
  <c r="M54" i="6" a="1"/>
  <c r="M54" i="6" s="1"/>
  <c r="M49" i="6" a="1"/>
  <c r="M49" i="6" s="1"/>
  <c r="M47" i="6" a="1"/>
  <c r="M47" i="6" s="1"/>
  <c r="M45" i="6" a="1"/>
  <c r="M45" i="6" s="1"/>
  <c r="M43" i="6" a="1"/>
  <c r="M43" i="6" s="1"/>
  <c r="M61" i="6" a="1"/>
  <c r="M61" i="6" s="1"/>
  <c r="M59" i="6" a="1"/>
  <c r="M59" i="6" s="1"/>
  <c r="M57" i="6" a="1"/>
  <c r="M57" i="6" s="1"/>
  <c r="M55" i="6" a="1"/>
  <c r="M55" i="6" s="1"/>
  <c r="M50" i="6" a="1"/>
  <c r="M50" i="6" s="1"/>
  <c r="M48" i="6" a="1"/>
  <c r="M48" i="6" s="1"/>
  <c r="M46" i="6" a="1"/>
  <c r="M46" i="6" s="1"/>
  <c r="M44" i="6" a="1"/>
  <c r="M44" i="6" s="1"/>
  <c r="M42" i="6" a="1"/>
  <c r="M42" i="6" s="1"/>
  <c r="M41" i="6" a="1"/>
  <c r="M41" i="6" s="1"/>
  <c r="M39" i="6" a="1"/>
  <c r="M39" i="6" s="1"/>
  <c r="M37" i="6" a="1"/>
  <c r="M37" i="6" s="1"/>
  <c r="M35" i="6" a="1"/>
  <c r="M35" i="6" s="1"/>
  <c r="M33" i="6" a="1"/>
  <c r="M33" i="6" s="1"/>
  <c r="M31" i="6" a="1"/>
  <c r="M31" i="6" s="1"/>
  <c r="M30" i="6" a="1"/>
  <c r="M30" i="6" s="1"/>
  <c r="M29" i="6" a="1"/>
  <c r="M29" i="6" s="1"/>
  <c r="M28" i="6" a="1"/>
  <c r="M28" i="6" s="1"/>
  <c r="M27" i="6" a="1"/>
  <c r="M27" i="6" s="1"/>
  <c r="M26" i="6" a="1"/>
  <c r="M26" i="6" s="1"/>
  <c r="M40" i="6" a="1"/>
  <c r="M40" i="6" s="1"/>
  <c r="M38" i="6" a="1"/>
  <c r="M38" i="6" s="1"/>
  <c r="M36" i="6" a="1"/>
  <c r="M36" i="6" s="1"/>
  <c r="M34" i="6" a="1"/>
  <c r="M34" i="6" s="1"/>
  <c r="M32" i="6" a="1"/>
  <c r="M32" i="6" s="1"/>
  <c r="M24" i="6" a="1"/>
  <c r="M24" i="6" s="1"/>
  <c r="M22" i="6" a="1"/>
  <c r="M22" i="6" s="1"/>
  <c r="M20" i="6" a="1"/>
  <c r="M20" i="6" s="1"/>
  <c r="M18" i="6" a="1"/>
  <c r="M18" i="6" s="1"/>
  <c r="M16" i="6" a="1"/>
  <c r="M16" i="6" s="1"/>
  <c r="M14" i="6" a="1"/>
  <c r="M14" i="6" s="1"/>
  <c r="M10" i="6" a="1"/>
  <c r="M10" i="6" s="1"/>
  <c r="M8" i="6" a="1"/>
  <c r="M8" i="6" s="1"/>
  <c r="M6" i="6" a="1"/>
  <c r="M6" i="6" s="1"/>
  <c r="M4" i="6" a="1"/>
  <c r="M4" i="6" s="1"/>
  <c r="M1" i="6"/>
  <c r="N11" i="6" l="1" a="1"/>
  <c r="N11" i="6" s="1"/>
  <c r="N12" i="6" a="1"/>
  <c r="N12" i="6" s="1"/>
  <c r="N64" i="6" a="1"/>
  <c r="N64" i="6" s="1"/>
  <c r="N63" i="6" a="1"/>
  <c r="N63" i="6" s="1"/>
  <c r="N62" i="6" a="1"/>
  <c r="N62" i="6" s="1"/>
  <c r="O2" i="6"/>
  <c r="N24" i="6" a="1"/>
  <c r="N24" i="6" s="1"/>
  <c r="N22" i="6" a="1"/>
  <c r="N22" i="6" s="1"/>
  <c r="N20" i="6" a="1"/>
  <c r="N20" i="6" s="1"/>
  <c r="N18" i="6" a="1"/>
  <c r="N18" i="6" s="1"/>
  <c r="N16" i="6" a="1"/>
  <c r="N16" i="6" s="1"/>
  <c r="N14" i="6" a="1"/>
  <c r="N14" i="6" s="1"/>
  <c r="N10" i="6" a="1"/>
  <c r="N10" i="6" s="1"/>
  <c r="N8" i="6" a="1"/>
  <c r="N8" i="6" s="1"/>
  <c r="N6" i="6" a="1"/>
  <c r="N6" i="6" s="1"/>
  <c r="N4" i="6" a="1"/>
  <c r="N4" i="6" s="1"/>
  <c r="N1" i="6"/>
  <c r="N61" i="6" a="1"/>
  <c r="N61" i="6" s="1"/>
  <c r="N59" i="6" a="1"/>
  <c r="N59" i="6" s="1"/>
  <c r="N57" i="6" a="1"/>
  <c r="N57" i="6" s="1"/>
  <c r="N55" i="6" a="1"/>
  <c r="N55" i="6" s="1"/>
  <c r="N50" i="6" a="1"/>
  <c r="N50" i="6" s="1"/>
  <c r="N48" i="6" a="1"/>
  <c r="N48" i="6" s="1"/>
  <c r="N46" i="6" a="1"/>
  <c r="N46" i="6" s="1"/>
  <c r="N44" i="6" a="1"/>
  <c r="N44" i="6" s="1"/>
  <c r="N60" i="6" a="1"/>
  <c r="N60" i="6" s="1"/>
  <c r="N58" i="6" a="1"/>
  <c r="N58" i="6" s="1"/>
  <c r="N56" i="6" a="1"/>
  <c r="N56" i="6" s="1"/>
  <c r="N54" i="6" a="1"/>
  <c r="N54" i="6" s="1"/>
  <c r="N49" i="6" a="1"/>
  <c r="N49" i="6" s="1"/>
  <c r="N47" i="6" a="1"/>
  <c r="N47" i="6" s="1"/>
  <c r="N45" i="6" a="1"/>
  <c r="N45" i="6" s="1"/>
  <c r="N43" i="6" a="1"/>
  <c r="N43" i="6" s="1"/>
  <c r="N42" i="6" a="1"/>
  <c r="N42" i="6" s="1"/>
  <c r="N40" i="6" a="1"/>
  <c r="N40" i="6" s="1"/>
  <c r="N38" i="6" a="1"/>
  <c r="N38" i="6" s="1"/>
  <c r="N36" i="6" a="1"/>
  <c r="N36" i="6" s="1"/>
  <c r="N34" i="6" a="1"/>
  <c r="N34" i="6" s="1"/>
  <c r="N32" i="6" a="1"/>
  <c r="N32" i="6" s="1"/>
  <c r="N30" i="6" a="1"/>
  <c r="N30" i="6" s="1"/>
  <c r="N29" i="6" a="1"/>
  <c r="N29" i="6" s="1"/>
  <c r="N28" i="6" a="1"/>
  <c r="N28" i="6" s="1"/>
  <c r="N27" i="6" a="1"/>
  <c r="N27" i="6" s="1"/>
  <c r="N26" i="6" a="1"/>
  <c r="N26" i="6" s="1"/>
  <c r="N41" i="6" a="1"/>
  <c r="N41" i="6" s="1"/>
  <c r="N39" i="6" a="1"/>
  <c r="N39" i="6" s="1"/>
  <c r="N37" i="6" a="1"/>
  <c r="N37" i="6" s="1"/>
  <c r="N35" i="6" a="1"/>
  <c r="N35" i="6" s="1"/>
  <c r="N33" i="6" a="1"/>
  <c r="N33" i="6" s="1"/>
  <c r="N31" i="6" a="1"/>
  <c r="N31" i="6" s="1"/>
  <c r="N25" i="6" a="1"/>
  <c r="N25" i="6" s="1"/>
  <c r="N23" i="6" a="1"/>
  <c r="N23" i="6" s="1"/>
  <c r="N21" i="6" a="1"/>
  <c r="N21" i="6" s="1"/>
  <c r="N19" i="6" a="1"/>
  <c r="N19" i="6" s="1"/>
  <c r="N17" i="6" a="1"/>
  <c r="N17" i="6" s="1"/>
  <c r="N15" i="6" a="1"/>
  <c r="N15" i="6" s="1"/>
  <c r="N13" i="6" a="1"/>
  <c r="N13" i="6" s="1"/>
  <c r="N9" i="6" a="1"/>
  <c r="N9" i="6" s="1"/>
  <c r="N7" i="6" a="1"/>
  <c r="N7" i="6" s="1"/>
  <c r="N5" i="6" a="1"/>
  <c r="N5" i="6" s="1"/>
  <c r="N3" i="6" a="1"/>
  <c r="N3" i="6" s="1"/>
  <c r="O12" i="6" l="1" a="1"/>
  <c r="O12" i="6" s="1"/>
  <c r="O11" i="6" a="1"/>
  <c r="O11" i="6" s="1"/>
  <c r="P2" i="6"/>
  <c r="O25" i="6" a="1"/>
  <c r="O25" i="6" s="1"/>
  <c r="O23" i="6" a="1"/>
  <c r="O23" i="6" s="1"/>
  <c r="O21" i="6" a="1"/>
  <c r="O21" i="6" s="1"/>
  <c r="O19" i="6" a="1"/>
  <c r="O19" i="6" s="1"/>
  <c r="O17" i="6" a="1"/>
  <c r="O17" i="6" s="1"/>
  <c r="O15" i="6" a="1"/>
  <c r="O15" i="6" s="1"/>
  <c r="O13" i="6" a="1"/>
  <c r="O13" i="6" s="1"/>
  <c r="O9" i="6" a="1"/>
  <c r="O9" i="6" s="1"/>
  <c r="O7" i="6" a="1"/>
  <c r="O7" i="6" s="1"/>
  <c r="O5" i="6" a="1"/>
  <c r="O5" i="6" s="1"/>
  <c r="O3" i="6" a="1"/>
  <c r="O3" i="6" s="1"/>
  <c r="O62" i="6" a="1"/>
  <c r="O62" i="6" s="1"/>
  <c r="O64" i="6" a="1"/>
  <c r="O64" i="6" s="1"/>
  <c r="O63" i="6" a="1"/>
  <c r="O63" i="6" s="1"/>
  <c r="O60" i="6" a="1"/>
  <c r="O60" i="6" s="1"/>
  <c r="O56" i="6" a="1"/>
  <c r="O56" i="6" s="1"/>
  <c r="O49" i="6" a="1"/>
  <c r="O49" i="6" s="1"/>
  <c r="O45" i="6" a="1"/>
  <c r="O45" i="6" s="1"/>
  <c r="O61" i="6" a="1"/>
  <c r="O61" i="6" s="1"/>
  <c r="O57" i="6" a="1"/>
  <c r="O57" i="6" s="1"/>
  <c r="O50" i="6" a="1"/>
  <c r="O50" i="6" s="1"/>
  <c r="O46" i="6" a="1"/>
  <c r="O46" i="6" s="1"/>
  <c r="O42" i="6" a="1"/>
  <c r="O42" i="6" s="1"/>
  <c r="O39" i="6" a="1"/>
  <c r="O39" i="6" s="1"/>
  <c r="O35" i="6" a="1"/>
  <c r="O35" i="6" s="1"/>
  <c r="O31" i="6" a="1"/>
  <c r="O31" i="6" s="1"/>
  <c r="O29" i="6" a="1"/>
  <c r="O29" i="6" s="1"/>
  <c r="O27" i="6" a="1"/>
  <c r="O27" i="6" s="1"/>
  <c r="O40" i="6" a="1"/>
  <c r="O40" i="6" s="1"/>
  <c r="O36" i="6" a="1"/>
  <c r="O36" i="6" s="1"/>
  <c r="O32" i="6" a="1"/>
  <c r="O32" i="6" s="1"/>
  <c r="O22" i="6" a="1"/>
  <c r="O22" i="6" s="1"/>
  <c r="O18" i="6" a="1"/>
  <c r="O18" i="6" s="1"/>
  <c r="O14" i="6" a="1"/>
  <c r="O14" i="6" s="1"/>
  <c r="O8" i="6" a="1"/>
  <c r="O8" i="6" s="1"/>
  <c r="O4" i="6" a="1"/>
  <c r="O4" i="6" s="1"/>
  <c r="O58" i="6" a="1"/>
  <c r="O58" i="6" s="1"/>
  <c r="O54" i="6" a="1"/>
  <c r="O54" i="6" s="1"/>
  <c r="O47" i="6" a="1"/>
  <c r="O47" i="6" s="1"/>
  <c r="O43" i="6" a="1"/>
  <c r="O43" i="6" s="1"/>
  <c r="O59" i="6" a="1"/>
  <c r="O59" i="6" s="1"/>
  <c r="O55" i="6" a="1"/>
  <c r="O55" i="6" s="1"/>
  <c r="O48" i="6" a="1"/>
  <c r="O48" i="6" s="1"/>
  <c r="O44" i="6" a="1"/>
  <c r="O44" i="6" s="1"/>
  <c r="O41" i="6" a="1"/>
  <c r="O41" i="6" s="1"/>
  <c r="O37" i="6" a="1"/>
  <c r="O37" i="6" s="1"/>
  <c r="O33" i="6" a="1"/>
  <c r="O33" i="6" s="1"/>
  <c r="O30" i="6" a="1"/>
  <c r="O30" i="6" s="1"/>
  <c r="O28" i="6" a="1"/>
  <c r="O28" i="6" s="1"/>
  <c r="O26" i="6" a="1"/>
  <c r="O26" i="6" s="1"/>
  <c r="O38" i="6" a="1"/>
  <c r="O38" i="6" s="1"/>
  <c r="O34" i="6" a="1"/>
  <c r="O34" i="6" s="1"/>
  <c r="O24" i="6" a="1"/>
  <c r="O24" i="6" s="1"/>
  <c r="O20" i="6" a="1"/>
  <c r="O20" i="6" s="1"/>
  <c r="O16" i="6" a="1"/>
  <c r="O16" i="6" s="1"/>
  <c r="O10" i="6" a="1"/>
  <c r="O10" i="6" s="1"/>
  <c r="O6" i="6" a="1"/>
  <c r="O6" i="6" s="1"/>
  <c r="O1" i="6"/>
  <c r="P12" i="6" l="1" a="1"/>
  <c r="P12" i="6" s="1"/>
  <c r="P11" i="6" a="1"/>
  <c r="P11" i="6" s="1"/>
  <c r="P64" i="6" a="1"/>
  <c r="P64" i="6" s="1"/>
  <c r="P63" i="6" a="1"/>
  <c r="P63" i="6" s="1"/>
  <c r="P62" i="6" a="1"/>
  <c r="P62" i="6" s="1"/>
  <c r="Q2" i="6"/>
  <c r="P24" i="6" a="1"/>
  <c r="P24" i="6" s="1"/>
  <c r="P22" i="6" a="1"/>
  <c r="P22" i="6" s="1"/>
  <c r="P20" i="6" a="1"/>
  <c r="P20" i="6" s="1"/>
  <c r="P18" i="6" a="1"/>
  <c r="P18" i="6" s="1"/>
  <c r="P16" i="6" a="1"/>
  <c r="P16" i="6" s="1"/>
  <c r="P14" i="6" a="1"/>
  <c r="P14" i="6" s="1"/>
  <c r="P10" i="6" a="1"/>
  <c r="P10" i="6" s="1"/>
  <c r="P8" i="6" a="1"/>
  <c r="P8" i="6" s="1"/>
  <c r="P6" i="6" a="1"/>
  <c r="P6" i="6" s="1"/>
  <c r="P4" i="6" a="1"/>
  <c r="P4" i="6" s="1"/>
  <c r="P61" i="6" a="1"/>
  <c r="P61" i="6" s="1"/>
  <c r="P57" i="6" a="1"/>
  <c r="P57" i="6" s="1"/>
  <c r="P50" i="6" a="1"/>
  <c r="P50" i="6" s="1"/>
  <c r="P46" i="6" a="1"/>
  <c r="P46" i="6" s="1"/>
  <c r="P60" i="6" a="1"/>
  <c r="P60" i="6" s="1"/>
  <c r="P56" i="6" a="1"/>
  <c r="P56" i="6" s="1"/>
  <c r="P49" i="6" a="1"/>
  <c r="P49" i="6" s="1"/>
  <c r="P45" i="6" a="1"/>
  <c r="P45" i="6" s="1"/>
  <c r="P42" i="6" a="1"/>
  <c r="P42" i="6" s="1"/>
  <c r="P38" i="6" a="1"/>
  <c r="P38" i="6" s="1"/>
  <c r="P34" i="6" a="1"/>
  <c r="P34" i="6" s="1"/>
  <c r="P30" i="6" a="1"/>
  <c r="P30" i="6" s="1"/>
  <c r="P28" i="6" a="1"/>
  <c r="P28" i="6" s="1"/>
  <c r="P26" i="6" a="1"/>
  <c r="P26" i="6" s="1"/>
  <c r="P39" i="6" a="1"/>
  <c r="P39" i="6" s="1"/>
  <c r="P35" i="6" a="1"/>
  <c r="P35" i="6" s="1"/>
  <c r="P31" i="6" a="1"/>
  <c r="P31" i="6" s="1"/>
  <c r="P23" i="6" a="1"/>
  <c r="P23" i="6" s="1"/>
  <c r="P19" i="6" a="1"/>
  <c r="P19" i="6" s="1"/>
  <c r="P15" i="6" a="1"/>
  <c r="P15" i="6" s="1"/>
  <c r="P9" i="6" a="1"/>
  <c r="P9" i="6" s="1"/>
  <c r="P5" i="6" a="1"/>
  <c r="P5" i="6" s="1"/>
  <c r="P1" i="6"/>
  <c r="P59" i="6" a="1"/>
  <c r="P59" i="6" s="1"/>
  <c r="P55" i="6" a="1"/>
  <c r="P55" i="6" s="1"/>
  <c r="P48" i="6" a="1"/>
  <c r="P48" i="6" s="1"/>
  <c r="P44" i="6" a="1"/>
  <c r="P44" i="6" s="1"/>
  <c r="P58" i="6" a="1"/>
  <c r="P58" i="6" s="1"/>
  <c r="P54" i="6" a="1"/>
  <c r="P54" i="6" s="1"/>
  <c r="P47" i="6" a="1"/>
  <c r="P47" i="6" s="1"/>
  <c r="P43" i="6" a="1"/>
  <c r="P43" i="6" s="1"/>
  <c r="P40" i="6" a="1"/>
  <c r="P40" i="6" s="1"/>
  <c r="P36" i="6" a="1"/>
  <c r="P36" i="6" s="1"/>
  <c r="P32" i="6" a="1"/>
  <c r="P32" i="6" s="1"/>
  <c r="P29" i="6" a="1"/>
  <c r="P29" i="6" s="1"/>
  <c r="P27" i="6" a="1"/>
  <c r="P27" i="6" s="1"/>
  <c r="P41" i="6" a="1"/>
  <c r="P41" i="6" s="1"/>
  <c r="P37" i="6" a="1"/>
  <c r="P37" i="6" s="1"/>
  <c r="P33" i="6" a="1"/>
  <c r="P33" i="6" s="1"/>
  <c r="P25" i="6" a="1"/>
  <c r="P25" i="6" s="1"/>
  <c r="P21" i="6" a="1"/>
  <c r="P21" i="6" s="1"/>
  <c r="P17" i="6" a="1"/>
  <c r="P17" i="6" s="1"/>
  <c r="P13" i="6" a="1"/>
  <c r="P13" i="6" s="1"/>
  <c r="P7" i="6" a="1"/>
  <c r="P7" i="6" s="1"/>
  <c r="P3" i="6" a="1"/>
  <c r="P3" i="6" s="1"/>
  <c r="Q11" i="6" l="1" a="1"/>
  <c r="Q11" i="6" s="1"/>
  <c r="Q12" i="6" a="1"/>
  <c r="Q12" i="6" s="1"/>
  <c r="R2" i="6"/>
  <c r="Q25" i="6" a="1"/>
  <c r="Q25" i="6" s="1"/>
  <c r="Q23" i="6" a="1"/>
  <c r="Q23" i="6" s="1"/>
  <c r="Q21" i="6" a="1"/>
  <c r="Q21" i="6" s="1"/>
  <c r="Q19" i="6" a="1"/>
  <c r="Q19" i="6" s="1"/>
  <c r="Q17" i="6" a="1"/>
  <c r="Q17" i="6" s="1"/>
  <c r="Q15" i="6" a="1"/>
  <c r="Q15" i="6" s="1"/>
  <c r="Q13" i="6" a="1"/>
  <c r="Q13" i="6" s="1"/>
  <c r="Q9" i="6" a="1"/>
  <c r="Q9" i="6" s="1"/>
  <c r="Q7" i="6" a="1"/>
  <c r="Q7" i="6" s="1"/>
  <c r="Q5" i="6" a="1"/>
  <c r="Q5" i="6" s="1"/>
  <c r="Q3" i="6" a="1"/>
  <c r="Q3" i="6" s="1"/>
  <c r="Q63" i="6" a="1"/>
  <c r="Q63" i="6" s="1"/>
  <c r="Q60" i="6" a="1"/>
  <c r="Q60" i="6" s="1"/>
  <c r="Q56" i="6" a="1"/>
  <c r="Q56" i="6" s="1"/>
  <c r="Q49" i="6" a="1"/>
  <c r="Q49" i="6" s="1"/>
  <c r="Q45" i="6" a="1"/>
  <c r="Q45" i="6" s="1"/>
  <c r="Q61" i="6" a="1"/>
  <c r="Q61" i="6" s="1"/>
  <c r="Q57" i="6" a="1"/>
  <c r="Q57" i="6" s="1"/>
  <c r="Q50" i="6" a="1"/>
  <c r="Q50" i="6" s="1"/>
  <c r="Q46" i="6" a="1"/>
  <c r="Q46" i="6" s="1"/>
  <c r="Q42" i="6" a="1"/>
  <c r="Q42" i="6" s="1"/>
  <c r="Q39" i="6" a="1"/>
  <c r="Q39" i="6" s="1"/>
  <c r="Q35" i="6" a="1"/>
  <c r="Q35" i="6" s="1"/>
  <c r="Q31" i="6" a="1"/>
  <c r="Q31" i="6" s="1"/>
  <c r="Q28" i="6" a="1"/>
  <c r="Q28" i="6" s="1"/>
  <c r="Q26" i="6" a="1"/>
  <c r="Q26" i="6" s="1"/>
  <c r="Q38" i="6" a="1"/>
  <c r="Q38" i="6" s="1"/>
  <c r="Q34" i="6" a="1"/>
  <c r="Q34" i="6" s="1"/>
  <c r="Q30" i="6" a="1"/>
  <c r="Q30" i="6" s="1"/>
  <c r="Q22" i="6" a="1"/>
  <c r="Q22" i="6" s="1"/>
  <c r="Q18" i="6" a="1"/>
  <c r="Q18" i="6" s="1"/>
  <c r="Q14" i="6" a="1"/>
  <c r="Q14" i="6" s="1"/>
  <c r="Q8" i="6" a="1"/>
  <c r="Q8" i="6" s="1"/>
  <c r="Q4" i="6" a="1"/>
  <c r="Q4" i="6" s="1"/>
  <c r="Q64" i="6" a="1"/>
  <c r="Q64" i="6" s="1"/>
  <c r="Q62" i="6" a="1"/>
  <c r="Q62" i="6" s="1"/>
  <c r="Q58" i="6" a="1"/>
  <c r="Q58" i="6" s="1"/>
  <c r="Q54" i="6" a="1"/>
  <c r="Q54" i="6" s="1"/>
  <c r="Q47" i="6" a="1"/>
  <c r="Q47" i="6" s="1"/>
  <c r="Q43" i="6" a="1"/>
  <c r="Q43" i="6" s="1"/>
  <c r="Q59" i="6" a="1"/>
  <c r="Q59" i="6" s="1"/>
  <c r="Q55" i="6" a="1"/>
  <c r="Q55" i="6" s="1"/>
  <c r="Q48" i="6" a="1"/>
  <c r="Q48" i="6" s="1"/>
  <c r="Q44" i="6" a="1"/>
  <c r="Q44" i="6" s="1"/>
  <c r="Q41" i="6" a="1"/>
  <c r="Q41" i="6" s="1"/>
  <c r="Q37" i="6" a="1"/>
  <c r="Q37" i="6" s="1"/>
  <c r="Q33" i="6" a="1"/>
  <c r="Q33" i="6" s="1"/>
  <c r="Q29" i="6" a="1"/>
  <c r="Q29" i="6" s="1"/>
  <c r="Q27" i="6" a="1"/>
  <c r="Q27" i="6" s="1"/>
  <c r="Q40" i="6" a="1"/>
  <c r="Q40" i="6" s="1"/>
  <c r="Q36" i="6" a="1"/>
  <c r="Q36" i="6" s="1"/>
  <c r="Q32" i="6" a="1"/>
  <c r="Q32" i="6" s="1"/>
  <c r="Q24" i="6" a="1"/>
  <c r="Q24" i="6" s="1"/>
  <c r="Q20" i="6" a="1"/>
  <c r="Q20" i="6" s="1"/>
  <c r="Q16" i="6" a="1"/>
  <c r="Q16" i="6" s="1"/>
  <c r="Q10" i="6" a="1"/>
  <c r="Q10" i="6" s="1"/>
  <c r="Q6" i="6" a="1"/>
  <c r="Q6" i="6" s="1"/>
  <c r="Q1" i="6"/>
  <c r="R11" i="6" l="1" a="1"/>
  <c r="R11" i="6" s="1"/>
  <c r="R12" i="6" a="1"/>
  <c r="R12" i="6" s="1"/>
  <c r="R64" i="6" a="1"/>
  <c r="R64" i="6" s="1"/>
  <c r="R63" i="6" a="1"/>
  <c r="R63" i="6" s="1"/>
  <c r="R62" i="6" a="1"/>
  <c r="R62" i="6" s="1"/>
  <c r="S2" i="6"/>
  <c r="R61" i="6" a="1"/>
  <c r="R61" i="6" s="1"/>
  <c r="R57" i="6" a="1"/>
  <c r="R57" i="6" s="1"/>
  <c r="R50" i="6" a="1"/>
  <c r="R50" i="6" s="1"/>
  <c r="R46" i="6" a="1"/>
  <c r="R46" i="6" s="1"/>
  <c r="R42" i="6" a="1"/>
  <c r="R42" i="6" s="1"/>
  <c r="R58" i="6" a="1"/>
  <c r="R58" i="6" s="1"/>
  <c r="R54" i="6" a="1"/>
  <c r="R54" i="6" s="1"/>
  <c r="R47" i="6" a="1"/>
  <c r="R47" i="6" s="1"/>
  <c r="R43" i="6" a="1"/>
  <c r="R43" i="6" s="1"/>
  <c r="R38" i="6" a="1"/>
  <c r="R38" i="6" s="1"/>
  <c r="R34" i="6" a="1"/>
  <c r="R34" i="6" s="1"/>
  <c r="R30" i="6" a="1"/>
  <c r="R30" i="6" s="1"/>
  <c r="R28" i="6" a="1"/>
  <c r="R28" i="6" s="1"/>
  <c r="R26" i="6" a="1"/>
  <c r="R26" i="6" s="1"/>
  <c r="R39" i="6" a="1"/>
  <c r="R39" i="6" s="1"/>
  <c r="R35" i="6" a="1"/>
  <c r="R35" i="6" s="1"/>
  <c r="R31" i="6" a="1"/>
  <c r="R31" i="6" s="1"/>
  <c r="R23" i="6" a="1"/>
  <c r="R23" i="6" s="1"/>
  <c r="R19" i="6" a="1"/>
  <c r="R19" i="6" s="1"/>
  <c r="R15" i="6" a="1"/>
  <c r="R15" i="6" s="1"/>
  <c r="R9" i="6" a="1"/>
  <c r="R9" i="6" s="1"/>
  <c r="R5" i="6" a="1"/>
  <c r="R5" i="6" s="1"/>
  <c r="R24" i="6" a="1"/>
  <c r="R24" i="6" s="1"/>
  <c r="R20" i="6" a="1"/>
  <c r="R20" i="6" s="1"/>
  <c r="R16" i="6" a="1"/>
  <c r="R16" i="6" s="1"/>
  <c r="R10" i="6" a="1"/>
  <c r="R10" i="6" s="1"/>
  <c r="R6" i="6" a="1"/>
  <c r="R6" i="6" s="1"/>
  <c r="R1" i="6"/>
  <c r="R59" i="6" a="1"/>
  <c r="R59" i="6" s="1"/>
  <c r="R55" i="6" a="1"/>
  <c r="R55" i="6" s="1"/>
  <c r="R48" i="6" a="1"/>
  <c r="R48" i="6" s="1"/>
  <c r="R44" i="6" a="1"/>
  <c r="R44" i="6" s="1"/>
  <c r="R60" i="6" a="1"/>
  <c r="R60" i="6" s="1"/>
  <c r="R56" i="6" a="1"/>
  <c r="R56" i="6" s="1"/>
  <c r="R49" i="6" a="1"/>
  <c r="R49" i="6" s="1"/>
  <c r="R45" i="6" a="1"/>
  <c r="R45" i="6" s="1"/>
  <c r="R40" i="6" a="1"/>
  <c r="R40" i="6" s="1"/>
  <c r="R36" i="6" a="1"/>
  <c r="R36" i="6" s="1"/>
  <c r="R32" i="6" a="1"/>
  <c r="R32" i="6" s="1"/>
  <c r="R29" i="6" a="1"/>
  <c r="R29" i="6" s="1"/>
  <c r="R27" i="6" a="1"/>
  <c r="R27" i="6" s="1"/>
  <c r="R41" i="6" a="1"/>
  <c r="R41" i="6" s="1"/>
  <c r="R37" i="6" a="1"/>
  <c r="R37" i="6" s="1"/>
  <c r="R33" i="6" a="1"/>
  <c r="R33" i="6" s="1"/>
  <c r="R25" i="6" a="1"/>
  <c r="R25" i="6" s="1"/>
  <c r="R21" i="6" a="1"/>
  <c r="R21" i="6" s="1"/>
  <c r="R17" i="6" a="1"/>
  <c r="R17" i="6" s="1"/>
  <c r="R13" i="6" a="1"/>
  <c r="R13" i="6" s="1"/>
  <c r="R7" i="6" a="1"/>
  <c r="R7" i="6" s="1"/>
  <c r="R3" i="6" a="1"/>
  <c r="R3" i="6" s="1"/>
  <c r="R22" i="6" a="1"/>
  <c r="R22" i="6" s="1"/>
  <c r="R18" i="6" a="1"/>
  <c r="R18" i="6" s="1"/>
  <c r="R14" i="6" a="1"/>
  <c r="R14" i="6" s="1"/>
  <c r="R8" i="6" a="1"/>
  <c r="R8" i="6" s="1"/>
  <c r="R4" i="6" a="1"/>
  <c r="R4" i="6" s="1"/>
  <c r="S12" i="6" l="1" a="1"/>
  <c r="S12" i="6" s="1"/>
  <c r="S11" i="6" a="1"/>
  <c r="S11" i="6" s="1"/>
  <c r="S64" i="6" a="1"/>
  <c r="S64" i="6" s="1"/>
  <c r="S63" i="6" a="1"/>
  <c r="S63" i="6" s="1"/>
  <c r="S62" i="6" a="1"/>
  <c r="S62" i="6" s="1"/>
  <c r="S60" i="6" a="1"/>
  <c r="S60" i="6" s="1"/>
  <c r="S58" i="6" a="1"/>
  <c r="S58" i="6" s="1"/>
  <c r="S56" i="6" a="1"/>
  <c r="S56" i="6" s="1"/>
  <c r="S54" i="6" a="1"/>
  <c r="S54" i="6" s="1"/>
  <c r="S49" i="6" a="1"/>
  <c r="S49" i="6" s="1"/>
  <c r="S47" i="6" a="1"/>
  <c r="S47" i="6" s="1"/>
  <c r="S45" i="6" a="1"/>
  <c r="S45" i="6" s="1"/>
  <c r="S43" i="6" a="1"/>
  <c r="S43" i="6" s="1"/>
  <c r="S61" i="6" a="1"/>
  <c r="S61" i="6" s="1"/>
  <c r="S59" i="6" a="1"/>
  <c r="S59" i="6" s="1"/>
  <c r="S57" i="6" a="1"/>
  <c r="S57" i="6" s="1"/>
  <c r="S55" i="6" a="1"/>
  <c r="S55" i="6" s="1"/>
  <c r="S50" i="6" a="1"/>
  <c r="S50" i="6" s="1"/>
  <c r="S48" i="6" a="1"/>
  <c r="S48" i="6" s="1"/>
  <c r="S46" i="6" a="1"/>
  <c r="S46" i="6" s="1"/>
  <c r="S44" i="6" a="1"/>
  <c r="S44" i="6" s="1"/>
  <c r="S42" i="6" a="1"/>
  <c r="S42" i="6" s="1"/>
  <c r="S41" i="6" a="1"/>
  <c r="S41" i="6" s="1"/>
  <c r="S39" i="6" a="1"/>
  <c r="S39" i="6" s="1"/>
  <c r="S37" i="6" a="1"/>
  <c r="S37" i="6" s="1"/>
  <c r="S35" i="6" a="1"/>
  <c r="S35" i="6" s="1"/>
  <c r="S33" i="6" a="1"/>
  <c r="S33" i="6" s="1"/>
  <c r="S31" i="6" a="1"/>
  <c r="S31" i="6" s="1"/>
  <c r="S29" i="6" a="1"/>
  <c r="S29" i="6" s="1"/>
  <c r="S28" i="6" a="1"/>
  <c r="S28" i="6" s="1"/>
  <c r="S27" i="6" a="1"/>
  <c r="S27" i="6" s="1"/>
  <c r="S26" i="6" a="1"/>
  <c r="S26" i="6" s="1"/>
  <c r="S40" i="6" a="1"/>
  <c r="S40" i="6" s="1"/>
  <c r="S38" i="6" a="1"/>
  <c r="S38" i="6" s="1"/>
  <c r="S36" i="6" a="1"/>
  <c r="S36" i="6" s="1"/>
  <c r="S34" i="6" a="1"/>
  <c r="S34" i="6" s="1"/>
  <c r="S32" i="6" a="1"/>
  <c r="S32" i="6" s="1"/>
  <c r="S30" i="6" a="1"/>
  <c r="S30" i="6" s="1"/>
  <c r="S24" i="6" a="1"/>
  <c r="S24" i="6" s="1"/>
  <c r="S22" i="6" a="1"/>
  <c r="S22" i="6" s="1"/>
  <c r="S20" i="6" a="1"/>
  <c r="S20" i="6" s="1"/>
  <c r="S18" i="6" a="1"/>
  <c r="S18" i="6" s="1"/>
  <c r="S16" i="6" a="1"/>
  <c r="S16" i="6" s="1"/>
  <c r="S14" i="6" a="1"/>
  <c r="S14" i="6" s="1"/>
  <c r="S10" i="6" a="1"/>
  <c r="S10" i="6" s="1"/>
  <c r="S8" i="6" a="1"/>
  <c r="S8" i="6" s="1"/>
  <c r="S6" i="6" a="1"/>
  <c r="S6" i="6" s="1"/>
  <c r="S4" i="6" a="1"/>
  <c r="S4" i="6" s="1"/>
  <c r="S1" i="6"/>
  <c r="S23" i="6" a="1"/>
  <c r="S23" i="6" s="1"/>
  <c r="S15" i="6" a="1"/>
  <c r="S15" i="6" s="1"/>
  <c r="S5" i="6" a="1"/>
  <c r="S5" i="6" s="1"/>
  <c r="S25" i="6" a="1"/>
  <c r="S25" i="6" s="1"/>
  <c r="S21" i="6" a="1"/>
  <c r="S21" i="6" s="1"/>
  <c r="S17" i="6" a="1"/>
  <c r="S17" i="6" s="1"/>
  <c r="S13" i="6" a="1"/>
  <c r="S13" i="6" s="1"/>
  <c r="S7" i="6" a="1"/>
  <c r="S7" i="6" s="1"/>
  <c r="S3" i="6" a="1"/>
  <c r="S3" i="6" s="1"/>
  <c r="S19" i="6" a="1"/>
  <c r="S19" i="6" s="1"/>
  <c r="S9" i="6" a="1"/>
  <c r="S9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infomax</author>
  </authors>
  <commentList>
    <comment ref="C20" authorId="0" shapeId="0" xr:uid="{00000000-0006-0000-0100-000001000000}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1" authorId="0" shapeId="0" xr:uid="{00000000-0006-0000-0100-000002000000}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2" authorId="0" shapeId="0" xr:uid="{00000000-0006-0000-0100-000003000000}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3" authorId="0" shapeId="0" xr:uid="{00000000-0006-0000-0100-000004000000}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4" authorId="0" shapeId="0" xr:uid="{00000000-0006-0000-0100-000005000000}">
      <text>
        <r>
          <rPr>
            <sz val="9"/>
            <color indexed="81"/>
            <rFont val="굴림"/>
            <family val="3"/>
            <charset val="129"/>
          </rPr>
          <t xml:space="preserve">거래일 : 일요일 ~ 목요일
</t>
        </r>
      </text>
    </comment>
    <comment ref="C25" authorId="0" shapeId="0" xr:uid="{00000000-0006-0000-0100-000006000000}">
      <text>
        <r>
          <rPr>
            <sz val="9"/>
            <color indexed="81"/>
            <rFont val="굴림"/>
            <family val="3"/>
            <charset val="129"/>
          </rPr>
          <t xml:space="preserve">목, 금 휴장이나
일요일 데이터가
금요일로 들어옴
</t>
        </r>
      </text>
    </comment>
    <comment ref="C26" authorId="0" shapeId="0" xr:uid="{00000000-0006-0000-0100-000007000000}">
      <text>
        <r>
          <rPr>
            <sz val="9"/>
            <color indexed="81"/>
            <rFont val="굴림"/>
            <family val="3"/>
            <charset val="129"/>
          </rPr>
          <t xml:space="preserve">목, 금 휴장이나
일요일 데이터가
금요일로 들어옴
</t>
        </r>
      </text>
    </comment>
    <comment ref="C49" authorId="0" shapeId="0" xr:uid="{00000000-0006-0000-0100-000008000000}">
      <text>
        <r>
          <rPr>
            <sz val="9"/>
            <color indexed="81"/>
            <rFont val="굴림"/>
            <family val="3"/>
            <charset val="129"/>
          </rPr>
          <t xml:space="preserve">일요일이 금요일 데이터로 옴
</t>
        </r>
      </text>
    </comment>
  </commentList>
</comments>
</file>

<file path=xl/sharedStrings.xml><?xml version="1.0" encoding="utf-8"?>
<sst xmlns="http://schemas.openxmlformats.org/spreadsheetml/2006/main" count="908" uniqueCount="279">
  <si>
    <t>일자</t>
  </si>
  <si>
    <t>고가</t>
  </si>
  <si>
    <t>저가</t>
  </si>
  <si>
    <t>전일대비</t>
  </si>
  <si>
    <t>AUI:AORD</t>
  </si>
  <si>
    <t>BEI:MFX</t>
  </si>
  <si>
    <t>BRI:BVSP</t>
  </si>
  <si>
    <t>BUI:SOFIX</t>
  </si>
  <si>
    <t>CAI:SPTSX</t>
  </si>
  <si>
    <t>CHI:SSMI</t>
  </si>
  <si>
    <t>CLI:IGPA</t>
  </si>
  <si>
    <t>COI:IGBC</t>
  </si>
  <si>
    <t>DJI:DJI</t>
  </si>
  <si>
    <t>DKI:KFX</t>
  </si>
  <si>
    <t>EGI:CASE30</t>
  </si>
  <si>
    <t>ESI:IBEX</t>
  </si>
  <si>
    <t>FII:HEX</t>
  </si>
  <si>
    <t>GRI:ASE</t>
  </si>
  <si>
    <t>HSI:HSCE</t>
  </si>
  <si>
    <t>HSI:HSI</t>
  </si>
  <si>
    <t>HUI:BUX</t>
  </si>
  <si>
    <t>IDI:JKSE</t>
  </si>
  <si>
    <t>IEI:ISEQ</t>
  </si>
  <si>
    <t>ILI:TA100</t>
  </si>
  <si>
    <t>INI:BSE30</t>
  </si>
  <si>
    <t>ITI:FTSEMIB</t>
  </si>
  <si>
    <t>JOI:FTI</t>
  </si>
  <si>
    <t>쿠웨이트</t>
  </si>
  <si>
    <t>FTSE 100</t>
  </si>
  <si>
    <t>LNS:FTSE100</t>
  </si>
  <si>
    <t>LUI:LUXX</t>
  </si>
  <si>
    <t>LVI:RIGSE</t>
  </si>
  <si>
    <t>MXI:IPC</t>
  </si>
  <si>
    <t>MYI:KLSE</t>
  </si>
  <si>
    <t>NAS:IXIC</t>
  </si>
  <si>
    <t>NII:NI225</t>
  </si>
  <si>
    <t>NLI:AEX</t>
  </si>
  <si>
    <t>노르웨이</t>
  </si>
  <si>
    <t>NOI:OSEAX</t>
  </si>
  <si>
    <t>NZI:NZ50</t>
  </si>
  <si>
    <t>OMI:MSMI</t>
  </si>
  <si>
    <t>PAS:CAC40</t>
  </si>
  <si>
    <t>PEI:IGBVL</t>
  </si>
  <si>
    <t>필리핀</t>
  </si>
  <si>
    <t>PHI:COMP</t>
  </si>
  <si>
    <t>PKI:KSE100</t>
  </si>
  <si>
    <t>PLI:WIGI</t>
  </si>
  <si>
    <t>PTI:PSI20</t>
  </si>
  <si>
    <t>카타르</t>
  </si>
  <si>
    <t>QAI:MKIX</t>
  </si>
  <si>
    <t>RUI:RTSI</t>
  </si>
  <si>
    <t>SAI:TASI</t>
  </si>
  <si>
    <t>스웨덴</t>
  </si>
  <si>
    <t>SEI:SXASI</t>
  </si>
  <si>
    <t>SGI:STI</t>
  </si>
  <si>
    <t>SHS:000001</t>
  </si>
  <si>
    <t>S&amp;P 500</t>
  </si>
  <si>
    <t>SPI:SPX</t>
  </si>
  <si>
    <t>THI:SET</t>
  </si>
  <si>
    <t>TRI:ISE100</t>
  </si>
  <si>
    <t>TWS:TI01</t>
  </si>
  <si>
    <t>VEI:INDG</t>
  </si>
  <si>
    <t>VNI:VIDX</t>
  </si>
  <si>
    <t>XTR:DAX30</t>
  </si>
  <si>
    <t>아랍에미레이트</t>
  </si>
  <si>
    <t>뉴질랜드</t>
  </si>
  <si>
    <t>호주</t>
  </si>
  <si>
    <t>일본</t>
  </si>
  <si>
    <t>대만</t>
  </si>
  <si>
    <t>싱가포르</t>
  </si>
  <si>
    <t>말레이시아</t>
  </si>
  <si>
    <t>인도네시아</t>
  </si>
  <si>
    <t>태국</t>
  </si>
  <si>
    <t>베트남</t>
  </si>
  <si>
    <t>파키스탄</t>
  </si>
  <si>
    <t>오만</t>
  </si>
  <si>
    <t>요르단</t>
  </si>
  <si>
    <t>사우디아라비아</t>
  </si>
  <si>
    <t>이스라엘</t>
  </si>
  <si>
    <t>NZX50</t>
  </si>
  <si>
    <t>러시아</t>
  </si>
  <si>
    <t>터키</t>
  </si>
  <si>
    <t>덴마크</t>
  </si>
  <si>
    <t>스페인</t>
  </si>
  <si>
    <t>벨기에</t>
  </si>
  <si>
    <t>스위스</t>
  </si>
  <si>
    <t>독일</t>
  </si>
  <si>
    <t>영국</t>
  </si>
  <si>
    <t>네덜란드</t>
  </si>
  <si>
    <t>프랑스</t>
  </si>
  <si>
    <t>그리스</t>
  </si>
  <si>
    <t>이탈리아</t>
  </si>
  <si>
    <t>오스트리아</t>
  </si>
  <si>
    <t>라투비아</t>
  </si>
  <si>
    <t>불가리아</t>
  </si>
  <si>
    <t>핀란드</t>
  </si>
  <si>
    <t>헝가리</t>
  </si>
  <si>
    <t>아일랜드</t>
  </si>
  <si>
    <t>이집트</t>
  </si>
  <si>
    <t>룩셈부르크</t>
  </si>
  <si>
    <t>칠레</t>
  </si>
  <si>
    <t>브라질</t>
  </si>
  <si>
    <t>아르헨티나</t>
  </si>
  <si>
    <t>페루</t>
  </si>
  <si>
    <t>캐나다</t>
  </si>
  <si>
    <t>멕시코</t>
  </si>
  <si>
    <t>베네수엘라</t>
  </si>
  <si>
    <t>콜롬비아</t>
  </si>
  <si>
    <t>ALL ORDS</t>
  </si>
  <si>
    <t>NIKKEI225</t>
  </si>
  <si>
    <t>TAIEX</t>
  </si>
  <si>
    <t>STI</t>
  </si>
  <si>
    <t>KLCI</t>
  </si>
  <si>
    <t>중국(상해종합)</t>
  </si>
  <si>
    <t>SSE Composite Shares</t>
  </si>
  <si>
    <t>홍콩(항셍)</t>
  </si>
  <si>
    <t>HSI</t>
  </si>
  <si>
    <t>홍콩(항셍 H)</t>
  </si>
  <si>
    <t>HSI-H</t>
  </si>
  <si>
    <t>IHSG</t>
  </si>
  <si>
    <t>SET Index</t>
  </si>
  <si>
    <t>인도</t>
  </si>
  <si>
    <t>SENSEX</t>
  </si>
  <si>
    <t>HO CHI MINH STO</t>
  </si>
  <si>
    <t>KSE 100</t>
  </si>
  <si>
    <t>MSM 30</t>
  </si>
  <si>
    <t>Dubai Financial</t>
  </si>
  <si>
    <t>KSE Index</t>
  </si>
  <si>
    <t>DSM 20</t>
  </si>
  <si>
    <t>ASE Index</t>
  </si>
  <si>
    <t>TASI</t>
  </si>
  <si>
    <t>TA-100</t>
  </si>
  <si>
    <t>RTSI</t>
  </si>
  <si>
    <t>ISE Nation Index</t>
  </si>
  <si>
    <t>OMX Copenhgagen20</t>
  </si>
  <si>
    <t>OBX</t>
  </si>
  <si>
    <t>IBEX-35</t>
  </si>
  <si>
    <t>SMI</t>
  </si>
  <si>
    <t>DAX</t>
  </si>
  <si>
    <t>OMX Stockholm30</t>
  </si>
  <si>
    <t>AEX</t>
  </si>
  <si>
    <t>CAC 40 INDEX</t>
  </si>
  <si>
    <t>ATHEX</t>
  </si>
  <si>
    <t>FTSE MIB</t>
  </si>
  <si>
    <t>폴란드</t>
  </si>
  <si>
    <t>WIG20</t>
  </si>
  <si>
    <t>포르투칼</t>
  </si>
  <si>
    <t>PSI-20</t>
  </si>
  <si>
    <t>ATX</t>
  </si>
  <si>
    <t>OMX Riga</t>
  </si>
  <si>
    <t>SOFIX</t>
  </si>
  <si>
    <t>OMX Helsinki25</t>
  </si>
  <si>
    <t>BUX</t>
  </si>
  <si>
    <t>ISEQ</t>
  </si>
  <si>
    <t>CASE 30</t>
  </si>
  <si>
    <t>LUXX</t>
  </si>
  <si>
    <t>CHILE IGPA</t>
  </si>
  <si>
    <t>BRAZIL BOVESPA</t>
  </si>
  <si>
    <t>MERVAL BUENOS AIRES</t>
  </si>
  <si>
    <t>PERU LIMA INDEX</t>
  </si>
  <si>
    <t>CANADA S&amp;P TSX</t>
  </si>
  <si>
    <t>미국(DJI)</t>
  </si>
  <si>
    <t>DJ Composite Average</t>
  </si>
  <si>
    <t>미국(NASDAQ)</t>
  </si>
  <si>
    <t>NASDAQ Composite</t>
  </si>
  <si>
    <t>미국(S&amp;P)</t>
  </si>
  <si>
    <t>MEXICO IPC</t>
  </si>
  <si>
    <t>VENEZUELA GENER</t>
  </si>
  <si>
    <t>COLUMBIA IGBC</t>
  </si>
  <si>
    <t>AEI:DFM</t>
    <phoneticPr fontId="2" type="noConversion"/>
  </si>
  <si>
    <t>ARI:MERV</t>
    <phoneticPr fontId="2" type="noConversion"/>
  </si>
  <si>
    <t>ATI:ATX</t>
    <phoneticPr fontId="2" type="noConversion"/>
  </si>
  <si>
    <t>아시아</t>
  </si>
  <si>
    <t>아메리카</t>
  </si>
  <si>
    <t>유럽</t>
  </si>
  <si>
    <t>PSEi</t>
  </si>
  <si>
    <t>코드</t>
    <phoneticPr fontId="2" type="noConversion"/>
  </si>
  <si>
    <t>지수명</t>
    <phoneticPr fontId="2" type="noConversion"/>
  </si>
  <si>
    <t>국가명</t>
    <phoneticPr fontId="2" type="noConversion"/>
  </si>
  <si>
    <t>종가</t>
  </si>
  <si>
    <t>시작</t>
  </si>
  <si>
    <t>종료</t>
  </si>
  <si>
    <t>Data 갯수</t>
  </si>
  <si>
    <t>정렬</t>
  </si>
  <si>
    <t>주기</t>
  </si>
  <si>
    <t>일</t>
  </si>
  <si>
    <t>BEL-20</t>
    <phoneticPr fontId="2" type="noConversion"/>
  </si>
  <si>
    <t>순서</t>
    <phoneticPr fontId="2" type="noConversion"/>
  </si>
  <si>
    <t>대륙구분</t>
    <phoneticPr fontId="2" type="noConversion"/>
  </si>
  <si>
    <t>뉴질랜드</t>
    <phoneticPr fontId="2" type="noConversion"/>
  </si>
  <si>
    <t>TWS:TI01</t>
    <phoneticPr fontId="2" type="noConversion"/>
  </si>
  <si>
    <t>OMX Stockholm30</t>
    <phoneticPr fontId="2" type="noConversion"/>
  </si>
  <si>
    <t>SEI:SXASI</t>
    <phoneticPr fontId="2" type="noConversion"/>
  </si>
  <si>
    <t>OMX Copenhgagen20</t>
    <phoneticPr fontId="2" type="noConversion"/>
  </si>
  <si>
    <t>ISE Nation Index</t>
    <phoneticPr fontId="2" type="noConversion"/>
  </si>
  <si>
    <t>HO CHI MINH STO</t>
    <phoneticPr fontId="2" type="noConversion"/>
  </si>
  <si>
    <t>KWI:MKIX</t>
    <phoneticPr fontId="2" type="noConversion"/>
  </si>
  <si>
    <t>PSI-20</t>
    <phoneticPr fontId="2" type="noConversion"/>
  </si>
  <si>
    <t>STI</t>
    <phoneticPr fontId="2" type="noConversion"/>
  </si>
  <si>
    <t>오만</t>
    <phoneticPr fontId="2" type="noConversion"/>
  </si>
  <si>
    <t>아랍에미레이트</t>
    <phoneticPr fontId="2" type="noConversion"/>
  </si>
  <si>
    <t>쿠웨이트</t>
    <phoneticPr fontId="2" type="noConversion"/>
  </si>
  <si>
    <t>요르단</t>
    <phoneticPr fontId="2" type="noConversion"/>
  </si>
  <si>
    <t>이스라엘</t>
    <phoneticPr fontId="2" type="noConversion"/>
  </si>
  <si>
    <t>OMI:MSMI</t>
    <phoneticPr fontId="2" type="noConversion"/>
  </si>
  <si>
    <t>EGI:CASE30</t>
    <phoneticPr fontId="2" type="noConversion"/>
  </si>
  <si>
    <t>BUX</t>
    <phoneticPr fontId="2" type="noConversion"/>
  </si>
  <si>
    <t>TAIEX</t>
    <phoneticPr fontId="2" type="noConversion"/>
  </si>
  <si>
    <t>TA-100</t>
    <phoneticPr fontId="2" type="noConversion"/>
  </si>
  <si>
    <t>AEI:DFM</t>
  </si>
  <si>
    <t>ATI:ATX</t>
  </si>
  <si>
    <t>ARI:MERV</t>
  </si>
  <si>
    <t>6511 확인</t>
    <phoneticPr fontId="2" type="noConversion"/>
  </si>
  <si>
    <t>HIS</t>
    <phoneticPr fontId="2" type="noConversion"/>
  </si>
  <si>
    <t>순서</t>
    <phoneticPr fontId="2" type="noConversion"/>
  </si>
  <si>
    <t>대륙구분</t>
    <phoneticPr fontId="2" type="noConversion"/>
  </si>
  <si>
    <t>국가명</t>
    <phoneticPr fontId="2" type="noConversion"/>
  </si>
  <si>
    <t>지수명</t>
    <phoneticPr fontId="2" type="noConversion"/>
  </si>
  <si>
    <t>코드</t>
    <phoneticPr fontId="2" type="noConversion"/>
  </si>
  <si>
    <t>NIKKEI225</t>
    <phoneticPr fontId="2" type="noConversion"/>
  </si>
  <si>
    <t>ISE Nation Index</t>
    <phoneticPr fontId="2" type="noConversion"/>
  </si>
  <si>
    <t>OMX Copenhgagen20</t>
    <phoneticPr fontId="2" type="noConversion"/>
  </si>
  <si>
    <t>IBEX-35</t>
    <phoneticPr fontId="2" type="noConversion"/>
  </si>
  <si>
    <t>BEL-20</t>
    <phoneticPr fontId="2" type="noConversion"/>
  </si>
  <si>
    <t>OMXS-ALL SHARE INDX</t>
    <phoneticPr fontId="2" type="noConversion"/>
  </si>
  <si>
    <t>AEX</t>
    <phoneticPr fontId="2" type="noConversion"/>
  </si>
  <si>
    <t>OMX Helsinki25</t>
    <phoneticPr fontId="2" type="noConversion"/>
  </si>
  <si>
    <t>CASE 30</t>
    <phoneticPr fontId="2" type="noConversion"/>
  </si>
  <si>
    <t>MERVAL BUENOS AIRES</t>
    <phoneticPr fontId="2" type="noConversion"/>
  </si>
  <si>
    <t>PERU LIMA INDEX</t>
    <phoneticPr fontId="2" type="noConversion"/>
  </si>
  <si>
    <t>CANADA S&amp;P TSX</t>
    <phoneticPr fontId="2" type="noConversion"/>
  </si>
  <si>
    <t>DJ Composite Average</t>
    <phoneticPr fontId="2" type="noConversion"/>
  </si>
  <si>
    <t>데이터 정보</t>
    <phoneticPr fontId="2" type="noConversion"/>
  </si>
  <si>
    <t>순서</t>
    <phoneticPr fontId="2" type="noConversion"/>
  </si>
  <si>
    <t>대륙구분</t>
    <phoneticPr fontId="2" type="noConversion"/>
  </si>
  <si>
    <t>국가명</t>
    <phoneticPr fontId="2" type="noConversion"/>
  </si>
  <si>
    <t>지수명</t>
    <phoneticPr fontId="2" type="noConversion"/>
  </si>
  <si>
    <t>코드</t>
    <phoneticPr fontId="2" type="noConversion"/>
  </si>
  <si>
    <t>시가</t>
    <phoneticPr fontId="2" type="noConversion"/>
  </si>
  <si>
    <t>종가</t>
    <phoneticPr fontId="2" type="noConversion"/>
  </si>
  <si>
    <t>AEI:DFM</t>
    <phoneticPr fontId="2" type="noConversion"/>
  </si>
  <si>
    <t>BEL-20</t>
    <phoneticPr fontId="2" type="noConversion"/>
  </si>
  <si>
    <t>ATI:ATX</t>
    <phoneticPr fontId="2" type="noConversion"/>
  </si>
  <si>
    <t>ARI:MERV</t>
    <phoneticPr fontId="2" type="noConversion"/>
  </si>
  <si>
    <t>기준일</t>
    <phoneticPr fontId="2" type="noConversion"/>
  </si>
  <si>
    <t>아시아</t>
    <phoneticPr fontId="2" type="noConversion"/>
  </si>
  <si>
    <t>중국(심천종합)</t>
    <phoneticPr fontId="2" type="noConversion"/>
  </si>
  <si>
    <t>Shezhen Composite Index</t>
    <phoneticPr fontId="2" type="noConversion"/>
  </si>
  <si>
    <t>SZS:399106</t>
    <phoneticPr fontId="2" type="noConversion"/>
  </si>
  <si>
    <t>아시아</t>
    <phoneticPr fontId="2" type="noConversion"/>
  </si>
  <si>
    <t>중국(CSI 300)</t>
    <phoneticPr fontId="2" type="noConversion"/>
  </si>
  <si>
    <t>CSI 300</t>
    <phoneticPr fontId="2" type="noConversion"/>
  </si>
  <si>
    <t>SHS:000300</t>
    <phoneticPr fontId="2" type="noConversion"/>
  </si>
  <si>
    <t>BKP Index</t>
    <phoneticPr fontId="2" type="noConversion"/>
  </si>
  <si>
    <t>BKP Index</t>
    <phoneticPr fontId="2" type="noConversion"/>
  </si>
  <si>
    <t>KWI:BKP</t>
    <phoneticPr fontId="2" type="noConversion"/>
  </si>
  <si>
    <t>KWI:BKP</t>
    <phoneticPr fontId="2" type="noConversion"/>
  </si>
  <si>
    <t>유로스톡스50</t>
    <phoneticPr fontId="2" type="noConversion"/>
  </si>
  <si>
    <t>Euro Next</t>
    <phoneticPr fontId="2" type="noConversion"/>
  </si>
  <si>
    <t>DJI:SX5E</t>
    <phoneticPr fontId="2" type="noConversion"/>
  </si>
  <si>
    <t>FTSE 300</t>
    <phoneticPr fontId="2" type="noConversion"/>
  </si>
  <si>
    <t>EuroFirst 300</t>
    <phoneticPr fontId="2" type="noConversion"/>
  </si>
  <si>
    <t>FTS:E3X</t>
    <phoneticPr fontId="2" type="noConversion"/>
  </si>
  <si>
    <t>체코</t>
    <phoneticPr fontId="2" type="noConversion"/>
  </si>
  <si>
    <t>PSE:PX</t>
    <phoneticPr fontId="2" type="noConversion"/>
  </si>
  <si>
    <t>PX Index</t>
    <phoneticPr fontId="2" type="noConversion"/>
  </si>
  <si>
    <t>유럽</t>
    <phoneticPr fontId="2" type="noConversion"/>
  </si>
  <si>
    <t>PX Index</t>
    <phoneticPr fontId="2" type="noConversion"/>
  </si>
  <si>
    <t>일자</t>
    <phoneticPr fontId="2" type="noConversion"/>
  </si>
  <si>
    <t>종가</t>
    <phoneticPr fontId="2" type="noConversion"/>
  </si>
  <si>
    <t>영업일</t>
    <phoneticPr fontId="2" type="noConversion"/>
  </si>
  <si>
    <t>A</t>
    <phoneticPr fontId="2" type="noConversion"/>
  </si>
  <si>
    <t>IMDH(Market, Code, Field, StartDay, EndDay, Count, Option)</t>
    <phoneticPr fontId="2" type="noConversion"/>
  </si>
  <si>
    <t>베트남</t>
    <phoneticPr fontId="2" type="noConversion"/>
  </si>
  <si>
    <t>베트남</t>
    <phoneticPr fontId="2" type="noConversion"/>
  </si>
  <si>
    <t>대분류코드</t>
    <phoneticPr fontId="2" type="noConversion"/>
  </si>
  <si>
    <t>FRN</t>
    <phoneticPr fontId="2" type="noConversion"/>
  </si>
  <si>
    <t>IMDH(Market, Code, Field, StartDay, EndDay, Count, Option)</t>
    <phoneticPr fontId="2" type="noConversion"/>
  </si>
  <si>
    <t>0,1,12 : 그 외에 모가 있는지 모르겠네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</si>
</sst>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0_ "/>
    <numFmt numFmtId="177" formatCode="yy\.mm\.dd"/>
    <numFmt numFmtId="178" formatCode="#,##0.00_ "/>
    <numFmt numFmtId="179" formatCode="00"/>
    <numFmt numFmtId="180" formatCode="\+#,##0.00_ ;\-#,##0.00\ "/>
  </numFmts>
  <fonts count="18" x14ac:knownFonts="1">
    <font>
      <sz val="10"/>
      <name val="Verdana"/>
      <family val="2"/>
    </font>
    <font>
      <sz val="10"/>
      <name val="Verdana"/>
      <family val="2"/>
    </font>
    <font>
      <sz val="8"/>
      <name val="돋움"/>
      <family val="3"/>
      <charset val="129"/>
    </font>
    <font>
      <sz val="10"/>
      <name val="Verdana"/>
      <family val="2"/>
    </font>
    <font>
      <sz val="9"/>
      <color indexed="81"/>
      <name val="굴림"/>
      <family val="3"/>
      <charset val="129"/>
    </font>
    <font>
      <b/>
      <sz val="9"/>
      <color indexed="9"/>
      <name val="굴림"/>
      <family val="3"/>
      <charset val="129"/>
    </font>
    <font>
      <sz val="9"/>
      <color indexed="20"/>
      <name val="굴림"/>
      <family val="3"/>
      <charset val="129"/>
    </font>
    <font>
      <sz val="9"/>
      <color indexed="9"/>
      <name val="굴림"/>
      <family val="3"/>
      <charset val="129"/>
    </font>
    <font>
      <sz val="9"/>
      <color indexed="63"/>
      <name val="굴림"/>
      <family val="3"/>
      <charset val="129"/>
    </font>
    <font>
      <sz val="9"/>
      <name val="굴림"/>
      <family val="3"/>
      <charset val="129"/>
    </font>
    <font>
      <sz val="9"/>
      <color indexed="8"/>
      <name val="굴림"/>
      <family val="3"/>
      <charset val="129"/>
    </font>
    <font>
      <b/>
      <sz val="9"/>
      <color indexed="17"/>
      <name val="굴림"/>
      <family val="3"/>
      <charset val="129"/>
    </font>
    <font>
      <sz val="10"/>
      <name val="돋움"/>
      <family val="3"/>
      <charset val="129"/>
    </font>
    <font>
      <sz val="10"/>
      <color rgb="FFFF0000"/>
      <name val="Verdana"/>
      <family val="2"/>
    </font>
    <font>
      <sz val="10"/>
      <color rgb="FF003CDC"/>
      <name val="Verdana"/>
      <family val="2"/>
    </font>
    <font>
      <sz val="10"/>
      <color rgb="FFFFFFFF"/>
      <name val="Verdana"/>
      <family val="2"/>
    </font>
    <font>
      <sz val="9"/>
      <color theme="0"/>
      <name val="굴림"/>
      <family val="3"/>
      <charset val="129"/>
    </font>
    <font>
      <b/>
      <sz val="9"/>
      <name val="굴림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0.59999389629810485"/>
        <bgColor indexed="64"/>
      </patternFill>
    </fill>
  </fills>
  <borders count="3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52"/>
      </left>
      <right style="thin">
        <color indexed="52"/>
      </right>
      <top/>
      <bottom style="thin">
        <color indexed="52"/>
      </bottom>
      <diagonal/>
    </border>
    <border>
      <left style="thin">
        <color indexed="52"/>
      </left>
      <right/>
      <top/>
      <bottom style="thin">
        <color indexed="52"/>
      </bottom>
      <diagonal/>
    </border>
    <border>
      <left style="thin">
        <color indexed="23"/>
      </left>
      <right/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3"/>
      </right>
      <top/>
      <bottom style="thin">
        <color indexed="2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 style="thin">
        <color indexed="52"/>
      </bottom>
      <diagonal/>
    </border>
    <border>
      <left style="thin">
        <color indexed="52"/>
      </left>
      <right/>
      <top style="thin">
        <color indexed="52"/>
      </top>
      <bottom style="thin">
        <color indexed="52"/>
      </bottom>
      <diagonal/>
    </border>
    <border>
      <left style="thin">
        <color indexed="23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2"/>
      </bottom>
      <diagonal/>
    </border>
    <border>
      <left style="thin">
        <color indexed="52"/>
      </left>
      <right style="thin">
        <color indexed="52"/>
      </right>
      <top style="thin">
        <color indexed="52"/>
      </top>
      <bottom/>
      <diagonal/>
    </border>
    <border>
      <left style="thin">
        <color indexed="52"/>
      </left>
      <right/>
      <top style="thin">
        <color indexed="52"/>
      </top>
      <bottom/>
      <diagonal/>
    </border>
    <border>
      <left style="thin">
        <color indexed="57"/>
      </left>
      <right style="thin">
        <color indexed="57"/>
      </right>
      <top style="thin">
        <color indexed="57"/>
      </top>
      <bottom style="thin">
        <color indexed="57"/>
      </bottom>
      <diagonal/>
    </border>
    <border>
      <left style="thin">
        <color indexed="57"/>
      </left>
      <right/>
      <top style="thin">
        <color indexed="57"/>
      </top>
      <bottom style="thin">
        <color indexed="57"/>
      </bottom>
      <diagonal/>
    </border>
    <border>
      <left style="thin">
        <color indexed="57"/>
      </left>
      <right style="thin">
        <color indexed="57"/>
      </right>
      <top style="thin">
        <color indexed="57"/>
      </top>
      <bottom/>
      <diagonal/>
    </border>
    <border>
      <left style="thin">
        <color indexed="57"/>
      </left>
      <right/>
      <top style="thin">
        <color indexed="57"/>
      </top>
      <bottom/>
      <diagonal/>
    </border>
    <border>
      <left style="thin">
        <color indexed="50"/>
      </left>
      <right style="thin">
        <color indexed="50"/>
      </right>
      <top style="thin">
        <color indexed="50"/>
      </top>
      <bottom style="thin">
        <color indexed="50"/>
      </bottom>
      <diagonal/>
    </border>
    <border>
      <left style="thin">
        <color indexed="50"/>
      </left>
      <right/>
      <top style="thin">
        <color indexed="50"/>
      </top>
      <bottom style="thin">
        <color indexed="50"/>
      </bottom>
      <diagonal/>
    </border>
    <border>
      <left style="thin">
        <color indexed="23"/>
      </left>
      <right/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3"/>
      </bottom>
      <diagonal/>
    </border>
    <border>
      <left style="thin">
        <color indexed="22"/>
      </left>
      <right style="thin">
        <color indexed="23"/>
      </right>
      <top style="thin">
        <color indexed="22"/>
      </top>
      <bottom style="thin">
        <color indexed="23"/>
      </bottom>
      <diagonal/>
    </border>
    <border>
      <left style="thin">
        <color indexed="50"/>
      </left>
      <right style="thin">
        <color indexed="50"/>
      </right>
      <top/>
      <bottom style="thin">
        <color indexed="50"/>
      </bottom>
      <diagonal/>
    </border>
    <border>
      <left style="thin">
        <color indexed="50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50"/>
      </right>
      <top/>
      <bottom style="thin">
        <color indexed="22"/>
      </bottom>
      <diagonal/>
    </border>
    <border>
      <left style="thin">
        <color indexed="50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50"/>
      </right>
      <top style="thin">
        <color indexed="22"/>
      </top>
      <bottom style="thin">
        <color indexed="22"/>
      </bottom>
      <diagonal/>
    </border>
    <border>
      <left style="thin">
        <color indexed="50"/>
      </left>
      <right style="thin">
        <color indexed="22"/>
      </right>
      <top style="thin">
        <color indexed="22"/>
      </top>
      <bottom style="thin">
        <color indexed="5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50"/>
      </bottom>
      <diagonal/>
    </border>
    <border>
      <left style="thin">
        <color indexed="22"/>
      </left>
      <right style="thin">
        <color indexed="50"/>
      </right>
      <top style="thin">
        <color indexed="22"/>
      </top>
      <bottom style="thin">
        <color indexed="50"/>
      </bottom>
      <diagonal/>
    </border>
    <border>
      <left style="thin">
        <color indexed="13"/>
      </left>
      <right style="thin">
        <color indexed="13"/>
      </right>
      <top/>
      <bottom style="thin">
        <color indexed="13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24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2" borderId="0" xfId="0" applyFont="1" applyFill="1" applyAlignment="1">
      <alignment horizontal="center" vertical="center"/>
    </xf>
    <xf numFmtId="176" fontId="1" fillId="2" borderId="0" xfId="0" applyNumberFormat="1" applyFont="1" applyFill="1">
      <alignment vertical="center"/>
    </xf>
    <xf numFmtId="49" fontId="3" fillId="2" borderId="0" xfId="0" applyNumberFormat="1" applyFont="1" applyFill="1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177" fontId="0" fillId="2" borderId="0" xfId="0" applyNumberFormat="1" applyFill="1">
      <alignment vertical="center"/>
    </xf>
    <xf numFmtId="179" fontId="0" fillId="2" borderId="0" xfId="0" applyNumberFormat="1" applyFill="1">
      <alignment vertical="center"/>
    </xf>
    <xf numFmtId="177" fontId="5" fillId="3" borderId="2" xfId="0" applyNumberFormat="1" applyFont="1" applyFill="1" applyBorder="1" applyAlignment="1">
      <alignment horizontal="center" vertical="center"/>
    </xf>
    <xf numFmtId="177" fontId="6" fillId="4" borderId="2" xfId="0" applyNumberFormat="1" applyFont="1" applyFill="1" applyBorder="1" applyAlignment="1" applyProtection="1">
      <alignment horizontal="center" vertical="center"/>
    </xf>
    <xf numFmtId="177" fontId="7" fillId="3" borderId="2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9" fontId="8" fillId="5" borderId="2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77" fontId="8" fillId="5" borderId="2" xfId="0" applyNumberFormat="1" applyFont="1" applyFill="1" applyBorder="1" applyAlignment="1">
      <alignment horizontal="center" vertical="center"/>
    </xf>
    <xf numFmtId="177" fontId="8" fillId="4" borderId="2" xfId="0" applyNumberFormat="1" applyFont="1" applyFill="1" applyBorder="1" applyAlignment="1" applyProtection="1">
      <alignment horizontal="center" vertical="center"/>
    </xf>
    <xf numFmtId="177" fontId="8" fillId="6" borderId="2" xfId="0" applyNumberFormat="1" applyFont="1" applyFill="1" applyBorder="1" applyAlignment="1">
      <alignment horizontal="center" vertical="center"/>
    </xf>
    <xf numFmtId="179" fontId="9" fillId="7" borderId="3" xfId="0" applyNumberFormat="1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3" xfId="0" applyFont="1" applyFill="1" applyBorder="1">
      <alignment vertical="center"/>
    </xf>
    <xf numFmtId="0" fontId="9" fillId="7" borderId="3" xfId="0" applyFont="1" applyFill="1" applyBorder="1" applyAlignment="1">
      <alignment horizontal="left" vertical="center" indent="1"/>
    </xf>
    <xf numFmtId="49" fontId="9" fillId="7" borderId="4" xfId="0" applyNumberFormat="1" applyFont="1" applyFill="1" applyBorder="1">
      <alignment vertical="center"/>
    </xf>
    <xf numFmtId="178" fontId="9" fillId="2" borderId="5" xfId="1" applyNumberFormat="1" applyFont="1" applyFill="1" applyBorder="1">
      <alignment vertical="center"/>
    </xf>
    <xf numFmtId="178" fontId="9" fillId="2" borderId="6" xfId="1" applyNumberFormat="1" applyFont="1" applyFill="1" applyBorder="1">
      <alignment vertical="center"/>
    </xf>
    <xf numFmtId="178" fontId="9" fillId="2" borderId="7" xfId="1" applyNumberFormat="1" applyFont="1" applyFill="1" applyBorder="1">
      <alignment vertical="center"/>
    </xf>
    <xf numFmtId="179" fontId="9" fillId="7" borderId="8" xfId="0" applyNumberFormat="1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8" xfId="0" applyFont="1" applyFill="1" applyBorder="1">
      <alignment vertical="center"/>
    </xf>
    <xf numFmtId="0" fontId="9" fillId="7" borderId="8" xfId="0" applyFont="1" applyFill="1" applyBorder="1" applyAlignment="1">
      <alignment horizontal="left" vertical="center" indent="1"/>
    </xf>
    <xf numFmtId="49" fontId="9" fillId="7" borderId="9" xfId="0" applyNumberFormat="1" applyFont="1" applyFill="1" applyBorder="1">
      <alignment vertical="center"/>
    </xf>
    <xf numFmtId="178" fontId="9" fillId="2" borderId="10" xfId="1" applyNumberFormat="1" applyFont="1" applyFill="1" applyBorder="1">
      <alignment vertical="center"/>
    </xf>
    <xf numFmtId="178" fontId="9" fillId="2" borderId="1" xfId="1" applyNumberFormat="1" applyFont="1" applyFill="1" applyBorder="1">
      <alignment vertical="center"/>
    </xf>
    <xf numFmtId="178" fontId="9" fillId="2" borderId="11" xfId="1" applyNumberFormat="1" applyFont="1" applyFill="1" applyBorder="1">
      <alignment vertical="center"/>
    </xf>
    <xf numFmtId="0" fontId="9" fillId="7" borderId="12" xfId="0" applyFont="1" applyFill="1" applyBorder="1" applyAlignment="1">
      <alignment horizontal="center" vertical="center"/>
    </xf>
    <xf numFmtId="0" fontId="9" fillId="7" borderId="12" xfId="0" applyFont="1" applyFill="1" applyBorder="1">
      <alignment vertical="center"/>
    </xf>
    <xf numFmtId="0" fontId="9" fillId="7" borderId="12" xfId="0" applyFont="1" applyFill="1" applyBorder="1" applyAlignment="1">
      <alignment horizontal="left" vertical="center" indent="1"/>
    </xf>
    <xf numFmtId="49" fontId="9" fillId="7" borderId="13" xfId="0" applyNumberFormat="1" applyFont="1" applyFill="1" applyBorder="1">
      <alignment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4" xfId="0" applyFont="1" applyFill="1" applyBorder="1">
      <alignment vertical="center"/>
    </xf>
    <xf numFmtId="0" fontId="9" fillId="8" borderId="14" xfId="0" applyFont="1" applyFill="1" applyBorder="1" applyAlignment="1">
      <alignment horizontal="left" vertical="center" indent="1"/>
    </xf>
    <xf numFmtId="49" fontId="9" fillId="8" borderId="15" xfId="0" applyNumberFormat="1" applyFont="1" applyFill="1" applyBorder="1">
      <alignment vertical="center"/>
    </xf>
    <xf numFmtId="0" fontId="10" fillId="8" borderId="14" xfId="0" applyFont="1" applyFill="1" applyBorder="1">
      <alignment vertical="center"/>
    </xf>
    <xf numFmtId="0" fontId="9" fillId="8" borderId="16" xfId="0" applyFont="1" applyFill="1" applyBorder="1" applyAlignment="1">
      <alignment horizontal="center" vertical="center"/>
    </xf>
    <xf numFmtId="0" fontId="10" fillId="8" borderId="16" xfId="0" applyFont="1" applyFill="1" applyBorder="1">
      <alignment vertical="center"/>
    </xf>
    <xf numFmtId="0" fontId="9" fillId="8" borderId="16" xfId="0" applyFont="1" applyFill="1" applyBorder="1" applyAlignment="1">
      <alignment horizontal="left" vertical="center" indent="1"/>
    </xf>
    <xf numFmtId="49" fontId="9" fillId="8" borderId="17" xfId="0" applyNumberFormat="1" applyFont="1" applyFill="1" applyBorder="1">
      <alignment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18" xfId="0" applyFont="1" applyFill="1" applyBorder="1">
      <alignment vertical="center"/>
    </xf>
    <xf numFmtId="0" fontId="9" fillId="9" borderId="18" xfId="0" applyFont="1" applyFill="1" applyBorder="1" applyAlignment="1">
      <alignment horizontal="left" vertical="center" indent="1"/>
    </xf>
    <xf numFmtId="49" fontId="9" fillId="9" borderId="19" xfId="0" applyNumberFormat="1" applyFont="1" applyFill="1" applyBorder="1">
      <alignment vertical="center"/>
    </xf>
    <xf numFmtId="178" fontId="9" fillId="2" borderId="20" xfId="1" applyNumberFormat="1" applyFont="1" applyFill="1" applyBorder="1">
      <alignment vertical="center"/>
    </xf>
    <xf numFmtId="178" fontId="9" fillId="2" borderId="21" xfId="1" applyNumberFormat="1" applyFont="1" applyFill="1" applyBorder="1">
      <alignment vertical="center"/>
    </xf>
    <xf numFmtId="178" fontId="9" fillId="2" borderId="22" xfId="1" applyNumberFormat="1" applyFont="1" applyFill="1" applyBorder="1">
      <alignment vertical="center"/>
    </xf>
    <xf numFmtId="0" fontId="9" fillId="2" borderId="0" xfId="0" applyFont="1" applyFill="1">
      <alignment vertical="center"/>
    </xf>
    <xf numFmtId="0" fontId="9" fillId="7" borderId="3" xfId="0" applyFont="1" applyFill="1" applyBorder="1" applyAlignment="1">
      <alignment vertical="center"/>
    </xf>
    <xf numFmtId="0" fontId="9" fillId="7" borderId="8" xfId="0" applyFont="1" applyFill="1" applyBorder="1" applyAlignment="1">
      <alignment vertical="center"/>
    </xf>
    <xf numFmtId="0" fontId="9" fillId="7" borderId="12" xfId="0" applyFont="1" applyFill="1" applyBorder="1" applyAlignment="1">
      <alignment vertical="center"/>
    </xf>
    <xf numFmtId="0" fontId="9" fillId="8" borderId="14" xfId="0" applyFont="1" applyFill="1" applyBorder="1" applyAlignment="1">
      <alignment vertical="center"/>
    </xf>
    <xf numFmtId="0" fontId="9" fillId="9" borderId="23" xfId="0" applyFont="1" applyFill="1" applyBorder="1" applyAlignment="1">
      <alignment horizontal="center" vertical="center"/>
    </xf>
    <xf numFmtId="0" fontId="9" fillId="9" borderId="23" xfId="0" applyFont="1" applyFill="1" applyBorder="1" applyAlignment="1">
      <alignment vertical="center"/>
    </xf>
    <xf numFmtId="0" fontId="9" fillId="9" borderId="18" xfId="0" applyFont="1" applyFill="1" applyBorder="1" applyAlignment="1">
      <alignment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2" xfId="0" applyFont="1" applyFill="1" applyBorder="1">
      <alignment vertical="center"/>
    </xf>
    <xf numFmtId="0" fontId="9" fillId="5" borderId="2" xfId="0" applyFont="1" applyFill="1" applyBorder="1" applyAlignment="1">
      <alignment horizontal="center" vertical="center"/>
    </xf>
    <xf numFmtId="49" fontId="9" fillId="5" borderId="2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6" xfId="0" applyFont="1" applyFill="1" applyBorder="1">
      <alignment vertical="center"/>
    </xf>
    <xf numFmtId="0" fontId="9" fillId="2" borderId="25" xfId="0" applyFont="1" applyFill="1" applyBorder="1">
      <alignment vertical="center"/>
    </xf>
    <xf numFmtId="0" fontId="9" fillId="2" borderId="1" xfId="0" applyFont="1" applyFill="1" applyBorder="1">
      <alignment vertical="center"/>
    </xf>
    <xf numFmtId="0" fontId="9" fillId="2" borderId="27" xfId="0" applyFont="1" applyFill="1" applyBorder="1">
      <alignment vertical="center"/>
    </xf>
    <xf numFmtId="0" fontId="9" fillId="2" borderId="29" xfId="0" applyFont="1" applyFill="1" applyBorder="1">
      <alignment vertical="center"/>
    </xf>
    <xf numFmtId="0" fontId="9" fillId="2" borderId="30" xfId="0" applyFont="1" applyFill="1" applyBorder="1">
      <alignment vertical="center"/>
    </xf>
    <xf numFmtId="0" fontId="11" fillId="3" borderId="18" xfId="0" applyFont="1" applyFill="1" applyBorder="1" applyAlignment="1">
      <alignment horizontal="center" vertical="center"/>
    </xf>
    <xf numFmtId="0" fontId="9" fillId="2" borderId="0" xfId="0" applyFont="1" applyFill="1" applyBorder="1">
      <alignment vertical="center"/>
    </xf>
    <xf numFmtId="0" fontId="9" fillId="5" borderId="18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77" fontId="9" fillId="2" borderId="18" xfId="0" applyNumberFormat="1" applyFont="1" applyFill="1" applyBorder="1" applyAlignment="1">
      <alignment horizontal="center" vertical="center"/>
    </xf>
    <xf numFmtId="49" fontId="9" fillId="7" borderId="3" xfId="0" applyNumberFormat="1" applyFont="1" applyFill="1" applyBorder="1">
      <alignment vertical="center"/>
    </xf>
    <xf numFmtId="49" fontId="9" fillId="7" borderId="8" xfId="0" applyNumberFormat="1" applyFont="1" applyFill="1" applyBorder="1">
      <alignment vertical="center"/>
    </xf>
    <xf numFmtId="49" fontId="9" fillId="7" borderId="12" xfId="0" applyNumberFormat="1" applyFont="1" applyFill="1" applyBorder="1">
      <alignment vertical="center"/>
    </xf>
    <xf numFmtId="49" fontId="9" fillId="8" borderId="14" xfId="0" applyNumberFormat="1" applyFont="1" applyFill="1" applyBorder="1">
      <alignment vertical="center"/>
    </xf>
    <xf numFmtId="0" fontId="9" fillId="8" borderId="16" xfId="0" applyFont="1" applyFill="1" applyBorder="1">
      <alignment vertical="center"/>
    </xf>
    <xf numFmtId="49" fontId="9" fillId="8" borderId="16" xfId="0" applyNumberFormat="1" applyFont="1" applyFill="1" applyBorder="1">
      <alignment vertical="center"/>
    </xf>
    <xf numFmtId="49" fontId="9" fillId="9" borderId="18" xfId="0" applyNumberFormat="1" applyFont="1" applyFill="1" applyBorder="1">
      <alignment vertical="center"/>
    </xf>
    <xf numFmtId="14" fontId="9" fillId="2" borderId="6" xfId="0" applyNumberFormat="1" applyFont="1" applyFill="1" applyBorder="1">
      <alignment vertical="center"/>
    </xf>
    <xf numFmtId="14" fontId="9" fillId="2" borderId="1" xfId="0" applyNumberFormat="1" applyFont="1" applyFill="1" applyBorder="1">
      <alignment vertical="center"/>
    </xf>
    <xf numFmtId="14" fontId="9" fillId="2" borderId="29" xfId="0" applyNumberFormat="1" applyFont="1" applyFill="1" applyBorder="1">
      <alignment vertical="center"/>
    </xf>
    <xf numFmtId="14" fontId="9" fillId="2" borderId="6" xfId="0" applyNumberFormat="1" applyFont="1" applyFill="1" applyBorder="1" applyAlignment="1">
      <alignment horizontal="center" vertical="center"/>
    </xf>
    <xf numFmtId="14" fontId="9" fillId="2" borderId="24" xfId="0" applyNumberFormat="1" applyFont="1" applyFill="1" applyBorder="1" applyAlignment="1">
      <alignment horizontal="center" vertical="center"/>
    </xf>
    <xf numFmtId="14" fontId="9" fillId="2" borderId="26" xfId="0" applyNumberFormat="1" applyFont="1" applyFill="1" applyBorder="1">
      <alignment vertical="center"/>
    </xf>
    <xf numFmtId="14" fontId="9" fillId="2" borderId="28" xfId="0" applyNumberFormat="1" applyFont="1" applyFill="1" applyBorder="1">
      <alignment vertical="center"/>
    </xf>
    <xf numFmtId="0" fontId="12" fillId="2" borderId="0" xfId="0" applyFont="1" applyFill="1">
      <alignment vertical="center"/>
    </xf>
    <xf numFmtId="21" fontId="3" fillId="2" borderId="0" xfId="0" applyNumberFormat="1" applyFont="1" applyFill="1">
      <alignment vertical="center"/>
    </xf>
    <xf numFmtId="14" fontId="3" fillId="2" borderId="0" xfId="0" applyNumberFormat="1" applyFont="1" applyFill="1">
      <alignment vertical="center"/>
    </xf>
    <xf numFmtId="0" fontId="13" fillId="2" borderId="0" xfId="0" applyFont="1" applyFill="1">
      <alignment vertical="center"/>
    </xf>
    <xf numFmtId="0" fontId="14" fillId="2" borderId="0" xfId="0" applyFont="1" applyFill="1">
      <alignment vertical="center"/>
    </xf>
    <xf numFmtId="0" fontId="15" fillId="2" borderId="0" xfId="0" applyFont="1" applyFill="1">
      <alignment vertical="center"/>
    </xf>
    <xf numFmtId="14" fontId="9" fillId="2" borderId="18" xfId="0" applyNumberFormat="1" applyFont="1" applyFill="1" applyBorder="1" applyAlignment="1">
      <alignment horizontal="center" vertical="center"/>
    </xf>
    <xf numFmtId="177" fontId="9" fillId="3" borderId="2" xfId="0" applyNumberFormat="1" applyFont="1" applyFill="1" applyBorder="1" applyAlignment="1">
      <alignment horizontal="center" vertical="center"/>
    </xf>
    <xf numFmtId="177" fontId="16" fillId="3" borderId="2" xfId="0" applyNumberFormat="1" applyFont="1" applyFill="1" applyBorder="1" applyAlignment="1">
      <alignment horizontal="center" vertical="center"/>
    </xf>
    <xf numFmtId="177" fontId="17" fillId="3" borderId="2" xfId="0" applyNumberFormat="1" applyFont="1" applyFill="1" applyBorder="1" applyAlignment="1">
      <alignment horizontal="center" vertical="center"/>
    </xf>
    <xf numFmtId="177" fontId="16" fillId="10" borderId="2" xfId="0" applyNumberFormat="1" applyFont="1" applyFill="1" applyBorder="1" applyAlignment="1" applyProtection="1">
      <alignment horizontal="center" vertical="center"/>
    </xf>
    <xf numFmtId="177" fontId="8" fillId="11" borderId="2" xfId="0" applyNumberFormat="1" applyFont="1" applyFill="1" applyBorder="1" applyAlignment="1">
      <alignment horizontal="center" vertical="center"/>
    </xf>
    <xf numFmtId="178" fontId="9" fillId="7" borderId="3" xfId="0" applyNumberFormat="1" applyFont="1" applyFill="1" applyBorder="1" applyAlignment="1">
      <alignment horizontal="right" vertical="center"/>
    </xf>
    <xf numFmtId="178" fontId="9" fillId="7" borderId="8" xfId="0" applyNumberFormat="1" applyFont="1" applyFill="1" applyBorder="1" applyAlignment="1">
      <alignment horizontal="right" vertical="center"/>
    </xf>
    <xf numFmtId="178" fontId="9" fillId="7" borderId="12" xfId="0" applyNumberFormat="1" applyFont="1" applyFill="1" applyBorder="1" applyAlignment="1">
      <alignment horizontal="right" vertical="center"/>
    </xf>
    <xf numFmtId="178" fontId="9" fillId="8" borderId="14" xfId="0" applyNumberFormat="1" applyFont="1" applyFill="1" applyBorder="1" applyAlignment="1">
      <alignment horizontal="right" vertical="center"/>
    </xf>
    <xf numFmtId="178" fontId="9" fillId="8" borderId="16" xfId="0" applyNumberFormat="1" applyFont="1" applyFill="1" applyBorder="1" applyAlignment="1">
      <alignment horizontal="right" vertical="center"/>
    </xf>
    <xf numFmtId="178" fontId="9" fillId="9" borderId="18" xfId="0" applyNumberFormat="1" applyFont="1" applyFill="1" applyBorder="1" applyAlignment="1">
      <alignment horizontal="right" vertical="center"/>
    </xf>
    <xf numFmtId="180" fontId="9" fillId="7" borderId="3" xfId="0" applyNumberFormat="1" applyFont="1" applyFill="1" applyBorder="1" applyAlignment="1">
      <alignment horizontal="right" vertical="center"/>
    </xf>
    <xf numFmtId="180" fontId="9" fillId="7" borderId="8" xfId="0" applyNumberFormat="1" applyFont="1" applyFill="1" applyBorder="1" applyAlignment="1">
      <alignment horizontal="right" vertical="center"/>
    </xf>
    <xf numFmtId="180" fontId="9" fillId="7" borderId="12" xfId="0" applyNumberFormat="1" applyFont="1" applyFill="1" applyBorder="1" applyAlignment="1">
      <alignment horizontal="right" vertical="center"/>
    </xf>
    <xf numFmtId="180" fontId="9" fillId="8" borderId="14" xfId="0" applyNumberFormat="1" applyFont="1" applyFill="1" applyBorder="1" applyAlignment="1">
      <alignment horizontal="right" vertical="center"/>
    </xf>
    <xf numFmtId="180" fontId="9" fillId="8" borderId="16" xfId="0" applyNumberFormat="1" applyFont="1" applyFill="1" applyBorder="1" applyAlignment="1">
      <alignment horizontal="right" vertical="center"/>
    </xf>
    <xf numFmtId="180" fontId="9" fillId="9" borderId="18" xfId="0" applyNumberFormat="1" applyFont="1" applyFill="1" applyBorder="1" applyAlignment="1">
      <alignment horizontal="right" vertical="center"/>
    </xf>
    <xf numFmtId="0" fontId="5" fillId="3" borderId="2" xfId="0" applyFont="1" applyFill="1" applyBorder="1" applyAlignment="1">
      <alignment horizontal="center" vertical="center"/>
    </xf>
    <xf numFmtId="0" fontId="0" fillId="2" borderId="0" xfId="0" applyFont="1" applyFill="1">
      <alignment vertical="center"/>
    </xf>
    <xf numFmtId="0" fontId="5" fillId="3" borderId="31" xfId="0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vertical="center"/>
    </xf>
    <xf numFmtId="0" fontId="9" fillId="0" borderId="0" xfId="0" applyFont="1" applyFill="1" applyBorder="1">
      <alignment vertical="center"/>
    </xf>
    <xf numFmtId="14" fontId="9" fillId="2" borderId="0" xfId="0" applyNumberFormat="1" applyFont="1" applyFill="1" applyBorder="1">
      <alignment vertical="center"/>
    </xf>
  </cellXfs>
  <cellStyles count="2">
    <cellStyle name="쉼표 [0]" xfId="1" builtinId="6"/>
    <cellStyle name="표준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>
          <bgColor theme="3"/>
        </patternFill>
      </fill>
    </dxf>
    <dxf>
      <fill>
        <patternFill>
          <bgColor theme="3" tint="0.79998168889431442"/>
        </patternFill>
      </fill>
    </dxf>
    <dxf>
      <font>
        <color theme="6" tint="0.59996337778862885"/>
      </font>
      <fill>
        <patternFill>
          <bgColor theme="6" tint="0.59996337778862885"/>
        </patternFill>
      </fill>
    </dxf>
    <dxf>
      <fill>
        <patternFill>
          <bgColor indexed="4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indexed="9"/>
        <name val="굴림"/>
        <family val="3"/>
        <charset val="129"/>
        <scheme val="none"/>
      </font>
      <fill>
        <patternFill patternType="solid">
          <fgColor indexed="64"/>
          <bgColor indexed="5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13"/>
        </left>
        <right style="thin">
          <color indexed="13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50"/>
        </left>
        <right style="thin">
          <color indexed="50"/>
        </right>
        <top style="thin">
          <color indexed="50"/>
        </top>
        <bottom style="thin">
          <color indexed="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50"/>
        </left>
        <right style="thin">
          <color indexed="50"/>
        </right>
        <top style="thin">
          <color indexed="50"/>
        </top>
        <bottom style="thin">
          <color indexed="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solid">
          <fgColor indexed="64"/>
          <bgColor indexed="4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50"/>
        </left>
        <right style="thin">
          <color indexed="50"/>
        </right>
        <top style="thin">
          <color indexed="50"/>
        </top>
        <bottom style="thin">
          <color indexed="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solid">
          <fgColor indexed="64"/>
          <bgColor indexed="4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50"/>
        </left>
        <right style="thin">
          <color indexed="50"/>
        </right>
        <top style="thin">
          <color indexed="50"/>
        </top>
        <bottom style="thin">
          <color indexed="5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굴림"/>
        <family val="3"/>
        <charset val="129"/>
        <scheme val="none"/>
      </font>
      <fill>
        <patternFill patternType="solid">
          <fgColor indexed="64"/>
          <bgColor indexed="5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52"/>
        </left>
        <right style="thin">
          <color indexed="52"/>
        </right>
        <top style="thin">
          <color indexed="52"/>
        </top>
        <bottom style="thin">
          <color indexed="52"/>
        </bottom>
        <vertical/>
        <horizontal/>
      </border>
    </dxf>
    <dxf>
      <border outline="0">
        <bottom style="thin">
          <color indexed="13"/>
        </bottom>
      </border>
    </dxf>
    <dxf>
      <border outline="0">
        <top style="thin">
          <color indexed="13"/>
        </top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E4DFEC"/>
      <rgbColor rgb="007391A8"/>
      <rgbColor rgb="00FF00FF"/>
      <rgbColor rgb="0000FFFF"/>
      <rgbColor rgb="00800000"/>
      <rgbColor rgb="00EBF1DE"/>
      <rgbColor rgb="008064A2"/>
      <rgbColor rgb="00CEE2F2"/>
      <rgbColor rgb="00800080"/>
      <rgbColor rgb="00DAEEF3"/>
      <rgbColor rgb="00C0C0C0"/>
      <rgbColor rgb="00808080"/>
      <rgbColor rgb="00A9BBD3"/>
      <rgbColor rgb="00993366"/>
      <rgbColor rgb="00FFFFCC"/>
      <rgbColor rgb="00CCFFFF"/>
      <rgbColor rgb="00660066"/>
      <rgbColor rgb="00FF8080"/>
      <rgbColor rgb="000066CC"/>
      <rgbColor rgb="00B7C6D2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DDDDDD"/>
      <rgbColor rgb="00D6EEFA"/>
      <rgbColor rgb="00CCFFCC"/>
      <rgbColor rgb="00FFFF99"/>
      <rgbColor rgb="00A9BBD3"/>
      <rgbColor rgb="00FF99CC"/>
      <rgbColor rgb="00CC99FF"/>
      <rgbColor rgb="00FFCC99"/>
      <rgbColor rgb="00B1A0C7"/>
      <rgbColor rgb="0092CDDC"/>
      <rgbColor rgb="00B7C6D2"/>
      <rgbColor rgb="00FFCC00"/>
      <rgbColor rgb="00E7BCBB"/>
      <rgbColor rgb="00F7EAE9"/>
      <rgbColor rgb="00A9BBD3"/>
      <rgbColor rgb="00969696"/>
      <rgbColor rgb="004BACC6"/>
      <rgbColor rgb="00C4D79B"/>
      <rgbColor rgb="009BBB59"/>
      <rgbColor rgb="002E6AB8"/>
      <rgbColor rgb="00C0504D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infomax.xlrtd">
      <tp>
        <v>0</v>
        <stp/>
        <stp>H</stp>
        <stp>x1.5biA</stp>
        <stp>651</stp>
        <stp>672884</stp>
        <tr r="A14" s="4"/>
      </tp>
      <tp>
        <v>10137.35</v>
        <stp/>
        <stp>P</stp>
        <stp>0</stp>
        <stp>FRN</stp>
        <stp>LNS:FTSE100</stp>
        <stp>고가</stp>
        <stp>46036</stp>
        <stp/>
        <tr r="G36" s="1"/>
      </tp>
      <tp>
        <v>10137.35</v>
        <stp/>
        <stp>P</stp>
        <stp>0</stp>
        <stp>FRN</stp>
        <stp>LNS:FTSE100</stp>
        <stp>종가</stp>
        <stp>46036</stp>
        <stp/>
        <tr r="I36" s="1"/>
      </tp>
      <tp>
        <v>10137.35</v>
        <stp/>
        <stp>P</stp>
        <stp>0</stp>
        <stp>FRN</stp>
        <stp>LNS:FTSE100</stp>
        <stp>저가</stp>
        <stp>46036</stp>
        <stp/>
        <tr r="H36" s="1"/>
      </tp>
      <tp>
        <v>10137.35</v>
        <stp/>
        <stp>P</stp>
        <stp>0</stp>
        <stp>FRN</stp>
        <stp>LNS:FTSE100</stp>
        <stp>시가</stp>
        <stp>46036</stp>
        <stp/>
        <tr r="F36" s="1"/>
      </tp>
      <tp>
        <v>2437.34</v>
        <stp/>
        <stp>P</stp>
        <stp>0</stp>
        <stp>FRN</stp>
        <stp>FTS:E3X</stp>
        <stp>시가</stp>
        <stp>46036</stp>
        <stp/>
        <tr r="F54" s="1"/>
      </tp>
      <tp>
        <v>2435.83</v>
        <stp/>
        <stp>P</stp>
        <stp>0</stp>
        <stp>FRN</stp>
        <stp>FTS:E3X</stp>
        <stp>종가</stp>
        <stp>46036</stp>
        <stp/>
        <tr r="I54" s="1"/>
      </tp>
      <tp>
        <v>2429.79</v>
        <stp/>
        <stp>P</stp>
        <stp>0</stp>
        <stp>FRN</stp>
        <stp>FTS:E3X</stp>
        <stp>저가</stp>
        <stp>46036</stp>
        <stp/>
        <tr r="H54" s="1"/>
      </tp>
      <tp>
        <v>2440.92</v>
        <stp/>
        <stp>P</stp>
        <stp>0</stp>
        <stp>FRN</stp>
        <stp>FTS:E3X</stp>
        <stp>고가</stp>
        <stp>46036</stp>
        <stp/>
        <tr r="G54" s="1"/>
      </tp>
      <tp>
        <v>0</v>
        <stp/>
        <stp>H</stp>
        <stp>x1.LYgA</stp>
        <stp>73</stp>
        <stp>672884</stp>
        <tr r="M3" s="1"/>
      </tp>
      <tp>
        <v>0</v>
        <stp/>
        <stp>P</stp>
        <stp>0</stp>
        <stp>FRN</stp>
        <stp>MXI:IPC</stp>
        <stp>시가</stp>
        <stp>46036</stp>
        <stp/>
        <tr r="F63" s="1"/>
      </tp>
      <tp>
        <v>66745.61</v>
        <stp/>
        <stp>P</stp>
        <stp>0</stp>
        <stp>FRN</stp>
        <stp>MXI:IPC</stp>
        <stp>종가</stp>
        <stp>46036</stp>
        <stp/>
        <tr r="I63" s="1"/>
      </tp>
      <tp>
        <v>0</v>
        <stp/>
        <stp>P</stp>
        <stp>0</stp>
        <stp>FRN</stp>
        <stp>MXI:IPC</stp>
        <stp>저가</stp>
        <stp>46036</stp>
        <stp/>
        <tr r="H63" s="1"/>
      </tp>
      <tp>
        <v>0</v>
        <stp/>
        <stp>P</stp>
        <stp>0</stp>
        <stp>FRN</stp>
        <stp>MXI:IPC</stp>
        <stp>고가</stp>
        <stp>46036</stp>
        <stp/>
        <tr r="G63" s="1"/>
      </tp>
      <tp>
        <v>6178.11</v>
        <stp/>
        <stp>P</stp>
        <stp>0</stp>
        <stp>FRN</stp>
        <stp>OMI:MSMI</stp>
        <stp>고가</stp>
        <stp>46036</stp>
        <stp/>
        <tr r="G21" s="1"/>
      </tp>
      <tp>
        <v>1077.44</v>
        <stp/>
        <stp>P</stp>
        <stp>0</stp>
        <stp>FRN</stp>
        <stp>RUI:RTSI</stp>
        <stp>고가</stp>
        <stp>46036</stp>
        <stp/>
        <tr r="G28" s="1"/>
      </tp>
      <tp>
        <v>10893.63</v>
        <stp/>
        <stp>P</stp>
        <stp>0</stp>
        <stp>FRN</stp>
        <stp>SAI:TASI</stp>
        <stp>고가</stp>
        <stp>46036</stp>
        <stp/>
        <tr r="G26" s="1"/>
      </tp>
      <tp>
        <v>121794.45</v>
        <stp/>
        <stp>P</stp>
        <stp>0</stp>
        <stp>FRN</stp>
        <stp>PLI:WIGI</stp>
        <stp>고가</stp>
        <stp>46036</stp>
        <stp/>
        <tr r="G42" s="1"/>
      </tp>
      <tp>
        <v>13364.73</v>
        <stp/>
        <stp>P</stp>
        <stp>0</stp>
        <stp>FRN</stp>
        <stp>CHI:SSMI</stp>
        <stp>고가</stp>
        <stp>46036</stp>
        <stp/>
        <tr r="G34" s="1"/>
      </tp>
      <tp>
        <v>83358.539999999994</v>
        <stp/>
        <stp>P</stp>
        <stp>0</stp>
        <stp>FRN</stp>
        <stp>INI:BSE30</stp>
        <stp>시가</stp>
        <stp>46036</stp>
        <stp/>
        <tr r="F18" s="1"/>
      </tp>
      <tp>
        <v>83523.649999999994</v>
        <stp/>
        <stp>P</stp>
        <stp>0</stp>
        <stp>FRN</stp>
        <stp>INI:BSE30</stp>
        <stp>종가</stp>
        <stp>46036</stp>
        <stp/>
        <tr r="I18" s="1"/>
      </tp>
      <tp>
        <v>83288.13</v>
        <stp/>
        <stp>P</stp>
        <stp>0</stp>
        <stp>FRN</stp>
        <stp>INI:BSE30</stp>
        <stp>저가</stp>
        <stp>46036</stp>
        <stp/>
        <tr r="H18" s="1"/>
      </tp>
      <tp>
        <v>121794.45</v>
        <stp/>
        <stp>P</stp>
        <stp>0</stp>
        <stp>FRN</stp>
        <stp>PLI:WIGI</stp>
        <stp>종가</stp>
        <stp>46036</stp>
        <stp/>
        <tr r="I42" s="1"/>
      </tp>
      <tp>
        <v>10893.63</v>
        <stp/>
        <stp>P</stp>
        <stp>0</stp>
        <stp>FRN</stp>
        <stp>SAI:TASI</stp>
        <stp>종가</stp>
        <stp>46036</stp>
        <stp/>
        <tr r="I26" s="1"/>
      </tp>
      <tp>
        <v>10893.63</v>
        <stp/>
        <stp>P</stp>
        <stp>0</stp>
        <stp>FRN</stp>
        <stp>SAI:TASI</stp>
        <stp>저가</stp>
        <stp>46036</stp>
        <stp/>
        <tr r="H26" s="1"/>
      </tp>
      <tp>
        <v>121794.45</v>
        <stp/>
        <stp>P</stp>
        <stp>0</stp>
        <stp>FRN</stp>
        <stp>PLI:WIGI</stp>
        <stp>저가</stp>
        <stp>46036</stp>
        <stp/>
        <tr r="H42" s="1"/>
      </tp>
      <tp>
        <v>6178.11</v>
        <stp/>
        <stp>P</stp>
        <stp>0</stp>
        <stp>FRN</stp>
        <stp>OMI:MSMI</stp>
        <stp>종가</stp>
        <stp>46036</stp>
        <stp/>
        <tr r="I21" s="1"/>
      </tp>
      <tp>
        <v>6178.11</v>
        <stp/>
        <stp>P</stp>
        <stp>0</stp>
        <stp>FRN</stp>
        <stp>OMI:MSMI</stp>
        <stp>저가</stp>
        <stp>46036</stp>
        <stp/>
        <tr r="H21" s="1"/>
      </tp>
      <tp>
        <v>1077.44</v>
        <stp/>
        <stp>P</stp>
        <stp>0</stp>
        <stp>FRN</stp>
        <stp>RUI:RTSI</stp>
        <stp>종가</stp>
        <stp>46036</stp>
        <stp/>
        <tr r="I28" s="1"/>
      </tp>
      <tp>
        <v>1077.44</v>
        <stp/>
        <stp>P</stp>
        <stp>0</stp>
        <stp>FRN</stp>
        <stp>RUI:RTSI</stp>
        <stp>저가</stp>
        <stp>46036</stp>
        <stp/>
        <tr r="H28" s="1"/>
      </tp>
      <tp>
        <v>121794.45</v>
        <stp/>
        <stp>P</stp>
        <stp>0</stp>
        <stp>FRN</stp>
        <stp>PLI:WIGI</stp>
        <stp>시가</stp>
        <stp>46036</stp>
        <stp/>
        <tr r="F42" s="1"/>
      </tp>
      <tp>
        <v>10893.63</v>
        <stp/>
        <stp>P</stp>
        <stp>0</stp>
        <stp>FRN</stp>
        <stp>SAI:TASI</stp>
        <stp>시가</stp>
        <stp>46036</stp>
        <stp/>
        <tr r="F26" s="1"/>
      </tp>
      <tp>
        <v>1077.44</v>
        <stp/>
        <stp>P</stp>
        <stp>0</stp>
        <stp>FRN</stp>
        <stp>RUI:RTSI</stp>
        <stp>시가</stp>
        <stp>46036</stp>
        <stp/>
        <tr r="F28" s="1"/>
      </tp>
      <tp>
        <v>6178.11</v>
        <stp/>
        <stp>P</stp>
        <stp>0</stp>
        <stp>FRN</stp>
        <stp>OMI:MSMI</stp>
        <stp>시가</stp>
        <stp>46036</stp>
        <stp/>
        <tr r="F21" s="1"/>
      </tp>
      <tp>
        <v>13364.73</v>
        <stp/>
        <stp>P</stp>
        <stp>0</stp>
        <stp>FRN</stp>
        <stp>CHI:SSMI</stp>
        <stp>종가</stp>
        <stp>46036</stp>
        <stp/>
        <tr r="I34" s="1"/>
      </tp>
      <tp>
        <v>13364.73</v>
        <stp/>
        <stp>P</stp>
        <stp>0</stp>
        <stp>FRN</stp>
        <stp>CHI:SSMI</stp>
        <stp>저가</stp>
        <stp>46036</stp>
        <stp/>
        <tr r="H34" s="1"/>
      </tp>
      <tp>
        <v>83715.929999999993</v>
        <stp/>
        <stp>P</stp>
        <stp>0</stp>
        <stp>FRN</stp>
        <stp>INI:BSE30</stp>
        <stp>고가</stp>
        <stp>46036</stp>
        <stp/>
        <tr r="G18" s="1"/>
      </tp>
      <tp>
        <v>13364.73</v>
        <stp/>
        <stp>P</stp>
        <stp>0</stp>
        <stp>FRN</stp>
        <stp>CHI:SSMI</stp>
        <stp>시가</stp>
        <stp>46036</stp>
        <stp/>
        <tr r="F34" s="1"/>
      </tp>
      <tp>
        <v>2206.3000000000002</v>
        <stp/>
        <stp>P</stp>
        <stp>0</stp>
        <stp>FRN</stp>
        <stp>GRI:ASE</stp>
        <stp>시가</stp>
        <stp>46036</stp>
        <stp/>
        <tr r="F40" s="1"/>
      </tp>
      <tp>
        <v>2206.3000000000002</v>
        <stp/>
        <stp>P</stp>
        <stp>0</stp>
        <stp>FRN</stp>
        <stp>GRI:ASE</stp>
        <stp>종가</stp>
        <stp>46036</stp>
        <stp/>
        <tr r="I40" s="1"/>
      </tp>
      <tp>
        <v>2206.3000000000002</v>
        <stp/>
        <stp>P</stp>
        <stp>0</stp>
        <stp>FRN</stp>
        <stp>GRI:ASE</stp>
        <stp>저가</stp>
        <stp>46036</stp>
        <stp/>
        <tr r="H40" s="1"/>
      </tp>
      <tp>
        <v>2206.3000000000002</v>
        <stp/>
        <stp>P</stp>
        <stp>0</stp>
        <stp>FRN</stp>
        <stp>GRI:ASE</stp>
        <stp>고가</stp>
        <stp>46036</stp>
        <stp/>
        <tr r="G40" s="1"/>
      </tp>
      <tp>
        <v>8559.09</v>
        <stp/>
        <stp>P</stp>
        <stp>0</stp>
        <stp>FRN</stp>
        <stp>PTI:PSI20</stp>
        <stp>종가</stp>
        <stp>46036</stp>
        <stp/>
        <tr r="I43" s="1"/>
      </tp>
      <tp>
        <v>8559.09</v>
        <stp/>
        <stp>P</stp>
        <stp>0</stp>
        <stp>FRN</stp>
        <stp>PTI:PSI20</stp>
        <stp>저가</stp>
        <stp>46036</stp>
        <stp/>
        <tr r="H43" s="1"/>
      </tp>
      <tp>
        <v>8559.09</v>
        <stp/>
        <stp>P</stp>
        <stp>0</stp>
        <stp>FRN</stp>
        <stp>PTI:PSI20</stp>
        <stp>시가</stp>
        <stp>46036</stp>
        <stp/>
        <tr r="F43" s="1"/>
      </tp>
      <tp>
        <v>2677.69</v>
        <stp/>
        <stp>P</stp>
        <stp>0</stp>
        <stp>FRN</stp>
        <stp>SZS:399106</stp>
        <stp>시가</stp>
        <stp>46036</stp>
        <stp/>
        <tr r="F12" s="1"/>
      </tp>
      <tp>
        <v>2733.02</v>
        <stp/>
        <stp>P</stp>
        <stp>0</stp>
        <stp>FRN</stp>
        <stp>SZS:399106</stp>
        <stp>종가</stp>
        <stp>46036</stp>
        <stp/>
        <tr r="I12" s="1"/>
      </tp>
      <tp>
        <v>2677.69</v>
        <stp/>
        <stp>P</stp>
        <stp>0</stp>
        <stp>FRN</stp>
        <stp>SZS:399106</stp>
        <stp>저가</stp>
        <stp>46036</stp>
        <stp/>
        <tr r="H12" s="1"/>
      </tp>
      <tp>
        <v>2733.18</v>
        <stp/>
        <stp>P</stp>
        <stp>0</stp>
        <stp>FRN</stp>
        <stp>SZS:399106</stp>
        <stp>고가</stp>
        <stp>46036</stp>
        <stp/>
        <tr r="G12" s="1"/>
      </tp>
      <tp>
        <v>8559.09</v>
        <stp/>
        <stp>P</stp>
        <stp>0</stp>
        <stp>FRN</stp>
        <stp>PTI:PSI20</stp>
        <stp>고가</stp>
        <stp>46036</stp>
        <stp/>
        <tr r="G43" s="1"/>
      </tp>
      <tp>
        <v>23813.3</v>
        <stp/>
        <stp>P</stp>
        <stp>0</stp>
        <stp>FRN</stp>
        <stp>NAS:IXIC</stp>
        <stp>고가</stp>
        <stp>46036</stp>
        <stp/>
        <tr r="G61" s="1"/>
      </tp>
      <tp>
        <v>2213.35</v>
        <stp/>
        <stp>P</stp>
        <stp>0</stp>
        <stp>FRN</stp>
        <stp>COI:IGBC</stp>
        <stp>고가</stp>
        <stp>46036</stp>
        <stp/>
        <tr r="G65" s="1"/>
      </tp>
      <tp>
        <v>23709.87</v>
        <stp/>
        <stp>P</stp>
        <stp>0</stp>
        <stp>FRN</stp>
        <stp>NAS:IXIC</stp>
        <stp>종가</stp>
        <stp>46036</stp>
        <stp/>
        <tr r="I61" s="1"/>
      </tp>
      <tp>
        <v>23607.59</v>
        <stp/>
        <stp>P</stp>
        <stp>0</stp>
        <stp>FRN</stp>
        <stp>NAS:IXIC</stp>
        <stp>저가</stp>
        <stp>46036</stp>
        <stp/>
        <tr r="H61" s="1"/>
      </tp>
      <tp>
        <v>2188.7399999999998</v>
        <stp/>
        <stp>P</stp>
        <stp>0</stp>
        <stp>FRN</stp>
        <stp>COI:IGBC</stp>
        <stp>시가</stp>
        <stp>46036</stp>
        <stp/>
        <tr r="F65" s="1"/>
      </tp>
      <tp>
        <v>23735.119999999999</v>
        <stp/>
        <stp>P</stp>
        <stp>0</stp>
        <stp>FRN</stp>
        <stp>NAS:IXIC</stp>
        <stp>시가</stp>
        <stp>46036</stp>
        <stp/>
        <tr r="F61" s="1"/>
      </tp>
      <tp>
        <v>2213.35</v>
        <stp/>
        <stp>P</stp>
        <stp>0</stp>
        <stp>FRN</stp>
        <stp>COI:IGBC</stp>
        <stp>종가</stp>
        <stp>46036</stp>
        <stp/>
        <tr r="I65" s="1"/>
      </tp>
      <tp>
        <v>2181.5</v>
        <stp/>
        <stp>P</stp>
        <stp>0</stp>
        <stp>FRN</stp>
        <stp>COI:IGBC</stp>
        <stp>저가</stp>
        <stp>46036</stp>
        <stp/>
        <tr r="H65" s="1"/>
      </tp>
      <tp>
        <v>55577.79</v>
        <stp/>
        <stp>P</stp>
        <stp>0</stp>
        <stp>FRN</stp>
        <stp>CLI:IGPA</stp>
        <stp>고가</stp>
        <stp>46036</stp>
        <stp/>
        <tr r="G55" s="1"/>
      </tp>
      <tp>
        <v>3555.87</v>
        <stp/>
        <stp>P</stp>
        <stp>0</stp>
        <stp>FRN</stp>
        <stp>JOI:FTI</stp>
        <stp>시가</stp>
        <stp>46036</stp>
        <stp/>
        <tr r="F25" s="1"/>
      </tp>
      <tp>
        <v>4800.99</v>
        <stp/>
        <stp>P</stp>
        <stp>0</stp>
        <stp>FRN</stp>
        <stp>SGI:STI</stp>
        <stp>시가</stp>
        <stp>46036</stp>
        <stp/>
        <tr r="F8" s="1"/>
      </tp>
      <tp>
        <v>49616.95</v>
        <stp/>
        <stp>P</stp>
        <stp>0</stp>
        <stp>FRN</stp>
        <stp>DJI:DJI</stp>
        <stp>시가</stp>
        <stp>46036</stp>
        <stp/>
        <tr r="F60" s="1"/>
      </tp>
      <tp>
        <v>26971.97</v>
        <stp/>
        <stp>P</stp>
        <stp>0</stp>
        <stp>FRN</stp>
        <stp>HSI:HSI</stp>
        <stp>시가</stp>
        <stp>46036</stp>
        <stp/>
        <tr r="F14" s="1"/>
      </tp>
      <tp>
        <v>4806.2700000000004</v>
        <stp/>
        <stp>P</stp>
        <stp>0</stp>
        <stp>FRN</stp>
        <stp>SGI:STI</stp>
        <stp>종가</stp>
        <stp>46036</stp>
        <stp/>
        <tr r="I8" s="1"/>
      </tp>
      <tp>
        <v>49191.99</v>
        <stp/>
        <stp>P</stp>
        <stp>0</stp>
        <stp>FRN</stp>
        <stp>DJI:DJI</stp>
        <stp>종가</stp>
        <stp>46036</stp>
        <stp/>
        <tr r="I60" s="1"/>
      </tp>
      <tp>
        <v>27092.98</v>
        <stp/>
        <stp>P</stp>
        <stp>0</stp>
        <stp>FRN</stp>
        <stp>HSI:HSI</stp>
        <stp>종가</stp>
        <stp>46036</stp>
        <stp/>
        <tr r="I14" s="1"/>
      </tp>
      <tp>
        <v>3555.87</v>
        <stp/>
        <stp>P</stp>
        <stp>0</stp>
        <stp>FRN</stp>
        <stp>JOI:FTI</stp>
        <stp>종가</stp>
        <stp>46036</stp>
        <stp/>
        <tr r="I25" s="1"/>
      </tp>
      <tp>
        <v>4786.42</v>
        <stp/>
        <stp>P</stp>
        <stp>0</stp>
        <stp>FRN</stp>
        <stp>SGI:STI</stp>
        <stp>저가</stp>
        <stp>46036</stp>
        <stp/>
        <tr r="H8" s="1"/>
      </tp>
      <tp>
        <v>49056.31</v>
        <stp/>
        <stp>P</stp>
        <stp>0</stp>
        <stp>FRN</stp>
        <stp>DJI:DJI</stp>
        <stp>저가</stp>
        <stp>46036</stp>
        <stp/>
        <tr r="H60" s="1"/>
      </tp>
      <tp>
        <v>26852.57</v>
        <stp/>
        <stp>P</stp>
        <stp>0</stp>
        <stp>FRN</stp>
        <stp>HSI:HSI</stp>
        <stp>저가</stp>
        <stp>46036</stp>
        <stp/>
        <tr r="H14" s="1"/>
      </tp>
      <tp>
        <v>3555.87</v>
        <stp/>
        <stp>P</stp>
        <stp>0</stp>
        <stp>FRN</stp>
        <stp>JOI:FTI</stp>
        <stp>저가</stp>
        <stp>46036</stp>
        <stp/>
        <tr r="H25" s="1"/>
      </tp>
      <tp>
        <v>55577.79</v>
        <stp/>
        <stp>P</stp>
        <stp>0</stp>
        <stp>FRN</stp>
        <stp>CLI:IGPA</stp>
        <stp>시가</stp>
        <stp>46036</stp>
        <stp/>
        <tr r="F55" s="1"/>
      </tp>
      <tp>
        <v>55577.79</v>
        <stp/>
        <stp>P</stp>
        <stp>0</stp>
        <stp>FRN</stp>
        <stp>CLI:IGPA</stp>
        <stp>종가</stp>
        <stp>46036</stp>
        <stp/>
        <tr r="I55" s="1"/>
      </tp>
      <tp>
        <v>55577.79</v>
        <stp/>
        <stp>P</stp>
        <stp>0</stp>
        <stp>FRN</stp>
        <stp>CLI:IGPA</stp>
        <stp>저가</stp>
        <stp>46036</stp>
        <stp/>
        <tr r="H55" s="1"/>
      </tp>
      <tp>
        <v>4807.07</v>
        <stp/>
        <stp>P</stp>
        <stp>0</stp>
        <stp>FRN</stp>
        <stp>SGI:STI</stp>
        <stp>고가</stp>
        <stp>46036</stp>
        <stp/>
        <tr r="G8" s="1"/>
      </tp>
      <tp>
        <v>49616.95</v>
        <stp/>
        <stp>P</stp>
        <stp>0</stp>
        <stp>FRN</stp>
        <stp>DJI:DJI</stp>
        <stp>고가</stp>
        <stp>46036</stp>
        <stp/>
        <tr r="G60" s="1"/>
      </tp>
      <tp>
        <v>27097.72</v>
        <stp/>
        <stp>P</stp>
        <stp>0</stp>
        <stp>FRN</stp>
        <stp>HSI:HSI</stp>
        <stp>고가</stp>
        <stp>46036</stp>
        <stp/>
        <tr r="G14" s="1"/>
      </tp>
      <tp>
        <v>3555.87</v>
        <stp/>
        <stp>P</stp>
        <stp>0</stp>
        <stp>FRN</stp>
        <stp>JOI:FTI</stp>
        <stp>고가</stp>
        <stp>46036</stp>
        <stp/>
        <tr r="G25" s="1"/>
      </tp>
      <tp>
        <v>54179.59</v>
        <stp/>
        <stp>P</stp>
        <stp>0</stp>
        <stp>FRN</stp>
        <stp>NII:NI225</stp>
        <stp>종가</stp>
        <stp>46036</stp>
        <stp/>
        <tr r="I6" s="1"/>
      </tp>
      <tp>
        <v>53792.68</v>
        <stp/>
        <stp>P</stp>
        <stp>0</stp>
        <stp>FRN</stp>
        <stp>NII:NI225</stp>
        <stp>저가</stp>
        <stp>46036</stp>
        <stp/>
        <tr r="H6" s="1"/>
      </tp>
      <tp>
        <v>53827.24</v>
        <stp/>
        <stp>P</stp>
        <stp>0</stp>
        <stp>FRN</stp>
        <stp>NII:NI225</stp>
        <stp>시가</stp>
        <stp>46036</stp>
        <stp/>
        <tr r="F6" s="1"/>
      </tp>
      <tp>
        <v>6009.58</v>
        <stp/>
        <stp>P</stp>
        <stp>0</stp>
        <stp>FRN</stp>
        <stp>VEI:INDG</stp>
        <stp>고가</stp>
        <stp>46036</stp>
        <stp/>
        <tr r="G64" s="1"/>
      </tp>
      <tp>
        <v>54487.32</v>
        <stp/>
        <stp>P</stp>
        <stp>0</stp>
        <stp>FRN</stp>
        <stp>NII:NI225</stp>
        <stp>고가</stp>
        <stp>46036</stp>
        <stp/>
        <tr r="G6" s="1"/>
      </tp>
      <tp>
        <v>6009.58</v>
        <stp/>
        <stp>P</stp>
        <stp>0</stp>
        <stp>FRN</stp>
        <stp>VEI:INDG</stp>
        <stp>시가</stp>
        <stp>46036</stp>
        <stp/>
        <tr r="F64" s="1"/>
      </tp>
      <tp>
        <v>6009.58</v>
        <stp/>
        <stp>P</stp>
        <stp>0</stp>
        <stp>FRN</stp>
        <stp>VEI:INDG</stp>
        <stp>종가</stp>
        <stp>46036</stp>
        <stp/>
        <tr r="I64" s="1"/>
      </tp>
      <tp>
        <v>6009.58</v>
        <stp/>
        <stp>P</stp>
        <stp>0</stp>
        <stp>FRN</stp>
        <stp>VEI:INDG</stp>
        <stp>저가</stp>
        <stp>46036</stp>
        <stp/>
        <tr r="H64" s="1"/>
      </tp>
      <tp>
        <v>9185.5</v>
        <stp/>
        <stp>P</stp>
        <stp>0</stp>
        <stp>FRN</stp>
        <stp>AUI:AORD</stp>
        <stp>고가</stp>
        <stp>46036</stp>
        <stp/>
        <tr r="G5" s="1"/>
      </tp>
      <tp>
        <v>9138.49</v>
        <stp/>
        <stp>P</stp>
        <stp>0</stp>
        <stp>FRN</stp>
        <stp>AUI:AORD</stp>
        <stp>종가</stp>
        <stp>46036</stp>
        <stp/>
        <tr r="I5" s="1"/>
      </tp>
      <tp>
        <v>9118.7000000000007</v>
        <stp/>
        <stp>P</stp>
        <stp>0</stp>
        <stp>FRN</stp>
        <stp>AUI:AORD</stp>
        <stp>저가</stp>
        <stp>46036</stp>
        <stp/>
        <tr r="H5" s="1"/>
      </tp>
      <tp>
        <v>9127.6</v>
        <stp/>
        <stp>P</stp>
        <stp>0</stp>
        <stp>FRN</stp>
        <stp>AUI:AORD</stp>
        <stp>시가</stp>
        <stp>46036</stp>
        <stp/>
        <tr r="F5" s="1"/>
      </tp>
      <tp>
        <v>9038.81</v>
        <stp/>
        <stp>P</stp>
        <stp>0</stp>
        <stp>FRN</stp>
        <stp>IDI:JKSE</stp>
        <stp>고가</stp>
        <stp>46036</stp>
        <stp/>
        <tr r="G16" s="1"/>
      </tp>
      <tp>
        <v>9370.33</v>
        <stp/>
        <stp>P</stp>
        <stp>0</stp>
        <stp>FRN</stp>
        <stp>HSI:HSCE</stp>
        <stp>고가</stp>
        <stp>46036</stp>
        <stp/>
        <tr r="G15" s="1"/>
      </tp>
      <tp>
        <v>1711.66</v>
        <stp/>
        <stp>P</stp>
        <stp>0</stp>
        <stp>FRN</stp>
        <stp>MYI:KLSE</stp>
        <stp>고가</stp>
        <stp>46036</stp>
        <stp/>
        <tr r="G9" s="1"/>
      </tp>
      <tp>
        <v>6319.3</v>
        <stp/>
        <stp>P</stp>
        <stp>0</stp>
        <stp>FRN</stp>
        <stp>AEI:DFM</stp>
        <stp>시가</stp>
        <stp>46036</stp>
        <stp/>
        <tr r="F22" s="1"/>
      </tp>
      <tp>
        <v>6029.83</v>
        <stp/>
        <stp>P</stp>
        <stp>0</stp>
        <stp>FRN</stp>
        <stp>DJI:SX5E</stp>
        <stp>고가</stp>
        <stp>46036</stp>
        <stp/>
        <tr r="G53" s="1"/>
      </tp>
      <tp>
        <v>6319.3</v>
        <stp/>
        <stp>P</stp>
        <stp>0</stp>
        <stp>FRN</stp>
        <stp>AEI:DFM</stp>
        <stp>종가</stp>
        <stp>46036</stp>
        <stp/>
        <tr r="I22" s="1"/>
      </tp>
      <tp>
        <v>6319.3</v>
        <stp/>
        <stp>P</stp>
        <stp>0</stp>
        <stp>FRN</stp>
        <stp>AEI:DFM</stp>
        <stp>저가</stp>
        <stp>46036</stp>
        <stp/>
        <tr r="H22" s="1"/>
      </tp>
      <tp>
        <v>1707.22</v>
        <stp/>
        <stp>P</stp>
        <stp>0</stp>
        <stp>FRN</stp>
        <stp>MYI:KLSE</stp>
        <stp>종가</stp>
        <stp>46036</stp>
        <stp/>
        <tr r="I9" s="1"/>
      </tp>
      <tp>
        <v>1704.03</v>
        <stp/>
        <stp>P</stp>
        <stp>0</stp>
        <stp>FRN</stp>
        <stp>MYI:KLSE</stp>
        <stp>저가</stp>
        <stp>46036</stp>
        <stp/>
        <tr r="H9" s="1"/>
      </tp>
      <tp>
        <v>9025.76</v>
        <stp/>
        <stp>P</stp>
        <stp>0</stp>
        <stp>FRN</stp>
        <stp>IDI:JKSE</stp>
        <stp>종가</stp>
        <stp>46036</stp>
        <stp/>
        <tr r="I16" s="1"/>
      </tp>
      <tp>
        <v>8979.6</v>
        <stp/>
        <stp>P</stp>
        <stp>0</stp>
        <stp>FRN</stp>
        <stp>IDI:JKSE</stp>
        <stp>저가</stp>
        <stp>46036</stp>
        <stp/>
        <tr r="H16" s="1"/>
      </tp>
      <tp>
        <v>9367.2800000000007</v>
        <stp/>
        <stp>P</stp>
        <stp>0</stp>
        <stp>FRN</stp>
        <stp>HSI:HSCE</stp>
        <stp>종가</stp>
        <stp>46036</stp>
        <stp/>
        <tr r="I15" s="1"/>
      </tp>
      <tp>
        <v>9272.24</v>
        <stp/>
        <stp>P</stp>
        <stp>0</stp>
        <stp>FRN</stp>
        <stp>HSI:HSCE</stp>
        <stp>저가</stp>
        <stp>46036</stp>
        <stp/>
        <tr r="H15" s="1"/>
      </tp>
      <tp>
        <v>1705.88</v>
        <stp/>
        <stp>P</stp>
        <stp>0</stp>
        <stp>FRN</stp>
        <stp>MYI:KLSE</stp>
        <stp>시가</stp>
        <stp>46036</stp>
        <stp/>
        <tr r="F9" s="1"/>
      </tp>
      <tp>
        <v>9328.0499999999993</v>
        <stp/>
        <stp>P</stp>
        <stp>0</stp>
        <stp>FRN</stp>
        <stp>HSI:HSCE</stp>
        <stp>시가</stp>
        <stp>46036</stp>
        <stp/>
        <tr r="F15" s="1"/>
      </tp>
      <tp>
        <v>9007.0499999999993</v>
        <stp/>
        <stp>P</stp>
        <stp>0</stp>
        <stp>FRN</stp>
        <stp>IDI:JKSE</stp>
        <stp>시가</stp>
        <stp>46036</stp>
        <stp/>
        <tr r="F16" s="1"/>
      </tp>
      <tp>
        <v>6029.83</v>
        <stp/>
        <stp>P</stp>
        <stp>0</stp>
        <stp>FRN</stp>
        <stp>DJI:SX5E</stp>
        <stp>종가</stp>
        <stp>46036</stp>
        <stp/>
        <tr r="I53" s="1"/>
      </tp>
      <tp>
        <v>6029.83</v>
        <stp/>
        <stp>P</stp>
        <stp>0</stp>
        <stp>FRN</stp>
        <stp>DJI:SX5E</stp>
        <stp>저가</stp>
        <stp>46036</stp>
        <stp/>
        <tr r="H53" s="1"/>
      </tp>
      <tp>
        <v>6029.83</v>
        <stp/>
        <stp>P</stp>
        <stp>0</stp>
        <stp>FRN</stp>
        <stp>DJI:SX5E</stp>
        <stp>시가</stp>
        <stp>46036</stp>
        <stp/>
        <tr r="F53" s="1"/>
      </tp>
      <tp>
        <v>6319.3</v>
        <stp/>
        <stp>P</stp>
        <stp>0</stp>
        <stp>FRN</stp>
        <stp>AEI:DFM</stp>
        <stp>고가</stp>
        <stp>46036</stp>
        <stp/>
        <tr r="G22" s="1"/>
      </tp>
      <tp>
        <v>1885.13</v>
        <stp/>
        <stp>P</stp>
        <stp>0</stp>
        <stp>FRN</stp>
        <stp>LUI:LUXX</stp>
        <stp>고가</stp>
        <stp>46036</stp>
        <stp/>
        <tr r="G51" s="1"/>
      </tp>
      <tp>
        <v>1918.46</v>
        <stp/>
        <stp>P</stp>
        <stp>0</stp>
        <stp>FRN</stp>
        <stp>VNI:VIDX</stp>
        <stp>고가</stp>
        <stp>46036</stp>
        <stp/>
        <tr r="G19" s="1"/>
      </tp>
      <tp>
        <v>17687.099999999999</v>
        <stp/>
        <stp>P</stp>
        <stp>0</stp>
        <stp>FRN</stp>
        <stp>ESI:IBEX</stp>
        <stp>고가</stp>
        <stp>46036</stp>
        <stp/>
        <tr r="G32" s="1"/>
      </tp>
      <tp>
        <v>9424.15</v>
        <stp/>
        <stp>P</stp>
        <stp>0</stp>
        <stp>FRN</stp>
        <stp>KWI:BKP</stp>
        <stp>시가</stp>
        <stp>46036</stp>
        <stp/>
        <tr r="F23" s="1"/>
      </tp>
      <tp>
        <v>9424.15</v>
        <stp/>
        <stp>P</stp>
        <stp>0</stp>
        <stp>FRN</stp>
        <stp>KWI:BKP</stp>
        <stp>종가</stp>
        <stp>46036</stp>
        <stp/>
        <tr r="I23" s="1"/>
      </tp>
      <tp>
        <v>9424.15</v>
        <stp/>
        <stp>P</stp>
        <stp>0</stp>
        <stp>FRN</stp>
        <stp>KWI:BKP</stp>
        <stp>저가</stp>
        <stp>46036</stp>
        <stp/>
        <tr r="H23" s="1"/>
      </tp>
      <tp>
        <v>11229.22</v>
        <stp/>
        <stp>P</stp>
        <stp>0</stp>
        <stp>FRN</stp>
        <stp>QAI:MKIX</stp>
        <stp>고가</stp>
        <stp>46036</stp>
        <stp/>
        <tr r="G24" s="1"/>
      </tp>
      <tp>
        <v>17687.099999999999</v>
        <stp/>
        <stp>P</stp>
        <stp>0</stp>
        <stp>FRN</stp>
        <stp>ESI:IBEX</stp>
        <stp>시가</stp>
        <stp>46036</stp>
        <stp/>
        <tr r="F32" s="1"/>
      </tp>
      <tp>
        <v>1901.02</v>
        <stp/>
        <stp>P</stp>
        <stp>0</stp>
        <stp>FRN</stp>
        <stp>VNI:VIDX</stp>
        <stp>종가</stp>
        <stp>46036</stp>
        <stp/>
        <tr r="I19" s="1"/>
      </tp>
      <tp>
        <v>1885.13</v>
        <stp/>
        <stp>P</stp>
        <stp>0</stp>
        <stp>FRN</stp>
        <stp>LUI:LUXX</stp>
        <stp>종가</stp>
        <stp>46036</stp>
        <stp/>
        <tr r="I51" s="1"/>
      </tp>
      <tp>
        <v>1885.13</v>
        <stp/>
        <stp>P</stp>
        <stp>0</stp>
        <stp>FRN</stp>
        <stp>LUI:LUXX</stp>
        <stp>저가</stp>
        <stp>46036</stp>
        <stp/>
        <tr r="H51" s="1"/>
      </tp>
      <tp>
        <v>1890.55</v>
        <stp/>
        <stp>P</stp>
        <stp>0</stp>
        <stp>FRN</stp>
        <stp>VNI:VIDX</stp>
        <stp>저가</stp>
        <stp>46036</stp>
        <stp/>
        <tr r="H19" s="1"/>
      </tp>
      <tp>
        <v>17687.099999999999</v>
        <stp/>
        <stp>P</stp>
        <stp>0</stp>
        <stp>FRN</stp>
        <stp>ESI:IBEX</stp>
        <stp>종가</stp>
        <stp>46036</stp>
        <stp/>
        <tr r="I32" s="1"/>
      </tp>
      <tp>
        <v>17687.099999999999</v>
        <stp/>
        <stp>P</stp>
        <stp>0</stp>
        <stp>FRN</stp>
        <stp>ESI:IBEX</stp>
        <stp>저가</stp>
        <stp>46036</stp>
        <stp/>
        <tr r="H32" s="1"/>
      </tp>
      <tp>
        <v>1902.93</v>
        <stp/>
        <stp>P</stp>
        <stp>0</stp>
        <stp>FRN</stp>
        <stp>VNI:VIDX</stp>
        <stp>시가</stp>
        <stp>46036</stp>
        <stp/>
        <tr r="F19" s="1"/>
      </tp>
      <tp>
        <v>1885.13</v>
        <stp/>
        <stp>P</stp>
        <stp>0</stp>
        <stp>FRN</stp>
        <stp>LUI:LUXX</stp>
        <stp>시가</stp>
        <stp>46036</stp>
        <stp/>
        <tr r="F51" s="1"/>
      </tp>
      <tp>
        <v>11229.22</v>
        <stp/>
        <stp>P</stp>
        <stp>0</stp>
        <stp>FRN</stp>
        <stp>QAI:MKIX</stp>
        <stp>시가</stp>
        <stp>46036</stp>
        <stp/>
        <tr r="F24" s="1"/>
      </tp>
      <tp>
        <v>11229.22</v>
        <stp/>
        <stp>P</stp>
        <stp>0</stp>
        <stp>FRN</stp>
        <stp>QAI:MKIX</stp>
        <stp>종가</stp>
        <stp>46036</stp>
        <stp/>
        <tr r="I24" s="1"/>
      </tp>
      <tp>
        <v>11229.22</v>
        <stp/>
        <stp>P</stp>
        <stp>0</stp>
        <stp>FRN</stp>
        <stp>QAI:MKIX</stp>
        <stp>저가</stp>
        <stp>46036</stp>
        <stp/>
        <tr r="H24" s="1"/>
      </tp>
      <tp>
        <v>9424.15</v>
        <stp/>
        <stp>P</stp>
        <stp>0</stp>
        <stp>FRN</stp>
        <stp>KWI:BKP</stp>
        <stp>고가</stp>
        <stp>46036</stp>
        <stp/>
        <tr r="G23" s="1"/>
      </tp>
      <tp>
        <v>25420.66</v>
        <stp/>
        <stp>P</stp>
        <stp>0</stp>
        <stp>FRN</stp>
        <stp>XTR:DAX30</stp>
        <stp>종가</stp>
        <stp>46036</stp>
        <stp/>
        <tr r="I35" s="1"/>
      </tp>
      <tp>
        <v>25420.66</v>
        <stp/>
        <stp>P</stp>
        <stp>0</stp>
        <stp>FRN</stp>
        <stp>XTR:DAX30</stp>
        <stp>저가</stp>
        <stp>46036</stp>
        <stp/>
        <tr r="H35" s="1"/>
      </tp>
      <tp>
        <v>25420.66</v>
        <stp/>
        <stp>P</stp>
        <stp>0</stp>
        <stp>FRN</stp>
        <stp>XTR:DAX30</stp>
        <stp>시가</stp>
        <stp>46036</stp>
        <stp/>
        <tr r="F35" s="1"/>
      </tp>
      <tp>
        <v>4188.24</v>
        <stp/>
        <stp>P</stp>
        <stp>0</stp>
        <stp>FRN</stp>
        <stp>SHS:000001</stp>
        <stp>종가</stp>
        <stp>46036</stp>
        <stp/>
        <tr r="I11" s="1"/>
      </tp>
      <tp>
        <v>4138.6499999999996</v>
        <stp/>
        <stp>P</stp>
        <stp>0</stp>
        <stp>FRN</stp>
        <stp>SHS:000001</stp>
        <stp>저가</stp>
        <stp>46036</stp>
        <stp/>
        <tr r="H11" s="1"/>
      </tp>
      <tp>
        <v>4138.6499999999996</v>
        <stp/>
        <stp>P</stp>
        <stp>0</stp>
        <stp>FRN</stp>
        <stp>SHS:000001</stp>
        <stp>시가</stp>
        <stp>46036</stp>
        <stp/>
        <tr r="F11" s="1"/>
      </tp>
      <tp>
        <v>4190.87</v>
        <stp/>
        <stp>P</stp>
        <stp>0</stp>
        <stp>FRN</stp>
        <stp>SHS:000001</stp>
        <stp>고가</stp>
        <stp>46036</stp>
        <stp/>
        <tr r="G11" s="1"/>
      </tp>
      <tp>
        <v>25420.66</v>
        <stp/>
        <stp>P</stp>
        <stp>0</stp>
        <stp>FRN</stp>
        <stp>XTR:DAX30</stp>
        <stp>고가</stp>
        <stp>46036</stp>
        <stp/>
        <tr r="G35" s="1"/>
      </tp>
      <tp>
        <v>3913.39</v>
        <stp/>
        <stp>P</stp>
        <stp>0</stp>
        <stp>FRN</stp>
        <stp>ILI:TA100</stp>
        <stp>시가</stp>
        <stp>46036</stp>
        <stp/>
        <tr r="F27" s="1"/>
      </tp>
      <tp>
        <v>3913.39</v>
        <stp/>
        <stp>P</stp>
        <stp>0</stp>
        <stp>FRN</stp>
        <stp>ILI:TA100</stp>
        <stp>종가</stp>
        <stp>46036</stp>
        <stp/>
        <tr r="I27" s="1"/>
      </tp>
      <tp>
        <v>3913.39</v>
        <stp/>
        <stp>P</stp>
        <stp>0</stp>
        <stp>FRN</stp>
        <stp>ILI:TA100</stp>
        <stp>저가</stp>
        <stp>46036</stp>
        <stp/>
        <tr r="H27" s="1"/>
      </tp>
      <tp>
        <v>4812.4799999999996</v>
        <stp/>
        <stp>P</stp>
        <stp>0</stp>
        <stp>FRN</stp>
        <stp>SHS:000300</stp>
        <stp>종가</stp>
        <stp>46036</stp>
        <stp/>
        <tr r="I13" s="1"/>
      </tp>
      <tp>
        <v>4767.7</v>
        <stp/>
        <stp>P</stp>
        <stp>0</stp>
        <stp>FRN</stp>
        <stp>SHS:000300</stp>
        <stp>저가</stp>
        <stp>46036</stp>
        <stp/>
        <tr r="H13" s="1"/>
      </tp>
      <tp>
        <v>4767.7</v>
        <stp/>
        <stp>P</stp>
        <stp>0</stp>
        <stp>FRN</stp>
        <stp>SHS:000300</stp>
        <stp>시가</stp>
        <stp>46036</stp>
        <stp/>
        <tr r="F13" s="1"/>
      </tp>
      <tp>
        <v>4818.1000000000004</v>
        <stp/>
        <stp>P</stp>
        <stp>0</stp>
        <stp>FRN</stp>
        <stp>SHS:000300</stp>
        <stp>고가</stp>
        <stp>46036</stp>
        <stp/>
        <tr r="G13" s="1"/>
      </tp>
      <tp>
        <v>3913.39</v>
        <stp/>
        <stp>P</stp>
        <stp>0</stp>
        <stp>FRN</stp>
        <stp>ILI:TA100</stp>
        <stp>고가</stp>
        <stp>46036</stp>
        <stp/>
        <tr r="G27" s="1"/>
      </tp>
      <tp>
        <v>0</v>
        <stp/>
        <stp>P</stp>
        <stp>0</stp>
        <stp>FRN</stp>
        <stp>THI:SET</stp>
        <stp>시가</stp>
        <stp>46036</stp>
        <stp/>
        <tr r="F17" s="1"/>
      </tp>
      <tp>
        <v>1235.3</v>
        <stp/>
        <stp>P</stp>
        <stp>0</stp>
        <stp>FRN</stp>
        <stp>THI:SET</stp>
        <stp>종가</stp>
        <stp>46036</stp>
        <stp/>
        <tr r="I17" s="1"/>
      </tp>
      <tp>
        <v>0</v>
        <stp/>
        <stp>P</stp>
        <stp>0</stp>
        <stp>FRN</stp>
        <stp>THI:SET</stp>
        <stp>저가</stp>
        <stp>46036</stp>
        <stp/>
        <tr r="H17" s="1"/>
      </tp>
      <tp>
        <v>0</v>
        <stp/>
        <stp>P</stp>
        <stp>0</stp>
        <stp>FRN</stp>
        <stp>THI:SET</stp>
        <stp>고가</stp>
        <stp>46036</stp>
        <stp/>
        <tr r="G17" s="1"/>
      </tp>
      <tp>
        <v>163146.26</v>
        <stp/>
        <stp>P</stp>
        <stp>0</stp>
        <stp>FRN</stp>
        <stp>BRI:BVSP</stp>
        <stp>고가</stp>
        <stp>46036</stp>
        <stp/>
        <tr r="G56" s="1"/>
      </tp>
      <tp>
        <v>0</v>
        <stp/>
        <stp>P</stp>
        <stp>0</stp>
        <stp>FRN</stp>
        <stp>PHI:COMP</stp>
        <stp>고가</stp>
        <stp>46036</stp>
        <stp/>
        <tr r="G10" s="1"/>
      </tp>
      <tp>
        <v>118863.12</v>
        <stp/>
        <stp>P</stp>
        <stp>0</stp>
        <stp>FRN</stp>
        <stp>HUI:BUX</stp>
        <stp>시가</stp>
        <stp>46036</stp>
        <stp/>
        <tr r="F48" s="1"/>
      </tp>
      <tp>
        <v>5792.43</v>
        <stp/>
        <stp>P</stp>
        <stp>0</stp>
        <stp>FRN</stp>
        <stp>FII:HEX</stp>
        <stp>시가</stp>
        <stp>46036</stp>
        <stp/>
        <tr r="F47" s="1"/>
      </tp>
      <tp>
        <v>997.17</v>
        <stp/>
        <stp>P</stp>
        <stp>0</stp>
        <stp>FRN</stp>
        <stp>NLI:AEX</stp>
        <stp>시가</stp>
        <stp>46036</stp>
        <stp/>
        <tr r="F38" s="1"/>
      </tp>
      <tp>
        <v>1751.79</v>
        <stp/>
        <stp>P</stp>
        <stp>0</stp>
        <stp>FRN</stp>
        <stp>DKI:KFX</stp>
        <stp>시가</stp>
        <stp>46036</stp>
        <stp/>
        <tr r="F30" s="1"/>
      </tp>
      <tp>
        <v>5250.09</v>
        <stp/>
        <stp>P</stp>
        <stp>0</stp>
        <stp>FRN</stp>
        <stp>BEI:MFX</stp>
        <stp>시가</stp>
        <stp>46036</stp>
        <stp/>
        <tr r="F33" s="1"/>
      </tp>
      <tp>
        <v>5410.3</v>
        <stp/>
        <stp>P</stp>
        <stp>0</stp>
        <stp>FRN</stp>
        <stp>ATI:ATX</stp>
        <stp>시가</stp>
        <stp>46036</stp>
        <stp/>
        <tr r="F44" s="1"/>
      </tp>
      <tp>
        <v>6977.41</v>
        <stp/>
        <stp>P</stp>
        <stp>0</stp>
        <stp>FRN</stp>
        <stp>SPI:SPX</stp>
        <stp>시가</stp>
        <stp>46036</stp>
        <stp/>
        <tr r="F62" s="1"/>
      </tp>
      <tp>
        <v>5410.3</v>
        <stp/>
        <stp>P</stp>
        <stp>0</stp>
        <stp>FRN</stp>
        <stp>ATI:ATX</stp>
        <stp>종가</stp>
        <stp>46036</stp>
        <stp/>
        <tr r="I44" s="1"/>
      </tp>
      <tp>
        <v>6963.74</v>
        <stp/>
        <stp>P</stp>
        <stp>0</stp>
        <stp>FRN</stp>
        <stp>SPI:SPX</stp>
        <stp>종가</stp>
        <stp>46036</stp>
        <stp/>
        <tr r="I62" s="1"/>
      </tp>
      <tp>
        <v>118863.12</v>
        <stp/>
        <stp>P</stp>
        <stp>0</stp>
        <stp>FRN</stp>
        <stp>HUI:BUX</stp>
        <stp>종가</stp>
        <stp>46036</stp>
        <stp/>
        <tr r="I48" s="1"/>
      </tp>
      <tp>
        <v>997.17</v>
        <stp/>
        <stp>P</stp>
        <stp>0</stp>
        <stp>FRN</stp>
        <stp>NLI:AEX</stp>
        <stp>종가</stp>
        <stp>46036</stp>
        <stp/>
        <tr r="I38" s="1"/>
      </tp>
      <tp>
        <v>1751.79</v>
        <stp/>
        <stp>P</stp>
        <stp>0</stp>
        <stp>FRN</stp>
        <stp>DKI:KFX</stp>
        <stp>종가</stp>
        <stp>46036</stp>
        <stp/>
        <tr r="I30" s="1"/>
      </tp>
      <tp>
        <v>5250.09</v>
        <stp/>
        <stp>P</stp>
        <stp>0</stp>
        <stp>FRN</stp>
        <stp>BEI:MFX</stp>
        <stp>종가</stp>
        <stp>46036</stp>
        <stp/>
        <tr r="I33" s="1"/>
      </tp>
      <tp>
        <v>5792.43</v>
        <stp/>
        <stp>P</stp>
        <stp>0</stp>
        <stp>FRN</stp>
        <stp>FII:HEX</stp>
        <stp>종가</stp>
        <stp>46036</stp>
        <stp/>
        <tr r="I47" s="1"/>
      </tp>
      <tp>
        <v>5410.3</v>
        <stp/>
        <stp>P</stp>
        <stp>0</stp>
        <stp>FRN</stp>
        <stp>ATI:ATX</stp>
        <stp>저가</stp>
        <stp>46036</stp>
        <stp/>
        <tr r="H44" s="1"/>
      </tp>
      <tp>
        <v>6938.77</v>
        <stp/>
        <stp>P</stp>
        <stp>0</stp>
        <stp>FRN</stp>
        <stp>SPI:SPX</stp>
        <stp>저가</stp>
        <stp>46036</stp>
        <stp/>
        <tr r="H62" s="1"/>
      </tp>
      <tp>
        <v>5792.43</v>
        <stp/>
        <stp>P</stp>
        <stp>0</stp>
        <stp>FRN</stp>
        <stp>FII:HEX</stp>
        <stp>저가</stp>
        <stp>46036</stp>
        <stp/>
        <tr r="H47" s="1"/>
      </tp>
      <tp>
        <v>997.17</v>
        <stp/>
        <stp>P</stp>
        <stp>0</stp>
        <stp>FRN</stp>
        <stp>NLI:AEX</stp>
        <stp>저가</stp>
        <stp>46036</stp>
        <stp/>
        <tr r="H38" s="1"/>
      </tp>
      <tp>
        <v>1751.79</v>
        <stp/>
        <stp>P</stp>
        <stp>0</stp>
        <stp>FRN</stp>
        <stp>DKI:KFX</stp>
        <stp>저가</stp>
        <stp>46036</stp>
        <stp/>
        <tr r="H30" s="1"/>
      </tp>
      <tp>
        <v>5250.09</v>
        <stp/>
        <stp>P</stp>
        <stp>0</stp>
        <stp>FRN</stp>
        <stp>BEI:MFX</stp>
        <stp>저가</stp>
        <stp>46036</stp>
        <stp/>
        <tr r="H33" s="1"/>
      </tp>
      <tp>
        <v>118863.12</v>
        <stp/>
        <stp>P</stp>
        <stp>0</stp>
        <stp>FRN</stp>
        <stp>HUI:BUX</stp>
        <stp>저가</stp>
        <stp>46036</stp>
        <stp/>
        <tr r="H48" s="1"/>
      </tp>
      <tp>
        <v>161973.04999999999</v>
        <stp/>
        <stp>P</stp>
        <stp>0</stp>
        <stp>FRN</stp>
        <stp>BRI:BVSP</stp>
        <stp>종가</stp>
        <stp>46036</stp>
        <stp/>
        <tr r="I56" s="1"/>
      </tp>
      <tp>
        <v>161765.07999999999</v>
        <stp/>
        <stp>P</stp>
        <stp>0</stp>
        <stp>FRN</stp>
        <stp>BRI:BVSP</stp>
        <stp>저가</stp>
        <stp>46036</stp>
        <stp/>
        <tr r="H56" s="1"/>
      </tp>
      <tp>
        <v>163146.26</v>
        <stp/>
        <stp>P</stp>
        <stp>0</stp>
        <stp>FRN</stp>
        <stp>BRI:BVSP</stp>
        <stp>시가</stp>
        <stp>46036</stp>
        <stp/>
        <tr r="F56" s="1"/>
      </tp>
      <tp>
        <v>6419.96</v>
        <stp/>
        <stp>P</stp>
        <stp>0</stp>
        <stp>FRN</stp>
        <stp>PHI:COMP</stp>
        <stp>종가</stp>
        <stp>46036</stp>
        <stp/>
        <tr r="I10" s="1"/>
      </tp>
      <tp>
        <v>0</v>
        <stp/>
        <stp>P</stp>
        <stp>0</stp>
        <stp>FRN</stp>
        <stp>PHI:COMP</stp>
        <stp>저가</stp>
        <stp>46036</stp>
        <stp/>
        <tr r="H10" s="1"/>
      </tp>
      <tp>
        <v>0</v>
        <stp/>
        <stp>P</stp>
        <stp>0</stp>
        <stp>FRN</stp>
        <stp>PHI:COMP</stp>
        <stp>시가</stp>
        <stp>46036</stp>
        <stp/>
        <tr r="F10" s="1"/>
      </tp>
      <tp>
        <v>5410.3</v>
        <stp/>
        <stp>P</stp>
        <stp>0</stp>
        <stp>FRN</stp>
        <stp>ATI:ATX</stp>
        <stp>고가</stp>
        <stp>46036</stp>
        <stp/>
        <tr r="G44" s="1"/>
      </tp>
      <tp>
        <v>6985.83</v>
        <stp/>
        <stp>P</stp>
        <stp>0</stp>
        <stp>FRN</stp>
        <stp>SPI:SPX</stp>
        <stp>고가</stp>
        <stp>46036</stp>
        <stp/>
        <tr r="G62" s="1"/>
      </tp>
      <tp>
        <v>5792.43</v>
        <stp/>
        <stp>P</stp>
        <stp>0</stp>
        <stp>FRN</stp>
        <stp>FII:HEX</stp>
        <stp>고가</stp>
        <stp>46036</stp>
        <stp/>
        <tr r="G47" s="1"/>
      </tp>
      <tp>
        <v>997.17</v>
        <stp/>
        <stp>P</stp>
        <stp>0</stp>
        <stp>FRN</stp>
        <stp>NLI:AEX</stp>
        <stp>고가</stp>
        <stp>46036</stp>
        <stp/>
        <tr r="G38" s="1"/>
      </tp>
      <tp>
        <v>1751.79</v>
        <stp/>
        <stp>P</stp>
        <stp>0</stp>
        <stp>FRN</stp>
        <stp>DKI:KFX</stp>
        <stp>고가</stp>
        <stp>46036</stp>
        <stp/>
        <tr r="G30" s="1"/>
      </tp>
      <tp>
        <v>5250.09</v>
        <stp/>
        <stp>P</stp>
        <stp>0</stp>
        <stp>FRN</stp>
        <stp>BEI:MFX</stp>
        <stp>고가</stp>
        <stp>46036</stp>
        <stp/>
        <tr r="G33" s="1"/>
      </tp>
      <tp>
        <v>118863.12</v>
        <stp/>
        <stp>P</stp>
        <stp>0</stp>
        <stp>FRN</stp>
        <stp>HUI:BUX</stp>
        <stp>고가</stp>
        <stp>46036</stp>
        <stp/>
        <tr r="G48" s="1"/>
      </tp>
      <tp>
        <v>12972.66</v>
        <stp/>
        <stp>P</stp>
        <stp>0</stp>
        <stp>FRN</stp>
        <stp>IEI:ISEQ</stp>
        <stp>고가</stp>
        <stp>46036</stp>
        <stp/>
        <tr r="G49" s="1"/>
      </tp>
      <tp>
        <v>8347.2000000000007</v>
        <stp/>
        <stp>P</stp>
        <stp>0</stp>
        <stp>FRN</stp>
        <stp>PAS:CAC40</stp>
        <stp>종가</stp>
        <stp>46036</stp>
        <stp/>
        <tr r="I39" s="1"/>
      </tp>
      <tp>
        <v>8347.2000000000007</v>
        <stp/>
        <stp>P</stp>
        <stp>0</stp>
        <stp>FRN</stp>
        <stp>PAS:CAC40</stp>
        <stp>저가</stp>
        <stp>46036</stp>
        <stp/>
        <tr r="H39" s="1"/>
      </tp>
      <tp>
        <v>8347.2000000000007</v>
        <stp/>
        <stp>P</stp>
        <stp>0</stp>
        <stp>FRN</stp>
        <stp>PAS:CAC40</stp>
        <stp>시가</stp>
        <stp>46036</stp>
        <stp/>
        <tr r="F39" s="1"/>
      </tp>
      <tp>
        <v>12972.66</v>
        <stp/>
        <stp>P</stp>
        <stp>0</stp>
        <stp>FRN</stp>
        <stp>IEI:ISEQ</stp>
        <stp>종가</stp>
        <stp>46036</stp>
        <stp/>
        <tr r="I49" s="1"/>
      </tp>
      <tp>
        <v>12972.66</v>
        <stp/>
        <stp>P</stp>
        <stp>0</stp>
        <stp>FRN</stp>
        <stp>IEI:ISEQ</stp>
        <stp>저가</stp>
        <stp>46036</stp>
        <stp/>
        <tr r="H49" s="1"/>
      </tp>
      <tp>
        <v>8347.2000000000007</v>
        <stp/>
        <stp>P</stp>
        <stp>0</stp>
        <stp>FRN</stp>
        <stp>PAS:CAC40</stp>
        <stp>고가</stp>
        <stp>46036</stp>
        <stp/>
        <tr r="G39" s="1"/>
      </tp>
      <tp>
        <v>12972.66</v>
        <stp/>
        <stp>P</stp>
        <stp>0</stp>
        <stp>FRN</stp>
        <stp>IEI:ISEQ</stp>
        <stp>시가</stp>
        <stp>46036</stp>
        <stp/>
        <tr r="F49" s="1"/>
      </tp>
      <tp>
        <v>3087178.75</v>
        <stp/>
        <stp>P</stp>
        <stp>0</stp>
        <stp>FRN</stp>
        <stp>ARI:MERV</stp>
        <stp>고가</stp>
        <stp>46036</stp>
        <stp/>
        <tr r="G57" s="1"/>
      </tp>
      <tp>
        <v>3076946.75</v>
        <stp/>
        <stp>P</stp>
        <stp>0</stp>
        <stp>FRN</stp>
        <stp>ARI:MERV</stp>
        <stp>시가</stp>
        <stp>46036</stp>
        <stp/>
        <tr r="F57" s="1"/>
      </tp>
      <tp>
        <v>3036292.5</v>
        <stp/>
        <stp>P</stp>
        <stp>0</stp>
        <stp>FRN</stp>
        <stp>ARI:MERV</stp>
        <stp>종가</stp>
        <stp>46036</stp>
        <stp/>
        <tr r="I57" s="1"/>
      </tp>
      <tp>
        <v>3023830.25</v>
        <stp/>
        <stp>P</stp>
        <stp>0</stp>
        <stp>FRN</stp>
        <stp>ARI:MERV</stp>
        <stp>저가</stp>
        <stp>46036</stp>
        <stp/>
        <tr r="H57" s="1"/>
      </tp>
      <tp>
        <v>1985.2</v>
        <stp/>
        <stp>P</stp>
        <stp>0</stp>
        <stp>FRN</stp>
        <stp>NOI:OSEAX</stp>
        <stp>시가</stp>
        <stp>46036</stp>
        <stp/>
        <tr r="F31" s="1"/>
      </tp>
      <tp>
        <v>1985.2</v>
        <stp/>
        <stp>P</stp>
        <stp>0</stp>
        <stp>FRN</stp>
        <stp>NOI:OSEAX</stp>
        <stp>종가</stp>
        <stp>46036</stp>
        <stp/>
        <tr r="I31" s="1"/>
      </tp>
      <tp>
        <v>1985.2</v>
        <stp/>
        <stp>P</stp>
        <stp>0</stp>
        <stp>FRN</stp>
        <stp>NOI:OSEAX</stp>
        <stp>저가</stp>
        <stp>46036</stp>
        <stp/>
        <tr r="H31" s="1"/>
      </tp>
      <tp>
        <v>1985.2</v>
        <stp/>
        <stp>P</stp>
        <stp>0</stp>
        <stp>FRN</stp>
        <stp>NOI:OSEAX</stp>
        <stp>고가</stp>
        <stp>46036</stp>
        <stp/>
        <tr r="G31" s="1"/>
      </tp>
      <tp>
        <v>926.76</v>
        <stp/>
        <stp>P</stp>
        <stp>0</stp>
        <stp>FRN</stp>
        <stp>LVI:RIGSE</stp>
        <stp>시가</stp>
        <stp>46036</stp>
        <stp/>
        <tr r="F45" s="1"/>
      </tp>
      <tp>
        <v>927.48</v>
        <stp/>
        <stp>P</stp>
        <stp>0</stp>
        <stp>FRN</stp>
        <stp>LVI:RIGSE</stp>
        <stp>종가</stp>
        <stp>46036</stp>
        <stp/>
        <tr r="I45" s="1"/>
      </tp>
      <tp>
        <v>922.71</v>
        <stp/>
        <stp>P</stp>
        <stp>0</stp>
        <stp>FRN</stp>
        <stp>LVI:RIGSE</stp>
        <stp>저가</stp>
        <stp>46036</stp>
        <stp/>
        <tr r="H45" s="1"/>
      </tp>
      <tp>
        <v>927.77</v>
        <stp/>
        <stp>P</stp>
        <stp>0</stp>
        <stp>FRN</stp>
        <stp>LVI:RIGSE</stp>
        <stp>고가</stp>
        <stp>46036</stp>
        <stp/>
        <tr r="G45" s="1"/>
      </tp>
      <tp>
        <v>0</v>
        <stp/>
        <stp>H</stp>
        <stp>x9.hWgA</stp>
        <stp>662</stp>
        <stp>672884</stp>
        <tr r="CK13" s="4"/>
      </tp>
      <tp>
        <v>0</v>
        <stp/>
        <stp>H</stp>
        <stp>x8.hWgA</stp>
        <stp>661</stp>
        <stp>672884</stp>
        <tr r="CO13" s="4"/>
      </tp>
      <tp>
        <v>0</v>
        <stp/>
        <stp>H</stp>
        <stp>x4.hWgA</stp>
        <stp>657</stp>
        <stp>672884</stp>
        <tr r="O13" s="4"/>
      </tp>
      <tp>
        <v>0</v>
        <stp/>
        <stp>H</stp>
        <stp>x7.hWgA</stp>
        <stp>660</stp>
        <stp>672884</stp>
        <tr r="AS13" s="4"/>
      </tp>
      <tp>
        <v>0</v>
        <stp/>
        <stp>H</stp>
        <stp>x5.hWgA</stp>
        <stp>658</stp>
        <stp>672884</stp>
        <tr r="DK13" s="4"/>
      </tp>
      <tp>
        <v>0</v>
        <stp/>
        <stp>H</stp>
        <stp>x6.hWgA</stp>
        <stp>659</stp>
        <stp>672884</stp>
        <tr r="BO13" s="4"/>
      </tp>
      <tp>
        <v>0</v>
        <stp/>
        <stp>H</stp>
        <stp>x1.hWgA</stp>
        <stp>655</stp>
        <stp>672884</stp>
        <tr r="AK13" s="4"/>
      </tp>
      <tp>
        <v>0</v>
        <stp/>
        <stp>H</stp>
        <stp>x2.hWgA</stp>
        <stp>654</stp>
        <stp>672884</stp>
        <tr r="I13" s="4"/>
      </tp>
      <tp>
        <v>0</v>
        <stp/>
        <stp>H</stp>
        <stp>x3.hWgA</stp>
        <stp>656</stp>
        <stp>672884</stp>
        <tr r="CE13" s="4"/>
      </tp>
      <tp>
        <v>43684.22</v>
        <stp/>
        <stp>P</stp>
        <stp>0</stp>
        <stp>FRN</stp>
        <stp>EGI:CASE30</stp>
        <stp>고가</stp>
        <stp>46036</stp>
        <stp/>
        <tr r="G50" s="1"/>
      </tp>
      <tp>
        <v>43684.22</v>
        <stp/>
        <stp>P</stp>
        <stp>0</stp>
        <stp>FRN</stp>
        <stp>EGI:CASE30</stp>
        <stp>시가</stp>
        <stp>46036</stp>
        <stp/>
        <tr r="F50" s="1"/>
      </tp>
      <tp>
        <v>43684.22</v>
        <stp/>
        <stp>P</stp>
        <stp>0</stp>
        <stp>FRN</stp>
        <stp>EGI:CASE30</stp>
        <stp>종가</stp>
        <stp>46036</stp>
        <stp/>
        <tr r="I50" s="1"/>
      </tp>
      <tp>
        <v>43684.22</v>
        <stp/>
        <stp>P</stp>
        <stp>0</stp>
        <stp>FRN</stp>
        <stp>EGI:CASE30</stp>
        <stp>저가</stp>
        <stp>46036</stp>
        <stp/>
        <tr r="H50" s="1"/>
      </tp>
      <tp>
        <v>12385.61</v>
        <stp/>
        <stp>P</stp>
        <stp>0</stp>
        <stp>FRN</stp>
        <stp>TRI:ISE100</stp>
        <stp>고가</stp>
        <stp>46036</stp>
        <stp/>
        <tr r="G29" s="1"/>
      </tp>
      <tp>
        <v>12385.61</v>
        <stp/>
        <stp>P</stp>
        <stp>0</stp>
        <stp>FRN</stp>
        <stp>TRI:ISE100</stp>
        <stp>시가</stp>
        <stp>46036</stp>
        <stp/>
        <tr r="F29" s="1"/>
      </tp>
      <tp>
        <v>12385.61</v>
        <stp/>
        <stp>P</stp>
        <stp>0</stp>
        <stp>FRN</stp>
        <stp>TRI:ISE100</stp>
        <stp>종가</stp>
        <stp>46036</stp>
        <stp/>
        <tr r="I29" s="1"/>
      </tp>
      <tp>
        <v>12385.61</v>
        <stp/>
        <stp>P</stp>
        <stp>0</stp>
        <stp>FRN</stp>
        <stp>TRI:ISE100</stp>
        <stp>저가</stp>
        <stp>46036</stp>
        <stp/>
        <tr r="H29" s="1"/>
      </tp>
      <tp>
        <v>34937.730000000003</v>
        <stp/>
        <stp>P</stp>
        <stp>0</stp>
        <stp>FRN</stp>
        <stp>PEI:IGBVL</stp>
        <stp>종가</stp>
        <stp>46036</stp>
        <stp/>
        <tr r="I58" s="1"/>
      </tp>
      <tp>
        <v>0</v>
        <stp/>
        <stp>P</stp>
        <stp>0</stp>
        <stp>FRN</stp>
        <stp>PEI:IGBVL</stp>
        <stp>저가</stp>
        <stp>46036</stp>
        <stp/>
        <tr r="H58" s="1"/>
      </tp>
      <tp>
        <v>0</v>
        <stp/>
        <stp>P</stp>
        <stp>0</stp>
        <stp>FRN</stp>
        <stp>PEI:IGBVL</stp>
        <stp>시가</stp>
        <stp>46036</stp>
        <stp/>
        <tr r="F58" s="1"/>
      </tp>
      <tp>
        <v>0</v>
        <stp/>
        <stp>P</stp>
        <stp>0</stp>
        <stp>FRN</stp>
        <stp>PEI:IGBVL</stp>
        <stp>고가</stp>
        <stp>46036</stp>
        <stp/>
        <tr r="G58" s="1"/>
      </tp>
      <tp>
        <v>0</v>
        <stp/>
        <stp>H</stp>
        <stp>x23.hWgA</stp>
        <stp>675</stp>
        <stp>672884</stp>
        <tr r="BU13" s="4"/>
      </tp>
      <tp>
        <v>0</v>
        <stp/>
        <stp>H</stp>
        <stp>x22.hWgA</stp>
        <stp>674</stp>
        <stp>672884</stp>
        <tr r="Y13" s="4"/>
      </tp>
      <tp>
        <v>0</v>
        <stp/>
        <stp>H</stp>
        <stp>x21.hWgA</stp>
        <stp>673</stp>
        <stp>672884</stp>
        <tr r="AA13" s="4"/>
      </tp>
      <tp>
        <v>0</v>
        <stp/>
        <stp>H</stp>
        <stp>x20.hWgA</stp>
        <stp>672</stp>
        <stp>672884</stp>
        <tr r="BE13" s="4"/>
      </tp>
      <tp>
        <v>0</v>
        <stp/>
        <stp>H</stp>
        <stp>x27.hWgA</stp>
        <stp>679</stp>
        <stp>672884</stp>
        <tr r="DU13" s="4"/>
      </tp>
      <tp>
        <v>0</v>
        <stp/>
        <stp>H</stp>
        <stp>x26.hWgA</stp>
        <stp>678</stp>
        <stp>672884</stp>
        <tr r="BQ13" s="4"/>
      </tp>
      <tp>
        <v>0</v>
        <stp/>
        <stp>H</stp>
        <stp>x29.hWgA</stp>
        <stp>680</stp>
        <stp>672884</stp>
        <tr r="BA13" s="4"/>
      </tp>
      <tp>
        <v>0</v>
        <stp/>
        <stp>H</stp>
        <stp>x25.hWgA</stp>
        <stp>677</stp>
        <stp>672884</stp>
        <tr r="CM13" s="4"/>
      </tp>
      <tp>
        <v>0</v>
        <stp/>
        <stp>H</stp>
        <stp>x24.hWgA</stp>
        <stp>676</stp>
        <stp>672884</stp>
        <tr r="CA13" s="4"/>
      </tp>
      <tp>
        <v>0</v>
        <stp/>
        <stp>H</stp>
        <stp>x28.hWgA</stp>
        <stp>652</stp>
        <stp>672884</stp>
        <tr r="G13" s="4"/>
      </tp>
      <tp>
        <v>0</v>
        <stp/>
        <stp>H</stp>
        <stp>x38.hWgA</stp>
        <stp>689</stp>
        <stp>672884</stp>
        <tr r="DQ13" s="4"/>
      </tp>
      <tp>
        <v>0</v>
        <stp/>
        <stp>H</stp>
        <stp>x39.hWgA</stp>
        <stp>690</stp>
        <stp>672884</stp>
        <tr r="BC13" s="4"/>
      </tp>
      <tp>
        <v>0</v>
        <stp/>
        <stp>H</stp>
        <stp>x34.hWgA</stp>
        <stp>685</stp>
        <stp>672884</stp>
        <tr r="AW13" s="4"/>
      </tp>
      <tp>
        <v>0</v>
        <stp/>
        <stp>H</stp>
        <stp>x35.hWgA</stp>
        <stp>686</stp>
        <stp>672884</stp>
        <tr r="AY13" s="4"/>
      </tp>
      <tp>
        <v>0</v>
        <stp/>
        <stp>H</stp>
        <stp>x36.hWgA</stp>
        <stp>687</stp>
        <stp>672884</stp>
        <tr r="S13" s="4"/>
      </tp>
      <tp>
        <v>0</v>
        <stp/>
        <stp>H</stp>
        <stp>x37.hWgA</stp>
        <stp>688</stp>
        <stp>672884</stp>
        <tr r="BG13" s="4"/>
      </tp>
      <tp>
        <v>0</v>
        <stp/>
        <stp>H</stp>
        <stp>x30.hWgA</stp>
        <stp>681</stp>
        <stp>672884</stp>
        <tr r="DA13" s="4"/>
      </tp>
      <tp>
        <v>0</v>
        <stp/>
        <stp>H</stp>
        <stp>x31.hWgA</stp>
        <stp>682</stp>
        <stp>672884</stp>
        <tr r="BS13" s="4"/>
      </tp>
      <tp>
        <v>0</v>
        <stp/>
        <stp>H</stp>
        <stp>x32.hWgA</stp>
        <stp>683</stp>
        <stp>672884</stp>
        <tr r="U13" s="4"/>
      </tp>
      <tp>
        <v>0</v>
        <stp/>
        <stp>H</stp>
        <stp>x33.hWgA</stp>
        <stp>684</stp>
        <stp>672884</stp>
        <tr r="AQ13" s="4"/>
      </tp>
      <tp>
        <v>0</v>
        <stp/>
        <stp>H</stp>
        <stp>x12.hWgA</stp>
        <stp>665</stp>
        <stp>672884</stp>
        <tr r="DM13" s="4"/>
      </tp>
      <tp>
        <v>0</v>
        <stp/>
        <stp>H</stp>
        <stp>x13.hWgA</stp>
        <stp>666</stp>
        <stp>672884</stp>
        <tr r="AM13" s="4"/>
      </tp>
      <tp>
        <v>0</v>
        <stp/>
        <stp>H</stp>
        <stp>x10.hWgA</stp>
        <stp>663</stp>
        <stp>672884</stp>
        <tr r="BK13" s="4"/>
      </tp>
      <tp>
        <v>0</v>
        <stp/>
        <stp>H</stp>
        <stp>x11.hWgA</stp>
        <stp>664</stp>
        <stp>672884</stp>
        <tr r="AE13" s="4"/>
      </tp>
      <tp>
        <v>0</v>
        <stp/>
        <stp>H</stp>
        <stp>x17.hWgA</stp>
        <stp>669</stp>
        <stp>672884</stp>
        <tr r="DO13" s="4"/>
      </tp>
      <tp>
        <v>0</v>
        <stp/>
        <stp>H</stp>
        <stp>x14.hWgA</stp>
        <stp>667</stp>
        <stp>672884</stp>
        <tr r="AG13" s="4"/>
      </tp>
      <tp>
        <v>0</v>
        <stp/>
        <stp>H</stp>
        <stp>x15.hWgA</stp>
        <stp>668</stp>
        <stp>672884</stp>
        <tr r="Q13" s="4"/>
      </tp>
      <tp>
        <v>0</v>
        <stp/>
        <stp>H</stp>
        <stp>x16.hWgA</stp>
        <stp>653</stp>
        <stp>672884</stp>
        <tr r="K13" s="4"/>
      </tp>
      <tp>
        <v>0</v>
        <stp/>
        <stp>H</stp>
        <stp>x19.hWgA</stp>
        <stp>671</stp>
        <stp>672884</stp>
        <tr r="M13" s="4"/>
      </tp>
      <tp>
        <v>0</v>
        <stp/>
        <stp>H</stp>
        <stp>x18.hWgA</stp>
        <stp>670</stp>
        <stp>672884</stp>
        <tr r="DI13" s="4"/>
      </tp>
      <tp>
        <v>0</v>
        <stp/>
        <stp>H</stp>
        <stp>x61.hWgA</stp>
        <stp>712</stp>
        <stp>672884</stp>
        <tr r="CI13" s="4"/>
      </tp>
      <tp>
        <v>0</v>
        <stp/>
        <stp>H</stp>
        <stp>x60.hWgA</stp>
        <stp>711</stp>
        <stp>672884</stp>
        <tr r="DC13" s="4"/>
      </tp>
      <tp>
        <v>0</v>
        <stp/>
        <stp>H</stp>
        <stp>x62.hWgA</stp>
        <stp>713</stp>
        <stp>672884</stp>
        <tr r="CS13" s="4"/>
      </tp>
      <tp>
        <v>0</v>
        <stp/>
        <stp>H</stp>
        <stp>x54.hWgA</stp>
        <stp>705</stp>
        <stp>672884</stp>
        <tr r="CY13" s="4"/>
      </tp>
      <tp>
        <v>0</v>
        <stp/>
        <stp>H</stp>
        <stp>x55.hWgA</stp>
        <stp>706</stp>
        <stp>672884</stp>
        <tr r="W13" s="4"/>
      </tp>
      <tp>
        <v>0</v>
        <stp/>
        <stp>H</stp>
        <stp>x56.hWgA</stp>
        <stp>707</stp>
        <stp>672884</stp>
        <tr r="BI13" s="4"/>
      </tp>
      <tp>
        <v>0</v>
        <stp/>
        <stp>H</stp>
        <stp>x57.hWgA</stp>
        <stp>708</stp>
        <stp>672884</stp>
        <tr r="CG13" s="4"/>
      </tp>
      <tp>
        <v>0</v>
        <stp/>
        <stp>H</stp>
        <stp>x50.hWgA</stp>
        <stp>701</stp>
        <stp>672884</stp>
        <tr r="DE13" s="4"/>
      </tp>
      <tp>
        <v>0</v>
        <stp/>
        <stp>H</stp>
        <stp>x48.hWgA</stp>
        <stp>699</stp>
        <stp>672884</stp>
        <tr r="DS13" s="4"/>
      </tp>
      <tp>
        <v>0</v>
        <stp/>
        <stp>H</stp>
        <stp>x51.hWgA</stp>
        <stp>702</stp>
        <stp>672884</stp>
        <tr r="CW13" s="4"/>
      </tp>
      <tp>
        <v>0</v>
        <stp/>
        <stp>H</stp>
        <stp>x52.hWgA</stp>
        <stp>703</stp>
        <stp>672884</stp>
        <tr r="CQ13" s="4"/>
      </tp>
      <tp>
        <v>0</v>
        <stp/>
        <stp>H</stp>
        <stp>x53.hWgA</stp>
        <stp>704</stp>
        <stp>672884</stp>
        <tr r="DY13" s="4"/>
      </tp>
      <tp>
        <v>0</v>
        <stp/>
        <stp>H</stp>
        <stp>x45.hWgA</stp>
        <stp>696</stp>
        <stp>672884</stp>
        <tr r="AU13" s="4"/>
      </tp>
      <tp>
        <v>0</v>
        <stp/>
        <stp>H</stp>
        <stp>x44.hWgA</stp>
        <stp>695</stp>
        <stp>672884</stp>
        <tr r="CC13" s="4"/>
      </tp>
      <tp>
        <v>0</v>
        <stp/>
        <stp>H</stp>
        <stp>x47.hWgA</stp>
        <stp>698</stp>
        <stp>672884</stp>
        <tr r="DG13" s="4"/>
      </tp>
      <tp>
        <v>0</v>
        <stp/>
        <stp>H</stp>
        <stp>x46.hWgA</stp>
        <stp>697</stp>
        <stp>672884</stp>
        <tr r="BM13" s="4"/>
      </tp>
      <tp>
        <v>0</v>
        <stp/>
        <stp>H</stp>
        <stp>x58.hWgA</stp>
        <stp>709</stp>
        <stp>672884</stp>
        <tr r="AI13" s="4"/>
      </tp>
      <tp>
        <v>0</v>
        <stp/>
        <stp>H</stp>
        <stp>x59.hWgA</stp>
        <stp>710</stp>
        <stp>672884</stp>
        <tr r="BY13" s="4"/>
      </tp>
      <tp>
        <v>0</v>
        <stp/>
        <stp>H</stp>
        <stp>x41.hWgA</stp>
        <stp>692</stp>
        <stp>672884</stp>
        <tr r="BW13" s="4"/>
      </tp>
      <tp>
        <v>0</v>
        <stp/>
        <stp>H</stp>
        <stp>x40.hWgA</stp>
        <stp>691</stp>
        <stp>672884</stp>
        <tr r="AO13" s="4"/>
      </tp>
      <tp>
        <v>0</v>
        <stp/>
        <stp>H</stp>
        <stp>x43.hWgA</stp>
        <stp>694</stp>
        <stp>672884</stp>
        <tr r="AC13" s="4"/>
      </tp>
      <tp>
        <v>0</v>
        <stp/>
        <stp>H</stp>
        <stp>x42.hWgA</stp>
        <stp>693</stp>
        <stp>672884</stp>
        <tr r="CU13" s="4"/>
      </tp>
      <tp>
        <v>0</v>
        <stp/>
        <stp>H</stp>
        <stp>x49.hWgA</stp>
        <stp>700</stp>
        <stp>672884</stp>
        <tr r="DW13" s="4"/>
      </tp>
      <tp>
        <v>32870.36</v>
        <stp/>
        <stp>P</stp>
        <stp>0</stp>
        <stp>FRN</stp>
        <stp>CAI:SPTSX</stp>
        <stp>종가</stp>
        <stp>46036</stp>
        <stp/>
        <tr r="I59" s="1"/>
      </tp>
      <tp>
        <v>32845.4</v>
        <stp/>
        <stp>P</stp>
        <stp>0</stp>
        <stp>FRN</stp>
        <stp>CAI:SPTSX</stp>
        <stp>저가</stp>
        <stp>46036</stp>
        <stp/>
        <tr r="H59" s="1"/>
      </tp>
      <tp>
        <v>32953.24</v>
        <stp/>
        <stp>P</stp>
        <stp>0</stp>
        <stp>FRN</stp>
        <stp>CAI:SPTSX</stp>
        <stp>시가</stp>
        <stp>46036</stp>
        <stp/>
        <tr r="F59" s="1"/>
      </tp>
      <tp>
        <v>32978.58</v>
        <stp/>
        <stp>P</stp>
        <stp>0</stp>
        <stp>FRN</stp>
        <stp>CAI:SPTSX</stp>
        <stp>고가</stp>
        <stp>46036</stp>
        <stp/>
        <tr r="G59" s="1"/>
      </tp>
      <tp>
        <v>1254.31</v>
        <stp/>
        <stp>P</stp>
        <stp>0</stp>
        <stp>FRN</stp>
        <stp>BUI:SOFIX</stp>
        <stp>시가</stp>
        <stp>46036</stp>
        <stp/>
        <tr r="F46" s="1"/>
      </tp>
      <tp>
        <v>1071.31</v>
        <stp/>
        <stp>P</stp>
        <stp>0</stp>
        <stp>FRN</stp>
        <stp>SEI:SXASI</stp>
        <stp>시가</stp>
        <stp>46036</stp>
        <stp/>
        <tr r="F37" s="1"/>
      </tp>
      <tp>
        <v>1267.03</v>
        <stp/>
        <stp>P</stp>
        <stp>0</stp>
        <stp>FRN</stp>
        <stp>BUI:SOFIX</stp>
        <stp>종가</stp>
        <stp>46036</stp>
        <stp/>
        <tr r="I46" s="1"/>
      </tp>
      <tp>
        <v>1238.3499999999999</v>
        <stp/>
        <stp>P</stp>
        <stp>0</stp>
        <stp>FRN</stp>
        <stp>BUI:SOFIX</stp>
        <stp>저가</stp>
        <stp>46036</stp>
        <stp/>
        <tr r="H46" s="1"/>
      </tp>
      <tp>
        <v>1071.31</v>
        <stp/>
        <stp>P</stp>
        <stp>0</stp>
        <stp>FRN</stp>
        <stp>SEI:SXASI</stp>
        <stp>종가</stp>
        <stp>46036</stp>
        <stp/>
        <tr r="I37" s="1"/>
      </tp>
      <tp>
        <v>1071.31</v>
        <stp/>
        <stp>P</stp>
        <stp>0</stp>
        <stp>FRN</stp>
        <stp>SEI:SXASI</stp>
        <stp>저가</stp>
        <stp>46036</stp>
        <stp/>
        <tr r="H37" s="1"/>
      </tp>
      <tp>
        <v>1071.31</v>
        <stp/>
        <stp>P</stp>
        <stp>0</stp>
        <stp>FRN</stp>
        <stp>SEI:SXASI</stp>
        <stp>고가</stp>
        <stp>46036</stp>
        <stp/>
        <tr r="G37" s="1"/>
      </tp>
      <tp>
        <v>1267.74</v>
        <stp/>
        <stp>P</stp>
        <stp>0</stp>
        <stp>FRN</stp>
        <stp>BUI:SOFIX</stp>
        <stp>고가</stp>
        <stp>46036</stp>
        <stp/>
        <tr r="G46" s="1"/>
      </tp>
      <tp>
        <v>183951.51</v>
        <stp/>
        <stp>P</stp>
        <stp>0</stp>
        <stp>FRN</stp>
        <stp>PKI:KSE100</stp>
        <stp>고가</stp>
        <stp>46036</stp>
        <stp/>
        <tr r="G20" s="1"/>
      </tp>
      <tp>
        <v>183951.51</v>
        <stp/>
        <stp>P</stp>
        <stp>0</stp>
        <stp>FRN</stp>
        <stp>PKI:KSE100</stp>
        <stp>시가</stp>
        <stp>46036</stp>
        <stp/>
        <tr r="F20" s="1"/>
      </tp>
      <tp>
        <v>183951.51</v>
        <stp/>
        <stp>P</stp>
        <stp>0</stp>
        <stp>FRN</stp>
        <stp>PKI:KSE100</stp>
        <stp>종가</stp>
        <stp>46036</stp>
        <stp/>
        <tr r="I20" s="1"/>
      </tp>
      <tp>
        <v>183951.51</v>
        <stp/>
        <stp>P</stp>
        <stp>0</stp>
        <stp>FRN</stp>
        <stp>PKI:KSE100</stp>
        <stp>저가</stp>
        <stp>46036</stp>
        <stp/>
        <tr r="H20" s="1"/>
      </tp>
      <tp>
        <v>0</v>
        <stp/>
        <stp>P</stp>
        <stp>0</stp>
        <stp>FRN</stp>
        <stp>NZI:NZ50</stp>
        <stp>고가</stp>
        <stp>46036</stp>
        <stp/>
        <tr r="G4" s="1"/>
      </tp>
      <tp>
        <v>13656.05</v>
        <stp/>
        <stp>P</stp>
        <stp>0</stp>
        <stp>FRN</stp>
        <stp>NZI:NZ50</stp>
        <stp>종가</stp>
        <stp>46036</stp>
        <stp/>
        <tr r="I4" s="1"/>
      </tp>
      <tp>
        <v>0</v>
        <stp/>
        <stp>P</stp>
        <stp>0</stp>
        <stp>FRN</stp>
        <stp>NZI:NZ50</stp>
        <stp>저가</stp>
        <stp>46036</stp>
        <stp/>
        <tr r="H4" s="1"/>
      </tp>
      <tp>
        <v>0</v>
        <stp/>
        <stp>P</stp>
        <stp>0</stp>
        <stp>FRN</stp>
        <stp>NZI:NZ50</stp>
        <stp>시가</stp>
        <stp>46036</stp>
        <stp/>
        <tr r="F4" s="1"/>
      </tp>
      <tp>
        <v>30994.81</v>
        <stp/>
        <stp>P</stp>
        <stp>0</stp>
        <stp>FRN</stp>
        <stp>TWS:TI01</stp>
        <stp>고가</stp>
        <stp>46036</stp>
        <stp/>
        <tr r="G7" s="1"/>
      </tp>
      <tp>
        <v>30884.39</v>
        <stp/>
        <stp>P</stp>
        <stp>0</stp>
        <stp>FRN</stp>
        <stp>TWS:TI01</stp>
        <stp>종가</stp>
        <stp>46036</stp>
        <stp/>
        <tr r="I7" s="1"/>
      </tp>
      <tp>
        <v>30742.53</v>
        <stp/>
        <stp>P</stp>
        <stp>0</stp>
        <stp>FRN</stp>
        <stp>TWS:TI01</stp>
        <stp>저가</stp>
        <stp>46036</stp>
        <stp/>
        <tr r="H7" s="1"/>
      </tp>
      <tp>
        <v>30742.53</v>
        <stp/>
        <stp>P</stp>
        <stp>0</stp>
        <stp>FRN</stp>
        <stp>TWS:TI01</stp>
        <stp>시가</stp>
        <stp>46036</stp>
        <stp/>
        <tr r="F7" s="1"/>
      </tp>
      <tp>
        <v>45525.1</v>
        <stp/>
        <stp>P</stp>
        <stp>0</stp>
        <stp>FRN</stp>
        <stp>ITI:FTSEMIB</stp>
        <stp>고가</stp>
        <stp>46036</stp>
        <stp/>
        <tr r="G41" s="1"/>
      </tp>
      <tp>
        <v>45525.1</v>
        <stp/>
        <stp>P</stp>
        <stp>0</stp>
        <stp>FRN</stp>
        <stp>ITI:FTSEMIB</stp>
        <stp>종가</stp>
        <stp>46036</stp>
        <stp/>
        <tr r="I41" s="1"/>
      </tp>
      <tp>
        <v>45525.1</v>
        <stp/>
        <stp>P</stp>
        <stp>0</stp>
        <stp>FRN</stp>
        <stp>ITI:FTSEMIB</stp>
        <stp>저가</stp>
        <stp>46036</stp>
        <stp/>
        <tr r="H41" s="1"/>
      </tp>
      <tp>
        <v>45525.1</v>
        <stp/>
        <stp>P</stp>
        <stp>0</stp>
        <stp>FRN</stp>
        <stp>ITI:FTSEMIB</stp>
        <stp>시가</stp>
        <stp>46036</stp>
        <stp/>
        <tr r="F41" s="1"/>
      </tp>
      <tp>
        <v>2741.1</v>
        <stp/>
        <stp>P</stp>
        <stp>0</stp>
        <stp>FRN</stp>
        <stp>PSE:PX</stp>
        <stp>종가</stp>
        <stp>46036</stp>
        <stp/>
        <tr r="I52" s="1"/>
      </tp>
      <tp>
        <v>2741.1</v>
        <stp/>
        <stp>P</stp>
        <stp>0</stp>
        <stp>FRN</stp>
        <stp>PSE:PX</stp>
        <stp>저가</stp>
        <stp>46036</stp>
        <stp/>
        <tr r="H52" s="1"/>
      </tp>
      <tp>
        <v>2741.1</v>
        <stp/>
        <stp>P</stp>
        <stp>0</stp>
        <stp>FRN</stp>
        <stp>PSE:PX</stp>
        <stp>시가</stp>
        <stp>46036</stp>
        <stp/>
        <tr r="F52" s="1"/>
      </tp>
      <tp>
        <v>2741.1</v>
        <stp/>
        <stp>P</stp>
        <stp>0</stp>
        <stp>FRN</stp>
        <stp>PSE:PX</stp>
        <stp>고가</stp>
        <stp>46036</stp>
        <stp/>
        <tr r="G52" s="1"/>
      </tp>
      <tp>
        <v>0</v>
        <stp/>
        <stp>P</stp>
        <stp>0</stp>
        <stp>FRN</stp>
        <stp>ILI:TA100</stp>
        <stp>전일대비</stp>
        <stp>46036</stp>
        <stp/>
        <tr r="J27" s="1"/>
      </tp>
      <tp>
        <v>630.42999999999995</v>
        <stp/>
        <stp>P</stp>
        <stp>0</stp>
        <stp>FRN</stp>
        <stp>NII:NI225</stp>
        <stp>전일대비</stp>
        <stp>46036</stp>
        <stp/>
        <tr r="J6" s="1"/>
      </tp>
      <tp>
        <v>51.45</v>
        <stp/>
        <stp>P</stp>
        <stp>0</stp>
        <stp>FRN</stp>
        <stp>SHS:000300</stp>
        <stp>전일대비</stp>
        <stp>46036</stp>
        <stp/>
        <tr r="J13" s="1"/>
      </tp>
      <tp>
        <v>0</v>
        <stp/>
        <stp>P</stp>
        <stp>0</stp>
        <stp>FRN</stp>
        <stp>ITI:FTSEMIB</stp>
        <stp>전일대비</stp>
        <stp>46036</stp>
        <stp/>
        <tr r="J41" s="1"/>
      </tp>
      <tp>
        <v>56.98</v>
        <stp/>
        <stp>P</stp>
        <stp>0</stp>
        <stp>FRN</stp>
        <stp>SZS:399106</stp>
        <stp>전일대비</stp>
        <stp>46036</stp>
        <stp/>
        <tr r="J12" s="1"/>
      </tp>
      <tp>
        <v>0</v>
        <stp/>
        <stp>P</stp>
        <stp>0</stp>
        <stp>FRN</stp>
        <stp>PKI:KSE100</stp>
        <stp>전일대비</stp>
        <stp>46036</stp>
        <stp/>
        <tr r="J20" s="1"/>
      </tp>
      <tp>
        <v>0</v>
        <stp/>
        <stp>P</stp>
        <stp>0</stp>
        <stp>FRN</stp>
        <stp>TRI:ISE100</stp>
        <stp>전일대비</stp>
        <stp>46036</stp>
        <stp/>
        <tr r="J29" s="1"/>
      </tp>
      <tp>
        <v>49.48</v>
        <stp/>
        <stp>P</stp>
        <stp>0</stp>
        <stp>FRN</stp>
        <stp>SHS:000001</stp>
        <stp>전일대비</stp>
        <stp>46036</stp>
        <stp/>
        <tr r="J11" s="1"/>
      </tp>
      <tp>
        <v>177.17</v>
        <stp/>
        <stp>P</stp>
        <stp>0</stp>
        <stp>FRN</stp>
        <stp>TWS:TI01</stp>
        <stp>전일대비</stp>
        <stp>46036</stp>
        <stp/>
        <tr r="J7" s="1"/>
      </tp>
      <tp>
        <v>0</v>
        <stp/>
        <stp>P</stp>
        <stp>0</stp>
        <stp>FRN</stp>
        <stp>OMI:MSMI</stp>
        <stp>전일대비</stp>
        <stp>46036</stp>
        <stp/>
        <tr r="J21" s="1"/>
      </tp>
      <tp>
        <v>45.84</v>
        <stp/>
        <stp>P</stp>
        <stp>0</stp>
        <stp>FRN</stp>
        <stp>AUI:AORD</stp>
        <stp>전일대비</stp>
        <stp>46036</stp>
        <stp/>
        <tr r="J5" s="1"/>
      </tp>
      <tp>
        <v>0</v>
        <stp/>
        <stp>P</stp>
        <stp>0</stp>
        <stp>FRN</stp>
        <stp>CHI:SSMI</stp>
        <stp>전일대비</stp>
        <stp>46036</stp>
        <stp/>
        <tr r="J34" s="1"/>
      </tp>
      <tp>
        <v>-24.03</v>
        <stp/>
        <stp>P</stp>
        <stp>0</stp>
        <stp>FRN</stp>
        <stp>NAS:IXIC</stp>
        <stp>전일대비</stp>
        <stp>46036</stp>
        <stp/>
        <tr r="J61" s="1"/>
      </tp>
      <tp>
        <v>0</v>
        <stp/>
        <stp>P</stp>
        <stp>0</stp>
        <stp>FRN</stp>
        <stp>PSE:PX</stp>
        <stp>전일대비</stp>
        <stp>46036</stp>
        <stp/>
        <tr r="J52" s="1"/>
      </tp>
      <tp>
        <v>0</v>
        <stp/>
        <stp>P</stp>
        <stp>0</stp>
        <stp>FRN</stp>
        <stp>IEI:ISEQ</stp>
        <stp>전일대비</stp>
        <stp>46036</stp>
        <stp/>
        <tr r="J49" s="1"/>
      </tp>
      <tp>
        <v>-40654.25</v>
        <stp/>
        <stp>P</stp>
        <stp>0</stp>
        <stp>FRN</stp>
        <stp>ARI:MERV</stp>
        <stp>전일대비</stp>
        <stp>46036</stp>
        <stp/>
        <tr r="J57" s="1"/>
      </tp>
      <tp>
        <v>-0.98</v>
        <stp/>
        <stp>P</stp>
        <stp>0</stp>
        <stp>FRN</stp>
        <stp>MYI:KLSE</stp>
        <stp>전일대비</stp>
        <stp>46036</stp>
        <stp/>
        <tr r="J9" s="1"/>
      </tp>
      <tp>
        <v>0</v>
        <stp/>
        <stp>P</stp>
        <stp>0</stp>
        <stp>FRN</stp>
        <stp>DJI:SX5E</stp>
        <stp>전일대비</stp>
        <stp>46036</stp>
        <stp/>
        <tr r="J53" s="1"/>
      </tp>
      <tp>
        <v>0</v>
        <stp/>
        <stp>P</stp>
        <stp>0</stp>
        <stp>FRN</stp>
        <stp>ESI:IBEX</stp>
        <stp>전일대비</stp>
        <stp>46036</stp>
        <stp/>
        <tr r="J32" s="1"/>
      </tp>
      <tp>
        <v>77.45</v>
        <stp/>
        <stp>P</stp>
        <stp>0</stp>
        <stp>FRN</stp>
        <stp>IDI:JKSE</stp>
        <stp>전일대비</stp>
        <stp>46036</stp>
        <stp/>
        <tr r="J16" s="1"/>
      </tp>
      <tp>
        <v>0</v>
        <stp/>
        <stp>P</stp>
        <stp>0</stp>
        <stp>FRN</stp>
        <stp>QAI:MKIX</stp>
        <stp>전일대비</stp>
        <stp>46036</stp>
        <stp/>
        <tr r="J24" s="1"/>
      </tp>
      <tp>
        <v>0</v>
        <stp/>
        <stp>P</stp>
        <stp>0</stp>
        <stp>FRN</stp>
        <stp>CLI:IGPA</stp>
        <stp>전일대비</stp>
        <stp>46036</stp>
        <stp/>
        <tr r="J55" s="1"/>
      </tp>
      <tp>
        <v>0</v>
        <stp/>
        <stp>P</stp>
        <stp>0</stp>
        <stp>FRN</stp>
        <stp>VEI:INDG</stp>
        <stp>전일대비</stp>
        <stp>46036</stp>
        <stp/>
        <tr r="J64" s="1"/>
      </tp>
      <tp>
        <v>26.28</v>
        <stp/>
        <stp>P</stp>
        <stp>0</stp>
        <stp>FRN</stp>
        <stp>COI:IGBC</stp>
        <stp>전일대비</stp>
        <stp>46036</stp>
        <stp/>
        <tr r="J65" s="1"/>
      </tp>
      <tp>
        <v>0</v>
        <stp/>
        <stp>P</stp>
        <stp>0</stp>
        <stp>FRN</stp>
        <stp>PHI:COMP</stp>
        <stp>전일대비</stp>
        <stp>46036</stp>
        <stp/>
        <tr r="J10" s="1"/>
      </tp>
      <tp>
        <v>-1.91</v>
        <stp/>
        <stp>P</stp>
        <stp>0</stp>
        <stp>FRN</stp>
        <stp>VNI:VIDX</stp>
        <stp>전일대비</stp>
        <stp>46036</stp>
        <stp/>
        <tr r="J19" s="1"/>
      </tp>
      <tp>
        <v>-1177.3</v>
        <stp/>
        <stp>P</stp>
        <stp>0</stp>
        <stp>FRN</stp>
        <stp>BRI:BVSP</stp>
        <stp>전일대비</stp>
        <stp>46036</stp>
        <stp/>
        <tr r="J56" s="1"/>
      </tp>
      <tp>
        <v>0</v>
        <stp/>
        <stp>P</stp>
        <stp>0</stp>
        <stp>FRN</stp>
        <stp>PLI:WIGI</stp>
        <stp>전일대비</stp>
        <stp>46036</stp>
        <stp/>
        <tr r="J42" s="1"/>
      </tp>
      <tp>
        <v>0</v>
        <stp/>
        <stp>P</stp>
        <stp>0</stp>
        <stp>FRN</stp>
        <stp>NZI:NZ50</stp>
        <stp>전일대비</stp>
        <stp>46036</stp>
        <stp/>
        <tr r="J4" s="1"/>
      </tp>
      <tp>
        <v>0</v>
        <stp/>
        <stp>P</stp>
        <stp>0</stp>
        <stp>FRN</stp>
        <stp>LUI:LUXX</stp>
        <stp>전일대비</stp>
        <stp>46036</stp>
        <stp/>
        <tr r="J51" s="1"/>
      </tp>
      <tp>
        <v>0</v>
        <stp/>
        <stp>P</stp>
        <stp>0</stp>
        <stp>FRN</stp>
        <stp>SAI:TASI</stp>
        <stp>전일대비</stp>
        <stp>46036</stp>
        <stp/>
        <tr r="J26" s="1"/>
      </tp>
      <tp>
        <v>81.87</v>
        <stp/>
        <stp>P</stp>
        <stp>0</stp>
        <stp>FRN</stp>
        <stp>HSI:HSCE</stp>
        <stp>전일대비</stp>
        <stp>46036</stp>
        <stp/>
        <tr r="J15" s="1"/>
      </tp>
      <tp>
        <v>0</v>
        <stp/>
        <stp>P</stp>
        <stp>0</stp>
        <stp>FRN</stp>
        <stp>RUI:RTSI</stp>
        <stp>전일대비</stp>
        <stp>46036</stp>
        <stp/>
        <tr r="J28" s="1"/>
      </tp>
      <tp>
        <v>0</v>
        <stp/>
        <stp>P</stp>
        <stp>0</stp>
        <stp>FRN</stp>
        <stp>HUI:BUX</stp>
        <stp>전일대비</stp>
        <stp>46036</stp>
        <stp/>
        <tr r="J48" s="1"/>
      </tp>
      <tp>
        <v>0</v>
        <stp/>
        <stp>P</stp>
        <stp>0</stp>
        <stp>FRN</stp>
        <stp>KWI:BKP</stp>
        <stp>전일대비</stp>
        <stp>46036</stp>
        <stp/>
        <tr r="J23" s="1"/>
      </tp>
      <tp>
        <v>0</v>
        <stp/>
        <stp>P</stp>
        <stp>0</stp>
        <stp>FRN</stp>
        <stp>BEI:MFX</stp>
        <stp>전일대비</stp>
        <stp>46036</stp>
        <stp/>
        <tr r="J33" s="1"/>
      </tp>
      <tp>
        <v>0</v>
        <stp/>
        <stp>P</stp>
        <stp>0</stp>
        <stp>FRN</stp>
        <stp>DKI:KFX</stp>
        <stp>전일대비</stp>
        <stp>46036</stp>
        <stp/>
        <tr r="J30" s="1"/>
      </tp>
      <tp>
        <v>0</v>
        <stp/>
        <stp>P</stp>
        <stp>0</stp>
        <stp>FRN</stp>
        <stp>NLI:AEX</stp>
        <stp>전일대비</stp>
        <stp>46036</stp>
        <stp/>
        <tr r="J38" s="1"/>
      </tp>
      <tp>
        <v>0</v>
        <stp/>
        <stp>P</stp>
        <stp>0</stp>
        <stp>FRN</stp>
        <stp>FII:HEX</stp>
        <stp>전일대비</stp>
        <stp>46036</stp>
        <stp/>
        <tr r="J47" s="1"/>
      </tp>
      <tp>
        <v>0</v>
        <stp/>
        <stp>P</stp>
        <stp>0</stp>
        <stp>FRN</stp>
        <stp>JOI:FTI</stp>
        <stp>전일대비</stp>
        <stp>46036</stp>
        <stp/>
        <tr r="J25" s="1"/>
      </tp>
      <tp>
        <v>-1.1200000000000001</v>
        <stp/>
        <stp>P</stp>
        <stp>0</stp>
        <stp>FRN</stp>
        <stp>FTS:E3X</stp>
        <stp>전일대비</stp>
        <stp>46036</stp>
        <stp/>
        <tr r="J54" s="1"/>
      </tp>
      <tp>
        <v>0</v>
        <stp/>
        <stp>P</stp>
        <stp>0</stp>
        <stp>FRN</stp>
        <stp>ATI:ATX</stp>
        <stp>전일대비</stp>
        <stp>46036</stp>
        <stp/>
        <tr r="J44" s="1"/>
      </tp>
      <tp>
        <v>-13.53</v>
        <stp/>
        <stp>P</stp>
        <stp>0</stp>
        <stp>FRN</stp>
        <stp>SPI:SPX</stp>
        <stp>전일대비</stp>
        <stp>46036</stp>
        <stp/>
        <tr r="J62" s="1"/>
      </tp>
      <tp>
        <v>-398.21</v>
        <stp/>
        <stp>P</stp>
        <stp>0</stp>
        <stp>FRN</stp>
        <stp>DJI:DJI</stp>
        <stp>전일대비</stp>
        <stp>46036</stp>
        <stp/>
        <tr r="J60" s="1"/>
      </tp>
      <tp>
        <v>244.51</v>
        <stp/>
        <stp>P</stp>
        <stp>0</stp>
        <stp>FRN</stp>
        <stp>HSI:HSI</stp>
        <stp>전일대비</stp>
        <stp>46036</stp>
        <stp/>
        <tr r="J14" s="1"/>
      </tp>
      <tp>
        <v>-0.86</v>
        <stp/>
        <stp>P</stp>
        <stp>0</stp>
        <stp>FRN</stp>
        <stp>SGI:STI</stp>
        <stp>전일대비</stp>
        <stp>46036</stp>
        <stp/>
        <tr r="J8" s="1"/>
      </tp>
      <tp>
        <v>0</v>
        <stp/>
        <stp>P</stp>
        <stp>0</stp>
        <stp>FRN</stp>
        <stp>THI:SET</stp>
        <stp>전일대비</stp>
        <stp>46036</stp>
        <stp/>
        <tr r="J17" s="1"/>
      </tp>
      <tp>
        <v>0</v>
        <stp/>
        <stp>P</stp>
        <stp>0</stp>
        <stp>FRN</stp>
        <stp>GRI:ASE</stp>
        <stp>전일대비</stp>
        <stp>46036</stp>
        <stp/>
        <tr r="J40" s="1"/>
      </tp>
      <tp>
        <v>0</v>
        <stp/>
        <stp>P</stp>
        <stp>0</stp>
        <stp>FRN</stp>
        <stp>AEI:DFM</stp>
        <stp>전일대비</stp>
        <stp>46036</stp>
        <stp/>
        <tr r="J22" s="1"/>
      </tp>
      <tp>
        <v>0</v>
        <stp/>
        <stp>P</stp>
        <stp>0</stp>
        <stp>FRN</stp>
        <stp>MXI:IPC</stp>
        <stp>전일대비</stp>
        <stp>46036</stp>
        <stp/>
        <tr r="J63" s="1"/>
      </tp>
      <tp>
        <v>0</v>
        <stp/>
        <stp>P</stp>
        <stp>0</stp>
        <stp>FRN</stp>
        <stp>LNS:FTSE100</stp>
        <stp>전일대비</stp>
        <stp>46036</stp>
        <stp/>
        <tr r="J36" s="1"/>
      </tp>
      <tp>
        <v>0</v>
        <stp/>
        <stp>P</stp>
        <stp>0</stp>
        <stp>FRN</stp>
        <stp>SEI:SXASI</stp>
        <stp>전일대비</stp>
        <stp>46036</stp>
        <stp/>
        <tr r="J37" s="1"/>
      </tp>
      <tp>
        <v>0</v>
        <stp/>
        <stp>P</stp>
        <stp>0</stp>
        <stp>FRN</stp>
        <stp>XTR:DAX30</stp>
        <stp>전일대비</stp>
        <stp>46036</stp>
        <stp/>
        <tr r="J35" s="1"/>
      </tp>
      <tp>
        <v>0</v>
        <stp/>
        <stp>P</stp>
        <stp>0</stp>
        <stp>FRN</stp>
        <stp>PEI:IGBVL</stp>
        <stp>전일대비</stp>
        <stp>46036</stp>
        <stp/>
        <tr r="J58" s="1"/>
      </tp>
      <tp>
        <v>-104.04</v>
        <stp/>
        <stp>P</stp>
        <stp>0</stp>
        <stp>FRN</stp>
        <stp>INI:BSE30</stp>
        <stp>전일대비</stp>
        <stp>46036</stp>
        <stp/>
        <tr r="J18" s="1"/>
      </tp>
      <tp>
        <v>0</v>
        <stp/>
        <stp>P</stp>
        <stp>0</stp>
        <stp>FRN</stp>
        <stp>NOI:OSEAX</stp>
        <stp>전일대비</stp>
        <stp>46036</stp>
        <stp/>
        <tr r="J31" s="1"/>
      </tp>
      <tp>
        <v>0</v>
        <stp/>
        <stp>P</stp>
        <stp>0</stp>
        <stp>FRN</stp>
        <stp>LVI:RIGSE</stp>
        <stp>전일대비</stp>
        <stp>46036</stp>
        <stp/>
        <tr r="J45" s="1"/>
      </tp>
      <tp>
        <v>12.72</v>
        <stp/>
        <stp>P</stp>
        <stp>0</stp>
        <stp>FRN</stp>
        <stp>BUI:SOFIX</stp>
        <stp>전일대비</stp>
        <stp>46036</stp>
        <stp/>
        <tr r="J46" s="1"/>
      </tp>
      <tp>
        <v>0</v>
        <stp/>
        <stp>P</stp>
        <stp>0</stp>
        <stp>FRN</stp>
        <stp>PTI:PSI20</stp>
        <stp>전일대비</stp>
        <stp>46036</stp>
        <stp/>
        <tr r="J43" s="1"/>
      </tp>
      <tp>
        <v>0</v>
        <stp/>
        <stp>P</stp>
        <stp>0</stp>
        <stp>FRN</stp>
        <stp>EGI:CASE30</stp>
        <stp>전일대비</stp>
        <stp>46036</stp>
        <stp/>
        <tr r="J50" s="1"/>
      </tp>
      <tp>
        <v>-4.34</v>
        <stp/>
        <stp>P</stp>
        <stp>0</stp>
        <stp>FRN</stp>
        <stp>CAI:SPTSX</stp>
        <stp>전일대비</stp>
        <stp>46036</stp>
        <stp/>
        <tr r="J59" s="1"/>
      </tp>
      <tp>
        <v>0</v>
        <stp/>
        <stp>P</stp>
        <stp>0</stp>
        <stp>FRN</stp>
        <stp>PAS:CAC40</stp>
        <stp>전일대비</stp>
        <stp>46036</stp>
        <stp/>
        <tr r="J39" s="1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volatileDependencies" Target="volatileDependenci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E12998-A704-431E-8DE5-73AD44DACBEF}" name="표2" displayName="표2" ref="A11:C12" totalsRowShown="0" headerRowDxfId="2" dataDxfId="1">
  <autoFilter ref="A11:C12" xr:uid="{3603491D-A696-451F-9DFB-639D81CB8736}"/>
  <tableColumns count="3">
    <tableColumn id="1" xr3:uid="{8B09ED78-382B-4BB2-8B0A-5EBC74B93389}" name="국가명" dataDxfId="4"/>
    <tableColumn id="2" xr3:uid="{F24C3648-CD63-4297-B9FE-2E9B6DAF154B}" name="코드" dataDxfId="3">
      <calculatedColumnFormula>INDEX(표.코드표[코드],MATCH(표2[국가명],표.코드표[국가명],0))</calculatedColumnFormula>
    </tableColumn>
    <tableColumn id="3" xr3:uid="{D5C384A9-6C03-405F-A3F5-C138F9474957}" name="대분류코드" dataDxfId="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1CE464-19ED-47EE-A251-BE82CCE21420}" name="표.코드표" displayName="표.코드표" ref="A1:E63" totalsRowShown="0" headerRowDxfId="9" dataDxfId="10" headerRowBorderDxfId="16" tableBorderDxfId="17">
  <tableColumns count="5">
    <tableColumn id="1" xr3:uid="{176E0397-4400-4BDE-9995-DCBAC1EC6210}" name="순서" dataDxfId="15"/>
    <tableColumn id="2" xr3:uid="{94CBBC5C-C24B-4BB5-AAA0-740F9CFFF6A3}" name="대륙구분" dataDxfId="14"/>
    <tableColumn id="3" xr3:uid="{FE500833-FAE2-4810-AAEC-1B41D3CFFD28}" name="국가명" dataDxfId="13"/>
    <tableColumn id="4" xr3:uid="{F8142391-CE1D-40E9-ACC3-45C616C00314}" name="지수명" dataDxfId="12"/>
    <tableColumn id="5" xr3:uid="{76A25236-6489-449C-A43C-A6B8CB1EA81B}" name="코드" dataDxfId="1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43"/>
  </sheetPr>
  <dimension ref="A1:AF66"/>
  <sheetViews>
    <sheetView zoomScaleNormal="100" workbookViewId="0">
      <selection activeCell="C4" sqref="C4"/>
    </sheetView>
  </sheetViews>
  <sheetFormatPr defaultRowHeight="15" customHeight="1" x14ac:dyDescent="0.2"/>
  <cols>
    <col min="1" max="1" width="5.75" style="2" bestFit="1" customWidth="1"/>
    <col min="2" max="2" width="9.5" style="1" bestFit="1" customWidth="1"/>
    <col min="3" max="3" width="13.5" style="1" bestFit="1" customWidth="1"/>
    <col min="4" max="4" width="23.625" style="1" bestFit="1" customWidth="1"/>
    <col min="5" max="5" width="12.875" style="1" bestFit="1" customWidth="1"/>
    <col min="6" max="6" width="9" style="1" bestFit="1" customWidth="1"/>
    <col min="7" max="7" width="9" style="2" bestFit="1" customWidth="1"/>
    <col min="8" max="9" width="9.875" style="1" bestFit="1" customWidth="1"/>
    <col min="10" max="10" width="12" style="1" bestFit="1" customWidth="1"/>
    <col min="11" max="16384" width="9" style="1"/>
  </cols>
  <sheetData>
    <row r="1" spans="1:32" ht="15" customHeight="1" x14ac:dyDescent="0.2">
      <c r="A1" s="75" t="s">
        <v>244</v>
      </c>
      <c r="B1" s="79">
        <f ca="1">TODAY()</f>
        <v>46036</v>
      </c>
      <c r="C1" s="54"/>
      <c r="D1" s="54"/>
      <c r="E1" s="54"/>
      <c r="F1" s="54"/>
      <c r="G1" s="78"/>
      <c r="H1" s="54"/>
      <c r="I1" s="54"/>
      <c r="J1" s="54"/>
    </row>
    <row r="2" spans="1:32" ht="15" customHeight="1" x14ac:dyDescent="0.2">
      <c r="A2" s="78"/>
      <c r="B2" s="54"/>
      <c r="C2" s="54"/>
      <c r="D2" s="54"/>
      <c r="E2" s="54"/>
      <c r="F2" s="54"/>
      <c r="G2" s="78"/>
      <c r="H2" s="54"/>
      <c r="I2" s="54"/>
      <c r="J2" s="54"/>
      <c r="M2" s="119" t="s">
        <v>272</v>
      </c>
    </row>
    <row r="3" spans="1:32" ht="15" customHeight="1" x14ac:dyDescent="0.2">
      <c r="A3" s="73" t="s">
        <v>233</v>
      </c>
      <c r="B3" s="73" t="s">
        <v>234</v>
      </c>
      <c r="C3" s="73" t="s">
        <v>235</v>
      </c>
      <c r="D3" s="73" t="s">
        <v>236</v>
      </c>
      <c r="E3" s="73" t="s">
        <v>237</v>
      </c>
      <c r="F3" s="73" t="s">
        <v>238</v>
      </c>
      <c r="G3" s="73" t="s">
        <v>1</v>
      </c>
      <c r="H3" s="73" t="s">
        <v>2</v>
      </c>
      <c r="I3" s="73" t="s">
        <v>239</v>
      </c>
      <c r="J3" s="73" t="s">
        <v>3</v>
      </c>
      <c r="M3" s="1" t="str">
        <f>_xll.IMDH("FRN",E19,"현재가","2024-12-30","2024-01-14")</f>
        <v>조회[VNI:VIDX]</v>
      </c>
      <c r="O3" s="3"/>
    </row>
    <row r="4" spans="1:32" ht="15" customHeight="1" x14ac:dyDescent="0.2">
      <c r="A4" s="19">
        <v>1</v>
      </c>
      <c r="B4" s="19" t="s">
        <v>172</v>
      </c>
      <c r="C4" s="20" t="s">
        <v>65</v>
      </c>
      <c r="D4" s="21" t="s">
        <v>79</v>
      </c>
      <c r="E4" s="80" t="s">
        <v>39</v>
      </c>
      <c r="F4" s="106">
        <f ca="1">_xll.IMDP("FRN",$E4,F$3,$B$1)</f>
        <v>0</v>
      </c>
      <c r="G4" s="106">
        <f ca="1">_xll.IMDP("FRN",$E4,G$3,$B$1)</f>
        <v>0</v>
      </c>
      <c r="H4" s="106">
        <f ca="1">_xll.IMDP("FRN",$E4,H$3,$B$1)</f>
        <v>0</v>
      </c>
      <c r="I4" s="106">
        <f ca="1">_xll.IMDP("FRN",$E4,I$3,$B$1)</f>
        <v>13656.05</v>
      </c>
      <c r="J4" s="112">
        <f ca="1">_xll.IMDP("FRN",$E4,J$3,$B$1)</f>
        <v>0</v>
      </c>
    </row>
    <row r="5" spans="1:32" ht="15" customHeight="1" x14ac:dyDescent="0.2">
      <c r="A5" s="27">
        <v>2</v>
      </c>
      <c r="B5" s="27" t="s">
        <v>172</v>
      </c>
      <c r="C5" s="28" t="s">
        <v>66</v>
      </c>
      <c r="D5" s="29" t="s">
        <v>108</v>
      </c>
      <c r="E5" s="81" t="s">
        <v>4</v>
      </c>
      <c r="F5" s="107">
        <f ca="1">_xll.IMDP("FRN",$E5,F$3,$B$1)</f>
        <v>9127.6</v>
      </c>
      <c r="G5" s="107">
        <f ca="1">_xll.IMDP("FRN",$E5,G$3,$B$1)</f>
        <v>9185.5</v>
      </c>
      <c r="H5" s="107">
        <f ca="1">_xll.IMDP("FRN",$E5,H$3,$B$1)</f>
        <v>9118.7000000000007</v>
      </c>
      <c r="I5" s="107">
        <f ca="1">_xll.IMDP("FRN",$E5,I$3,$B$1)</f>
        <v>9138.49</v>
      </c>
      <c r="J5" s="113">
        <f ca="1">_xll.IMDP("FRN",$E5,J$3,$B$1)</f>
        <v>45.84</v>
      </c>
    </row>
    <row r="6" spans="1:32" ht="15" customHeight="1" x14ac:dyDescent="0.2">
      <c r="A6" s="27">
        <v>3</v>
      </c>
      <c r="B6" s="27" t="s">
        <v>172</v>
      </c>
      <c r="C6" s="28" t="s">
        <v>67</v>
      </c>
      <c r="D6" s="29" t="s">
        <v>109</v>
      </c>
      <c r="E6" s="81" t="s">
        <v>35</v>
      </c>
      <c r="F6" s="107">
        <f ca="1">_xll.IMDP("FRN",$E6,F$3,$B$1)</f>
        <v>53827.24</v>
      </c>
      <c r="G6" s="107">
        <f ca="1">_xll.IMDP("FRN",$E6,G$3,$B$1)</f>
        <v>54487.32</v>
      </c>
      <c r="H6" s="107">
        <f ca="1">_xll.IMDP("FRN",$E6,H$3,$B$1)</f>
        <v>53792.68</v>
      </c>
      <c r="I6" s="107">
        <f ca="1">_xll.IMDP("FRN",$E6,I$3,$B$1)</f>
        <v>54179.59</v>
      </c>
      <c r="J6" s="113">
        <f ca="1">_xll.IMDP("FRN",$E6,J$3,$B$1)</f>
        <v>630.42999999999995</v>
      </c>
    </row>
    <row r="7" spans="1:32" ht="15" customHeight="1" x14ac:dyDescent="0.2">
      <c r="A7" s="27">
        <v>4</v>
      </c>
      <c r="B7" s="27" t="s">
        <v>172</v>
      </c>
      <c r="C7" s="28" t="s">
        <v>68</v>
      </c>
      <c r="D7" s="29" t="s">
        <v>110</v>
      </c>
      <c r="E7" s="81" t="s">
        <v>60</v>
      </c>
      <c r="F7" s="107">
        <f ca="1">_xll.IMDP("FRN",$E7,F$3,$B$1)</f>
        <v>30742.53</v>
      </c>
      <c r="G7" s="107">
        <f ca="1">_xll.IMDP("FRN",$E7,G$3,$B$1)</f>
        <v>30994.81</v>
      </c>
      <c r="H7" s="107">
        <f ca="1">_xll.IMDP("FRN",$E7,H$3,$B$1)</f>
        <v>30742.53</v>
      </c>
      <c r="I7" s="107">
        <f ca="1">_xll.IMDP("FRN",$E7,I$3,$B$1)</f>
        <v>30884.39</v>
      </c>
      <c r="J7" s="113">
        <f ca="1">_xll.IMDP("FRN",$E7,J$3,$B$1)</f>
        <v>177.17</v>
      </c>
    </row>
    <row r="8" spans="1:32" ht="15" customHeight="1" x14ac:dyDescent="0.2">
      <c r="A8" s="27">
        <v>5</v>
      </c>
      <c r="B8" s="27" t="s">
        <v>172</v>
      </c>
      <c r="C8" s="28" t="s">
        <v>69</v>
      </c>
      <c r="D8" s="29" t="s">
        <v>111</v>
      </c>
      <c r="E8" s="81" t="s">
        <v>54</v>
      </c>
      <c r="F8" s="107">
        <f ca="1">_xll.IMDP("FRN",$E8,F$3,$B$1)</f>
        <v>4800.99</v>
      </c>
      <c r="G8" s="107">
        <f ca="1">_xll.IMDP("FRN",$E8,G$3,$B$1)</f>
        <v>4807.07</v>
      </c>
      <c r="H8" s="107">
        <f ca="1">_xll.IMDP("FRN",$E8,H$3,$B$1)</f>
        <v>4786.42</v>
      </c>
      <c r="I8" s="107">
        <f ca="1">_xll.IMDP("FRN",$E8,I$3,$B$1)</f>
        <v>4806.2700000000004</v>
      </c>
      <c r="J8" s="113">
        <f ca="1">_xll.IMDP("FRN",$E8,J$3,$B$1)</f>
        <v>-0.86</v>
      </c>
    </row>
    <row r="9" spans="1:32" ht="15" customHeight="1" x14ac:dyDescent="0.2">
      <c r="A9" s="27">
        <v>6</v>
      </c>
      <c r="B9" s="27" t="s">
        <v>172</v>
      </c>
      <c r="C9" s="28" t="s">
        <v>70</v>
      </c>
      <c r="D9" s="29" t="s">
        <v>112</v>
      </c>
      <c r="E9" s="81" t="s">
        <v>33</v>
      </c>
      <c r="F9" s="107">
        <f ca="1">_xll.IMDP("FRN",$E9,F$3,$B$1)</f>
        <v>1705.88</v>
      </c>
      <c r="G9" s="107">
        <f ca="1">_xll.IMDP("FRN",$E9,G$3,$B$1)</f>
        <v>1711.66</v>
      </c>
      <c r="H9" s="107">
        <f ca="1">_xll.IMDP("FRN",$E9,H$3,$B$1)</f>
        <v>1704.03</v>
      </c>
      <c r="I9" s="107">
        <f ca="1">_xll.IMDP("FRN",$E9,I$3,$B$1)</f>
        <v>1707.22</v>
      </c>
      <c r="J9" s="113">
        <f ca="1">_xll.IMDP("FRN",$E9,J$3,$B$1)</f>
        <v>-0.98</v>
      </c>
    </row>
    <row r="10" spans="1:32" ht="15" customHeight="1" x14ac:dyDescent="0.2">
      <c r="A10" s="27">
        <v>7</v>
      </c>
      <c r="B10" s="27" t="s">
        <v>172</v>
      </c>
      <c r="C10" s="28" t="s">
        <v>43</v>
      </c>
      <c r="D10" s="29" t="s">
        <v>175</v>
      </c>
      <c r="E10" s="81" t="s">
        <v>44</v>
      </c>
      <c r="F10" s="107">
        <f ca="1">_xll.IMDP("FRN",$E10,F$3,$B$1)</f>
        <v>0</v>
      </c>
      <c r="G10" s="107">
        <f ca="1">_xll.IMDP("FRN",$E10,G$3,$B$1)</f>
        <v>0</v>
      </c>
      <c r="H10" s="107">
        <f ca="1">_xll.IMDP("FRN",$E10,H$3,$B$1)</f>
        <v>0</v>
      </c>
      <c r="I10" s="107">
        <f ca="1">_xll.IMDP("FRN",$E10,I$3,$B$1)</f>
        <v>6419.96</v>
      </c>
      <c r="J10" s="113">
        <f ca="1">_xll.IMDP("FRN",$E10,J$3,$B$1)</f>
        <v>0</v>
      </c>
    </row>
    <row r="11" spans="1:32" ht="15" customHeight="1" x14ac:dyDescent="0.2">
      <c r="A11" s="27">
        <v>8</v>
      </c>
      <c r="B11" s="27" t="s">
        <v>172</v>
      </c>
      <c r="C11" s="28" t="s">
        <v>113</v>
      </c>
      <c r="D11" s="29" t="s">
        <v>114</v>
      </c>
      <c r="E11" s="81" t="s">
        <v>55</v>
      </c>
      <c r="F11" s="107">
        <f ca="1">_xll.IMDP("FRN",$E11,F$3,$B$1)</f>
        <v>4138.6499999999996</v>
      </c>
      <c r="G11" s="107">
        <f ca="1">_xll.IMDP("FRN",$E11,G$3,$B$1)</f>
        <v>4190.87</v>
      </c>
      <c r="H11" s="107">
        <f ca="1">_xll.IMDP("FRN",$E11,H$3,$B$1)</f>
        <v>4138.6499999999996</v>
      </c>
      <c r="I11" s="107">
        <f ca="1">_xll.IMDP("FRN",$E11,I$3,$B$1)</f>
        <v>4188.24</v>
      </c>
      <c r="J11" s="113">
        <f ca="1">_xll.IMDP("FRN",$E11,J$3,$B$1)</f>
        <v>49.48</v>
      </c>
      <c r="N11" s="94"/>
      <c r="R11" s="97"/>
      <c r="S11" s="98"/>
      <c r="T11" s="98"/>
      <c r="W11" s="99"/>
      <c r="X11" s="95"/>
      <c r="Y11" s="95"/>
      <c r="AA11" s="96"/>
      <c r="AF11" s="94"/>
    </row>
    <row r="12" spans="1:32" ht="15" customHeight="1" x14ac:dyDescent="0.2">
      <c r="A12" s="19">
        <v>9</v>
      </c>
      <c r="B12" s="27" t="s">
        <v>245</v>
      </c>
      <c r="C12" s="28" t="s">
        <v>246</v>
      </c>
      <c r="D12" s="29" t="s">
        <v>247</v>
      </c>
      <c r="E12" s="81" t="s">
        <v>248</v>
      </c>
      <c r="F12" s="107">
        <f ca="1">_xll.IMDP("FRN",$E12,F$3,$B$1)</f>
        <v>2677.69</v>
      </c>
      <c r="G12" s="107">
        <f ca="1">_xll.IMDP("FRN",$E12,G$3,$B$1)</f>
        <v>2733.18</v>
      </c>
      <c r="H12" s="107">
        <f ca="1">_xll.IMDP("FRN",$E12,H$3,$B$1)</f>
        <v>2677.69</v>
      </c>
      <c r="I12" s="107">
        <f ca="1">_xll.IMDP("FRN",$E12,I$3,$B$1)</f>
        <v>2733.02</v>
      </c>
      <c r="J12" s="113">
        <f ca="1">_xll.IMDP("FRN",$E12,J$3,$B$1)</f>
        <v>56.98</v>
      </c>
      <c r="N12" s="94"/>
      <c r="R12" s="97"/>
      <c r="S12" s="98"/>
      <c r="T12" s="98"/>
      <c r="W12" s="99"/>
      <c r="X12" s="95"/>
      <c r="Y12" s="95"/>
      <c r="AA12" s="96"/>
      <c r="AF12" s="94"/>
    </row>
    <row r="13" spans="1:32" ht="15" customHeight="1" x14ac:dyDescent="0.2">
      <c r="A13" s="27">
        <v>10</v>
      </c>
      <c r="B13" s="27" t="s">
        <v>249</v>
      </c>
      <c r="C13" s="28" t="s">
        <v>250</v>
      </c>
      <c r="D13" s="29" t="s">
        <v>251</v>
      </c>
      <c r="E13" s="81" t="s">
        <v>252</v>
      </c>
      <c r="F13" s="107">
        <f ca="1">_xll.IMDP("FRN",$E13,F$3,$B$1)</f>
        <v>4767.7</v>
      </c>
      <c r="G13" s="107">
        <f ca="1">_xll.IMDP("FRN",$E13,G$3,$B$1)</f>
        <v>4818.1000000000004</v>
      </c>
      <c r="H13" s="107">
        <f ca="1">_xll.IMDP("FRN",$E13,H$3,$B$1)</f>
        <v>4767.7</v>
      </c>
      <c r="I13" s="107">
        <f ca="1">_xll.IMDP("FRN",$E13,I$3,$B$1)</f>
        <v>4812.4799999999996</v>
      </c>
      <c r="J13" s="113">
        <f ca="1">_xll.IMDP("FRN",$E13,J$3,$B$1)</f>
        <v>51.45</v>
      </c>
      <c r="N13" s="94"/>
      <c r="R13" s="97"/>
      <c r="S13" s="98"/>
      <c r="T13" s="98"/>
      <c r="W13" s="99"/>
      <c r="X13" s="95"/>
      <c r="Y13" s="95"/>
      <c r="AA13" s="96"/>
      <c r="AF13" s="94"/>
    </row>
    <row r="14" spans="1:32" ht="15" customHeight="1" x14ac:dyDescent="0.2">
      <c r="A14" s="27">
        <v>11</v>
      </c>
      <c r="B14" s="27" t="s">
        <v>172</v>
      </c>
      <c r="C14" s="28" t="s">
        <v>115</v>
      </c>
      <c r="D14" s="29" t="s">
        <v>116</v>
      </c>
      <c r="E14" s="81" t="s">
        <v>19</v>
      </c>
      <c r="F14" s="107">
        <f ca="1">_xll.IMDP("FRN",$E14,F$3,$B$1)</f>
        <v>26971.97</v>
      </c>
      <c r="G14" s="107">
        <f ca="1">_xll.IMDP("FRN",$E14,G$3,$B$1)</f>
        <v>27097.72</v>
      </c>
      <c r="H14" s="107">
        <f ca="1">_xll.IMDP("FRN",$E14,H$3,$B$1)</f>
        <v>26852.57</v>
      </c>
      <c r="I14" s="107">
        <f ca="1">_xll.IMDP("FRN",$E14,I$3,$B$1)</f>
        <v>27092.98</v>
      </c>
      <c r="J14" s="113">
        <f ca="1">_xll.IMDP("FRN",$E14,J$3,$B$1)</f>
        <v>244.51</v>
      </c>
      <c r="M14" s="94"/>
    </row>
    <row r="15" spans="1:32" ht="15" customHeight="1" x14ac:dyDescent="0.2">
      <c r="A15" s="27">
        <v>12</v>
      </c>
      <c r="B15" s="27" t="s">
        <v>172</v>
      </c>
      <c r="C15" s="28" t="s">
        <v>117</v>
      </c>
      <c r="D15" s="29" t="s">
        <v>118</v>
      </c>
      <c r="E15" s="81" t="s">
        <v>18</v>
      </c>
      <c r="F15" s="107">
        <f ca="1">_xll.IMDP("FRN",$E15,F$3,$B$1)</f>
        <v>9328.0499999999993</v>
      </c>
      <c r="G15" s="107">
        <f ca="1">_xll.IMDP("FRN",$E15,G$3,$B$1)</f>
        <v>9370.33</v>
      </c>
      <c r="H15" s="107">
        <f ca="1">_xll.IMDP("FRN",$E15,H$3,$B$1)</f>
        <v>9272.24</v>
      </c>
      <c r="I15" s="107">
        <f ca="1">_xll.IMDP("FRN",$E15,I$3,$B$1)</f>
        <v>9367.2800000000007</v>
      </c>
      <c r="J15" s="113">
        <f ca="1">_xll.IMDP("FRN",$E15,J$3,$B$1)</f>
        <v>81.87</v>
      </c>
      <c r="M15" s="94"/>
    </row>
    <row r="16" spans="1:32" ht="15" customHeight="1" x14ac:dyDescent="0.2">
      <c r="A16" s="27">
        <v>13</v>
      </c>
      <c r="B16" s="27" t="s">
        <v>172</v>
      </c>
      <c r="C16" s="28" t="s">
        <v>71</v>
      </c>
      <c r="D16" s="29" t="s">
        <v>119</v>
      </c>
      <c r="E16" s="81" t="s">
        <v>21</v>
      </c>
      <c r="F16" s="107">
        <f ca="1">_xll.IMDP("FRN",$E16,F$3,$B$1)</f>
        <v>9007.0499999999993</v>
      </c>
      <c r="G16" s="107">
        <f ca="1">_xll.IMDP("FRN",$E16,G$3,$B$1)</f>
        <v>9038.81</v>
      </c>
      <c r="H16" s="107">
        <f ca="1">_xll.IMDP("FRN",$E16,H$3,$B$1)</f>
        <v>8979.6</v>
      </c>
      <c r="I16" s="107">
        <f ca="1">_xll.IMDP("FRN",$E16,I$3,$B$1)</f>
        <v>9025.76</v>
      </c>
      <c r="J16" s="113">
        <f ca="1">_xll.IMDP("FRN",$E16,J$3,$B$1)</f>
        <v>77.45</v>
      </c>
    </row>
    <row r="17" spans="1:10" ht="15" customHeight="1" x14ac:dyDescent="0.2">
      <c r="A17" s="27">
        <v>14</v>
      </c>
      <c r="B17" s="27" t="s">
        <v>172</v>
      </c>
      <c r="C17" s="28" t="s">
        <v>72</v>
      </c>
      <c r="D17" s="29" t="s">
        <v>120</v>
      </c>
      <c r="E17" s="81" t="s">
        <v>58</v>
      </c>
      <c r="F17" s="107">
        <f ca="1">_xll.IMDP("FRN",$E17,F$3,$B$1)</f>
        <v>0</v>
      </c>
      <c r="G17" s="107">
        <f ca="1">_xll.IMDP("FRN",$E17,G$3,$B$1)</f>
        <v>0</v>
      </c>
      <c r="H17" s="107">
        <f ca="1">_xll.IMDP("FRN",$E17,H$3,$B$1)</f>
        <v>0</v>
      </c>
      <c r="I17" s="107">
        <f ca="1">_xll.IMDP("FRN",$E17,I$3,$B$1)</f>
        <v>1235.3</v>
      </c>
      <c r="J17" s="113">
        <f ca="1">_xll.IMDP("FRN",$E17,J$3,$B$1)</f>
        <v>0</v>
      </c>
    </row>
    <row r="18" spans="1:10" ht="15" customHeight="1" x14ac:dyDescent="0.2">
      <c r="A18" s="27">
        <v>15</v>
      </c>
      <c r="B18" s="27" t="s">
        <v>172</v>
      </c>
      <c r="C18" s="28" t="s">
        <v>121</v>
      </c>
      <c r="D18" s="29" t="s">
        <v>122</v>
      </c>
      <c r="E18" s="81" t="s">
        <v>24</v>
      </c>
      <c r="F18" s="107">
        <f ca="1">_xll.IMDP("FRN",$E18,F$3,$B$1)</f>
        <v>83358.539999999994</v>
      </c>
      <c r="G18" s="107">
        <f ca="1">_xll.IMDP("FRN",$E18,G$3,$B$1)</f>
        <v>83715.929999999993</v>
      </c>
      <c r="H18" s="107">
        <f ca="1">_xll.IMDP("FRN",$E18,H$3,$B$1)</f>
        <v>83288.13</v>
      </c>
      <c r="I18" s="107">
        <f ca="1">_xll.IMDP("FRN",$E18,I$3,$B$1)</f>
        <v>83523.649999999994</v>
      </c>
      <c r="J18" s="113">
        <f ca="1">_xll.IMDP("FRN",$E18,J$3,$B$1)</f>
        <v>-104.04</v>
      </c>
    </row>
    <row r="19" spans="1:10" ht="15" customHeight="1" x14ac:dyDescent="0.2">
      <c r="A19" s="27">
        <v>16</v>
      </c>
      <c r="B19" s="27" t="s">
        <v>172</v>
      </c>
      <c r="C19" s="28" t="s">
        <v>73</v>
      </c>
      <c r="D19" s="29" t="s">
        <v>123</v>
      </c>
      <c r="E19" s="81" t="s">
        <v>62</v>
      </c>
      <c r="F19" s="107">
        <f ca="1">_xll.IMDP("FRN",$E19,F$3,$B$1)</f>
        <v>1902.93</v>
      </c>
      <c r="G19" s="107">
        <f ca="1">_xll.IMDP("FRN",$E19,G$3,$B$1)</f>
        <v>1918.46</v>
      </c>
      <c r="H19" s="107">
        <f ca="1">_xll.IMDP("FRN",$E19,H$3,$B$1)</f>
        <v>1890.55</v>
      </c>
      <c r="I19" s="107">
        <f ca="1">_xll.IMDP("FRN",$E19,I$3,$B$1)</f>
        <v>1901.02</v>
      </c>
      <c r="J19" s="113">
        <f ca="1">_xll.IMDP("FRN",$E19,J$3,$B$1)</f>
        <v>-1.91</v>
      </c>
    </row>
    <row r="20" spans="1:10" ht="15" customHeight="1" x14ac:dyDescent="0.2">
      <c r="A20" s="19">
        <v>17</v>
      </c>
      <c r="B20" s="27" t="s">
        <v>172</v>
      </c>
      <c r="C20" s="28" t="s">
        <v>74</v>
      </c>
      <c r="D20" s="29" t="s">
        <v>124</v>
      </c>
      <c r="E20" s="81" t="s">
        <v>45</v>
      </c>
      <c r="F20" s="107">
        <f ca="1">_xll.IMDP("FRN",$E20,F$3,$B$1)</f>
        <v>183951.51</v>
      </c>
      <c r="G20" s="107">
        <f ca="1">_xll.IMDP("FRN",$E20,G$3,$B$1)</f>
        <v>183951.51</v>
      </c>
      <c r="H20" s="107">
        <f ca="1">_xll.IMDP("FRN",$E20,H$3,$B$1)</f>
        <v>183951.51</v>
      </c>
      <c r="I20" s="107">
        <f ca="1">_xll.IMDP("FRN",$E20,I$3,$B$1)</f>
        <v>183951.51</v>
      </c>
      <c r="J20" s="113">
        <f ca="1">_xll.IMDP("FRN",$E20,J$3,$B$1)</f>
        <v>0</v>
      </c>
    </row>
    <row r="21" spans="1:10" ht="15" customHeight="1" x14ac:dyDescent="0.2">
      <c r="A21" s="27">
        <v>18</v>
      </c>
      <c r="B21" s="27" t="s">
        <v>172</v>
      </c>
      <c r="C21" s="28" t="s">
        <v>75</v>
      </c>
      <c r="D21" s="29" t="s">
        <v>125</v>
      </c>
      <c r="E21" s="81" t="s">
        <v>40</v>
      </c>
      <c r="F21" s="107">
        <f ca="1">_xll.IMDP("FRN",$E21,F$3,$B$1)</f>
        <v>6178.11</v>
      </c>
      <c r="G21" s="107">
        <f ca="1">_xll.IMDP("FRN",$E21,G$3,$B$1)</f>
        <v>6178.11</v>
      </c>
      <c r="H21" s="107">
        <f ca="1">_xll.IMDP("FRN",$E21,H$3,$B$1)</f>
        <v>6178.11</v>
      </c>
      <c r="I21" s="107">
        <f ca="1">_xll.IMDP("FRN",$E21,I$3,$B$1)</f>
        <v>6178.11</v>
      </c>
      <c r="J21" s="113">
        <f ca="1">_xll.IMDP("FRN",$E21,J$3,$B$1)</f>
        <v>0</v>
      </c>
    </row>
    <row r="22" spans="1:10" ht="15" customHeight="1" x14ac:dyDescent="0.2">
      <c r="A22" s="27">
        <v>19</v>
      </c>
      <c r="B22" s="27" t="s">
        <v>172</v>
      </c>
      <c r="C22" s="28" t="s">
        <v>64</v>
      </c>
      <c r="D22" s="29" t="s">
        <v>126</v>
      </c>
      <c r="E22" s="81" t="s">
        <v>240</v>
      </c>
      <c r="F22" s="107">
        <f ca="1">_xll.IMDP("FRN",$E22,F$3,$B$1)</f>
        <v>6319.3</v>
      </c>
      <c r="G22" s="107">
        <f ca="1">_xll.IMDP("FRN",$E22,G$3,$B$1)</f>
        <v>6319.3</v>
      </c>
      <c r="H22" s="107">
        <f ca="1">_xll.IMDP("FRN",$E22,H$3,$B$1)</f>
        <v>6319.3</v>
      </c>
      <c r="I22" s="107">
        <f ca="1">_xll.IMDP("FRN",$E22,I$3,$B$1)</f>
        <v>6319.3</v>
      </c>
      <c r="J22" s="113">
        <f ca="1">_xll.IMDP("FRN",$E22,J$3,$B$1)</f>
        <v>0</v>
      </c>
    </row>
    <row r="23" spans="1:10" ht="15" customHeight="1" x14ac:dyDescent="0.2">
      <c r="A23" s="27">
        <v>20</v>
      </c>
      <c r="B23" s="27" t="s">
        <v>172</v>
      </c>
      <c r="C23" s="28" t="s">
        <v>27</v>
      </c>
      <c r="D23" s="29" t="s">
        <v>253</v>
      </c>
      <c r="E23" s="81" t="s">
        <v>255</v>
      </c>
      <c r="F23" s="107">
        <f ca="1">_xll.IMDP("FRN",$E23,F$3,$B$1)</f>
        <v>9424.15</v>
      </c>
      <c r="G23" s="107">
        <f ca="1">_xll.IMDP("FRN",$E23,G$3,$B$1)</f>
        <v>9424.15</v>
      </c>
      <c r="H23" s="107">
        <f ca="1">_xll.IMDP("FRN",$E23,H$3,$B$1)</f>
        <v>9424.15</v>
      </c>
      <c r="I23" s="107">
        <f ca="1">_xll.IMDP("FRN",$E23,I$3,$B$1)</f>
        <v>9424.15</v>
      </c>
      <c r="J23" s="113">
        <f ca="1">_xll.IMDP("FRN",$E23,J$3,$B$1)</f>
        <v>0</v>
      </c>
    </row>
    <row r="24" spans="1:10" ht="15" customHeight="1" x14ac:dyDescent="0.2">
      <c r="A24" s="27">
        <v>21</v>
      </c>
      <c r="B24" s="27" t="s">
        <v>172</v>
      </c>
      <c r="C24" s="28" t="s">
        <v>48</v>
      </c>
      <c r="D24" s="29" t="s">
        <v>128</v>
      </c>
      <c r="E24" s="81" t="s">
        <v>49</v>
      </c>
      <c r="F24" s="107">
        <f ca="1">_xll.IMDP("FRN",$E24,F$3,$B$1)</f>
        <v>11229.22</v>
      </c>
      <c r="G24" s="107">
        <f ca="1">_xll.IMDP("FRN",$E24,G$3,$B$1)</f>
        <v>11229.22</v>
      </c>
      <c r="H24" s="107">
        <f ca="1">_xll.IMDP("FRN",$E24,H$3,$B$1)</f>
        <v>11229.22</v>
      </c>
      <c r="I24" s="107">
        <f ca="1">_xll.IMDP("FRN",$E24,I$3,$B$1)</f>
        <v>11229.22</v>
      </c>
      <c r="J24" s="113">
        <f ca="1">_xll.IMDP("FRN",$E24,J$3,$B$1)</f>
        <v>0</v>
      </c>
    </row>
    <row r="25" spans="1:10" ht="15" customHeight="1" x14ac:dyDescent="0.2">
      <c r="A25" s="27">
        <v>22</v>
      </c>
      <c r="B25" s="27" t="s">
        <v>172</v>
      </c>
      <c r="C25" s="28" t="s">
        <v>76</v>
      </c>
      <c r="D25" s="29" t="s">
        <v>129</v>
      </c>
      <c r="E25" s="81" t="s">
        <v>26</v>
      </c>
      <c r="F25" s="107">
        <f ca="1">_xll.IMDP("FRN",$E25,F$3,$B$1)</f>
        <v>3555.87</v>
      </c>
      <c r="G25" s="107">
        <f ca="1">_xll.IMDP("FRN",$E25,G$3,$B$1)</f>
        <v>3555.87</v>
      </c>
      <c r="H25" s="107">
        <f ca="1">_xll.IMDP("FRN",$E25,H$3,$B$1)</f>
        <v>3555.87</v>
      </c>
      <c r="I25" s="107">
        <f ca="1">_xll.IMDP("FRN",$E25,I$3,$B$1)</f>
        <v>3555.87</v>
      </c>
      <c r="J25" s="113">
        <f ca="1">_xll.IMDP("FRN",$E25,J$3,$B$1)</f>
        <v>0</v>
      </c>
    </row>
    <row r="26" spans="1:10" ht="15" customHeight="1" x14ac:dyDescent="0.2">
      <c r="A26" s="27">
        <v>23</v>
      </c>
      <c r="B26" s="27" t="s">
        <v>172</v>
      </c>
      <c r="C26" s="28" t="s">
        <v>77</v>
      </c>
      <c r="D26" s="29" t="s">
        <v>130</v>
      </c>
      <c r="E26" s="81" t="s">
        <v>51</v>
      </c>
      <c r="F26" s="107">
        <f ca="1">_xll.IMDP("FRN",$E26,F$3,$B$1)</f>
        <v>10893.63</v>
      </c>
      <c r="G26" s="107">
        <f ca="1">_xll.IMDP("FRN",$E26,G$3,$B$1)</f>
        <v>10893.63</v>
      </c>
      <c r="H26" s="107">
        <f ca="1">_xll.IMDP("FRN",$E26,H$3,$B$1)</f>
        <v>10893.63</v>
      </c>
      <c r="I26" s="107">
        <f ca="1">_xll.IMDP("FRN",$E26,I$3,$B$1)</f>
        <v>10893.63</v>
      </c>
      <c r="J26" s="113">
        <f ca="1">_xll.IMDP("FRN",$E26,J$3,$B$1)</f>
        <v>0</v>
      </c>
    </row>
    <row r="27" spans="1:10" ht="15" customHeight="1" x14ac:dyDescent="0.2">
      <c r="A27" s="27">
        <v>24</v>
      </c>
      <c r="B27" s="34" t="s">
        <v>172</v>
      </c>
      <c r="C27" s="35" t="s">
        <v>78</v>
      </c>
      <c r="D27" s="36" t="s">
        <v>131</v>
      </c>
      <c r="E27" s="82" t="s">
        <v>23</v>
      </c>
      <c r="F27" s="108">
        <f ca="1">_xll.IMDP("FRN",$E27,F$3,$B$1)</f>
        <v>3913.39</v>
      </c>
      <c r="G27" s="108">
        <f ca="1">_xll.IMDP("FRN",$E27,G$3,$B$1)</f>
        <v>3913.39</v>
      </c>
      <c r="H27" s="108">
        <f ca="1">_xll.IMDP("FRN",$E27,H$3,$B$1)</f>
        <v>3913.39</v>
      </c>
      <c r="I27" s="108">
        <f ca="1">_xll.IMDP("FRN",$E27,I$3,$B$1)</f>
        <v>3913.39</v>
      </c>
      <c r="J27" s="114">
        <f ca="1">_xll.IMDP("FRN",$E27,J$3,$B$1)</f>
        <v>0</v>
      </c>
    </row>
    <row r="28" spans="1:10" ht="15" customHeight="1" x14ac:dyDescent="0.2">
      <c r="A28" s="19">
        <v>25</v>
      </c>
      <c r="B28" s="38" t="s">
        <v>174</v>
      </c>
      <c r="C28" s="39" t="s">
        <v>80</v>
      </c>
      <c r="D28" s="40" t="s">
        <v>132</v>
      </c>
      <c r="E28" s="83" t="s">
        <v>50</v>
      </c>
      <c r="F28" s="109">
        <f ca="1">_xll.IMDP("FRN",$E28,F$3,$B$1)</f>
        <v>1077.44</v>
      </c>
      <c r="G28" s="109">
        <f ca="1">_xll.IMDP("FRN",$E28,G$3,$B$1)</f>
        <v>1077.44</v>
      </c>
      <c r="H28" s="109">
        <f ca="1">_xll.IMDP("FRN",$E28,H$3,$B$1)</f>
        <v>1077.44</v>
      </c>
      <c r="I28" s="109">
        <f ca="1">_xll.IMDP("FRN",$E28,I$3,$B$1)</f>
        <v>1077.44</v>
      </c>
      <c r="J28" s="115">
        <f ca="1">_xll.IMDP("FRN",$E28,J$3,$B$1)</f>
        <v>0</v>
      </c>
    </row>
    <row r="29" spans="1:10" ht="15" customHeight="1" x14ac:dyDescent="0.2">
      <c r="A29" s="27">
        <v>26</v>
      </c>
      <c r="B29" s="38" t="s">
        <v>174</v>
      </c>
      <c r="C29" s="39" t="s">
        <v>81</v>
      </c>
      <c r="D29" s="40" t="s">
        <v>133</v>
      </c>
      <c r="E29" s="83" t="s">
        <v>59</v>
      </c>
      <c r="F29" s="109">
        <f ca="1">_xll.IMDP("FRN",$E29,F$3,$B$1)</f>
        <v>12385.61</v>
      </c>
      <c r="G29" s="109">
        <f ca="1">_xll.IMDP("FRN",$E29,G$3,$B$1)</f>
        <v>12385.61</v>
      </c>
      <c r="H29" s="109">
        <f ca="1">_xll.IMDP("FRN",$E29,H$3,$B$1)</f>
        <v>12385.61</v>
      </c>
      <c r="I29" s="109">
        <f ca="1">_xll.IMDP("FRN",$E29,I$3,$B$1)</f>
        <v>12385.61</v>
      </c>
      <c r="J29" s="115">
        <f ca="1">_xll.IMDP("FRN",$E29,J$3,$B$1)</f>
        <v>0</v>
      </c>
    </row>
    <row r="30" spans="1:10" ht="15" customHeight="1" x14ac:dyDescent="0.2">
      <c r="A30" s="27">
        <v>27</v>
      </c>
      <c r="B30" s="38" t="s">
        <v>174</v>
      </c>
      <c r="C30" s="39" t="s">
        <v>82</v>
      </c>
      <c r="D30" s="40" t="s">
        <v>134</v>
      </c>
      <c r="E30" s="83" t="s">
        <v>13</v>
      </c>
      <c r="F30" s="109">
        <f ca="1">_xll.IMDP("FRN",$E30,F$3,$B$1)</f>
        <v>1751.79</v>
      </c>
      <c r="G30" s="109">
        <f ca="1">_xll.IMDP("FRN",$E30,G$3,$B$1)</f>
        <v>1751.79</v>
      </c>
      <c r="H30" s="109">
        <f ca="1">_xll.IMDP("FRN",$E30,H$3,$B$1)</f>
        <v>1751.79</v>
      </c>
      <c r="I30" s="109">
        <f ca="1">_xll.IMDP("FRN",$E30,I$3,$B$1)</f>
        <v>1751.79</v>
      </c>
      <c r="J30" s="115">
        <f ca="1">_xll.IMDP("FRN",$E30,J$3,$B$1)</f>
        <v>0</v>
      </c>
    </row>
    <row r="31" spans="1:10" ht="15" customHeight="1" x14ac:dyDescent="0.2">
      <c r="A31" s="27">
        <v>28</v>
      </c>
      <c r="B31" s="38" t="s">
        <v>174</v>
      </c>
      <c r="C31" s="39" t="s">
        <v>37</v>
      </c>
      <c r="D31" s="40" t="s">
        <v>135</v>
      </c>
      <c r="E31" s="83" t="s">
        <v>38</v>
      </c>
      <c r="F31" s="109">
        <f ca="1">_xll.IMDP("FRN",$E31,F$3,$B$1)</f>
        <v>1985.2</v>
      </c>
      <c r="G31" s="109">
        <f ca="1">_xll.IMDP("FRN",$E31,G$3,$B$1)</f>
        <v>1985.2</v>
      </c>
      <c r="H31" s="109">
        <f ca="1">_xll.IMDP("FRN",$E31,H$3,$B$1)</f>
        <v>1985.2</v>
      </c>
      <c r="I31" s="109">
        <f ca="1">_xll.IMDP("FRN",$E31,I$3,$B$1)</f>
        <v>1985.2</v>
      </c>
      <c r="J31" s="115">
        <f ca="1">_xll.IMDP("FRN",$E31,J$3,$B$1)</f>
        <v>0</v>
      </c>
    </row>
    <row r="32" spans="1:10" ht="15" customHeight="1" x14ac:dyDescent="0.2">
      <c r="A32" s="27">
        <v>29</v>
      </c>
      <c r="B32" s="38" t="s">
        <v>174</v>
      </c>
      <c r="C32" s="39" t="s">
        <v>83</v>
      </c>
      <c r="D32" s="40" t="s">
        <v>136</v>
      </c>
      <c r="E32" s="83" t="s">
        <v>15</v>
      </c>
      <c r="F32" s="109">
        <f ca="1">_xll.IMDP("FRN",$E32,F$3,$B$1)</f>
        <v>17687.099999999999</v>
      </c>
      <c r="G32" s="109">
        <f ca="1">_xll.IMDP("FRN",$E32,G$3,$B$1)</f>
        <v>17687.099999999999</v>
      </c>
      <c r="H32" s="109">
        <f ca="1">_xll.IMDP("FRN",$E32,H$3,$B$1)</f>
        <v>17687.099999999999</v>
      </c>
      <c r="I32" s="109">
        <f ca="1">_xll.IMDP("FRN",$E32,I$3,$B$1)</f>
        <v>17687.099999999999</v>
      </c>
      <c r="J32" s="115">
        <f ca="1">_xll.IMDP("FRN",$E32,J$3,$B$1)</f>
        <v>0</v>
      </c>
    </row>
    <row r="33" spans="1:10" ht="15" customHeight="1" x14ac:dyDescent="0.2">
      <c r="A33" s="27">
        <v>30</v>
      </c>
      <c r="B33" s="38" t="s">
        <v>174</v>
      </c>
      <c r="C33" s="39" t="s">
        <v>84</v>
      </c>
      <c r="D33" s="40" t="s">
        <v>241</v>
      </c>
      <c r="E33" s="83" t="s">
        <v>5</v>
      </c>
      <c r="F33" s="109">
        <f ca="1">_xll.IMDP("FRN",$E33,F$3,$B$1)</f>
        <v>5250.09</v>
      </c>
      <c r="G33" s="109">
        <f ca="1">_xll.IMDP("FRN",$E33,G$3,$B$1)</f>
        <v>5250.09</v>
      </c>
      <c r="H33" s="109">
        <f ca="1">_xll.IMDP("FRN",$E33,H$3,$B$1)</f>
        <v>5250.09</v>
      </c>
      <c r="I33" s="109">
        <f ca="1">_xll.IMDP("FRN",$E33,I$3,$B$1)</f>
        <v>5250.09</v>
      </c>
      <c r="J33" s="115">
        <f ca="1">_xll.IMDP("FRN",$E33,J$3,$B$1)</f>
        <v>0</v>
      </c>
    </row>
    <row r="34" spans="1:10" ht="15" customHeight="1" x14ac:dyDescent="0.2">
      <c r="A34" s="27">
        <v>31</v>
      </c>
      <c r="B34" s="38" t="s">
        <v>174</v>
      </c>
      <c r="C34" s="39" t="s">
        <v>85</v>
      </c>
      <c r="D34" s="40" t="s">
        <v>137</v>
      </c>
      <c r="E34" s="83" t="s">
        <v>9</v>
      </c>
      <c r="F34" s="109">
        <f ca="1">_xll.IMDP("FRN",$E34,F$3,$B$1)</f>
        <v>13364.73</v>
      </c>
      <c r="G34" s="109">
        <f ca="1">_xll.IMDP("FRN",$E34,G$3,$B$1)</f>
        <v>13364.73</v>
      </c>
      <c r="H34" s="109">
        <f ca="1">_xll.IMDP("FRN",$E34,H$3,$B$1)</f>
        <v>13364.73</v>
      </c>
      <c r="I34" s="109">
        <f ca="1">_xll.IMDP("FRN",$E34,I$3,$B$1)</f>
        <v>13364.73</v>
      </c>
      <c r="J34" s="115">
        <f ca="1">_xll.IMDP("FRN",$E34,J$3,$B$1)</f>
        <v>0</v>
      </c>
    </row>
    <row r="35" spans="1:10" ht="15" customHeight="1" x14ac:dyDescent="0.2">
      <c r="A35" s="27">
        <v>32</v>
      </c>
      <c r="B35" s="38" t="s">
        <v>174</v>
      </c>
      <c r="C35" s="39" t="s">
        <v>86</v>
      </c>
      <c r="D35" s="40" t="s">
        <v>138</v>
      </c>
      <c r="E35" s="83" t="s">
        <v>63</v>
      </c>
      <c r="F35" s="109">
        <f ca="1">_xll.IMDP("FRN",$E35,F$3,$B$1)</f>
        <v>25420.66</v>
      </c>
      <c r="G35" s="109">
        <f ca="1">_xll.IMDP("FRN",$E35,G$3,$B$1)</f>
        <v>25420.66</v>
      </c>
      <c r="H35" s="109">
        <f ca="1">_xll.IMDP("FRN",$E35,H$3,$B$1)</f>
        <v>25420.66</v>
      </c>
      <c r="I35" s="109">
        <f ca="1">_xll.IMDP("FRN",$E35,I$3,$B$1)</f>
        <v>25420.66</v>
      </c>
      <c r="J35" s="115">
        <f ca="1">_xll.IMDP("FRN",$E35,J$3,$B$1)</f>
        <v>0</v>
      </c>
    </row>
    <row r="36" spans="1:10" ht="15" customHeight="1" x14ac:dyDescent="0.2">
      <c r="A36" s="19">
        <v>33</v>
      </c>
      <c r="B36" s="38" t="s">
        <v>174</v>
      </c>
      <c r="C36" s="39" t="s">
        <v>87</v>
      </c>
      <c r="D36" s="40" t="s">
        <v>28</v>
      </c>
      <c r="E36" s="83" t="s">
        <v>29</v>
      </c>
      <c r="F36" s="109">
        <f ca="1">_xll.IMDP("FRN",$E36,F$3,$B$1)</f>
        <v>10137.35</v>
      </c>
      <c r="G36" s="109">
        <f ca="1">_xll.IMDP("FRN",$E36,G$3,$B$1)</f>
        <v>10137.35</v>
      </c>
      <c r="H36" s="109">
        <f ca="1">_xll.IMDP("FRN",$E36,H$3,$B$1)</f>
        <v>10137.35</v>
      </c>
      <c r="I36" s="109">
        <f ca="1">_xll.IMDP("FRN",$E36,I$3,$B$1)</f>
        <v>10137.35</v>
      </c>
      <c r="J36" s="115">
        <f ca="1">_xll.IMDP("FRN",$E36,J$3,$B$1)</f>
        <v>0</v>
      </c>
    </row>
    <row r="37" spans="1:10" ht="15" customHeight="1" x14ac:dyDescent="0.2">
      <c r="A37" s="27">
        <v>34</v>
      </c>
      <c r="B37" s="38" t="s">
        <v>174</v>
      </c>
      <c r="C37" s="39" t="s">
        <v>52</v>
      </c>
      <c r="D37" s="40" t="s">
        <v>139</v>
      </c>
      <c r="E37" s="83" t="s">
        <v>53</v>
      </c>
      <c r="F37" s="109">
        <f ca="1">_xll.IMDP("FRN",$E37,F$3,$B$1)</f>
        <v>1071.31</v>
      </c>
      <c r="G37" s="109">
        <f ca="1">_xll.IMDP("FRN",$E37,G$3,$B$1)</f>
        <v>1071.31</v>
      </c>
      <c r="H37" s="109">
        <f ca="1">_xll.IMDP("FRN",$E37,H$3,$B$1)</f>
        <v>1071.31</v>
      </c>
      <c r="I37" s="109">
        <f ca="1">_xll.IMDP("FRN",$E37,I$3,$B$1)</f>
        <v>1071.31</v>
      </c>
      <c r="J37" s="115">
        <f ca="1">_xll.IMDP("FRN",$E37,J$3,$B$1)</f>
        <v>0</v>
      </c>
    </row>
    <row r="38" spans="1:10" ht="15" customHeight="1" x14ac:dyDescent="0.2">
      <c r="A38" s="27">
        <v>35</v>
      </c>
      <c r="B38" s="38" t="s">
        <v>174</v>
      </c>
      <c r="C38" s="39" t="s">
        <v>88</v>
      </c>
      <c r="D38" s="40" t="s">
        <v>140</v>
      </c>
      <c r="E38" s="83" t="s">
        <v>36</v>
      </c>
      <c r="F38" s="109">
        <f ca="1">_xll.IMDP("FRN",$E38,F$3,$B$1)</f>
        <v>997.17</v>
      </c>
      <c r="G38" s="109">
        <f ca="1">_xll.IMDP("FRN",$E38,G$3,$B$1)</f>
        <v>997.17</v>
      </c>
      <c r="H38" s="109">
        <f ca="1">_xll.IMDP("FRN",$E38,H$3,$B$1)</f>
        <v>997.17</v>
      </c>
      <c r="I38" s="109">
        <f ca="1">_xll.IMDP("FRN",$E38,I$3,$B$1)</f>
        <v>997.17</v>
      </c>
      <c r="J38" s="115">
        <f ca="1">_xll.IMDP("FRN",$E38,J$3,$B$1)</f>
        <v>0</v>
      </c>
    </row>
    <row r="39" spans="1:10" ht="15" customHeight="1" x14ac:dyDescent="0.2">
      <c r="A39" s="27">
        <v>36</v>
      </c>
      <c r="B39" s="38" t="s">
        <v>174</v>
      </c>
      <c r="C39" s="39" t="s">
        <v>89</v>
      </c>
      <c r="D39" s="40" t="s">
        <v>141</v>
      </c>
      <c r="E39" s="83" t="s">
        <v>41</v>
      </c>
      <c r="F39" s="109">
        <f ca="1">_xll.IMDP("FRN",$E39,F$3,$B$1)</f>
        <v>8347.2000000000007</v>
      </c>
      <c r="G39" s="109">
        <f ca="1">_xll.IMDP("FRN",$E39,G$3,$B$1)</f>
        <v>8347.2000000000007</v>
      </c>
      <c r="H39" s="109">
        <f ca="1">_xll.IMDP("FRN",$E39,H$3,$B$1)</f>
        <v>8347.2000000000007</v>
      </c>
      <c r="I39" s="109">
        <f ca="1">_xll.IMDP("FRN",$E39,I$3,$B$1)</f>
        <v>8347.2000000000007</v>
      </c>
      <c r="J39" s="115">
        <f ca="1">_xll.IMDP("FRN",$E39,J$3,$B$1)</f>
        <v>0</v>
      </c>
    </row>
    <row r="40" spans="1:10" ht="15" customHeight="1" x14ac:dyDescent="0.2">
      <c r="A40" s="27">
        <v>37</v>
      </c>
      <c r="B40" s="38" t="s">
        <v>174</v>
      </c>
      <c r="C40" s="39" t="s">
        <v>90</v>
      </c>
      <c r="D40" s="40" t="s">
        <v>142</v>
      </c>
      <c r="E40" s="83" t="s">
        <v>17</v>
      </c>
      <c r="F40" s="109">
        <f ca="1">_xll.IMDP("FRN",$E40,F$3,$B$1)</f>
        <v>2206.3000000000002</v>
      </c>
      <c r="G40" s="109">
        <f ca="1">_xll.IMDP("FRN",$E40,G$3,$B$1)</f>
        <v>2206.3000000000002</v>
      </c>
      <c r="H40" s="109">
        <f ca="1">_xll.IMDP("FRN",$E40,H$3,$B$1)</f>
        <v>2206.3000000000002</v>
      </c>
      <c r="I40" s="109">
        <f ca="1">_xll.IMDP("FRN",$E40,I$3,$B$1)</f>
        <v>2206.3000000000002</v>
      </c>
      <c r="J40" s="115">
        <f ca="1">_xll.IMDP("FRN",$E40,J$3,$B$1)</f>
        <v>0</v>
      </c>
    </row>
    <row r="41" spans="1:10" ht="15" customHeight="1" x14ac:dyDescent="0.2">
      <c r="A41" s="27">
        <v>38</v>
      </c>
      <c r="B41" s="38" t="s">
        <v>174</v>
      </c>
      <c r="C41" s="39" t="s">
        <v>91</v>
      </c>
      <c r="D41" s="40" t="s">
        <v>143</v>
      </c>
      <c r="E41" s="83" t="s">
        <v>25</v>
      </c>
      <c r="F41" s="109">
        <f ca="1">_xll.IMDP("FRN",$E41,F$3,$B$1)</f>
        <v>45525.1</v>
      </c>
      <c r="G41" s="109">
        <f ca="1">_xll.IMDP("FRN",$E41,G$3,$B$1)</f>
        <v>45525.1</v>
      </c>
      <c r="H41" s="109">
        <f ca="1">_xll.IMDP("FRN",$E41,H$3,$B$1)</f>
        <v>45525.1</v>
      </c>
      <c r="I41" s="109">
        <f ca="1">_xll.IMDP("FRN",$E41,I$3,$B$1)</f>
        <v>45525.1</v>
      </c>
      <c r="J41" s="115">
        <f ca="1">_xll.IMDP("FRN",$E41,J$3,$B$1)</f>
        <v>0</v>
      </c>
    </row>
    <row r="42" spans="1:10" ht="15" customHeight="1" x14ac:dyDescent="0.2">
      <c r="A42" s="27">
        <v>39</v>
      </c>
      <c r="B42" s="38" t="s">
        <v>174</v>
      </c>
      <c r="C42" s="39" t="s">
        <v>144</v>
      </c>
      <c r="D42" s="40" t="s">
        <v>145</v>
      </c>
      <c r="E42" s="83" t="s">
        <v>46</v>
      </c>
      <c r="F42" s="109">
        <f ca="1">_xll.IMDP("FRN",$E42,F$3,$B$1)</f>
        <v>121794.45</v>
      </c>
      <c r="G42" s="109">
        <f ca="1">_xll.IMDP("FRN",$E42,G$3,$B$1)</f>
        <v>121794.45</v>
      </c>
      <c r="H42" s="109">
        <f ca="1">_xll.IMDP("FRN",$E42,H$3,$B$1)</f>
        <v>121794.45</v>
      </c>
      <c r="I42" s="109">
        <f ca="1">_xll.IMDP("FRN",$E42,I$3,$B$1)</f>
        <v>121794.45</v>
      </c>
      <c r="J42" s="115">
        <f ca="1">_xll.IMDP("FRN",$E42,J$3,$B$1)</f>
        <v>0</v>
      </c>
    </row>
    <row r="43" spans="1:10" ht="15" customHeight="1" x14ac:dyDescent="0.2">
      <c r="A43" s="27">
        <v>40</v>
      </c>
      <c r="B43" s="38" t="s">
        <v>174</v>
      </c>
      <c r="C43" s="39" t="s">
        <v>146</v>
      </c>
      <c r="D43" s="40" t="s">
        <v>147</v>
      </c>
      <c r="E43" s="83" t="s">
        <v>47</v>
      </c>
      <c r="F43" s="109">
        <f ca="1">_xll.IMDP("FRN",$E43,F$3,$B$1)</f>
        <v>8559.09</v>
      </c>
      <c r="G43" s="109">
        <f ca="1">_xll.IMDP("FRN",$E43,G$3,$B$1)</f>
        <v>8559.09</v>
      </c>
      <c r="H43" s="109">
        <f ca="1">_xll.IMDP("FRN",$E43,H$3,$B$1)</f>
        <v>8559.09</v>
      </c>
      <c r="I43" s="109">
        <f ca="1">_xll.IMDP("FRN",$E43,I$3,$B$1)</f>
        <v>8559.09</v>
      </c>
      <c r="J43" s="115">
        <f ca="1">_xll.IMDP("FRN",$E43,J$3,$B$1)</f>
        <v>0</v>
      </c>
    </row>
    <row r="44" spans="1:10" ht="15" customHeight="1" x14ac:dyDescent="0.2">
      <c r="A44" s="19">
        <v>41</v>
      </c>
      <c r="B44" s="38" t="s">
        <v>174</v>
      </c>
      <c r="C44" s="39" t="s">
        <v>92</v>
      </c>
      <c r="D44" s="40" t="s">
        <v>148</v>
      </c>
      <c r="E44" s="83" t="s">
        <v>242</v>
      </c>
      <c r="F44" s="109">
        <f ca="1">_xll.IMDP("FRN",$E44,F$3,$B$1)</f>
        <v>5410.3</v>
      </c>
      <c r="G44" s="109">
        <f ca="1">_xll.IMDP("FRN",$E44,G$3,$B$1)</f>
        <v>5410.3</v>
      </c>
      <c r="H44" s="109">
        <f ca="1">_xll.IMDP("FRN",$E44,H$3,$B$1)</f>
        <v>5410.3</v>
      </c>
      <c r="I44" s="109">
        <f ca="1">_xll.IMDP("FRN",$E44,I$3,$B$1)</f>
        <v>5410.3</v>
      </c>
      <c r="J44" s="115">
        <f ca="1">_xll.IMDP("FRN",$E44,J$3,$B$1)</f>
        <v>0</v>
      </c>
    </row>
    <row r="45" spans="1:10" ht="15" customHeight="1" x14ac:dyDescent="0.2">
      <c r="A45" s="27">
        <v>42</v>
      </c>
      <c r="B45" s="38" t="s">
        <v>174</v>
      </c>
      <c r="C45" s="39" t="s">
        <v>93</v>
      </c>
      <c r="D45" s="40" t="s">
        <v>149</v>
      </c>
      <c r="E45" s="83" t="s">
        <v>31</v>
      </c>
      <c r="F45" s="109">
        <f ca="1">_xll.IMDP("FRN",$E45,F$3,$B$1)</f>
        <v>926.76</v>
      </c>
      <c r="G45" s="109">
        <f ca="1">_xll.IMDP("FRN",$E45,G$3,$B$1)</f>
        <v>927.77</v>
      </c>
      <c r="H45" s="109">
        <f ca="1">_xll.IMDP("FRN",$E45,H$3,$B$1)</f>
        <v>922.71</v>
      </c>
      <c r="I45" s="109">
        <f ca="1">_xll.IMDP("FRN",$E45,I$3,$B$1)</f>
        <v>927.48</v>
      </c>
      <c r="J45" s="115">
        <f ca="1">_xll.IMDP("FRN",$E45,J$3,$B$1)</f>
        <v>0</v>
      </c>
    </row>
    <row r="46" spans="1:10" ht="15" customHeight="1" x14ac:dyDescent="0.2">
      <c r="A46" s="27">
        <v>43</v>
      </c>
      <c r="B46" s="38" t="s">
        <v>174</v>
      </c>
      <c r="C46" s="39" t="s">
        <v>94</v>
      </c>
      <c r="D46" s="40" t="s">
        <v>150</v>
      </c>
      <c r="E46" s="83" t="s">
        <v>7</v>
      </c>
      <c r="F46" s="109">
        <f ca="1">_xll.IMDP("FRN",$E46,F$3,$B$1)</f>
        <v>1254.31</v>
      </c>
      <c r="G46" s="109">
        <f ca="1">_xll.IMDP("FRN",$E46,G$3,$B$1)</f>
        <v>1267.74</v>
      </c>
      <c r="H46" s="109">
        <f ca="1">_xll.IMDP("FRN",$E46,H$3,$B$1)</f>
        <v>1238.3499999999999</v>
      </c>
      <c r="I46" s="109">
        <f ca="1">_xll.IMDP("FRN",$E46,I$3,$B$1)</f>
        <v>1267.03</v>
      </c>
      <c r="J46" s="115">
        <f ca="1">_xll.IMDP("FRN",$E46,J$3,$B$1)</f>
        <v>12.72</v>
      </c>
    </row>
    <row r="47" spans="1:10" ht="15" customHeight="1" x14ac:dyDescent="0.2">
      <c r="A47" s="27">
        <v>44</v>
      </c>
      <c r="B47" s="38" t="s">
        <v>174</v>
      </c>
      <c r="C47" s="39" t="s">
        <v>95</v>
      </c>
      <c r="D47" s="40" t="s">
        <v>151</v>
      </c>
      <c r="E47" s="83" t="s">
        <v>16</v>
      </c>
      <c r="F47" s="109">
        <f ca="1">_xll.IMDP("FRN",$E47,F$3,$B$1)</f>
        <v>5792.43</v>
      </c>
      <c r="G47" s="109">
        <f ca="1">_xll.IMDP("FRN",$E47,G$3,$B$1)</f>
        <v>5792.43</v>
      </c>
      <c r="H47" s="109">
        <f ca="1">_xll.IMDP("FRN",$E47,H$3,$B$1)</f>
        <v>5792.43</v>
      </c>
      <c r="I47" s="109">
        <f ca="1">_xll.IMDP("FRN",$E47,I$3,$B$1)</f>
        <v>5792.43</v>
      </c>
      <c r="J47" s="115">
        <f ca="1">_xll.IMDP("FRN",$E47,J$3,$B$1)</f>
        <v>0</v>
      </c>
    </row>
    <row r="48" spans="1:10" ht="15" customHeight="1" x14ac:dyDescent="0.2">
      <c r="A48" s="27">
        <v>45</v>
      </c>
      <c r="B48" s="38" t="s">
        <v>174</v>
      </c>
      <c r="C48" s="39" t="s">
        <v>96</v>
      </c>
      <c r="D48" s="40" t="s">
        <v>152</v>
      </c>
      <c r="E48" s="83" t="s">
        <v>20</v>
      </c>
      <c r="F48" s="109">
        <f ca="1">_xll.IMDP("FRN",$E48,F$3,$B$1)</f>
        <v>118863.12</v>
      </c>
      <c r="G48" s="109">
        <f ca="1">_xll.IMDP("FRN",$E48,G$3,$B$1)</f>
        <v>118863.12</v>
      </c>
      <c r="H48" s="109">
        <f ca="1">_xll.IMDP("FRN",$E48,H$3,$B$1)</f>
        <v>118863.12</v>
      </c>
      <c r="I48" s="109">
        <f ca="1">_xll.IMDP("FRN",$E48,I$3,$B$1)</f>
        <v>118863.12</v>
      </c>
      <c r="J48" s="115">
        <f ca="1">_xll.IMDP("FRN",$E48,J$3,$B$1)</f>
        <v>0</v>
      </c>
    </row>
    <row r="49" spans="1:10" ht="15" customHeight="1" x14ac:dyDescent="0.2">
      <c r="A49" s="27">
        <v>46</v>
      </c>
      <c r="B49" s="38" t="s">
        <v>174</v>
      </c>
      <c r="C49" s="39" t="s">
        <v>97</v>
      </c>
      <c r="D49" s="40" t="s">
        <v>153</v>
      </c>
      <c r="E49" s="83" t="s">
        <v>22</v>
      </c>
      <c r="F49" s="109">
        <f ca="1">_xll.IMDP("FRN",$E49,F$3,$B$1)</f>
        <v>12972.66</v>
      </c>
      <c r="G49" s="109">
        <f ca="1">_xll.IMDP("FRN",$E49,G$3,$B$1)</f>
        <v>12972.66</v>
      </c>
      <c r="H49" s="109">
        <f ca="1">_xll.IMDP("FRN",$E49,H$3,$B$1)</f>
        <v>12972.66</v>
      </c>
      <c r="I49" s="109">
        <f ca="1">_xll.IMDP("FRN",$E49,I$3,$B$1)</f>
        <v>12972.66</v>
      </c>
      <c r="J49" s="115">
        <f ca="1">_xll.IMDP("FRN",$E49,J$3,$B$1)</f>
        <v>0</v>
      </c>
    </row>
    <row r="50" spans="1:10" ht="15" customHeight="1" x14ac:dyDescent="0.2">
      <c r="A50" s="27">
        <v>47</v>
      </c>
      <c r="B50" s="38" t="s">
        <v>174</v>
      </c>
      <c r="C50" s="39" t="s">
        <v>98</v>
      </c>
      <c r="D50" s="40" t="s">
        <v>154</v>
      </c>
      <c r="E50" s="83" t="s">
        <v>14</v>
      </c>
      <c r="F50" s="109">
        <f ca="1">_xll.IMDP("FRN",$E50,F$3,$B$1)</f>
        <v>43684.22</v>
      </c>
      <c r="G50" s="109">
        <f ca="1">_xll.IMDP("FRN",$E50,G$3,$B$1)</f>
        <v>43684.22</v>
      </c>
      <c r="H50" s="109">
        <f ca="1">_xll.IMDP("FRN",$E50,H$3,$B$1)</f>
        <v>43684.22</v>
      </c>
      <c r="I50" s="109">
        <f ca="1">_xll.IMDP("FRN",$E50,I$3,$B$1)</f>
        <v>43684.22</v>
      </c>
      <c r="J50" s="115">
        <f ca="1">_xll.IMDP("FRN",$E50,J$3,$B$1)</f>
        <v>0</v>
      </c>
    </row>
    <row r="51" spans="1:10" ht="15" customHeight="1" x14ac:dyDescent="0.2">
      <c r="A51" s="27">
        <v>48</v>
      </c>
      <c r="B51" s="43" t="s">
        <v>174</v>
      </c>
      <c r="C51" s="84" t="s">
        <v>99</v>
      </c>
      <c r="D51" s="45" t="s">
        <v>155</v>
      </c>
      <c r="E51" s="85" t="s">
        <v>30</v>
      </c>
      <c r="F51" s="110">
        <f ca="1">_xll.IMDP("FRN",$E51,F$3,$B$1)</f>
        <v>1885.13</v>
      </c>
      <c r="G51" s="110">
        <f ca="1">_xll.IMDP("FRN",$E51,G$3,$B$1)</f>
        <v>1885.13</v>
      </c>
      <c r="H51" s="110">
        <f ca="1">_xll.IMDP("FRN",$E51,H$3,$B$1)</f>
        <v>1885.13</v>
      </c>
      <c r="I51" s="110">
        <f ca="1">_xll.IMDP("FRN",$E51,I$3,$B$1)</f>
        <v>1885.13</v>
      </c>
      <c r="J51" s="116">
        <f ca="1">_xll.IMDP("FRN",$E51,J$3,$B$1)</f>
        <v>0</v>
      </c>
    </row>
    <row r="52" spans="1:10" ht="15" customHeight="1" x14ac:dyDescent="0.2">
      <c r="A52" s="19">
        <v>49</v>
      </c>
      <c r="B52" s="38" t="s">
        <v>266</v>
      </c>
      <c r="C52" s="39" t="s">
        <v>263</v>
      </c>
      <c r="D52" s="40" t="s">
        <v>265</v>
      </c>
      <c r="E52" s="83" t="s">
        <v>264</v>
      </c>
      <c r="F52" s="109">
        <f ca="1">_xll.IMDP("FRN",$E52,F$3,$B$1)</f>
        <v>2741.1</v>
      </c>
      <c r="G52" s="109">
        <f ca="1">_xll.IMDP("FRN",$E52,G$3,$B$1)</f>
        <v>2741.1</v>
      </c>
      <c r="H52" s="109">
        <f ca="1">_xll.IMDP("FRN",$E52,H$3,$B$1)</f>
        <v>2741.1</v>
      </c>
      <c r="I52" s="109">
        <f ca="1">_xll.IMDP("FRN",$E52,I$3,$B$1)</f>
        <v>2741.1</v>
      </c>
      <c r="J52" s="115">
        <f ca="1">_xll.IMDP("FRN",$E52,J$3,$B$1)</f>
        <v>0</v>
      </c>
    </row>
    <row r="53" spans="1:10" ht="15" customHeight="1" x14ac:dyDescent="0.2">
      <c r="A53" s="27">
        <v>50</v>
      </c>
      <c r="B53" s="38" t="s">
        <v>266</v>
      </c>
      <c r="C53" s="39" t="s">
        <v>257</v>
      </c>
      <c r="D53" s="40" t="s">
        <v>258</v>
      </c>
      <c r="E53" s="83" t="s">
        <v>259</v>
      </c>
      <c r="F53" s="109">
        <f ca="1">_xll.IMDP("FRN",$E53,F$3,$B$1)</f>
        <v>6029.83</v>
      </c>
      <c r="G53" s="109">
        <f ca="1">_xll.IMDP("FRN",$E53,G$3,$B$1)</f>
        <v>6029.83</v>
      </c>
      <c r="H53" s="109">
        <f ca="1">_xll.IMDP("FRN",$E53,H$3,$B$1)</f>
        <v>6029.83</v>
      </c>
      <c r="I53" s="109">
        <f ca="1">_xll.IMDP("FRN",$E53,I$3,$B$1)</f>
        <v>6029.83</v>
      </c>
      <c r="J53" s="115">
        <f ca="1">_xll.IMDP("FRN",$E53,J$3,$B$1)</f>
        <v>0</v>
      </c>
    </row>
    <row r="54" spans="1:10" ht="15" customHeight="1" x14ac:dyDescent="0.2">
      <c r="A54" s="27">
        <v>51</v>
      </c>
      <c r="B54" s="38" t="s">
        <v>266</v>
      </c>
      <c r="C54" s="39" t="s">
        <v>260</v>
      </c>
      <c r="D54" s="40" t="s">
        <v>261</v>
      </c>
      <c r="E54" s="83" t="s">
        <v>262</v>
      </c>
      <c r="F54" s="109">
        <f ca="1">_xll.IMDP("FRN",$E54,F$3,$B$1)</f>
        <v>2437.34</v>
      </c>
      <c r="G54" s="109">
        <f ca="1">_xll.IMDP("FRN",$E54,G$3,$B$1)</f>
        <v>2440.92</v>
      </c>
      <c r="H54" s="109">
        <f ca="1">_xll.IMDP("FRN",$E54,H$3,$B$1)</f>
        <v>2429.79</v>
      </c>
      <c r="I54" s="109">
        <f ca="1">_xll.IMDP("FRN",$E54,I$3,$B$1)</f>
        <v>2435.83</v>
      </c>
      <c r="J54" s="115">
        <f ca="1">_xll.IMDP("FRN",$E54,J$3,$B$1)</f>
        <v>-1.1200000000000001</v>
      </c>
    </row>
    <row r="55" spans="1:10" ht="15" customHeight="1" x14ac:dyDescent="0.2">
      <c r="A55" s="27">
        <v>52</v>
      </c>
      <c r="B55" s="47" t="s">
        <v>173</v>
      </c>
      <c r="C55" s="48" t="s">
        <v>100</v>
      </c>
      <c r="D55" s="49" t="s">
        <v>156</v>
      </c>
      <c r="E55" s="86" t="s">
        <v>10</v>
      </c>
      <c r="F55" s="111">
        <f ca="1">_xll.IMDP("FRN",$E55,F$3,$B$1)</f>
        <v>55577.79</v>
      </c>
      <c r="G55" s="111">
        <f ca="1">_xll.IMDP("FRN",$E55,G$3,$B$1)</f>
        <v>55577.79</v>
      </c>
      <c r="H55" s="111">
        <f ca="1">_xll.IMDP("FRN",$E55,H$3,$B$1)</f>
        <v>55577.79</v>
      </c>
      <c r="I55" s="111">
        <f ca="1">_xll.IMDP("FRN",$E55,I$3,$B$1)</f>
        <v>55577.79</v>
      </c>
      <c r="J55" s="117">
        <f ca="1">_xll.IMDP("FRN",$E55,J$3,$B$1)</f>
        <v>0</v>
      </c>
    </row>
    <row r="56" spans="1:10" ht="15" customHeight="1" x14ac:dyDescent="0.2">
      <c r="A56" s="27">
        <v>53</v>
      </c>
      <c r="B56" s="47" t="s">
        <v>173</v>
      </c>
      <c r="C56" s="48" t="s">
        <v>101</v>
      </c>
      <c r="D56" s="49" t="s">
        <v>157</v>
      </c>
      <c r="E56" s="86" t="s">
        <v>6</v>
      </c>
      <c r="F56" s="111">
        <f ca="1">_xll.IMDP("FRN",$E56,F$3,$B$1)</f>
        <v>163146.26</v>
      </c>
      <c r="G56" s="111">
        <f ca="1">_xll.IMDP("FRN",$E56,G$3,$B$1)</f>
        <v>163146.26</v>
      </c>
      <c r="H56" s="111">
        <f ca="1">_xll.IMDP("FRN",$E56,H$3,$B$1)</f>
        <v>161765.07999999999</v>
      </c>
      <c r="I56" s="111">
        <f ca="1">_xll.IMDP("FRN",$E56,I$3,$B$1)</f>
        <v>161973.04999999999</v>
      </c>
      <c r="J56" s="117">
        <f ca="1">_xll.IMDP("FRN",$E56,J$3,$B$1)</f>
        <v>-1177.3</v>
      </c>
    </row>
    <row r="57" spans="1:10" ht="15" customHeight="1" x14ac:dyDescent="0.2">
      <c r="A57" s="27">
        <v>54</v>
      </c>
      <c r="B57" s="47" t="s">
        <v>173</v>
      </c>
      <c r="C57" s="48" t="s">
        <v>102</v>
      </c>
      <c r="D57" s="49" t="s">
        <v>158</v>
      </c>
      <c r="E57" s="86" t="s">
        <v>243</v>
      </c>
      <c r="F57" s="111">
        <f ca="1">_xll.IMDP("FRN",$E57,F$3,$B$1)</f>
        <v>3076946.75</v>
      </c>
      <c r="G57" s="111">
        <f ca="1">_xll.IMDP("FRN",$E57,G$3,$B$1)</f>
        <v>3087178.75</v>
      </c>
      <c r="H57" s="111">
        <f ca="1">_xll.IMDP("FRN",$E57,H$3,$B$1)</f>
        <v>3023830.25</v>
      </c>
      <c r="I57" s="111">
        <f ca="1">_xll.IMDP("FRN",$E57,I$3,$B$1)</f>
        <v>3036292.5</v>
      </c>
      <c r="J57" s="117">
        <f ca="1">_xll.IMDP("FRN",$E57,J$3,$B$1)</f>
        <v>-40654.25</v>
      </c>
    </row>
    <row r="58" spans="1:10" ht="15" customHeight="1" x14ac:dyDescent="0.2">
      <c r="A58" s="27">
        <v>55</v>
      </c>
      <c r="B58" s="47" t="s">
        <v>173</v>
      </c>
      <c r="C58" s="48" t="s">
        <v>103</v>
      </c>
      <c r="D58" s="49" t="s">
        <v>159</v>
      </c>
      <c r="E58" s="86" t="s">
        <v>42</v>
      </c>
      <c r="F58" s="111">
        <f ca="1">_xll.IMDP("FRN",$E58,F$3,$B$1)</f>
        <v>0</v>
      </c>
      <c r="G58" s="111">
        <f ca="1">_xll.IMDP("FRN",$E58,G$3,$B$1)</f>
        <v>0</v>
      </c>
      <c r="H58" s="111">
        <f ca="1">_xll.IMDP("FRN",$E58,H$3,$B$1)</f>
        <v>0</v>
      </c>
      <c r="I58" s="111">
        <f ca="1">_xll.IMDP("FRN",$E58,I$3,$B$1)</f>
        <v>34937.730000000003</v>
      </c>
      <c r="J58" s="117">
        <f ca="1">_xll.IMDP("FRN",$E58,J$3,$B$1)</f>
        <v>0</v>
      </c>
    </row>
    <row r="59" spans="1:10" ht="15" customHeight="1" x14ac:dyDescent="0.2">
      <c r="A59" s="27">
        <v>56</v>
      </c>
      <c r="B59" s="47" t="s">
        <v>173</v>
      </c>
      <c r="C59" s="48" t="s">
        <v>104</v>
      </c>
      <c r="D59" s="49" t="s">
        <v>160</v>
      </c>
      <c r="E59" s="86" t="s">
        <v>8</v>
      </c>
      <c r="F59" s="111">
        <f ca="1">_xll.IMDP("FRN",$E59,F$3,$B$1)</f>
        <v>32953.24</v>
      </c>
      <c r="G59" s="111">
        <f ca="1">_xll.IMDP("FRN",$E59,G$3,$B$1)</f>
        <v>32978.58</v>
      </c>
      <c r="H59" s="111">
        <f ca="1">_xll.IMDP("FRN",$E59,H$3,$B$1)</f>
        <v>32845.4</v>
      </c>
      <c r="I59" s="111">
        <f ca="1">_xll.IMDP("FRN",$E59,I$3,$B$1)</f>
        <v>32870.36</v>
      </c>
      <c r="J59" s="117">
        <f ca="1">_xll.IMDP("FRN",$E59,J$3,$B$1)</f>
        <v>-4.34</v>
      </c>
    </row>
    <row r="60" spans="1:10" ht="15" customHeight="1" x14ac:dyDescent="0.2">
      <c r="A60" s="19">
        <v>57</v>
      </c>
      <c r="B60" s="47" t="s">
        <v>173</v>
      </c>
      <c r="C60" s="48" t="s">
        <v>161</v>
      </c>
      <c r="D60" s="49" t="s">
        <v>162</v>
      </c>
      <c r="E60" s="86" t="s">
        <v>12</v>
      </c>
      <c r="F60" s="111">
        <f ca="1">_xll.IMDP("FRN",$E60,F$3,$B$1)</f>
        <v>49616.95</v>
      </c>
      <c r="G60" s="111">
        <f ca="1">_xll.IMDP("FRN",$E60,G$3,$B$1)</f>
        <v>49616.95</v>
      </c>
      <c r="H60" s="111">
        <f ca="1">_xll.IMDP("FRN",$E60,H$3,$B$1)</f>
        <v>49056.31</v>
      </c>
      <c r="I60" s="111">
        <f ca="1">_xll.IMDP("FRN",$E60,I$3,$B$1)</f>
        <v>49191.99</v>
      </c>
      <c r="J60" s="117">
        <f ca="1">_xll.IMDP("FRN",$E60,J$3,$B$1)</f>
        <v>-398.21</v>
      </c>
    </row>
    <row r="61" spans="1:10" ht="15" customHeight="1" x14ac:dyDescent="0.2">
      <c r="A61" s="27">
        <v>58</v>
      </c>
      <c r="B61" s="47" t="s">
        <v>173</v>
      </c>
      <c r="C61" s="48" t="s">
        <v>163</v>
      </c>
      <c r="D61" s="49" t="s">
        <v>164</v>
      </c>
      <c r="E61" s="86" t="s">
        <v>34</v>
      </c>
      <c r="F61" s="111">
        <f ca="1">_xll.IMDP("FRN",$E61,F$3,$B$1)</f>
        <v>23735.119999999999</v>
      </c>
      <c r="G61" s="111">
        <f ca="1">_xll.IMDP("FRN",$E61,G$3,$B$1)</f>
        <v>23813.3</v>
      </c>
      <c r="H61" s="111">
        <f ca="1">_xll.IMDP("FRN",$E61,H$3,$B$1)</f>
        <v>23607.59</v>
      </c>
      <c r="I61" s="111">
        <f ca="1">_xll.IMDP("FRN",$E61,I$3,$B$1)</f>
        <v>23709.87</v>
      </c>
      <c r="J61" s="117">
        <f ca="1">_xll.IMDP("FRN",$E61,J$3,$B$1)</f>
        <v>-24.03</v>
      </c>
    </row>
    <row r="62" spans="1:10" ht="15" customHeight="1" x14ac:dyDescent="0.2">
      <c r="A62" s="27">
        <v>59</v>
      </c>
      <c r="B62" s="47" t="s">
        <v>173</v>
      </c>
      <c r="C62" s="48" t="s">
        <v>165</v>
      </c>
      <c r="D62" s="49" t="s">
        <v>56</v>
      </c>
      <c r="E62" s="86" t="s">
        <v>57</v>
      </c>
      <c r="F62" s="111">
        <f ca="1">_xll.IMDP("FRN",$E62,F$3,$B$1)</f>
        <v>6977.41</v>
      </c>
      <c r="G62" s="111">
        <f ca="1">_xll.IMDP("FRN",$E62,G$3,$B$1)</f>
        <v>6985.83</v>
      </c>
      <c r="H62" s="111">
        <f ca="1">_xll.IMDP("FRN",$E62,H$3,$B$1)</f>
        <v>6938.77</v>
      </c>
      <c r="I62" s="111">
        <f ca="1">_xll.IMDP("FRN",$E62,I$3,$B$1)</f>
        <v>6963.74</v>
      </c>
      <c r="J62" s="117">
        <f ca="1">_xll.IMDP("FRN",$E62,J$3,$B$1)</f>
        <v>-13.53</v>
      </c>
    </row>
    <row r="63" spans="1:10" ht="15" customHeight="1" x14ac:dyDescent="0.2">
      <c r="A63" s="27">
        <v>60</v>
      </c>
      <c r="B63" s="47" t="s">
        <v>173</v>
      </c>
      <c r="C63" s="48" t="s">
        <v>105</v>
      </c>
      <c r="D63" s="49" t="s">
        <v>166</v>
      </c>
      <c r="E63" s="86" t="s">
        <v>32</v>
      </c>
      <c r="F63" s="111">
        <f ca="1">_xll.IMDP("FRN",$E63,F$3,$B$1)</f>
        <v>0</v>
      </c>
      <c r="G63" s="111">
        <f ca="1">_xll.IMDP("FRN",$E63,G$3,$B$1)</f>
        <v>0</v>
      </c>
      <c r="H63" s="111">
        <f ca="1">_xll.IMDP("FRN",$E63,H$3,$B$1)</f>
        <v>0</v>
      </c>
      <c r="I63" s="111">
        <f ca="1">_xll.IMDP("FRN",$E63,I$3,$B$1)</f>
        <v>66745.61</v>
      </c>
      <c r="J63" s="117">
        <f ca="1">_xll.IMDP("FRN",$E63,J$3,$B$1)</f>
        <v>0</v>
      </c>
    </row>
    <row r="64" spans="1:10" ht="15" customHeight="1" x14ac:dyDescent="0.2">
      <c r="A64" s="27">
        <v>61</v>
      </c>
      <c r="B64" s="47" t="s">
        <v>173</v>
      </c>
      <c r="C64" s="48" t="s">
        <v>106</v>
      </c>
      <c r="D64" s="49" t="s">
        <v>167</v>
      </c>
      <c r="E64" s="86" t="s">
        <v>61</v>
      </c>
      <c r="F64" s="111">
        <f ca="1">_xll.IMDP("FRN",$E64,F$3,$B$1)</f>
        <v>6009.58</v>
      </c>
      <c r="G64" s="111">
        <f ca="1">_xll.IMDP("FRN",$E64,G$3,$B$1)</f>
        <v>6009.58</v>
      </c>
      <c r="H64" s="111">
        <f ca="1">_xll.IMDP("FRN",$E64,H$3,$B$1)</f>
        <v>6009.58</v>
      </c>
      <c r="I64" s="111">
        <f ca="1">_xll.IMDP("FRN",$E64,I$3,$B$1)</f>
        <v>6009.58</v>
      </c>
      <c r="J64" s="117">
        <f ca="1">_xll.IMDP("FRN",$E64,J$3,$B$1)</f>
        <v>0</v>
      </c>
    </row>
    <row r="65" spans="1:10" ht="15" customHeight="1" x14ac:dyDescent="0.2">
      <c r="A65" s="19">
        <v>62</v>
      </c>
      <c r="B65" s="47" t="s">
        <v>173</v>
      </c>
      <c r="C65" s="48" t="s">
        <v>107</v>
      </c>
      <c r="D65" s="49" t="s">
        <v>168</v>
      </c>
      <c r="E65" s="86" t="s">
        <v>11</v>
      </c>
      <c r="F65" s="111">
        <f ca="1">_xll.IMDP("FRN",$E65,F$3,$B$1)</f>
        <v>2188.7399999999998</v>
      </c>
      <c r="G65" s="111">
        <f ca="1">_xll.IMDP("FRN",$E65,G$3,$B$1)</f>
        <v>2213.35</v>
      </c>
      <c r="H65" s="111">
        <f ca="1">_xll.IMDP("FRN",$E65,H$3,$B$1)</f>
        <v>2181.5</v>
      </c>
      <c r="I65" s="111">
        <f ca="1">_xll.IMDP("FRN",$E65,I$3,$B$1)</f>
        <v>2213.35</v>
      </c>
      <c r="J65" s="117">
        <f ca="1">_xll.IMDP("FRN",$E65,J$3,$B$1)</f>
        <v>26.28</v>
      </c>
    </row>
    <row r="66" spans="1:10" ht="15" customHeight="1" x14ac:dyDescent="0.2">
      <c r="F66" s="4"/>
    </row>
  </sheetData>
  <phoneticPr fontId="2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tabColor indexed="43"/>
  </sheetPr>
  <dimension ref="A1:AP64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11" sqref="F11"/>
    </sheetView>
  </sheetViews>
  <sheetFormatPr defaultRowHeight="15" customHeight="1" x14ac:dyDescent="0.2"/>
  <cols>
    <col min="1" max="1" width="4.75" style="8" bestFit="1" customWidth="1"/>
    <col min="2" max="2" width="8" style="5" bestFit="1" customWidth="1"/>
    <col min="3" max="3" width="13.5" style="5" bestFit="1" customWidth="1"/>
    <col min="4" max="4" width="23.625" style="5" bestFit="1" customWidth="1"/>
    <col min="5" max="5" width="12.875" style="5" bestFit="1" customWidth="1"/>
    <col min="6" max="6" width="11.5" style="7" customWidth="1"/>
    <col min="7" max="19" width="11.5" style="5" customWidth="1"/>
    <col min="20" max="16384" width="9" style="5"/>
  </cols>
  <sheetData>
    <row r="1" spans="1:42" ht="15" customHeight="1" x14ac:dyDescent="0.2">
      <c r="A1" s="118" t="s">
        <v>212</v>
      </c>
      <c r="B1" s="118"/>
      <c r="C1" s="118"/>
      <c r="D1" s="118"/>
      <c r="E1" s="118"/>
      <c r="F1" s="9" t="str">
        <f>TEXT(F2,"AAA")</f>
        <v>수</v>
      </c>
      <c r="G1" s="9" t="str">
        <f>TEXT(G2,"AAA")</f>
        <v>화</v>
      </c>
      <c r="H1" s="103" t="str">
        <f t="shared" ref="H1:S1" si="0">TEXT(H2,"AAA")</f>
        <v>월</v>
      </c>
      <c r="I1" s="10" t="str">
        <f t="shared" si="0"/>
        <v>일</v>
      </c>
      <c r="J1" s="104" t="str">
        <f t="shared" si="0"/>
        <v>토</v>
      </c>
      <c r="K1" s="11" t="str">
        <f t="shared" si="0"/>
        <v>금</v>
      </c>
      <c r="L1" s="11" t="str">
        <f t="shared" si="0"/>
        <v>목</v>
      </c>
      <c r="M1" s="11" t="str">
        <f t="shared" si="0"/>
        <v>수</v>
      </c>
      <c r="N1" s="11" t="str">
        <f t="shared" si="0"/>
        <v>화</v>
      </c>
      <c r="O1" s="101" t="str">
        <f t="shared" si="0"/>
        <v>월</v>
      </c>
      <c r="P1" s="12" t="str">
        <f t="shared" si="0"/>
        <v>일</v>
      </c>
      <c r="Q1" s="102" t="str">
        <f t="shared" si="0"/>
        <v>토</v>
      </c>
      <c r="R1" s="11" t="str">
        <f t="shared" si="0"/>
        <v>금</v>
      </c>
      <c r="S1" s="11" t="str">
        <f t="shared" si="0"/>
        <v>목</v>
      </c>
    </row>
    <row r="2" spans="1:42" ht="15" customHeight="1" x14ac:dyDescent="0.2">
      <c r="A2" s="13" t="s">
        <v>187</v>
      </c>
      <c r="B2" s="14" t="s">
        <v>188</v>
      </c>
      <c r="C2" s="14" t="s">
        <v>178</v>
      </c>
      <c r="D2" s="14" t="s">
        <v>177</v>
      </c>
      <c r="E2" s="14" t="s">
        <v>176</v>
      </c>
      <c r="F2" s="15">
        <f>'6511 (히스토리)'!G15</f>
        <v>46036</v>
      </c>
      <c r="G2" s="15">
        <f t="shared" ref="G2:L2" si="1">F2-1</f>
        <v>46035</v>
      </c>
      <c r="H2" s="15">
        <f t="shared" si="1"/>
        <v>46034</v>
      </c>
      <c r="I2" s="16">
        <f t="shared" si="1"/>
        <v>46033</v>
      </c>
      <c r="J2" s="16">
        <f t="shared" si="1"/>
        <v>46032</v>
      </c>
      <c r="K2" s="15">
        <f t="shared" si="1"/>
        <v>46031</v>
      </c>
      <c r="L2" s="15">
        <f t="shared" si="1"/>
        <v>46030</v>
      </c>
      <c r="M2" s="15">
        <f t="shared" ref="M2:R2" si="2">L2-1</f>
        <v>46029</v>
      </c>
      <c r="N2" s="15">
        <f t="shared" si="2"/>
        <v>46028</v>
      </c>
      <c r="O2" s="15">
        <f t="shared" si="2"/>
        <v>46027</v>
      </c>
      <c r="P2" s="17">
        <f t="shared" si="2"/>
        <v>46026</v>
      </c>
      <c r="Q2" s="105">
        <f t="shared" si="2"/>
        <v>46025</v>
      </c>
      <c r="R2" s="15">
        <f t="shared" si="2"/>
        <v>46024</v>
      </c>
      <c r="S2" s="15">
        <f>R2-1</f>
        <v>46023</v>
      </c>
    </row>
    <row r="3" spans="1:42" ht="15" customHeight="1" x14ac:dyDescent="0.2">
      <c r="A3" s="18">
        <v>1</v>
      </c>
      <c r="B3" s="19" t="s">
        <v>172</v>
      </c>
      <c r="C3" s="20" t="s">
        <v>189</v>
      </c>
      <c r="D3" s="21" t="s">
        <v>79</v>
      </c>
      <c r="E3" s="22" t="s">
        <v>39</v>
      </c>
      <c r="F3" s="23">
        <f t="array" ref="F3">SUMPRODUCT(('6511 (히스토리)'!$G$15:$G$34='6511 (일주일)'!F$2)*('6511 (히스토리)'!$H$15:$H$34))</f>
        <v>1901.02</v>
      </c>
      <c r="G3" s="24">
        <f t="array" ref="G3">SUMPRODUCT(('6511 (히스토리)'!$G$15:$G$34='6511 (일주일)'!G$2)*('6511 (히스토리)'!$H$15:$H$34))</f>
        <v>1902.93</v>
      </c>
      <c r="H3" s="24">
        <f t="array" ref="H3">SUMPRODUCT(('6511 (히스토리)'!$G$15:$G$34='6511 (일주일)'!H$2)*('6511 (히스토리)'!$H$15:$H$34))</f>
        <v>1877.33</v>
      </c>
      <c r="I3" s="24">
        <f t="array" ref="I3">SUMPRODUCT(('6511 (히스토리)'!$G$15:$G$34='6511 (일주일)'!I$2)*('6511 (히스토리)'!$H$15:$H$34))</f>
        <v>0</v>
      </c>
      <c r="J3" s="24">
        <f t="array" ref="J3">SUMPRODUCT(('6511 (히스토리)'!$G$15:$G$34='6511 (일주일)'!J$2)*('6511 (히스토리)'!$H$15:$H$34))</f>
        <v>0</v>
      </c>
      <c r="K3" s="24">
        <f t="array" ref="K3">SUMPRODUCT(('6511 (히스토리)'!$G$15:$G$34='6511 (일주일)'!K$2)*('6511 (히스토리)'!$H$15:$H$34))</f>
        <v>1867.9</v>
      </c>
      <c r="L3" s="24">
        <f t="array" ref="L3">SUMPRODUCT(('6511 (히스토리)'!$G$15:$G$34='6511 (일주일)'!L$2)*('6511 (히스토리)'!$H$15:$H$34))</f>
        <v>1855.56</v>
      </c>
      <c r="M3" s="24">
        <f t="array" ref="M3">SUMPRODUCT(('6511 (히스토리)'!$G$15:$G$34='6511 (일주일)'!M$2)*('6511 (히스토리)'!$H$15:$H$34))</f>
        <v>1861.58</v>
      </c>
      <c r="N3" s="24">
        <f t="array" ref="N3">SUMPRODUCT(('6511 (히스토리)'!$G$15:$G$34='6511 (일주일)'!N$2)*('6511 (히스토리)'!$H$15:$H$34))</f>
        <v>1816.27</v>
      </c>
      <c r="O3" s="24">
        <f t="array" ref="O3">SUMPRODUCT(('6511 (히스토리)'!$G$15:$G$34='6511 (일주일)'!O$2)*('6511 (히스토리)'!$H$15:$H$34))</f>
        <v>1788.4</v>
      </c>
      <c r="P3" s="24">
        <f t="array" ref="P3">SUMPRODUCT(('6511 (히스토리)'!$G$15:$G$34='6511 (일주일)'!P$2)*('6511 (히스토리)'!$H$15:$H$34))</f>
        <v>0</v>
      </c>
      <c r="Q3" s="24">
        <f t="array" ref="Q3">SUMPRODUCT(('6511 (히스토리)'!$G$15:$G$34='6511 (일주일)'!Q$2)*('6511 (히스토리)'!$H$15:$H$34))</f>
        <v>0</v>
      </c>
      <c r="R3" s="24">
        <f t="array" ref="R3">SUMPRODUCT(('6511 (히스토리)'!$G$15:$G$34='6511 (일주일)'!R$2)*('6511 (히스토리)'!$H$15:$H$34))</f>
        <v>0</v>
      </c>
      <c r="S3" s="25">
        <f t="array" ref="S3">SUMPRODUCT(('6511 (히스토리)'!$G$15:$G$34='6511 (일주일)'!S$2)*('6511 (히스토리)'!$H$15:$H$34))</f>
        <v>0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</row>
    <row r="4" spans="1:42" ht="15" customHeight="1" x14ac:dyDescent="0.2">
      <c r="A4" s="26">
        <v>2</v>
      </c>
      <c r="B4" s="27" t="s">
        <v>172</v>
      </c>
      <c r="C4" s="28" t="s">
        <v>66</v>
      </c>
      <c r="D4" s="29" t="s">
        <v>108</v>
      </c>
      <c r="E4" s="30" t="s">
        <v>4</v>
      </c>
      <c r="F4" s="31">
        <f t="array" ref="F4">SUMPRODUCT(('6511 (히스토리)'!$I$15:$I$34='6511 (일주일)'!F$2)*('6511 (히스토리)'!$J$15:$J$34))</f>
        <v>9138.5</v>
      </c>
      <c r="G4" s="32">
        <f t="array" ref="G4">SUMPRODUCT(('6511 (히스토리)'!$I$15:$I$34='6511 (일주일)'!G$2)*('6511 (히스토리)'!$J$15:$J$34))</f>
        <v>9138.49</v>
      </c>
      <c r="H4" s="32">
        <f t="array" ref="H4">SUMPRODUCT(('6511 (히스토리)'!$I$15:$I$34='6511 (일주일)'!H$2)*('6511 (히스토리)'!$J$15:$J$34))</f>
        <v>9092.65</v>
      </c>
      <c r="I4" s="32">
        <f t="array" ref="I4">SUMPRODUCT(('6511 (히스토리)'!$I$15:$I$34='6511 (일주일)'!I$2)*('6511 (히스토리)'!$J$15:$J$34))</f>
        <v>0</v>
      </c>
      <c r="J4" s="32">
        <f t="array" ref="J4">SUMPRODUCT(('6511 (히스토리)'!$I$15:$I$34='6511 (일주일)'!J$2)*('6511 (히스토리)'!$J$15:$J$34))</f>
        <v>0</v>
      </c>
      <c r="K4" s="32">
        <f t="array" ref="K4">SUMPRODUCT(('6511 (히스토리)'!$I$15:$I$34='6511 (일주일)'!K$2)*('6511 (히스토리)'!$J$15:$J$34))</f>
        <v>9045.92</v>
      </c>
      <c r="L4" s="32">
        <f t="array" ref="L4">SUMPRODUCT(('6511 (히스토리)'!$I$15:$I$34='6511 (일주일)'!L$2)*('6511 (히스토리)'!$J$15:$J$34))</f>
        <v>9046.52</v>
      </c>
      <c r="M4" s="32">
        <f t="array" ref="M4">SUMPRODUCT(('6511 (히스토리)'!$I$15:$I$34='6511 (일주일)'!M$2)*('6511 (히스토리)'!$J$15:$J$34))</f>
        <v>9018</v>
      </c>
      <c r="N4" s="32">
        <f t="array" ref="N4">SUMPRODUCT(('6511 (히스토리)'!$I$15:$I$34='6511 (일주일)'!N$2)*('6511 (히스토리)'!$J$15:$J$34))</f>
        <v>8996.92</v>
      </c>
      <c r="O4" s="32">
        <f t="array" ref="O4">SUMPRODUCT(('6511 (히스토리)'!$I$15:$I$34='6511 (일주일)'!O$2)*('6511 (히스토리)'!$J$15:$J$34))</f>
        <v>9034.69</v>
      </c>
      <c r="P4" s="32">
        <f t="array" ref="P4">SUMPRODUCT(('6511 (히스토리)'!$I$15:$I$34='6511 (일주일)'!P$2)*('6511 (히스토리)'!$J$15:$J$34))</f>
        <v>0</v>
      </c>
      <c r="Q4" s="32">
        <f t="array" ref="Q4">SUMPRODUCT(('6511 (히스토리)'!$I$15:$I$34='6511 (일주일)'!Q$2)*('6511 (히스토리)'!$J$15:$J$34))</f>
        <v>0</v>
      </c>
      <c r="R4" s="32">
        <f t="array" ref="R4">SUMPRODUCT(('6511 (히스토리)'!$I$15:$I$34='6511 (일주일)'!R$2)*('6511 (히스토리)'!$J$15:$J$34))</f>
        <v>9036.57</v>
      </c>
      <c r="S4" s="33">
        <f t="array" ref="S4">SUMPRODUCT(('6511 (히스토리)'!$I$15:$I$34='6511 (일주일)'!S$2)*('6511 (히스토리)'!$J$15:$J$34))</f>
        <v>0</v>
      </c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</row>
    <row r="5" spans="1:42" ht="15" customHeight="1" x14ac:dyDescent="0.2">
      <c r="A5" s="26">
        <v>3</v>
      </c>
      <c r="B5" s="27" t="s">
        <v>172</v>
      </c>
      <c r="C5" s="28" t="s">
        <v>67</v>
      </c>
      <c r="D5" s="29" t="s">
        <v>109</v>
      </c>
      <c r="E5" s="30" t="s">
        <v>35</v>
      </c>
      <c r="F5" s="31">
        <f t="array" ref="F5">SUMPRODUCT(('6511 (히스토리)'!$K$15:$K$34='6511 (일주일)'!F$2)*('6511 (히스토리)'!$L$15:$L$34))</f>
        <v>54179.59</v>
      </c>
      <c r="G5" s="32">
        <f t="array" ref="G5">SUMPRODUCT(('6511 (히스토리)'!$K$15:$K$34='6511 (일주일)'!G$2)*('6511 (히스토리)'!$L$15:$L$34))</f>
        <v>53549.16</v>
      </c>
      <c r="H5" s="32">
        <f t="array" ref="H5">SUMPRODUCT(('6511 (히스토리)'!$K$15:$K$34='6511 (일주일)'!H$2)*('6511 (히스토리)'!$L$15:$L$34))</f>
        <v>0</v>
      </c>
      <c r="I5" s="32">
        <f t="array" ref="I5">SUMPRODUCT(('6511 (히스토리)'!$K$15:$K$34='6511 (일주일)'!I$2)*('6511 (히스토리)'!$L$15:$L$34))</f>
        <v>0</v>
      </c>
      <c r="J5" s="32">
        <f t="array" ref="J5">SUMPRODUCT(('6511 (히스토리)'!$K$15:$K$34='6511 (일주일)'!J$2)*('6511 (히스토리)'!$L$15:$L$34))</f>
        <v>0</v>
      </c>
      <c r="K5" s="32">
        <f t="array" ref="K5">SUMPRODUCT(('6511 (히스토리)'!$K$15:$K$34='6511 (일주일)'!K$2)*('6511 (히스토리)'!$L$15:$L$34))</f>
        <v>51939.89</v>
      </c>
      <c r="L5" s="32">
        <f t="array" ref="L5">SUMPRODUCT(('6511 (히스토리)'!$K$15:$K$34='6511 (일주일)'!L$2)*('6511 (히스토리)'!$L$15:$L$34))</f>
        <v>51117.26</v>
      </c>
      <c r="M5" s="32">
        <f t="array" ref="M5">SUMPRODUCT(('6511 (히스토리)'!$K$15:$K$34='6511 (일주일)'!M$2)*('6511 (히스토리)'!$L$15:$L$34))</f>
        <v>51961.98</v>
      </c>
      <c r="N5" s="32">
        <f t="array" ref="N5">SUMPRODUCT(('6511 (히스토리)'!$K$15:$K$34='6511 (일주일)'!N$2)*('6511 (히스토리)'!$L$15:$L$34))</f>
        <v>52518.080000000002</v>
      </c>
      <c r="O5" s="32">
        <f t="array" ref="O5">SUMPRODUCT(('6511 (히스토리)'!$K$15:$K$34='6511 (일주일)'!O$2)*('6511 (히스토리)'!$L$15:$L$34))</f>
        <v>51832.800000000003</v>
      </c>
      <c r="P5" s="32">
        <f t="array" ref="P5">SUMPRODUCT(('6511 (히스토리)'!$K$15:$K$34='6511 (일주일)'!P$2)*('6511 (히스토리)'!$L$15:$L$34))</f>
        <v>0</v>
      </c>
      <c r="Q5" s="32">
        <f t="array" ref="Q5">SUMPRODUCT(('6511 (히스토리)'!$K$15:$K$34='6511 (일주일)'!Q$2)*('6511 (히스토리)'!$L$15:$L$34))</f>
        <v>0</v>
      </c>
      <c r="R5" s="32">
        <f t="array" ref="R5">SUMPRODUCT(('6511 (히스토리)'!$K$15:$K$34='6511 (일주일)'!R$2)*('6511 (히스토리)'!$L$15:$L$34))</f>
        <v>0</v>
      </c>
      <c r="S5" s="33">
        <f t="array" ref="S5">SUMPRODUCT(('6511 (히스토리)'!$K$15:$K$34='6511 (일주일)'!S$2)*('6511 (히스토리)'!$L$15:$L$34))</f>
        <v>0</v>
      </c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</row>
    <row r="6" spans="1:42" ht="15" customHeight="1" x14ac:dyDescent="0.2">
      <c r="A6" s="26">
        <v>4</v>
      </c>
      <c r="B6" s="27" t="s">
        <v>172</v>
      </c>
      <c r="C6" s="28" t="s">
        <v>68</v>
      </c>
      <c r="D6" s="29" t="s">
        <v>207</v>
      </c>
      <c r="E6" s="30" t="s">
        <v>190</v>
      </c>
      <c r="F6" s="31">
        <f t="array" ref="F6">SUMPRODUCT(('6511 (히스토리)'!$M$15:$M$34='6511 (일주일)'!F$2)*('6511 (히스토리)'!$N$15:$N$34))</f>
        <v>30884.39</v>
      </c>
      <c r="G6" s="32">
        <f t="array" ref="G6">SUMPRODUCT(('6511 (히스토리)'!$M$15:$M$34='6511 (일주일)'!G$2)*('6511 (히스토리)'!$N$15:$N$34))</f>
        <v>30707.22</v>
      </c>
      <c r="H6" s="32">
        <f t="array" ref="H6">SUMPRODUCT(('6511 (히스토리)'!$M$15:$M$34='6511 (일주일)'!H$2)*('6511 (히스토리)'!$N$15:$N$34))</f>
        <v>30567.29</v>
      </c>
      <c r="I6" s="32">
        <f t="array" ref="I6">SUMPRODUCT(('6511 (히스토리)'!$M$15:$M$34='6511 (일주일)'!I$2)*('6511 (히스토리)'!$N$15:$N$34))</f>
        <v>0</v>
      </c>
      <c r="J6" s="32">
        <f t="array" ref="J6">SUMPRODUCT(('6511 (히스토리)'!$M$15:$M$34='6511 (일주일)'!J$2)*('6511 (히스토리)'!$N$15:$N$34))</f>
        <v>0</v>
      </c>
      <c r="K6" s="32">
        <f t="array" ref="K6">SUMPRODUCT(('6511 (히스토리)'!$M$15:$M$34='6511 (일주일)'!K$2)*('6511 (히스토리)'!$N$15:$N$34))</f>
        <v>30288.959999999999</v>
      </c>
      <c r="L6" s="32">
        <f t="array" ref="L6">SUMPRODUCT(('6511 (히스토리)'!$M$15:$M$34='6511 (일주일)'!L$2)*('6511 (히스토리)'!$N$15:$N$34))</f>
        <v>30360.55</v>
      </c>
      <c r="M6" s="32">
        <f t="array" ref="M6">SUMPRODUCT(('6511 (히스토리)'!$M$15:$M$34='6511 (일주일)'!M$2)*('6511 (히스토리)'!$N$15:$N$34))</f>
        <v>30435.47</v>
      </c>
      <c r="N6" s="32">
        <f t="array" ref="N6">SUMPRODUCT(('6511 (히스토리)'!$M$15:$M$34='6511 (일주일)'!N$2)*('6511 (히스토리)'!$N$15:$N$34))</f>
        <v>30576.3</v>
      </c>
      <c r="O6" s="32">
        <f t="array" ref="O6">SUMPRODUCT(('6511 (히스토리)'!$M$15:$M$34='6511 (일주일)'!O$2)*('6511 (히스토리)'!$N$15:$N$34))</f>
        <v>30105.040000000001</v>
      </c>
      <c r="P6" s="32">
        <f t="array" ref="P6">SUMPRODUCT(('6511 (히스토리)'!$M$15:$M$34='6511 (일주일)'!P$2)*('6511 (히스토리)'!$N$15:$N$34))</f>
        <v>0</v>
      </c>
      <c r="Q6" s="32">
        <f t="array" ref="Q6">SUMPRODUCT(('6511 (히스토리)'!$M$15:$M$34='6511 (일주일)'!Q$2)*('6511 (히스토리)'!$N$15:$N$34))</f>
        <v>0</v>
      </c>
      <c r="R6" s="32">
        <f t="array" ref="R6">SUMPRODUCT(('6511 (히스토리)'!$M$15:$M$34='6511 (일주일)'!R$2)*('6511 (히스토리)'!$N$15:$N$34))</f>
        <v>29349.81</v>
      </c>
      <c r="S6" s="33">
        <f t="array" ref="S6">SUMPRODUCT(('6511 (히스토리)'!$M$15:$M$34='6511 (일주일)'!S$2)*('6511 (히스토리)'!$N$15:$N$34))</f>
        <v>0</v>
      </c>
    </row>
    <row r="7" spans="1:42" ht="15" customHeight="1" x14ac:dyDescent="0.2">
      <c r="A7" s="26">
        <v>5</v>
      </c>
      <c r="B7" s="27" t="s">
        <v>172</v>
      </c>
      <c r="C7" s="28" t="s">
        <v>69</v>
      </c>
      <c r="D7" s="29" t="s">
        <v>198</v>
      </c>
      <c r="E7" s="30" t="s">
        <v>54</v>
      </c>
      <c r="F7" s="31">
        <f t="array" ref="F7">SUMPRODUCT(('6511 (히스토리)'!$O$15:$O$34='6511 (일주일)'!F$2)*('6511 (히스토리)'!$P$15:$P$34))</f>
        <v>4806.2700000000004</v>
      </c>
      <c r="G7" s="32">
        <f t="array" ref="G7">SUMPRODUCT(('6511 (히스토리)'!$O$15:$O$34='6511 (일주일)'!G$2)*('6511 (히스토리)'!$P$15:$P$34))</f>
        <v>4807.13</v>
      </c>
      <c r="H7" s="32">
        <f t="array" ref="H7">SUMPRODUCT(('6511 (히스토리)'!$O$15:$O$34='6511 (일주일)'!H$2)*('6511 (히스토리)'!$P$15:$P$34))</f>
        <v>4766.78</v>
      </c>
      <c r="I7" s="32">
        <f t="array" ref="I7">SUMPRODUCT(('6511 (히스토리)'!$O$15:$O$34='6511 (일주일)'!I$2)*('6511 (히스토리)'!$P$15:$P$34))</f>
        <v>0</v>
      </c>
      <c r="J7" s="32">
        <f t="array" ref="J7">SUMPRODUCT(('6511 (히스토리)'!$O$15:$O$34='6511 (일주일)'!J$2)*('6511 (히스토리)'!$P$15:$P$34))</f>
        <v>0</v>
      </c>
      <c r="K7" s="32">
        <f t="array" ref="K7">SUMPRODUCT(('6511 (히스토리)'!$O$15:$O$34='6511 (일주일)'!K$2)*('6511 (히스토리)'!$P$15:$P$34))</f>
        <v>4744.66</v>
      </c>
      <c r="L7" s="32">
        <f t="array" ref="L7">SUMPRODUCT(('6511 (히스토리)'!$O$15:$O$34='6511 (일주일)'!L$2)*('6511 (히스토리)'!$P$15:$P$34))</f>
        <v>4739.07</v>
      </c>
      <c r="M7" s="32">
        <f t="array" ref="M7">SUMPRODUCT(('6511 (히스토리)'!$O$15:$O$34='6511 (일주일)'!M$2)*('6511 (히스토리)'!$P$15:$P$34))</f>
        <v>4747.62</v>
      </c>
      <c r="N7" s="32">
        <f t="array" ref="N7">SUMPRODUCT(('6511 (히스토리)'!$O$15:$O$34='6511 (일주일)'!N$2)*('6511 (히스토리)'!$P$15:$P$34))</f>
        <v>4739.97</v>
      </c>
      <c r="O7" s="32">
        <f t="array" ref="O7">SUMPRODUCT(('6511 (히스토리)'!$O$15:$O$34='6511 (일주일)'!O$2)*('6511 (히스토리)'!$P$15:$P$34))</f>
        <v>4680.5</v>
      </c>
      <c r="P7" s="32">
        <f t="array" ref="P7">SUMPRODUCT(('6511 (히스토리)'!$O$15:$O$34='6511 (일주일)'!P$2)*('6511 (히스토리)'!$P$15:$P$34))</f>
        <v>0</v>
      </c>
      <c r="Q7" s="32">
        <f t="array" ref="Q7">SUMPRODUCT(('6511 (히스토리)'!$O$15:$O$34='6511 (일주일)'!Q$2)*('6511 (히스토리)'!$P$15:$P$34))</f>
        <v>0</v>
      </c>
      <c r="R7" s="32">
        <f t="array" ref="R7">SUMPRODUCT(('6511 (히스토리)'!$O$15:$O$34='6511 (일주일)'!R$2)*('6511 (히스토리)'!$P$15:$P$34))</f>
        <v>4656.12</v>
      </c>
      <c r="S7" s="33">
        <f t="array" ref="S7">SUMPRODUCT(('6511 (히스토리)'!$O$15:$O$34='6511 (일주일)'!S$2)*('6511 (히스토리)'!$P$15:$P$34))</f>
        <v>0</v>
      </c>
    </row>
    <row r="8" spans="1:42" ht="15" customHeight="1" x14ac:dyDescent="0.2">
      <c r="A8" s="18">
        <v>6</v>
      </c>
      <c r="B8" s="27" t="s">
        <v>172</v>
      </c>
      <c r="C8" s="28" t="s">
        <v>70</v>
      </c>
      <c r="D8" s="29" t="s">
        <v>112</v>
      </c>
      <c r="E8" s="30" t="s">
        <v>33</v>
      </c>
      <c r="F8" s="31">
        <f t="array" ref="F8">SUMPRODUCT(('6511 (히스토리)'!$Q$15:$Q$34='6511 (일주일)'!F$2)*('6511 (히스토리)'!$R$15:$R$34))</f>
        <v>1707.22</v>
      </c>
      <c r="G8" s="32">
        <f t="array" ref="G8">SUMPRODUCT(('6511 (히스토리)'!$Q$15:$Q$34='6511 (일주일)'!G$2)*('6511 (히스토리)'!$R$15:$R$34))</f>
        <v>1708.2</v>
      </c>
      <c r="H8" s="32">
        <f t="array" ref="H8">SUMPRODUCT(('6511 (히스토리)'!$Q$15:$Q$34='6511 (일주일)'!H$2)*('6511 (히스토리)'!$R$15:$R$34))</f>
        <v>1695.44</v>
      </c>
      <c r="I8" s="32">
        <f t="array" ref="I8">SUMPRODUCT(('6511 (히스토리)'!$Q$15:$Q$34='6511 (일주일)'!I$2)*('6511 (히스토리)'!$R$15:$R$34))</f>
        <v>0</v>
      </c>
      <c r="J8" s="32">
        <f t="array" ref="J8">SUMPRODUCT(('6511 (히스토리)'!$Q$15:$Q$34='6511 (일주일)'!J$2)*('6511 (히스토리)'!$R$15:$R$34))</f>
        <v>0</v>
      </c>
      <c r="K8" s="32">
        <f t="array" ref="K8">SUMPRODUCT(('6511 (히스토리)'!$Q$15:$Q$34='6511 (일주일)'!K$2)*('6511 (히스토리)'!$R$15:$R$34))</f>
        <v>1686.54</v>
      </c>
      <c r="L8" s="32">
        <f t="array" ref="L8">SUMPRODUCT(('6511 (히스토리)'!$Q$15:$Q$34='6511 (일주일)'!L$2)*('6511 (히스토리)'!$R$15:$R$34))</f>
        <v>1669.57</v>
      </c>
      <c r="M8" s="32">
        <f t="array" ref="M8">SUMPRODUCT(('6511 (히스토리)'!$Q$15:$Q$34='6511 (일주일)'!M$2)*('6511 (히스토리)'!$R$15:$R$34))</f>
        <v>1676.83</v>
      </c>
      <c r="N8" s="32">
        <f t="array" ref="N8">SUMPRODUCT(('6511 (히스토리)'!$Q$15:$Q$34='6511 (일주일)'!N$2)*('6511 (히스토리)'!$R$15:$R$34))</f>
        <v>1672.35</v>
      </c>
      <c r="O8" s="32">
        <f t="array" ref="O8">SUMPRODUCT(('6511 (히스토리)'!$Q$15:$Q$34='6511 (일주일)'!O$2)*('6511 (히스토리)'!$R$15:$R$34))</f>
        <v>1680.32</v>
      </c>
      <c r="P8" s="32">
        <f t="array" ref="P8">SUMPRODUCT(('6511 (히스토리)'!$Q$15:$Q$34='6511 (일주일)'!P$2)*('6511 (히스토리)'!$R$15:$R$34))</f>
        <v>0</v>
      </c>
      <c r="Q8" s="32">
        <f t="array" ref="Q8">SUMPRODUCT(('6511 (히스토리)'!$Q$15:$Q$34='6511 (일주일)'!Q$2)*('6511 (히스토리)'!$R$15:$R$34))</f>
        <v>0</v>
      </c>
      <c r="R8" s="32">
        <f t="array" ref="R8">SUMPRODUCT(('6511 (히스토리)'!$Q$15:$Q$34='6511 (일주일)'!R$2)*('6511 (히스토리)'!$R$15:$R$34))</f>
        <v>1669.76</v>
      </c>
      <c r="S8" s="33">
        <f t="array" ref="S8">SUMPRODUCT(('6511 (히스토리)'!$Q$15:$Q$34='6511 (일주일)'!S$2)*('6511 (히스토리)'!$R$15:$R$34))</f>
        <v>0</v>
      </c>
    </row>
    <row r="9" spans="1:42" ht="15" customHeight="1" x14ac:dyDescent="0.2">
      <c r="A9" s="26">
        <v>7</v>
      </c>
      <c r="B9" s="27" t="s">
        <v>172</v>
      </c>
      <c r="C9" s="28" t="s">
        <v>43</v>
      </c>
      <c r="D9" s="29" t="s">
        <v>175</v>
      </c>
      <c r="E9" s="30" t="s">
        <v>44</v>
      </c>
      <c r="F9" s="31">
        <f t="array" ref="F9">SUMPRODUCT(('6511 (히스토리)'!$S$15:$S$34='6511 (일주일)'!F$2)*('6511 (히스토리)'!$T$15:$T$34))</f>
        <v>6419.96</v>
      </c>
      <c r="G9" s="32">
        <f t="array" ref="G9">SUMPRODUCT(('6511 (히스토리)'!$S$15:$S$34='6511 (일주일)'!G$2)*('6511 (히스토리)'!$T$15:$T$34))</f>
        <v>6408.76</v>
      </c>
      <c r="H9" s="32">
        <f t="array" ref="H9">SUMPRODUCT(('6511 (히스토리)'!$S$15:$S$34='6511 (일주일)'!H$2)*('6511 (히스토리)'!$T$15:$T$34))</f>
        <v>6419.96</v>
      </c>
      <c r="I9" s="32">
        <f t="array" ref="I9">SUMPRODUCT(('6511 (히스토리)'!$S$15:$S$34='6511 (일주일)'!I$2)*('6511 (히스토리)'!$T$15:$T$34))</f>
        <v>0</v>
      </c>
      <c r="J9" s="32">
        <f t="array" ref="J9">SUMPRODUCT(('6511 (히스토리)'!$S$15:$S$34='6511 (일주일)'!J$2)*('6511 (히스토리)'!$T$15:$T$34))</f>
        <v>0</v>
      </c>
      <c r="K9" s="32">
        <f t="array" ref="K9">SUMPRODUCT(('6511 (히스토리)'!$S$15:$S$34='6511 (일주일)'!K$2)*('6511 (히스토리)'!$T$15:$T$34))</f>
        <v>6348.14</v>
      </c>
      <c r="L9" s="32">
        <f t="array" ref="L9">SUMPRODUCT(('6511 (히스토리)'!$S$15:$S$34='6511 (일주일)'!L$2)*('6511 (히스토리)'!$T$15:$T$34))</f>
        <v>6320.67</v>
      </c>
      <c r="M9" s="32">
        <f t="array" ref="M9">SUMPRODUCT(('6511 (히스토리)'!$S$15:$S$34='6511 (일주일)'!M$2)*('6511 (히스토리)'!$T$15:$T$34))</f>
        <v>6292.09</v>
      </c>
      <c r="N9" s="32">
        <f t="array" ref="N9">SUMPRODUCT(('6511 (히스토리)'!$S$15:$S$34='6511 (일주일)'!N$2)*('6511 (히스토리)'!$T$15:$T$34))</f>
        <v>6317.91</v>
      </c>
      <c r="O9" s="32">
        <f t="array" ref="O9">SUMPRODUCT(('6511 (히스토리)'!$S$15:$S$34='6511 (일주일)'!O$2)*('6511 (히스토리)'!$T$15:$T$34))</f>
        <v>6164.53</v>
      </c>
      <c r="P9" s="32">
        <f t="array" ref="P9">SUMPRODUCT(('6511 (히스토리)'!$S$15:$S$34='6511 (일주일)'!P$2)*('6511 (히스토리)'!$T$15:$T$34))</f>
        <v>0</v>
      </c>
      <c r="Q9" s="32">
        <f t="array" ref="Q9">SUMPRODUCT(('6511 (히스토리)'!$S$15:$S$34='6511 (일주일)'!Q$2)*('6511 (히스토리)'!$T$15:$T$34))</f>
        <v>0</v>
      </c>
      <c r="R9" s="32">
        <f t="array" ref="R9">SUMPRODUCT(('6511 (히스토리)'!$S$15:$S$34='6511 (일주일)'!R$2)*('6511 (히스토리)'!$T$15:$T$34))</f>
        <v>6135.06</v>
      </c>
      <c r="S9" s="33">
        <f t="array" ref="S9">SUMPRODUCT(('6511 (히스토리)'!$S$15:$S$34='6511 (일주일)'!S$2)*('6511 (히스토리)'!$T$15:$T$34))</f>
        <v>0</v>
      </c>
    </row>
    <row r="10" spans="1:42" ht="15" customHeight="1" x14ac:dyDescent="0.2">
      <c r="A10" s="26">
        <v>8</v>
      </c>
      <c r="B10" s="27" t="s">
        <v>172</v>
      </c>
      <c r="C10" s="28" t="s">
        <v>113</v>
      </c>
      <c r="D10" s="29" t="s">
        <v>114</v>
      </c>
      <c r="E10" s="30" t="s">
        <v>55</v>
      </c>
      <c r="F10" s="31">
        <f t="array" ref="F10">SUMPRODUCT(('6511 (히스토리)'!$U$15:$U$34='6511 (일주일)'!F$2)*('6511 (히스토리)'!$V$15:$V$34))</f>
        <v>4188.24</v>
      </c>
      <c r="G10" s="32">
        <f t="array" ref="G10">SUMPRODUCT(('6511 (히스토리)'!$U$15:$U$34='6511 (일주일)'!G$2)*('6511 (히스토리)'!$V$15:$V$34))</f>
        <v>4138.76</v>
      </c>
      <c r="H10" s="32">
        <f t="array" ref="H10">SUMPRODUCT(('6511 (히스토리)'!$U$15:$U$34='6511 (일주일)'!H$2)*('6511 (히스토리)'!$V$15:$V$34))</f>
        <v>4165.29</v>
      </c>
      <c r="I10" s="32">
        <f t="array" ref="I10">SUMPRODUCT(('6511 (히스토리)'!$U$15:$U$34='6511 (일주일)'!I$2)*('6511 (히스토리)'!$V$15:$V$34))</f>
        <v>0</v>
      </c>
      <c r="J10" s="32">
        <f t="array" ref="J10">SUMPRODUCT(('6511 (히스토리)'!$U$15:$U$34='6511 (일주일)'!J$2)*('6511 (히스토리)'!$V$15:$V$34))</f>
        <v>0</v>
      </c>
      <c r="K10" s="32">
        <f t="array" ref="K10">SUMPRODUCT(('6511 (히스토리)'!$U$15:$U$34='6511 (일주일)'!K$2)*('6511 (히스토리)'!$V$15:$V$34))</f>
        <v>4120.43</v>
      </c>
      <c r="L10" s="32">
        <f t="array" ref="L10">SUMPRODUCT(('6511 (히스토리)'!$U$15:$U$34='6511 (일주일)'!L$2)*('6511 (히스토리)'!$V$15:$V$34))</f>
        <v>4082.98</v>
      </c>
      <c r="M10" s="32">
        <f t="array" ref="M10">SUMPRODUCT(('6511 (히스토리)'!$U$15:$U$34='6511 (일주일)'!M$2)*('6511 (히스토리)'!$V$15:$V$34))</f>
        <v>4085.77</v>
      </c>
      <c r="N10" s="32">
        <f t="array" ref="N10">SUMPRODUCT(('6511 (히스토리)'!$U$15:$U$34='6511 (일주일)'!N$2)*('6511 (히스토리)'!$V$15:$V$34))</f>
        <v>4083.67</v>
      </c>
      <c r="O10" s="32">
        <f t="array" ref="O10">SUMPRODUCT(('6511 (히스토리)'!$U$15:$U$34='6511 (일주일)'!O$2)*('6511 (히스토리)'!$V$15:$V$34))</f>
        <v>4023.42</v>
      </c>
      <c r="P10" s="32">
        <f t="array" ref="P10">SUMPRODUCT(('6511 (히스토리)'!$U$15:$U$34='6511 (일주일)'!P$2)*('6511 (히스토리)'!$V$15:$V$34))</f>
        <v>0</v>
      </c>
      <c r="Q10" s="32">
        <f t="array" ref="Q10">SUMPRODUCT(('6511 (히스토리)'!$U$15:$U$34='6511 (일주일)'!Q$2)*('6511 (히스토리)'!$V$15:$V$34))</f>
        <v>0</v>
      </c>
      <c r="R10" s="32">
        <f t="array" ref="R10">SUMPRODUCT(('6511 (히스토리)'!$U$15:$U$34='6511 (일주일)'!R$2)*('6511 (히스토리)'!$V$15:$V$34))</f>
        <v>0</v>
      </c>
      <c r="S10" s="33">
        <f t="array" ref="S10">SUMPRODUCT(('6511 (히스토리)'!$U$15:$U$34='6511 (일주일)'!S$2)*('6511 (히스토리)'!$V$15:$V$34))</f>
        <v>0</v>
      </c>
    </row>
    <row r="11" spans="1:42" ht="15" customHeight="1" x14ac:dyDescent="0.2">
      <c r="A11" s="26">
        <v>9</v>
      </c>
      <c r="B11" s="27" t="s">
        <v>245</v>
      </c>
      <c r="C11" s="28" t="s">
        <v>246</v>
      </c>
      <c r="D11" s="29" t="s">
        <v>247</v>
      </c>
      <c r="E11" s="81" t="s">
        <v>248</v>
      </c>
      <c r="F11" s="31">
        <f t="array" ref="F11">SUMPRODUCT(('6511 (히스토리)'!$W$15:$W$34='6511 (일주일)'!F$2)*('6511 (히스토리)'!$X$15:$X$34))</f>
        <v>2733.02</v>
      </c>
      <c r="G11" s="32">
        <f t="array" ref="G11">SUMPRODUCT(('6511 (히스토리)'!$W$15:$W$34='6511 (일주일)'!G$2)*('6511 (히스토리)'!$X$15:$X$34))</f>
        <v>2676.04</v>
      </c>
      <c r="H11" s="32">
        <f t="array" ref="H11">SUMPRODUCT(('6511 (히스토리)'!$W$15:$W$34='6511 (일주일)'!H$2)*('6511 (히스토리)'!$X$15:$X$34))</f>
        <v>2714.52</v>
      </c>
      <c r="I11" s="32">
        <f t="array" ref="I11">SUMPRODUCT(('6511 (히스토리)'!$W$15:$W$34='6511 (일주일)'!I$2)*('6511 (히스토리)'!$X$15:$X$34))</f>
        <v>0</v>
      </c>
      <c r="J11" s="32">
        <f t="array" ref="J11">SUMPRODUCT(('6511 (히스토리)'!$W$15:$W$34='6511 (일주일)'!J$2)*('6511 (히스토리)'!$X$15:$X$34))</f>
        <v>0</v>
      </c>
      <c r="K11" s="32">
        <f t="array" ref="K11">SUMPRODUCT(('6511 (히스토리)'!$W$15:$W$34='6511 (일주일)'!K$2)*('6511 (히스토리)'!$X$15:$X$34))</f>
        <v>2660.05</v>
      </c>
      <c r="L11" s="32">
        <f t="array" ref="L11">SUMPRODUCT(('6511 (히스토리)'!$W$15:$W$34='6511 (일주일)'!L$2)*('6511 (히스토리)'!$X$15:$X$34))</f>
        <v>2624.99</v>
      </c>
      <c r="M11" s="32">
        <f t="array" ref="M11">SUMPRODUCT(('6511 (히스토리)'!$W$15:$W$34='6511 (일주일)'!M$2)*('6511 (히스토리)'!$X$15:$X$34))</f>
        <v>2620.52</v>
      </c>
      <c r="N11" s="32">
        <f t="array" ref="N11">SUMPRODUCT(('6511 (히스토리)'!$W$15:$W$34='6511 (일주일)'!N$2)*('6511 (히스토리)'!$X$15:$X$34))</f>
        <v>2617.77</v>
      </c>
      <c r="O11" s="32">
        <f t="array" ref="O11">SUMPRODUCT(('6511 (히스토리)'!$W$15:$W$34='6511 (일주일)'!O$2)*('6511 (히스토리)'!$X$15:$X$34))</f>
        <v>2581.52</v>
      </c>
      <c r="P11" s="32">
        <f t="array" ref="P11">SUMPRODUCT(('6511 (히스토리)'!$W$15:$W$34='6511 (일주일)'!P$2)*('6511 (히스토리)'!$X$15:$X$34))</f>
        <v>0</v>
      </c>
      <c r="Q11" s="32">
        <f t="array" ref="Q11">SUMPRODUCT(('6511 (히스토리)'!$W$15:$W$34='6511 (일주일)'!Q$2)*('6511 (히스토리)'!$X$15:$X$34))</f>
        <v>0</v>
      </c>
      <c r="R11" s="32">
        <f t="array" ref="R11">SUMPRODUCT(('6511 (히스토리)'!$W$15:$W$34='6511 (일주일)'!R$2)*('6511 (히스토리)'!$X$15:$X$34))</f>
        <v>0</v>
      </c>
      <c r="S11" s="33">
        <f t="array" ref="S11">SUMPRODUCT(('6511 (히스토리)'!$W$15:$W$34='6511 (일주일)'!S$2)*('6511 (히스토리)'!$X$15:$X$34))</f>
        <v>0</v>
      </c>
    </row>
    <row r="12" spans="1:42" ht="15" customHeight="1" x14ac:dyDescent="0.2">
      <c r="A12" s="26">
        <v>10</v>
      </c>
      <c r="B12" s="27" t="s">
        <v>249</v>
      </c>
      <c r="C12" s="28" t="s">
        <v>250</v>
      </c>
      <c r="D12" s="29" t="s">
        <v>251</v>
      </c>
      <c r="E12" s="81" t="s">
        <v>252</v>
      </c>
      <c r="F12" s="31">
        <f t="array" ref="F12">SUMPRODUCT(('6511 (히스토리)'!$Y$15:$Y$34='6511 (일주일)'!F$2)*('6511 (히스토리)'!$Z$15:$Z$34))</f>
        <v>4812.4799999999996</v>
      </c>
      <c r="G12" s="32">
        <f t="array" ref="G12">SUMPRODUCT(('6511 (히스토리)'!$Y$15:$Y$34='6511 (일주일)'!G$2)*('6511 (히스토리)'!$Z$15:$Z$34))</f>
        <v>4761.03</v>
      </c>
      <c r="H12" s="32">
        <f t="array" ref="H12">SUMPRODUCT(('6511 (히스토리)'!$Y$15:$Y$34='6511 (일주일)'!H$2)*('6511 (히스토리)'!$Z$15:$Z$34))</f>
        <v>4789.92</v>
      </c>
      <c r="I12" s="32">
        <f t="array" ref="I12">SUMPRODUCT(('6511 (히스토리)'!$Y$15:$Y$34='6511 (일주일)'!I$2)*('6511 (히스토리)'!$Z$15:$Z$34))</f>
        <v>0</v>
      </c>
      <c r="J12" s="32">
        <f t="array" ref="J12">SUMPRODUCT(('6511 (히스토리)'!$Y$15:$Y$34='6511 (일주일)'!J$2)*('6511 (히스토리)'!$Z$15:$Z$34))</f>
        <v>0</v>
      </c>
      <c r="K12" s="32">
        <f t="array" ref="K12">SUMPRODUCT(('6511 (히스토리)'!$Y$15:$Y$34='6511 (일주일)'!K$2)*('6511 (히스토리)'!$Z$15:$Z$34))</f>
        <v>4758.92</v>
      </c>
      <c r="L12" s="32">
        <f t="array" ref="L12">SUMPRODUCT(('6511 (히스토리)'!$Y$15:$Y$34='6511 (일주일)'!L$2)*('6511 (히스토리)'!$Z$15:$Z$34))</f>
        <v>4737.6499999999996</v>
      </c>
      <c r="M12" s="32">
        <f t="array" ref="M12">SUMPRODUCT(('6511 (히스토리)'!$Y$15:$Y$34='6511 (일주일)'!M$2)*('6511 (히스토리)'!$Z$15:$Z$34))</f>
        <v>4776.67</v>
      </c>
      <c r="N12" s="32">
        <f t="array" ref="N12">SUMPRODUCT(('6511 (히스토리)'!$Y$15:$Y$34='6511 (일주일)'!N$2)*('6511 (히스토리)'!$Z$15:$Z$34))</f>
        <v>4790.6899999999996</v>
      </c>
      <c r="O12" s="32">
        <f t="array" ref="O12">SUMPRODUCT(('6511 (히스토리)'!$Y$15:$Y$34='6511 (일주일)'!O$2)*('6511 (히스토리)'!$Z$15:$Z$34))</f>
        <v>4717.75</v>
      </c>
      <c r="P12" s="32">
        <f t="array" ref="P12">SUMPRODUCT(('6511 (히스토리)'!$Y$15:$Y$34='6511 (일주일)'!P$2)*('6511 (히스토리)'!$Z$15:$Z$34))</f>
        <v>0</v>
      </c>
      <c r="Q12" s="32">
        <f t="array" ref="Q12">SUMPRODUCT(('6511 (히스토리)'!$Y$15:$Y$34='6511 (일주일)'!Q$2)*('6511 (히스토리)'!$Z$15:$Z$34))</f>
        <v>0</v>
      </c>
      <c r="R12" s="32">
        <f t="array" ref="R12">SUMPRODUCT(('6511 (히스토리)'!$Y$15:$Y$34='6511 (일주일)'!R$2)*('6511 (히스토리)'!$Z$15:$Z$34))</f>
        <v>0</v>
      </c>
      <c r="S12" s="33">
        <f t="array" ref="S12">SUMPRODUCT(('6511 (히스토리)'!$Y$15:$Y$34='6511 (일주일)'!S$2)*('6511 (히스토리)'!$Z$15:$Z$34))</f>
        <v>0</v>
      </c>
    </row>
    <row r="13" spans="1:42" ht="15" customHeight="1" x14ac:dyDescent="0.2">
      <c r="A13" s="18">
        <v>11</v>
      </c>
      <c r="B13" s="27" t="s">
        <v>172</v>
      </c>
      <c r="C13" s="28" t="s">
        <v>115</v>
      </c>
      <c r="D13" s="29" t="s">
        <v>213</v>
      </c>
      <c r="E13" s="30" t="s">
        <v>19</v>
      </c>
      <c r="F13" s="31">
        <f t="array" ref="F13">SUMPRODUCT(('6511 (히스토리)'!$AA$15:$AA$34='6511 (일주일)'!F$2)*('6511 (히스토리)'!$AB$15:$AB$34))</f>
        <v>27092.98</v>
      </c>
      <c r="G13" s="32">
        <f t="array" ref="G13">SUMPRODUCT(('6511 (히스토리)'!$AA$15:$AA$34='6511 (일주일)'!G$2)*('6511 (히스토리)'!$AB$15:$AB$34))</f>
        <v>26848.47</v>
      </c>
      <c r="H13" s="32">
        <f t="array" ref="H13">SUMPRODUCT(('6511 (히스토리)'!$AA$15:$AA$34='6511 (일주일)'!H$2)*('6511 (히스토리)'!$AB$15:$AB$34))</f>
        <v>26608.48</v>
      </c>
      <c r="I13" s="32">
        <f t="array" ref="I13">SUMPRODUCT(('6511 (히스토리)'!$AA$15:$AA$34='6511 (일주일)'!I$2)*('6511 (히스토리)'!$AB$15:$AB$34))</f>
        <v>0</v>
      </c>
      <c r="J13" s="32">
        <f t="array" ref="J13">SUMPRODUCT(('6511 (히스토리)'!$AA$15:$AA$34='6511 (일주일)'!J$2)*('6511 (히스토리)'!$AB$15:$AB$34))</f>
        <v>0</v>
      </c>
      <c r="K13" s="32">
        <f t="array" ref="K13">SUMPRODUCT(('6511 (히스토리)'!$AA$15:$AA$34='6511 (일주일)'!K$2)*('6511 (히스토리)'!$AB$15:$AB$34))</f>
        <v>26231.79</v>
      </c>
      <c r="L13" s="32">
        <f t="array" ref="L13">SUMPRODUCT(('6511 (히스토리)'!$AA$15:$AA$34='6511 (일주일)'!L$2)*('6511 (히스토리)'!$AB$15:$AB$34))</f>
        <v>26149.31</v>
      </c>
      <c r="M13" s="32">
        <f t="array" ref="M13">SUMPRODUCT(('6511 (히스토리)'!$AA$15:$AA$34='6511 (일주일)'!M$2)*('6511 (히스토리)'!$AB$15:$AB$34))</f>
        <v>26458.95</v>
      </c>
      <c r="N13" s="32">
        <f t="array" ref="N13">SUMPRODUCT(('6511 (히스토리)'!$AA$15:$AA$34='6511 (일주일)'!N$2)*('6511 (히스토리)'!$AB$15:$AB$34))</f>
        <v>26710.45</v>
      </c>
      <c r="O13" s="32">
        <f t="array" ref="O13">SUMPRODUCT(('6511 (히스토리)'!$AA$15:$AA$34='6511 (일주일)'!O$2)*('6511 (히스토리)'!$AB$15:$AB$34))</f>
        <v>26347.24</v>
      </c>
      <c r="P13" s="32">
        <f t="array" ref="P13">SUMPRODUCT(('6511 (히스토리)'!$AA$15:$AA$34='6511 (일주일)'!P$2)*('6511 (히스토리)'!$AB$15:$AB$34))</f>
        <v>0</v>
      </c>
      <c r="Q13" s="32">
        <f t="array" ref="Q13">SUMPRODUCT(('6511 (히스토리)'!$AA$15:$AA$34='6511 (일주일)'!Q$2)*('6511 (히스토리)'!$AB$15:$AB$34))</f>
        <v>0</v>
      </c>
      <c r="R13" s="32">
        <f t="array" ref="R13">SUMPRODUCT(('6511 (히스토리)'!$AA$15:$AA$34='6511 (일주일)'!R$2)*('6511 (히스토리)'!$AB$15:$AB$34))</f>
        <v>26338.47</v>
      </c>
      <c r="S13" s="33">
        <f t="array" ref="S13">SUMPRODUCT(('6511 (히스토리)'!$AA$15:$AA$34='6511 (일주일)'!S$2)*('6511 (히스토리)'!$AB$15:$AB$34))</f>
        <v>0</v>
      </c>
    </row>
    <row r="14" spans="1:42" ht="15" customHeight="1" x14ac:dyDescent="0.2">
      <c r="A14" s="26">
        <v>12</v>
      </c>
      <c r="B14" s="27" t="s">
        <v>172</v>
      </c>
      <c r="C14" s="28" t="s">
        <v>117</v>
      </c>
      <c r="D14" s="29" t="s">
        <v>118</v>
      </c>
      <c r="E14" s="30" t="s">
        <v>18</v>
      </c>
      <c r="F14" s="31">
        <f t="array" ref="F14">SUMPRODUCT(('6511 (히스토리)'!$AC$15:$AC$34='6511 (일주일)'!F$2)*('6511 (히스토리)'!$AD$15:$AD$34))</f>
        <v>9367.2800000000007</v>
      </c>
      <c r="G14" s="32">
        <f t="array" ref="G14">SUMPRODUCT(('6511 (히스토리)'!$AC$15:$AC$34='6511 (일주일)'!G$2)*('6511 (히스토리)'!$AD$15:$AD$34))</f>
        <v>9285.41</v>
      </c>
      <c r="H14" s="32">
        <f t="array" ref="H14">SUMPRODUCT(('6511 (히스토리)'!$AC$15:$AC$34='6511 (일주일)'!H$2)*('6511 (히스토리)'!$AD$15:$AD$34))</f>
        <v>9220.08</v>
      </c>
      <c r="I14" s="32">
        <f t="array" ref="I14">SUMPRODUCT(('6511 (히스토리)'!$AC$15:$AC$34='6511 (일주일)'!I$2)*('6511 (히스토리)'!$AD$15:$AD$34))</f>
        <v>0</v>
      </c>
      <c r="J14" s="32">
        <f t="array" ref="J14">SUMPRODUCT(('6511 (히스토리)'!$AC$15:$AC$34='6511 (일주일)'!J$2)*('6511 (히스토리)'!$AD$15:$AD$34))</f>
        <v>0</v>
      </c>
      <c r="K14" s="32">
        <f t="array" ref="K14">SUMPRODUCT(('6511 (히스토리)'!$AC$15:$AC$34='6511 (일주일)'!K$2)*('6511 (히스토리)'!$AD$15:$AD$34))</f>
        <v>9048.5300000000007</v>
      </c>
      <c r="L14" s="32">
        <f t="array" ref="L14">SUMPRODUCT(('6511 (히스토리)'!$AC$15:$AC$34='6511 (일주일)'!L$2)*('6511 (히스토리)'!$AD$15:$AD$34))</f>
        <v>9039.34</v>
      </c>
      <c r="M14" s="32">
        <f t="array" ref="M14">SUMPRODUCT(('6511 (히스토리)'!$AC$15:$AC$34='6511 (일주일)'!M$2)*('6511 (히스토리)'!$AD$15:$AD$34))</f>
        <v>9138.75</v>
      </c>
      <c r="N14" s="32">
        <f t="array" ref="N14">SUMPRODUCT(('6511 (히스토리)'!$AC$15:$AC$34='6511 (일주일)'!N$2)*('6511 (히스토리)'!$AD$15:$AD$34))</f>
        <v>9244.24</v>
      </c>
      <c r="O14" s="32">
        <f t="array" ref="O14">SUMPRODUCT(('6511 (히스토리)'!$AC$15:$AC$34='6511 (일주일)'!O$2)*('6511 (히스토리)'!$AD$15:$AD$34))</f>
        <v>9148.4699999999993</v>
      </c>
      <c r="P14" s="32">
        <f t="array" ref="P14">SUMPRODUCT(('6511 (히스토리)'!$AC$15:$AC$34='6511 (일주일)'!P$2)*('6511 (히스토리)'!$AD$15:$AD$34))</f>
        <v>0</v>
      </c>
      <c r="Q14" s="32">
        <f t="array" ref="Q14">SUMPRODUCT(('6511 (히스토리)'!$AC$15:$AC$34='6511 (일주일)'!Q$2)*('6511 (히스토리)'!$AD$15:$AD$34))</f>
        <v>0</v>
      </c>
      <c r="R14" s="32">
        <f t="array" ref="R14">SUMPRODUCT(('6511 (히스토리)'!$AC$15:$AC$34='6511 (일주일)'!R$2)*('6511 (히스토리)'!$AD$15:$AD$34))</f>
        <v>9168.99</v>
      </c>
      <c r="S14" s="33">
        <f t="array" ref="S14">SUMPRODUCT(('6511 (히스토리)'!$AC$15:$AC$34='6511 (일주일)'!S$2)*('6511 (히스토리)'!$AD$15:$AD$34))</f>
        <v>0</v>
      </c>
    </row>
    <row r="15" spans="1:42" ht="15" customHeight="1" x14ac:dyDescent="0.2">
      <c r="A15" s="26">
        <v>13</v>
      </c>
      <c r="B15" s="27" t="s">
        <v>172</v>
      </c>
      <c r="C15" s="28" t="s">
        <v>71</v>
      </c>
      <c r="D15" s="29" t="s">
        <v>119</v>
      </c>
      <c r="E15" s="30" t="s">
        <v>21</v>
      </c>
      <c r="F15" s="31">
        <f t="array" ref="F15">SUMPRODUCT(('6511 (히스토리)'!$AE$15:$AE$34='6511 (일주일)'!F$2)*('6511 (히스토리)'!$AF$15:$AF$34))</f>
        <v>9025.76</v>
      </c>
      <c r="G15" s="32">
        <f t="array" ref="G15">SUMPRODUCT(('6511 (히스토리)'!$AE$15:$AE$34='6511 (일주일)'!G$2)*('6511 (히스토리)'!$AF$15:$AF$34))</f>
        <v>8948.2999999999993</v>
      </c>
      <c r="H15" s="32">
        <f t="array" ref="H15">SUMPRODUCT(('6511 (히스토리)'!$AE$15:$AE$34='6511 (일주일)'!H$2)*('6511 (히스토리)'!$AF$15:$AF$34))</f>
        <v>8884.7199999999993</v>
      </c>
      <c r="I15" s="32">
        <f t="array" ref="I15">SUMPRODUCT(('6511 (히스토리)'!$AE$15:$AE$34='6511 (일주일)'!I$2)*('6511 (히스토리)'!$AF$15:$AF$34))</f>
        <v>0</v>
      </c>
      <c r="J15" s="32">
        <f t="array" ref="J15">SUMPRODUCT(('6511 (히스토리)'!$AE$15:$AE$34='6511 (일주일)'!J$2)*('6511 (히스토리)'!$AF$15:$AF$34))</f>
        <v>0</v>
      </c>
      <c r="K15" s="32">
        <f t="array" ref="K15">SUMPRODUCT(('6511 (히스토리)'!$AE$15:$AE$34='6511 (일주일)'!K$2)*('6511 (히스토리)'!$AF$15:$AF$34))</f>
        <v>8936.75</v>
      </c>
      <c r="L15" s="32">
        <f t="array" ref="L15">SUMPRODUCT(('6511 (히스토리)'!$AE$15:$AE$34='6511 (일주일)'!L$2)*('6511 (히스토리)'!$AF$15:$AF$34))</f>
        <v>8925.4699999999993</v>
      </c>
      <c r="M15" s="32">
        <f t="array" ref="M15">SUMPRODUCT(('6511 (히스토리)'!$AE$15:$AE$34='6511 (일주일)'!M$2)*('6511 (히스토리)'!$AF$15:$AF$34))</f>
        <v>8944.81</v>
      </c>
      <c r="N15" s="32">
        <f t="array" ref="N15">SUMPRODUCT(('6511 (히스토리)'!$AE$15:$AE$34='6511 (일주일)'!N$2)*('6511 (히스토리)'!$AF$15:$AF$34))</f>
        <v>8933.61</v>
      </c>
      <c r="O15" s="32">
        <f t="array" ref="O15">SUMPRODUCT(('6511 (히스토리)'!$AE$15:$AE$34='6511 (일주일)'!O$2)*('6511 (히스토리)'!$AF$15:$AF$34))</f>
        <v>8859.19</v>
      </c>
      <c r="P15" s="32">
        <f t="array" ref="P15">SUMPRODUCT(('6511 (히스토리)'!$AE$15:$AE$34='6511 (일주일)'!P$2)*('6511 (히스토리)'!$AF$15:$AF$34))</f>
        <v>0</v>
      </c>
      <c r="Q15" s="32">
        <f t="array" ref="Q15">SUMPRODUCT(('6511 (히스토리)'!$AE$15:$AE$34='6511 (일주일)'!Q$2)*('6511 (히스토리)'!$AF$15:$AF$34))</f>
        <v>0</v>
      </c>
      <c r="R15" s="32">
        <f t="array" ref="R15">SUMPRODUCT(('6511 (히스토리)'!$AE$15:$AE$34='6511 (일주일)'!R$2)*('6511 (히스토리)'!$AF$15:$AF$34))</f>
        <v>8748.1299999999992</v>
      </c>
      <c r="S15" s="33">
        <f t="array" ref="S15">SUMPRODUCT(('6511 (히스토리)'!$AE$15:$AE$34='6511 (일주일)'!S$2)*('6511 (히스토리)'!$AF$15:$AF$34))</f>
        <v>0</v>
      </c>
    </row>
    <row r="16" spans="1:42" ht="15" customHeight="1" x14ac:dyDescent="0.2">
      <c r="A16" s="26">
        <v>14</v>
      </c>
      <c r="B16" s="27" t="s">
        <v>172</v>
      </c>
      <c r="C16" s="28" t="s">
        <v>72</v>
      </c>
      <c r="D16" s="29" t="s">
        <v>120</v>
      </c>
      <c r="E16" s="30" t="s">
        <v>58</v>
      </c>
      <c r="F16" s="31">
        <f t="array" ref="F16">SUMPRODUCT(('6511 (히스토리)'!$AG$15:$AG$34='6511 (일주일)'!F$2)*('6511 (히스토리)'!$AH$15:$AH$34))</f>
        <v>0</v>
      </c>
      <c r="G16" s="32">
        <f t="array" ref="G16">SUMPRODUCT(('6511 (히스토리)'!$AG$15:$AG$34='6511 (일주일)'!G$2)*('6511 (히스토리)'!$AH$15:$AH$34))</f>
        <v>1235.3</v>
      </c>
      <c r="H16" s="32">
        <f t="array" ref="H16">SUMPRODUCT(('6511 (히스토리)'!$AG$15:$AG$34='6511 (일주일)'!H$2)*('6511 (히스토리)'!$AH$15:$AH$34))</f>
        <v>1242.2</v>
      </c>
      <c r="I16" s="32">
        <f t="array" ref="I16">SUMPRODUCT(('6511 (히스토리)'!$AG$15:$AG$34='6511 (일주일)'!I$2)*('6511 (히스토리)'!$AH$15:$AH$34))</f>
        <v>0</v>
      </c>
      <c r="J16" s="32">
        <f t="array" ref="J16">SUMPRODUCT(('6511 (히스토리)'!$AG$15:$AG$34='6511 (일주일)'!J$2)*('6511 (히스토리)'!$AH$15:$AH$34))</f>
        <v>0</v>
      </c>
      <c r="K16" s="32">
        <f t="array" ref="K16">SUMPRODUCT(('6511 (히스토리)'!$AG$15:$AG$34='6511 (일주일)'!K$2)*('6511 (히스토리)'!$AH$15:$AH$34))</f>
        <v>1254.0899999999999</v>
      </c>
      <c r="L16" s="32">
        <f t="array" ref="L16">SUMPRODUCT(('6511 (히스토리)'!$AG$15:$AG$34='6511 (일주일)'!L$2)*('6511 (히스토리)'!$AH$15:$AH$34))</f>
        <v>1253.5999999999999</v>
      </c>
      <c r="M16" s="32">
        <f t="array" ref="M16">SUMPRODUCT(('6511 (히스토리)'!$AG$15:$AG$34='6511 (일주일)'!M$2)*('6511 (히스토리)'!$AH$15:$AH$34))</f>
        <v>1280.82</v>
      </c>
      <c r="N16" s="32">
        <f t="array" ref="N16">SUMPRODUCT(('6511 (히스토리)'!$AG$15:$AG$34='6511 (일주일)'!N$2)*('6511 (히스토리)'!$AH$15:$AH$34))</f>
        <v>1274.75</v>
      </c>
      <c r="O16" s="32">
        <f t="array" ref="O16">SUMPRODUCT(('6511 (히스토리)'!$AG$15:$AG$34='6511 (일주일)'!O$2)*('6511 (히스토리)'!$AH$15:$AH$34))</f>
        <v>1280.05</v>
      </c>
      <c r="P16" s="32">
        <f t="array" ref="P16">SUMPRODUCT(('6511 (히스토리)'!$AG$15:$AG$34='6511 (일주일)'!P$2)*('6511 (히스토리)'!$AH$15:$AH$34))</f>
        <v>0</v>
      </c>
      <c r="Q16" s="32">
        <f t="array" ref="Q16">SUMPRODUCT(('6511 (히스토리)'!$AG$15:$AG$34='6511 (일주일)'!Q$2)*('6511 (히스토리)'!$AH$15:$AH$34))</f>
        <v>0</v>
      </c>
      <c r="R16" s="32">
        <f t="array" ref="R16">SUMPRODUCT(('6511 (히스토리)'!$AG$15:$AG$34='6511 (일주일)'!R$2)*('6511 (히스토리)'!$AH$15:$AH$34))</f>
        <v>0</v>
      </c>
      <c r="S16" s="33">
        <f t="array" ref="S16">SUMPRODUCT(('6511 (히스토리)'!$AG$15:$AG$34='6511 (일주일)'!S$2)*('6511 (히스토리)'!$AH$15:$AH$34))</f>
        <v>0</v>
      </c>
    </row>
    <row r="17" spans="1:19" ht="15" customHeight="1" x14ac:dyDescent="0.2">
      <c r="A17" s="26">
        <v>15</v>
      </c>
      <c r="B17" s="27" t="s">
        <v>172</v>
      </c>
      <c r="C17" s="28" t="s">
        <v>121</v>
      </c>
      <c r="D17" s="29" t="s">
        <v>122</v>
      </c>
      <c r="E17" s="30" t="s">
        <v>24</v>
      </c>
      <c r="F17" s="31">
        <f t="array" ref="F17">SUMPRODUCT(('6511 (히스토리)'!$AI$15:$AI$34='6511 (일주일)'!F$2)*('6511 (히스토리)'!$AJ$15:$AJ$34))</f>
        <v>83523.649999999994</v>
      </c>
      <c r="G17" s="32">
        <f t="array" ref="G17">SUMPRODUCT(('6511 (히스토리)'!$AI$15:$AI$34='6511 (일주일)'!G$2)*('6511 (히스토리)'!$AJ$15:$AJ$34))</f>
        <v>83627.69</v>
      </c>
      <c r="H17" s="32">
        <f t="array" ref="H17">SUMPRODUCT(('6511 (히스토리)'!$AI$15:$AI$34='6511 (일주일)'!H$2)*('6511 (히스토리)'!$AJ$15:$AJ$34))</f>
        <v>83878.17</v>
      </c>
      <c r="I17" s="32">
        <f t="array" ref="I17">SUMPRODUCT(('6511 (히스토리)'!$AI$15:$AI$34='6511 (일주일)'!I$2)*('6511 (히스토리)'!$AJ$15:$AJ$34))</f>
        <v>0</v>
      </c>
      <c r="J17" s="32">
        <f t="array" ref="J17">SUMPRODUCT(('6511 (히스토리)'!$AI$15:$AI$34='6511 (일주일)'!J$2)*('6511 (히스토리)'!$AJ$15:$AJ$34))</f>
        <v>0</v>
      </c>
      <c r="K17" s="32">
        <f t="array" ref="K17">SUMPRODUCT(('6511 (히스토리)'!$AI$15:$AI$34='6511 (일주일)'!K$2)*('6511 (히스토리)'!$AJ$15:$AJ$34))</f>
        <v>83576.240000000005</v>
      </c>
      <c r="L17" s="32">
        <f t="array" ref="L17">SUMPRODUCT(('6511 (히스토리)'!$AI$15:$AI$34='6511 (일주일)'!L$2)*('6511 (히스토리)'!$AJ$15:$AJ$34))</f>
        <v>84180.96</v>
      </c>
      <c r="M17" s="32">
        <f t="array" ref="M17">SUMPRODUCT(('6511 (히스토리)'!$AI$15:$AI$34='6511 (일주일)'!M$2)*('6511 (히스토리)'!$AJ$15:$AJ$34))</f>
        <v>84961.14</v>
      </c>
      <c r="N17" s="32">
        <f t="array" ref="N17">SUMPRODUCT(('6511 (히스토리)'!$AI$15:$AI$34='6511 (일주일)'!N$2)*('6511 (히스토리)'!$AJ$15:$AJ$34))</f>
        <v>85063.34</v>
      </c>
      <c r="O17" s="32">
        <f t="array" ref="O17">SUMPRODUCT(('6511 (히스토리)'!$AI$15:$AI$34='6511 (일주일)'!O$2)*('6511 (히스토리)'!$AJ$15:$AJ$34))</f>
        <v>85439.62</v>
      </c>
      <c r="P17" s="32">
        <f t="array" ref="P17">SUMPRODUCT(('6511 (히스토리)'!$AI$15:$AI$34='6511 (일주일)'!P$2)*('6511 (히스토리)'!$AJ$15:$AJ$34))</f>
        <v>0</v>
      </c>
      <c r="Q17" s="32">
        <f t="array" ref="Q17">SUMPRODUCT(('6511 (히스토리)'!$AI$15:$AI$34='6511 (일주일)'!Q$2)*('6511 (히스토리)'!$AJ$15:$AJ$34))</f>
        <v>0</v>
      </c>
      <c r="R17" s="32">
        <f t="array" ref="R17">SUMPRODUCT(('6511 (히스토리)'!$AI$15:$AI$34='6511 (일주일)'!R$2)*('6511 (히스토리)'!$AJ$15:$AJ$34))</f>
        <v>85762.01</v>
      </c>
      <c r="S17" s="33">
        <f t="array" ref="S17">SUMPRODUCT(('6511 (히스토리)'!$AI$15:$AI$34='6511 (일주일)'!S$2)*('6511 (히스토리)'!$AJ$15:$AJ$34))</f>
        <v>85188.6</v>
      </c>
    </row>
    <row r="18" spans="1:19" ht="15" customHeight="1" x14ac:dyDescent="0.2">
      <c r="A18" s="18">
        <v>16</v>
      </c>
      <c r="B18" s="27" t="s">
        <v>172</v>
      </c>
      <c r="C18" s="28" t="s">
        <v>73</v>
      </c>
      <c r="D18" s="29" t="s">
        <v>195</v>
      </c>
      <c r="E18" s="30" t="s">
        <v>62</v>
      </c>
      <c r="F18" s="31">
        <f t="array" ref="F18">SUMPRODUCT(('6511 (히스토리)'!$AK$15:$AK$34='6511 (일주일)'!F$2)*('6511 (히스토리)'!$AL$15:$AL$34))</f>
        <v>1901.02</v>
      </c>
      <c r="G18" s="32">
        <f t="array" ref="G18">SUMPRODUCT(('6511 (히스토리)'!$AK$15:$AK$34='6511 (일주일)'!G$2)*('6511 (히스토리)'!$AL$15:$AL$34))</f>
        <v>1902.93</v>
      </c>
      <c r="H18" s="32">
        <f t="array" ref="H18">SUMPRODUCT(('6511 (히스토리)'!$AK$15:$AK$34='6511 (일주일)'!H$2)*('6511 (히스토리)'!$AL$15:$AL$34))</f>
        <v>1877.33</v>
      </c>
      <c r="I18" s="32">
        <f t="array" ref="I18">SUMPRODUCT(('6511 (히스토리)'!$AK$15:$AK$34='6511 (일주일)'!I$2)*('6511 (히스토리)'!$AL$15:$AL$34))</f>
        <v>0</v>
      </c>
      <c r="J18" s="32">
        <f t="array" ref="J18">SUMPRODUCT(('6511 (히스토리)'!$AK$15:$AK$34='6511 (일주일)'!J$2)*('6511 (히스토리)'!$AL$15:$AL$34))</f>
        <v>0</v>
      </c>
      <c r="K18" s="32">
        <f t="array" ref="K18">SUMPRODUCT(('6511 (히스토리)'!$AK$15:$AK$34='6511 (일주일)'!K$2)*('6511 (히스토리)'!$AL$15:$AL$34))</f>
        <v>1867.9</v>
      </c>
      <c r="L18" s="32">
        <f t="array" ref="L18">SUMPRODUCT(('6511 (히스토리)'!$AK$15:$AK$34='6511 (일주일)'!L$2)*('6511 (히스토리)'!$AL$15:$AL$34))</f>
        <v>1855.56</v>
      </c>
      <c r="M18" s="32">
        <f t="array" ref="M18">SUMPRODUCT(('6511 (히스토리)'!$AK$15:$AK$34='6511 (일주일)'!M$2)*('6511 (히스토리)'!$AL$15:$AL$34))</f>
        <v>1861.58</v>
      </c>
      <c r="N18" s="32">
        <f t="array" ref="N18">SUMPRODUCT(('6511 (히스토리)'!$AK$15:$AK$34='6511 (일주일)'!N$2)*('6511 (히스토리)'!$AL$15:$AL$34))</f>
        <v>1816.27</v>
      </c>
      <c r="O18" s="32">
        <f t="array" ref="O18">SUMPRODUCT(('6511 (히스토리)'!$AK$15:$AK$34='6511 (일주일)'!O$2)*('6511 (히스토리)'!$AL$15:$AL$34))</f>
        <v>1788.4</v>
      </c>
      <c r="P18" s="32">
        <f t="array" ref="P18">SUMPRODUCT(('6511 (히스토리)'!$AK$15:$AK$34='6511 (일주일)'!P$2)*('6511 (히스토리)'!$AL$15:$AL$34))</f>
        <v>0</v>
      </c>
      <c r="Q18" s="32">
        <f t="array" ref="Q18">SUMPRODUCT(('6511 (히스토리)'!$AK$15:$AK$34='6511 (일주일)'!Q$2)*('6511 (히스토리)'!$AL$15:$AL$34))</f>
        <v>0</v>
      </c>
      <c r="R18" s="32">
        <f t="array" ref="R18">SUMPRODUCT(('6511 (히스토리)'!$AK$15:$AK$34='6511 (일주일)'!R$2)*('6511 (히스토리)'!$AL$15:$AL$34))</f>
        <v>0</v>
      </c>
      <c r="S18" s="33">
        <f t="array" ref="S18">SUMPRODUCT(('6511 (히스토리)'!$AK$15:$AK$34='6511 (일주일)'!S$2)*('6511 (히스토리)'!$AL$15:$AL$34))</f>
        <v>0</v>
      </c>
    </row>
    <row r="19" spans="1:19" ht="15" customHeight="1" x14ac:dyDescent="0.2">
      <c r="A19" s="26">
        <v>17</v>
      </c>
      <c r="B19" s="27" t="s">
        <v>172</v>
      </c>
      <c r="C19" s="28" t="s">
        <v>74</v>
      </c>
      <c r="D19" s="29" t="s">
        <v>124</v>
      </c>
      <c r="E19" s="30" t="s">
        <v>45</v>
      </c>
      <c r="F19" s="31">
        <f t="array" ref="F19">SUMPRODUCT(('6511 (히스토리)'!$AM$15:$AM$34='6511 (일주일)'!F$2)*('6511 (히스토리)'!$AN$15:$AN$34))</f>
        <v>183951.51</v>
      </c>
      <c r="G19" s="32">
        <f t="array" ref="G19">SUMPRODUCT(('6511 (히스토리)'!$AM$15:$AM$34='6511 (일주일)'!G$2)*('6511 (히스토리)'!$AN$15:$AN$34))</f>
        <v>183951.51</v>
      </c>
      <c r="H19" s="32">
        <f t="array" ref="H19">SUMPRODUCT(('6511 (히스토리)'!$AM$15:$AM$34='6511 (일주일)'!H$2)*('6511 (히스토리)'!$AN$15:$AN$34))</f>
        <v>182384.15</v>
      </c>
      <c r="I19" s="32">
        <f t="array" ref="I19">SUMPRODUCT(('6511 (히스토리)'!$AM$15:$AM$34='6511 (일주일)'!I$2)*('6511 (히스토리)'!$AN$15:$AN$34))</f>
        <v>0</v>
      </c>
      <c r="J19" s="32">
        <f t="array" ref="J19">SUMPRODUCT(('6511 (히스토리)'!$AM$15:$AM$34='6511 (일주일)'!J$2)*('6511 (히스토리)'!$AN$15:$AN$34))</f>
        <v>0</v>
      </c>
      <c r="K19" s="32">
        <f t="array" ref="K19">SUMPRODUCT(('6511 (히스토리)'!$AM$15:$AM$34='6511 (일주일)'!K$2)*('6511 (히스토리)'!$AN$15:$AN$34))</f>
        <v>184409.67</v>
      </c>
      <c r="L19" s="32">
        <f t="array" ref="L19">SUMPRODUCT(('6511 (히스토리)'!$AM$15:$AM$34='6511 (일주일)'!L$2)*('6511 (히스토리)'!$AN$15:$AN$34))</f>
        <v>185589.9</v>
      </c>
      <c r="M19" s="32">
        <f t="array" ref="M19">SUMPRODUCT(('6511 (히스토리)'!$AM$15:$AM$34='6511 (일주일)'!M$2)*('6511 (히스토리)'!$AN$15:$AN$34))</f>
        <v>186518.72</v>
      </c>
      <c r="N19" s="32">
        <f t="array" ref="N19">SUMPRODUCT(('6511 (히스토리)'!$AM$15:$AM$34='6511 (일주일)'!N$2)*('6511 (히스토리)'!$AN$15:$AN$34))</f>
        <v>185062.11</v>
      </c>
      <c r="O19" s="32">
        <f t="array" ref="O19">SUMPRODUCT(('6511 (히스토리)'!$AM$15:$AM$34='6511 (일주일)'!O$2)*('6511 (히스토리)'!$AN$15:$AN$34))</f>
        <v>182408.24</v>
      </c>
      <c r="P19" s="32">
        <f t="array" ref="P19">SUMPRODUCT(('6511 (히스토리)'!$AM$15:$AM$34='6511 (일주일)'!P$2)*('6511 (히스토리)'!$AN$15:$AN$34))</f>
        <v>0</v>
      </c>
      <c r="Q19" s="32">
        <f t="array" ref="Q19">SUMPRODUCT(('6511 (히스토리)'!$AM$15:$AM$34='6511 (일주일)'!Q$2)*('6511 (히스토리)'!$AN$15:$AN$34))</f>
        <v>0</v>
      </c>
      <c r="R19" s="32">
        <f t="array" ref="R19">SUMPRODUCT(('6511 (히스토리)'!$AM$15:$AM$34='6511 (일주일)'!R$2)*('6511 (히스토리)'!$AN$15:$AN$34))</f>
        <v>179034.93</v>
      </c>
      <c r="S19" s="33">
        <f t="array" ref="S19">SUMPRODUCT(('6511 (히스토리)'!$AM$15:$AM$34='6511 (일주일)'!S$2)*('6511 (히스토리)'!$AN$15:$AN$34))</f>
        <v>176355.49</v>
      </c>
    </row>
    <row r="20" spans="1:19" ht="15" customHeight="1" x14ac:dyDescent="0.2">
      <c r="A20" s="26">
        <v>18</v>
      </c>
      <c r="B20" s="27" t="s">
        <v>172</v>
      </c>
      <c r="C20" s="28" t="s">
        <v>199</v>
      </c>
      <c r="D20" s="29" t="s">
        <v>125</v>
      </c>
      <c r="E20" s="30" t="s">
        <v>204</v>
      </c>
      <c r="F20" s="31">
        <f t="array" ref="F20">SUMPRODUCT(('6511 (히스토리)'!$AO$15:$AO$34='6511 (일주일)'!F$2)*('6511 (히스토리)'!$AP$15:$AP$34))</f>
        <v>6178.11</v>
      </c>
      <c r="G20" s="32">
        <f t="array" ref="G20">SUMPRODUCT(('6511 (히스토리)'!$AO$15:$AO$34='6511 (일주일)'!G$2)*('6511 (히스토리)'!$AP$15:$AP$34))</f>
        <v>6178.11</v>
      </c>
      <c r="H20" s="32">
        <f t="array" ref="H20">SUMPRODUCT(('6511 (히스토리)'!$AO$15:$AO$34='6511 (일주일)'!H$2)*('6511 (히스토리)'!$AP$15:$AP$34))</f>
        <v>6192.57</v>
      </c>
      <c r="I20" s="32">
        <f t="array" ref="I20">SUMPRODUCT(('6511 (히스토리)'!$AO$15:$AO$34='6511 (일주일)'!I$2)*('6511 (히스토리)'!$AP$15:$AP$34))</f>
        <v>0</v>
      </c>
      <c r="J20" s="32">
        <f t="array" ref="J20">SUMPRODUCT(('6511 (히스토리)'!$AO$15:$AO$34='6511 (일주일)'!J$2)*('6511 (히스토리)'!$AP$15:$AP$34))</f>
        <v>0</v>
      </c>
      <c r="K20" s="32">
        <f t="array" ref="K20">SUMPRODUCT(('6511 (히스토리)'!$AO$15:$AO$34='6511 (일주일)'!K$2)*('6511 (히스토리)'!$AP$15:$AP$34))</f>
        <v>6163.73</v>
      </c>
      <c r="L20" s="32">
        <f t="array" ref="L20">SUMPRODUCT(('6511 (히스토리)'!$AO$15:$AO$34='6511 (일주일)'!L$2)*('6511 (히스토리)'!$AP$15:$AP$34))</f>
        <v>6126</v>
      </c>
      <c r="M20" s="32">
        <f t="array" ref="M20">SUMPRODUCT(('6511 (히스토리)'!$AO$15:$AO$34='6511 (일주일)'!M$2)*('6511 (히스토리)'!$AP$15:$AP$34))</f>
        <v>6099.7</v>
      </c>
      <c r="N20" s="32">
        <f t="array" ref="N20">SUMPRODUCT(('6511 (히스토리)'!$AO$15:$AO$34='6511 (일주일)'!N$2)*('6511 (히스토리)'!$AP$15:$AP$34))</f>
        <v>6024.74</v>
      </c>
      <c r="O20" s="32">
        <f t="array" ref="O20">SUMPRODUCT(('6511 (히스토리)'!$AO$15:$AO$34='6511 (일주일)'!O$2)*('6511 (히스토리)'!$AP$15:$AP$34))</f>
        <v>6006.1</v>
      </c>
      <c r="P20" s="32">
        <f t="array" ref="P20">SUMPRODUCT(('6511 (히스토리)'!$AO$15:$AO$34='6511 (일주일)'!P$2)*('6511 (히스토리)'!$AP$15:$AP$34))</f>
        <v>0</v>
      </c>
      <c r="Q20" s="32">
        <f t="array" ref="Q20">SUMPRODUCT(('6511 (히스토리)'!$AO$15:$AO$34='6511 (일주일)'!Q$2)*('6511 (히스토리)'!$AP$15:$AP$34))</f>
        <v>0</v>
      </c>
      <c r="R20" s="32">
        <f t="array" ref="R20">SUMPRODUCT(('6511 (히스토리)'!$AO$15:$AO$34='6511 (일주일)'!R$2)*('6511 (히스토리)'!$AP$15:$AP$34))</f>
        <v>5939.38</v>
      </c>
      <c r="S20" s="33">
        <f t="array" ref="S20">SUMPRODUCT(('6511 (히스토리)'!$AO$15:$AO$34='6511 (일주일)'!S$2)*('6511 (히스토리)'!$AP$15:$AP$34))</f>
        <v>5895.83</v>
      </c>
    </row>
    <row r="21" spans="1:19" ht="15" customHeight="1" x14ac:dyDescent="0.2">
      <c r="A21" s="26">
        <v>19</v>
      </c>
      <c r="B21" s="27" t="s">
        <v>172</v>
      </c>
      <c r="C21" s="28" t="s">
        <v>200</v>
      </c>
      <c r="D21" s="29" t="s">
        <v>126</v>
      </c>
      <c r="E21" s="30" t="s">
        <v>169</v>
      </c>
      <c r="F21" s="31">
        <f t="array" ref="F21">SUMPRODUCT(('6511 (히스토리)'!$AQ$15:$AQ$34='6511 (일주일)'!F$2)*('6511 (히스토리)'!$AR$15:$AR$34))</f>
        <v>6319.3</v>
      </c>
      <c r="G21" s="32">
        <f t="array" ref="G21">SUMPRODUCT(('6511 (히스토리)'!$AQ$15:$AQ$34='6511 (일주일)'!G$2)*('6511 (히스토리)'!$AR$15:$AR$34))</f>
        <v>6319.3</v>
      </c>
      <c r="H21" s="32">
        <f t="array" ref="H21">SUMPRODUCT(('6511 (히스토리)'!$AQ$15:$AQ$34='6511 (일주일)'!H$2)*('6511 (히스토리)'!$AR$15:$AR$34))</f>
        <v>6268.31</v>
      </c>
      <c r="I21" s="32">
        <f t="array" ref="I21">SUMPRODUCT(('6511 (히스토리)'!$AQ$15:$AQ$34='6511 (일주일)'!I$2)*('6511 (히스토리)'!$AR$15:$AR$34))</f>
        <v>0</v>
      </c>
      <c r="J21" s="32">
        <f t="array" ref="J21">SUMPRODUCT(('6511 (히스토리)'!$AQ$15:$AQ$34='6511 (일주일)'!J$2)*('6511 (히스토리)'!$AR$15:$AR$34))</f>
        <v>0</v>
      </c>
      <c r="K21" s="32">
        <f t="array" ref="K21">SUMPRODUCT(('6511 (히스토리)'!$AQ$15:$AQ$34='6511 (일주일)'!K$2)*('6511 (히스토리)'!$AR$15:$AR$34))</f>
        <v>6225.94</v>
      </c>
      <c r="L21" s="32">
        <f t="array" ref="L21">SUMPRODUCT(('6511 (히스토리)'!$AQ$15:$AQ$34='6511 (일주일)'!L$2)*('6511 (히스토리)'!$AR$15:$AR$34))</f>
        <v>6252.99</v>
      </c>
      <c r="M21" s="32">
        <f t="array" ref="M21">SUMPRODUCT(('6511 (히스토리)'!$AQ$15:$AQ$34='6511 (일주일)'!M$2)*('6511 (히스토리)'!$AR$15:$AR$34))</f>
        <v>6248.56</v>
      </c>
      <c r="N21" s="32">
        <f t="array" ref="N21">SUMPRODUCT(('6511 (히스토리)'!$AQ$15:$AQ$34='6511 (일주일)'!N$2)*('6511 (히스토리)'!$AR$15:$AR$34))</f>
        <v>6182.55</v>
      </c>
      <c r="O21" s="32">
        <f t="array" ref="O21">SUMPRODUCT(('6511 (히스토리)'!$AQ$15:$AQ$34='6511 (일주일)'!O$2)*('6511 (히스토리)'!$AR$15:$AR$34))</f>
        <v>6130.4</v>
      </c>
      <c r="P21" s="32">
        <f t="array" ref="P21">SUMPRODUCT(('6511 (히스토리)'!$AQ$15:$AQ$34='6511 (일주일)'!P$2)*('6511 (히스토리)'!$AR$15:$AR$34))</f>
        <v>0</v>
      </c>
      <c r="Q21" s="32">
        <f t="array" ref="Q21">SUMPRODUCT(('6511 (히스토리)'!$AQ$15:$AQ$34='6511 (일주일)'!Q$2)*('6511 (히스토리)'!$AR$15:$AR$34))</f>
        <v>0</v>
      </c>
      <c r="R21" s="32">
        <f t="array" ref="R21">SUMPRODUCT(('6511 (히스토리)'!$AQ$15:$AQ$34='6511 (일주일)'!R$2)*('6511 (히스토리)'!$AR$15:$AR$34))</f>
        <v>6114.03</v>
      </c>
      <c r="S21" s="33">
        <f t="array" ref="S21">SUMPRODUCT(('6511 (히스토리)'!$AQ$15:$AQ$34='6511 (일주일)'!S$2)*('6511 (히스토리)'!$AR$15:$AR$34))</f>
        <v>0</v>
      </c>
    </row>
    <row r="22" spans="1:19" ht="15" customHeight="1" x14ac:dyDescent="0.2">
      <c r="A22" s="26">
        <v>20</v>
      </c>
      <c r="B22" s="27" t="s">
        <v>172</v>
      </c>
      <c r="C22" s="28" t="s">
        <v>201</v>
      </c>
      <c r="D22" s="29" t="s">
        <v>127</v>
      </c>
      <c r="E22" s="30" t="s">
        <v>196</v>
      </c>
      <c r="F22" s="31">
        <f t="array" ref="F22">SUMPRODUCT(('6511 (히스토리)'!$AS$15:$AS$34='6511 (일주일)'!F$2)*('6511 (히스토리)'!$AT$15:$AT$34))</f>
        <v>9424.15</v>
      </c>
      <c r="G22" s="32">
        <f t="array" ref="G22">SUMPRODUCT(('6511 (히스토리)'!$AS$15:$AS$34='6511 (일주일)'!G$2)*('6511 (히스토리)'!$AT$15:$AT$34))</f>
        <v>9424.15</v>
      </c>
      <c r="H22" s="32">
        <f t="array" ref="H22">SUMPRODUCT(('6511 (히스토리)'!$AS$15:$AS$34='6511 (일주일)'!H$2)*('6511 (히스토리)'!$AT$15:$AT$34))</f>
        <v>9343.74</v>
      </c>
      <c r="I22" s="32">
        <f t="array" ref="I22">SUMPRODUCT(('6511 (히스토리)'!$AS$15:$AS$34='6511 (일주일)'!I$2)*('6511 (히스토리)'!$AT$15:$AT$34))</f>
        <v>0</v>
      </c>
      <c r="J22" s="32">
        <f t="array" ref="J22">SUMPRODUCT(('6511 (히스토리)'!$AS$15:$AS$34='6511 (일주일)'!J$2)*('6511 (히스토리)'!$AT$15:$AT$34))</f>
        <v>0</v>
      </c>
      <c r="K22" s="32">
        <f t="array" ref="K22">SUMPRODUCT(('6511 (히스토리)'!$AS$15:$AS$34='6511 (일주일)'!K$2)*('6511 (히스토리)'!$AT$15:$AT$34))</f>
        <v>9389.64</v>
      </c>
      <c r="L22" s="32">
        <f t="array" ref="L22">SUMPRODUCT(('6511 (히스토리)'!$AS$15:$AS$34='6511 (일주일)'!L$2)*('6511 (히스토리)'!$AT$15:$AT$34))</f>
        <v>9443.7199999999993</v>
      </c>
      <c r="M22" s="32">
        <f t="array" ref="M22">SUMPRODUCT(('6511 (히스토리)'!$AS$15:$AS$34='6511 (일주일)'!M$2)*('6511 (히스토리)'!$AT$15:$AT$34))</f>
        <v>9463.3799999999992</v>
      </c>
      <c r="N22" s="32">
        <f t="array" ref="N22">SUMPRODUCT(('6511 (히스토리)'!$AS$15:$AS$34='6511 (일주일)'!N$2)*('6511 (히스토리)'!$AT$15:$AT$34))</f>
        <v>9439.09</v>
      </c>
      <c r="O22" s="32">
        <f t="array" ref="O22">SUMPRODUCT(('6511 (히스토리)'!$AS$15:$AS$34='6511 (일주일)'!O$2)*('6511 (히스토리)'!$AT$15:$AT$34))</f>
        <v>9427.68</v>
      </c>
      <c r="P22" s="32">
        <f t="array" ref="P22">SUMPRODUCT(('6511 (히스토리)'!$AS$15:$AS$34='6511 (일주일)'!P$2)*('6511 (히스토리)'!$AT$15:$AT$34))</f>
        <v>0</v>
      </c>
      <c r="Q22" s="32">
        <f t="array" ref="Q22">SUMPRODUCT(('6511 (히스토리)'!$AS$15:$AS$34='6511 (일주일)'!Q$2)*('6511 (히스토리)'!$AT$15:$AT$34))</f>
        <v>0</v>
      </c>
      <c r="R22" s="32">
        <f t="array" ref="R22">SUMPRODUCT(('6511 (히스토리)'!$AS$15:$AS$34='6511 (일주일)'!R$2)*('6511 (히스토리)'!$AT$15:$AT$34))</f>
        <v>9431.0300000000007</v>
      </c>
      <c r="S22" s="33">
        <f t="array" ref="S22">SUMPRODUCT(('6511 (히스토리)'!$AS$15:$AS$34='6511 (일주일)'!S$2)*('6511 (히스토리)'!$AT$15:$AT$34))</f>
        <v>0</v>
      </c>
    </row>
    <row r="23" spans="1:19" ht="15" customHeight="1" x14ac:dyDescent="0.2">
      <c r="A23" s="18">
        <v>21</v>
      </c>
      <c r="B23" s="27" t="s">
        <v>172</v>
      </c>
      <c r="C23" s="28" t="s">
        <v>48</v>
      </c>
      <c r="D23" s="29" t="s">
        <v>128</v>
      </c>
      <c r="E23" s="30" t="s">
        <v>49</v>
      </c>
      <c r="F23" s="31">
        <f t="array" ref="F23">SUMPRODUCT(('6511 (히스토리)'!$AU$15:$AU$34='6511 (일주일)'!F$2)*('6511 (히스토리)'!$AV$15:$AV$34))</f>
        <v>11229.22</v>
      </c>
      <c r="G23" s="32">
        <f t="array" ref="G23">SUMPRODUCT(('6511 (히스토리)'!$AU$15:$AU$34='6511 (일주일)'!G$2)*('6511 (히스토리)'!$AV$15:$AV$34))</f>
        <v>11229.22</v>
      </c>
      <c r="H23" s="32">
        <f t="array" ref="H23">SUMPRODUCT(('6511 (히스토리)'!$AU$15:$AU$34='6511 (일주일)'!H$2)*('6511 (히스토리)'!$AV$15:$AV$34))</f>
        <v>11162.54</v>
      </c>
      <c r="I23" s="32">
        <f t="array" ref="I23">SUMPRODUCT(('6511 (히스토리)'!$AU$15:$AU$34='6511 (일주일)'!I$2)*('6511 (히스토리)'!$AV$15:$AV$34))</f>
        <v>0</v>
      </c>
      <c r="J23" s="32">
        <f t="array" ref="J23">SUMPRODUCT(('6511 (히스토리)'!$AU$15:$AU$34='6511 (일주일)'!J$2)*('6511 (히스토리)'!$AV$15:$AV$34))</f>
        <v>0</v>
      </c>
      <c r="K23" s="32">
        <f t="array" ref="K23">SUMPRODUCT(('6511 (히스토리)'!$AU$15:$AU$34='6511 (일주일)'!K$2)*('6511 (히스토리)'!$AV$15:$AV$34))</f>
        <v>11088.79</v>
      </c>
      <c r="L23" s="32">
        <f t="array" ref="L23">SUMPRODUCT(('6511 (히스토리)'!$AU$15:$AU$34='6511 (일주일)'!L$2)*('6511 (히스토리)'!$AV$15:$AV$34))</f>
        <v>10969.33</v>
      </c>
      <c r="M23" s="32">
        <f t="array" ref="M23">SUMPRODUCT(('6511 (히스토리)'!$AU$15:$AU$34='6511 (일주일)'!M$2)*('6511 (히스토리)'!$AV$15:$AV$34))</f>
        <v>11061.78</v>
      </c>
      <c r="N23" s="32">
        <f t="array" ref="N23">SUMPRODUCT(('6511 (히스토리)'!$AU$15:$AU$34='6511 (일주일)'!N$2)*('6511 (히스토리)'!$AV$15:$AV$34))</f>
        <v>10989.53</v>
      </c>
      <c r="O23" s="32">
        <f t="array" ref="O23">SUMPRODUCT(('6511 (히스토리)'!$AU$15:$AU$34='6511 (일주일)'!O$2)*('6511 (히스토리)'!$AV$15:$AV$34))</f>
        <v>10967.86</v>
      </c>
      <c r="P23" s="32">
        <f t="array" ref="P23">SUMPRODUCT(('6511 (히스토리)'!$AU$15:$AU$34='6511 (일주일)'!P$2)*('6511 (히스토리)'!$AV$15:$AV$34))</f>
        <v>0</v>
      </c>
      <c r="Q23" s="32">
        <f t="array" ref="Q23">SUMPRODUCT(('6511 (히스토리)'!$AU$15:$AU$34='6511 (일주일)'!Q$2)*('6511 (히스토리)'!$AV$15:$AV$34))</f>
        <v>0</v>
      </c>
      <c r="R23" s="32">
        <f t="array" ref="R23">SUMPRODUCT(('6511 (히스토리)'!$AU$15:$AU$34='6511 (일주일)'!R$2)*('6511 (히스토리)'!$AV$15:$AV$34))</f>
        <v>10785.36</v>
      </c>
      <c r="S23" s="33">
        <f t="array" ref="S23">SUMPRODUCT(('6511 (히스토리)'!$AU$15:$AU$34='6511 (일주일)'!S$2)*('6511 (히스토리)'!$AV$15:$AV$34))</f>
        <v>0</v>
      </c>
    </row>
    <row r="24" spans="1:19" ht="15" customHeight="1" x14ac:dyDescent="0.2">
      <c r="A24" s="26">
        <v>22</v>
      </c>
      <c r="B24" s="27" t="s">
        <v>172</v>
      </c>
      <c r="C24" s="28" t="s">
        <v>202</v>
      </c>
      <c r="D24" s="29" t="s">
        <v>129</v>
      </c>
      <c r="E24" s="30" t="s">
        <v>26</v>
      </c>
      <c r="F24" s="31">
        <f t="array" ref="F24">SUMPRODUCT(('6511 (히스토리)'!$AW$15:$AW$34='6511 (일주일)'!F$2)*('6511 (히스토리)'!$AX$15:$AX$34))</f>
        <v>3555.87</v>
      </c>
      <c r="G24" s="32">
        <f t="array" ref="G24">SUMPRODUCT(('6511 (히스토리)'!$AW$15:$AW$34='6511 (일주일)'!G$2)*('6511 (히스토리)'!$AX$15:$AX$34))</f>
        <v>3555.87</v>
      </c>
      <c r="H24" s="32">
        <f t="array" ref="H24">SUMPRODUCT(('6511 (히스토리)'!$AW$15:$AW$34='6511 (일주일)'!H$2)*('6511 (히스토리)'!$AX$15:$AX$34))</f>
        <v>3548.39</v>
      </c>
      <c r="I24" s="32">
        <f t="array" ref="I24">SUMPRODUCT(('6511 (히스토리)'!$AW$15:$AW$34='6511 (일주일)'!I$2)*('6511 (히스토리)'!$AX$15:$AX$34))</f>
        <v>0</v>
      </c>
      <c r="J24" s="32">
        <f t="array" ref="J24">SUMPRODUCT(('6511 (히스토리)'!$AW$15:$AW$34='6511 (일주일)'!J$2)*('6511 (히스토리)'!$AX$15:$AX$34))</f>
        <v>0</v>
      </c>
      <c r="K24" s="32">
        <f t="array" ref="K24">SUMPRODUCT(('6511 (히스토리)'!$AW$15:$AW$34='6511 (일주일)'!K$2)*('6511 (히스토리)'!$AX$15:$AX$34))</f>
        <v>3560.35</v>
      </c>
      <c r="L24" s="32">
        <f t="array" ref="L24">SUMPRODUCT(('6511 (히스토리)'!$AW$15:$AW$34='6511 (일주일)'!L$2)*('6511 (히스토리)'!$AX$15:$AX$34))</f>
        <v>3553.35</v>
      </c>
      <c r="M24" s="32">
        <f t="array" ref="M24">SUMPRODUCT(('6511 (히스토리)'!$AW$15:$AW$34='6511 (일주일)'!M$2)*('6511 (히스토리)'!$AX$15:$AX$34))</f>
        <v>3560.72</v>
      </c>
      <c r="N24" s="32">
        <f t="array" ref="N24">SUMPRODUCT(('6511 (히스토리)'!$AW$15:$AW$34='6511 (일주일)'!N$2)*('6511 (히스토리)'!$AX$15:$AX$34))</f>
        <v>3582.26</v>
      </c>
      <c r="O24" s="32">
        <f t="array" ref="O24">SUMPRODUCT(('6511 (히스토리)'!$AW$15:$AW$34='6511 (일주일)'!O$2)*('6511 (히스토리)'!$AX$15:$AX$34))</f>
        <v>3567.52</v>
      </c>
      <c r="P24" s="32">
        <f t="array" ref="P24">SUMPRODUCT(('6511 (히스토리)'!$AW$15:$AW$34='6511 (일주일)'!P$2)*('6511 (히스토리)'!$AX$15:$AX$34))</f>
        <v>0</v>
      </c>
      <c r="Q24" s="32">
        <f t="array" ref="Q24">SUMPRODUCT(('6511 (히스토리)'!$AW$15:$AW$34='6511 (일주일)'!Q$2)*('6511 (히스토리)'!$AX$15:$AX$34))</f>
        <v>0</v>
      </c>
      <c r="R24" s="32">
        <f t="array" ref="R24">SUMPRODUCT(('6511 (히스토리)'!$AW$15:$AW$34='6511 (일주일)'!R$2)*('6511 (히스토리)'!$AX$15:$AX$34))</f>
        <v>3598.01</v>
      </c>
      <c r="S24" s="33">
        <f t="array" ref="S24">SUMPRODUCT(('6511 (히스토리)'!$AW$15:$AW$34='6511 (일주일)'!S$2)*('6511 (히스토리)'!$AX$15:$AX$34))</f>
        <v>0</v>
      </c>
    </row>
    <row r="25" spans="1:19" ht="15" customHeight="1" x14ac:dyDescent="0.2">
      <c r="A25" s="26">
        <v>23</v>
      </c>
      <c r="B25" s="27" t="s">
        <v>172</v>
      </c>
      <c r="C25" s="28" t="s">
        <v>77</v>
      </c>
      <c r="D25" s="29" t="s">
        <v>130</v>
      </c>
      <c r="E25" s="30" t="s">
        <v>51</v>
      </c>
      <c r="F25" s="31">
        <f t="array" ref="F25">SUMPRODUCT(('6511 (히스토리)'!$AY$15:$AY$34='6511 (일주일)'!F$2)*('6511 (히스토리)'!$AZ$15:$AZ$34))</f>
        <v>10893.63</v>
      </c>
      <c r="G25" s="32">
        <f t="array" ref="G25">SUMPRODUCT(('6511 (히스토리)'!$AY$15:$AY$34='6511 (일주일)'!G$2)*('6511 (히스토리)'!$AZ$15:$AZ$34))</f>
        <v>10893.63</v>
      </c>
      <c r="H25" s="32">
        <f t="array" ref="H25">SUMPRODUCT(('6511 (히스토리)'!$AY$15:$AY$34='6511 (일주일)'!H$2)*('6511 (히스토리)'!$AZ$15:$AZ$34))</f>
        <v>10745.45</v>
      </c>
      <c r="I25" s="32">
        <f t="array" ref="I25">SUMPRODUCT(('6511 (히스토리)'!$AY$15:$AY$34='6511 (일주일)'!I$2)*('6511 (히스토리)'!$AZ$15:$AZ$34))</f>
        <v>0</v>
      </c>
      <c r="J25" s="32">
        <f t="array" ref="J25">SUMPRODUCT(('6511 (히스토리)'!$AY$15:$AY$34='6511 (일주일)'!J$2)*('6511 (히스토리)'!$AZ$15:$AZ$34))</f>
        <v>0</v>
      </c>
      <c r="K25" s="32">
        <f t="array" ref="K25">SUMPRODUCT(('6511 (히스토리)'!$AY$15:$AY$34='6511 (일주일)'!K$2)*('6511 (히스토리)'!$AZ$15:$AZ$34))</f>
        <v>10609.76</v>
      </c>
      <c r="L25" s="32">
        <f t="array" ref="L25">SUMPRODUCT(('6511 (히스토리)'!$AY$15:$AY$34='6511 (일주일)'!L$2)*('6511 (히스토리)'!$AZ$15:$AZ$34))</f>
        <v>10473.23</v>
      </c>
      <c r="M25" s="32">
        <f t="array" ref="M25">SUMPRODUCT(('6511 (히스토리)'!$AY$15:$AY$34='6511 (일주일)'!M$2)*('6511 (히스토리)'!$AZ$15:$AZ$34))</f>
        <v>10455.14</v>
      </c>
      <c r="N25" s="32">
        <f t="array" ref="N25">SUMPRODUCT(('6511 (히스토리)'!$AY$15:$AY$34='6511 (일주일)'!N$2)*('6511 (히스토리)'!$AZ$15:$AZ$34))</f>
        <v>10290.76</v>
      </c>
      <c r="O25" s="32">
        <f t="array" ref="O25">SUMPRODUCT(('6511 (히스토리)'!$AY$15:$AY$34='6511 (일주일)'!O$2)*('6511 (히스토리)'!$AZ$15:$AZ$34))</f>
        <v>10325.200000000001</v>
      </c>
      <c r="P25" s="32">
        <f t="array" ref="P25">SUMPRODUCT(('6511 (히스토리)'!$AY$15:$AY$34='6511 (일주일)'!P$2)*('6511 (히스토리)'!$AZ$15:$AZ$34))</f>
        <v>0</v>
      </c>
      <c r="Q25" s="32">
        <f t="array" ref="Q25">SUMPRODUCT(('6511 (히스토리)'!$AY$15:$AY$34='6511 (일주일)'!Q$2)*('6511 (히스토리)'!$AZ$15:$AZ$34))</f>
        <v>0</v>
      </c>
      <c r="R25" s="32">
        <f t="array" ref="R25">SUMPRODUCT(('6511 (히스토리)'!$AY$15:$AY$34='6511 (일주일)'!R$2)*('6511 (히스토리)'!$AZ$15:$AZ$34))</f>
        <v>10364.030000000001</v>
      </c>
      <c r="S25" s="33">
        <f t="array" ref="S25">SUMPRODUCT(('6511 (히스토리)'!$AY$15:$AY$34='6511 (일주일)'!S$2)*('6511 (히스토리)'!$AZ$15:$AZ$34))</f>
        <v>10549.08</v>
      </c>
    </row>
    <row r="26" spans="1:19" ht="15" customHeight="1" x14ac:dyDescent="0.2">
      <c r="A26" s="26">
        <v>24</v>
      </c>
      <c r="B26" s="34" t="s">
        <v>172</v>
      </c>
      <c r="C26" s="35" t="s">
        <v>203</v>
      </c>
      <c r="D26" s="36" t="s">
        <v>208</v>
      </c>
      <c r="E26" s="37" t="s">
        <v>23</v>
      </c>
      <c r="F26" s="31">
        <f t="array" ref="F26">SUMPRODUCT(('6511 (히스토리)'!$BA$15:$BA$34='6511 (일주일)'!F$2)*('6511 (히스토리)'!$BB$15:$BB$34))</f>
        <v>3913.39</v>
      </c>
      <c r="G26" s="32">
        <f t="array" ref="G26">SUMPRODUCT(('6511 (히스토리)'!$BA$15:$BA$34='6511 (일주일)'!G$2)*('6511 (히스토리)'!$BB$15:$BB$34))</f>
        <v>3913.39</v>
      </c>
      <c r="H26" s="32">
        <f t="array" ref="H26">SUMPRODUCT(('6511 (히스토리)'!$BA$15:$BA$34='6511 (일주일)'!H$2)*('6511 (히스토리)'!$BB$15:$BB$34))</f>
        <v>3926.38</v>
      </c>
      <c r="I26" s="32">
        <f t="array" ref="I26">SUMPRODUCT(('6511 (히스토리)'!$BA$15:$BA$34='6511 (일주일)'!I$2)*('6511 (히스토리)'!$BB$15:$BB$34))</f>
        <v>0</v>
      </c>
      <c r="J26" s="32">
        <f t="array" ref="J26">SUMPRODUCT(('6511 (히스토리)'!$BA$15:$BA$34='6511 (일주일)'!J$2)*('6511 (히스토리)'!$BB$15:$BB$34))</f>
        <v>0</v>
      </c>
      <c r="K26" s="32">
        <f t="array" ref="K26">SUMPRODUCT(('6511 (히스토리)'!$BA$15:$BA$34='6511 (일주일)'!K$2)*('6511 (히스토리)'!$BB$15:$BB$34))</f>
        <v>3907.26</v>
      </c>
      <c r="L26" s="32">
        <f t="array" ref="L26">SUMPRODUCT(('6511 (히스토리)'!$BA$15:$BA$34='6511 (일주일)'!L$2)*('6511 (히스토리)'!$BB$15:$BB$34))</f>
        <v>3878.85</v>
      </c>
      <c r="M26" s="32">
        <f t="array" ref="M26">SUMPRODUCT(('6511 (히스토리)'!$BA$15:$BA$34='6511 (일주일)'!M$2)*('6511 (히스토리)'!$BB$15:$BB$34))</f>
        <v>3893.87</v>
      </c>
      <c r="N26" s="32">
        <f t="array" ref="N26">SUMPRODUCT(('6511 (히스토리)'!$BA$15:$BA$34='6511 (일주일)'!N$2)*('6511 (히스토리)'!$BB$15:$BB$34))</f>
        <v>3890.8</v>
      </c>
      <c r="O26" s="32">
        <f t="array" ref="O26">SUMPRODUCT(('6511 (히스토리)'!$BA$15:$BA$34='6511 (일주일)'!O$2)*('6511 (히스토리)'!$BB$15:$BB$34))</f>
        <v>3794.16</v>
      </c>
      <c r="P26" s="32">
        <f t="array" ref="P26">SUMPRODUCT(('6511 (히스토리)'!$BA$15:$BA$34='6511 (일주일)'!P$2)*('6511 (히스토리)'!$BB$15:$BB$34))</f>
        <v>0</v>
      </c>
      <c r="Q26" s="32">
        <f t="array" ref="Q26">SUMPRODUCT(('6511 (히스토리)'!$BA$15:$BA$34='6511 (일주일)'!Q$2)*('6511 (히스토리)'!$BB$15:$BB$34))</f>
        <v>0</v>
      </c>
      <c r="R26" s="32">
        <f t="array" ref="R26">SUMPRODUCT(('6511 (히스토리)'!$BA$15:$BA$34='6511 (일주일)'!R$2)*('6511 (히스토리)'!$BB$15:$BB$34))</f>
        <v>0</v>
      </c>
      <c r="S26" s="33">
        <f t="array" ref="S26">SUMPRODUCT(('6511 (히스토리)'!$BA$15:$BA$34='6511 (일주일)'!S$2)*('6511 (히스토리)'!$BB$15:$BB$34))</f>
        <v>3733.08</v>
      </c>
    </row>
    <row r="27" spans="1:19" ht="15" customHeight="1" x14ac:dyDescent="0.2">
      <c r="A27" s="26">
        <v>25</v>
      </c>
      <c r="B27" s="38" t="s">
        <v>174</v>
      </c>
      <c r="C27" s="39" t="s">
        <v>80</v>
      </c>
      <c r="D27" s="40" t="s">
        <v>132</v>
      </c>
      <c r="E27" s="41" t="s">
        <v>50</v>
      </c>
      <c r="F27" s="31">
        <f t="array" ref="F27">SUMPRODUCT(('6511 (히스토리)'!$BC$15:$BC$34='6511 (일주일)'!F$2)*('6511 (히스토리)'!$BD$15:$BD$34))</f>
        <v>1077.44</v>
      </c>
      <c r="G27" s="32">
        <f t="array" ref="G27">SUMPRODUCT(('6511 (히스토리)'!$BC$15:$BC$34='6511 (일주일)'!G$2)*('6511 (히스토리)'!$BD$15:$BD$34))</f>
        <v>1077.44</v>
      </c>
      <c r="H27" s="32">
        <f t="array" ref="H27">SUMPRODUCT(('6511 (히스토리)'!$BC$15:$BC$34='6511 (일주일)'!H$2)*('6511 (히스토리)'!$BD$15:$BD$34))</f>
        <v>1080.28</v>
      </c>
      <c r="I27" s="32">
        <f t="array" ref="I27">SUMPRODUCT(('6511 (히스토리)'!$BC$15:$BC$34='6511 (일주일)'!I$2)*('6511 (히스토리)'!$BD$15:$BD$34))</f>
        <v>0</v>
      </c>
      <c r="J27" s="32">
        <f t="array" ref="J27">SUMPRODUCT(('6511 (히스토리)'!$BC$15:$BC$34='6511 (일주일)'!J$2)*('6511 (히스토리)'!$BD$15:$BD$34))</f>
        <v>0</v>
      </c>
      <c r="K27" s="32">
        <f t="array" ref="K27">SUMPRODUCT(('6511 (히스토리)'!$BC$15:$BC$34='6511 (일주일)'!K$2)*('6511 (히스토리)'!$BD$15:$BD$34))</f>
        <v>1097.31</v>
      </c>
      <c r="L27" s="32">
        <f t="array" ref="L27">SUMPRODUCT(('6511 (히스토리)'!$BC$15:$BC$34='6511 (일주일)'!L$2)*('6511 (히스토리)'!$BD$15:$BD$34))</f>
        <v>1094.8</v>
      </c>
      <c r="M27" s="32">
        <f t="array" ref="M27">SUMPRODUCT(('6511 (히스토리)'!$BC$15:$BC$34='6511 (일주일)'!M$2)*('6511 (히스토리)'!$BD$15:$BD$34))</f>
        <v>0</v>
      </c>
      <c r="N27" s="32">
        <f t="array" ref="N27">SUMPRODUCT(('6511 (히스토리)'!$BC$15:$BC$34='6511 (일주일)'!N$2)*('6511 (히스토리)'!$BD$15:$BD$34))</f>
        <v>1105.53</v>
      </c>
      <c r="O27" s="32">
        <f t="array" ref="O27">SUMPRODUCT(('6511 (히스토리)'!$BC$15:$BC$34='6511 (일주일)'!O$2)*('6511 (히스토리)'!$BD$15:$BD$34))</f>
        <v>1110.29</v>
      </c>
      <c r="P27" s="32">
        <f t="array" ref="P27">SUMPRODUCT(('6511 (히스토리)'!$BC$15:$BC$34='6511 (일주일)'!P$2)*('6511 (히스토리)'!$BD$15:$BD$34))</f>
        <v>0</v>
      </c>
      <c r="Q27" s="32">
        <f t="array" ref="Q27">SUMPRODUCT(('6511 (히스토리)'!$BC$15:$BC$34='6511 (일주일)'!Q$2)*('6511 (히스토리)'!$BD$15:$BD$34))</f>
        <v>0</v>
      </c>
      <c r="R27" s="32">
        <f t="array" ref="R27">SUMPRODUCT(('6511 (히스토리)'!$BC$15:$BC$34='6511 (일주일)'!R$2)*('6511 (히스토리)'!$BD$15:$BD$34))</f>
        <v>0</v>
      </c>
      <c r="S27" s="33">
        <f t="array" ref="S27">SUMPRODUCT(('6511 (히스토리)'!$BC$15:$BC$34='6511 (일주일)'!S$2)*('6511 (히스토리)'!$BD$15:$BD$34))</f>
        <v>0</v>
      </c>
    </row>
    <row r="28" spans="1:19" ht="15" customHeight="1" x14ac:dyDescent="0.2">
      <c r="A28" s="18">
        <v>26</v>
      </c>
      <c r="B28" s="38" t="s">
        <v>174</v>
      </c>
      <c r="C28" s="39" t="s">
        <v>81</v>
      </c>
      <c r="D28" s="40" t="s">
        <v>194</v>
      </c>
      <c r="E28" s="41" t="s">
        <v>59</v>
      </c>
      <c r="F28" s="31">
        <f t="array" ref="F28">SUMPRODUCT(('6511 (히스토리)'!$BE$15:$BE$34='6511 (일주일)'!F$2)*('6511 (히스토리)'!$BF$15:$BF$34))</f>
        <v>12385.61</v>
      </c>
      <c r="G28" s="32">
        <f t="array" ref="G28">SUMPRODUCT(('6511 (히스토리)'!$BE$15:$BE$34='6511 (일주일)'!G$2)*('6511 (히스토리)'!$BF$15:$BF$34))</f>
        <v>12385.61</v>
      </c>
      <c r="H28" s="32">
        <f t="array" ref="H28">SUMPRODUCT(('6511 (히스토리)'!$BE$15:$BE$34='6511 (일주일)'!H$2)*('6511 (히스토리)'!$BF$15:$BF$34))</f>
        <v>12254.83</v>
      </c>
      <c r="I28" s="32">
        <f t="array" ref="I28">SUMPRODUCT(('6511 (히스토리)'!$BE$15:$BE$34='6511 (일주일)'!I$2)*('6511 (히스토리)'!$BF$15:$BF$34))</f>
        <v>0</v>
      </c>
      <c r="J28" s="32">
        <f t="array" ref="J28">SUMPRODUCT(('6511 (히스토리)'!$BE$15:$BE$34='6511 (일주일)'!J$2)*('6511 (히스토리)'!$BF$15:$BF$34))</f>
        <v>0</v>
      </c>
      <c r="K28" s="32">
        <f t="array" ref="K28">SUMPRODUCT(('6511 (히스토리)'!$BE$15:$BE$34='6511 (일주일)'!K$2)*('6511 (히스토리)'!$BF$15:$BF$34))</f>
        <v>12200.95</v>
      </c>
      <c r="L28" s="32">
        <f t="array" ref="L28">SUMPRODUCT(('6511 (히스토리)'!$BE$15:$BE$34='6511 (일주일)'!L$2)*('6511 (히스토리)'!$BF$15:$BF$34))</f>
        <v>12087.97</v>
      </c>
      <c r="M28" s="32">
        <f t="array" ref="M28">SUMPRODUCT(('6511 (히스토리)'!$BE$15:$BE$34='6511 (일주일)'!M$2)*('6511 (히스토리)'!$BF$15:$BF$34))</f>
        <v>12028.84</v>
      </c>
      <c r="N28" s="32">
        <f t="array" ref="N28">SUMPRODUCT(('6511 (히스토리)'!$BE$15:$BE$34='6511 (일주일)'!N$2)*('6511 (히스토리)'!$BF$15:$BF$34))</f>
        <v>12023.78</v>
      </c>
      <c r="O28" s="32">
        <f t="array" ref="O28">SUMPRODUCT(('6511 (히스토리)'!$BE$15:$BE$34='6511 (일주일)'!O$2)*('6511 (히스토리)'!$BF$15:$BF$34))</f>
        <v>11702</v>
      </c>
      <c r="P28" s="32">
        <f t="array" ref="P28">SUMPRODUCT(('6511 (히스토리)'!$BE$15:$BE$34='6511 (일주일)'!P$2)*('6511 (히스토리)'!$BF$15:$BF$34))</f>
        <v>0</v>
      </c>
      <c r="Q28" s="32">
        <f t="array" ref="Q28">SUMPRODUCT(('6511 (히스토리)'!$BE$15:$BE$34='6511 (일주일)'!Q$2)*('6511 (히스토리)'!$BF$15:$BF$34))</f>
        <v>0</v>
      </c>
      <c r="R28" s="32">
        <f t="array" ref="R28">SUMPRODUCT(('6511 (히스토리)'!$BE$15:$BE$34='6511 (일주일)'!R$2)*('6511 (히스토리)'!$BF$15:$BF$34))</f>
        <v>11498.38</v>
      </c>
      <c r="S28" s="33">
        <f t="array" ref="S28">SUMPRODUCT(('6511 (히스토리)'!$BE$15:$BE$34='6511 (일주일)'!S$2)*('6511 (히스토리)'!$BF$15:$BF$34))</f>
        <v>0</v>
      </c>
    </row>
    <row r="29" spans="1:19" ht="15" customHeight="1" x14ac:dyDescent="0.2">
      <c r="A29" s="26">
        <v>27</v>
      </c>
      <c r="B29" s="38" t="s">
        <v>174</v>
      </c>
      <c r="C29" s="42" t="s">
        <v>82</v>
      </c>
      <c r="D29" s="40" t="s">
        <v>193</v>
      </c>
      <c r="E29" s="41" t="s">
        <v>13</v>
      </c>
      <c r="F29" s="31">
        <f t="array" ref="F29">SUMPRODUCT(('6511 (히스토리)'!$BG$15:$BG$34='6511 (일주일)'!F$2)*('6511 (히스토리)'!$BH$15:$BH$34))</f>
        <v>1751.79</v>
      </c>
      <c r="G29" s="32">
        <f t="array" ref="G29">SUMPRODUCT(('6511 (히스토리)'!$BG$15:$BG$34='6511 (일주일)'!G$2)*('6511 (히스토리)'!$BH$15:$BH$34))</f>
        <v>1751.7929999999999</v>
      </c>
      <c r="H29" s="32">
        <f t="array" ref="H29">SUMPRODUCT(('6511 (히스토리)'!$BG$15:$BG$34='6511 (일주일)'!H$2)*('6511 (히스토리)'!$BH$15:$BH$34))</f>
        <v>1734.6369999999999</v>
      </c>
      <c r="I29" s="32">
        <f t="array" ref="I29">SUMPRODUCT(('6511 (히스토리)'!$BG$15:$BG$34='6511 (일주일)'!I$2)*('6511 (히스토리)'!$BH$15:$BH$34))</f>
        <v>0</v>
      </c>
      <c r="J29" s="32">
        <f t="array" ref="J29">SUMPRODUCT(('6511 (히스토리)'!$BG$15:$BG$34='6511 (일주일)'!J$2)*('6511 (히스토리)'!$BH$15:$BH$34))</f>
        <v>0</v>
      </c>
      <c r="K29" s="32">
        <f t="array" ref="K29">SUMPRODUCT(('6511 (히스토리)'!$BG$15:$BG$34='6511 (일주일)'!K$2)*('6511 (히스토리)'!$BH$15:$BH$34))</f>
        <v>1740.5</v>
      </c>
      <c r="L29" s="32">
        <f t="array" ref="L29">SUMPRODUCT(('6511 (히스토리)'!$BG$15:$BG$34='6511 (일주일)'!L$2)*('6511 (히스토리)'!$BH$15:$BH$34))</f>
        <v>1715.96</v>
      </c>
      <c r="M29" s="32">
        <f t="array" ref="M29">SUMPRODUCT(('6511 (히스토리)'!$BG$15:$BG$34='6511 (일주일)'!M$2)*('6511 (히스토리)'!$BH$15:$BH$34))</f>
        <v>1714.74</v>
      </c>
      <c r="N29" s="32">
        <f t="array" ref="N29">SUMPRODUCT(('6511 (히스토리)'!$BG$15:$BG$34='6511 (일주일)'!N$2)*('6511 (히스토리)'!$BH$15:$BH$34))</f>
        <v>1711.39</v>
      </c>
      <c r="O29" s="32">
        <f t="array" ref="O29">SUMPRODUCT(('6511 (히스토리)'!$BG$15:$BG$34='6511 (일주일)'!O$2)*('6511 (히스토리)'!$BH$15:$BH$34))</f>
        <v>1658.6</v>
      </c>
      <c r="P29" s="32">
        <f t="array" ref="P29">SUMPRODUCT(('6511 (히스토리)'!$BG$15:$BG$34='6511 (일주일)'!P$2)*('6511 (히스토리)'!$BH$15:$BH$34))</f>
        <v>0</v>
      </c>
      <c r="Q29" s="32">
        <f t="array" ref="Q29">SUMPRODUCT(('6511 (히스토리)'!$BG$15:$BG$34='6511 (일주일)'!Q$2)*('6511 (히스토리)'!$BH$15:$BH$34))</f>
        <v>0</v>
      </c>
      <c r="R29" s="32">
        <f t="array" ref="R29">SUMPRODUCT(('6511 (히스토리)'!$BG$15:$BG$34='6511 (일주일)'!R$2)*('6511 (히스토리)'!$BH$15:$BH$34))</f>
        <v>1617.12</v>
      </c>
      <c r="S29" s="33">
        <f t="array" ref="S29">SUMPRODUCT(('6511 (히스토리)'!$BG$15:$BG$34='6511 (일주일)'!S$2)*('6511 (히스토리)'!$BH$15:$BH$34))</f>
        <v>0</v>
      </c>
    </row>
    <row r="30" spans="1:19" ht="15" customHeight="1" x14ac:dyDescent="0.2">
      <c r="A30" s="26">
        <v>28</v>
      </c>
      <c r="B30" s="38" t="s">
        <v>174</v>
      </c>
      <c r="C30" s="42" t="s">
        <v>37</v>
      </c>
      <c r="D30" s="40" t="s">
        <v>135</v>
      </c>
      <c r="E30" s="41" t="s">
        <v>38</v>
      </c>
      <c r="F30" s="31">
        <f t="array" ref="F30">SUMPRODUCT(('6511 (히스토리)'!$BI$15:$BI$34='6511 (일주일)'!F$2)*('6511 (히스토리)'!$BJ$15:$BJ$34))</f>
        <v>1985.2</v>
      </c>
      <c r="G30" s="32">
        <f t="array" ref="G30">SUMPRODUCT(('6511 (히스토리)'!$BI$15:$BI$34='6511 (일주일)'!G$2)*('6511 (히스토리)'!$BJ$15:$BJ$34))</f>
        <v>1985.2</v>
      </c>
      <c r="H30" s="32">
        <f t="array" ref="H30">SUMPRODUCT(('6511 (히스토리)'!$BI$15:$BI$34='6511 (일주일)'!H$2)*('6511 (히스토리)'!$BJ$15:$BJ$34))</f>
        <v>1964.84</v>
      </c>
      <c r="I30" s="32">
        <f t="array" ref="I30">SUMPRODUCT(('6511 (히스토리)'!$BI$15:$BI$34='6511 (일주일)'!I$2)*('6511 (히스토리)'!$BJ$15:$BJ$34))</f>
        <v>0</v>
      </c>
      <c r="J30" s="32">
        <f t="array" ref="J30">SUMPRODUCT(('6511 (히스토리)'!$BI$15:$BI$34='6511 (일주일)'!J$2)*('6511 (히스토리)'!$BJ$15:$BJ$34))</f>
        <v>0</v>
      </c>
      <c r="K30" s="32">
        <f t="array" ref="K30">SUMPRODUCT(('6511 (히스토리)'!$BI$15:$BI$34='6511 (일주일)'!K$2)*('6511 (히스토리)'!$BJ$15:$BJ$34))</f>
        <v>1957.94</v>
      </c>
      <c r="L30" s="32">
        <f t="array" ref="L30">SUMPRODUCT(('6511 (히스토리)'!$BI$15:$BI$34='6511 (일주일)'!L$2)*('6511 (히스토리)'!$BJ$15:$BJ$34))</f>
        <v>1940.35</v>
      </c>
      <c r="M30" s="32">
        <f t="array" ref="M30">SUMPRODUCT(('6511 (히스토리)'!$BI$15:$BI$34='6511 (일주일)'!M$2)*('6511 (히스토리)'!$BJ$15:$BJ$34))</f>
        <v>1936.8</v>
      </c>
      <c r="N30" s="32">
        <f t="array" ref="N30">SUMPRODUCT(('6511 (히스토리)'!$BI$15:$BI$34='6511 (일주일)'!N$2)*('6511 (히스토리)'!$BJ$15:$BJ$34))</f>
        <v>1954.56</v>
      </c>
      <c r="O30" s="32">
        <f t="array" ref="O30">SUMPRODUCT(('6511 (히스토리)'!$BI$15:$BI$34='6511 (일주일)'!O$2)*('6511 (히스토리)'!$BJ$15:$BJ$34))</f>
        <v>1939.88</v>
      </c>
      <c r="P30" s="32">
        <f t="array" ref="P30">SUMPRODUCT(('6511 (히스토리)'!$BI$15:$BI$34='6511 (일주일)'!P$2)*('6511 (히스토리)'!$BJ$15:$BJ$34))</f>
        <v>0</v>
      </c>
      <c r="Q30" s="32">
        <f t="array" ref="Q30">SUMPRODUCT(('6511 (히스토리)'!$BI$15:$BI$34='6511 (일주일)'!Q$2)*('6511 (히스토리)'!$BJ$15:$BJ$34))</f>
        <v>0</v>
      </c>
      <c r="R30" s="32">
        <f t="array" ref="R30">SUMPRODUCT(('6511 (히스토리)'!$BI$15:$BI$34='6511 (일주일)'!R$2)*('6511 (히스토리)'!$BJ$15:$BJ$34))</f>
        <v>1952.5</v>
      </c>
      <c r="S30" s="33">
        <f t="array" ref="S30">SUMPRODUCT(('6511 (히스토리)'!$BI$15:$BI$34='6511 (일주일)'!S$2)*('6511 (히스토리)'!$BJ$15:$BJ$34))</f>
        <v>0</v>
      </c>
    </row>
    <row r="31" spans="1:19" ht="15" customHeight="1" x14ac:dyDescent="0.2">
      <c r="A31" s="26">
        <v>29</v>
      </c>
      <c r="B31" s="38" t="s">
        <v>174</v>
      </c>
      <c r="C31" s="42" t="s">
        <v>83</v>
      </c>
      <c r="D31" s="40" t="s">
        <v>136</v>
      </c>
      <c r="E31" s="41" t="s">
        <v>15</v>
      </c>
      <c r="F31" s="31">
        <f t="array" ref="F31">SUMPRODUCT(('6511 (히스토리)'!$BK$15:$BK$34='6511 (일주일)'!F$2)*('6511 (히스토리)'!$BL$15:$BL$34))</f>
        <v>17687.099999999999</v>
      </c>
      <c r="G31" s="32">
        <f t="array" ref="G31">SUMPRODUCT(('6511 (히스토리)'!$BK$15:$BK$34='6511 (일주일)'!G$2)*('6511 (히스토리)'!$BL$15:$BL$34))</f>
        <v>17687.099999999999</v>
      </c>
      <c r="H31" s="32">
        <f t="array" ref="H31">SUMPRODUCT(('6511 (히스토리)'!$BK$15:$BK$34='6511 (일주일)'!H$2)*('6511 (히스토리)'!$BL$15:$BL$34))</f>
        <v>17673.8</v>
      </c>
      <c r="I31" s="32">
        <f t="array" ref="I31">SUMPRODUCT(('6511 (히스토리)'!$BK$15:$BK$34='6511 (일주일)'!I$2)*('6511 (히스토리)'!$BL$15:$BL$34))</f>
        <v>0</v>
      </c>
      <c r="J31" s="32">
        <f t="array" ref="J31">SUMPRODUCT(('6511 (히스토리)'!$BK$15:$BK$34='6511 (일주일)'!J$2)*('6511 (히스토리)'!$BL$15:$BL$34))</f>
        <v>0</v>
      </c>
      <c r="K31" s="32">
        <f t="array" ref="K31">SUMPRODUCT(('6511 (히스토리)'!$BK$15:$BK$34='6511 (일주일)'!K$2)*('6511 (히스토리)'!$BL$15:$BL$34))</f>
        <v>17649</v>
      </c>
      <c r="L31" s="32">
        <f t="array" ref="L31">SUMPRODUCT(('6511 (히스토리)'!$BK$15:$BK$34='6511 (일주일)'!L$2)*('6511 (히스토리)'!$BL$15:$BL$34))</f>
        <v>17654.7</v>
      </c>
      <c r="M31" s="32">
        <f t="array" ref="M31">SUMPRODUCT(('6511 (히스토리)'!$BK$15:$BK$34='6511 (일주일)'!M$2)*('6511 (히스토리)'!$BL$15:$BL$34))</f>
        <v>17596.400000000001</v>
      </c>
      <c r="N31" s="32">
        <f t="array" ref="N31">SUMPRODUCT(('6511 (히스토리)'!$BK$15:$BK$34='6511 (일주일)'!N$2)*('6511 (히스토리)'!$BL$15:$BL$34))</f>
        <v>17647.099999999999</v>
      </c>
      <c r="O31" s="32">
        <f t="array" ref="O31">SUMPRODUCT(('6511 (히스토리)'!$BK$15:$BK$34='6511 (일주일)'!O$2)*('6511 (히스토리)'!$BL$15:$BL$34))</f>
        <v>17614.400000000001</v>
      </c>
      <c r="P31" s="32">
        <f t="array" ref="P31">SUMPRODUCT(('6511 (히스토리)'!$BK$15:$BK$34='6511 (일주일)'!P$2)*('6511 (히스토리)'!$BL$15:$BL$34))</f>
        <v>0</v>
      </c>
      <c r="Q31" s="32">
        <f t="array" ref="Q31">SUMPRODUCT(('6511 (히스토리)'!$BK$15:$BK$34='6511 (일주일)'!Q$2)*('6511 (히스토리)'!$BL$15:$BL$34))</f>
        <v>0</v>
      </c>
      <c r="R31" s="32">
        <f t="array" ref="R31">SUMPRODUCT(('6511 (히스토리)'!$BK$15:$BK$34='6511 (일주일)'!R$2)*('6511 (히스토리)'!$BL$15:$BL$34))</f>
        <v>17492.400000000001</v>
      </c>
      <c r="S31" s="33">
        <f t="array" ref="S31">SUMPRODUCT(('6511 (히스토리)'!$BK$15:$BK$34='6511 (일주일)'!S$2)*('6511 (히스토리)'!$BL$15:$BL$34))</f>
        <v>0</v>
      </c>
    </row>
    <row r="32" spans="1:19" ht="15" customHeight="1" x14ac:dyDescent="0.2">
      <c r="A32" s="26">
        <v>30</v>
      </c>
      <c r="B32" s="38" t="s">
        <v>174</v>
      </c>
      <c r="C32" s="42" t="s">
        <v>84</v>
      </c>
      <c r="D32" s="40" t="s">
        <v>186</v>
      </c>
      <c r="E32" s="41" t="s">
        <v>5</v>
      </c>
      <c r="F32" s="31">
        <f t="array" ref="F32">SUMPRODUCT(('6511 (히스토리)'!$BM$15:$BM$34='6511 (일주일)'!F$2)*('6511 (히스토리)'!$BN$15:$BN$34))</f>
        <v>5250.09</v>
      </c>
      <c r="G32" s="32">
        <f t="array" ref="G32">SUMPRODUCT(('6511 (히스토리)'!$BM$15:$BM$34='6511 (일주일)'!G$2)*('6511 (히스토리)'!$BN$15:$BN$34))</f>
        <v>5250.09</v>
      </c>
      <c r="H32" s="32">
        <f t="array" ref="H32">SUMPRODUCT(('6511 (히스토리)'!$BM$15:$BM$34='6511 (일주일)'!H$2)*('6511 (히스토리)'!$BN$15:$BN$34))</f>
        <v>5213.9399999999996</v>
      </c>
      <c r="I32" s="32">
        <f t="array" ref="I32">SUMPRODUCT(('6511 (히스토리)'!$BM$15:$BM$34='6511 (일주일)'!I$2)*('6511 (히스토리)'!$BN$15:$BN$34))</f>
        <v>0</v>
      </c>
      <c r="J32" s="32">
        <f t="array" ref="J32">SUMPRODUCT(('6511 (히스토리)'!$BM$15:$BM$34='6511 (일주일)'!J$2)*('6511 (히스토리)'!$BN$15:$BN$34))</f>
        <v>0</v>
      </c>
      <c r="K32" s="32">
        <f t="array" ref="K32">SUMPRODUCT(('6511 (히스토리)'!$BM$15:$BM$34='6511 (일주일)'!K$2)*('6511 (히스토리)'!$BN$15:$BN$34))</f>
        <v>5240.4399999999996</v>
      </c>
      <c r="L32" s="32">
        <f t="array" ref="L32">SUMPRODUCT(('6511 (히스토리)'!$BM$15:$BM$34='6511 (일주일)'!L$2)*('6511 (히스토리)'!$BN$15:$BN$34))</f>
        <v>5228.7700000000004</v>
      </c>
      <c r="M32" s="32">
        <f t="array" ref="M32">SUMPRODUCT(('6511 (히스토리)'!$BM$15:$BM$34='6511 (일주일)'!M$2)*('6511 (히스토리)'!$BN$15:$BN$34))</f>
        <v>5220.95</v>
      </c>
      <c r="N32" s="32">
        <f t="array" ref="N32">SUMPRODUCT(('6511 (히스토리)'!$BM$15:$BM$34='6511 (일주일)'!N$2)*('6511 (히스토리)'!$BN$15:$BN$34))</f>
        <v>5182.87</v>
      </c>
      <c r="O32" s="32">
        <f t="array" ref="O32">SUMPRODUCT(('6511 (히스토리)'!$BM$15:$BM$34='6511 (일주일)'!O$2)*('6511 (히스토리)'!$BN$15:$BN$34))</f>
        <v>5099.49</v>
      </c>
      <c r="P32" s="32">
        <f t="array" ref="P32">SUMPRODUCT(('6511 (히스토리)'!$BM$15:$BM$34='6511 (일주일)'!P$2)*('6511 (히스토리)'!$BN$15:$BN$34))</f>
        <v>0</v>
      </c>
      <c r="Q32" s="32">
        <f t="array" ref="Q32">SUMPRODUCT(('6511 (히스토리)'!$BM$15:$BM$34='6511 (일주일)'!Q$2)*('6511 (히스토리)'!$BN$15:$BN$34))</f>
        <v>0</v>
      </c>
      <c r="R32" s="32">
        <f t="array" ref="R32">SUMPRODUCT(('6511 (히스토리)'!$BM$15:$BM$34='6511 (일주일)'!R$2)*('6511 (히스토리)'!$BN$15:$BN$34))</f>
        <v>5112.5</v>
      </c>
      <c r="S32" s="33">
        <f t="array" ref="S32">SUMPRODUCT(('6511 (히스토리)'!$BM$15:$BM$34='6511 (일주일)'!S$2)*('6511 (히스토리)'!$BN$15:$BN$34))</f>
        <v>0</v>
      </c>
    </row>
    <row r="33" spans="1:19" ht="15" customHeight="1" x14ac:dyDescent="0.2">
      <c r="A33" s="18">
        <v>31</v>
      </c>
      <c r="B33" s="38" t="s">
        <v>174</v>
      </c>
      <c r="C33" s="42" t="s">
        <v>85</v>
      </c>
      <c r="D33" s="40" t="s">
        <v>137</v>
      </c>
      <c r="E33" s="41" t="s">
        <v>9</v>
      </c>
      <c r="F33" s="31">
        <f t="array" ref="F33">SUMPRODUCT(('6511 (히스토리)'!$BO$15:$BO$34='6511 (일주일)'!F$2)*('6511 (히스토리)'!$BP$15:$BP$34))</f>
        <v>13364.73</v>
      </c>
      <c r="G33" s="32">
        <f t="array" ref="G33">SUMPRODUCT(('6511 (히스토리)'!$BO$15:$BO$34='6511 (일주일)'!G$2)*('6511 (히스토리)'!$BP$15:$BP$34))</f>
        <v>13364.73</v>
      </c>
      <c r="H33" s="32">
        <f t="array" ref="H33">SUMPRODUCT(('6511 (히스토리)'!$BO$15:$BO$34='6511 (일주일)'!H$2)*('6511 (히스토리)'!$BP$15:$BP$34))</f>
        <v>13426.98</v>
      </c>
      <c r="I33" s="32">
        <f t="array" ref="I33">SUMPRODUCT(('6511 (히스토리)'!$BO$15:$BO$34='6511 (일주일)'!I$2)*('6511 (히스토리)'!$BP$15:$BP$34))</f>
        <v>0</v>
      </c>
      <c r="J33" s="32">
        <f t="array" ref="J33">SUMPRODUCT(('6511 (히스토리)'!$BO$15:$BO$34='6511 (일주일)'!J$2)*('6511 (히스토리)'!$BP$15:$BP$34))</f>
        <v>0</v>
      </c>
      <c r="K33" s="32">
        <f t="array" ref="K33">SUMPRODUCT(('6511 (히스토리)'!$BO$15:$BO$34='6511 (일주일)'!K$2)*('6511 (히스토리)'!$BP$15:$BP$34))</f>
        <v>13421.82</v>
      </c>
      <c r="L33" s="32">
        <f t="array" ref="L33">SUMPRODUCT(('6511 (히스토리)'!$BO$15:$BO$34='6511 (일주일)'!L$2)*('6511 (히스토리)'!$BP$15:$BP$34))</f>
        <v>13350.82</v>
      </c>
      <c r="M33" s="32">
        <f t="array" ref="M33">SUMPRODUCT(('6511 (히스토리)'!$BO$15:$BO$34='6511 (일주일)'!M$2)*('6511 (히스토리)'!$BP$15:$BP$34))</f>
        <v>13324.03</v>
      </c>
      <c r="N33" s="32">
        <f t="array" ref="N33">SUMPRODUCT(('6511 (히스토리)'!$BO$15:$BO$34='6511 (일주일)'!N$2)*('6511 (히스토리)'!$BP$15:$BP$34))</f>
        <v>13322.15</v>
      </c>
      <c r="O33" s="32">
        <f t="array" ref="O33">SUMPRODUCT(('6511 (히스토리)'!$BO$15:$BO$34='6511 (일주일)'!O$2)*('6511 (히스토리)'!$BP$15:$BP$34))</f>
        <v>13247.32</v>
      </c>
      <c r="P33" s="32">
        <f t="array" ref="P33">SUMPRODUCT(('6511 (히스토리)'!$BO$15:$BO$34='6511 (일주일)'!P$2)*('6511 (히스토리)'!$BP$15:$BP$34))</f>
        <v>0</v>
      </c>
      <c r="Q33" s="32">
        <f t="array" ref="Q33">SUMPRODUCT(('6511 (히스토리)'!$BO$15:$BO$34='6511 (일주일)'!Q$2)*('6511 (히스토리)'!$BP$15:$BP$34))</f>
        <v>0</v>
      </c>
      <c r="R33" s="32">
        <f t="array" ref="R33">SUMPRODUCT(('6511 (히스토리)'!$BO$15:$BO$34='6511 (일주일)'!R$2)*('6511 (히스토리)'!$BP$15:$BP$34))</f>
        <v>0</v>
      </c>
      <c r="S33" s="33">
        <f t="array" ref="S33">SUMPRODUCT(('6511 (히스토리)'!$BO$15:$BO$34='6511 (일주일)'!S$2)*('6511 (히스토리)'!$BP$15:$BP$34))</f>
        <v>0</v>
      </c>
    </row>
    <row r="34" spans="1:19" ht="15" customHeight="1" x14ac:dyDescent="0.2">
      <c r="A34" s="26">
        <v>32</v>
      </c>
      <c r="B34" s="38" t="s">
        <v>174</v>
      </c>
      <c r="C34" s="42" t="s">
        <v>86</v>
      </c>
      <c r="D34" s="40" t="s">
        <v>138</v>
      </c>
      <c r="E34" s="41" t="s">
        <v>63</v>
      </c>
      <c r="F34" s="31">
        <f t="array" ref="F34">SUMPRODUCT(('6511 (히스토리)'!$BQ$15:$BQ$34='6511 (일주일)'!F$2)*('6511 (히스토리)'!$BR$15:$BR$34))</f>
        <v>25420.66</v>
      </c>
      <c r="G34" s="32">
        <f t="array" ref="G34">SUMPRODUCT(('6511 (히스토리)'!$BQ$15:$BQ$34='6511 (일주일)'!G$2)*('6511 (히스토리)'!$BR$15:$BR$34))</f>
        <v>25420.66</v>
      </c>
      <c r="H34" s="32">
        <f t="array" ref="H34">SUMPRODUCT(('6511 (히스토리)'!$BQ$15:$BQ$34='6511 (일주일)'!H$2)*('6511 (히스토리)'!$BR$15:$BR$34))</f>
        <v>25405.34</v>
      </c>
      <c r="I34" s="32">
        <f t="array" ref="I34">SUMPRODUCT(('6511 (히스토리)'!$BQ$15:$BQ$34='6511 (일주일)'!I$2)*('6511 (히스토리)'!$BR$15:$BR$34))</f>
        <v>0</v>
      </c>
      <c r="J34" s="32">
        <f t="array" ref="J34">SUMPRODUCT(('6511 (히스토리)'!$BQ$15:$BQ$34='6511 (일주일)'!J$2)*('6511 (히스토리)'!$BR$15:$BR$34))</f>
        <v>0</v>
      </c>
      <c r="K34" s="32">
        <f t="array" ref="K34">SUMPRODUCT(('6511 (히스토리)'!$BQ$15:$BQ$34='6511 (일주일)'!K$2)*('6511 (히스토리)'!$BR$15:$BR$34))</f>
        <v>25261.64</v>
      </c>
      <c r="L34" s="32">
        <f t="array" ref="L34">SUMPRODUCT(('6511 (히스토리)'!$BQ$15:$BQ$34='6511 (일주일)'!L$2)*('6511 (히스토리)'!$BR$15:$BR$34))</f>
        <v>25127.46</v>
      </c>
      <c r="M34" s="32">
        <f t="array" ref="M34">SUMPRODUCT(('6511 (히스토리)'!$BQ$15:$BQ$34='6511 (일주일)'!M$2)*('6511 (히스토리)'!$BR$15:$BR$34))</f>
        <v>25122.26</v>
      </c>
      <c r="N34" s="32">
        <f t="array" ref="N34">SUMPRODUCT(('6511 (히스토리)'!$BQ$15:$BQ$34='6511 (일주일)'!N$2)*('6511 (히스토리)'!$BR$15:$BR$34))</f>
        <v>24892.2</v>
      </c>
      <c r="O34" s="32">
        <f t="array" ref="O34">SUMPRODUCT(('6511 (히스토리)'!$BQ$15:$BQ$34='6511 (일주일)'!O$2)*('6511 (히스토리)'!$BR$15:$BR$34))</f>
        <v>24868.69</v>
      </c>
      <c r="P34" s="32">
        <f t="array" ref="P34">SUMPRODUCT(('6511 (히스토리)'!$BQ$15:$BQ$34='6511 (일주일)'!P$2)*('6511 (히스토리)'!$BR$15:$BR$34))</f>
        <v>0</v>
      </c>
      <c r="Q34" s="32">
        <f t="array" ref="Q34">SUMPRODUCT(('6511 (히스토리)'!$BQ$15:$BQ$34='6511 (일주일)'!Q$2)*('6511 (히스토리)'!$BR$15:$BR$34))</f>
        <v>0</v>
      </c>
      <c r="R34" s="32">
        <f t="array" ref="R34">SUMPRODUCT(('6511 (히스토리)'!$BQ$15:$BQ$34='6511 (일주일)'!R$2)*('6511 (히스토리)'!$BR$15:$BR$34))</f>
        <v>24539.34</v>
      </c>
      <c r="S34" s="33">
        <f t="array" ref="S34">SUMPRODUCT(('6511 (히스토리)'!$BQ$15:$BQ$34='6511 (일주일)'!S$2)*('6511 (히스토리)'!$BR$15:$BR$34))</f>
        <v>0</v>
      </c>
    </row>
    <row r="35" spans="1:19" ht="15" customHeight="1" x14ac:dyDescent="0.2">
      <c r="A35" s="26">
        <v>33</v>
      </c>
      <c r="B35" s="38" t="s">
        <v>174</v>
      </c>
      <c r="C35" s="42" t="s">
        <v>87</v>
      </c>
      <c r="D35" s="40" t="s">
        <v>28</v>
      </c>
      <c r="E35" s="41" t="s">
        <v>29</v>
      </c>
      <c r="F35" s="31">
        <f t="array" ref="F35">SUMPRODUCT(('6511 (히스토리)'!$BS$15:$BS$34='6511 (일주일)'!F$2)*('6511 (히스토리)'!$BT$15:$BT$34))</f>
        <v>10137.35</v>
      </c>
      <c r="G35" s="32">
        <f t="array" ref="G35">SUMPRODUCT(('6511 (히스토리)'!$BS$15:$BS$34='6511 (일주일)'!G$2)*('6511 (히스토리)'!$BT$15:$BT$34))</f>
        <v>10137.35</v>
      </c>
      <c r="H35" s="32">
        <f t="array" ref="H35">SUMPRODUCT(('6511 (히스토리)'!$BS$15:$BS$34='6511 (일주일)'!H$2)*('6511 (히스토리)'!$BT$15:$BT$34))</f>
        <v>10140.700000000001</v>
      </c>
      <c r="I35" s="32">
        <f t="array" ref="I35">SUMPRODUCT(('6511 (히스토리)'!$BS$15:$BS$34='6511 (일주일)'!I$2)*('6511 (히스토리)'!$BT$15:$BT$34))</f>
        <v>0</v>
      </c>
      <c r="J35" s="32">
        <f t="array" ref="J35">SUMPRODUCT(('6511 (히스토리)'!$BS$15:$BS$34='6511 (일주일)'!J$2)*('6511 (히스토리)'!$BT$15:$BT$34))</f>
        <v>0</v>
      </c>
      <c r="K35" s="32">
        <f t="array" ref="K35">SUMPRODUCT(('6511 (히스토리)'!$BS$15:$BS$34='6511 (일주일)'!K$2)*('6511 (히스토리)'!$BT$15:$BT$34))</f>
        <v>10124.6</v>
      </c>
      <c r="L35" s="32">
        <f t="array" ref="L35">SUMPRODUCT(('6511 (히스토리)'!$BS$15:$BS$34='6511 (일주일)'!L$2)*('6511 (히스토리)'!$BT$15:$BT$34))</f>
        <v>10044.69</v>
      </c>
      <c r="M35" s="32">
        <f t="array" ref="M35">SUMPRODUCT(('6511 (히스토리)'!$BS$15:$BS$34='6511 (일주일)'!M$2)*('6511 (히스토리)'!$BT$15:$BT$34))</f>
        <v>10048.209999999999</v>
      </c>
      <c r="N35" s="32">
        <f t="array" ref="N35">SUMPRODUCT(('6511 (히스토리)'!$BS$15:$BS$34='6511 (일주일)'!N$2)*('6511 (히스토리)'!$BT$15:$BT$34))</f>
        <v>10122.73</v>
      </c>
      <c r="O35" s="32">
        <f t="array" ref="O35">SUMPRODUCT(('6511 (히스토리)'!$BS$15:$BS$34='6511 (일주일)'!O$2)*('6511 (히스토리)'!$BT$15:$BT$34))</f>
        <v>10004.57</v>
      </c>
      <c r="P35" s="32">
        <f t="array" ref="P35">SUMPRODUCT(('6511 (히스토리)'!$BS$15:$BS$34='6511 (일주일)'!P$2)*('6511 (히스토리)'!$BT$15:$BT$34))</f>
        <v>0</v>
      </c>
      <c r="Q35" s="32">
        <f t="array" ref="Q35">SUMPRODUCT(('6511 (히스토리)'!$BS$15:$BS$34='6511 (일주일)'!Q$2)*('6511 (히스토리)'!$BT$15:$BT$34))</f>
        <v>0</v>
      </c>
      <c r="R35" s="32">
        <f t="array" ref="R35">SUMPRODUCT(('6511 (히스토리)'!$BS$15:$BS$34='6511 (일주일)'!R$2)*('6511 (히스토리)'!$BT$15:$BT$34))</f>
        <v>9951.14</v>
      </c>
      <c r="S35" s="33">
        <f t="array" ref="S35">SUMPRODUCT(('6511 (히스토리)'!$BS$15:$BS$34='6511 (일주일)'!S$2)*('6511 (히스토리)'!$BT$15:$BT$34))</f>
        <v>0</v>
      </c>
    </row>
    <row r="36" spans="1:19" ht="15" customHeight="1" x14ac:dyDescent="0.2">
      <c r="A36" s="26">
        <v>34</v>
      </c>
      <c r="B36" s="38" t="s">
        <v>174</v>
      </c>
      <c r="C36" s="42" t="s">
        <v>52</v>
      </c>
      <c r="D36" s="40" t="s">
        <v>191</v>
      </c>
      <c r="E36" s="41" t="s">
        <v>192</v>
      </c>
      <c r="F36" s="31">
        <f t="array" ref="F36">SUMPRODUCT(('6511 (히스토리)'!$BU$15:$BU$34='6511 (일주일)'!F$2)*('6511 (히스토리)'!$BV$15:$BV$34))</f>
        <v>1071.31</v>
      </c>
      <c r="G36" s="32">
        <f t="array" ref="G36">SUMPRODUCT(('6511 (히스토리)'!$BU$15:$BU$34='6511 (일주일)'!G$2)*('6511 (히스토리)'!$BV$15:$BV$34))</f>
        <v>1071.31</v>
      </c>
      <c r="H36" s="32">
        <f t="array" ref="H36">SUMPRODUCT(('6511 (히스토리)'!$BU$15:$BU$34='6511 (일주일)'!H$2)*('6511 (히스토리)'!$BV$15:$BV$34))</f>
        <v>1072.0899999999999</v>
      </c>
      <c r="I36" s="32">
        <f t="array" ref="I36">SUMPRODUCT(('6511 (히스토리)'!$BU$15:$BU$34='6511 (일주일)'!I$2)*('6511 (히스토리)'!$BV$15:$BV$34))</f>
        <v>0</v>
      </c>
      <c r="J36" s="32">
        <f t="array" ref="J36">SUMPRODUCT(('6511 (히스토리)'!$BU$15:$BU$34='6511 (일주일)'!J$2)*('6511 (히스토리)'!$BV$15:$BV$34))</f>
        <v>0</v>
      </c>
      <c r="K36" s="32">
        <f t="array" ref="K36">SUMPRODUCT(('6511 (히스토리)'!$BU$15:$BU$34='6511 (일주일)'!K$2)*('6511 (히스토리)'!$BV$15:$BV$34))</f>
        <v>1072.31</v>
      </c>
      <c r="L36" s="32">
        <f t="array" ref="L36">SUMPRODUCT(('6511 (히스토리)'!$BU$15:$BU$34='6511 (일주일)'!L$2)*('6511 (히스토리)'!$BV$15:$BV$34))</f>
        <v>1059.8599999999999</v>
      </c>
      <c r="M36" s="32">
        <f t="array" ref="M36">SUMPRODUCT(('6511 (히스토리)'!$BU$15:$BU$34='6511 (일주일)'!M$2)*('6511 (히스토리)'!$BV$15:$BV$34))</f>
        <v>1069.68</v>
      </c>
      <c r="N36" s="32">
        <f t="array" ref="N36">SUMPRODUCT(('6511 (히스토리)'!$BU$15:$BU$34='6511 (일주일)'!N$2)*('6511 (히스토리)'!$BV$15:$BV$34))</f>
        <v>0</v>
      </c>
      <c r="O36" s="32">
        <f t="array" ref="O36">SUMPRODUCT(('6511 (히스토리)'!$BU$15:$BU$34='6511 (일주일)'!O$2)*('6511 (히스토리)'!$BV$15:$BV$34))</f>
        <v>1046.19</v>
      </c>
      <c r="P36" s="32">
        <f t="array" ref="P36">SUMPRODUCT(('6511 (히스토리)'!$BU$15:$BU$34='6511 (일주일)'!P$2)*('6511 (히스토리)'!$BV$15:$BV$34))</f>
        <v>0</v>
      </c>
      <c r="Q36" s="32">
        <f t="array" ref="Q36">SUMPRODUCT(('6511 (히스토리)'!$BU$15:$BU$34='6511 (일주일)'!Q$2)*('6511 (히스토리)'!$BV$15:$BV$34))</f>
        <v>0</v>
      </c>
      <c r="R36" s="32">
        <f t="array" ref="R36">SUMPRODUCT(('6511 (히스토리)'!$BU$15:$BU$34='6511 (일주일)'!R$2)*('6511 (히스토리)'!$BV$15:$BV$34))</f>
        <v>1041.8399999999999</v>
      </c>
      <c r="S36" s="33">
        <f t="array" ref="S36">SUMPRODUCT(('6511 (히스토리)'!$BU$15:$BU$34='6511 (일주일)'!S$2)*('6511 (히스토리)'!$BV$15:$BV$34))</f>
        <v>0</v>
      </c>
    </row>
    <row r="37" spans="1:19" ht="15" customHeight="1" x14ac:dyDescent="0.2">
      <c r="A37" s="26">
        <v>35</v>
      </c>
      <c r="B37" s="38" t="s">
        <v>174</v>
      </c>
      <c r="C37" s="42" t="s">
        <v>88</v>
      </c>
      <c r="D37" s="40" t="s">
        <v>140</v>
      </c>
      <c r="E37" s="41" t="s">
        <v>36</v>
      </c>
      <c r="F37" s="31">
        <f t="array" ref="F37">SUMPRODUCT(('6511 (히스토리)'!$BW$15:$BW$34='6511 (일주일)'!F$2)*('6511 (히스토리)'!$BX$15:$BX$34))</f>
        <v>997.17</v>
      </c>
      <c r="G37" s="32">
        <f t="array" ref="G37">SUMPRODUCT(('6511 (히스토리)'!$BW$15:$BW$34='6511 (일주일)'!G$2)*('6511 (히스토리)'!$BX$15:$BX$34))</f>
        <v>997.17</v>
      </c>
      <c r="H37" s="32">
        <f t="array" ref="H37">SUMPRODUCT(('6511 (히스토리)'!$BW$15:$BW$34='6511 (일주일)'!H$2)*('6511 (히스토리)'!$BX$15:$BX$34))</f>
        <v>993.54</v>
      </c>
      <c r="I37" s="32">
        <f t="array" ref="I37">SUMPRODUCT(('6511 (히스토리)'!$BW$15:$BW$34='6511 (일주일)'!I$2)*('6511 (히스토리)'!$BX$15:$BX$34))</f>
        <v>0</v>
      </c>
      <c r="J37" s="32">
        <f t="array" ref="J37">SUMPRODUCT(('6511 (히스토리)'!$BW$15:$BW$34='6511 (일주일)'!J$2)*('6511 (히스토리)'!$BX$15:$BX$34))</f>
        <v>0</v>
      </c>
      <c r="K37" s="32">
        <f t="array" ref="K37">SUMPRODUCT(('6511 (히스토리)'!$BW$15:$BW$34='6511 (일주일)'!K$2)*('6511 (히스토리)'!$BX$15:$BX$34))</f>
        <v>988.17</v>
      </c>
      <c r="L37" s="32">
        <f t="array" ref="L37">SUMPRODUCT(('6511 (히스토리)'!$BW$15:$BW$34='6511 (일주일)'!L$2)*('6511 (히스토리)'!$BX$15:$BX$34))</f>
        <v>965.03</v>
      </c>
      <c r="M37" s="32">
        <f t="array" ref="M37">SUMPRODUCT(('6511 (히스토리)'!$BW$15:$BW$34='6511 (일주일)'!M$2)*('6511 (히스토리)'!$BX$15:$BX$34))</f>
        <v>979.15</v>
      </c>
      <c r="N37" s="32">
        <f t="array" ref="N37">SUMPRODUCT(('6511 (히스토리)'!$BW$15:$BW$34='6511 (일주일)'!N$2)*('6511 (히스토리)'!$BX$15:$BX$34))</f>
        <v>991.67</v>
      </c>
      <c r="O37" s="32">
        <f t="array" ref="O37">SUMPRODUCT(('6511 (히스토리)'!$BW$15:$BW$34='6511 (일주일)'!O$2)*('6511 (히스토리)'!$BX$15:$BX$34))</f>
        <v>985.12</v>
      </c>
      <c r="P37" s="32">
        <f t="array" ref="P37">SUMPRODUCT(('6511 (히스토리)'!$BW$15:$BW$34='6511 (일주일)'!P$2)*('6511 (히스토리)'!$BX$15:$BX$34))</f>
        <v>0</v>
      </c>
      <c r="Q37" s="32">
        <f t="array" ref="Q37">SUMPRODUCT(('6511 (히스토리)'!$BW$15:$BW$34='6511 (일주일)'!Q$2)*('6511 (히스토리)'!$BX$15:$BX$34))</f>
        <v>0</v>
      </c>
      <c r="R37" s="32">
        <f t="array" ref="R37">SUMPRODUCT(('6511 (히스토리)'!$BW$15:$BW$34='6511 (일주일)'!R$2)*('6511 (히스토리)'!$BX$15:$BX$34))</f>
        <v>967.59</v>
      </c>
      <c r="S37" s="33">
        <f t="array" ref="S37">SUMPRODUCT(('6511 (히스토리)'!$BW$15:$BW$34='6511 (일주일)'!S$2)*('6511 (히스토리)'!$BX$15:$BX$34))</f>
        <v>0</v>
      </c>
    </row>
    <row r="38" spans="1:19" ht="15" customHeight="1" x14ac:dyDescent="0.2">
      <c r="A38" s="18">
        <v>36</v>
      </c>
      <c r="B38" s="38" t="s">
        <v>174</v>
      </c>
      <c r="C38" s="42" t="s">
        <v>89</v>
      </c>
      <c r="D38" s="40" t="s">
        <v>141</v>
      </c>
      <c r="E38" s="41" t="s">
        <v>41</v>
      </c>
      <c r="F38" s="31">
        <f t="array" ref="F38">SUMPRODUCT(('6511 (히스토리)'!$BY$15:$BY$34='6511 (일주일)'!F$2)*('6511 (히스토리)'!$BZ$15:$BZ$34))</f>
        <v>8347.2000000000007</v>
      </c>
      <c r="G38" s="32">
        <f t="array" ref="G38">SUMPRODUCT(('6511 (히스토리)'!$BY$15:$BY$34='6511 (일주일)'!G$2)*('6511 (히스토리)'!$BZ$15:$BZ$34))</f>
        <v>8347.2000000000007</v>
      </c>
      <c r="H38" s="32">
        <f t="array" ref="H38">SUMPRODUCT(('6511 (히스토리)'!$BY$15:$BY$34='6511 (일주일)'!H$2)*('6511 (히스토리)'!$BZ$15:$BZ$34))</f>
        <v>8358.76</v>
      </c>
      <c r="I38" s="32">
        <f t="array" ref="I38">SUMPRODUCT(('6511 (히스토리)'!$BY$15:$BY$34='6511 (일주일)'!I$2)*('6511 (히스토리)'!$BZ$15:$BZ$34))</f>
        <v>0</v>
      </c>
      <c r="J38" s="32">
        <f t="array" ref="J38">SUMPRODUCT(('6511 (히스토리)'!$BY$15:$BY$34='6511 (일주일)'!J$2)*('6511 (히스토리)'!$BZ$15:$BZ$34))</f>
        <v>0</v>
      </c>
      <c r="K38" s="32">
        <f t="array" ref="K38">SUMPRODUCT(('6511 (히스토리)'!$BY$15:$BY$34='6511 (일주일)'!K$2)*('6511 (히스토리)'!$BZ$15:$BZ$34))</f>
        <v>8362.09</v>
      </c>
      <c r="L38" s="32">
        <f t="array" ref="L38">SUMPRODUCT(('6511 (히스토리)'!$BY$15:$BY$34='6511 (일주일)'!L$2)*('6511 (히스토리)'!$BZ$15:$BZ$34))</f>
        <v>8243.4699999999993</v>
      </c>
      <c r="M38" s="32">
        <f t="array" ref="M38">SUMPRODUCT(('6511 (히스토리)'!$BY$15:$BY$34='6511 (일주일)'!M$2)*('6511 (히스토리)'!$BZ$15:$BZ$34))</f>
        <v>8233.92</v>
      </c>
      <c r="N38" s="32">
        <f t="array" ref="N38">SUMPRODUCT(('6511 (히스토리)'!$BY$15:$BY$34='6511 (일주일)'!N$2)*('6511 (히스토리)'!$BZ$15:$BZ$34))</f>
        <v>8237.43</v>
      </c>
      <c r="O38" s="32">
        <f t="array" ref="O38">SUMPRODUCT(('6511 (히스토리)'!$BY$15:$BY$34='6511 (일주일)'!O$2)*('6511 (히스토리)'!$BZ$15:$BZ$34))</f>
        <v>8211.5</v>
      </c>
      <c r="P38" s="32">
        <f t="array" ref="P38">SUMPRODUCT(('6511 (히스토리)'!$BY$15:$BY$34='6511 (일주일)'!P$2)*('6511 (히스토리)'!$BZ$15:$BZ$34))</f>
        <v>0</v>
      </c>
      <c r="Q38" s="32">
        <f t="array" ref="Q38">SUMPRODUCT(('6511 (히스토리)'!$BY$15:$BY$34='6511 (일주일)'!Q$2)*('6511 (히스토리)'!$BZ$15:$BZ$34))</f>
        <v>0</v>
      </c>
      <c r="R38" s="32">
        <f t="array" ref="R38">SUMPRODUCT(('6511 (히스토리)'!$BY$15:$BY$34='6511 (일주일)'!R$2)*('6511 (히스토리)'!$BZ$15:$BZ$34))</f>
        <v>8195.2099999999991</v>
      </c>
      <c r="S38" s="33">
        <f t="array" ref="S38">SUMPRODUCT(('6511 (히스토리)'!$BY$15:$BY$34='6511 (일주일)'!S$2)*('6511 (히스토리)'!$BZ$15:$BZ$34))</f>
        <v>0</v>
      </c>
    </row>
    <row r="39" spans="1:19" ht="15" customHeight="1" x14ac:dyDescent="0.2">
      <c r="A39" s="26">
        <v>37</v>
      </c>
      <c r="B39" s="38" t="s">
        <v>174</v>
      </c>
      <c r="C39" s="42" t="s">
        <v>90</v>
      </c>
      <c r="D39" s="40" t="s">
        <v>142</v>
      </c>
      <c r="E39" s="41" t="s">
        <v>17</v>
      </c>
      <c r="F39" s="31">
        <f t="array" ref="F39">SUMPRODUCT(('6511 (히스토리)'!$CA$15:$CA$34='6511 (일주일)'!F$2)*('6511 (히스토리)'!$CB$15:$CB$34))</f>
        <v>2206.3000000000002</v>
      </c>
      <c r="G39" s="32">
        <f t="array" ref="G39">SUMPRODUCT(('6511 (히스토리)'!$CA$15:$CA$34='6511 (일주일)'!G$2)*('6511 (히스토리)'!$CB$15:$CB$34))</f>
        <v>2206.3000000000002</v>
      </c>
      <c r="H39" s="32">
        <f t="array" ref="H39">SUMPRODUCT(('6511 (히스토리)'!$CA$15:$CA$34='6511 (일주일)'!H$2)*('6511 (히스토리)'!$CB$15:$CB$34))</f>
        <v>2210.85</v>
      </c>
      <c r="I39" s="32">
        <f t="array" ref="I39">SUMPRODUCT(('6511 (히스토리)'!$CA$15:$CA$34='6511 (일주일)'!I$2)*('6511 (히스토리)'!$CB$15:$CB$34))</f>
        <v>0</v>
      </c>
      <c r="J39" s="32">
        <f t="array" ref="J39">SUMPRODUCT(('6511 (히스토리)'!$CA$15:$CA$34='6511 (일주일)'!J$2)*('6511 (히스토리)'!$CB$15:$CB$34))</f>
        <v>0</v>
      </c>
      <c r="K39" s="32">
        <f t="array" ref="K39">SUMPRODUCT(('6511 (히스토리)'!$CA$15:$CA$34='6511 (일주일)'!K$2)*('6511 (히스토리)'!$CB$15:$CB$34))</f>
        <v>2207.73</v>
      </c>
      <c r="L39" s="32">
        <f t="array" ref="L39">SUMPRODUCT(('6511 (히스토리)'!$CA$15:$CA$34='6511 (일주일)'!L$2)*('6511 (히스토리)'!$CB$15:$CB$34))</f>
        <v>2204.2399999999998</v>
      </c>
      <c r="M39" s="32">
        <f t="array" ref="M39">SUMPRODUCT(('6511 (히스토리)'!$CA$15:$CA$34='6511 (일주일)'!M$2)*('6511 (히스토리)'!$CB$15:$CB$34))</f>
        <v>2163.88</v>
      </c>
      <c r="N39" s="32">
        <f t="array" ref="N39">SUMPRODUCT(('6511 (히스토리)'!$CA$15:$CA$34='6511 (일주일)'!N$2)*('6511 (히스토리)'!$CB$15:$CB$34))</f>
        <v>0</v>
      </c>
      <c r="O39" s="32">
        <f t="array" ref="O39">SUMPRODUCT(('6511 (히스토리)'!$CA$15:$CA$34='6511 (일주일)'!O$2)*('6511 (히스토리)'!$CB$15:$CB$34))</f>
        <v>2154.4</v>
      </c>
      <c r="P39" s="32">
        <f t="array" ref="P39">SUMPRODUCT(('6511 (히스토리)'!$CA$15:$CA$34='6511 (일주일)'!P$2)*('6511 (히스토리)'!$CB$15:$CB$34))</f>
        <v>0</v>
      </c>
      <c r="Q39" s="32">
        <f t="array" ref="Q39">SUMPRODUCT(('6511 (히스토리)'!$CA$15:$CA$34='6511 (일주일)'!Q$2)*('6511 (히스토리)'!$CB$15:$CB$34))</f>
        <v>0</v>
      </c>
      <c r="R39" s="32">
        <f t="array" ref="R39">SUMPRODUCT(('6511 (히스토리)'!$CA$15:$CA$34='6511 (일주일)'!R$2)*('6511 (히스토리)'!$CB$15:$CB$34))</f>
        <v>2158.04</v>
      </c>
      <c r="S39" s="33">
        <f t="array" ref="S39">SUMPRODUCT(('6511 (히스토리)'!$CA$15:$CA$34='6511 (일주일)'!S$2)*('6511 (히스토리)'!$CB$15:$CB$34))</f>
        <v>0</v>
      </c>
    </row>
    <row r="40" spans="1:19" ht="15" customHeight="1" x14ac:dyDescent="0.2">
      <c r="A40" s="26">
        <v>38</v>
      </c>
      <c r="B40" s="38" t="s">
        <v>174</v>
      </c>
      <c r="C40" s="42" t="s">
        <v>91</v>
      </c>
      <c r="D40" s="40" t="s">
        <v>143</v>
      </c>
      <c r="E40" s="41" t="s">
        <v>25</v>
      </c>
      <c r="F40" s="31">
        <f t="array" ref="F40">SUMPRODUCT(('6511 (히스토리)'!$CC$15:$CC$34='6511 (일주일)'!F$2)*('6511 (히스토리)'!$CD$15:$CD$34))</f>
        <v>45525.1</v>
      </c>
      <c r="G40" s="32">
        <f t="array" ref="G40">SUMPRODUCT(('6511 (히스토리)'!$CC$15:$CC$34='6511 (일주일)'!G$2)*('6511 (히스토리)'!$CD$15:$CD$34))</f>
        <v>45525.1</v>
      </c>
      <c r="H40" s="32">
        <f t="array" ref="H40">SUMPRODUCT(('6511 (히스토리)'!$CC$15:$CC$34='6511 (일주일)'!H$2)*('6511 (히스토리)'!$CD$15:$CD$34))</f>
        <v>45732.2</v>
      </c>
      <c r="I40" s="32">
        <f t="array" ref="I40">SUMPRODUCT(('6511 (히스토리)'!$CC$15:$CC$34='6511 (일주일)'!I$2)*('6511 (히스토리)'!$CD$15:$CD$34))</f>
        <v>0</v>
      </c>
      <c r="J40" s="32">
        <f t="array" ref="J40">SUMPRODUCT(('6511 (히스토리)'!$CC$15:$CC$34='6511 (일주일)'!J$2)*('6511 (히스토리)'!$CD$15:$CD$34))</f>
        <v>0</v>
      </c>
      <c r="K40" s="32">
        <f t="array" ref="K40">SUMPRODUCT(('6511 (히스토리)'!$CC$15:$CC$34='6511 (일주일)'!K$2)*('6511 (히스토리)'!$CD$15:$CD$34))</f>
        <v>45719.26</v>
      </c>
      <c r="L40" s="32">
        <f t="array" ref="L40">SUMPRODUCT(('6511 (히스토리)'!$CC$15:$CC$34='6511 (일주일)'!L$2)*('6511 (히스토리)'!$CD$15:$CD$34))</f>
        <v>45671.7</v>
      </c>
      <c r="M40" s="32">
        <f t="array" ref="M40">SUMPRODUCT(('6511 (히스토리)'!$CC$15:$CC$34='6511 (일주일)'!M$2)*('6511 (히스토리)'!$CD$15:$CD$34))</f>
        <v>45558.68</v>
      </c>
      <c r="N40" s="32">
        <f t="array" ref="N40">SUMPRODUCT(('6511 (히스토리)'!$CC$15:$CC$34='6511 (일주일)'!N$2)*('6511 (히스토리)'!$CD$15:$CD$34))</f>
        <v>45753.43</v>
      </c>
      <c r="O40" s="32">
        <f t="array" ref="O40">SUMPRODUCT(('6511 (히스토리)'!$CC$15:$CC$34='6511 (일주일)'!O$2)*('6511 (히스토리)'!$CD$15:$CD$34))</f>
        <v>45847.32</v>
      </c>
      <c r="P40" s="32">
        <f t="array" ref="P40">SUMPRODUCT(('6511 (히스토리)'!$CC$15:$CC$34='6511 (일주일)'!P$2)*('6511 (히스토리)'!$CD$15:$CD$34))</f>
        <v>0</v>
      </c>
      <c r="Q40" s="32">
        <f t="array" ref="Q40">SUMPRODUCT(('6511 (히스토리)'!$CC$15:$CC$34='6511 (일주일)'!Q$2)*('6511 (히스토리)'!$CD$15:$CD$34))</f>
        <v>0</v>
      </c>
      <c r="R40" s="32">
        <f t="array" ref="R40">SUMPRODUCT(('6511 (히스토리)'!$CC$15:$CC$34='6511 (일주일)'!R$2)*('6511 (히스토리)'!$CD$15:$CD$34))</f>
        <v>45374.03</v>
      </c>
      <c r="S40" s="33">
        <f t="array" ref="S40">SUMPRODUCT(('6511 (히스토리)'!$CC$15:$CC$34='6511 (일주일)'!S$2)*('6511 (히스토리)'!$CD$15:$CD$34))</f>
        <v>0</v>
      </c>
    </row>
    <row r="41" spans="1:19" ht="15" customHeight="1" x14ac:dyDescent="0.2">
      <c r="A41" s="26">
        <v>39</v>
      </c>
      <c r="B41" s="38" t="s">
        <v>174</v>
      </c>
      <c r="C41" s="42" t="s">
        <v>144</v>
      </c>
      <c r="D41" s="40" t="s">
        <v>145</v>
      </c>
      <c r="E41" s="41" t="s">
        <v>46</v>
      </c>
      <c r="F41" s="31">
        <f t="array" ref="F41">SUMPRODUCT(('6511 (히스토리)'!$CE$15:$CE$34='6511 (일주일)'!F$2)*('6511 (히스토리)'!$CF$15:$CF$34))</f>
        <v>121794.45</v>
      </c>
      <c r="G41" s="32">
        <f t="array" ref="G41">SUMPRODUCT(('6511 (히스토리)'!$CE$15:$CE$34='6511 (일주일)'!G$2)*('6511 (히스토리)'!$CF$15:$CF$34))</f>
        <v>121794.45</v>
      </c>
      <c r="H41" s="32">
        <f t="array" ref="H41">SUMPRODUCT(('6511 (히스토리)'!$CE$15:$CE$34='6511 (일주일)'!H$2)*('6511 (히스토리)'!$CF$15:$CF$34))</f>
        <v>122027.18</v>
      </c>
      <c r="I41" s="32">
        <f t="array" ref="I41">SUMPRODUCT(('6511 (히스토리)'!$CE$15:$CE$34='6511 (일주일)'!I$2)*('6511 (히스토리)'!$CF$15:$CF$34))</f>
        <v>0</v>
      </c>
      <c r="J41" s="32">
        <f t="array" ref="J41">SUMPRODUCT(('6511 (히스토리)'!$CE$15:$CE$34='6511 (일주일)'!J$2)*('6511 (히스토리)'!$CF$15:$CF$34))</f>
        <v>0</v>
      </c>
      <c r="K41" s="32">
        <f t="array" ref="K41">SUMPRODUCT(('6511 (히스토리)'!$CE$15:$CE$34='6511 (일주일)'!K$2)*('6511 (히스토리)'!$CF$15:$CF$34))</f>
        <v>121551.17</v>
      </c>
      <c r="L41" s="32">
        <f t="array" ref="L41">SUMPRODUCT(('6511 (히스토리)'!$CE$15:$CE$34='6511 (일주일)'!L$2)*('6511 (히스토리)'!$CF$15:$CF$34))</f>
        <v>119960.9</v>
      </c>
      <c r="M41" s="32">
        <f t="array" ref="M41">SUMPRODUCT(('6511 (히스토리)'!$CE$15:$CE$34='6511 (일주일)'!M$2)*('6511 (히스토리)'!$CF$15:$CF$34))</f>
        <v>122425.06</v>
      </c>
      <c r="N41" s="32">
        <f t="array" ref="N41">SUMPRODUCT(('6511 (히스토리)'!$CE$15:$CE$34='6511 (일주일)'!N$2)*('6511 (히스토리)'!$CF$15:$CF$34))</f>
        <v>0</v>
      </c>
      <c r="O41" s="32">
        <f t="array" ref="O41">SUMPRODUCT(('6511 (히스토리)'!$CE$15:$CE$34='6511 (일주일)'!O$2)*('6511 (히스토리)'!$CF$15:$CF$34))</f>
        <v>120337.25</v>
      </c>
      <c r="P41" s="32">
        <f t="array" ref="P41">SUMPRODUCT(('6511 (히스토리)'!$CE$15:$CE$34='6511 (일주일)'!P$2)*('6511 (히스토리)'!$CF$15:$CF$34))</f>
        <v>0</v>
      </c>
      <c r="Q41" s="32">
        <f t="array" ref="Q41">SUMPRODUCT(('6511 (히스토리)'!$CE$15:$CE$34='6511 (일주일)'!Q$2)*('6511 (히스토리)'!$CF$15:$CF$34))</f>
        <v>0</v>
      </c>
      <c r="R41" s="32">
        <f t="array" ref="R41">SUMPRODUCT(('6511 (히스토리)'!$CE$15:$CE$34='6511 (일주일)'!R$2)*('6511 (히스토리)'!$CF$15:$CF$34))</f>
        <v>120181</v>
      </c>
      <c r="S41" s="33">
        <f t="array" ref="S41">SUMPRODUCT(('6511 (히스토리)'!$CE$15:$CE$34='6511 (일주일)'!S$2)*('6511 (히스토리)'!$CF$15:$CF$34))</f>
        <v>0</v>
      </c>
    </row>
    <row r="42" spans="1:19" ht="15" customHeight="1" x14ac:dyDescent="0.2">
      <c r="A42" s="26">
        <v>40</v>
      </c>
      <c r="B42" s="38" t="s">
        <v>174</v>
      </c>
      <c r="C42" s="42" t="s">
        <v>146</v>
      </c>
      <c r="D42" s="40" t="s">
        <v>197</v>
      </c>
      <c r="E42" s="41" t="s">
        <v>47</v>
      </c>
      <c r="F42" s="31">
        <f t="array" ref="F42">SUMPRODUCT(('6511 (히스토리)'!$CG$15:$CG$34='6511 (일주일)'!F$2)*('6511 (히스토리)'!$CH$15:$CH$34))</f>
        <v>8559.09</v>
      </c>
      <c r="G42" s="32">
        <f t="array" ref="G42">SUMPRODUCT(('6511 (히스토리)'!$CG$15:$CG$34='6511 (일주일)'!G$2)*('6511 (히스토리)'!$CH$15:$CH$34))</f>
        <v>8559.09</v>
      </c>
      <c r="H42" s="32">
        <f t="array" ref="H42">SUMPRODUCT(('6511 (히스토리)'!$CG$15:$CG$34='6511 (일주일)'!H$2)*('6511 (히스토리)'!$CH$15:$CH$34))</f>
        <v>8494.08</v>
      </c>
      <c r="I42" s="32">
        <f t="array" ref="I42">SUMPRODUCT(('6511 (히스토리)'!$CG$15:$CG$34='6511 (일주일)'!I$2)*('6511 (히스토리)'!$CH$15:$CH$34))</f>
        <v>0</v>
      </c>
      <c r="J42" s="32">
        <f t="array" ref="J42">SUMPRODUCT(('6511 (히스토리)'!$CG$15:$CG$34='6511 (일주일)'!J$2)*('6511 (히스토리)'!$CH$15:$CH$34))</f>
        <v>0</v>
      </c>
      <c r="K42" s="32">
        <f t="array" ref="K42">SUMPRODUCT(('6511 (히스토리)'!$CG$15:$CG$34='6511 (일주일)'!K$2)*('6511 (히스토리)'!$CH$15:$CH$34))</f>
        <v>8520.34</v>
      </c>
      <c r="L42" s="32">
        <f t="array" ref="L42">SUMPRODUCT(('6511 (히스토리)'!$CG$15:$CG$34='6511 (일주일)'!L$2)*('6511 (히스토리)'!$CH$15:$CH$34))</f>
        <v>8486.7900000000009</v>
      </c>
      <c r="M42" s="32">
        <f t="array" ref="M42">SUMPRODUCT(('6511 (히스토리)'!$CG$15:$CG$34='6511 (일주일)'!M$2)*('6511 (히스토리)'!$CH$15:$CH$34))</f>
        <v>8479.08</v>
      </c>
      <c r="N42" s="32">
        <f t="array" ref="N42">SUMPRODUCT(('6511 (히스토리)'!$CG$15:$CG$34='6511 (일주일)'!N$2)*('6511 (히스토리)'!$CH$15:$CH$34))</f>
        <v>8514.3700000000008</v>
      </c>
      <c r="O42" s="32">
        <f t="array" ref="O42">SUMPRODUCT(('6511 (히스토리)'!$CG$15:$CG$34='6511 (일주일)'!O$2)*('6511 (히스토리)'!$CH$15:$CH$34))</f>
        <v>8469.61</v>
      </c>
      <c r="P42" s="32">
        <f t="array" ref="P42">SUMPRODUCT(('6511 (히스토리)'!$CG$15:$CG$34='6511 (일주일)'!P$2)*('6511 (히스토리)'!$CH$15:$CH$34))</f>
        <v>0</v>
      </c>
      <c r="Q42" s="32">
        <f t="array" ref="Q42">SUMPRODUCT(('6511 (히스토리)'!$CG$15:$CG$34='6511 (일주일)'!Q$2)*('6511 (히스토리)'!$CH$15:$CH$34))</f>
        <v>0</v>
      </c>
      <c r="R42" s="32">
        <f t="array" ref="R42">SUMPRODUCT(('6511 (히스토리)'!$CG$15:$CG$34='6511 (일주일)'!R$2)*('6511 (히스토리)'!$CH$15:$CH$34))</f>
        <v>8400.4599999999991</v>
      </c>
      <c r="S42" s="33">
        <f t="array" ref="S42">SUMPRODUCT(('6511 (히스토리)'!$CG$15:$CG$34='6511 (일주일)'!S$2)*('6511 (히스토리)'!$CH$15:$CH$34))</f>
        <v>0</v>
      </c>
    </row>
    <row r="43" spans="1:19" ht="15" customHeight="1" x14ac:dyDescent="0.2">
      <c r="A43" s="18">
        <v>41</v>
      </c>
      <c r="B43" s="38" t="s">
        <v>174</v>
      </c>
      <c r="C43" s="42" t="s">
        <v>92</v>
      </c>
      <c r="D43" s="40" t="s">
        <v>148</v>
      </c>
      <c r="E43" s="41" t="s">
        <v>171</v>
      </c>
      <c r="F43" s="31">
        <f t="array" ref="F43">SUMPRODUCT(('6511 (히스토리)'!$CI$15:$CI$34='6511 (일주일)'!F$2)*('6511 (히스토리)'!$CJ$15:$CJ$34))</f>
        <v>5410.3</v>
      </c>
      <c r="G43" s="32">
        <f t="array" ref="G43">SUMPRODUCT(('6511 (히스토리)'!$CI$15:$CI$34='6511 (일주일)'!G$2)*('6511 (히스토리)'!$CJ$15:$CJ$34))</f>
        <v>5410.3</v>
      </c>
      <c r="H43" s="32">
        <f t="array" ref="H43">SUMPRODUCT(('6511 (히스토리)'!$CI$15:$CI$34='6511 (일주일)'!H$2)*('6511 (히스토리)'!$CJ$15:$CJ$34))</f>
        <v>5440.34</v>
      </c>
      <c r="I43" s="32">
        <f t="array" ref="I43">SUMPRODUCT(('6511 (히스토리)'!$CI$15:$CI$34='6511 (일주일)'!I$2)*('6511 (히스토리)'!$CJ$15:$CJ$34))</f>
        <v>0</v>
      </c>
      <c r="J43" s="32">
        <f t="array" ref="J43">SUMPRODUCT(('6511 (히스토리)'!$CI$15:$CI$34='6511 (일주일)'!J$2)*('6511 (히스토리)'!$CJ$15:$CJ$34))</f>
        <v>0</v>
      </c>
      <c r="K43" s="32">
        <f t="array" ref="K43">SUMPRODUCT(('6511 (히스토리)'!$CI$15:$CI$34='6511 (일주일)'!K$2)*('6511 (히스토리)'!$CJ$15:$CJ$34))</f>
        <v>5403.24</v>
      </c>
      <c r="L43" s="32">
        <f t="array" ref="L43">SUMPRODUCT(('6511 (히스토리)'!$CI$15:$CI$34='6511 (일주일)'!L$2)*('6511 (히스토리)'!$CJ$15:$CJ$34))</f>
        <v>5412.09</v>
      </c>
      <c r="M43" s="32">
        <f t="array" ref="M43">SUMPRODUCT(('6511 (히스토리)'!$CI$15:$CI$34='6511 (일주일)'!M$2)*('6511 (히스토리)'!$CJ$15:$CJ$34))</f>
        <v>5410.14</v>
      </c>
      <c r="N43" s="32">
        <f t="array" ref="N43">SUMPRODUCT(('6511 (히스토리)'!$CI$15:$CI$34='6511 (일주일)'!N$2)*('6511 (히스토리)'!$CJ$15:$CJ$34))</f>
        <v>5415.39</v>
      </c>
      <c r="O43" s="32">
        <f t="array" ref="O43">SUMPRODUCT(('6511 (히스토리)'!$CI$15:$CI$34='6511 (일주일)'!O$2)*('6511 (히스토리)'!$CJ$15:$CJ$34))</f>
        <v>5394.76</v>
      </c>
      <c r="P43" s="32">
        <f t="array" ref="P43">SUMPRODUCT(('6511 (히스토리)'!$CI$15:$CI$34='6511 (일주일)'!P$2)*('6511 (히스토리)'!$CJ$15:$CJ$34))</f>
        <v>0</v>
      </c>
      <c r="Q43" s="32">
        <f t="array" ref="Q43">SUMPRODUCT(('6511 (히스토리)'!$CI$15:$CI$34='6511 (일주일)'!Q$2)*('6511 (히스토리)'!$CJ$15:$CJ$34))</f>
        <v>0</v>
      </c>
      <c r="R43" s="32">
        <f t="array" ref="R43">SUMPRODUCT(('6511 (히스토리)'!$CI$15:$CI$34='6511 (일주일)'!R$2)*('6511 (히스토리)'!$CJ$15:$CJ$34))</f>
        <v>5351.75</v>
      </c>
      <c r="S43" s="33">
        <f t="array" ref="S43">SUMPRODUCT(('6511 (히스토리)'!$CI$15:$CI$34='6511 (일주일)'!S$2)*('6511 (히스토리)'!$CJ$15:$CJ$34))</f>
        <v>0</v>
      </c>
    </row>
    <row r="44" spans="1:19" ht="15" customHeight="1" x14ac:dyDescent="0.2">
      <c r="A44" s="26">
        <v>42</v>
      </c>
      <c r="B44" s="38" t="s">
        <v>174</v>
      </c>
      <c r="C44" s="42" t="s">
        <v>93</v>
      </c>
      <c r="D44" s="40" t="s">
        <v>149</v>
      </c>
      <c r="E44" s="41" t="s">
        <v>31</v>
      </c>
      <c r="F44" s="31">
        <f t="array" ref="F44">SUMPRODUCT(('6511 (히스토리)'!$CK$15:$CK$34='6511 (일주일)'!F$2)*('6511 (히스토리)'!$CL$15:$CL$34))</f>
        <v>0</v>
      </c>
      <c r="G44" s="32">
        <f t="array" ref="G44">SUMPRODUCT(('6511 (히스토리)'!$CK$15:$CK$34='6511 (일주일)'!G$2)*('6511 (히스토리)'!$CL$15:$CL$34))</f>
        <v>928.08</v>
      </c>
      <c r="H44" s="32">
        <f t="array" ref="H44">SUMPRODUCT(('6511 (히스토리)'!$CK$15:$CK$34='6511 (일주일)'!H$2)*('6511 (히스토리)'!$CL$15:$CL$34))</f>
        <v>928.88</v>
      </c>
      <c r="I44" s="32">
        <f t="array" ref="I44">SUMPRODUCT(('6511 (히스토리)'!$CK$15:$CK$34='6511 (일주일)'!I$2)*('6511 (히스토리)'!$CL$15:$CL$34))</f>
        <v>0</v>
      </c>
      <c r="J44" s="32">
        <f t="array" ref="J44">SUMPRODUCT(('6511 (히스토리)'!$CK$15:$CK$34='6511 (일주일)'!J$2)*('6511 (히스토리)'!$CL$15:$CL$34))</f>
        <v>0</v>
      </c>
      <c r="K44" s="32">
        <f t="array" ref="K44">SUMPRODUCT(('6511 (히스토리)'!$CK$15:$CK$34='6511 (일주일)'!K$2)*('6511 (히스토리)'!$CL$15:$CL$34))</f>
        <v>927.48</v>
      </c>
      <c r="L44" s="32">
        <f t="array" ref="L44">SUMPRODUCT(('6511 (히스토리)'!$CK$15:$CK$34='6511 (일주일)'!L$2)*('6511 (히스토리)'!$CL$15:$CL$34))</f>
        <v>926.16</v>
      </c>
      <c r="M44" s="32">
        <f t="array" ref="M44">SUMPRODUCT(('6511 (히스토리)'!$CK$15:$CK$34='6511 (일주일)'!M$2)*('6511 (히스토리)'!$CL$15:$CL$34))</f>
        <v>925.87</v>
      </c>
      <c r="N44" s="32">
        <f t="array" ref="N44">SUMPRODUCT(('6511 (히스토리)'!$CK$15:$CK$34='6511 (일주일)'!N$2)*('6511 (히스토리)'!$CL$15:$CL$34))</f>
        <v>929.91</v>
      </c>
      <c r="O44" s="32">
        <f t="array" ref="O44">SUMPRODUCT(('6511 (히스토리)'!$CK$15:$CK$34='6511 (일주일)'!O$2)*('6511 (히스토리)'!$CL$15:$CL$34))</f>
        <v>927.44</v>
      </c>
      <c r="P44" s="32">
        <f t="array" ref="P44">SUMPRODUCT(('6511 (히스토리)'!$CK$15:$CK$34='6511 (일주일)'!P$2)*('6511 (히스토리)'!$CL$15:$CL$34))</f>
        <v>0</v>
      </c>
      <c r="Q44" s="32">
        <f t="array" ref="Q44">SUMPRODUCT(('6511 (히스토리)'!$CK$15:$CK$34='6511 (일주일)'!Q$2)*('6511 (히스토리)'!$CL$15:$CL$34))</f>
        <v>0</v>
      </c>
      <c r="R44" s="32">
        <f t="array" ref="R44">SUMPRODUCT(('6511 (히스토리)'!$CK$15:$CK$34='6511 (일주일)'!R$2)*('6511 (히스토리)'!$CL$15:$CL$34))</f>
        <v>925.61</v>
      </c>
      <c r="S44" s="33">
        <f t="array" ref="S44">SUMPRODUCT(('6511 (히스토리)'!$CK$15:$CK$34='6511 (일주일)'!S$2)*('6511 (히스토리)'!$CL$15:$CL$34))</f>
        <v>0</v>
      </c>
    </row>
    <row r="45" spans="1:19" ht="15" customHeight="1" x14ac:dyDescent="0.2">
      <c r="A45" s="26">
        <v>43</v>
      </c>
      <c r="B45" s="38" t="s">
        <v>174</v>
      </c>
      <c r="C45" s="42" t="s">
        <v>94</v>
      </c>
      <c r="D45" s="40" t="s">
        <v>150</v>
      </c>
      <c r="E45" s="41" t="s">
        <v>7</v>
      </c>
      <c r="F45" s="31">
        <f t="array" ref="F45">SUMPRODUCT(('6511 (히스토리)'!$CM$15:$CM$34='6511 (일주일)'!F$2)*('6511 (히스토리)'!$CN$15:$CN$34))</f>
        <v>0</v>
      </c>
      <c r="G45" s="32">
        <f t="array" ref="G45">SUMPRODUCT(('6511 (히스토리)'!$CM$15:$CM$34='6511 (일주일)'!G$2)*('6511 (히스토리)'!$CN$15:$CN$34))</f>
        <v>1371.7</v>
      </c>
      <c r="H45" s="32">
        <f t="array" ref="H45">SUMPRODUCT(('6511 (히스토리)'!$CM$15:$CM$34='6511 (일주일)'!H$2)*('6511 (히스토리)'!$CN$15:$CN$34))</f>
        <v>1369.41</v>
      </c>
      <c r="I45" s="32">
        <f t="array" ref="I45">SUMPRODUCT(('6511 (히스토리)'!$CM$15:$CM$34='6511 (일주일)'!I$2)*('6511 (히스토리)'!$CN$15:$CN$34))</f>
        <v>0</v>
      </c>
      <c r="J45" s="32">
        <f t="array" ref="J45">SUMPRODUCT(('6511 (히스토리)'!$CM$15:$CM$34='6511 (일주일)'!J$2)*('6511 (히스토리)'!$CN$15:$CN$34))</f>
        <v>0</v>
      </c>
      <c r="K45" s="32">
        <f t="array" ref="K45">SUMPRODUCT(('6511 (히스토리)'!$CM$15:$CM$34='6511 (일주일)'!K$2)*('6511 (히스토리)'!$CN$15:$CN$34))</f>
        <v>1323.06</v>
      </c>
      <c r="L45" s="32">
        <f t="array" ref="L45">SUMPRODUCT(('6511 (히스토리)'!$CM$15:$CM$34='6511 (일주일)'!L$2)*('6511 (히스토리)'!$CN$15:$CN$34))</f>
        <v>1267.03</v>
      </c>
      <c r="M45" s="32">
        <f t="array" ref="M45">SUMPRODUCT(('6511 (히스토리)'!$CM$15:$CM$34='6511 (일주일)'!M$2)*('6511 (히스토리)'!$CN$15:$CN$34))</f>
        <v>1254.31</v>
      </c>
      <c r="N45" s="32">
        <f t="array" ref="N45">SUMPRODUCT(('6511 (히스토리)'!$CM$15:$CM$34='6511 (일주일)'!N$2)*('6511 (히스토리)'!$CN$15:$CN$34))</f>
        <v>1222.95</v>
      </c>
      <c r="O45" s="32">
        <f t="array" ref="O45">SUMPRODUCT(('6511 (히스토리)'!$CM$15:$CM$34='6511 (일주일)'!O$2)*('6511 (히스토리)'!$CN$15:$CN$34))</f>
        <v>1195.0999999999999</v>
      </c>
      <c r="P45" s="32">
        <f t="array" ref="P45">SUMPRODUCT(('6511 (히스토리)'!$CM$15:$CM$34='6511 (일주일)'!P$2)*('6511 (히스토리)'!$CN$15:$CN$34))</f>
        <v>0</v>
      </c>
      <c r="Q45" s="32">
        <f t="array" ref="Q45">SUMPRODUCT(('6511 (히스토리)'!$CM$15:$CM$34='6511 (일주일)'!Q$2)*('6511 (히스토리)'!$CN$15:$CN$34))</f>
        <v>0</v>
      </c>
      <c r="R45" s="32">
        <f t="array" ref="R45">SUMPRODUCT(('6511 (히스토리)'!$CM$15:$CM$34='6511 (일주일)'!R$2)*('6511 (히스토리)'!$CN$15:$CN$34))</f>
        <v>0</v>
      </c>
      <c r="S45" s="33">
        <f t="array" ref="S45">SUMPRODUCT(('6511 (히스토리)'!$CM$15:$CM$34='6511 (일주일)'!S$2)*('6511 (히스토리)'!$CN$15:$CN$34))</f>
        <v>0</v>
      </c>
    </row>
    <row r="46" spans="1:19" ht="15" customHeight="1" x14ac:dyDescent="0.2">
      <c r="A46" s="26">
        <v>44</v>
      </c>
      <c r="B46" s="38" t="s">
        <v>174</v>
      </c>
      <c r="C46" s="42" t="s">
        <v>95</v>
      </c>
      <c r="D46" s="40" t="s">
        <v>151</v>
      </c>
      <c r="E46" s="41" t="s">
        <v>16</v>
      </c>
      <c r="F46" s="31">
        <f t="array" ref="F46">SUMPRODUCT(('6511 (히스토리)'!$CO$15:$CO$34='6511 (일주일)'!F$2)*('6511 (히스토리)'!$CP$15:$CP$34))</f>
        <v>5792.43</v>
      </c>
      <c r="G46" s="32">
        <f t="array" ref="G46">SUMPRODUCT(('6511 (히스토리)'!$CO$15:$CO$34='6511 (일주일)'!G$2)*('6511 (히스토리)'!$CP$15:$CP$34))</f>
        <v>5792.43</v>
      </c>
      <c r="H46" s="32">
        <f t="array" ref="H46">SUMPRODUCT(('6511 (히스토리)'!$CO$15:$CO$34='6511 (일주일)'!H$2)*('6511 (히스토리)'!$CP$15:$CP$34))</f>
        <v>5791.02</v>
      </c>
      <c r="I46" s="32">
        <f t="array" ref="I46">SUMPRODUCT(('6511 (히스토리)'!$CO$15:$CO$34='6511 (일주일)'!I$2)*('6511 (히스토리)'!$CP$15:$CP$34))</f>
        <v>0</v>
      </c>
      <c r="J46" s="32">
        <f t="array" ref="J46">SUMPRODUCT(('6511 (히스토리)'!$CO$15:$CO$34='6511 (일주일)'!J$2)*('6511 (히스토리)'!$CP$15:$CP$34))</f>
        <v>0</v>
      </c>
      <c r="K46" s="32">
        <f t="array" ref="K46">SUMPRODUCT(('6511 (히스토리)'!$CO$15:$CO$34='6511 (일주일)'!K$2)*('6511 (히스토리)'!$CP$15:$CP$34))</f>
        <v>5799.86</v>
      </c>
      <c r="L46" s="32">
        <f t="array" ref="L46">SUMPRODUCT(('6511 (히스토리)'!$CO$15:$CO$34='6511 (일주일)'!L$2)*('6511 (히스토리)'!$CP$15:$CP$34))</f>
        <v>5770.94</v>
      </c>
      <c r="M46" s="32">
        <f t="array" ref="M46">SUMPRODUCT(('6511 (히스토리)'!$CO$15:$CO$34='6511 (일주일)'!M$2)*('6511 (히스토리)'!$CP$15:$CP$34))</f>
        <v>5831.26</v>
      </c>
      <c r="N46" s="32">
        <f t="array" ref="N46">SUMPRODUCT(('6511 (히스토리)'!$CO$15:$CO$34='6511 (일주일)'!N$2)*('6511 (히스토리)'!$CP$15:$CP$34))</f>
        <v>0</v>
      </c>
      <c r="O46" s="32">
        <f t="array" ref="O46">SUMPRODUCT(('6511 (히스토리)'!$CO$15:$CO$34='6511 (일주일)'!O$2)*('6511 (히스토리)'!$CP$15:$CP$34))</f>
        <v>5766.68</v>
      </c>
      <c r="P46" s="32">
        <f t="array" ref="P46">SUMPRODUCT(('6511 (히스토리)'!$CO$15:$CO$34='6511 (일주일)'!P$2)*('6511 (히스토리)'!$CP$15:$CP$34))</f>
        <v>0</v>
      </c>
      <c r="Q46" s="32">
        <f t="array" ref="Q46">SUMPRODUCT(('6511 (히스토리)'!$CO$15:$CO$34='6511 (일주일)'!Q$2)*('6511 (히스토리)'!$CP$15:$CP$34))</f>
        <v>0</v>
      </c>
      <c r="R46" s="32">
        <f t="array" ref="R46">SUMPRODUCT(('6511 (히스토리)'!$CO$15:$CO$34='6511 (일주일)'!R$2)*('6511 (히스토리)'!$CP$15:$CP$34))</f>
        <v>5736.62</v>
      </c>
      <c r="S46" s="33">
        <f t="array" ref="S46">SUMPRODUCT(('6511 (히스토리)'!$CO$15:$CO$34='6511 (일주일)'!S$2)*('6511 (히스토리)'!$CP$15:$CP$34))</f>
        <v>0</v>
      </c>
    </row>
    <row r="47" spans="1:19" ht="15" customHeight="1" x14ac:dyDescent="0.2">
      <c r="A47" s="26">
        <v>45</v>
      </c>
      <c r="B47" s="38" t="s">
        <v>174</v>
      </c>
      <c r="C47" s="42" t="s">
        <v>96</v>
      </c>
      <c r="D47" s="40" t="s">
        <v>206</v>
      </c>
      <c r="E47" s="41" t="s">
        <v>20</v>
      </c>
      <c r="F47" s="31">
        <f t="array" ref="F47">SUMPRODUCT(('6511 (히스토리)'!$CQ$15:$CQ$34='6511 (일주일)'!F$2)*('6511 (히스토리)'!$CR$15:$CR$34))</f>
        <v>118863.12</v>
      </c>
      <c r="G47" s="32">
        <f t="array" ref="G47">SUMPRODUCT(('6511 (히스토리)'!$CQ$15:$CQ$34='6511 (일주일)'!G$2)*('6511 (히스토리)'!$CR$15:$CR$34))</f>
        <v>118863.12</v>
      </c>
      <c r="H47" s="32">
        <f t="array" ref="H47">SUMPRODUCT(('6511 (히스토리)'!$CQ$15:$CQ$34='6511 (일주일)'!H$2)*('6511 (히스토리)'!$CR$15:$CR$34))</f>
        <v>117385.41</v>
      </c>
      <c r="I47" s="32">
        <f t="array" ref="I47">SUMPRODUCT(('6511 (히스토리)'!$CQ$15:$CQ$34='6511 (일주일)'!I$2)*('6511 (히스토리)'!$CR$15:$CR$34))</f>
        <v>0</v>
      </c>
      <c r="J47" s="32">
        <f t="array" ref="J47">SUMPRODUCT(('6511 (히스토리)'!$CQ$15:$CQ$34='6511 (일주일)'!J$2)*('6511 (히스토리)'!$CR$15:$CR$34))</f>
        <v>0</v>
      </c>
      <c r="K47" s="32">
        <f t="array" ref="K47">SUMPRODUCT(('6511 (히스토리)'!$CQ$15:$CQ$34='6511 (일주일)'!K$2)*('6511 (히스토리)'!$CR$15:$CR$34))</f>
        <v>116510.12</v>
      </c>
      <c r="L47" s="32">
        <f t="array" ref="L47">SUMPRODUCT(('6511 (히스토리)'!$CQ$15:$CQ$34='6511 (일주일)'!L$2)*('6511 (히스토리)'!$CR$15:$CR$34))</f>
        <v>115909.6</v>
      </c>
      <c r="M47" s="32">
        <f t="array" ref="M47">SUMPRODUCT(('6511 (히스토리)'!$CQ$15:$CQ$34='6511 (일주일)'!M$2)*('6511 (히스토리)'!$CR$15:$CR$34))</f>
        <v>116560.13</v>
      </c>
      <c r="N47" s="32">
        <f t="array" ref="N47">SUMPRODUCT(('6511 (히스토리)'!$CQ$15:$CQ$34='6511 (일주일)'!N$2)*('6511 (히스토리)'!$CR$15:$CR$34))</f>
        <v>116425.9</v>
      </c>
      <c r="O47" s="32">
        <f t="array" ref="O47">SUMPRODUCT(('6511 (히스토리)'!$CQ$15:$CQ$34='6511 (일주일)'!O$2)*('6511 (히스토리)'!$CR$15:$CR$34))</f>
        <v>113182.3</v>
      </c>
      <c r="P47" s="32">
        <f t="array" ref="P47">SUMPRODUCT(('6511 (히스토리)'!$CQ$15:$CQ$34='6511 (일주일)'!P$2)*('6511 (히스토리)'!$CR$15:$CR$34))</f>
        <v>0</v>
      </c>
      <c r="Q47" s="32">
        <f t="array" ref="Q47">SUMPRODUCT(('6511 (히스토리)'!$CQ$15:$CQ$34='6511 (일주일)'!Q$2)*('6511 (히스토리)'!$CR$15:$CR$34))</f>
        <v>0</v>
      </c>
      <c r="R47" s="32">
        <f t="array" ref="R47">SUMPRODUCT(('6511 (히스토리)'!$CQ$15:$CQ$34='6511 (일주일)'!R$2)*('6511 (히스토리)'!$CR$15:$CR$34))</f>
        <v>0</v>
      </c>
      <c r="S47" s="33">
        <f t="array" ref="S47">SUMPRODUCT(('6511 (히스토리)'!$CQ$15:$CQ$34='6511 (일주일)'!S$2)*('6511 (히스토리)'!$CR$15:$CR$34))</f>
        <v>0</v>
      </c>
    </row>
    <row r="48" spans="1:19" ht="15" customHeight="1" x14ac:dyDescent="0.2">
      <c r="A48" s="18">
        <v>46</v>
      </c>
      <c r="B48" s="38" t="s">
        <v>174</v>
      </c>
      <c r="C48" s="42" t="s">
        <v>97</v>
      </c>
      <c r="D48" s="40" t="s">
        <v>153</v>
      </c>
      <c r="E48" s="41" t="s">
        <v>22</v>
      </c>
      <c r="F48" s="31">
        <f t="array" ref="F48">SUMPRODUCT(('6511 (히스토리)'!$CS$15:$CS$34='6511 (일주일)'!F$2)*('6511 (히스토리)'!$CT$15:$CT$34))</f>
        <v>12972.66</v>
      </c>
      <c r="G48" s="32">
        <f t="array" ref="G48">SUMPRODUCT(('6511 (히스토리)'!$CS$15:$CS$34='6511 (일주일)'!G$2)*('6511 (히스토리)'!$CT$15:$CT$34))</f>
        <v>12972.66</v>
      </c>
      <c r="H48" s="32">
        <f t="array" ref="H48">SUMPRODUCT(('6511 (히스토리)'!$CS$15:$CS$34='6511 (일주일)'!H$2)*('6511 (히스토리)'!$CT$15:$CT$34))</f>
        <v>13073.32</v>
      </c>
      <c r="I48" s="32">
        <f t="array" ref="I48">SUMPRODUCT(('6511 (히스토리)'!$CS$15:$CS$34='6511 (일주일)'!I$2)*('6511 (히스토리)'!$CT$15:$CT$34))</f>
        <v>0</v>
      </c>
      <c r="J48" s="32">
        <f t="array" ref="J48">SUMPRODUCT(('6511 (히스토리)'!$CS$15:$CS$34='6511 (일주일)'!J$2)*('6511 (히스토리)'!$CT$15:$CT$34))</f>
        <v>0</v>
      </c>
      <c r="K48" s="32">
        <f t="array" ref="K48">SUMPRODUCT(('6511 (히스토리)'!$CS$15:$CS$34='6511 (일주일)'!K$2)*('6511 (히스토리)'!$CT$15:$CT$34))</f>
        <v>13080.06</v>
      </c>
      <c r="L48" s="32">
        <f t="array" ref="L48">SUMPRODUCT(('6511 (히스토리)'!$CS$15:$CS$34='6511 (일주일)'!L$2)*('6511 (히스토리)'!$CT$15:$CT$34))</f>
        <v>13046.32</v>
      </c>
      <c r="M48" s="32">
        <f t="array" ref="M48">SUMPRODUCT(('6511 (히스토리)'!$CS$15:$CS$34='6511 (일주일)'!M$2)*('6511 (히스토리)'!$CT$15:$CT$34))</f>
        <v>12973.3</v>
      </c>
      <c r="N48" s="32">
        <f t="array" ref="N48">SUMPRODUCT(('6511 (히스토리)'!$CS$15:$CS$34='6511 (일주일)'!N$2)*('6511 (히스토리)'!$CT$15:$CT$34))</f>
        <v>13081.31</v>
      </c>
      <c r="O48" s="32">
        <f t="array" ref="O48">SUMPRODUCT(('6511 (히스토리)'!$CS$15:$CS$34='6511 (일주일)'!O$2)*('6511 (히스토리)'!$CT$15:$CT$34))</f>
        <v>13188.06</v>
      </c>
      <c r="P48" s="32">
        <f t="array" ref="P48">SUMPRODUCT(('6511 (히스토리)'!$CS$15:$CS$34='6511 (일주일)'!P$2)*('6511 (히스토리)'!$CT$15:$CT$34))</f>
        <v>0</v>
      </c>
      <c r="Q48" s="32">
        <f t="array" ref="Q48">SUMPRODUCT(('6511 (히스토리)'!$CS$15:$CS$34='6511 (일주일)'!Q$2)*('6511 (히스토리)'!$CT$15:$CT$34))</f>
        <v>0</v>
      </c>
      <c r="R48" s="32">
        <f t="array" ref="R48">SUMPRODUCT(('6511 (히스토리)'!$CS$15:$CS$34='6511 (일주일)'!R$2)*('6511 (히스토리)'!$CT$15:$CT$34))</f>
        <v>13145.49</v>
      </c>
      <c r="S48" s="33">
        <f t="array" ref="S48">SUMPRODUCT(('6511 (히스토리)'!$CS$15:$CS$34='6511 (일주일)'!S$2)*('6511 (히스토리)'!$CT$15:$CT$34))</f>
        <v>0</v>
      </c>
    </row>
    <row r="49" spans="1:19" ht="15" customHeight="1" x14ac:dyDescent="0.2">
      <c r="A49" s="26">
        <v>47</v>
      </c>
      <c r="B49" s="38" t="s">
        <v>174</v>
      </c>
      <c r="C49" s="42" t="s">
        <v>98</v>
      </c>
      <c r="D49" s="40" t="s">
        <v>154</v>
      </c>
      <c r="E49" s="41" t="s">
        <v>205</v>
      </c>
      <c r="F49" s="31">
        <f t="array" ref="F49">SUMPRODUCT(('6511 (히스토리)'!$CU$15:$CU$34='6511 (일주일)'!F$2)*('6511 (히스토리)'!$CV$15:$CV$34))</f>
        <v>43684.22</v>
      </c>
      <c r="G49" s="32">
        <f t="array" ref="G49">SUMPRODUCT(('6511 (히스토리)'!$CU$15:$CU$34='6511 (일주일)'!G$2)*('6511 (히스토리)'!$CV$15:$CV$34))</f>
        <v>43684.22</v>
      </c>
      <c r="H49" s="32">
        <f t="array" ref="H49">SUMPRODUCT(('6511 (히스토리)'!$CU$15:$CU$34='6511 (일주일)'!H$2)*('6511 (히스토리)'!$CV$15:$CV$34))</f>
        <v>43404.25</v>
      </c>
      <c r="I49" s="32">
        <f t="array" ref="I49">SUMPRODUCT(('6511 (히스토리)'!$CU$15:$CU$34='6511 (일주일)'!I$2)*('6511 (히스토리)'!$CV$15:$CV$34))</f>
        <v>0</v>
      </c>
      <c r="J49" s="32">
        <f t="array" ref="J49">SUMPRODUCT(('6511 (히스토리)'!$CU$15:$CU$34='6511 (일주일)'!J$2)*('6511 (히스토리)'!$CV$15:$CV$34))</f>
        <v>0</v>
      </c>
      <c r="K49" s="32">
        <f t="array" ref="K49">SUMPRODUCT(('6511 (히스토리)'!$CU$15:$CU$34='6511 (일주일)'!K$2)*('6511 (히스토리)'!$CV$15:$CV$34))</f>
        <v>42895.41</v>
      </c>
      <c r="L49" s="32">
        <f t="array" ref="L49">SUMPRODUCT(('6511 (히스토리)'!$CU$15:$CU$34='6511 (일주일)'!L$2)*('6511 (히스토리)'!$CV$15:$CV$34))</f>
        <v>41856.76</v>
      </c>
      <c r="M49" s="32">
        <f t="array" ref="M49">SUMPRODUCT(('6511 (히스토리)'!$CU$15:$CU$34='6511 (일주일)'!M$2)*('6511 (히스토리)'!$CV$15:$CV$34))</f>
        <v>0</v>
      </c>
      <c r="N49" s="32">
        <f t="array" ref="N49">SUMPRODUCT(('6511 (히스토리)'!$CU$15:$CU$34='6511 (일주일)'!N$2)*('6511 (히스토리)'!$CV$15:$CV$34))</f>
        <v>41543.46</v>
      </c>
      <c r="O49" s="32">
        <f t="array" ref="O49">SUMPRODUCT(('6511 (히스토리)'!$CU$15:$CU$34='6511 (일주일)'!O$2)*('6511 (히스토리)'!$CV$15:$CV$34))</f>
        <v>40676.980000000003</v>
      </c>
      <c r="P49" s="32">
        <f t="array" ref="P49">SUMPRODUCT(('6511 (히스토리)'!$CU$15:$CU$34='6511 (일주일)'!P$2)*('6511 (히스토리)'!$CV$15:$CV$34))</f>
        <v>0</v>
      </c>
      <c r="Q49" s="32">
        <f t="array" ref="Q49">SUMPRODUCT(('6511 (히스토리)'!$CU$15:$CU$34='6511 (일주일)'!Q$2)*('6511 (히스토리)'!$CV$15:$CV$34))</f>
        <v>0</v>
      </c>
      <c r="R49" s="32">
        <f t="array" ref="R49">SUMPRODUCT(('6511 (히스토리)'!$CU$15:$CU$34='6511 (일주일)'!R$2)*('6511 (히스토리)'!$CV$15:$CV$34))</f>
        <v>40898.15</v>
      </c>
      <c r="S49" s="33">
        <f t="array" ref="S49">SUMPRODUCT(('6511 (히스토리)'!$CU$15:$CU$34='6511 (일주일)'!S$2)*('6511 (히스토리)'!$CV$15:$CV$34))</f>
        <v>0</v>
      </c>
    </row>
    <row r="50" spans="1:19" ht="15" customHeight="1" x14ac:dyDescent="0.2">
      <c r="A50" s="26">
        <v>48</v>
      </c>
      <c r="B50" s="43" t="s">
        <v>174</v>
      </c>
      <c r="C50" s="44" t="s">
        <v>99</v>
      </c>
      <c r="D50" s="45" t="s">
        <v>155</v>
      </c>
      <c r="E50" s="46" t="s">
        <v>30</v>
      </c>
      <c r="F50" s="31">
        <f t="array" ref="F50">SUMPRODUCT(('6511 (히스토리)'!$CW$15:$CW$34='6511 (일주일)'!F$2)*('6511 (히스토리)'!$CX$15:$CX$34))</f>
        <v>1885.13</v>
      </c>
      <c r="G50" s="32">
        <f t="array" ref="G50">SUMPRODUCT(('6511 (히스토리)'!$CW$15:$CW$34='6511 (일주일)'!G$2)*('6511 (히스토리)'!$CX$15:$CX$34))</f>
        <v>1885.1320000000001</v>
      </c>
      <c r="H50" s="32">
        <f t="array" ref="H50">SUMPRODUCT(('6511 (히스토리)'!$CW$15:$CW$34='6511 (일주일)'!H$2)*('6511 (히스토리)'!$CX$15:$CX$34))</f>
        <v>1872.32</v>
      </c>
      <c r="I50" s="32">
        <f t="array" ref="I50">SUMPRODUCT(('6511 (히스토리)'!$CW$15:$CW$34='6511 (일주일)'!I$2)*('6511 (히스토리)'!$CX$15:$CX$34))</f>
        <v>0</v>
      </c>
      <c r="J50" s="32">
        <f t="array" ref="J50">SUMPRODUCT(('6511 (히스토리)'!$CW$15:$CW$34='6511 (일주일)'!J$2)*('6511 (히스토리)'!$CX$15:$CX$34))</f>
        <v>0</v>
      </c>
      <c r="K50" s="32">
        <f t="array" ref="K50">SUMPRODUCT(('6511 (히스토리)'!$CW$15:$CW$34='6511 (일주일)'!K$2)*('6511 (히스토리)'!$CX$15:$CX$34))</f>
        <v>1849.309</v>
      </c>
      <c r="L50" s="32">
        <f t="array" ref="L50">SUMPRODUCT(('6511 (히스토리)'!$CW$15:$CW$34='6511 (일주일)'!L$2)*('6511 (히스토리)'!$CX$15:$CX$34))</f>
        <v>1817.75</v>
      </c>
      <c r="M50" s="32">
        <f t="array" ref="M50">SUMPRODUCT(('6511 (히스토리)'!$CW$15:$CW$34='6511 (일주일)'!M$2)*('6511 (히스토리)'!$CX$15:$CX$34))</f>
        <v>1833.17</v>
      </c>
      <c r="N50" s="32">
        <f t="array" ref="N50">SUMPRODUCT(('6511 (히스토리)'!$CW$15:$CW$34='6511 (일주일)'!N$2)*('6511 (히스토리)'!$CX$15:$CX$34))</f>
        <v>1806.84</v>
      </c>
      <c r="O50" s="32">
        <f t="array" ref="O50">SUMPRODUCT(('6511 (히스토리)'!$CW$15:$CW$34='6511 (일주일)'!O$2)*('6511 (히스토리)'!$CX$15:$CX$34))</f>
        <v>1811.66</v>
      </c>
      <c r="P50" s="32">
        <f t="array" ref="P50">SUMPRODUCT(('6511 (히스토리)'!$CW$15:$CW$34='6511 (일주일)'!P$2)*('6511 (히스토리)'!$CX$15:$CX$34))</f>
        <v>0</v>
      </c>
      <c r="Q50" s="32">
        <f t="array" ref="Q50">SUMPRODUCT(('6511 (히스토리)'!$CW$15:$CW$34='6511 (일주일)'!Q$2)*('6511 (히스토리)'!$CX$15:$CX$34))</f>
        <v>0</v>
      </c>
      <c r="R50" s="32">
        <f t="array" ref="R50">SUMPRODUCT(('6511 (히스토리)'!$CW$15:$CW$34='6511 (일주일)'!R$2)*('6511 (히스토리)'!$CX$15:$CX$34))</f>
        <v>1835.33</v>
      </c>
      <c r="S50" s="33">
        <f t="array" ref="S50">SUMPRODUCT(('6511 (히스토리)'!$CW$15:$CW$34='6511 (일주일)'!S$2)*('6511 (히스토리)'!$CX$15:$CX$34))</f>
        <v>0</v>
      </c>
    </row>
    <row r="51" spans="1:19" ht="15" customHeight="1" x14ac:dyDescent="0.2">
      <c r="A51" s="26">
        <v>49</v>
      </c>
      <c r="B51" s="38" t="s">
        <v>266</v>
      </c>
      <c r="C51" s="39" t="s">
        <v>263</v>
      </c>
      <c r="D51" s="40" t="s">
        <v>267</v>
      </c>
      <c r="E51" s="83" t="s">
        <v>264</v>
      </c>
      <c r="F51" s="31">
        <v>0</v>
      </c>
      <c r="G51" s="32">
        <v>33765.21</v>
      </c>
      <c r="H51" s="32">
        <v>0</v>
      </c>
      <c r="I51" s="32">
        <v>0</v>
      </c>
      <c r="J51" s="32">
        <v>33949.53</v>
      </c>
      <c r="K51" s="32">
        <v>34239.26</v>
      </c>
      <c r="L51" s="32">
        <v>33967.33</v>
      </c>
      <c r="M51" s="32">
        <v>34643.54</v>
      </c>
      <c r="N51" s="32">
        <v>35448.46</v>
      </c>
      <c r="O51" s="32">
        <v>0</v>
      </c>
      <c r="P51" s="32">
        <v>0</v>
      </c>
      <c r="Q51" s="32">
        <v>35084.92</v>
      </c>
      <c r="R51" s="32">
        <v>34378.550000000003</v>
      </c>
      <c r="S51" s="33">
        <v>34578.769999999997</v>
      </c>
    </row>
    <row r="52" spans="1:19" ht="15" customHeight="1" x14ac:dyDescent="0.2">
      <c r="A52" s="26">
        <v>50</v>
      </c>
      <c r="B52" s="38" t="s">
        <v>266</v>
      </c>
      <c r="C52" s="39" t="s">
        <v>257</v>
      </c>
      <c r="D52" s="40" t="s">
        <v>258</v>
      </c>
      <c r="E52" s="83" t="s">
        <v>259</v>
      </c>
      <c r="F52" s="31">
        <v>0</v>
      </c>
      <c r="G52" s="32">
        <v>19981.099999999999</v>
      </c>
      <c r="H52" s="32">
        <v>0</v>
      </c>
      <c r="I52" s="32">
        <v>0</v>
      </c>
      <c r="J52" s="32">
        <v>19922.77</v>
      </c>
      <c r="K52" s="32">
        <v>19812.400000000001</v>
      </c>
      <c r="L52" s="32">
        <v>19658.14</v>
      </c>
      <c r="M52" s="32">
        <v>19639.09</v>
      </c>
      <c r="N52" s="32">
        <v>19668.810000000001</v>
      </c>
      <c r="O52" s="32">
        <v>0</v>
      </c>
      <c r="P52" s="32">
        <v>0</v>
      </c>
      <c r="Q52" s="32">
        <v>19711.53</v>
      </c>
      <c r="R52" s="32">
        <v>19669.22</v>
      </c>
      <c r="S52" s="33">
        <v>19902.59</v>
      </c>
    </row>
    <row r="53" spans="1:19" ht="15" customHeight="1" x14ac:dyDescent="0.2">
      <c r="A53" s="18">
        <v>51</v>
      </c>
      <c r="B53" s="38" t="s">
        <v>266</v>
      </c>
      <c r="C53" s="39" t="s">
        <v>260</v>
      </c>
      <c r="D53" s="40" t="s">
        <v>261</v>
      </c>
      <c r="E53" s="83" t="s">
        <v>262</v>
      </c>
      <c r="F53" s="31">
        <v>0</v>
      </c>
      <c r="G53" s="32">
        <v>16015.89</v>
      </c>
      <c r="H53" s="32">
        <v>0</v>
      </c>
      <c r="I53" s="32">
        <v>0</v>
      </c>
      <c r="J53" s="32">
        <v>16037.49</v>
      </c>
      <c r="K53" s="32">
        <v>16089.24</v>
      </c>
      <c r="L53" s="32">
        <v>16131.47</v>
      </c>
      <c r="M53" s="32">
        <v>16297.46</v>
      </c>
      <c r="N53" s="32">
        <v>16346.66</v>
      </c>
      <c r="O53" s="32">
        <v>0</v>
      </c>
      <c r="P53" s="32">
        <v>0</v>
      </c>
      <c r="Q53" s="32">
        <v>16230.04</v>
      </c>
      <c r="R53" s="32">
        <v>16164.61</v>
      </c>
      <c r="S53" s="33">
        <v>16327.35</v>
      </c>
    </row>
    <row r="54" spans="1:19" ht="15" customHeight="1" x14ac:dyDescent="0.2">
      <c r="A54" s="26">
        <v>52</v>
      </c>
      <c r="B54" s="47" t="s">
        <v>173</v>
      </c>
      <c r="C54" s="48" t="s">
        <v>100</v>
      </c>
      <c r="D54" s="49" t="s">
        <v>156</v>
      </c>
      <c r="E54" s="50" t="s">
        <v>10</v>
      </c>
      <c r="F54" s="31">
        <f t="array" ref="F54">SUMPRODUCT(('6511 (히스토리)'!$DE$15:$DE$34='6511 (일주일)'!F$2)*('6511 (히스토리)'!$DF$15:$DF$34))</f>
        <v>0</v>
      </c>
      <c r="G54" s="32">
        <f t="array" ref="G54">SUMPRODUCT(('6511 (히스토리)'!$DE$15:$DE$34='6511 (일주일)'!G$2)*('6511 (히스토리)'!$DF$15:$DF$34))</f>
        <v>56483.24</v>
      </c>
      <c r="H54" s="32">
        <f t="array" ref="H54">SUMPRODUCT(('6511 (히스토리)'!$DE$15:$DE$34='6511 (일주일)'!H$2)*('6511 (히스토리)'!$DF$15:$DF$34))</f>
        <v>55577.79</v>
      </c>
      <c r="I54" s="32">
        <f t="array" ref="I54">SUMPRODUCT(('6511 (히스토리)'!$DE$15:$DE$34='6511 (일주일)'!I$2)*('6511 (히스토리)'!$DF$15:$DF$34))</f>
        <v>0</v>
      </c>
      <c r="J54" s="32">
        <f t="array" ref="J54">SUMPRODUCT(('6511 (히스토리)'!$DE$15:$DE$34='6511 (일주일)'!J$2)*('6511 (히스토리)'!$DF$15:$DF$34))</f>
        <v>0</v>
      </c>
      <c r="K54" s="32">
        <f t="array" ref="K54">SUMPRODUCT(('6511 (히스토리)'!$DE$15:$DE$34='6511 (일주일)'!K$2)*('6511 (히스토리)'!$DF$15:$DF$34))</f>
        <v>54901.09</v>
      </c>
      <c r="L54" s="32">
        <f t="array" ref="L54">SUMPRODUCT(('6511 (히스토리)'!$DE$15:$DE$34='6511 (일주일)'!L$2)*('6511 (히스토리)'!$DF$15:$DF$34))</f>
        <v>54831.28</v>
      </c>
      <c r="M54" s="32">
        <f t="array" ref="M54">SUMPRODUCT(('6511 (히스토리)'!$DE$15:$DE$34='6511 (일주일)'!M$2)*('6511 (히스토리)'!$DF$15:$DF$34))</f>
        <v>54646.22</v>
      </c>
      <c r="N54" s="32">
        <f t="array" ref="N54">SUMPRODUCT(('6511 (히스토리)'!$DE$15:$DE$34='6511 (일주일)'!N$2)*('6511 (히스토리)'!$DF$15:$DF$34))</f>
        <v>54860.95</v>
      </c>
      <c r="O54" s="32">
        <f t="array" ref="O54">SUMPRODUCT(('6511 (히스토리)'!$DE$15:$DE$34='6511 (일주일)'!O$2)*('6511 (히스토리)'!$DF$15:$DF$34))</f>
        <v>53721.64</v>
      </c>
      <c r="P54" s="32">
        <f t="array" ref="P54">SUMPRODUCT(('6511 (히스토리)'!$DE$15:$DE$34='6511 (일주일)'!P$2)*('6511 (히스토리)'!$DF$15:$DF$34))</f>
        <v>0</v>
      </c>
      <c r="Q54" s="32">
        <f t="array" ref="Q54">SUMPRODUCT(('6511 (히스토리)'!$DE$15:$DE$34='6511 (일주일)'!Q$2)*('6511 (히스토리)'!$DF$15:$DF$34))</f>
        <v>0</v>
      </c>
      <c r="R54" s="32">
        <f t="array" ref="R54">SUMPRODUCT(('6511 (히스토리)'!$DE$15:$DE$34='6511 (일주일)'!R$2)*('6511 (히스토리)'!$DF$15:$DF$34))</f>
        <v>52467.93</v>
      </c>
      <c r="S54" s="33">
        <f t="array" ref="S54">SUMPRODUCT(('6511 (히스토리)'!$DE$15:$DE$34='6511 (일주일)'!S$2)*('6511 (히스토리)'!$DF$15:$DF$34))</f>
        <v>0</v>
      </c>
    </row>
    <row r="55" spans="1:19" ht="15" customHeight="1" x14ac:dyDescent="0.2">
      <c r="A55" s="26">
        <v>53</v>
      </c>
      <c r="B55" s="47" t="s">
        <v>173</v>
      </c>
      <c r="C55" s="48" t="s">
        <v>101</v>
      </c>
      <c r="D55" s="49" t="s">
        <v>157</v>
      </c>
      <c r="E55" s="50" t="s">
        <v>6</v>
      </c>
      <c r="F55" s="31">
        <f t="array" ref="F55">SUMPRODUCT(('6511 (히스토리)'!$DG$15:$DG$34='6511 (일주일)'!F$2)*('6511 (히스토리)'!$DH$15:$DH$34))</f>
        <v>0</v>
      </c>
      <c r="G55" s="32">
        <f t="array" ref="G55">SUMPRODUCT(('6511 (히스토리)'!$DG$15:$DG$34='6511 (일주일)'!G$2)*('6511 (히스토리)'!$DH$15:$DH$34))</f>
        <v>161973.04999999999</v>
      </c>
      <c r="H55" s="32">
        <f t="array" ref="H55">SUMPRODUCT(('6511 (히스토리)'!$DG$15:$DG$34='6511 (일주일)'!H$2)*('6511 (히스토리)'!$DH$15:$DH$34))</f>
        <v>163150.35</v>
      </c>
      <c r="I55" s="32">
        <f t="array" ref="I55">SUMPRODUCT(('6511 (히스토리)'!$DG$15:$DG$34='6511 (일주일)'!I$2)*('6511 (히스토리)'!$DH$15:$DH$34))</f>
        <v>0</v>
      </c>
      <c r="J55" s="32">
        <f t="array" ref="J55">SUMPRODUCT(('6511 (히스토리)'!$DG$15:$DG$34='6511 (일주일)'!J$2)*('6511 (히스토리)'!$DH$15:$DH$34))</f>
        <v>0</v>
      </c>
      <c r="K55" s="32">
        <f t="array" ref="K55">SUMPRODUCT(('6511 (히스토리)'!$DG$15:$DG$34='6511 (일주일)'!K$2)*('6511 (히스토리)'!$DH$15:$DH$34))</f>
        <v>163370.31</v>
      </c>
      <c r="L55" s="32">
        <f t="array" ref="L55">SUMPRODUCT(('6511 (히스토리)'!$DG$15:$DG$34='6511 (일주일)'!L$2)*('6511 (히스토리)'!$DH$15:$DH$34))</f>
        <v>162936.48000000001</v>
      </c>
      <c r="M55" s="32">
        <f t="array" ref="M55">SUMPRODUCT(('6511 (히스토리)'!$DG$15:$DG$34='6511 (일주일)'!M$2)*('6511 (히스토리)'!$DH$15:$DH$34))</f>
        <v>161975.24</v>
      </c>
      <c r="N55" s="32">
        <f t="array" ref="N55">SUMPRODUCT(('6511 (히스토리)'!$DG$15:$DG$34='6511 (일주일)'!N$2)*('6511 (히스토리)'!$DH$15:$DH$34))</f>
        <v>163663.88</v>
      </c>
      <c r="O55" s="32">
        <f t="array" ref="O55">SUMPRODUCT(('6511 (히스토리)'!$DG$15:$DG$34='6511 (일주일)'!O$2)*('6511 (히스토리)'!$DH$15:$DH$34))</f>
        <v>161869.76000000001</v>
      </c>
      <c r="P55" s="32">
        <f t="array" ref="P55">SUMPRODUCT(('6511 (히스토리)'!$DG$15:$DG$34='6511 (일주일)'!P$2)*('6511 (히스토리)'!$DH$15:$DH$34))</f>
        <v>0</v>
      </c>
      <c r="Q55" s="32">
        <f t="array" ref="Q55">SUMPRODUCT(('6511 (히스토리)'!$DG$15:$DG$34='6511 (일주일)'!Q$2)*('6511 (히스토리)'!$DH$15:$DH$34))</f>
        <v>0</v>
      </c>
      <c r="R55" s="32">
        <f t="array" ref="R55">SUMPRODUCT(('6511 (히스토리)'!$DG$15:$DG$34='6511 (일주일)'!R$2)*('6511 (히스토리)'!$DH$15:$DH$34))</f>
        <v>160538.69</v>
      </c>
      <c r="S55" s="33">
        <f t="array" ref="S55">SUMPRODUCT(('6511 (히스토리)'!$DG$15:$DG$34='6511 (일주일)'!S$2)*('6511 (히스토리)'!$DH$15:$DH$34))</f>
        <v>0</v>
      </c>
    </row>
    <row r="56" spans="1:19" ht="15" customHeight="1" x14ac:dyDescent="0.2">
      <c r="A56" s="26">
        <v>54</v>
      </c>
      <c r="B56" s="47" t="s">
        <v>173</v>
      </c>
      <c r="C56" s="48" t="s">
        <v>102</v>
      </c>
      <c r="D56" s="49" t="s">
        <v>158</v>
      </c>
      <c r="E56" s="50" t="s">
        <v>170</v>
      </c>
      <c r="F56" s="31">
        <f t="array" ref="F56">SUMPRODUCT(('6511 (히스토리)'!$DI$15:$DI$34='6511 (일주일)'!F$2)*('6511 (히스토리)'!$DJ$15:$DJ$34))</f>
        <v>0</v>
      </c>
      <c r="G56" s="32">
        <f t="array" ref="G56">SUMPRODUCT(('6511 (히스토리)'!$DI$15:$DI$34='6511 (일주일)'!G$2)*('6511 (히스토리)'!$DJ$15:$DJ$34))</f>
        <v>3036292.5</v>
      </c>
      <c r="H56" s="32">
        <f t="array" ref="H56">SUMPRODUCT(('6511 (히스토리)'!$DI$15:$DI$34='6511 (일주일)'!H$2)*('6511 (히스토리)'!$DJ$15:$DJ$34))</f>
        <v>3076946.75</v>
      </c>
      <c r="I56" s="32">
        <f t="array" ref="I56">SUMPRODUCT(('6511 (히스토리)'!$DI$15:$DI$34='6511 (일주일)'!I$2)*('6511 (히스토리)'!$DJ$15:$DJ$34))</f>
        <v>0</v>
      </c>
      <c r="J56" s="32">
        <f t="array" ref="J56">SUMPRODUCT(('6511 (히스토리)'!$DI$15:$DI$34='6511 (일주일)'!J$2)*('6511 (히스토리)'!$DJ$15:$DJ$34))</f>
        <v>0</v>
      </c>
      <c r="K56" s="32">
        <f t="array" ref="K56">SUMPRODUCT(('6511 (히스토리)'!$DI$15:$DI$34='6511 (일주일)'!K$2)*('6511 (히스토리)'!$DJ$15:$DJ$34))</f>
        <v>3089461</v>
      </c>
      <c r="L56" s="32">
        <f t="array" ref="L56">SUMPRODUCT(('6511 (히스토리)'!$DI$15:$DI$34='6511 (일주일)'!L$2)*('6511 (히스토리)'!$DJ$15:$DJ$34))</f>
        <v>3074879.75</v>
      </c>
      <c r="M56" s="32">
        <f t="array" ref="M56">SUMPRODUCT(('6511 (히스토리)'!$DI$15:$DI$34='6511 (일주일)'!M$2)*('6511 (히스토리)'!$DJ$15:$DJ$34))</f>
        <v>3013957</v>
      </c>
      <c r="N56" s="32">
        <f t="array" ref="N56">SUMPRODUCT(('6511 (히스토리)'!$DI$15:$DI$34='6511 (일주일)'!N$2)*('6511 (히스토리)'!$DJ$15:$DJ$34))</f>
        <v>3112376.75</v>
      </c>
      <c r="O56" s="32">
        <f t="array" ref="O56">SUMPRODUCT(('6511 (히스토리)'!$DI$15:$DI$34='6511 (일주일)'!O$2)*('6511 (히스토리)'!$DJ$15:$DJ$34))</f>
        <v>3130197</v>
      </c>
      <c r="P56" s="32">
        <f t="array" ref="P56">SUMPRODUCT(('6511 (히스토리)'!$DI$15:$DI$34='6511 (일주일)'!P$2)*('6511 (히스토리)'!$DJ$15:$DJ$34))</f>
        <v>0</v>
      </c>
      <c r="Q56" s="32">
        <f t="array" ref="Q56">SUMPRODUCT(('6511 (히스토리)'!$DI$15:$DI$34='6511 (일주일)'!Q$2)*('6511 (히스토리)'!$DJ$15:$DJ$34))</f>
        <v>0</v>
      </c>
      <c r="R56" s="32">
        <f t="array" ref="R56">SUMPRODUCT(('6511 (히스토리)'!$DI$15:$DI$34='6511 (일주일)'!R$2)*('6511 (히스토리)'!$DJ$15:$DJ$34))</f>
        <v>3126292.25</v>
      </c>
      <c r="S56" s="33">
        <f t="array" ref="S56">SUMPRODUCT(('6511 (히스토리)'!$DI$15:$DI$34='6511 (일주일)'!S$2)*('6511 (히스토리)'!$DJ$15:$DJ$34))</f>
        <v>0</v>
      </c>
    </row>
    <row r="57" spans="1:19" ht="15" customHeight="1" x14ac:dyDescent="0.2">
      <c r="A57" s="26">
        <v>55</v>
      </c>
      <c r="B57" s="47" t="s">
        <v>173</v>
      </c>
      <c r="C57" s="48" t="s">
        <v>103</v>
      </c>
      <c r="D57" s="49" t="s">
        <v>159</v>
      </c>
      <c r="E57" s="50" t="s">
        <v>42</v>
      </c>
      <c r="F57" s="31">
        <f t="array" ref="F57">SUMPRODUCT(('6511 (히스토리)'!$DK$15:$DK$34='6511 (일주일)'!F$2)*('6511 (히스토리)'!$DL$15:$DL$34))</f>
        <v>0</v>
      </c>
      <c r="G57" s="32">
        <f t="array" ref="G57">SUMPRODUCT(('6511 (히스토리)'!$DK$15:$DK$34='6511 (일주일)'!G$2)*('6511 (히스토리)'!$DL$15:$DL$34))</f>
        <v>34937.730000000003</v>
      </c>
      <c r="H57" s="32">
        <f t="array" ref="H57">SUMPRODUCT(('6511 (히스토리)'!$DK$15:$DK$34='6511 (일주일)'!H$2)*('6511 (히스토리)'!$DL$15:$DL$34))</f>
        <v>34937.730000000003</v>
      </c>
      <c r="I57" s="32">
        <f t="array" ref="I57">SUMPRODUCT(('6511 (히스토리)'!$DK$15:$DK$34='6511 (일주일)'!I$2)*('6511 (히스토리)'!$DL$15:$DL$34))</f>
        <v>0</v>
      </c>
      <c r="J57" s="32">
        <f t="array" ref="J57">SUMPRODUCT(('6511 (히스토리)'!$DK$15:$DK$34='6511 (일주일)'!J$2)*('6511 (히스토리)'!$DL$15:$DL$34))</f>
        <v>0</v>
      </c>
      <c r="K57" s="32">
        <f t="array" ref="K57">SUMPRODUCT(('6511 (히스토리)'!$DK$15:$DK$34='6511 (일주일)'!K$2)*('6511 (히스토리)'!$DL$15:$DL$34))</f>
        <v>34937.730000000003</v>
      </c>
      <c r="L57" s="32">
        <f t="array" ref="L57">SUMPRODUCT(('6511 (히스토리)'!$DK$15:$DK$34='6511 (일주일)'!L$2)*('6511 (히스토리)'!$DL$15:$DL$34))</f>
        <v>34937.730000000003</v>
      </c>
      <c r="M57" s="32">
        <f t="array" ref="M57">SUMPRODUCT(('6511 (히스토리)'!$DK$15:$DK$34='6511 (일주일)'!M$2)*('6511 (히스토리)'!$DL$15:$DL$34))</f>
        <v>34937.730000000003</v>
      </c>
      <c r="N57" s="32">
        <f t="array" ref="N57">SUMPRODUCT(('6511 (히스토리)'!$DK$15:$DK$34='6511 (일주일)'!N$2)*('6511 (히스토리)'!$DL$15:$DL$34))</f>
        <v>34937.730000000003</v>
      </c>
      <c r="O57" s="32">
        <f t="array" ref="O57">SUMPRODUCT(('6511 (히스토리)'!$DK$15:$DK$34='6511 (일주일)'!O$2)*('6511 (히스토리)'!$DL$15:$DL$34))</f>
        <v>34937.730000000003</v>
      </c>
      <c r="P57" s="32">
        <f t="array" ref="P57">SUMPRODUCT(('6511 (히스토리)'!$DK$15:$DK$34='6511 (일주일)'!P$2)*('6511 (히스토리)'!$DL$15:$DL$34))</f>
        <v>0</v>
      </c>
      <c r="Q57" s="32">
        <f t="array" ref="Q57">SUMPRODUCT(('6511 (히스토리)'!$DK$15:$DK$34='6511 (일주일)'!Q$2)*('6511 (히스토리)'!$DL$15:$DL$34))</f>
        <v>0</v>
      </c>
      <c r="R57" s="32">
        <f t="array" ref="R57">SUMPRODUCT(('6511 (히스토리)'!$DK$15:$DK$34='6511 (일주일)'!R$2)*('6511 (히스토리)'!$DL$15:$DL$34))</f>
        <v>34937.730000000003</v>
      </c>
      <c r="S57" s="33">
        <f t="array" ref="S57">SUMPRODUCT(('6511 (히스토리)'!$DK$15:$DK$34='6511 (일주일)'!S$2)*('6511 (히스토리)'!$DL$15:$DL$34))</f>
        <v>0</v>
      </c>
    </row>
    <row r="58" spans="1:19" ht="15" customHeight="1" x14ac:dyDescent="0.2">
      <c r="A58" s="18">
        <v>56</v>
      </c>
      <c r="B58" s="47" t="s">
        <v>173</v>
      </c>
      <c r="C58" s="48" t="s">
        <v>104</v>
      </c>
      <c r="D58" s="49" t="s">
        <v>160</v>
      </c>
      <c r="E58" s="50" t="s">
        <v>8</v>
      </c>
      <c r="F58" s="31">
        <f t="array" ref="F58">SUMPRODUCT(('6511 (히스토리)'!$DM$15:$DM$34='6511 (일주일)'!F$2)*('6511 (히스토리)'!$DN$15:$DN$34))</f>
        <v>0</v>
      </c>
      <c r="G58" s="32">
        <f t="array" ref="G58">SUMPRODUCT(('6511 (히스토리)'!$DM$15:$DM$34='6511 (일주일)'!G$2)*('6511 (히스토리)'!$DN$15:$DN$34))</f>
        <v>32870.36</v>
      </c>
      <c r="H58" s="32">
        <f t="array" ref="H58">SUMPRODUCT(('6511 (히스토리)'!$DM$15:$DM$34='6511 (일주일)'!H$2)*('6511 (히스토리)'!$DN$15:$DN$34))</f>
        <v>32874.699999999997</v>
      </c>
      <c r="I58" s="32">
        <f t="array" ref="I58">SUMPRODUCT(('6511 (히스토리)'!$DM$15:$DM$34='6511 (일주일)'!I$2)*('6511 (히스토리)'!$DN$15:$DN$34))</f>
        <v>0</v>
      </c>
      <c r="J58" s="32">
        <f t="array" ref="J58">SUMPRODUCT(('6511 (히스토리)'!$DM$15:$DM$34='6511 (일주일)'!J$2)*('6511 (히스토리)'!$DN$15:$DN$34))</f>
        <v>0</v>
      </c>
      <c r="K58" s="32">
        <f t="array" ref="K58">SUMPRODUCT(('6511 (히스토리)'!$DM$15:$DM$34='6511 (일주일)'!K$2)*('6511 (히스토리)'!$DN$15:$DN$34))</f>
        <v>32612.93</v>
      </c>
      <c r="L58" s="32">
        <f t="array" ref="L58">SUMPRODUCT(('6511 (히스토리)'!$DM$15:$DM$34='6511 (일주일)'!L$2)*('6511 (히스토리)'!$DN$15:$DN$34))</f>
        <v>32378.639999999999</v>
      </c>
      <c r="M58" s="32">
        <f t="array" ref="M58">SUMPRODUCT(('6511 (히스토리)'!$DM$15:$DM$34='6511 (일주일)'!M$2)*('6511 (히스토리)'!$DN$15:$DN$34))</f>
        <v>32135.49</v>
      </c>
      <c r="N58" s="32">
        <f t="array" ref="N58">SUMPRODUCT(('6511 (히스토리)'!$DM$15:$DM$34='6511 (일주일)'!N$2)*('6511 (히스토리)'!$DN$15:$DN$34))</f>
        <v>32407.02</v>
      </c>
      <c r="O58" s="32">
        <f t="array" ref="O58">SUMPRODUCT(('6511 (히스토리)'!$DM$15:$DM$34='6511 (일주일)'!O$2)*('6511 (히스토리)'!$DN$15:$DN$34))</f>
        <v>32219.95</v>
      </c>
      <c r="P58" s="32">
        <f t="array" ref="P58">SUMPRODUCT(('6511 (히스토리)'!$DM$15:$DM$34='6511 (일주일)'!P$2)*('6511 (히스토리)'!$DN$15:$DN$34))</f>
        <v>0</v>
      </c>
      <c r="Q58" s="32">
        <f t="array" ref="Q58">SUMPRODUCT(('6511 (히스토리)'!$DM$15:$DM$34='6511 (일주일)'!Q$2)*('6511 (히스토리)'!$DN$15:$DN$34))</f>
        <v>0</v>
      </c>
      <c r="R58" s="32">
        <f t="array" ref="R58">SUMPRODUCT(('6511 (히스토리)'!$DM$15:$DM$34='6511 (일주일)'!R$2)*('6511 (히스토리)'!$DN$15:$DN$34))</f>
        <v>31883.37</v>
      </c>
      <c r="S58" s="33">
        <f t="array" ref="S58">SUMPRODUCT(('6511 (히스토리)'!$DM$15:$DM$34='6511 (일주일)'!S$2)*('6511 (히스토리)'!$DN$15:$DN$34))</f>
        <v>0</v>
      </c>
    </row>
    <row r="59" spans="1:19" ht="15" customHeight="1" x14ac:dyDescent="0.2">
      <c r="A59" s="26">
        <v>57</v>
      </c>
      <c r="B59" s="47" t="s">
        <v>173</v>
      </c>
      <c r="C59" s="48" t="s">
        <v>161</v>
      </c>
      <c r="D59" s="49" t="s">
        <v>162</v>
      </c>
      <c r="E59" s="50" t="s">
        <v>12</v>
      </c>
      <c r="F59" s="31">
        <f t="array" ref="F59">SUMPRODUCT(('6511 (히스토리)'!$DO$15:$DO$34='6511 (일주일)'!F$2)*('6511 (히스토리)'!$DP$15:$DP$34))</f>
        <v>0</v>
      </c>
      <c r="G59" s="32">
        <f t="array" ref="G59">SUMPRODUCT(('6511 (히스토리)'!$DO$15:$DO$34='6511 (일주일)'!G$2)*('6511 (히스토리)'!$DP$15:$DP$34))</f>
        <v>49191.99</v>
      </c>
      <c r="H59" s="32">
        <f t="array" ref="H59">SUMPRODUCT(('6511 (히스토리)'!$DO$15:$DO$34='6511 (일주일)'!H$2)*('6511 (히스토리)'!$DP$15:$DP$34))</f>
        <v>49590.2</v>
      </c>
      <c r="I59" s="32">
        <f t="array" ref="I59">SUMPRODUCT(('6511 (히스토리)'!$DO$15:$DO$34='6511 (일주일)'!I$2)*('6511 (히스토리)'!$DP$15:$DP$34))</f>
        <v>0</v>
      </c>
      <c r="J59" s="32">
        <f t="array" ref="J59">SUMPRODUCT(('6511 (히스토리)'!$DO$15:$DO$34='6511 (일주일)'!J$2)*('6511 (히스토리)'!$DP$15:$DP$34))</f>
        <v>0</v>
      </c>
      <c r="K59" s="32">
        <f t="array" ref="K59">SUMPRODUCT(('6511 (히스토리)'!$DO$15:$DO$34='6511 (일주일)'!K$2)*('6511 (히스토리)'!$DP$15:$DP$34))</f>
        <v>49504.07</v>
      </c>
      <c r="L59" s="32">
        <f t="array" ref="L59">SUMPRODUCT(('6511 (히스토리)'!$DO$15:$DO$34='6511 (일주일)'!L$2)*('6511 (히스토리)'!$DP$15:$DP$34))</f>
        <v>49266.11</v>
      </c>
      <c r="M59" s="32">
        <f t="array" ref="M59">SUMPRODUCT(('6511 (히스토리)'!$DO$15:$DO$34='6511 (일주일)'!M$2)*('6511 (히스토리)'!$DP$15:$DP$34))</f>
        <v>48996.08</v>
      </c>
      <c r="N59" s="32">
        <f t="array" ref="N59">SUMPRODUCT(('6511 (히스토리)'!$DO$15:$DO$34='6511 (일주일)'!N$2)*('6511 (히스토리)'!$DP$15:$DP$34))</f>
        <v>49462.080000000002</v>
      </c>
      <c r="O59" s="32">
        <f t="array" ref="O59">SUMPRODUCT(('6511 (히스토리)'!$DO$15:$DO$34='6511 (일주일)'!O$2)*('6511 (히스토리)'!$DP$15:$DP$34))</f>
        <v>48977.18</v>
      </c>
      <c r="P59" s="32">
        <f t="array" ref="P59">SUMPRODUCT(('6511 (히스토리)'!$DO$15:$DO$34='6511 (일주일)'!P$2)*('6511 (히스토리)'!$DP$15:$DP$34))</f>
        <v>0</v>
      </c>
      <c r="Q59" s="32">
        <f t="array" ref="Q59">SUMPRODUCT(('6511 (히스토리)'!$DO$15:$DO$34='6511 (일주일)'!Q$2)*('6511 (히스토리)'!$DP$15:$DP$34))</f>
        <v>0</v>
      </c>
      <c r="R59" s="32">
        <f t="array" ref="R59">SUMPRODUCT(('6511 (히스토리)'!$DO$15:$DO$34='6511 (일주일)'!R$2)*('6511 (히스토리)'!$DP$15:$DP$34))</f>
        <v>48382.39</v>
      </c>
      <c r="S59" s="33">
        <f t="array" ref="S59">SUMPRODUCT(('6511 (히스토리)'!$DO$15:$DO$34='6511 (일주일)'!S$2)*('6511 (히스토리)'!$DP$15:$DP$34))</f>
        <v>0</v>
      </c>
    </row>
    <row r="60" spans="1:19" ht="15" customHeight="1" x14ac:dyDescent="0.2">
      <c r="A60" s="26">
        <v>58</v>
      </c>
      <c r="B60" s="47" t="s">
        <v>173</v>
      </c>
      <c r="C60" s="48" t="s">
        <v>163</v>
      </c>
      <c r="D60" s="49" t="s">
        <v>164</v>
      </c>
      <c r="E60" s="50" t="s">
        <v>34</v>
      </c>
      <c r="F60" s="31">
        <f t="array" ref="F60">SUMPRODUCT(('6511 (히스토리)'!$DQ$15:$DQ$34='6511 (일주일)'!F$2)*('6511 (히스토리)'!$DR$15:$DR$34))</f>
        <v>0</v>
      </c>
      <c r="G60" s="32">
        <f t="array" ref="G60">SUMPRODUCT(('6511 (히스토리)'!$DQ$15:$DQ$34='6511 (일주일)'!G$2)*('6511 (히스토리)'!$DR$15:$DR$34))</f>
        <v>23709.87</v>
      </c>
      <c r="H60" s="32">
        <f t="array" ref="H60">SUMPRODUCT(('6511 (히스토리)'!$DQ$15:$DQ$34='6511 (일주일)'!H$2)*('6511 (히스토리)'!$DR$15:$DR$34))</f>
        <v>23733.9</v>
      </c>
      <c r="I60" s="32">
        <f t="array" ref="I60">SUMPRODUCT(('6511 (히스토리)'!$DQ$15:$DQ$34='6511 (일주일)'!I$2)*('6511 (히스토리)'!$DR$15:$DR$34))</f>
        <v>0</v>
      </c>
      <c r="J60" s="32">
        <f t="array" ref="J60">SUMPRODUCT(('6511 (히스토리)'!$DQ$15:$DQ$34='6511 (일주일)'!J$2)*('6511 (히스토리)'!$DR$15:$DR$34))</f>
        <v>0</v>
      </c>
      <c r="K60" s="32">
        <f t="array" ref="K60">SUMPRODUCT(('6511 (히스토리)'!$DQ$15:$DQ$34='6511 (일주일)'!K$2)*('6511 (히스토리)'!$DR$15:$DR$34))</f>
        <v>23671.35</v>
      </c>
      <c r="L60" s="32">
        <f t="array" ref="L60">SUMPRODUCT(('6511 (히스토리)'!$DQ$15:$DQ$34='6511 (일주일)'!L$2)*('6511 (히스토리)'!$DR$15:$DR$34))</f>
        <v>23480.02</v>
      </c>
      <c r="M60" s="32">
        <f t="array" ref="M60">SUMPRODUCT(('6511 (히스토리)'!$DQ$15:$DQ$34='6511 (일주일)'!M$2)*('6511 (히스토리)'!$DR$15:$DR$34))</f>
        <v>23584.27</v>
      </c>
      <c r="N60" s="32">
        <f t="array" ref="N60">SUMPRODUCT(('6511 (히스토리)'!$DQ$15:$DQ$34='6511 (일주일)'!N$2)*('6511 (히스토리)'!$DR$15:$DR$34))</f>
        <v>23547.17</v>
      </c>
      <c r="O60" s="32">
        <f t="array" ref="O60">SUMPRODUCT(('6511 (히스토리)'!$DQ$15:$DQ$34='6511 (일주일)'!O$2)*('6511 (히스토리)'!$DR$15:$DR$34))</f>
        <v>23395.82</v>
      </c>
      <c r="P60" s="32">
        <f t="array" ref="P60">SUMPRODUCT(('6511 (히스토리)'!$DQ$15:$DQ$34='6511 (일주일)'!P$2)*('6511 (히스토리)'!$DR$15:$DR$34))</f>
        <v>0</v>
      </c>
      <c r="Q60" s="32">
        <f t="array" ref="Q60">SUMPRODUCT(('6511 (히스토리)'!$DQ$15:$DQ$34='6511 (일주일)'!Q$2)*('6511 (히스토리)'!$DR$15:$DR$34))</f>
        <v>0</v>
      </c>
      <c r="R60" s="32">
        <f t="array" ref="R60">SUMPRODUCT(('6511 (히스토리)'!$DQ$15:$DQ$34='6511 (일주일)'!R$2)*('6511 (히스토리)'!$DR$15:$DR$34))</f>
        <v>23235.63</v>
      </c>
      <c r="S60" s="33">
        <f t="array" ref="S60">SUMPRODUCT(('6511 (히스토리)'!$DQ$15:$DQ$34='6511 (일주일)'!S$2)*('6511 (히스토리)'!$DR$15:$DR$34))</f>
        <v>0</v>
      </c>
    </row>
    <row r="61" spans="1:19" ht="15" customHeight="1" x14ac:dyDescent="0.2">
      <c r="A61" s="26">
        <v>59</v>
      </c>
      <c r="B61" s="47" t="s">
        <v>173</v>
      </c>
      <c r="C61" s="48" t="s">
        <v>165</v>
      </c>
      <c r="D61" s="49" t="s">
        <v>56</v>
      </c>
      <c r="E61" s="50" t="s">
        <v>57</v>
      </c>
      <c r="F61" s="31">
        <f t="array" ref="F61">SUMPRODUCT(('6511 (히스토리)'!$DS$15:$DS$34='6511 (일주일)'!F$2)*('6511 (히스토리)'!$DT$15:$DT$34))</f>
        <v>0</v>
      </c>
      <c r="G61" s="32">
        <f t="array" ref="G61">SUMPRODUCT(('6511 (히스토리)'!$DS$15:$DS$34='6511 (일주일)'!G$2)*('6511 (히스토리)'!$DT$15:$DT$34))</f>
        <v>6963.74</v>
      </c>
      <c r="H61" s="32">
        <f t="array" ref="H61">SUMPRODUCT(('6511 (히스토리)'!$DS$15:$DS$34='6511 (일주일)'!H$2)*('6511 (히스토리)'!$DT$15:$DT$34))</f>
        <v>6977.27</v>
      </c>
      <c r="I61" s="32">
        <f t="array" ref="I61">SUMPRODUCT(('6511 (히스토리)'!$DS$15:$DS$34='6511 (일주일)'!I$2)*('6511 (히스토리)'!$DT$15:$DT$34))</f>
        <v>0</v>
      </c>
      <c r="J61" s="32">
        <f t="array" ref="J61">SUMPRODUCT(('6511 (히스토리)'!$DS$15:$DS$34='6511 (일주일)'!J$2)*('6511 (히스토리)'!$DT$15:$DT$34))</f>
        <v>0</v>
      </c>
      <c r="K61" s="32">
        <f t="array" ref="K61">SUMPRODUCT(('6511 (히스토리)'!$DS$15:$DS$34='6511 (일주일)'!K$2)*('6511 (히스토리)'!$DT$15:$DT$34))</f>
        <v>6966.28</v>
      </c>
      <c r="L61" s="32">
        <f t="array" ref="L61">SUMPRODUCT(('6511 (히스토리)'!$DS$15:$DS$34='6511 (일주일)'!L$2)*('6511 (히스토리)'!$DT$15:$DT$34))</f>
        <v>6921.46</v>
      </c>
      <c r="M61" s="32">
        <f t="array" ref="M61">SUMPRODUCT(('6511 (히스토리)'!$DS$15:$DS$34='6511 (일주일)'!M$2)*('6511 (히스토리)'!$DT$15:$DT$34))</f>
        <v>6920.93</v>
      </c>
      <c r="N61" s="32">
        <f t="array" ref="N61">SUMPRODUCT(('6511 (히스토리)'!$DS$15:$DS$34='6511 (일주일)'!N$2)*('6511 (히스토리)'!$DT$15:$DT$34))</f>
        <v>6944.82</v>
      </c>
      <c r="O61" s="32">
        <f t="array" ref="O61">SUMPRODUCT(('6511 (히스토리)'!$DS$15:$DS$34='6511 (일주일)'!O$2)*('6511 (히스토리)'!$DT$15:$DT$34))</f>
        <v>6902.05</v>
      </c>
      <c r="P61" s="32">
        <f t="array" ref="P61">SUMPRODUCT(('6511 (히스토리)'!$DS$15:$DS$34='6511 (일주일)'!P$2)*('6511 (히스토리)'!$DT$15:$DT$34))</f>
        <v>0</v>
      </c>
      <c r="Q61" s="32">
        <f t="array" ref="Q61">SUMPRODUCT(('6511 (히스토리)'!$DS$15:$DS$34='6511 (일주일)'!Q$2)*('6511 (히스토리)'!$DT$15:$DT$34))</f>
        <v>0</v>
      </c>
      <c r="R61" s="32">
        <f t="array" ref="R61">SUMPRODUCT(('6511 (히스토리)'!$DS$15:$DS$34='6511 (일주일)'!R$2)*('6511 (히스토리)'!$DT$15:$DT$34))</f>
        <v>6858.47</v>
      </c>
      <c r="S61" s="33">
        <f t="array" ref="S61">SUMPRODUCT(('6511 (히스토리)'!$DS$15:$DS$34='6511 (일주일)'!S$2)*('6511 (히스토리)'!$DT$15:$DT$34))</f>
        <v>0</v>
      </c>
    </row>
    <row r="62" spans="1:19" ht="15" customHeight="1" x14ac:dyDescent="0.2">
      <c r="A62" s="26">
        <v>60</v>
      </c>
      <c r="B62" s="47" t="s">
        <v>173</v>
      </c>
      <c r="C62" s="48" t="s">
        <v>105</v>
      </c>
      <c r="D62" s="49" t="s">
        <v>166</v>
      </c>
      <c r="E62" s="50" t="s">
        <v>32</v>
      </c>
      <c r="F62" s="31">
        <f t="array" ref="F62">SUMPRODUCT(('6511 (히스토리)'!$DU$15:$DU$34='6511 (일주일)'!F$2)*('6511 (히스토리)'!$DV$15:$DV$34))</f>
        <v>0</v>
      </c>
      <c r="G62" s="32">
        <f t="array" ref="G62">SUMPRODUCT(('6511 (히스토리)'!$DU$15:$DU$34='6511 (일주일)'!G$2)*('6511 (히스토리)'!$DV$15:$DV$34))</f>
        <v>66337.42</v>
      </c>
      <c r="H62" s="32">
        <f t="array" ref="H62">SUMPRODUCT(('6511 (히스토리)'!$DU$15:$DU$34='6511 (일주일)'!H$2)*('6511 (히스토리)'!$DV$15:$DV$34))</f>
        <v>66745.61</v>
      </c>
      <c r="I62" s="32">
        <f t="array" ref="I62">SUMPRODUCT(('6511 (히스토리)'!$DU$15:$DU$34='6511 (일주일)'!I$2)*('6511 (히스토리)'!$DV$15:$DV$34))</f>
        <v>0</v>
      </c>
      <c r="J62" s="32">
        <f t="array" ref="J62">SUMPRODUCT(('6511 (히스토리)'!$DU$15:$DU$34='6511 (일주일)'!J$2)*('6511 (히스토리)'!$DV$15:$DV$34))</f>
        <v>0</v>
      </c>
      <c r="K62" s="32">
        <f t="array" ref="K62">SUMPRODUCT(('6511 (히스토리)'!$DU$15:$DU$34='6511 (일주일)'!K$2)*('6511 (히스토리)'!$DV$15:$DV$34))</f>
        <v>66062.62</v>
      </c>
      <c r="L62" s="32">
        <f t="array" ref="L62">SUMPRODUCT(('6511 (히스토리)'!$DU$15:$DU$34='6511 (일주일)'!L$2)*('6511 (히스토리)'!$DV$15:$DV$34))</f>
        <v>65521.01</v>
      </c>
      <c r="M62" s="32">
        <f t="array" ref="M62">SUMPRODUCT(('6511 (히스토리)'!$DU$15:$DU$34='6511 (일주일)'!M$2)*('6511 (히스토리)'!$DV$15:$DV$34))</f>
        <v>64871.7</v>
      </c>
      <c r="N62" s="32">
        <f t="array" ref="N62">SUMPRODUCT(('6511 (히스토리)'!$DU$15:$DU$34='6511 (일주일)'!N$2)*('6511 (히스토리)'!$DV$15:$DV$34))</f>
        <v>65022.239999999998</v>
      </c>
      <c r="O62" s="32">
        <f t="array" ref="O62">SUMPRODUCT(('6511 (히스토리)'!$DU$15:$DU$34='6511 (일주일)'!O$2)*('6511 (히스토리)'!$DV$15:$DV$34))</f>
        <v>65014.37</v>
      </c>
      <c r="P62" s="32">
        <f t="array" ref="P62">SUMPRODUCT(('6511 (히스토리)'!$DU$15:$DU$34='6511 (일주일)'!P$2)*('6511 (히스토리)'!$DV$15:$DV$34))</f>
        <v>0</v>
      </c>
      <c r="Q62" s="32">
        <f t="array" ref="Q62">SUMPRODUCT(('6511 (히스토리)'!$DU$15:$DU$34='6511 (일주일)'!Q$2)*('6511 (히스토리)'!$DV$15:$DV$34))</f>
        <v>0</v>
      </c>
      <c r="R62" s="32">
        <f t="array" ref="R62">SUMPRODUCT(('6511 (히스토리)'!$DU$15:$DU$34='6511 (일주일)'!R$2)*('6511 (히스토리)'!$DV$15:$DV$34))</f>
        <v>64141.36</v>
      </c>
      <c r="S62" s="33">
        <f t="array" ref="S62">SUMPRODUCT(('6511 (히스토리)'!$DU$15:$DU$34='6511 (일주일)'!S$2)*('6511 (히스토리)'!$DV$15:$DV$34))</f>
        <v>0</v>
      </c>
    </row>
    <row r="63" spans="1:19" ht="15" customHeight="1" x14ac:dyDescent="0.2">
      <c r="A63" s="18">
        <v>61</v>
      </c>
      <c r="B63" s="47" t="s">
        <v>173</v>
      </c>
      <c r="C63" s="48" t="s">
        <v>106</v>
      </c>
      <c r="D63" s="49" t="s">
        <v>167</v>
      </c>
      <c r="E63" s="50" t="s">
        <v>61</v>
      </c>
      <c r="F63" s="31">
        <f t="array" ref="F63">SUMPRODUCT(('6511 (히스토리)'!$DW$15:$DW$34='6511 (일주일)'!F$2)*('6511 (히스토리)'!$DX$15:$DX$34))</f>
        <v>0</v>
      </c>
      <c r="G63" s="32">
        <f t="array" ref="G63">SUMPRODUCT(('6511 (히스토리)'!$DW$15:$DW$34='6511 (일주일)'!G$2)*('6511 (히스토리)'!$DX$15:$DX$34))</f>
        <v>5808.58</v>
      </c>
      <c r="H63" s="32">
        <f t="array" ref="H63">SUMPRODUCT(('6511 (히스토리)'!$DW$15:$DW$34='6511 (일주일)'!H$2)*('6511 (히스토리)'!$DX$15:$DX$34))</f>
        <v>0</v>
      </c>
      <c r="I63" s="32">
        <f t="array" ref="I63">SUMPRODUCT(('6511 (히스토리)'!$DW$15:$DW$34='6511 (일주일)'!I$2)*('6511 (히스토리)'!$DX$15:$DX$34))</f>
        <v>0</v>
      </c>
      <c r="J63" s="32">
        <f t="array" ref="J63">SUMPRODUCT(('6511 (히스토리)'!$DW$15:$DW$34='6511 (일주일)'!J$2)*('6511 (히스토리)'!$DX$15:$DX$34))</f>
        <v>0</v>
      </c>
      <c r="K63" s="32">
        <f t="array" ref="K63">SUMPRODUCT(('6511 (히스토리)'!$DW$15:$DW$34='6511 (일주일)'!K$2)*('6511 (히스토리)'!$DX$15:$DX$34))</f>
        <v>6009.58</v>
      </c>
      <c r="L63" s="32">
        <f t="array" ref="L63">SUMPRODUCT(('6511 (히스토리)'!$DW$15:$DW$34='6511 (일주일)'!L$2)*('6511 (히스토리)'!$DX$15:$DX$34))</f>
        <v>5097.3900000000003</v>
      </c>
      <c r="M63" s="32">
        <f t="array" ref="M63">SUMPRODUCT(('6511 (히스토리)'!$DW$15:$DW$34='6511 (일주일)'!M$2)*('6511 (히스토리)'!$DX$15:$DX$34))</f>
        <v>4458.84</v>
      </c>
      <c r="N63" s="32">
        <f t="array" ref="N63">SUMPRODUCT(('6511 (히스토리)'!$DW$15:$DW$34='6511 (일주일)'!N$2)*('6511 (히스토리)'!$DX$15:$DX$34))</f>
        <v>3896.77</v>
      </c>
      <c r="O63" s="32">
        <f t="array" ref="O63">SUMPRODUCT(('6511 (히스토리)'!$DW$15:$DW$34='6511 (일주일)'!O$2)*('6511 (히스토리)'!$DX$15:$DX$34))</f>
        <v>2597.6799999999998</v>
      </c>
      <c r="P63" s="32">
        <f t="array" ref="P63">SUMPRODUCT(('6511 (히스토리)'!$DW$15:$DW$34='6511 (일주일)'!P$2)*('6511 (히스토리)'!$DX$15:$DX$34))</f>
        <v>0</v>
      </c>
      <c r="Q63" s="32">
        <f t="array" ref="Q63">SUMPRODUCT(('6511 (히스토리)'!$DW$15:$DW$34='6511 (일주일)'!Q$2)*('6511 (히스토리)'!$DX$15:$DX$34))</f>
        <v>0</v>
      </c>
      <c r="R63" s="32">
        <f t="array" ref="R63">SUMPRODUCT(('6511 (히스토리)'!$DW$15:$DW$34='6511 (일주일)'!R$2)*('6511 (히스토리)'!$DX$15:$DX$34))</f>
        <v>2230.81</v>
      </c>
      <c r="S63" s="33">
        <f t="array" ref="S63">SUMPRODUCT(('6511 (히스토리)'!$DW$15:$DW$34='6511 (일주일)'!S$2)*('6511 (히스토리)'!$DX$15:$DX$34))</f>
        <v>0</v>
      </c>
    </row>
    <row r="64" spans="1:19" ht="15" customHeight="1" x14ac:dyDescent="0.2">
      <c r="A64" s="26">
        <v>62</v>
      </c>
      <c r="B64" s="47" t="s">
        <v>173</v>
      </c>
      <c r="C64" s="48" t="s">
        <v>107</v>
      </c>
      <c r="D64" s="49" t="s">
        <v>168</v>
      </c>
      <c r="E64" s="50" t="s">
        <v>11</v>
      </c>
      <c r="F64" s="51">
        <f t="array" ref="F64">SUMPRODUCT(('6511 (히스토리)'!$DY$15:$DY$34='6511 (일주일)'!F$2)*('6511 (히스토리)'!$DZ$15:$DZ$34))</f>
        <v>0</v>
      </c>
      <c r="G64" s="52">
        <f t="array" ref="G64">SUMPRODUCT(('6511 (히스토리)'!$DY$15:$DY$34='6511 (일주일)'!G$2)*('6511 (히스토리)'!$DZ$15:$DZ$34))</f>
        <v>2236.5100000000002</v>
      </c>
      <c r="H64" s="52">
        <f t="array" ref="H64">SUMPRODUCT(('6511 (히스토리)'!$DY$15:$DY$34='6511 (일주일)'!H$2)*('6511 (히스토리)'!$DZ$15:$DZ$34))</f>
        <v>0</v>
      </c>
      <c r="I64" s="52">
        <f t="array" ref="I64">SUMPRODUCT(('6511 (히스토리)'!$DY$15:$DY$34='6511 (일주일)'!I$2)*('6511 (히스토리)'!$DZ$15:$DZ$34))</f>
        <v>0</v>
      </c>
      <c r="J64" s="52">
        <f t="array" ref="J64">SUMPRODUCT(('6511 (히스토리)'!$DY$15:$DY$34='6511 (일주일)'!J$2)*('6511 (히스토리)'!$DZ$15:$DZ$34))</f>
        <v>0</v>
      </c>
      <c r="K64" s="52">
        <f t="array" ref="K64">SUMPRODUCT(('6511 (히스토리)'!$DY$15:$DY$34='6511 (일주일)'!K$2)*('6511 (히스토리)'!$DZ$15:$DZ$34))</f>
        <v>2213.35</v>
      </c>
      <c r="L64" s="52">
        <f t="array" ref="L64">SUMPRODUCT(('6511 (히스토리)'!$DY$15:$DY$34='6511 (일주일)'!L$2)*('6511 (히스토리)'!$DZ$15:$DZ$34))</f>
        <v>2187.0700000000002</v>
      </c>
      <c r="M64" s="52">
        <f t="array" ref="M64">SUMPRODUCT(('6511 (히스토리)'!$DY$15:$DY$34='6511 (일주일)'!M$2)*('6511 (히스토리)'!$DZ$15:$DZ$34))</f>
        <v>2171.87</v>
      </c>
      <c r="N64" s="52">
        <f t="array" ref="N64">SUMPRODUCT(('6511 (히스토리)'!$DY$15:$DY$34='6511 (일주일)'!N$2)*('6511 (히스토리)'!$DZ$15:$DZ$34))</f>
        <v>2175.89</v>
      </c>
      <c r="O64" s="52">
        <f t="array" ref="O64">SUMPRODUCT(('6511 (히스토리)'!$DY$15:$DY$34='6511 (일주일)'!O$2)*('6511 (히스토리)'!$DZ$15:$DZ$34))</f>
        <v>2134.2600000000002</v>
      </c>
      <c r="P64" s="52">
        <f t="array" ref="P64">SUMPRODUCT(('6511 (히스토리)'!$DY$15:$DY$34='6511 (일주일)'!P$2)*('6511 (히스토리)'!$DZ$15:$DZ$34))</f>
        <v>0</v>
      </c>
      <c r="Q64" s="52">
        <f t="array" ref="Q64">SUMPRODUCT(('6511 (히스토리)'!$DY$15:$DY$34='6511 (일주일)'!Q$2)*('6511 (히스토리)'!$DZ$15:$DZ$34))</f>
        <v>0</v>
      </c>
      <c r="R64" s="52">
        <f t="array" ref="R64">SUMPRODUCT(('6511 (히스토리)'!$DY$15:$DY$34='6511 (일주일)'!R$2)*('6511 (히스토리)'!$DZ$15:$DZ$34))</f>
        <v>2069.02</v>
      </c>
      <c r="S64" s="53">
        <f t="array" ref="S64">SUMPRODUCT(('6511 (히스토리)'!$DY$15:$DY$34='6511 (일주일)'!S$2)*('6511 (히스토리)'!$DZ$15:$DZ$34))</f>
        <v>0</v>
      </c>
    </row>
  </sheetData>
  <mergeCells count="1">
    <mergeCell ref="A1:E1"/>
  </mergeCells>
  <phoneticPr fontId="2" type="noConversion"/>
  <conditionalFormatting sqref="F3:S64">
    <cfRule type="cellIs" dxfId="8" priority="1" stopIfTrue="1" operator="equal">
      <formula>0</formula>
    </cfRule>
  </conditionalFormatting>
  <conditionalFormatting sqref="F1:S2">
    <cfRule type="expression" dxfId="7" priority="2">
      <formula>OR(F$1="토",F$1="일")</formula>
    </cfRule>
  </conditionalFormatting>
  <conditionalFormatting sqref="F2:S2">
    <cfRule type="expression" dxfId="6" priority="3">
      <formula>OR(F$1&lt;&gt;"토",F$1&lt;&gt;"일")</formula>
    </cfRule>
  </conditionalFormatting>
  <conditionalFormatting sqref="F1:S1">
    <cfRule type="expression" dxfId="5" priority="18">
      <formula>OR(F$1&lt;&gt;"토",F$1&lt;&gt;"일")</formula>
    </cfRule>
  </conditionalFormatting>
  <pageMargins left="0.75" right="0.75" top="1" bottom="1" header="0.5" footer="0.5"/>
  <pageSetup paperSize="9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indexed="42"/>
  </sheetPr>
  <dimension ref="A1:DZ45"/>
  <sheetViews>
    <sheetView tabSelected="1" topLeftCell="A12" workbookViewId="0">
      <selection activeCell="F22" sqref="F22"/>
    </sheetView>
  </sheetViews>
  <sheetFormatPr defaultRowHeight="15" customHeight="1" x14ac:dyDescent="0.2"/>
  <cols>
    <col min="1" max="1" width="32.375" style="74" customWidth="1"/>
    <col min="2" max="6" width="9" style="74"/>
    <col min="7" max="7" width="10.375" style="74" customWidth="1"/>
    <col min="8" max="8" width="9.5" style="74" bestFit="1" customWidth="1"/>
    <col min="9" max="50" width="9" style="74"/>
    <col min="51" max="51" width="11.375" style="74" bestFit="1" customWidth="1"/>
    <col min="52" max="16384" width="9" style="74"/>
  </cols>
  <sheetData>
    <row r="1" spans="1:130" ht="15" customHeight="1" x14ac:dyDescent="0.2">
      <c r="A1" s="121" t="s">
        <v>232</v>
      </c>
      <c r="F1" s="74" t="s">
        <v>278</v>
      </c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  <c r="BF1" s="54"/>
      <c r="BG1" s="54"/>
      <c r="BH1" s="54"/>
      <c r="BI1" s="54"/>
      <c r="BJ1" s="54"/>
      <c r="BK1" s="54"/>
      <c r="BL1" s="54"/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4"/>
      <c r="CM1" s="54"/>
      <c r="CN1" s="54"/>
      <c r="CO1" s="54"/>
      <c r="CP1" s="54"/>
      <c r="CQ1" s="54"/>
      <c r="CR1" s="54"/>
      <c r="CS1" s="54"/>
      <c r="CT1" s="54"/>
      <c r="CU1" s="54"/>
      <c r="CV1" s="54"/>
      <c r="CW1" s="54"/>
      <c r="CX1" s="54"/>
      <c r="CY1" s="54"/>
      <c r="CZ1" s="54"/>
      <c r="DA1" s="54"/>
      <c r="DB1" s="54"/>
      <c r="DC1" s="54"/>
      <c r="DD1" s="54"/>
      <c r="DE1" s="54"/>
      <c r="DF1" s="54"/>
      <c r="DG1" s="54"/>
      <c r="DH1" s="54"/>
      <c r="DI1" s="54"/>
      <c r="DJ1" s="54"/>
      <c r="DK1" s="54"/>
      <c r="DL1" s="54"/>
      <c r="DM1" s="54"/>
      <c r="DN1" s="54"/>
      <c r="DO1" s="54"/>
      <c r="DP1" s="54"/>
      <c r="DQ1" s="54"/>
      <c r="DR1" s="54"/>
      <c r="DS1" s="54"/>
      <c r="DT1" s="54"/>
      <c r="DU1" s="54"/>
      <c r="DV1" s="54"/>
      <c r="DW1" s="54"/>
      <c r="DX1" s="54"/>
      <c r="DY1" s="54"/>
      <c r="DZ1" s="54"/>
    </row>
    <row r="2" spans="1:130" ht="15" customHeight="1" x14ac:dyDescent="0.2">
      <c r="A2" s="75" t="s">
        <v>180</v>
      </c>
      <c r="B2" s="75" t="s">
        <v>181</v>
      </c>
      <c r="C2" s="75" t="s">
        <v>182</v>
      </c>
      <c r="D2" s="75" t="s">
        <v>183</v>
      </c>
      <c r="E2" s="75" t="s">
        <v>184</v>
      </c>
      <c r="F2" s="75" t="s">
        <v>270</v>
      </c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  <c r="BF2" s="54"/>
      <c r="BG2" s="54"/>
      <c r="BH2" s="54"/>
      <c r="BI2" s="54"/>
      <c r="BJ2" s="54"/>
      <c r="BK2" s="54"/>
      <c r="BL2" s="54"/>
      <c r="BM2" s="54"/>
      <c r="BN2" s="54"/>
      <c r="BO2" s="54"/>
      <c r="BP2" s="54"/>
      <c r="BQ2" s="54"/>
      <c r="BR2" s="54"/>
      <c r="BS2" s="54"/>
      <c r="BT2" s="54"/>
      <c r="BU2" s="54"/>
      <c r="BV2" s="54"/>
      <c r="BW2" s="54"/>
      <c r="BX2" s="54"/>
      <c r="BY2" s="54"/>
      <c r="BZ2" s="54"/>
      <c r="CA2" s="54"/>
      <c r="CB2" s="54"/>
      <c r="CC2" s="54"/>
      <c r="CD2" s="54"/>
      <c r="CE2" s="54"/>
      <c r="CF2" s="54"/>
      <c r="CG2" s="54"/>
      <c r="CH2" s="54"/>
      <c r="CI2" s="54"/>
      <c r="CJ2" s="54"/>
      <c r="CK2" s="54"/>
      <c r="CL2" s="54"/>
      <c r="CM2" s="54"/>
      <c r="CN2" s="54"/>
      <c r="CO2" s="54"/>
      <c r="CP2" s="54"/>
      <c r="CQ2" s="54"/>
      <c r="CR2" s="54"/>
      <c r="CS2" s="54"/>
      <c r="CT2" s="54"/>
      <c r="CU2" s="54"/>
      <c r="CV2" s="54"/>
      <c r="CW2" s="54"/>
      <c r="CX2" s="54"/>
      <c r="CY2" s="54"/>
      <c r="CZ2" s="54"/>
      <c r="DA2" s="54"/>
      <c r="DB2" s="54"/>
      <c r="DC2" s="54"/>
      <c r="DD2" s="54"/>
      <c r="DE2" s="54"/>
      <c r="DF2" s="54"/>
      <c r="DG2" s="54"/>
      <c r="DH2" s="54"/>
      <c r="DI2" s="54"/>
      <c r="DJ2" s="54"/>
      <c r="DK2" s="54"/>
      <c r="DL2" s="54"/>
      <c r="DM2" s="54"/>
      <c r="DN2" s="54"/>
      <c r="DO2" s="54"/>
      <c r="DP2" s="54"/>
      <c r="DQ2" s="54"/>
      <c r="DR2" s="54"/>
      <c r="DS2" s="54"/>
      <c r="DT2" s="54"/>
      <c r="DU2" s="54"/>
      <c r="DV2" s="54"/>
      <c r="DW2" s="54"/>
      <c r="DX2" s="54"/>
      <c r="DY2" s="54"/>
      <c r="DZ2" s="54"/>
    </row>
    <row r="3" spans="1:130" ht="15" customHeight="1" x14ac:dyDescent="0.2">
      <c r="A3" s="100">
        <f ca="1">TODAY()-60</f>
        <v>45976</v>
      </c>
      <c r="B3" s="100">
        <f ca="1">TODAY()</f>
        <v>46036</v>
      </c>
      <c r="C3" s="76">
        <v>30</v>
      </c>
      <c r="D3" s="76" t="s">
        <v>271</v>
      </c>
      <c r="E3" s="76" t="s">
        <v>185</v>
      </c>
      <c r="F3" s="76">
        <v>12</v>
      </c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4"/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4"/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4"/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4"/>
      <c r="DK3" s="54"/>
      <c r="DL3" s="54"/>
      <c r="DM3" s="54"/>
      <c r="DN3" s="54"/>
      <c r="DO3" s="54"/>
      <c r="DP3" s="54"/>
      <c r="DQ3" s="54"/>
      <c r="DR3" s="54"/>
      <c r="DS3" s="54"/>
      <c r="DT3" s="54"/>
      <c r="DU3" s="54"/>
      <c r="DV3" s="54"/>
      <c r="DW3" s="54"/>
      <c r="DX3" s="54"/>
      <c r="DY3" s="54"/>
      <c r="DZ3" s="54"/>
    </row>
    <row r="4" spans="1:130" ht="15" customHeight="1" x14ac:dyDescent="0.2">
      <c r="G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  <c r="AA4" s="54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4"/>
      <c r="BE4" s="54"/>
      <c r="BF4" s="54"/>
      <c r="BG4" s="54"/>
      <c r="BH4" s="54"/>
      <c r="BI4" s="54"/>
      <c r="BJ4" s="54"/>
      <c r="BK4" s="54"/>
      <c r="BL4" s="54"/>
      <c r="BM4" s="54"/>
      <c r="BN4" s="54"/>
      <c r="BO4" s="54"/>
      <c r="BP4" s="54"/>
      <c r="BQ4" s="54"/>
      <c r="BR4" s="54"/>
      <c r="BS4" s="54"/>
      <c r="BT4" s="54"/>
      <c r="BU4" s="54"/>
      <c r="BV4" s="54"/>
      <c r="BW4" s="54"/>
      <c r="BX4" s="54"/>
      <c r="BY4" s="54"/>
      <c r="BZ4" s="54"/>
      <c r="CA4" s="54"/>
      <c r="CB4" s="54"/>
      <c r="CC4" s="54"/>
      <c r="CD4" s="54"/>
      <c r="CE4" s="54"/>
      <c r="CF4" s="54"/>
      <c r="CG4" s="54"/>
      <c r="CH4" s="54"/>
      <c r="CI4" s="54"/>
      <c r="CJ4" s="54"/>
      <c r="CK4" s="54"/>
      <c r="CL4" s="54"/>
      <c r="CM4" s="54"/>
      <c r="CN4" s="54"/>
      <c r="CO4" s="54"/>
      <c r="CP4" s="54"/>
      <c r="CQ4" s="54"/>
      <c r="CR4" s="54"/>
      <c r="CS4" s="54"/>
      <c r="CT4" s="54"/>
      <c r="CU4" s="54"/>
      <c r="CV4" s="54"/>
      <c r="CW4" s="54"/>
      <c r="CX4" s="54"/>
      <c r="CY4" s="54"/>
      <c r="CZ4" s="54"/>
      <c r="DA4" s="54"/>
      <c r="DB4" s="54"/>
      <c r="DC4" s="54"/>
      <c r="DD4" s="54"/>
      <c r="DE4" s="54"/>
      <c r="DF4" s="54"/>
      <c r="DG4" s="54"/>
      <c r="DH4" s="54"/>
      <c r="DI4" s="54"/>
      <c r="DJ4" s="54"/>
      <c r="DK4" s="54"/>
      <c r="DL4" s="54"/>
      <c r="DM4" s="54"/>
      <c r="DN4" s="54"/>
      <c r="DO4" s="54"/>
      <c r="DP4" s="54"/>
      <c r="DQ4" s="54"/>
      <c r="DR4" s="54"/>
      <c r="DS4" s="54"/>
      <c r="DT4" s="54"/>
      <c r="DU4" s="54"/>
      <c r="DV4" s="54"/>
      <c r="DW4" s="54"/>
      <c r="DX4" s="54"/>
      <c r="DY4" s="54"/>
      <c r="DZ4" s="54"/>
    </row>
    <row r="5" spans="1:130" ht="15" customHeight="1" x14ac:dyDescent="0.2">
      <c r="G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4"/>
      <c r="BE5" s="54"/>
      <c r="BF5" s="54"/>
      <c r="BG5" s="54"/>
      <c r="BH5" s="54"/>
      <c r="BI5" s="54"/>
      <c r="BJ5" s="54"/>
      <c r="BK5" s="54"/>
      <c r="BL5" s="54"/>
      <c r="BM5" s="54"/>
      <c r="BN5" s="54"/>
      <c r="BO5" s="54"/>
      <c r="BP5" s="54"/>
      <c r="BQ5" s="54"/>
      <c r="BR5" s="54"/>
      <c r="BS5" s="54"/>
      <c r="BT5" s="54"/>
      <c r="BU5" s="54"/>
      <c r="BV5" s="54"/>
      <c r="BW5" s="54"/>
      <c r="BX5" s="54"/>
      <c r="BY5" s="54"/>
      <c r="BZ5" s="54"/>
      <c r="CA5" s="54"/>
      <c r="CB5" s="54"/>
      <c r="CC5" s="54"/>
      <c r="CD5" s="54"/>
      <c r="CE5" s="54"/>
      <c r="CF5" s="54"/>
      <c r="CG5" s="54"/>
      <c r="CH5" s="54"/>
      <c r="CI5" s="54"/>
      <c r="CJ5" s="54"/>
      <c r="CK5" s="54"/>
      <c r="CL5" s="54"/>
      <c r="CM5" s="54"/>
      <c r="CN5" s="54"/>
      <c r="CO5" s="54"/>
      <c r="CP5" s="54"/>
      <c r="CQ5" s="54"/>
      <c r="CR5" s="54"/>
      <c r="CS5" s="54"/>
      <c r="CT5" s="54"/>
      <c r="CU5" s="54"/>
      <c r="CV5" s="54"/>
      <c r="CW5" s="54"/>
      <c r="CX5" s="54"/>
      <c r="CY5" s="54"/>
      <c r="CZ5" s="54"/>
      <c r="DA5" s="54"/>
      <c r="DB5" s="54"/>
      <c r="DC5" s="54"/>
      <c r="DD5" s="54"/>
      <c r="DE5" s="54"/>
      <c r="DF5" s="54"/>
      <c r="DG5" s="54"/>
      <c r="DH5" s="54"/>
      <c r="DI5" s="54"/>
      <c r="DJ5" s="54"/>
      <c r="DK5" s="54"/>
      <c r="DL5" s="54"/>
      <c r="DM5" s="54"/>
      <c r="DN5" s="54"/>
      <c r="DO5" s="54"/>
      <c r="DP5" s="54"/>
      <c r="DQ5" s="54"/>
      <c r="DR5" s="54"/>
      <c r="DS5" s="54"/>
      <c r="DT5" s="54"/>
      <c r="DU5" s="54"/>
      <c r="DV5" s="54"/>
      <c r="DW5" s="54"/>
      <c r="DX5" s="54"/>
      <c r="DY5" s="54"/>
      <c r="DZ5" s="54"/>
    </row>
    <row r="6" spans="1:130" ht="15" customHeight="1" x14ac:dyDescent="0.2">
      <c r="G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  <c r="DX6" s="54"/>
      <c r="DY6" s="54"/>
      <c r="DZ6" s="54"/>
    </row>
    <row r="7" spans="1:130" ht="15" customHeight="1" x14ac:dyDescent="0.2">
      <c r="G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  <c r="AA7" s="54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4"/>
      <c r="BE7" s="54"/>
      <c r="BF7" s="54"/>
      <c r="BG7" s="54"/>
      <c r="BH7" s="54"/>
      <c r="BI7" s="54"/>
      <c r="BJ7" s="54"/>
      <c r="BK7" s="54"/>
      <c r="BL7" s="54"/>
      <c r="BM7" s="54"/>
      <c r="BN7" s="54"/>
      <c r="BO7" s="54"/>
      <c r="BP7" s="54"/>
      <c r="BQ7" s="54"/>
      <c r="BR7" s="54"/>
      <c r="BS7" s="54"/>
      <c r="BT7" s="54"/>
      <c r="BU7" s="54"/>
      <c r="BV7" s="54"/>
      <c r="BW7" s="54"/>
      <c r="BX7" s="54"/>
      <c r="BY7" s="54"/>
      <c r="BZ7" s="54"/>
      <c r="CA7" s="54"/>
      <c r="CB7" s="54"/>
      <c r="CC7" s="54"/>
      <c r="CD7" s="54"/>
      <c r="CE7" s="54"/>
      <c r="CF7" s="54"/>
      <c r="CG7" s="54"/>
      <c r="CH7" s="54"/>
      <c r="CI7" s="54"/>
      <c r="CJ7" s="54"/>
      <c r="CK7" s="54"/>
      <c r="CL7" s="54"/>
      <c r="CM7" s="54"/>
      <c r="CN7" s="54"/>
      <c r="CO7" s="54"/>
      <c r="CP7" s="54"/>
      <c r="CQ7" s="54"/>
      <c r="CR7" s="54"/>
      <c r="CS7" s="54"/>
      <c r="CT7" s="54"/>
      <c r="CU7" s="54"/>
      <c r="CV7" s="54"/>
      <c r="CW7" s="54"/>
      <c r="CX7" s="54"/>
      <c r="CY7" s="54"/>
      <c r="CZ7" s="54"/>
      <c r="DA7" s="54"/>
      <c r="DB7" s="54"/>
      <c r="DC7" s="54"/>
      <c r="DD7" s="54"/>
      <c r="DE7" s="54"/>
      <c r="DF7" s="54"/>
      <c r="DG7" s="54"/>
      <c r="DH7" s="54"/>
      <c r="DI7" s="54"/>
      <c r="DJ7" s="54"/>
      <c r="DK7" s="54"/>
      <c r="DL7" s="54"/>
      <c r="DM7" s="54"/>
      <c r="DN7" s="54"/>
      <c r="DO7" s="54"/>
      <c r="DP7" s="54"/>
      <c r="DQ7" s="54"/>
      <c r="DR7" s="54"/>
      <c r="DS7" s="54"/>
      <c r="DT7" s="54"/>
      <c r="DU7" s="54"/>
      <c r="DV7" s="54"/>
      <c r="DW7" s="54"/>
      <c r="DX7" s="54"/>
      <c r="DY7" s="54"/>
      <c r="DZ7" s="54"/>
    </row>
    <row r="8" spans="1:130" ht="15" customHeight="1" x14ac:dyDescent="0.2">
      <c r="G8" s="74" t="s">
        <v>277</v>
      </c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  <c r="AA8" s="54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4"/>
      <c r="BN8" s="54"/>
      <c r="BO8" s="54"/>
      <c r="BP8" s="54"/>
      <c r="BQ8" s="54"/>
      <c r="BR8" s="54"/>
      <c r="BS8" s="54"/>
      <c r="BT8" s="54"/>
      <c r="BU8" s="54"/>
      <c r="BV8" s="54"/>
      <c r="BW8" s="54"/>
      <c r="BX8" s="54"/>
      <c r="BY8" s="54"/>
      <c r="BZ8" s="54"/>
      <c r="CA8" s="54"/>
      <c r="CB8" s="54"/>
      <c r="CC8" s="54"/>
      <c r="CD8" s="54"/>
      <c r="CE8" s="54"/>
      <c r="CF8" s="54"/>
      <c r="CG8" s="54"/>
      <c r="CH8" s="54"/>
      <c r="CI8" s="54"/>
      <c r="CJ8" s="54"/>
      <c r="CK8" s="54"/>
      <c r="CL8" s="54"/>
      <c r="CM8" s="54"/>
      <c r="CN8" s="54"/>
      <c r="CO8" s="54"/>
      <c r="CP8" s="54"/>
      <c r="CQ8" s="54"/>
      <c r="CR8" s="54"/>
      <c r="CS8" s="54"/>
      <c r="CT8" s="54"/>
      <c r="CU8" s="54"/>
      <c r="CV8" s="54"/>
      <c r="CW8" s="54"/>
      <c r="CX8" s="54"/>
      <c r="CY8" s="54"/>
      <c r="CZ8" s="54"/>
      <c r="DA8" s="54"/>
      <c r="DB8" s="54"/>
      <c r="DC8" s="54"/>
      <c r="DD8" s="54"/>
      <c r="DE8" s="54"/>
      <c r="DF8" s="54"/>
      <c r="DG8" s="54"/>
      <c r="DH8" s="54"/>
      <c r="DI8" s="54"/>
      <c r="DJ8" s="54"/>
      <c r="DK8" s="54"/>
      <c r="DL8" s="54"/>
      <c r="DM8" s="54"/>
      <c r="DN8" s="54"/>
      <c r="DO8" s="54"/>
      <c r="DP8" s="54"/>
      <c r="DQ8" s="54"/>
      <c r="DR8" s="54"/>
      <c r="DS8" s="54"/>
      <c r="DT8" s="54"/>
      <c r="DU8" s="54"/>
      <c r="DV8" s="54"/>
      <c r="DW8" s="54"/>
      <c r="DX8" s="54"/>
      <c r="DY8" s="54"/>
      <c r="DZ8" s="54"/>
    </row>
    <row r="9" spans="1:130" ht="15" customHeight="1" x14ac:dyDescent="0.2"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4"/>
      <c r="BE9" s="54"/>
      <c r="BF9" s="54"/>
      <c r="BG9" s="54"/>
      <c r="BH9" s="54"/>
      <c r="BI9" s="54"/>
      <c r="BJ9" s="54"/>
      <c r="BK9" s="54"/>
      <c r="BL9" s="54"/>
      <c r="BM9" s="54"/>
      <c r="BN9" s="54"/>
      <c r="BO9" s="54"/>
      <c r="BP9" s="54"/>
      <c r="BQ9" s="54"/>
      <c r="BR9" s="54"/>
      <c r="BS9" s="54"/>
      <c r="BT9" s="54"/>
      <c r="BU9" s="54"/>
      <c r="BV9" s="54"/>
      <c r="BW9" s="54"/>
      <c r="BX9" s="54"/>
      <c r="BY9" s="54"/>
      <c r="BZ9" s="54"/>
      <c r="CA9" s="54"/>
      <c r="CB9" s="54"/>
      <c r="CC9" s="54"/>
      <c r="CD9" s="54"/>
      <c r="CE9" s="54"/>
      <c r="CF9" s="54"/>
      <c r="CG9" s="54"/>
      <c r="CH9" s="54"/>
      <c r="CI9" s="54"/>
      <c r="CJ9" s="54"/>
      <c r="CK9" s="54"/>
      <c r="CL9" s="54"/>
      <c r="CM9" s="54"/>
      <c r="CN9" s="54"/>
      <c r="CO9" s="54"/>
      <c r="CP9" s="54"/>
      <c r="CQ9" s="54"/>
      <c r="CR9" s="54"/>
      <c r="CS9" s="54"/>
      <c r="CT9" s="54"/>
      <c r="CU9" s="54"/>
      <c r="CV9" s="54"/>
      <c r="CW9" s="54"/>
      <c r="CX9" s="54"/>
      <c r="CY9" s="54"/>
      <c r="CZ9" s="54"/>
      <c r="DA9" s="54"/>
      <c r="DB9" s="54"/>
      <c r="DC9" s="54"/>
      <c r="DD9" s="54"/>
      <c r="DE9" s="54"/>
      <c r="DF9" s="54"/>
      <c r="DG9" s="54"/>
      <c r="DH9" s="54"/>
      <c r="DI9" s="54"/>
      <c r="DJ9" s="54"/>
      <c r="DK9" s="54"/>
      <c r="DL9" s="54"/>
      <c r="DM9" s="54"/>
      <c r="DN9" s="54"/>
      <c r="DO9" s="54"/>
      <c r="DP9" s="54"/>
      <c r="DQ9" s="54"/>
      <c r="DR9" s="54"/>
      <c r="DS9" s="54"/>
      <c r="DT9" s="54"/>
      <c r="DU9" s="54"/>
      <c r="DV9" s="54"/>
      <c r="DW9" s="54"/>
      <c r="DX9" s="54"/>
      <c r="DY9" s="54"/>
      <c r="DZ9" s="54"/>
    </row>
    <row r="10" spans="1:130" ht="15" customHeight="1" x14ac:dyDescent="0.2"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  <c r="AA10" s="54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4"/>
      <c r="BE10" s="54"/>
      <c r="BF10" s="54"/>
      <c r="BG10" s="54"/>
      <c r="BH10" s="54"/>
      <c r="BI10" s="54"/>
      <c r="BJ10" s="54"/>
      <c r="BK10" s="54"/>
      <c r="BL10" s="54"/>
      <c r="BM10" s="54"/>
      <c r="BN10" s="54"/>
      <c r="BO10" s="54"/>
      <c r="BP10" s="54"/>
      <c r="BQ10" s="54"/>
      <c r="BR10" s="54"/>
      <c r="BS10" s="54"/>
      <c r="BT10" s="54"/>
      <c r="BU10" s="54"/>
      <c r="BV10" s="54"/>
      <c r="BW10" s="54"/>
      <c r="BX10" s="54"/>
      <c r="BY10" s="54"/>
      <c r="BZ10" s="54"/>
      <c r="CA10" s="54"/>
      <c r="CB10" s="54"/>
      <c r="CC10" s="54"/>
      <c r="CD10" s="54"/>
      <c r="CE10" s="54"/>
      <c r="CF10" s="54"/>
      <c r="CG10" s="54"/>
      <c r="CH10" s="54"/>
      <c r="CI10" s="54"/>
      <c r="CJ10" s="54"/>
      <c r="CK10" s="54"/>
      <c r="CL10" s="54"/>
      <c r="CM10" s="54"/>
      <c r="CN10" s="54"/>
      <c r="CO10" s="54"/>
      <c r="CP10" s="54"/>
      <c r="CQ10" s="54"/>
      <c r="CR10" s="54"/>
      <c r="CS10" s="54"/>
      <c r="CT10" s="54"/>
      <c r="CU10" s="54"/>
      <c r="CV10" s="54"/>
      <c r="CW10" s="54"/>
      <c r="CX10" s="54"/>
      <c r="CY10" s="54"/>
      <c r="CZ10" s="54"/>
      <c r="DA10" s="54"/>
      <c r="DB10" s="54"/>
      <c r="DC10" s="54"/>
      <c r="DD10" s="54"/>
      <c r="DE10" s="54"/>
      <c r="DF10" s="54"/>
      <c r="DG10" s="54"/>
      <c r="DH10" s="54"/>
      <c r="DI10" s="54"/>
      <c r="DJ10" s="54"/>
      <c r="DK10" s="54"/>
      <c r="DL10" s="54"/>
      <c r="DM10" s="54"/>
      <c r="DN10" s="54"/>
      <c r="DO10" s="54"/>
      <c r="DP10" s="54"/>
      <c r="DQ10" s="54"/>
      <c r="DR10" s="54"/>
      <c r="DS10" s="54"/>
      <c r="DT10" s="54"/>
      <c r="DU10" s="54"/>
      <c r="DV10" s="54"/>
      <c r="DW10" s="54"/>
      <c r="DX10" s="54"/>
      <c r="DY10" s="54"/>
      <c r="DZ10" s="54"/>
    </row>
    <row r="11" spans="1:130" ht="15" customHeight="1" x14ac:dyDescent="0.2">
      <c r="A11" s="122" t="s">
        <v>178</v>
      </c>
      <c r="B11" s="122" t="s">
        <v>176</v>
      </c>
      <c r="C11" s="122" t="s">
        <v>275</v>
      </c>
      <c r="G11" s="74" t="s">
        <v>273</v>
      </c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4"/>
      <c r="BK11" s="54"/>
      <c r="BL11" s="54"/>
      <c r="BM11" s="54"/>
      <c r="BN11" s="54"/>
      <c r="BO11" s="54"/>
      <c r="BP11" s="54"/>
      <c r="BQ11" s="54"/>
      <c r="BR11" s="54"/>
      <c r="BS11" s="54"/>
      <c r="BT11" s="54"/>
      <c r="BU11" s="54"/>
      <c r="BV11" s="54"/>
      <c r="BW11" s="54"/>
      <c r="BX11" s="54"/>
      <c r="BY11" s="54"/>
      <c r="BZ11" s="54"/>
      <c r="CA11" s="54"/>
      <c r="CB11" s="54"/>
      <c r="CC11" s="54"/>
      <c r="CD11" s="54"/>
      <c r="CE11" s="54"/>
      <c r="CF11" s="54"/>
      <c r="CG11" s="54"/>
      <c r="CH11" s="54"/>
      <c r="CI11" s="54"/>
      <c r="CJ11" s="54"/>
      <c r="CK11" s="54"/>
      <c r="CL11" s="54"/>
      <c r="CM11" s="54"/>
      <c r="CN11" s="54"/>
      <c r="CO11" s="54"/>
      <c r="CP11" s="54"/>
      <c r="CQ11" s="54"/>
      <c r="CR11" s="54"/>
      <c r="CS11" s="54"/>
      <c r="CT11" s="54"/>
      <c r="CU11" s="54"/>
      <c r="CV11" s="54"/>
      <c r="CW11" s="54"/>
      <c r="CX11" s="54"/>
      <c r="CY11" s="54"/>
      <c r="CZ11" s="54"/>
      <c r="DA11" s="54"/>
      <c r="DB11" s="54"/>
      <c r="DC11" s="54"/>
      <c r="DD11" s="54"/>
      <c r="DE11" s="54"/>
      <c r="DF11" s="54"/>
      <c r="DG11" s="54"/>
      <c r="DH11" s="54"/>
      <c r="DI11" s="54"/>
      <c r="DJ11" s="54"/>
      <c r="DK11" s="54"/>
      <c r="DL11" s="54"/>
      <c r="DM11" s="54"/>
      <c r="DN11" s="54"/>
      <c r="DO11" s="54"/>
      <c r="DP11" s="54"/>
      <c r="DQ11" s="54"/>
      <c r="DR11" s="54"/>
      <c r="DS11" s="54"/>
      <c r="DT11" s="54"/>
      <c r="DU11" s="54"/>
      <c r="DV11" s="54"/>
      <c r="DW11" s="54"/>
      <c r="DX11" s="54"/>
      <c r="DY11" s="54"/>
      <c r="DZ11" s="54"/>
    </row>
    <row r="12" spans="1:130" ht="15" customHeight="1" x14ac:dyDescent="0.2">
      <c r="A12" s="122" t="s">
        <v>274</v>
      </c>
      <c r="B12" s="122" t="str">
        <f>INDEX(표.코드표[코드],MATCH(표2[국가명],표.코드표[국가명],0))</f>
        <v>VNI:VIDX</v>
      </c>
      <c r="C12" s="122" t="s">
        <v>276</v>
      </c>
      <c r="G12" s="74" t="str">
        <f>INDEX(표.코드표[코드],MATCH('6511 (히스토리)'!G11,표.코드표[국가명],0))</f>
        <v>VNI:VIDX</v>
      </c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4"/>
      <c r="BE12" s="54"/>
      <c r="BF12" s="54"/>
      <c r="BG12" s="54"/>
      <c r="BH12" s="54"/>
      <c r="BI12" s="54"/>
      <c r="BJ12" s="54"/>
      <c r="BK12" s="54"/>
      <c r="BL12" s="54"/>
      <c r="BM12" s="54"/>
      <c r="BN12" s="54"/>
      <c r="BO12" s="54"/>
      <c r="BP12" s="54"/>
      <c r="BQ12" s="54"/>
      <c r="BR12" s="54"/>
      <c r="BS12" s="54"/>
      <c r="BT12" s="54"/>
      <c r="BU12" s="54"/>
      <c r="BV12" s="54"/>
      <c r="BW12" s="54"/>
      <c r="BX12" s="54"/>
      <c r="BY12" s="54"/>
      <c r="BZ12" s="54"/>
      <c r="CA12" s="54"/>
      <c r="CB12" s="54"/>
      <c r="CC12" s="54"/>
      <c r="CD12" s="54"/>
      <c r="CE12" s="54"/>
      <c r="CF12" s="54"/>
      <c r="CG12" s="54"/>
      <c r="CH12" s="54"/>
      <c r="CI12" s="54"/>
      <c r="CJ12" s="54"/>
      <c r="CK12" s="54"/>
      <c r="CL12" s="54"/>
      <c r="CM12" s="54"/>
      <c r="CN12" s="54"/>
      <c r="CO12" s="54"/>
      <c r="CP12" s="54"/>
      <c r="CQ12" s="54"/>
      <c r="CR12" s="54"/>
      <c r="CS12" s="54"/>
      <c r="CT12" s="54"/>
      <c r="CU12" s="54"/>
      <c r="CV12" s="54"/>
      <c r="CW12" s="54"/>
      <c r="CX12" s="54"/>
      <c r="CY12" s="54"/>
      <c r="CZ12" s="54"/>
      <c r="DA12" s="54"/>
      <c r="DB12" s="54"/>
      <c r="DC12" s="54"/>
      <c r="DD12" s="54"/>
      <c r="DE12" s="54"/>
      <c r="DF12" s="54"/>
      <c r="DG12" s="54"/>
      <c r="DH12" s="54"/>
      <c r="DI12" s="54"/>
      <c r="DJ12" s="54"/>
      <c r="DK12" s="54"/>
      <c r="DL12" s="54"/>
      <c r="DM12" s="54"/>
      <c r="DN12" s="54"/>
      <c r="DO12" s="54"/>
      <c r="DP12" s="54"/>
      <c r="DQ12" s="54"/>
      <c r="DR12" s="54"/>
      <c r="DS12" s="54"/>
      <c r="DT12" s="54"/>
      <c r="DU12" s="54"/>
      <c r="DV12" s="54"/>
      <c r="DW12" s="54"/>
      <c r="DX12" s="54"/>
      <c r="DY12" s="54"/>
      <c r="DZ12" s="54"/>
    </row>
    <row r="13" spans="1:130" ht="15" customHeight="1" x14ac:dyDescent="0.2">
      <c r="G13" s="62" t="str">
        <f ca="1">_xll.IMDH("FRN",G12,G14:H14,$A$3,$B$3,$C$3,"Per="&amp;$D$3&amp;",sort="&amp;$E$3&amp;",real=true,Bizday="&amp;$F$3&amp;",Pos=20,Orient=V,Title="&amp;코드표!A3&amp;",DtFmt=1,TmFmt=1")</f>
        <v>2</v>
      </c>
      <c r="H13" s="63"/>
      <c r="I13" s="62" t="str">
        <f ca="1">_xll.IMDH("FRN",코드표!E3,I14:J14,$A$3,$B$3,$C$3,"Per="&amp;$D$3&amp;",sort="&amp;$E$3&amp;",real=true,Bizday="&amp;$F$3&amp;",Pos=20,Orient=V,Title="&amp;코드표!C3&amp;",DtFmt=1,TmFmt=1")</f>
        <v>호주</v>
      </c>
      <c r="J13" s="63"/>
      <c r="K13" s="62" t="str">
        <f ca="1">_xll.IMDH("FRN",코드표!E4,K14:L14,$A$3,$B$3,$C$3,"Per="&amp;$D$3&amp;",sort="&amp;$E$3&amp;",real=true,Bizday="&amp;$F$3&amp;",Pos=20,Orient=V,Title="&amp;코드표!C4&amp;",DtFmt=1,TmFmt=1")</f>
        <v>일본</v>
      </c>
      <c r="L13" s="63"/>
      <c r="M13" s="62" t="str">
        <f ca="1">_xll.IMDH("FRN",코드표!E5,M14:N14,$A$3,$B$3,$C$3,"Per="&amp;$D$3&amp;",sort="&amp;$E$3&amp;",real=true,Bizday="&amp;$F$3&amp;",Pos=20,Orient=V,Title="&amp;코드표!C5&amp;",DtFmt=1,TmFmt=1")</f>
        <v>대만</v>
      </c>
      <c r="N13" s="63"/>
      <c r="O13" s="62" t="str">
        <f ca="1">_xll.IMDH("FRN",코드표!E6,O14:P14,$A$3,$B$3,$C$3,"Per="&amp;$D$3&amp;",sort="&amp;$E$3&amp;",real=true,Bizday="&amp;$F$3&amp;",Pos=20,Orient=V,Title="&amp;코드표!C6&amp;",DtFmt=1,TmFmt=1")</f>
        <v>싱가포르</v>
      </c>
      <c r="P13" s="63"/>
      <c r="Q13" s="62" t="str">
        <f ca="1">_xll.IMDH("FRN",코드표!E7,Q14:R14,$A$3,$B$3,$C$3,"Per="&amp;$D$3&amp;",sort="&amp;$E$3&amp;",real=true,Bizday="&amp;$F$3&amp;",Pos=20,Orient=V,Title="&amp;코드표!C7&amp;",DtFmt=1,TmFmt=1")</f>
        <v>말레이시아</v>
      </c>
      <c r="R13" s="63"/>
      <c r="S13" s="62" t="str">
        <f ca="1">_xll.IMDH("FRN",코드표!E8,S14:T14,$A$3,$B$3,$C$3,"Per="&amp;$D$3&amp;",sort="&amp;$E$3&amp;",real=true,Bizday="&amp;$F$3&amp;",Pos=20,Orient=V,Title="&amp;코드표!C8&amp;",DtFmt=1,TmFmt=1")</f>
        <v>필리핀</v>
      </c>
      <c r="T13" s="63"/>
      <c r="U13" s="62" t="str">
        <f ca="1">_xll.IMDH("FRN",코드표!E9,U14:V14,$A$3,$B$3,$C$3,"Per="&amp;$D$3&amp;",sort="&amp;$E$3&amp;",real=true,Bizday="&amp;$F$3&amp;",Pos=20,Orient=V,Title="&amp;코드표!C9&amp;",DtFmt=1,TmFmt=1")</f>
        <v>중국(상해종합)</v>
      </c>
      <c r="V13" s="63"/>
      <c r="W13" s="63" t="str">
        <f ca="1">_xll.IMDH("FRN",코드표!E10,U14:V14,$A$3,$B$3,$C$3,"Per="&amp;$D$3&amp;",sort="&amp;$E$3&amp;",real=true,Bizday="&amp;$F$3&amp;",Pos=20,Orient=V,Title="&amp;코드표!C10&amp;",DtFmt=1,TmFmt=1")</f>
        <v>중국(심천종합)</v>
      </c>
      <c r="X13" s="63"/>
      <c r="Y13" s="63" t="str">
        <f ca="1">_xll.IMDH("FRN",코드표!E11,U14:V14,$A$3,$B$3,$C$3,"Per="&amp;$D$3&amp;",sort="&amp;$E$3&amp;",real=true,Bizday="&amp;$F$3&amp;",Pos=20,Orient=V,Title="&amp;코드표!C11&amp;",DtFmt=1,TmFmt=1")</f>
        <v>중국(CSI 300)</v>
      </c>
      <c r="Z13" s="63"/>
      <c r="AA13" s="62" t="str">
        <f ca="1">_xll.IMDH("FRN",코드표!E12,AA14:AB14,$A$3,$B$3,$C$3,"Per="&amp;$D$3&amp;",sort="&amp;$E$3&amp;",real=true,Bizday="&amp;$F$3&amp;",Pos=20,Orient=V,Title="&amp;코드표!C12&amp;",DtFmt=1,TmFmt=1")</f>
        <v>홍콩(항셍)</v>
      </c>
      <c r="AB13" s="63"/>
      <c r="AC13" s="62" t="str">
        <f ca="1">_xll.IMDH("FRN",코드표!E13,AC14:AD14,$A$3,$B$3,$C$3,"Per="&amp;$D$3&amp;",sort="&amp;$E$3&amp;",real=true,Bizday="&amp;$F$3&amp;",Pos=20,Orient=V,Title="&amp;코드표!C13&amp;",DtFmt=1,TmFmt=1")</f>
        <v>홍콩(항셍 H)</v>
      </c>
      <c r="AD13" s="63"/>
      <c r="AE13" s="62" t="str">
        <f ca="1">_xll.IMDH("FRN",코드표!E14,AE14:AF14,$A$3,$B$3,$C$3,"Per="&amp;$D$3&amp;",sort="&amp;$E$3&amp;",real=true,Bizday="&amp;$F$3&amp;",Pos=20,Orient=V,Title="&amp;코드표!C14&amp;",DtFmt=1,TmFmt=1")</f>
        <v>인도네시아</v>
      </c>
      <c r="AF13" s="63"/>
      <c r="AG13" s="62" t="str">
        <f ca="1">_xll.IMDH("FRN",코드표!E15,AG14:AH14,$A$3,$B$3,$C$3,"Per="&amp;$D$3&amp;",sort="&amp;$E$3&amp;",real=true,Bizday="&amp;$F$3&amp;",Pos=20,Orient=V,Title="&amp;코드표!C15&amp;",DtFmt=1,TmFmt=1")</f>
        <v>태국</v>
      </c>
      <c r="AH13" s="63"/>
      <c r="AI13" s="62" t="str">
        <f ca="1">_xll.IMDH("FRN",코드표!E16,AI14:AJ14,$A$3,$B$3,$C$3,"Per="&amp;$D$3&amp;",sort="&amp;$E$3&amp;",real=true,Bizday="&amp;$F$3&amp;",Pos=20,Orient=V,Title="&amp;코드표!C16&amp;",DtFmt=1,TmFmt=1")</f>
        <v>인도</v>
      </c>
      <c r="AJ13" s="63"/>
      <c r="AK13" s="62" t="str">
        <f ca="1">_xll.IMDH("FRN",코드표!E17,AK14:AL14,$A$3,$B$3,$C$3,"Per="&amp;$D$3&amp;",sort="&amp;$E$3&amp;",real=true,Bizday="&amp;$F$3&amp;",Pos=20,Orient=V,Title="&amp;코드표!C17&amp;",DtFmt=1,TmFmt=1")</f>
        <v>베트남</v>
      </c>
      <c r="AL13" s="63"/>
      <c r="AM13" s="62" t="str">
        <f ca="1">_xll.IMDH("FRN",코드표!E18,AM14:AN14,$A$3,$B$3,$C$3,"Per="&amp;$D$3&amp;",sort="&amp;$E$3&amp;",real=true,Bizday="&amp;$F$3&amp;",Pos=20,Orient=V,Title="&amp;코드표!C18&amp;",DtFmt=1,TmFmt=1")</f>
        <v>파키스탄</v>
      </c>
      <c r="AN13" s="63"/>
      <c r="AO13" s="62" t="str">
        <f ca="1">_xll.IMDH("FRN",코드표!E19,AO14:AP14,$A$3,$B$3,$C$3,"Per="&amp;$D$3&amp;",sort="&amp;$E$3&amp;",real=true,Bizday="&amp;$F$3&amp;",Pos=20,Orient=V,Title="&amp;코드표!C19&amp;",DtFmt=1,TmFmt=1")</f>
        <v>오만</v>
      </c>
      <c r="AP13" s="63"/>
      <c r="AQ13" s="62" t="str">
        <f ca="1">_xll.IMDH("FRN",코드표!E20,AQ14:AR14,$A$3,$B$3,$C$3,"Per="&amp;$D$3&amp;",sort="&amp;$E$3&amp;",real=true,Bizday="&amp;$F$3&amp;",Pos=20,Orient=V,Title="&amp;코드표!C20&amp;",DtFmt=1,TmFmt=1")</f>
        <v>아랍에미레이트</v>
      </c>
      <c r="AR13" s="63"/>
      <c r="AS13" s="62" t="str">
        <f ca="1">_xll.IMDH("FRN",코드표!E21,AS14:AT14,$A$3,$B$3,$C$3,"Per="&amp;$D$3&amp;",sort="&amp;$E$3&amp;",real=true,Bizday="&amp;$F$3&amp;",Pos=20,Orient=V,Title="&amp;코드표!C21&amp;",DtFmt=1,TmFmt=1")</f>
        <v>쿠웨이트</v>
      </c>
      <c r="AT13" s="63"/>
      <c r="AU13" s="62" t="str">
        <f ca="1">_xll.IMDH("FRN",코드표!E22,AU14:AV14,$A$3,$B$3,$C$3,"Per="&amp;$D$3&amp;",sort="&amp;$E$3&amp;",real=true,Bizday="&amp;$F$3&amp;",Pos=20,Orient=V,Title="&amp;코드표!C22&amp;",DtFmt=1,TmFmt=1")</f>
        <v>카타르</v>
      </c>
      <c r="AV13" s="63"/>
      <c r="AW13" s="62" t="str">
        <f ca="1">_xll.IMDH("FRN",코드표!E23,AW14:AX14,$A$3,$B$3,$C$3,"Per="&amp;$D$3&amp;",sort="&amp;$E$3&amp;",real=true,Bizday="&amp;$F$3&amp;",Pos=20,Orient=V,Title="&amp;코드표!C23&amp;",DtFmt=1,TmFmt=1")</f>
        <v>요르단</v>
      </c>
      <c r="AX13" s="63"/>
      <c r="AY13" s="62" t="str">
        <f ca="1">_xll.IMDH("FRN",코드표!E24,AY14:AZ14,$A$3,$B$3,$C$3,"Per="&amp;$D$3&amp;",sort="&amp;$E$3&amp;",real=true,Bizday="&amp;$F$3&amp;",Pos=20,Orient=V,Title="&amp;코드표!C24&amp;",DtFmt=1,TmFmt=1")</f>
        <v>사우디아라비아</v>
      </c>
      <c r="AZ13" s="63"/>
      <c r="BA13" s="62" t="str">
        <f ca="1">_xll.IMDH("FRN",코드표!E25,BA14:BB14,$A$3,$B$3,$C$3,"Per="&amp;$D$3&amp;",sort="&amp;$E$3&amp;",real=true,Bizday="&amp;$F$3&amp;",Pos=20,Orient=V,Title="&amp;코드표!C25&amp;",DtFmt=1,TmFmt=1")</f>
        <v>이스라엘</v>
      </c>
      <c r="BB13" s="63"/>
      <c r="BC13" s="62" t="str">
        <f ca="1">_xll.IMDH("FRN",코드표!E26,BC14:BD14,$A$3,$B$3,$C$3,"Per="&amp;$D$3&amp;",sort="&amp;$E$3&amp;",real=true,Bizday="&amp;$F$3&amp;",Pos=20,Orient=V,Title="&amp;코드표!C26&amp;",DtFmt=1,TmFmt=1")</f>
        <v>러시아</v>
      </c>
      <c r="BD13" s="63"/>
      <c r="BE13" s="62" t="str">
        <f ca="1">_xll.IMDH("FRN",코드표!E27,BE14:BF14,$A$3,$B$3,$C$3,"Per="&amp;$D$3&amp;",sort="&amp;$E$3&amp;",real=true,Bizday="&amp;$F$3&amp;",Pos=20,Orient=V,Title="&amp;코드표!C27&amp;",DtFmt=1,TmFmt=1")</f>
        <v>터키</v>
      </c>
      <c r="BF13" s="63"/>
      <c r="BG13" s="62" t="str">
        <f ca="1">_xll.IMDH("FRN",코드표!E28,BG14:BH14,$A$3,$B$3,$C$3,"Per="&amp;$D$3&amp;",sort="&amp;$E$3&amp;",real=true,Bizday="&amp;$F$3&amp;",Pos=20,Orient=V,Title="&amp;코드표!C28&amp;",DtFmt=1,TmFmt=1")</f>
        <v>덴마크</v>
      </c>
      <c r="BH13" s="63"/>
      <c r="BI13" s="62" t="str">
        <f ca="1">_xll.IMDH("FRN",코드표!E29,BI14:BJ14,$A$3,$B$3,$C$3,"Per="&amp;$D$3&amp;",sort="&amp;$E$3&amp;",real=true,Bizday="&amp;$F$3&amp;",Pos=20,Orient=V,Title="&amp;코드표!C29&amp;",DtFmt=1,TmFmt=1")</f>
        <v>노르웨이</v>
      </c>
      <c r="BJ13" s="63"/>
      <c r="BK13" s="62" t="str">
        <f ca="1">_xll.IMDH("FRN",코드표!E30,BK14:BL14,$A$3,$B$3,$C$3,"Per="&amp;$D$3&amp;",sort="&amp;$E$3&amp;",real=true,Bizday="&amp;$F$3&amp;",Pos=20,Orient=V,Title="&amp;코드표!C30&amp;",DtFmt=1,TmFmt=1")</f>
        <v>스페인</v>
      </c>
      <c r="BL13" s="63"/>
      <c r="BM13" s="62" t="str">
        <f ca="1">_xll.IMDH("FRN",코드표!E31,BM14:BN14,$A$3,$B$3,$C$3,"Per="&amp;$D$3&amp;",sort="&amp;$E$3&amp;",real=true,Bizday="&amp;$F$3&amp;",Pos=20,Orient=V,Title="&amp;코드표!C31&amp;",DtFmt=1,TmFmt=1")</f>
        <v>벨기에</v>
      </c>
      <c r="BN13" s="63"/>
      <c r="BO13" s="62" t="str">
        <f ca="1">_xll.IMDH("FRN",코드표!E32,BO14:BP14,$A$3,$B$3,$C$3,"Per="&amp;$D$3&amp;",sort="&amp;$E$3&amp;",real=true,Bizday="&amp;$F$3&amp;",Pos=20,Orient=V,Title="&amp;코드표!C32&amp;",DtFmt=1,TmFmt=1")</f>
        <v>스위스</v>
      </c>
      <c r="BP13" s="63"/>
      <c r="BQ13" s="62" t="str">
        <f ca="1">_xll.IMDH("FRN",코드표!E33,BQ14:BR14,$A$3,$B$3,$C$3,"Per="&amp;$D$3&amp;",sort="&amp;$E$3&amp;",real=true,Bizday="&amp;$F$3&amp;",Pos=20,Orient=V,Title="&amp;코드표!C33&amp;",DtFmt=1,TmFmt=1")</f>
        <v>독일</v>
      </c>
      <c r="BR13" s="63"/>
      <c r="BS13" s="62" t="str">
        <f ca="1">_xll.IMDH("FRN",코드표!E34,BS14:BT14,$A$3,$B$3,$C$3,"Per="&amp;$D$3&amp;",sort="&amp;$E$3&amp;",real=true,Bizday="&amp;$F$3&amp;",Pos=20,Orient=V,Title="&amp;코드표!C34&amp;",DtFmt=1,TmFmt=1")</f>
        <v>영국</v>
      </c>
      <c r="BT13" s="63"/>
      <c r="BU13" s="62" t="str">
        <f ca="1">_xll.IMDH("FRN",코드표!E35,BU14:BV14,$A$3,$B$3,$C$3,"Per="&amp;$D$3&amp;",sort="&amp;$E$3&amp;",real=true,Bizday="&amp;$F$3&amp;",Pos=20,Orient=V,Title="&amp;코드표!C35&amp;",DtFmt=1,TmFmt=1")</f>
        <v>스웨덴</v>
      </c>
      <c r="BV13" s="63"/>
      <c r="BW13" s="62" t="str">
        <f ca="1">_xll.IMDH("FRN",코드표!E36,BW14:BX14,$A$3,$B$3,$C$3,"Per="&amp;$D$3&amp;",sort="&amp;$E$3&amp;",real=true,Bizday="&amp;$F$3&amp;",Pos=20,Orient=V,Title="&amp;코드표!C36&amp;",DtFmt=1,TmFmt=1")</f>
        <v>네덜란드</v>
      </c>
      <c r="BX13" s="63"/>
      <c r="BY13" s="62" t="str">
        <f ca="1">_xll.IMDH("FRN",코드표!E37,BY14:BZ14,$A$3,$B$3,$C$3,"Per="&amp;$D$3&amp;",sort="&amp;$E$3&amp;",real=true,Bizday="&amp;$F$3&amp;",Pos=20,Orient=V,Title="&amp;코드표!C37&amp;",DtFmt=1,TmFmt=1")</f>
        <v>프랑스</v>
      </c>
      <c r="BZ13" s="63"/>
      <c r="CA13" s="62" t="str">
        <f ca="1">_xll.IMDH("FRN",코드표!E38,CA14:CB14,$A$3,$B$3,$C$3,"Per="&amp;$D$3&amp;",sort="&amp;$E$3&amp;",real=true,Bizday="&amp;$F$3&amp;",Pos=20,Orient=V,Title="&amp;코드표!C38&amp;",DtFmt=1,TmFmt=1")</f>
        <v>그리스</v>
      </c>
      <c r="CB13" s="62"/>
      <c r="CC13" s="62" t="str">
        <f ca="1">_xll.IMDH("FRN",코드표!E39,CC14:CD14,$A$3,$B$3,$C$3,"Per="&amp;$D$3&amp;",sort="&amp;$E$3&amp;",real=true,Bizday="&amp;$F$3&amp;",Pos=20,Orient=V,Title="&amp;코드표!C39&amp;",DtFmt=1,TmFmt=1")</f>
        <v>이탈리아</v>
      </c>
      <c r="CD13" s="63"/>
      <c r="CE13" s="62" t="str">
        <f ca="1">_xll.IMDH("FRN",코드표!E40,CE14:CF14,$A$3,$B$3,$C$3,"Per="&amp;$D$3&amp;",sort="&amp;$E$3&amp;",real=true,Bizday="&amp;$F$3&amp;",Pos=20,Orient=V,Title="&amp;코드표!C40&amp;",DtFmt=1,TmFmt=1")</f>
        <v>폴란드</v>
      </c>
      <c r="CF13" s="63"/>
      <c r="CG13" s="62" t="str">
        <f ca="1">_xll.IMDH("FRN",코드표!E41,CG14:CH14,$A$3,$B$3,$C$3,"Per="&amp;$D$3&amp;",sort="&amp;$E$3&amp;",real=true,Bizday="&amp;$F$3&amp;",Pos=20,Orient=V,Title="&amp;코드표!C41&amp;",DtFmt=1,TmFmt=1")</f>
        <v>포르투칼</v>
      </c>
      <c r="CH13" s="63"/>
      <c r="CI13" s="62" t="str">
        <f ca="1">_xll.IMDH("FRN",코드표!E42,CI14:CJ14,$A$3,$B$3,$C$3,"Per="&amp;$D$3&amp;",sort="&amp;$E$3&amp;",real=true,Bizday="&amp;$F$3&amp;",Pos=20,Orient=V,Title="&amp;코드표!C42&amp;",DtFmt=1,TmFmt=1")</f>
        <v>오스트리아</v>
      </c>
      <c r="CJ13" s="63"/>
      <c r="CK13" s="62" t="str">
        <f ca="1">_xll.IMDH("FRN",코드표!E43,CK14:CL14,$A$3,$B$3,$C$3,"Per="&amp;$D$3&amp;",sort="&amp;$E$3&amp;",real=true,Bizday="&amp;$F$3&amp;",Pos=20,Orient=V,Title="&amp;코드표!C43&amp;",DtFmt=1,TmFmt=1")</f>
        <v>라투비아</v>
      </c>
      <c r="CL13" s="63"/>
      <c r="CM13" s="62" t="str">
        <f ca="1">_xll.IMDH("FRN",코드표!E44,CM14:CN14,$A$3,$B$3,$C$3,"Per="&amp;$D$3&amp;",sort="&amp;$E$3&amp;",real=true,Bizday="&amp;$F$3&amp;",Pos=20,Orient=V,Title="&amp;코드표!C44&amp;",DtFmt=1,TmFmt=1")</f>
        <v>불가리아</v>
      </c>
      <c r="CN13" s="63"/>
      <c r="CO13" s="62" t="str">
        <f ca="1">_xll.IMDH("FRN",코드표!E45,CO14:CP14,$A$3,$B$3,$C$3,"Per="&amp;$D$3&amp;",sort="&amp;$E$3&amp;",real=true,Bizday="&amp;$F$3&amp;",Pos=20,Orient=V,Title="&amp;코드표!C45&amp;",DtFmt=1,TmFmt=1")</f>
        <v>핀란드</v>
      </c>
      <c r="CP13" s="63"/>
      <c r="CQ13" s="62" t="str">
        <f ca="1">_xll.IMDH("FRN",코드표!E46,CQ14:CR14,$A$3,$B$3,$C$3,"Per="&amp;$D$3&amp;",sort="&amp;$E$3&amp;",real=true,Bizday="&amp;$F$3&amp;",Pos=20,Orient=V,Title="&amp;코드표!C46&amp;",DtFmt=1,TmFmt=1")</f>
        <v>헝가리</v>
      </c>
      <c r="CR13" s="63"/>
      <c r="CS13" s="62" t="str">
        <f ca="1">_xll.IMDH("FRN",코드표!E47,CS14:CT14,$A$3,$B$3,$C$3,"Per="&amp;$D$3&amp;",sort="&amp;$E$3&amp;",real=true,Bizday="&amp;$F$3&amp;",Pos=20,Orient=V,Title="&amp;코드표!C47&amp;",DtFmt=1,TmFmt=1")</f>
        <v>아일랜드</v>
      </c>
      <c r="CT13" s="63"/>
      <c r="CU13" s="62" t="str">
        <f ca="1">_xll.IMDH("FRN",코드표!E48,CU14:CV14,$A$3,$B$3,$C$3,"Per="&amp;$D$3&amp;",sort="&amp;$E$3&amp;",real=true,Bizday="&amp;$F$3&amp;",Pos=20,Orient=V,Title="&amp;코드표!C48&amp;",DtFmt=1,TmFmt=1")</f>
        <v>이집트</v>
      </c>
      <c r="CV13" s="63"/>
      <c r="CW13" s="62" t="str">
        <f ca="1">_xll.IMDH("FRN",코드표!E49,CW14:CX14,$A$3,$B$3,$C$3,"Per="&amp;$D$3&amp;",sort="&amp;$E$3&amp;",real=true,Bizday="&amp;$F$3&amp;",Pos=20,Orient=V,Title="&amp;코드표!C49&amp;",DtFmt=1,TmFmt=1")</f>
        <v>룩셈부르크</v>
      </c>
      <c r="CX13" s="63"/>
      <c r="CY13" s="63" t="str">
        <f ca="1">_xll.IMDH("FRN",코드표!E50,CW14:CX14,$A$3,$B$3,$C$3,"Per="&amp;$D$3&amp;",sort="&amp;$E$3&amp;",real=true,Bizday="&amp;$F$3&amp;",Pos=20,Orient=V,Title="&amp;코드표!C50&amp;",DtFmt=1,TmFmt=1")</f>
        <v>체코</v>
      </c>
      <c r="CZ13" s="63"/>
      <c r="DA13" s="63" t="str">
        <f ca="1">_xll.IMDH("FRN",코드표!E51,CW14:CX14,$A$3,$B$3,$C$3,"Per="&amp;$D$3&amp;",sort="&amp;$E$3&amp;",real=true,Bizday="&amp;$F$3&amp;",Pos=20,Orient=V,Title="&amp;코드표!C51&amp;",DtFmt=1,TmFmt=1")</f>
        <v>유로스톡스50</v>
      </c>
      <c r="DB13" s="63"/>
      <c r="DC13" s="63" t="str">
        <f ca="1">_xll.IMDH("FRN",코드표!E52,CW14:CX14,$A$3,$B$3,$C$3,"Per="&amp;$D$3&amp;",sort="&amp;$E$3&amp;",real=true,Bizday="&amp;$F$3&amp;",Pos=20,Orient=V,Title="&amp;코드표!C52&amp;",DtFmt=1,TmFmt=1")</f>
        <v>FTSE 300</v>
      </c>
      <c r="DD13" s="63"/>
      <c r="DE13" s="62" t="str">
        <f ca="1">_xll.IMDH("FRN",코드표!E53,DE14:DF14,$A$3,$B$3,$C$3,"Per="&amp;$D$3&amp;",sort="&amp;$E$3&amp;",real=true,Bizday="&amp;$F$3&amp;",Pos=20,Orient=V,Title="&amp;코드표!C53&amp;",DtFmt=1,TmFmt=1")</f>
        <v>칠레</v>
      </c>
      <c r="DF13" s="63"/>
      <c r="DG13" s="62" t="str">
        <f ca="1">_xll.IMDH("FRN",코드표!E54,DG14:DH14,$A$3,$B$3,$C$3,"Per="&amp;$D$3&amp;",sort="&amp;$E$3&amp;",real=true,Bizday="&amp;$F$3&amp;",Pos=20,Orient=V,Title="&amp;코드표!C54&amp;",DtFmt=1,TmFmt=1")</f>
        <v>브라질</v>
      </c>
      <c r="DH13" s="63"/>
      <c r="DI13" s="62" t="str">
        <f ca="1">_xll.IMDH("FRN",코드표!E55,DI14:DJ14,$A$3,$B$3,$C$3,"Per="&amp;$D$3&amp;",sort="&amp;$E$3&amp;",real=true,Bizday="&amp;$F$3&amp;",Pos=20,Orient=V,Title="&amp;코드표!C55&amp;",DtFmt=1,TmFmt=1")</f>
        <v>아르헨티나</v>
      </c>
      <c r="DJ13" s="63"/>
      <c r="DK13" s="62" t="str">
        <f ca="1">_xll.IMDH("FRN",코드표!E56,DK14:DL14,$A$3,$B$3,$C$3,"Per="&amp;$D$3&amp;",sort="&amp;$E$3&amp;",real=true,Bizday="&amp;$F$3&amp;",Pos=20,Orient=V,Title="&amp;코드표!C56&amp;",DtFmt=1,TmFmt=1")</f>
        <v>페루</v>
      </c>
      <c r="DL13" s="63"/>
      <c r="DM13" s="62" t="str">
        <f ca="1">_xll.IMDH("FRN",코드표!E57,DM14:DN14,$A$3,$B$3,$C$3,"Per="&amp;$D$3&amp;",sort="&amp;$E$3&amp;",real=true,Bizday="&amp;$F$3&amp;",Pos=20,Orient=V,Title="&amp;코드표!C57&amp;",DtFmt=1,TmFmt=1")</f>
        <v>캐나다</v>
      </c>
      <c r="DN13" s="63"/>
      <c r="DO13" s="62" t="str">
        <f ca="1">_xll.IMDH("FRN",코드표!E58,DO14:DP14,$A$3,$B$3,$C$3,"Per="&amp;$D$3&amp;",sort="&amp;$E$3&amp;",real=true,Bizday="&amp;$F$3&amp;",Pos=20,Orient=V,Title="&amp;코드표!C58&amp;",DtFmt=1,TmFmt=1")</f>
        <v>미국(DJI)</v>
      </c>
      <c r="DP13" s="63"/>
      <c r="DQ13" s="62" t="str">
        <f ca="1">_xll.IMDH("FRN",코드표!E59,DQ14:DR14,$A$3,$B$3,$C$3,"Per="&amp;$D$3&amp;",sort="&amp;$E$3&amp;",real=true,Bizday="&amp;$F$3&amp;",Pos=20,Orient=V,Title="&amp;코드표!C59&amp;",DtFmt=1,TmFmt=1")</f>
        <v>미국(NASDAQ)</v>
      </c>
      <c r="DR13" s="63"/>
      <c r="DS13" s="62" t="str">
        <f ca="1">_xll.IMDH("FRN",코드표!E60,DS14:DT14,$A$3,$B$3,$C$3,"Per="&amp;$D$3&amp;",sort="&amp;$E$3&amp;",real=true,Bizday="&amp;$F$3&amp;",Pos=20,Orient=V,Title="&amp;코드표!C60&amp;",DtFmt=1,TmFmt=1")</f>
        <v>미국(S&amp;P)</v>
      </c>
      <c r="DT13" s="63"/>
      <c r="DU13" s="62" t="str">
        <f ca="1">_xll.IMDH("FRN",코드표!E61,DU14:DV14,$A$3,$B$3,$C$3,"Per="&amp;$D$3&amp;",sort="&amp;$E$3&amp;",real=true,Bizday="&amp;$F$3&amp;",Pos=20,Orient=V,Title="&amp;코드표!C61&amp;",DtFmt=1,TmFmt=1")</f>
        <v>멕시코</v>
      </c>
      <c r="DV13" s="63"/>
      <c r="DW13" s="62" t="str">
        <f ca="1">_xll.IMDH("FRN",코드표!E62,DW14:DX14,$A$3,$B$3,$C$3,"Per="&amp;$D$3&amp;",sort="&amp;$E$3&amp;",real=true,Bizday="&amp;$F$3&amp;",Pos=20,Orient=V,Title="&amp;코드표!C62&amp;",DtFmt=1,TmFmt=1")</f>
        <v>베네수엘라</v>
      </c>
      <c r="DX13" s="63"/>
      <c r="DY13" s="62" t="str">
        <f ca="1">_xll.IMDH("FRN",코드표!E63,DY14:DZ14,$A$3,$B$3,$C$3,"Per="&amp;$D$3&amp;",sort="&amp;$E$3&amp;",real=true,Bizday="&amp;$F$3&amp;",Pos=20,Orient=V,Title="&amp;코드표!C63&amp;",DtFmt=1,TmFmt=1")</f>
        <v>콜롬비아</v>
      </c>
      <c r="DZ13" s="63"/>
    </row>
    <row r="14" spans="1:130" s="77" customFormat="1" ht="15" customHeight="1" x14ac:dyDescent="0.2">
      <c r="A14" s="77" t="str">
        <f ca="1">_xll.IMDH("FRN",G12,G14:H14,$A$3,$B$3,$C$3,"Per="&amp;$D$3&amp;",sort="&amp;$E$3&amp;",real=true,Bizday="&amp;$F$3&amp;",Pos=20,Orient=V,Title="&amp;표2[국가명]&amp;",DtFmt=1,TmFmt=1")</f>
        <v>베트남</v>
      </c>
      <c r="G14" s="64" t="s">
        <v>0</v>
      </c>
      <c r="H14" s="65" t="s">
        <v>179</v>
      </c>
      <c r="I14" s="64" t="s">
        <v>0</v>
      </c>
      <c r="J14" s="65" t="s">
        <v>179</v>
      </c>
      <c r="K14" s="64" t="s">
        <v>0</v>
      </c>
      <c r="L14" s="65" t="s">
        <v>179</v>
      </c>
      <c r="M14" s="64" t="s">
        <v>0</v>
      </c>
      <c r="N14" s="65" t="s">
        <v>179</v>
      </c>
      <c r="O14" s="64" t="s">
        <v>0</v>
      </c>
      <c r="P14" s="65" t="s">
        <v>179</v>
      </c>
      <c r="Q14" s="64" t="s">
        <v>0</v>
      </c>
      <c r="R14" s="65" t="s">
        <v>179</v>
      </c>
      <c r="S14" s="64" t="s">
        <v>0</v>
      </c>
      <c r="T14" s="65" t="s">
        <v>179</v>
      </c>
      <c r="U14" s="64" t="s">
        <v>0</v>
      </c>
      <c r="V14" s="65" t="s">
        <v>179</v>
      </c>
      <c r="W14" s="65" t="s">
        <v>268</v>
      </c>
      <c r="X14" s="65" t="s">
        <v>269</v>
      </c>
      <c r="Y14" s="65" t="s">
        <v>268</v>
      </c>
      <c r="Z14" s="65" t="s">
        <v>269</v>
      </c>
      <c r="AA14" s="64" t="s">
        <v>0</v>
      </c>
      <c r="AB14" s="65" t="s">
        <v>179</v>
      </c>
      <c r="AC14" s="64" t="s">
        <v>0</v>
      </c>
      <c r="AD14" s="65" t="s">
        <v>179</v>
      </c>
      <c r="AE14" s="64" t="s">
        <v>0</v>
      </c>
      <c r="AF14" s="65" t="s">
        <v>179</v>
      </c>
      <c r="AG14" s="64" t="s">
        <v>0</v>
      </c>
      <c r="AH14" s="65" t="s">
        <v>179</v>
      </c>
      <c r="AI14" s="64" t="s">
        <v>0</v>
      </c>
      <c r="AJ14" s="65" t="s">
        <v>179</v>
      </c>
      <c r="AK14" s="64" t="s">
        <v>0</v>
      </c>
      <c r="AL14" s="65" t="s">
        <v>179</v>
      </c>
      <c r="AM14" s="64" t="s">
        <v>0</v>
      </c>
      <c r="AN14" s="65" t="s">
        <v>179</v>
      </c>
      <c r="AO14" s="64" t="s">
        <v>0</v>
      </c>
      <c r="AP14" s="65" t="s">
        <v>179</v>
      </c>
      <c r="AQ14" s="64" t="s">
        <v>0</v>
      </c>
      <c r="AR14" s="65" t="s">
        <v>179</v>
      </c>
      <c r="AS14" s="64" t="s">
        <v>0</v>
      </c>
      <c r="AT14" s="65" t="s">
        <v>179</v>
      </c>
      <c r="AU14" s="64" t="s">
        <v>0</v>
      </c>
      <c r="AV14" s="65" t="s">
        <v>179</v>
      </c>
      <c r="AW14" s="64" t="s">
        <v>0</v>
      </c>
      <c r="AX14" s="65" t="s">
        <v>179</v>
      </c>
      <c r="AY14" s="64" t="s">
        <v>0</v>
      </c>
      <c r="AZ14" s="65" t="s">
        <v>179</v>
      </c>
      <c r="BA14" s="64" t="s">
        <v>0</v>
      </c>
      <c r="BB14" s="65" t="s">
        <v>179</v>
      </c>
      <c r="BC14" s="64" t="s">
        <v>0</v>
      </c>
      <c r="BD14" s="65" t="s">
        <v>179</v>
      </c>
      <c r="BE14" s="64" t="s">
        <v>0</v>
      </c>
      <c r="BF14" s="65" t="s">
        <v>179</v>
      </c>
      <c r="BG14" s="64" t="s">
        <v>0</v>
      </c>
      <c r="BH14" s="65" t="s">
        <v>179</v>
      </c>
      <c r="BI14" s="64" t="s">
        <v>0</v>
      </c>
      <c r="BJ14" s="65" t="s">
        <v>179</v>
      </c>
      <c r="BK14" s="64" t="s">
        <v>0</v>
      </c>
      <c r="BL14" s="65" t="s">
        <v>179</v>
      </c>
      <c r="BM14" s="64" t="s">
        <v>0</v>
      </c>
      <c r="BN14" s="65" t="s">
        <v>179</v>
      </c>
      <c r="BO14" s="64" t="s">
        <v>0</v>
      </c>
      <c r="BP14" s="65" t="s">
        <v>179</v>
      </c>
      <c r="BQ14" s="64" t="s">
        <v>0</v>
      </c>
      <c r="BR14" s="65" t="s">
        <v>179</v>
      </c>
      <c r="BS14" s="64" t="s">
        <v>0</v>
      </c>
      <c r="BT14" s="65" t="s">
        <v>179</v>
      </c>
      <c r="BU14" s="64" t="s">
        <v>0</v>
      </c>
      <c r="BV14" s="65" t="s">
        <v>179</v>
      </c>
      <c r="BW14" s="64" t="s">
        <v>0</v>
      </c>
      <c r="BX14" s="65" t="s">
        <v>179</v>
      </c>
      <c r="BY14" s="64" t="s">
        <v>0</v>
      </c>
      <c r="BZ14" s="65" t="s">
        <v>179</v>
      </c>
      <c r="CA14" s="64" t="s">
        <v>0</v>
      </c>
      <c r="CB14" s="65" t="s">
        <v>179</v>
      </c>
      <c r="CC14" s="64" t="s">
        <v>0</v>
      </c>
      <c r="CD14" s="65" t="s">
        <v>179</v>
      </c>
      <c r="CE14" s="64" t="s">
        <v>0</v>
      </c>
      <c r="CF14" s="65" t="s">
        <v>179</v>
      </c>
      <c r="CG14" s="64" t="s">
        <v>0</v>
      </c>
      <c r="CH14" s="65" t="s">
        <v>179</v>
      </c>
      <c r="CI14" s="64" t="s">
        <v>0</v>
      </c>
      <c r="CJ14" s="65" t="s">
        <v>179</v>
      </c>
      <c r="CK14" s="64" t="s">
        <v>0</v>
      </c>
      <c r="CL14" s="65" t="s">
        <v>179</v>
      </c>
      <c r="CM14" s="64" t="s">
        <v>0</v>
      </c>
      <c r="CN14" s="65" t="s">
        <v>179</v>
      </c>
      <c r="CO14" s="64" t="s">
        <v>0</v>
      </c>
      <c r="CP14" s="65" t="s">
        <v>179</v>
      </c>
      <c r="CQ14" s="64" t="s">
        <v>0</v>
      </c>
      <c r="CR14" s="65" t="s">
        <v>179</v>
      </c>
      <c r="CS14" s="64" t="s">
        <v>0</v>
      </c>
      <c r="CT14" s="65" t="s">
        <v>179</v>
      </c>
      <c r="CU14" s="64" t="s">
        <v>0</v>
      </c>
      <c r="CV14" s="65" t="s">
        <v>179</v>
      </c>
      <c r="CW14" s="64" t="s">
        <v>0</v>
      </c>
      <c r="CX14" s="65" t="s">
        <v>179</v>
      </c>
      <c r="CY14" s="65" t="s">
        <v>268</v>
      </c>
      <c r="CZ14" s="65" t="s">
        <v>269</v>
      </c>
      <c r="DA14" s="65" t="s">
        <v>268</v>
      </c>
      <c r="DB14" s="65" t="s">
        <v>269</v>
      </c>
      <c r="DC14" s="65" t="s">
        <v>268</v>
      </c>
      <c r="DD14" s="65" t="s">
        <v>269</v>
      </c>
      <c r="DE14" s="64" t="s">
        <v>0</v>
      </c>
      <c r="DF14" s="65" t="s">
        <v>179</v>
      </c>
      <c r="DG14" s="64" t="s">
        <v>0</v>
      </c>
      <c r="DH14" s="65" t="s">
        <v>179</v>
      </c>
      <c r="DI14" s="64" t="s">
        <v>0</v>
      </c>
      <c r="DJ14" s="65" t="s">
        <v>179</v>
      </c>
      <c r="DK14" s="64" t="s">
        <v>0</v>
      </c>
      <c r="DL14" s="65" t="s">
        <v>179</v>
      </c>
      <c r="DM14" s="64" t="s">
        <v>0</v>
      </c>
      <c r="DN14" s="65" t="s">
        <v>179</v>
      </c>
      <c r="DO14" s="64" t="s">
        <v>0</v>
      </c>
      <c r="DP14" s="65" t="s">
        <v>179</v>
      </c>
      <c r="DQ14" s="64" t="s">
        <v>0</v>
      </c>
      <c r="DR14" s="65" t="s">
        <v>179</v>
      </c>
      <c r="DS14" s="64" t="s">
        <v>0</v>
      </c>
      <c r="DT14" s="65" t="s">
        <v>179</v>
      </c>
      <c r="DU14" s="64" t="s">
        <v>0</v>
      </c>
      <c r="DV14" s="65" t="s">
        <v>179</v>
      </c>
      <c r="DW14" s="64" t="s">
        <v>0</v>
      </c>
      <c r="DX14" s="65" t="s">
        <v>179</v>
      </c>
      <c r="DY14" s="64" t="s">
        <v>0</v>
      </c>
      <c r="DZ14" s="65" t="s">
        <v>179</v>
      </c>
    </row>
    <row r="15" spans="1:130" ht="15" customHeight="1" x14ac:dyDescent="0.2">
      <c r="G15" s="91">
        <v>46036</v>
      </c>
      <c r="H15" s="66">
        <v>1901.02</v>
      </c>
      <c r="I15" s="90">
        <v>46036</v>
      </c>
      <c r="J15" s="66">
        <v>9138.5</v>
      </c>
      <c r="K15" s="90">
        <v>46036</v>
      </c>
      <c r="L15" s="66">
        <v>54179.59</v>
      </c>
      <c r="M15" s="90">
        <v>46036</v>
      </c>
      <c r="N15" s="66">
        <v>30884.39</v>
      </c>
      <c r="O15" s="90">
        <v>46036</v>
      </c>
      <c r="P15" s="66">
        <v>4806.2700000000004</v>
      </c>
      <c r="Q15" s="90">
        <v>46036</v>
      </c>
      <c r="R15" s="66">
        <v>1707.22</v>
      </c>
      <c r="S15" s="87">
        <v>46036</v>
      </c>
      <c r="T15" s="67">
        <v>6419.96</v>
      </c>
      <c r="U15" s="87">
        <v>46036</v>
      </c>
      <c r="V15" s="67">
        <v>4188.24</v>
      </c>
      <c r="W15" s="87">
        <v>46036</v>
      </c>
      <c r="X15" s="67">
        <v>2733.02</v>
      </c>
      <c r="Y15" s="87">
        <v>46036</v>
      </c>
      <c r="Z15" s="67">
        <v>4812.4799999999996</v>
      </c>
      <c r="AA15" s="87">
        <v>46036</v>
      </c>
      <c r="AB15" s="67">
        <v>27092.98</v>
      </c>
      <c r="AC15" s="87">
        <v>46036</v>
      </c>
      <c r="AD15" s="67">
        <v>9367.2800000000007</v>
      </c>
      <c r="AE15" s="87">
        <v>46036</v>
      </c>
      <c r="AF15" s="67">
        <v>9025.76</v>
      </c>
      <c r="AG15" s="87">
        <v>46036</v>
      </c>
      <c r="AH15" s="67"/>
      <c r="AI15" s="87">
        <v>46036</v>
      </c>
      <c r="AJ15" s="67">
        <v>83523.649999999994</v>
      </c>
      <c r="AK15" s="87">
        <v>46036</v>
      </c>
      <c r="AL15" s="67">
        <v>1901.02</v>
      </c>
      <c r="AM15" s="87">
        <v>46036</v>
      </c>
      <c r="AN15" s="67">
        <v>183951.51</v>
      </c>
      <c r="AO15" s="87">
        <v>46036</v>
      </c>
      <c r="AP15" s="67">
        <v>6178.11</v>
      </c>
      <c r="AQ15" s="87">
        <v>46036</v>
      </c>
      <c r="AR15" s="67">
        <v>6319.3</v>
      </c>
      <c r="AS15" s="87">
        <v>46036</v>
      </c>
      <c r="AT15" s="67">
        <v>9424.15</v>
      </c>
      <c r="AU15" s="87">
        <v>46036</v>
      </c>
      <c r="AV15" s="67">
        <v>11229.22</v>
      </c>
      <c r="AW15" s="87">
        <v>46036</v>
      </c>
      <c r="AX15" s="67">
        <v>3555.87</v>
      </c>
      <c r="AY15" s="87">
        <v>46036</v>
      </c>
      <c r="AZ15" s="67">
        <v>10893.63</v>
      </c>
      <c r="BA15" s="87">
        <v>46036</v>
      </c>
      <c r="BB15" s="67">
        <v>3913.39</v>
      </c>
      <c r="BC15" s="87">
        <v>46036</v>
      </c>
      <c r="BD15" s="67">
        <v>1077.44</v>
      </c>
      <c r="BE15" s="87">
        <v>46036</v>
      </c>
      <c r="BF15" s="67">
        <v>12385.61</v>
      </c>
      <c r="BG15" s="87">
        <v>46036</v>
      </c>
      <c r="BH15" s="67">
        <v>1751.79</v>
      </c>
      <c r="BI15" s="87">
        <v>46036</v>
      </c>
      <c r="BJ15" s="67">
        <v>1985.2</v>
      </c>
      <c r="BK15" s="87">
        <v>46036</v>
      </c>
      <c r="BL15" s="67">
        <v>17687.099999999999</v>
      </c>
      <c r="BM15" s="87">
        <v>46036</v>
      </c>
      <c r="BN15" s="67">
        <v>5250.09</v>
      </c>
      <c r="BO15" s="87">
        <v>46036</v>
      </c>
      <c r="BP15" s="67">
        <v>13364.73</v>
      </c>
      <c r="BQ15" s="87">
        <v>46036</v>
      </c>
      <c r="BR15" s="67">
        <v>25420.66</v>
      </c>
      <c r="BS15" s="87">
        <v>46036</v>
      </c>
      <c r="BT15" s="67">
        <v>10137.35</v>
      </c>
      <c r="BU15" s="87">
        <v>46036</v>
      </c>
      <c r="BV15" s="67">
        <v>1071.31</v>
      </c>
      <c r="BW15" s="87">
        <v>46036</v>
      </c>
      <c r="BX15" s="67">
        <v>997.17</v>
      </c>
      <c r="BY15" s="87">
        <v>46036</v>
      </c>
      <c r="BZ15" s="67">
        <v>8347.2000000000007</v>
      </c>
      <c r="CA15" s="87">
        <v>46036</v>
      </c>
      <c r="CB15" s="67">
        <v>2206.3000000000002</v>
      </c>
      <c r="CC15" s="87">
        <v>46036</v>
      </c>
      <c r="CD15" s="67">
        <v>45525.1</v>
      </c>
      <c r="CE15" s="87">
        <v>46036</v>
      </c>
      <c r="CF15" s="67">
        <v>121794.45</v>
      </c>
      <c r="CG15" s="87">
        <v>46036</v>
      </c>
      <c r="CH15" s="67">
        <v>8559.09</v>
      </c>
      <c r="CI15" s="87">
        <v>46036</v>
      </c>
      <c r="CJ15" s="67">
        <v>5410.3</v>
      </c>
      <c r="CK15" s="87">
        <v>46036</v>
      </c>
      <c r="CL15" s="67"/>
      <c r="CM15" s="87">
        <v>46036</v>
      </c>
      <c r="CN15" s="67"/>
      <c r="CO15" s="87">
        <v>46036</v>
      </c>
      <c r="CP15" s="67">
        <v>5792.43</v>
      </c>
      <c r="CQ15" s="87">
        <v>46036</v>
      </c>
      <c r="CR15" s="67">
        <v>118863.12</v>
      </c>
      <c r="CS15" s="87">
        <v>46036</v>
      </c>
      <c r="CT15" s="67">
        <v>12972.66</v>
      </c>
      <c r="CU15" s="87">
        <v>46036</v>
      </c>
      <c r="CV15" s="67">
        <v>43684.22</v>
      </c>
      <c r="CW15" s="87">
        <v>46036</v>
      </c>
      <c r="CX15" s="67">
        <v>1885.13</v>
      </c>
      <c r="CY15" s="87">
        <v>46036</v>
      </c>
      <c r="CZ15" s="67"/>
      <c r="DA15" s="87">
        <v>46036</v>
      </c>
      <c r="DB15" s="67">
        <v>6029.83</v>
      </c>
      <c r="DC15" s="87">
        <v>46036</v>
      </c>
      <c r="DD15" s="67"/>
      <c r="DE15" s="87">
        <v>46036</v>
      </c>
      <c r="DF15" s="67"/>
      <c r="DG15" s="87">
        <v>46036</v>
      </c>
      <c r="DH15" s="67"/>
      <c r="DI15" s="87">
        <v>46036</v>
      </c>
      <c r="DJ15" s="67"/>
      <c r="DK15" s="87">
        <v>46036</v>
      </c>
      <c r="DL15" s="67"/>
      <c r="DM15" s="87">
        <v>46036</v>
      </c>
      <c r="DN15" s="67"/>
      <c r="DO15" s="87">
        <v>46036</v>
      </c>
      <c r="DP15" s="67"/>
      <c r="DQ15" s="87">
        <v>46036</v>
      </c>
      <c r="DR15" s="67"/>
      <c r="DS15" s="87">
        <v>46036</v>
      </c>
      <c r="DT15" s="67"/>
      <c r="DU15" s="87">
        <v>46036</v>
      </c>
      <c r="DV15" s="67"/>
      <c r="DW15" s="87">
        <v>46036</v>
      </c>
      <c r="DX15" s="67"/>
      <c r="DY15" s="87">
        <v>46036</v>
      </c>
      <c r="DZ15" s="68"/>
    </row>
    <row r="16" spans="1:130" ht="15" customHeight="1" x14ac:dyDescent="0.2">
      <c r="A16" s="123">
        <v>46036</v>
      </c>
      <c r="B16" s="74">
        <v>1901.02</v>
      </c>
      <c r="C16" s="123"/>
      <c r="D16" s="123"/>
      <c r="G16" s="92">
        <v>46035</v>
      </c>
      <c r="H16" s="69">
        <v>1902.93</v>
      </c>
      <c r="I16" s="88">
        <v>46035</v>
      </c>
      <c r="J16" s="69">
        <v>9138.49</v>
      </c>
      <c r="K16" s="88">
        <v>46035</v>
      </c>
      <c r="L16" s="69">
        <v>53549.16</v>
      </c>
      <c r="M16" s="88">
        <v>46035</v>
      </c>
      <c r="N16" s="69">
        <v>30707.22</v>
      </c>
      <c r="O16" s="88">
        <v>46035</v>
      </c>
      <c r="P16" s="69">
        <v>4807.13</v>
      </c>
      <c r="Q16" s="88">
        <v>46035</v>
      </c>
      <c r="R16" s="69">
        <v>1708.2</v>
      </c>
      <c r="S16" s="88">
        <v>46035</v>
      </c>
      <c r="T16" s="69">
        <v>6408.76</v>
      </c>
      <c r="U16" s="88">
        <v>46035</v>
      </c>
      <c r="V16" s="69">
        <v>4138.76</v>
      </c>
      <c r="W16" s="88">
        <v>46035</v>
      </c>
      <c r="X16" s="69">
        <v>2676.04</v>
      </c>
      <c r="Y16" s="88">
        <v>46035</v>
      </c>
      <c r="Z16" s="69">
        <v>4761.03</v>
      </c>
      <c r="AA16" s="88">
        <v>46035</v>
      </c>
      <c r="AB16" s="69">
        <v>26848.47</v>
      </c>
      <c r="AC16" s="88">
        <v>46035</v>
      </c>
      <c r="AD16" s="69">
        <v>9285.41</v>
      </c>
      <c r="AE16" s="88">
        <v>46035</v>
      </c>
      <c r="AF16" s="69">
        <v>8948.2999999999993</v>
      </c>
      <c r="AG16" s="88">
        <v>46035</v>
      </c>
      <c r="AH16" s="69">
        <v>1235.3</v>
      </c>
      <c r="AI16" s="88">
        <v>46035</v>
      </c>
      <c r="AJ16" s="69">
        <v>83627.69</v>
      </c>
      <c r="AK16" s="88">
        <v>46035</v>
      </c>
      <c r="AL16" s="69">
        <v>1902.93</v>
      </c>
      <c r="AM16" s="88">
        <v>46035</v>
      </c>
      <c r="AN16" s="69">
        <v>183951.51</v>
      </c>
      <c r="AO16" s="88">
        <v>46035</v>
      </c>
      <c r="AP16" s="69">
        <v>6178.11</v>
      </c>
      <c r="AQ16" s="88">
        <v>46035</v>
      </c>
      <c r="AR16" s="69">
        <v>6319.3</v>
      </c>
      <c r="AS16" s="88">
        <v>46035</v>
      </c>
      <c r="AT16" s="69">
        <v>9424.15</v>
      </c>
      <c r="AU16" s="88">
        <v>46035</v>
      </c>
      <c r="AV16" s="69">
        <v>11229.22</v>
      </c>
      <c r="AW16" s="88">
        <v>46035</v>
      </c>
      <c r="AX16" s="69">
        <v>3555.87</v>
      </c>
      <c r="AY16" s="88">
        <v>46035</v>
      </c>
      <c r="AZ16" s="69">
        <v>10893.63</v>
      </c>
      <c r="BA16" s="88">
        <v>46035</v>
      </c>
      <c r="BB16" s="69">
        <v>3913.39</v>
      </c>
      <c r="BC16" s="88">
        <v>46035</v>
      </c>
      <c r="BD16" s="69">
        <v>1077.44</v>
      </c>
      <c r="BE16" s="88">
        <v>46035</v>
      </c>
      <c r="BF16" s="69">
        <v>12385.61</v>
      </c>
      <c r="BG16" s="88">
        <v>46035</v>
      </c>
      <c r="BH16" s="69">
        <v>1751.7929999999999</v>
      </c>
      <c r="BI16" s="88">
        <v>46035</v>
      </c>
      <c r="BJ16" s="69">
        <v>1985.2</v>
      </c>
      <c r="BK16" s="88">
        <v>46035</v>
      </c>
      <c r="BL16" s="69">
        <v>17687.099999999999</v>
      </c>
      <c r="BM16" s="88">
        <v>46035</v>
      </c>
      <c r="BN16" s="69">
        <v>5250.09</v>
      </c>
      <c r="BO16" s="88">
        <v>46035</v>
      </c>
      <c r="BP16" s="69">
        <v>13364.73</v>
      </c>
      <c r="BQ16" s="88">
        <v>46035</v>
      </c>
      <c r="BR16" s="69">
        <v>25420.66</v>
      </c>
      <c r="BS16" s="88">
        <v>46035</v>
      </c>
      <c r="BT16" s="69">
        <v>10137.35</v>
      </c>
      <c r="BU16" s="88">
        <v>46035</v>
      </c>
      <c r="BV16" s="69">
        <v>1071.31</v>
      </c>
      <c r="BW16" s="88">
        <v>46035</v>
      </c>
      <c r="BX16" s="69">
        <v>997.17</v>
      </c>
      <c r="BY16" s="88">
        <v>46035</v>
      </c>
      <c r="BZ16" s="69">
        <v>8347.2000000000007</v>
      </c>
      <c r="CA16" s="88">
        <v>46035</v>
      </c>
      <c r="CB16" s="69">
        <v>2206.3000000000002</v>
      </c>
      <c r="CC16" s="88">
        <v>46035</v>
      </c>
      <c r="CD16" s="69">
        <v>45525.1</v>
      </c>
      <c r="CE16" s="88">
        <v>46035</v>
      </c>
      <c r="CF16" s="69">
        <v>121794.45</v>
      </c>
      <c r="CG16" s="88">
        <v>46035</v>
      </c>
      <c r="CH16" s="69">
        <v>8559.09</v>
      </c>
      <c r="CI16" s="88">
        <v>46035</v>
      </c>
      <c r="CJ16" s="69">
        <v>5410.3</v>
      </c>
      <c r="CK16" s="88">
        <v>46035</v>
      </c>
      <c r="CL16" s="69">
        <v>928.08</v>
      </c>
      <c r="CM16" s="88">
        <v>46035</v>
      </c>
      <c r="CN16" s="69">
        <v>1371.7</v>
      </c>
      <c r="CO16" s="88">
        <v>46035</v>
      </c>
      <c r="CP16" s="69">
        <v>5792.43</v>
      </c>
      <c r="CQ16" s="88">
        <v>46035</v>
      </c>
      <c r="CR16" s="69">
        <v>118863.12</v>
      </c>
      <c r="CS16" s="88">
        <v>46035</v>
      </c>
      <c r="CT16" s="69">
        <v>12972.66</v>
      </c>
      <c r="CU16" s="88">
        <v>46035</v>
      </c>
      <c r="CV16" s="69">
        <v>43684.22</v>
      </c>
      <c r="CW16" s="88">
        <v>46035</v>
      </c>
      <c r="CX16" s="69">
        <v>1885.1320000000001</v>
      </c>
      <c r="CY16" s="88">
        <v>46035</v>
      </c>
      <c r="CZ16" s="69">
        <v>2743.44</v>
      </c>
      <c r="DA16" s="88">
        <v>46035</v>
      </c>
      <c r="DB16" s="69">
        <v>6029.83</v>
      </c>
      <c r="DC16" s="88">
        <v>46035</v>
      </c>
      <c r="DD16" s="69">
        <v>2436.9499999999998</v>
      </c>
      <c r="DE16" s="88">
        <v>46035</v>
      </c>
      <c r="DF16" s="69">
        <v>56483.24</v>
      </c>
      <c r="DG16" s="88">
        <v>46035</v>
      </c>
      <c r="DH16" s="69">
        <v>161973.04999999999</v>
      </c>
      <c r="DI16" s="88">
        <v>46035</v>
      </c>
      <c r="DJ16" s="69">
        <v>3036292.5</v>
      </c>
      <c r="DK16" s="88">
        <v>46035</v>
      </c>
      <c r="DL16" s="69">
        <v>34937.730000000003</v>
      </c>
      <c r="DM16" s="88">
        <v>46035</v>
      </c>
      <c r="DN16" s="69">
        <v>32870.36</v>
      </c>
      <c r="DO16" s="88">
        <v>46035</v>
      </c>
      <c r="DP16" s="69">
        <v>49191.99</v>
      </c>
      <c r="DQ16" s="88">
        <v>46035</v>
      </c>
      <c r="DR16" s="69">
        <v>23709.87</v>
      </c>
      <c r="DS16" s="88">
        <v>46035</v>
      </c>
      <c r="DT16" s="69">
        <v>6963.74</v>
      </c>
      <c r="DU16" s="88">
        <v>46035</v>
      </c>
      <c r="DV16" s="69">
        <v>66337.42</v>
      </c>
      <c r="DW16" s="88">
        <v>46035</v>
      </c>
      <c r="DX16" s="69">
        <v>5808.58</v>
      </c>
      <c r="DY16" s="88">
        <v>46035</v>
      </c>
      <c r="DZ16" s="70">
        <v>2236.5100000000002</v>
      </c>
    </row>
    <row r="17" spans="1:130" ht="15" customHeight="1" x14ac:dyDescent="0.2">
      <c r="A17" s="123">
        <v>46035</v>
      </c>
      <c r="B17" s="74">
        <v>1902.93</v>
      </c>
      <c r="C17" s="123"/>
      <c r="D17" s="123"/>
      <c r="G17" s="92">
        <v>46034</v>
      </c>
      <c r="H17" s="69">
        <v>1877.33</v>
      </c>
      <c r="I17" s="88">
        <v>46034</v>
      </c>
      <c r="J17" s="69">
        <v>9092.65</v>
      </c>
      <c r="K17" s="88">
        <v>46034</v>
      </c>
      <c r="L17" s="69"/>
      <c r="M17" s="88">
        <v>46034</v>
      </c>
      <c r="N17" s="69">
        <v>30567.29</v>
      </c>
      <c r="O17" s="88">
        <v>46034</v>
      </c>
      <c r="P17" s="69">
        <v>4766.78</v>
      </c>
      <c r="Q17" s="88">
        <v>46034</v>
      </c>
      <c r="R17" s="69">
        <v>1695.44</v>
      </c>
      <c r="S17" s="88">
        <v>46034</v>
      </c>
      <c r="T17" s="69">
        <v>6419.96</v>
      </c>
      <c r="U17" s="88">
        <v>46034</v>
      </c>
      <c r="V17" s="69">
        <v>4165.29</v>
      </c>
      <c r="W17" s="88">
        <v>46034</v>
      </c>
      <c r="X17" s="69">
        <v>2714.52</v>
      </c>
      <c r="Y17" s="88">
        <v>46034</v>
      </c>
      <c r="Z17" s="69">
        <v>4789.92</v>
      </c>
      <c r="AA17" s="88">
        <v>46034</v>
      </c>
      <c r="AB17" s="69">
        <v>26608.48</v>
      </c>
      <c r="AC17" s="88">
        <v>46034</v>
      </c>
      <c r="AD17" s="69">
        <v>9220.08</v>
      </c>
      <c r="AE17" s="88">
        <v>46034</v>
      </c>
      <c r="AF17" s="69">
        <v>8884.7199999999993</v>
      </c>
      <c r="AG17" s="88">
        <v>46034</v>
      </c>
      <c r="AH17" s="69">
        <v>1242.2</v>
      </c>
      <c r="AI17" s="88">
        <v>46034</v>
      </c>
      <c r="AJ17" s="69">
        <v>83878.17</v>
      </c>
      <c r="AK17" s="88">
        <v>46034</v>
      </c>
      <c r="AL17" s="69">
        <v>1877.33</v>
      </c>
      <c r="AM17" s="88">
        <v>46034</v>
      </c>
      <c r="AN17" s="69">
        <v>182384.15</v>
      </c>
      <c r="AO17" s="88">
        <v>46034</v>
      </c>
      <c r="AP17" s="69">
        <v>6192.57</v>
      </c>
      <c r="AQ17" s="88">
        <v>46034</v>
      </c>
      <c r="AR17" s="69">
        <v>6268.31</v>
      </c>
      <c r="AS17" s="88">
        <v>46034</v>
      </c>
      <c r="AT17" s="69">
        <v>9343.74</v>
      </c>
      <c r="AU17" s="88">
        <v>46034</v>
      </c>
      <c r="AV17" s="69">
        <v>11162.54</v>
      </c>
      <c r="AW17" s="88">
        <v>46034</v>
      </c>
      <c r="AX17" s="69">
        <v>3548.39</v>
      </c>
      <c r="AY17" s="88">
        <v>46034</v>
      </c>
      <c r="AZ17" s="69">
        <v>10745.45</v>
      </c>
      <c r="BA17" s="88">
        <v>46034</v>
      </c>
      <c r="BB17" s="69">
        <v>3926.38</v>
      </c>
      <c r="BC17" s="88">
        <v>46034</v>
      </c>
      <c r="BD17" s="69">
        <v>1080.28</v>
      </c>
      <c r="BE17" s="88">
        <v>46034</v>
      </c>
      <c r="BF17" s="69">
        <v>12254.83</v>
      </c>
      <c r="BG17" s="88">
        <v>46034</v>
      </c>
      <c r="BH17" s="69">
        <v>1734.6369999999999</v>
      </c>
      <c r="BI17" s="88">
        <v>46034</v>
      </c>
      <c r="BJ17" s="69">
        <v>1964.84</v>
      </c>
      <c r="BK17" s="88">
        <v>46034</v>
      </c>
      <c r="BL17" s="69">
        <v>17673.8</v>
      </c>
      <c r="BM17" s="88">
        <v>46034</v>
      </c>
      <c r="BN17" s="69">
        <v>5213.9399999999996</v>
      </c>
      <c r="BO17" s="88">
        <v>46034</v>
      </c>
      <c r="BP17" s="69">
        <v>13426.98</v>
      </c>
      <c r="BQ17" s="88">
        <v>46034</v>
      </c>
      <c r="BR17" s="69">
        <v>25405.34</v>
      </c>
      <c r="BS17" s="88">
        <v>46034</v>
      </c>
      <c r="BT17" s="69">
        <v>10140.700000000001</v>
      </c>
      <c r="BU17" s="88">
        <v>46034</v>
      </c>
      <c r="BV17" s="69">
        <v>1072.0899999999999</v>
      </c>
      <c r="BW17" s="88">
        <v>46034</v>
      </c>
      <c r="BX17" s="69">
        <v>993.54</v>
      </c>
      <c r="BY17" s="88">
        <v>46034</v>
      </c>
      <c r="BZ17" s="69">
        <v>8358.76</v>
      </c>
      <c r="CA17" s="88">
        <v>46034</v>
      </c>
      <c r="CB17" s="69">
        <v>2210.85</v>
      </c>
      <c r="CC17" s="88">
        <v>46034</v>
      </c>
      <c r="CD17" s="69">
        <v>45732.2</v>
      </c>
      <c r="CE17" s="88">
        <v>46034</v>
      </c>
      <c r="CF17" s="69">
        <v>122027.18</v>
      </c>
      <c r="CG17" s="88">
        <v>46034</v>
      </c>
      <c r="CH17" s="69">
        <v>8494.08</v>
      </c>
      <c r="CI17" s="88">
        <v>46034</v>
      </c>
      <c r="CJ17" s="69">
        <v>5440.34</v>
      </c>
      <c r="CK17" s="88">
        <v>46034</v>
      </c>
      <c r="CL17" s="69">
        <v>928.88</v>
      </c>
      <c r="CM17" s="88">
        <v>46034</v>
      </c>
      <c r="CN17" s="69">
        <v>1369.41</v>
      </c>
      <c r="CO17" s="88">
        <v>46034</v>
      </c>
      <c r="CP17" s="69">
        <v>5791.02</v>
      </c>
      <c r="CQ17" s="88">
        <v>46034</v>
      </c>
      <c r="CR17" s="69">
        <v>117385.41</v>
      </c>
      <c r="CS17" s="88">
        <v>46034</v>
      </c>
      <c r="CT17" s="69">
        <v>13073.32</v>
      </c>
      <c r="CU17" s="88">
        <v>46034</v>
      </c>
      <c r="CV17" s="69">
        <v>43404.25</v>
      </c>
      <c r="CW17" s="88">
        <v>46034</v>
      </c>
      <c r="CX17" s="69">
        <v>1872.32</v>
      </c>
      <c r="CY17" s="88">
        <v>46034</v>
      </c>
      <c r="CZ17" s="69">
        <v>2741.1</v>
      </c>
      <c r="DA17" s="88">
        <v>46034</v>
      </c>
      <c r="DB17" s="69">
        <v>6016.3</v>
      </c>
      <c r="DC17" s="88">
        <v>46034</v>
      </c>
      <c r="DD17" s="69">
        <v>2436.9499999999998</v>
      </c>
      <c r="DE17" s="88">
        <v>46034</v>
      </c>
      <c r="DF17" s="69">
        <v>55577.79</v>
      </c>
      <c r="DG17" s="88">
        <v>46034</v>
      </c>
      <c r="DH17" s="69">
        <v>163150.35</v>
      </c>
      <c r="DI17" s="88">
        <v>46034</v>
      </c>
      <c r="DJ17" s="69">
        <v>3076946.75</v>
      </c>
      <c r="DK17" s="88">
        <v>46034</v>
      </c>
      <c r="DL17" s="69">
        <v>34937.730000000003</v>
      </c>
      <c r="DM17" s="88">
        <v>46034</v>
      </c>
      <c r="DN17" s="69">
        <v>32874.699999999997</v>
      </c>
      <c r="DO17" s="88">
        <v>46034</v>
      </c>
      <c r="DP17" s="69">
        <v>49590.2</v>
      </c>
      <c r="DQ17" s="88">
        <v>46034</v>
      </c>
      <c r="DR17" s="69">
        <v>23733.9</v>
      </c>
      <c r="DS17" s="88">
        <v>46034</v>
      </c>
      <c r="DT17" s="69">
        <v>6977.27</v>
      </c>
      <c r="DU17" s="88">
        <v>46034</v>
      </c>
      <c r="DV17" s="69">
        <v>66745.61</v>
      </c>
      <c r="DW17" s="88">
        <v>46034</v>
      </c>
      <c r="DX17" s="69"/>
      <c r="DY17" s="88">
        <v>46034</v>
      </c>
      <c r="DZ17" s="70"/>
    </row>
    <row r="18" spans="1:130" ht="15" customHeight="1" x14ac:dyDescent="0.2">
      <c r="A18" s="123">
        <v>46034</v>
      </c>
      <c r="B18" s="74">
        <v>1877.33</v>
      </c>
      <c r="C18" s="123"/>
      <c r="D18" s="123"/>
      <c r="G18" s="92">
        <v>46033</v>
      </c>
      <c r="H18" s="69"/>
      <c r="I18" s="88">
        <v>46033</v>
      </c>
      <c r="J18" s="69"/>
      <c r="K18" s="88">
        <v>46033</v>
      </c>
      <c r="L18" s="69"/>
      <c r="M18" s="88">
        <v>46033</v>
      </c>
      <c r="N18" s="69"/>
      <c r="O18" s="88">
        <v>46033</v>
      </c>
      <c r="P18" s="69"/>
      <c r="Q18" s="88">
        <v>46033</v>
      </c>
      <c r="R18" s="69"/>
      <c r="S18" s="88">
        <v>46033</v>
      </c>
      <c r="T18" s="69"/>
      <c r="U18" s="88">
        <v>46033</v>
      </c>
      <c r="V18" s="69"/>
      <c r="W18" s="88">
        <v>46033</v>
      </c>
      <c r="X18" s="69"/>
      <c r="Y18" s="88">
        <v>46033</v>
      </c>
      <c r="Z18" s="69"/>
      <c r="AA18" s="88">
        <v>46033</v>
      </c>
      <c r="AB18" s="69"/>
      <c r="AC18" s="88">
        <v>46033</v>
      </c>
      <c r="AD18" s="69"/>
      <c r="AE18" s="88">
        <v>46033</v>
      </c>
      <c r="AF18" s="69"/>
      <c r="AG18" s="88">
        <v>46033</v>
      </c>
      <c r="AH18" s="69"/>
      <c r="AI18" s="88">
        <v>46033</v>
      </c>
      <c r="AJ18" s="69"/>
      <c r="AK18" s="88">
        <v>46033</v>
      </c>
      <c r="AL18" s="69"/>
      <c r="AM18" s="88">
        <v>46033</v>
      </c>
      <c r="AN18" s="69"/>
      <c r="AO18" s="88">
        <v>46033</v>
      </c>
      <c r="AP18" s="69"/>
      <c r="AQ18" s="88">
        <v>46033</v>
      </c>
      <c r="AR18" s="69"/>
      <c r="AS18" s="88">
        <v>46033</v>
      </c>
      <c r="AT18" s="69"/>
      <c r="AU18" s="88">
        <v>46033</v>
      </c>
      <c r="AV18" s="69"/>
      <c r="AW18" s="88">
        <v>46033</v>
      </c>
      <c r="AX18" s="69"/>
      <c r="AY18" s="88">
        <v>46033</v>
      </c>
      <c r="AZ18" s="69"/>
      <c r="BA18" s="88">
        <v>46033</v>
      </c>
      <c r="BB18" s="69"/>
      <c r="BC18" s="88">
        <v>46033</v>
      </c>
      <c r="BD18" s="69"/>
      <c r="BE18" s="88">
        <v>46033</v>
      </c>
      <c r="BF18" s="69"/>
      <c r="BG18" s="88">
        <v>46033</v>
      </c>
      <c r="BH18" s="69"/>
      <c r="BI18" s="88">
        <v>46033</v>
      </c>
      <c r="BJ18" s="69"/>
      <c r="BK18" s="88">
        <v>46033</v>
      </c>
      <c r="BL18" s="69"/>
      <c r="BM18" s="88">
        <v>46033</v>
      </c>
      <c r="BN18" s="69"/>
      <c r="BO18" s="88">
        <v>46033</v>
      </c>
      <c r="BP18" s="69"/>
      <c r="BQ18" s="88">
        <v>46033</v>
      </c>
      <c r="BR18" s="69"/>
      <c r="BS18" s="88">
        <v>46033</v>
      </c>
      <c r="BT18" s="69"/>
      <c r="BU18" s="88">
        <v>46033</v>
      </c>
      <c r="BV18" s="69"/>
      <c r="BW18" s="88">
        <v>46033</v>
      </c>
      <c r="BX18" s="69"/>
      <c r="BY18" s="88">
        <v>46033</v>
      </c>
      <c r="BZ18" s="69"/>
      <c r="CA18" s="88">
        <v>46033</v>
      </c>
      <c r="CB18" s="69"/>
      <c r="CC18" s="88">
        <v>46033</v>
      </c>
      <c r="CD18" s="69"/>
      <c r="CE18" s="88">
        <v>46033</v>
      </c>
      <c r="CF18" s="69"/>
      <c r="CG18" s="88">
        <v>46033</v>
      </c>
      <c r="CH18" s="69"/>
      <c r="CI18" s="88">
        <v>46033</v>
      </c>
      <c r="CJ18" s="69"/>
      <c r="CK18" s="88">
        <v>46033</v>
      </c>
      <c r="CL18" s="69"/>
      <c r="CM18" s="88">
        <v>46033</v>
      </c>
      <c r="CN18" s="69"/>
      <c r="CO18" s="88">
        <v>46033</v>
      </c>
      <c r="CP18" s="69"/>
      <c r="CQ18" s="88">
        <v>46033</v>
      </c>
      <c r="CR18" s="69"/>
      <c r="CS18" s="88">
        <v>46033</v>
      </c>
      <c r="CT18" s="69"/>
      <c r="CU18" s="88">
        <v>46033</v>
      </c>
      <c r="CV18" s="69"/>
      <c r="CW18" s="88">
        <v>46033</v>
      </c>
      <c r="CX18" s="69"/>
      <c r="CY18" s="88">
        <v>46033</v>
      </c>
      <c r="CZ18" s="69"/>
      <c r="DA18" s="88">
        <v>46033</v>
      </c>
      <c r="DB18" s="69"/>
      <c r="DC18" s="88">
        <v>46033</v>
      </c>
      <c r="DD18" s="69"/>
      <c r="DE18" s="88">
        <v>46033</v>
      </c>
      <c r="DF18" s="69"/>
      <c r="DG18" s="88">
        <v>46033</v>
      </c>
      <c r="DH18" s="69"/>
      <c r="DI18" s="88">
        <v>46033</v>
      </c>
      <c r="DJ18" s="69"/>
      <c r="DK18" s="88">
        <v>46033</v>
      </c>
      <c r="DL18" s="69"/>
      <c r="DM18" s="88">
        <v>46033</v>
      </c>
      <c r="DN18" s="69"/>
      <c r="DO18" s="88">
        <v>46033</v>
      </c>
      <c r="DP18" s="69"/>
      <c r="DQ18" s="88">
        <v>46033</v>
      </c>
      <c r="DR18" s="69"/>
      <c r="DS18" s="88">
        <v>46033</v>
      </c>
      <c r="DT18" s="69"/>
      <c r="DU18" s="88">
        <v>46033</v>
      </c>
      <c r="DV18" s="69"/>
      <c r="DW18" s="88">
        <v>46033</v>
      </c>
      <c r="DX18" s="69"/>
      <c r="DY18" s="88">
        <v>46033</v>
      </c>
      <c r="DZ18" s="70"/>
    </row>
    <row r="19" spans="1:130" ht="15" customHeight="1" x14ac:dyDescent="0.2">
      <c r="A19" s="123">
        <v>46033</v>
      </c>
      <c r="C19" s="123"/>
      <c r="D19" s="123"/>
      <c r="G19" s="92">
        <v>46032</v>
      </c>
      <c r="H19" s="69"/>
      <c r="I19" s="88">
        <v>46032</v>
      </c>
      <c r="J19" s="69"/>
      <c r="K19" s="88">
        <v>46032</v>
      </c>
      <c r="L19" s="69"/>
      <c r="M19" s="88">
        <v>46032</v>
      </c>
      <c r="N19" s="69"/>
      <c r="O19" s="88">
        <v>46032</v>
      </c>
      <c r="P19" s="69"/>
      <c r="Q19" s="88">
        <v>46032</v>
      </c>
      <c r="R19" s="69"/>
      <c r="S19" s="88">
        <v>46032</v>
      </c>
      <c r="T19" s="69"/>
      <c r="U19" s="88">
        <v>46032</v>
      </c>
      <c r="V19" s="69"/>
      <c r="W19" s="88">
        <v>46032</v>
      </c>
      <c r="X19" s="69"/>
      <c r="Y19" s="88">
        <v>46032</v>
      </c>
      <c r="Z19" s="69"/>
      <c r="AA19" s="88">
        <v>46032</v>
      </c>
      <c r="AB19" s="69"/>
      <c r="AC19" s="88">
        <v>46032</v>
      </c>
      <c r="AD19" s="69"/>
      <c r="AE19" s="88">
        <v>46032</v>
      </c>
      <c r="AF19" s="69"/>
      <c r="AG19" s="88">
        <v>46032</v>
      </c>
      <c r="AH19" s="69"/>
      <c r="AI19" s="88">
        <v>46032</v>
      </c>
      <c r="AJ19" s="69"/>
      <c r="AK19" s="88">
        <v>46032</v>
      </c>
      <c r="AL19" s="69"/>
      <c r="AM19" s="88">
        <v>46032</v>
      </c>
      <c r="AN19" s="69"/>
      <c r="AO19" s="88">
        <v>46032</v>
      </c>
      <c r="AP19" s="69"/>
      <c r="AQ19" s="88">
        <v>46032</v>
      </c>
      <c r="AR19" s="69"/>
      <c r="AS19" s="88">
        <v>46032</v>
      </c>
      <c r="AT19" s="69"/>
      <c r="AU19" s="88">
        <v>46032</v>
      </c>
      <c r="AV19" s="69"/>
      <c r="AW19" s="88">
        <v>46032</v>
      </c>
      <c r="AX19" s="69"/>
      <c r="AY19" s="88">
        <v>46032</v>
      </c>
      <c r="AZ19" s="69"/>
      <c r="BA19" s="88">
        <v>46032</v>
      </c>
      <c r="BB19" s="69"/>
      <c r="BC19" s="88">
        <v>46032</v>
      </c>
      <c r="BD19" s="69"/>
      <c r="BE19" s="88">
        <v>46032</v>
      </c>
      <c r="BF19" s="69"/>
      <c r="BG19" s="88">
        <v>46032</v>
      </c>
      <c r="BH19" s="69"/>
      <c r="BI19" s="88">
        <v>46032</v>
      </c>
      <c r="BJ19" s="69"/>
      <c r="BK19" s="88">
        <v>46032</v>
      </c>
      <c r="BL19" s="69"/>
      <c r="BM19" s="88">
        <v>46032</v>
      </c>
      <c r="BN19" s="69"/>
      <c r="BO19" s="88">
        <v>46032</v>
      </c>
      <c r="BP19" s="69"/>
      <c r="BQ19" s="88">
        <v>46032</v>
      </c>
      <c r="BR19" s="69"/>
      <c r="BS19" s="88">
        <v>46032</v>
      </c>
      <c r="BT19" s="69"/>
      <c r="BU19" s="88">
        <v>46032</v>
      </c>
      <c r="BV19" s="69"/>
      <c r="BW19" s="88">
        <v>46032</v>
      </c>
      <c r="BX19" s="69"/>
      <c r="BY19" s="88">
        <v>46032</v>
      </c>
      <c r="BZ19" s="69"/>
      <c r="CA19" s="88">
        <v>46032</v>
      </c>
      <c r="CB19" s="69"/>
      <c r="CC19" s="88">
        <v>46032</v>
      </c>
      <c r="CD19" s="69"/>
      <c r="CE19" s="88">
        <v>46032</v>
      </c>
      <c r="CF19" s="69"/>
      <c r="CG19" s="88">
        <v>46032</v>
      </c>
      <c r="CH19" s="69"/>
      <c r="CI19" s="88">
        <v>46032</v>
      </c>
      <c r="CJ19" s="69"/>
      <c r="CK19" s="88">
        <v>46032</v>
      </c>
      <c r="CL19" s="69"/>
      <c r="CM19" s="88">
        <v>46032</v>
      </c>
      <c r="CN19" s="69"/>
      <c r="CO19" s="88">
        <v>46032</v>
      </c>
      <c r="CP19" s="69"/>
      <c r="CQ19" s="88">
        <v>46032</v>
      </c>
      <c r="CR19" s="69"/>
      <c r="CS19" s="88">
        <v>46032</v>
      </c>
      <c r="CT19" s="69"/>
      <c r="CU19" s="88">
        <v>46032</v>
      </c>
      <c r="CV19" s="69"/>
      <c r="CW19" s="88">
        <v>46032</v>
      </c>
      <c r="CX19" s="69"/>
      <c r="CY19" s="88">
        <v>46032</v>
      </c>
      <c r="CZ19" s="69"/>
      <c r="DA19" s="88">
        <v>46032</v>
      </c>
      <c r="DB19" s="69"/>
      <c r="DC19" s="88">
        <v>46032</v>
      </c>
      <c r="DD19" s="69"/>
      <c r="DE19" s="88">
        <v>46032</v>
      </c>
      <c r="DF19" s="69"/>
      <c r="DG19" s="88">
        <v>46032</v>
      </c>
      <c r="DH19" s="69"/>
      <c r="DI19" s="88">
        <v>46032</v>
      </c>
      <c r="DJ19" s="69"/>
      <c r="DK19" s="88">
        <v>46032</v>
      </c>
      <c r="DL19" s="69"/>
      <c r="DM19" s="88">
        <v>46032</v>
      </c>
      <c r="DN19" s="69"/>
      <c r="DO19" s="88">
        <v>46032</v>
      </c>
      <c r="DP19" s="69"/>
      <c r="DQ19" s="88">
        <v>46032</v>
      </c>
      <c r="DR19" s="69"/>
      <c r="DS19" s="88">
        <v>46032</v>
      </c>
      <c r="DT19" s="69"/>
      <c r="DU19" s="88">
        <v>46032</v>
      </c>
      <c r="DV19" s="69"/>
      <c r="DW19" s="88">
        <v>46032</v>
      </c>
      <c r="DX19" s="69"/>
      <c r="DY19" s="88">
        <v>46032</v>
      </c>
      <c r="DZ19" s="70"/>
    </row>
    <row r="20" spans="1:130" ht="15" customHeight="1" x14ac:dyDescent="0.2">
      <c r="A20" s="123">
        <v>46032</v>
      </c>
      <c r="C20" s="123"/>
      <c r="D20" s="123"/>
      <c r="G20" s="92">
        <v>46031</v>
      </c>
      <c r="H20" s="69">
        <v>1867.9</v>
      </c>
      <c r="I20" s="88">
        <v>46031</v>
      </c>
      <c r="J20" s="69">
        <v>9045.92</v>
      </c>
      <c r="K20" s="88">
        <v>46031</v>
      </c>
      <c r="L20" s="69">
        <v>51939.89</v>
      </c>
      <c r="M20" s="88">
        <v>46031</v>
      </c>
      <c r="N20" s="69">
        <v>30288.959999999999</v>
      </c>
      <c r="O20" s="88">
        <v>46031</v>
      </c>
      <c r="P20" s="69">
        <v>4744.66</v>
      </c>
      <c r="Q20" s="88">
        <v>46031</v>
      </c>
      <c r="R20" s="69">
        <v>1686.54</v>
      </c>
      <c r="S20" s="88">
        <v>46031</v>
      </c>
      <c r="T20" s="69">
        <v>6348.14</v>
      </c>
      <c r="U20" s="88">
        <v>46031</v>
      </c>
      <c r="V20" s="69">
        <v>4120.43</v>
      </c>
      <c r="W20" s="88">
        <v>46031</v>
      </c>
      <c r="X20" s="69">
        <v>2660.05</v>
      </c>
      <c r="Y20" s="88">
        <v>46031</v>
      </c>
      <c r="Z20" s="69">
        <v>4758.92</v>
      </c>
      <c r="AA20" s="88">
        <v>46031</v>
      </c>
      <c r="AB20" s="69">
        <v>26231.79</v>
      </c>
      <c r="AC20" s="88">
        <v>46031</v>
      </c>
      <c r="AD20" s="69">
        <v>9048.5300000000007</v>
      </c>
      <c r="AE20" s="88">
        <v>46031</v>
      </c>
      <c r="AF20" s="69">
        <v>8936.75</v>
      </c>
      <c r="AG20" s="88">
        <v>46031</v>
      </c>
      <c r="AH20" s="69">
        <v>1254.0899999999999</v>
      </c>
      <c r="AI20" s="88">
        <v>46031</v>
      </c>
      <c r="AJ20" s="69">
        <v>83576.240000000005</v>
      </c>
      <c r="AK20" s="88">
        <v>46031</v>
      </c>
      <c r="AL20" s="69">
        <v>1867.9</v>
      </c>
      <c r="AM20" s="88">
        <v>46031</v>
      </c>
      <c r="AN20" s="69">
        <v>184409.67</v>
      </c>
      <c r="AO20" s="88">
        <v>46031</v>
      </c>
      <c r="AP20" s="69">
        <v>6163.73</v>
      </c>
      <c r="AQ20" s="88">
        <v>46031</v>
      </c>
      <c r="AR20" s="69">
        <v>6225.94</v>
      </c>
      <c r="AS20" s="88">
        <v>46031</v>
      </c>
      <c r="AT20" s="69">
        <v>9389.64</v>
      </c>
      <c r="AU20" s="88">
        <v>46031</v>
      </c>
      <c r="AV20" s="69">
        <v>11088.79</v>
      </c>
      <c r="AW20" s="88">
        <v>46031</v>
      </c>
      <c r="AX20" s="69">
        <v>3560.35</v>
      </c>
      <c r="AY20" s="88">
        <v>46031</v>
      </c>
      <c r="AZ20" s="69">
        <v>10609.76</v>
      </c>
      <c r="BA20" s="88">
        <v>46031</v>
      </c>
      <c r="BB20" s="69">
        <v>3907.26</v>
      </c>
      <c r="BC20" s="88">
        <v>46031</v>
      </c>
      <c r="BD20" s="69">
        <v>1097.31</v>
      </c>
      <c r="BE20" s="88">
        <v>46031</v>
      </c>
      <c r="BF20" s="69">
        <v>12200.95</v>
      </c>
      <c r="BG20" s="88">
        <v>46031</v>
      </c>
      <c r="BH20" s="69">
        <v>1740.5</v>
      </c>
      <c r="BI20" s="88">
        <v>46031</v>
      </c>
      <c r="BJ20" s="69">
        <v>1957.94</v>
      </c>
      <c r="BK20" s="88">
        <v>46031</v>
      </c>
      <c r="BL20" s="69">
        <v>17649</v>
      </c>
      <c r="BM20" s="88">
        <v>46031</v>
      </c>
      <c r="BN20" s="69">
        <v>5240.4399999999996</v>
      </c>
      <c r="BO20" s="88">
        <v>46031</v>
      </c>
      <c r="BP20" s="69">
        <v>13421.82</v>
      </c>
      <c r="BQ20" s="88">
        <v>46031</v>
      </c>
      <c r="BR20" s="69">
        <v>25261.64</v>
      </c>
      <c r="BS20" s="88">
        <v>46031</v>
      </c>
      <c r="BT20" s="69">
        <v>10124.6</v>
      </c>
      <c r="BU20" s="88">
        <v>46031</v>
      </c>
      <c r="BV20" s="69">
        <v>1072.31</v>
      </c>
      <c r="BW20" s="88">
        <v>46031</v>
      </c>
      <c r="BX20" s="69">
        <v>988.17</v>
      </c>
      <c r="BY20" s="88">
        <v>46031</v>
      </c>
      <c r="BZ20" s="69">
        <v>8362.09</v>
      </c>
      <c r="CA20" s="88">
        <v>46031</v>
      </c>
      <c r="CB20" s="69">
        <v>2207.73</v>
      </c>
      <c r="CC20" s="88">
        <v>46031</v>
      </c>
      <c r="CD20" s="69">
        <v>45719.26</v>
      </c>
      <c r="CE20" s="88">
        <v>46031</v>
      </c>
      <c r="CF20" s="69">
        <v>121551.17</v>
      </c>
      <c r="CG20" s="88">
        <v>46031</v>
      </c>
      <c r="CH20" s="69">
        <v>8520.34</v>
      </c>
      <c r="CI20" s="88">
        <v>46031</v>
      </c>
      <c r="CJ20" s="69">
        <v>5403.24</v>
      </c>
      <c r="CK20" s="88">
        <v>46031</v>
      </c>
      <c r="CL20" s="69">
        <v>927.48</v>
      </c>
      <c r="CM20" s="88">
        <v>46031</v>
      </c>
      <c r="CN20" s="69">
        <v>1323.06</v>
      </c>
      <c r="CO20" s="88">
        <v>46031</v>
      </c>
      <c r="CP20" s="69">
        <v>5799.86</v>
      </c>
      <c r="CQ20" s="88">
        <v>46031</v>
      </c>
      <c r="CR20" s="69">
        <v>116510.12</v>
      </c>
      <c r="CS20" s="88">
        <v>46031</v>
      </c>
      <c r="CT20" s="69">
        <v>13080.06</v>
      </c>
      <c r="CU20" s="88">
        <v>46031</v>
      </c>
      <c r="CV20" s="69">
        <v>42895.41</v>
      </c>
      <c r="CW20" s="88">
        <v>46031</v>
      </c>
      <c r="CX20" s="69">
        <v>1849.309</v>
      </c>
      <c r="CY20" s="88">
        <v>46031</v>
      </c>
      <c r="CZ20" s="69">
        <v>2749.73</v>
      </c>
      <c r="DA20" s="88">
        <v>46031</v>
      </c>
      <c r="DB20" s="69">
        <v>5997.47</v>
      </c>
      <c r="DC20" s="88">
        <v>46031</v>
      </c>
      <c r="DD20" s="69">
        <v>2430.77</v>
      </c>
      <c r="DE20" s="88">
        <v>46031</v>
      </c>
      <c r="DF20" s="69">
        <v>54901.09</v>
      </c>
      <c r="DG20" s="88">
        <v>46031</v>
      </c>
      <c r="DH20" s="69">
        <v>163370.31</v>
      </c>
      <c r="DI20" s="88">
        <v>46031</v>
      </c>
      <c r="DJ20" s="69">
        <v>3089461</v>
      </c>
      <c r="DK20" s="88">
        <v>46031</v>
      </c>
      <c r="DL20" s="69">
        <v>34937.730000000003</v>
      </c>
      <c r="DM20" s="88">
        <v>46031</v>
      </c>
      <c r="DN20" s="69">
        <v>32612.93</v>
      </c>
      <c r="DO20" s="88">
        <v>46031</v>
      </c>
      <c r="DP20" s="69">
        <v>49504.07</v>
      </c>
      <c r="DQ20" s="88">
        <v>46031</v>
      </c>
      <c r="DR20" s="69">
        <v>23671.35</v>
      </c>
      <c r="DS20" s="88">
        <v>46031</v>
      </c>
      <c r="DT20" s="69">
        <v>6966.28</v>
      </c>
      <c r="DU20" s="88">
        <v>46031</v>
      </c>
      <c r="DV20" s="69">
        <v>66062.62</v>
      </c>
      <c r="DW20" s="88">
        <v>46031</v>
      </c>
      <c r="DX20" s="69">
        <v>6009.58</v>
      </c>
      <c r="DY20" s="88">
        <v>46031</v>
      </c>
      <c r="DZ20" s="70">
        <v>2213.35</v>
      </c>
    </row>
    <row r="21" spans="1:130" ht="15" customHeight="1" x14ac:dyDescent="0.2">
      <c r="A21" s="123">
        <v>46031</v>
      </c>
      <c r="B21" s="74">
        <v>1867.9</v>
      </c>
      <c r="C21" s="123"/>
      <c r="D21" s="123"/>
      <c r="G21" s="92">
        <v>46030</v>
      </c>
      <c r="H21" s="69">
        <v>1855.56</v>
      </c>
      <c r="I21" s="88">
        <v>46030</v>
      </c>
      <c r="J21" s="69">
        <v>9046.52</v>
      </c>
      <c r="K21" s="88">
        <v>46030</v>
      </c>
      <c r="L21" s="69">
        <v>51117.26</v>
      </c>
      <c r="M21" s="88">
        <v>46030</v>
      </c>
      <c r="N21" s="69">
        <v>30360.55</v>
      </c>
      <c r="O21" s="88">
        <v>46030</v>
      </c>
      <c r="P21" s="69">
        <v>4739.07</v>
      </c>
      <c r="Q21" s="88">
        <v>46030</v>
      </c>
      <c r="R21" s="69">
        <v>1669.57</v>
      </c>
      <c r="S21" s="88">
        <v>46030</v>
      </c>
      <c r="T21" s="69">
        <v>6320.67</v>
      </c>
      <c r="U21" s="88">
        <v>46030</v>
      </c>
      <c r="V21" s="69">
        <v>4082.98</v>
      </c>
      <c r="W21" s="88">
        <v>46030</v>
      </c>
      <c r="X21" s="69">
        <v>2624.99</v>
      </c>
      <c r="Y21" s="88">
        <v>46030</v>
      </c>
      <c r="Z21" s="69">
        <v>4737.6499999999996</v>
      </c>
      <c r="AA21" s="88">
        <v>46030</v>
      </c>
      <c r="AB21" s="69">
        <v>26149.31</v>
      </c>
      <c r="AC21" s="88">
        <v>46030</v>
      </c>
      <c r="AD21" s="69">
        <v>9039.34</v>
      </c>
      <c r="AE21" s="88">
        <v>46030</v>
      </c>
      <c r="AF21" s="69">
        <v>8925.4699999999993</v>
      </c>
      <c r="AG21" s="88">
        <v>46030</v>
      </c>
      <c r="AH21" s="69">
        <v>1253.5999999999999</v>
      </c>
      <c r="AI21" s="88">
        <v>46030</v>
      </c>
      <c r="AJ21" s="69">
        <v>84180.96</v>
      </c>
      <c r="AK21" s="88">
        <v>46030</v>
      </c>
      <c r="AL21" s="69">
        <v>1855.56</v>
      </c>
      <c r="AM21" s="88">
        <v>46030</v>
      </c>
      <c r="AN21" s="69">
        <v>185589.9</v>
      </c>
      <c r="AO21" s="88">
        <v>46030</v>
      </c>
      <c r="AP21" s="69">
        <v>6126</v>
      </c>
      <c r="AQ21" s="88">
        <v>46030</v>
      </c>
      <c r="AR21" s="69">
        <v>6252.99</v>
      </c>
      <c r="AS21" s="88">
        <v>46030</v>
      </c>
      <c r="AT21" s="69">
        <v>9443.7199999999993</v>
      </c>
      <c r="AU21" s="88">
        <v>46030</v>
      </c>
      <c r="AV21" s="69">
        <v>10969.33</v>
      </c>
      <c r="AW21" s="88">
        <v>46030</v>
      </c>
      <c r="AX21" s="69">
        <v>3553.35</v>
      </c>
      <c r="AY21" s="88">
        <v>46030</v>
      </c>
      <c r="AZ21" s="69">
        <v>10473.23</v>
      </c>
      <c r="BA21" s="88">
        <v>46030</v>
      </c>
      <c r="BB21" s="69">
        <v>3878.85</v>
      </c>
      <c r="BC21" s="88">
        <v>46030</v>
      </c>
      <c r="BD21" s="69">
        <v>1094.8</v>
      </c>
      <c r="BE21" s="88">
        <v>46030</v>
      </c>
      <c r="BF21" s="69">
        <v>12087.97</v>
      </c>
      <c r="BG21" s="88">
        <v>46030</v>
      </c>
      <c r="BH21" s="69">
        <v>1715.96</v>
      </c>
      <c r="BI21" s="88">
        <v>46030</v>
      </c>
      <c r="BJ21" s="69">
        <v>1940.35</v>
      </c>
      <c r="BK21" s="88">
        <v>46030</v>
      </c>
      <c r="BL21" s="69">
        <v>17654.7</v>
      </c>
      <c r="BM21" s="88">
        <v>46030</v>
      </c>
      <c r="BN21" s="69">
        <v>5228.7700000000004</v>
      </c>
      <c r="BO21" s="88">
        <v>46030</v>
      </c>
      <c r="BP21" s="69">
        <v>13350.82</v>
      </c>
      <c r="BQ21" s="88">
        <v>46030</v>
      </c>
      <c r="BR21" s="69">
        <v>25127.46</v>
      </c>
      <c r="BS21" s="88">
        <v>46030</v>
      </c>
      <c r="BT21" s="69">
        <v>10044.69</v>
      </c>
      <c r="BU21" s="88">
        <v>46030</v>
      </c>
      <c r="BV21" s="69">
        <v>1059.8599999999999</v>
      </c>
      <c r="BW21" s="88">
        <v>46030</v>
      </c>
      <c r="BX21" s="69">
        <v>965.03</v>
      </c>
      <c r="BY21" s="88">
        <v>46030</v>
      </c>
      <c r="BZ21" s="69">
        <v>8243.4699999999993</v>
      </c>
      <c r="CA21" s="88">
        <v>46030</v>
      </c>
      <c r="CB21" s="69">
        <v>2204.2399999999998</v>
      </c>
      <c r="CC21" s="88">
        <v>46030</v>
      </c>
      <c r="CD21" s="69">
        <v>45671.7</v>
      </c>
      <c r="CE21" s="88">
        <v>46030</v>
      </c>
      <c r="CF21" s="69">
        <v>119960.9</v>
      </c>
      <c r="CG21" s="88">
        <v>46030</v>
      </c>
      <c r="CH21" s="69">
        <v>8486.7900000000009</v>
      </c>
      <c r="CI21" s="88">
        <v>46030</v>
      </c>
      <c r="CJ21" s="69">
        <v>5412.09</v>
      </c>
      <c r="CK21" s="88">
        <v>46030</v>
      </c>
      <c r="CL21" s="69">
        <v>926.16</v>
      </c>
      <c r="CM21" s="88">
        <v>46030</v>
      </c>
      <c r="CN21" s="69">
        <v>1267.03</v>
      </c>
      <c r="CO21" s="88">
        <v>46030</v>
      </c>
      <c r="CP21" s="69">
        <v>5770.94</v>
      </c>
      <c r="CQ21" s="88">
        <v>46030</v>
      </c>
      <c r="CR21" s="69">
        <v>115909.6</v>
      </c>
      <c r="CS21" s="88">
        <v>46030</v>
      </c>
      <c r="CT21" s="69">
        <v>13046.32</v>
      </c>
      <c r="CU21" s="88">
        <v>46030</v>
      </c>
      <c r="CV21" s="69">
        <v>41856.76</v>
      </c>
      <c r="CW21" s="88">
        <v>46030</v>
      </c>
      <c r="CX21" s="69">
        <v>1817.75</v>
      </c>
      <c r="CY21" s="88">
        <v>46030</v>
      </c>
      <c r="CZ21" s="69">
        <v>2750.97</v>
      </c>
      <c r="DA21" s="88">
        <v>46030</v>
      </c>
      <c r="DB21" s="69">
        <v>5904.32</v>
      </c>
      <c r="DC21" s="88">
        <v>46030</v>
      </c>
      <c r="DD21" s="69">
        <v>2405.9499999999998</v>
      </c>
      <c r="DE21" s="88">
        <v>46030</v>
      </c>
      <c r="DF21" s="69">
        <v>54831.28</v>
      </c>
      <c r="DG21" s="88">
        <v>46030</v>
      </c>
      <c r="DH21" s="69">
        <v>162936.48000000001</v>
      </c>
      <c r="DI21" s="88">
        <v>46030</v>
      </c>
      <c r="DJ21" s="69">
        <v>3074879.75</v>
      </c>
      <c r="DK21" s="88">
        <v>46030</v>
      </c>
      <c r="DL21" s="69">
        <v>34937.730000000003</v>
      </c>
      <c r="DM21" s="88">
        <v>46030</v>
      </c>
      <c r="DN21" s="69">
        <v>32378.639999999999</v>
      </c>
      <c r="DO21" s="88">
        <v>46030</v>
      </c>
      <c r="DP21" s="69">
        <v>49266.11</v>
      </c>
      <c r="DQ21" s="88">
        <v>46030</v>
      </c>
      <c r="DR21" s="69">
        <v>23480.02</v>
      </c>
      <c r="DS21" s="88">
        <v>46030</v>
      </c>
      <c r="DT21" s="69">
        <v>6921.46</v>
      </c>
      <c r="DU21" s="88">
        <v>46030</v>
      </c>
      <c r="DV21" s="69">
        <v>65521.01</v>
      </c>
      <c r="DW21" s="88">
        <v>46030</v>
      </c>
      <c r="DX21" s="69">
        <v>5097.3900000000003</v>
      </c>
      <c r="DY21" s="88">
        <v>46030</v>
      </c>
      <c r="DZ21" s="70">
        <v>2187.0700000000002</v>
      </c>
    </row>
    <row r="22" spans="1:130" ht="15" customHeight="1" x14ac:dyDescent="0.2">
      <c r="A22" s="123">
        <v>46030</v>
      </c>
      <c r="B22" s="74">
        <v>1855.56</v>
      </c>
      <c r="C22" s="123"/>
      <c r="D22" s="123"/>
      <c r="G22" s="92">
        <v>46029</v>
      </c>
      <c r="H22" s="69">
        <v>1861.58</v>
      </c>
      <c r="I22" s="88">
        <v>46029</v>
      </c>
      <c r="J22" s="69">
        <v>9018</v>
      </c>
      <c r="K22" s="88">
        <v>46029</v>
      </c>
      <c r="L22" s="69">
        <v>51961.98</v>
      </c>
      <c r="M22" s="88">
        <v>46029</v>
      </c>
      <c r="N22" s="69">
        <v>30435.47</v>
      </c>
      <c r="O22" s="88">
        <v>46029</v>
      </c>
      <c r="P22" s="69">
        <v>4747.62</v>
      </c>
      <c r="Q22" s="88">
        <v>46029</v>
      </c>
      <c r="R22" s="69">
        <v>1676.83</v>
      </c>
      <c r="S22" s="88">
        <v>46029</v>
      </c>
      <c r="T22" s="69">
        <v>6292.09</v>
      </c>
      <c r="U22" s="88">
        <v>46029</v>
      </c>
      <c r="V22" s="69">
        <v>4085.77</v>
      </c>
      <c r="W22" s="88">
        <v>46029</v>
      </c>
      <c r="X22" s="69">
        <v>2620.52</v>
      </c>
      <c r="Y22" s="88">
        <v>46029</v>
      </c>
      <c r="Z22" s="69">
        <v>4776.67</v>
      </c>
      <c r="AA22" s="88">
        <v>46029</v>
      </c>
      <c r="AB22" s="69">
        <v>26458.95</v>
      </c>
      <c r="AC22" s="88">
        <v>46029</v>
      </c>
      <c r="AD22" s="69">
        <v>9138.75</v>
      </c>
      <c r="AE22" s="88">
        <v>46029</v>
      </c>
      <c r="AF22" s="69">
        <v>8944.81</v>
      </c>
      <c r="AG22" s="88">
        <v>46029</v>
      </c>
      <c r="AH22" s="69">
        <v>1280.82</v>
      </c>
      <c r="AI22" s="88">
        <v>46029</v>
      </c>
      <c r="AJ22" s="69">
        <v>84961.14</v>
      </c>
      <c r="AK22" s="88">
        <v>46029</v>
      </c>
      <c r="AL22" s="69">
        <v>1861.58</v>
      </c>
      <c r="AM22" s="88">
        <v>46029</v>
      </c>
      <c r="AN22" s="69">
        <v>186518.72</v>
      </c>
      <c r="AO22" s="88">
        <v>46029</v>
      </c>
      <c r="AP22" s="69">
        <v>6099.7</v>
      </c>
      <c r="AQ22" s="88">
        <v>46029</v>
      </c>
      <c r="AR22" s="69">
        <v>6248.56</v>
      </c>
      <c r="AS22" s="88">
        <v>46029</v>
      </c>
      <c r="AT22" s="69">
        <v>9463.3799999999992</v>
      </c>
      <c r="AU22" s="88">
        <v>46029</v>
      </c>
      <c r="AV22" s="69">
        <v>11061.78</v>
      </c>
      <c r="AW22" s="88">
        <v>46029</v>
      </c>
      <c r="AX22" s="69">
        <v>3560.72</v>
      </c>
      <c r="AY22" s="88">
        <v>46029</v>
      </c>
      <c r="AZ22" s="69">
        <v>10455.14</v>
      </c>
      <c r="BA22" s="88">
        <v>46029</v>
      </c>
      <c r="BB22" s="69">
        <v>3893.87</v>
      </c>
      <c r="BC22" s="88">
        <v>46029</v>
      </c>
      <c r="BD22" s="69"/>
      <c r="BE22" s="88">
        <v>46029</v>
      </c>
      <c r="BF22" s="69">
        <v>12028.84</v>
      </c>
      <c r="BG22" s="88">
        <v>46029</v>
      </c>
      <c r="BH22" s="69">
        <v>1714.74</v>
      </c>
      <c r="BI22" s="88">
        <v>46029</v>
      </c>
      <c r="BJ22" s="69">
        <v>1936.8</v>
      </c>
      <c r="BK22" s="88">
        <v>46029</v>
      </c>
      <c r="BL22" s="69">
        <v>17596.400000000001</v>
      </c>
      <c r="BM22" s="88">
        <v>46029</v>
      </c>
      <c r="BN22" s="69">
        <v>5220.95</v>
      </c>
      <c r="BO22" s="88">
        <v>46029</v>
      </c>
      <c r="BP22" s="69">
        <v>13324.03</v>
      </c>
      <c r="BQ22" s="88">
        <v>46029</v>
      </c>
      <c r="BR22" s="69">
        <v>25122.26</v>
      </c>
      <c r="BS22" s="88">
        <v>46029</v>
      </c>
      <c r="BT22" s="69">
        <v>10048.209999999999</v>
      </c>
      <c r="BU22" s="88">
        <v>46029</v>
      </c>
      <c r="BV22" s="69">
        <v>1069.68</v>
      </c>
      <c r="BW22" s="88">
        <v>46029</v>
      </c>
      <c r="BX22" s="69">
        <v>979.15</v>
      </c>
      <c r="BY22" s="88">
        <v>46029</v>
      </c>
      <c r="BZ22" s="69">
        <v>8233.92</v>
      </c>
      <c r="CA22" s="88">
        <v>46029</v>
      </c>
      <c r="CB22" s="69">
        <v>2163.88</v>
      </c>
      <c r="CC22" s="88">
        <v>46029</v>
      </c>
      <c r="CD22" s="69">
        <v>45558.68</v>
      </c>
      <c r="CE22" s="88">
        <v>46029</v>
      </c>
      <c r="CF22" s="69">
        <v>122425.06</v>
      </c>
      <c r="CG22" s="88">
        <v>46029</v>
      </c>
      <c r="CH22" s="69">
        <v>8479.08</v>
      </c>
      <c r="CI22" s="88">
        <v>46029</v>
      </c>
      <c r="CJ22" s="69">
        <v>5410.14</v>
      </c>
      <c r="CK22" s="88">
        <v>46029</v>
      </c>
      <c r="CL22" s="69">
        <v>925.87</v>
      </c>
      <c r="CM22" s="88">
        <v>46029</v>
      </c>
      <c r="CN22" s="69">
        <v>1254.31</v>
      </c>
      <c r="CO22" s="88">
        <v>46029</v>
      </c>
      <c r="CP22" s="69">
        <v>5831.26</v>
      </c>
      <c r="CQ22" s="88">
        <v>46029</v>
      </c>
      <c r="CR22" s="69">
        <v>116560.13</v>
      </c>
      <c r="CS22" s="88">
        <v>46029</v>
      </c>
      <c r="CT22" s="69">
        <v>12973.3</v>
      </c>
      <c r="CU22" s="88">
        <v>46029</v>
      </c>
      <c r="CV22" s="69"/>
      <c r="CW22" s="88">
        <v>46029</v>
      </c>
      <c r="CX22" s="69">
        <v>1833.17</v>
      </c>
      <c r="CY22" s="88">
        <v>46029</v>
      </c>
      <c r="CZ22" s="69">
        <v>2746.03</v>
      </c>
      <c r="DA22" s="88">
        <v>46029</v>
      </c>
      <c r="DB22" s="69">
        <v>5923.57</v>
      </c>
      <c r="DC22" s="88">
        <v>46029</v>
      </c>
      <c r="DD22" s="69">
        <v>2409.63</v>
      </c>
      <c r="DE22" s="88">
        <v>46029</v>
      </c>
      <c r="DF22" s="69">
        <v>54646.22</v>
      </c>
      <c r="DG22" s="88">
        <v>46029</v>
      </c>
      <c r="DH22" s="69">
        <v>161975.24</v>
      </c>
      <c r="DI22" s="88">
        <v>46029</v>
      </c>
      <c r="DJ22" s="69">
        <v>3013957</v>
      </c>
      <c r="DK22" s="88">
        <v>46029</v>
      </c>
      <c r="DL22" s="69">
        <v>34937.730000000003</v>
      </c>
      <c r="DM22" s="88">
        <v>46029</v>
      </c>
      <c r="DN22" s="69">
        <v>32135.49</v>
      </c>
      <c r="DO22" s="88">
        <v>46029</v>
      </c>
      <c r="DP22" s="69">
        <v>48996.08</v>
      </c>
      <c r="DQ22" s="88">
        <v>46029</v>
      </c>
      <c r="DR22" s="69">
        <v>23584.27</v>
      </c>
      <c r="DS22" s="88">
        <v>46029</v>
      </c>
      <c r="DT22" s="69">
        <v>6920.93</v>
      </c>
      <c r="DU22" s="88">
        <v>46029</v>
      </c>
      <c r="DV22" s="69">
        <v>64871.7</v>
      </c>
      <c r="DW22" s="88">
        <v>46029</v>
      </c>
      <c r="DX22" s="69">
        <v>4458.84</v>
      </c>
      <c r="DY22" s="88">
        <v>46029</v>
      </c>
      <c r="DZ22" s="70">
        <v>2171.87</v>
      </c>
    </row>
    <row r="23" spans="1:130" ht="15" customHeight="1" x14ac:dyDescent="0.2">
      <c r="A23" s="123">
        <v>46029</v>
      </c>
      <c r="B23" s="74">
        <v>1861.58</v>
      </c>
      <c r="C23" s="123"/>
      <c r="D23" s="123"/>
      <c r="G23" s="92">
        <v>46028</v>
      </c>
      <c r="H23" s="69">
        <v>1816.27</v>
      </c>
      <c r="I23" s="88">
        <v>46028</v>
      </c>
      <c r="J23" s="69">
        <v>8996.92</v>
      </c>
      <c r="K23" s="88">
        <v>46028</v>
      </c>
      <c r="L23" s="69">
        <v>52518.080000000002</v>
      </c>
      <c r="M23" s="88">
        <v>46028</v>
      </c>
      <c r="N23" s="69">
        <v>30576.3</v>
      </c>
      <c r="O23" s="88">
        <v>46028</v>
      </c>
      <c r="P23" s="69">
        <v>4739.97</v>
      </c>
      <c r="Q23" s="88">
        <v>46028</v>
      </c>
      <c r="R23" s="69">
        <v>1672.35</v>
      </c>
      <c r="S23" s="88">
        <v>46028</v>
      </c>
      <c r="T23" s="69">
        <v>6317.91</v>
      </c>
      <c r="U23" s="88">
        <v>46028</v>
      </c>
      <c r="V23" s="69">
        <v>4083.67</v>
      </c>
      <c r="W23" s="88">
        <v>46028</v>
      </c>
      <c r="X23" s="69">
        <v>2617.77</v>
      </c>
      <c r="Y23" s="88">
        <v>46028</v>
      </c>
      <c r="Z23" s="69">
        <v>4790.6899999999996</v>
      </c>
      <c r="AA23" s="88">
        <v>46028</v>
      </c>
      <c r="AB23" s="69">
        <v>26710.45</v>
      </c>
      <c r="AC23" s="88">
        <v>46028</v>
      </c>
      <c r="AD23" s="69">
        <v>9244.24</v>
      </c>
      <c r="AE23" s="88">
        <v>46028</v>
      </c>
      <c r="AF23" s="69">
        <v>8933.61</v>
      </c>
      <c r="AG23" s="88">
        <v>46028</v>
      </c>
      <c r="AH23" s="69">
        <v>1274.75</v>
      </c>
      <c r="AI23" s="88">
        <v>46028</v>
      </c>
      <c r="AJ23" s="69">
        <v>85063.34</v>
      </c>
      <c r="AK23" s="88">
        <v>46028</v>
      </c>
      <c r="AL23" s="69">
        <v>1816.27</v>
      </c>
      <c r="AM23" s="88">
        <v>46028</v>
      </c>
      <c r="AN23" s="69">
        <v>185062.11</v>
      </c>
      <c r="AO23" s="88">
        <v>46028</v>
      </c>
      <c r="AP23" s="69">
        <v>6024.74</v>
      </c>
      <c r="AQ23" s="88">
        <v>46028</v>
      </c>
      <c r="AR23" s="69">
        <v>6182.55</v>
      </c>
      <c r="AS23" s="88">
        <v>46028</v>
      </c>
      <c r="AT23" s="69">
        <v>9439.09</v>
      </c>
      <c r="AU23" s="88">
        <v>46028</v>
      </c>
      <c r="AV23" s="69">
        <v>10989.53</v>
      </c>
      <c r="AW23" s="88">
        <v>46028</v>
      </c>
      <c r="AX23" s="69">
        <v>3582.26</v>
      </c>
      <c r="AY23" s="88">
        <v>46028</v>
      </c>
      <c r="AZ23" s="69">
        <v>10290.76</v>
      </c>
      <c r="BA23" s="88">
        <v>46028</v>
      </c>
      <c r="BB23" s="69">
        <v>3890.8</v>
      </c>
      <c r="BC23" s="88">
        <v>46028</v>
      </c>
      <c r="BD23" s="69">
        <v>1105.53</v>
      </c>
      <c r="BE23" s="88">
        <v>46028</v>
      </c>
      <c r="BF23" s="69">
        <v>12023.78</v>
      </c>
      <c r="BG23" s="88">
        <v>46028</v>
      </c>
      <c r="BH23" s="69">
        <v>1711.39</v>
      </c>
      <c r="BI23" s="88">
        <v>46028</v>
      </c>
      <c r="BJ23" s="69">
        <v>1954.56</v>
      </c>
      <c r="BK23" s="88">
        <v>46028</v>
      </c>
      <c r="BL23" s="69">
        <v>17647.099999999999</v>
      </c>
      <c r="BM23" s="88">
        <v>46028</v>
      </c>
      <c r="BN23" s="69">
        <v>5182.87</v>
      </c>
      <c r="BO23" s="88">
        <v>46028</v>
      </c>
      <c r="BP23" s="69">
        <v>13322.15</v>
      </c>
      <c r="BQ23" s="88">
        <v>46028</v>
      </c>
      <c r="BR23" s="69">
        <v>24892.2</v>
      </c>
      <c r="BS23" s="88">
        <v>46028</v>
      </c>
      <c r="BT23" s="69">
        <v>10122.73</v>
      </c>
      <c r="BU23" s="88">
        <v>46028</v>
      </c>
      <c r="BV23" s="69"/>
      <c r="BW23" s="88">
        <v>46028</v>
      </c>
      <c r="BX23" s="69">
        <v>991.67</v>
      </c>
      <c r="BY23" s="88">
        <v>46028</v>
      </c>
      <c r="BZ23" s="69">
        <v>8237.43</v>
      </c>
      <c r="CA23" s="88">
        <v>46028</v>
      </c>
      <c r="CB23" s="69"/>
      <c r="CC23" s="88">
        <v>46028</v>
      </c>
      <c r="CD23" s="69">
        <v>45753.43</v>
      </c>
      <c r="CE23" s="88">
        <v>46028</v>
      </c>
      <c r="CF23" s="69"/>
      <c r="CG23" s="88">
        <v>46028</v>
      </c>
      <c r="CH23" s="69">
        <v>8514.3700000000008</v>
      </c>
      <c r="CI23" s="88">
        <v>46028</v>
      </c>
      <c r="CJ23" s="69">
        <v>5415.39</v>
      </c>
      <c r="CK23" s="88">
        <v>46028</v>
      </c>
      <c r="CL23" s="69">
        <v>929.91</v>
      </c>
      <c r="CM23" s="88">
        <v>46028</v>
      </c>
      <c r="CN23" s="69">
        <v>1222.95</v>
      </c>
      <c r="CO23" s="88">
        <v>46028</v>
      </c>
      <c r="CP23" s="69"/>
      <c r="CQ23" s="88">
        <v>46028</v>
      </c>
      <c r="CR23" s="69">
        <v>116425.9</v>
      </c>
      <c r="CS23" s="88">
        <v>46028</v>
      </c>
      <c r="CT23" s="69">
        <v>13081.31</v>
      </c>
      <c r="CU23" s="88">
        <v>46028</v>
      </c>
      <c r="CV23" s="69">
        <v>41543.46</v>
      </c>
      <c r="CW23" s="88">
        <v>46028</v>
      </c>
      <c r="CX23" s="69">
        <v>1806.84</v>
      </c>
      <c r="CY23" s="88">
        <v>46028</v>
      </c>
      <c r="CZ23" s="69">
        <v>2743.35</v>
      </c>
      <c r="DA23" s="88">
        <v>46028</v>
      </c>
      <c r="DB23" s="69">
        <v>5931.79</v>
      </c>
      <c r="DC23" s="88">
        <v>46028</v>
      </c>
      <c r="DD23" s="69">
        <v>2413.21</v>
      </c>
      <c r="DE23" s="88">
        <v>46028</v>
      </c>
      <c r="DF23" s="69">
        <v>54860.95</v>
      </c>
      <c r="DG23" s="88">
        <v>46028</v>
      </c>
      <c r="DH23" s="69">
        <v>163663.88</v>
      </c>
      <c r="DI23" s="88">
        <v>46028</v>
      </c>
      <c r="DJ23" s="69">
        <v>3112376.75</v>
      </c>
      <c r="DK23" s="88">
        <v>46028</v>
      </c>
      <c r="DL23" s="69">
        <v>34937.730000000003</v>
      </c>
      <c r="DM23" s="88">
        <v>46028</v>
      </c>
      <c r="DN23" s="69">
        <v>32407.02</v>
      </c>
      <c r="DO23" s="88">
        <v>46028</v>
      </c>
      <c r="DP23" s="69">
        <v>49462.080000000002</v>
      </c>
      <c r="DQ23" s="88">
        <v>46028</v>
      </c>
      <c r="DR23" s="69">
        <v>23547.17</v>
      </c>
      <c r="DS23" s="88">
        <v>46028</v>
      </c>
      <c r="DT23" s="69">
        <v>6944.82</v>
      </c>
      <c r="DU23" s="88">
        <v>46028</v>
      </c>
      <c r="DV23" s="69">
        <v>65022.239999999998</v>
      </c>
      <c r="DW23" s="88">
        <v>46028</v>
      </c>
      <c r="DX23" s="69">
        <v>3896.77</v>
      </c>
      <c r="DY23" s="88">
        <v>46028</v>
      </c>
      <c r="DZ23" s="70">
        <v>2175.89</v>
      </c>
    </row>
    <row r="24" spans="1:130" ht="15" customHeight="1" x14ac:dyDescent="0.2">
      <c r="A24" s="123">
        <v>46028</v>
      </c>
      <c r="B24" s="74">
        <v>1816.27</v>
      </c>
      <c r="C24" s="123"/>
      <c r="D24" s="123"/>
      <c r="G24" s="92">
        <v>46027</v>
      </c>
      <c r="H24" s="69">
        <v>1788.4</v>
      </c>
      <c r="I24" s="88">
        <v>46027</v>
      </c>
      <c r="J24" s="69">
        <v>9034.69</v>
      </c>
      <c r="K24" s="88">
        <v>46027</v>
      </c>
      <c r="L24" s="69">
        <v>51832.800000000003</v>
      </c>
      <c r="M24" s="88">
        <v>46027</v>
      </c>
      <c r="N24" s="69">
        <v>30105.040000000001</v>
      </c>
      <c r="O24" s="88">
        <v>46027</v>
      </c>
      <c r="P24" s="69">
        <v>4680.5</v>
      </c>
      <c r="Q24" s="88">
        <v>46027</v>
      </c>
      <c r="R24" s="69">
        <v>1680.32</v>
      </c>
      <c r="S24" s="88">
        <v>46027</v>
      </c>
      <c r="T24" s="69">
        <v>6164.53</v>
      </c>
      <c r="U24" s="88">
        <v>46027</v>
      </c>
      <c r="V24" s="69">
        <v>4023.42</v>
      </c>
      <c r="W24" s="88">
        <v>46027</v>
      </c>
      <c r="X24" s="69">
        <v>2581.52</v>
      </c>
      <c r="Y24" s="88">
        <v>46027</v>
      </c>
      <c r="Z24" s="69">
        <v>4717.75</v>
      </c>
      <c r="AA24" s="88">
        <v>46027</v>
      </c>
      <c r="AB24" s="69">
        <v>26347.24</v>
      </c>
      <c r="AC24" s="88">
        <v>46027</v>
      </c>
      <c r="AD24" s="69">
        <v>9148.4699999999993</v>
      </c>
      <c r="AE24" s="88">
        <v>46027</v>
      </c>
      <c r="AF24" s="69">
        <v>8859.19</v>
      </c>
      <c r="AG24" s="88">
        <v>46027</v>
      </c>
      <c r="AH24" s="69">
        <v>1280.05</v>
      </c>
      <c r="AI24" s="88">
        <v>46027</v>
      </c>
      <c r="AJ24" s="69">
        <v>85439.62</v>
      </c>
      <c r="AK24" s="88">
        <v>46027</v>
      </c>
      <c r="AL24" s="69">
        <v>1788.4</v>
      </c>
      <c r="AM24" s="88">
        <v>46027</v>
      </c>
      <c r="AN24" s="69">
        <v>182408.24</v>
      </c>
      <c r="AO24" s="88">
        <v>46027</v>
      </c>
      <c r="AP24" s="69">
        <v>6006.1</v>
      </c>
      <c r="AQ24" s="88">
        <v>46027</v>
      </c>
      <c r="AR24" s="69">
        <v>6130.4</v>
      </c>
      <c r="AS24" s="88">
        <v>46027</v>
      </c>
      <c r="AT24" s="69">
        <v>9427.68</v>
      </c>
      <c r="AU24" s="88">
        <v>46027</v>
      </c>
      <c r="AV24" s="69">
        <v>10967.86</v>
      </c>
      <c r="AW24" s="88">
        <v>46027</v>
      </c>
      <c r="AX24" s="69">
        <v>3567.52</v>
      </c>
      <c r="AY24" s="88">
        <v>46027</v>
      </c>
      <c r="AZ24" s="69">
        <v>10325.200000000001</v>
      </c>
      <c r="BA24" s="88">
        <v>46027</v>
      </c>
      <c r="BB24" s="69">
        <v>3794.16</v>
      </c>
      <c r="BC24" s="88">
        <v>46027</v>
      </c>
      <c r="BD24" s="69">
        <v>1110.29</v>
      </c>
      <c r="BE24" s="88">
        <v>46027</v>
      </c>
      <c r="BF24" s="69">
        <v>11702</v>
      </c>
      <c r="BG24" s="88">
        <v>46027</v>
      </c>
      <c r="BH24" s="69">
        <v>1658.6</v>
      </c>
      <c r="BI24" s="88">
        <v>46027</v>
      </c>
      <c r="BJ24" s="69">
        <v>1939.88</v>
      </c>
      <c r="BK24" s="88">
        <v>46027</v>
      </c>
      <c r="BL24" s="69">
        <v>17614.400000000001</v>
      </c>
      <c r="BM24" s="88">
        <v>46027</v>
      </c>
      <c r="BN24" s="69">
        <v>5099.49</v>
      </c>
      <c r="BO24" s="88">
        <v>46027</v>
      </c>
      <c r="BP24" s="69">
        <v>13247.32</v>
      </c>
      <c r="BQ24" s="88">
        <v>46027</v>
      </c>
      <c r="BR24" s="69">
        <v>24868.69</v>
      </c>
      <c r="BS24" s="88">
        <v>46027</v>
      </c>
      <c r="BT24" s="69">
        <v>10004.57</v>
      </c>
      <c r="BU24" s="88">
        <v>46027</v>
      </c>
      <c r="BV24" s="69">
        <v>1046.19</v>
      </c>
      <c r="BW24" s="88">
        <v>46027</v>
      </c>
      <c r="BX24" s="69">
        <v>985.12</v>
      </c>
      <c r="BY24" s="88">
        <v>46027</v>
      </c>
      <c r="BZ24" s="69">
        <v>8211.5</v>
      </c>
      <c r="CA24" s="88">
        <v>46027</v>
      </c>
      <c r="CB24" s="69">
        <v>2154.4</v>
      </c>
      <c r="CC24" s="88">
        <v>46027</v>
      </c>
      <c r="CD24" s="69">
        <v>45847.32</v>
      </c>
      <c r="CE24" s="88">
        <v>46027</v>
      </c>
      <c r="CF24" s="69">
        <v>120337.25</v>
      </c>
      <c r="CG24" s="88">
        <v>46027</v>
      </c>
      <c r="CH24" s="69">
        <v>8469.61</v>
      </c>
      <c r="CI24" s="88">
        <v>46027</v>
      </c>
      <c r="CJ24" s="69">
        <v>5394.76</v>
      </c>
      <c r="CK24" s="88">
        <v>46027</v>
      </c>
      <c r="CL24" s="69">
        <v>927.44</v>
      </c>
      <c r="CM24" s="88">
        <v>46027</v>
      </c>
      <c r="CN24" s="69">
        <v>1195.0999999999999</v>
      </c>
      <c r="CO24" s="88">
        <v>46027</v>
      </c>
      <c r="CP24" s="69">
        <v>5766.68</v>
      </c>
      <c r="CQ24" s="88">
        <v>46027</v>
      </c>
      <c r="CR24" s="69">
        <v>113182.3</v>
      </c>
      <c r="CS24" s="88">
        <v>46027</v>
      </c>
      <c r="CT24" s="69">
        <v>13188.06</v>
      </c>
      <c r="CU24" s="88">
        <v>46027</v>
      </c>
      <c r="CV24" s="69">
        <v>40676.980000000003</v>
      </c>
      <c r="CW24" s="88">
        <v>46027</v>
      </c>
      <c r="CX24" s="69">
        <v>1811.66</v>
      </c>
      <c r="CY24" s="88">
        <v>46027</v>
      </c>
      <c r="CZ24" s="69">
        <v>2714.06</v>
      </c>
      <c r="DA24" s="88">
        <v>46027</v>
      </c>
      <c r="DB24" s="69">
        <v>5923.69</v>
      </c>
      <c r="DC24" s="88">
        <v>46027</v>
      </c>
      <c r="DD24" s="69">
        <v>2399.3000000000002</v>
      </c>
      <c r="DE24" s="88">
        <v>46027</v>
      </c>
      <c r="DF24" s="69">
        <v>53721.64</v>
      </c>
      <c r="DG24" s="88">
        <v>46027</v>
      </c>
      <c r="DH24" s="69">
        <v>161869.76000000001</v>
      </c>
      <c r="DI24" s="88">
        <v>46027</v>
      </c>
      <c r="DJ24" s="69">
        <v>3130197</v>
      </c>
      <c r="DK24" s="88">
        <v>46027</v>
      </c>
      <c r="DL24" s="69">
        <v>34937.730000000003</v>
      </c>
      <c r="DM24" s="88">
        <v>46027</v>
      </c>
      <c r="DN24" s="69">
        <v>32219.95</v>
      </c>
      <c r="DO24" s="88">
        <v>46027</v>
      </c>
      <c r="DP24" s="69">
        <v>48977.18</v>
      </c>
      <c r="DQ24" s="88">
        <v>46027</v>
      </c>
      <c r="DR24" s="69">
        <v>23395.82</v>
      </c>
      <c r="DS24" s="88">
        <v>46027</v>
      </c>
      <c r="DT24" s="69">
        <v>6902.05</v>
      </c>
      <c r="DU24" s="88">
        <v>46027</v>
      </c>
      <c r="DV24" s="69">
        <v>65014.37</v>
      </c>
      <c r="DW24" s="88">
        <v>46027</v>
      </c>
      <c r="DX24" s="69">
        <v>2597.6799999999998</v>
      </c>
      <c r="DY24" s="88">
        <v>46027</v>
      </c>
      <c r="DZ24" s="70">
        <v>2134.2600000000002</v>
      </c>
    </row>
    <row r="25" spans="1:130" ht="15" customHeight="1" x14ac:dyDescent="0.2">
      <c r="A25" s="123">
        <v>46027</v>
      </c>
      <c r="B25" s="74">
        <v>1788.4</v>
      </c>
      <c r="C25" s="123"/>
      <c r="D25" s="123"/>
      <c r="G25" s="92">
        <v>46026</v>
      </c>
      <c r="H25" s="69"/>
      <c r="I25" s="88">
        <v>46026</v>
      </c>
      <c r="J25" s="69"/>
      <c r="K25" s="88">
        <v>46026</v>
      </c>
      <c r="L25" s="69"/>
      <c r="M25" s="88">
        <v>46026</v>
      </c>
      <c r="N25" s="69"/>
      <c r="O25" s="88">
        <v>46026</v>
      </c>
      <c r="P25" s="69"/>
      <c r="Q25" s="88">
        <v>46026</v>
      </c>
      <c r="R25" s="69"/>
      <c r="S25" s="88">
        <v>46026</v>
      </c>
      <c r="T25" s="69"/>
      <c r="U25" s="88">
        <v>46026</v>
      </c>
      <c r="V25" s="69"/>
      <c r="W25" s="88">
        <v>46026</v>
      </c>
      <c r="X25" s="69"/>
      <c r="Y25" s="88">
        <v>46026</v>
      </c>
      <c r="Z25" s="69"/>
      <c r="AA25" s="88">
        <v>46026</v>
      </c>
      <c r="AB25" s="69"/>
      <c r="AC25" s="88">
        <v>46026</v>
      </c>
      <c r="AD25" s="69"/>
      <c r="AE25" s="88">
        <v>46026</v>
      </c>
      <c r="AF25" s="69"/>
      <c r="AG25" s="88">
        <v>46026</v>
      </c>
      <c r="AH25" s="69"/>
      <c r="AI25" s="88">
        <v>46026</v>
      </c>
      <c r="AJ25" s="69"/>
      <c r="AK25" s="88">
        <v>46026</v>
      </c>
      <c r="AL25" s="69"/>
      <c r="AM25" s="88">
        <v>46026</v>
      </c>
      <c r="AN25" s="69"/>
      <c r="AO25" s="88">
        <v>46026</v>
      </c>
      <c r="AP25" s="69"/>
      <c r="AQ25" s="88">
        <v>46026</v>
      </c>
      <c r="AR25" s="69"/>
      <c r="AS25" s="88">
        <v>46026</v>
      </c>
      <c r="AT25" s="69"/>
      <c r="AU25" s="88">
        <v>46026</v>
      </c>
      <c r="AV25" s="69"/>
      <c r="AW25" s="88">
        <v>46026</v>
      </c>
      <c r="AX25" s="69"/>
      <c r="AY25" s="88">
        <v>46026</v>
      </c>
      <c r="AZ25" s="69"/>
      <c r="BA25" s="88">
        <v>46026</v>
      </c>
      <c r="BB25" s="69"/>
      <c r="BC25" s="88">
        <v>46026</v>
      </c>
      <c r="BD25" s="69"/>
      <c r="BE25" s="88">
        <v>46026</v>
      </c>
      <c r="BF25" s="69"/>
      <c r="BG25" s="88">
        <v>46026</v>
      </c>
      <c r="BH25" s="69"/>
      <c r="BI25" s="88">
        <v>46026</v>
      </c>
      <c r="BJ25" s="69"/>
      <c r="BK25" s="88">
        <v>46026</v>
      </c>
      <c r="BL25" s="69"/>
      <c r="BM25" s="88">
        <v>46026</v>
      </c>
      <c r="BN25" s="69"/>
      <c r="BO25" s="88">
        <v>46026</v>
      </c>
      <c r="BP25" s="69"/>
      <c r="BQ25" s="88">
        <v>46026</v>
      </c>
      <c r="BR25" s="69"/>
      <c r="BS25" s="88">
        <v>46026</v>
      </c>
      <c r="BT25" s="69"/>
      <c r="BU25" s="88">
        <v>46026</v>
      </c>
      <c r="BV25" s="69"/>
      <c r="BW25" s="88">
        <v>46026</v>
      </c>
      <c r="BX25" s="69"/>
      <c r="BY25" s="88">
        <v>46026</v>
      </c>
      <c r="BZ25" s="69"/>
      <c r="CA25" s="88">
        <v>46026</v>
      </c>
      <c r="CB25" s="69"/>
      <c r="CC25" s="88">
        <v>46026</v>
      </c>
      <c r="CD25" s="69"/>
      <c r="CE25" s="88">
        <v>46026</v>
      </c>
      <c r="CF25" s="69"/>
      <c r="CG25" s="88">
        <v>46026</v>
      </c>
      <c r="CH25" s="69"/>
      <c r="CI25" s="88">
        <v>46026</v>
      </c>
      <c r="CJ25" s="69"/>
      <c r="CK25" s="88">
        <v>46026</v>
      </c>
      <c r="CL25" s="69"/>
      <c r="CM25" s="88">
        <v>46026</v>
      </c>
      <c r="CN25" s="69"/>
      <c r="CO25" s="88">
        <v>46026</v>
      </c>
      <c r="CP25" s="69"/>
      <c r="CQ25" s="88">
        <v>46026</v>
      </c>
      <c r="CR25" s="69"/>
      <c r="CS25" s="88">
        <v>46026</v>
      </c>
      <c r="CT25" s="69"/>
      <c r="CU25" s="88">
        <v>46026</v>
      </c>
      <c r="CV25" s="69"/>
      <c r="CW25" s="88">
        <v>46026</v>
      </c>
      <c r="CX25" s="69"/>
      <c r="CY25" s="88">
        <v>46026</v>
      </c>
      <c r="CZ25" s="69"/>
      <c r="DA25" s="88">
        <v>46026</v>
      </c>
      <c r="DB25" s="69"/>
      <c r="DC25" s="88">
        <v>46026</v>
      </c>
      <c r="DD25" s="69"/>
      <c r="DE25" s="88">
        <v>46026</v>
      </c>
      <c r="DF25" s="69"/>
      <c r="DG25" s="88">
        <v>46026</v>
      </c>
      <c r="DH25" s="69"/>
      <c r="DI25" s="88">
        <v>46026</v>
      </c>
      <c r="DJ25" s="69"/>
      <c r="DK25" s="88">
        <v>46026</v>
      </c>
      <c r="DL25" s="69"/>
      <c r="DM25" s="88">
        <v>46026</v>
      </c>
      <c r="DN25" s="69"/>
      <c r="DO25" s="88">
        <v>46026</v>
      </c>
      <c r="DP25" s="69"/>
      <c r="DQ25" s="88">
        <v>46026</v>
      </c>
      <c r="DR25" s="69"/>
      <c r="DS25" s="88">
        <v>46026</v>
      </c>
      <c r="DT25" s="69"/>
      <c r="DU25" s="88">
        <v>46026</v>
      </c>
      <c r="DV25" s="69"/>
      <c r="DW25" s="88">
        <v>46026</v>
      </c>
      <c r="DX25" s="69"/>
      <c r="DY25" s="88">
        <v>46026</v>
      </c>
      <c r="DZ25" s="70"/>
    </row>
    <row r="26" spans="1:130" ht="15" customHeight="1" x14ac:dyDescent="0.2">
      <c r="A26" s="123">
        <v>46026</v>
      </c>
      <c r="C26" s="123"/>
      <c r="D26" s="123"/>
      <c r="G26" s="92">
        <v>46025</v>
      </c>
      <c r="H26" s="69"/>
      <c r="I26" s="88">
        <v>46025</v>
      </c>
      <c r="J26" s="69"/>
      <c r="K26" s="88">
        <v>46025</v>
      </c>
      <c r="L26" s="69"/>
      <c r="M26" s="88">
        <v>46025</v>
      </c>
      <c r="N26" s="69"/>
      <c r="O26" s="88">
        <v>46025</v>
      </c>
      <c r="P26" s="69"/>
      <c r="Q26" s="88">
        <v>46025</v>
      </c>
      <c r="R26" s="69"/>
      <c r="S26" s="88">
        <v>46025</v>
      </c>
      <c r="T26" s="69"/>
      <c r="U26" s="88">
        <v>46025</v>
      </c>
      <c r="V26" s="69"/>
      <c r="W26" s="88">
        <v>46025</v>
      </c>
      <c r="X26" s="69"/>
      <c r="Y26" s="88">
        <v>46025</v>
      </c>
      <c r="Z26" s="69"/>
      <c r="AA26" s="88">
        <v>46025</v>
      </c>
      <c r="AB26" s="69"/>
      <c r="AC26" s="88">
        <v>46025</v>
      </c>
      <c r="AD26" s="69"/>
      <c r="AE26" s="88">
        <v>46025</v>
      </c>
      <c r="AF26" s="69"/>
      <c r="AG26" s="88">
        <v>46025</v>
      </c>
      <c r="AH26" s="69"/>
      <c r="AI26" s="88">
        <v>46025</v>
      </c>
      <c r="AJ26" s="69"/>
      <c r="AK26" s="88">
        <v>46025</v>
      </c>
      <c r="AL26" s="69"/>
      <c r="AM26" s="88">
        <v>46025</v>
      </c>
      <c r="AN26" s="69"/>
      <c r="AO26" s="88">
        <v>46025</v>
      </c>
      <c r="AP26" s="69"/>
      <c r="AQ26" s="88">
        <v>46025</v>
      </c>
      <c r="AR26" s="69"/>
      <c r="AS26" s="88">
        <v>46025</v>
      </c>
      <c r="AT26" s="69"/>
      <c r="AU26" s="88">
        <v>46025</v>
      </c>
      <c r="AV26" s="69"/>
      <c r="AW26" s="88">
        <v>46025</v>
      </c>
      <c r="AX26" s="69"/>
      <c r="AY26" s="88">
        <v>46025</v>
      </c>
      <c r="AZ26" s="69"/>
      <c r="BA26" s="88">
        <v>46025</v>
      </c>
      <c r="BB26" s="69"/>
      <c r="BC26" s="88">
        <v>46025</v>
      </c>
      <c r="BD26" s="69"/>
      <c r="BE26" s="88">
        <v>46025</v>
      </c>
      <c r="BF26" s="69"/>
      <c r="BG26" s="88">
        <v>46025</v>
      </c>
      <c r="BH26" s="69"/>
      <c r="BI26" s="88">
        <v>46025</v>
      </c>
      <c r="BJ26" s="69"/>
      <c r="BK26" s="88">
        <v>46025</v>
      </c>
      <c r="BL26" s="69"/>
      <c r="BM26" s="88">
        <v>46025</v>
      </c>
      <c r="BN26" s="69"/>
      <c r="BO26" s="88">
        <v>46025</v>
      </c>
      <c r="BP26" s="69"/>
      <c r="BQ26" s="88">
        <v>46025</v>
      </c>
      <c r="BR26" s="69"/>
      <c r="BS26" s="88">
        <v>46025</v>
      </c>
      <c r="BT26" s="69"/>
      <c r="BU26" s="88">
        <v>46025</v>
      </c>
      <c r="BV26" s="69"/>
      <c r="BW26" s="88">
        <v>46025</v>
      </c>
      <c r="BX26" s="69"/>
      <c r="BY26" s="88">
        <v>46025</v>
      </c>
      <c r="BZ26" s="69"/>
      <c r="CA26" s="88">
        <v>46025</v>
      </c>
      <c r="CB26" s="69"/>
      <c r="CC26" s="88">
        <v>46025</v>
      </c>
      <c r="CD26" s="69"/>
      <c r="CE26" s="88">
        <v>46025</v>
      </c>
      <c r="CF26" s="69"/>
      <c r="CG26" s="88">
        <v>46025</v>
      </c>
      <c r="CH26" s="69"/>
      <c r="CI26" s="88">
        <v>46025</v>
      </c>
      <c r="CJ26" s="69"/>
      <c r="CK26" s="88">
        <v>46025</v>
      </c>
      <c r="CL26" s="69"/>
      <c r="CM26" s="88">
        <v>46025</v>
      </c>
      <c r="CN26" s="69"/>
      <c r="CO26" s="88">
        <v>46025</v>
      </c>
      <c r="CP26" s="69"/>
      <c r="CQ26" s="88">
        <v>46025</v>
      </c>
      <c r="CR26" s="69"/>
      <c r="CS26" s="88">
        <v>46025</v>
      </c>
      <c r="CT26" s="69"/>
      <c r="CU26" s="88">
        <v>46025</v>
      </c>
      <c r="CV26" s="69"/>
      <c r="CW26" s="88">
        <v>46025</v>
      </c>
      <c r="CX26" s="69"/>
      <c r="CY26" s="88">
        <v>46025</v>
      </c>
      <c r="CZ26" s="69"/>
      <c r="DA26" s="88">
        <v>46025</v>
      </c>
      <c r="DB26" s="69"/>
      <c r="DC26" s="88">
        <v>46025</v>
      </c>
      <c r="DD26" s="69"/>
      <c r="DE26" s="88">
        <v>46025</v>
      </c>
      <c r="DF26" s="69"/>
      <c r="DG26" s="88">
        <v>46025</v>
      </c>
      <c r="DH26" s="69"/>
      <c r="DI26" s="88">
        <v>46025</v>
      </c>
      <c r="DJ26" s="69"/>
      <c r="DK26" s="88">
        <v>46025</v>
      </c>
      <c r="DL26" s="69"/>
      <c r="DM26" s="88">
        <v>46025</v>
      </c>
      <c r="DN26" s="69"/>
      <c r="DO26" s="88">
        <v>46025</v>
      </c>
      <c r="DP26" s="69"/>
      <c r="DQ26" s="88">
        <v>46025</v>
      </c>
      <c r="DR26" s="69"/>
      <c r="DS26" s="88">
        <v>46025</v>
      </c>
      <c r="DT26" s="69"/>
      <c r="DU26" s="88">
        <v>46025</v>
      </c>
      <c r="DV26" s="69"/>
      <c r="DW26" s="88">
        <v>46025</v>
      </c>
      <c r="DX26" s="69"/>
      <c r="DY26" s="88">
        <v>46025</v>
      </c>
      <c r="DZ26" s="70"/>
    </row>
    <row r="27" spans="1:130" ht="15" customHeight="1" x14ac:dyDescent="0.2">
      <c r="A27" s="123">
        <v>46025</v>
      </c>
      <c r="C27" s="123"/>
      <c r="D27" s="123"/>
      <c r="G27" s="92">
        <v>46024</v>
      </c>
      <c r="H27" s="69"/>
      <c r="I27" s="88">
        <v>46024</v>
      </c>
      <c r="J27" s="69">
        <v>9036.57</v>
      </c>
      <c r="K27" s="88">
        <v>46024</v>
      </c>
      <c r="L27" s="69"/>
      <c r="M27" s="88">
        <v>46024</v>
      </c>
      <c r="N27" s="69">
        <v>29349.81</v>
      </c>
      <c r="O27" s="88">
        <v>46024</v>
      </c>
      <c r="P27" s="69">
        <v>4656.12</v>
      </c>
      <c r="Q27" s="88">
        <v>46024</v>
      </c>
      <c r="R27" s="69">
        <v>1669.76</v>
      </c>
      <c r="S27" s="88">
        <v>46024</v>
      </c>
      <c r="T27" s="69">
        <v>6135.06</v>
      </c>
      <c r="U27" s="88">
        <v>46024</v>
      </c>
      <c r="V27" s="69"/>
      <c r="W27" s="88">
        <v>46024</v>
      </c>
      <c r="X27" s="69"/>
      <c r="Y27" s="88">
        <v>46024</v>
      </c>
      <c r="Z27" s="69"/>
      <c r="AA27" s="88">
        <v>46024</v>
      </c>
      <c r="AB27" s="69">
        <v>26338.47</v>
      </c>
      <c r="AC27" s="88">
        <v>46024</v>
      </c>
      <c r="AD27" s="69">
        <v>9168.99</v>
      </c>
      <c r="AE27" s="88">
        <v>46024</v>
      </c>
      <c r="AF27" s="69">
        <v>8748.1299999999992</v>
      </c>
      <c r="AG27" s="88">
        <v>46024</v>
      </c>
      <c r="AH27" s="69"/>
      <c r="AI27" s="88">
        <v>46024</v>
      </c>
      <c r="AJ27" s="69">
        <v>85762.01</v>
      </c>
      <c r="AK27" s="88">
        <v>46024</v>
      </c>
      <c r="AL27" s="69"/>
      <c r="AM27" s="88">
        <v>46024</v>
      </c>
      <c r="AN27" s="69">
        <v>179034.93</v>
      </c>
      <c r="AO27" s="88">
        <v>46024</v>
      </c>
      <c r="AP27" s="69">
        <v>5939.38</v>
      </c>
      <c r="AQ27" s="88">
        <v>46024</v>
      </c>
      <c r="AR27" s="69">
        <v>6114.03</v>
      </c>
      <c r="AS27" s="88">
        <v>46024</v>
      </c>
      <c r="AT27" s="69">
        <v>9431.0300000000007</v>
      </c>
      <c r="AU27" s="88">
        <v>46024</v>
      </c>
      <c r="AV27" s="69">
        <v>10785.36</v>
      </c>
      <c r="AW27" s="88">
        <v>46024</v>
      </c>
      <c r="AX27" s="69">
        <v>3598.01</v>
      </c>
      <c r="AY27" s="88">
        <v>46024</v>
      </c>
      <c r="AZ27" s="69">
        <v>10364.030000000001</v>
      </c>
      <c r="BA27" s="88">
        <v>46024</v>
      </c>
      <c r="BB27" s="69"/>
      <c r="BC27" s="88">
        <v>46024</v>
      </c>
      <c r="BD27" s="69"/>
      <c r="BE27" s="88">
        <v>46024</v>
      </c>
      <c r="BF27" s="69">
        <v>11498.38</v>
      </c>
      <c r="BG27" s="88">
        <v>46024</v>
      </c>
      <c r="BH27" s="69">
        <v>1617.12</v>
      </c>
      <c r="BI27" s="88">
        <v>46024</v>
      </c>
      <c r="BJ27" s="69">
        <v>1952.5</v>
      </c>
      <c r="BK27" s="88">
        <v>46024</v>
      </c>
      <c r="BL27" s="69">
        <v>17492.400000000001</v>
      </c>
      <c r="BM27" s="88">
        <v>46024</v>
      </c>
      <c r="BN27" s="69">
        <v>5112.5</v>
      </c>
      <c r="BO27" s="88">
        <v>46024</v>
      </c>
      <c r="BP27" s="69"/>
      <c r="BQ27" s="88">
        <v>46024</v>
      </c>
      <c r="BR27" s="69">
        <v>24539.34</v>
      </c>
      <c r="BS27" s="88">
        <v>46024</v>
      </c>
      <c r="BT27" s="69">
        <v>9951.14</v>
      </c>
      <c r="BU27" s="88">
        <v>46024</v>
      </c>
      <c r="BV27" s="69">
        <v>1041.8399999999999</v>
      </c>
      <c r="BW27" s="88">
        <v>46024</v>
      </c>
      <c r="BX27" s="69">
        <v>967.59</v>
      </c>
      <c r="BY27" s="88">
        <v>46024</v>
      </c>
      <c r="BZ27" s="69">
        <v>8195.2099999999991</v>
      </c>
      <c r="CA27" s="88">
        <v>46024</v>
      </c>
      <c r="CB27" s="69">
        <v>2158.04</v>
      </c>
      <c r="CC27" s="88">
        <v>46024</v>
      </c>
      <c r="CD27" s="69">
        <v>45374.03</v>
      </c>
      <c r="CE27" s="88">
        <v>46024</v>
      </c>
      <c r="CF27" s="69">
        <v>120181</v>
      </c>
      <c r="CG27" s="88">
        <v>46024</v>
      </c>
      <c r="CH27" s="69">
        <v>8400.4599999999991</v>
      </c>
      <c r="CI27" s="88">
        <v>46024</v>
      </c>
      <c r="CJ27" s="69">
        <v>5351.75</v>
      </c>
      <c r="CK27" s="88">
        <v>46024</v>
      </c>
      <c r="CL27" s="69">
        <v>925.61</v>
      </c>
      <c r="CM27" s="88">
        <v>46024</v>
      </c>
      <c r="CN27" s="69"/>
      <c r="CO27" s="88">
        <v>46024</v>
      </c>
      <c r="CP27" s="69">
        <v>5736.62</v>
      </c>
      <c r="CQ27" s="88">
        <v>46024</v>
      </c>
      <c r="CR27" s="69"/>
      <c r="CS27" s="88">
        <v>46024</v>
      </c>
      <c r="CT27" s="69">
        <v>13145.49</v>
      </c>
      <c r="CU27" s="88">
        <v>46024</v>
      </c>
      <c r="CV27" s="69">
        <v>40898.15</v>
      </c>
      <c r="CW27" s="88">
        <v>46024</v>
      </c>
      <c r="CX27" s="69">
        <v>1835.33</v>
      </c>
      <c r="CY27" s="88">
        <v>46024</v>
      </c>
      <c r="CZ27" s="69">
        <v>2700.62</v>
      </c>
      <c r="DA27" s="88">
        <v>46024</v>
      </c>
      <c r="DB27" s="69">
        <v>5850.38</v>
      </c>
      <c r="DC27" s="88">
        <v>46024</v>
      </c>
      <c r="DD27" s="69">
        <v>2376.39</v>
      </c>
      <c r="DE27" s="88">
        <v>46024</v>
      </c>
      <c r="DF27" s="69">
        <v>52467.93</v>
      </c>
      <c r="DG27" s="88">
        <v>46024</v>
      </c>
      <c r="DH27" s="69">
        <v>160538.69</v>
      </c>
      <c r="DI27" s="88">
        <v>46024</v>
      </c>
      <c r="DJ27" s="69">
        <v>3126292.25</v>
      </c>
      <c r="DK27" s="88">
        <v>46024</v>
      </c>
      <c r="DL27" s="69">
        <v>34937.730000000003</v>
      </c>
      <c r="DM27" s="88">
        <v>46024</v>
      </c>
      <c r="DN27" s="69">
        <v>31883.37</v>
      </c>
      <c r="DO27" s="88">
        <v>46024</v>
      </c>
      <c r="DP27" s="69">
        <v>48382.39</v>
      </c>
      <c r="DQ27" s="88">
        <v>46024</v>
      </c>
      <c r="DR27" s="69">
        <v>23235.63</v>
      </c>
      <c r="DS27" s="88">
        <v>46024</v>
      </c>
      <c r="DT27" s="69">
        <v>6858.47</v>
      </c>
      <c r="DU27" s="88">
        <v>46024</v>
      </c>
      <c r="DV27" s="69">
        <v>64141.36</v>
      </c>
      <c r="DW27" s="88">
        <v>46024</v>
      </c>
      <c r="DX27" s="69">
        <v>2230.81</v>
      </c>
      <c r="DY27" s="88">
        <v>46024</v>
      </c>
      <c r="DZ27" s="70">
        <v>2069.02</v>
      </c>
    </row>
    <row r="28" spans="1:130" ht="15" customHeight="1" x14ac:dyDescent="0.2">
      <c r="A28" s="123">
        <v>46024</v>
      </c>
      <c r="C28" s="123"/>
      <c r="D28" s="123"/>
      <c r="G28" s="92">
        <v>46023</v>
      </c>
      <c r="H28" s="69"/>
      <c r="I28" s="88">
        <v>46023</v>
      </c>
      <c r="J28" s="69"/>
      <c r="K28" s="88">
        <v>46023</v>
      </c>
      <c r="L28" s="69"/>
      <c r="M28" s="88">
        <v>46023</v>
      </c>
      <c r="N28" s="69"/>
      <c r="O28" s="88">
        <v>46023</v>
      </c>
      <c r="P28" s="69"/>
      <c r="Q28" s="88">
        <v>46023</v>
      </c>
      <c r="R28" s="69"/>
      <c r="S28" s="88">
        <v>46023</v>
      </c>
      <c r="T28" s="69"/>
      <c r="U28" s="88">
        <v>46023</v>
      </c>
      <c r="V28" s="69"/>
      <c r="W28" s="88">
        <v>46023</v>
      </c>
      <c r="X28" s="69"/>
      <c r="Y28" s="88">
        <v>46023</v>
      </c>
      <c r="Z28" s="69"/>
      <c r="AA28" s="88">
        <v>46023</v>
      </c>
      <c r="AB28" s="69"/>
      <c r="AC28" s="88">
        <v>46023</v>
      </c>
      <c r="AD28" s="69"/>
      <c r="AE28" s="88">
        <v>46023</v>
      </c>
      <c r="AF28" s="69"/>
      <c r="AG28" s="88">
        <v>46023</v>
      </c>
      <c r="AH28" s="69"/>
      <c r="AI28" s="88">
        <v>46023</v>
      </c>
      <c r="AJ28" s="69">
        <v>85188.6</v>
      </c>
      <c r="AK28" s="88">
        <v>46023</v>
      </c>
      <c r="AL28" s="69"/>
      <c r="AM28" s="88">
        <v>46023</v>
      </c>
      <c r="AN28" s="69">
        <v>176355.49</v>
      </c>
      <c r="AO28" s="88">
        <v>46023</v>
      </c>
      <c r="AP28" s="69">
        <v>5895.83</v>
      </c>
      <c r="AQ28" s="88">
        <v>46023</v>
      </c>
      <c r="AR28" s="69"/>
      <c r="AS28" s="88">
        <v>46023</v>
      </c>
      <c r="AT28" s="69"/>
      <c r="AU28" s="88">
        <v>46023</v>
      </c>
      <c r="AV28" s="69"/>
      <c r="AW28" s="88">
        <v>46023</v>
      </c>
      <c r="AX28" s="69"/>
      <c r="AY28" s="88">
        <v>46023</v>
      </c>
      <c r="AZ28" s="69">
        <v>10549.08</v>
      </c>
      <c r="BA28" s="88">
        <v>46023</v>
      </c>
      <c r="BB28" s="69">
        <v>3733.08</v>
      </c>
      <c r="BC28" s="88">
        <v>46023</v>
      </c>
      <c r="BD28" s="69"/>
      <c r="BE28" s="88">
        <v>46023</v>
      </c>
      <c r="BF28" s="69"/>
      <c r="BG28" s="88">
        <v>46023</v>
      </c>
      <c r="BH28" s="69"/>
      <c r="BI28" s="88">
        <v>46023</v>
      </c>
      <c r="BJ28" s="69"/>
      <c r="BK28" s="88">
        <v>46023</v>
      </c>
      <c r="BL28" s="69"/>
      <c r="BM28" s="88">
        <v>46023</v>
      </c>
      <c r="BN28" s="69"/>
      <c r="BO28" s="88">
        <v>46023</v>
      </c>
      <c r="BP28" s="69"/>
      <c r="BQ28" s="88">
        <v>46023</v>
      </c>
      <c r="BR28" s="69"/>
      <c r="BS28" s="88">
        <v>46023</v>
      </c>
      <c r="BT28" s="69"/>
      <c r="BU28" s="88">
        <v>46023</v>
      </c>
      <c r="BV28" s="69"/>
      <c r="BW28" s="88">
        <v>46023</v>
      </c>
      <c r="BX28" s="69"/>
      <c r="BY28" s="88">
        <v>46023</v>
      </c>
      <c r="BZ28" s="69"/>
      <c r="CA28" s="88">
        <v>46023</v>
      </c>
      <c r="CB28" s="69"/>
      <c r="CC28" s="88">
        <v>46023</v>
      </c>
      <c r="CD28" s="69"/>
      <c r="CE28" s="88">
        <v>46023</v>
      </c>
      <c r="CF28" s="69"/>
      <c r="CG28" s="88">
        <v>46023</v>
      </c>
      <c r="CH28" s="69"/>
      <c r="CI28" s="88">
        <v>46023</v>
      </c>
      <c r="CJ28" s="69"/>
      <c r="CK28" s="88">
        <v>46023</v>
      </c>
      <c r="CL28" s="69"/>
      <c r="CM28" s="88">
        <v>46023</v>
      </c>
      <c r="CN28" s="69"/>
      <c r="CO28" s="88">
        <v>46023</v>
      </c>
      <c r="CP28" s="69"/>
      <c r="CQ28" s="88">
        <v>46023</v>
      </c>
      <c r="CR28" s="69"/>
      <c r="CS28" s="88">
        <v>46023</v>
      </c>
      <c r="CT28" s="69"/>
      <c r="CU28" s="88">
        <v>46023</v>
      </c>
      <c r="CV28" s="69"/>
      <c r="CW28" s="88">
        <v>46023</v>
      </c>
      <c r="CX28" s="69"/>
      <c r="CY28" s="88">
        <v>46023</v>
      </c>
      <c r="CZ28" s="69"/>
      <c r="DA28" s="88">
        <v>46023</v>
      </c>
      <c r="DB28" s="69"/>
      <c r="DC28" s="88">
        <v>46023</v>
      </c>
      <c r="DD28" s="69"/>
      <c r="DE28" s="88">
        <v>46023</v>
      </c>
      <c r="DF28" s="69"/>
      <c r="DG28" s="88">
        <v>46023</v>
      </c>
      <c r="DH28" s="69"/>
      <c r="DI28" s="88">
        <v>46023</v>
      </c>
      <c r="DJ28" s="69"/>
      <c r="DK28" s="88">
        <v>46023</v>
      </c>
      <c r="DL28" s="69"/>
      <c r="DM28" s="88">
        <v>46023</v>
      </c>
      <c r="DN28" s="69"/>
      <c r="DO28" s="88">
        <v>46023</v>
      </c>
      <c r="DP28" s="69"/>
      <c r="DQ28" s="88">
        <v>46023</v>
      </c>
      <c r="DR28" s="69"/>
      <c r="DS28" s="88">
        <v>46023</v>
      </c>
      <c r="DT28" s="69"/>
      <c r="DU28" s="88">
        <v>46023</v>
      </c>
      <c r="DV28" s="69"/>
      <c r="DW28" s="88">
        <v>46023</v>
      </c>
      <c r="DX28" s="69"/>
      <c r="DY28" s="88">
        <v>46023</v>
      </c>
      <c r="DZ28" s="70"/>
    </row>
    <row r="29" spans="1:130" ht="15" customHeight="1" x14ac:dyDescent="0.2">
      <c r="A29" s="123">
        <v>46023</v>
      </c>
      <c r="C29" s="123"/>
      <c r="D29" s="123"/>
      <c r="G29" s="92">
        <v>46022</v>
      </c>
      <c r="H29" s="69">
        <v>1784.49</v>
      </c>
      <c r="I29" s="88">
        <v>46022</v>
      </c>
      <c r="J29" s="69">
        <v>9018.7900000000009</v>
      </c>
      <c r="K29" s="88">
        <v>46022</v>
      </c>
      <c r="L29" s="69"/>
      <c r="M29" s="88">
        <v>46022</v>
      </c>
      <c r="N29" s="69">
        <v>28963.599999999999</v>
      </c>
      <c r="O29" s="88">
        <v>46022</v>
      </c>
      <c r="P29" s="69">
        <v>4646.21</v>
      </c>
      <c r="Q29" s="88">
        <v>46022</v>
      </c>
      <c r="R29" s="69">
        <v>1680.11</v>
      </c>
      <c r="S29" s="88">
        <v>46022</v>
      </c>
      <c r="T29" s="69"/>
      <c r="U29" s="88">
        <v>46022</v>
      </c>
      <c r="V29" s="69">
        <v>3968.84</v>
      </c>
      <c r="W29" s="88">
        <v>46022</v>
      </c>
      <c r="X29" s="69">
        <v>2530.96</v>
      </c>
      <c r="Y29" s="88">
        <v>46022</v>
      </c>
      <c r="Z29" s="69">
        <v>4629.9399999999996</v>
      </c>
      <c r="AA29" s="88">
        <v>46022</v>
      </c>
      <c r="AB29" s="69">
        <v>25630.54</v>
      </c>
      <c r="AC29" s="88">
        <v>46022</v>
      </c>
      <c r="AD29" s="69">
        <v>8913.68</v>
      </c>
      <c r="AE29" s="88">
        <v>46022</v>
      </c>
      <c r="AF29" s="69"/>
      <c r="AG29" s="88">
        <v>46022</v>
      </c>
      <c r="AH29" s="69"/>
      <c r="AI29" s="88">
        <v>46022</v>
      </c>
      <c r="AJ29" s="69">
        <v>85220.6</v>
      </c>
      <c r="AK29" s="88">
        <v>46022</v>
      </c>
      <c r="AL29" s="69">
        <v>1784.49</v>
      </c>
      <c r="AM29" s="88">
        <v>46022</v>
      </c>
      <c r="AN29" s="69">
        <v>174054.32</v>
      </c>
      <c r="AO29" s="88">
        <v>46022</v>
      </c>
      <c r="AP29" s="69">
        <v>5866.8</v>
      </c>
      <c r="AQ29" s="88">
        <v>46022</v>
      </c>
      <c r="AR29" s="69">
        <v>6047.09</v>
      </c>
      <c r="AS29" s="88">
        <v>46022</v>
      </c>
      <c r="AT29" s="69">
        <v>9498.31</v>
      </c>
      <c r="AU29" s="88">
        <v>46022</v>
      </c>
      <c r="AV29" s="69">
        <v>10762.51</v>
      </c>
      <c r="AW29" s="88">
        <v>46022</v>
      </c>
      <c r="AX29" s="69">
        <v>3611.62</v>
      </c>
      <c r="AY29" s="88">
        <v>46022</v>
      </c>
      <c r="AZ29" s="69">
        <v>10490.69</v>
      </c>
      <c r="BA29" s="88">
        <v>46022</v>
      </c>
      <c r="BB29" s="69">
        <v>3663.54</v>
      </c>
      <c r="BC29" s="88">
        <v>46022</v>
      </c>
      <c r="BD29" s="69"/>
      <c r="BE29" s="88">
        <v>46022</v>
      </c>
      <c r="BF29" s="69">
        <v>11261.52</v>
      </c>
      <c r="BG29" s="88">
        <v>46022</v>
      </c>
      <c r="BH29" s="69"/>
      <c r="BI29" s="88">
        <v>46022</v>
      </c>
      <c r="BJ29" s="69"/>
      <c r="BK29" s="88">
        <v>46022</v>
      </c>
      <c r="BL29" s="69">
        <v>17307.8</v>
      </c>
      <c r="BM29" s="88">
        <v>46022</v>
      </c>
      <c r="BN29" s="69">
        <v>5078.43</v>
      </c>
      <c r="BO29" s="88">
        <v>46022</v>
      </c>
      <c r="BP29" s="69"/>
      <c r="BQ29" s="88">
        <v>46022</v>
      </c>
      <c r="BR29" s="69"/>
      <c r="BS29" s="88">
        <v>46022</v>
      </c>
      <c r="BT29" s="69">
        <v>9931.3799999999992</v>
      </c>
      <c r="BU29" s="88">
        <v>46022</v>
      </c>
      <c r="BV29" s="69"/>
      <c r="BW29" s="88">
        <v>46022</v>
      </c>
      <c r="BX29" s="69">
        <v>951.29</v>
      </c>
      <c r="BY29" s="88">
        <v>46022</v>
      </c>
      <c r="BZ29" s="69">
        <v>8149.5</v>
      </c>
      <c r="CA29" s="88">
        <v>46022</v>
      </c>
      <c r="CB29" s="69">
        <v>2120.71</v>
      </c>
      <c r="CC29" s="88">
        <v>46022</v>
      </c>
      <c r="CD29" s="69"/>
      <c r="CE29" s="88">
        <v>46022</v>
      </c>
      <c r="CF29" s="69"/>
      <c r="CG29" s="88">
        <v>46022</v>
      </c>
      <c r="CH29" s="69">
        <v>8263.65</v>
      </c>
      <c r="CI29" s="88">
        <v>46022</v>
      </c>
      <c r="CJ29" s="69"/>
      <c r="CK29" s="88">
        <v>46022</v>
      </c>
      <c r="CL29" s="69"/>
      <c r="CM29" s="88">
        <v>46022</v>
      </c>
      <c r="CN29" s="69"/>
      <c r="CO29" s="88">
        <v>46022</v>
      </c>
      <c r="CP29" s="69"/>
      <c r="CQ29" s="88">
        <v>46022</v>
      </c>
      <c r="CR29" s="69"/>
      <c r="CS29" s="88">
        <v>46022</v>
      </c>
      <c r="CT29" s="69">
        <v>13099.35</v>
      </c>
      <c r="CU29" s="88">
        <v>46022</v>
      </c>
      <c r="CV29" s="69">
        <v>41828.97</v>
      </c>
      <c r="CW29" s="88">
        <v>46022</v>
      </c>
      <c r="CX29" s="69">
        <v>1795.46</v>
      </c>
      <c r="CY29" s="88">
        <v>46022</v>
      </c>
      <c r="CZ29" s="69"/>
      <c r="DA29" s="88">
        <v>46022</v>
      </c>
      <c r="DB29" s="69">
        <v>5791.41</v>
      </c>
      <c r="DC29" s="88">
        <v>46022</v>
      </c>
      <c r="DD29" s="69">
        <v>2360.16</v>
      </c>
      <c r="DE29" s="88">
        <v>46022</v>
      </c>
      <c r="DF29" s="69"/>
      <c r="DG29" s="88">
        <v>46022</v>
      </c>
      <c r="DH29" s="69"/>
      <c r="DI29" s="88">
        <v>46022</v>
      </c>
      <c r="DJ29" s="69"/>
      <c r="DK29" s="88">
        <v>46022</v>
      </c>
      <c r="DL29" s="69">
        <v>34937.730000000003</v>
      </c>
      <c r="DM29" s="88">
        <v>46022</v>
      </c>
      <c r="DN29" s="69">
        <v>31712.76</v>
      </c>
      <c r="DO29" s="88">
        <v>46022</v>
      </c>
      <c r="DP29" s="69">
        <v>48063.29</v>
      </c>
      <c r="DQ29" s="88">
        <v>46022</v>
      </c>
      <c r="DR29" s="69">
        <v>23241.99</v>
      </c>
      <c r="DS29" s="88">
        <v>46022</v>
      </c>
      <c r="DT29" s="69">
        <v>6845.5</v>
      </c>
      <c r="DU29" s="88">
        <v>46022</v>
      </c>
      <c r="DV29" s="69">
        <v>64308.29</v>
      </c>
      <c r="DW29" s="88">
        <v>46022</v>
      </c>
      <c r="DX29" s="69"/>
      <c r="DY29" s="88">
        <v>46022</v>
      </c>
      <c r="DZ29" s="70"/>
    </row>
    <row r="30" spans="1:130" ht="15" customHeight="1" x14ac:dyDescent="0.2">
      <c r="A30" s="123">
        <v>46022</v>
      </c>
      <c r="B30" s="74">
        <v>1784.49</v>
      </c>
      <c r="C30" s="123"/>
      <c r="D30" s="123"/>
      <c r="G30" s="92">
        <v>46021</v>
      </c>
      <c r="H30" s="69">
        <v>1766.9</v>
      </c>
      <c r="I30" s="88">
        <v>46021</v>
      </c>
      <c r="J30" s="69">
        <v>9022.3700000000008</v>
      </c>
      <c r="K30" s="88">
        <v>46021</v>
      </c>
      <c r="L30" s="69">
        <v>50339.48</v>
      </c>
      <c r="M30" s="88">
        <v>46021</v>
      </c>
      <c r="N30" s="69">
        <v>28707.13</v>
      </c>
      <c r="O30" s="88">
        <v>46021</v>
      </c>
      <c r="P30" s="69">
        <v>4655.38</v>
      </c>
      <c r="Q30" s="88">
        <v>46021</v>
      </c>
      <c r="R30" s="69">
        <v>1684.53</v>
      </c>
      <c r="S30" s="88">
        <v>46021</v>
      </c>
      <c r="T30" s="69"/>
      <c r="U30" s="88">
        <v>46021</v>
      </c>
      <c r="V30" s="69">
        <v>3965.12</v>
      </c>
      <c r="W30" s="88">
        <v>46021</v>
      </c>
      <c r="X30" s="69">
        <v>2538.69</v>
      </c>
      <c r="Y30" s="88">
        <v>46021</v>
      </c>
      <c r="Z30" s="69">
        <v>4651.28</v>
      </c>
      <c r="AA30" s="88">
        <v>46021</v>
      </c>
      <c r="AB30" s="69">
        <v>25854.6</v>
      </c>
      <c r="AC30" s="88">
        <v>46021</v>
      </c>
      <c r="AD30" s="69">
        <v>8991.02</v>
      </c>
      <c r="AE30" s="88">
        <v>46021</v>
      </c>
      <c r="AF30" s="69">
        <v>8646.94</v>
      </c>
      <c r="AG30" s="88">
        <v>46021</v>
      </c>
      <c r="AH30" s="69">
        <v>1259.67</v>
      </c>
      <c r="AI30" s="88">
        <v>46021</v>
      </c>
      <c r="AJ30" s="69">
        <v>84675.08</v>
      </c>
      <c r="AK30" s="88">
        <v>46021</v>
      </c>
      <c r="AL30" s="69">
        <v>1766.9</v>
      </c>
      <c r="AM30" s="88">
        <v>46021</v>
      </c>
      <c r="AN30" s="69">
        <v>174472.8</v>
      </c>
      <c r="AO30" s="88">
        <v>46021</v>
      </c>
      <c r="AP30" s="69">
        <v>5860.38</v>
      </c>
      <c r="AQ30" s="88">
        <v>46021</v>
      </c>
      <c r="AR30" s="69">
        <v>6014.95</v>
      </c>
      <c r="AS30" s="88">
        <v>46021</v>
      </c>
      <c r="AT30" s="69">
        <v>9443.5300000000007</v>
      </c>
      <c r="AU30" s="88">
        <v>46021</v>
      </c>
      <c r="AV30" s="69">
        <v>10793.58</v>
      </c>
      <c r="AW30" s="88">
        <v>46021</v>
      </c>
      <c r="AX30" s="69">
        <v>3610.65</v>
      </c>
      <c r="AY30" s="88">
        <v>46021</v>
      </c>
      <c r="AZ30" s="69">
        <v>10381.51</v>
      </c>
      <c r="BA30" s="88">
        <v>46021</v>
      </c>
      <c r="BB30" s="69">
        <v>3690.79</v>
      </c>
      <c r="BC30" s="88">
        <v>46021</v>
      </c>
      <c r="BD30" s="69">
        <v>1114.1300000000001</v>
      </c>
      <c r="BE30" s="88">
        <v>46021</v>
      </c>
      <c r="BF30" s="69">
        <v>11220.17</v>
      </c>
      <c r="BG30" s="88">
        <v>46021</v>
      </c>
      <c r="BH30" s="69">
        <v>1608.14</v>
      </c>
      <c r="BI30" s="88">
        <v>46021</v>
      </c>
      <c r="BJ30" s="69">
        <v>1941.42</v>
      </c>
      <c r="BK30" s="88">
        <v>46021</v>
      </c>
      <c r="BL30" s="69">
        <v>17354.900000000001</v>
      </c>
      <c r="BM30" s="88">
        <v>46021</v>
      </c>
      <c r="BN30" s="69">
        <v>5077.71</v>
      </c>
      <c r="BO30" s="88">
        <v>46021</v>
      </c>
      <c r="BP30" s="69">
        <v>13267.48</v>
      </c>
      <c r="BQ30" s="88">
        <v>46021</v>
      </c>
      <c r="BR30" s="69">
        <v>24490.41</v>
      </c>
      <c r="BS30" s="88">
        <v>46021</v>
      </c>
      <c r="BT30" s="69">
        <v>9940.7099999999991</v>
      </c>
      <c r="BU30" s="88">
        <v>46021</v>
      </c>
      <c r="BV30" s="69">
        <v>1045.68</v>
      </c>
      <c r="BW30" s="88">
        <v>46021</v>
      </c>
      <c r="BX30" s="69">
        <v>951.27</v>
      </c>
      <c r="BY30" s="88">
        <v>46021</v>
      </c>
      <c r="BZ30" s="69">
        <v>8168.15</v>
      </c>
      <c r="CA30" s="88">
        <v>46021</v>
      </c>
      <c r="CB30" s="69">
        <v>2120.8200000000002</v>
      </c>
      <c r="CC30" s="88">
        <v>46021</v>
      </c>
      <c r="CD30" s="69">
        <v>44944.54</v>
      </c>
      <c r="CE30" s="88">
        <v>46021</v>
      </c>
      <c r="CF30" s="69">
        <v>117240.2</v>
      </c>
      <c r="CG30" s="88">
        <v>46021</v>
      </c>
      <c r="CH30" s="69">
        <v>8263.7900000000009</v>
      </c>
      <c r="CI30" s="88">
        <v>46021</v>
      </c>
      <c r="CJ30" s="69">
        <v>5326.33</v>
      </c>
      <c r="CK30" s="88">
        <v>46021</v>
      </c>
      <c r="CL30" s="69">
        <v>925.61</v>
      </c>
      <c r="CM30" s="88">
        <v>46021</v>
      </c>
      <c r="CN30" s="69"/>
      <c r="CO30" s="88">
        <v>46021</v>
      </c>
      <c r="CP30" s="69">
        <v>5703.53</v>
      </c>
      <c r="CQ30" s="88">
        <v>46021</v>
      </c>
      <c r="CR30" s="69">
        <v>111031.8</v>
      </c>
      <c r="CS30" s="88">
        <v>46021</v>
      </c>
      <c r="CT30" s="69">
        <v>13126.07</v>
      </c>
      <c r="CU30" s="88">
        <v>46021</v>
      </c>
      <c r="CV30" s="69">
        <v>41689.96</v>
      </c>
      <c r="CW30" s="88">
        <v>46021</v>
      </c>
      <c r="CX30" s="69">
        <v>1788.67</v>
      </c>
      <c r="CY30" s="88">
        <v>46021</v>
      </c>
      <c r="CZ30" s="69">
        <v>2685.65</v>
      </c>
      <c r="DA30" s="88">
        <v>46021</v>
      </c>
      <c r="DB30" s="69">
        <v>5796.22</v>
      </c>
      <c r="DC30" s="88">
        <v>46021</v>
      </c>
      <c r="DD30" s="69">
        <v>2361.7800000000002</v>
      </c>
      <c r="DE30" s="88">
        <v>46021</v>
      </c>
      <c r="DF30" s="69">
        <v>52725.49</v>
      </c>
      <c r="DG30" s="88">
        <v>46021</v>
      </c>
      <c r="DH30" s="69">
        <v>161125.37</v>
      </c>
      <c r="DI30" s="88">
        <v>46021</v>
      </c>
      <c r="DJ30" s="69">
        <v>3051616.75</v>
      </c>
      <c r="DK30" s="88">
        <v>46021</v>
      </c>
      <c r="DL30" s="69">
        <v>34937.730000000003</v>
      </c>
      <c r="DM30" s="88">
        <v>46021</v>
      </c>
      <c r="DN30" s="69">
        <v>31866.26</v>
      </c>
      <c r="DO30" s="88">
        <v>46021</v>
      </c>
      <c r="DP30" s="69">
        <v>48367.06</v>
      </c>
      <c r="DQ30" s="88">
        <v>46021</v>
      </c>
      <c r="DR30" s="69">
        <v>23419.08</v>
      </c>
      <c r="DS30" s="88">
        <v>46021</v>
      </c>
      <c r="DT30" s="69">
        <v>6896.24</v>
      </c>
      <c r="DU30" s="88">
        <v>46021</v>
      </c>
      <c r="DV30" s="69">
        <v>64366.7</v>
      </c>
      <c r="DW30" s="88">
        <v>46021</v>
      </c>
      <c r="DX30" s="69">
        <v>2082.2600000000002</v>
      </c>
      <c r="DY30" s="88">
        <v>46021</v>
      </c>
      <c r="DZ30" s="70">
        <v>2068.0100000000002</v>
      </c>
    </row>
    <row r="31" spans="1:130" ht="15" customHeight="1" x14ac:dyDescent="0.2">
      <c r="A31" s="123">
        <v>46021</v>
      </c>
      <c r="B31" s="74">
        <v>1766.9</v>
      </c>
      <c r="C31" s="123"/>
      <c r="D31" s="123"/>
      <c r="G31" s="92">
        <v>46020</v>
      </c>
      <c r="H31" s="69">
        <v>1754.84</v>
      </c>
      <c r="I31" s="88">
        <v>46020</v>
      </c>
      <c r="J31" s="69">
        <v>9032.0499999999993</v>
      </c>
      <c r="K31" s="88">
        <v>46020</v>
      </c>
      <c r="L31" s="69">
        <v>50526.92</v>
      </c>
      <c r="M31" s="88">
        <v>46020</v>
      </c>
      <c r="N31" s="69">
        <v>28810.89</v>
      </c>
      <c r="O31" s="88">
        <v>46020</v>
      </c>
      <c r="P31" s="69">
        <v>4633.6400000000003</v>
      </c>
      <c r="Q31" s="88">
        <v>46020</v>
      </c>
      <c r="R31" s="69">
        <v>1680.99</v>
      </c>
      <c r="S31" s="88">
        <v>46020</v>
      </c>
      <c r="T31" s="69">
        <v>6052.92</v>
      </c>
      <c r="U31" s="88">
        <v>46020</v>
      </c>
      <c r="V31" s="69">
        <v>3965.28</v>
      </c>
      <c r="W31" s="88">
        <v>46020</v>
      </c>
      <c r="X31" s="69">
        <v>2533.64</v>
      </c>
      <c r="Y31" s="88">
        <v>46020</v>
      </c>
      <c r="Z31" s="69">
        <v>4639.37</v>
      </c>
      <c r="AA31" s="88">
        <v>46020</v>
      </c>
      <c r="AB31" s="69">
        <v>25635.23</v>
      </c>
      <c r="AC31" s="88">
        <v>46020</v>
      </c>
      <c r="AD31" s="69">
        <v>8891.7099999999991</v>
      </c>
      <c r="AE31" s="88">
        <v>46020</v>
      </c>
      <c r="AF31" s="69">
        <v>8644.26</v>
      </c>
      <c r="AG31" s="88">
        <v>46020</v>
      </c>
      <c r="AH31" s="69">
        <v>1254.03</v>
      </c>
      <c r="AI31" s="88">
        <v>46020</v>
      </c>
      <c r="AJ31" s="69">
        <v>84695.54</v>
      </c>
      <c r="AK31" s="88">
        <v>46020</v>
      </c>
      <c r="AL31" s="69">
        <v>1754.84</v>
      </c>
      <c r="AM31" s="88">
        <v>46020</v>
      </c>
      <c r="AN31" s="69">
        <v>173896.34</v>
      </c>
      <c r="AO31" s="88">
        <v>46020</v>
      </c>
      <c r="AP31" s="69">
        <v>5896.41</v>
      </c>
      <c r="AQ31" s="88">
        <v>46020</v>
      </c>
      <c r="AR31" s="69">
        <v>6137.33</v>
      </c>
      <c r="AS31" s="88">
        <v>46020</v>
      </c>
      <c r="AT31" s="69">
        <v>9567.31</v>
      </c>
      <c r="AU31" s="88">
        <v>46020</v>
      </c>
      <c r="AV31" s="69">
        <v>10798.14</v>
      </c>
      <c r="AW31" s="88">
        <v>46020</v>
      </c>
      <c r="AX31" s="69">
        <v>3622.86</v>
      </c>
      <c r="AY31" s="88">
        <v>46020</v>
      </c>
      <c r="AZ31" s="69">
        <v>10489.65</v>
      </c>
      <c r="BA31" s="88">
        <v>46020</v>
      </c>
      <c r="BB31" s="69">
        <v>3653.65</v>
      </c>
      <c r="BC31" s="88">
        <v>46020</v>
      </c>
      <c r="BD31" s="69">
        <v>1115.3499999999999</v>
      </c>
      <c r="BE31" s="88">
        <v>46020</v>
      </c>
      <c r="BF31" s="69">
        <v>11150.9</v>
      </c>
      <c r="BG31" s="88">
        <v>46020</v>
      </c>
      <c r="BH31" s="69">
        <v>1611.19</v>
      </c>
      <c r="BI31" s="88">
        <v>46020</v>
      </c>
      <c r="BJ31" s="69">
        <v>1926.82</v>
      </c>
      <c r="BK31" s="88">
        <v>46020</v>
      </c>
      <c r="BL31" s="69">
        <v>17195.8</v>
      </c>
      <c r="BM31" s="88">
        <v>46020</v>
      </c>
      <c r="BN31" s="69">
        <v>5054.4799999999996</v>
      </c>
      <c r="BO31" s="88">
        <v>46020</v>
      </c>
      <c r="BP31" s="69">
        <v>13240.59</v>
      </c>
      <c r="BQ31" s="88">
        <v>46020</v>
      </c>
      <c r="BR31" s="69">
        <v>24351.119999999999</v>
      </c>
      <c r="BS31" s="88">
        <v>46020</v>
      </c>
      <c r="BT31" s="69">
        <v>9866.5300000000007</v>
      </c>
      <c r="BU31" s="88">
        <v>46020</v>
      </c>
      <c r="BV31" s="69">
        <v>1040.24</v>
      </c>
      <c r="BW31" s="88">
        <v>46020</v>
      </c>
      <c r="BX31" s="69">
        <v>946.16</v>
      </c>
      <c r="BY31" s="88">
        <v>46020</v>
      </c>
      <c r="BZ31" s="69">
        <v>8112.02</v>
      </c>
      <c r="CA31" s="88">
        <v>46020</v>
      </c>
      <c r="CB31" s="69">
        <v>2123.5100000000002</v>
      </c>
      <c r="CC31" s="88">
        <v>46020</v>
      </c>
      <c r="CD31" s="69">
        <v>44436.01</v>
      </c>
      <c r="CE31" s="88">
        <v>46020</v>
      </c>
      <c r="CF31" s="69">
        <v>116600.2</v>
      </c>
      <c r="CG31" s="88">
        <v>46020</v>
      </c>
      <c r="CH31" s="69">
        <v>8185.83</v>
      </c>
      <c r="CI31" s="88">
        <v>46020</v>
      </c>
      <c r="CJ31" s="69">
        <v>5247.96</v>
      </c>
      <c r="CK31" s="88">
        <v>46020</v>
      </c>
      <c r="CL31" s="69">
        <v>925.39</v>
      </c>
      <c r="CM31" s="88">
        <v>46020</v>
      </c>
      <c r="CN31" s="69"/>
      <c r="CO31" s="88">
        <v>46020</v>
      </c>
      <c r="CP31" s="69">
        <v>5667.68</v>
      </c>
      <c r="CQ31" s="88">
        <v>46020</v>
      </c>
      <c r="CR31" s="69">
        <v>110953.4</v>
      </c>
      <c r="CS31" s="88">
        <v>46020</v>
      </c>
      <c r="CT31" s="69">
        <v>13039.25</v>
      </c>
      <c r="CU31" s="88">
        <v>46020</v>
      </c>
      <c r="CV31" s="69">
        <v>41731.68</v>
      </c>
      <c r="CW31" s="88">
        <v>46020</v>
      </c>
      <c r="CX31" s="69">
        <v>1772.12</v>
      </c>
      <c r="CY31" s="88">
        <v>46020</v>
      </c>
      <c r="CZ31" s="69">
        <v>2664.86</v>
      </c>
      <c r="DA31" s="88">
        <v>46020</v>
      </c>
      <c r="DB31" s="69">
        <v>5751.71</v>
      </c>
      <c r="DC31" s="88">
        <v>46020</v>
      </c>
      <c r="DD31" s="69">
        <v>2347.91</v>
      </c>
      <c r="DE31" s="88">
        <v>46020</v>
      </c>
      <c r="DF31" s="69">
        <v>52893.31</v>
      </c>
      <c r="DG31" s="88">
        <v>46020</v>
      </c>
      <c r="DH31" s="69">
        <v>160490.29999999999</v>
      </c>
      <c r="DI31" s="88">
        <v>46020</v>
      </c>
      <c r="DJ31" s="69">
        <v>3100074.5</v>
      </c>
      <c r="DK31" s="88">
        <v>46020</v>
      </c>
      <c r="DL31" s="69">
        <v>34937.730000000003</v>
      </c>
      <c r="DM31" s="88">
        <v>46020</v>
      </c>
      <c r="DN31" s="69">
        <v>31896.59</v>
      </c>
      <c r="DO31" s="88">
        <v>46020</v>
      </c>
      <c r="DP31" s="69">
        <v>48461.93</v>
      </c>
      <c r="DQ31" s="88">
        <v>46020</v>
      </c>
      <c r="DR31" s="69">
        <v>23474.35</v>
      </c>
      <c r="DS31" s="88">
        <v>46020</v>
      </c>
      <c r="DT31" s="69">
        <v>6905.74</v>
      </c>
      <c r="DU31" s="88">
        <v>46020</v>
      </c>
      <c r="DV31" s="69">
        <v>65347.08</v>
      </c>
      <c r="DW31" s="88">
        <v>46020</v>
      </c>
      <c r="DX31" s="69">
        <v>1969.02</v>
      </c>
      <c r="DY31" s="88">
        <v>46020</v>
      </c>
      <c r="DZ31" s="70">
        <v>2108.15</v>
      </c>
    </row>
    <row r="32" spans="1:130" ht="15" customHeight="1" x14ac:dyDescent="0.2">
      <c r="A32" s="123">
        <v>46020</v>
      </c>
      <c r="B32" s="74">
        <v>1754.84</v>
      </c>
      <c r="C32" s="123"/>
      <c r="D32" s="123"/>
      <c r="G32" s="92">
        <v>46019</v>
      </c>
      <c r="H32" s="69"/>
      <c r="I32" s="88">
        <v>46019</v>
      </c>
      <c r="J32" s="69"/>
      <c r="K32" s="88">
        <v>46019</v>
      </c>
      <c r="L32" s="69"/>
      <c r="M32" s="88">
        <v>46019</v>
      </c>
      <c r="N32" s="69"/>
      <c r="O32" s="88">
        <v>46019</v>
      </c>
      <c r="P32" s="69"/>
      <c r="Q32" s="88">
        <v>46019</v>
      </c>
      <c r="R32" s="69"/>
      <c r="S32" s="88">
        <v>46019</v>
      </c>
      <c r="T32" s="69"/>
      <c r="U32" s="88">
        <v>46019</v>
      </c>
      <c r="V32" s="69"/>
      <c r="W32" s="88">
        <v>46019</v>
      </c>
      <c r="X32" s="69"/>
      <c r="Y32" s="88">
        <v>46019</v>
      </c>
      <c r="Z32" s="69"/>
      <c r="AA32" s="88">
        <v>46019</v>
      </c>
      <c r="AB32" s="69"/>
      <c r="AC32" s="88">
        <v>46019</v>
      </c>
      <c r="AD32" s="69"/>
      <c r="AE32" s="88">
        <v>46019</v>
      </c>
      <c r="AF32" s="69"/>
      <c r="AG32" s="88">
        <v>46019</v>
      </c>
      <c r="AH32" s="69"/>
      <c r="AI32" s="88">
        <v>46019</v>
      </c>
      <c r="AJ32" s="69"/>
      <c r="AK32" s="88">
        <v>46019</v>
      </c>
      <c r="AL32" s="69"/>
      <c r="AM32" s="88">
        <v>46019</v>
      </c>
      <c r="AN32" s="69"/>
      <c r="AO32" s="88">
        <v>46019</v>
      </c>
      <c r="AP32" s="69"/>
      <c r="AQ32" s="88">
        <v>46019</v>
      </c>
      <c r="AR32" s="69"/>
      <c r="AS32" s="88">
        <v>46019</v>
      </c>
      <c r="AT32" s="69"/>
      <c r="AU32" s="88">
        <v>46019</v>
      </c>
      <c r="AV32" s="69"/>
      <c r="AW32" s="88">
        <v>46019</v>
      </c>
      <c r="AX32" s="69"/>
      <c r="AY32" s="88">
        <v>46019</v>
      </c>
      <c r="AZ32" s="69"/>
      <c r="BA32" s="88">
        <v>46019</v>
      </c>
      <c r="BB32" s="69"/>
      <c r="BC32" s="88">
        <v>46019</v>
      </c>
      <c r="BD32" s="69"/>
      <c r="BE32" s="88">
        <v>46019</v>
      </c>
      <c r="BF32" s="69"/>
      <c r="BG32" s="88">
        <v>46019</v>
      </c>
      <c r="BH32" s="69"/>
      <c r="BI32" s="88">
        <v>46019</v>
      </c>
      <c r="BJ32" s="69"/>
      <c r="BK32" s="88">
        <v>46019</v>
      </c>
      <c r="BL32" s="69"/>
      <c r="BM32" s="88">
        <v>46019</v>
      </c>
      <c r="BN32" s="69"/>
      <c r="BO32" s="88">
        <v>46019</v>
      </c>
      <c r="BP32" s="69"/>
      <c r="BQ32" s="88">
        <v>46019</v>
      </c>
      <c r="BR32" s="69"/>
      <c r="BS32" s="88">
        <v>46019</v>
      </c>
      <c r="BT32" s="69"/>
      <c r="BU32" s="88">
        <v>46019</v>
      </c>
      <c r="BV32" s="69"/>
      <c r="BW32" s="88">
        <v>46019</v>
      </c>
      <c r="BX32" s="69"/>
      <c r="BY32" s="88">
        <v>46019</v>
      </c>
      <c r="BZ32" s="69"/>
      <c r="CA32" s="88">
        <v>46019</v>
      </c>
      <c r="CB32" s="69"/>
      <c r="CC32" s="88">
        <v>46019</v>
      </c>
      <c r="CD32" s="69"/>
      <c r="CE32" s="88">
        <v>46019</v>
      </c>
      <c r="CF32" s="69"/>
      <c r="CG32" s="88">
        <v>46019</v>
      </c>
      <c r="CH32" s="69"/>
      <c r="CI32" s="88">
        <v>46019</v>
      </c>
      <c r="CJ32" s="69"/>
      <c r="CK32" s="88">
        <v>46019</v>
      </c>
      <c r="CL32" s="69"/>
      <c r="CM32" s="88">
        <v>46019</v>
      </c>
      <c r="CN32" s="69"/>
      <c r="CO32" s="88">
        <v>46019</v>
      </c>
      <c r="CP32" s="69"/>
      <c r="CQ32" s="88">
        <v>46019</v>
      </c>
      <c r="CR32" s="69"/>
      <c r="CS32" s="88">
        <v>46019</v>
      </c>
      <c r="CT32" s="69"/>
      <c r="CU32" s="88">
        <v>46019</v>
      </c>
      <c r="CV32" s="69"/>
      <c r="CW32" s="88">
        <v>46019</v>
      </c>
      <c r="CX32" s="69"/>
      <c r="CY32" s="88">
        <v>46019</v>
      </c>
      <c r="CZ32" s="69"/>
      <c r="DA32" s="88">
        <v>46019</v>
      </c>
      <c r="DB32" s="69"/>
      <c r="DC32" s="88">
        <v>46019</v>
      </c>
      <c r="DD32" s="69"/>
      <c r="DE32" s="88">
        <v>46019</v>
      </c>
      <c r="DF32" s="69"/>
      <c r="DG32" s="88">
        <v>46019</v>
      </c>
      <c r="DH32" s="69"/>
      <c r="DI32" s="88">
        <v>46019</v>
      </c>
      <c r="DJ32" s="69"/>
      <c r="DK32" s="88">
        <v>46019</v>
      </c>
      <c r="DL32" s="69"/>
      <c r="DM32" s="88">
        <v>46019</v>
      </c>
      <c r="DN32" s="69"/>
      <c r="DO32" s="88">
        <v>46019</v>
      </c>
      <c r="DP32" s="69"/>
      <c r="DQ32" s="88">
        <v>46019</v>
      </c>
      <c r="DR32" s="69"/>
      <c r="DS32" s="88">
        <v>46019</v>
      </c>
      <c r="DT32" s="69"/>
      <c r="DU32" s="88">
        <v>46019</v>
      </c>
      <c r="DV32" s="69"/>
      <c r="DW32" s="88">
        <v>46019</v>
      </c>
      <c r="DX32" s="69"/>
      <c r="DY32" s="88">
        <v>46019</v>
      </c>
      <c r="DZ32" s="70"/>
    </row>
    <row r="33" spans="1:130" ht="15" customHeight="1" x14ac:dyDescent="0.2">
      <c r="A33" s="123">
        <v>46019</v>
      </c>
      <c r="C33" s="123"/>
      <c r="D33" s="123"/>
      <c r="G33" s="92">
        <v>46018</v>
      </c>
      <c r="H33" s="69"/>
      <c r="I33" s="88">
        <v>46018</v>
      </c>
      <c r="J33" s="69"/>
      <c r="K33" s="88">
        <v>46018</v>
      </c>
      <c r="L33" s="69"/>
      <c r="M33" s="88">
        <v>46018</v>
      </c>
      <c r="N33" s="69"/>
      <c r="O33" s="88">
        <v>46018</v>
      </c>
      <c r="P33" s="69"/>
      <c r="Q33" s="88">
        <v>46018</v>
      </c>
      <c r="R33" s="69"/>
      <c r="S33" s="88">
        <v>46018</v>
      </c>
      <c r="T33" s="69"/>
      <c r="U33" s="88">
        <v>46018</v>
      </c>
      <c r="V33" s="69"/>
      <c r="W33" s="88">
        <v>46018</v>
      </c>
      <c r="X33" s="69"/>
      <c r="Y33" s="88">
        <v>46018</v>
      </c>
      <c r="Z33" s="69"/>
      <c r="AA33" s="88">
        <v>46018</v>
      </c>
      <c r="AB33" s="69"/>
      <c r="AC33" s="88">
        <v>46018</v>
      </c>
      <c r="AD33" s="69"/>
      <c r="AE33" s="88">
        <v>46018</v>
      </c>
      <c r="AF33" s="69"/>
      <c r="AG33" s="88">
        <v>46018</v>
      </c>
      <c r="AH33" s="69"/>
      <c r="AI33" s="88">
        <v>46018</v>
      </c>
      <c r="AJ33" s="69"/>
      <c r="AK33" s="88">
        <v>46018</v>
      </c>
      <c r="AL33" s="69"/>
      <c r="AM33" s="88">
        <v>46018</v>
      </c>
      <c r="AN33" s="69"/>
      <c r="AO33" s="88">
        <v>46018</v>
      </c>
      <c r="AP33" s="69"/>
      <c r="AQ33" s="88">
        <v>46018</v>
      </c>
      <c r="AR33" s="69"/>
      <c r="AS33" s="88">
        <v>46018</v>
      </c>
      <c r="AT33" s="69"/>
      <c r="AU33" s="88">
        <v>46018</v>
      </c>
      <c r="AV33" s="69"/>
      <c r="AW33" s="88">
        <v>46018</v>
      </c>
      <c r="AX33" s="69"/>
      <c r="AY33" s="88">
        <v>46018</v>
      </c>
      <c r="AZ33" s="69"/>
      <c r="BA33" s="88">
        <v>46018</v>
      </c>
      <c r="BB33" s="69"/>
      <c r="BC33" s="88">
        <v>46018</v>
      </c>
      <c r="BD33" s="69"/>
      <c r="BE33" s="88">
        <v>46018</v>
      </c>
      <c r="BF33" s="69"/>
      <c r="BG33" s="88">
        <v>46018</v>
      </c>
      <c r="BH33" s="69"/>
      <c r="BI33" s="88">
        <v>46018</v>
      </c>
      <c r="BJ33" s="69"/>
      <c r="BK33" s="88">
        <v>46018</v>
      </c>
      <c r="BL33" s="69"/>
      <c r="BM33" s="88">
        <v>46018</v>
      </c>
      <c r="BN33" s="69"/>
      <c r="BO33" s="88">
        <v>46018</v>
      </c>
      <c r="BP33" s="69"/>
      <c r="BQ33" s="88">
        <v>46018</v>
      </c>
      <c r="BR33" s="69"/>
      <c r="BS33" s="88">
        <v>46018</v>
      </c>
      <c r="BT33" s="69"/>
      <c r="BU33" s="88">
        <v>46018</v>
      </c>
      <c r="BV33" s="69"/>
      <c r="BW33" s="88">
        <v>46018</v>
      </c>
      <c r="BX33" s="69"/>
      <c r="BY33" s="88">
        <v>46018</v>
      </c>
      <c r="BZ33" s="69"/>
      <c r="CA33" s="88">
        <v>46018</v>
      </c>
      <c r="CB33" s="69"/>
      <c r="CC33" s="88">
        <v>46018</v>
      </c>
      <c r="CD33" s="69"/>
      <c r="CE33" s="88">
        <v>46018</v>
      </c>
      <c r="CF33" s="69"/>
      <c r="CG33" s="88">
        <v>46018</v>
      </c>
      <c r="CH33" s="69"/>
      <c r="CI33" s="88">
        <v>46018</v>
      </c>
      <c r="CJ33" s="69"/>
      <c r="CK33" s="88">
        <v>46018</v>
      </c>
      <c r="CL33" s="69"/>
      <c r="CM33" s="88">
        <v>46018</v>
      </c>
      <c r="CN33" s="69"/>
      <c r="CO33" s="88">
        <v>46018</v>
      </c>
      <c r="CP33" s="69"/>
      <c r="CQ33" s="88">
        <v>46018</v>
      </c>
      <c r="CR33" s="69"/>
      <c r="CS33" s="88">
        <v>46018</v>
      </c>
      <c r="CT33" s="69"/>
      <c r="CU33" s="88">
        <v>46018</v>
      </c>
      <c r="CV33" s="69"/>
      <c r="CW33" s="88">
        <v>46018</v>
      </c>
      <c r="CX33" s="69"/>
      <c r="CY33" s="88">
        <v>46018</v>
      </c>
      <c r="CZ33" s="69"/>
      <c r="DA33" s="88">
        <v>46018</v>
      </c>
      <c r="DB33" s="69"/>
      <c r="DC33" s="88">
        <v>46018</v>
      </c>
      <c r="DD33" s="69"/>
      <c r="DE33" s="88">
        <v>46018</v>
      </c>
      <c r="DF33" s="69"/>
      <c r="DG33" s="88">
        <v>46018</v>
      </c>
      <c r="DH33" s="69"/>
      <c r="DI33" s="88">
        <v>46018</v>
      </c>
      <c r="DJ33" s="69"/>
      <c r="DK33" s="88">
        <v>46018</v>
      </c>
      <c r="DL33" s="69"/>
      <c r="DM33" s="88">
        <v>46018</v>
      </c>
      <c r="DN33" s="69"/>
      <c r="DO33" s="88">
        <v>46018</v>
      </c>
      <c r="DP33" s="69"/>
      <c r="DQ33" s="88">
        <v>46018</v>
      </c>
      <c r="DR33" s="69"/>
      <c r="DS33" s="88">
        <v>46018</v>
      </c>
      <c r="DT33" s="69"/>
      <c r="DU33" s="88">
        <v>46018</v>
      </c>
      <c r="DV33" s="69"/>
      <c r="DW33" s="88">
        <v>46018</v>
      </c>
      <c r="DX33" s="69"/>
      <c r="DY33" s="88">
        <v>46018</v>
      </c>
      <c r="DZ33" s="70"/>
    </row>
    <row r="34" spans="1:130" ht="15" customHeight="1" x14ac:dyDescent="0.2">
      <c r="A34" s="123">
        <v>46018</v>
      </c>
      <c r="C34" s="123"/>
      <c r="D34" s="123"/>
      <c r="G34" s="92">
        <v>46017</v>
      </c>
      <c r="H34" s="69">
        <v>1729.8</v>
      </c>
      <c r="I34" s="88">
        <v>46017</v>
      </c>
      <c r="J34" s="69"/>
      <c r="K34" s="88">
        <v>46017</v>
      </c>
      <c r="L34" s="69">
        <v>50750.39</v>
      </c>
      <c r="M34" s="88">
        <v>46017</v>
      </c>
      <c r="N34" s="69">
        <v>28556.02</v>
      </c>
      <c r="O34" s="88">
        <v>46017</v>
      </c>
      <c r="P34" s="69">
        <v>4636.1499999999996</v>
      </c>
      <c r="Q34" s="88">
        <v>46017</v>
      </c>
      <c r="R34" s="69">
        <v>1677.1</v>
      </c>
      <c r="S34" s="88">
        <v>46017</v>
      </c>
      <c r="T34" s="69">
        <v>6065.64</v>
      </c>
      <c r="U34" s="88">
        <v>46017</v>
      </c>
      <c r="V34" s="69">
        <v>3963.68</v>
      </c>
      <c r="W34" s="88">
        <v>46017</v>
      </c>
      <c r="X34" s="69">
        <v>2541.94</v>
      </c>
      <c r="Y34" s="88">
        <v>46017</v>
      </c>
      <c r="Z34" s="69">
        <v>4657.24</v>
      </c>
      <c r="AA34" s="88">
        <v>46017</v>
      </c>
      <c r="AB34" s="69"/>
      <c r="AC34" s="88">
        <v>46017</v>
      </c>
      <c r="AD34" s="69"/>
      <c r="AE34" s="88">
        <v>46017</v>
      </c>
      <c r="AF34" s="69"/>
      <c r="AG34" s="88">
        <v>46017</v>
      </c>
      <c r="AH34" s="69">
        <v>1259.25</v>
      </c>
      <c r="AI34" s="88">
        <v>46017</v>
      </c>
      <c r="AJ34" s="69">
        <v>85041.45</v>
      </c>
      <c r="AK34" s="88">
        <v>46017</v>
      </c>
      <c r="AL34" s="69">
        <v>1729.8</v>
      </c>
      <c r="AM34" s="88">
        <v>46017</v>
      </c>
      <c r="AN34" s="69">
        <v>172400.73</v>
      </c>
      <c r="AO34" s="88">
        <v>46017</v>
      </c>
      <c r="AP34" s="69">
        <v>5940.46</v>
      </c>
      <c r="AQ34" s="88">
        <v>46017</v>
      </c>
      <c r="AR34" s="69">
        <v>6134.23</v>
      </c>
      <c r="AS34" s="88">
        <v>46017</v>
      </c>
      <c r="AT34" s="69">
        <v>9591.48</v>
      </c>
      <c r="AU34" s="88">
        <v>46017</v>
      </c>
      <c r="AV34" s="69">
        <v>10763.27</v>
      </c>
      <c r="AW34" s="88">
        <v>46017</v>
      </c>
      <c r="AX34" s="69">
        <v>3600.45</v>
      </c>
      <c r="AY34" s="88">
        <v>46017</v>
      </c>
      <c r="AZ34" s="69">
        <v>10416.65</v>
      </c>
      <c r="BA34" s="88">
        <v>46017</v>
      </c>
      <c r="BB34" s="69">
        <v>3647.25</v>
      </c>
      <c r="BC34" s="88">
        <v>46017</v>
      </c>
      <c r="BD34" s="69">
        <v>1117.04</v>
      </c>
      <c r="BE34" s="88">
        <v>46017</v>
      </c>
      <c r="BF34" s="69">
        <v>11294.37</v>
      </c>
      <c r="BG34" s="88">
        <v>46017</v>
      </c>
      <c r="BH34" s="69"/>
      <c r="BI34" s="88">
        <v>46017</v>
      </c>
      <c r="BJ34" s="69"/>
      <c r="BK34" s="88">
        <v>46017</v>
      </c>
      <c r="BL34" s="69"/>
      <c r="BM34" s="88">
        <v>46017</v>
      </c>
      <c r="BN34" s="69"/>
      <c r="BO34" s="88">
        <v>46017</v>
      </c>
      <c r="BP34" s="69"/>
      <c r="BQ34" s="88">
        <v>46017</v>
      </c>
      <c r="BR34" s="69"/>
      <c r="BS34" s="88">
        <v>46017</v>
      </c>
      <c r="BT34" s="69"/>
      <c r="BU34" s="88">
        <v>46017</v>
      </c>
      <c r="BV34" s="69"/>
      <c r="BW34" s="88">
        <v>46017</v>
      </c>
      <c r="BX34" s="69"/>
      <c r="BY34" s="88">
        <v>46017</v>
      </c>
      <c r="BZ34" s="69"/>
      <c r="CA34" s="88">
        <v>46017</v>
      </c>
      <c r="CB34" s="69"/>
      <c r="CC34" s="88">
        <v>46017</v>
      </c>
      <c r="CD34" s="69"/>
      <c r="CE34" s="88">
        <v>46017</v>
      </c>
      <c r="CF34" s="69"/>
      <c r="CG34" s="88">
        <v>46017</v>
      </c>
      <c r="CH34" s="69"/>
      <c r="CI34" s="88">
        <v>46017</v>
      </c>
      <c r="CJ34" s="69"/>
      <c r="CK34" s="88">
        <v>46017</v>
      </c>
      <c r="CL34" s="69"/>
      <c r="CM34" s="88">
        <v>46017</v>
      </c>
      <c r="CN34" s="69"/>
      <c r="CO34" s="88">
        <v>46017</v>
      </c>
      <c r="CP34" s="69"/>
      <c r="CQ34" s="88">
        <v>46017</v>
      </c>
      <c r="CR34" s="69"/>
      <c r="CS34" s="88">
        <v>46017</v>
      </c>
      <c r="CT34" s="69"/>
      <c r="CU34" s="88">
        <v>46017</v>
      </c>
      <c r="CV34" s="69">
        <v>41604.74</v>
      </c>
      <c r="CW34" s="88">
        <v>46017</v>
      </c>
      <c r="CX34" s="69"/>
      <c r="CY34" s="88">
        <v>46017</v>
      </c>
      <c r="CZ34" s="69"/>
      <c r="DA34" s="88">
        <v>46017</v>
      </c>
      <c r="DB34" s="69"/>
      <c r="DC34" s="88">
        <v>46017</v>
      </c>
      <c r="DD34" s="69"/>
      <c r="DE34" s="88">
        <v>46017</v>
      </c>
      <c r="DF34" s="69">
        <v>52707.48</v>
      </c>
      <c r="DG34" s="88">
        <v>46017</v>
      </c>
      <c r="DH34" s="69">
        <v>160896.64000000001</v>
      </c>
      <c r="DI34" s="88">
        <v>46017</v>
      </c>
      <c r="DJ34" s="69">
        <v>3112379.75</v>
      </c>
      <c r="DK34" s="88">
        <v>46017</v>
      </c>
      <c r="DL34" s="69">
        <v>34937.730000000003</v>
      </c>
      <c r="DM34" s="88">
        <v>46017</v>
      </c>
      <c r="DN34" s="69"/>
      <c r="DO34" s="88">
        <v>46017</v>
      </c>
      <c r="DP34" s="69">
        <v>48710.97</v>
      </c>
      <c r="DQ34" s="88">
        <v>46017</v>
      </c>
      <c r="DR34" s="69">
        <v>23593.1</v>
      </c>
      <c r="DS34" s="88">
        <v>46017</v>
      </c>
      <c r="DT34" s="69">
        <v>6929.94</v>
      </c>
      <c r="DU34" s="88">
        <v>46017</v>
      </c>
      <c r="DV34" s="69">
        <v>65636.36</v>
      </c>
      <c r="DW34" s="88">
        <v>46017</v>
      </c>
      <c r="DX34" s="69">
        <v>1605.73</v>
      </c>
      <c r="DY34" s="88">
        <v>46017</v>
      </c>
      <c r="DZ34" s="70">
        <v>2081.58</v>
      </c>
    </row>
    <row r="35" spans="1:130" ht="15" customHeight="1" x14ac:dyDescent="0.2">
      <c r="A35" s="123">
        <v>46017</v>
      </c>
      <c r="B35" s="74">
        <v>1729.8</v>
      </c>
      <c r="C35" s="123"/>
      <c r="D35" s="123"/>
      <c r="G35" s="92">
        <v>46016</v>
      </c>
      <c r="H35" s="69">
        <v>1742.85</v>
      </c>
      <c r="I35" s="88">
        <v>46016</v>
      </c>
      <c r="J35" s="69"/>
      <c r="K35" s="88">
        <v>46016</v>
      </c>
      <c r="L35" s="69">
        <v>50407.79</v>
      </c>
      <c r="M35" s="88">
        <v>46016</v>
      </c>
      <c r="N35" s="69"/>
      <c r="O35" s="88">
        <v>46016</v>
      </c>
      <c r="P35" s="69"/>
      <c r="Q35" s="88">
        <v>46016</v>
      </c>
      <c r="R35" s="69"/>
      <c r="S35" s="88">
        <v>46016</v>
      </c>
      <c r="T35" s="69"/>
      <c r="U35" s="88">
        <v>46016</v>
      </c>
      <c r="V35" s="69">
        <v>3959.62</v>
      </c>
      <c r="W35" s="88">
        <v>46016</v>
      </c>
      <c r="X35" s="69">
        <v>2533.83</v>
      </c>
      <c r="Y35" s="88">
        <v>46016</v>
      </c>
      <c r="Z35" s="69">
        <v>4642.54</v>
      </c>
      <c r="AA35" s="88">
        <v>46016</v>
      </c>
      <c r="AB35" s="69"/>
      <c r="AC35" s="88">
        <v>46016</v>
      </c>
      <c r="AD35" s="69"/>
      <c r="AE35" s="88">
        <v>46016</v>
      </c>
      <c r="AF35" s="69"/>
      <c r="AG35" s="88">
        <v>46016</v>
      </c>
      <c r="AH35" s="69">
        <v>1264.77</v>
      </c>
      <c r="AI35" s="88">
        <v>46016</v>
      </c>
      <c r="AJ35" s="69"/>
      <c r="AK35" s="88">
        <v>46016</v>
      </c>
      <c r="AL35" s="69">
        <v>1742.85</v>
      </c>
      <c r="AM35" s="88">
        <v>46016</v>
      </c>
      <c r="AN35" s="69"/>
      <c r="AO35" s="88">
        <v>46016</v>
      </c>
      <c r="AP35" s="69">
        <v>5956.33</v>
      </c>
      <c r="AQ35" s="88">
        <v>46016</v>
      </c>
      <c r="AR35" s="69">
        <v>6141.6</v>
      </c>
      <c r="AS35" s="88">
        <v>46016</v>
      </c>
      <c r="AT35" s="69">
        <v>9595.75</v>
      </c>
      <c r="AU35" s="88">
        <v>46016</v>
      </c>
      <c r="AV35" s="69">
        <v>10801.22</v>
      </c>
      <c r="AW35" s="88">
        <v>46016</v>
      </c>
      <c r="AX35" s="69"/>
      <c r="AY35" s="88">
        <v>46016</v>
      </c>
      <c r="AZ35" s="69">
        <v>10526.09</v>
      </c>
      <c r="BA35" s="88">
        <v>46016</v>
      </c>
      <c r="BB35" s="69">
        <v>3626.88</v>
      </c>
      <c r="BC35" s="88">
        <v>46016</v>
      </c>
      <c r="BD35" s="69">
        <v>1097.79</v>
      </c>
      <c r="BE35" s="88">
        <v>46016</v>
      </c>
      <c r="BF35" s="69">
        <v>11336.18</v>
      </c>
      <c r="BG35" s="88">
        <v>46016</v>
      </c>
      <c r="BH35" s="69"/>
      <c r="BI35" s="88">
        <v>46016</v>
      </c>
      <c r="BJ35" s="69"/>
      <c r="BK35" s="88">
        <v>46016</v>
      </c>
      <c r="BL35" s="69"/>
      <c r="BM35" s="88">
        <v>46016</v>
      </c>
      <c r="BN35" s="69"/>
      <c r="BO35" s="88">
        <v>46016</v>
      </c>
      <c r="BP35" s="69"/>
      <c r="BQ35" s="88">
        <v>46016</v>
      </c>
      <c r="BR35" s="69"/>
      <c r="BS35" s="88">
        <v>46016</v>
      </c>
      <c r="BT35" s="69"/>
      <c r="BU35" s="88">
        <v>46016</v>
      </c>
      <c r="BV35" s="69"/>
      <c r="BW35" s="88">
        <v>46016</v>
      </c>
      <c r="BX35" s="69"/>
      <c r="BY35" s="88">
        <v>46016</v>
      </c>
      <c r="BZ35" s="69"/>
      <c r="CA35" s="88">
        <v>46016</v>
      </c>
      <c r="CB35" s="69"/>
      <c r="CC35" s="88">
        <v>46016</v>
      </c>
      <c r="CD35" s="69"/>
      <c r="CE35" s="88">
        <v>46016</v>
      </c>
      <c r="CF35" s="69"/>
      <c r="CG35" s="88">
        <v>46016</v>
      </c>
      <c r="CH35" s="69"/>
      <c r="CI35" s="88">
        <v>46016</v>
      </c>
      <c r="CJ35" s="69"/>
      <c r="CK35" s="88">
        <v>46016</v>
      </c>
      <c r="CL35" s="69"/>
      <c r="CM35" s="88">
        <v>46016</v>
      </c>
      <c r="CN35" s="69"/>
      <c r="CO35" s="88">
        <v>46016</v>
      </c>
      <c r="CP35" s="69"/>
      <c r="CQ35" s="88">
        <v>46016</v>
      </c>
      <c r="CR35" s="69"/>
      <c r="CS35" s="88">
        <v>46016</v>
      </c>
      <c r="CT35" s="69"/>
      <c r="CU35" s="88">
        <v>46016</v>
      </c>
      <c r="CV35" s="69">
        <v>41253.019999999997</v>
      </c>
      <c r="CW35" s="88">
        <v>46016</v>
      </c>
      <c r="CX35" s="69"/>
      <c r="CY35" s="88">
        <v>46016</v>
      </c>
      <c r="CZ35" s="69"/>
      <c r="DA35" s="88">
        <v>46016</v>
      </c>
      <c r="DB35" s="69"/>
      <c r="DC35" s="88">
        <v>46016</v>
      </c>
      <c r="DD35" s="69"/>
      <c r="DE35" s="88">
        <v>46016</v>
      </c>
      <c r="DF35" s="69"/>
      <c r="DG35" s="88">
        <v>46016</v>
      </c>
      <c r="DH35" s="69"/>
      <c r="DI35" s="88">
        <v>46016</v>
      </c>
      <c r="DJ35" s="69"/>
      <c r="DK35" s="88">
        <v>46016</v>
      </c>
      <c r="DL35" s="69"/>
      <c r="DM35" s="88">
        <v>46016</v>
      </c>
      <c r="DN35" s="69"/>
      <c r="DO35" s="88">
        <v>46016</v>
      </c>
      <c r="DP35" s="69"/>
      <c r="DQ35" s="88">
        <v>46016</v>
      </c>
      <c r="DR35" s="69"/>
      <c r="DS35" s="88">
        <v>46016</v>
      </c>
      <c r="DT35" s="69"/>
      <c r="DU35" s="88">
        <v>46016</v>
      </c>
      <c r="DV35" s="69"/>
      <c r="DW35" s="88">
        <v>46016</v>
      </c>
      <c r="DX35" s="69"/>
      <c r="DY35" s="88">
        <v>46016</v>
      </c>
      <c r="DZ35" s="70"/>
    </row>
    <row r="36" spans="1:130" ht="15" customHeight="1" x14ac:dyDescent="0.2">
      <c r="A36" s="123">
        <v>46016</v>
      </c>
      <c r="B36" s="74">
        <v>1742.85</v>
      </c>
      <c r="C36" s="123"/>
      <c r="D36" s="123"/>
      <c r="G36" s="92">
        <v>46015</v>
      </c>
      <c r="H36" s="69">
        <v>1782.82</v>
      </c>
      <c r="I36" s="88">
        <v>46015</v>
      </c>
      <c r="J36" s="69">
        <v>9068.9599999999991</v>
      </c>
      <c r="K36" s="88">
        <v>46015</v>
      </c>
      <c r="L36" s="69">
        <v>50344.1</v>
      </c>
      <c r="M36" s="88">
        <v>46015</v>
      </c>
      <c r="N36" s="69">
        <v>28371.98</v>
      </c>
      <c r="O36" s="88">
        <v>46015</v>
      </c>
      <c r="P36" s="69">
        <v>4636.34</v>
      </c>
      <c r="Q36" s="88">
        <v>46015</v>
      </c>
      <c r="R36" s="69">
        <v>1678.31</v>
      </c>
      <c r="S36" s="88">
        <v>46015</v>
      </c>
      <c r="T36" s="69"/>
      <c r="U36" s="88">
        <v>46015</v>
      </c>
      <c r="V36" s="69">
        <v>3940.95</v>
      </c>
      <c r="W36" s="88">
        <v>46015</v>
      </c>
      <c r="X36" s="69">
        <v>2517.98</v>
      </c>
      <c r="Y36" s="88">
        <v>46015</v>
      </c>
      <c r="Z36" s="69">
        <v>4634.0600000000004</v>
      </c>
      <c r="AA36" s="88">
        <v>46015</v>
      </c>
      <c r="AB36" s="69">
        <v>25818.93</v>
      </c>
      <c r="AC36" s="88">
        <v>46015</v>
      </c>
      <c r="AD36" s="69">
        <v>8915.1200000000008</v>
      </c>
      <c r="AE36" s="88">
        <v>46015</v>
      </c>
      <c r="AF36" s="69">
        <v>8537.91</v>
      </c>
      <c r="AG36" s="88">
        <v>46015</v>
      </c>
      <c r="AH36" s="69">
        <v>1275.33</v>
      </c>
      <c r="AI36" s="88">
        <v>46015</v>
      </c>
      <c r="AJ36" s="69">
        <v>85408.7</v>
      </c>
      <c r="AK36" s="88">
        <v>46015</v>
      </c>
      <c r="AL36" s="69">
        <v>1782.82</v>
      </c>
      <c r="AM36" s="88">
        <v>46015</v>
      </c>
      <c r="AN36" s="69">
        <v>170830.22</v>
      </c>
      <c r="AO36" s="88">
        <v>46015</v>
      </c>
      <c r="AP36" s="69">
        <v>5944.8</v>
      </c>
      <c r="AQ36" s="88">
        <v>46015</v>
      </c>
      <c r="AR36" s="69">
        <v>6164.03</v>
      </c>
      <c r="AS36" s="88">
        <v>46015</v>
      </c>
      <c r="AT36" s="69">
        <v>9578.9</v>
      </c>
      <c r="AU36" s="88">
        <v>46015</v>
      </c>
      <c r="AV36" s="69">
        <v>10837.61</v>
      </c>
      <c r="AW36" s="88">
        <v>46015</v>
      </c>
      <c r="AX36" s="69">
        <v>3565.81</v>
      </c>
      <c r="AY36" s="88">
        <v>46015</v>
      </c>
      <c r="AZ36" s="69">
        <v>10540.72</v>
      </c>
      <c r="BA36" s="88">
        <v>46015</v>
      </c>
      <c r="BB36" s="69">
        <v>3740.91</v>
      </c>
      <c r="BC36" s="88">
        <v>46015</v>
      </c>
      <c r="BD36" s="69">
        <v>1092.43</v>
      </c>
      <c r="BE36" s="88">
        <v>46015</v>
      </c>
      <c r="BF36" s="69">
        <v>11340.1</v>
      </c>
      <c r="BG36" s="88">
        <v>46015</v>
      </c>
      <c r="BH36" s="69"/>
      <c r="BI36" s="88">
        <v>46015</v>
      </c>
      <c r="BJ36" s="69"/>
      <c r="BK36" s="88">
        <v>46015</v>
      </c>
      <c r="BL36" s="69">
        <v>17172.900000000001</v>
      </c>
      <c r="BM36" s="88">
        <v>46015</v>
      </c>
      <c r="BN36" s="69">
        <v>5040.37</v>
      </c>
      <c r="BO36" s="88">
        <v>46015</v>
      </c>
      <c r="BP36" s="69"/>
      <c r="BQ36" s="88">
        <v>46015</v>
      </c>
      <c r="BR36" s="69"/>
      <c r="BS36" s="88">
        <v>46015</v>
      </c>
      <c r="BT36" s="69">
        <v>9870.68</v>
      </c>
      <c r="BU36" s="88">
        <v>46015</v>
      </c>
      <c r="BV36" s="69"/>
      <c r="BW36" s="88">
        <v>46015</v>
      </c>
      <c r="BX36" s="69">
        <v>941.37</v>
      </c>
      <c r="BY36" s="88">
        <v>46015</v>
      </c>
      <c r="BZ36" s="69">
        <v>8103.58</v>
      </c>
      <c r="CA36" s="88">
        <v>46015</v>
      </c>
      <c r="CB36" s="69"/>
      <c r="CC36" s="88">
        <v>46015</v>
      </c>
      <c r="CD36" s="69"/>
      <c r="CE36" s="88">
        <v>46015</v>
      </c>
      <c r="CF36" s="69"/>
      <c r="CG36" s="88">
        <v>46015</v>
      </c>
      <c r="CH36" s="69">
        <v>8183.11</v>
      </c>
      <c r="CI36" s="88">
        <v>46015</v>
      </c>
      <c r="CJ36" s="69"/>
      <c r="CK36" s="88">
        <v>46015</v>
      </c>
      <c r="CL36" s="69"/>
      <c r="CM36" s="88">
        <v>46015</v>
      </c>
      <c r="CN36" s="69"/>
      <c r="CO36" s="88">
        <v>46015</v>
      </c>
      <c r="CP36" s="69"/>
      <c r="CQ36" s="88">
        <v>46015</v>
      </c>
      <c r="CR36" s="69"/>
      <c r="CS36" s="88">
        <v>46015</v>
      </c>
      <c r="CT36" s="69">
        <v>13037.23</v>
      </c>
      <c r="CU36" s="88">
        <v>46015</v>
      </c>
      <c r="CV36" s="69">
        <v>41508.31</v>
      </c>
      <c r="CW36" s="88">
        <v>46015</v>
      </c>
      <c r="CX36" s="69">
        <v>1760.16</v>
      </c>
      <c r="CY36" s="88">
        <v>46015</v>
      </c>
      <c r="CZ36" s="69"/>
      <c r="DA36" s="88">
        <v>46015</v>
      </c>
      <c r="DB36" s="69">
        <v>5746.24</v>
      </c>
      <c r="DC36" s="88">
        <v>46015</v>
      </c>
      <c r="DD36" s="69">
        <v>2345.98</v>
      </c>
      <c r="DE36" s="88">
        <v>46015</v>
      </c>
      <c r="DF36" s="69">
        <v>52238.33</v>
      </c>
      <c r="DG36" s="88">
        <v>46015</v>
      </c>
      <c r="DH36" s="69"/>
      <c r="DI36" s="88">
        <v>46015</v>
      </c>
      <c r="DJ36" s="69">
        <v>3121145</v>
      </c>
      <c r="DK36" s="88">
        <v>46015</v>
      </c>
      <c r="DL36" s="69">
        <v>34937.730000000003</v>
      </c>
      <c r="DM36" s="88">
        <v>46015</v>
      </c>
      <c r="DN36" s="69">
        <v>31999.759999999998</v>
      </c>
      <c r="DO36" s="88">
        <v>46015</v>
      </c>
      <c r="DP36" s="69">
        <v>48731.16</v>
      </c>
      <c r="DQ36" s="88">
        <v>46015</v>
      </c>
      <c r="DR36" s="69">
        <v>23613.31</v>
      </c>
      <c r="DS36" s="88">
        <v>46015</v>
      </c>
      <c r="DT36" s="69">
        <v>6932.05</v>
      </c>
      <c r="DU36" s="88">
        <v>46015</v>
      </c>
      <c r="DV36" s="69">
        <v>65616.429999999993</v>
      </c>
      <c r="DW36" s="88">
        <v>46015</v>
      </c>
      <c r="DX36" s="69"/>
      <c r="DY36" s="88">
        <v>46015</v>
      </c>
      <c r="DZ36" s="70">
        <v>2081.4</v>
      </c>
    </row>
    <row r="37" spans="1:130" ht="15" customHeight="1" x14ac:dyDescent="0.2">
      <c r="A37" s="123">
        <v>46015</v>
      </c>
      <c r="B37" s="74">
        <v>1782.82</v>
      </c>
      <c r="C37" s="123"/>
      <c r="D37" s="123"/>
      <c r="G37" s="92">
        <v>46014</v>
      </c>
      <c r="H37" s="69">
        <v>1772.15</v>
      </c>
      <c r="I37" s="88">
        <v>46014</v>
      </c>
      <c r="J37" s="69">
        <v>9096.18</v>
      </c>
      <c r="K37" s="88">
        <v>46014</v>
      </c>
      <c r="L37" s="69">
        <v>50412.87</v>
      </c>
      <c r="M37" s="88">
        <v>46014</v>
      </c>
      <c r="N37" s="69">
        <v>28310.47</v>
      </c>
      <c r="O37" s="88">
        <v>46014</v>
      </c>
      <c r="P37" s="69">
        <v>4638.97</v>
      </c>
      <c r="Q37" s="88">
        <v>46014</v>
      </c>
      <c r="R37" s="69">
        <v>1676.64</v>
      </c>
      <c r="S37" s="88">
        <v>46014</v>
      </c>
      <c r="T37" s="69">
        <v>6041.91</v>
      </c>
      <c r="U37" s="88">
        <v>46014</v>
      </c>
      <c r="V37" s="69">
        <v>3919.98</v>
      </c>
      <c r="W37" s="88">
        <v>46014</v>
      </c>
      <c r="X37" s="69">
        <v>2492.11</v>
      </c>
      <c r="Y37" s="88">
        <v>46014</v>
      </c>
      <c r="Z37" s="69">
        <v>4620.7299999999996</v>
      </c>
      <c r="AA37" s="88">
        <v>46014</v>
      </c>
      <c r="AB37" s="69">
        <v>25774.14</v>
      </c>
      <c r="AC37" s="88">
        <v>46014</v>
      </c>
      <c r="AD37" s="69">
        <v>8913.83</v>
      </c>
      <c r="AE37" s="88">
        <v>46014</v>
      </c>
      <c r="AF37" s="69">
        <v>8584.7800000000007</v>
      </c>
      <c r="AG37" s="88">
        <v>46014</v>
      </c>
      <c r="AH37" s="69">
        <v>1271.1099999999999</v>
      </c>
      <c r="AI37" s="88">
        <v>46014</v>
      </c>
      <c r="AJ37" s="69">
        <v>85524.84</v>
      </c>
      <c r="AK37" s="88">
        <v>46014</v>
      </c>
      <c r="AL37" s="69">
        <v>1772.15</v>
      </c>
      <c r="AM37" s="88">
        <v>46014</v>
      </c>
      <c r="AN37" s="69">
        <v>171073.73</v>
      </c>
      <c r="AO37" s="88">
        <v>46014</v>
      </c>
      <c r="AP37" s="69">
        <v>5947.76</v>
      </c>
      <c r="AQ37" s="88">
        <v>46014</v>
      </c>
      <c r="AR37" s="69">
        <v>6161.84</v>
      </c>
      <c r="AS37" s="88">
        <v>46014</v>
      </c>
      <c r="AT37" s="69">
        <v>9602.6299999999992</v>
      </c>
      <c r="AU37" s="88">
        <v>46014</v>
      </c>
      <c r="AV37" s="69">
        <v>10823.86</v>
      </c>
      <c r="AW37" s="88">
        <v>46014</v>
      </c>
      <c r="AX37" s="69">
        <v>3545.12</v>
      </c>
      <c r="AY37" s="88">
        <v>46014</v>
      </c>
      <c r="AZ37" s="69">
        <v>10595.85</v>
      </c>
      <c r="BA37" s="88">
        <v>46014</v>
      </c>
      <c r="BB37" s="69">
        <v>3727.87</v>
      </c>
      <c r="BC37" s="88">
        <v>46014</v>
      </c>
      <c r="BD37" s="69">
        <v>1092.52</v>
      </c>
      <c r="BE37" s="88">
        <v>46014</v>
      </c>
      <c r="BF37" s="69">
        <v>11290.36</v>
      </c>
      <c r="BG37" s="88">
        <v>46014</v>
      </c>
      <c r="BH37" s="69">
        <v>1614.74</v>
      </c>
      <c r="BI37" s="88">
        <v>46014</v>
      </c>
      <c r="BJ37" s="69">
        <v>1912.86</v>
      </c>
      <c r="BK37" s="88">
        <v>46014</v>
      </c>
      <c r="BL37" s="69">
        <v>17182.8</v>
      </c>
      <c r="BM37" s="88">
        <v>46014</v>
      </c>
      <c r="BN37" s="69">
        <v>5057.49</v>
      </c>
      <c r="BO37" s="88">
        <v>46014</v>
      </c>
      <c r="BP37" s="69">
        <v>13242.8</v>
      </c>
      <c r="BQ37" s="88">
        <v>46014</v>
      </c>
      <c r="BR37" s="69">
        <v>24340.06</v>
      </c>
      <c r="BS37" s="88">
        <v>46014</v>
      </c>
      <c r="BT37" s="69">
        <v>9889.2199999999993</v>
      </c>
      <c r="BU37" s="88">
        <v>46014</v>
      </c>
      <c r="BV37" s="69">
        <v>1033.3</v>
      </c>
      <c r="BW37" s="88">
        <v>46014</v>
      </c>
      <c r="BX37" s="69">
        <v>942.26</v>
      </c>
      <c r="BY37" s="88">
        <v>46014</v>
      </c>
      <c r="BZ37" s="69">
        <v>8103.85</v>
      </c>
      <c r="CA37" s="88">
        <v>46014</v>
      </c>
      <c r="CB37" s="69">
        <v>2127.79</v>
      </c>
      <c r="CC37" s="88">
        <v>46014</v>
      </c>
      <c r="CD37" s="69">
        <v>44606.58</v>
      </c>
      <c r="CE37" s="88">
        <v>46014</v>
      </c>
      <c r="CF37" s="69">
        <v>116148.7</v>
      </c>
      <c r="CG37" s="88">
        <v>46014</v>
      </c>
      <c r="CH37" s="69">
        <v>8169.2</v>
      </c>
      <c r="CI37" s="88">
        <v>46014</v>
      </c>
      <c r="CJ37" s="69">
        <v>5247.21</v>
      </c>
      <c r="CK37" s="88">
        <v>46014</v>
      </c>
      <c r="CL37" s="69">
        <v>930.44</v>
      </c>
      <c r="CM37" s="88">
        <v>46014</v>
      </c>
      <c r="CN37" s="69"/>
      <c r="CO37" s="88">
        <v>46014</v>
      </c>
      <c r="CP37" s="69">
        <v>5625.93</v>
      </c>
      <c r="CQ37" s="88">
        <v>46014</v>
      </c>
      <c r="CR37" s="69">
        <v>111047</v>
      </c>
      <c r="CS37" s="88">
        <v>46014</v>
      </c>
      <c r="CT37" s="69">
        <v>13044.25</v>
      </c>
      <c r="CU37" s="88">
        <v>46014</v>
      </c>
      <c r="CV37" s="69">
        <v>41419.32</v>
      </c>
      <c r="CW37" s="88">
        <v>46014</v>
      </c>
      <c r="CX37" s="69">
        <v>1741.83</v>
      </c>
      <c r="CY37" s="88">
        <v>46014</v>
      </c>
      <c r="CZ37" s="69">
        <v>2672.24</v>
      </c>
      <c r="DA37" s="88">
        <v>46014</v>
      </c>
      <c r="DB37" s="69">
        <v>5749.28</v>
      </c>
      <c r="DC37" s="88">
        <v>46014</v>
      </c>
      <c r="DD37" s="69">
        <v>2346.87</v>
      </c>
      <c r="DE37" s="88">
        <v>46014</v>
      </c>
      <c r="DF37" s="69">
        <v>52310.69</v>
      </c>
      <c r="DG37" s="88">
        <v>46014</v>
      </c>
      <c r="DH37" s="69">
        <v>160455.82999999999</v>
      </c>
      <c r="DI37" s="88">
        <v>46014</v>
      </c>
      <c r="DJ37" s="69">
        <v>3114970.25</v>
      </c>
      <c r="DK37" s="88">
        <v>46014</v>
      </c>
      <c r="DL37" s="69">
        <v>34937.730000000003</v>
      </c>
      <c r="DM37" s="88">
        <v>46014</v>
      </c>
      <c r="DN37" s="69">
        <v>32058.73</v>
      </c>
      <c r="DO37" s="88">
        <v>46014</v>
      </c>
      <c r="DP37" s="69">
        <v>48442.41</v>
      </c>
      <c r="DQ37" s="88">
        <v>46014</v>
      </c>
      <c r="DR37" s="69">
        <v>23561.84</v>
      </c>
      <c r="DS37" s="88">
        <v>46014</v>
      </c>
      <c r="DT37" s="69">
        <v>6909.79</v>
      </c>
      <c r="DU37" s="88">
        <v>46014</v>
      </c>
      <c r="DV37" s="69">
        <v>65595.41</v>
      </c>
      <c r="DW37" s="88">
        <v>46014</v>
      </c>
      <c r="DX37" s="69">
        <v>1554.83</v>
      </c>
      <c r="DY37" s="88">
        <v>46014</v>
      </c>
      <c r="DZ37" s="70">
        <v>2075.3200000000002</v>
      </c>
    </row>
    <row r="38" spans="1:130" ht="15" customHeight="1" x14ac:dyDescent="0.2">
      <c r="A38" s="123">
        <v>46014</v>
      </c>
      <c r="B38" s="74">
        <v>1772.15</v>
      </c>
      <c r="C38" s="123"/>
      <c r="D38" s="123"/>
      <c r="G38" s="92">
        <v>46013</v>
      </c>
      <c r="H38" s="69">
        <v>1751.03</v>
      </c>
      <c r="I38" s="88">
        <v>46013</v>
      </c>
      <c r="J38" s="69">
        <v>9000.73</v>
      </c>
      <c r="K38" s="88">
        <v>46013</v>
      </c>
      <c r="L38" s="69">
        <v>50402.39</v>
      </c>
      <c r="M38" s="88">
        <v>46013</v>
      </c>
      <c r="N38" s="69">
        <v>28149.64</v>
      </c>
      <c r="O38" s="88">
        <v>46013</v>
      </c>
      <c r="P38" s="69">
        <v>4610.29</v>
      </c>
      <c r="Q38" s="88">
        <v>46013</v>
      </c>
      <c r="R38" s="69">
        <v>1671.29</v>
      </c>
      <c r="S38" s="88">
        <v>46013</v>
      </c>
      <c r="T38" s="69">
        <v>6041.26</v>
      </c>
      <c r="U38" s="88">
        <v>46013</v>
      </c>
      <c r="V38" s="69">
        <v>3917.36</v>
      </c>
      <c r="W38" s="88">
        <v>46013</v>
      </c>
      <c r="X38" s="69">
        <v>2492.6999999999998</v>
      </c>
      <c r="Y38" s="88">
        <v>46013</v>
      </c>
      <c r="Z38" s="69">
        <v>4611.62</v>
      </c>
      <c r="AA38" s="88">
        <v>46013</v>
      </c>
      <c r="AB38" s="69">
        <v>25801.77</v>
      </c>
      <c r="AC38" s="88">
        <v>46013</v>
      </c>
      <c r="AD38" s="69">
        <v>8939.68</v>
      </c>
      <c r="AE38" s="88">
        <v>46013</v>
      </c>
      <c r="AF38" s="69">
        <v>8645.84</v>
      </c>
      <c r="AG38" s="88">
        <v>46013</v>
      </c>
      <c r="AH38" s="69">
        <v>1269.68</v>
      </c>
      <c r="AI38" s="88">
        <v>46013</v>
      </c>
      <c r="AJ38" s="69">
        <v>85567.48</v>
      </c>
      <c r="AK38" s="88">
        <v>46013</v>
      </c>
      <c r="AL38" s="69">
        <v>1751.03</v>
      </c>
      <c r="AM38" s="88">
        <v>46013</v>
      </c>
      <c r="AN38" s="69">
        <v>171204.18</v>
      </c>
      <c r="AO38" s="88">
        <v>46013</v>
      </c>
      <c r="AP38" s="69">
        <v>5944.34</v>
      </c>
      <c r="AQ38" s="88">
        <v>46013</v>
      </c>
      <c r="AR38" s="69">
        <v>6157.9</v>
      </c>
      <c r="AS38" s="88">
        <v>46013</v>
      </c>
      <c r="AT38" s="69">
        <v>9567.9699999999993</v>
      </c>
      <c r="AU38" s="88">
        <v>46013</v>
      </c>
      <c r="AV38" s="69">
        <v>10801.39</v>
      </c>
      <c r="AW38" s="88">
        <v>46013</v>
      </c>
      <c r="AX38" s="69">
        <v>3530.68</v>
      </c>
      <c r="AY38" s="88">
        <v>46013</v>
      </c>
      <c r="AZ38" s="69">
        <v>10552.26</v>
      </c>
      <c r="BA38" s="88">
        <v>46013</v>
      </c>
      <c r="BB38" s="69">
        <v>3723.24</v>
      </c>
      <c r="BC38" s="88">
        <v>46013</v>
      </c>
      <c r="BD38" s="69">
        <v>1078.73</v>
      </c>
      <c r="BE38" s="88">
        <v>46013</v>
      </c>
      <c r="BF38" s="69">
        <v>11311.06</v>
      </c>
      <c r="BG38" s="88">
        <v>46013</v>
      </c>
      <c r="BH38" s="69">
        <v>1551.67</v>
      </c>
      <c r="BI38" s="88">
        <v>46013</v>
      </c>
      <c r="BJ38" s="69">
        <v>1907.07</v>
      </c>
      <c r="BK38" s="88">
        <v>46013</v>
      </c>
      <c r="BL38" s="69">
        <v>17158</v>
      </c>
      <c r="BM38" s="88">
        <v>46013</v>
      </c>
      <c r="BN38" s="69">
        <v>5056.04</v>
      </c>
      <c r="BO38" s="88">
        <v>46013</v>
      </c>
      <c r="BP38" s="69">
        <v>13163.66</v>
      </c>
      <c r="BQ38" s="88">
        <v>46013</v>
      </c>
      <c r="BR38" s="69">
        <v>24283.97</v>
      </c>
      <c r="BS38" s="88">
        <v>46013</v>
      </c>
      <c r="BT38" s="69">
        <v>9865.9699999999993</v>
      </c>
      <c r="BU38" s="88">
        <v>46013</v>
      </c>
      <c r="BV38" s="69">
        <v>1031.67</v>
      </c>
      <c r="BW38" s="88">
        <v>46013</v>
      </c>
      <c r="BX38" s="69">
        <v>942.7</v>
      </c>
      <c r="BY38" s="88">
        <v>46013</v>
      </c>
      <c r="BZ38" s="69">
        <v>8121.07</v>
      </c>
      <c r="CA38" s="88">
        <v>46013</v>
      </c>
      <c r="CB38" s="69">
        <v>2127.1999999999998</v>
      </c>
      <c r="CC38" s="88">
        <v>46013</v>
      </c>
      <c r="CD38" s="69">
        <v>44593.599999999999</v>
      </c>
      <c r="CE38" s="88">
        <v>46013</v>
      </c>
      <c r="CF38" s="69">
        <v>116571.8</v>
      </c>
      <c r="CG38" s="88">
        <v>46013</v>
      </c>
      <c r="CH38" s="69">
        <v>8191.21</v>
      </c>
      <c r="CI38" s="88">
        <v>46013</v>
      </c>
      <c r="CJ38" s="69">
        <v>5239.3900000000003</v>
      </c>
      <c r="CK38" s="88">
        <v>46013</v>
      </c>
      <c r="CL38" s="69">
        <v>928.35</v>
      </c>
      <c r="CM38" s="88">
        <v>46013</v>
      </c>
      <c r="CN38" s="69">
        <v>1156.43</v>
      </c>
      <c r="CO38" s="88">
        <v>46013</v>
      </c>
      <c r="CP38" s="69">
        <v>5608.05</v>
      </c>
      <c r="CQ38" s="88">
        <v>46013</v>
      </c>
      <c r="CR38" s="69">
        <v>110891</v>
      </c>
      <c r="CS38" s="88">
        <v>46013</v>
      </c>
      <c r="CT38" s="69">
        <v>13088.89</v>
      </c>
      <c r="CU38" s="88">
        <v>46013</v>
      </c>
      <c r="CV38" s="69">
        <v>41102.76</v>
      </c>
      <c r="CW38" s="88">
        <v>46013</v>
      </c>
      <c r="CX38" s="69">
        <v>1737.17</v>
      </c>
      <c r="CY38" s="88">
        <v>46013</v>
      </c>
      <c r="CZ38" s="69">
        <v>2666.09</v>
      </c>
      <c r="DA38" s="88">
        <v>46013</v>
      </c>
      <c r="DB38" s="69">
        <v>5743.69</v>
      </c>
      <c r="DC38" s="88">
        <v>46013</v>
      </c>
      <c r="DD38" s="69">
        <v>2338.0500000000002</v>
      </c>
      <c r="DE38" s="88">
        <v>46013</v>
      </c>
      <c r="DF38" s="69">
        <v>52224.5</v>
      </c>
      <c r="DG38" s="88">
        <v>46013</v>
      </c>
      <c r="DH38" s="69">
        <v>158141.65</v>
      </c>
      <c r="DI38" s="88">
        <v>46013</v>
      </c>
      <c r="DJ38" s="69">
        <v>3136089.75</v>
      </c>
      <c r="DK38" s="88">
        <v>46013</v>
      </c>
      <c r="DL38" s="69">
        <v>34937.730000000003</v>
      </c>
      <c r="DM38" s="88">
        <v>46013</v>
      </c>
      <c r="DN38" s="69">
        <v>32000.1</v>
      </c>
      <c r="DO38" s="88">
        <v>46013</v>
      </c>
      <c r="DP38" s="69">
        <v>48362.68</v>
      </c>
      <c r="DQ38" s="88">
        <v>46013</v>
      </c>
      <c r="DR38" s="69">
        <v>23428.83</v>
      </c>
      <c r="DS38" s="88">
        <v>46013</v>
      </c>
      <c r="DT38" s="69">
        <v>6878.49</v>
      </c>
      <c r="DU38" s="88">
        <v>46013</v>
      </c>
      <c r="DV38" s="69">
        <v>64813.71</v>
      </c>
      <c r="DW38" s="88">
        <v>46013</v>
      </c>
      <c r="DX38" s="69">
        <v>1548.78</v>
      </c>
      <c r="DY38" s="88">
        <v>46013</v>
      </c>
      <c r="DZ38" s="70">
        <v>2056.64</v>
      </c>
    </row>
    <row r="39" spans="1:130" ht="15" customHeight="1" x14ac:dyDescent="0.2">
      <c r="A39" s="123">
        <v>46013</v>
      </c>
      <c r="B39" s="74">
        <v>1751.03</v>
      </c>
      <c r="C39" s="123"/>
      <c r="D39" s="123"/>
      <c r="G39" s="92">
        <v>46012</v>
      </c>
      <c r="H39" s="69"/>
      <c r="I39" s="88">
        <v>46012</v>
      </c>
      <c r="J39" s="69"/>
      <c r="K39" s="88">
        <v>46012</v>
      </c>
      <c r="L39" s="69"/>
      <c r="M39" s="88">
        <v>46012</v>
      </c>
      <c r="N39" s="69"/>
      <c r="O39" s="88">
        <v>46012</v>
      </c>
      <c r="P39" s="69"/>
      <c r="Q39" s="88">
        <v>46012</v>
      </c>
      <c r="R39" s="69"/>
      <c r="S39" s="88">
        <v>46012</v>
      </c>
      <c r="T39" s="69"/>
      <c r="U39" s="88">
        <v>46012</v>
      </c>
      <c r="V39" s="69"/>
      <c r="W39" s="88">
        <v>46012</v>
      </c>
      <c r="X39" s="69"/>
      <c r="Y39" s="88">
        <v>46012</v>
      </c>
      <c r="Z39" s="69"/>
      <c r="AA39" s="88">
        <v>46012</v>
      </c>
      <c r="AB39" s="69"/>
      <c r="AC39" s="88">
        <v>46012</v>
      </c>
      <c r="AD39" s="69"/>
      <c r="AE39" s="88">
        <v>46012</v>
      </c>
      <c r="AF39" s="69"/>
      <c r="AG39" s="88">
        <v>46012</v>
      </c>
      <c r="AH39" s="69"/>
      <c r="AI39" s="88">
        <v>46012</v>
      </c>
      <c r="AJ39" s="69"/>
      <c r="AK39" s="88">
        <v>46012</v>
      </c>
      <c r="AL39" s="69"/>
      <c r="AM39" s="88">
        <v>46012</v>
      </c>
      <c r="AN39" s="69"/>
      <c r="AO39" s="88">
        <v>46012</v>
      </c>
      <c r="AP39" s="69"/>
      <c r="AQ39" s="88">
        <v>46012</v>
      </c>
      <c r="AR39" s="69"/>
      <c r="AS39" s="88">
        <v>46012</v>
      </c>
      <c r="AT39" s="69"/>
      <c r="AU39" s="88">
        <v>46012</v>
      </c>
      <c r="AV39" s="69"/>
      <c r="AW39" s="88">
        <v>46012</v>
      </c>
      <c r="AX39" s="69"/>
      <c r="AY39" s="88">
        <v>46012</v>
      </c>
      <c r="AZ39" s="69"/>
      <c r="BA39" s="88">
        <v>46012</v>
      </c>
      <c r="BB39" s="69"/>
      <c r="BC39" s="88">
        <v>46012</v>
      </c>
      <c r="BD39" s="69"/>
      <c r="BE39" s="88">
        <v>46012</v>
      </c>
      <c r="BF39" s="69"/>
      <c r="BG39" s="88">
        <v>46012</v>
      </c>
      <c r="BH39" s="69"/>
      <c r="BI39" s="88">
        <v>46012</v>
      </c>
      <c r="BJ39" s="69"/>
      <c r="BK39" s="88">
        <v>46012</v>
      </c>
      <c r="BL39" s="69"/>
      <c r="BM39" s="88">
        <v>46012</v>
      </c>
      <c r="BN39" s="69"/>
      <c r="BO39" s="88">
        <v>46012</v>
      </c>
      <c r="BP39" s="69"/>
      <c r="BQ39" s="88">
        <v>46012</v>
      </c>
      <c r="BR39" s="69"/>
      <c r="BS39" s="88">
        <v>46012</v>
      </c>
      <c r="BT39" s="69"/>
      <c r="BU39" s="88">
        <v>46012</v>
      </c>
      <c r="BV39" s="69"/>
      <c r="BW39" s="88">
        <v>46012</v>
      </c>
      <c r="BX39" s="69"/>
      <c r="BY39" s="88">
        <v>46012</v>
      </c>
      <c r="BZ39" s="69"/>
      <c r="CA39" s="88">
        <v>46012</v>
      </c>
      <c r="CB39" s="69"/>
      <c r="CC39" s="88">
        <v>46012</v>
      </c>
      <c r="CD39" s="69"/>
      <c r="CE39" s="88">
        <v>46012</v>
      </c>
      <c r="CF39" s="69"/>
      <c r="CG39" s="88">
        <v>46012</v>
      </c>
      <c r="CH39" s="69"/>
      <c r="CI39" s="88">
        <v>46012</v>
      </c>
      <c r="CJ39" s="69"/>
      <c r="CK39" s="88">
        <v>46012</v>
      </c>
      <c r="CL39" s="69"/>
      <c r="CM39" s="88">
        <v>46012</v>
      </c>
      <c r="CN39" s="69"/>
      <c r="CO39" s="88">
        <v>46012</v>
      </c>
      <c r="CP39" s="69"/>
      <c r="CQ39" s="88">
        <v>46012</v>
      </c>
      <c r="CR39" s="69"/>
      <c r="CS39" s="88">
        <v>46012</v>
      </c>
      <c r="CT39" s="69"/>
      <c r="CU39" s="88">
        <v>46012</v>
      </c>
      <c r="CV39" s="69"/>
      <c r="CW39" s="88">
        <v>46012</v>
      </c>
      <c r="CX39" s="69"/>
      <c r="CY39" s="88">
        <v>46012</v>
      </c>
      <c r="CZ39" s="69"/>
      <c r="DA39" s="88">
        <v>46012</v>
      </c>
      <c r="DB39" s="69"/>
      <c r="DC39" s="88">
        <v>46012</v>
      </c>
      <c r="DD39" s="69"/>
      <c r="DE39" s="88">
        <v>46012</v>
      </c>
      <c r="DF39" s="69"/>
      <c r="DG39" s="88">
        <v>46012</v>
      </c>
      <c r="DH39" s="69"/>
      <c r="DI39" s="88">
        <v>46012</v>
      </c>
      <c r="DJ39" s="69"/>
      <c r="DK39" s="88">
        <v>46012</v>
      </c>
      <c r="DL39" s="69"/>
      <c r="DM39" s="88">
        <v>46012</v>
      </c>
      <c r="DN39" s="69"/>
      <c r="DO39" s="88">
        <v>46012</v>
      </c>
      <c r="DP39" s="69"/>
      <c r="DQ39" s="88">
        <v>46012</v>
      </c>
      <c r="DR39" s="69"/>
      <c r="DS39" s="88">
        <v>46012</v>
      </c>
      <c r="DT39" s="69"/>
      <c r="DU39" s="88">
        <v>46012</v>
      </c>
      <c r="DV39" s="69"/>
      <c r="DW39" s="88">
        <v>46012</v>
      </c>
      <c r="DX39" s="69"/>
      <c r="DY39" s="88">
        <v>46012</v>
      </c>
      <c r="DZ39" s="70"/>
    </row>
    <row r="40" spans="1:130" ht="15" customHeight="1" x14ac:dyDescent="0.2">
      <c r="A40" s="123">
        <v>46012</v>
      </c>
      <c r="C40" s="123"/>
      <c r="D40" s="123"/>
      <c r="G40" s="92">
        <v>46011</v>
      </c>
      <c r="H40" s="69"/>
      <c r="I40" s="88">
        <v>46011</v>
      </c>
      <c r="J40" s="69"/>
      <c r="K40" s="88">
        <v>46011</v>
      </c>
      <c r="L40" s="69"/>
      <c r="M40" s="88">
        <v>46011</v>
      </c>
      <c r="N40" s="69"/>
      <c r="O40" s="88">
        <v>46011</v>
      </c>
      <c r="P40" s="69"/>
      <c r="Q40" s="88">
        <v>46011</v>
      </c>
      <c r="R40" s="69"/>
      <c r="S40" s="88">
        <v>46011</v>
      </c>
      <c r="T40" s="69"/>
      <c r="U40" s="88">
        <v>46011</v>
      </c>
      <c r="V40" s="69"/>
      <c r="W40" s="88">
        <v>46011</v>
      </c>
      <c r="X40" s="69"/>
      <c r="Y40" s="88">
        <v>46011</v>
      </c>
      <c r="Z40" s="69"/>
      <c r="AA40" s="88">
        <v>46011</v>
      </c>
      <c r="AB40" s="69"/>
      <c r="AC40" s="88">
        <v>46011</v>
      </c>
      <c r="AD40" s="69"/>
      <c r="AE40" s="88">
        <v>46011</v>
      </c>
      <c r="AF40" s="69"/>
      <c r="AG40" s="88">
        <v>46011</v>
      </c>
      <c r="AH40" s="69"/>
      <c r="AI40" s="88">
        <v>46011</v>
      </c>
      <c r="AJ40" s="69"/>
      <c r="AK40" s="88">
        <v>46011</v>
      </c>
      <c r="AL40" s="69"/>
      <c r="AM40" s="88">
        <v>46011</v>
      </c>
      <c r="AN40" s="69"/>
      <c r="AO40" s="88">
        <v>46011</v>
      </c>
      <c r="AP40" s="69"/>
      <c r="AQ40" s="88">
        <v>46011</v>
      </c>
      <c r="AR40" s="69"/>
      <c r="AS40" s="88">
        <v>46011</v>
      </c>
      <c r="AT40" s="69"/>
      <c r="AU40" s="88">
        <v>46011</v>
      </c>
      <c r="AV40" s="69"/>
      <c r="AW40" s="88">
        <v>46011</v>
      </c>
      <c r="AX40" s="69"/>
      <c r="AY40" s="88">
        <v>46011</v>
      </c>
      <c r="AZ40" s="69"/>
      <c r="BA40" s="88">
        <v>46011</v>
      </c>
      <c r="BB40" s="69"/>
      <c r="BC40" s="88">
        <v>46011</v>
      </c>
      <c r="BD40" s="69"/>
      <c r="BE40" s="88">
        <v>46011</v>
      </c>
      <c r="BF40" s="69"/>
      <c r="BG40" s="88">
        <v>46011</v>
      </c>
      <c r="BH40" s="69"/>
      <c r="BI40" s="88">
        <v>46011</v>
      </c>
      <c r="BJ40" s="69"/>
      <c r="BK40" s="88">
        <v>46011</v>
      </c>
      <c r="BL40" s="69"/>
      <c r="BM40" s="88">
        <v>46011</v>
      </c>
      <c r="BN40" s="69"/>
      <c r="BO40" s="88">
        <v>46011</v>
      </c>
      <c r="BP40" s="69"/>
      <c r="BQ40" s="88">
        <v>46011</v>
      </c>
      <c r="BR40" s="69"/>
      <c r="BS40" s="88">
        <v>46011</v>
      </c>
      <c r="BT40" s="69"/>
      <c r="BU40" s="88">
        <v>46011</v>
      </c>
      <c r="BV40" s="69"/>
      <c r="BW40" s="88">
        <v>46011</v>
      </c>
      <c r="BX40" s="69"/>
      <c r="BY40" s="88">
        <v>46011</v>
      </c>
      <c r="BZ40" s="69"/>
      <c r="CA40" s="88">
        <v>46011</v>
      </c>
      <c r="CB40" s="69"/>
      <c r="CC40" s="88">
        <v>46011</v>
      </c>
      <c r="CD40" s="69"/>
      <c r="CE40" s="88">
        <v>46011</v>
      </c>
      <c r="CF40" s="69"/>
      <c r="CG40" s="88">
        <v>46011</v>
      </c>
      <c r="CH40" s="69"/>
      <c r="CI40" s="88">
        <v>46011</v>
      </c>
      <c r="CJ40" s="69"/>
      <c r="CK40" s="88">
        <v>46011</v>
      </c>
      <c r="CL40" s="69"/>
      <c r="CM40" s="88">
        <v>46011</v>
      </c>
      <c r="CN40" s="69"/>
      <c r="CO40" s="88">
        <v>46011</v>
      </c>
      <c r="CP40" s="69"/>
      <c r="CQ40" s="88">
        <v>46011</v>
      </c>
      <c r="CR40" s="69"/>
      <c r="CS40" s="88">
        <v>46011</v>
      </c>
      <c r="CT40" s="69"/>
      <c r="CU40" s="88">
        <v>46011</v>
      </c>
      <c r="CV40" s="69"/>
      <c r="CW40" s="88">
        <v>46011</v>
      </c>
      <c r="CX40" s="69"/>
      <c r="CY40" s="88">
        <v>46011</v>
      </c>
      <c r="CZ40" s="69"/>
      <c r="DA40" s="88">
        <v>46011</v>
      </c>
      <c r="DB40" s="69"/>
      <c r="DC40" s="88">
        <v>46011</v>
      </c>
      <c r="DD40" s="69"/>
      <c r="DE40" s="88">
        <v>46011</v>
      </c>
      <c r="DF40" s="69"/>
      <c r="DG40" s="88">
        <v>46011</v>
      </c>
      <c r="DH40" s="69"/>
      <c r="DI40" s="88">
        <v>46011</v>
      </c>
      <c r="DJ40" s="69"/>
      <c r="DK40" s="88">
        <v>46011</v>
      </c>
      <c r="DL40" s="69"/>
      <c r="DM40" s="88">
        <v>46011</v>
      </c>
      <c r="DN40" s="69"/>
      <c r="DO40" s="88">
        <v>46011</v>
      </c>
      <c r="DP40" s="69"/>
      <c r="DQ40" s="88">
        <v>46011</v>
      </c>
      <c r="DR40" s="69"/>
      <c r="DS40" s="88">
        <v>46011</v>
      </c>
      <c r="DT40" s="69"/>
      <c r="DU40" s="88">
        <v>46011</v>
      </c>
      <c r="DV40" s="69"/>
      <c r="DW40" s="88">
        <v>46011</v>
      </c>
      <c r="DX40" s="69"/>
      <c r="DY40" s="88">
        <v>46011</v>
      </c>
      <c r="DZ40" s="70"/>
    </row>
    <row r="41" spans="1:130" ht="15" customHeight="1" x14ac:dyDescent="0.2">
      <c r="A41" s="123">
        <v>46011</v>
      </c>
      <c r="C41" s="123"/>
      <c r="D41" s="123"/>
      <c r="G41" s="92">
        <v>46010</v>
      </c>
      <c r="H41" s="69">
        <v>1704.31</v>
      </c>
      <c r="I41" s="88">
        <v>46010</v>
      </c>
      <c r="J41" s="69">
        <v>8918.26</v>
      </c>
      <c r="K41" s="88">
        <v>46010</v>
      </c>
      <c r="L41" s="69">
        <v>49507.21</v>
      </c>
      <c r="M41" s="88">
        <v>46010</v>
      </c>
      <c r="N41" s="69">
        <v>27696.35</v>
      </c>
      <c r="O41" s="88">
        <v>46010</v>
      </c>
      <c r="P41" s="69">
        <v>4569.78</v>
      </c>
      <c r="Q41" s="88">
        <v>46010</v>
      </c>
      <c r="R41" s="69">
        <v>1665.9</v>
      </c>
      <c r="S41" s="88">
        <v>46010</v>
      </c>
      <c r="T41" s="69">
        <v>5920.87</v>
      </c>
      <c r="U41" s="88">
        <v>46010</v>
      </c>
      <c r="V41" s="69">
        <v>3890.45</v>
      </c>
      <c r="W41" s="88">
        <v>46010</v>
      </c>
      <c r="X41" s="69">
        <v>2464.89</v>
      </c>
      <c r="Y41" s="88">
        <v>46010</v>
      </c>
      <c r="Z41" s="69">
        <v>4568.18</v>
      </c>
      <c r="AA41" s="88">
        <v>46010</v>
      </c>
      <c r="AB41" s="69">
        <v>25690.53</v>
      </c>
      <c r="AC41" s="88">
        <v>46010</v>
      </c>
      <c r="AD41" s="69">
        <v>8901.23</v>
      </c>
      <c r="AE41" s="88">
        <v>46010</v>
      </c>
      <c r="AF41" s="69">
        <v>8609.5499999999993</v>
      </c>
      <c r="AG41" s="88">
        <v>46010</v>
      </c>
      <c r="AH41" s="69">
        <v>1252.19</v>
      </c>
      <c r="AI41" s="88">
        <v>46010</v>
      </c>
      <c r="AJ41" s="69">
        <v>84929.36</v>
      </c>
      <c r="AK41" s="88">
        <v>46010</v>
      </c>
      <c r="AL41" s="69">
        <v>1704.31</v>
      </c>
      <c r="AM41" s="88">
        <v>46010</v>
      </c>
      <c r="AN41" s="69">
        <v>171404.49</v>
      </c>
      <c r="AO41" s="88">
        <v>46010</v>
      </c>
      <c r="AP41" s="69">
        <v>5958.69</v>
      </c>
      <c r="AQ41" s="88">
        <v>46010</v>
      </c>
      <c r="AR41" s="69">
        <v>6114.32</v>
      </c>
      <c r="AS41" s="88">
        <v>46010</v>
      </c>
      <c r="AT41" s="69">
        <v>9562.75</v>
      </c>
      <c r="AU41" s="88">
        <v>46010</v>
      </c>
      <c r="AV41" s="69">
        <v>10716.39</v>
      </c>
      <c r="AW41" s="88">
        <v>46010</v>
      </c>
      <c r="AX41" s="69">
        <v>3506.13</v>
      </c>
      <c r="AY41" s="88">
        <v>46010</v>
      </c>
      <c r="AZ41" s="69">
        <v>10484.59</v>
      </c>
      <c r="BA41" s="88">
        <v>46010</v>
      </c>
      <c r="BB41" s="69">
        <v>3704.38</v>
      </c>
      <c r="BC41" s="88">
        <v>46010</v>
      </c>
      <c r="BD41" s="69">
        <v>1070.5</v>
      </c>
      <c r="BE41" s="88">
        <v>46010</v>
      </c>
      <c r="BF41" s="69">
        <v>11341.9</v>
      </c>
      <c r="BG41" s="88">
        <v>46010</v>
      </c>
      <c r="BH41" s="69">
        <v>1572.94</v>
      </c>
      <c r="BI41" s="88">
        <v>46010</v>
      </c>
      <c r="BJ41" s="69">
        <v>1903.27</v>
      </c>
      <c r="BK41" s="88">
        <v>46010</v>
      </c>
      <c r="BL41" s="69">
        <v>17169.8</v>
      </c>
      <c r="BM41" s="88">
        <v>46010</v>
      </c>
      <c r="BN41" s="69">
        <v>5074.5200000000004</v>
      </c>
      <c r="BO41" s="88">
        <v>46010</v>
      </c>
      <c r="BP41" s="69">
        <v>13171.85</v>
      </c>
      <c r="BQ41" s="88">
        <v>46010</v>
      </c>
      <c r="BR41" s="69">
        <v>24288.400000000001</v>
      </c>
      <c r="BS41" s="88">
        <v>46010</v>
      </c>
      <c r="BT41" s="69">
        <v>9897.42</v>
      </c>
      <c r="BU41" s="88">
        <v>46010</v>
      </c>
      <c r="BV41" s="69">
        <v>1029.0899999999999</v>
      </c>
      <c r="BW41" s="88">
        <v>46010</v>
      </c>
      <c r="BX41" s="69">
        <v>944.59</v>
      </c>
      <c r="BY41" s="88">
        <v>46010</v>
      </c>
      <c r="BZ41" s="69">
        <v>8151.38</v>
      </c>
      <c r="CA41" s="88">
        <v>46010</v>
      </c>
      <c r="CB41" s="69">
        <v>2112.46</v>
      </c>
      <c r="CC41" s="88">
        <v>46010</v>
      </c>
      <c r="CD41" s="69">
        <v>44757.55</v>
      </c>
      <c r="CE41" s="88">
        <v>46010</v>
      </c>
      <c r="CF41" s="69">
        <v>115547.9</v>
      </c>
      <c r="CG41" s="88">
        <v>46010</v>
      </c>
      <c r="CH41" s="69">
        <v>8211.61</v>
      </c>
      <c r="CI41" s="88">
        <v>46010</v>
      </c>
      <c r="CJ41" s="69">
        <v>5234.55</v>
      </c>
      <c r="CK41" s="88">
        <v>46010</v>
      </c>
      <c r="CL41" s="69">
        <v>933.5</v>
      </c>
      <c r="CM41" s="88">
        <v>46010</v>
      </c>
      <c r="CN41" s="69">
        <v>1148.45</v>
      </c>
      <c r="CO41" s="88">
        <v>46010</v>
      </c>
      <c r="CP41" s="69">
        <v>5588.31</v>
      </c>
      <c r="CQ41" s="88">
        <v>46010</v>
      </c>
      <c r="CR41" s="69">
        <v>110405.7</v>
      </c>
      <c r="CS41" s="88">
        <v>46010</v>
      </c>
      <c r="CT41" s="69">
        <v>13105.03</v>
      </c>
      <c r="CU41" s="88">
        <v>46010</v>
      </c>
      <c r="CV41" s="69">
        <v>41348.379999999997</v>
      </c>
      <c r="CW41" s="88">
        <v>46010</v>
      </c>
      <c r="CX41" s="69">
        <v>1738.93</v>
      </c>
      <c r="CY41" s="88">
        <v>46010</v>
      </c>
      <c r="CZ41" s="69">
        <v>2654.25</v>
      </c>
      <c r="DA41" s="88">
        <v>46010</v>
      </c>
      <c r="DB41" s="69">
        <v>5760.35</v>
      </c>
      <c r="DC41" s="88">
        <v>46010</v>
      </c>
      <c r="DD41" s="69">
        <v>2342.27</v>
      </c>
      <c r="DE41" s="88">
        <v>46010</v>
      </c>
      <c r="DF41" s="69">
        <v>51813.89</v>
      </c>
      <c r="DG41" s="88">
        <v>46010</v>
      </c>
      <c r="DH41" s="69">
        <v>158473.01999999999</v>
      </c>
      <c r="DI41" s="88">
        <v>46010</v>
      </c>
      <c r="DJ41" s="69">
        <v>3139466.75</v>
      </c>
      <c r="DK41" s="88">
        <v>46010</v>
      </c>
      <c r="DL41" s="69">
        <v>34937.730000000003</v>
      </c>
      <c r="DM41" s="88">
        <v>46010</v>
      </c>
      <c r="DN41" s="69">
        <v>31755.77</v>
      </c>
      <c r="DO41" s="88">
        <v>46010</v>
      </c>
      <c r="DP41" s="69">
        <v>48134.89</v>
      </c>
      <c r="DQ41" s="88">
        <v>46010</v>
      </c>
      <c r="DR41" s="69">
        <v>23307.62</v>
      </c>
      <c r="DS41" s="88">
        <v>46010</v>
      </c>
      <c r="DT41" s="69">
        <v>6834.5</v>
      </c>
      <c r="DU41" s="88">
        <v>46010</v>
      </c>
      <c r="DV41" s="69">
        <v>63966.98</v>
      </c>
      <c r="DW41" s="88">
        <v>46010</v>
      </c>
      <c r="DX41" s="69">
        <v>1565.28</v>
      </c>
      <c r="DY41" s="88">
        <v>46010</v>
      </c>
      <c r="DZ41" s="70">
        <v>2048.9899999999998</v>
      </c>
    </row>
    <row r="42" spans="1:130" ht="15" customHeight="1" x14ac:dyDescent="0.2">
      <c r="A42" s="123">
        <v>46010</v>
      </c>
      <c r="B42" s="74">
        <v>1704.31</v>
      </c>
      <c r="C42" s="123"/>
      <c r="D42" s="123"/>
      <c r="G42" s="92">
        <v>46009</v>
      </c>
      <c r="H42" s="69">
        <v>1676.98</v>
      </c>
      <c r="I42" s="88">
        <v>46009</v>
      </c>
      <c r="J42" s="69">
        <v>8875.7000000000007</v>
      </c>
      <c r="K42" s="88">
        <v>46009</v>
      </c>
      <c r="L42" s="69">
        <v>49001.5</v>
      </c>
      <c r="M42" s="88">
        <v>46009</v>
      </c>
      <c r="N42" s="69">
        <v>27468.53</v>
      </c>
      <c r="O42" s="88">
        <v>46009</v>
      </c>
      <c r="P42" s="69">
        <v>4570.6099999999997</v>
      </c>
      <c r="Q42" s="88">
        <v>46009</v>
      </c>
      <c r="R42" s="69">
        <v>1646.9</v>
      </c>
      <c r="S42" s="88">
        <v>46009</v>
      </c>
      <c r="T42" s="69">
        <v>6031.48</v>
      </c>
      <c r="U42" s="88">
        <v>46009</v>
      </c>
      <c r="V42" s="69">
        <v>3876.37</v>
      </c>
      <c r="W42" s="88">
        <v>46009</v>
      </c>
      <c r="X42" s="69">
        <v>2440.86</v>
      </c>
      <c r="Y42" s="88">
        <v>46009</v>
      </c>
      <c r="Z42" s="69">
        <v>4552.79</v>
      </c>
      <c r="AA42" s="88">
        <v>46009</v>
      </c>
      <c r="AB42" s="69">
        <v>25498.13</v>
      </c>
      <c r="AC42" s="88">
        <v>46009</v>
      </c>
      <c r="AD42" s="69">
        <v>8841.51</v>
      </c>
      <c r="AE42" s="88">
        <v>46009</v>
      </c>
      <c r="AF42" s="69">
        <v>8618.19</v>
      </c>
      <c r="AG42" s="88">
        <v>46009</v>
      </c>
      <c r="AH42" s="69">
        <v>1250.07</v>
      </c>
      <c r="AI42" s="88">
        <v>46009</v>
      </c>
      <c r="AJ42" s="69">
        <v>84481.81</v>
      </c>
      <c r="AK42" s="88">
        <v>46009</v>
      </c>
      <c r="AL42" s="69">
        <v>1676.98</v>
      </c>
      <c r="AM42" s="88">
        <v>46009</v>
      </c>
      <c r="AN42" s="69">
        <v>171960.65</v>
      </c>
      <c r="AO42" s="88">
        <v>46009</v>
      </c>
      <c r="AP42" s="69">
        <v>5941</v>
      </c>
      <c r="AQ42" s="88">
        <v>46009</v>
      </c>
      <c r="AR42" s="69">
        <v>6080.64</v>
      </c>
      <c r="AS42" s="88">
        <v>46009</v>
      </c>
      <c r="AT42" s="69">
        <v>9536.4500000000007</v>
      </c>
      <c r="AU42" s="88">
        <v>46009</v>
      </c>
      <c r="AV42" s="69"/>
      <c r="AW42" s="88">
        <v>46009</v>
      </c>
      <c r="AX42" s="69">
        <v>3482.8</v>
      </c>
      <c r="AY42" s="88">
        <v>46009</v>
      </c>
      <c r="AZ42" s="69">
        <v>10450.27</v>
      </c>
      <c r="BA42" s="88">
        <v>46009</v>
      </c>
      <c r="BB42" s="69">
        <v>3684.15</v>
      </c>
      <c r="BC42" s="88">
        <v>46009</v>
      </c>
      <c r="BD42" s="69">
        <v>1083.69</v>
      </c>
      <c r="BE42" s="88">
        <v>46009</v>
      </c>
      <c r="BF42" s="69">
        <v>11335.05</v>
      </c>
      <c r="BG42" s="88">
        <v>46009</v>
      </c>
      <c r="BH42" s="69">
        <v>1553.99</v>
      </c>
      <c r="BI42" s="88">
        <v>46009</v>
      </c>
      <c r="BJ42" s="69">
        <v>1893.74</v>
      </c>
      <c r="BK42" s="88">
        <v>46009</v>
      </c>
      <c r="BL42" s="69">
        <v>17132.599999999999</v>
      </c>
      <c r="BM42" s="88">
        <v>46009</v>
      </c>
      <c r="BN42" s="69">
        <v>5054.96</v>
      </c>
      <c r="BO42" s="88">
        <v>46009</v>
      </c>
      <c r="BP42" s="69">
        <v>13136.08</v>
      </c>
      <c r="BQ42" s="88">
        <v>46009</v>
      </c>
      <c r="BR42" s="69">
        <v>24199.5</v>
      </c>
      <c r="BS42" s="88">
        <v>46009</v>
      </c>
      <c r="BT42" s="69">
        <v>9837.77</v>
      </c>
      <c r="BU42" s="88">
        <v>46009</v>
      </c>
      <c r="BV42" s="69">
        <v>1026.3</v>
      </c>
      <c r="BW42" s="88">
        <v>46009</v>
      </c>
      <c r="BX42" s="69">
        <v>940.05</v>
      </c>
      <c r="BY42" s="88">
        <v>46009</v>
      </c>
      <c r="BZ42" s="69">
        <v>8150.64</v>
      </c>
      <c r="CA42" s="88">
        <v>46009</v>
      </c>
      <c r="CB42" s="69">
        <v>2100.46</v>
      </c>
      <c r="CC42" s="88">
        <v>46009</v>
      </c>
      <c r="CD42" s="69">
        <v>44463.28</v>
      </c>
      <c r="CE42" s="88">
        <v>46009</v>
      </c>
      <c r="CF42" s="69">
        <v>114486.44</v>
      </c>
      <c r="CG42" s="88">
        <v>46009</v>
      </c>
      <c r="CH42" s="69">
        <v>8128</v>
      </c>
      <c r="CI42" s="88">
        <v>46009</v>
      </c>
      <c r="CJ42" s="69">
        <v>5190.2</v>
      </c>
      <c r="CK42" s="88">
        <v>46009</v>
      </c>
      <c r="CL42" s="69">
        <v>938.78</v>
      </c>
      <c r="CM42" s="88">
        <v>46009</v>
      </c>
      <c r="CN42" s="69">
        <v>1143.28</v>
      </c>
      <c r="CO42" s="88">
        <v>46009</v>
      </c>
      <c r="CP42" s="69">
        <v>5572.94</v>
      </c>
      <c r="CQ42" s="88">
        <v>46009</v>
      </c>
      <c r="CR42" s="69">
        <v>109547</v>
      </c>
      <c r="CS42" s="88">
        <v>46009</v>
      </c>
      <c r="CT42" s="69">
        <v>13076.59</v>
      </c>
      <c r="CU42" s="88">
        <v>46009</v>
      </c>
      <c r="CV42" s="69">
        <v>40926.86</v>
      </c>
      <c r="CW42" s="88">
        <v>46009</v>
      </c>
      <c r="CX42" s="69">
        <v>1735.67</v>
      </c>
      <c r="CY42" s="88">
        <v>46009</v>
      </c>
      <c r="CZ42" s="69">
        <v>2630.76</v>
      </c>
      <c r="DA42" s="88">
        <v>46009</v>
      </c>
      <c r="DB42" s="69">
        <v>5741.71</v>
      </c>
      <c r="DC42" s="88">
        <v>46009</v>
      </c>
      <c r="DD42" s="69">
        <v>2332.21</v>
      </c>
      <c r="DE42" s="88">
        <v>46009</v>
      </c>
      <c r="DF42" s="69">
        <v>51276.11</v>
      </c>
      <c r="DG42" s="88">
        <v>46009</v>
      </c>
      <c r="DH42" s="69">
        <v>157923.34</v>
      </c>
      <c r="DI42" s="88">
        <v>46009</v>
      </c>
      <c r="DJ42" s="69">
        <v>3163223.75</v>
      </c>
      <c r="DK42" s="88">
        <v>46009</v>
      </c>
      <c r="DL42" s="69">
        <v>34937.730000000003</v>
      </c>
      <c r="DM42" s="88">
        <v>46009</v>
      </c>
      <c r="DN42" s="69">
        <v>31440.85</v>
      </c>
      <c r="DO42" s="88">
        <v>46009</v>
      </c>
      <c r="DP42" s="69">
        <v>47951.85</v>
      </c>
      <c r="DQ42" s="88">
        <v>46009</v>
      </c>
      <c r="DR42" s="69">
        <v>23006.36</v>
      </c>
      <c r="DS42" s="88">
        <v>46009</v>
      </c>
      <c r="DT42" s="69">
        <v>6774.76</v>
      </c>
      <c r="DU42" s="88">
        <v>46009</v>
      </c>
      <c r="DV42" s="69">
        <v>63807.32</v>
      </c>
      <c r="DW42" s="88">
        <v>46009</v>
      </c>
      <c r="DX42" s="69">
        <v>1490.59</v>
      </c>
      <c r="DY42" s="88">
        <v>46009</v>
      </c>
      <c r="DZ42" s="70">
        <v>2055.1</v>
      </c>
    </row>
    <row r="43" spans="1:130" ht="15" customHeight="1" x14ac:dyDescent="0.2">
      <c r="A43" s="123">
        <v>46009</v>
      </c>
      <c r="B43" s="74">
        <v>1676.98</v>
      </c>
      <c r="C43" s="123"/>
      <c r="D43" s="123"/>
      <c r="G43" s="92">
        <v>46008</v>
      </c>
      <c r="H43" s="69">
        <v>1673.66</v>
      </c>
      <c r="I43" s="88">
        <v>46008</v>
      </c>
      <c r="J43" s="69">
        <v>8874.2099999999991</v>
      </c>
      <c r="K43" s="88">
        <v>46008</v>
      </c>
      <c r="L43" s="69">
        <v>49512.28</v>
      </c>
      <c r="M43" s="88">
        <v>46008</v>
      </c>
      <c r="N43" s="69">
        <v>27525.17</v>
      </c>
      <c r="O43" s="88">
        <v>46008</v>
      </c>
      <c r="P43" s="69">
        <v>4575.4799999999996</v>
      </c>
      <c r="Q43" s="88">
        <v>46008</v>
      </c>
      <c r="R43" s="69">
        <v>1641.44</v>
      </c>
      <c r="S43" s="88">
        <v>46008</v>
      </c>
      <c r="T43" s="69">
        <v>6079.02</v>
      </c>
      <c r="U43" s="88">
        <v>46008</v>
      </c>
      <c r="V43" s="69">
        <v>3870.28</v>
      </c>
      <c r="W43" s="88">
        <v>46008</v>
      </c>
      <c r="X43" s="69">
        <v>2458.15</v>
      </c>
      <c r="Y43" s="88">
        <v>46008</v>
      </c>
      <c r="Z43" s="69">
        <v>4579.88</v>
      </c>
      <c r="AA43" s="88">
        <v>46008</v>
      </c>
      <c r="AB43" s="69">
        <v>25468.78</v>
      </c>
      <c r="AC43" s="88">
        <v>46008</v>
      </c>
      <c r="AD43" s="69">
        <v>8843.57</v>
      </c>
      <c r="AE43" s="88">
        <v>46008</v>
      </c>
      <c r="AF43" s="69">
        <v>8677.34</v>
      </c>
      <c r="AG43" s="88">
        <v>46008</v>
      </c>
      <c r="AH43" s="69">
        <v>1256.8499999999999</v>
      </c>
      <c r="AI43" s="88">
        <v>46008</v>
      </c>
      <c r="AJ43" s="69">
        <v>84559.65</v>
      </c>
      <c r="AK43" s="88">
        <v>46008</v>
      </c>
      <c r="AL43" s="69">
        <v>1673.66</v>
      </c>
      <c r="AM43" s="88">
        <v>46008</v>
      </c>
      <c r="AN43" s="69">
        <v>170313.86</v>
      </c>
      <c r="AO43" s="88">
        <v>46008</v>
      </c>
      <c r="AP43" s="69">
        <v>5934.9</v>
      </c>
      <c r="AQ43" s="88">
        <v>46008</v>
      </c>
      <c r="AR43" s="69">
        <v>6109.45</v>
      </c>
      <c r="AS43" s="88">
        <v>46008</v>
      </c>
      <c r="AT43" s="69">
        <v>9531.1299999999992</v>
      </c>
      <c r="AU43" s="88">
        <v>46008</v>
      </c>
      <c r="AV43" s="69">
        <v>10654.65</v>
      </c>
      <c r="AW43" s="88">
        <v>46008</v>
      </c>
      <c r="AX43" s="69">
        <v>3464.41</v>
      </c>
      <c r="AY43" s="88">
        <v>46008</v>
      </c>
      <c r="AZ43" s="69">
        <v>10414.06</v>
      </c>
      <c r="BA43" s="88">
        <v>46008</v>
      </c>
      <c r="BB43" s="69">
        <v>3656.22</v>
      </c>
      <c r="BC43" s="88">
        <v>46008</v>
      </c>
      <c r="BD43" s="69">
        <v>1081.57</v>
      </c>
      <c r="BE43" s="88">
        <v>46008</v>
      </c>
      <c r="BF43" s="69">
        <v>11286.81</v>
      </c>
      <c r="BG43" s="88">
        <v>46008</v>
      </c>
      <c r="BH43" s="69">
        <v>1556.43</v>
      </c>
      <c r="BI43" s="88">
        <v>46008</v>
      </c>
      <c r="BJ43" s="69">
        <v>1893.32</v>
      </c>
      <c r="BK43" s="88">
        <v>46008</v>
      </c>
      <c r="BL43" s="69">
        <v>16938.2</v>
      </c>
      <c r="BM43" s="88">
        <v>46008</v>
      </c>
      <c r="BN43" s="69">
        <v>5045.95</v>
      </c>
      <c r="BO43" s="88">
        <v>46008</v>
      </c>
      <c r="BP43" s="69">
        <v>13028.62</v>
      </c>
      <c r="BQ43" s="88">
        <v>46008</v>
      </c>
      <c r="BR43" s="69">
        <v>23960.59</v>
      </c>
      <c r="BS43" s="88">
        <v>46008</v>
      </c>
      <c r="BT43" s="69">
        <v>9774.32</v>
      </c>
      <c r="BU43" s="88">
        <v>46008</v>
      </c>
      <c r="BV43" s="69">
        <v>1015.21</v>
      </c>
      <c r="BW43" s="88">
        <v>46008</v>
      </c>
      <c r="BX43" s="69">
        <v>929.6</v>
      </c>
      <c r="BY43" s="88">
        <v>46008</v>
      </c>
      <c r="BZ43" s="69">
        <v>8086.05</v>
      </c>
      <c r="CA43" s="88">
        <v>46008</v>
      </c>
      <c r="CB43" s="69">
        <v>2083.4899999999998</v>
      </c>
      <c r="CC43" s="88">
        <v>46008</v>
      </c>
      <c r="CD43" s="69">
        <v>44099.48</v>
      </c>
      <c r="CE43" s="88">
        <v>46008</v>
      </c>
      <c r="CF43" s="69">
        <v>114381.4</v>
      </c>
      <c r="CG43" s="88">
        <v>46008</v>
      </c>
      <c r="CH43" s="69">
        <v>8070.37</v>
      </c>
      <c r="CI43" s="88">
        <v>46008</v>
      </c>
      <c r="CJ43" s="69">
        <v>5177.59</v>
      </c>
      <c r="CK43" s="88">
        <v>46008</v>
      </c>
      <c r="CL43" s="69">
        <v>938.45</v>
      </c>
      <c r="CM43" s="88">
        <v>46008</v>
      </c>
      <c r="CN43" s="69">
        <v>1138.81</v>
      </c>
      <c r="CO43" s="88">
        <v>46008</v>
      </c>
      <c r="CP43" s="69">
        <v>5500.08</v>
      </c>
      <c r="CQ43" s="88">
        <v>46008</v>
      </c>
      <c r="CR43" s="69">
        <v>108783.4</v>
      </c>
      <c r="CS43" s="88">
        <v>46008</v>
      </c>
      <c r="CT43" s="69">
        <v>12989.11</v>
      </c>
      <c r="CU43" s="88">
        <v>46008</v>
      </c>
      <c r="CV43" s="69">
        <v>41504.03</v>
      </c>
      <c r="CW43" s="88">
        <v>46008</v>
      </c>
      <c r="CX43" s="69">
        <v>1753.78</v>
      </c>
      <c r="CY43" s="88">
        <v>46008</v>
      </c>
      <c r="CZ43" s="69">
        <v>2640.7</v>
      </c>
      <c r="DA43" s="88">
        <v>46008</v>
      </c>
      <c r="DB43" s="69">
        <v>5681.67</v>
      </c>
      <c r="DC43" s="88">
        <v>46008</v>
      </c>
      <c r="DD43" s="69">
        <v>2310.71</v>
      </c>
      <c r="DE43" s="88">
        <v>46008</v>
      </c>
      <c r="DF43" s="69">
        <v>50980.82</v>
      </c>
      <c r="DG43" s="88">
        <v>46008</v>
      </c>
      <c r="DH43" s="69">
        <v>157327.26</v>
      </c>
      <c r="DI43" s="88">
        <v>46008</v>
      </c>
      <c r="DJ43" s="69">
        <v>3035516.75</v>
      </c>
      <c r="DK43" s="88">
        <v>46008</v>
      </c>
      <c r="DL43" s="69">
        <v>34937.730000000003</v>
      </c>
      <c r="DM43" s="88">
        <v>46008</v>
      </c>
      <c r="DN43" s="69">
        <v>31250.02</v>
      </c>
      <c r="DO43" s="88">
        <v>46008</v>
      </c>
      <c r="DP43" s="69">
        <v>47885.97</v>
      </c>
      <c r="DQ43" s="88">
        <v>46008</v>
      </c>
      <c r="DR43" s="69">
        <v>22693.32</v>
      </c>
      <c r="DS43" s="88">
        <v>46008</v>
      </c>
      <c r="DT43" s="69">
        <v>6721.43</v>
      </c>
      <c r="DU43" s="88">
        <v>46008</v>
      </c>
      <c r="DV43" s="69">
        <v>62528.06</v>
      </c>
      <c r="DW43" s="88">
        <v>46008</v>
      </c>
      <c r="DX43" s="69">
        <v>1450.57</v>
      </c>
      <c r="DY43" s="88">
        <v>46008</v>
      </c>
      <c r="DZ43" s="70">
        <v>2053.25</v>
      </c>
    </row>
    <row r="44" spans="1:130" ht="15" customHeight="1" x14ac:dyDescent="0.2">
      <c r="A44" s="123">
        <v>46008</v>
      </c>
      <c r="B44" s="74">
        <v>1673.66</v>
      </c>
      <c r="C44" s="123"/>
      <c r="D44" s="123"/>
      <c r="G44" s="93">
        <v>46007</v>
      </c>
      <c r="H44" s="71">
        <v>1679.18</v>
      </c>
      <c r="I44" s="89">
        <v>46007</v>
      </c>
      <c r="J44" s="71">
        <v>8880.6299999999992</v>
      </c>
      <c r="K44" s="89">
        <v>46007</v>
      </c>
      <c r="L44" s="71">
        <v>49383.29</v>
      </c>
      <c r="M44" s="89">
        <v>46007</v>
      </c>
      <c r="N44" s="71">
        <v>27536.66</v>
      </c>
      <c r="O44" s="89">
        <v>46007</v>
      </c>
      <c r="P44" s="71">
        <v>4579.7299999999996</v>
      </c>
      <c r="Q44" s="89">
        <v>46007</v>
      </c>
      <c r="R44" s="71">
        <v>1648.31</v>
      </c>
      <c r="S44" s="89">
        <v>46007</v>
      </c>
      <c r="T44" s="71">
        <v>6055.68</v>
      </c>
      <c r="U44" s="89">
        <v>46007</v>
      </c>
      <c r="V44" s="71">
        <v>3824.81</v>
      </c>
      <c r="W44" s="89">
        <v>46007</v>
      </c>
      <c r="X44" s="71">
        <v>2417.61</v>
      </c>
      <c r="Y44" s="89">
        <v>46007</v>
      </c>
      <c r="Z44" s="71">
        <v>4497.55</v>
      </c>
      <c r="AA44" s="89">
        <v>46007</v>
      </c>
      <c r="AB44" s="71">
        <v>25235.41</v>
      </c>
      <c r="AC44" s="89">
        <v>46007</v>
      </c>
      <c r="AD44" s="71">
        <v>8757.93</v>
      </c>
      <c r="AE44" s="89">
        <v>46007</v>
      </c>
      <c r="AF44" s="71">
        <v>8686.4699999999993</v>
      </c>
      <c r="AG44" s="89">
        <v>46007</v>
      </c>
      <c r="AH44" s="71">
        <v>1260.68</v>
      </c>
      <c r="AI44" s="89">
        <v>46007</v>
      </c>
      <c r="AJ44" s="71">
        <v>84679.86</v>
      </c>
      <c r="AK44" s="89">
        <v>46007</v>
      </c>
      <c r="AL44" s="71">
        <v>1679.18</v>
      </c>
      <c r="AM44" s="89">
        <v>46007</v>
      </c>
      <c r="AN44" s="71">
        <v>170447.3</v>
      </c>
      <c r="AO44" s="89">
        <v>46007</v>
      </c>
      <c r="AP44" s="71">
        <v>5928.25</v>
      </c>
      <c r="AQ44" s="89">
        <v>46007</v>
      </c>
      <c r="AR44" s="71">
        <v>6110.07</v>
      </c>
      <c r="AS44" s="89">
        <v>46007</v>
      </c>
      <c r="AT44" s="71">
        <v>9580.2000000000007</v>
      </c>
      <c r="AU44" s="89">
        <v>46007</v>
      </c>
      <c r="AV44" s="71">
        <v>10726.68</v>
      </c>
      <c r="AW44" s="89">
        <v>46007</v>
      </c>
      <c r="AX44" s="71">
        <v>3445.21</v>
      </c>
      <c r="AY44" s="89">
        <v>46007</v>
      </c>
      <c r="AZ44" s="71">
        <v>10452.91</v>
      </c>
      <c r="BA44" s="89">
        <v>46007</v>
      </c>
      <c r="BB44" s="71">
        <v>3627.95</v>
      </c>
      <c r="BC44" s="89">
        <v>46007</v>
      </c>
      <c r="BD44" s="71">
        <v>1100.27</v>
      </c>
      <c r="BE44" s="89">
        <v>46007</v>
      </c>
      <c r="BF44" s="71">
        <v>11348.83</v>
      </c>
      <c r="BG44" s="89">
        <v>46007</v>
      </c>
      <c r="BH44" s="71">
        <v>1562.59</v>
      </c>
      <c r="BI44" s="89">
        <v>46007</v>
      </c>
      <c r="BJ44" s="71">
        <v>1877.29</v>
      </c>
      <c r="BK44" s="89">
        <v>46007</v>
      </c>
      <c r="BL44" s="71">
        <v>16921.900000000001</v>
      </c>
      <c r="BM44" s="89">
        <v>46007</v>
      </c>
      <c r="BN44" s="71">
        <v>5010.92</v>
      </c>
      <c r="BO44" s="89">
        <v>46007</v>
      </c>
      <c r="BP44" s="71">
        <v>13056.74</v>
      </c>
      <c r="BQ44" s="89">
        <v>46007</v>
      </c>
      <c r="BR44" s="71">
        <v>24076.87</v>
      </c>
      <c r="BS44" s="89">
        <v>46007</v>
      </c>
      <c r="BT44" s="71">
        <v>9684.7900000000009</v>
      </c>
      <c r="BU44" s="89">
        <v>46007</v>
      </c>
      <c r="BV44" s="71">
        <v>1021.26</v>
      </c>
      <c r="BW44" s="89">
        <v>46007</v>
      </c>
      <c r="BX44" s="71">
        <v>935.14</v>
      </c>
      <c r="BY44" s="89">
        <v>46007</v>
      </c>
      <c r="BZ44" s="71">
        <v>8106.16</v>
      </c>
      <c r="CA44" s="89">
        <v>46007</v>
      </c>
      <c r="CB44" s="71">
        <v>2086.5</v>
      </c>
      <c r="CC44" s="89">
        <v>46007</v>
      </c>
      <c r="CD44" s="71">
        <v>43990.48</v>
      </c>
      <c r="CE44" s="89">
        <v>46007</v>
      </c>
      <c r="CF44" s="71">
        <v>114246.44</v>
      </c>
      <c r="CG44" s="89">
        <v>46007</v>
      </c>
      <c r="CH44" s="71">
        <v>8062.05</v>
      </c>
      <c r="CI44" s="89">
        <v>46007</v>
      </c>
      <c r="CJ44" s="71">
        <v>5173.28</v>
      </c>
      <c r="CK44" s="89">
        <v>46007</v>
      </c>
      <c r="CL44" s="71">
        <v>937.09</v>
      </c>
      <c r="CM44" s="89">
        <v>46007</v>
      </c>
      <c r="CN44" s="71">
        <v>1134.96</v>
      </c>
      <c r="CO44" s="89">
        <v>46007</v>
      </c>
      <c r="CP44" s="71">
        <v>5520.15</v>
      </c>
      <c r="CQ44" s="89">
        <v>46007</v>
      </c>
      <c r="CR44" s="71">
        <v>109761.8</v>
      </c>
      <c r="CS44" s="89">
        <v>46007</v>
      </c>
      <c r="CT44" s="71">
        <v>12998.52</v>
      </c>
      <c r="CU44" s="89">
        <v>46007</v>
      </c>
      <c r="CV44" s="71">
        <v>42002.37</v>
      </c>
      <c r="CW44" s="89">
        <v>46007</v>
      </c>
      <c r="CX44" s="71">
        <v>1731.04</v>
      </c>
      <c r="CY44" s="89">
        <v>46007</v>
      </c>
      <c r="CZ44" s="71">
        <v>2594.4899999999998</v>
      </c>
      <c r="DA44" s="89">
        <v>46007</v>
      </c>
      <c r="DB44" s="71">
        <v>5717.83</v>
      </c>
      <c r="DC44" s="89">
        <v>46007</v>
      </c>
      <c r="DD44" s="71">
        <v>2311.3200000000002</v>
      </c>
      <c r="DE44" s="89">
        <v>46007</v>
      </c>
      <c r="DF44" s="71">
        <v>51240.42</v>
      </c>
      <c r="DG44" s="89">
        <v>46007</v>
      </c>
      <c r="DH44" s="71">
        <v>158577.88</v>
      </c>
      <c r="DI44" s="89">
        <v>46007</v>
      </c>
      <c r="DJ44" s="71">
        <v>3034429.25</v>
      </c>
      <c r="DK44" s="89">
        <v>46007</v>
      </c>
      <c r="DL44" s="71">
        <v>34937.730000000003</v>
      </c>
      <c r="DM44" s="89">
        <v>46007</v>
      </c>
      <c r="DN44" s="71">
        <v>31263.93</v>
      </c>
      <c r="DO44" s="89">
        <v>46007</v>
      </c>
      <c r="DP44" s="71">
        <v>48114.26</v>
      </c>
      <c r="DQ44" s="89">
        <v>46007</v>
      </c>
      <c r="DR44" s="71">
        <v>23111.46</v>
      </c>
      <c r="DS44" s="89">
        <v>46007</v>
      </c>
      <c r="DT44" s="71">
        <v>6800.26</v>
      </c>
      <c r="DU44" s="89">
        <v>46007</v>
      </c>
      <c r="DV44" s="71">
        <v>63230.87</v>
      </c>
      <c r="DW44" s="89">
        <v>46007</v>
      </c>
      <c r="DX44" s="71">
        <v>1454.66</v>
      </c>
      <c r="DY44" s="89">
        <v>46007</v>
      </c>
      <c r="DZ44" s="72">
        <v>2072.02</v>
      </c>
    </row>
    <row r="45" spans="1:130" ht="15" customHeight="1" x14ac:dyDescent="0.2">
      <c r="A45" s="123">
        <v>46007</v>
      </c>
      <c r="B45" s="74">
        <v>1679.18</v>
      </c>
      <c r="C45" s="123"/>
      <c r="D45" s="123"/>
    </row>
  </sheetData>
  <phoneticPr fontId="2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indexed="41"/>
  </sheetPr>
  <dimension ref="A1:F63"/>
  <sheetViews>
    <sheetView workbookViewId="0">
      <selection activeCell="C1" sqref="C1"/>
    </sheetView>
  </sheetViews>
  <sheetFormatPr defaultRowHeight="15" customHeight="1" x14ac:dyDescent="0.2"/>
  <cols>
    <col min="1" max="1" width="6" style="5" customWidth="1"/>
    <col min="2" max="2" width="9.25" style="5" customWidth="1"/>
    <col min="3" max="3" width="13.5" style="5" bestFit="1" customWidth="1"/>
    <col min="4" max="4" width="23.625" style="5" bestFit="1" customWidth="1"/>
    <col min="5" max="5" width="12.875" style="5" bestFit="1" customWidth="1"/>
    <col min="6" max="16384" width="9" style="5"/>
  </cols>
  <sheetData>
    <row r="1" spans="1:6" ht="15" customHeight="1" x14ac:dyDescent="0.2">
      <c r="A1" s="120" t="s">
        <v>214</v>
      </c>
      <c r="B1" s="120" t="s">
        <v>215</v>
      </c>
      <c r="C1" s="120" t="s">
        <v>216</v>
      </c>
      <c r="D1" s="120" t="s">
        <v>217</v>
      </c>
      <c r="E1" s="120" t="s">
        <v>218</v>
      </c>
      <c r="F1" s="54"/>
    </row>
    <row r="2" spans="1:6" ht="15" customHeight="1" x14ac:dyDescent="0.2">
      <c r="A2" s="19">
        <v>1</v>
      </c>
      <c r="B2" s="19" t="s">
        <v>172</v>
      </c>
      <c r="C2" s="55" t="s">
        <v>65</v>
      </c>
      <c r="D2" s="55" t="s">
        <v>79</v>
      </c>
      <c r="E2" s="55" t="s">
        <v>39</v>
      </c>
      <c r="F2" s="54"/>
    </row>
    <row r="3" spans="1:6" ht="15" customHeight="1" x14ac:dyDescent="0.2">
      <c r="A3" s="27">
        <v>2</v>
      </c>
      <c r="B3" s="27" t="s">
        <v>172</v>
      </c>
      <c r="C3" s="56" t="s">
        <v>66</v>
      </c>
      <c r="D3" s="55" t="s">
        <v>108</v>
      </c>
      <c r="E3" s="56" t="s">
        <v>4</v>
      </c>
      <c r="F3" s="54"/>
    </row>
    <row r="4" spans="1:6" ht="15" customHeight="1" x14ac:dyDescent="0.2">
      <c r="A4" s="27">
        <v>3</v>
      </c>
      <c r="B4" s="27" t="s">
        <v>172</v>
      </c>
      <c r="C4" s="56" t="s">
        <v>67</v>
      </c>
      <c r="D4" s="55" t="s">
        <v>219</v>
      </c>
      <c r="E4" s="56" t="s">
        <v>35</v>
      </c>
      <c r="F4" s="54"/>
    </row>
    <row r="5" spans="1:6" ht="15" customHeight="1" x14ac:dyDescent="0.2">
      <c r="A5" s="27">
        <v>4</v>
      </c>
      <c r="B5" s="27" t="s">
        <v>172</v>
      </c>
      <c r="C5" s="56" t="s">
        <v>68</v>
      </c>
      <c r="D5" s="55" t="s">
        <v>110</v>
      </c>
      <c r="E5" s="56" t="s">
        <v>60</v>
      </c>
      <c r="F5" s="54"/>
    </row>
    <row r="6" spans="1:6" ht="15" customHeight="1" x14ac:dyDescent="0.2">
      <c r="A6" s="27">
        <v>5</v>
      </c>
      <c r="B6" s="27" t="s">
        <v>172</v>
      </c>
      <c r="C6" s="56" t="s">
        <v>69</v>
      </c>
      <c r="D6" s="55" t="s">
        <v>111</v>
      </c>
      <c r="E6" s="56" t="s">
        <v>54</v>
      </c>
      <c r="F6" s="54"/>
    </row>
    <row r="7" spans="1:6" ht="15" customHeight="1" x14ac:dyDescent="0.2">
      <c r="A7" s="27">
        <v>6</v>
      </c>
      <c r="B7" s="27" t="s">
        <v>172</v>
      </c>
      <c r="C7" s="56" t="s">
        <v>70</v>
      </c>
      <c r="D7" s="55" t="s">
        <v>112</v>
      </c>
      <c r="E7" s="56" t="s">
        <v>33</v>
      </c>
      <c r="F7" s="54"/>
    </row>
    <row r="8" spans="1:6" ht="15" customHeight="1" x14ac:dyDescent="0.2">
      <c r="A8" s="27">
        <v>7</v>
      </c>
      <c r="B8" s="27" t="s">
        <v>172</v>
      </c>
      <c r="C8" s="56" t="s">
        <v>43</v>
      </c>
      <c r="D8" s="55" t="s">
        <v>175</v>
      </c>
      <c r="E8" s="56" t="s">
        <v>44</v>
      </c>
      <c r="F8" s="54"/>
    </row>
    <row r="9" spans="1:6" ht="15" customHeight="1" x14ac:dyDescent="0.2">
      <c r="A9" s="27">
        <v>8</v>
      </c>
      <c r="B9" s="27" t="s">
        <v>172</v>
      </c>
      <c r="C9" s="56" t="s">
        <v>113</v>
      </c>
      <c r="D9" s="55" t="s">
        <v>114</v>
      </c>
      <c r="E9" s="56" t="s">
        <v>55</v>
      </c>
      <c r="F9" s="54"/>
    </row>
    <row r="10" spans="1:6" ht="15" customHeight="1" x14ac:dyDescent="0.2">
      <c r="A10" s="27">
        <v>9</v>
      </c>
      <c r="B10" s="27" t="s">
        <v>245</v>
      </c>
      <c r="C10" s="28" t="s">
        <v>246</v>
      </c>
      <c r="D10" s="55" t="s">
        <v>247</v>
      </c>
      <c r="E10" s="81" t="s">
        <v>248</v>
      </c>
      <c r="F10" s="54"/>
    </row>
    <row r="11" spans="1:6" ht="15" customHeight="1" x14ac:dyDescent="0.2">
      <c r="A11" s="27">
        <v>10</v>
      </c>
      <c r="B11" s="27" t="s">
        <v>249</v>
      </c>
      <c r="C11" s="28" t="s">
        <v>250</v>
      </c>
      <c r="D11" s="55" t="s">
        <v>251</v>
      </c>
      <c r="E11" s="81" t="s">
        <v>252</v>
      </c>
      <c r="F11" s="54"/>
    </row>
    <row r="12" spans="1:6" ht="15" customHeight="1" x14ac:dyDescent="0.2">
      <c r="A12" s="27">
        <v>11</v>
      </c>
      <c r="B12" s="27" t="s">
        <v>172</v>
      </c>
      <c r="C12" s="56" t="s">
        <v>115</v>
      </c>
      <c r="D12" s="56" t="s">
        <v>116</v>
      </c>
      <c r="E12" s="56" t="s">
        <v>19</v>
      </c>
      <c r="F12" s="54"/>
    </row>
    <row r="13" spans="1:6" ht="15" customHeight="1" x14ac:dyDescent="0.2">
      <c r="A13" s="27">
        <v>12</v>
      </c>
      <c r="B13" s="27" t="s">
        <v>172</v>
      </c>
      <c r="C13" s="56" t="s">
        <v>117</v>
      </c>
      <c r="D13" s="56" t="s">
        <v>118</v>
      </c>
      <c r="E13" s="56" t="s">
        <v>18</v>
      </c>
      <c r="F13" s="54"/>
    </row>
    <row r="14" spans="1:6" ht="15" customHeight="1" x14ac:dyDescent="0.2">
      <c r="A14" s="27">
        <v>13</v>
      </c>
      <c r="B14" s="27" t="s">
        <v>172</v>
      </c>
      <c r="C14" s="56" t="s">
        <v>71</v>
      </c>
      <c r="D14" s="56" t="s">
        <v>119</v>
      </c>
      <c r="E14" s="56" t="s">
        <v>21</v>
      </c>
      <c r="F14" s="54"/>
    </row>
    <row r="15" spans="1:6" ht="15" customHeight="1" x14ac:dyDescent="0.2">
      <c r="A15" s="27">
        <v>14</v>
      </c>
      <c r="B15" s="27" t="s">
        <v>172</v>
      </c>
      <c r="C15" s="56" t="s">
        <v>72</v>
      </c>
      <c r="D15" s="56" t="s">
        <v>120</v>
      </c>
      <c r="E15" s="56" t="s">
        <v>58</v>
      </c>
      <c r="F15" s="54"/>
    </row>
    <row r="16" spans="1:6" ht="15" customHeight="1" x14ac:dyDescent="0.2">
      <c r="A16" s="27">
        <v>15</v>
      </c>
      <c r="B16" s="27" t="s">
        <v>172</v>
      </c>
      <c r="C16" s="56" t="s">
        <v>121</v>
      </c>
      <c r="D16" s="56" t="s">
        <v>122</v>
      </c>
      <c r="E16" s="56" t="s">
        <v>24</v>
      </c>
      <c r="F16" s="54"/>
    </row>
    <row r="17" spans="1:6" ht="15" customHeight="1" x14ac:dyDescent="0.2">
      <c r="A17" s="27">
        <v>16</v>
      </c>
      <c r="B17" s="27" t="s">
        <v>172</v>
      </c>
      <c r="C17" s="56" t="s">
        <v>73</v>
      </c>
      <c r="D17" s="56" t="s">
        <v>123</v>
      </c>
      <c r="E17" s="56" t="s">
        <v>62</v>
      </c>
      <c r="F17" s="54"/>
    </row>
    <row r="18" spans="1:6" ht="15" customHeight="1" x14ac:dyDescent="0.2">
      <c r="A18" s="27">
        <v>17</v>
      </c>
      <c r="B18" s="27" t="s">
        <v>172</v>
      </c>
      <c r="C18" s="56" t="s">
        <v>74</v>
      </c>
      <c r="D18" s="56" t="s">
        <v>124</v>
      </c>
      <c r="E18" s="56" t="s">
        <v>45</v>
      </c>
      <c r="F18" s="54"/>
    </row>
    <row r="19" spans="1:6" ht="15" customHeight="1" x14ac:dyDescent="0.2">
      <c r="A19" s="27">
        <v>18</v>
      </c>
      <c r="B19" s="27" t="s">
        <v>172</v>
      </c>
      <c r="C19" s="56" t="s">
        <v>75</v>
      </c>
      <c r="D19" s="56" t="s">
        <v>125</v>
      </c>
      <c r="E19" s="56" t="s">
        <v>40</v>
      </c>
      <c r="F19" s="54"/>
    </row>
    <row r="20" spans="1:6" ht="15" customHeight="1" x14ac:dyDescent="0.2">
      <c r="A20" s="27">
        <v>19</v>
      </c>
      <c r="B20" s="27" t="s">
        <v>172</v>
      </c>
      <c r="C20" s="56" t="s">
        <v>64</v>
      </c>
      <c r="D20" s="56" t="s">
        <v>126</v>
      </c>
      <c r="E20" s="56" t="s">
        <v>209</v>
      </c>
      <c r="F20" s="54"/>
    </row>
    <row r="21" spans="1:6" ht="15" customHeight="1" x14ac:dyDescent="0.2">
      <c r="A21" s="27">
        <v>20</v>
      </c>
      <c r="B21" s="27" t="s">
        <v>172</v>
      </c>
      <c r="C21" s="56" t="s">
        <v>27</v>
      </c>
      <c r="D21" s="56" t="s">
        <v>254</v>
      </c>
      <c r="E21" s="56" t="s">
        <v>256</v>
      </c>
      <c r="F21" s="54"/>
    </row>
    <row r="22" spans="1:6" ht="15" customHeight="1" x14ac:dyDescent="0.2">
      <c r="A22" s="27">
        <v>21</v>
      </c>
      <c r="B22" s="27" t="s">
        <v>172</v>
      </c>
      <c r="C22" s="56" t="s">
        <v>48</v>
      </c>
      <c r="D22" s="56" t="s">
        <v>128</v>
      </c>
      <c r="E22" s="56" t="s">
        <v>49</v>
      </c>
      <c r="F22" s="54"/>
    </row>
    <row r="23" spans="1:6" ht="15" customHeight="1" x14ac:dyDescent="0.2">
      <c r="A23" s="27">
        <v>22</v>
      </c>
      <c r="B23" s="27" t="s">
        <v>172</v>
      </c>
      <c r="C23" s="56" t="s">
        <v>76</v>
      </c>
      <c r="D23" s="56" t="s">
        <v>129</v>
      </c>
      <c r="E23" s="56" t="s">
        <v>26</v>
      </c>
      <c r="F23" s="54"/>
    </row>
    <row r="24" spans="1:6" ht="15" customHeight="1" x14ac:dyDescent="0.2">
      <c r="A24" s="27">
        <v>23</v>
      </c>
      <c r="B24" s="27" t="s">
        <v>172</v>
      </c>
      <c r="C24" s="56" t="s">
        <v>77</v>
      </c>
      <c r="D24" s="56" t="s">
        <v>130</v>
      </c>
      <c r="E24" s="56" t="s">
        <v>51</v>
      </c>
      <c r="F24" s="54"/>
    </row>
    <row r="25" spans="1:6" ht="15" customHeight="1" x14ac:dyDescent="0.2">
      <c r="A25" s="27">
        <v>24</v>
      </c>
      <c r="B25" s="34" t="s">
        <v>172</v>
      </c>
      <c r="C25" s="57" t="s">
        <v>78</v>
      </c>
      <c r="D25" s="57" t="s">
        <v>131</v>
      </c>
      <c r="E25" s="57" t="s">
        <v>23</v>
      </c>
      <c r="F25" s="54"/>
    </row>
    <row r="26" spans="1:6" ht="15" customHeight="1" x14ac:dyDescent="0.2">
      <c r="A26" s="27">
        <v>25</v>
      </c>
      <c r="B26" s="38" t="s">
        <v>174</v>
      </c>
      <c r="C26" s="58" t="s">
        <v>80</v>
      </c>
      <c r="D26" s="58" t="s">
        <v>132</v>
      </c>
      <c r="E26" s="58" t="s">
        <v>50</v>
      </c>
      <c r="F26" s="54"/>
    </row>
    <row r="27" spans="1:6" ht="15" customHeight="1" x14ac:dyDescent="0.2">
      <c r="A27" s="27">
        <v>26</v>
      </c>
      <c r="B27" s="38" t="s">
        <v>174</v>
      </c>
      <c r="C27" s="58" t="s">
        <v>81</v>
      </c>
      <c r="D27" s="58" t="s">
        <v>220</v>
      </c>
      <c r="E27" s="58" t="s">
        <v>59</v>
      </c>
      <c r="F27" s="54"/>
    </row>
    <row r="28" spans="1:6" ht="15" customHeight="1" x14ac:dyDescent="0.2">
      <c r="A28" s="27">
        <v>27</v>
      </c>
      <c r="B28" s="38" t="s">
        <v>174</v>
      </c>
      <c r="C28" s="58" t="s">
        <v>82</v>
      </c>
      <c r="D28" s="58" t="s">
        <v>221</v>
      </c>
      <c r="E28" s="58" t="s">
        <v>13</v>
      </c>
      <c r="F28" s="54"/>
    </row>
    <row r="29" spans="1:6" ht="15" customHeight="1" x14ac:dyDescent="0.2">
      <c r="A29" s="27">
        <v>28</v>
      </c>
      <c r="B29" s="38" t="s">
        <v>174</v>
      </c>
      <c r="C29" s="58" t="s">
        <v>37</v>
      </c>
      <c r="D29" s="58" t="s">
        <v>135</v>
      </c>
      <c r="E29" s="58" t="s">
        <v>38</v>
      </c>
      <c r="F29" s="54"/>
    </row>
    <row r="30" spans="1:6" ht="15" customHeight="1" x14ac:dyDescent="0.2">
      <c r="A30" s="27">
        <v>29</v>
      </c>
      <c r="B30" s="38" t="s">
        <v>174</v>
      </c>
      <c r="C30" s="58" t="s">
        <v>83</v>
      </c>
      <c r="D30" s="58" t="s">
        <v>222</v>
      </c>
      <c r="E30" s="58" t="s">
        <v>15</v>
      </c>
      <c r="F30" s="54"/>
    </row>
    <row r="31" spans="1:6" ht="15" customHeight="1" x14ac:dyDescent="0.2">
      <c r="A31" s="27">
        <v>30</v>
      </c>
      <c r="B31" s="38" t="s">
        <v>174</v>
      </c>
      <c r="C31" s="58" t="s">
        <v>84</v>
      </c>
      <c r="D31" s="58" t="s">
        <v>223</v>
      </c>
      <c r="E31" s="58" t="s">
        <v>5</v>
      </c>
      <c r="F31" s="54"/>
    </row>
    <row r="32" spans="1:6" ht="15" customHeight="1" x14ac:dyDescent="0.2">
      <c r="A32" s="27">
        <v>31</v>
      </c>
      <c r="B32" s="38" t="s">
        <v>174</v>
      </c>
      <c r="C32" s="58" t="s">
        <v>85</v>
      </c>
      <c r="D32" s="58" t="s">
        <v>137</v>
      </c>
      <c r="E32" s="58" t="s">
        <v>9</v>
      </c>
      <c r="F32" s="54"/>
    </row>
    <row r="33" spans="1:6" ht="15" customHeight="1" x14ac:dyDescent="0.2">
      <c r="A33" s="27">
        <v>32</v>
      </c>
      <c r="B33" s="38" t="s">
        <v>174</v>
      </c>
      <c r="C33" s="58" t="s">
        <v>86</v>
      </c>
      <c r="D33" s="58" t="s">
        <v>138</v>
      </c>
      <c r="E33" s="58" t="s">
        <v>63</v>
      </c>
      <c r="F33" s="54"/>
    </row>
    <row r="34" spans="1:6" ht="15" customHeight="1" x14ac:dyDescent="0.2">
      <c r="A34" s="27">
        <v>33</v>
      </c>
      <c r="B34" s="38" t="s">
        <v>174</v>
      </c>
      <c r="C34" s="58" t="s">
        <v>87</v>
      </c>
      <c r="D34" s="58" t="s">
        <v>28</v>
      </c>
      <c r="E34" s="58" t="s">
        <v>29</v>
      </c>
      <c r="F34" s="54"/>
    </row>
    <row r="35" spans="1:6" ht="15" customHeight="1" x14ac:dyDescent="0.2">
      <c r="A35" s="27">
        <v>34</v>
      </c>
      <c r="B35" s="38" t="s">
        <v>174</v>
      </c>
      <c r="C35" s="58" t="s">
        <v>52</v>
      </c>
      <c r="D35" s="58" t="s">
        <v>224</v>
      </c>
      <c r="E35" s="58" t="s">
        <v>53</v>
      </c>
      <c r="F35" s="54"/>
    </row>
    <row r="36" spans="1:6" ht="15" customHeight="1" x14ac:dyDescent="0.2">
      <c r="A36" s="27">
        <v>35</v>
      </c>
      <c r="B36" s="38" t="s">
        <v>174</v>
      </c>
      <c r="C36" s="58" t="s">
        <v>88</v>
      </c>
      <c r="D36" s="58" t="s">
        <v>225</v>
      </c>
      <c r="E36" s="58" t="s">
        <v>36</v>
      </c>
      <c r="F36" s="54"/>
    </row>
    <row r="37" spans="1:6" ht="15" customHeight="1" x14ac:dyDescent="0.2">
      <c r="A37" s="27">
        <v>36</v>
      </c>
      <c r="B37" s="38" t="s">
        <v>174</v>
      </c>
      <c r="C37" s="58" t="s">
        <v>89</v>
      </c>
      <c r="D37" s="58" t="s">
        <v>141</v>
      </c>
      <c r="E37" s="58" t="s">
        <v>41</v>
      </c>
      <c r="F37" s="54"/>
    </row>
    <row r="38" spans="1:6" ht="15" customHeight="1" x14ac:dyDescent="0.2">
      <c r="A38" s="27">
        <v>37</v>
      </c>
      <c r="B38" s="38" t="s">
        <v>174</v>
      </c>
      <c r="C38" s="58" t="s">
        <v>90</v>
      </c>
      <c r="D38" s="58" t="s">
        <v>142</v>
      </c>
      <c r="E38" s="58" t="s">
        <v>17</v>
      </c>
      <c r="F38" s="54"/>
    </row>
    <row r="39" spans="1:6" ht="15" customHeight="1" x14ac:dyDescent="0.2">
      <c r="A39" s="27">
        <v>38</v>
      </c>
      <c r="B39" s="38" t="s">
        <v>174</v>
      </c>
      <c r="C39" s="58" t="s">
        <v>91</v>
      </c>
      <c r="D39" s="58" t="s">
        <v>143</v>
      </c>
      <c r="E39" s="58" t="s">
        <v>25</v>
      </c>
      <c r="F39" s="54"/>
    </row>
    <row r="40" spans="1:6" ht="15" customHeight="1" x14ac:dyDescent="0.2">
      <c r="A40" s="27">
        <v>39</v>
      </c>
      <c r="B40" s="38" t="s">
        <v>174</v>
      </c>
      <c r="C40" s="58" t="s">
        <v>144</v>
      </c>
      <c r="D40" s="58" t="s">
        <v>145</v>
      </c>
      <c r="E40" s="58" t="s">
        <v>46</v>
      </c>
      <c r="F40" s="54"/>
    </row>
    <row r="41" spans="1:6" ht="15" customHeight="1" x14ac:dyDescent="0.2">
      <c r="A41" s="27">
        <v>40</v>
      </c>
      <c r="B41" s="38" t="s">
        <v>174</v>
      </c>
      <c r="C41" s="58" t="s">
        <v>146</v>
      </c>
      <c r="D41" s="58" t="s">
        <v>147</v>
      </c>
      <c r="E41" s="58" t="s">
        <v>47</v>
      </c>
      <c r="F41" s="54"/>
    </row>
    <row r="42" spans="1:6" ht="15" customHeight="1" x14ac:dyDescent="0.2">
      <c r="A42" s="27">
        <v>41</v>
      </c>
      <c r="B42" s="38" t="s">
        <v>174</v>
      </c>
      <c r="C42" s="58" t="s">
        <v>92</v>
      </c>
      <c r="D42" s="58" t="s">
        <v>148</v>
      </c>
      <c r="E42" s="58" t="s">
        <v>210</v>
      </c>
      <c r="F42" s="54"/>
    </row>
    <row r="43" spans="1:6" ht="15" customHeight="1" x14ac:dyDescent="0.2">
      <c r="A43" s="27">
        <v>42</v>
      </c>
      <c r="B43" s="38" t="s">
        <v>174</v>
      </c>
      <c r="C43" s="58" t="s">
        <v>93</v>
      </c>
      <c r="D43" s="58" t="s">
        <v>149</v>
      </c>
      <c r="E43" s="58" t="s">
        <v>31</v>
      </c>
      <c r="F43" s="54"/>
    </row>
    <row r="44" spans="1:6" ht="15" customHeight="1" x14ac:dyDescent="0.2">
      <c r="A44" s="27">
        <v>43</v>
      </c>
      <c r="B44" s="38" t="s">
        <v>174</v>
      </c>
      <c r="C44" s="58" t="s">
        <v>94</v>
      </c>
      <c r="D44" s="58" t="s">
        <v>150</v>
      </c>
      <c r="E44" s="58" t="s">
        <v>7</v>
      </c>
      <c r="F44" s="54"/>
    </row>
    <row r="45" spans="1:6" ht="15" customHeight="1" x14ac:dyDescent="0.2">
      <c r="A45" s="27">
        <v>44</v>
      </c>
      <c r="B45" s="38" t="s">
        <v>174</v>
      </c>
      <c r="C45" s="58" t="s">
        <v>95</v>
      </c>
      <c r="D45" s="58" t="s">
        <v>226</v>
      </c>
      <c r="E45" s="58" t="s">
        <v>16</v>
      </c>
      <c r="F45" s="54"/>
    </row>
    <row r="46" spans="1:6" ht="15" customHeight="1" x14ac:dyDescent="0.2">
      <c r="A46" s="27">
        <v>45</v>
      </c>
      <c r="B46" s="38" t="s">
        <v>174</v>
      </c>
      <c r="C46" s="58" t="s">
        <v>96</v>
      </c>
      <c r="D46" s="58" t="s">
        <v>152</v>
      </c>
      <c r="E46" s="58" t="s">
        <v>20</v>
      </c>
      <c r="F46" s="54"/>
    </row>
    <row r="47" spans="1:6" ht="15" customHeight="1" x14ac:dyDescent="0.2">
      <c r="A47" s="27">
        <v>46</v>
      </c>
      <c r="B47" s="38" t="s">
        <v>174</v>
      </c>
      <c r="C47" s="58" t="s">
        <v>97</v>
      </c>
      <c r="D47" s="58" t="s">
        <v>153</v>
      </c>
      <c r="E47" s="58" t="s">
        <v>22</v>
      </c>
      <c r="F47" s="54"/>
    </row>
    <row r="48" spans="1:6" ht="15" customHeight="1" x14ac:dyDescent="0.2">
      <c r="A48" s="27">
        <v>47</v>
      </c>
      <c r="B48" s="38" t="s">
        <v>174</v>
      </c>
      <c r="C48" s="58" t="s">
        <v>98</v>
      </c>
      <c r="D48" s="58" t="s">
        <v>227</v>
      </c>
      <c r="E48" s="58" t="s">
        <v>14</v>
      </c>
      <c r="F48" s="54"/>
    </row>
    <row r="49" spans="1:6" ht="15" customHeight="1" x14ac:dyDescent="0.2">
      <c r="A49" s="27">
        <v>48</v>
      </c>
      <c r="B49" s="38" t="s">
        <v>174</v>
      </c>
      <c r="C49" s="58" t="s">
        <v>99</v>
      </c>
      <c r="D49" s="58" t="s">
        <v>155</v>
      </c>
      <c r="E49" s="58" t="s">
        <v>30</v>
      </c>
      <c r="F49" s="54"/>
    </row>
    <row r="50" spans="1:6" ht="15" customHeight="1" x14ac:dyDescent="0.2">
      <c r="A50" s="27">
        <v>49</v>
      </c>
      <c r="B50" s="38" t="s">
        <v>266</v>
      </c>
      <c r="C50" s="39" t="s">
        <v>263</v>
      </c>
      <c r="D50" s="40" t="s">
        <v>267</v>
      </c>
      <c r="E50" s="83" t="s">
        <v>264</v>
      </c>
      <c r="F50" s="54"/>
    </row>
    <row r="51" spans="1:6" ht="15" customHeight="1" x14ac:dyDescent="0.2">
      <c r="A51" s="27">
        <v>50</v>
      </c>
      <c r="B51" s="38" t="s">
        <v>266</v>
      </c>
      <c r="C51" s="39" t="s">
        <v>257</v>
      </c>
      <c r="D51" s="40" t="s">
        <v>258</v>
      </c>
      <c r="E51" s="83" t="s">
        <v>259</v>
      </c>
      <c r="F51" s="54"/>
    </row>
    <row r="52" spans="1:6" ht="15" customHeight="1" x14ac:dyDescent="0.2">
      <c r="A52" s="27">
        <v>51</v>
      </c>
      <c r="B52" s="38" t="s">
        <v>266</v>
      </c>
      <c r="C52" s="39" t="s">
        <v>260</v>
      </c>
      <c r="D52" s="40" t="s">
        <v>261</v>
      </c>
      <c r="E52" s="83" t="s">
        <v>262</v>
      </c>
      <c r="F52" s="54"/>
    </row>
    <row r="53" spans="1:6" ht="15" customHeight="1" x14ac:dyDescent="0.2">
      <c r="A53" s="27">
        <v>52</v>
      </c>
      <c r="B53" s="59" t="s">
        <v>173</v>
      </c>
      <c r="C53" s="60" t="s">
        <v>100</v>
      </c>
      <c r="D53" s="60" t="s">
        <v>156</v>
      </c>
      <c r="E53" s="60" t="s">
        <v>10</v>
      </c>
      <c r="F53" s="54"/>
    </row>
    <row r="54" spans="1:6" ht="15" customHeight="1" x14ac:dyDescent="0.2">
      <c r="A54" s="27">
        <v>53</v>
      </c>
      <c r="B54" s="47" t="s">
        <v>173</v>
      </c>
      <c r="C54" s="61" t="s">
        <v>101</v>
      </c>
      <c r="D54" s="61" t="s">
        <v>157</v>
      </c>
      <c r="E54" s="61" t="s">
        <v>6</v>
      </c>
      <c r="F54" s="54"/>
    </row>
    <row r="55" spans="1:6" ht="15" customHeight="1" x14ac:dyDescent="0.2">
      <c r="A55" s="27">
        <v>54</v>
      </c>
      <c r="B55" s="47" t="s">
        <v>173</v>
      </c>
      <c r="C55" s="61" t="s">
        <v>102</v>
      </c>
      <c r="D55" s="61" t="s">
        <v>228</v>
      </c>
      <c r="E55" s="61" t="s">
        <v>211</v>
      </c>
      <c r="F55" s="54"/>
    </row>
    <row r="56" spans="1:6" ht="15" customHeight="1" x14ac:dyDescent="0.2">
      <c r="A56" s="27">
        <v>55</v>
      </c>
      <c r="B56" s="47" t="s">
        <v>173</v>
      </c>
      <c r="C56" s="61" t="s">
        <v>103</v>
      </c>
      <c r="D56" s="61" t="s">
        <v>229</v>
      </c>
      <c r="E56" s="61" t="s">
        <v>42</v>
      </c>
      <c r="F56" s="54"/>
    </row>
    <row r="57" spans="1:6" ht="15" customHeight="1" x14ac:dyDescent="0.2">
      <c r="A57" s="27">
        <v>56</v>
      </c>
      <c r="B57" s="47" t="s">
        <v>173</v>
      </c>
      <c r="C57" s="61" t="s">
        <v>104</v>
      </c>
      <c r="D57" s="61" t="s">
        <v>230</v>
      </c>
      <c r="E57" s="61" t="s">
        <v>8</v>
      </c>
      <c r="F57" s="54"/>
    </row>
    <row r="58" spans="1:6" ht="15" customHeight="1" x14ac:dyDescent="0.2">
      <c r="A58" s="27">
        <v>57</v>
      </c>
      <c r="B58" s="47" t="s">
        <v>173</v>
      </c>
      <c r="C58" s="61" t="s">
        <v>161</v>
      </c>
      <c r="D58" s="61" t="s">
        <v>231</v>
      </c>
      <c r="E58" s="61" t="s">
        <v>12</v>
      </c>
      <c r="F58" s="54"/>
    </row>
    <row r="59" spans="1:6" ht="15" customHeight="1" x14ac:dyDescent="0.2">
      <c r="A59" s="27">
        <v>58</v>
      </c>
      <c r="B59" s="47" t="s">
        <v>173</v>
      </c>
      <c r="C59" s="61" t="s">
        <v>163</v>
      </c>
      <c r="D59" s="61" t="s">
        <v>164</v>
      </c>
      <c r="E59" s="61" t="s">
        <v>34</v>
      </c>
      <c r="F59" s="54"/>
    </row>
    <row r="60" spans="1:6" ht="15" customHeight="1" x14ac:dyDescent="0.2">
      <c r="A60" s="27">
        <v>59</v>
      </c>
      <c r="B60" s="47" t="s">
        <v>173</v>
      </c>
      <c r="C60" s="61" t="s">
        <v>165</v>
      </c>
      <c r="D60" s="61" t="s">
        <v>56</v>
      </c>
      <c r="E60" s="61" t="s">
        <v>57</v>
      </c>
      <c r="F60" s="54"/>
    </row>
    <row r="61" spans="1:6" ht="15" customHeight="1" x14ac:dyDescent="0.2">
      <c r="A61" s="27">
        <v>60</v>
      </c>
      <c r="B61" s="47" t="s">
        <v>173</v>
      </c>
      <c r="C61" s="61" t="s">
        <v>105</v>
      </c>
      <c r="D61" s="61" t="s">
        <v>166</v>
      </c>
      <c r="E61" s="61" t="s">
        <v>32</v>
      </c>
      <c r="F61" s="54"/>
    </row>
    <row r="62" spans="1:6" ht="15" customHeight="1" x14ac:dyDescent="0.2">
      <c r="A62" s="27">
        <v>61</v>
      </c>
      <c r="B62" s="47" t="s">
        <v>173</v>
      </c>
      <c r="C62" s="61" t="s">
        <v>106</v>
      </c>
      <c r="D62" s="61" t="s">
        <v>167</v>
      </c>
      <c r="E62" s="61" t="s">
        <v>61</v>
      </c>
      <c r="F62" s="54"/>
    </row>
    <row r="63" spans="1:6" ht="15" customHeight="1" x14ac:dyDescent="0.2">
      <c r="A63" s="27">
        <v>62</v>
      </c>
      <c r="B63" s="47" t="s">
        <v>173</v>
      </c>
      <c r="C63" s="61" t="s">
        <v>107</v>
      </c>
      <c r="D63" s="61" t="s">
        <v>168</v>
      </c>
      <c r="E63" s="61" t="s">
        <v>11</v>
      </c>
      <c r="F63" s="54"/>
    </row>
  </sheetData>
  <phoneticPr fontId="2" type="noConversion"/>
  <pageMargins left="0.75" right="0.75" top="1" bottom="1" header="0.5" footer="0.5"/>
  <pageSetup paperSize="9" orientation="portrait" r:id="rId1"/>
  <headerFooter alignWithMargins="0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6511(당일)</vt:lpstr>
      <vt:lpstr>6511 (일주일)</vt:lpstr>
      <vt:lpstr>6511 (히스토리)</vt:lpstr>
      <vt:lpstr>코드표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hangseob cho</cp:lastModifiedBy>
  <dcterms:created xsi:type="dcterms:W3CDTF">2010-01-18T06:41:34Z</dcterms:created>
  <dcterms:modified xsi:type="dcterms:W3CDTF">2026-01-14T04:50:50Z</dcterms:modified>
</cp:coreProperties>
</file>