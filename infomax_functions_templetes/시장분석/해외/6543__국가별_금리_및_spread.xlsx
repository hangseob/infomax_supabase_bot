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0승환\"/>
    </mc:Choice>
  </mc:AlternateContent>
  <xr:revisionPtr revIDLastSave="0" documentId="13_ncr:1_{85980AD2-AC44-4977-9327-BB247FD17E9C}" xr6:coauthVersionLast="47" xr6:coauthVersionMax="47" xr10:uidLastSave="{00000000-0000-0000-0000-000000000000}"/>
  <bookViews>
    <workbookView xWindow="-120" yWindow="-120" windowWidth="29040" windowHeight="15720" xr2:uid="{69F7D9AB-FA3A-40F6-A4F6-BDE48EF3E525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AJ23" i="1"/>
  <c r="AJ23" i="1" a="1"/>
  <c r="AJ22" i="1" a="1"/>
  <c r="AJ22" i="1" s="1"/>
  <c r="AJ21" i="1" a="1"/>
  <c r="AJ21" i="1" s="1"/>
  <c r="AJ20" i="1" a="1"/>
  <c r="AJ20" i="1" s="1"/>
  <c r="AJ19" i="1" a="1"/>
  <c r="AJ19" i="1" s="1"/>
  <c r="AJ18" i="1" a="1"/>
  <c r="AJ18" i="1" s="1"/>
  <c r="AJ17" i="1" a="1"/>
  <c r="AJ17" i="1" s="1"/>
  <c r="AJ16" i="1" a="1"/>
  <c r="AJ16" i="1" s="1"/>
  <c r="AJ15" i="1" a="1"/>
  <c r="AJ15" i="1" s="1"/>
  <c r="AJ14" i="1" a="1"/>
  <c r="AJ14" i="1" s="1"/>
  <c r="AJ13" i="1" a="1"/>
  <c r="AJ13" i="1" s="1"/>
  <c r="AJ12" i="1" a="1"/>
  <c r="AJ12" i="1" s="1"/>
  <c r="AJ11" i="1" a="1"/>
  <c r="AJ11" i="1" s="1"/>
  <c r="AJ10" i="1" a="1"/>
  <c r="AJ10" i="1" s="1"/>
  <c r="AJ9" i="1" a="1"/>
  <c r="AJ9" i="1" s="1"/>
  <c r="AJ8" i="1" a="1"/>
  <c r="AJ8" i="1" s="1"/>
  <c r="AK6" i="1" a="1"/>
  <c r="AK6" i="1" s="1"/>
  <c r="D29" i="1"/>
  <c r="G4" i="2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D28" i="1" a="1"/>
  <c r="D28" i="1" s="1"/>
  <c r="AG23" i="1" a="1"/>
  <c r="AG23" i="1" s="1"/>
  <c r="AD23" i="1" a="1"/>
  <c r="AD23" i="1" s="1"/>
  <c r="AG22" i="1" a="1"/>
  <c r="AG22" i="1" s="1"/>
  <c r="AD22" i="1" a="1"/>
  <c r="AD22" i="1" s="1"/>
  <c r="AG21" i="1" a="1"/>
  <c r="AG21" i="1" s="1"/>
  <c r="AD21" i="1" a="1"/>
  <c r="AD21" i="1" s="1"/>
  <c r="AG20" i="1" a="1"/>
  <c r="AG20" i="1" s="1"/>
  <c r="AD20" i="1" a="1"/>
  <c r="AD20" i="1" s="1"/>
  <c r="AG19" i="1" a="1"/>
  <c r="AG19" i="1" s="1"/>
  <c r="AD19" i="1" a="1"/>
  <c r="AD19" i="1" s="1"/>
  <c r="AG18" i="1" a="1"/>
  <c r="AG18" i="1" s="1"/>
  <c r="AD18" i="1" a="1"/>
  <c r="AD18" i="1" s="1"/>
  <c r="AG17" i="1" a="1"/>
  <c r="AG17" i="1" s="1"/>
  <c r="AD17" i="1" a="1"/>
  <c r="AD17" i="1" s="1"/>
  <c r="AG16" i="1" a="1"/>
  <c r="AG16" i="1" s="1"/>
  <c r="AD16" i="1" a="1"/>
  <c r="AD16" i="1" s="1"/>
  <c r="AG15" i="1" a="1"/>
  <c r="AG15" i="1" s="1"/>
  <c r="AD15" i="1" a="1"/>
  <c r="AD15" i="1" s="1"/>
  <c r="AG14" i="1" a="1"/>
  <c r="AG14" i="1" s="1"/>
  <c r="AD14" i="1" a="1"/>
  <c r="AD14" i="1" s="1"/>
  <c r="AG13" i="1" a="1"/>
  <c r="AG13" i="1" s="1"/>
  <c r="AD13" i="1" a="1"/>
  <c r="AD13" i="1" s="1"/>
  <c r="AG12" i="1" a="1"/>
  <c r="AG12" i="1" s="1"/>
  <c r="AD12" i="1" a="1"/>
  <c r="AD12" i="1" s="1"/>
  <c r="AG11" i="1"/>
  <c r="AG11" i="1" a="1"/>
  <c r="AD11" i="1" a="1"/>
  <c r="AD11" i="1" s="1"/>
  <c r="AG10" i="1" a="1"/>
  <c r="AG10" i="1" s="1"/>
  <c r="AD10" i="1" a="1"/>
  <c r="AD10" i="1" s="1"/>
  <c r="AG9" i="1" a="1"/>
  <c r="AG9" i="1" s="1"/>
  <c r="AD9" i="1" a="1"/>
  <c r="AD9" i="1" s="1"/>
  <c r="AG8" i="1" a="1"/>
  <c r="AG8" i="1" s="1"/>
  <c r="AD8" i="1" a="1"/>
  <c r="AD8" i="1" s="1"/>
  <c r="AA23" i="1" a="1"/>
  <c r="AA23" i="1" s="1"/>
  <c r="X23" i="1" a="1"/>
  <c r="X23" i="1" s="1"/>
  <c r="U23" i="1" a="1"/>
  <c r="U23" i="1" s="1"/>
  <c r="AA22" i="1" a="1"/>
  <c r="AA22" i="1" s="1"/>
  <c r="X22" i="1" a="1"/>
  <c r="X22" i="1" s="1"/>
  <c r="U22" i="1" a="1"/>
  <c r="U22" i="1" s="1"/>
  <c r="AA21" i="1" a="1"/>
  <c r="AA21" i="1" s="1"/>
  <c r="X21" i="1" a="1"/>
  <c r="X21" i="1" s="1"/>
  <c r="U21" i="1" a="1"/>
  <c r="U21" i="1" s="1"/>
  <c r="AA20" i="1" a="1"/>
  <c r="AA20" i="1" s="1"/>
  <c r="X20" i="1" a="1"/>
  <c r="X20" i="1" s="1"/>
  <c r="U20" i="1" a="1"/>
  <c r="U20" i="1" s="1"/>
  <c r="AA19" i="1" a="1"/>
  <c r="AA19" i="1" s="1"/>
  <c r="X19" i="1" a="1"/>
  <c r="X19" i="1" s="1"/>
  <c r="U19" i="1" a="1"/>
  <c r="U19" i="1" s="1"/>
  <c r="AA18" i="1" a="1"/>
  <c r="AA18" i="1" s="1"/>
  <c r="X18" i="1" a="1"/>
  <c r="X18" i="1" s="1"/>
  <c r="U18" i="1" a="1"/>
  <c r="U18" i="1" s="1"/>
  <c r="AA17" i="1" a="1"/>
  <c r="AA17" i="1" s="1"/>
  <c r="X17" i="1" a="1"/>
  <c r="X17" i="1" s="1"/>
  <c r="U17" i="1" a="1"/>
  <c r="U17" i="1" s="1"/>
  <c r="AA16" i="1" a="1"/>
  <c r="AA16" i="1" s="1"/>
  <c r="X16" i="1" a="1"/>
  <c r="X16" i="1" s="1"/>
  <c r="U16" i="1" a="1"/>
  <c r="U16" i="1" s="1"/>
  <c r="AA15" i="1" a="1"/>
  <c r="AA15" i="1" s="1"/>
  <c r="X15" i="1" a="1"/>
  <c r="X15" i="1" s="1"/>
  <c r="U15" i="1" a="1"/>
  <c r="U15" i="1" s="1"/>
  <c r="AA14" i="1" a="1"/>
  <c r="AA14" i="1" s="1"/>
  <c r="X14" i="1" a="1"/>
  <c r="X14" i="1" s="1"/>
  <c r="U14" i="1" a="1"/>
  <c r="U14" i="1" s="1"/>
  <c r="AA13" i="1" a="1"/>
  <c r="AA13" i="1" s="1"/>
  <c r="X13" i="1" a="1"/>
  <c r="X13" i="1" s="1"/>
  <c r="U13" i="1" a="1"/>
  <c r="U13" i="1" s="1"/>
  <c r="AA12" i="1" a="1"/>
  <c r="AA12" i="1" s="1"/>
  <c r="X12" i="1" a="1"/>
  <c r="X12" i="1" s="1"/>
  <c r="U12" i="1" a="1"/>
  <c r="U12" i="1" s="1"/>
  <c r="AA11" i="1" a="1"/>
  <c r="AA11" i="1" s="1"/>
  <c r="X11" i="1" a="1"/>
  <c r="X11" i="1" s="1"/>
  <c r="U11" i="1" a="1"/>
  <c r="U11" i="1" s="1"/>
  <c r="AA10" i="1" a="1"/>
  <c r="AA10" i="1" s="1"/>
  <c r="X10" i="1" a="1"/>
  <c r="X10" i="1" s="1"/>
  <c r="U10" i="1" a="1"/>
  <c r="U10" i="1" s="1"/>
  <c r="AA9" i="1" a="1"/>
  <c r="AA9" i="1" s="1"/>
  <c r="X9" i="1" a="1"/>
  <c r="X9" i="1" s="1"/>
  <c r="U9" i="1" a="1"/>
  <c r="U9" i="1" s="1"/>
  <c r="AA8" i="1" a="1"/>
  <c r="AA8" i="1" s="1"/>
  <c r="X8" i="1" a="1"/>
  <c r="X8" i="1" s="1"/>
  <c r="U8" i="1" a="1"/>
  <c r="U8" i="1" s="1"/>
  <c r="R23" i="1" a="1"/>
  <c r="R23" i="1" s="1"/>
  <c r="O23" i="1" a="1"/>
  <c r="O23" i="1" s="1"/>
  <c r="L23" i="1" a="1"/>
  <c r="L23" i="1" s="1"/>
  <c r="R22" i="1" a="1"/>
  <c r="R22" i="1" s="1"/>
  <c r="O22" i="1" a="1"/>
  <c r="O22" i="1" s="1"/>
  <c r="L22" i="1" a="1"/>
  <c r="L22" i="1" s="1"/>
  <c r="R21" i="1"/>
  <c r="R21" i="1" a="1"/>
  <c r="O21" i="1" a="1"/>
  <c r="O21" i="1" s="1"/>
  <c r="L21" i="1" a="1"/>
  <c r="L21" i="1" s="1"/>
  <c r="R20" i="1" a="1"/>
  <c r="R20" i="1" s="1"/>
  <c r="O20" i="1"/>
  <c r="O20" i="1" a="1"/>
  <c r="L20" i="1" a="1"/>
  <c r="L20" i="1" s="1"/>
  <c r="R19" i="1" a="1"/>
  <c r="R19" i="1" s="1"/>
  <c r="O19" i="1" a="1"/>
  <c r="O19" i="1" s="1"/>
  <c r="L19" i="1" a="1"/>
  <c r="L19" i="1" s="1"/>
  <c r="R18" i="1" a="1"/>
  <c r="R18" i="1" s="1"/>
  <c r="O18" i="1"/>
  <c r="O18" i="1" a="1"/>
  <c r="L18" i="1" a="1"/>
  <c r="L18" i="1" s="1"/>
  <c r="R17" i="1" a="1"/>
  <c r="R17" i="1" s="1"/>
  <c r="O17" i="1" a="1"/>
  <c r="O17" i="1" s="1"/>
  <c r="L17" i="1" a="1"/>
  <c r="L17" i="1" s="1"/>
  <c r="R16" i="1" a="1"/>
  <c r="R16" i="1" s="1"/>
  <c r="O16" i="1" a="1"/>
  <c r="O16" i="1" s="1"/>
  <c r="L16" i="1" a="1"/>
  <c r="L16" i="1" s="1"/>
  <c r="R15" i="1" a="1"/>
  <c r="R15" i="1" s="1"/>
  <c r="O15" i="1" a="1"/>
  <c r="O15" i="1" s="1"/>
  <c r="L15" i="1" a="1"/>
  <c r="L15" i="1" s="1"/>
  <c r="R14" i="1" a="1"/>
  <c r="R14" i="1" s="1"/>
  <c r="O14" i="1" a="1"/>
  <c r="O14" i="1" s="1"/>
  <c r="L14" i="1" a="1"/>
  <c r="L14" i="1" s="1"/>
  <c r="R13" i="1"/>
  <c r="R13" i="1" a="1"/>
  <c r="O13" i="1" a="1"/>
  <c r="O13" i="1" s="1"/>
  <c r="L13" i="1" a="1"/>
  <c r="L13" i="1" s="1"/>
  <c r="R12" i="1" a="1"/>
  <c r="R12" i="1" s="1"/>
  <c r="O12" i="1" a="1"/>
  <c r="O12" i="1" s="1"/>
  <c r="L12" i="1" a="1"/>
  <c r="L12" i="1" s="1"/>
  <c r="R11" i="1" a="1"/>
  <c r="R11" i="1" s="1"/>
  <c r="O11" i="1" a="1"/>
  <c r="O11" i="1" s="1"/>
  <c r="L11" i="1" a="1"/>
  <c r="L11" i="1" s="1"/>
  <c r="R10" i="1" a="1"/>
  <c r="R10" i="1" s="1"/>
  <c r="O10" i="1" a="1"/>
  <c r="O10" i="1" s="1"/>
  <c r="L10" i="1" a="1"/>
  <c r="L10" i="1" s="1"/>
  <c r="R9" i="1" a="1"/>
  <c r="R9" i="1" s="1"/>
  <c r="O9" i="1" a="1"/>
  <c r="O9" i="1" s="1"/>
  <c r="L9" i="1" a="1"/>
  <c r="L9" i="1" s="1"/>
  <c r="R8" i="1" a="1"/>
  <c r="R8" i="1" s="1"/>
  <c r="O8" i="1" a="1"/>
  <c r="O8" i="1" s="1"/>
  <c r="L8" i="1" a="1"/>
  <c r="L8" i="1" s="1"/>
  <c r="I23" i="1" a="1"/>
  <c r="I23" i="1" s="1"/>
  <c r="I22" i="1" a="1"/>
  <c r="I22" i="1" s="1"/>
  <c r="I21" i="1" a="1"/>
  <c r="I21" i="1" s="1"/>
  <c r="I20" i="1" a="1"/>
  <c r="I20" i="1" s="1"/>
  <c r="I19" i="1" a="1"/>
  <c r="I19" i="1" s="1"/>
  <c r="I18" i="1" a="1"/>
  <c r="I18" i="1" s="1"/>
  <c r="I17" i="1" a="1"/>
  <c r="I17" i="1" s="1"/>
  <c r="I16" i="1" a="1"/>
  <c r="I16" i="1" s="1"/>
  <c r="I15" i="1" a="1"/>
  <c r="I15" i="1" s="1"/>
  <c r="I14" i="1" a="1"/>
  <c r="I14" i="1" s="1"/>
  <c r="I13" i="1" a="1"/>
  <c r="I13" i="1" s="1"/>
  <c r="I12" i="1" a="1"/>
  <c r="I12" i="1" s="1"/>
  <c r="I11" i="1" a="1"/>
  <c r="I11" i="1" s="1"/>
  <c r="I10" i="1" a="1"/>
  <c r="I10" i="1" s="1"/>
  <c r="I9" i="1" a="1"/>
  <c r="I9" i="1" s="1"/>
  <c r="I8" i="1" a="1"/>
  <c r="I8" i="1" s="1"/>
  <c r="F23" i="1" a="1"/>
  <c r="F23" i="1" s="1"/>
  <c r="F22" i="1" a="1"/>
  <c r="F22" i="1" s="1"/>
  <c r="F21" i="1" a="1"/>
  <c r="F21" i="1" s="1"/>
  <c r="F20" i="1" a="1"/>
  <c r="F20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AH6" i="1" a="1"/>
  <c r="AH6" i="1" s="1"/>
  <c r="AI6" i="1" s="1"/>
  <c r="AE6" i="1" a="1"/>
  <c r="AE6" i="1" s="1"/>
  <c r="AF6" i="1" s="1"/>
  <c r="AB6" i="1" a="1"/>
  <c r="AB6" i="1" s="1"/>
  <c r="AC6" i="1" s="1"/>
  <c r="Y6" i="1" a="1"/>
  <c r="Y6" i="1" s="1"/>
  <c r="Z6" i="1" s="1"/>
  <c r="V6" i="1" a="1"/>
  <c r="V6" i="1" s="1"/>
  <c r="W6" i="1" s="1"/>
  <c r="S6" i="1" a="1"/>
  <c r="S6" i="1" s="1"/>
  <c r="T6" i="1" s="1"/>
  <c r="P6" i="1"/>
  <c r="Q6" i="1" s="1"/>
  <c r="P6" i="1" a="1"/>
  <c r="M6" i="1" a="1"/>
  <c r="M6" i="1" s="1"/>
  <c r="N6" i="1" s="1"/>
  <c r="J6" i="1" a="1"/>
  <c r="J6" i="1" s="1"/>
  <c r="K6" i="1" s="1"/>
  <c r="G6" i="1" a="1"/>
  <c r="G6" i="1" s="1"/>
  <c r="H6" i="1" s="1"/>
  <c r="D6" i="1" a="1"/>
  <c r="D6" i="1" s="1"/>
  <c r="E6" i="1" s="1"/>
  <c r="N55" i="1" a="1"/>
  <c r="T53" i="1" a="1"/>
  <c r="AD61" i="1" a="1"/>
  <c r="AJ52" i="1" a="1"/>
  <c r="AI52" i="1" a="1"/>
  <c r="AA49" i="1" a="1"/>
  <c r="AK64" i="1" a="1"/>
  <c r="Z49" i="1" a="1"/>
  <c r="AL56" i="1" a="1"/>
  <c r="F64" i="1" a="1"/>
  <c r="S63" i="1" a="1"/>
  <c r="V62" i="1" a="1"/>
  <c r="AF59" i="1" a="1"/>
  <c r="AH49" i="1" a="1"/>
  <c r="M59" i="1" a="1"/>
  <c r="W49" i="1" a="1"/>
  <c r="AA55" i="1" a="1"/>
  <c r="AF52" i="1" a="1"/>
  <c r="S49" i="1" a="1"/>
  <c r="O58" i="1" a="1"/>
  <c r="N54" i="1" a="1"/>
  <c r="X54" i="1" a="1"/>
  <c r="AE49" i="1" a="1"/>
  <c r="AF61" i="1" a="1"/>
  <c r="AB52" i="1" a="1"/>
  <c r="M63" i="1" a="1"/>
  <c r="Q57" i="1" a="1"/>
  <c r="D35" i="1" a="1"/>
  <c r="AI21" i="1" a="1"/>
  <c r="G18" i="1" a="1"/>
  <c r="H14" i="1" a="1"/>
  <c r="D22" i="1" a="1"/>
  <c r="AJ54" i="1" a="1"/>
  <c r="AA64" i="1" a="1"/>
  <c r="K60" i="1" a="1"/>
  <c r="L62" i="1" a="1"/>
  <c r="AA58" i="1" a="1"/>
  <c r="M49" i="1" a="1"/>
  <c r="AD50" i="1" a="1"/>
  <c r="D21" i="1" a="1"/>
  <c r="AA62" i="1" a="1"/>
  <c r="R54" i="1" a="1"/>
  <c r="X52" i="1" a="1"/>
  <c r="T61" i="1" a="1"/>
  <c r="P52" i="1" a="1"/>
  <c r="Y52" i="1" a="1"/>
  <c r="H54" i="1" a="1"/>
  <c r="AB51" i="1" a="1"/>
  <c r="J61" i="1" a="1"/>
  <c r="F52" i="1" a="1"/>
  <c r="O52" i="1" a="1"/>
  <c r="AD53" i="1" a="1"/>
  <c r="Q64" i="1" a="1"/>
  <c r="I58" i="1" a="1"/>
  <c r="AF55" i="1" a="1"/>
  <c r="J63" i="1" a="1"/>
  <c r="Y64" i="1" a="1"/>
  <c r="AJ61" i="1" a="1"/>
  <c r="P58" i="1" a="1"/>
  <c r="W64" i="1" a="1"/>
  <c r="Q58" i="1" a="1"/>
  <c r="R60" i="1" a="1"/>
  <c r="Y53" i="1" a="1"/>
  <c r="AL57" i="1" a="1"/>
  <c r="H16" i="1" a="1"/>
  <c r="AF53" i="1" a="1"/>
  <c r="AF50" i="1" a="1"/>
  <c r="AH60" i="1" a="1"/>
  <c r="AD51" i="1" a="1"/>
  <c r="S51" i="1" a="1"/>
  <c r="AH52" i="1" a="1"/>
  <c r="G64" i="1" a="1"/>
  <c r="Q56" i="1" a="1"/>
  <c r="V55" i="1" a="1"/>
  <c r="AH62" i="1" a="1"/>
  <c r="O64" i="1" a="1"/>
  <c r="Z61" i="1" a="1"/>
  <c r="T57" i="1" a="1"/>
  <c r="M64" i="1" a="1"/>
  <c r="G58" i="1" a="1"/>
  <c r="L59" i="1" a="1"/>
  <c r="AK50" i="1" a="1"/>
  <c r="V64" i="1" a="1"/>
  <c r="P51" i="1" a="1"/>
  <c r="AG56" i="1" a="1"/>
  <c r="U64" i="1" a="1"/>
  <c r="E63" i="1" a="1"/>
  <c r="AE51" i="1" a="1"/>
  <c r="AJ60" i="1" a="1"/>
  <c r="H62" i="1" a="1"/>
  <c r="Q62" i="1" a="1"/>
  <c r="U56" i="1" a="1"/>
  <c r="D44" i="1" a="1"/>
  <c r="Q18" i="1" a="1"/>
  <c r="H17" i="1" a="1"/>
  <c r="L53" i="1" a="1"/>
  <c r="F49" i="1" a="1"/>
  <c r="X60" i="1" a="1"/>
  <c r="AB49" i="1" a="1"/>
  <c r="I51" i="1" a="1"/>
  <c r="R51" i="1" a="1"/>
  <c r="AE63" i="1" a="1"/>
  <c r="U55" i="1" a="1"/>
  <c r="Z54" i="1" a="1"/>
  <c r="X62" i="1" a="1"/>
  <c r="AG62" i="1" a="1"/>
  <c r="P61" i="1" a="1"/>
  <c r="AH56" i="1" a="1"/>
  <c r="AK63" i="1" a="1"/>
  <c r="AE57" i="1" a="1"/>
  <c r="F58" i="1" a="1"/>
  <c r="AA50" i="1" a="1"/>
  <c r="L64" i="1" a="1"/>
  <c r="X61" i="1" a="1"/>
  <c r="M56" i="1" a="1"/>
  <c r="K64" i="1" a="1"/>
  <c r="AC62" i="1" a="1"/>
  <c r="AC49" i="1" a="1"/>
  <c r="Z60" i="1" a="1"/>
  <c r="N58" i="1" a="1"/>
  <c r="G62" i="1" a="1"/>
  <c r="K56" i="1" a="1"/>
  <c r="D42" i="1" a="1"/>
  <c r="T23" i="1" a="1"/>
  <c r="G22" i="1" a="1"/>
  <c r="E13" i="1" a="1"/>
  <c r="D18" i="1" a="1"/>
  <c r="AI59" i="1" a="1"/>
  <c r="N60" i="1" a="1"/>
  <c r="R49" i="1" a="1"/>
  <c r="AK49" i="1" a="1"/>
  <c r="V50" i="1" a="1"/>
  <c r="K63" i="1" a="1"/>
  <c r="O54" i="1" a="1"/>
  <c r="F54" i="1" a="1"/>
  <c r="AL61" i="1" a="1"/>
  <c r="W62" i="1" a="1"/>
  <c r="R55" i="1" a="1"/>
  <c r="AA63" i="1" a="1"/>
  <c r="U57" i="1" a="1"/>
  <c r="AL55" i="1" a="1"/>
  <c r="U49" i="1" a="1"/>
  <c r="H60" i="1" a="1"/>
  <c r="W57" i="1" a="1"/>
  <c r="Z52" i="1" a="1"/>
  <c r="F61" i="1" a="1"/>
  <c r="AJ63" i="1" a="1"/>
  <c r="AE61" i="1" a="1"/>
  <c r="D17" i="1" a="1"/>
  <c r="T51" i="1" a="1"/>
  <c r="AK56" i="1" a="1"/>
  <c r="AB59" i="1" a="1"/>
  <c r="H49" i="1" a="1"/>
  <c r="Z56" i="1" a="1"/>
  <c r="AJ49" i="1" a="1"/>
  <c r="O62" i="1" a="1"/>
  <c r="W52" i="1" a="1"/>
  <c r="J53" i="1" a="1"/>
  <c r="AB61" i="1" a="1"/>
  <c r="M62" i="1" a="1"/>
  <c r="AK58" i="1" a="1"/>
  <c r="F53" i="1" a="1"/>
  <c r="Q63" i="1" a="1"/>
  <c r="K57" i="1" a="1"/>
  <c r="AF54" i="1" a="1"/>
  <c r="H52" i="1" a="1"/>
  <c r="Z63" i="1" a="1"/>
  <c r="V59" i="1" a="1"/>
  <c r="U54" i="1" a="1"/>
  <c r="O63" i="1" a="1"/>
  <c r="I62" i="1" a="1"/>
  <c r="AE50" i="1" a="1"/>
  <c r="F60" i="1" a="1"/>
  <c r="AB57" i="1" a="1"/>
  <c r="U61" i="1" a="1"/>
  <c r="AC54" i="1" a="1"/>
  <c r="D31" i="1" a="1"/>
  <c r="Q10" i="1" a="1"/>
  <c r="H22" i="1" a="1"/>
  <c r="E12" i="1" a="1"/>
  <c r="D16" i="1" a="1"/>
  <c r="AG53" i="1" a="1"/>
  <c r="D40" i="1" a="1"/>
  <c r="S21" i="1" a="1"/>
  <c r="H11" i="1" a="1"/>
  <c r="E11" i="1" a="1"/>
  <c r="D15" i="1" a="1"/>
  <c r="H57" i="1" a="1"/>
  <c r="AI60" i="1" a="1"/>
  <c r="Q52" i="1" a="1"/>
  <c r="D43" i="1" a="1"/>
  <c r="Q20" i="1" a="1"/>
  <c r="G16" i="1" a="1"/>
  <c r="D14" i="1" a="1"/>
  <c r="G57" i="1" a="1"/>
  <c r="G13" i="1" a="1"/>
  <c r="H58" i="1" a="1"/>
  <c r="AE56" i="1" a="1"/>
  <c r="T21" i="1" a="1"/>
  <c r="G14" i="1" a="1"/>
  <c r="E23" i="1" a="1"/>
  <c r="AI55" i="1" a="1"/>
  <c r="J51" i="1" a="1"/>
  <c r="E54" i="1" a="1"/>
  <c r="R59" i="1" a="1"/>
  <c r="AK59" i="1" a="1"/>
  <c r="F51" i="1" a="1"/>
  <c r="U60" i="1" a="1"/>
  <c r="AC61" i="1" a="1"/>
  <c r="G51" i="1" a="1"/>
  <c r="N52" i="1" a="1"/>
  <c r="R61" i="1" a="1"/>
  <c r="AK61" i="1" a="1"/>
  <c r="Y56" i="1" a="1"/>
  <c r="T52" i="1" a="1"/>
  <c r="G63" i="1" a="1"/>
  <c r="AI56" i="1" a="1"/>
  <c r="L54" i="1" a="1"/>
  <c r="Z50" i="1" a="1"/>
  <c r="P63" i="1" a="1"/>
  <c r="Z58" i="1" a="1"/>
  <c r="AI53" i="1" a="1"/>
  <c r="AE54" i="1" a="1"/>
  <c r="AG61" i="1" a="1"/>
  <c r="AD60" i="1" a="1"/>
  <c r="AD59" i="1" a="1"/>
  <c r="R57" i="1" a="1"/>
  <c r="K61" i="1" a="1"/>
  <c r="S57" i="1" a="1"/>
  <c r="L52" i="1" a="1"/>
  <c r="AH50" i="1" a="1"/>
  <c r="AG52" i="1" a="1"/>
  <c r="H59" i="1" a="1"/>
  <c r="U58" i="1" a="1"/>
  <c r="U63" i="1" a="1"/>
  <c r="Y59" i="1" a="1"/>
  <c r="I61" i="1" a="1"/>
  <c r="AI49" i="1" a="1"/>
  <c r="H51" i="1" a="1"/>
  <c r="H61" i="1" a="1"/>
  <c r="AA61" i="1" a="1"/>
  <c r="O56" i="1" a="1"/>
  <c r="AL50" i="1" a="1"/>
  <c r="AE62" i="1" a="1"/>
  <c r="E56" i="1" a="1"/>
  <c r="AJ53" i="1" a="1"/>
  <c r="T49" i="1" a="1"/>
  <c r="F63" i="1" a="1"/>
  <c r="AD57" i="1" a="1"/>
  <c r="O53" i="1" a="1"/>
  <c r="E53" i="1" a="1"/>
  <c r="W61" i="1" a="1"/>
  <c r="V57" i="1" a="1"/>
  <c r="T59" i="1" a="1"/>
  <c r="E21" i="1" a="1"/>
  <c r="AI63" i="1" a="1"/>
  <c r="X50" i="1" a="1"/>
  <c r="K50" i="1" a="1"/>
  <c r="V58" i="1" a="1"/>
  <c r="K58" i="1" a="1"/>
  <c r="AI62" i="1" a="1"/>
  <c r="E59" i="1" a="1"/>
  <c r="AG60" i="1" a="1"/>
  <c r="AH59" i="1" a="1"/>
  <c r="L50" i="1" a="1"/>
  <c r="V60" i="1" a="1"/>
  <c r="Q61" i="1" a="1"/>
  <c r="W54" i="1" a="1"/>
  <c r="AB50" i="1" a="1"/>
  <c r="U62" i="1" a="1"/>
  <c r="AC55" i="1" a="1"/>
  <c r="Z53" i="1" a="1"/>
  <c r="O55" i="1" a="1"/>
  <c r="AD62" i="1" a="1"/>
  <c r="J57" i="1" a="1"/>
  <c r="W51" i="1" a="1"/>
  <c r="I52" i="1" a="1"/>
  <c r="M61" i="1" a="1"/>
  <c r="AB53" i="1" a="1"/>
  <c r="J59" i="1" a="1"/>
  <c r="V56" i="1" a="1"/>
  <c r="Y60" i="1" a="1"/>
  <c r="K51" i="1" a="1"/>
  <c r="D39" i="1" a="1"/>
  <c r="P18" i="1" a="1"/>
  <c r="G11" i="1" a="1"/>
  <c r="E17" i="1" a="1"/>
  <c r="D13" i="1" a="1"/>
  <c r="AA52" i="1" a="1"/>
  <c r="J62" i="1" a="1"/>
  <c r="J49" i="1" a="1"/>
  <c r="V51" i="1" a="1"/>
  <c r="X58" i="1" a="1"/>
  <c r="E60" i="1" a="1"/>
  <c r="K55" i="1" a="1"/>
  <c r="G21" i="1" a="1"/>
  <c r="E19" i="1" a="1"/>
  <c r="P55" i="1" a="1"/>
  <c r="AC59" i="1" a="1"/>
  <c r="U50" i="1" a="1"/>
  <c r="D38" i="1" a="1"/>
  <c r="H18" i="1" a="1"/>
  <c r="E18" i="1" a="1"/>
  <c r="D10" i="1" a="1"/>
  <c r="D37" i="1" a="1"/>
  <c r="G9" i="1" a="1"/>
  <c r="AG55" i="1" a="1"/>
  <c r="AC51" i="1" a="1"/>
  <c r="AI54" i="1" a="1"/>
  <c r="X64" i="1" a="1"/>
  <c r="L49" i="1" a="1"/>
  <c r="V54" i="1" a="1"/>
  <c r="F55" i="1" a="1"/>
  <c r="AK62" i="1" a="1"/>
  <c r="AF18" i="1" a="1"/>
  <c r="G19" i="1" a="1"/>
  <c r="AE64" i="1" a="1"/>
  <c r="E22" i="1" a="1"/>
  <c r="N50" i="1" a="1"/>
  <c r="AL58" i="1" a="1"/>
  <c r="AJ57" i="1" a="1"/>
  <c r="Y57" i="1" a="1"/>
  <c r="Y62" i="1" a="1"/>
  <c r="AG57" i="1" a="1"/>
  <c r="W60" i="1" a="1"/>
  <c r="L57" i="1" a="1"/>
  <c r="P49" i="1" a="1"/>
  <c r="AJ59" i="1" a="1"/>
  <c r="G61" i="1" a="1"/>
  <c r="M54" i="1" a="1"/>
  <c r="H50" i="1" a="1"/>
  <c r="K62" i="1" a="1"/>
  <c r="S55" i="1" a="1"/>
  <c r="P53" i="1" a="1"/>
  <c r="AK52" i="1" a="1"/>
  <c r="T62" i="1" a="1"/>
  <c r="X56" i="1" a="1"/>
  <c r="AJ50" i="1" a="1"/>
  <c r="AG51" i="1" a="1"/>
  <c r="AK60" i="1" a="1"/>
  <c r="X49" i="1" a="1"/>
  <c r="AH58" i="1" a="1"/>
  <c r="L56" i="1" a="1"/>
  <c r="O60" i="1" a="1"/>
  <c r="Y50" i="1" a="1"/>
  <c r="D33" i="1" a="1"/>
  <c r="T13" i="1" a="1"/>
  <c r="G15" i="1" a="1"/>
  <c r="E15" i="1" a="1"/>
  <c r="D12" i="1" a="1"/>
  <c r="N56" i="1" a="1"/>
  <c r="AA60" i="1" a="1"/>
  <c r="AD64" i="1" a="1"/>
  <c r="Z55" i="1" a="1"/>
  <c r="D32" i="1" a="1"/>
  <c r="H23" i="1" a="1"/>
  <c r="D11" i="1" a="1"/>
  <c r="G10" i="1" a="1"/>
  <c r="H13" i="1" a="1"/>
  <c r="E20" i="1" a="1"/>
  <c r="AA59" i="1" a="1"/>
  <c r="N62" i="1" a="1"/>
  <c r="K52" i="1" a="1"/>
  <c r="AF51" i="1" a="1"/>
  <c r="E61" i="1" a="1"/>
  <c r="G53" i="1" a="1"/>
  <c r="AL60" i="1" a="1"/>
  <c r="Y55" i="1" a="1"/>
  <c r="T54" i="1" a="1"/>
  <c r="E49" i="1" a="1"/>
  <c r="H8" i="1" a="1"/>
  <c r="T50" i="1" a="1"/>
  <c r="L51" i="1" a="1"/>
  <c r="AF64" i="1" a="1"/>
  <c r="AB64" i="1" a="1"/>
  <c r="AL49" i="1" a="1"/>
  <c r="T55" i="1" a="1"/>
  <c r="F57" i="1" a="1"/>
  <c r="O57" i="1" a="1"/>
  <c r="E62" i="1" a="1"/>
  <c r="G56" i="1" a="1"/>
  <c r="S56" i="1" a="1"/>
  <c r="AH54" i="1" a="1"/>
  <c r="AE60" i="1" a="1"/>
  <c r="Z59" i="1" a="1"/>
  <c r="V52" i="1" a="1"/>
  <c r="AA53" i="1" a="1"/>
  <c r="S52" i="1" a="1"/>
  <c r="AI61" i="1" a="1"/>
  <c r="I55" i="1" a="1"/>
  <c r="AD52" i="1" a="1"/>
  <c r="L63" i="1" a="1"/>
  <c r="AC56" i="1" a="1"/>
  <c r="N49" i="1" a="1"/>
  <c r="AD56" i="1" a="1"/>
  <c r="E57" i="1" a="1"/>
  <c r="S61" i="1" a="1"/>
  <c r="Y54" i="1" a="1"/>
  <c r="AA54" i="1" a="1"/>
  <c r="J50" i="1" a="1"/>
  <c r="O59" i="1" a="1"/>
  <c r="P59" i="1" a="1"/>
  <c r="R63" i="1" a="1"/>
  <c r="Q53" i="1" a="1"/>
  <c r="G50" i="1" a="1"/>
  <c r="Y61" i="1" a="1"/>
  <c r="AG54" i="1" a="1"/>
  <c r="N51" i="1" a="1"/>
  <c r="U51" i="1" a="1"/>
  <c r="AH61" i="1" a="1"/>
  <c r="AB55" i="1" a="1"/>
  <c r="S54" i="1" a="1"/>
  <c r="P50" i="1" a="1"/>
  <c r="Q60" i="1" a="1"/>
  <c r="T64" i="1" a="1"/>
  <c r="AF56" i="1" a="1"/>
  <c r="AJ62" i="1" a="1"/>
  <c r="U53" i="1" a="1"/>
  <c r="AL64" i="1" a="1"/>
  <c r="T56" i="1" a="1"/>
  <c r="I56" i="1" a="1"/>
  <c r="M60" i="1" a="1"/>
  <c r="S53" i="1" a="1"/>
  <c r="K53" i="1" a="1"/>
  <c r="AD63" i="1" a="1"/>
  <c r="M57" i="1" a="1"/>
  <c r="F59" i="1" a="1"/>
  <c r="AH64" i="1" a="1"/>
  <c r="AE52" i="1" a="1"/>
  <c r="K49" i="1" a="1"/>
  <c r="O61" i="1" a="1"/>
  <c r="AK53" i="1" a="1"/>
  <c r="R50" i="1" a="1"/>
  <c r="O50" i="1" a="1"/>
  <c r="N61" i="1" a="1"/>
  <c r="H55" i="1" a="1"/>
  <c r="G52" i="1" a="1"/>
  <c r="AD49" i="1" a="1"/>
  <c r="G60" i="1" a="1"/>
  <c r="J64" i="1" a="1"/>
  <c r="AJ55" i="1" a="1"/>
  <c r="AD54" i="1" a="1"/>
  <c r="S59" i="1" a="1"/>
  <c r="R58" i="1" a="1"/>
  <c r="D9" i="1" a="1"/>
  <c r="J56" i="1" a="1"/>
  <c r="AK51" i="1" a="1"/>
  <c r="T58" i="1" a="1"/>
  <c r="I49" i="1" a="1"/>
  <c r="E50" i="1" a="1"/>
  <c r="AE59" i="1" a="1"/>
  <c r="AH63" i="1" a="1"/>
  <c r="I59" i="1" a="1"/>
  <c r="D36" i="1" a="1"/>
  <c r="H19" i="1" a="1"/>
  <c r="E16" i="1" a="1"/>
  <c r="Y63" i="1" a="1"/>
  <c r="D41" i="1" a="1"/>
  <c r="F62" i="1" a="1"/>
  <c r="E52" i="1" a="1"/>
  <c r="R64" i="1" a="1"/>
  <c r="AL59" i="1" a="1"/>
  <c r="AG50" i="1" a="1"/>
  <c r="H64" i="1" a="1"/>
  <c r="AH55" i="1" a="1"/>
  <c r="W55" i="1" a="1"/>
  <c r="Q59" i="1" a="1"/>
  <c r="Y49" i="1" a="1"/>
  <c r="W50" i="1" a="1"/>
  <c r="AF60" i="1" a="1"/>
  <c r="AC53" i="1" a="1"/>
  <c r="J58" i="1" a="1"/>
  <c r="N64" i="1" a="1"/>
  <c r="Y51" i="1" a="1"/>
  <c r="F50" i="1" a="1"/>
  <c r="AC60" i="1" a="1"/>
  <c r="U52" i="1" a="1"/>
  <c r="K59" i="1" a="1"/>
  <c r="AA56" i="1" a="1"/>
  <c r="X51" i="1" a="1"/>
  <c r="J52" i="1" a="1"/>
  <c r="S58" i="1" a="1"/>
  <c r="W53" i="1" a="1"/>
  <c r="I57" i="1" a="1"/>
  <c r="X63" i="1" a="1"/>
  <c r="J54" i="1" a="1"/>
  <c r="AC64" i="1" a="1"/>
  <c r="AG58" i="1" a="1"/>
  <c r="AK18" i="1" a="1"/>
  <c r="D30" i="1" a="1"/>
  <c r="H12" i="1" a="1"/>
  <c r="H20" i="1" a="1"/>
  <c r="E9" i="1" a="1"/>
  <c r="F56" i="1" a="1"/>
  <c r="Q50" i="1" a="1"/>
  <c r="W63" i="1" a="1"/>
  <c r="AA57" i="1" a="1"/>
  <c r="G23" i="1" a="1"/>
  <c r="K54" i="1" a="1"/>
  <c r="I54" i="1" a="1"/>
  <c r="P60" i="1" a="1"/>
  <c r="AF58" i="1" a="1"/>
  <c r="M50" i="1" a="1"/>
  <c r="AF63" i="1" a="1"/>
  <c r="X55" i="1" a="1"/>
  <c r="M55" i="1" a="1"/>
  <c r="G59" i="1" a="1"/>
  <c r="X59" i="1" a="1"/>
  <c r="G49" i="1" a="1"/>
  <c r="L60" i="1" a="1"/>
  <c r="AD55" i="1" a="1"/>
  <c r="AH57" i="1" a="1"/>
  <c r="AL63" i="1" a="1"/>
  <c r="E51" i="1" a="1"/>
  <c r="J60" i="1" a="1"/>
  <c r="S60" i="1" a="1"/>
  <c r="AI51" i="1" a="1"/>
  <c r="Y58" i="1" a="1"/>
  <c r="M52" i="1" a="1"/>
  <c r="AF49" i="1" a="1"/>
  <c r="AH51" i="1" a="1"/>
  <c r="I53" i="1" a="1"/>
  <c r="AE55" i="1" a="1"/>
  <c r="G55" i="1" a="1"/>
  <c r="N63" i="1" a="1"/>
  <c r="AH53" i="1" a="1"/>
  <c r="S64" i="1" a="1"/>
  <c r="W58" i="1" a="1"/>
  <c r="AK20" i="1" a="1"/>
  <c r="D8" i="1" a="1"/>
  <c r="G17" i="1" a="1"/>
  <c r="H15" i="1" a="1"/>
  <c r="E14" i="1" a="1"/>
  <c r="AC57" i="1" a="1"/>
  <c r="T60" i="1" a="1"/>
  <c r="V49" i="1" a="1"/>
  <c r="Q51" i="1" a="1"/>
  <c r="AL62" i="1" a="1"/>
  <c r="X53" i="1" a="1"/>
  <c r="I64" i="1" a="1"/>
  <c r="AK13" i="1" a="1"/>
  <c r="AH21" i="1" a="1"/>
  <c r="H10" i="1" a="1"/>
  <c r="R53" i="1" a="1"/>
  <c r="E64" i="1" a="1"/>
  <c r="AG59" i="1" a="1"/>
  <c r="P56" i="1" a="1"/>
  <c r="M51" i="1" a="1"/>
  <c r="AB62" i="1" a="1"/>
  <c r="N53" i="1" a="1"/>
  <c r="AK57" i="1" a="1"/>
  <c r="AK11" i="1" a="1"/>
  <c r="D20" i="1" a="1"/>
  <c r="D19" i="1" a="1"/>
  <c r="S62" i="1" a="1"/>
  <c r="L58" i="1" a="1"/>
  <c r="Q49" i="1" a="1"/>
  <c r="V63" i="1" a="1"/>
  <c r="AL54" i="1" a="1"/>
  <c r="Q54" i="1" a="1"/>
  <c r="AE58" i="1" a="1"/>
  <c r="AJ56" i="1" a="1"/>
  <c r="H56" i="1" a="1"/>
  <c r="AD58" i="1" a="1"/>
  <c r="AJ64" i="1" a="1"/>
  <c r="AI64" i="1" a="1"/>
  <c r="AB63" i="1" a="1"/>
  <c r="S50" i="1" a="1"/>
  <c r="AF57" i="1" a="1"/>
  <c r="I60" i="1" a="1"/>
  <c r="O51" i="1" a="1"/>
  <c r="E55" i="1" a="1"/>
  <c r="AA51" i="1" a="1"/>
  <c r="AC52" i="1" a="1"/>
  <c r="M58" i="1" a="1"/>
  <c r="G12" i="1" a="1"/>
  <c r="E10" i="1" a="1"/>
  <c r="P54" i="1" a="1"/>
  <c r="H63" i="1" a="1"/>
  <c r="I50" i="1" a="1"/>
  <c r="AC50" i="1" a="1"/>
  <c r="W56" i="1" a="1"/>
  <c r="M53" i="1" a="1"/>
  <c r="U59" i="1" a="1"/>
  <c r="O49" i="1" a="1"/>
  <c r="AG63" i="1" a="1"/>
  <c r="AF8" i="1" a="1"/>
  <c r="H21" i="1" a="1"/>
  <c r="G20" i="1" a="1"/>
  <c r="E8" i="1" a="1"/>
  <c r="N59" i="1" a="1"/>
  <c r="R62" i="1" a="1"/>
  <c r="T63" i="1" a="1"/>
  <c r="Z57" i="1" a="1"/>
  <c r="R56" i="1" a="1"/>
  <c r="Z62" i="1" a="1"/>
  <c r="AB54" i="1" a="1"/>
  <c r="G54" i="1" a="1"/>
  <c r="AI57" i="1" a="1"/>
  <c r="X57" i="1" a="1"/>
  <c r="Z64" i="1" a="1"/>
  <c r="J55" i="1" a="1"/>
  <c r="AB58" i="1" a="1"/>
  <c r="AL52" i="1" a="1"/>
  <c r="AK8" i="1" a="1"/>
  <c r="AI11" i="1" a="1"/>
  <c r="H9" i="1" a="1"/>
  <c r="D23" i="1" a="1"/>
  <c r="AB56" i="1" a="1"/>
  <c r="I63" i="1" a="1"/>
  <c r="AJ58" i="1" a="1"/>
  <c r="AG64" i="1" a="1"/>
  <c r="Z51" i="1" a="1"/>
  <c r="AC58" i="1" a="1"/>
  <c r="E58" i="1" a="1"/>
  <c r="V61" i="1" a="1"/>
  <c r="R52" i="1" a="1"/>
  <c r="D34" i="1" a="1"/>
  <c r="L61" i="1" a="1"/>
  <c r="D45" i="1" a="1"/>
  <c r="G8" i="1" a="1"/>
  <c r="Q55" i="1" a="1"/>
  <c r="N17" i="1" a="1"/>
  <c r="P57" i="1" a="1"/>
  <c r="L55" i="1" a="1"/>
  <c r="P62" i="1" a="1"/>
  <c r="V53" i="1" a="1"/>
  <c r="AE53" i="1" a="1"/>
  <c r="AK54" i="1" a="1"/>
  <c r="AJ51" i="1" a="1"/>
  <c r="AL51" i="1" a="1"/>
  <c r="N57" i="1" a="1"/>
  <c r="P64" i="1" a="1"/>
  <c r="AC63" i="1" a="1"/>
  <c r="AF62" i="1" a="1"/>
  <c r="AB60" i="1" a="1"/>
  <c r="H53" i="1" a="1"/>
  <c r="W59" i="1" a="1"/>
  <c r="AG49" i="1" a="1"/>
  <c r="AK55" i="1" a="1"/>
  <c r="AL53" i="1" a="1"/>
  <c r="AI50" i="1" a="1"/>
  <c r="AI58" i="1" a="1"/>
  <c r="R58" i="1" l="1"/>
  <c r="U50" i="1"/>
  <c r="K55" i="1"/>
  <c r="Y50" i="1"/>
  <c r="K51" i="1"/>
  <c r="Q52" i="1"/>
  <c r="AG53" i="1"/>
  <c r="AC54" i="1"/>
  <c r="AI55" i="1"/>
  <c r="K56" i="1"/>
  <c r="U56" i="1"/>
  <c r="AE56" i="1"/>
  <c r="G57" i="1"/>
  <c r="Q57" i="1"/>
  <c r="AA57" i="1"/>
  <c r="AK57" i="1"/>
  <c r="M58" i="1"/>
  <c r="W58" i="1"/>
  <c r="AG58" i="1"/>
  <c r="I59" i="1"/>
  <c r="S59" i="1"/>
  <c r="AC59" i="1"/>
  <c r="E60" i="1"/>
  <c r="O60" i="1"/>
  <c r="Y60" i="1"/>
  <c r="AI60" i="1"/>
  <c r="K61" i="1"/>
  <c r="U61" i="1"/>
  <c r="AE61" i="1"/>
  <c r="G62" i="1"/>
  <c r="Q62" i="1"/>
  <c r="AA62" i="1"/>
  <c r="AK62" i="1"/>
  <c r="M63" i="1"/>
  <c r="W63" i="1"/>
  <c r="AG63" i="1"/>
  <c r="I64" i="1"/>
  <c r="S64" i="1"/>
  <c r="AC64" i="1"/>
  <c r="T54" i="1"/>
  <c r="AD54" i="1"/>
  <c r="P55" i="1"/>
  <c r="Z55" i="1"/>
  <c r="L56" i="1"/>
  <c r="V56" i="1"/>
  <c r="H57" i="1"/>
  <c r="R57" i="1"/>
  <c r="AB57" i="1"/>
  <c r="AL57" i="1"/>
  <c r="N58" i="1"/>
  <c r="H62" i="1"/>
  <c r="L52" i="1"/>
  <c r="R52" i="1"/>
  <c r="AB52" i="1"/>
  <c r="AL52" i="1"/>
  <c r="N53" i="1"/>
  <c r="X53" i="1"/>
  <c r="AH53" i="1"/>
  <c r="J54" i="1"/>
  <c r="F55" i="1"/>
  <c r="AJ55" i="1"/>
  <c r="AF56" i="1"/>
  <c r="X58" i="1"/>
  <c r="AH58" i="1"/>
  <c r="J59" i="1"/>
  <c r="T59" i="1"/>
  <c r="AD59" i="1"/>
  <c r="F60" i="1"/>
  <c r="P60" i="1"/>
  <c r="Z60" i="1"/>
  <c r="AJ60" i="1"/>
  <c r="L61" i="1"/>
  <c r="V61" i="1"/>
  <c r="AF61" i="1"/>
  <c r="R62" i="1"/>
  <c r="AB62" i="1"/>
  <c r="AL62" i="1"/>
  <c r="N63" i="1"/>
  <c r="X63" i="1"/>
  <c r="AH63" i="1"/>
  <c r="J64" i="1"/>
  <c r="T64" i="1"/>
  <c r="AD64" i="1"/>
  <c r="X49" i="1"/>
  <c r="AB53" i="1"/>
  <c r="V57" i="1"/>
  <c r="AD60" i="1"/>
  <c r="AE50" i="1"/>
  <c r="W57" i="1"/>
  <c r="AC49" i="1"/>
  <c r="AE51" i="1"/>
  <c r="I54" i="1"/>
  <c r="L51" i="1"/>
  <c r="AE49" i="1"/>
  <c r="Q50" i="1"/>
  <c r="M51" i="1"/>
  <c r="AC52" i="1"/>
  <c r="G55" i="1"/>
  <c r="I57" i="1"/>
  <c r="AE59" i="1"/>
  <c r="G60" i="1"/>
  <c r="Q60" i="1"/>
  <c r="AA60" i="1"/>
  <c r="AK60" i="1"/>
  <c r="M61" i="1"/>
  <c r="W61" i="1"/>
  <c r="AG61" i="1"/>
  <c r="I62" i="1"/>
  <c r="S62" i="1"/>
  <c r="AC62" i="1"/>
  <c r="E63" i="1"/>
  <c r="AI63" i="1"/>
  <c r="AD50" i="1"/>
  <c r="X54" i="1"/>
  <c r="N59" i="1"/>
  <c r="O49" i="1"/>
  <c r="Q51" i="1"/>
  <c r="AE55" i="1"/>
  <c r="W53" i="1"/>
  <c r="Y55" i="1"/>
  <c r="AD49" i="1"/>
  <c r="P50" i="1"/>
  <c r="V51" i="1"/>
  <c r="AG51" i="1"/>
  <c r="I52" i="1"/>
  <c r="E53" i="1"/>
  <c r="AE54" i="1"/>
  <c r="O63" i="1"/>
  <c r="Y63" i="1"/>
  <c r="K64" i="1"/>
  <c r="U64" i="1"/>
  <c r="AE64" i="1"/>
  <c r="T50" i="1"/>
  <c r="N54" i="1"/>
  <c r="F56" i="1"/>
  <c r="AB58" i="1"/>
  <c r="AA51" i="1"/>
  <c r="I53" i="1"/>
  <c r="S58" i="1"/>
  <c r="E50" i="1"/>
  <c r="G52" i="1"/>
  <c r="S54" i="1"/>
  <c r="J49" i="1"/>
  <c r="AJ50" i="1"/>
  <c r="W51" i="1"/>
  <c r="O53" i="1"/>
  <c r="AI53" i="1"/>
  <c r="U54" i="1"/>
  <c r="Q55" i="1"/>
  <c r="M56" i="1"/>
  <c r="AG56" i="1"/>
  <c r="S57" i="1"/>
  <c r="E58" i="1"/>
  <c r="O58" i="1"/>
  <c r="AI58" i="1"/>
  <c r="U59" i="1"/>
  <c r="V49" i="1"/>
  <c r="AH51" i="1"/>
  <c r="J52" i="1"/>
  <c r="V54" i="1"/>
  <c r="H55" i="1"/>
  <c r="AB55" i="1"/>
  <c r="N56" i="1"/>
  <c r="X56" i="1"/>
  <c r="J57" i="1"/>
  <c r="AD57" i="1"/>
  <c r="Z58" i="1"/>
  <c r="V59" i="1"/>
  <c r="H60" i="1"/>
  <c r="X61" i="1"/>
  <c r="P51" i="1"/>
  <c r="H58" i="1"/>
  <c r="AC58" i="1"/>
  <c r="S49" i="1"/>
  <c r="AI50" i="1"/>
  <c r="M53" i="1"/>
  <c r="E55" i="1"/>
  <c r="AF49" i="1"/>
  <c r="X51" i="1"/>
  <c r="AL60" i="1"/>
  <c r="N61" i="1"/>
  <c r="AH61" i="1"/>
  <c r="J62" i="1"/>
  <c r="T62" i="1"/>
  <c r="AD62" i="1"/>
  <c r="F63" i="1"/>
  <c r="P63" i="1"/>
  <c r="Z63" i="1"/>
  <c r="AJ63" i="1"/>
  <c r="L64" i="1"/>
  <c r="V64" i="1"/>
  <c r="AF64" i="1"/>
  <c r="Z51" i="1"/>
  <c r="AF52" i="1"/>
  <c r="AL53" i="1"/>
  <c r="P56" i="1"/>
  <c r="T60" i="1"/>
  <c r="M52" i="1"/>
  <c r="AA56" i="1"/>
  <c r="I49" i="1"/>
  <c r="O50" i="1"/>
  <c r="U51" i="1"/>
  <c r="AA52" i="1"/>
  <c r="AK52" i="1"/>
  <c r="O55" i="1"/>
  <c r="T49" i="1"/>
  <c r="Z50" i="1"/>
  <c r="H52" i="1"/>
  <c r="U49" i="1"/>
  <c r="AA50" i="1"/>
  <c r="AK50" i="1"/>
  <c r="Y53" i="1"/>
  <c r="K54" i="1"/>
  <c r="AA55" i="1"/>
  <c r="AK55" i="1"/>
  <c r="W56" i="1"/>
  <c r="AC57" i="1"/>
  <c r="Y58" i="1"/>
  <c r="K59" i="1"/>
  <c r="L49" i="1"/>
  <c r="R50" i="1"/>
  <c r="N51" i="1"/>
  <c r="AD52" i="1"/>
  <c r="P53" i="1"/>
  <c r="Z53" i="1"/>
  <c r="AJ53" i="1"/>
  <c r="L54" i="1"/>
  <c r="AF54" i="1"/>
  <c r="AL55" i="1"/>
  <c r="F58" i="1"/>
  <c r="L59" i="1"/>
  <c r="R60" i="1"/>
  <c r="M49" i="1"/>
  <c r="W49" i="1"/>
  <c r="AG49" i="1"/>
  <c r="AC50" i="1"/>
  <c r="O51" i="1"/>
  <c r="AI51" i="1"/>
  <c r="U52" i="1"/>
  <c r="G53" i="1"/>
  <c r="AK53" i="1"/>
  <c r="AG54" i="1"/>
  <c r="I55" i="1"/>
  <c r="S55" i="1"/>
  <c r="AC55" i="1"/>
  <c r="E56" i="1"/>
  <c r="AI56" i="1"/>
  <c r="K57" i="1"/>
  <c r="U57" i="1"/>
  <c r="AE57" i="1"/>
  <c r="G58" i="1"/>
  <c r="Q58" i="1"/>
  <c r="AA58" i="1"/>
  <c r="M59" i="1"/>
  <c r="W59" i="1"/>
  <c r="AG59" i="1"/>
  <c r="I60" i="1"/>
  <c r="S60" i="1"/>
  <c r="AC60" i="1"/>
  <c r="E61" i="1"/>
  <c r="O61" i="1"/>
  <c r="Y61" i="1"/>
  <c r="AI61" i="1"/>
  <c r="K62" i="1"/>
  <c r="U62" i="1"/>
  <c r="AE62" i="1"/>
  <c r="G63" i="1"/>
  <c r="Q63" i="1"/>
  <c r="AA63" i="1"/>
  <c r="AK63" i="1"/>
  <c r="M64" i="1"/>
  <c r="W64" i="1"/>
  <c r="AG64" i="1"/>
  <c r="AH49" i="1"/>
  <c r="H53" i="1"/>
  <c r="J55" i="1"/>
  <c r="AF57" i="1"/>
  <c r="J60" i="1"/>
  <c r="F50" i="1"/>
  <c r="AF51" i="1"/>
  <c r="K49" i="1"/>
  <c r="G50" i="1"/>
  <c r="S52" i="1"/>
  <c r="H50" i="1"/>
  <c r="AB50" i="1"/>
  <c r="AL50" i="1"/>
  <c r="T52" i="1"/>
  <c r="F53" i="1"/>
  <c r="R55" i="1"/>
  <c r="AH56" i="1"/>
  <c r="T57" i="1"/>
  <c r="P58" i="1"/>
  <c r="AJ58" i="1"/>
  <c r="AF59" i="1"/>
  <c r="AB60" i="1"/>
  <c r="I50" i="1"/>
  <c r="S50" i="1"/>
  <c r="E51" i="1"/>
  <c r="Y51" i="1"/>
  <c r="K52" i="1"/>
  <c r="AE52" i="1"/>
  <c r="Q53" i="1"/>
  <c r="AA53" i="1"/>
  <c r="M54" i="1"/>
  <c r="W54" i="1"/>
  <c r="O56" i="1"/>
  <c r="Y56" i="1"/>
  <c r="AK58" i="1"/>
  <c r="F61" i="1"/>
  <c r="P61" i="1"/>
  <c r="Z61" i="1"/>
  <c r="AJ61" i="1"/>
  <c r="L62" i="1"/>
  <c r="V62" i="1"/>
  <c r="AF62" i="1"/>
  <c r="H63" i="1"/>
  <c r="AB63" i="1"/>
  <c r="AL63" i="1"/>
  <c r="N64" i="1"/>
  <c r="X64" i="1"/>
  <c r="AH64" i="1"/>
  <c r="R63" i="1"/>
  <c r="V52" i="1"/>
  <c r="G61" i="1"/>
  <c r="Q61" i="1"/>
  <c r="AA61" i="1"/>
  <c r="AK61" i="1"/>
  <c r="M62" i="1"/>
  <c r="W62" i="1"/>
  <c r="AG62" i="1"/>
  <c r="O64" i="1"/>
  <c r="Y64" i="1"/>
  <c r="I63" i="1"/>
  <c r="S63" i="1"/>
  <c r="AC63" i="1"/>
  <c r="E64" i="1"/>
  <c r="AI64" i="1"/>
  <c r="AH57" i="1"/>
  <c r="J58" i="1"/>
  <c r="T58" i="1"/>
  <c r="F59" i="1"/>
  <c r="P59" i="1"/>
  <c r="Z59" i="1"/>
  <c r="AJ59" i="1"/>
  <c r="V60" i="1"/>
  <c r="H61" i="1"/>
  <c r="R61" i="1"/>
  <c r="AB61" i="1"/>
  <c r="AL61" i="1"/>
  <c r="X62" i="1"/>
  <c r="AH62" i="1"/>
  <c r="J63" i="1"/>
  <c r="T63" i="1"/>
  <c r="F64" i="1"/>
  <c r="P64" i="1"/>
  <c r="Z64" i="1"/>
  <c r="AJ64" i="1"/>
  <c r="AD55" i="1"/>
  <c r="AC53" i="1"/>
  <c r="AI54" i="1"/>
  <c r="M57" i="1"/>
  <c r="O59" i="1"/>
  <c r="AE60" i="1"/>
  <c r="P49" i="1"/>
  <c r="L50" i="1"/>
  <c r="H51" i="1"/>
  <c r="N52" i="1"/>
  <c r="J53" i="1"/>
  <c r="F54" i="1"/>
  <c r="Z54" i="1"/>
  <c r="V55" i="1"/>
  <c r="AF55" i="1"/>
  <c r="AB56" i="1"/>
  <c r="AL56" i="1"/>
  <c r="N57" i="1"/>
  <c r="X57" i="1"/>
  <c r="AD58" i="1"/>
  <c r="L60" i="1"/>
  <c r="AF60" i="1"/>
  <c r="N62" i="1"/>
  <c r="AD63" i="1"/>
  <c r="J50" i="1"/>
  <c r="AH54" i="1"/>
  <c r="L57" i="1"/>
  <c r="AH59" i="1"/>
  <c r="AI49" i="1"/>
  <c r="G51" i="1"/>
  <c r="W52" i="1"/>
  <c r="O54" i="1"/>
  <c r="U55" i="1"/>
  <c r="Q56" i="1"/>
  <c r="I58" i="1"/>
  <c r="K60" i="1"/>
  <c r="Z49" i="1"/>
  <c r="AL51" i="1"/>
  <c r="P54" i="1"/>
  <c r="H56" i="1"/>
  <c r="G49" i="1"/>
  <c r="W50" i="1"/>
  <c r="AC51" i="1"/>
  <c r="K53" i="1"/>
  <c r="AA54" i="1"/>
  <c r="S56" i="1"/>
  <c r="W60" i="1"/>
  <c r="AG60" i="1"/>
  <c r="I61" i="1"/>
  <c r="AC61" i="1"/>
  <c r="O62" i="1"/>
  <c r="K63" i="1"/>
  <c r="AE63" i="1"/>
  <c r="G64" i="1"/>
  <c r="Q64" i="1"/>
  <c r="AA64" i="1"/>
  <c r="AK64" i="1"/>
  <c r="AJ51" i="1"/>
  <c r="R53" i="1"/>
  <c r="AJ56" i="1"/>
  <c r="X59" i="1"/>
  <c r="Y49" i="1"/>
  <c r="AK51" i="1"/>
  <c r="S53" i="1"/>
  <c r="Y54" i="1"/>
  <c r="G56" i="1"/>
  <c r="AG57" i="1"/>
  <c r="E59" i="1"/>
  <c r="Y59" i="1"/>
  <c r="U60" i="1"/>
  <c r="AJ49" i="1"/>
  <c r="V50" i="1"/>
  <c r="R51" i="1"/>
  <c r="AH52" i="1"/>
  <c r="AD53" i="1"/>
  <c r="AJ54" i="1"/>
  <c r="AA49" i="1"/>
  <c r="AK54" i="1"/>
  <c r="AI57" i="1"/>
  <c r="AE58" i="1"/>
  <c r="G59" i="1"/>
  <c r="Q59" i="1"/>
  <c r="AA59" i="1"/>
  <c r="M60" i="1"/>
  <c r="S61" i="1"/>
  <c r="E62" i="1"/>
  <c r="Y62" i="1"/>
  <c r="AI62" i="1"/>
  <c r="U63" i="1"/>
  <c r="F51" i="1"/>
  <c r="Z56" i="1"/>
  <c r="AK49" i="1"/>
  <c r="I51" i="1"/>
  <c r="S51" i="1"/>
  <c r="O52" i="1"/>
  <c r="Y52" i="1"/>
  <c r="AI52" i="1"/>
  <c r="AE53" i="1"/>
  <c r="G54" i="1"/>
  <c r="Q54" i="1"/>
  <c r="M55" i="1"/>
  <c r="W55" i="1"/>
  <c r="AG55" i="1"/>
  <c r="I56" i="1"/>
  <c r="E57" i="1"/>
  <c r="O57" i="1"/>
  <c r="Y57" i="1"/>
  <c r="K58" i="1"/>
  <c r="U58" i="1"/>
  <c r="AK59" i="1"/>
  <c r="H49" i="1"/>
  <c r="R49" i="1"/>
  <c r="AB49" i="1"/>
  <c r="AD51" i="1"/>
  <c r="F52" i="1"/>
  <c r="P52" i="1"/>
  <c r="AJ52" i="1"/>
  <c r="V53" i="1"/>
  <c r="AB54" i="1"/>
  <c r="AL54" i="1"/>
  <c r="X55" i="1"/>
  <c r="AH55" i="1"/>
  <c r="J56" i="1"/>
  <c r="T56" i="1"/>
  <c r="AD56" i="1"/>
  <c r="F57" i="1"/>
  <c r="AJ57" i="1"/>
  <c r="V58" i="1"/>
  <c r="H59" i="1"/>
  <c r="R59" i="1"/>
  <c r="AB59" i="1"/>
  <c r="N60" i="1"/>
  <c r="X60" i="1"/>
  <c r="AH60" i="1"/>
  <c r="J61" i="1"/>
  <c r="T61" i="1"/>
  <c r="AD61" i="1"/>
  <c r="P62" i="1"/>
  <c r="Z62" i="1"/>
  <c r="V63" i="1"/>
  <c r="AF63" i="1"/>
  <c r="H64" i="1"/>
  <c r="R64" i="1"/>
  <c r="AL64" i="1"/>
  <c r="N49" i="1"/>
  <c r="T55" i="1"/>
  <c r="AL58" i="1"/>
  <c r="K50" i="1"/>
  <c r="AG52" i="1"/>
  <c r="E54" i="1"/>
  <c r="AK56" i="1"/>
  <c r="AI59" i="1"/>
  <c r="F49" i="1"/>
  <c r="AF50" i="1"/>
  <c r="AB51" i="1"/>
  <c r="X52" i="1"/>
  <c r="T53" i="1"/>
  <c r="L55" i="1"/>
  <c r="R56" i="1"/>
  <c r="Q49" i="1"/>
  <c r="M50" i="1"/>
  <c r="AG50" i="1"/>
  <c r="E52" i="1"/>
  <c r="U53" i="1"/>
  <c r="AC56" i="1"/>
  <c r="AL49" i="1"/>
  <c r="N50" i="1"/>
  <c r="X50" i="1"/>
  <c r="AH50" i="1"/>
  <c r="J51" i="1"/>
  <c r="T51" i="1"/>
  <c r="Z52" i="1"/>
  <c r="L53" i="1"/>
  <c r="AF53" i="1"/>
  <c r="H54" i="1"/>
  <c r="R54" i="1"/>
  <c r="N55" i="1"/>
  <c r="P57" i="1"/>
  <c r="Z57" i="1"/>
  <c r="L58" i="1"/>
  <c r="AF58" i="1"/>
  <c r="AL59" i="1"/>
  <c r="F62" i="1"/>
  <c r="AJ62" i="1"/>
  <c r="L63" i="1"/>
  <c r="AB64" i="1"/>
  <c r="E49" i="1"/>
  <c r="AK8" i="1"/>
  <c r="AK11" i="1"/>
  <c r="AK13" i="1"/>
  <c r="AK20" i="1"/>
  <c r="AK18" i="1"/>
  <c r="AL6" i="1"/>
  <c r="D36" i="1"/>
  <c r="D37" i="1"/>
  <c r="D38" i="1"/>
  <c r="D32" i="1"/>
  <c r="D33" i="1"/>
  <c r="D39" i="1"/>
  <c r="D43" i="1"/>
  <c r="D40" i="1"/>
  <c r="D31" i="1"/>
  <c r="D41" i="1"/>
  <c r="D42" i="1"/>
  <c r="D44" i="1"/>
  <c r="D45" i="1"/>
  <c r="D34" i="1"/>
  <c r="D35" i="1"/>
  <c r="D30" i="1"/>
  <c r="D8" i="1"/>
  <c r="AF18" i="1"/>
  <c r="AI21" i="1"/>
  <c r="AI11" i="1"/>
  <c r="AF8" i="1"/>
  <c r="AH21" i="1"/>
  <c r="T13" i="1"/>
  <c r="P18" i="1"/>
  <c r="Q20" i="1"/>
  <c r="S21" i="1"/>
  <c r="Q10" i="1"/>
  <c r="N17" i="1"/>
  <c r="T23" i="1"/>
  <c r="Q18" i="1"/>
  <c r="T21" i="1"/>
  <c r="G14" i="1"/>
  <c r="G19" i="1"/>
  <c r="H14" i="1"/>
  <c r="H9" i="1"/>
  <c r="G20" i="1"/>
  <c r="H10" i="1"/>
  <c r="H15" i="1"/>
  <c r="H20" i="1"/>
  <c r="H19" i="1"/>
  <c r="G9" i="1"/>
  <c r="G10" i="1"/>
  <c r="G21" i="1"/>
  <c r="G15" i="1"/>
  <c r="G11" i="1"/>
  <c r="G16" i="1"/>
  <c r="H11" i="1"/>
  <c r="H22" i="1"/>
  <c r="H16" i="1"/>
  <c r="G22" i="1"/>
  <c r="H17" i="1"/>
  <c r="G8" i="1"/>
  <c r="G13" i="1"/>
  <c r="G18" i="1"/>
  <c r="G23" i="1"/>
  <c r="H21" i="1"/>
  <c r="G12" i="1"/>
  <c r="G17" i="1"/>
  <c r="H12" i="1"/>
  <c r="H8" i="1"/>
  <c r="H13" i="1"/>
  <c r="H18" i="1"/>
  <c r="H23" i="1"/>
  <c r="E10" i="1"/>
  <c r="E14" i="1"/>
  <c r="E9" i="1"/>
  <c r="E16" i="1"/>
  <c r="E20" i="1"/>
  <c r="E18" i="1"/>
  <c r="E19" i="1"/>
  <c r="E15" i="1"/>
  <c r="E17" i="1"/>
  <c r="E21" i="1"/>
  <c r="E11" i="1"/>
  <c r="E12" i="1"/>
  <c r="E22" i="1"/>
  <c r="E13" i="1"/>
  <c r="E23" i="1"/>
  <c r="E8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AH14" i="1" a="1"/>
  <c r="AI20" i="1" a="1"/>
  <c r="AI8" i="1" a="1"/>
  <c r="V16" i="1" a="1"/>
  <c r="V15" i="1" a="1"/>
  <c r="AB11" i="1" a="1"/>
  <c r="Y10" i="1" a="1"/>
  <c r="Q16" i="1" a="1"/>
  <c r="AI9" i="1" a="1"/>
  <c r="K21" i="1" a="1"/>
  <c r="K23" i="1" a="1"/>
  <c r="AF20" i="1" a="1"/>
  <c r="N21" i="1" a="1"/>
  <c r="K19" i="1" a="1"/>
  <c r="AF11" i="1" a="1"/>
  <c r="AF14" i="1" a="1"/>
  <c r="AF23" i="1" a="1"/>
  <c r="AB20" i="1" a="1"/>
  <c r="AC20" i="1" a="1"/>
  <c r="Y14" i="1" a="1"/>
  <c r="V12" i="1" a="1"/>
  <c r="Y20" i="1" a="1"/>
  <c r="Q14" i="1" a="1"/>
  <c r="AE20" i="1" a="1"/>
  <c r="AI18" i="1" a="1"/>
  <c r="AE18" i="1" a="1"/>
  <c r="W18" i="1" a="1"/>
  <c r="AC8" i="1" a="1"/>
  <c r="V13" i="1" a="1"/>
  <c r="AB15" i="1" a="1"/>
  <c r="Y21" i="1" a="1"/>
  <c r="N16" i="1" a="1"/>
  <c r="N10" i="1" a="1"/>
  <c r="S20" i="1" a="1"/>
  <c r="T11" i="1" a="1"/>
  <c r="J18" i="1" a="1"/>
  <c r="J16" i="1" a="1"/>
  <c r="N23" i="1" a="1"/>
  <c r="Q22" i="1" a="1"/>
  <c r="M21" i="1" a="1"/>
  <c r="K13" i="1" a="1"/>
  <c r="P14" i="1" a="1"/>
  <c r="AK17" i="1" a="1"/>
  <c r="AH12" i="1" a="1"/>
  <c r="AH23" i="1" a="1"/>
  <c r="AF13" i="1" a="1"/>
  <c r="AB22" i="1" a="1"/>
  <c r="Z19" i="1" a="1"/>
  <c r="Z15" i="1" a="1"/>
  <c r="Z22" i="1" a="1"/>
  <c r="W19" i="1" a="1"/>
  <c r="N12" i="1" a="1"/>
  <c r="J10" i="1" a="1"/>
  <c r="V22" i="1" a="1"/>
  <c r="S13" i="1" a="1"/>
  <c r="J19" i="1" a="1"/>
  <c r="K14" i="1" a="1"/>
  <c r="AK14" i="1" a="1"/>
  <c r="AI13" i="1" a="1"/>
  <c r="AE22" i="1" a="1"/>
  <c r="AE17" i="1" a="1"/>
  <c r="AC12" i="1" a="1"/>
  <c r="W16" i="1" a="1"/>
  <c r="AC23" i="1" a="1"/>
  <c r="Z13" i="1" a="1"/>
  <c r="Q8" i="1" a="1"/>
  <c r="M19" i="1" a="1"/>
  <c r="AH19" i="1" a="1"/>
  <c r="M9" i="1" a="1"/>
  <c r="J21" i="1" a="1"/>
  <c r="M23" i="1" a="1"/>
  <c r="AK12" i="1" a="1"/>
  <c r="AE15" i="1" a="1"/>
  <c r="AE9" i="1" a="1"/>
  <c r="AE13" i="1" a="1"/>
  <c r="AC22" i="1" a="1"/>
  <c r="AB8" i="1" a="1"/>
  <c r="Z18" i="1" a="1"/>
  <c r="V23" i="1" a="1"/>
  <c r="AC21" i="1" a="1"/>
  <c r="M14" i="1" a="1"/>
  <c r="AK9" i="1" a="1"/>
  <c r="AK16" i="1" a="1"/>
  <c r="AI17" i="1" a="1"/>
  <c r="AE19" i="1" a="1"/>
  <c r="AF21" i="1" a="1"/>
  <c r="Z8" i="1" a="1"/>
  <c r="V21" i="1" a="1"/>
  <c r="V9" i="1" a="1"/>
  <c r="V20" i="1" a="1"/>
  <c r="V19" i="1" a="1"/>
  <c r="P17" i="1" a="1"/>
  <c r="M10" i="1" a="1"/>
  <c r="T19" i="1" a="1"/>
  <c r="J22" i="1" a="1"/>
  <c r="T12" i="1" a="1"/>
  <c r="AK10" i="1" a="1"/>
  <c r="AF15" i="1" a="1"/>
  <c r="AH8" i="1" a="1"/>
  <c r="AI10" i="1" a="1"/>
  <c r="AK21" i="1" a="1"/>
  <c r="AH17" i="1" a="1"/>
  <c r="AH9" i="1" a="1"/>
  <c r="AH16" i="1" a="1"/>
  <c r="AC16" i="1" a="1"/>
  <c r="V18" i="1" a="1"/>
  <c r="Z10" i="1" a="1"/>
  <c r="Z16" i="1" a="1"/>
  <c r="AK15" i="1" a="1"/>
  <c r="AH20" i="1" a="1"/>
  <c r="AE23" i="1" a="1"/>
  <c r="AI19" i="1" a="1"/>
  <c r="AC11" i="1" a="1"/>
  <c r="W21" i="1" a="1"/>
  <c r="V17" i="1" a="1"/>
  <c r="W20" i="1" a="1"/>
  <c r="S8" i="1" a="1"/>
  <c r="T15" i="1" a="1"/>
  <c r="Q13" i="1" a="1"/>
  <c r="S22" i="1" a="1"/>
  <c r="P23" i="1" a="1"/>
  <c r="J13" i="1" a="1"/>
  <c r="M20" i="1" a="1"/>
  <c r="P11" i="1" a="1"/>
  <c r="J9" i="1" a="1"/>
  <c r="AF16" i="1" a="1"/>
  <c r="AC17" i="1" a="1"/>
  <c r="Z23" i="1" a="1"/>
  <c r="AB23" i="1" a="1"/>
  <c r="Y22" i="1" a="1"/>
  <c r="N19" i="1" a="1"/>
  <c r="K8" i="1" a="1"/>
  <c r="T8" i="1" a="1"/>
  <c r="K9" i="1" a="1"/>
  <c r="V10" i="1" a="1"/>
  <c r="P22" i="1" a="1"/>
  <c r="Q19" i="1" a="1"/>
  <c r="AK22" i="1" a="1"/>
  <c r="AI12" i="1" a="1"/>
  <c r="AE8" i="1" a="1"/>
  <c r="AE21" i="1" a="1"/>
  <c r="Y23" i="1" a="1"/>
  <c r="W10" i="1" a="1"/>
  <c r="W23" i="1" a="1"/>
  <c r="Y16" i="1" a="1"/>
  <c r="T17" i="1" a="1"/>
  <c r="N11" i="1" a="1"/>
  <c r="T16" i="1" a="1"/>
  <c r="S19" i="1" a="1"/>
  <c r="M12" i="1" a="1"/>
  <c r="K16" i="1" a="1"/>
  <c r="AK23" i="1" a="1"/>
  <c r="AH22" i="1" a="1"/>
  <c r="AB19" i="1" a="1"/>
  <c r="V11" i="1" a="1"/>
  <c r="N15" i="1" a="1"/>
  <c r="AH13" i="1" a="1"/>
  <c r="AH10" i="1" a="1"/>
  <c r="AC10" i="1" a="1"/>
  <c r="AB13" i="1" a="1"/>
  <c r="AC18" i="1" a="1"/>
  <c r="M15" i="1" a="1"/>
  <c r="T10" i="1" a="1"/>
  <c r="Q15" i="1" a="1"/>
  <c r="AC14" i="1" a="1"/>
  <c r="S17" i="1" a="1"/>
  <c r="S15" i="1" a="1"/>
  <c r="S12" i="1" a="1"/>
  <c r="Q21" i="1" a="1"/>
  <c r="K10" i="1" a="1"/>
  <c r="P12" i="1" a="1"/>
  <c r="P13" i="1" a="1"/>
  <c r="AB12" i="1" a="1"/>
  <c r="Q17" i="1" a="1"/>
  <c r="J14" i="1" a="1"/>
  <c r="AC15" i="1" a="1"/>
  <c r="AK19" i="1" a="1"/>
  <c r="AI15" i="1" a="1"/>
  <c r="AB9" i="1" a="1"/>
  <c r="AE12" i="1" a="1"/>
  <c r="AH18" i="1" a="1"/>
  <c r="AH11" i="1" a="1"/>
  <c r="Z17" i="1" a="1"/>
  <c r="AB21" i="1" a="1"/>
  <c r="AB16" i="1" a="1"/>
  <c r="V8" i="1" a="1"/>
  <c r="AC13" i="1" a="1"/>
  <c r="T9" i="1" a="1"/>
  <c r="M11" i="1" a="1"/>
  <c r="P10" i="1" a="1"/>
  <c r="T22" i="1" a="1"/>
  <c r="Q12" i="1" a="1"/>
  <c r="J11" i="1" a="1"/>
  <c r="AB17" i="1" a="1"/>
  <c r="AB14" i="1" a="1"/>
  <c r="AB18" i="1" a="1"/>
  <c r="M18" i="1" a="1"/>
  <c r="P21" i="1" a="1"/>
  <c r="T20" i="1" a="1"/>
  <c r="T14" i="1" a="1"/>
  <c r="K22" i="1" a="1"/>
  <c r="K17" i="1" a="1"/>
  <c r="S18" i="1" a="1"/>
  <c r="W8" i="1" a="1"/>
  <c r="AB10" i="1" a="1"/>
  <c r="S9" i="1" a="1"/>
  <c r="AI14" i="1" a="1"/>
  <c r="AF10" i="1" a="1"/>
  <c r="AI22" i="1" a="1"/>
  <c r="W14" i="1" a="1"/>
  <c r="Y18" i="1" a="1"/>
  <c r="P8" i="1" a="1"/>
  <c r="S10" i="1" a="1"/>
  <c r="K11" i="1" a="1"/>
  <c r="J20" i="1" a="1"/>
  <c r="N9" i="1" a="1"/>
  <c r="AF9" i="1" a="1"/>
  <c r="W12" i="1" a="1"/>
  <c r="Y13" i="1" a="1"/>
  <c r="Q23" i="1" a="1"/>
  <c r="N20" i="1" a="1"/>
  <c r="AI16" i="1" a="1"/>
  <c r="AI23" i="1" a="1"/>
  <c r="AH15" i="1" a="1"/>
  <c r="Y9" i="1" a="1"/>
  <c r="Y17" i="1" a="1"/>
  <c r="Y8" i="1" a="1"/>
  <c r="W11" i="1" a="1"/>
  <c r="Z12" i="1" a="1"/>
  <c r="N18" i="1" a="1"/>
  <c r="P16" i="1" a="1"/>
  <c r="Q11" i="1" a="1"/>
  <c r="K12" i="1" a="1"/>
  <c r="K18" i="1" a="1"/>
  <c r="J12" i="1" a="1"/>
  <c r="S11" i="1" a="1"/>
  <c r="J17" i="1" a="1"/>
  <c r="AE16" i="1" a="1"/>
  <c r="M22" i="1" a="1"/>
  <c r="M16" i="1" a="1"/>
  <c r="P15" i="1" a="1"/>
  <c r="P20" i="1" a="1"/>
  <c r="AE11" i="1" a="1"/>
  <c r="AE14" i="1" a="1"/>
  <c r="AF12" i="1" a="1"/>
  <c r="W15" i="1" a="1"/>
  <c r="V14" i="1" a="1"/>
  <c r="AC19" i="1" a="1"/>
  <c r="W9" i="1" a="1"/>
  <c r="Z20" i="1" a="1"/>
  <c r="M13" i="1" a="1"/>
  <c r="N13" i="1" a="1"/>
  <c r="S16" i="1" a="1"/>
  <c r="Q9" i="1" a="1"/>
  <c r="W13" i="1" a="1"/>
  <c r="K15" i="1" a="1"/>
  <c r="AF17" i="1" a="1"/>
  <c r="AE10" i="1" a="1"/>
  <c r="AF19" i="1" a="1"/>
  <c r="Y19" i="1" a="1"/>
  <c r="Z9" i="1" a="1"/>
  <c r="W22" i="1" a="1"/>
  <c r="AC9" i="1" a="1"/>
  <c r="Z21" i="1" a="1"/>
  <c r="N8" i="1" a="1"/>
  <c r="S14" i="1" a="1"/>
  <c r="M17" i="1" a="1"/>
  <c r="S23" i="1" a="1"/>
  <c r="J8" i="1" a="1"/>
  <c r="J23" i="1" a="1"/>
  <c r="Z14" i="1" a="1"/>
  <c r="N14" i="1" a="1"/>
  <c r="P9" i="1" a="1"/>
  <c r="P19" i="1" a="1"/>
  <c r="K20" i="1" a="1"/>
  <c r="J15" i="1" a="1"/>
  <c r="AF22" i="1" a="1"/>
  <c r="Y11" i="1" a="1"/>
  <c r="Z11" i="1" a="1"/>
  <c r="Y15" i="1" a="1"/>
  <c r="W17" i="1" a="1"/>
  <c r="Y12" i="1" a="1"/>
  <c r="M8" i="1" a="1"/>
  <c r="T18" i="1" a="1"/>
  <c r="N22" i="1" a="1"/>
  <c r="AH31" i="1" l="1"/>
  <c r="N31" i="1"/>
  <c r="AG31" i="1"/>
  <c r="M31" i="1"/>
  <c r="AF31" i="1"/>
  <c r="L31" i="1"/>
  <c r="AE31" i="1"/>
  <c r="K31" i="1"/>
  <c r="AD31" i="1"/>
  <c r="J31" i="1"/>
  <c r="X31" i="1"/>
  <c r="AC31" i="1"/>
  <c r="I31" i="1"/>
  <c r="AB31" i="1"/>
  <c r="H31" i="1"/>
  <c r="AA31" i="1"/>
  <c r="G31" i="1"/>
  <c r="Z31" i="1"/>
  <c r="F31" i="1"/>
  <c r="W31" i="1"/>
  <c r="V31" i="1"/>
  <c r="U31" i="1"/>
  <c r="T31" i="1"/>
  <c r="S31" i="1"/>
  <c r="Y31" i="1"/>
  <c r="AL31" i="1"/>
  <c r="R31" i="1"/>
  <c r="AK31" i="1"/>
  <c r="Q31" i="1"/>
  <c r="E31" i="1"/>
  <c r="AJ31" i="1"/>
  <c r="P31" i="1"/>
  <c r="AI31" i="1"/>
  <c r="O31" i="1"/>
  <c r="AB40" i="1"/>
  <c r="H40" i="1"/>
  <c r="AA40" i="1"/>
  <c r="G40" i="1"/>
  <c r="R40" i="1"/>
  <c r="Z40" i="1"/>
  <c r="F40" i="1"/>
  <c r="Y40" i="1"/>
  <c r="E40" i="1"/>
  <c r="S40" i="1"/>
  <c r="X40" i="1"/>
  <c r="AL40" i="1"/>
  <c r="W40" i="1"/>
  <c r="V40" i="1"/>
  <c r="U40" i="1"/>
  <c r="T40" i="1"/>
  <c r="AK40" i="1"/>
  <c r="Q40" i="1"/>
  <c r="AJ40" i="1"/>
  <c r="P40" i="1"/>
  <c r="AI40" i="1"/>
  <c r="O40" i="1"/>
  <c r="AH40" i="1"/>
  <c r="N40" i="1"/>
  <c r="AG40" i="1"/>
  <c r="M40" i="1"/>
  <c r="AF40" i="1"/>
  <c r="L40" i="1"/>
  <c r="AE40" i="1"/>
  <c r="K40" i="1"/>
  <c r="AD40" i="1"/>
  <c r="J40" i="1"/>
  <c r="AC40" i="1"/>
  <c r="I40" i="1"/>
  <c r="AH41" i="1"/>
  <c r="N41" i="1"/>
  <c r="AG41" i="1"/>
  <c r="M41" i="1"/>
  <c r="E41" i="1"/>
  <c r="AF41" i="1"/>
  <c r="L41" i="1"/>
  <c r="AE41" i="1"/>
  <c r="K41" i="1"/>
  <c r="AD41" i="1"/>
  <c r="J41" i="1"/>
  <c r="Y41" i="1"/>
  <c r="AC41" i="1"/>
  <c r="I41" i="1"/>
  <c r="AB41" i="1"/>
  <c r="H41" i="1"/>
  <c r="AA41" i="1"/>
  <c r="G41" i="1"/>
  <c r="Z41" i="1"/>
  <c r="F41" i="1"/>
  <c r="W41" i="1"/>
  <c r="V41" i="1"/>
  <c r="U41" i="1"/>
  <c r="T41" i="1"/>
  <c r="S41" i="1"/>
  <c r="AL41" i="1"/>
  <c r="R41" i="1"/>
  <c r="AK41" i="1"/>
  <c r="Q41" i="1"/>
  <c r="AJ41" i="1"/>
  <c r="P41" i="1"/>
  <c r="AI41" i="1"/>
  <c r="O41" i="1"/>
  <c r="X41" i="1"/>
  <c r="T32" i="1"/>
  <c r="AE32" i="1"/>
  <c r="S32" i="1"/>
  <c r="AL32" i="1"/>
  <c r="R32" i="1"/>
  <c r="AK32" i="1"/>
  <c r="Q32" i="1"/>
  <c r="J32" i="1"/>
  <c r="AJ32" i="1"/>
  <c r="P32" i="1"/>
  <c r="K32" i="1"/>
  <c r="AI32" i="1"/>
  <c r="O32" i="1"/>
  <c r="AH32" i="1"/>
  <c r="N32" i="1"/>
  <c r="AG32" i="1"/>
  <c r="M32" i="1"/>
  <c r="AF32" i="1"/>
  <c r="L32" i="1"/>
  <c r="AC32" i="1"/>
  <c r="I32" i="1"/>
  <c r="AB32" i="1"/>
  <c r="H32" i="1"/>
  <c r="AA32" i="1"/>
  <c r="G32" i="1"/>
  <c r="Z32" i="1"/>
  <c r="F32" i="1"/>
  <c r="AD32" i="1"/>
  <c r="Y32" i="1"/>
  <c r="E32" i="1"/>
  <c r="X32" i="1"/>
  <c r="W32" i="1"/>
  <c r="V32" i="1"/>
  <c r="U32" i="1"/>
  <c r="Z33" i="1"/>
  <c r="F33" i="1"/>
  <c r="P33" i="1"/>
  <c r="Y33" i="1"/>
  <c r="E33" i="1"/>
  <c r="X33" i="1"/>
  <c r="W33" i="1"/>
  <c r="V33" i="1"/>
  <c r="U33" i="1"/>
  <c r="T33" i="1"/>
  <c r="S33" i="1"/>
  <c r="AK33" i="1"/>
  <c r="AL33" i="1"/>
  <c r="R33" i="1"/>
  <c r="AI33" i="1"/>
  <c r="O33" i="1"/>
  <c r="AJ33" i="1"/>
  <c r="AH33" i="1"/>
  <c r="N33" i="1"/>
  <c r="AG33" i="1"/>
  <c r="M33" i="1"/>
  <c r="AF33" i="1"/>
  <c r="L33" i="1"/>
  <c r="AE33" i="1"/>
  <c r="K33" i="1"/>
  <c r="AD33" i="1"/>
  <c r="J33" i="1"/>
  <c r="AC33" i="1"/>
  <c r="I33" i="1"/>
  <c r="AB33" i="1"/>
  <c r="H33" i="1"/>
  <c r="AA33" i="1"/>
  <c r="G33" i="1"/>
  <c r="Q33" i="1"/>
  <c r="AJ38" i="1"/>
  <c r="P38" i="1"/>
  <c r="G38" i="1"/>
  <c r="AI38" i="1"/>
  <c r="O38" i="1"/>
  <c r="AH38" i="1"/>
  <c r="N38" i="1"/>
  <c r="AG38" i="1"/>
  <c r="M38" i="1"/>
  <c r="AF38" i="1"/>
  <c r="L38" i="1"/>
  <c r="AE38" i="1"/>
  <c r="K38" i="1"/>
  <c r="AD38" i="1"/>
  <c r="J38" i="1"/>
  <c r="AC38" i="1"/>
  <c r="I38" i="1"/>
  <c r="AB38" i="1"/>
  <c r="H38" i="1"/>
  <c r="Y38" i="1"/>
  <c r="E38" i="1"/>
  <c r="X38" i="1"/>
  <c r="Z38" i="1"/>
  <c r="W38" i="1"/>
  <c r="V38" i="1"/>
  <c r="F38" i="1"/>
  <c r="U38" i="1"/>
  <c r="T38" i="1"/>
  <c r="S38" i="1"/>
  <c r="AA38" i="1"/>
  <c r="AL38" i="1"/>
  <c r="R38" i="1"/>
  <c r="AK38" i="1"/>
  <c r="Q38" i="1"/>
  <c r="Z43" i="1"/>
  <c r="F43" i="1"/>
  <c r="Y43" i="1"/>
  <c r="E43" i="1"/>
  <c r="X43" i="1"/>
  <c r="AK43" i="1"/>
  <c r="W43" i="1"/>
  <c r="V43" i="1"/>
  <c r="U43" i="1"/>
  <c r="T43" i="1"/>
  <c r="Q43" i="1"/>
  <c r="S43" i="1"/>
  <c r="AJ43" i="1"/>
  <c r="AL43" i="1"/>
  <c r="R43" i="1"/>
  <c r="AI43" i="1"/>
  <c r="O43" i="1"/>
  <c r="AH43" i="1"/>
  <c r="N43" i="1"/>
  <c r="AG43" i="1"/>
  <c r="M43" i="1"/>
  <c r="AF43" i="1"/>
  <c r="L43" i="1"/>
  <c r="AE43" i="1"/>
  <c r="K43" i="1"/>
  <c r="AD43" i="1"/>
  <c r="J43" i="1"/>
  <c r="AC43" i="1"/>
  <c r="I43" i="1"/>
  <c r="P43" i="1"/>
  <c r="AB43" i="1"/>
  <c r="H43" i="1"/>
  <c r="AA43" i="1"/>
  <c r="G43" i="1"/>
  <c r="V39" i="1"/>
  <c r="AF39" i="1"/>
  <c r="U39" i="1"/>
  <c r="T39" i="1"/>
  <c r="S39" i="1"/>
  <c r="AL39" i="1"/>
  <c r="R39" i="1"/>
  <c r="AK39" i="1"/>
  <c r="Q39" i="1"/>
  <c r="AJ39" i="1"/>
  <c r="P39" i="1"/>
  <c r="AI39" i="1"/>
  <c r="O39" i="1"/>
  <c r="AH39" i="1"/>
  <c r="N39" i="1"/>
  <c r="AE39" i="1"/>
  <c r="K39" i="1"/>
  <c r="AD39" i="1"/>
  <c r="J39" i="1"/>
  <c r="AC39" i="1"/>
  <c r="I39" i="1"/>
  <c r="L39" i="1"/>
  <c r="AB39" i="1"/>
  <c r="H39" i="1"/>
  <c r="AA39" i="1"/>
  <c r="G39" i="1"/>
  <c r="M39" i="1"/>
  <c r="Z39" i="1"/>
  <c r="F39" i="1"/>
  <c r="Y39" i="1"/>
  <c r="E39" i="1"/>
  <c r="X39" i="1"/>
  <c r="W39" i="1"/>
  <c r="AG39" i="1"/>
  <c r="AD37" i="1"/>
  <c r="J37" i="1"/>
  <c r="T37" i="1"/>
  <c r="AC37" i="1"/>
  <c r="I37" i="1"/>
  <c r="AB37" i="1"/>
  <c r="H37" i="1"/>
  <c r="AA37" i="1"/>
  <c r="G37" i="1"/>
  <c r="Z37" i="1"/>
  <c r="F37" i="1"/>
  <c r="Y37" i="1"/>
  <c r="E37" i="1"/>
  <c r="X37" i="1"/>
  <c r="W37" i="1"/>
  <c r="V37" i="1"/>
  <c r="S37" i="1"/>
  <c r="AL37" i="1"/>
  <c r="R37" i="1"/>
  <c r="AK37" i="1"/>
  <c r="Q37" i="1"/>
  <c r="AJ37" i="1"/>
  <c r="P37" i="1"/>
  <c r="AI37" i="1"/>
  <c r="O37" i="1"/>
  <c r="AH37" i="1"/>
  <c r="N37" i="1"/>
  <c r="AG37" i="1"/>
  <c r="M37" i="1"/>
  <c r="AF37" i="1"/>
  <c r="L37" i="1"/>
  <c r="AE37" i="1"/>
  <c r="K37" i="1"/>
  <c r="U37" i="1"/>
  <c r="X36" i="1"/>
  <c r="W36" i="1"/>
  <c r="V36" i="1"/>
  <c r="U36" i="1"/>
  <c r="T36" i="1"/>
  <c r="AI36" i="1"/>
  <c r="S36" i="1"/>
  <c r="AL36" i="1"/>
  <c r="R36" i="1"/>
  <c r="AK36" i="1"/>
  <c r="Q36" i="1"/>
  <c r="N36" i="1"/>
  <c r="AJ36" i="1"/>
  <c r="P36" i="1"/>
  <c r="AG36" i="1"/>
  <c r="M36" i="1"/>
  <c r="AF36" i="1"/>
  <c r="L36" i="1"/>
  <c r="AE36" i="1"/>
  <c r="K36" i="1"/>
  <c r="AD36" i="1"/>
  <c r="J36" i="1"/>
  <c r="AC36" i="1"/>
  <c r="I36" i="1"/>
  <c r="O36" i="1"/>
  <c r="AH36" i="1"/>
  <c r="AB36" i="1"/>
  <c r="H36" i="1"/>
  <c r="AA36" i="1"/>
  <c r="G36" i="1"/>
  <c r="Z36" i="1"/>
  <c r="F36" i="1"/>
  <c r="Y36" i="1"/>
  <c r="E36" i="1"/>
  <c r="AB30" i="1"/>
  <c r="H30" i="1"/>
  <c r="AA30" i="1"/>
  <c r="G30" i="1"/>
  <c r="Z30" i="1"/>
  <c r="F30" i="1"/>
  <c r="Y30" i="1"/>
  <c r="X30" i="1"/>
  <c r="W30" i="1"/>
  <c r="V30" i="1"/>
  <c r="U30" i="1"/>
  <c r="T30" i="1"/>
  <c r="AK30" i="1"/>
  <c r="Q30" i="1"/>
  <c r="AJ30" i="1"/>
  <c r="P30" i="1"/>
  <c r="AI30" i="1"/>
  <c r="O30" i="1"/>
  <c r="R30" i="1"/>
  <c r="AH30" i="1"/>
  <c r="N30" i="1"/>
  <c r="AG30" i="1"/>
  <c r="M30" i="1"/>
  <c r="AF30" i="1"/>
  <c r="L30" i="1"/>
  <c r="AE30" i="1"/>
  <c r="K30" i="1"/>
  <c r="AD30" i="1"/>
  <c r="J30" i="1"/>
  <c r="AC30" i="1"/>
  <c r="I30" i="1"/>
  <c r="S30" i="1"/>
  <c r="AL30" i="1"/>
  <c r="AF34" i="1"/>
  <c r="L34" i="1"/>
  <c r="AE34" i="1"/>
  <c r="K34" i="1"/>
  <c r="AD34" i="1"/>
  <c r="J34" i="1"/>
  <c r="V34" i="1"/>
  <c r="AC34" i="1"/>
  <c r="I34" i="1"/>
  <c r="W34" i="1"/>
  <c r="AB34" i="1"/>
  <c r="H34" i="1"/>
  <c r="AA34" i="1"/>
  <c r="G34" i="1"/>
  <c r="Z34" i="1"/>
  <c r="F34" i="1"/>
  <c r="Y34" i="1"/>
  <c r="E34" i="1"/>
  <c r="X34" i="1"/>
  <c r="U34" i="1"/>
  <c r="T34" i="1"/>
  <c r="S34" i="1"/>
  <c r="AL34" i="1"/>
  <c r="R34" i="1"/>
  <c r="AK34" i="1"/>
  <c r="Q34" i="1"/>
  <c r="AJ34" i="1"/>
  <c r="P34" i="1"/>
  <c r="AI34" i="1"/>
  <c r="O34" i="1"/>
  <c r="AH34" i="1"/>
  <c r="N34" i="1"/>
  <c r="AG34" i="1"/>
  <c r="M34" i="1"/>
  <c r="AF44" i="1"/>
  <c r="L44" i="1"/>
  <c r="AE44" i="1"/>
  <c r="K44" i="1"/>
  <c r="AD44" i="1"/>
  <c r="J44" i="1"/>
  <c r="AC44" i="1"/>
  <c r="I44" i="1"/>
  <c r="AB44" i="1"/>
  <c r="H44" i="1"/>
  <c r="AA44" i="1"/>
  <c r="G44" i="1"/>
  <c r="Z44" i="1"/>
  <c r="F44" i="1"/>
  <c r="Y44" i="1"/>
  <c r="E44" i="1"/>
  <c r="X44" i="1"/>
  <c r="W44" i="1"/>
  <c r="U44" i="1"/>
  <c r="T44" i="1"/>
  <c r="S44" i="1"/>
  <c r="AL44" i="1"/>
  <c r="R44" i="1"/>
  <c r="AK44" i="1"/>
  <c r="Q44" i="1"/>
  <c r="V44" i="1"/>
  <c r="AJ44" i="1"/>
  <c r="P44" i="1"/>
  <c r="AI44" i="1"/>
  <c r="O44" i="1"/>
  <c r="AH44" i="1"/>
  <c r="N44" i="1"/>
  <c r="AG44" i="1"/>
  <c r="M44" i="1"/>
  <c r="AL35" i="1"/>
  <c r="R35" i="1"/>
  <c r="AK35" i="1"/>
  <c r="Q35" i="1"/>
  <c r="I35" i="1"/>
  <c r="H35" i="1"/>
  <c r="AJ35" i="1"/>
  <c r="P35" i="1"/>
  <c r="AC35" i="1"/>
  <c r="AI35" i="1"/>
  <c r="O35" i="1"/>
  <c r="AH35" i="1"/>
  <c r="N35" i="1"/>
  <c r="AG35" i="1"/>
  <c r="M35" i="1"/>
  <c r="AF35" i="1"/>
  <c r="L35" i="1"/>
  <c r="AE35" i="1"/>
  <c r="K35" i="1"/>
  <c r="AD35" i="1"/>
  <c r="J35" i="1"/>
  <c r="AA35" i="1"/>
  <c r="G35" i="1"/>
  <c r="Z35" i="1"/>
  <c r="F35" i="1"/>
  <c r="Y35" i="1"/>
  <c r="E35" i="1"/>
  <c r="X35" i="1"/>
  <c r="W35" i="1"/>
  <c r="V35" i="1"/>
  <c r="U35" i="1"/>
  <c r="AB35" i="1"/>
  <c r="T35" i="1"/>
  <c r="S35" i="1"/>
  <c r="AL45" i="1"/>
  <c r="R45" i="1"/>
  <c r="AK45" i="1"/>
  <c r="Q45" i="1"/>
  <c r="AJ45" i="1"/>
  <c r="P45" i="1"/>
  <c r="H45" i="1"/>
  <c r="AI45" i="1"/>
  <c r="O45" i="1"/>
  <c r="AH45" i="1"/>
  <c r="N45" i="1"/>
  <c r="AG45" i="1"/>
  <c r="M45" i="1"/>
  <c r="AF45" i="1"/>
  <c r="L45" i="1"/>
  <c r="AE45" i="1"/>
  <c r="K45" i="1"/>
  <c r="I45" i="1"/>
  <c r="AD45" i="1"/>
  <c r="J45" i="1"/>
  <c r="AC45" i="1"/>
  <c r="AB45" i="1"/>
  <c r="AA45" i="1"/>
  <c r="G45" i="1"/>
  <c r="Z45" i="1"/>
  <c r="F45" i="1"/>
  <c r="Y45" i="1"/>
  <c r="E45" i="1"/>
  <c r="X45" i="1"/>
  <c r="W45" i="1"/>
  <c r="V45" i="1"/>
  <c r="U45" i="1"/>
  <c r="T45" i="1"/>
  <c r="S45" i="1"/>
  <c r="T42" i="1"/>
  <c r="S42" i="1"/>
  <c r="AL42" i="1"/>
  <c r="R42" i="1"/>
  <c r="AK42" i="1"/>
  <c r="Q42" i="1"/>
  <c r="J42" i="1"/>
  <c r="AJ42" i="1"/>
  <c r="P42" i="1"/>
  <c r="AI42" i="1"/>
  <c r="O42" i="1"/>
  <c r="AE42" i="1"/>
  <c r="AH42" i="1"/>
  <c r="N42" i="1"/>
  <c r="AG42" i="1"/>
  <c r="M42" i="1"/>
  <c r="AF42" i="1"/>
  <c r="L42" i="1"/>
  <c r="AC42" i="1"/>
  <c r="I42" i="1"/>
  <c r="AD42" i="1"/>
  <c r="AB42" i="1"/>
  <c r="H42" i="1"/>
  <c r="AA42" i="1"/>
  <c r="G42" i="1"/>
  <c r="Z42" i="1"/>
  <c r="F42" i="1"/>
  <c r="Y42" i="1"/>
  <c r="E42" i="1"/>
  <c r="X42" i="1"/>
  <c r="W42" i="1"/>
  <c r="V42" i="1"/>
  <c r="K42" i="1"/>
  <c r="U42" i="1"/>
  <c r="E30" i="1"/>
  <c r="AK19" i="1"/>
  <c r="AK23" i="1"/>
  <c r="AK22" i="1"/>
  <c r="AK15" i="1"/>
  <c r="AK21" i="1"/>
  <c r="AK10" i="1"/>
  <c r="AK16" i="1"/>
  <c r="AK9" i="1"/>
  <c r="AK12" i="1"/>
  <c r="AK14" i="1"/>
  <c r="AK17" i="1"/>
  <c r="AH10" i="1"/>
  <c r="AE21" i="1"/>
  <c r="AI19" i="1"/>
  <c r="AH16" i="1"/>
  <c r="AI10" i="1"/>
  <c r="AF21" i="1"/>
  <c r="AH19" i="1"/>
  <c r="AE13" i="1"/>
  <c r="AE17" i="1"/>
  <c r="AF13" i="1"/>
  <c r="AE18" i="1"/>
  <c r="AF23" i="1"/>
  <c r="AI9" i="1"/>
  <c r="AI8" i="1"/>
  <c r="AF19" i="1"/>
  <c r="AF12" i="1"/>
  <c r="AH15" i="1"/>
  <c r="AI22" i="1"/>
  <c r="AH11" i="1"/>
  <c r="AI15" i="1"/>
  <c r="AH22" i="1"/>
  <c r="AE8" i="1"/>
  <c r="AE23" i="1"/>
  <c r="AH9" i="1"/>
  <c r="AH8" i="1"/>
  <c r="AE19" i="1"/>
  <c r="AF9" i="1"/>
  <c r="AE9" i="1"/>
  <c r="AE22" i="1"/>
  <c r="AH23" i="1"/>
  <c r="AI18" i="1"/>
  <c r="AF14" i="1"/>
  <c r="AF22" i="1"/>
  <c r="AI20" i="1"/>
  <c r="AE10" i="1"/>
  <c r="AE14" i="1"/>
  <c r="AI23" i="1"/>
  <c r="AF10" i="1"/>
  <c r="AH18" i="1"/>
  <c r="AF16" i="1"/>
  <c r="AH13" i="1"/>
  <c r="AI12" i="1"/>
  <c r="AH20" i="1"/>
  <c r="AH17" i="1"/>
  <c r="AF15" i="1"/>
  <c r="AI17" i="1"/>
  <c r="AE16" i="1"/>
  <c r="AE15" i="1"/>
  <c r="AI13" i="1"/>
  <c r="AH12" i="1"/>
  <c r="AE20" i="1"/>
  <c r="AF11" i="1"/>
  <c r="AF20" i="1"/>
  <c r="AH14" i="1"/>
  <c r="AF17" i="1"/>
  <c r="AE11" i="1"/>
  <c r="AI16" i="1"/>
  <c r="AI14" i="1"/>
  <c r="AE12" i="1"/>
  <c r="Y13" i="1"/>
  <c r="V19" i="1"/>
  <c r="W8" i="1"/>
  <c r="AC21" i="1"/>
  <c r="Z13" i="1"/>
  <c r="W19" i="1"/>
  <c r="Y21" i="1"/>
  <c r="Y20" i="1"/>
  <c r="Y12" i="1"/>
  <c r="Z14" i="1"/>
  <c r="Z21" i="1"/>
  <c r="Z20" i="1"/>
  <c r="Z12" i="1"/>
  <c r="AB18" i="1"/>
  <c r="AC13" i="1"/>
  <c r="Y22" i="1"/>
  <c r="AC18" i="1"/>
  <c r="Y16" i="1"/>
  <c r="W20" i="1"/>
  <c r="Z16" i="1"/>
  <c r="AC15" i="1"/>
  <c r="V20" i="1"/>
  <c r="W12" i="1"/>
  <c r="V23" i="1"/>
  <c r="AC23" i="1"/>
  <c r="Z22" i="1"/>
  <c r="AB15" i="1"/>
  <c r="V12" i="1"/>
  <c r="W17" i="1"/>
  <c r="Y10" i="1"/>
  <c r="AC9" i="1"/>
  <c r="W9" i="1"/>
  <c r="W11" i="1"/>
  <c r="Y18" i="1"/>
  <c r="V8" i="1"/>
  <c r="AB23" i="1"/>
  <c r="AB13" i="1"/>
  <c r="W23" i="1"/>
  <c r="V17" i="1"/>
  <c r="Z10" i="1"/>
  <c r="AB9" i="1"/>
  <c r="V9" i="1"/>
  <c r="V11" i="1"/>
  <c r="Z18" i="1"/>
  <c r="V22" i="1"/>
  <c r="Z15" i="1"/>
  <c r="V13" i="1"/>
  <c r="Y14" i="1"/>
  <c r="Y15" i="1"/>
  <c r="AB11" i="1"/>
  <c r="W22" i="1"/>
  <c r="AC19" i="1"/>
  <c r="Y8" i="1"/>
  <c r="AB14" i="1"/>
  <c r="AB16" i="1"/>
  <c r="AC14" i="1"/>
  <c r="AC10" i="1"/>
  <c r="W10" i="1"/>
  <c r="W21" i="1"/>
  <c r="V18" i="1"/>
  <c r="V10" i="1"/>
  <c r="V21" i="1"/>
  <c r="AB12" i="1"/>
  <c r="AB8" i="1"/>
  <c r="W16" i="1"/>
  <c r="Z19" i="1"/>
  <c r="AC8" i="1"/>
  <c r="AC20" i="1"/>
  <c r="Z11" i="1"/>
  <c r="V15" i="1"/>
  <c r="Z9" i="1"/>
  <c r="V14" i="1"/>
  <c r="Y17" i="1"/>
  <c r="AB17" i="1"/>
  <c r="AB21" i="1"/>
  <c r="Z23" i="1"/>
  <c r="AB19" i="1"/>
  <c r="Y23" i="1"/>
  <c r="AC11" i="1"/>
  <c r="AC16" i="1"/>
  <c r="AB10" i="1"/>
  <c r="Z8" i="1"/>
  <c r="W13" i="1"/>
  <c r="AC22" i="1"/>
  <c r="AC12" i="1"/>
  <c r="AB22" i="1"/>
  <c r="W18" i="1"/>
  <c r="AB20" i="1"/>
  <c r="Y11" i="1"/>
  <c r="V16" i="1"/>
  <c r="Y19" i="1"/>
  <c r="W15" i="1"/>
  <c r="Y9" i="1"/>
  <c r="W14" i="1"/>
  <c r="Z17" i="1"/>
  <c r="AC17" i="1"/>
  <c r="P12" i="1"/>
  <c r="Q12" i="1"/>
  <c r="Q21" i="1"/>
  <c r="P11" i="1"/>
  <c r="M12" i="1"/>
  <c r="P23" i="1"/>
  <c r="S9" i="1"/>
  <c r="Q23" i="1"/>
  <c r="M16" i="1"/>
  <c r="N15" i="1"/>
  <c r="S11" i="1"/>
  <c r="P14" i="1"/>
  <c r="M21" i="1"/>
  <c r="T11" i="1"/>
  <c r="Q14" i="1"/>
  <c r="N21" i="1"/>
  <c r="P19" i="1"/>
  <c r="S23" i="1"/>
  <c r="T14" i="1"/>
  <c r="Q11" i="1"/>
  <c r="P21" i="1"/>
  <c r="T22" i="1"/>
  <c r="S12" i="1"/>
  <c r="Q15" i="1"/>
  <c r="S19" i="1"/>
  <c r="S22" i="1"/>
  <c r="T12" i="1"/>
  <c r="P15" i="1"/>
  <c r="T19" i="1"/>
  <c r="M22" i="1"/>
  <c r="Q9" i="1"/>
  <c r="M19" i="1"/>
  <c r="Q22" i="1"/>
  <c r="S20" i="1"/>
  <c r="P13" i="1"/>
  <c r="N22" i="1"/>
  <c r="P9" i="1"/>
  <c r="M17" i="1"/>
  <c r="S16" i="1"/>
  <c r="T20" i="1"/>
  <c r="S10" i="1"/>
  <c r="P10" i="1"/>
  <c r="N19" i="1"/>
  <c r="T10" i="1"/>
  <c r="T16" i="1"/>
  <c r="Q13" i="1"/>
  <c r="P20" i="1"/>
  <c r="M23" i="1"/>
  <c r="M10" i="1"/>
  <c r="M9" i="1"/>
  <c r="S18" i="1"/>
  <c r="S13" i="1"/>
  <c r="N23" i="1"/>
  <c r="N10" i="1"/>
  <c r="N9" i="1"/>
  <c r="T18" i="1"/>
  <c r="Q16" i="1"/>
  <c r="S14" i="1"/>
  <c r="N13" i="1"/>
  <c r="P16" i="1"/>
  <c r="P8" i="1"/>
  <c r="M11" i="1"/>
  <c r="S15" i="1"/>
  <c r="M20" i="1"/>
  <c r="N11" i="1"/>
  <c r="T15" i="1"/>
  <c r="N20" i="1"/>
  <c r="P22" i="1"/>
  <c r="P17" i="1"/>
  <c r="Q17" i="1"/>
  <c r="M14" i="1"/>
  <c r="Q8" i="1"/>
  <c r="N12" i="1"/>
  <c r="N16" i="1"/>
  <c r="T8" i="1"/>
  <c r="M8" i="1"/>
  <c r="N14" i="1"/>
  <c r="N8" i="1"/>
  <c r="M13" i="1"/>
  <c r="N18" i="1"/>
  <c r="M18" i="1"/>
  <c r="T9" i="1"/>
  <c r="S17" i="1"/>
  <c r="M15" i="1"/>
  <c r="T17" i="1"/>
  <c r="S8" i="1"/>
  <c r="Q19" i="1"/>
  <c r="K15" i="1"/>
  <c r="J14" i="1"/>
  <c r="J17" i="1"/>
  <c r="K14" i="1"/>
  <c r="K13" i="1"/>
  <c r="J16" i="1"/>
  <c r="J12" i="1"/>
  <c r="K17" i="1"/>
  <c r="J15" i="1"/>
  <c r="J23" i="1"/>
  <c r="K22" i="1"/>
  <c r="K12" i="1"/>
  <c r="K11" i="1"/>
  <c r="J11" i="1"/>
  <c r="K10" i="1"/>
  <c r="J9" i="1"/>
  <c r="K16" i="1"/>
  <c r="J13" i="1"/>
  <c r="K23" i="1"/>
  <c r="J22" i="1"/>
  <c r="J21" i="1"/>
  <c r="K21" i="1"/>
  <c r="K19" i="1"/>
  <c r="J19" i="1"/>
  <c r="J10" i="1"/>
  <c r="J18" i="1"/>
  <c r="K9" i="1"/>
  <c r="K18" i="1"/>
  <c r="K20" i="1"/>
  <c r="J8" i="1"/>
  <c r="J20" i="1"/>
  <c r="K8" i="1"/>
  <c r="AL22" i="1" a="1"/>
  <c r="AL15" i="1" a="1"/>
  <c r="AL8" i="1" a="1"/>
  <c r="AL14" i="1" a="1"/>
  <c r="AL18" i="1" a="1"/>
  <c r="AL20" i="1" a="1"/>
  <c r="AL16" i="1" a="1"/>
  <c r="AL10" i="1" a="1"/>
  <c r="AL23" i="1" a="1"/>
  <c r="AL13" i="1" a="1"/>
  <c r="AL19" i="1" a="1"/>
  <c r="AL9" i="1" a="1"/>
  <c r="AL17" i="1" a="1"/>
  <c r="AL11" i="1" a="1"/>
  <c r="AL12" i="1" a="1"/>
  <c r="AL21" i="1" a="1"/>
  <c r="AL14" i="1" l="1"/>
  <c r="AL21" i="1"/>
  <c r="AL8" i="1"/>
  <c r="AL15" i="1"/>
  <c r="AL22" i="1"/>
  <c r="AL12" i="1"/>
  <c r="AL11" i="1"/>
  <c r="AL9" i="1"/>
  <c r="AL19" i="1"/>
  <c r="AL16" i="1"/>
  <c r="AL13" i="1"/>
  <c r="AL23" i="1"/>
  <c r="AL10" i="1"/>
  <c r="AL20" i="1"/>
  <c r="AL17" i="1"/>
  <c r="AL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<sst xmlns="http://schemas.openxmlformats.org/spreadsheetml/2006/main" count="812" uniqueCount="98">
  <si>
    <t>그리스</t>
  </si>
  <si>
    <t>네덜란드</t>
  </si>
  <si>
    <t>노르웨이</t>
  </si>
  <si>
    <t>뉴질랜드</t>
  </si>
  <si>
    <t>대만</t>
  </si>
  <si>
    <t>덴마크</t>
  </si>
  <si>
    <t>독일</t>
  </si>
  <si>
    <t>말레이시아</t>
  </si>
  <si>
    <t>멕시코</t>
  </si>
  <si>
    <t>벨기에</t>
  </si>
  <si>
    <t>브라질</t>
  </si>
  <si>
    <t>스웨덴</t>
  </si>
  <si>
    <t>스페인</t>
  </si>
  <si>
    <t>싱가포르</t>
  </si>
  <si>
    <t>아일랜드</t>
  </si>
  <si>
    <t>영국</t>
  </si>
  <si>
    <t>유럽연합</t>
  </si>
  <si>
    <t>이탈리아</t>
  </si>
  <si>
    <t>인도</t>
  </si>
  <si>
    <t>인도네시아</t>
  </si>
  <si>
    <t>일본</t>
  </si>
  <si>
    <t>중국</t>
  </si>
  <si>
    <t>캐나다</t>
  </si>
  <si>
    <t>콜롬비아</t>
  </si>
  <si>
    <t>태국</t>
  </si>
  <si>
    <t>터키</t>
  </si>
  <si>
    <t>포르투갈</t>
  </si>
  <si>
    <t>폴란드</t>
  </si>
  <si>
    <t>프랑스</t>
  </si>
  <si>
    <t>필리핀</t>
  </si>
  <si>
    <t>헝가리</t>
  </si>
  <si>
    <t>호주</t>
  </si>
  <si>
    <t>홍콩</t>
  </si>
  <si>
    <t>GR</t>
  </si>
  <si>
    <t>NL</t>
  </si>
  <si>
    <t>NO</t>
  </si>
  <si>
    <t>NZ</t>
  </si>
  <si>
    <t>TW</t>
  </si>
  <si>
    <t>DK</t>
  </si>
  <si>
    <t>DE</t>
  </si>
  <si>
    <t>MY</t>
  </si>
  <si>
    <t>MX</t>
  </si>
  <si>
    <t>US</t>
  </si>
  <si>
    <t>BE</t>
  </si>
  <si>
    <t>BR</t>
  </si>
  <si>
    <t>SE</t>
  </si>
  <si>
    <t>ES</t>
  </si>
  <si>
    <t>SG</t>
  </si>
  <si>
    <t>IE</t>
  </si>
  <si>
    <t>GB</t>
  </si>
  <si>
    <t>EU</t>
  </si>
  <si>
    <t>IT</t>
  </si>
  <si>
    <t>IN</t>
  </si>
  <si>
    <t>ID</t>
  </si>
  <si>
    <t>JP</t>
  </si>
  <si>
    <t>RM</t>
  </si>
  <si>
    <t>CA</t>
  </si>
  <si>
    <t>CO</t>
  </si>
  <si>
    <t>TH</t>
  </si>
  <si>
    <t>TR</t>
  </si>
  <si>
    <t>PT</t>
  </si>
  <si>
    <t>PL</t>
  </si>
  <si>
    <t>FR</t>
  </si>
  <si>
    <t>PH</t>
  </si>
  <si>
    <t>HU</t>
  </si>
  <si>
    <t>AU</t>
  </si>
  <si>
    <t>HK</t>
  </si>
  <si>
    <t>미국</t>
  </si>
  <si>
    <t>01M</t>
  </si>
  <si>
    <t>02M</t>
  </si>
  <si>
    <t>03M</t>
  </si>
  <si>
    <t>04M</t>
  </si>
  <si>
    <t>06M</t>
  </si>
  <si>
    <t>09M</t>
  </si>
  <si>
    <t>01Y</t>
  </si>
  <si>
    <t>02Y</t>
  </si>
  <si>
    <t>03Y</t>
  </si>
  <si>
    <t>04Y</t>
  </si>
  <si>
    <t>05Y</t>
  </si>
  <si>
    <t>06Y</t>
  </si>
  <si>
    <t>07Y</t>
  </si>
  <si>
    <t>08Y</t>
  </si>
  <si>
    <t>09Y</t>
  </si>
  <si>
    <t>10Y</t>
  </si>
  <si>
    <t>11Y</t>
  </si>
  <si>
    <t>12Y</t>
  </si>
  <si>
    <t>15Y</t>
  </si>
  <si>
    <t>20Y</t>
  </si>
  <si>
    <t>25Y</t>
  </si>
  <si>
    <t>30Y</t>
  </si>
  <si>
    <t>40Y</t>
  </si>
  <si>
    <t>50Y</t>
  </si>
  <si>
    <t>국가별 금리 및 스프레드</t>
  </si>
  <si>
    <t>기물</t>
  </si>
  <si>
    <t>BID</t>
  </si>
  <si>
    <t>ASK</t>
  </si>
  <si>
    <t/>
  </si>
  <si>
    <t>스프레드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</si>
</sst>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0_ ;\-#,##0.0000\ "/>
    <numFmt numFmtId="165" formatCode="#,##0.00_ ;\-#,##0.00\ "/>
  </numFmts>
  <fonts count="8"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0"/>
      <color theme="0"/>
      <name val="맑은 고딕"/>
      <family val="3"/>
      <charset val="129"/>
    </font>
    <font>
      <sz val="9"/>
      <color rgb="FF00000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249977111117893"/>
        <bgColor indexed="64"/>
      </patternFill>
    </fill>
  </fills>
  <borders count="3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dotted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dott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dotted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dotted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theme="0" tint="-0.24994659260841701"/>
      </right>
      <top style="dott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dotted">
        <color theme="0" tint="-0.24994659260841701"/>
      </bottom>
      <diagonal/>
    </border>
    <border>
      <left style="medium">
        <color indexed="64"/>
      </left>
      <right style="thin">
        <color theme="1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thin">
        <color theme="1"/>
      </right>
      <top style="dotted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dotted">
        <color theme="0" tint="-0.24994659260841701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164" fontId="3" fillId="0" borderId="17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18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19" xfId="0" applyNumberFormat="1" applyFont="1" applyBorder="1" applyAlignment="1">
      <alignment vertical="center"/>
    </xf>
    <xf numFmtId="164" fontId="3" fillId="0" borderId="10" xfId="0" applyNumberFormat="1" applyFont="1" applyBorder="1" applyAlignment="1">
      <alignment vertical="center"/>
    </xf>
    <xf numFmtId="164" fontId="3" fillId="0" borderId="24" xfId="0" applyNumberFormat="1" applyFont="1" applyBorder="1"/>
    <xf numFmtId="164" fontId="3" fillId="0" borderId="25" xfId="0" applyNumberFormat="1" applyFont="1" applyBorder="1"/>
    <xf numFmtId="164" fontId="3" fillId="0" borderId="26" xfId="0" applyNumberFormat="1" applyFont="1" applyBorder="1"/>
    <xf numFmtId="165" fontId="5" fillId="0" borderId="3" xfId="0" applyNumberFormat="1" applyFont="1" applyBorder="1"/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165" fontId="5" fillId="0" borderId="1" xfId="0" applyNumberFormat="1" applyFont="1" applyBorder="1"/>
    <xf numFmtId="165" fontId="5" fillId="0" borderId="7" xfId="0" applyNumberFormat="1" applyFont="1" applyBorder="1"/>
    <xf numFmtId="165" fontId="5" fillId="0" borderId="8" xfId="0" applyNumberFormat="1" applyFont="1" applyBorder="1"/>
    <xf numFmtId="165" fontId="5" fillId="0" borderId="9" xfId="0" applyNumberFormat="1" applyFont="1" applyBorder="1"/>
    <xf numFmtId="165" fontId="5" fillId="0" borderId="10" xfId="0" applyNumberFormat="1" applyFont="1" applyBorder="1"/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4" borderId="0" xfId="0" applyFill="1"/>
    <xf numFmtId="0" fontId="4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429BD79A-F6C2-4743-A57F-139FDC1395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 t="s">
        <v/>
        <stp/>
        <stp>P</stp>
        <stp>0</stp>
        <stp>IR</stp>
        <stp>AU</stp>
        <stp>ASK_Close</stp>
        <stp>45842</stp>
        <stp/>
        <tr r="Q23" s="1"/>
        <tr r="Q21" s="1"/>
        <tr r="Q19" s="1"/>
        <tr r="Q22" s="1"/>
        <tr r="Q20" s="1"/>
      </tp>
      <tp t="s">
        <v/>
        <stp/>
        <stp>P</stp>
        <stp>0</stp>
        <stp>IR</stp>
        <stp>CA</stp>
        <stp>ASK_Close</stp>
        <stp>45842</stp>
        <stp/>
        <tr r="AL21" s="1"/>
        <tr r="AL19" s="1"/>
        <tr r="AL23" s="1"/>
        <tr r="AL20" s="1"/>
        <tr r="AL18" s="1"/>
        <tr r="AL22" s="1"/>
      </tp>
      <tp t="s">
        <v/>
        <stp/>
        <stp>P</stp>
        <stp>0</stp>
        <stp>IR</stp>
        <stp>EU</stp>
        <stp>ASK_Close</stp>
        <stp>45842</stp>
        <stp/>
        <tr r="K23" s="1"/>
      </tp>
      <tp t="s">
        <v/>
        <stp/>
        <stp>P</stp>
        <stp>0</stp>
        <stp>IR</stp>
        <stp>DE</stp>
        <stp>ASK_Close</stp>
        <stp>45842</stp>
        <stp/>
        <tr r="AC22" s="1"/>
        <tr r="AC23" s="1"/>
      </tp>
      <tp t="s">
        <v/>
        <stp/>
        <stp>P</stp>
        <stp>0</stp>
        <stp>IR</stp>
        <stp>FR</stp>
        <stp>ASK_Close</stp>
        <stp>45842</stp>
        <stp/>
        <tr r="AF23" s="1"/>
      </tp>
      <tp t="s">
        <v/>
        <stp/>
        <stp>P</stp>
        <stp>0</stp>
        <stp>IR</stp>
        <stp>SE</stp>
        <stp>BID_Close</stp>
        <stp>45842</stp>
        <stp/>
        <tr r="Q63" s="1"/>
        <tr r="Q62" s="1"/>
        <tr r="Q64" s="1"/>
      </tp>
      <tp t="s">
        <v/>
        <stp/>
        <stp>P</stp>
        <stp>0</stp>
        <stp>IR</stp>
        <stp>SG</stp>
        <stp>BID_Close</stp>
        <stp>45842</stp>
        <stp/>
        <tr r="S62" s="1"/>
        <tr r="S64" s="1"/>
        <tr r="S63" s="1"/>
      </tp>
      <tp t="s">
        <v/>
        <stp/>
        <stp>P</stp>
        <stp>0</stp>
        <stp>IR</stp>
        <stp>IT</stp>
        <stp>ASK_Close</stp>
        <stp>45842</stp>
        <stp/>
        <tr r="AI23" s="1"/>
        <tr r="AI22" s="1"/>
      </tp>
      <tp t="s">
        <v/>
        <stp/>
        <stp>P</stp>
        <stp>0</stp>
        <stp>IR</stp>
        <stp>RM</stp>
        <stp>BID_Close</stp>
        <stp>45842</stp>
        <stp/>
        <tr r="V17" s="1"/>
        <tr r="V18" s="1"/>
        <tr r="V19" s="1"/>
        <tr r="V20" s="1"/>
        <tr r="V21" s="1"/>
        <tr r="V23" s="1"/>
        <tr r="V22" s="1"/>
        <tr r="AA63" s="1"/>
        <tr r="AA62" s="1"/>
        <tr r="AA64" s="1"/>
      </tp>
      <tp t="s">
        <v/>
        <stp/>
        <stp>P</stp>
        <stp>0</stp>
        <stp>IR</stp>
        <stp>HK</stp>
        <stp>ASK_Close</stp>
        <stp>45842</stp>
        <stp/>
        <tr r="T18" s="1"/>
        <tr r="T14" s="1"/>
        <tr r="T20" s="1"/>
        <tr r="T22" s="1"/>
        <tr r="T16" s="1"/>
        <tr r="T17" s="1"/>
        <tr r="T15" s="1"/>
        <tr r="T19" s="1"/>
        <tr r="T13" s="1"/>
        <tr r="T21" s="1"/>
        <tr r="T23" s="1"/>
      </tp>
      <tp t="s">
        <v/>
        <stp/>
        <stp>P</stp>
        <stp>0</stp>
        <stp>IR</stp>
        <stp>PL</stp>
        <stp>BID_Close</stp>
        <stp>45842</stp>
        <stp/>
        <tr r="AG64" s="1"/>
        <tr r="AG63" s="1"/>
        <tr r="AG62" s="1"/>
      </tp>
      <tp t="s">
        <v/>
        <stp/>
        <stp>P</stp>
        <stp>0</stp>
        <stp>IR</stp>
        <stp>PH</stp>
        <stp>BID_Close</stp>
        <stp>45842</stp>
        <stp/>
        <tr r="AI64" s="1"/>
        <tr r="AI62" s="1"/>
        <tr r="AI63" s="1"/>
      </tp>
      <tp t="s">
        <v/>
        <stp/>
        <stp>P</stp>
        <stp>0</stp>
        <stp>IR</stp>
        <stp>JP</stp>
        <stp>ASK_Close</stp>
        <stp>45842</stp>
        <stp/>
        <tr r="N22" s="1"/>
        <tr r="N23" s="1"/>
      </tp>
      <tp t="s">
        <v/>
        <stp/>
        <stp>P</stp>
        <stp>0</stp>
        <stp>IR</stp>
        <stp>PT</stp>
        <stp>BID_Close</stp>
        <stp>45842</stp>
        <stp/>
        <tr r="AF62" s="1"/>
        <tr r="AF63" s="1"/>
        <tr r="AF64" s="1"/>
      </tp>
      <tp t="s">
        <v/>
        <stp/>
        <stp>P</stp>
        <stp>0</stp>
        <stp>IR</stp>
        <stp>US</stp>
        <stp>BID_Close</stp>
        <stp>45842</stp>
        <stp/>
        <tr r="D45" s="1"/>
        <tr r="D23" s="1"/>
        <tr r="N63" s="1"/>
        <tr r="N64" s="1"/>
        <tr r="N62" s="1"/>
        <tr r="D43" s="1"/>
        <tr r="D44" s="1"/>
        <tr r="D21" s="1"/>
        <tr r="D22" s="1"/>
      </tp>
      <tp t="s">
        <v/>
        <stp/>
        <stp>P</stp>
        <stp>0</stp>
        <stp>IR</stp>
        <stp>TH</stp>
        <stp>BID_Close</stp>
        <stp>45842</stp>
        <stp/>
        <tr r="AD63" s="1"/>
        <tr r="AD64" s="1"/>
        <tr r="AD62" s="1"/>
      </tp>
      <tp t="s">
        <v/>
        <stp/>
        <stp>P</stp>
        <stp>0</stp>
        <stp>IR</stp>
        <stp>TW</stp>
        <stp>BID_Close</stp>
        <stp>45842</stp>
        <stp/>
        <tr r="Y15" s="1"/>
        <tr r="Y19" s="1"/>
        <tr r="Y17" s="1"/>
        <tr r="Y13" s="1"/>
        <tr r="Y18" s="1"/>
        <tr r="Y16" s="1"/>
        <tr r="Y23" s="1"/>
        <tr r="Y22" s="1"/>
        <tr r="Y21" s="1"/>
        <tr r="Y20" s="1"/>
        <tr r="Y14" s="1"/>
        <tr r="I63" s="1"/>
        <tr r="I64" s="1"/>
        <tr r="I62" s="1"/>
      </tp>
      <tp t="s">
        <v/>
        <stp/>
        <stp>P</stp>
        <stp>0</stp>
        <stp>IR</stp>
        <stp>TR</stp>
        <stp>BID_Close</stp>
        <stp>45842</stp>
        <stp/>
        <tr r="AE64" s="1"/>
        <tr r="AE62" s="1"/>
        <tr r="AE63" s="1"/>
      </tp>
      <tp t="s">
        <v/>
        <stp/>
        <stp>P</stp>
        <stp>0</stp>
        <stp>IR</stp>
        <stp>JP</stp>
        <stp>BID_Close</stp>
        <stp>45842</stp>
        <stp/>
        <tr r="M22" s="1"/>
        <tr r="M23" s="1"/>
        <tr r="Z64" s="1"/>
        <tr r="Z62" s="1"/>
        <tr r="Z63" s="1"/>
      </tp>
      <tp t="s">
        <v/>
        <stp/>
        <stp>P</stp>
        <stp>0</stp>
        <stp>IR</stp>
        <stp>IN</stp>
        <stp>BID_Close</stp>
        <stp>45842</stp>
        <stp/>
        <tr r="X63" s="1"/>
        <tr r="X64" s="1"/>
        <tr r="X62" s="1"/>
      </tp>
      <tp t="s">
        <v/>
        <stp/>
        <stp>P</stp>
        <stp>0</stp>
        <stp>IR</stp>
        <stp>ID</stp>
        <stp>BID_Close</stp>
        <stp>45842</stp>
        <stp/>
        <tr r="Y63" s="1"/>
        <tr r="Y62" s="1"/>
        <tr r="Y64" s="1"/>
      </tp>
      <tp t="s">
        <v/>
        <stp/>
        <stp>P</stp>
        <stp>0</stp>
        <stp>IR</stp>
        <stp>IE</stp>
        <stp>BID_Close</stp>
        <stp>45842</stp>
        <stp/>
        <tr r="T63" s="1"/>
        <tr r="T64" s="1"/>
        <tr r="T62" s="1"/>
      </tp>
      <tp t="s">
        <v/>
        <stp/>
        <stp>P</stp>
        <stp>0</stp>
        <stp>IR</stp>
        <stp>IT</stp>
        <stp>BID_Close</stp>
        <stp>45842</stp>
        <stp/>
        <tr r="AH22" s="1"/>
        <tr r="AH23" s="1"/>
        <tr r="W63" s="1"/>
        <tr r="W62" s="1"/>
        <tr r="W64" s="1"/>
      </tp>
      <tp t="s">
        <v/>
        <stp/>
        <stp>P</stp>
        <stp>0</stp>
        <stp>IR</stp>
        <stp>HK</stp>
        <stp>BID_Close</stp>
        <stp>45842</stp>
        <stp/>
        <tr r="S23" s="1"/>
        <tr r="S14" s="1"/>
        <tr r="S16" s="1"/>
        <tr r="S18" s="1"/>
        <tr r="S15" s="1"/>
        <tr r="S17" s="1"/>
        <tr r="S19" s="1"/>
        <tr r="S22" s="1"/>
        <tr r="S13" s="1"/>
        <tr r="S20" s="1"/>
        <tr r="AL62" s="1"/>
        <tr r="AL63" s="1"/>
        <tr r="AL64" s="1"/>
        <tr r="S21" s="1"/>
      </tp>
      <tp t="s">
        <v/>
        <stp/>
        <stp>P</stp>
        <stp>0</stp>
        <stp>IR</stp>
        <stp>RM</stp>
        <stp>ASK_Close</stp>
        <stp>45842</stp>
        <stp/>
        <tr r="W17" s="1"/>
        <tr r="W22" s="1"/>
        <tr r="W23" s="1"/>
        <tr r="W20" s="1"/>
        <tr r="W21" s="1"/>
        <tr r="W19" s="1"/>
        <tr r="W18" s="1"/>
      </tp>
      <tp t="s">
        <v/>
        <stp/>
        <stp>P</stp>
        <stp>0</stp>
        <stp>IR</stp>
        <stp>HU</stp>
        <stp>BID_Close</stp>
        <stp>45842</stp>
        <stp/>
        <tr r="AJ64" s="1"/>
        <tr r="AJ62" s="1"/>
        <tr r="AJ63" s="1"/>
      </tp>
      <tp t="s">
        <v/>
        <stp/>
        <stp>P</stp>
        <stp>0</stp>
        <stp>IR</stp>
        <stp>US</stp>
        <stp>ASK_Close</stp>
        <stp>45842</stp>
        <stp/>
        <tr r="E22" s="1"/>
        <tr r="E21" s="1"/>
        <tr r="E23" s="1"/>
      </tp>
      <tp t="s">
        <v/>
        <stp/>
        <stp>P</stp>
        <stp>0</stp>
        <stp>IR</stp>
        <stp>NL</stp>
        <stp>BID_Close</stp>
        <stp>45842</stp>
        <stp/>
        <tr r="F62" s="1"/>
        <tr r="F63" s="1"/>
        <tr r="F64" s="1"/>
      </tp>
      <tp t="s">
        <v/>
        <stp/>
        <stp>P</stp>
        <stp>0</stp>
        <stp>IR</stp>
        <stp>NO</stp>
        <stp>BID_Close</stp>
        <stp>45842</stp>
        <stp/>
        <tr r="G63" s="1"/>
        <tr r="G62" s="1"/>
        <tr r="G64" s="1"/>
      </tp>
      <tp t="s">
        <v/>
        <stp/>
        <stp>P</stp>
        <stp>0</stp>
        <stp>IR</stp>
        <stp>TW</stp>
        <stp>ASK_Close</stp>
        <stp>45842</stp>
        <stp/>
        <tr r="Z14" s="1"/>
        <tr r="Z21" s="1"/>
        <tr r="Z20" s="1"/>
        <tr r="Z17" s="1"/>
        <tr r="Z23" s="1"/>
        <tr r="Z16" s="1"/>
        <tr r="Z18" s="1"/>
        <tr r="Z13" s="1"/>
        <tr r="Z22" s="1"/>
        <tr r="Z15" s="1"/>
        <tr r="Z19" s="1"/>
      </tp>
      <tp t="s">
        <v/>
        <stp/>
        <stp>P</stp>
        <stp>0</stp>
        <stp>IR</stp>
        <stp>NZ</stp>
        <stp>BID_Close</stp>
        <stp>45842</stp>
        <stp/>
        <tr r="H63" s="1"/>
        <tr r="H64" s="1"/>
        <tr r="H62" s="1"/>
      </tp>
      <tp t="s">
        <v/>
        <stp/>
        <stp>P</stp>
        <stp>0</stp>
        <stp>IR</stp>
        <stp>MX</stp>
        <stp>BID_Close</stp>
        <stp>45842</stp>
        <stp/>
        <tr r="M62" s="1"/>
        <tr r="M64" s="1"/>
        <tr r="M63" s="1"/>
      </tp>
      <tp t="s">
        <v/>
        <stp/>
        <stp>P</stp>
        <stp>0</stp>
        <stp>IR</stp>
        <stp>MY</stp>
        <stp>BID_Close</stp>
        <stp>45842</stp>
        <stp/>
        <tr r="L63" s="1"/>
        <tr r="L64" s="1"/>
        <tr r="L62" s="1"/>
      </tp>
      <tp t="s">
        <v/>
        <stp/>
        <stp>P</stp>
        <stp>0</stp>
        <stp>IR</stp>
        <stp>CO</stp>
        <stp>BID_Close</stp>
        <stp>45842</stp>
        <stp/>
        <tr r="AC63" s="1"/>
        <tr r="AC64" s="1"/>
        <tr r="AC62" s="1"/>
      </tp>
      <tp t="s">
        <v/>
        <stp/>
        <stp>P</stp>
        <stp>0</stp>
        <stp>IR</stp>
        <stp>CA</stp>
        <stp>BID_Close</stp>
        <stp>45842</stp>
        <stp/>
        <tr r="AK19" s="1"/>
        <tr r="AK23" s="1"/>
        <tr r="AK22" s="1"/>
        <tr r="AK21" s="1"/>
        <tr r="AB63" s="1"/>
        <tr r="AB62" s="1"/>
        <tr r="AK20" s="1"/>
        <tr r="AK18" s="1"/>
        <tr r="AB64" s="1"/>
      </tp>
      <tp t="s">
        <v/>
        <stp/>
        <stp>P</stp>
        <stp>0</stp>
        <stp>IR</stp>
        <stp>BE</stp>
        <stp>BID_Close</stp>
        <stp>45842</stp>
        <stp/>
        <tr r="O63" s="1"/>
        <tr r="O62" s="1"/>
        <tr r="O64" s="1"/>
      </tp>
      <tp t="s">
        <v/>
        <stp/>
        <stp>P</stp>
        <stp>0</stp>
        <stp>IR</stp>
        <stp>BR</stp>
        <stp>BID_Close</stp>
        <stp>45842</stp>
        <stp/>
        <tr r="P64" s="1"/>
        <tr r="P62" s="1"/>
        <tr r="P63" s="1"/>
      </tp>
      <tp t="s">
        <v/>
        <stp/>
        <stp>P</stp>
        <stp>0</stp>
        <stp>IR</stp>
        <stp>AU</stp>
        <stp>BID_Close</stp>
        <stp>45842</stp>
        <stp/>
        <tr r="P19" s="1"/>
        <tr r="P20" s="1"/>
        <tr r="P21" s="1"/>
        <tr r="P22" s="1"/>
        <tr r="P23" s="1"/>
        <tr r="AK62" s="1"/>
        <tr r="AK63" s="1"/>
        <tr r="AK64" s="1"/>
      </tp>
      <tp t="s">
        <v/>
        <stp/>
        <stp>P</stp>
        <stp>0</stp>
        <stp>IR</stp>
        <stp>GB</stp>
        <stp>BID_Close</stp>
        <stp>45842</stp>
        <stp/>
        <tr r="U62" s="1"/>
        <tr r="U63" s="1"/>
        <tr r="U64" s="1"/>
      </tp>
      <tp t="s">
        <v/>
        <stp/>
        <stp>P</stp>
        <stp>0</stp>
        <stp>IR</stp>
        <stp>GR</stp>
        <stp>BID_Close</stp>
        <stp>45842</stp>
        <stp/>
        <tr r="E64" s="1"/>
        <tr r="E62" s="1"/>
        <tr r="E63" s="1"/>
      </tp>
      <tp t="s">
        <v/>
        <stp/>
        <stp>P</stp>
        <stp>0</stp>
        <stp>IR</stp>
        <stp>FR</stp>
        <stp>BID_Close</stp>
        <stp>45842</stp>
        <stp/>
        <tr r="AE23" s="1"/>
        <tr r="AH63" s="1"/>
        <tr r="AH64" s="1"/>
        <tr r="AH62" s="1"/>
      </tp>
      <tp t="s">
        <v/>
        <stp/>
        <stp>P</stp>
        <stp>0</stp>
        <stp>IR</stp>
        <stp>EU</stp>
        <stp>BID_Close</stp>
        <stp>45842</stp>
        <stp/>
        <tr r="J23" s="1"/>
        <tr r="V63" s="1"/>
        <tr r="V64" s="1"/>
        <tr r="V62" s="1"/>
      </tp>
      <tp t="s">
        <v/>
        <stp/>
        <stp>P</stp>
        <stp>0</stp>
        <stp>IR</stp>
        <stp>ES</stp>
        <stp>BID_Close</stp>
        <stp>45842</stp>
        <stp/>
        <tr r="R62" s="1"/>
        <tr r="R64" s="1"/>
        <tr r="R63" s="1"/>
      </tp>
      <tp t="s">
        <v/>
        <stp/>
        <stp>P</stp>
        <stp>0</stp>
        <stp>IR</stp>
        <stp>DK</stp>
        <stp>BID_Close</stp>
        <stp>45842</stp>
        <stp/>
        <tr r="J64" s="1"/>
        <tr r="J62" s="1"/>
        <tr r="J63" s="1"/>
      </tp>
      <tp t="s">
        <v/>
        <stp/>
        <stp>P</stp>
        <stp>0</stp>
        <stp>IR</stp>
        <stp>DE</stp>
        <stp>BID_Close</stp>
        <stp>45842</stp>
        <stp/>
        <tr r="AB23" s="1"/>
        <tr r="AB22" s="1"/>
        <tr r="K62" s="1"/>
        <tr r="K63" s="1"/>
        <tr r="K64" s="1"/>
      </tp>
      <tp>
        <v>2.4241999999999999</v>
        <stp/>
        <stp>P</stp>
        <stp>0</stp>
        <stp>IR</stp>
        <stp>DE08Y</stp>
        <stp>ASK_Close</stp>
        <stp>45842</stp>
        <stp/>
        <tr r="AC15" s="1"/>
      </tp>
      <tp>
        <v>2.4241999999999999</v>
        <stp/>
        <stp>P</stp>
        <stp>0</stp>
        <stp>IR</stp>
        <stp>EU08Y</stp>
        <stp>ASK_Close</stp>
        <stp>45842</stp>
        <stp/>
        <tr r="K15" s="1"/>
      </tp>
      <tp>
        <v>3.0177</v>
        <stp/>
        <stp>P</stp>
        <stp>0</stp>
        <stp>IR</stp>
        <stp>FR08Y</stp>
        <stp>ASK_Close</stp>
        <stp>45842</stp>
        <stp/>
        <tr r="AF15" s="1"/>
      </tp>
      <tp>
        <v>4.2876000000000003</v>
        <stp/>
        <stp>P</stp>
        <stp>0</stp>
        <stp>IR</stp>
        <stp>GB08Y</stp>
        <stp>ASK_Close</stp>
        <stp>45842</stp>
        <stp/>
        <tr r="H15" s="1"/>
      </tp>
      <tp>
        <v>3.2155999999999998</v>
        <stp/>
        <stp>P</stp>
        <stp>0</stp>
        <stp>IR</stp>
        <stp>CA08Y</stp>
        <stp>ASK_Close</stp>
        <stp>45842</stp>
        <stp/>
        <tr r="AL13" s="1"/>
      </tp>
      <tp>
        <v>3.1196000000000002</v>
        <stp/>
        <stp>P</stp>
        <stp>0</stp>
        <stp>IR</stp>
        <stp>IT08Y</stp>
        <stp>ASK_Close</stp>
        <stp>45842</stp>
        <stp/>
        <tr r="AI15" s="1"/>
      </tp>
      <tp>
        <v>1.2634000000000001</v>
        <stp/>
        <stp>P</stp>
        <stp>0</stp>
        <stp>IR</stp>
        <stp>JP08Y</stp>
        <stp>ASK_Close</stp>
        <stp>45842</stp>
        <stp/>
        <tr r="N15" s="1"/>
      </tp>
      <tp>
        <v>2.5133999999999999</v>
        <stp/>
        <stp>P</stp>
        <stp>0</stp>
        <stp>IR</stp>
        <stp>DE09Y</stp>
        <stp>ASK_Close</stp>
        <stp>45842</stp>
        <stp/>
        <tr r="AC16" s="1"/>
      </tp>
      <tp>
        <v>2.5133999999999999</v>
        <stp/>
        <stp>P</stp>
        <stp>0</stp>
        <stp>IR</stp>
        <stp>EU09Y</stp>
        <stp>ASK_Close</stp>
        <stp>45842</stp>
        <stp/>
        <tr r="K16" s="1"/>
      </tp>
      <tp>
        <v>3.1556999999999999</v>
        <stp/>
        <stp>P</stp>
        <stp>0</stp>
        <stp>IR</stp>
        <stp>FR09Y</stp>
        <stp>ASK_Close</stp>
        <stp>45842</stp>
        <stp/>
        <tr r="AF16" s="1"/>
      </tp>
      <tp>
        <v>4.4084000000000003</v>
        <stp/>
        <stp>P</stp>
        <stp>0</stp>
        <stp>IR</stp>
        <stp>GB09Y</stp>
        <stp>ASK_Close</stp>
        <stp>45842</stp>
        <stp/>
        <tr r="H16" s="1"/>
      </tp>
      <tp>
        <v>4.0754000000000001</v>
        <stp/>
        <stp>P</stp>
        <stp>0</stp>
        <stp>IR</stp>
        <stp>AU09Y</stp>
        <stp>ASK_Close</stp>
        <stp>45842</stp>
        <stp/>
        <tr r="Q14" s="1"/>
      </tp>
      <tp>
        <v>3.2688000000000001</v>
        <stp/>
        <stp>P</stp>
        <stp>0</stp>
        <stp>IR</stp>
        <stp>CA09Y</stp>
        <stp>ASK_Close</stp>
        <stp>45842</stp>
        <stp/>
        <tr r="AL14" s="1"/>
      </tp>
      <tp>
        <v>3.2477</v>
        <stp/>
        <stp>P</stp>
        <stp>0</stp>
        <stp>IR</stp>
        <stp>IT09Y</stp>
        <stp>ASK_Close</stp>
        <stp>45842</stp>
        <stp/>
        <tr r="AI16" s="1"/>
      </tp>
      <tp>
        <v>1.3493999999999999</v>
        <stp/>
        <stp>P</stp>
        <stp>0</stp>
        <stp>IR</stp>
        <stp>JP09Y</stp>
        <stp>ASK_Close</stp>
        <stp>45842</stp>
        <stp/>
        <tr r="N16" s="1"/>
      </tp>
      <tp>
        <v>1.37</v>
        <stp/>
        <stp>P</stp>
        <stp>0</stp>
        <stp>IR</stp>
        <stp>TW10Y</stp>
        <stp>ASK_Close</stp>
        <stp>45842</stp>
        <stp/>
        <tr r="Z10" s="1"/>
      </tp>
      <tp>
        <v>1.54</v>
        <stp/>
        <stp>P</stp>
        <stp>0</stp>
        <stp>IR</stp>
        <stp>TW20Y</stp>
        <stp>ASK_Close</stp>
        <stp>45842</stp>
        <stp/>
        <tr r="Z11" s="1"/>
      </tp>
      <tp>
        <v>1.665</v>
        <stp/>
        <stp>P</stp>
        <stp>0</stp>
        <stp>IR</stp>
        <stp>TW30Y</stp>
        <stp>ASK_Close</stp>
        <stp>45842</stp>
        <stp/>
        <tr r="Z12" s="1"/>
      </tp>
      <tp>
        <v>4.3360000000000003</v>
        <stp/>
        <stp>P</stp>
        <stp>0</stp>
        <stp>IR</stp>
        <stp>US10Y</stp>
        <stp>ASK_Close</stp>
        <stp>45842</stp>
        <stp/>
        <tr r="E18" s="1"/>
      </tp>
      <tp>
        <v>4.8630000000000004</v>
        <stp/>
        <stp>P</stp>
        <stp>0</stp>
        <stp>IR</stp>
        <stp>US20Y</stp>
        <stp>ASK_Close</stp>
        <stp>45842</stp>
        <stp/>
        <tr r="E19" s="1"/>
      </tp>
      <tp>
        <v>4.8609999999999998</v>
        <stp/>
        <stp>P</stp>
        <stp>0</stp>
        <stp>IR</stp>
        <stp>US30Y</stp>
        <stp>ASK_Close</stp>
        <stp>45842</stp>
        <stp/>
        <tr r="E20" s="1"/>
      </tp>
      <tp>
        <v>1.6218999999999999</v>
        <stp/>
        <stp>P</stp>
        <stp>0</stp>
        <stp>IR</stp>
        <stp>RM10Y</stp>
        <stp>ASK_Close</stp>
        <stp>45842</stp>
        <stp/>
        <tr r="W13" s="1"/>
      </tp>
      <tp>
        <v>1.8705000000000001</v>
        <stp/>
        <stp>P</stp>
        <stp>0</stp>
        <stp>IR</stp>
        <stp>RM20Y</stp>
        <stp>ASK_Close</stp>
        <stp>45842</stp>
        <stp/>
        <tr r="W15" s="1"/>
      </tp>
      <tp>
        <v>1.8297000000000001</v>
        <stp/>
        <stp>P</stp>
        <stp>0</stp>
        <stp>IR</stp>
        <stp>RM30Y</stp>
        <stp>ASK_Close</stp>
        <stp>45842</stp>
        <stp/>
        <tr r="W16" s="1"/>
      </tp>
      <tp>
        <v>2.5859000000000001</v>
        <stp/>
        <stp>P</stp>
        <stp>0</stp>
        <stp>IR</stp>
        <stp>DE10Y</stp>
        <stp>ASK_Close</stp>
        <stp>45842</stp>
        <stp/>
        <tr r="AC17" s="1"/>
      </tp>
      <tp>
        <v>2.9580000000000002</v>
        <stp/>
        <stp>P</stp>
        <stp>0</stp>
        <stp>IR</stp>
        <stp>DE20Y</stp>
        <stp>ASK_Close</stp>
        <stp>45842</stp>
        <stp/>
        <tr r="AC19" s="1"/>
      </tp>
      <tp>
        <v>3.0545</v>
        <stp/>
        <stp>P</stp>
        <stp>0</stp>
        <stp>IR</stp>
        <stp>DE30Y</stp>
        <stp>ASK_Close</stp>
        <stp>45842</stp>
        <stp/>
        <tr r="AC21" s="1"/>
      </tp>
      <tp>
        <v>3.8954</v>
        <stp/>
        <stp>P</stp>
        <stp>0</stp>
        <stp>IR</stp>
        <stp>EU50Y</stp>
        <stp>ASK_Close</stp>
        <stp>45842</stp>
        <stp/>
        <tr r="K22" s="1"/>
      </tp>
      <tp>
        <v>2.5859000000000001</v>
        <stp/>
        <stp>P</stp>
        <stp>0</stp>
        <stp>IR</stp>
        <stp>EU10Y</stp>
        <stp>ASK_Close</stp>
        <stp>45842</stp>
        <stp/>
        <tr r="K17" s="1"/>
      </tp>
      <tp>
        <v>2.9580000000000002</v>
        <stp/>
        <stp>P</stp>
        <stp>0</stp>
        <stp>IR</stp>
        <stp>EU20Y</stp>
        <stp>ASK_Close</stp>
        <stp>45842</stp>
        <stp/>
        <tr r="K19" s="1"/>
      </tp>
      <tp>
        <v>3.0545</v>
        <stp/>
        <stp>P</stp>
        <stp>0</stp>
        <stp>IR</stp>
        <stp>EU30Y</stp>
        <stp>ASK_Close</stp>
        <stp>45842</stp>
        <stp/>
        <tr r="K21" s="1"/>
      </tp>
      <tp>
        <v>3.8954</v>
        <stp/>
        <stp>P</stp>
        <stp>0</stp>
        <stp>IR</stp>
        <stp>FR50Y</stp>
        <stp>ASK_Close</stp>
        <stp>45842</stp>
        <stp/>
        <tr r="AF22" s="1"/>
      </tp>
      <tp>
        <v>3.2721</v>
        <stp/>
        <stp>P</stp>
        <stp>0</stp>
        <stp>IR</stp>
        <stp>FR10Y</stp>
        <stp>ASK_Close</stp>
        <stp>45842</stp>
        <stp/>
        <tr r="AF17" s="1"/>
      </tp>
      <tp>
        <v>3.7486000000000002</v>
        <stp/>
        <stp>P</stp>
        <stp>0</stp>
        <stp>IR</stp>
        <stp>FR20Y</stp>
        <stp>ASK_Close</stp>
        <stp>45842</stp>
        <stp/>
        <tr r="AF19" s="1"/>
      </tp>
      <tp>
        <v>4.0315000000000003</v>
        <stp/>
        <stp>P</stp>
        <stp>0</stp>
        <stp>IR</stp>
        <stp>FR30Y</stp>
        <stp>ASK_Close</stp>
        <stp>45842</stp>
        <stp/>
        <tr r="AF21" s="1"/>
      </tp>
      <tp>
        <v>4.6725000000000003</v>
        <stp/>
        <stp>P</stp>
        <stp>0</stp>
        <stp>IR</stp>
        <stp>GB50Y</stp>
        <stp>ASK_Close</stp>
        <stp>45842</stp>
        <stp/>
        <tr r="H23" s="1"/>
      </tp>
      <tp>
        <v>4.5342000000000002</v>
        <stp/>
        <stp>P</stp>
        <stp>0</stp>
        <stp>IR</stp>
        <stp>GB10Y</stp>
        <stp>ASK_Close</stp>
        <stp>45842</stp>
        <stp/>
        <tr r="H17" s="1"/>
      </tp>
      <tp>
        <v>5.2161</v>
        <stp/>
        <stp>P</stp>
        <stp>0</stp>
        <stp>IR</stp>
        <stp>GB20Y</stp>
        <stp>ASK_Close</stp>
        <stp>45842</stp>
        <stp/>
        <tr r="H20" s="1"/>
      </tp>
      <tp>
        <v>5.3353999999999999</v>
        <stp/>
        <stp>P</stp>
        <stp>0</stp>
        <stp>IR</stp>
        <stp>GB30Y</stp>
        <stp>ASK_Close</stp>
        <stp>45842</stp>
        <stp/>
        <tr r="H22" s="1"/>
      </tp>
      <tp>
        <v>4.1820000000000004</v>
        <stp/>
        <stp>P</stp>
        <stp>0</stp>
        <stp>IR</stp>
        <stp>AU10Y</stp>
        <stp>ASK_Close</stp>
        <stp>45842</stp>
        <stp/>
        <tr r="Q15" s="1"/>
      </tp>
      <tp>
        <v>4.7393999999999998</v>
        <stp/>
        <stp>P</stp>
        <stp>0</stp>
        <stp>IR</stp>
        <stp>AU20Y</stp>
        <stp>ASK_Close</stp>
        <stp>45842</stp>
        <stp/>
        <tr r="Q17" s="1"/>
      </tp>
      <tp>
        <v>4.8433999999999999</v>
        <stp/>
        <stp>P</stp>
        <stp>0</stp>
        <stp>IR</stp>
        <stp>AU30Y</stp>
        <stp>ASK_Close</stp>
        <stp>45842</stp>
        <stp/>
        <tr r="Q18" s="1"/>
      </tp>
      <tp>
        <v>3.3557999999999999</v>
        <stp/>
        <stp>P</stp>
        <stp>0</stp>
        <stp>IR</stp>
        <stp>CA10Y</stp>
        <stp>ASK_Close</stp>
        <stp>45842</stp>
        <stp/>
        <tr r="AL15" s="1"/>
      </tp>
      <tp>
        <v>3.5666000000000002</v>
        <stp/>
        <stp>P</stp>
        <stp>0</stp>
        <stp>IR</stp>
        <stp>CA20Y</stp>
        <stp>ASK_Close</stp>
        <stp>45842</stp>
        <stp/>
        <tr r="AL16" s="1"/>
      </tp>
      <tp>
        <v>3.6705000000000001</v>
        <stp/>
        <stp>P</stp>
        <stp>0</stp>
        <stp>IR</stp>
        <stp>CA30Y</stp>
        <stp>ASK_Close</stp>
        <stp>45842</stp>
        <stp/>
        <tr r="AL17" s="1"/>
      </tp>
      <tp>
        <v>3.4462999999999999</v>
        <stp/>
        <stp>P</stp>
        <stp>0</stp>
        <stp>IR</stp>
        <stp>IT10Y</stp>
        <stp>ASK_Close</stp>
        <stp>45842</stp>
        <stp/>
        <tr r="AI17" s="1"/>
      </tp>
      <tp>
        <v>3.9658000000000002</v>
        <stp/>
        <stp>P</stp>
        <stp>0</stp>
        <stp>IR</stp>
        <stp>IT20Y</stp>
        <stp>ASK_Close</stp>
        <stp>45842</stp>
        <stp/>
        <tr r="AI19" s="1"/>
      </tp>
      <tp>
        <v>4.3109000000000002</v>
        <stp/>
        <stp>P</stp>
        <stp>0</stp>
        <stp>IR</stp>
        <stp>IT30Y</stp>
        <stp>ASK_Close</stp>
        <stp>45842</stp>
        <stp/>
        <tr r="AI21" s="1"/>
      </tp>
      <tp>
        <v>3.1231</v>
        <stp/>
        <stp>P</stp>
        <stp>0</stp>
        <stp>IR</stp>
        <stp>JP40Y</stp>
        <stp>ASK_Close</stp>
        <stp>45842</stp>
        <stp/>
        <tr r="N21" s="1"/>
      </tp>
      <tp>
        <v>1.4451000000000001</v>
        <stp/>
        <stp>P</stp>
        <stp>0</stp>
        <stp>IR</stp>
        <stp>JP10Y</stp>
        <stp>ASK_Close</stp>
        <stp>45842</stp>
        <stp/>
        <tr r="N17" s="1"/>
      </tp>
      <tp>
        <v>2.3571</v>
        <stp/>
        <stp>P</stp>
        <stp>0</stp>
        <stp>IR</stp>
        <stp>JP20Y</stp>
        <stp>ASK_Close</stp>
        <stp>45842</stp>
        <stp/>
        <tr r="N19" s="1"/>
      </tp>
      <tp>
        <v>2.8506999999999998</v>
        <stp/>
        <stp>P</stp>
        <stp>0</stp>
        <stp>IR</stp>
        <stp>JP30Y</stp>
        <stp>ASK_Close</stp>
        <stp>45842</stp>
        <stp/>
        <tr r="N20" s="1"/>
      </tp>
      <tp>
        <v>4.069</v>
        <stp/>
        <stp>P</stp>
        <stp>0</stp>
        <stp>IR</stp>
        <stp>US01Y</stp>
        <stp>ASK_Close</stp>
        <stp>45842</stp>
        <stp/>
        <tr r="E13" s="1"/>
      </tp>
      <tp>
        <v>1.3153999999999999</v>
        <stp/>
        <stp>P</stp>
        <stp>0</stp>
        <stp>IR</stp>
        <stp>RM01Y</stp>
        <stp>ASK_Close</stp>
        <stp>45842</stp>
        <stp/>
        <tr r="W8" s="1"/>
      </tp>
      <tp>
        <v>1.7890999999999999</v>
        <stp/>
        <stp>P</stp>
        <stp>0</stp>
        <stp>IR</stp>
        <stp>DE01Y</stp>
        <stp>ASK_Close</stp>
        <stp>45842</stp>
        <stp/>
        <tr r="AC8" s="1"/>
      </tp>
      <tp>
        <v>1.7890999999999999</v>
        <stp/>
        <stp>P</stp>
        <stp>0</stp>
        <stp>IR</stp>
        <stp>EU01Y</stp>
        <stp>ASK_Close</stp>
        <stp>45842</stp>
        <stp/>
        <tr r="K8" s="1"/>
      </tp>
      <tp>
        <v>1.8523000000000001</v>
        <stp/>
        <stp>P</stp>
        <stp>0</stp>
        <stp>IR</stp>
        <stp>FR01Y</stp>
        <stp>ASK_Close</stp>
        <stp>45842</stp>
        <stp/>
        <tr r="AF8" s="1"/>
      </tp>
      <tp>
        <v>3.7222</v>
        <stp/>
        <stp>P</stp>
        <stp>0</stp>
        <stp>IR</stp>
        <stp>GB01Y</stp>
        <stp>ASK_Close</stp>
        <stp>45842</stp>
        <stp/>
        <tr r="H8" s="1"/>
      </tp>
      <tp>
        <v>4.218</v>
        <stp/>
        <stp>P</stp>
        <stp>0</stp>
        <stp>IR</stp>
        <stp>US01M</stp>
        <stp>ASK_Close</stp>
        <stp>45842</stp>
        <stp/>
        <tr r="E8" s="1"/>
      </tp>
      <tp>
        <v>3.3534000000000002</v>
        <stp/>
        <stp>P</stp>
        <stp>0</stp>
        <stp>IR</stp>
        <stp>AU01Y</stp>
        <stp>ASK_Close</stp>
        <stp>45842</stp>
        <stp/>
        <tr r="Q8" s="1"/>
      </tp>
      <tp>
        <v>1.7</v>
        <stp/>
        <stp>P</stp>
        <stp>0</stp>
        <stp>IR</stp>
        <stp>HK01Y</stp>
        <stp>ASK_Close</stp>
        <stp>45842</stp>
        <stp/>
        <tr r="T8" s="1"/>
      </tp>
      <tp>
        <v>1.9654</v>
        <stp/>
        <stp>P</stp>
        <stp>0</stp>
        <stp>IR</stp>
        <stp>IT01Y</stp>
        <stp>ASK_Close</stp>
        <stp>45842</stp>
        <stp/>
        <tr r="AI8" s="1"/>
      </tp>
      <tp>
        <v>0.57569999999999999</v>
        <stp/>
        <stp>P</stp>
        <stp>0</stp>
        <stp>IR</stp>
        <stp>JP01Y</stp>
        <stp>ASK_Close</stp>
        <stp>45842</stp>
        <stp/>
        <tr r="N8" s="1"/>
      </tp>
      <tp>
        <v>1.18</v>
        <stp/>
        <stp>P</stp>
        <stp>0</stp>
        <stp>IR</stp>
        <stp>TW02Y</stp>
        <stp>ASK_Close</stp>
        <stp>45842</stp>
        <stp/>
        <tr r="Z8" s="1"/>
      </tp>
      <tp>
        <v>3.8740000000000001</v>
        <stp/>
        <stp>P</stp>
        <stp>0</stp>
        <stp>IR</stp>
        <stp>US02Y</stp>
        <stp>ASK_Close</stp>
        <stp>45842</stp>
        <stp/>
        <tr r="E14" s="1"/>
      </tp>
      <tp>
        <v>1.3325</v>
        <stp/>
        <stp>P</stp>
        <stp>0</stp>
        <stp>IR</stp>
        <stp>RM02Y</stp>
        <stp>ASK_Close</stp>
        <stp>45842</stp>
        <stp/>
        <tr r="W9" s="1"/>
      </tp>
      <tp>
        <v>1.8112999999999999</v>
        <stp/>
        <stp>P</stp>
        <stp>0</stp>
        <stp>IR</stp>
        <stp>DE02Y</stp>
        <stp>ASK_Close</stp>
        <stp>45842</stp>
        <stp/>
        <tr r="AC9" s="1"/>
      </tp>
      <tp>
        <v>1.8112999999999999</v>
        <stp/>
        <stp>P</stp>
        <stp>0</stp>
        <stp>IR</stp>
        <stp>EU02Y</stp>
        <stp>ASK_Close</stp>
        <stp>45842</stp>
        <stp/>
        <tr r="K9" s="1"/>
      </tp>
      <tp>
        <v>2.1124000000000001</v>
        <stp/>
        <stp>P</stp>
        <stp>0</stp>
        <stp>IR</stp>
        <stp>FR02Y</stp>
        <stp>ASK_Close</stp>
        <stp>45842</stp>
        <stp/>
        <tr r="AF9" s="1"/>
      </tp>
      <tp>
        <v>3.8210000000000002</v>
        <stp/>
        <stp>P</stp>
        <stp>0</stp>
        <stp>IR</stp>
        <stp>GB02Y</stp>
        <stp>ASK_Close</stp>
        <stp>45842</stp>
        <stp/>
        <tr r="H9" s="1"/>
      </tp>
      <tp>
        <v>4.7297000000000002</v>
        <stp/>
        <stp>P</stp>
        <stp>0</stp>
        <stp>IR</stp>
        <stp>GB12Y</stp>
        <stp>ASK_Close</stp>
        <stp>45842</stp>
        <stp/>
        <tr r="H18" s="1"/>
      </tp>
      <tp>
        <v>4.3710000000000004</v>
        <stp/>
        <stp>P</stp>
        <stp>0</stp>
        <stp>IR</stp>
        <stp>US02M</stp>
        <stp>ASK_Close</stp>
        <stp>45842</stp>
        <stp/>
        <tr r="E9" s="1"/>
      </tp>
      <tp>
        <v>3.2414000000000001</v>
        <stp/>
        <stp>P</stp>
        <stp>0</stp>
        <stp>IR</stp>
        <stp>AU02Y</stp>
        <stp>ASK_Close</stp>
        <stp>45842</stp>
        <stp/>
        <tr r="Q9" s="1"/>
      </tp>
      <tp>
        <v>2.6894999999999998</v>
        <stp/>
        <stp>P</stp>
        <stp>0</stp>
        <stp>IR</stp>
        <stp>CA02Y</stp>
        <stp>ASK_Close</stp>
        <stp>45842</stp>
        <stp/>
        <tr r="AL8" s="1"/>
      </tp>
      <tp>
        <v>1.74</v>
        <stp/>
        <stp>P</stp>
        <stp>0</stp>
        <stp>IR</stp>
        <stp>HK02Y</stp>
        <stp>ASK_Close</stp>
        <stp>45842</stp>
        <stp/>
        <tr r="T9" s="1"/>
      </tp>
      <tp>
        <v>2.0432000000000001</v>
        <stp/>
        <stp>P</stp>
        <stp>0</stp>
        <stp>IR</stp>
        <stp>IT02Y</stp>
        <stp>ASK_Close</stp>
        <stp>45842</stp>
        <stp/>
        <tr r="AI9" s="1"/>
      </tp>
      <tp>
        <v>0.73409999999999997</v>
        <stp/>
        <stp>P</stp>
        <stp>0</stp>
        <stp>IR</stp>
        <stp>JP02Y</stp>
        <stp>ASK_Close</stp>
        <stp>45842</stp>
        <stp/>
        <tr r="N9" s="1"/>
      </tp>
      <tp>
        <v>3.8370000000000002</v>
        <stp/>
        <stp>P</stp>
        <stp>0</stp>
        <stp>IR</stp>
        <stp>US03Y</stp>
        <stp>ASK_Close</stp>
        <stp>45842</stp>
        <stp/>
        <tr r="E15" s="1"/>
      </tp>
      <tp>
        <v>1.3576999999999999</v>
        <stp/>
        <stp>P</stp>
        <stp>0</stp>
        <stp>IR</stp>
        <stp>RM03Y</stp>
        <stp>ASK_Close</stp>
        <stp>45842</stp>
        <stp/>
        <tr r="W10" s="1"/>
      </tp>
      <tp>
        <v>1.855</v>
        <stp/>
        <stp>P</stp>
        <stp>0</stp>
        <stp>IR</stp>
        <stp>DE03Y</stp>
        <stp>ASK_Close</stp>
        <stp>45842</stp>
        <stp/>
        <tr r="AC10" s="1"/>
      </tp>
      <tp>
        <v>1.855</v>
        <stp/>
        <stp>P</stp>
        <stp>0</stp>
        <stp>IR</stp>
        <stp>EU03Y</stp>
        <stp>ASK_Close</stp>
        <stp>45842</stp>
        <stp/>
        <tr r="K10" s="1"/>
      </tp>
      <tp>
        <v>2.3319000000000001</v>
        <stp/>
        <stp>P</stp>
        <stp>0</stp>
        <stp>IR</stp>
        <stp>FR03Y</stp>
        <stp>ASK_Close</stp>
        <stp>45842</stp>
        <stp/>
        <tr r="AF10" s="1"/>
      </tp>
      <tp>
        <v>3.6431</v>
        <stp/>
        <stp>P</stp>
        <stp>0</stp>
        <stp>IR</stp>
        <stp>GB03Y</stp>
        <stp>ASK_Close</stp>
        <stp>45842</stp>
        <stp/>
        <tr r="H10" s="1"/>
      </tp>
      <tp>
        <v>4.343</v>
        <stp/>
        <stp>P</stp>
        <stp>0</stp>
        <stp>IR</stp>
        <stp>US03M</stp>
        <stp>ASK_Close</stp>
        <stp>45842</stp>
        <stp/>
        <tr r="E10" s="1"/>
      </tp>
      <tp>
        <v>3.2848999999999999</v>
        <stp/>
        <stp>P</stp>
        <stp>0</stp>
        <stp>IR</stp>
        <stp>AU03Y</stp>
        <stp>ASK_Close</stp>
        <stp>45842</stp>
        <stp/>
        <tr r="Q10" s="1"/>
      </tp>
      <tp>
        <v>1.85</v>
        <stp/>
        <stp>P</stp>
        <stp>0</stp>
        <stp>IR</stp>
        <stp>HK03Y</stp>
        <stp>ASK_Close</stp>
        <stp>45842</stp>
        <stp/>
        <tr r="T10" s="1"/>
      </tp>
      <tp>
        <v>2.2452999999999999</v>
        <stp/>
        <stp>P</stp>
        <stp>0</stp>
        <stp>IR</stp>
        <stp>IT03Y</stp>
        <stp>ASK_Close</stp>
        <stp>45842</stp>
        <stp/>
        <tr r="AI10" s="1"/>
      </tp>
      <tp>
        <v>0.79369999999999996</v>
        <stp/>
        <stp>P</stp>
        <stp>0</stp>
        <stp>IR</stp>
        <stp>JP03Y</stp>
        <stp>ASK_Close</stp>
        <stp>45842</stp>
        <stp/>
        <tr r="N10" s="1"/>
      </tp>
      <tp>
        <v>2.0017999999999998</v>
        <stp/>
        <stp>P</stp>
        <stp>0</stp>
        <stp>IR</stp>
        <stp>DE04Y</stp>
        <stp>ASK_Close</stp>
        <stp>45842</stp>
        <stp/>
        <tr r="AC11" s="1"/>
      </tp>
      <tp>
        <v>2.0017999999999998</v>
        <stp/>
        <stp>P</stp>
        <stp>0</stp>
        <stp>IR</stp>
        <stp>EU04Y</stp>
        <stp>ASK_Close</stp>
        <stp>45842</stp>
        <stp/>
        <tr r="K11" s="1"/>
      </tp>
      <tp>
        <v>2.5049999999999999</v>
        <stp/>
        <stp>P</stp>
        <stp>0</stp>
        <stp>IR</stp>
        <stp>FR04Y</stp>
        <stp>ASK_Close</stp>
        <stp>45842</stp>
        <stp/>
        <tr r="AF11" s="1"/>
      </tp>
      <tp>
        <v>3.8159999999999998</v>
        <stp/>
        <stp>P</stp>
        <stp>0</stp>
        <stp>IR</stp>
        <stp>GB04Y</stp>
        <stp>ASK_Close</stp>
        <stp>45842</stp>
        <stp/>
        <tr r="H11" s="1"/>
      </tp>
      <tp>
        <v>4.3289999999999997</v>
        <stp/>
        <stp>P</stp>
        <stp>0</stp>
        <stp>IR</stp>
        <stp>US04M</stp>
        <stp>ASK_Close</stp>
        <stp>45842</stp>
        <stp/>
        <tr r="E11" s="1"/>
      </tp>
      <tp>
        <v>3.3723999999999998</v>
        <stp/>
        <stp>P</stp>
        <stp>0</stp>
        <stp>IR</stp>
        <stp>AU04Y</stp>
        <stp>ASK_Close</stp>
        <stp>45842</stp>
        <stp/>
        <tr r="Q11" s="1"/>
      </tp>
      <tp>
        <v>2.8142</v>
        <stp/>
        <stp>P</stp>
        <stp>0</stp>
        <stp>IR</stp>
        <stp>CA04Y</stp>
        <stp>ASK_Close</stp>
        <stp>45842</stp>
        <stp/>
        <tr r="AL9" s="1"/>
      </tp>
      <tp>
        <v>2.4097</v>
        <stp/>
        <stp>P</stp>
        <stp>0</stp>
        <stp>IR</stp>
        <stp>IT04Y</stp>
        <stp>ASK_Close</stp>
        <stp>45842</stp>
        <stp/>
        <tr r="AI11" s="1"/>
      </tp>
      <tp>
        <v>0.91569999999999996</v>
        <stp/>
        <stp>P</stp>
        <stp>0</stp>
        <stp>IR</stp>
        <stp>JP04Y</stp>
        <stp>ASK_Close</stp>
        <stp>45842</stp>
        <stp/>
        <tr r="N11" s="1"/>
      </tp>
      <tp>
        <v>1.31</v>
        <stp/>
        <stp>P</stp>
        <stp>0</stp>
        <stp>IR</stp>
        <stp>TW05Y</stp>
        <stp>ASK_Close</stp>
        <stp>45842</stp>
        <stp/>
        <tr r="Z9" s="1"/>
      </tp>
      <tp>
        <v>3.9289999999999998</v>
        <stp/>
        <stp>P</stp>
        <stp>0</stp>
        <stp>IR</stp>
        <stp>US05Y</stp>
        <stp>ASK_Close</stp>
        <stp>45842</stp>
        <stp/>
        <tr r="E16" s="1"/>
      </tp>
      <tp>
        <v>1.4630000000000001</v>
        <stp/>
        <stp>P</stp>
        <stp>0</stp>
        <stp>IR</stp>
        <stp>RM05Y</stp>
        <stp>ASK_Close</stp>
        <stp>45842</stp>
        <stp/>
        <tr r="W11" s="1"/>
      </tp>
      <tp>
        <v>1.865</v>
        <stp/>
        <stp>P</stp>
        <stp>0</stp>
        <stp>IR</stp>
        <stp>RM15Y</stp>
        <stp>ASK_Close</stp>
        <stp>45842</stp>
        <stp/>
        <tr r="W14" s="1"/>
      </tp>
      <tp>
        <v>2.1151</v>
        <stp/>
        <stp>P</stp>
        <stp>0</stp>
        <stp>IR</stp>
        <stp>DE05Y</stp>
        <stp>ASK_Close</stp>
        <stp>45842</stp>
        <stp/>
        <tr r="AC12" s="1"/>
      </tp>
      <tp>
        <v>2.8993000000000002</v>
        <stp/>
        <stp>P</stp>
        <stp>0</stp>
        <stp>IR</stp>
        <stp>DE15Y</stp>
        <stp>ASK_Close</stp>
        <stp>45842</stp>
        <stp/>
        <tr r="AC18" s="1"/>
      </tp>
      <tp>
        <v>2.9765000000000001</v>
        <stp/>
        <stp>P</stp>
        <stp>0</stp>
        <stp>IR</stp>
        <stp>DE25Y</stp>
        <stp>ASK_Close</stp>
        <stp>45842</stp>
        <stp/>
        <tr r="AC20" s="1"/>
      </tp>
      <tp>
        <v>2.1151</v>
        <stp/>
        <stp>P</stp>
        <stp>0</stp>
        <stp>IR</stp>
        <stp>EU05Y</stp>
        <stp>ASK_Close</stp>
        <stp>45842</stp>
        <stp/>
        <tr r="K12" s="1"/>
      </tp>
      <tp>
        <v>2.8993000000000002</v>
        <stp/>
        <stp>P</stp>
        <stp>0</stp>
        <stp>IR</stp>
        <stp>EU15Y</stp>
        <stp>ASK_Close</stp>
        <stp>45842</stp>
        <stp/>
        <tr r="K18" s="1"/>
      </tp>
      <tp>
        <v>2.9765000000000001</v>
        <stp/>
        <stp>P</stp>
        <stp>0</stp>
        <stp>IR</stp>
        <stp>EU25Y</stp>
        <stp>ASK_Close</stp>
        <stp>45842</stp>
        <stp/>
        <tr r="K20" s="1"/>
      </tp>
      <tp>
        <v>2.6838000000000002</v>
        <stp/>
        <stp>P</stp>
        <stp>0</stp>
        <stp>IR</stp>
        <stp>FR05Y</stp>
        <stp>ASK_Close</stp>
        <stp>45842</stp>
        <stp/>
        <tr r="AF12" s="1"/>
      </tp>
      <tp>
        <v>3.6509999999999998</v>
        <stp/>
        <stp>P</stp>
        <stp>0</stp>
        <stp>IR</stp>
        <stp>FR15Y</stp>
        <stp>ASK_Close</stp>
        <stp>45842</stp>
        <stp/>
        <tr r="AF18" s="1"/>
      </tp>
      <tp>
        <v>3.9228000000000001</v>
        <stp/>
        <stp>P</stp>
        <stp>0</stp>
        <stp>IR</stp>
        <stp>FR25Y</stp>
        <stp>ASK_Close</stp>
        <stp>45842</stp>
        <stp/>
        <tr r="AF20" s="1"/>
      </tp>
      <tp>
        <v>3.9691000000000001</v>
        <stp/>
        <stp>P</stp>
        <stp>0</stp>
        <stp>IR</stp>
        <stp>GB05Y</stp>
        <stp>ASK_Close</stp>
        <stp>45842</stp>
        <stp/>
        <tr r="H12" s="1"/>
      </tp>
      <tp>
        <v>4.9156000000000004</v>
        <stp/>
        <stp>P</stp>
        <stp>0</stp>
        <stp>IR</stp>
        <stp>GB15Y</stp>
        <stp>ASK_Close</stp>
        <stp>45842</stp>
        <stp/>
        <tr r="H19" s="1"/>
      </tp>
      <tp>
        <v>5.298</v>
        <stp/>
        <stp>P</stp>
        <stp>0</stp>
        <stp>IR</stp>
        <stp>GB25Y</stp>
        <stp>ASK_Close</stp>
        <stp>45842</stp>
        <stp/>
        <tr r="H21" s="1"/>
      </tp>
      <tp>
        <v>3.4933999999999998</v>
        <stp/>
        <stp>P</stp>
        <stp>0</stp>
        <stp>IR</stp>
        <stp>AU05Y</stp>
        <stp>ASK_Close</stp>
        <stp>45842</stp>
        <stp/>
        <tr r="Q12" s="1"/>
      </tp>
      <tp>
        <v>4.4093999999999998</v>
        <stp/>
        <stp>P</stp>
        <stp>0</stp>
        <stp>IR</stp>
        <stp>AU15Y</stp>
        <stp>ASK_Close</stp>
        <stp>45842</stp>
        <stp/>
        <tr r="Q16" s="1"/>
      </tp>
      <tp>
        <v>2.944</v>
        <stp/>
        <stp>P</stp>
        <stp>0</stp>
        <stp>IR</stp>
        <stp>CA05Y</stp>
        <stp>ASK_Close</stp>
        <stp>45842</stp>
        <stp/>
        <tr r="AL10" s="1"/>
      </tp>
      <tp>
        <v>1.92</v>
        <stp/>
        <stp>P</stp>
        <stp>0</stp>
        <stp>IR</stp>
        <stp>HK05Y</stp>
        <stp>ASK_Close</stp>
        <stp>45842</stp>
        <stp/>
        <tr r="T11" s="1"/>
      </tp>
      <tp>
        <v>2.6789000000000001</v>
        <stp/>
        <stp>P</stp>
        <stp>0</stp>
        <stp>IR</stp>
        <stp>IT05Y</stp>
        <stp>ASK_Close</stp>
        <stp>45842</stp>
        <stp/>
        <tr r="AI12" s="1"/>
      </tp>
      <tp>
        <v>3.9011</v>
        <stp/>
        <stp>P</stp>
        <stp>0</stp>
        <stp>IR</stp>
        <stp>IT15Y</stp>
        <stp>ASK_Close</stp>
        <stp>45842</stp>
        <stp/>
        <tr r="AI18" s="1"/>
      </tp>
      <tp>
        <v>4.1394000000000002</v>
        <stp/>
        <stp>P</stp>
        <stp>0</stp>
        <stp>IR</stp>
        <stp>IT25Y</stp>
        <stp>ASK_Close</stp>
        <stp>45842</stp>
        <stp/>
        <tr r="AI20" s="1"/>
      </tp>
      <tp>
        <v>0.97209999999999996</v>
        <stp/>
        <stp>P</stp>
        <stp>0</stp>
        <stp>IR</stp>
        <stp>JP05Y</stp>
        <stp>ASK_Close</stp>
        <stp>45842</stp>
        <stp/>
        <tr r="N12" s="1"/>
      </tp>
      <tp>
        <v>2.2591000000000001</v>
        <stp/>
        <stp>P</stp>
        <stp>0</stp>
        <stp>IR</stp>
        <stp>JP15Y</stp>
        <stp>ASK_Close</stp>
        <stp>45842</stp>
        <stp/>
        <tr r="N18" s="1"/>
      </tp>
      <tp>
        <v>2.2067000000000001</v>
        <stp/>
        <stp>P</stp>
        <stp>0</stp>
        <stp>IR</stp>
        <stp>DE06Y</stp>
        <stp>ASK_Close</stp>
        <stp>45842</stp>
        <stp/>
        <tr r="AC13" s="1"/>
      </tp>
      <tp>
        <v>2.2067000000000001</v>
        <stp/>
        <stp>P</stp>
        <stp>0</stp>
        <stp>IR</stp>
        <stp>EU06Y</stp>
        <stp>ASK_Close</stp>
        <stp>45842</stp>
        <stp/>
        <tr r="K13" s="1"/>
      </tp>
      <tp>
        <v>2.7841</v>
        <stp/>
        <stp>P</stp>
        <stp>0</stp>
        <stp>IR</stp>
        <stp>FR06Y</stp>
        <stp>ASK_Close</stp>
        <stp>45842</stp>
        <stp/>
        <tr r="AF13" s="1"/>
      </tp>
      <tp>
        <v>3.9163999999999999</v>
        <stp/>
        <stp>P</stp>
        <stp>0</stp>
        <stp>IR</stp>
        <stp>GB06Y</stp>
        <stp>ASK_Close</stp>
        <stp>45842</stp>
        <stp/>
        <tr r="H13" s="1"/>
      </tp>
      <tp>
        <v>4.2910000000000004</v>
        <stp/>
        <stp>P</stp>
        <stp>0</stp>
        <stp>IR</stp>
        <stp>US06M</stp>
        <stp>ASK_Close</stp>
        <stp>45842</stp>
        <stp/>
        <tr r="E12" s="1"/>
      </tp>
      <tp>
        <v>3.0855000000000001</v>
        <stp/>
        <stp>P</stp>
        <stp>0</stp>
        <stp>IR</stp>
        <stp>CA06Y</stp>
        <stp>ASK_Close</stp>
        <stp>45842</stp>
        <stp/>
        <tr r="AL11" s="1"/>
      </tp>
      <tp>
        <v>2.7753999999999999</v>
        <stp/>
        <stp>P</stp>
        <stp>0</stp>
        <stp>IR</stp>
        <stp>IT06Y</stp>
        <stp>ASK_Close</stp>
        <stp>45842</stp>
        <stp/>
        <tr r="AI13" s="1"/>
      </tp>
      <tp>
        <v>1.0864</v>
        <stp/>
        <stp>P</stp>
        <stp>0</stp>
        <stp>IR</stp>
        <stp>JP06Y</stp>
        <stp>ASK_Close</stp>
        <stp>45842</stp>
        <stp/>
        <tr r="N13" s="1"/>
      </tp>
      <tp>
        <v>4.1180000000000003</v>
        <stp/>
        <stp>P</stp>
        <stp>0</stp>
        <stp>IR</stp>
        <stp>US07Y</stp>
        <stp>ASK_Close</stp>
        <stp>45842</stp>
        <stp/>
        <tr r="E17" s="1"/>
      </tp>
      <tp>
        <v>1.5478000000000001</v>
        <stp/>
        <stp>P</stp>
        <stp>0</stp>
        <stp>IR</stp>
        <stp>RM07Y</stp>
        <stp>ASK_Close</stp>
        <stp>45842</stp>
        <stp/>
        <tr r="W12" s="1"/>
      </tp>
      <tp>
        <v>2.3134999999999999</v>
        <stp/>
        <stp>P</stp>
        <stp>0</stp>
        <stp>IR</stp>
        <stp>DE07Y</stp>
        <stp>ASK_Close</stp>
        <stp>45842</stp>
        <stp/>
        <tr r="AC14" s="1"/>
      </tp>
      <tp>
        <v>2.3134999999999999</v>
        <stp/>
        <stp>P</stp>
        <stp>0</stp>
        <stp>IR</stp>
        <stp>EU07Y</stp>
        <stp>ASK_Close</stp>
        <stp>45842</stp>
        <stp/>
        <tr r="K14" s="1"/>
      </tp>
      <tp>
        <v>2.8754</v>
        <stp/>
        <stp>P</stp>
        <stp>0</stp>
        <stp>IR</stp>
        <stp>FR07Y</stp>
        <stp>ASK_Close</stp>
        <stp>45842</stp>
        <stp/>
        <tr r="AF14" s="1"/>
      </tp>
      <tp>
        <v>4.1292999999999997</v>
        <stp/>
        <stp>P</stp>
        <stp>0</stp>
        <stp>IR</stp>
        <stp>GB07Y</stp>
        <stp>ASK_Close</stp>
        <stp>45842</stp>
        <stp/>
        <tr r="H14" s="1"/>
      </tp>
      <tp>
        <v>3.8313999999999999</v>
        <stp/>
        <stp>P</stp>
        <stp>0</stp>
        <stp>IR</stp>
        <stp>AU07Y</stp>
        <stp>ASK_Close</stp>
        <stp>45842</stp>
        <stp/>
        <tr r="Q13" s="1"/>
      </tp>
      <tp>
        <v>3.1383999999999999</v>
        <stp/>
        <stp>P</stp>
        <stp>0</stp>
        <stp>IR</stp>
        <stp>CA07Y</stp>
        <stp>ASK_Close</stp>
        <stp>45842</stp>
        <stp/>
        <tr r="AL12" s="1"/>
      </tp>
      <tp t="s">
        <v/>
        <stp/>
        <stp>P</stp>
        <stp>0</stp>
        <stp>IR</stp>
        <stp>HK07Y</stp>
        <stp>ASK_Close</stp>
        <stp>45842</stp>
        <stp/>
        <tr r="T12" s="1"/>
      </tp>
      <tp>
        <v>3.0547</v>
        <stp/>
        <stp>P</stp>
        <stp>0</stp>
        <stp>IR</stp>
        <stp>IT07Y</stp>
        <stp>ASK_Close</stp>
        <stp>45842</stp>
        <stp/>
        <tr r="AI14" s="1"/>
      </tp>
      <tp>
        <v>1.1963999999999999</v>
        <stp/>
        <stp>P</stp>
        <stp>0</stp>
        <stp>IR</stp>
        <stp>JP07Y</stp>
        <stp>ASK_Close</stp>
        <stp>45842</stp>
        <stp/>
        <tr r="N14" s="1"/>
      </tp>
      <tp t="s">
        <v/>
        <stp/>
        <stp>P</stp>
        <stp>0</stp>
        <stp>IR</stp>
        <stp>NZ02M</stp>
        <stp>BID_Close</stp>
        <stp>45842</stp>
        <stp/>
        <tr r="H50" s="1"/>
      </tp>
      <tp t="s">
        <v/>
        <stp/>
        <stp>P</stp>
        <stp>0</stp>
        <stp>IR</stp>
        <stp>NL02M</stp>
        <stp>BID_Close</stp>
        <stp>45842</stp>
        <stp/>
        <tr r="F50" s="1"/>
      </tp>
      <tp t="s">
        <v/>
        <stp/>
        <stp>P</stp>
        <stp>0</stp>
        <stp>IR</stp>
        <stp>NO02M</stp>
        <stp>BID_Close</stp>
        <stp>45842</stp>
        <stp/>
        <tr r="G50" s="1"/>
      </tp>
      <tp t="s">
        <v/>
        <stp/>
        <stp>P</stp>
        <stp>0</stp>
        <stp>IR</stp>
        <stp>MY02M</stp>
        <stp>BID_Close</stp>
        <stp>45842</stp>
        <stp/>
        <tr r="L50" s="1"/>
      </tp>
      <tp t="s">
        <v/>
        <stp/>
        <stp>P</stp>
        <stp>0</stp>
        <stp>IR</stp>
        <stp>MX02M</stp>
        <stp>BID_Close</stp>
        <stp>45842</stp>
        <stp/>
        <tr r="M50" s="1"/>
      </tp>
      <tp t="s">
        <v/>
        <stp/>
        <stp>P</stp>
        <stp>0</stp>
        <stp>IR</stp>
        <stp>JP02M</stp>
        <stp>BID_Close</stp>
        <stp>45842</stp>
        <stp/>
        <tr r="Z50" s="1"/>
      </tp>
      <tp t="s">
        <v/>
        <stp/>
        <stp>P</stp>
        <stp>0</stp>
        <stp>IR</stp>
        <stp>IT02M</stp>
        <stp>BID_Close</stp>
        <stp>45842</stp>
        <stp/>
        <tr r="W50" s="1"/>
      </tp>
      <tp t="s">
        <v/>
        <stp/>
        <stp>P</stp>
        <stp>0</stp>
        <stp>IR</stp>
        <stp>IE02M</stp>
        <stp>BID_Close</stp>
        <stp>45842</stp>
        <stp/>
        <tr r="T50" s="1"/>
      </tp>
      <tp t="s">
        <v/>
        <stp/>
        <stp>P</stp>
        <stp>0</stp>
        <stp>IR</stp>
        <stp>ID02M</stp>
        <stp>BID_Close</stp>
        <stp>45842</stp>
        <stp/>
        <tr r="Y50" s="1"/>
      </tp>
      <tp t="s">
        <v/>
        <stp/>
        <stp>P</stp>
        <stp>0</stp>
        <stp>IR</stp>
        <stp>IN02M</stp>
        <stp>BID_Close</stp>
        <stp>45842</stp>
        <stp/>
        <tr r="X50" s="1"/>
      </tp>
      <tp t="s">
        <v/>
        <stp/>
        <stp>P</stp>
        <stp>0</stp>
        <stp>IR</stp>
        <stp>HU02M</stp>
        <stp>BID_Close</stp>
        <stp>45842</stp>
        <stp/>
        <tr r="AJ50" s="1"/>
      </tp>
      <tp t="s">
        <v/>
        <stp/>
        <stp>P</stp>
        <stp>0</stp>
        <stp>IR</stp>
        <stp>HK02M</stp>
        <stp>BID_Close</stp>
        <stp>45842</stp>
        <stp/>
        <tr r="AL50" s="1"/>
      </tp>
      <tp t="s">
        <v/>
        <stp/>
        <stp>P</stp>
        <stp>0</stp>
        <stp>IR</stp>
        <stp>GR02M</stp>
        <stp>BID_Close</stp>
        <stp>45842</stp>
        <stp/>
        <tr r="E50" s="1"/>
      </tp>
      <tp t="s">
        <v/>
        <stp/>
        <stp>P</stp>
        <stp>0</stp>
        <stp>IR</stp>
        <stp>GB02M</stp>
        <stp>BID_Close</stp>
        <stp>45842</stp>
        <stp/>
        <tr r="U50" s="1"/>
      </tp>
      <tp>
        <v>1.7093</v>
        <stp/>
        <stp>P</stp>
        <stp>0</stp>
        <stp>IR</stp>
        <stp>SE02Y</stp>
        <stp>BID_Close</stp>
        <stp>45842</stp>
        <stp/>
        <tr r="Q55" s="1"/>
      </tp>
      <tp>
        <v>1.7649999999999999</v>
        <stp/>
        <stp>P</stp>
        <stp>0</stp>
        <stp>IR</stp>
        <stp>SG02Y</stp>
        <stp>BID_Close</stp>
        <stp>45842</stp>
        <stp/>
        <tr r="S55" s="1"/>
      </tp>
      <tp t="s">
        <v/>
        <stp/>
        <stp>P</stp>
        <stp>0</stp>
        <stp>IR</stp>
        <stp>FR02M</stp>
        <stp>BID_Close</stp>
        <stp>45842</stp>
        <stp/>
        <tr r="AH50" s="1"/>
      </tp>
      <tp>
        <v>1.3734</v>
        <stp/>
        <stp>P</stp>
        <stp>0</stp>
        <stp>IR</stp>
        <stp>RM02Y</stp>
        <stp>BID_Close</stp>
        <stp>45842</stp>
        <stp/>
        <tr r="V9" s="1"/>
        <tr r="AA55" s="1"/>
      </tp>
      <tp t="s">
        <v/>
        <stp/>
        <stp>P</stp>
        <stp>0</stp>
        <stp>IR</stp>
        <stp>ES02M</stp>
        <stp>BID_Close</stp>
        <stp>45842</stp>
        <stp/>
        <tr r="R50" s="1"/>
      </tp>
      <tp t="s">
        <v/>
        <stp/>
        <stp>P</stp>
        <stp>0</stp>
        <stp>IR</stp>
        <stp>EU02M</stp>
        <stp>BID_Close</stp>
        <stp>45842</stp>
        <stp/>
        <tr r="V50" s="1"/>
      </tp>
      <tp>
        <v>1.8644000000000001</v>
        <stp/>
        <stp>P</stp>
        <stp>0</stp>
        <stp>IR</stp>
        <stp>PT02Y</stp>
        <stp>BID_Close</stp>
        <stp>45842</stp>
        <stp/>
        <tr r="AF55" s="1"/>
      </tp>
      <tp t="s">
        <v/>
        <stp/>
        <stp>P</stp>
        <stp>0</stp>
        <stp>IR</stp>
        <stp>DE02M</stp>
        <stp>BID_Close</stp>
        <stp>45842</stp>
        <stp/>
        <tr r="K50" s="1"/>
      </tp>
      <tp>
        <v>5.75</v>
        <stp/>
        <stp>P</stp>
        <stp>0</stp>
        <stp>IR</stp>
        <stp>PH02Y</stp>
        <stp>BID_Close</stp>
        <stp>45842</stp>
        <stp/>
        <tr r="AI55" s="1"/>
      </tp>
      <tp t="s">
        <v/>
        <stp/>
        <stp>P</stp>
        <stp>0</stp>
        <stp>IR</stp>
        <stp>DK02M</stp>
        <stp>BID_Close</stp>
        <stp>45842</stp>
        <stp/>
        <tr r="J50" s="1"/>
      </tp>
      <tp>
        <v>4.5739999999999998</v>
        <stp/>
        <stp>P</stp>
        <stp>0</stp>
        <stp>IR</stp>
        <stp>PL02Y</stp>
        <stp>BID_Close</stp>
        <stp>45842</stp>
        <stp/>
        <tr r="AG55" s="1"/>
      </tp>
      <tp t="s">
        <v/>
        <stp/>
        <stp>P</stp>
        <stp>0</stp>
        <stp>IR</stp>
        <stp>CA02M</stp>
        <stp>BID_Close</stp>
        <stp>45842</stp>
        <stp/>
        <tr r="AB50" s="1"/>
      </tp>
      <tp t="s">
        <v/>
        <stp/>
        <stp>P</stp>
        <stp>0</stp>
        <stp>IR</stp>
        <stp>CO02M</stp>
        <stp>BID_Close</stp>
        <stp>45842</stp>
        <stp/>
        <tr r="AC50" s="1"/>
      </tp>
      <tp t="s">
        <v/>
        <stp/>
        <stp>P</stp>
        <stp>0</stp>
        <stp>IR</stp>
        <stp>BR02M</stp>
        <stp>BID_Close</stp>
        <stp>45842</stp>
        <stp/>
        <tr r="P50" s="1"/>
      </tp>
      <tp t="s">
        <v/>
        <stp/>
        <stp>P</stp>
        <stp>0</stp>
        <stp>IR</stp>
        <stp>BE02M</stp>
        <stp>BID_Close</stp>
        <stp>45842</stp>
        <stp/>
        <tr r="O50" s="1"/>
      </tp>
      <tp>
        <v>3.8860000000000001</v>
        <stp/>
        <stp>P</stp>
        <stp>0</stp>
        <stp>IR</stp>
        <stp>US02Y</stp>
        <stp>BID_Close</stp>
        <stp>45842</stp>
        <stp/>
        <tr r="D36" s="1"/>
        <tr r="D14" s="1"/>
        <tr r="N55" s="1"/>
      </tp>
      <tp t="s">
        <v/>
        <stp/>
        <stp>P</stp>
        <stp>0</stp>
        <stp>IR</stp>
        <stp>AU02M</stp>
        <stp>BID_Close</stp>
        <stp>45842</stp>
        <stp/>
        <tr r="AK50" s="1"/>
      </tp>
      <tp>
        <v>36.295999999999999</v>
        <stp/>
        <stp>P</stp>
        <stp>0</stp>
        <stp>IR</stp>
        <stp>TR02Y</stp>
        <stp>BID_Close</stp>
        <stp>45842</stp>
        <stp/>
        <tr r="AE55" s="1"/>
      </tp>
      <tp>
        <v>1.22</v>
        <stp/>
        <stp>P</stp>
        <stp>0</stp>
        <stp>IR</stp>
        <stp>TW02Y</stp>
        <stp>BID_Close</stp>
        <stp>45842</stp>
        <stp/>
        <tr r="Y8" s="1"/>
        <tr r="I55" s="1"/>
      </tp>
      <tp>
        <v>1.4</v>
        <stp/>
        <stp>P</stp>
        <stp>0</stp>
        <stp>IR</stp>
        <stp>TH02Y</stp>
        <stp>BID_Close</stp>
        <stp>45842</stp>
        <stp/>
        <tr r="AD55" s="1"/>
      </tp>
      <tp>
        <v>0.74409999999999998</v>
        <stp/>
        <stp>P</stp>
        <stp>0</stp>
        <stp>IR</stp>
        <stp>JP02Y</stp>
        <stp>BID_Close</stp>
        <stp>45842</stp>
        <stp/>
        <tr r="M9" s="1"/>
        <tr r="Z55" s="1"/>
      </tp>
      <tp>
        <v>2.0682999999999998</v>
        <stp/>
        <stp>P</stp>
        <stp>0</stp>
        <stp>IR</stp>
        <stp>IT02Y</stp>
        <stp>BID_Close</stp>
        <stp>45842</stp>
        <stp/>
        <tr r="AH9" s="1"/>
        <tr r="W55" s="1"/>
      </tp>
      <tp>
        <v>1.8542000000000001</v>
        <stp/>
        <stp>P</stp>
        <stp>0</stp>
        <stp>IR</stp>
        <stp>IE02Y</stp>
        <stp>BID_Close</stp>
        <stp>45842</stp>
        <stp/>
        <tr r="T55" s="1"/>
      </tp>
      <tp t="s">
        <v/>
        <stp/>
        <stp>P</stp>
        <stp>0</stp>
        <stp>IR</stp>
        <stp>ID02Y</stp>
        <stp>BID_Close</stp>
        <stp>45842</stp>
        <stp/>
        <tr r="Y55" s="1"/>
      </tp>
      <tp>
        <v>5.7489999999999997</v>
        <stp/>
        <stp>P</stp>
        <stp>0</stp>
        <stp>IR</stp>
        <stp>IN02Y</stp>
        <stp>BID_Close</stp>
        <stp>45842</stp>
        <stp/>
        <tr r="X55" s="1"/>
      </tp>
      <tp>
        <v>6.08</v>
        <stp/>
        <stp>P</stp>
        <stp>0</stp>
        <stp>IR</stp>
        <stp>HU02Y</stp>
        <stp>BID_Close</stp>
        <stp>45842</stp>
        <stp/>
        <tr r="AJ55" s="1"/>
      </tp>
      <tp>
        <v>1.82</v>
        <stp/>
        <stp>P</stp>
        <stp>0</stp>
        <stp>IR</stp>
        <stp>HK02Y</stp>
        <stp>BID_Close</stp>
        <stp>45842</stp>
        <stp/>
        <tr r="S9" s="1"/>
        <tr r="AL55" s="1"/>
      </tp>
      <tp>
        <v>3.3029000000000002</v>
        <stp/>
        <stp>P</stp>
        <stp>0</stp>
        <stp>IR</stp>
        <stp>NZ02Y</stp>
        <stp>BID_Close</stp>
        <stp>45842</stp>
        <stp/>
        <tr r="H55" s="1"/>
      </tp>
      <tp>
        <v>1.8871</v>
        <stp/>
        <stp>P</stp>
        <stp>0</stp>
        <stp>IR</stp>
        <stp>NL02Y</stp>
        <stp>BID_Close</stp>
        <stp>45842</stp>
        <stp/>
        <tr r="F55" s="1"/>
      </tp>
      <tp>
        <v>3.5287000000000002</v>
        <stp/>
        <stp>P</stp>
        <stp>0</stp>
        <stp>IR</stp>
        <stp>NO02Y</stp>
        <stp>BID_Close</stp>
        <stp>45842</stp>
        <stp/>
        <tr r="G55" s="1"/>
      </tp>
      <tp t="s">
        <v/>
        <stp/>
        <stp>P</stp>
        <stp>0</stp>
        <stp>IR</stp>
        <stp>MY02Y</stp>
        <stp>BID_Close</stp>
        <stp>45842</stp>
        <stp/>
        <tr r="L55" s="1"/>
      </tp>
      <tp t="s">
        <v/>
        <stp/>
        <stp>P</stp>
        <stp>0</stp>
        <stp>IR</stp>
        <stp>MX02Y</stp>
        <stp>BID_Close</stp>
        <stp>45842</stp>
        <stp/>
        <tr r="M55" s="1"/>
      </tp>
      <tp>
        <v>2.6911</v>
        <stp/>
        <stp>P</stp>
        <stp>0</stp>
        <stp>IR</stp>
        <stp>CA02Y</stp>
        <stp>BID_Close</stp>
        <stp>45842</stp>
        <stp/>
        <tr r="AK8" s="1"/>
        <tr r="AB55" s="1"/>
      </tp>
      <tp t="s">
        <v/>
        <stp/>
        <stp>P</stp>
        <stp>0</stp>
        <stp>IR</stp>
        <stp>CO02Y</stp>
        <stp>BID_Close</stp>
        <stp>45842</stp>
        <stp/>
        <tr r="AC55" s="1"/>
      </tp>
      <tp>
        <v>13.653</v>
        <stp/>
        <stp>P</stp>
        <stp>0</stp>
        <stp>IR</stp>
        <stp>BR02Y</stp>
        <stp>BID_Close</stp>
        <stp>45842</stp>
        <stp/>
        <tr r="P55" s="1"/>
      </tp>
      <tp>
        <v>1.9470000000000001</v>
        <stp/>
        <stp>P</stp>
        <stp>0</stp>
        <stp>IR</stp>
        <stp>BE02Y</stp>
        <stp>BID_Close</stp>
        <stp>45842</stp>
        <stp/>
        <tr r="O55" s="1"/>
      </tp>
      <tp>
        <v>4.3810000000000002</v>
        <stp/>
        <stp>P</stp>
        <stp>0</stp>
        <stp>IR</stp>
        <stp>US02M</stp>
        <stp>BID_Close</stp>
        <stp>45842</stp>
        <stp/>
        <tr r="D9" s="1"/>
        <tr r="N50" s="1"/>
        <tr r="D31" s="1"/>
      </tp>
      <tp>
        <v>3.2614000000000001</v>
        <stp/>
        <stp>P</stp>
        <stp>0</stp>
        <stp>IR</stp>
        <stp>AU02Y</stp>
        <stp>BID_Close</stp>
        <stp>45842</stp>
        <stp/>
        <tr r="P9" s="1"/>
        <tr r="AK55" s="1"/>
      </tp>
      <tp t="s">
        <v/>
        <stp/>
        <stp>P</stp>
        <stp>0</stp>
        <stp>IR</stp>
        <stp>TR02M</stp>
        <stp>BID_Close</stp>
        <stp>45842</stp>
        <stp/>
        <tr r="AE50" s="1"/>
      </tp>
      <tp t="s">
        <v/>
        <stp/>
        <stp>P</stp>
        <stp>0</stp>
        <stp>IR</stp>
        <stp>TW02M</stp>
        <stp>BID_Close</stp>
        <stp>45842</stp>
        <stp/>
        <tr r="I50" s="1"/>
      </tp>
      <tp t="s">
        <v/>
        <stp/>
        <stp>P</stp>
        <stp>0</stp>
        <stp>IR</stp>
        <stp>TH02M</stp>
        <stp>BID_Close</stp>
        <stp>45842</stp>
        <stp/>
        <tr r="AD50" s="1"/>
      </tp>
      <tp>
        <v>1.9918</v>
        <stp/>
        <stp>P</stp>
        <stp>0</stp>
        <stp>IR</stp>
        <stp>GR02Y</stp>
        <stp>BID_Close</stp>
        <stp>45842</stp>
        <stp/>
        <tr r="E55" s="1"/>
      </tp>
      <tp>
        <v>4.7401999999999997</v>
        <stp/>
        <stp>P</stp>
        <stp>0</stp>
        <stp>IR</stp>
        <stp>GB12Y</stp>
        <stp>BID_Close</stp>
        <stp>45842</stp>
        <stp/>
        <tr r="G18" s="1"/>
      </tp>
      <tp>
        <v>3.8458000000000001</v>
        <stp/>
        <stp>P</stp>
        <stp>0</stp>
        <stp>IR</stp>
        <stp>GB02Y</stp>
        <stp>BID_Close</stp>
        <stp>45842</stp>
        <stp/>
        <tr r="G9" s="1"/>
        <tr r="U55" s="1"/>
      </tp>
      <tp t="s">
        <v/>
        <stp/>
        <stp>P</stp>
        <stp>0</stp>
        <stp>IR</stp>
        <stp>SE02M</stp>
        <stp>BID_Close</stp>
        <stp>45842</stp>
        <stp/>
        <tr r="Q50" s="1"/>
      </tp>
      <tp t="s">
        <v/>
        <stp/>
        <stp>P</stp>
        <stp>0</stp>
        <stp>IR</stp>
        <stp>SG02M</stp>
        <stp>BID_Close</stp>
        <stp>45842</stp>
        <stp/>
        <tr r="S50" s="1"/>
      </tp>
      <tp>
        <v>2.1326000000000001</v>
        <stp/>
        <stp>P</stp>
        <stp>0</stp>
        <stp>IR</stp>
        <stp>FR02Y</stp>
        <stp>BID_Close</stp>
        <stp>45842</stp>
        <stp/>
        <tr r="AE9" s="1"/>
        <tr r="AH55" s="1"/>
      </tp>
      <tp t="s">
        <v/>
        <stp/>
        <stp>P</stp>
        <stp>0</stp>
        <stp>IR</stp>
        <stp>RM02M</stp>
        <stp>BID_Close</stp>
        <stp>45842</stp>
        <stp/>
        <tr r="AA50" s="1"/>
      </tp>
      <tp>
        <v>1.9907999999999999</v>
        <stp/>
        <stp>P</stp>
        <stp>0</stp>
        <stp>IR</stp>
        <stp>ES02Y</stp>
        <stp>BID_Close</stp>
        <stp>45842</stp>
        <stp/>
        <tr r="R55" s="1"/>
      </tp>
      <tp>
        <v>1.8273999999999999</v>
        <stp/>
        <stp>P</stp>
        <stp>0</stp>
        <stp>IR</stp>
        <stp>EU02Y</stp>
        <stp>BID_Close</stp>
        <stp>45842</stp>
        <stp/>
        <tr r="J9" s="1"/>
        <tr r="V55" s="1"/>
      </tp>
      <tp t="s">
        <v/>
        <stp/>
        <stp>P</stp>
        <stp>0</stp>
        <stp>IR</stp>
        <stp>PT02M</stp>
        <stp>BID_Close</stp>
        <stp>45842</stp>
        <stp/>
        <tr r="AF50" s="1"/>
      </tp>
      <tp>
        <v>1.8273999999999999</v>
        <stp/>
        <stp>P</stp>
        <stp>0</stp>
        <stp>IR</stp>
        <stp>DE02Y</stp>
        <stp>BID_Close</stp>
        <stp>45842</stp>
        <stp/>
        <tr r="AB9" s="1"/>
        <tr r="K55" s="1"/>
      </tp>
      <tp t="s">
        <v/>
        <stp/>
        <stp>P</stp>
        <stp>0</stp>
        <stp>IR</stp>
        <stp>PH02M</stp>
        <stp>BID_Close</stp>
        <stp>45842</stp>
        <stp/>
        <tr r="AI50" s="1"/>
      </tp>
      <tp>
        <v>1.5021</v>
        <stp/>
        <stp>P</stp>
        <stp>0</stp>
        <stp>IR</stp>
        <stp>DK02Y</stp>
        <stp>BID_Close</stp>
        <stp>45842</stp>
        <stp/>
        <tr r="J55" s="1"/>
      </tp>
      <tp t="s">
        <v/>
        <stp/>
        <stp>P</stp>
        <stp>0</stp>
        <stp>IR</stp>
        <stp>PL02M</stp>
        <stp>BID_Close</stp>
        <stp>45842</stp>
        <stp/>
        <tr r="AG50" s="1"/>
      </tp>
      <tp t="s">
        <v/>
        <stp/>
        <stp>P</stp>
        <stp>0</stp>
        <stp>IR</stp>
        <stp>NZ03M</stp>
        <stp>BID_Close</stp>
        <stp>45842</stp>
        <stp/>
        <tr r="H51" s="1"/>
      </tp>
      <tp t="s">
        <v/>
        <stp/>
        <stp>P</stp>
        <stp>0</stp>
        <stp>IR</stp>
        <stp>NL03M</stp>
        <stp>BID_Close</stp>
        <stp>45842</stp>
        <stp/>
        <tr r="F51" s="1"/>
      </tp>
      <tp t="s">
        <v/>
        <stp/>
        <stp>P</stp>
        <stp>0</stp>
        <stp>IR</stp>
        <stp>NO03M</stp>
        <stp>BID_Close</stp>
        <stp>45842</stp>
        <stp/>
        <tr r="G51" s="1"/>
      </tp>
      <tp t="s">
        <v/>
        <stp/>
        <stp>P</stp>
        <stp>0</stp>
        <stp>IR</stp>
        <stp>MY03M</stp>
        <stp>BID_Close</stp>
        <stp>45842</stp>
        <stp/>
        <tr r="L51" s="1"/>
      </tp>
      <tp>
        <v>8.14</v>
        <stp/>
        <stp>P</stp>
        <stp>0</stp>
        <stp>IR</stp>
        <stp>MX03M</stp>
        <stp>BID_Close</stp>
        <stp>45842</stp>
        <stp/>
        <tr r="M51" s="1"/>
      </tp>
      <tp t="s">
        <v/>
        <stp/>
        <stp>P</stp>
        <stp>0</stp>
        <stp>IR</stp>
        <stp>JP03M</stp>
        <stp>BID_Close</stp>
        <stp>45842</stp>
        <stp/>
        <tr r="Z51" s="1"/>
      </tp>
      <tp t="s">
        <v/>
        <stp/>
        <stp>P</stp>
        <stp>0</stp>
        <stp>IR</stp>
        <stp>IT03M</stp>
        <stp>BID_Close</stp>
        <stp>45842</stp>
        <stp/>
        <tr r="W51" s="1"/>
      </tp>
      <tp t="s">
        <v/>
        <stp/>
        <stp>P</stp>
        <stp>0</stp>
        <stp>IR</stp>
        <stp>IE03M</stp>
        <stp>BID_Close</stp>
        <stp>45842</stp>
        <stp/>
        <tr r="T51" s="1"/>
      </tp>
      <tp>
        <v>6.32</v>
        <stp/>
        <stp>P</stp>
        <stp>0</stp>
        <stp>IR</stp>
        <stp>ID03M</stp>
        <stp>BID_Close</stp>
        <stp>45842</stp>
        <stp/>
        <tr r="Y51" s="1"/>
      </tp>
      <tp t="s">
        <v/>
        <stp/>
        <stp>P</stp>
        <stp>0</stp>
        <stp>IR</stp>
        <stp>IN03M</stp>
        <stp>BID_Close</stp>
        <stp>45842</stp>
        <stp/>
        <tr r="X51" s="1"/>
      </tp>
      <tp t="s">
        <v/>
        <stp/>
        <stp>P</stp>
        <stp>0</stp>
        <stp>IR</stp>
        <stp>HU03M</stp>
        <stp>BID_Close</stp>
        <stp>45842</stp>
        <stp/>
        <tr r="AJ51" s="1"/>
      </tp>
      <tp t="s">
        <v/>
        <stp/>
        <stp>P</stp>
        <stp>0</stp>
        <stp>IR</stp>
        <stp>HK03M</stp>
        <stp>BID_Close</stp>
        <stp>45842</stp>
        <stp/>
        <tr r="AL51" s="1"/>
      </tp>
      <tp t="s">
        <v/>
        <stp/>
        <stp>P</stp>
        <stp>0</stp>
        <stp>IR</stp>
        <stp>GR03M</stp>
        <stp>BID_Close</stp>
        <stp>45842</stp>
        <stp/>
        <tr r="E51" s="1"/>
      </tp>
      <tp t="s">
        <v/>
        <stp/>
        <stp>P</stp>
        <stp>0</stp>
        <stp>IR</stp>
        <stp>GB03M</stp>
        <stp>BID_Close</stp>
        <stp>45842</stp>
        <stp/>
        <tr r="U51" s="1"/>
      </tp>
      <tp t="s">
        <v/>
        <stp/>
        <stp>P</stp>
        <stp>0</stp>
        <stp>IR</stp>
        <stp>SE03Y</stp>
        <stp>BID_Close</stp>
        <stp>45842</stp>
        <stp/>
        <tr r="Q56" s="1"/>
      </tp>
      <tp t="s">
        <v/>
        <stp/>
        <stp>P</stp>
        <stp>0</stp>
        <stp>IR</stp>
        <stp>SG03Y</stp>
        <stp>BID_Close</stp>
        <stp>45842</stp>
        <stp/>
        <tr r="S56" s="1"/>
      </tp>
      <tp t="s">
        <v/>
        <stp/>
        <stp>P</stp>
        <stp>0</stp>
        <stp>IR</stp>
        <stp>FR03M</stp>
        <stp>BID_Close</stp>
        <stp>45842</stp>
        <stp/>
        <tr r="AH51" s="1"/>
      </tp>
      <tp>
        <v>1.3983000000000001</v>
        <stp/>
        <stp>P</stp>
        <stp>0</stp>
        <stp>IR</stp>
        <stp>RM03Y</stp>
        <stp>BID_Close</stp>
        <stp>45842</stp>
        <stp/>
        <tr r="V10" s="1"/>
        <tr r="AA56" s="1"/>
      </tp>
      <tp t="s">
        <v/>
        <stp/>
        <stp>P</stp>
        <stp>0</stp>
        <stp>IR</stp>
        <stp>ES03M</stp>
        <stp>BID_Close</stp>
        <stp>45842</stp>
        <stp/>
        <tr r="R51" s="1"/>
      </tp>
      <tp t="s">
        <v/>
        <stp/>
        <stp>P</stp>
        <stp>0</stp>
        <stp>IR</stp>
        <stp>EU03M</stp>
        <stp>BID_Close</stp>
        <stp>45842</stp>
        <stp/>
        <tr r="V51" s="1"/>
      </tp>
      <tp>
        <v>2.0419999999999998</v>
        <stp/>
        <stp>P</stp>
        <stp>0</stp>
        <stp>IR</stp>
        <stp>PT03Y</stp>
        <stp>BID_Close</stp>
        <stp>45842</stp>
        <stp/>
        <tr r="AF56" s="1"/>
      </tp>
      <tp t="s">
        <v/>
        <stp/>
        <stp>P</stp>
        <stp>0</stp>
        <stp>IR</stp>
        <stp>DE03M</stp>
        <stp>BID_Close</stp>
        <stp>45842</stp>
        <stp/>
        <tr r="K51" s="1"/>
      </tp>
      <tp>
        <v>5.7750000000000004</v>
        <stp/>
        <stp>P</stp>
        <stp>0</stp>
        <stp>IR</stp>
        <stp>PH03Y</stp>
        <stp>BID_Close</stp>
        <stp>45842</stp>
        <stp/>
        <tr r="AI56" s="1"/>
      </tp>
      <tp t="s">
        <v/>
        <stp/>
        <stp>P</stp>
        <stp>0</stp>
        <stp>IR</stp>
        <stp>DK03M</stp>
        <stp>BID_Close</stp>
        <stp>45842</stp>
        <stp/>
        <tr r="J51" s="1"/>
      </tp>
      <tp t="s">
        <v/>
        <stp/>
        <stp>P</stp>
        <stp>0</stp>
        <stp>IR</stp>
        <stp>PL03Y</stp>
        <stp>BID_Close</stp>
        <stp>45842</stp>
        <stp/>
        <tr r="AG56" s="1"/>
      </tp>
      <tp t="s">
        <v/>
        <stp/>
        <stp>P</stp>
        <stp>0</stp>
        <stp>IR</stp>
        <stp>CA03M</stp>
        <stp>BID_Close</stp>
        <stp>45842</stp>
        <stp/>
        <tr r="AB51" s="1"/>
      </tp>
      <tp t="s">
        <v/>
        <stp/>
        <stp>P</stp>
        <stp>0</stp>
        <stp>IR</stp>
        <stp>CO03M</stp>
        <stp>BID_Close</stp>
        <stp>45842</stp>
        <stp/>
        <tr r="AC51" s="1"/>
      </tp>
      <tp t="s">
        <v/>
        <stp/>
        <stp>P</stp>
        <stp>0</stp>
        <stp>IR</stp>
        <stp>BR03M</stp>
        <stp>BID_Close</stp>
        <stp>45842</stp>
        <stp/>
        <tr r="P51" s="1"/>
      </tp>
      <tp t="s">
        <v/>
        <stp/>
        <stp>P</stp>
        <stp>0</stp>
        <stp>IR</stp>
        <stp>BE03M</stp>
        <stp>BID_Close</stp>
        <stp>45842</stp>
        <stp/>
        <tr r="O51" s="1"/>
      </tp>
      <tp>
        <v>3.8460000000000001</v>
        <stp/>
        <stp>P</stp>
        <stp>0</stp>
        <stp>IR</stp>
        <stp>US03Y</stp>
        <stp>BID_Close</stp>
        <stp>45842</stp>
        <stp/>
        <tr r="N56" s="1"/>
        <tr r="D37" s="1"/>
        <tr r="D15" s="1"/>
      </tp>
      <tp t="s">
        <v/>
        <stp/>
        <stp>P</stp>
        <stp>0</stp>
        <stp>IR</stp>
        <stp>AU03M</stp>
        <stp>BID_Close</stp>
        <stp>45842</stp>
        <stp/>
        <tr r="AK51" s="1"/>
      </tp>
      <tp>
        <v>33.098999999999997</v>
        <stp/>
        <stp>P</stp>
        <stp>0</stp>
        <stp>IR</stp>
        <stp>TR03Y</stp>
        <stp>BID_Close</stp>
        <stp>45842</stp>
        <stp/>
        <tr r="AE56" s="1"/>
      </tp>
      <tp t="s">
        <v/>
        <stp/>
        <stp>P</stp>
        <stp>0</stp>
        <stp>IR</stp>
        <stp>TW03Y</stp>
        <stp>BID_Close</stp>
        <stp>45842</stp>
        <stp/>
        <tr r="I56" s="1"/>
      </tp>
      <tp t="s">
        <v/>
        <stp/>
        <stp>P</stp>
        <stp>0</stp>
        <stp>IR</stp>
        <stp>TH03Y</stp>
        <stp>BID_Close</stp>
        <stp>45842</stp>
        <stp/>
        <tr r="AD56" s="1"/>
      </tp>
      <tp>
        <v>0.80369999999999997</v>
        <stp/>
        <stp>P</stp>
        <stp>0</stp>
        <stp>IR</stp>
        <stp>JP03Y</stp>
        <stp>BID_Close</stp>
        <stp>45842</stp>
        <stp/>
        <tr r="M10" s="1"/>
        <tr r="Z56" s="1"/>
      </tp>
      <tp>
        <v>2.2665999999999999</v>
        <stp/>
        <stp>P</stp>
        <stp>0</stp>
        <stp>IR</stp>
        <stp>IT03Y</stp>
        <stp>BID_Close</stp>
        <stp>45842</stp>
        <stp/>
        <tr r="AH10" s="1"/>
        <tr r="W56" s="1"/>
      </tp>
      <tp>
        <v>1.9804999999999999</v>
        <stp/>
        <stp>P</stp>
        <stp>0</stp>
        <stp>IR</stp>
        <stp>IE03Y</stp>
        <stp>BID_Close</stp>
        <stp>45842</stp>
        <stp/>
        <tr r="T56" s="1"/>
      </tp>
      <tp>
        <v>6.2</v>
        <stp/>
        <stp>P</stp>
        <stp>0</stp>
        <stp>IR</stp>
        <stp>ID03Y</stp>
        <stp>BID_Close</stp>
        <stp>45842</stp>
        <stp/>
        <tr r="Y56" s="1"/>
      </tp>
      <tp t="s">
        <v/>
        <stp/>
        <stp>P</stp>
        <stp>0</stp>
        <stp>IR</stp>
        <stp>IN03Y</stp>
        <stp>BID_Close</stp>
        <stp>45842</stp>
        <stp/>
        <tr r="X56" s="1"/>
      </tp>
      <tp t="s">
        <v/>
        <stp/>
        <stp>P</stp>
        <stp>0</stp>
        <stp>IR</stp>
        <stp>HU03Y</stp>
        <stp>BID_Close</stp>
        <stp>45842</stp>
        <stp/>
        <tr r="AJ56" s="1"/>
      </tp>
      <tp>
        <v>1.92</v>
        <stp/>
        <stp>P</stp>
        <stp>0</stp>
        <stp>IR</stp>
        <stp>HK03Y</stp>
        <stp>BID_Close</stp>
        <stp>45842</stp>
        <stp/>
        <tr r="S10" s="1"/>
        <tr r="AL56" s="1"/>
      </tp>
      <tp t="s">
        <v/>
        <stp/>
        <stp>P</stp>
        <stp>0</stp>
        <stp>IR</stp>
        <stp>NZ03Y</stp>
        <stp>BID_Close</stp>
        <stp>45842</stp>
        <stp/>
        <tr r="H56" s="1"/>
      </tp>
      <tp>
        <v>2.0192999999999999</v>
        <stp/>
        <stp>P</stp>
        <stp>0</stp>
        <stp>IR</stp>
        <stp>NL03Y</stp>
        <stp>BID_Close</stp>
        <stp>45842</stp>
        <stp/>
        <tr r="F56" s="1"/>
      </tp>
      <tp t="s">
        <v/>
        <stp/>
        <stp>P</stp>
        <stp>0</stp>
        <stp>IR</stp>
        <stp>NO03Y</stp>
        <stp>BID_Close</stp>
        <stp>45842</stp>
        <stp/>
        <tr r="G56" s="1"/>
      </tp>
      <tp>
        <v>3.145</v>
        <stp/>
        <stp>P</stp>
        <stp>0</stp>
        <stp>IR</stp>
        <stp>MY03Y</stp>
        <stp>BID_Close</stp>
        <stp>45842</stp>
        <stp/>
        <tr r="L56" s="1"/>
      </tp>
      <tp>
        <v>8.3209999999999997</v>
        <stp/>
        <stp>P</stp>
        <stp>0</stp>
        <stp>IR</stp>
        <stp>MX03Y</stp>
        <stp>BID_Close</stp>
        <stp>45842</stp>
        <stp/>
        <tr r="M56" s="1"/>
      </tp>
      <tp t="s">
        <v/>
        <stp/>
        <stp>P</stp>
        <stp>0</stp>
        <stp>IR</stp>
        <stp>CA03Y</stp>
        <stp>BID_Close</stp>
        <stp>45842</stp>
        <stp/>
        <tr r="AB56" s="1"/>
      </tp>
      <tp>
        <v>10.132</v>
        <stp/>
        <stp>P</stp>
        <stp>0</stp>
        <stp>IR</stp>
        <stp>CO03Y</stp>
        <stp>BID_Close</stp>
        <stp>45842</stp>
        <stp/>
        <tr r="AC56" s="1"/>
      </tp>
      <tp>
        <v>17.707999999999998</v>
        <stp/>
        <stp>P</stp>
        <stp>0</stp>
        <stp>IR</stp>
        <stp>BR03Y</stp>
        <stp>BID_Close</stp>
        <stp>45842</stp>
        <stp/>
        <tr r="P56" s="1"/>
      </tp>
      <tp>
        <v>2.1135000000000002</v>
        <stp/>
        <stp>P</stp>
        <stp>0</stp>
        <stp>IR</stp>
        <stp>BE03Y</stp>
        <stp>BID_Close</stp>
        <stp>45842</stp>
        <stp/>
        <tr r="O56" s="1"/>
      </tp>
      <tp>
        <v>4.3540000000000001</v>
        <stp/>
        <stp>P</stp>
        <stp>0</stp>
        <stp>IR</stp>
        <stp>US03M</stp>
        <stp>BID_Close</stp>
        <stp>45842</stp>
        <stp/>
        <tr r="N51" s="1"/>
        <tr r="D32" s="1"/>
        <tr r="D10" s="1"/>
      </tp>
      <tp>
        <v>3.3048999999999999</v>
        <stp/>
        <stp>P</stp>
        <stp>0</stp>
        <stp>IR</stp>
        <stp>AU03Y</stp>
        <stp>BID_Close</stp>
        <stp>45842</stp>
        <stp/>
        <tr r="P10" s="1"/>
        <tr r="AK56" s="1"/>
      </tp>
      <tp t="s">
        <v/>
        <stp/>
        <stp>P</stp>
        <stp>0</stp>
        <stp>IR</stp>
        <stp>TR03M</stp>
        <stp>BID_Close</stp>
        <stp>45842</stp>
        <stp/>
        <tr r="AE51" s="1"/>
      </tp>
      <tp t="s">
        <v/>
        <stp/>
        <stp>P</stp>
        <stp>0</stp>
        <stp>IR</stp>
        <stp>TW03M</stp>
        <stp>BID_Close</stp>
        <stp>45842</stp>
        <stp/>
        <tr r="I51" s="1"/>
      </tp>
      <tp t="s">
        <v/>
        <stp/>
        <stp>P</stp>
        <stp>0</stp>
        <stp>IR</stp>
        <stp>TH03M</stp>
        <stp>BID_Close</stp>
        <stp>45842</stp>
        <stp/>
        <tr r="AD51" s="1"/>
      </tp>
      <tp t="s">
        <v/>
        <stp/>
        <stp>P</stp>
        <stp>0</stp>
        <stp>IR</stp>
        <stp>GR03Y</stp>
        <stp>BID_Close</stp>
        <stp>45842</stp>
        <stp/>
        <tr r="E56" s="1"/>
      </tp>
      <tp>
        <v>3.6602999999999999</v>
        <stp/>
        <stp>P</stp>
        <stp>0</stp>
        <stp>IR</stp>
        <stp>GB03Y</stp>
        <stp>BID_Close</stp>
        <stp>45842</stp>
        <stp/>
        <tr r="G10" s="1"/>
        <tr r="U56" s="1"/>
      </tp>
      <tp t="s">
        <v/>
        <stp/>
        <stp>P</stp>
        <stp>0</stp>
        <stp>IR</stp>
        <stp>SE03M</stp>
        <stp>BID_Close</stp>
        <stp>45842</stp>
        <stp/>
        <tr r="Q51" s="1"/>
      </tp>
      <tp t="s">
        <v/>
        <stp/>
        <stp>P</stp>
        <stp>0</stp>
        <stp>IR</stp>
        <stp>SG03M</stp>
        <stp>BID_Close</stp>
        <stp>45842</stp>
        <stp/>
        <tr r="S51" s="1"/>
      </tp>
      <tp>
        <v>2.3462999999999998</v>
        <stp/>
        <stp>P</stp>
        <stp>0</stp>
        <stp>IR</stp>
        <stp>FR03Y</stp>
        <stp>BID_Close</stp>
        <stp>45842</stp>
        <stp/>
        <tr r="AE10" s="1"/>
        <tr r="AH56" s="1"/>
      </tp>
      <tp t="s">
        <v/>
        <stp/>
        <stp>P</stp>
        <stp>0</stp>
        <stp>IR</stp>
        <stp>RM03M</stp>
        <stp>BID_Close</stp>
        <stp>45842</stp>
        <stp/>
        <tr r="AA51" s="1"/>
      </tp>
      <tp>
        <v>2.1703999999999999</v>
        <stp/>
        <stp>P</stp>
        <stp>0</stp>
        <stp>IR</stp>
        <stp>ES03Y</stp>
        <stp>BID_Close</stp>
        <stp>45842</stp>
        <stp/>
        <tr r="R56" s="1"/>
      </tp>
      <tp>
        <v>1.8698999999999999</v>
        <stp/>
        <stp>P</stp>
        <stp>0</stp>
        <stp>IR</stp>
        <stp>EU03Y</stp>
        <stp>BID_Close</stp>
        <stp>45842</stp>
        <stp/>
        <tr r="J10" s="1"/>
        <tr r="V56" s="1"/>
      </tp>
      <tp t="s">
        <v/>
        <stp/>
        <stp>P</stp>
        <stp>0</stp>
        <stp>IR</stp>
        <stp>PT03M</stp>
        <stp>BID_Close</stp>
        <stp>45842</stp>
        <stp/>
        <tr r="AF51" s="1"/>
      </tp>
      <tp>
        <v>1.8698999999999999</v>
        <stp/>
        <stp>P</stp>
        <stp>0</stp>
        <stp>IR</stp>
        <stp>DE03Y</stp>
        <stp>BID_Close</stp>
        <stp>45842</stp>
        <stp/>
        <tr r="AB10" s="1"/>
        <tr r="K56" s="1"/>
      </tp>
      <tp t="s">
        <v/>
        <stp/>
        <stp>P</stp>
        <stp>0</stp>
        <stp>IR</stp>
        <stp>PH03M</stp>
        <stp>BID_Close</stp>
        <stp>45842</stp>
        <stp/>
        <tr r="AI51" s="1"/>
      </tp>
      <tp>
        <v>1.6662999999999999</v>
        <stp/>
        <stp>P</stp>
        <stp>0</stp>
        <stp>IR</stp>
        <stp>DK03Y</stp>
        <stp>BID_Close</stp>
        <stp>45842</stp>
        <stp/>
        <tr r="J56" s="1"/>
      </tp>
      <tp t="s">
        <v/>
        <stp/>
        <stp>P</stp>
        <stp>0</stp>
        <stp>IR</stp>
        <stp>PL03M</stp>
        <stp>BID_Close</stp>
        <stp>45842</stp>
        <stp/>
        <tr r="AG51" s="1"/>
      </tp>
      <tp t="s">
        <v/>
        <stp/>
        <stp>P</stp>
        <stp>0</stp>
        <stp>IR</stp>
        <stp>SE30Y</stp>
        <stp>BID_Close</stp>
        <stp>45842</stp>
        <stp/>
        <tr r="Q61" s="1"/>
      </tp>
      <tp>
        <v>2.3923000000000001</v>
        <stp/>
        <stp>P</stp>
        <stp>0</stp>
        <stp>IR</stp>
        <stp>SE20Y</stp>
        <stp>BID_Close</stp>
        <stp>45842</stp>
        <stp/>
        <tr r="Q60" s="1"/>
      </tp>
      <tp>
        <v>2.2263000000000002</v>
        <stp/>
        <stp>P</stp>
        <stp>0</stp>
        <stp>IR</stp>
        <stp>SE10Y</stp>
        <stp>BID_Close</stp>
        <stp>45842</stp>
        <stp/>
        <tr r="Q59" s="1"/>
      </tp>
      <tp>
        <v>2.2450000000000001</v>
        <stp/>
        <stp>P</stp>
        <stp>0</stp>
        <stp>IR</stp>
        <stp>SG30Y</stp>
        <stp>BID_Close</stp>
        <stp>45842</stp>
        <stp/>
        <tr r="S61" s="1"/>
      </tp>
      <tp>
        <v>2.2149999999999999</v>
        <stp/>
        <stp>P</stp>
        <stp>0</stp>
        <stp>IR</stp>
        <stp>SG20Y</stp>
        <stp>BID_Close</stp>
        <stp>45842</stp>
        <stp/>
        <tr r="S60" s="1"/>
      </tp>
      <tp>
        <v>2.13</v>
        <stp/>
        <stp>P</stp>
        <stp>0</stp>
        <stp>IR</stp>
        <stp>SG10Y</stp>
        <stp>BID_Close</stp>
        <stp>45842</stp>
        <stp/>
        <tr r="S59" s="1"/>
      </tp>
      <tp>
        <v>1.8698999999999999</v>
        <stp/>
        <stp>P</stp>
        <stp>0</stp>
        <stp>IR</stp>
        <stp>RM30Y</stp>
        <stp>BID_Close</stp>
        <stp>45842</stp>
        <stp/>
        <tr r="V16" s="1"/>
        <tr r="AA61" s="1"/>
      </tp>
      <tp>
        <v>1.9107000000000001</v>
        <stp/>
        <stp>P</stp>
        <stp>0</stp>
        <stp>IR</stp>
        <stp>RM20Y</stp>
        <stp>BID_Close</stp>
        <stp>45842</stp>
        <stp/>
        <tr r="V15" s="1"/>
        <tr r="AA60" s="1"/>
      </tp>
      <tp>
        <v>1.6620999999999999</v>
        <stp/>
        <stp>P</stp>
        <stp>0</stp>
        <stp>IR</stp>
        <stp>RM10Y</stp>
        <stp>BID_Close</stp>
        <stp>45842</stp>
        <stp/>
        <tr r="V13" s="1"/>
        <tr r="AA59" s="1"/>
      </tp>
      <tp t="s">
        <v/>
        <stp/>
        <stp>P</stp>
        <stp>0</stp>
        <stp>IR</stp>
        <stp>PT30Y</stp>
        <stp>BID_Close</stp>
        <stp>45842</stp>
        <stp/>
        <tr r="AF61" s="1"/>
      </tp>
      <tp>
        <v>3.6282999999999999</v>
        <stp/>
        <stp>P</stp>
        <stp>0</stp>
        <stp>IR</stp>
        <stp>PT20Y</stp>
        <stp>BID_Close</stp>
        <stp>45842</stp>
        <stp/>
        <tr r="AF60" s="1"/>
      </tp>
      <tp>
        <v>3.0497000000000001</v>
        <stp/>
        <stp>P</stp>
        <stp>0</stp>
        <stp>IR</stp>
        <stp>PT10Y</stp>
        <stp>BID_Close</stp>
        <stp>45842</stp>
        <stp/>
        <tr r="AF59" s="1"/>
      </tp>
      <tp t="s">
        <v/>
        <stp/>
        <stp>P</stp>
        <stp>0</stp>
        <stp>IR</stp>
        <stp>PH30Y</stp>
        <stp>BID_Close</stp>
        <stp>45842</stp>
        <stp/>
        <tr r="AI61" s="1"/>
      </tp>
      <tp>
        <v>6.6</v>
        <stp/>
        <stp>P</stp>
        <stp>0</stp>
        <stp>IR</stp>
        <stp>PH20Y</stp>
        <stp>BID_Close</stp>
        <stp>45842</stp>
        <stp/>
        <tr r="AI60" s="1"/>
      </tp>
      <tp>
        <v>6.24</v>
        <stp/>
        <stp>P</stp>
        <stp>0</stp>
        <stp>IR</stp>
        <stp>PH10Y</stp>
        <stp>BID_Close</stp>
        <stp>45842</stp>
        <stp/>
        <tr r="AI59" s="1"/>
      </tp>
      <tp t="s">
        <v/>
        <stp/>
        <stp>P</stp>
        <stp>0</stp>
        <stp>IR</stp>
        <stp>PL30Y</stp>
        <stp>BID_Close</stp>
        <stp>45842</stp>
        <stp/>
        <tr r="AG61" s="1"/>
      </tp>
      <tp t="s">
        <v/>
        <stp/>
        <stp>P</stp>
        <stp>0</stp>
        <stp>IR</stp>
        <stp>PL20Y</stp>
        <stp>BID_Close</stp>
        <stp>45842</stp>
        <stp/>
        <tr r="AG60" s="1"/>
      </tp>
      <tp>
        <v>5.4740000000000002</v>
        <stp/>
        <stp>P</stp>
        <stp>0</stp>
        <stp>IR</stp>
        <stp>PL10Y</stp>
        <stp>BID_Close</stp>
        <stp>45842</stp>
        <stp/>
        <tr r="AG59" s="1"/>
      </tp>
      <tp>
        <v>4.8639999999999999</v>
        <stp/>
        <stp>P</stp>
        <stp>0</stp>
        <stp>IR</stp>
        <stp>US30Y</stp>
        <stp>BID_Close</stp>
        <stp>45842</stp>
        <stp/>
        <tr r="D20" s="1"/>
        <tr r="N61" s="1"/>
        <tr r="D42" s="1"/>
      </tp>
      <tp>
        <v>4.8680000000000003</v>
        <stp/>
        <stp>P</stp>
        <stp>0</stp>
        <stp>IR</stp>
        <stp>US20Y</stp>
        <stp>BID_Close</stp>
        <stp>45842</stp>
        <stp/>
        <tr r="D19" s="1"/>
        <tr r="D41" s="1"/>
        <tr r="N60" s="1"/>
      </tp>
      <tp>
        <v>4.3460000000000001</v>
        <stp/>
        <stp>P</stp>
        <stp>0</stp>
        <stp>IR</stp>
        <stp>US10Y</stp>
        <stp>BID_Close</stp>
        <stp>45842</stp>
        <stp/>
        <tr r="N59" s="1"/>
        <tr r="D40" s="1"/>
        <tr r="D18" s="1"/>
      </tp>
      <tp t="s">
        <v/>
        <stp/>
        <stp>P</stp>
        <stp>0</stp>
        <stp>IR</stp>
        <stp>TR30Y</stp>
        <stp>BID_Close</stp>
        <stp>45842</stp>
        <stp/>
        <tr r="AE61" s="1"/>
      </tp>
      <tp t="s">
        <v/>
        <stp/>
        <stp>P</stp>
        <stp>0</stp>
        <stp>IR</stp>
        <stp>TR20Y</stp>
        <stp>BID_Close</stp>
        <stp>45842</stp>
        <stp/>
        <tr r="AE60" s="1"/>
      </tp>
      <tp>
        <v>28.655999999999999</v>
        <stp/>
        <stp>P</stp>
        <stp>0</stp>
        <stp>IR</stp>
        <stp>TR10Y</stp>
        <stp>BID_Close</stp>
        <stp>45842</stp>
        <stp/>
        <tr r="AE59" s="1"/>
      </tp>
      <tp>
        <v>1.7050000000000001</v>
        <stp/>
        <stp>P</stp>
        <stp>0</stp>
        <stp>IR</stp>
        <stp>TW30Y</stp>
        <stp>BID_Close</stp>
        <stp>45842</stp>
        <stp/>
        <tr r="Y12" s="1"/>
        <tr r="I61" s="1"/>
      </tp>
      <tp>
        <v>1.58</v>
        <stp/>
        <stp>P</stp>
        <stp>0</stp>
        <stp>IR</stp>
        <stp>TW20Y</stp>
        <stp>BID_Close</stp>
        <stp>45842</stp>
        <stp/>
        <tr r="Y11" s="1"/>
        <tr r="I60" s="1"/>
      </tp>
      <tp>
        <v>1.41</v>
        <stp/>
        <stp>P</stp>
        <stp>0</stp>
        <stp>IR</stp>
        <stp>TW10Y</stp>
        <stp>BID_Close</stp>
        <stp>45842</stp>
        <stp/>
        <tr r="Y10" s="1"/>
        <tr r="I59" s="1"/>
      </tp>
      <tp t="s">
        <v/>
        <stp/>
        <stp>P</stp>
        <stp>0</stp>
        <stp>IR</stp>
        <stp>TH30Y</stp>
        <stp>BID_Close</stp>
        <stp>45842</stp>
        <stp/>
        <tr r="AD61" s="1"/>
      </tp>
      <tp t="s">
        <v/>
        <stp/>
        <stp>P</stp>
        <stp>0</stp>
        <stp>IR</stp>
        <stp>TH20Y</stp>
        <stp>BID_Close</stp>
        <stp>45842</stp>
        <stp/>
        <tr r="AD60" s="1"/>
      </tp>
      <tp>
        <v>1.615</v>
        <stp/>
        <stp>P</stp>
        <stp>0</stp>
        <stp>IR</stp>
        <stp>TH10Y</stp>
        <stp>BID_Close</stp>
        <stp>45842</stp>
        <stp/>
        <tr r="AD59" s="1"/>
      </tp>
      <tp>
        <v>3.1331000000000002</v>
        <stp/>
        <stp>P</stp>
        <stp>0</stp>
        <stp>IR</stp>
        <stp>JP40Y</stp>
        <stp>BID_Close</stp>
        <stp>45842</stp>
        <stp/>
        <tr r="M21" s="1"/>
      </tp>
      <tp>
        <v>2.8607</v>
        <stp/>
        <stp>P</stp>
        <stp>0</stp>
        <stp>IR</stp>
        <stp>JP30Y</stp>
        <stp>BID_Close</stp>
        <stp>45842</stp>
        <stp/>
        <tr r="M20" s="1"/>
        <tr r="Z61" s="1"/>
      </tp>
      <tp>
        <v>2.3671000000000002</v>
        <stp/>
        <stp>P</stp>
        <stp>0</stp>
        <stp>IR</stp>
        <stp>JP20Y</stp>
        <stp>BID_Close</stp>
        <stp>45842</stp>
        <stp/>
        <tr r="M19" s="1"/>
        <tr r="Z60" s="1"/>
      </tp>
      <tp>
        <v>1.4551000000000001</v>
        <stp/>
        <stp>P</stp>
        <stp>0</stp>
        <stp>IR</stp>
        <stp>JP10Y</stp>
        <stp>BID_Close</stp>
        <stp>45842</stp>
        <stp/>
        <tr r="M17" s="1"/>
        <tr r="Z59" s="1"/>
      </tp>
      <tp>
        <v>4.3158000000000003</v>
        <stp/>
        <stp>P</stp>
        <stp>0</stp>
        <stp>IR</stp>
        <stp>IT30Y</stp>
        <stp>BID_Close</stp>
        <stp>45842</stp>
        <stp/>
        <tr r="AH21" s="1"/>
        <tr r="W61" s="1"/>
      </tp>
      <tp>
        <v>3.9733999999999998</v>
        <stp/>
        <stp>P</stp>
        <stp>0</stp>
        <stp>IR</stp>
        <stp>IT20Y</stp>
        <stp>BID_Close</stp>
        <stp>45842</stp>
        <stp/>
        <tr r="AH19" s="1"/>
        <tr r="W60" s="1"/>
      </tp>
      <tp>
        <v>3.4558</v>
        <stp/>
        <stp>P</stp>
        <stp>0</stp>
        <stp>IR</stp>
        <stp>IT10Y</stp>
        <stp>BID_Close</stp>
        <stp>45842</stp>
        <stp/>
        <tr r="AH17" s="1"/>
        <tr r="W59" s="1"/>
      </tp>
      <tp t="s">
        <v/>
        <stp/>
        <stp>P</stp>
        <stp>0</stp>
        <stp>IR</stp>
        <stp>IE30Y</stp>
        <stp>BID_Close</stp>
        <stp>45842</stp>
        <stp/>
        <tr r="T61" s="1"/>
      </tp>
      <tp t="s">
        <v/>
        <stp/>
        <stp>P</stp>
        <stp>0</stp>
        <stp>IR</stp>
        <stp>IE20Y</stp>
        <stp>BID_Close</stp>
        <stp>45842</stp>
        <stp/>
        <tr r="T60" s="1"/>
      </tp>
      <tp>
        <v>2.8864999999999998</v>
        <stp/>
        <stp>P</stp>
        <stp>0</stp>
        <stp>IR</stp>
        <stp>IE10Y</stp>
        <stp>BID_Close</stp>
        <stp>45842</stp>
        <stp/>
        <tr r="T59" s="1"/>
      </tp>
      <tp>
        <v>7.0090000000000003</v>
        <stp/>
        <stp>P</stp>
        <stp>0</stp>
        <stp>IR</stp>
        <stp>ID30Y</stp>
        <stp>BID_Close</stp>
        <stp>45842</stp>
        <stp/>
        <tr r="Y61" s="1"/>
      </tp>
      <tp>
        <v>6.98</v>
        <stp/>
        <stp>P</stp>
        <stp>0</stp>
        <stp>IR</stp>
        <stp>ID20Y</stp>
        <stp>BID_Close</stp>
        <stp>45842</stp>
        <stp/>
        <tr r="Y60" s="1"/>
      </tp>
      <tp>
        <v>6.5910000000000002</v>
        <stp/>
        <stp>P</stp>
        <stp>0</stp>
        <stp>IR</stp>
        <stp>ID10Y</stp>
        <stp>BID_Close</stp>
        <stp>45842</stp>
        <stp/>
        <tr r="Y59" s="1"/>
      </tp>
      <tp t="s">
        <v/>
        <stp/>
        <stp>P</stp>
        <stp>0</stp>
        <stp>IR</stp>
        <stp>IN30Y</stp>
        <stp>BID_Close</stp>
        <stp>45842</stp>
        <stp/>
        <tr r="X61" s="1"/>
      </tp>
      <tp>
        <v>6.82</v>
        <stp/>
        <stp>P</stp>
        <stp>0</stp>
        <stp>IR</stp>
        <stp>IN20Y</stp>
        <stp>BID_Close</stp>
        <stp>45842</stp>
        <stp/>
        <tr r="X60" s="1"/>
      </tp>
      <tp>
        <v>6.359</v>
        <stp/>
        <stp>P</stp>
        <stp>0</stp>
        <stp>IR</stp>
        <stp>IN10Y</stp>
        <stp>BID_Close</stp>
        <stp>45842</stp>
        <stp/>
        <tr r="X59" s="1"/>
      </tp>
      <tp t="s">
        <v/>
        <stp/>
        <stp>P</stp>
        <stp>0</stp>
        <stp>IR</stp>
        <stp>HU30Y</stp>
        <stp>BID_Close</stp>
        <stp>45842</stp>
        <stp/>
        <tr r="AJ61" s="1"/>
      </tp>
      <tp t="s">
        <v/>
        <stp/>
        <stp>P</stp>
        <stp>0</stp>
        <stp>IR</stp>
        <stp>HU20Y</stp>
        <stp>BID_Close</stp>
        <stp>45842</stp>
        <stp/>
        <tr r="AJ60" s="1"/>
      </tp>
      <tp>
        <v>6.88</v>
        <stp/>
        <stp>P</stp>
        <stp>0</stp>
        <stp>IR</stp>
        <stp>HU10Y</stp>
        <stp>BID_Close</stp>
        <stp>45842</stp>
        <stp/>
        <tr r="AJ59" s="1"/>
      </tp>
      <tp t="s">
        <v/>
        <stp/>
        <stp>P</stp>
        <stp>0</stp>
        <stp>IR</stp>
        <stp>HK30Y</stp>
        <stp>BID_Close</stp>
        <stp>45842</stp>
        <stp/>
        <tr r="AL61" s="1"/>
      </tp>
      <tp t="s">
        <v/>
        <stp/>
        <stp>P</stp>
        <stp>0</stp>
        <stp>IR</stp>
        <stp>HK20Y</stp>
        <stp>BID_Close</stp>
        <stp>45842</stp>
        <stp/>
        <tr r="AL60" s="1"/>
      </tp>
      <tp t="s">
        <v/>
        <stp/>
        <stp>P</stp>
        <stp>0</stp>
        <stp>IR</stp>
        <stp>HK10Y</stp>
        <stp>BID_Close</stp>
        <stp>45842</stp>
        <stp/>
        <tr r="AL59" s="1"/>
      </tp>
      <tp t="s">
        <v/>
        <stp/>
        <stp>P</stp>
        <stp>0</stp>
        <stp>IR</stp>
        <stp>NZ30Y</stp>
        <stp>BID_Close</stp>
        <stp>45842</stp>
        <stp/>
        <tr r="H61" s="1"/>
      </tp>
      <tp>
        <v>4.9759000000000002</v>
        <stp/>
        <stp>P</stp>
        <stp>0</stp>
        <stp>IR</stp>
        <stp>NZ20Y</stp>
        <stp>BID_Close</stp>
        <stp>45842</stp>
        <stp/>
        <tr r="H60" s="1"/>
      </tp>
      <tp>
        <v>4.5438999999999998</v>
        <stp/>
        <stp>P</stp>
        <stp>0</stp>
        <stp>IR</stp>
        <stp>NZ10Y</stp>
        <stp>BID_Close</stp>
        <stp>45842</stp>
        <stp/>
        <tr r="H59" s="1"/>
      </tp>
      <tp>
        <v>3.1861000000000002</v>
        <stp/>
        <stp>P</stp>
        <stp>0</stp>
        <stp>IR</stp>
        <stp>NL30Y</stp>
        <stp>BID_Close</stp>
        <stp>45842</stp>
        <stp/>
        <tr r="F61" s="1"/>
      </tp>
      <tp>
        <v>3.1160000000000001</v>
        <stp/>
        <stp>P</stp>
        <stp>0</stp>
        <stp>IR</stp>
        <stp>NL20Y</stp>
        <stp>BID_Close</stp>
        <stp>45842</stp>
        <stp/>
        <tr r="F60" s="1"/>
      </tp>
      <tp>
        <v>2.7894000000000001</v>
        <stp/>
        <stp>P</stp>
        <stp>0</stp>
        <stp>IR</stp>
        <stp>NL10Y</stp>
        <stp>BID_Close</stp>
        <stp>45842</stp>
        <stp/>
        <tr r="F59" s="1"/>
      </tp>
      <tp t="s">
        <v/>
        <stp/>
        <stp>P</stp>
        <stp>0</stp>
        <stp>IR</stp>
        <stp>NO30Y</stp>
        <stp>BID_Close</stp>
        <stp>45842</stp>
        <stp/>
        <tr r="G61" s="1"/>
      </tp>
      <tp t="s">
        <v/>
        <stp/>
        <stp>P</stp>
        <stp>0</stp>
        <stp>IR</stp>
        <stp>NO20Y</stp>
        <stp>BID_Close</stp>
        <stp>45842</stp>
        <stp/>
        <tr r="G60" s="1"/>
      </tp>
      <tp>
        <v>3.7949999999999999</v>
        <stp/>
        <stp>P</stp>
        <stp>0</stp>
        <stp>IR</stp>
        <stp>NO10Y</stp>
        <stp>BID_Close</stp>
        <stp>45842</stp>
        <stp/>
        <tr r="G59" s="1"/>
      </tp>
      <tp>
        <v>4.0149999999999997</v>
        <stp/>
        <stp>P</stp>
        <stp>0</stp>
        <stp>IR</stp>
        <stp>MY30Y</stp>
        <stp>BID_Close</stp>
        <stp>45842</stp>
        <stp/>
        <tr r="L61" s="1"/>
      </tp>
      <tp>
        <v>3.7949999999999999</v>
        <stp/>
        <stp>P</stp>
        <stp>0</stp>
        <stp>IR</stp>
        <stp>MY20Y</stp>
        <stp>BID_Close</stp>
        <stp>45842</stp>
        <stp/>
        <tr r="L60" s="1"/>
      </tp>
      <tp>
        <v>3.5150000000000001</v>
        <stp/>
        <stp>P</stp>
        <stp>0</stp>
        <stp>IR</stp>
        <stp>MY10Y</stp>
        <stp>BID_Close</stp>
        <stp>45842</stp>
        <stp/>
        <tr r="L59" s="1"/>
      </tp>
      <tp>
        <v>9.81</v>
        <stp/>
        <stp>P</stp>
        <stp>0</stp>
        <stp>IR</stp>
        <stp>MX30Y</stp>
        <stp>BID_Close</stp>
        <stp>45842</stp>
        <stp/>
        <tr r="M61" s="1"/>
      </tp>
      <tp>
        <v>9.7530000000000001</v>
        <stp/>
        <stp>P</stp>
        <stp>0</stp>
        <stp>IR</stp>
        <stp>MX20Y</stp>
        <stp>BID_Close</stp>
        <stp>45842</stp>
        <stp/>
        <tr r="M60" s="1"/>
      </tp>
      <tp>
        <v>9.1419999999999995</v>
        <stp/>
        <stp>P</stp>
        <stp>0</stp>
        <stp>IR</stp>
        <stp>MX10Y</stp>
        <stp>BID_Close</stp>
        <stp>45842</stp>
        <stp/>
        <tr r="M59" s="1"/>
      </tp>
      <tp>
        <v>3.6705999999999999</v>
        <stp/>
        <stp>P</stp>
        <stp>0</stp>
        <stp>IR</stp>
        <stp>CA30Y</stp>
        <stp>BID_Close</stp>
        <stp>45842</stp>
        <stp/>
        <tr r="AK17" s="1"/>
        <tr r="AB61" s="1"/>
      </tp>
      <tp>
        <v>3.5668000000000002</v>
        <stp/>
        <stp>P</stp>
        <stp>0</stp>
        <stp>IR</stp>
        <stp>CA20Y</stp>
        <stp>BID_Close</stp>
        <stp>45842</stp>
        <stp/>
        <tr r="AK16" s="1"/>
        <tr r="AB60" s="1"/>
      </tp>
      <tp>
        <v>3.3561000000000001</v>
        <stp/>
        <stp>P</stp>
        <stp>0</stp>
        <stp>IR</stp>
        <stp>CA10Y</stp>
        <stp>BID_Close</stp>
        <stp>45842</stp>
        <stp/>
        <tr r="AK15" s="1"/>
        <tr r="AB59" s="1"/>
      </tp>
      <tp t="s">
        <v/>
        <stp/>
        <stp>P</stp>
        <stp>0</stp>
        <stp>IR</stp>
        <stp>CO30Y</stp>
        <stp>BID_Close</stp>
        <stp>45842</stp>
        <stp/>
        <tr r="AC61" s="1"/>
      </tp>
      <tp t="s">
        <v/>
        <stp/>
        <stp>P</stp>
        <stp>0</stp>
        <stp>IR</stp>
        <stp>CO20Y</stp>
        <stp>BID_Close</stp>
        <stp>45842</stp>
        <stp/>
        <tr r="AC60" s="1"/>
      </tp>
      <tp>
        <v>12.228</v>
        <stp/>
        <stp>P</stp>
        <stp>0</stp>
        <stp>IR</stp>
        <stp>CO10Y</stp>
        <stp>BID_Close</stp>
        <stp>45842</stp>
        <stp/>
        <tr r="AC59" s="1"/>
      </tp>
      <tp t="s">
        <v/>
        <stp/>
        <stp>P</stp>
        <stp>0</stp>
        <stp>IR</stp>
        <stp>BR30Y</stp>
        <stp>BID_Close</stp>
        <stp>45842</stp>
        <stp/>
        <tr r="P61" s="1"/>
      </tp>
      <tp t="s">
        <v/>
        <stp/>
        <stp>P</stp>
        <stp>0</stp>
        <stp>IR</stp>
        <stp>BR20Y</stp>
        <stp>BID_Close</stp>
        <stp>45842</stp>
        <stp/>
        <tr r="P60" s="1"/>
      </tp>
      <tp>
        <v>14.385999999999999</v>
        <stp/>
        <stp>P</stp>
        <stp>0</stp>
        <stp>IR</stp>
        <stp>BR10Y</stp>
        <stp>BID_Close</stp>
        <stp>45842</stp>
        <stp/>
        <tr r="P59" s="1"/>
      </tp>
      <tp>
        <v>3.9765000000000001</v>
        <stp/>
        <stp>P</stp>
        <stp>0</stp>
        <stp>IR</stp>
        <stp>BE30Y</stp>
        <stp>BID_Close</stp>
        <stp>45842</stp>
        <stp/>
        <tr r="O61" s="1"/>
      </tp>
      <tp>
        <v>3.7353000000000001</v>
        <stp/>
        <stp>P</stp>
        <stp>0</stp>
        <stp>IR</stp>
        <stp>BE20Y</stp>
        <stp>BID_Close</stp>
        <stp>45842</stp>
        <stp/>
        <tr r="O60" s="1"/>
      </tp>
      <tp>
        <v>3.1640999999999999</v>
        <stp/>
        <stp>P</stp>
        <stp>0</stp>
        <stp>IR</stp>
        <stp>BE10Y</stp>
        <stp>BID_Close</stp>
        <stp>45842</stp>
        <stp/>
        <tr r="O59" s="1"/>
      </tp>
      <tp>
        <v>4.8634000000000004</v>
        <stp/>
        <stp>P</stp>
        <stp>0</stp>
        <stp>IR</stp>
        <stp>AU30Y</stp>
        <stp>BID_Close</stp>
        <stp>45842</stp>
        <stp/>
        <tr r="P18" s="1"/>
        <tr r="AK61" s="1"/>
      </tp>
      <tp>
        <v>4.7594000000000003</v>
        <stp/>
        <stp>P</stp>
        <stp>0</stp>
        <stp>IR</stp>
        <stp>AU20Y</stp>
        <stp>BID_Close</stp>
        <stp>45842</stp>
        <stp/>
        <tr r="P17" s="1"/>
        <tr r="AK60" s="1"/>
      </tp>
      <tp>
        <v>4.202</v>
        <stp/>
        <stp>P</stp>
        <stp>0</stp>
        <stp>IR</stp>
        <stp>AU10Y</stp>
        <stp>BID_Close</stp>
        <stp>45842</stp>
        <stp/>
        <tr r="P15" s="1"/>
        <tr r="AK59" s="1"/>
      </tp>
      <tp t="s">
        <v/>
        <stp/>
        <stp>P</stp>
        <stp>0</stp>
        <stp>IR</stp>
        <stp>GR30Y</stp>
        <stp>BID_Close</stp>
        <stp>45842</stp>
        <stp/>
        <tr r="E61" s="1"/>
      </tp>
      <tp>
        <v>3.7602000000000002</v>
        <stp/>
        <stp>P</stp>
        <stp>0</stp>
        <stp>IR</stp>
        <stp>GR20Y</stp>
        <stp>BID_Close</stp>
        <stp>45842</stp>
        <stp/>
        <tr r="E60" s="1"/>
      </tp>
      <tp>
        <v>3.2844000000000002</v>
        <stp/>
        <stp>P</stp>
        <stp>0</stp>
        <stp>IR</stp>
        <stp>GR10Y</stp>
        <stp>BID_Close</stp>
        <stp>45842</stp>
        <stp/>
        <tr r="E59" s="1"/>
      </tp>
      <tp>
        <v>4.6820000000000004</v>
        <stp/>
        <stp>P</stp>
        <stp>0</stp>
        <stp>IR</stp>
        <stp>GB50Y</stp>
        <stp>BID_Close</stp>
        <stp>45842</stp>
        <stp/>
        <tr r="G23" s="1"/>
      </tp>
      <tp>
        <v>5.3414999999999999</v>
        <stp/>
        <stp>P</stp>
        <stp>0</stp>
        <stp>IR</stp>
        <stp>GB30Y</stp>
        <stp>BID_Close</stp>
        <stp>45842</stp>
        <stp/>
        <tr r="U61" s="1"/>
        <tr r="G22" s="1"/>
      </tp>
      <tp>
        <v>5.2237999999999998</v>
        <stp/>
        <stp>P</stp>
        <stp>0</stp>
        <stp>IR</stp>
        <stp>GB20Y</stp>
        <stp>BID_Close</stp>
        <stp>45842</stp>
        <stp/>
        <tr r="G20" s="1"/>
        <tr r="U60" s="1"/>
      </tp>
      <tp>
        <v>4.5445000000000002</v>
        <stp/>
        <stp>P</stp>
        <stp>0</stp>
        <stp>IR</stp>
        <stp>GB10Y</stp>
        <stp>BID_Close</stp>
        <stp>45842</stp>
        <stp/>
        <tr r="U59" s="1"/>
        <tr r="G17" s="1"/>
      </tp>
      <tp>
        <v>3.9039999999999999</v>
        <stp/>
        <stp>P</stp>
        <stp>0</stp>
        <stp>IR</stp>
        <stp>FR50Y</stp>
        <stp>BID_Close</stp>
        <stp>45842</stp>
        <stp/>
        <tr r="AE22" s="1"/>
      </tp>
      <tp>
        <v>4.0366</v>
        <stp/>
        <stp>P</stp>
        <stp>0</stp>
        <stp>IR</stp>
        <stp>FR30Y</stp>
        <stp>BID_Close</stp>
        <stp>45842</stp>
        <stp/>
        <tr r="AE21" s="1"/>
        <tr r="AH61" s="1"/>
      </tp>
      <tp>
        <v>3.7568000000000001</v>
        <stp/>
        <stp>P</stp>
        <stp>0</stp>
        <stp>IR</stp>
        <stp>FR20Y</stp>
        <stp>BID_Close</stp>
        <stp>45842</stp>
        <stp/>
        <tr r="AE19" s="1"/>
        <tr r="AH60" s="1"/>
      </tp>
      <tp>
        <v>3.2806000000000002</v>
        <stp/>
        <stp>P</stp>
        <stp>0</stp>
        <stp>IR</stp>
        <stp>FR10Y</stp>
        <stp>BID_Close</stp>
        <stp>45842</stp>
        <stp/>
        <tr r="AE17" s="1"/>
        <tr r="AH59" s="1"/>
      </tp>
      <tp>
        <v>4.0098000000000003</v>
        <stp/>
        <stp>P</stp>
        <stp>0</stp>
        <stp>IR</stp>
        <stp>ES30Y</stp>
        <stp>BID_Close</stp>
        <stp>45842</stp>
        <stp/>
        <tr r="R61" s="1"/>
      </tp>
      <tp>
        <v>3.7686999999999999</v>
        <stp/>
        <stp>P</stp>
        <stp>0</stp>
        <stp>IR</stp>
        <stp>ES20Y</stp>
        <stp>BID_Close</stp>
        <stp>45842</stp>
        <stp/>
        <tr r="R60" s="1"/>
      </tp>
      <tp>
        <v>3.1730999999999998</v>
        <stp/>
        <stp>P</stp>
        <stp>0</stp>
        <stp>IR</stp>
        <stp>ES10Y</stp>
        <stp>BID_Close</stp>
        <stp>45842</stp>
        <stp/>
        <tr r="R59" s="1"/>
      </tp>
      <tp>
        <v>3.9039999999999999</v>
        <stp/>
        <stp>P</stp>
        <stp>0</stp>
        <stp>IR</stp>
        <stp>EU50Y</stp>
        <stp>BID_Close</stp>
        <stp>45842</stp>
        <stp/>
        <tr r="J22" s="1"/>
      </tp>
      <tp>
        <v>3.0586000000000002</v>
        <stp/>
        <stp>P</stp>
        <stp>0</stp>
        <stp>IR</stp>
        <stp>EU30Y</stp>
        <stp>BID_Close</stp>
        <stp>45842</stp>
        <stp/>
        <tr r="J21" s="1"/>
        <tr r="V61" s="1"/>
      </tp>
      <tp>
        <v>2.9634</v>
        <stp/>
        <stp>P</stp>
        <stp>0</stp>
        <stp>IR</stp>
        <stp>EU20Y</stp>
        <stp>BID_Close</stp>
        <stp>45842</stp>
        <stp/>
        <tr r="J19" s="1"/>
        <tr r="V60" s="1"/>
      </tp>
      <tp>
        <v>2.5950000000000002</v>
        <stp/>
        <stp>P</stp>
        <stp>0</stp>
        <stp>IR</stp>
        <stp>EU10Y</stp>
        <stp>BID_Close</stp>
        <stp>45842</stp>
        <stp/>
        <tr r="J17" s="1"/>
        <tr r="V59" s="1"/>
      </tp>
      <tp>
        <v>3.0586000000000002</v>
        <stp/>
        <stp>P</stp>
        <stp>0</stp>
        <stp>IR</stp>
        <stp>DE30Y</stp>
        <stp>BID_Close</stp>
        <stp>45842</stp>
        <stp/>
        <tr r="AB21" s="1"/>
        <tr r="K61" s="1"/>
      </tp>
      <tp>
        <v>2.9634</v>
        <stp/>
        <stp>P</stp>
        <stp>0</stp>
        <stp>IR</stp>
        <stp>DE20Y</stp>
        <stp>BID_Close</stp>
        <stp>45842</stp>
        <stp/>
        <tr r="AB19" s="1"/>
        <tr r="K60" s="1"/>
      </tp>
      <tp>
        <v>2.5950000000000002</v>
        <stp/>
        <stp>P</stp>
        <stp>0</stp>
        <stp>IR</stp>
        <stp>DE10Y</stp>
        <stp>BID_Close</stp>
        <stp>45842</stp>
        <stp/>
        <tr r="AB17" s="1"/>
        <tr r="K59" s="1"/>
      </tp>
      <tp t="s">
        <v/>
        <stp/>
        <stp>P</stp>
        <stp>0</stp>
        <stp>IR</stp>
        <stp>DK30Y</stp>
        <stp>BID_Close</stp>
        <stp>45842</stp>
        <stp/>
        <tr r="J61" s="1"/>
      </tp>
      <tp>
        <v>2.7050999999999998</v>
        <stp/>
        <stp>P</stp>
        <stp>0</stp>
        <stp>IR</stp>
        <stp>DK20Y</stp>
        <stp>BID_Close</stp>
        <stp>45842</stp>
        <stp/>
        <tr r="J60" s="1"/>
      </tp>
      <tp>
        <v>2.5127000000000002</v>
        <stp/>
        <stp>P</stp>
        <stp>0</stp>
        <stp>IR</stp>
        <stp>DK10Y</stp>
        <stp>BID_Close</stp>
        <stp>45842</stp>
        <stp/>
        <tr r="J59" s="1"/>
      </tp>
      <tp t="s">
        <v/>
        <stp/>
        <stp>P</stp>
        <stp>0</stp>
        <stp>IR</stp>
        <stp>NZ01M</stp>
        <stp>BID_Close</stp>
        <stp>45842</stp>
        <stp/>
        <tr r="H49" s="1"/>
      </tp>
      <tp t="s">
        <v/>
        <stp/>
        <stp>P</stp>
        <stp>0</stp>
        <stp>IR</stp>
        <stp>NL01M</stp>
        <stp>BID_Close</stp>
        <stp>45842</stp>
        <stp/>
        <tr r="F49" s="1"/>
      </tp>
      <tp t="s">
        <v/>
        <stp/>
        <stp>P</stp>
        <stp>0</stp>
        <stp>IR</stp>
        <stp>NO01M</stp>
        <stp>BID_Close</stp>
        <stp>45842</stp>
        <stp/>
        <tr r="G49" s="1"/>
      </tp>
      <tp t="s">
        <v/>
        <stp/>
        <stp>P</stp>
        <stp>0</stp>
        <stp>IR</stp>
        <stp>MY01M</stp>
        <stp>BID_Close</stp>
        <stp>45842</stp>
        <stp/>
        <tr r="L49" s="1"/>
      </tp>
      <tp>
        <v>8.5350000000000001</v>
        <stp/>
        <stp>P</stp>
        <stp>0</stp>
        <stp>IR</stp>
        <stp>MX01M</stp>
        <stp>BID_Close</stp>
        <stp>45842</stp>
        <stp/>
        <tr r="M49" s="1"/>
      </tp>
      <tp t="s">
        <v/>
        <stp/>
        <stp>P</stp>
        <stp>0</stp>
        <stp>IR</stp>
        <stp>JP01M</stp>
        <stp>BID_Close</stp>
        <stp>45842</stp>
        <stp/>
        <tr r="Z49" s="1"/>
      </tp>
      <tp t="s">
        <v/>
        <stp/>
        <stp>P</stp>
        <stp>0</stp>
        <stp>IR</stp>
        <stp>IT01M</stp>
        <stp>BID_Close</stp>
        <stp>45842</stp>
        <stp/>
        <tr r="W49" s="1"/>
      </tp>
      <tp t="s">
        <v/>
        <stp/>
        <stp>P</stp>
        <stp>0</stp>
        <stp>IR</stp>
        <stp>IE01M</stp>
        <stp>BID_Close</stp>
        <stp>45842</stp>
        <stp/>
        <tr r="T49" s="1"/>
      </tp>
      <tp>
        <v>6.3</v>
        <stp/>
        <stp>P</stp>
        <stp>0</stp>
        <stp>IR</stp>
        <stp>ID01M</stp>
        <stp>BID_Close</stp>
        <stp>45842</stp>
        <stp/>
        <tr r="Y49" s="1"/>
      </tp>
      <tp t="s">
        <v/>
        <stp/>
        <stp>P</stp>
        <stp>0</stp>
        <stp>IR</stp>
        <stp>IN01M</stp>
        <stp>BID_Close</stp>
        <stp>45842</stp>
        <stp/>
        <tr r="X49" s="1"/>
      </tp>
      <tp t="s">
        <v/>
        <stp/>
        <stp>P</stp>
        <stp>0</stp>
        <stp>IR</stp>
        <stp>HU01M</stp>
        <stp>BID_Close</stp>
        <stp>45842</stp>
        <stp/>
        <tr r="AJ49" s="1"/>
      </tp>
      <tp t="s">
        <v/>
        <stp/>
        <stp>P</stp>
        <stp>0</stp>
        <stp>IR</stp>
        <stp>HK01M</stp>
        <stp>BID_Close</stp>
        <stp>45842</stp>
        <stp/>
        <tr r="AL49" s="1"/>
      </tp>
      <tp t="s">
        <v/>
        <stp/>
        <stp>P</stp>
        <stp>0</stp>
        <stp>IR</stp>
        <stp>GR01M</stp>
        <stp>BID_Close</stp>
        <stp>45842</stp>
        <stp/>
        <tr r="E49" s="1"/>
      </tp>
      <tp t="s">
        <v/>
        <stp/>
        <stp>P</stp>
        <stp>0</stp>
        <stp>IR</stp>
        <stp>GB01M</stp>
        <stp>BID_Close</stp>
        <stp>45842</stp>
        <stp/>
        <tr r="U49" s="1"/>
      </tp>
      <tp t="s">
        <v/>
        <stp/>
        <stp>P</stp>
        <stp>0</stp>
        <stp>IR</stp>
        <stp>SE01Y</stp>
        <stp>BID_Close</stp>
        <stp>45842</stp>
        <stp/>
        <tr r="Q54" s="1"/>
      </tp>
      <tp t="s">
        <v/>
        <stp/>
        <stp>P</stp>
        <stp>0</stp>
        <stp>IR</stp>
        <stp>SG01Y</stp>
        <stp>BID_Close</stp>
        <stp>45842</stp>
        <stp/>
        <tr r="S54" s="1"/>
      </tp>
      <tp t="s">
        <v/>
        <stp/>
        <stp>P</stp>
        <stp>0</stp>
        <stp>IR</stp>
        <stp>FR01M</stp>
        <stp>BID_Close</stp>
        <stp>45842</stp>
        <stp/>
        <tr r="AH49" s="1"/>
      </tp>
      <tp>
        <v>1.3573</v>
        <stp/>
        <stp>P</stp>
        <stp>0</stp>
        <stp>IR</stp>
        <stp>RM01Y</stp>
        <stp>BID_Close</stp>
        <stp>45842</stp>
        <stp/>
        <tr r="V8" s="1"/>
        <tr r="AA54" s="1"/>
      </tp>
      <tp t="s">
        <v/>
        <stp/>
        <stp>P</stp>
        <stp>0</stp>
        <stp>IR</stp>
        <stp>ES01M</stp>
        <stp>BID_Close</stp>
        <stp>45842</stp>
        <stp/>
        <tr r="R49" s="1"/>
      </tp>
      <tp t="s">
        <v/>
        <stp/>
        <stp>P</stp>
        <stp>0</stp>
        <stp>IR</stp>
        <stp>EU01M</stp>
        <stp>BID_Close</stp>
        <stp>45842</stp>
        <stp/>
        <tr r="V49" s="1"/>
      </tp>
      <tp t="s">
        <v/>
        <stp/>
        <stp>P</stp>
        <stp>0</stp>
        <stp>IR</stp>
        <stp>PT01Y</stp>
        <stp>BID_Close</stp>
        <stp>45842</stp>
        <stp/>
        <tr r="AF54" s="1"/>
      </tp>
      <tp t="s">
        <v/>
        <stp/>
        <stp>P</stp>
        <stp>0</stp>
        <stp>IR</stp>
        <stp>DE01M</stp>
        <stp>BID_Close</stp>
        <stp>45842</stp>
        <stp/>
        <tr r="K49" s="1"/>
      </tp>
      <tp t="s">
        <v/>
        <stp/>
        <stp>P</stp>
        <stp>0</stp>
        <stp>IR</stp>
        <stp>PH01Y</stp>
        <stp>BID_Close</stp>
        <stp>45842</stp>
        <stp/>
        <tr r="AI54" s="1"/>
      </tp>
      <tp t="s">
        <v/>
        <stp/>
        <stp>P</stp>
        <stp>0</stp>
        <stp>IR</stp>
        <stp>DK01M</stp>
        <stp>BID_Close</stp>
        <stp>45842</stp>
        <stp/>
        <tr r="J49" s="1"/>
      </tp>
      <tp t="s">
        <v/>
        <stp/>
        <stp>P</stp>
        <stp>0</stp>
        <stp>IR</stp>
        <stp>PL01Y</stp>
        <stp>BID_Close</stp>
        <stp>45842</stp>
        <stp/>
        <tr r="AG54" s="1"/>
      </tp>
      <tp t="s">
        <v/>
        <stp/>
        <stp>P</stp>
        <stp>0</stp>
        <stp>IR</stp>
        <stp>CA01M</stp>
        <stp>BID_Close</stp>
        <stp>45842</stp>
        <stp/>
        <tr r="AB49" s="1"/>
      </tp>
      <tp t="s">
        <v/>
        <stp/>
        <stp>P</stp>
        <stp>0</stp>
        <stp>IR</stp>
        <stp>CO01M</stp>
        <stp>BID_Close</stp>
        <stp>45842</stp>
        <stp/>
        <tr r="AC49" s="1"/>
      </tp>
      <tp t="s">
        <v/>
        <stp/>
        <stp>P</stp>
        <stp>0</stp>
        <stp>IR</stp>
        <stp>BR01M</stp>
        <stp>BID_Close</stp>
        <stp>45842</stp>
        <stp/>
        <tr r="P49" s="1"/>
      </tp>
      <tp t="s">
        <v/>
        <stp/>
        <stp>P</stp>
        <stp>0</stp>
        <stp>IR</stp>
        <stp>BE01M</stp>
        <stp>BID_Close</stp>
        <stp>45842</stp>
        <stp/>
        <tr r="O49" s="1"/>
      </tp>
      <tp>
        <v>4.08</v>
        <stp/>
        <stp>P</stp>
        <stp>0</stp>
        <stp>IR</stp>
        <stp>US01Y</stp>
        <stp>BID_Close</stp>
        <stp>45842</stp>
        <stp/>
        <tr r="D13" s="1"/>
        <tr r="D35" s="1"/>
        <tr r="N54" s="1"/>
      </tp>
      <tp t="s">
        <v/>
        <stp/>
        <stp>P</stp>
        <stp>0</stp>
        <stp>IR</stp>
        <stp>AU01M</stp>
        <stp>BID_Close</stp>
        <stp>45842</stp>
        <stp/>
        <tr r="AK49" s="1"/>
      </tp>
      <tp>
        <v>37.808999999999997</v>
        <stp/>
        <stp>P</stp>
        <stp>0</stp>
        <stp>IR</stp>
        <stp>TR01Y</stp>
        <stp>BID_Close</stp>
        <stp>45842</stp>
        <stp/>
        <tr r="AE54" s="1"/>
      </tp>
      <tp t="s">
        <v/>
        <stp/>
        <stp>P</stp>
        <stp>0</stp>
        <stp>IR</stp>
        <stp>TW01Y</stp>
        <stp>BID_Close</stp>
        <stp>45842</stp>
        <stp/>
        <tr r="I54" s="1"/>
      </tp>
      <tp t="s">
        <v/>
        <stp/>
        <stp>P</stp>
        <stp>0</stp>
        <stp>IR</stp>
        <stp>TH01Y</stp>
        <stp>BID_Close</stp>
        <stp>45842</stp>
        <stp/>
        <tr r="AD54" s="1"/>
      </tp>
      <tp>
        <v>0.5857</v>
        <stp/>
        <stp>P</stp>
        <stp>0</stp>
        <stp>IR</stp>
        <stp>JP01Y</stp>
        <stp>BID_Close</stp>
        <stp>45842</stp>
        <stp/>
        <tr r="M8" s="1"/>
        <tr r="Z54" s="1"/>
      </tp>
      <tp>
        <v>1.9961</v>
        <stp/>
        <stp>P</stp>
        <stp>0</stp>
        <stp>IR</stp>
        <stp>IT01Y</stp>
        <stp>BID_Close</stp>
        <stp>45842</stp>
        <stp/>
        <tr r="AH8" s="1"/>
        <tr r="W54" s="1"/>
      </tp>
      <tp>
        <v>1.9140999999999999</v>
        <stp/>
        <stp>P</stp>
        <stp>0</stp>
        <stp>IR</stp>
        <stp>IE01Y</stp>
        <stp>BID_Close</stp>
        <stp>45842</stp>
        <stp/>
        <tr r="T54" s="1"/>
      </tp>
      <tp>
        <v>5.9729999999999999</v>
        <stp/>
        <stp>P</stp>
        <stp>0</stp>
        <stp>IR</stp>
        <stp>ID01Y</stp>
        <stp>BID_Close</stp>
        <stp>45842</stp>
        <stp/>
        <tr r="Y54" s="1"/>
      </tp>
      <tp>
        <v>5.5640000000000001</v>
        <stp/>
        <stp>P</stp>
        <stp>0</stp>
        <stp>IR</stp>
        <stp>IN01Y</stp>
        <stp>BID_Close</stp>
        <stp>45842</stp>
        <stp/>
        <tr r="X54" s="1"/>
      </tp>
      <tp t="s">
        <v/>
        <stp/>
        <stp>P</stp>
        <stp>0</stp>
        <stp>IR</stp>
        <stp>HU01Y</stp>
        <stp>BID_Close</stp>
        <stp>45842</stp>
        <stp/>
        <tr r="AJ54" s="1"/>
      </tp>
      <tp>
        <v>1.77</v>
        <stp/>
        <stp>P</stp>
        <stp>0</stp>
        <stp>IR</stp>
        <stp>HK01Y</stp>
        <stp>BID_Close</stp>
        <stp>45842</stp>
        <stp/>
        <tr r="S8" s="1"/>
        <tr r="AL54" s="1"/>
      </tp>
      <tp t="s">
        <v/>
        <stp/>
        <stp>P</stp>
        <stp>0</stp>
        <stp>IR</stp>
        <stp>NZ01Y</stp>
        <stp>BID_Close</stp>
        <stp>45842</stp>
        <stp/>
        <tr r="H54" s="1"/>
      </tp>
      <tp>
        <v>1.8671</v>
        <stp/>
        <stp>P</stp>
        <stp>0</stp>
        <stp>IR</stp>
        <stp>NL01Y</stp>
        <stp>BID_Close</stp>
        <stp>45842</stp>
        <stp/>
        <tr r="F54" s="1"/>
      </tp>
      <tp t="s">
        <v/>
        <stp/>
        <stp>P</stp>
        <stp>0</stp>
        <stp>IR</stp>
        <stp>NO01Y</stp>
        <stp>BID_Close</stp>
        <stp>45842</stp>
        <stp/>
        <tr r="G54" s="1"/>
      </tp>
      <tp t="s">
        <v/>
        <stp/>
        <stp>P</stp>
        <stp>0</stp>
        <stp>IR</stp>
        <stp>MY01Y</stp>
        <stp>BID_Close</stp>
        <stp>45842</stp>
        <stp/>
        <tr r="L54" s="1"/>
      </tp>
      <tp>
        <v>7.7290000000000001</v>
        <stp/>
        <stp>P</stp>
        <stp>0</stp>
        <stp>IR</stp>
        <stp>MX01Y</stp>
        <stp>BID_Close</stp>
        <stp>45842</stp>
        <stp/>
        <tr r="M54" s="1"/>
      </tp>
      <tp t="s">
        <v/>
        <stp/>
        <stp>P</stp>
        <stp>0</stp>
        <stp>IR</stp>
        <stp>CA01Y</stp>
        <stp>BID_Close</stp>
        <stp>45842</stp>
        <stp/>
        <tr r="AB54" s="1"/>
      </tp>
      <tp t="s">
        <v/>
        <stp/>
        <stp>P</stp>
        <stp>0</stp>
        <stp>IR</stp>
        <stp>CO01Y</stp>
        <stp>BID_Close</stp>
        <stp>45842</stp>
        <stp/>
        <tr r="AC54" s="1"/>
      </tp>
      <tp>
        <v>14.734999999999999</v>
        <stp/>
        <stp>P</stp>
        <stp>0</stp>
        <stp>IR</stp>
        <stp>BR01Y</stp>
        <stp>BID_Close</stp>
        <stp>45842</stp>
        <stp/>
        <tr r="P54" s="1"/>
      </tp>
      <tp>
        <v>1.9315</v>
        <stp/>
        <stp>P</stp>
        <stp>0</stp>
        <stp>IR</stp>
        <stp>BE01Y</stp>
        <stp>BID_Close</stp>
        <stp>45842</stp>
        <stp/>
        <tr r="O54" s="1"/>
      </tp>
      <tp>
        <v>4.2290000000000001</v>
        <stp/>
        <stp>P</stp>
        <stp>0</stp>
        <stp>IR</stp>
        <stp>US01M</stp>
        <stp>BID_Close</stp>
        <stp>45842</stp>
        <stp/>
        <tr r="D8" s="1"/>
        <tr r="D30" s="1"/>
        <tr r="N49" s="1"/>
      </tp>
      <tp>
        <v>3.3734000000000002</v>
        <stp/>
        <stp>P</stp>
        <stp>0</stp>
        <stp>IR</stp>
        <stp>AU01Y</stp>
        <stp>BID_Close</stp>
        <stp>45842</stp>
        <stp/>
        <tr r="P8" s="1"/>
        <tr r="AK54" s="1"/>
      </tp>
      <tp t="s">
        <v/>
        <stp/>
        <stp>P</stp>
        <stp>0</stp>
        <stp>IR</stp>
        <stp>TR01M</stp>
        <stp>BID_Close</stp>
        <stp>45842</stp>
        <stp/>
        <tr r="AE49" s="1"/>
      </tp>
      <tp t="s">
        <v/>
        <stp/>
        <stp>P</stp>
        <stp>0</stp>
        <stp>IR</stp>
        <stp>TW01M</stp>
        <stp>BID_Close</stp>
        <stp>45842</stp>
        <stp/>
        <tr r="I49" s="1"/>
      </tp>
      <tp t="s">
        <v/>
        <stp/>
        <stp>P</stp>
        <stp>0</stp>
        <stp>IR</stp>
        <stp>TH01M</stp>
        <stp>BID_Close</stp>
        <stp>45842</stp>
        <stp/>
        <tr r="AD49" s="1"/>
      </tp>
      <tp t="s">
        <v/>
        <stp/>
        <stp>P</stp>
        <stp>0</stp>
        <stp>IR</stp>
        <stp>GR01Y</stp>
        <stp>BID_Close</stp>
        <stp>45842</stp>
        <stp/>
        <tr r="E54" s="1"/>
      </tp>
      <tp>
        <v>3.7422</v>
        <stp/>
        <stp>P</stp>
        <stp>0</stp>
        <stp>IR</stp>
        <stp>GB01Y</stp>
        <stp>BID_Close</stp>
        <stp>45842</stp>
        <stp/>
        <tr r="G8" s="1"/>
        <tr r="U54" s="1"/>
      </tp>
      <tp t="s">
        <v/>
        <stp/>
        <stp>P</stp>
        <stp>0</stp>
        <stp>IR</stp>
        <stp>SE01M</stp>
        <stp>BID_Close</stp>
        <stp>45842</stp>
        <stp/>
        <tr r="Q49" s="1"/>
      </tp>
      <tp t="s">
        <v/>
        <stp/>
        <stp>P</stp>
        <stp>0</stp>
        <stp>IR</stp>
        <stp>SG01M</stp>
        <stp>BID_Close</stp>
        <stp>45842</stp>
        <stp/>
        <tr r="S49" s="1"/>
      </tp>
      <tp>
        <v>1.8874</v>
        <stp/>
        <stp>P</stp>
        <stp>0</stp>
        <stp>IR</stp>
        <stp>FR01Y</stp>
        <stp>BID_Close</stp>
        <stp>45842</stp>
        <stp/>
        <tr r="AE8" s="1"/>
        <tr r="AH54" s="1"/>
      </tp>
      <tp t="s">
        <v/>
        <stp/>
        <stp>P</stp>
        <stp>0</stp>
        <stp>IR</stp>
        <stp>RM01M</stp>
        <stp>BID_Close</stp>
        <stp>45842</stp>
        <stp/>
        <tr r="AA49" s="1"/>
      </tp>
      <tp t="s">
        <v/>
        <stp/>
        <stp>P</stp>
        <stp>0</stp>
        <stp>IR</stp>
        <stp>ES01Y</stp>
        <stp>BID_Close</stp>
        <stp>45842</stp>
        <stp/>
        <tr r="R54" s="1"/>
      </tp>
      <tp>
        <v>1.8210999999999999</v>
        <stp/>
        <stp>P</stp>
        <stp>0</stp>
        <stp>IR</stp>
        <stp>EU01Y</stp>
        <stp>BID_Close</stp>
        <stp>45842</stp>
        <stp/>
        <tr r="J8" s="1"/>
        <tr r="V54" s="1"/>
      </tp>
      <tp t="s">
        <v/>
        <stp/>
        <stp>P</stp>
        <stp>0</stp>
        <stp>IR</stp>
        <stp>PT01M</stp>
        <stp>BID_Close</stp>
        <stp>45842</stp>
        <stp/>
        <tr r="AF49" s="1"/>
      </tp>
      <tp>
        <v>1.8210999999999999</v>
        <stp/>
        <stp>P</stp>
        <stp>0</stp>
        <stp>IR</stp>
        <stp>DE01Y</stp>
        <stp>BID_Close</stp>
        <stp>45842</stp>
        <stp/>
        <tr r="AB8" s="1"/>
        <tr r="K54" s="1"/>
      </tp>
      <tp t="s">
        <v/>
        <stp/>
        <stp>P</stp>
        <stp>0</stp>
        <stp>IR</stp>
        <stp>PH01M</stp>
        <stp>BID_Close</stp>
        <stp>45842</stp>
        <stp/>
        <tr r="AI49" s="1"/>
      </tp>
      <tp t="s">
        <v/>
        <stp/>
        <stp>P</stp>
        <stp>0</stp>
        <stp>IR</stp>
        <stp>DK01Y</stp>
        <stp>BID_Close</stp>
        <stp>45842</stp>
        <stp/>
        <tr r="J54" s="1"/>
      </tp>
      <tp t="s">
        <v/>
        <stp/>
        <stp>P</stp>
        <stp>0</stp>
        <stp>IR</stp>
        <stp>PL01M</stp>
        <stp>BID_Close</stp>
        <stp>45842</stp>
        <stp/>
        <tr r="AG49" s="1"/>
      </tp>
      <tp t="s">
        <v/>
        <stp/>
        <stp>P</stp>
        <stp>0</stp>
        <stp>IR</stp>
        <stp>NZ06M</stp>
        <stp>BID_Close</stp>
        <stp>45842</stp>
        <stp/>
        <tr r="H53" s="1"/>
      </tp>
      <tp t="s">
        <v/>
        <stp/>
        <stp>P</stp>
        <stp>0</stp>
        <stp>IR</stp>
        <stp>NL06M</stp>
        <stp>BID_Close</stp>
        <stp>45842</stp>
        <stp/>
        <tr r="F53" s="1"/>
      </tp>
      <tp t="s">
        <v/>
        <stp/>
        <stp>P</stp>
        <stp>0</stp>
        <stp>IR</stp>
        <stp>NO06M</stp>
        <stp>BID_Close</stp>
        <stp>45842</stp>
        <stp/>
        <tr r="G53" s="1"/>
      </tp>
      <tp t="s">
        <v/>
        <stp/>
        <stp>P</stp>
        <stp>0</stp>
        <stp>IR</stp>
        <stp>MY06M</stp>
        <stp>BID_Close</stp>
        <stp>45842</stp>
        <stp/>
        <tr r="L53" s="1"/>
      </tp>
      <tp>
        <v>7.9770000000000003</v>
        <stp/>
        <stp>P</stp>
        <stp>0</stp>
        <stp>IR</stp>
        <stp>MX06M</stp>
        <stp>BID_Close</stp>
        <stp>45842</stp>
        <stp/>
        <tr r="M53" s="1"/>
      </tp>
      <tp t="s">
        <v/>
        <stp/>
        <stp>P</stp>
        <stp>0</stp>
        <stp>IR</stp>
        <stp>JP06M</stp>
        <stp>BID_Close</stp>
        <stp>45842</stp>
        <stp/>
        <tr r="Z53" s="1"/>
      </tp>
      <tp t="s">
        <v/>
        <stp/>
        <stp>P</stp>
        <stp>0</stp>
        <stp>IR</stp>
        <stp>IT06M</stp>
        <stp>BID_Close</stp>
        <stp>45842</stp>
        <stp/>
        <tr r="W53" s="1"/>
      </tp>
      <tp t="s">
        <v/>
        <stp/>
        <stp>P</stp>
        <stp>0</stp>
        <stp>IR</stp>
        <stp>IE06M</stp>
        <stp>BID_Close</stp>
        <stp>45842</stp>
        <stp/>
        <tr r="T53" s="1"/>
      </tp>
      <tp>
        <v>6.35</v>
        <stp/>
        <stp>P</stp>
        <stp>0</stp>
        <stp>IR</stp>
        <stp>ID06M</stp>
        <stp>BID_Close</stp>
        <stp>45842</stp>
        <stp/>
        <tr r="Y53" s="1"/>
      </tp>
      <tp t="s">
        <v/>
        <stp/>
        <stp>P</stp>
        <stp>0</stp>
        <stp>IR</stp>
        <stp>IN06M</stp>
        <stp>BID_Close</stp>
        <stp>45842</stp>
        <stp/>
        <tr r="X53" s="1"/>
      </tp>
      <tp t="s">
        <v/>
        <stp/>
        <stp>P</stp>
        <stp>0</stp>
        <stp>IR</stp>
        <stp>HU06M</stp>
        <stp>BID_Close</stp>
        <stp>45842</stp>
        <stp/>
        <tr r="AJ53" s="1"/>
      </tp>
      <tp t="s">
        <v/>
        <stp/>
        <stp>P</stp>
        <stp>0</stp>
        <stp>IR</stp>
        <stp>HK06M</stp>
        <stp>BID_Close</stp>
        <stp>45842</stp>
        <stp/>
        <tr r="AL53" s="1"/>
      </tp>
      <tp t="s">
        <v/>
        <stp/>
        <stp>P</stp>
        <stp>0</stp>
        <stp>IR</stp>
        <stp>GR06M</stp>
        <stp>BID_Close</stp>
        <stp>45842</stp>
        <stp/>
        <tr r="E53" s="1"/>
      </tp>
      <tp t="s">
        <v/>
        <stp/>
        <stp>P</stp>
        <stp>0</stp>
        <stp>IR</stp>
        <stp>GB06M</stp>
        <stp>BID_Close</stp>
        <stp>45842</stp>
        <stp/>
        <tr r="U53" s="1"/>
      </tp>
      <tp t="s">
        <v/>
        <stp/>
        <stp>P</stp>
        <stp>0</stp>
        <stp>IR</stp>
        <stp>FR06M</stp>
        <stp>BID_Close</stp>
        <stp>45842</stp>
        <stp/>
        <tr r="AH53" s="1"/>
      </tp>
      <tp t="s">
        <v/>
        <stp/>
        <stp>P</stp>
        <stp>0</stp>
        <stp>IR</stp>
        <stp>ES06M</stp>
        <stp>BID_Close</stp>
        <stp>45842</stp>
        <stp/>
        <tr r="R53" s="1"/>
      </tp>
      <tp t="s">
        <v/>
        <stp/>
        <stp>P</stp>
        <stp>0</stp>
        <stp>IR</stp>
        <stp>EU06M</stp>
        <stp>BID_Close</stp>
        <stp>45842</stp>
        <stp/>
        <tr r="V53" s="1"/>
      </tp>
      <tp t="s">
        <v/>
        <stp/>
        <stp>P</stp>
        <stp>0</stp>
        <stp>IR</stp>
        <stp>DE06M</stp>
        <stp>BID_Close</stp>
        <stp>45842</stp>
        <stp/>
        <tr r="K53" s="1"/>
      </tp>
      <tp t="s">
        <v/>
        <stp/>
        <stp>P</stp>
        <stp>0</stp>
        <stp>IR</stp>
        <stp>DK06M</stp>
        <stp>BID_Close</stp>
        <stp>45842</stp>
        <stp/>
        <tr r="J53" s="1"/>
      </tp>
      <tp t="s">
        <v/>
        <stp/>
        <stp>P</stp>
        <stp>0</stp>
        <stp>IR</stp>
        <stp>CA06M</stp>
        <stp>BID_Close</stp>
        <stp>45842</stp>
        <stp/>
        <tr r="AB53" s="1"/>
      </tp>
      <tp t="s">
        <v/>
        <stp/>
        <stp>P</stp>
        <stp>0</stp>
        <stp>IR</stp>
        <stp>CO06M</stp>
        <stp>BID_Close</stp>
        <stp>45842</stp>
        <stp/>
        <tr r="AC53" s="1"/>
      </tp>
      <tp>
        <v>14.993</v>
        <stp/>
        <stp>P</stp>
        <stp>0</stp>
        <stp>IR</stp>
        <stp>BR06M</stp>
        <stp>BID_Close</stp>
        <stp>45842</stp>
        <stp/>
        <tr r="P53" s="1"/>
      </tp>
      <tp t="s">
        <v/>
        <stp/>
        <stp>P</stp>
        <stp>0</stp>
        <stp>IR</stp>
        <stp>BE06M</stp>
        <stp>BID_Close</stp>
        <stp>45842</stp>
        <stp/>
        <tr r="O53" s="1"/>
      </tp>
      <tp t="s">
        <v/>
        <stp/>
        <stp>P</stp>
        <stp>0</stp>
        <stp>IR</stp>
        <stp>AU06M</stp>
        <stp>BID_Close</stp>
        <stp>45842</stp>
        <stp/>
        <tr r="AK53" s="1"/>
      </tp>
      <tp>
        <v>1.0964</v>
        <stp/>
        <stp>P</stp>
        <stp>0</stp>
        <stp>IR</stp>
        <stp>JP06Y</stp>
        <stp>BID_Close</stp>
        <stp>45842</stp>
        <stp/>
        <tr r="M13" s="1"/>
      </tp>
      <tp>
        <v>2.7917000000000001</v>
        <stp/>
        <stp>P</stp>
        <stp>0</stp>
        <stp>IR</stp>
        <stp>IT06Y</stp>
        <stp>BID_Close</stp>
        <stp>45842</stp>
        <stp/>
        <tr r="AH13" s="1"/>
      </tp>
      <tp>
        <v>3.0859999999999999</v>
        <stp/>
        <stp>P</stp>
        <stp>0</stp>
        <stp>IR</stp>
        <stp>CA06Y</stp>
        <stp>BID_Close</stp>
        <stp>45842</stp>
        <stp/>
        <tr r="AK11" s="1"/>
      </tp>
      <tp>
        <v>4.3019999999999996</v>
        <stp/>
        <stp>P</stp>
        <stp>0</stp>
        <stp>IR</stp>
        <stp>US06M</stp>
        <stp>BID_Close</stp>
        <stp>45842</stp>
        <stp/>
        <tr r="D34" s="1"/>
        <tr r="N53" s="1"/>
        <tr r="D12" s="1"/>
      </tp>
      <tp t="s">
        <v/>
        <stp/>
        <stp>P</stp>
        <stp>0</stp>
        <stp>IR</stp>
        <stp>TR06M</stp>
        <stp>BID_Close</stp>
        <stp>45842</stp>
        <stp/>
        <tr r="AE53" s="1"/>
      </tp>
      <tp t="s">
        <v/>
        <stp/>
        <stp>P</stp>
        <stp>0</stp>
        <stp>IR</stp>
        <stp>TW06M</stp>
        <stp>BID_Close</stp>
        <stp>45842</stp>
        <stp/>
        <tr r="I53" s="1"/>
      </tp>
      <tp t="s">
        <v/>
        <stp/>
        <stp>P</stp>
        <stp>0</stp>
        <stp>IR</stp>
        <stp>TH06M</stp>
        <stp>BID_Close</stp>
        <stp>45842</stp>
        <stp/>
        <tr r="AD53" s="1"/>
      </tp>
      <tp>
        <v>3.9285000000000001</v>
        <stp/>
        <stp>P</stp>
        <stp>0</stp>
        <stp>IR</stp>
        <stp>GB06Y</stp>
        <stp>BID_Close</stp>
        <stp>45842</stp>
        <stp/>
        <tr r="G13" s="1"/>
      </tp>
      <tp t="s">
        <v/>
        <stp/>
        <stp>P</stp>
        <stp>0</stp>
        <stp>IR</stp>
        <stp>SE06M</stp>
        <stp>BID_Close</stp>
        <stp>45842</stp>
        <stp/>
        <tr r="Q53" s="1"/>
      </tp>
      <tp t="s">
        <v/>
        <stp/>
        <stp>P</stp>
        <stp>0</stp>
        <stp>IR</stp>
        <stp>SG06M</stp>
        <stp>BID_Close</stp>
        <stp>45842</stp>
        <stp/>
        <tr r="S53" s="1"/>
      </tp>
      <tp>
        <v>2.7957000000000001</v>
        <stp/>
        <stp>P</stp>
        <stp>0</stp>
        <stp>IR</stp>
        <stp>FR06Y</stp>
        <stp>BID_Close</stp>
        <stp>45842</stp>
        <stp/>
        <tr r="AE13" s="1"/>
      </tp>
      <tp t="s">
        <v/>
        <stp/>
        <stp>P</stp>
        <stp>0</stp>
        <stp>IR</stp>
        <stp>RM06M</stp>
        <stp>BID_Close</stp>
        <stp>45842</stp>
        <stp/>
        <tr r="AA53" s="1"/>
      </tp>
      <tp>
        <v>2.2181999999999999</v>
        <stp/>
        <stp>P</stp>
        <stp>0</stp>
        <stp>IR</stp>
        <stp>EU06Y</stp>
        <stp>BID_Close</stp>
        <stp>45842</stp>
        <stp/>
        <tr r="J13" s="1"/>
      </tp>
      <tp t="s">
        <v/>
        <stp/>
        <stp>P</stp>
        <stp>0</stp>
        <stp>IR</stp>
        <stp>PT06M</stp>
        <stp>BID_Close</stp>
        <stp>45842</stp>
        <stp/>
        <tr r="AF53" s="1"/>
      </tp>
      <tp>
        <v>2.2181999999999999</v>
        <stp/>
        <stp>P</stp>
        <stp>0</stp>
        <stp>IR</stp>
        <stp>DE06Y</stp>
        <stp>BID_Close</stp>
        <stp>45842</stp>
        <stp/>
        <tr r="AB13" s="1"/>
      </tp>
      <tp t="s">
        <v/>
        <stp/>
        <stp>P</stp>
        <stp>0</stp>
        <stp>IR</stp>
        <stp>PH06M</stp>
        <stp>BID_Close</stp>
        <stp>45842</stp>
        <stp/>
        <tr r="AI53" s="1"/>
      </tp>
      <tp t="s">
        <v/>
        <stp/>
        <stp>P</stp>
        <stp>0</stp>
        <stp>IR</stp>
        <stp>PL06M</stp>
        <stp>BID_Close</stp>
        <stp>45842</stp>
        <stp/>
        <tr r="AG53" s="1"/>
      </tp>
      <tp>
        <v>1.9242999999999999</v>
        <stp/>
        <stp>P</stp>
        <stp>0</stp>
        <stp>IR</stp>
        <stp>SE07Y</stp>
        <stp>BID_Close</stp>
        <stp>45842</stp>
        <stp/>
        <tr r="Q58" s="1"/>
      </tp>
      <tp t="s">
        <v/>
        <stp/>
        <stp>P</stp>
        <stp>0</stp>
        <stp>IR</stp>
        <stp>SG07Y</stp>
        <stp>BID_Close</stp>
        <stp>45842</stp>
        <stp/>
        <tr r="S58" s="1"/>
      </tp>
      <tp>
        <v>1.5879000000000001</v>
        <stp/>
        <stp>P</stp>
        <stp>0</stp>
        <stp>IR</stp>
        <stp>RM07Y</stp>
        <stp>BID_Close</stp>
        <stp>45842</stp>
        <stp/>
        <tr r="V12" s="1"/>
        <tr r="AA58" s="1"/>
      </tp>
      <tp>
        <v>2.6655000000000002</v>
        <stp/>
        <stp>P</stp>
        <stp>0</stp>
        <stp>IR</stp>
        <stp>PT07Y</stp>
        <stp>BID_Close</stp>
        <stp>45842</stp>
        <stp/>
        <tr r="AF58" s="1"/>
      </tp>
      <tp>
        <v>6.1</v>
        <stp/>
        <stp>P</stp>
        <stp>0</stp>
        <stp>IR</stp>
        <stp>PH07Y</stp>
        <stp>BID_Close</stp>
        <stp>45842</stp>
        <stp/>
        <tr r="AI58" s="1"/>
      </tp>
      <tp t="s">
        <v/>
        <stp/>
        <stp>P</stp>
        <stp>0</stp>
        <stp>IR</stp>
        <stp>PL07Y</stp>
        <stp>BID_Close</stp>
        <stp>45842</stp>
        <stp/>
        <tr r="AG58" s="1"/>
      </tp>
      <tp>
        <v>4.1210000000000004</v>
        <stp/>
        <stp>P</stp>
        <stp>0</stp>
        <stp>IR</stp>
        <stp>US07Y</stp>
        <stp>BID_Close</stp>
        <stp>45842</stp>
        <stp/>
        <tr r="D39" s="1"/>
        <tr r="D17" s="1"/>
        <tr r="N58" s="1"/>
      </tp>
      <tp t="s">
        <v/>
        <stp/>
        <stp>P</stp>
        <stp>0</stp>
        <stp>IR</stp>
        <stp>TR07Y</stp>
        <stp>BID_Close</stp>
        <stp>45842</stp>
        <stp/>
        <tr r="AE58" s="1"/>
      </tp>
      <tp t="s">
        <v/>
        <stp/>
        <stp>P</stp>
        <stp>0</stp>
        <stp>IR</stp>
        <stp>TW07Y</stp>
        <stp>BID_Close</stp>
        <stp>45842</stp>
        <stp/>
        <tr r="I58" s="1"/>
      </tp>
      <tp t="s">
        <v/>
        <stp/>
        <stp>P</stp>
        <stp>0</stp>
        <stp>IR</stp>
        <stp>TH07Y</stp>
        <stp>BID_Close</stp>
        <stp>45842</stp>
        <stp/>
        <tr r="AD58" s="1"/>
      </tp>
      <tp>
        <v>1.2063999999999999</v>
        <stp/>
        <stp>P</stp>
        <stp>0</stp>
        <stp>IR</stp>
        <stp>JP07Y</stp>
        <stp>BID_Close</stp>
        <stp>45842</stp>
        <stp/>
        <tr r="M14" s="1"/>
        <tr r="Z58" s="1"/>
      </tp>
      <tp>
        <v>3.0674999999999999</v>
        <stp/>
        <stp>P</stp>
        <stp>0</stp>
        <stp>IR</stp>
        <stp>IT07Y</stp>
        <stp>BID_Close</stp>
        <stp>45842</stp>
        <stp/>
        <tr r="AH14" s="1"/>
        <tr r="W58" s="1"/>
      </tp>
      <tp t="s">
        <v/>
        <stp/>
        <stp>P</stp>
        <stp>0</stp>
        <stp>IR</stp>
        <stp>IE07Y</stp>
        <stp>BID_Close</stp>
        <stp>45842</stp>
        <stp/>
        <tr r="T58" s="1"/>
      </tp>
      <tp t="s">
        <v/>
        <stp/>
        <stp>P</stp>
        <stp>0</stp>
        <stp>IR</stp>
        <stp>ID07Y</stp>
        <stp>BID_Close</stp>
        <stp>45842</stp>
        <stp/>
        <tr r="Y58" s="1"/>
      </tp>
      <tp>
        <v>6.3310000000000004</v>
        <stp/>
        <stp>P</stp>
        <stp>0</stp>
        <stp>IR</stp>
        <stp>IN07Y</stp>
        <stp>BID_Close</stp>
        <stp>45842</stp>
        <stp/>
        <tr r="X58" s="1"/>
      </tp>
      <tp t="s">
        <v/>
        <stp/>
        <stp>P</stp>
        <stp>0</stp>
        <stp>IR</stp>
        <stp>HU07Y</stp>
        <stp>BID_Close</stp>
        <stp>45842</stp>
        <stp/>
        <tr r="AJ58" s="1"/>
      </tp>
      <tp t="s">
        <v/>
        <stp/>
        <stp>P</stp>
        <stp>0</stp>
        <stp>IR</stp>
        <stp>HK07Y</stp>
        <stp>BID_Close</stp>
        <stp>45842</stp>
        <stp/>
        <tr r="S12" s="1"/>
        <tr r="AL58" s="1"/>
      </tp>
      <tp t="s">
        <v/>
        <stp/>
        <stp>P</stp>
        <stp>0</stp>
        <stp>IR</stp>
        <stp>NZ07Y</stp>
        <stp>BID_Close</stp>
        <stp>45842</stp>
        <stp/>
        <tr r="H58" s="1"/>
      </tp>
      <tp>
        <v>2.5244</v>
        <stp/>
        <stp>P</stp>
        <stp>0</stp>
        <stp>IR</stp>
        <stp>NL07Y</stp>
        <stp>BID_Close</stp>
        <stp>45842</stp>
        <stp/>
        <tr r="F58" s="1"/>
      </tp>
      <tp>
        <v>3.7357999999999998</v>
        <stp/>
        <stp>P</stp>
        <stp>0</stp>
        <stp>IR</stp>
        <stp>NO07Y</stp>
        <stp>BID_Close</stp>
        <stp>45842</stp>
        <stp/>
        <tr r="G58" s="1"/>
      </tp>
      <tp>
        <v>3.395</v>
        <stp/>
        <stp>P</stp>
        <stp>0</stp>
        <stp>IR</stp>
        <stp>MY07Y</stp>
        <stp>BID_Close</stp>
        <stp>45842</stp>
        <stp/>
        <tr r="L58" s="1"/>
      </tp>
      <tp t="s">
        <v/>
        <stp/>
        <stp>P</stp>
        <stp>0</stp>
        <stp>IR</stp>
        <stp>MX07Y</stp>
        <stp>BID_Close</stp>
        <stp>45842</stp>
        <stp/>
        <tr r="M58" s="1"/>
      </tp>
      <tp>
        <v>3.1387999999999998</v>
        <stp/>
        <stp>P</stp>
        <stp>0</stp>
        <stp>IR</stp>
        <stp>CA07Y</stp>
        <stp>BID_Close</stp>
        <stp>45842</stp>
        <stp/>
        <tr r="AK12" s="1"/>
        <tr r="AB58" s="1"/>
      </tp>
      <tp t="s">
        <v/>
        <stp/>
        <stp>P</stp>
        <stp>0</stp>
        <stp>IR</stp>
        <stp>CO07Y</stp>
        <stp>BID_Close</stp>
        <stp>45842</stp>
        <stp/>
        <tr r="AC58" s="1"/>
      </tp>
      <tp t="s">
        <v/>
        <stp/>
        <stp>P</stp>
        <stp>0</stp>
        <stp>IR</stp>
        <stp>BR07Y</stp>
        <stp>BID_Close</stp>
        <stp>45842</stp>
        <stp/>
        <tr r="P58" s="1"/>
      </tp>
      <tp>
        <v>2.7907000000000002</v>
        <stp/>
        <stp>P</stp>
        <stp>0</stp>
        <stp>IR</stp>
        <stp>BE07Y</stp>
        <stp>BID_Close</stp>
        <stp>45842</stp>
        <stp/>
        <tr r="O58" s="1"/>
      </tp>
      <tp>
        <v>3.8513999999999999</v>
        <stp/>
        <stp>P</stp>
        <stp>0</stp>
        <stp>IR</stp>
        <stp>AU07Y</stp>
        <stp>BID_Close</stp>
        <stp>45842</stp>
        <stp/>
        <tr r="P13" s="1"/>
        <tr r="AK58" s="1"/>
      </tp>
      <tp t="s">
        <v/>
        <stp/>
        <stp>P</stp>
        <stp>0</stp>
        <stp>IR</stp>
        <stp>GR07Y</stp>
        <stp>BID_Close</stp>
        <stp>45842</stp>
        <stp/>
        <tr r="E58" s="1"/>
      </tp>
      <tp>
        <v>4.1439000000000004</v>
        <stp/>
        <stp>P</stp>
        <stp>0</stp>
        <stp>IR</stp>
        <stp>GB07Y</stp>
        <stp>BID_Close</stp>
        <stp>45842</stp>
        <stp/>
        <tr r="U58" s="1"/>
        <tr r="G14" s="1"/>
      </tp>
      <tp>
        <v>2.8864000000000001</v>
        <stp/>
        <stp>P</stp>
        <stp>0</stp>
        <stp>IR</stp>
        <stp>FR07Y</stp>
        <stp>BID_Close</stp>
        <stp>45842</stp>
        <stp/>
        <tr r="AE14" s="1"/>
        <tr r="AH58" s="1"/>
      </tp>
      <tp>
        <v>2.6865999999999999</v>
        <stp/>
        <stp>P</stp>
        <stp>0</stp>
        <stp>IR</stp>
        <stp>ES07Y</stp>
        <stp>BID_Close</stp>
        <stp>45842</stp>
        <stp/>
        <tr r="R58" s="1"/>
      </tp>
      <tp>
        <v>2.3262</v>
        <stp/>
        <stp>P</stp>
        <stp>0</stp>
        <stp>IR</stp>
        <stp>EU07Y</stp>
        <stp>BID_Close</stp>
        <stp>45842</stp>
        <stp/>
        <tr r="J14" s="1"/>
        <tr r="V58" s="1"/>
      </tp>
      <tp>
        <v>2.3262</v>
        <stp/>
        <stp>P</stp>
        <stp>0</stp>
        <stp>IR</stp>
        <stp>DE07Y</stp>
        <stp>BID_Close</stp>
        <stp>45842</stp>
        <stp/>
        <tr r="AB14" s="1"/>
        <tr r="K58" s="1"/>
      </tp>
      <tp t="s">
        <v/>
        <stp/>
        <stp>P</stp>
        <stp>0</stp>
        <stp>IR</stp>
        <stp>DK07Y</stp>
        <stp>BID_Close</stp>
        <stp>45842</stp>
        <stp/>
        <tr r="J58" s="1"/>
      </tp>
      <tp t="s">
        <v/>
        <stp/>
        <stp>P</stp>
        <stp>0</stp>
        <stp>IR</stp>
        <stp>NZ04M</stp>
        <stp>BID_Close</stp>
        <stp>45842</stp>
        <stp/>
        <tr r="H52" s="1"/>
      </tp>
      <tp t="s">
        <v/>
        <stp/>
        <stp>P</stp>
        <stp>0</stp>
        <stp>IR</stp>
        <stp>NL04M</stp>
        <stp>BID_Close</stp>
        <stp>45842</stp>
        <stp/>
        <tr r="F52" s="1"/>
      </tp>
      <tp t="s">
        <v/>
        <stp/>
        <stp>P</stp>
        <stp>0</stp>
        <stp>IR</stp>
        <stp>NO04M</stp>
        <stp>BID_Close</stp>
        <stp>45842</stp>
        <stp/>
        <tr r="G52" s="1"/>
      </tp>
      <tp t="s">
        <v/>
        <stp/>
        <stp>P</stp>
        <stp>0</stp>
        <stp>IR</stp>
        <stp>MY04M</stp>
        <stp>BID_Close</stp>
        <stp>45842</stp>
        <stp/>
        <tr r="L52" s="1"/>
      </tp>
      <tp t="s">
        <v/>
        <stp/>
        <stp>P</stp>
        <stp>0</stp>
        <stp>IR</stp>
        <stp>MX04M</stp>
        <stp>BID_Close</stp>
        <stp>45842</stp>
        <stp/>
        <tr r="M52" s="1"/>
      </tp>
      <tp t="s">
        <v/>
        <stp/>
        <stp>P</stp>
        <stp>0</stp>
        <stp>IR</stp>
        <stp>JP04M</stp>
        <stp>BID_Close</stp>
        <stp>45842</stp>
        <stp/>
        <tr r="Z52" s="1"/>
      </tp>
      <tp t="s">
        <v/>
        <stp/>
        <stp>P</stp>
        <stp>0</stp>
        <stp>IR</stp>
        <stp>IT04M</stp>
        <stp>BID_Close</stp>
        <stp>45842</stp>
        <stp/>
        <tr r="W52" s="1"/>
      </tp>
      <tp t="s">
        <v/>
        <stp/>
        <stp>P</stp>
        <stp>0</stp>
        <stp>IR</stp>
        <stp>IE04M</stp>
        <stp>BID_Close</stp>
        <stp>45842</stp>
        <stp/>
        <tr r="T52" s="1"/>
      </tp>
      <tp t="s">
        <v/>
        <stp/>
        <stp>P</stp>
        <stp>0</stp>
        <stp>IR</stp>
        <stp>ID04M</stp>
        <stp>BID_Close</stp>
        <stp>45842</stp>
        <stp/>
        <tr r="Y52" s="1"/>
      </tp>
      <tp t="s">
        <v/>
        <stp/>
        <stp>P</stp>
        <stp>0</stp>
        <stp>IR</stp>
        <stp>IN04M</stp>
        <stp>BID_Close</stp>
        <stp>45842</stp>
        <stp/>
        <tr r="X52" s="1"/>
      </tp>
      <tp t="s">
        <v/>
        <stp/>
        <stp>P</stp>
        <stp>0</stp>
        <stp>IR</stp>
        <stp>HU04M</stp>
        <stp>BID_Close</stp>
        <stp>45842</stp>
        <stp/>
        <tr r="AJ52" s="1"/>
      </tp>
      <tp t="s">
        <v/>
        <stp/>
        <stp>P</stp>
        <stp>0</stp>
        <stp>IR</stp>
        <stp>HK04M</stp>
        <stp>BID_Close</stp>
        <stp>45842</stp>
        <stp/>
        <tr r="AL52" s="1"/>
      </tp>
      <tp t="s">
        <v/>
        <stp/>
        <stp>P</stp>
        <stp>0</stp>
        <stp>IR</stp>
        <stp>GR04M</stp>
        <stp>BID_Close</stp>
        <stp>45842</stp>
        <stp/>
        <tr r="E52" s="1"/>
      </tp>
      <tp t="s">
        <v/>
        <stp/>
        <stp>P</stp>
        <stp>0</stp>
        <stp>IR</stp>
        <stp>GB04M</stp>
        <stp>BID_Close</stp>
        <stp>45842</stp>
        <stp/>
        <tr r="U52" s="1"/>
      </tp>
      <tp t="s">
        <v/>
        <stp/>
        <stp>P</stp>
        <stp>0</stp>
        <stp>IR</stp>
        <stp>FR04M</stp>
        <stp>BID_Close</stp>
        <stp>45842</stp>
        <stp/>
        <tr r="AH52" s="1"/>
      </tp>
      <tp t="s">
        <v/>
        <stp/>
        <stp>P</stp>
        <stp>0</stp>
        <stp>IR</stp>
        <stp>ES04M</stp>
        <stp>BID_Close</stp>
        <stp>45842</stp>
        <stp/>
        <tr r="R52" s="1"/>
      </tp>
      <tp t="s">
        <v/>
        <stp/>
        <stp>P</stp>
        <stp>0</stp>
        <stp>IR</stp>
        <stp>EU04M</stp>
        <stp>BID_Close</stp>
        <stp>45842</stp>
        <stp/>
        <tr r="V52" s="1"/>
      </tp>
      <tp t="s">
        <v/>
        <stp/>
        <stp>P</stp>
        <stp>0</stp>
        <stp>IR</stp>
        <stp>DE04M</stp>
        <stp>BID_Close</stp>
        <stp>45842</stp>
        <stp/>
        <tr r="K52" s="1"/>
      </tp>
      <tp t="s">
        <v/>
        <stp/>
        <stp>P</stp>
        <stp>0</stp>
        <stp>IR</stp>
        <stp>DK04M</stp>
        <stp>BID_Close</stp>
        <stp>45842</stp>
        <stp/>
        <tr r="J52" s="1"/>
      </tp>
      <tp t="s">
        <v/>
        <stp/>
        <stp>P</stp>
        <stp>0</stp>
        <stp>IR</stp>
        <stp>CA04M</stp>
        <stp>BID_Close</stp>
        <stp>45842</stp>
        <stp/>
        <tr r="AB52" s="1"/>
      </tp>
      <tp t="s">
        <v/>
        <stp/>
        <stp>P</stp>
        <stp>0</stp>
        <stp>IR</stp>
        <stp>CO04M</stp>
        <stp>BID_Close</stp>
        <stp>45842</stp>
        <stp/>
        <tr r="AC52" s="1"/>
      </tp>
      <tp t="s">
        <v/>
        <stp/>
        <stp>P</stp>
        <stp>0</stp>
        <stp>IR</stp>
        <stp>BR04M</stp>
        <stp>BID_Close</stp>
        <stp>45842</stp>
        <stp/>
        <tr r="P52" s="1"/>
      </tp>
      <tp t="s">
        <v/>
        <stp/>
        <stp>P</stp>
        <stp>0</stp>
        <stp>IR</stp>
        <stp>BE04M</stp>
        <stp>BID_Close</stp>
        <stp>45842</stp>
        <stp/>
        <tr r="O52" s="1"/>
      </tp>
      <tp t="s">
        <v/>
        <stp/>
        <stp>P</stp>
        <stp>0</stp>
        <stp>IR</stp>
        <stp>AU04M</stp>
        <stp>BID_Close</stp>
        <stp>45842</stp>
        <stp/>
        <tr r="AK52" s="1"/>
      </tp>
      <tp>
        <v>0.92569999999999997</v>
        <stp/>
        <stp>P</stp>
        <stp>0</stp>
        <stp>IR</stp>
        <stp>JP04Y</stp>
        <stp>BID_Close</stp>
        <stp>45842</stp>
        <stp/>
        <tr r="M11" s="1"/>
      </tp>
      <tp>
        <v>2.4258000000000002</v>
        <stp/>
        <stp>P</stp>
        <stp>0</stp>
        <stp>IR</stp>
        <stp>IT04Y</stp>
        <stp>BID_Close</stp>
        <stp>45842</stp>
        <stp/>
        <tr r="AH11" s="1"/>
      </tp>
      <tp>
        <v>2.8149999999999999</v>
        <stp/>
        <stp>P</stp>
        <stp>0</stp>
        <stp>IR</stp>
        <stp>CA04Y</stp>
        <stp>BID_Close</stp>
        <stp>45842</stp>
        <stp/>
        <tr r="AK9" s="1"/>
      </tp>
      <tp>
        <v>4.3390000000000004</v>
        <stp/>
        <stp>P</stp>
        <stp>0</stp>
        <stp>IR</stp>
        <stp>US04M</stp>
        <stp>BID_Close</stp>
        <stp>45842</stp>
        <stp/>
        <tr r="D11" s="1"/>
        <tr r="D33" s="1"/>
        <tr r="N52" s="1"/>
      </tp>
      <tp>
        <v>3.3923999999999999</v>
        <stp/>
        <stp>P</stp>
        <stp>0</stp>
        <stp>IR</stp>
        <stp>AU04Y</stp>
        <stp>BID_Close</stp>
        <stp>45842</stp>
        <stp/>
        <tr r="P11" s="1"/>
      </tp>
      <tp t="s">
        <v/>
        <stp/>
        <stp>P</stp>
        <stp>0</stp>
        <stp>IR</stp>
        <stp>TR04M</stp>
        <stp>BID_Close</stp>
        <stp>45842</stp>
        <stp/>
        <tr r="AE52" s="1"/>
      </tp>
      <tp t="s">
        <v/>
        <stp/>
        <stp>P</stp>
        <stp>0</stp>
        <stp>IR</stp>
        <stp>TW04M</stp>
        <stp>BID_Close</stp>
        <stp>45842</stp>
        <stp/>
        <tr r="I52" s="1"/>
      </tp>
      <tp t="s">
        <v/>
        <stp/>
        <stp>P</stp>
        <stp>0</stp>
        <stp>IR</stp>
        <stp>TH04M</stp>
        <stp>BID_Close</stp>
        <stp>45842</stp>
        <stp/>
        <tr r="AD52" s="1"/>
      </tp>
      <tp>
        <v>3.8340000000000001</v>
        <stp/>
        <stp>P</stp>
        <stp>0</stp>
        <stp>IR</stp>
        <stp>GB04Y</stp>
        <stp>BID_Close</stp>
        <stp>45842</stp>
        <stp/>
        <tr r="G11" s="1"/>
      </tp>
      <tp t="s">
        <v/>
        <stp/>
        <stp>P</stp>
        <stp>0</stp>
        <stp>IR</stp>
        <stp>SE04M</stp>
        <stp>BID_Close</stp>
        <stp>45842</stp>
        <stp/>
        <tr r="Q52" s="1"/>
      </tp>
      <tp t="s">
        <v/>
        <stp/>
        <stp>P</stp>
        <stp>0</stp>
        <stp>IR</stp>
        <stp>SG04M</stp>
        <stp>BID_Close</stp>
        <stp>45842</stp>
        <stp/>
        <tr r="S52" s="1"/>
      </tp>
      <tp>
        <v>2.5188000000000001</v>
        <stp/>
        <stp>P</stp>
        <stp>0</stp>
        <stp>IR</stp>
        <stp>FR04Y</stp>
        <stp>BID_Close</stp>
        <stp>45842</stp>
        <stp/>
        <tr r="AE11" s="1"/>
      </tp>
      <tp t="s">
        <v/>
        <stp/>
        <stp>P</stp>
        <stp>0</stp>
        <stp>IR</stp>
        <stp>RM04M</stp>
        <stp>BID_Close</stp>
        <stp>45842</stp>
        <stp/>
        <tr r="AA52" s="1"/>
      </tp>
      <tp>
        <v>2.0156999999999998</v>
        <stp/>
        <stp>P</stp>
        <stp>0</stp>
        <stp>IR</stp>
        <stp>EU04Y</stp>
        <stp>BID_Close</stp>
        <stp>45842</stp>
        <stp/>
        <tr r="J11" s="1"/>
      </tp>
      <tp t="s">
        <v/>
        <stp/>
        <stp>P</stp>
        <stp>0</stp>
        <stp>IR</stp>
        <stp>PT04M</stp>
        <stp>BID_Close</stp>
        <stp>45842</stp>
        <stp/>
        <tr r="AF52" s="1"/>
      </tp>
      <tp>
        <v>2.0156999999999998</v>
        <stp/>
        <stp>P</stp>
        <stp>0</stp>
        <stp>IR</stp>
        <stp>DE04Y</stp>
        <stp>BID_Close</stp>
        <stp>45842</stp>
        <stp/>
        <tr r="AB11" s="1"/>
      </tp>
      <tp t="s">
        <v/>
        <stp/>
        <stp>P</stp>
        <stp>0</stp>
        <stp>IR</stp>
        <stp>PH04M</stp>
        <stp>BID_Close</stp>
        <stp>45842</stp>
        <stp/>
        <tr r="AI52" s="1"/>
      </tp>
      <tp t="s">
        <v/>
        <stp/>
        <stp>P</stp>
        <stp>0</stp>
        <stp>IR</stp>
        <stp>PL04M</stp>
        <stp>BID_Close</stp>
        <stp>45842</stp>
        <stp/>
        <tr r="AG52" s="1"/>
      </tp>
      <tp>
        <v>1.7988</v>
        <stp/>
        <stp>P</stp>
        <stp>0</stp>
        <stp>IR</stp>
        <stp>SE05Y</stp>
        <stp>BID_Close</stp>
        <stp>45842</stp>
        <stp/>
        <tr r="Q57" s="1"/>
      </tp>
      <tp>
        <v>1.76</v>
        <stp/>
        <stp>P</stp>
        <stp>0</stp>
        <stp>IR</stp>
        <stp>SG05Y</stp>
        <stp>BID_Close</stp>
        <stp>45842</stp>
        <stp/>
        <tr r="S57" s="1"/>
      </tp>
      <tp>
        <v>1.905</v>
        <stp/>
        <stp>P</stp>
        <stp>0</stp>
        <stp>IR</stp>
        <stp>RM15Y</stp>
        <stp>BID_Close</stp>
        <stp>45842</stp>
        <stp/>
        <tr r="V14" s="1"/>
      </tp>
      <tp>
        <v>1.5033000000000001</v>
        <stp/>
        <stp>P</stp>
        <stp>0</stp>
        <stp>IR</stp>
        <stp>RM05Y</stp>
        <stp>BID_Close</stp>
        <stp>45842</stp>
        <stp/>
        <tr r="V11" s="1"/>
        <tr r="AA57" s="1"/>
      </tp>
      <tp>
        <v>2.3597999999999999</v>
        <stp/>
        <stp>P</stp>
        <stp>0</stp>
        <stp>IR</stp>
        <stp>PT05Y</stp>
        <stp>BID_Close</stp>
        <stp>45842</stp>
        <stp/>
        <tr r="AF57" s="1"/>
      </tp>
      <tp>
        <v>5.92</v>
        <stp/>
        <stp>P</stp>
        <stp>0</stp>
        <stp>IR</stp>
        <stp>PH05Y</stp>
        <stp>BID_Close</stp>
        <stp>45842</stp>
        <stp/>
        <tr r="AI57" s="1"/>
      </tp>
      <tp>
        <v>4.92</v>
        <stp/>
        <stp>P</stp>
        <stp>0</stp>
        <stp>IR</stp>
        <stp>PL05Y</stp>
        <stp>BID_Close</stp>
        <stp>45842</stp>
        <stp/>
        <tr r="AG57" s="1"/>
      </tp>
      <tp>
        <v>3.9340000000000002</v>
        <stp/>
        <stp>P</stp>
        <stp>0</stp>
        <stp>IR</stp>
        <stp>US05Y</stp>
        <stp>BID_Close</stp>
        <stp>45842</stp>
        <stp/>
        <tr r="N57" s="1"/>
        <tr r="D38" s="1"/>
        <tr r="D16" s="1"/>
      </tp>
      <tp>
        <v>32.649000000000001</v>
        <stp/>
        <stp>P</stp>
        <stp>0</stp>
        <stp>IR</stp>
        <stp>TR05Y</stp>
        <stp>BID_Close</stp>
        <stp>45842</stp>
        <stp/>
        <tr r="AE57" s="1"/>
      </tp>
      <tp>
        <v>1.35</v>
        <stp/>
        <stp>P</stp>
        <stp>0</stp>
        <stp>IR</stp>
        <stp>TW05Y</stp>
        <stp>BID_Close</stp>
        <stp>45842</stp>
        <stp/>
        <tr r="Y9" s="1"/>
        <tr r="I57" s="1"/>
      </tp>
      <tp>
        <v>1.41</v>
        <stp/>
        <stp>P</stp>
        <stp>0</stp>
        <stp>IR</stp>
        <stp>TH05Y</stp>
        <stp>BID_Close</stp>
        <stp>45842</stp>
        <stp/>
        <tr r="AD57" s="1"/>
      </tp>
      <tp>
        <v>2.2690999999999999</v>
        <stp/>
        <stp>P</stp>
        <stp>0</stp>
        <stp>IR</stp>
        <stp>JP15Y</stp>
        <stp>BID_Close</stp>
        <stp>45842</stp>
        <stp/>
        <tr r="M18" s="1"/>
      </tp>
      <tp>
        <v>0.98209999999999997</v>
        <stp/>
        <stp>P</stp>
        <stp>0</stp>
        <stp>IR</stp>
        <stp>JP05Y</stp>
        <stp>BID_Close</stp>
        <stp>45842</stp>
        <stp/>
        <tr r="M12" s="1"/>
        <tr r="Z57" s="1"/>
      </tp>
      <tp>
        <v>4.1456999999999997</v>
        <stp/>
        <stp>P</stp>
        <stp>0</stp>
        <stp>IR</stp>
        <stp>IT25Y</stp>
        <stp>BID_Close</stp>
        <stp>45842</stp>
        <stp/>
        <tr r="AH20" s="1"/>
      </tp>
      <tp>
        <v>3.9083000000000001</v>
        <stp/>
        <stp>P</stp>
        <stp>0</stp>
        <stp>IR</stp>
        <stp>IT15Y</stp>
        <stp>BID_Close</stp>
        <stp>45842</stp>
        <stp/>
        <tr r="AH18" s="1"/>
      </tp>
      <tp>
        <v>2.6941000000000002</v>
        <stp/>
        <stp>P</stp>
        <stp>0</stp>
        <stp>IR</stp>
        <stp>IT05Y</stp>
        <stp>BID_Close</stp>
        <stp>45842</stp>
        <stp/>
        <tr r="AH12" s="1"/>
        <tr r="W57" s="1"/>
      </tp>
      <tp>
        <v>2.3138000000000001</v>
        <stp/>
        <stp>P</stp>
        <stp>0</stp>
        <stp>IR</stp>
        <stp>IE05Y</stp>
        <stp>BID_Close</stp>
        <stp>45842</stp>
        <stp/>
        <tr r="T57" s="1"/>
      </tp>
      <tp>
        <v>6.218</v>
        <stp/>
        <stp>P</stp>
        <stp>0</stp>
        <stp>IR</stp>
        <stp>ID05Y</stp>
        <stp>BID_Close</stp>
        <stp>45842</stp>
        <stp/>
        <tr r="Y57" s="1"/>
      </tp>
      <tp>
        <v>6.0439999999999996</v>
        <stp/>
        <stp>P</stp>
        <stp>0</stp>
        <stp>IR</stp>
        <stp>IN05Y</stp>
        <stp>BID_Close</stp>
        <stp>45842</stp>
        <stp/>
        <tr r="X57" s="1"/>
      </tp>
      <tp>
        <v>6.46</v>
        <stp/>
        <stp>P</stp>
        <stp>0</stp>
        <stp>IR</stp>
        <stp>HU05Y</stp>
        <stp>BID_Close</stp>
        <stp>45842</stp>
        <stp/>
        <tr r="AJ57" s="1"/>
      </tp>
      <tp>
        <v>2.02</v>
        <stp/>
        <stp>P</stp>
        <stp>0</stp>
        <stp>IR</stp>
        <stp>HK05Y</stp>
        <stp>BID_Close</stp>
        <stp>45842</stp>
        <stp/>
        <tr r="S11" s="1"/>
        <tr r="AL57" s="1"/>
      </tp>
      <tp>
        <v>3.8628999999999998</v>
        <stp/>
        <stp>P</stp>
        <stp>0</stp>
        <stp>IR</stp>
        <stp>NZ05Y</stp>
        <stp>BID_Close</stp>
        <stp>45842</stp>
        <stp/>
        <tr r="H57" s="1"/>
      </tp>
      <tp>
        <v>2.2980999999999998</v>
        <stp/>
        <stp>P</stp>
        <stp>0</stp>
        <stp>IR</stp>
        <stp>NL05Y</stp>
        <stp>BID_Close</stp>
        <stp>45842</stp>
        <stp/>
        <tr r="F57" s="1"/>
      </tp>
      <tp>
        <v>3.6522000000000001</v>
        <stp/>
        <stp>P</stp>
        <stp>0</stp>
        <stp>IR</stp>
        <stp>NO05Y</stp>
        <stp>BID_Close</stp>
        <stp>45842</stp>
        <stp/>
        <tr r="G57" s="1"/>
      </tp>
      <tp>
        <v>3.2050000000000001</v>
        <stp/>
        <stp>P</stp>
        <stp>0</stp>
        <stp>IR</stp>
        <stp>MY05Y</stp>
        <stp>BID_Close</stp>
        <stp>45842</stp>
        <stp/>
        <tr r="L57" s="1"/>
      </tp>
      <tp>
        <v>8.6039999999999992</v>
        <stp/>
        <stp>P</stp>
        <stp>0</stp>
        <stp>IR</stp>
        <stp>MX05Y</stp>
        <stp>BID_Close</stp>
        <stp>45842</stp>
        <stp/>
        <tr r="M57" s="1"/>
      </tp>
      <tp>
        <v>2.9445999999999999</v>
        <stp/>
        <stp>P</stp>
        <stp>0</stp>
        <stp>IR</stp>
        <stp>CA05Y</stp>
        <stp>BID_Close</stp>
        <stp>45842</stp>
        <stp/>
        <tr r="AK10" s="1"/>
        <tr r="AB57" s="1"/>
      </tp>
      <tp>
        <v>11.252000000000001</v>
        <stp/>
        <stp>P</stp>
        <stp>0</stp>
        <stp>IR</stp>
        <stp>CO05Y</stp>
        <stp>BID_Close</stp>
        <stp>45842</stp>
        <stp/>
        <tr r="AC57" s="1"/>
      </tp>
      <tp>
        <v>14.964</v>
        <stp/>
        <stp>P</stp>
        <stp>0</stp>
        <stp>IR</stp>
        <stp>BR05Y</stp>
        <stp>BID_Close</stp>
        <stp>45842</stp>
        <stp/>
        <tr r="P57" s="1"/>
      </tp>
      <tp>
        <v>2.4630999999999998</v>
        <stp/>
        <stp>P</stp>
        <stp>0</stp>
        <stp>IR</stp>
        <stp>BE05Y</stp>
        <stp>BID_Close</stp>
        <stp>45842</stp>
        <stp/>
        <tr r="O57" s="1"/>
      </tp>
      <tp>
        <v>4.4294000000000002</v>
        <stp/>
        <stp>P</stp>
        <stp>0</stp>
        <stp>IR</stp>
        <stp>AU15Y</stp>
        <stp>BID_Close</stp>
        <stp>45842</stp>
        <stp/>
        <tr r="P16" s="1"/>
      </tp>
      <tp>
        <v>3.5133999999999999</v>
        <stp/>
        <stp>P</stp>
        <stp>0</stp>
        <stp>IR</stp>
        <stp>AU05Y</stp>
        <stp>BID_Close</stp>
        <stp>45842</stp>
        <stp/>
        <tr r="P12" s="1"/>
        <tr r="AK57" s="1"/>
      </tp>
      <tp>
        <v>2.5697999999999999</v>
        <stp/>
        <stp>P</stp>
        <stp>0</stp>
        <stp>IR</stp>
        <stp>GR05Y</stp>
        <stp>BID_Close</stp>
        <stp>45842</stp>
        <stp/>
        <tr r="E57" s="1"/>
      </tp>
      <tp>
        <v>5.3045999999999998</v>
        <stp/>
        <stp>P</stp>
        <stp>0</stp>
        <stp>IR</stp>
        <stp>GB25Y</stp>
        <stp>BID_Close</stp>
        <stp>45842</stp>
        <stp/>
        <tr r="G21" s="1"/>
      </tp>
      <tp>
        <v>4.9238999999999997</v>
        <stp/>
        <stp>P</stp>
        <stp>0</stp>
        <stp>IR</stp>
        <stp>GB15Y</stp>
        <stp>BID_Close</stp>
        <stp>45842</stp>
        <stp/>
        <tr r="G19" s="1"/>
      </tp>
      <tp>
        <v>3.9830999999999999</v>
        <stp/>
        <stp>P</stp>
        <stp>0</stp>
        <stp>IR</stp>
        <stp>GB05Y</stp>
        <stp>BID_Close</stp>
        <stp>45842</stp>
        <stp/>
        <tr r="G12" s="1"/>
        <tr r="U57" s="1"/>
      </tp>
      <tp>
        <v>3.9297</v>
        <stp/>
        <stp>P</stp>
        <stp>0</stp>
        <stp>IR</stp>
        <stp>FR25Y</stp>
        <stp>BID_Close</stp>
        <stp>45842</stp>
        <stp/>
        <tr r="AE20" s="1"/>
      </tp>
      <tp>
        <v>3.66</v>
        <stp/>
        <stp>P</stp>
        <stp>0</stp>
        <stp>IR</stp>
        <stp>FR15Y</stp>
        <stp>BID_Close</stp>
        <stp>45842</stp>
        <stp/>
        <tr r="AE18" s="1"/>
      </tp>
      <tp>
        <v>2.6953999999999998</v>
        <stp/>
        <stp>P</stp>
        <stp>0</stp>
        <stp>IR</stp>
        <stp>FR05Y</stp>
        <stp>BID_Close</stp>
        <stp>45842</stp>
        <stp/>
        <tr r="AE12" s="1"/>
        <tr r="AH57" s="1"/>
      </tp>
      <tp>
        <v>2.4558</v>
        <stp/>
        <stp>P</stp>
        <stp>0</stp>
        <stp>IR</stp>
        <stp>ES05Y</stp>
        <stp>BID_Close</stp>
        <stp>45842</stp>
        <stp/>
        <tr r="R57" s="1"/>
      </tp>
      <tp>
        <v>2.9834000000000001</v>
        <stp/>
        <stp>P</stp>
        <stp>0</stp>
        <stp>IR</stp>
        <stp>EU25Y</stp>
        <stp>BID_Close</stp>
        <stp>45842</stp>
        <stp/>
        <tr r="J20" s="1"/>
      </tp>
      <tp>
        <v>2.9058000000000002</v>
        <stp/>
        <stp>P</stp>
        <stp>0</stp>
        <stp>IR</stp>
        <stp>EU15Y</stp>
        <stp>BID_Close</stp>
        <stp>45842</stp>
        <stp/>
        <tr r="J18" s="1"/>
      </tp>
      <tp>
        <v>2.1261000000000001</v>
        <stp/>
        <stp>P</stp>
        <stp>0</stp>
        <stp>IR</stp>
        <stp>EU05Y</stp>
        <stp>BID_Close</stp>
        <stp>45842</stp>
        <stp/>
        <tr r="J12" s="1"/>
        <tr r="V57" s="1"/>
      </tp>
      <tp>
        <v>2.9834000000000001</v>
        <stp/>
        <stp>P</stp>
        <stp>0</stp>
        <stp>IR</stp>
        <stp>DE25Y</stp>
        <stp>BID_Close</stp>
        <stp>45842</stp>
        <stp/>
        <tr r="AB20" s="1"/>
      </tp>
      <tp>
        <v>2.9058000000000002</v>
        <stp/>
        <stp>P</stp>
        <stp>0</stp>
        <stp>IR</stp>
        <stp>DE15Y</stp>
        <stp>BID_Close</stp>
        <stp>45842</stp>
        <stp/>
        <tr r="AB18" s="1"/>
      </tp>
      <tp>
        <v>2.1261000000000001</v>
        <stp/>
        <stp>P</stp>
        <stp>0</stp>
        <stp>IR</stp>
        <stp>DE05Y</stp>
        <stp>BID_Close</stp>
        <stp>45842</stp>
        <stp/>
        <tr r="AB12" s="1"/>
        <tr r="K57" s="1"/>
      </tp>
      <tp>
        <v>1.9582999999999999</v>
        <stp/>
        <stp>P</stp>
        <stp>0</stp>
        <stp>IR</stp>
        <stp>DK05Y</stp>
        <stp>BID_Close</stp>
        <stp>45842</stp>
        <stp/>
        <tr r="J57" s="1"/>
      </tp>
      <tp>
        <v>1.2734000000000001</v>
        <stp/>
        <stp>P</stp>
        <stp>0</stp>
        <stp>IR</stp>
        <stp>JP08Y</stp>
        <stp>BID_Close</stp>
        <stp>45842</stp>
        <stp/>
        <tr r="M15" s="1"/>
      </tp>
      <tp>
        <v>3.1307999999999998</v>
        <stp/>
        <stp>P</stp>
        <stp>0</stp>
        <stp>IR</stp>
        <stp>IT08Y</stp>
        <stp>BID_Close</stp>
        <stp>45842</stp>
        <stp/>
        <tr r="AH15" s="1"/>
      </tp>
      <tp>
        <v>3.2160000000000002</v>
        <stp/>
        <stp>P</stp>
        <stp>0</stp>
        <stp>IR</stp>
        <stp>CA08Y</stp>
        <stp>BID_Close</stp>
        <stp>45842</stp>
        <stp/>
        <tr r="AK13" s="1"/>
      </tp>
      <tp>
        <v>4.3006000000000002</v>
        <stp/>
        <stp>P</stp>
        <stp>0</stp>
        <stp>IR</stp>
        <stp>GB08Y</stp>
        <stp>BID_Close</stp>
        <stp>45842</stp>
        <stp/>
        <tr r="G15" s="1"/>
      </tp>
      <tp>
        <v>3.0278</v>
        <stp/>
        <stp>P</stp>
        <stp>0</stp>
        <stp>IR</stp>
        <stp>FR08Y</stp>
        <stp>BID_Close</stp>
        <stp>45842</stp>
        <stp/>
        <tr r="AE15" s="1"/>
      </tp>
      <tp>
        <v>2.4350999999999998</v>
        <stp/>
        <stp>P</stp>
        <stp>0</stp>
        <stp>IR</stp>
        <stp>EU08Y</stp>
        <stp>BID_Close</stp>
        <stp>45842</stp>
        <stp/>
        <tr r="J15" s="1"/>
      </tp>
      <tp>
        <v>2.4350999999999998</v>
        <stp/>
        <stp>P</stp>
        <stp>0</stp>
        <stp>IR</stp>
        <stp>DE08Y</stp>
        <stp>BID_Close</stp>
        <stp>45842</stp>
        <stp/>
        <tr r="AB15" s="1"/>
      </tp>
      <tp>
        <v>1.3593999999999999</v>
        <stp/>
        <stp>P</stp>
        <stp>0</stp>
        <stp>IR</stp>
        <stp>JP09Y</stp>
        <stp>BID_Close</stp>
        <stp>45842</stp>
        <stp/>
        <tr r="M16" s="1"/>
      </tp>
      <tp>
        <v>3.2581000000000002</v>
        <stp/>
        <stp>P</stp>
        <stp>0</stp>
        <stp>IR</stp>
        <stp>IT09Y</stp>
        <stp>BID_Close</stp>
        <stp>45842</stp>
        <stp/>
        <tr r="AH16" s="1"/>
      </tp>
      <tp>
        <v>3.2692000000000001</v>
        <stp/>
        <stp>P</stp>
        <stp>0</stp>
        <stp>IR</stp>
        <stp>CA09Y</stp>
        <stp>BID_Close</stp>
        <stp>45842</stp>
        <stp/>
        <tr r="AK14" s="1"/>
      </tp>
      <tp>
        <v>4.0953999999999997</v>
        <stp/>
        <stp>P</stp>
        <stp>0</stp>
        <stp>IR</stp>
        <stp>AU09Y</stp>
        <stp>BID_Close</stp>
        <stp>45842</stp>
        <stp/>
        <tr r="P14" s="1"/>
      </tp>
      <tp>
        <v>4.4196</v>
        <stp/>
        <stp>P</stp>
        <stp>0</stp>
        <stp>IR</stp>
        <stp>GB09Y</stp>
        <stp>BID_Close</stp>
        <stp>45842</stp>
        <stp/>
        <tr r="G16" s="1"/>
      </tp>
      <tp>
        <v>3.1657000000000002</v>
        <stp/>
        <stp>P</stp>
        <stp>0</stp>
        <stp>IR</stp>
        <stp>FR09Y</stp>
        <stp>BID_Close</stp>
        <stp>45842</stp>
        <stp/>
        <tr r="AE16" s="1"/>
      </tp>
      <tp>
        <v>2.5232999999999999</v>
        <stp/>
        <stp>P</stp>
        <stp>0</stp>
        <stp>IR</stp>
        <stp>EU09Y</stp>
        <stp>BID_Close</stp>
        <stp>45842</stp>
        <stp/>
        <tr r="J16" s="1"/>
      </tp>
      <tp>
        <v>2.5232999999999999</v>
        <stp/>
        <stp>P</stp>
        <stp>0</stp>
        <stp>IR</stp>
        <stp>DE09Y</stp>
        <stp>BID_Close</stp>
        <stp>45842</stp>
        <stp/>
        <tr r="AB1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fmlaLink="Sheet1!$C$6" fmlaRange="Sheet2!$B$3:$B$36" noThreeD="1" sel="10" val="17"/>
</file>

<file path=xl/ctrlProps/ctrlProp2.xml><?xml version="1.0" encoding="utf-8"?>
<formControlPr xmlns="http://schemas.microsoft.com/office/spreadsheetml/2009/9/main" objectType="Drop" dropStyle="combo" dx="22" fmlaLink="Sheet1!$F$6" fmlaRange="Sheet2!$B$3:$B$36" noThreeD="1" sel="17" val="17"/>
</file>

<file path=xl/ctrlProps/ctrlProp3.xml><?xml version="1.0" encoding="utf-8"?>
<formControlPr xmlns="http://schemas.microsoft.com/office/spreadsheetml/2009/9/main" objectType="Drop" dropStyle="combo" dx="22" fmlaLink="Sheet1!$I$6" fmlaRange="Sheet2!$B$3:$B$36" noThreeD="1" sel="18" val="17"/>
</file>

<file path=xl/ctrlProps/ctrlProp4.xml><?xml version="1.0" encoding="utf-8"?>
<formControlPr xmlns="http://schemas.microsoft.com/office/spreadsheetml/2009/9/main" objectType="Drop" dropStyle="combo" dx="22" fmlaLink="Sheet1!$L$6" fmlaRange="Sheet2!$B$3:$B$36" noThreeD="1" sel="22" val="17"/>
</file>

<file path=xl/ctrlProps/ctrlProp5.xml><?xml version="1.0" encoding="utf-8"?>
<formControlPr xmlns="http://schemas.microsoft.com/office/spreadsheetml/2009/9/main" objectType="Drop" dropStyle="combo" dx="22" fmlaLink="Sheet1!$O$6" fmlaRange="Sheet2!$B$3:$B$36" noThreeD="1" sel="33" val="17"/>
</file>

<file path=xl/ctrlProps/ctrlProp6.xml><?xml version="1.0" encoding="utf-8"?>
<formControlPr xmlns="http://schemas.microsoft.com/office/spreadsheetml/2009/9/main" objectType="Drop" dropStyle="combo" dx="22" fmlaLink="Sheet1!$R$6" fmlaRange="Sheet2!$B$3:$B$36" noThreeD="1" sel="34" val="17"/>
</file>

<file path=xl/ctrlProps/ctrlProp7.xml><?xml version="1.0" encoding="utf-8"?>
<formControlPr xmlns="http://schemas.microsoft.com/office/spreadsheetml/2009/9/main" objectType="Drop" dropStyle="combo" dx="22" fmlaLink="Sheet1!$U$6" fmlaRange="Sheet2!$B$3:$B$36" noThreeD="1" sel="23" val="17"/>
</file>

<file path=xl/ctrlProps/ctrlProp8.xml><?xml version="1.0" encoding="utf-8"?>
<formControlPr xmlns="http://schemas.microsoft.com/office/spreadsheetml/2009/9/main" objectType="Drop" dropStyle="combo" dx="22" fmlaLink="Sheet1!$X$6" fmlaRange="Sheet2!$B$3:$B$36" noThreeD="1" sel="5" val="17"/>
</file>

<file path=xl/ctrlProps/ctrlProp9.xml><?xml version="1.0" encoding="utf-8"?>
<formControlPr xmlns="http://schemas.microsoft.com/office/spreadsheetml/2009/9/main" objectType="Drop" dropStyle="combo" dx="22" fmlaLink="Sheet1!$AA$6" fmlaRange="Sheet2!$B$3:$B$36" noThreeD="1" sel="7" val="17"/>
</file>

<file path=xl/ctrlProps/ctrlProp10.xml><?xml version="1.0" encoding="utf-8"?>
<formControlPr xmlns="http://schemas.microsoft.com/office/spreadsheetml/2009/9/main" objectType="Drop" dropStyle="combo" dx="22" fmlaLink="Sheet1!$AD$6" fmlaRange="Sheet2!$B$3:$B$36" noThreeD="1" sel="30" val="17"/>
</file>

<file path=xl/ctrlProps/ctrlProp11.xml><?xml version="1.0" encoding="utf-8"?>
<formControlPr xmlns="http://schemas.microsoft.com/office/spreadsheetml/2009/9/main" objectType="Drop" dropStyle="combo" dx="22" fmlaLink="Sheet1!$AG$6" fmlaRange="Sheet2!$B$3:$B$36" noThreeD="1" sel="19" val="17"/>
</file>

<file path=xl/ctrlProps/ctrlProp12.xml><?xml version="1.0" encoding="utf-8"?>
<formControlPr xmlns="http://schemas.microsoft.com/office/spreadsheetml/2009/9/main" objectType="Drop" dropStyle="combo" dx="22" fmlaLink="$C$28" fmlaRange="Sheet2!$B$3:$B$36" noThreeD="1" sel="10" val="9"/>
</file>

<file path=xl/ctrlProps/ctrlProp13.xml><?xml version="1.0" encoding="utf-8"?>
<formControlPr xmlns="http://schemas.microsoft.com/office/spreadsheetml/2009/9/main" objectType="Radio" checked="Checked" firstButton="1" fmlaLink="Sheet2!$G$3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Drop" dropStyle="combo" dx="22" fmlaLink="$AJ$6" fmlaRange="Sheet2!$B$3:$B$36" noThreeD="1" sel="24" val="18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85725</xdr:rowOff>
        </xdr:from>
        <xdr:to>
          <xdr:col>4</xdr:col>
          <xdr:colOff>552450</xdr:colOff>
          <xdr:row>5</xdr:row>
          <xdr:rowOff>180975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4</xdr:row>
          <xdr:rowOff>85725</xdr:rowOff>
        </xdr:from>
        <xdr:to>
          <xdr:col>7</xdr:col>
          <xdr:colOff>552450</xdr:colOff>
          <xdr:row>5</xdr:row>
          <xdr:rowOff>180975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4</xdr:row>
          <xdr:rowOff>85725</xdr:rowOff>
        </xdr:from>
        <xdr:to>
          <xdr:col>10</xdr:col>
          <xdr:colOff>552450</xdr:colOff>
          <xdr:row>5</xdr:row>
          <xdr:rowOff>180975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76200</xdr:colOff>
          <xdr:row>4</xdr:row>
          <xdr:rowOff>85725</xdr:rowOff>
        </xdr:from>
        <xdr:to>
          <xdr:col>13</xdr:col>
          <xdr:colOff>552450</xdr:colOff>
          <xdr:row>5</xdr:row>
          <xdr:rowOff>180975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4</xdr:row>
          <xdr:rowOff>85725</xdr:rowOff>
        </xdr:from>
        <xdr:to>
          <xdr:col>16</xdr:col>
          <xdr:colOff>552450</xdr:colOff>
          <xdr:row>5</xdr:row>
          <xdr:rowOff>180975</xdr:rowOff>
        </xdr:to>
        <xdr:sp macro="" textlink="">
          <xdr:nvSpPr>
            <xdr:cNvPr id="1035" name="Drop Dow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76200</xdr:colOff>
          <xdr:row>4</xdr:row>
          <xdr:rowOff>85725</xdr:rowOff>
        </xdr:from>
        <xdr:to>
          <xdr:col>19</xdr:col>
          <xdr:colOff>552450</xdr:colOff>
          <xdr:row>5</xdr:row>
          <xdr:rowOff>180975</xdr:rowOff>
        </xdr:to>
        <xdr:sp macro="" textlink="">
          <xdr:nvSpPr>
            <xdr:cNvPr id="1036" name="Drop Dow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4</xdr:row>
          <xdr:rowOff>85725</xdr:rowOff>
        </xdr:from>
        <xdr:to>
          <xdr:col>22</xdr:col>
          <xdr:colOff>552450</xdr:colOff>
          <xdr:row>5</xdr:row>
          <xdr:rowOff>180975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76200</xdr:colOff>
          <xdr:row>4</xdr:row>
          <xdr:rowOff>85725</xdr:rowOff>
        </xdr:from>
        <xdr:to>
          <xdr:col>25</xdr:col>
          <xdr:colOff>552450</xdr:colOff>
          <xdr:row>5</xdr:row>
          <xdr:rowOff>180975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76200</xdr:colOff>
          <xdr:row>4</xdr:row>
          <xdr:rowOff>85725</xdr:rowOff>
        </xdr:from>
        <xdr:to>
          <xdr:col>28</xdr:col>
          <xdr:colOff>552450</xdr:colOff>
          <xdr:row>5</xdr:row>
          <xdr:rowOff>180975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76200</xdr:colOff>
          <xdr:row>4</xdr:row>
          <xdr:rowOff>85725</xdr:rowOff>
        </xdr:from>
        <xdr:to>
          <xdr:col>31</xdr:col>
          <xdr:colOff>552450</xdr:colOff>
          <xdr:row>5</xdr:row>
          <xdr:rowOff>180975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76200</xdr:colOff>
          <xdr:row>4</xdr:row>
          <xdr:rowOff>85725</xdr:rowOff>
        </xdr:from>
        <xdr:to>
          <xdr:col>34</xdr:col>
          <xdr:colOff>552450</xdr:colOff>
          <xdr:row>5</xdr:row>
          <xdr:rowOff>180975</xdr:rowOff>
        </xdr:to>
        <xdr:sp macro="" textlink="">
          <xdr:nvSpPr>
            <xdr:cNvPr id="1041" name="Drop Dow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552450</xdr:colOff>
          <xdr:row>25</xdr:row>
          <xdr:rowOff>47625</xdr:rowOff>
        </xdr:from>
        <xdr:to>
          <xdr:col>5</xdr:col>
          <xdr:colOff>428625</xdr:colOff>
          <xdr:row>25</xdr:row>
          <xdr:rowOff>304800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214673</xdr:colOff>
          <xdr:row>26</xdr:row>
          <xdr:rowOff>58592</xdr:rowOff>
        </xdr:from>
        <xdr:to>
          <xdr:col>3</xdr:col>
          <xdr:colOff>522550</xdr:colOff>
          <xdr:row>26</xdr:row>
          <xdr:rowOff>274592</xdr:rowOff>
        </xdr:to>
        <xdr:grpSp>
          <xdr:nvGrpSpPr>
            <xdr:cNvPr id="7" name="그룹 6">
              <a:extLst>
                <a:ext uri="{FF2B5EF4-FFF2-40B4-BE49-F238E27FC236}">
                  <a16:creationId xmlns:a16="http://schemas.microsoft.com/office/drawing/2014/main" id="{847D6FDB-6A2C-7EED-E0B8-9288DEE7A6C9}"/>
                </a:ext>
              </a:extLst>
            </xdr:cNvPr>
            <xdr:cNvGrpSpPr/>
          </xdr:nvGrpSpPr>
          <xdr:grpSpPr>
            <a:xfrm>
              <a:off x="405173" y="5242913"/>
              <a:ext cx="961020" cy="216000"/>
              <a:chOff x="2272553" y="4603377"/>
              <a:chExt cx="1021852" cy="216000"/>
            </a:xfrm>
          </xdr:grpSpPr>
          <xdr:sp macro="" textlink="">
            <xdr:nvSpPr>
              <xdr:cNvPr id="1044" name="Option Button 20" hidden="1">
                <a:extLst>
                  <a:ext uri="{63B3BB69-23CF-44E3-9099-C40C66FF867C}">
                    <a14:compatExt spid="_x0000_s1044"/>
                  </a:ext>
                  <a:ext uri="{FF2B5EF4-FFF2-40B4-BE49-F238E27FC236}">
                    <a16:creationId xmlns:a16="http://schemas.microsoft.com/office/drawing/2014/main" id="{00000000-0008-0000-0000-000014040000}"/>
                  </a:ext>
                </a:extLst>
              </xdr:cNvPr>
              <xdr:cNvSpPr/>
            </xdr:nvSpPr>
            <xdr:spPr bwMode="auto">
              <a:xfrm>
                <a:off x="2272553" y="4603377"/>
                <a:ext cx="540000" cy="216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BID</a:t>
                </a:r>
              </a:p>
            </xdr:txBody>
          </xdr:sp>
          <xdr:sp macro="" textlink="">
            <xdr:nvSpPr>
              <xdr:cNvPr id="1045" name="Option Button 21" hidden="1">
                <a:extLst>
                  <a:ext uri="{63B3BB69-23CF-44E3-9099-C40C66FF867C}">
                    <a14:compatExt spid="_x0000_s1045"/>
                  </a:ext>
                  <a:ext uri="{FF2B5EF4-FFF2-40B4-BE49-F238E27FC236}">
                    <a16:creationId xmlns:a16="http://schemas.microsoft.com/office/drawing/2014/main" id="{00000000-0008-0000-0000-000015040000}"/>
                  </a:ext>
                </a:extLst>
              </xdr:cNvPr>
              <xdr:cNvSpPr/>
            </xdr:nvSpPr>
            <xdr:spPr bwMode="auto">
              <a:xfrm>
                <a:off x="2754405" y="4603377"/>
                <a:ext cx="540000" cy="216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ASK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76200</xdr:colOff>
          <xdr:row>4</xdr:row>
          <xdr:rowOff>85725</xdr:rowOff>
        </xdr:from>
        <xdr:to>
          <xdr:col>37</xdr:col>
          <xdr:colOff>561975</xdr:colOff>
          <xdr:row>5</xdr:row>
          <xdr:rowOff>180975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B18C-27AC-442F-807F-B3A1EFD8E666}">
  <dimension ref="A1:AM65"/>
  <sheetViews>
    <sheetView showGridLines="0" tabSelected="1" zoomScale="70" zoomScaleNormal="70" workbookViewId="0">
      <selection activeCell="J27" sqref="J27"/>
    </sheetView>
  </sheetViews>
  <sheetFormatPr defaultColWidth="0" defaultRowHeight="16.5" zeroHeight="1"/>
  <cols>
    <col min="1" max="1" width="2.5" customWidth="1"/>
    <col min="2" max="2" width="9" hidden="1" customWidth="1"/>
    <col min="3" max="3" width="8.625" style="4" customWidth="1"/>
    <col min="4" max="5" width="8.625" customWidth="1"/>
    <col min="6" max="6" width="8.625" style="4" customWidth="1"/>
    <col min="7" max="8" width="8.625" customWidth="1"/>
    <col min="9" max="9" width="8.625" style="4" customWidth="1"/>
    <col min="10" max="11" width="8.625" customWidth="1"/>
    <col min="12" max="12" width="8.625" style="4" customWidth="1"/>
    <col min="13" max="14" width="8.625" customWidth="1"/>
    <col min="15" max="15" width="8.625" style="4" customWidth="1"/>
    <col min="16" max="17" width="8.625" customWidth="1"/>
    <col min="18" max="18" width="8.625" style="4" customWidth="1"/>
    <col min="19" max="20" width="8.625" customWidth="1"/>
    <col min="21" max="21" width="8.625" style="4" customWidth="1"/>
    <col min="22" max="23" width="8.625" customWidth="1"/>
    <col min="24" max="24" width="8.625" style="4" customWidth="1"/>
    <col min="25" max="26" width="8.625" customWidth="1"/>
    <col min="27" max="27" width="8.625" style="4" customWidth="1"/>
    <col min="28" max="29" width="8.625" customWidth="1"/>
    <col min="30" max="30" width="8.625" style="4" customWidth="1"/>
    <col min="31" max="32" width="8.625" customWidth="1"/>
    <col min="33" max="33" width="8.625" style="4" customWidth="1"/>
    <col min="34" max="38" width="8.625" customWidth="1"/>
    <col min="39" max="39" width="9" customWidth="1"/>
    <col min="40" max="40" width="9" hidden="1" customWidth="1"/>
    <col min="41" max="16384" width="9" hidden="1"/>
  </cols>
  <sheetData>
    <row r="1" spans="2:38" ht="8.25" customHeight="1"/>
    <row r="2" spans="2:38" ht="38.25" customHeight="1">
      <c r="C2" s="34" t="s">
        <v>92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2:38" ht="4.5" customHeight="1"/>
    <row r="4" spans="2:38" ht="23.25" customHeight="1">
      <c r="C4" s="36">
        <f ca="1">TODAY()</f>
        <v>45842</v>
      </c>
      <c r="D4" s="37"/>
    </row>
    <row r="5" spans="2:38" ht="12" customHeight="1"/>
    <row r="6" spans="2:38" ht="17.25" thickBot="1">
      <c r="C6">
        <v>10</v>
      </c>
      <c r="D6" s="4" t="str" cm="1">
        <f t="array" ref="D6">INDEX(Sheet2!$C$3:$C$36, C6)</f>
        <v>US</v>
      </c>
      <c r="E6" t="str">
        <f>D6</f>
        <v>US</v>
      </c>
      <c r="F6">
        <v>17</v>
      </c>
      <c r="G6" s="4" t="str" cm="1">
        <f t="array" ref="G6">INDEX(Sheet2!$C$3:$C$36, F6)</f>
        <v>GB</v>
      </c>
      <c r="H6" t="str">
        <f>G6</f>
        <v>GB</v>
      </c>
      <c r="I6">
        <v>18</v>
      </c>
      <c r="J6" s="4" t="str" cm="1">
        <f t="array" ref="J6">INDEX(Sheet2!$C$3:$C$36, I6)</f>
        <v>EU</v>
      </c>
      <c r="K6" t="str">
        <f>J6</f>
        <v>EU</v>
      </c>
      <c r="L6">
        <v>22</v>
      </c>
      <c r="M6" s="4" t="str" cm="1">
        <f t="array" ref="M6">INDEX(Sheet2!$C$3:$C$36, L6)</f>
        <v>JP</v>
      </c>
      <c r="N6" t="str">
        <f>M6</f>
        <v>JP</v>
      </c>
      <c r="O6">
        <v>33</v>
      </c>
      <c r="P6" s="4" t="str" cm="1">
        <f t="array" ref="P6">INDEX(Sheet2!$C$3:$C$36, O6)</f>
        <v>AU</v>
      </c>
      <c r="Q6" t="str">
        <f>P6</f>
        <v>AU</v>
      </c>
      <c r="R6">
        <v>34</v>
      </c>
      <c r="S6" s="4" t="str" cm="1">
        <f t="array" ref="S6">INDEX(Sheet2!$C$3:$C$36, R6)</f>
        <v>HK</v>
      </c>
      <c r="T6" t="str">
        <f>S6</f>
        <v>HK</v>
      </c>
      <c r="U6">
        <v>23</v>
      </c>
      <c r="V6" s="4" t="str" cm="1">
        <f t="array" ref="V6">INDEX(Sheet2!$C$3:$C$36, U6)</f>
        <v>RM</v>
      </c>
      <c r="W6" t="str">
        <f>V6</f>
        <v>RM</v>
      </c>
      <c r="X6">
        <v>5</v>
      </c>
      <c r="Y6" s="4" t="str" cm="1">
        <f t="array" ref="Y6">INDEX(Sheet2!$C$3:$C$36, X6)</f>
        <v>TW</v>
      </c>
      <c r="Z6" t="str">
        <f>Y6</f>
        <v>TW</v>
      </c>
      <c r="AA6">
        <v>7</v>
      </c>
      <c r="AB6" s="4" t="str" cm="1">
        <f t="array" ref="AB6">INDEX(Sheet2!$C$3:$C$36, AA6)</f>
        <v>DE</v>
      </c>
      <c r="AC6" t="str">
        <f>AB6</f>
        <v>DE</v>
      </c>
      <c r="AD6">
        <v>30</v>
      </c>
      <c r="AE6" s="4" t="str" cm="1">
        <f t="array" ref="AE6">INDEX(Sheet2!$C$3:$C$36, AD6)</f>
        <v>FR</v>
      </c>
      <c r="AF6" t="str">
        <f>AE6</f>
        <v>FR</v>
      </c>
      <c r="AG6">
        <v>19</v>
      </c>
      <c r="AH6" s="4" t="str" cm="1">
        <f t="array" ref="AH6">INDEX(Sheet2!$C$3:$C$36, AG6)</f>
        <v>IT</v>
      </c>
      <c r="AI6" t="str">
        <f>AH6</f>
        <v>IT</v>
      </c>
      <c r="AJ6">
        <v>24</v>
      </c>
      <c r="AK6" s="4" t="str" cm="1">
        <f t="array" ref="AK6">INDEX(Sheet2!$C$3:$C$36, AJ6)</f>
        <v>CA</v>
      </c>
      <c r="AL6" t="str">
        <f>AK6</f>
        <v>CA</v>
      </c>
    </row>
    <row r="7" spans="2:38" s="3" customFormat="1" ht="18" customHeight="1" thickBot="1">
      <c r="C7" s="25" t="s">
        <v>93</v>
      </c>
      <c r="D7" s="26" t="s">
        <v>94</v>
      </c>
      <c r="E7" s="27" t="s">
        <v>95</v>
      </c>
      <c r="F7" s="25" t="s">
        <v>93</v>
      </c>
      <c r="G7" s="26" t="s">
        <v>94</v>
      </c>
      <c r="H7" s="27" t="s">
        <v>95</v>
      </c>
      <c r="I7" s="25" t="s">
        <v>93</v>
      </c>
      <c r="J7" s="26" t="s">
        <v>94</v>
      </c>
      <c r="K7" s="27" t="s">
        <v>95</v>
      </c>
      <c r="L7" s="25" t="s">
        <v>93</v>
      </c>
      <c r="M7" s="26" t="s">
        <v>94</v>
      </c>
      <c r="N7" s="27" t="s">
        <v>95</v>
      </c>
      <c r="O7" s="25" t="s">
        <v>93</v>
      </c>
      <c r="P7" s="26" t="s">
        <v>94</v>
      </c>
      <c r="Q7" s="27" t="s">
        <v>95</v>
      </c>
      <c r="R7" s="25" t="s">
        <v>93</v>
      </c>
      <c r="S7" s="26" t="s">
        <v>94</v>
      </c>
      <c r="T7" s="27" t="s">
        <v>95</v>
      </c>
      <c r="U7" s="25" t="s">
        <v>93</v>
      </c>
      <c r="V7" s="26" t="s">
        <v>94</v>
      </c>
      <c r="W7" s="27" t="s">
        <v>95</v>
      </c>
      <c r="X7" s="25" t="s">
        <v>93</v>
      </c>
      <c r="Y7" s="26" t="s">
        <v>94</v>
      </c>
      <c r="Z7" s="27" t="s">
        <v>95</v>
      </c>
      <c r="AA7" s="25" t="s">
        <v>93</v>
      </c>
      <c r="AB7" s="26" t="s">
        <v>94</v>
      </c>
      <c r="AC7" s="27" t="s">
        <v>95</v>
      </c>
      <c r="AD7" s="25" t="s">
        <v>93</v>
      </c>
      <c r="AE7" s="26" t="s">
        <v>94</v>
      </c>
      <c r="AF7" s="27" t="s">
        <v>95</v>
      </c>
      <c r="AG7" s="25" t="s">
        <v>93</v>
      </c>
      <c r="AH7" s="26" t="s">
        <v>94</v>
      </c>
      <c r="AI7" s="27" t="s">
        <v>95</v>
      </c>
      <c r="AJ7" s="25" t="s">
        <v>93</v>
      </c>
      <c r="AK7" s="26" t="s">
        <v>94</v>
      </c>
      <c r="AL7" s="27" t="s">
        <v>95</v>
      </c>
    </row>
    <row r="8" spans="2:38" s="6" customFormat="1" ht="13.5" customHeight="1">
      <c r="B8" s="6">
        <v>1</v>
      </c>
      <c r="C8" s="38" t="str" cm="1">
        <f t="array" ref="C8">INDEX(Sheet2!$I$3:$AP$18, $B8, Sheet1!C$6)</f>
        <v>01M</v>
      </c>
      <c r="D8" s="7" cm="1">
        <f t="array" aca="1" ref="D8" ca="1">_xll.IMDP("IR", D$6&amp;C8, "BID_Close", $C$4)</f>
        <v>4.2290000000000001</v>
      </c>
      <c r="E8" s="8" cm="1">
        <f t="array" aca="1" ref="E8" ca="1">_xll.IMDP("IR", E$6&amp;C8, "ASK_Close", $C$4)</f>
        <v>4.218</v>
      </c>
      <c r="F8" s="38" t="str" cm="1">
        <f t="array" ref="F8">INDEX(Sheet2!$I$3:$AP$18, $B8, Sheet1!F$6)</f>
        <v>01Y</v>
      </c>
      <c r="G8" s="7" cm="1">
        <f t="array" aca="1" ref="G8" ca="1">_xll.IMDP("IR", G$6&amp;F8, "BID_Close", $C$4)</f>
        <v>3.7422</v>
      </c>
      <c r="H8" s="8" cm="1">
        <f t="array" aca="1" ref="H8" ca="1">_xll.IMDP("IR", H$6&amp;F8, "ASK_Close", $C$4)</f>
        <v>3.7222</v>
      </c>
      <c r="I8" s="38" t="str" cm="1">
        <f t="array" ref="I8">INDEX(Sheet2!$I$3:$AP$18, $B8, Sheet1!I$6)</f>
        <v>01Y</v>
      </c>
      <c r="J8" s="7" cm="1">
        <f t="array" aca="1" ref="J8" ca="1">_xll.IMDP("IR", J$6&amp;I8, "BID_Close", $C$4)</f>
        <v>1.8210999999999999</v>
      </c>
      <c r="K8" s="8" cm="1">
        <f t="array" aca="1" ref="K8" ca="1">_xll.IMDP("IR", K$6&amp;I8, "ASK_Close", $C$4)</f>
        <v>1.7890999999999999</v>
      </c>
      <c r="L8" s="38" t="str" cm="1">
        <f t="array" ref="L8">INDEX(Sheet2!$I$3:$AP$18, $B8, Sheet1!L$6)</f>
        <v>01Y</v>
      </c>
      <c r="M8" s="7" cm="1">
        <f t="array" aca="1" ref="M8" ca="1">_xll.IMDP("IR", M$6&amp;L8, "BID_Close", $C$4)</f>
        <v>0.5857</v>
      </c>
      <c r="N8" s="8" cm="1">
        <f t="array" aca="1" ref="N8" ca="1">_xll.IMDP("IR", N$6&amp;L8, "ASK_Close", $C$4)</f>
        <v>0.57569999999999999</v>
      </c>
      <c r="O8" s="38" t="str" cm="1">
        <f t="array" ref="O8">INDEX(Sheet2!$I$3:$AP$18, $B8, Sheet1!O$6)</f>
        <v>01Y</v>
      </c>
      <c r="P8" s="7" cm="1">
        <f t="array" aca="1" ref="P8" ca="1">_xll.IMDP("IR", P$6&amp;O8, "BID_Close", $C$4)</f>
        <v>3.3734000000000002</v>
      </c>
      <c r="Q8" s="8" cm="1">
        <f t="array" aca="1" ref="Q8" ca="1">_xll.IMDP("IR", Q$6&amp;O8, "ASK_Close", $C$4)</f>
        <v>3.3534000000000002</v>
      </c>
      <c r="R8" s="38" t="str" cm="1">
        <f t="array" ref="R8">INDEX(Sheet2!$I$3:$AP$18, $B8, Sheet1!R$6)</f>
        <v>01Y</v>
      </c>
      <c r="S8" s="7" cm="1">
        <f t="array" aca="1" ref="S8" ca="1">_xll.IMDP("IR", S$6&amp;R8, "BID_Close", $C$4)</f>
        <v>1.77</v>
      </c>
      <c r="T8" s="8" cm="1">
        <f t="array" aca="1" ref="T8" ca="1">_xll.IMDP("IR", T$6&amp;R8, "ASK_Close", $C$4)</f>
        <v>1.7</v>
      </c>
      <c r="U8" s="38" t="str" cm="1">
        <f t="array" ref="U8">INDEX(Sheet2!$I$3:$AP$18, $B8, Sheet1!U$6)</f>
        <v>01Y</v>
      </c>
      <c r="V8" s="7" cm="1">
        <f t="array" aca="1" ref="V8" ca="1">_xll.IMDP("IR", V$6&amp;U8, "BID_Close", $C$4)</f>
        <v>1.3573</v>
      </c>
      <c r="W8" s="8" cm="1">
        <f t="array" aca="1" ref="W8" ca="1">_xll.IMDP("IR", W$6&amp;U8, "ASK_Close", $C$4)</f>
        <v>1.3153999999999999</v>
      </c>
      <c r="X8" s="38" t="str" cm="1">
        <f t="array" ref="X8">INDEX(Sheet2!$I$3:$AP$18, $B8, Sheet1!X$6)</f>
        <v>02Y</v>
      </c>
      <c r="Y8" s="7" cm="1">
        <f t="array" aca="1" ref="Y8" ca="1">_xll.IMDP("IR", Y$6&amp;X8, "BID_Close", $C$4)</f>
        <v>1.22</v>
      </c>
      <c r="Z8" s="8" cm="1">
        <f t="array" aca="1" ref="Z8" ca="1">_xll.IMDP("IR", Z$6&amp;X8, "ASK_Close", $C$4)</f>
        <v>1.18</v>
      </c>
      <c r="AA8" s="38" t="str" cm="1">
        <f t="array" ref="AA8">INDEX(Sheet2!$I$3:$AP$18, $B8, Sheet1!AA$6)</f>
        <v>01Y</v>
      </c>
      <c r="AB8" s="7" cm="1">
        <f t="array" aca="1" ref="AB8" ca="1">_xll.IMDP("IR", AB$6&amp;AA8, "BID_Close", $C$4)</f>
        <v>1.8210999999999999</v>
      </c>
      <c r="AC8" s="8" cm="1">
        <f t="array" aca="1" ref="AC8" ca="1">_xll.IMDP("IR", AC$6&amp;AA8, "ASK_Close", $C$4)</f>
        <v>1.7890999999999999</v>
      </c>
      <c r="AD8" s="38" t="str" cm="1">
        <f t="array" ref="AD8">INDEX(Sheet2!$I$3:$AP$18, $B8, Sheet1!AD$6)</f>
        <v>01Y</v>
      </c>
      <c r="AE8" s="7" cm="1">
        <f t="array" aca="1" ref="AE8" ca="1">_xll.IMDP("IR", AE$6&amp;AD8, "BID_Close", $C$4)</f>
        <v>1.8874</v>
      </c>
      <c r="AF8" s="8" cm="1">
        <f t="array" aca="1" ref="AF8" ca="1">_xll.IMDP("IR", AF$6&amp;AD8, "ASK_Close", $C$4)</f>
        <v>1.8523000000000001</v>
      </c>
      <c r="AG8" s="38" t="str" cm="1">
        <f t="array" ref="AG8">INDEX(Sheet2!$I$3:$AP$18, $B8, Sheet1!AG$6)</f>
        <v>01Y</v>
      </c>
      <c r="AH8" s="7" cm="1">
        <f t="array" aca="1" ref="AH8" ca="1">_xll.IMDP("IR", AH$6&amp;AG8, "BID_Close", $C$4)</f>
        <v>1.9961</v>
      </c>
      <c r="AI8" s="8" cm="1">
        <f t="array" aca="1" ref="AI8" ca="1">_xll.IMDP("IR", AI$6&amp;AG8, "ASK_Close", $C$4)</f>
        <v>1.9654</v>
      </c>
      <c r="AJ8" s="38" t="str" cm="1">
        <f t="array" ref="AJ8">INDEX(Sheet2!$I$3:$AP$18, $B8, Sheet1!AJ$6)</f>
        <v>02Y</v>
      </c>
      <c r="AK8" s="7" cm="1">
        <f t="array" aca="1" ref="AK8" ca="1">_xll.IMDP("IR", AK$6&amp;AJ8, "BID_Close", $C$4)</f>
        <v>2.6911</v>
      </c>
      <c r="AL8" s="8" cm="1">
        <f t="array" aca="1" ref="AL8" ca="1">_xll.IMDP("IR", AL$6&amp;AJ8, "ASK_Close", $C$4)</f>
        <v>2.6894999999999998</v>
      </c>
    </row>
    <row r="9" spans="2:38" s="6" customFormat="1" ht="13.5" customHeight="1">
      <c r="B9" s="6">
        <v>2</v>
      </c>
      <c r="C9" s="39" t="str" cm="1">
        <f t="array" ref="C9">INDEX(Sheet2!$I$3:$AP$18, $B9, Sheet1!C$6)</f>
        <v>02M</v>
      </c>
      <c r="D9" s="9" cm="1">
        <f t="array" aca="1" ref="D9" ca="1">_xll.IMDP("IR", D$6&amp;C9, "BID_Close", $C$4)</f>
        <v>4.3810000000000002</v>
      </c>
      <c r="E9" s="10" cm="1">
        <f t="array" aca="1" ref="E9" ca="1">_xll.IMDP("IR", E$6&amp;C9, "ASK_Close", $C$4)</f>
        <v>4.3710000000000004</v>
      </c>
      <c r="F9" s="39" t="str" cm="1">
        <f t="array" ref="F9">INDEX(Sheet2!$I$3:$AP$18, $B9, Sheet1!F$6)</f>
        <v>02Y</v>
      </c>
      <c r="G9" s="9" cm="1">
        <f t="array" aca="1" ref="G9" ca="1">_xll.IMDP("IR", G$6&amp;F9, "BID_Close", $C$4)</f>
        <v>3.8458000000000001</v>
      </c>
      <c r="H9" s="10" cm="1">
        <f t="array" aca="1" ref="H9" ca="1">_xll.IMDP("IR", H$6&amp;F9, "ASK_Close", $C$4)</f>
        <v>3.8210000000000002</v>
      </c>
      <c r="I9" s="39" t="str" cm="1">
        <f t="array" ref="I9">INDEX(Sheet2!$I$3:$AP$18, $B9, Sheet1!I$6)</f>
        <v>02Y</v>
      </c>
      <c r="J9" s="9" cm="1">
        <f t="array" aca="1" ref="J9" ca="1">_xll.IMDP("IR", J$6&amp;I9, "BID_Close", $C$4)</f>
        <v>1.8273999999999999</v>
      </c>
      <c r="K9" s="10" cm="1">
        <f t="array" aca="1" ref="K9" ca="1">_xll.IMDP("IR", K$6&amp;I9, "ASK_Close", $C$4)</f>
        <v>1.8112999999999999</v>
      </c>
      <c r="L9" s="39" t="str" cm="1">
        <f t="array" ref="L9">INDEX(Sheet2!$I$3:$AP$18, $B9, Sheet1!L$6)</f>
        <v>02Y</v>
      </c>
      <c r="M9" s="9" cm="1">
        <f t="array" aca="1" ref="M9" ca="1">_xll.IMDP("IR", M$6&amp;L9, "BID_Close", $C$4)</f>
        <v>0.74409999999999998</v>
      </c>
      <c r="N9" s="10" cm="1">
        <f t="array" aca="1" ref="N9" ca="1">_xll.IMDP("IR", N$6&amp;L9, "ASK_Close", $C$4)</f>
        <v>0.73409999999999997</v>
      </c>
      <c r="O9" s="39" t="str" cm="1">
        <f t="array" ref="O9">INDEX(Sheet2!$I$3:$AP$18, $B9, Sheet1!O$6)</f>
        <v>02Y</v>
      </c>
      <c r="P9" s="9" cm="1">
        <f t="array" aca="1" ref="P9" ca="1">_xll.IMDP("IR", P$6&amp;O9, "BID_Close", $C$4)</f>
        <v>3.2614000000000001</v>
      </c>
      <c r="Q9" s="10" cm="1">
        <f t="array" aca="1" ref="Q9" ca="1">_xll.IMDP("IR", Q$6&amp;O9, "ASK_Close", $C$4)</f>
        <v>3.2414000000000001</v>
      </c>
      <c r="R9" s="39" t="str" cm="1">
        <f t="array" ref="R9">INDEX(Sheet2!$I$3:$AP$18, $B9, Sheet1!R$6)</f>
        <v>02Y</v>
      </c>
      <c r="S9" s="9" cm="1">
        <f t="array" aca="1" ref="S9" ca="1">_xll.IMDP("IR", S$6&amp;R9, "BID_Close", $C$4)</f>
        <v>1.82</v>
      </c>
      <c r="T9" s="10" cm="1">
        <f t="array" aca="1" ref="T9" ca="1">_xll.IMDP("IR", T$6&amp;R9, "ASK_Close", $C$4)</f>
        <v>1.74</v>
      </c>
      <c r="U9" s="39" t="str" cm="1">
        <f t="array" ref="U9">INDEX(Sheet2!$I$3:$AP$18, $B9, Sheet1!U$6)</f>
        <v>02Y</v>
      </c>
      <c r="V9" s="9" cm="1">
        <f t="array" aca="1" ref="V9" ca="1">_xll.IMDP("IR", V$6&amp;U9, "BID_Close", $C$4)</f>
        <v>1.3734</v>
      </c>
      <c r="W9" s="10" cm="1">
        <f t="array" aca="1" ref="W9" ca="1">_xll.IMDP("IR", W$6&amp;U9, "ASK_Close", $C$4)</f>
        <v>1.3325</v>
      </c>
      <c r="X9" s="39" t="str" cm="1">
        <f t="array" ref="X9">INDEX(Sheet2!$I$3:$AP$18, $B9, Sheet1!X$6)</f>
        <v>05Y</v>
      </c>
      <c r="Y9" s="9" cm="1">
        <f t="array" aca="1" ref="Y9" ca="1">_xll.IMDP("IR", Y$6&amp;X9, "BID_Close", $C$4)</f>
        <v>1.35</v>
      </c>
      <c r="Z9" s="10" cm="1">
        <f t="array" aca="1" ref="Z9" ca="1">_xll.IMDP("IR", Z$6&amp;X9, "ASK_Close", $C$4)</f>
        <v>1.31</v>
      </c>
      <c r="AA9" s="39" t="str" cm="1">
        <f t="array" ref="AA9">INDEX(Sheet2!$I$3:$AP$18, $B9, Sheet1!AA$6)</f>
        <v>02Y</v>
      </c>
      <c r="AB9" s="9" cm="1">
        <f t="array" aca="1" ref="AB9" ca="1">_xll.IMDP("IR", AB$6&amp;AA9, "BID_Close", $C$4)</f>
        <v>1.8273999999999999</v>
      </c>
      <c r="AC9" s="10" cm="1">
        <f t="array" aca="1" ref="AC9" ca="1">_xll.IMDP("IR", AC$6&amp;AA9, "ASK_Close", $C$4)</f>
        <v>1.8112999999999999</v>
      </c>
      <c r="AD9" s="39" t="str" cm="1">
        <f t="array" ref="AD9">INDEX(Sheet2!$I$3:$AP$18, $B9, Sheet1!AD$6)</f>
        <v>02Y</v>
      </c>
      <c r="AE9" s="9" cm="1">
        <f t="array" aca="1" ref="AE9" ca="1">_xll.IMDP("IR", AE$6&amp;AD9, "BID_Close", $C$4)</f>
        <v>2.1326000000000001</v>
      </c>
      <c r="AF9" s="10" cm="1">
        <f t="array" aca="1" ref="AF9" ca="1">_xll.IMDP("IR", AF$6&amp;AD9, "ASK_Close", $C$4)</f>
        <v>2.1124000000000001</v>
      </c>
      <c r="AG9" s="39" t="str" cm="1">
        <f t="array" ref="AG9">INDEX(Sheet2!$I$3:$AP$18, $B9, Sheet1!AG$6)</f>
        <v>02Y</v>
      </c>
      <c r="AH9" s="9" cm="1">
        <f t="array" aca="1" ref="AH9" ca="1">_xll.IMDP("IR", AH$6&amp;AG9, "BID_Close", $C$4)</f>
        <v>2.0682999999999998</v>
      </c>
      <c r="AI9" s="10" cm="1">
        <f t="array" aca="1" ref="AI9" ca="1">_xll.IMDP("IR", AI$6&amp;AG9, "ASK_Close", $C$4)</f>
        <v>2.0432000000000001</v>
      </c>
      <c r="AJ9" s="39" t="str" cm="1">
        <f t="array" ref="AJ9">INDEX(Sheet2!$I$3:$AP$18, $B9, Sheet1!AJ$6)</f>
        <v>04Y</v>
      </c>
      <c r="AK9" s="9" cm="1">
        <f t="array" aca="1" ref="AK9" ca="1">_xll.IMDP("IR", AK$6&amp;AJ9, "BID_Close", $C$4)</f>
        <v>2.8149999999999999</v>
      </c>
      <c r="AL9" s="10" cm="1">
        <f t="array" aca="1" ref="AL9" ca="1">_xll.IMDP("IR", AL$6&amp;AJ9, "ASK_Close", $C$4)</f>
        <v>2.8142</v>
      </c>
    </row>
    <row r="10" spans="2:38" s="6" customFormat="1" ht="13.5" customHeight="1">
      <c r="B10" s="6">
        <v>3</v>
      </c>
      <c r="C10" s="39" t="str" cm="1">
        <f t="array" ref="C10">INDEX(Sheet2!$I$3:$AP$18, $B10, Sheet1!C$6)</f>
        <v>03M</v>
      </c>
      <c r="D10" s="9" cm="1">
        <f t="array" aca="1" ref="D10" ca="1">_xll.IMDP("IR", D$6&amp;C10, "BID_Close", $C$4)</f>
        <v>4.3540000000000001</v>
      </c>
      <c r="E10" s="10" cm="1">
        <f t="array" aca="1" ref="E10" ca="1">_xll.IMDP("IR", E$6&amp;C10, "ASK_Close", $C$4)</f>
        <v>4.343</v>
      </c>
      <c r="F10" s="39" t="str" cm="1">
        <f t="array" ref="F10">INDEX(Sheet2!$I$3:$AP$18, $B10, Sheet1!F$6)</f>
        <v>03Y</v>
      </c>
      <c r="G10" s="9" cm="1">
        <f t="array" aca="1" ref="G10" ca="1">_xll.IMDP("IR", G$6&amp;F10, "BID_Close", $C$4)</f>
        <v>3.6602999999999999</v>
      </c>
      <c r="H10" s="10" cm="1">
        <f t="array" aca="1" ref="H10" ca="1">_xll.IMDP("IR", H$6&amp;F10, "ASK_Close", $C$4)</f>
        <v>3.6431</v>
      </c>
      <c r="I10" s="39" t="str" cm="1">
        <f t="array" ref="I10">INDEX(Sheet2!$I$3:$AP$18, $B10, Sheet1!I$6)</f>
        <v>03Y</v>
      </c>
      <c r="J10" s="9" cm="1">
        <f t="array" aca="1" ref="J10" ca="1">_xll.IMDP("IR", J$6&amp;I10, "BID_Close", $C$4)</f>
        <v>1.8698999999999999</v>
      </c>
      <c r="K10" s="10" cm="1">
        <f t="array" aca="1" ref="K10" ca="1">_xll.IMDP("IR", K$6&amp;I10, "ASK_Close", $C$4)</f>
        <v>1.855</v>
      </c>
      <c r="L10" s="39" t="str" cm="1">
        <f t="array" ref="L10">INDEX(Sheet2!$I$3:$AP$18, $B10, Sheet1!L$6)</f>
        <v>03Y</v>
      </c>
      <c r="M10" s="9" cm="1">
        <f t="array" aca="1" ref="M10" ca="1">_xll.IMDP("IR", M$6&amp;L10, "BID_Close", $C$4)</f>
        <v>0.80369999999999997</v>
      </c>
      <c r="N10" s="10" cm="1">
        <f t="array" aca="1" ref="N10" ca="1">_xll.IMDP("IR", N$6&amp;L10, "ASK_Close", $C$4)</f>
        <v>0.79369999999999996</v>
      </c>
      <c r="O10" s="39" t="str" cm="1">
        <f t="array" ref="O10">INDEX(Sheet2!$I$3:$AP$18, $B10, Sheet1!O$6)</f>
        <v>03Y</v>
      </c>
      <c r="P10" s="9" cm="1">
        <f t="array" aca="1" ref="P10" ca="1">_xll.IMDP("IR", P$6&amp;O10, "BID_Close", $C$4)</f>
        <v>3.3048999999999999</v>
      </c>
      <c r="Q10" s="10" cm="1">
        <f t="array" aca="1" ref="Q10" ca="1">_xll.IMDP("IR", Q$6&amp;O10, "ASK_Close", $C$4)</f>
        <v>3.2848999999999999</v>
      </c>
      <c r="R10" s="39" t="str" cm="1">
        <f t="array" ref="R10">INDEX(Sheet2!$I$3:$AP$18, $B10, Sheet1!R$6)</f>
        <v>03Y</v>
      </c>
      <c r="S10" s="9" cm="1">
        <f t="array" aca="1" ref="S10" ca="1">_xll.IMDP("IR", S$6&amp;R10, "BID_Close", $C$4)</f>
        <v>1.92</v>
      </c>
      <c r="T10" s="10" cm="1">
        <f t="array" aca="1" ref="T10" ca="1">_xll.IMDP("IR", T$6&amp;R10, "ASK_Close", $C$4)</f>
        <v>1.85</v>
      </c>
      <c r="U10" s="39" t="str" cm="1">
        <f t="array" ref="U10">INDEX(Sheet2!$I$3:$AP$18, $B10, Sheet1!U$6)</f>
        <v>03Y</v>
      </c>
      <c r="V10" s="9" cm="1">
        <f t="array" aca="1" ref="V10" ca="1">_xll.IMDP("IR", V$6&amp;U10, "BID_Close", $C$4)</f>
        <v>1.3983000000000001</v>
      </c>
      <c r="W10" s="10" cm="1">
        <f t="array" aca="1" ref="W10" ca="1">_xll.IMDP("IR", W$6&amp;U10, "ASK_Close", $C$4)</f>
        <v>1.3576999999999999</v>
      </c>
      <c r="X10" s="39" t="str" cm="1">
        <f t="array" ref="X10">INDEX(Sheet2!$I$3:$AP$18, $B10, Sheet1!X$6)</f>
        <v>10Y</v>
      </c>
      <c r="Y10" s="9" cm="1">
        <f t="array" aca="1" ref="Y10" ca="1">_xll.IMDP("IR", Y$6&amp;X10, "BID_Close", $C$4)</f>
        <v>1.41</v>
      </c>
      <c r="Z10" s="10" cm="1">
        <f t="array" aca="1" ref="Z10" ca="1">_xll.IMDP("IR", Z$6&amp;X10, "ASK_Close", $C$4)</f>
        <v>1.37</v>
      </c>
      <c r="AA10" s="39" t="str" cm="1">
        <f t="array" ref="AA10">INDEX(Sheet2!$I$3:$AP$18, $B10, Sheet1!AA$6)</f>
        <v>03Y</v>
      </c>
      <c r="AB10" s="9" cm="1">
        <f t="array" aca="1" ref="AB10" ca="1">_xll.IMDP("IR", AB$6&amp;AA10, "BID_Close", $C$4)</f>
        <v>1.8698999999999999</v>
      </c>
      <c r="AC10" s="10" cm="1">
        <f t="array" aca="1" ref="AC10" ca="1">_xll.IMDP("IR", AC$6&amp;AA10, "ASK_Close", $C$4)</f>
        <v>1.855</v>
      </c>
      <c r="AD10" s="39" t="str" cm="1">
        <f t="array" ref="AD10">INDEX(Sheet2!$I$3:$AP$18, $B10, Sheet1!AD$6)</f>
        <v>03Y</v>
      </c>
      <c r="AE10" s="9" cm="1">
        <f t="array" aca="1" ref="AE10" ca="1">_xll.IMDP("IR", AE$6&amp;AD10, "BID_Close", $C$4)</f>
        <v>2.3462999999999998</v>
      </c>
      <c r="AF10" s="10" cm="1">
        <f t="array" aca="1" ref="AF10" ca="1">_xll.IMDP("IR", AF$6&amp;AD10, "ASK_Close", $C$4)</f>
        <v>2.3319000000000001</v>
      </c>
      <c r="AG10" s="39" t="str" cm="1">
        <f t="array" ref="AG10">INDEX(Sheet2!$I$3:$AP$18, $B10, Sheet1!AG$6)</f>
        <v>03Y</v>
      </c>
      <c r="AH10" s="9" cm="1">
        <f t="array" aca="1" ref="AH10" ca="1">_xll.IMDP("IR", AH$6&amp;AG10, "BID_Close", $C$4)</f>
        <v>2.2665999999999999</v>
      </c>
      <c r="AI10" s="10" cm="1">
        <f t="array" aca="1" ref="AI10" ca="1">_xll.IMDP("IR", AI$6&amp;AG10, "ASK_Close", $C$4)</f>
        <v>2.2452999999999999</v>
      </c>
      <c r="AJ10" s="39" t="str" cm="1">
        <f t="array" ref="AJ10">INDEX(Sheet2!$I$3:$AP$18, $B10, Sheet1!AJ$6)</f>
        <v>05Y</v>
      </c>
      <c r="AK10" s="9" cm="1">
        <f t="array" aca="1" ref="AK10" ca="1">_xll.IMDP("IR", AK$6&amp;AJ10, "BID_Close", $C$4)</f>
        <v>2.9445999999999999</v>
      </c>
      <c r="AL10" s="10" cm="1">
        <f t="array" aca="1" ref="AL10" ca="1">_xll.IMDP("IR", AL$6&amp;AJ10, "ASK_Close", $C$4)</f>
        <v>2.944</v>
      </c>
    </row>
    <row r="11" spans="2:38" s="6" customFormat="1" ht="13.5" customHeight="1">
      <c r="B11" s="6">
        <v>4</v>
      </c>
      <c r="C11" s="39" t="str" cm="1">
        <f t="array" ref="C11">INDEX(Sheet2!$I$3:$AP$18, $B11, Sheet1!C$6)</f>
        <v>04M</v>
      </c>
      <c r="D11" s="9" cm="1">
        <f t="array" aca="1" ref="D11" ca="1">_xll.IMDP("IR", D$6&amp;C11, "BID_Close", $C$4)</f>
        <v>4.3390000000000004</v>
      </c>
      <c r="E11" s="10" cm="1">
        <f t="array" aca="1" ref="E11" ca="1">_xll.IMDP("IR", E$6&amp;C11, "ASK_Close", $C$4)</f>
        <v>4.3289999999999997</v>
      </c>
      <c r="F11" s="39" t="str" cm="1">
        <f t="array" ref="F11">INDEX(Sheet2!$I$3:$AP$18, $B11, Sheet1!F$6)</f>
        <v>04Y</v>
      </c>
      <c r="G11" s="9" cm="1">
        <f t="array" aca="1" ref="G11" ca="1">_xll.IMDP("IR", G$6&amp;F11, "BID_Close", $C$4)</f>
        <v>3.8340000000000001</v>
      </c>
      <c r="H11" s="10" cm="1">
        <f t="array" aca="1" ref="H11" ca="1">_xll.IMDP("IR", H$6&amp;F11, "ASK_Close", $C$4)</f>
        <v>3.8159999999999998</v>
      </c>
      <c r="I11" s="39" t="str" cm="1">
        <f t="array" ref="I11">INDEX(Sheet2!$I$3:$AP$18, $B11, Sheet1!I$6)</f>
        <v>04Y</v>
      </c>
      <c r="J11" s="9" cm="1">
        <f t="array" aca="1" ref="J11" ca="1">_xll.IMDP("IR", J$6&amp;I11, "BID_Close", $C$4)</f>
        <v>2.0156999999999998</v>
      </c>
      <c r="K11" s="10" cm="1">
        <f t="array" aca="1" ref="K11" ca="1">_xll.IMDP("IR", K$6&amp;I11, "ASK_Close", $C$4)</f>
        <v>2.0017999999999998</v>
      </c>
      <c r="L11" s="39" t="str" cm="1">
        <f t="array" ref="L11">INDEX(Sheet2!$I$3:$AP$18, $B11, Sheet1!L$6)</f>
        <v>04Y</v>
      </c>
      <c r="M11" s="9" cm="1">
        <f t="array" aca="1" ref="M11" ca="1">_xll.IMDP("IR", M$6&amp;L11, "BID_Close", $C$4)</f>
        <v>0.92569999999999997</v>
      </c>
      <c r="N11" s="10" cm="1">
        <f t="array" aca="1" ref="N11" ca="1">_xll.IMDP("IR", N$6&amp;L11, "ASK_Close", $C$4)</f>
        <v>0.91569999999999996</v>
      </c>
      <c r="O11" s="39" t="str" cm="1">
        <f t="array" ref="O11">INDEX(Sheet2!$I$3:$AP$18, $B11, Sheet1!O$6)</f>
        <v>04Y</v>
      </c>
      <c r="P11" s="9" cm="1">
        <f t="array" aca="1" ref="P11" ca="1">_xll.IMDP("IR", P$6&amp;O11, "BID_Close", $C$4)</f>
        <v>3.3923999999999999</v>
      </c>
      <c r="Q11" s="10" cm="1">
        <f t="array" aca="1" ref="Q11" ca="1">_xll.IMDP("IR", Q$6&amp;O11, "ASK_Close", $C$4)</f>
        <v>3.3723999999999998</v>
      </c>
      <c r="R11" s="39" t="str" cm="1">
        <f t="array" ref="R11">INDEX(Sheet2!$I$3:$AP$18, $B11, Sheet1!R$6)</f>
        <v>05Y</v>
      </c>
      <c r="S11" s="9" cm="1">
        <f t="array" aca="1" ref="S11" ca="1">_xll.IMDP("IR", S$6&amp;R11, "BID_Close", $C$4)</f>
        <v>2.02</v>
      </c>
      <c r="T11" s="10" cm="1">
        <f t="array" aca="1" ref="T11" ca="1">_xll.IMDP("IR", T$6&amp;R11, "ASK_Close", $C$4)</f>
        <v>1.92</v>
      </c>
      <c r="U11" s="39" t="str" cm="1">
        <f t="array" ref="U11">INDEX(Sheet2!$I$3:$AP$18, $B11, Sheet1!U$6)</f>
        <v>05Y</v>
      </c>
      <c r="V11" s="9" cm="1">
        <f t="array" aca="1" ref="V11" ca="1">_xll.IMDP("IR", V$6&amp;U11, "BID_Close", $C$4)</f>
        <v>1.5033000000000001</v>
      </c>
      <c r="W11" s="10" cm="1">
        <f t="array" aca="1" ref="W11" ca="1">_xll.IMDP("IR", W$6&amp;U11, "ASK_Close", $C$4)</f>
        <v>1.4630000000000001</v>
      </c>
      <c r="X11" s="39" t="str" cm="1">
        <f t="array" ref="X11">INDEX(Sheet2!$I$3:$AP$18, $B11, Sheet1!X$6)</f>
        <v>20Y</v>
      </c>
      <c r="Y11" s="9" cm="1">
        <f t="array" aca="1" ref="Y11" ca="1">_xll.IMDP("IR", Y$6&amp;X11, "BID_Close", $C$4)</f>
        <v>1.58</v>
      </c>
      <c r="Z11" s="10" cm="1">
        <f t="array" aca="1" ref="Z11" ca="1">_xll.IMDP("IR", Z$6&amp;X11, "ASK_Close", $C$4)</f>
        <v>1.54</v>
      </c>
      <c r="AA11" s="39" t="str" cm="1">
        <f t="array" ref="AA11">INDEX(Sheet2!$I$3:$AP$18, $B11, Sheet1!AA$6)</f>
        <v>04Y</v>
      </c>
      <c r="AB11" s="9" cm="1">
        <f t="array" aca="1" ref="AB11" ca="1">_xll.IMDP("IR", AB$6&amp;AA11, "BID_Close", $C$4)</f>
        <v>2.0156999999999998</v>
      </c>
      <c r="AC11" s="10" cm="1">
        <f t="array" aca="1" ref="AC11" ca="1">_xll.IMDP("IR", AC$6&amp;AA11, "ASK_Close", $C$4)</f>
        <v>2.0017999999999998</v>
      </c>
      <c r="AD11" s="39" t="str" cm="1">
        <f t="array" ref="AD11">INDEX(Sheet2!$I$3:$AP$18, $B11, Sheet1!AD$6)</f>
        <v>04Y</v>
      </c>
      <c r="AE11" s="9" cm="1">
        <f t="array" aca="1" ref="AE11" ca="1">_xll.IMDP("IR", AE$6&amp;AD11, "BID_Close", $C$4)</f>
        <v>2.5188000000000001</v>
      </c>
      <c r="AF11" s="10" cm="1">
        <f t="array" aca="1" ref="AF11" ca="1">_xll.IMDP("IR", AF$6&amp;AD11, "ASK_Close", $C$4)</f>
        <v>2.5049999999999999</v>
      </c>
      <c r="AG11" s="39" t="str" cm="1">
        <f t="array" ref="AG11">INDEX(Sheet2!$I$3:$AP$18, $B11, Sheet1!AG$6)</f>
        <v>04Y</v>
      </c>
      <c r="AH11" s="9" cm="1">
        <f t="array" aca="1" ref="AH11" ca="1">_xll.IMDP("IR", AH$6&amp;AG11, "BID_Close", $C$4)</f>
        <v>2.4258000000000002</v>
      </c>
      <c r="AI11" s="10" cm="1">
        <f t="array" aca="1" ref="AI11" ca="1">_xll.IMDP("IR", AI$6&amp;AG11, "ASK_Close", $C$4)</f>
        <v>2.4097</v>
      </c>
      <c r="AJ11" s="39" t="str" cm="1">
        <f t="array" ref="AJ11">INDEX(Sheet2!$I$3:$AP$18, $B11, Sheet1!AJ$6)</f>
        <v>06Y</v>
      </c>
      <c r="AK11" s="9" cm="1">
        <f t="array" aca="1" ref="AK11" ca="1">_xll.IMDP("IR", AK$6&amp;AJ11, "BID_Close", $C$4)</f>
        <v>3.0859999999999999</v>
      </c>
      <c r="AL11" s="10" cm="1">
        <f t="array" aca="1" ref="AL11" ca="1">_xll.IMDP("IR", AL$6&amp;AJ11, "ASK_Close", $C$4)</f>
        <v>3.0855000000000001</v>
      </c>
    </row>
    <row r="12" spans="2:38" s="6" customFormat="1" ht="13.5" customHeight="1">
      <c r="B12" s="6">
        <v>5</v>
      </c>
      <c r="C12" s="39" t="str" cm="1">
        <f t="array" ref="C12">INDEX(Sheet2!$I$3:$AP$18, $B12, Sheet1!C$6)</f>
        <v>06M</v>
      </c>
      <c r="D12" s="9" cm="1">
        <f t="array" aca="1" ref="D12" ca="1">_xll.IMDP("IR", D$6&amp;C12, "BID_Close", $C$4)</f>
        <v>4.3019999999999996</v>
      </c>
      <c r="E12" s="10" cm="1">
        <f t="array" aca="1" ref="E12" ca="1">_xll.IMDP("IR", E$6&amp;C12, "ASK_Close", $C$4)</f>
        <v>4.2910000000000004</v>
      </c>
      <c r="F12" s="39" t="str" cm="1">
        <f t="array" ref="F12">INDEX(Sheet2!$I$3:$AP$18, $B12, Sheet1!F$6)</f>
        <v>05Y</v>
      </c>
      <c r="G12" s="9" cm="1">
        <f t="array" aca="1" ref="G12" ca="1">_xll.IMDP("IR", G$6&amp;F12, "BID_Close", $C$4)</f>
        <v>3.9830999999999999</v>
      </c>
      <c r="H12" s="10" cm="1">
        <f t="array" aca="1" ref="H12" ca="1">_xll.IMDP("IR", H$6&amp;F12, "ASK_Close", $C$4)</f>
        <v>3.9691000000000001</v>
      </c>
      <c r="I12" s="39" t="str" cm="1">
        <f t="array" ref="I12">INDEX(Sheet2!$I$3:$AP$18, $B12, Sheet1!I$6)</f>
        <v>05Y</v>
      </c>
      <c r="J12" s="9" cm="1">
        <f t="array" aca="1" ref="J12" ca="1">_xll.IMDP("IR", J$6&amp;I12, "BID_Close", $C$4)</f>
        <v>2.1261000000000001</v>
      </c>
      <c r="K12" s="10" cm="1">
        <f t="array" aca="1" ref="K12" ca="1">_xll.IMDP("IR", K$6&amp;I12, "ASK_Close", $C$4)</f>
        <v>2.1151</v>
      </c>
      <c r="L12" s="39" t="str" cm="1">
        <f t="array" ref="L12">INDEX(Sheet2!$I$3:$AP$18, $B12, Sheet1!L$6)</f>
        <v>05Y</v>
      </c>
      <c r="M12" s="9" cm="1">
        <f t="array" aca="1" ref="M12" ca="1">_xll.IMDP("IR", M$6&amp;L12, "BID_Close", $C$4)</f>
        <v>0.98209999999999997</v>
      </c>
      <c r="N12" s="10" cm="1">
        <f t="array" aca="1" ref="N12" ca="1">_xll.IMDP("IR", N$6&amp;L12, "ASK_Close", $C$4)</f>
        <v>0.97209999999999996</v>
      </c>
      <c r="O12" s="39" t="str" cm="1">
        <f t="array" ref="O12">INDEX(Sheet2!$I$3:$AP$18, $B12, Sheet1!O$6)</f>
        <v>05Y</v>
      </c>
      <c r="P12" s="9" cm="1">
        <f t="array" aca="1" ref="P12" ca="1">_xll.IMDP("IR", P$6&amp;O12, "BID_Close", $C$4)</f>
        <v>3.5133999999999999</v>
      </c>
      <c r="Q12" s="10" cm="1">
        <f t="array" aca="1" ref="Q12" ca="1">_xll.IMDP("IR", Q$6&amp;O12, "ASK_Close", $C$4)</f>
        <v>3.4933999999999998</v>
      </c>
      <c r="R12" s="39" t="str" cm="1">
        <f t="array" ref="R12">INDEX(Sheet2!$I$3:$AP$18, $B12, Sheet1!R$6)</f>
        <v>07Y</v>
      </c>
      <c r="S12" s="9" t="str" cm="1">
        <f t="array" aca="1" ref="S12" ca="1">_xll.IMDP("IR", S$6&amp;R12, "BID_Close", $C$4)</f>
        <v/>
      </c>
      <c r="T12" s="10" t="str" cm="1">
        <f t="array" aca="1" ref="T12" ca="1">_xll.IMDP("IR", T$6&amp;R12, "ASK_Close", $C$4)</f>
        <v/>
      </c>
      <c r="U12" s="39" t="str" cm="1">
        <f t="array" ref="U12">INDEX(Sheet2!$I$3:$AP$18, $B12, Sheet1!U$6)</f>
        <v>07Y</v>
      </c>
      <c r="V12" s="9" cm="1">
        <f t="array" aca="1" ref="V12" ca="1">_xll.IMDP("IR", V$6&amp;U12, "BID_Close", $C$4)</f>
        <v>1.5879000000000001</v>
      </c>
      <c r="W12" s="10" cm="1">
        <f t="array" aca="1" ref="W12" ca="1">_xll.IMDP("IR", W$6&amp;U12, "ASK_Close", $C$4)</f>
        <v>1.5478000000000001</v>
      </c>
      <c r="X12" s="39" t="str" cm="1">
        <f t="array" ref="X12">INDEX(Sheet2!$I$3:$AP$18, $B12, Sheet1!X$6)</f>
        <v>30Y</v>
      </c>
      <c r="Y12" s="9" cm="1">
        <f t="array" aca="1" ref="Y12" ca="1">_xll.IMDP("IR", Y$6&amp;X12, "BID_Close", $C$4)</f>
        <v>1.7050000000000001</v>
      </c>
      <c r="Z12" s="10" cm="1">
        <f t="array" aca="1" ref="Z12" ca="1">_xll.IMDP("IR", Z$6&amp;X12, "ASK_Close", $C$4)</f>
        <v>1.665</v>
      </c>
      <c r="AA12" s="39" t="str" cm="1">
        <f t="array" ref="AA12">INDEX(Sheet2!$I$3:$AP$18, $B12, Sheet1!AA$6)</f>
        <v>05Y</v>
      </c>
      <c r="AB12" s="9" cm="1">
        <f t="array" aca="1" ref="AB12" ca="1">_xll.IMDP("IR", AB$6&amp;AA12, "BID_Close", $C$4)</f>
        <v>2.1261000000000001</v>
      </c>
      <c r="AC12" s="10" cm="1">
        <f t="array" aca="1" ref="AC12" ca="1">_xll.IMDP("IR", AC$6&amp;AA12, "ASK_Close", $C$4)</f>
        <v>2.1151</v>
      </c>
      <c r="AD12" s="39" t="str" cm="1">
        <f t="array" ref="AD12">INDEX(Sheet2!$I$3:$AP$18, $B12, Sheet1!AD$6)</f>
        <v>05Y</v>
      </c>
      <c r="AE12" s="9" cm="1">
        <f t="array" aca="1" ref="AE12" ca="1">_xll.IMDP("IR", AE$6&amp;AD12, "BID_Close", $C$4)</f>
        <v>2.6953999999999998</v>
      </c>
      <c r="AF12" s="10" cm="1">
        <f t="array" aca="1" ref="AF12" ca="1">_xll.IMDP("IR", AF$6&amp;AD12, "ASK_Close", $C$4)</f>
        <v>2.6838000000000002</v>
      </c>
      <c r="AG12" s="39" t="str" cm="1">
        <f t="array" ref="AG12">INDEX(Sheet2!$I$3:$AP$18, $B12, Sheet1!AG$6)</f>
        <v>05Y</v>
      </c>
      <c r="AH12" s="9" cm="1">
        <f t="array" aca="1" ref="AH12" ca="1">_xll.IMDP("IR", AH$6&amp;AG12, "BID_Close", $C$4)</f>
        <v>2.6941000000000002</v>
      </c>
      <c r="AI12" s="10" cm="1">
        <f t="array" aca="1" ref="AI12" ca="1">_xll.IMDP("IR", AI$6&amp;AG12, "ASK_Close", $C$4)</f>
        <v>2.6789000000000001</v>
      </c>
      <c r="AJ12" s="39" t="str" cm="1">
        <f t="array" ref="AJ12">INDEX(Sheet2!$I$3:$AP$18, $B12, Sheet1!AJ$6)</f>
        <v>07Y</v>
      </c>
      <c r="AK12" s="9" cm="1">
        <f t="array" aca="1" ref="AK12" ca="1">_xll.IMDP("IR", AK$6&amp;AJ12, "BID_Close", $C$4)</f>
        <v>3.1387999999999998</v>
      </c>
      <c r="AL12" s="10" cm="1">
        <f t="array" aca="1" ref="AL12" ca="1">_xll.IMDP("IR", AL$6&amp;AJ12, "ASK_Close", $C$4)</f>
        <v>3.1383999999999999</v>
      </c>
    </row>
    <row r="13" spans="2:38" s="6" customFormat="1" ht="13.5" customHeight="1">
      <c r="B13" s="6">
        <v>6</v>
      </c>
      <c r="C13" s="39" t="str" cm="1">
        <f t="array" ref="C13">INDEX(Sheet2!$I$3:$AP$18, $B13, Sheet1!C$6)</f>
        <v>01Y</v>
      </c>
      <c r="D13" s="9" cm="1">
        <f t="array" aca="1" ref="D13" ca="1">_xll.IMDP("IR", D$6&amp;C13, "BID_Close", $C$4)</f>
        <v>4.08</v>
      </c>
      <c r="E13" s="10" cm="1">
        <f t="array" aca="1" ref="E13" ca="1">_xll.IMDP("IR", E$6&amp;C13, "ASK_Close", $C$4)</f>
        <v>4.069</v>
      </c>
      <c r="F13" s="39" t="str" cm="1">
        <f t="array" ref="F13">INDEX(Sheet2!$I$3:$AP$18, $B13, Sheet1!F$6)</f>
        <v>06Y</v>
      </c>
      <c r="G13" s="9" cm="1">
        <f t="array" aca="1" ref="G13" ca="1">_xll.IMDP("IR", G$6&amp;F13, "BID_Close", $C$4)</f>
        <v>3.9285000000000001</v>
      </c>
      <c r="H13" s="10" cm="1">
        <f t="array" aca="1" ref="H13" ca="1">_xll.IMDP("IR", H$6&amp;F13, "ASK_Close", $C$4)</f>
        <v>3.9163999999999999</v>
      </c>
      <c r="I13" s="39" t="str" cm="1">
        <f t="array" ref="I13">INDEX(Sheet2!$I$3:$AP$18, $B13, Sheet1!I$6)</f>
        <v>06Y</v>
      </c>
      <c r="J13" s="9" cm="1">
        <f t="array" aca="1" ref="J13" ca="1">_xll.IMDP("IR", J$6&amp;I13, "BID_Close", $C$4)</f>
        <v>2.2181999999999999</v>
      </c>
      <c r="K13" s="10" cm="1">
        <f t="array" aca="1" ref="K13" ca="1">_xll.IMDP("IR", K$6&amp;I13, "ASK_Close", $C$4)</f>
        <v>2.2067000000000001</v>
      </c>
      <c r="L13" s="39" t="str" cm="1">
        <f t="array" ref="L13">INDEX(Sheet2!$I$3:$AP$18, $B13, Sheet1!L$6)</f>
        <v>06Y</v>
      </c>
      <c r="M13" s="9" cm="1">
        <f t="array" aca="1" ref="M13" ca="1">_xll.IMDP("IR", M$6&amp;L13, "BID_Close", $C$4)</f>
        <v>1.0964</v>
      </c>
      <c r="N13" s="10" cm="1">
        <f t="array" aca="1" ref="N13" ca="1">_xll.IMDP("IR", N$6&amp;L13, "ASK_Close", $C$4)</f>
        <v>1.0864</v>
      </c>
      <c r="O13" s="39" t="str" cm="1">
        <f t="array" ref="O13">INDEX(Sheet2!$I$3:$AP$18, $B13, Sheet1!O$6)</f>
        <v>07Y</v>
      </c>
      <c r="P13" s="9" cm="1">
        <f t="array" aca="1" ref="P13" ca="1">_xll.IMDP("IR", P$6&amp;O13, "BID_Close", $C$4)</f>
        <v>3.8513999999999999</v>
      </c>
      <c r="Q13" s="10" cm="1">
        <f t="array" aca="1" ref="Q13" ca="1">_xll.IMDP("IR", Q$6&amp;O13, "ASK_Close", $C$4)</f>
        <v>3.8313999999999999</v>
      </c>
      <c r="R13" s="39" t="str" cm="1">
        <f t="array" ref="R13">INDEX(Sheet2!$I$3:$AP$18, $B13, Sheet1!R$6)</f>
        <v/>
      </c>
      <c r="S13" s="9" t="str" cm="1">
        <f t="array" aca="1" ref="S13" ca="1">_xll.IMDP("IR", S$6&amp;R13, "BID_Close", $C$4)</f>
        <v/>
      </c>
      <c r="T13" s="10" t="str" cm="1">
        <f t="array" aca="1" ref="T13" ca="1">_xll.IMDP("IR", T$6&amp;R13, "ASK_Close", $C$4)</f>
        <v/>
      </c>
      <c r="U13" s="39" t="str" cm="1">
        <f t="array" ref="U13">INDEX(Sheet2!$I$3:$AP$18, $B13, Sheet1!U$6)</f>
        <v>10Y</v>
      </c>
      <c r="V13" s="9" cm="1">
        <f t="array" aca="1" ref="V13" ca="1">_xll.IMDP("IR", V$6&amp;U13, "BID_Close", $C$4)</f>
        <v>1.6620999999999999</v>
      </c>
      <c r="W13" s="10" cm="1">
        <f t="array" aca="1" ref="W13" ca="1">_xll.IMDP("IR", W$6&amp;U13, "ASK_Close", $C$4)</f>
        <v>1.6218999999999999</v>
      </c>
      <c r="X13" s="39" t="str" cm="1">
        <f t="array" ref="X13">INDEX(Sheet2!$I$3:$AP$18, $B13, Sheet1!X$6)</f>
        <v/>
      </c>
      <c r="Y13" s="9" t="str" cm="1">
        <f t="array" aca="1" ref="Y13" ca="1">_xll.IMDP("IR", Y$6&amp;X13, "BID_Close", $C$4)</f>
        <v/>
      </c>
      <c r="Z13" s="10" t="str" cm="1">
        <f t="array" aca="1" ref="Z13" ca="1">_xll.IMDP("IR", Z$6&amp;X13, "ASK_Close", $C$4)</f>
        <v/>
      </c>
      <c r="AA13" s="39" t="str" cm="1">
        <f t="array" ref="AA13">INDEX(Sheet2!$I$3:$AP$18, $B13, Sheet1!AA$6)</f>
        <v>06Y</v>
      </c>
      <c r="AB13" s="9" cm="1">
        <f t="array" aca="1" ref="AB13" ca="1">_xll.IMDP("IR", AB$6&amp;AA13, "BID_Close", $C$4)</f>
        <v>2.2181999999999999</v>
      </c>
      <c r="AC13" s="10" cm="1">
        <f t="array" aca="1" ref="AC13" ca="1">_xll.IMDP("IR", AC$6&amp;AA13, "ASK_Close", $C$4)</f>
        <v>2.2067000000000001</v>
      </c>
      <c r="AD13" s="39" t="str" cm="1">
        <f t="array" ref="AD13">INDEX(Sheet2!$I$3:$AP$18, $B13, Sheet1!AD$6)</f>
        <v>06Y</v>
      </c>
      <c r="AE13" s="9" cm="1">
        <f t="array" aca="1" ref="AE13" ca="1">_xll.IMDP("IR", AE$6&amp;AD13, "BID_Close", $C$4)</f>
        <v>2.7957000000000001</v>
      </c>
      <c r="AF13" s="10" cm="1">
        <f t="array" aca="1" ref="AF13" ca="1">_xll.IMDP("IR", AF$6&amp;AD13, "ASK_Close", $C$4)</f>
        <v>2.7841</v>
      </c>
      <c r="AG13" s="39" t="str" cm="1">
        <f t="array" ref="AG13">INDEX(Sheet2!$I$3:$AP$18, $B13, Sheet1!AG$6)</f>
        <v>06Y</v>
      </c>
      <c r="AH13" s="9" cm="1">
        <f t="array" aca="1" ref="AH13" ca="1">_xll.IMDP("IR", AH$6&amp;AG13, "BID_Close", $C$4)</f>
        <v>2.7917000000000001</v>
      </c>
      <c r="AI13" s="10" cm="1">
        <f t="array" aca="1" ref="AI13" ca="1">_xll.IMDP("IR", AI$6&amp;AG13, "ASK_Close", $C$4)</f>
        <v>2.7753999999999999</v>
      </c>
      <c r="AJ13" s="39" t="str" cm="1">
        <f t="array" ref="AJ13">INDEX(Sheet2!$I$3:$AP$18, $B13, Sheet1!AJ$6)</f>
        <v>08Y</v>
      </c>
      <c r="AK13" s="9" cm="1">
        <f t="array" aca="1" ref="AK13" ca="1">_xll.IMDP("IR", AK$6&amp;AJ13, "BID_Close", $C$4)</f>
        <v>3.2160000000000002</v>
      </c>
      <c r="AL13" s="10" cm="1">
        <f t="array" aca="1" ref="AL13" ca="1">_xll.IMDP("IR", AL$6&amp;AJ13, "ASK_Close", $C$4)</f>
        <v>3.2155999999999998</v>
      </c>
    </row>
    <row r="14" spans="2:38" s="6" customFormat="1" ht="13.5" customHeight="1">
      <c r="B14" s="6">
        <v>7</v>
      </c>
      <c r="C14" s="39" t="str" cm="1">
        <f t="array" ref="C14">INDEX(Sheet2!$I$3:$AP$18, $B14, Sheet1!C$6)</f>
        <v>02Y</v>
      </c>
      <c r="D14" s="9" cm="1">
        <f t="array" aca="1" ref="D14" ca="1">_xll.IMDP("IR", D$6&amp;C14, "BID_Close", $C$4)</f>
        <v>3.8860000000000001</v>
      </c>
      <c r="E14" s="10" cm="1">
        <f t="array" aca="1" ref="E14" ca="1">_xll.IMDP("IR", E$6&amp;C14, "ASK_Close", $C$4)</f>
        <v>3.8740000000000001</v>
      </c>
      <c r="F14" s="39" t="str" cm="1">
        <f t="array" ref="F14">INDEX(Sheet2!$I$3:$AP$18, $B14, Sheet1!F$6)</f>
        <v>07Y</v>
      </c>
      <c r="G14" s="9" cm="1">
        <f t="array" aca="1" ref="G14" ca="1">_xll.IMDP("IR", G$6&amp;F14, "BID_Close", $C$4)</f>
        <v>4.1439000000000004</v>
      </c>
      <c r="H14" s="10" cm="1">
        <f t="array" aca="1" ref="H14" ca="1">_xll.IMDP("IR", H$6&amp;F14, "ASK_Close", $C$4)</f>
        <v>4.1292999999999997</v>
      </c>
      <c r="I14" s="39" t="str" cm="1">
        <f t="array" ref="I14">INDEX(Sheet2!$I$3:$AP$18, $B14, Sheet1!I$6)</f>
        <v>07Y</v>
      </c>
      <c r="J14" s="9" cm="1">
        <f t="array" aca="1" ref="J14" ca="1">_xll.IMDP("IR", J$6&amp;I14, "BID_Close", $C$4)</f>
        <v>2.3262</v>
      </c>
      <c r="K14" s="10" cm="1">
        <f t="array" aca="1" ref="K14" ca="1">_xll.IMDP("IR", K$6&amp;I14, "ASK_Close", $C$4)</f>
        <v>2.3134999999999999</v>
      </c>
      <c r="L14" s="39" t="str" cm="1">
        <f t="array" ref="L14">INDEX(Sheet2!$I$3:$AP$18, $B14, Sheet1!L$6)</f>
        <v>07Y</v>
      </c>
      <c r="M14" s="9" cm="1">
        <f t="array" aca="1" ref="M14" ca="1">_xll.IMDP("IR", M$6&amp;L14, "BID_Close", $C$4)</f>
        <v>1.2063999999999999</v>
      </c>
      <c r="N14" s="10" cm="1">
        <f t="array" aca="1" ref="N14" ca="1">_xll.IMDP("IR", N$6&amp;L14, "ASK_Close", $C$4)</f>
        <v>1.1963999999999999</v>
      </c>
      <c r="O14" s="39" t="str" cm="1">
        <f t="array" ref="O14">INDEX(Sheet2!$I$3:$AP$18, $B14, Sheet1!O$6)</f>
        <v>09Y</v>
      </c>
      <c r="P14" s="9" cm="1">
        <f t="array" aca="1" ref="P14" ca="1">_xll.IMDP("IR", P$6&amp;O14, "BID_Close", $C$4)</f>
        <v>4.0953999999999997</v>
      </c>
      <c r="Q14" s="10" cm="1">
        <f t="array" aca="1" ref="Q14" ca="1">_xll.IMDP("IR", Q$6&amp;O14, "ASK_Close", $C$4)</f>
        <v>4.0754000000000001</v>
      </c>
      <c r="R14" s="39" t="str" cm="1">
        <f t="array" ref="R14">INDEX(Sheet2!$I$3:$AP$18, $B14, Sheet1!R$6)</f>
        <v/>
      </c>
      <c r="S14" s="9" t="str" cm="1">
        <f t="array" aca="1" ref="S14" ca="1">_xll.IMDP("IR", S$6&amp;R14, "BID_Close", $C$4)</f>
        <v/>
      </c>
      <c r="T14" s="10" t="str" cm="1">
        <f t="array" aca="1" ref="T14" ca="1">_xll.IMDP("IR", T$6&amp;R14, "ASK_Close", $C$4)</f>
        <v/>
      </c>
      <c r="U14" s="39" t="str" cm="1">
        <f t="array" ref="U14">INDEX(Sheet2!$I$3:$AP$18, $B14, Sheet1!U$6)</f>
        <v>15Y</v>
      </c>
      <c r="V14" s="9" cm="1">
        <f t="array" aca="1" ref="V14" ca="1">_xll.IMDP("IR", V$6&amp;U14, "BID_Close", $C$4)</f>
        <v>1.905</v>
      </c>
      <c r="W14" s="10" cm="1">
        <f t="array" aca="1" ref="W14" ca="1">_xll.IMDP("IR", W$6&amp;U14, "ASK_Close", $C$4)</f>
        <v>1.865</v>
      </c>
      <c r="X14" s="39" t="str" cm="1">
        <f t="array" ref="X14">INDEX(Sheet2!$I$3:$AP$18, $B14, Sheet1!X$6)</f>
        <v/>
      </c>
      <c r="Y14" s="9" t="str" cm="1">
        <f t="array" aca="1" ref="Y14" ca="1">_xll.IMDP("IR", Y$6&amp;X14, "BID_Close", $C$4)</f>
        <v/>
      </c>
      <c r="Z14" s="10" t="str" cm="1">
        <f t="array" aca="1" ref="Z14" ca="1">_xll.IMDP("IR", Z$6&amp;X14, "ASK_Close", $C$4)</f>
        <v/>
      </c>
      <c r="AA14" s="39" t="str" cm="1">
        <f t="array" ref="AA14">INDEX(Sheet2!$I$3:$AP$18, $B14, Sheet1!AA$6)</f>
        <v>07Y</v>
      </c>
      <c r="AB14" s="9" cm="1">
        <f t="array" aca="1" ref="AB14" ca="1">_xll.IMDP("IR", AB$6&amp;AA14, "BID_Close", $C$4)</f>
        <v>2.3262</v>
      </c>
      <c r="AC14" s="10" cm="1">
        <f t="array" aca="1" ref="AC14" ca="1">_xll.IMDP("IR", AC$6&amp;AA14, "ASK_Close", $C$4)</f>
        <v>2.3134999999999999</v>
      </c>
      <c r="AD14" s="39" t="str" cm="1">
        <f t="array" ref="AD14">INDEX(Sheet2!$I$3:$AP$18, $B14, Sheet1!AD$6)</f>
        <v>07Y</v>
      </c>
      <c r="AE14" s="9" cm="1">
        <f t="array" aca="1" ref="AE14" ca="1">_xll.IMDP("IR", AE$6&amp;AD14, "BID_Close", $C$4)</f>
        <v>2.8864000000000001</v>
      </c>
      <c r="AF14" s="10" cm="1">
        <f t="array" aca="1" ref="AF14" ca="1">_xll.IMDP("IR", AF$6&amp;AD14, "ASK_Close", $C$4)</f>
        <v>2.8754</v>
      </c>
      <c r="AG14" s="39" t="str" cm="1">
        <f t="array" ref="AG14">INDEX(Sheet2!$I$3:$AP$18, $B14, Sheet1!AG$6)</f>
        <v>07Y</v>
      </c>
      <c r="AH14" s="9" cm="1">
        <f t="array" aca="1" ref="AH14" ca="1">_xll.IMDP("IR", AH$6&amp;AG14, "BID_Close", $C$4)</f>
        <v>3.0674999999999999</v>
      </c>
      <c r="AI14" s="10" cm="1">
        <f t="array" aca="1" ref="AI14" ca="1">_xll.IMDP("IR", AI$6&amp;AG14, "ASK_Close", $C$4)</f>
        <v>3.0547</v>
      </c>
      <c r="AJ14" s="39" t="str" cm="1">
        <f t="array" ref="AJ14">INDEX(Sheet2!$I$3:$AP$18, $B14, Sheet1!AJ$6)</f>
        <v>09Y</v>
      </c>
      <c r="AK14" s="9" cm="1">
        <f t="array" aca="1" ref="AK14" ca="1">_xll.IMDP("IR", AK$6&amp;AJ14, "BID_Close", $C$4)</f>
        <v>3.2692000000000001</v>
      </c>
      <c r="AL14" s="10" cm="1">
        <f t="array" aca="1" ref="AL14" ca="1">_xll.IMDP("IR", AL$6&amp;AJ14, "ASK_Close", $C$4)</f>
        <v>3.2688000000000001</v>
      </c>
    </row>
    <row r="15" spans="2:38" s="6" customFormat="1" ht="13.5" customHeight="1">
      <c r="B15" s="6">
        <v>8</v>
      </c>
      <c r="C15" s="39" t="str" cm="1">
        <f t="array" ref="C15">INDEX(Sheet2!$I$3:$AP$18, $B15, Sheet1!C$6)</f>
        <v>03Y</v>
      </c>
      <c r="D15" s="9" cm="1">
        <f t="array" aca="1" ref="D15" ca="1">_xll.IMDP("IR", D$6&amp;C15, "BID_Close", $C$4)</f>
        <v>3.8460000000000001</v>
      </c>
      <c r="E15" s="10" cm="1">
        <f t="array" aca="1" ref="E15" ca="1">_xll.IMDP("IR", E$6&amp;C15, "ASK_Close", $C$4)</f>
        <v>3.8370000000000002</v>
      </c>
      <c r="F15" s="39" t="str" cm="1">
        <f t="array" ref="F15">INDEX(Sheet2!$I$3:$AP$18, $B15, Sheet1!F$6)</f>
        <v>08Y</v>
      </c>
      <c r="G15" s="9" cm="1">
        <f t="array" aca="1" ref="G15" ca="1">_xll.IMDP("IR", G$6&amp;F15, "BID_Close", $C$4)</f>
        <v>4.3006000000000002</v>
      </c>
      <c r="H15" s="10" cm="1">
        <f t="array" aca="1" ref="H15" ca="1">_xll.IMDP("IR", H$6&amp;F15, "ASK_Close", $C$4)</f>
        <v>4.2876000000000003</v>
      </c>
      <c r="I15" s="39" t="str" cm="1">
        <f t="array" ref="I15">INDEX(Sheet2!$I$3:$AP$18, $B15, Sheet1!I$6)</f>
        <v>08Y</v>
      </c>
      <c r="J15" s="9" cm="1">
        <f t="array" aca="1" ref="J15" ca="1">_xll.IMDP("IR", J$6&amp;I15, "BID_Close", $C$4)</f>
        <v>2.4350999999999998</v>
      </c>
      <c r="K15" s="10" cm="1">
        <f t="array" aca="1" ref="K15" ca="1">_xll.IMDP("IR", K$6&amp;I15, "ASK_Close", $C$4)</f>
        <v>2.4241999999999999</v>
      </c>
      <c r="L15" s="39" t="str" cm="1">
        <f t="array" ref="L15">INDEX(Sheet2!$I$3:$AP$18, $B15, Sheet1!L$6)</f>
        <v>08Y</v>
      </c>
      <c r="M15" s="9" cm="1">
        <f t="array" aca="1" ref="M15" ca="1">_xll.IMDP("IR", M$6&amp;L15, "BID_Close", $C$4)</f>
        <v>1.2734000000000001</v>
      </c>
      <c r="N15" s="10" cm="1">
        <f t="array" aca="1" ref="N15" ca="1">_xll.IMDP("IR", N$6&amp;L15, "ASK_Close", $C$4)</f>
        <v>1.2634000000000001</v>
      </c>
      <c r="O15" s="39" t="str" cm="1">
        <f t="array" ref="O15">INDEX(Sheet2!$I$3:$AP$18, $B15, Sheet1!O$6)</f>
        <v>10Y</v>
      </c>
      <c r="P15" s="9" cm="1">
        <f t="array" aca="1" ref="P15" ca="1">_xll.IMDP("IR", P$6&amp;O15, "BID_Close", $C$4)</f>
        <v>4.202</v>
      </c>
      <c r="Q15" s="10" cm="1">
        <f t="array" aca="1" ref="Q15" ca="1">_xll.IMDP("IR", Q$6&amp;O15, "ASK_Close", $C$4)</f>
        <v>4.1820000000000004</v>
      </c>
      <c r="R15" s="39" t="str" cm="1">
        <f t="array" ref="R15">INDEX(Sheet2!$I$3:$AP$18, $B15, Sheet1!R$6)</f>
        <v/>
      </c>
      <c r="S15" s="9" t="str" cm="1">
        <f t="array" aca="1" ref="S15" ca="1">_xll.IMDP("IR", S$6&amp;R15, "BID_Close", $C$4)</f>
        <v/>
      </c>
      <c r="T15" s="10" t="str" cm="1">
        <f t="array" aca="1" ref="T15" ca="1">_xll.IMDP("IR", T$6&amp;R15, "ASK_Close", $C$4)</f>
        <v/>
      </c>
      <c r="U15" s="39" t="str" cm="1">
        <f t="array" ref="U15">INDEX(Sheet2!$I$3:$AP$18, $B15, Sheet1!U$6)</f>
        <v>20Y</v>
      </c>
      <c r="V15" s="9" cm="1">
        <f t="array" aca="1" ref="V15" ca="1">_xll.IMDP("IR", V$6&amp;U15, "BID_Close", $C$4)</f>
        <v>1.9107000000000001</v>
      </c>
      <c r="W15" s="10" cm="1">
        <f t="array" aca="1" ref="W15" ca="1">_xll.IMDP("IR", W$6&amp;U15, "ASK_Close", $C$4)</f>
        <v>1.8705000000000001</v>
      </c>
      <c r="X15" s="39" t="str" cm="1">
        <f t="array" ref="X15">INDEX(Sheet2!$I$3:$AP$18, $B15, Sheet1!X$6)</f>
        <v/>
      </c>
      <c r="Y15" s="9" t="str" cm="1">
        <f t="array" aca="1" ref="Y15" ca="1">_xll.IMDP("IR", Y$6&amp;X15, "BID_Close", $C$4)</f>
        <v/>
      </c>
      <c r="Z15" s="10" t="str" cm="1">
        <f t="array" aca="1" ref="Z15" ca="1">_xll.IMDP("IR", Z$6&amp;X15, "ASK_Close", $C$4)</f>
        <v/>
      </c>
      <c r="AA15" s="39" t="str" cm="1">
        <f t="array" ref="AA15">INDEX(Sheet2!$I$3:$AP$18, $B15, Sheet1!AA$6)</f>
        <v>08Y</v>
      </c>
      <c r="AB15" s="9" cm="1">
        <f t="array" aca="1" ref="AB15" ca="1">_xll.IMDP("IR", AB$6&amp;AA15, "BID_Close", $C$4)</f>
        <v>2.4350999999999998</v>
      </c>
      <c r="AC15" s="10" cm="1">
        <f t="array" aca="1" ref="AC15" ca="1">_xll.IMDP("IR", AC$6&amp;AA15, "ASK_Close", $C$4)</f>
        <v>2.4241999999999999</v>
      </c>
      <c r="AD15" s="39" t="str" cm="1">
        <f t="array" ref="AD15">INDEX(Sheet2!$I$3:$AP$18, $B15, Sheet1!AD$6)</f>
        <v>08Y</v>
      </c>
      <c r="AE15" s="9" cm="1">
        <f t="array" aca="1" ref="AE15" ca="1">_xll.IMDP("IR", AE$6&amp;AD15, "BID_Close", $C$4)</f>
        <v>3.0278</v>
      </c>
      <c r="AF15" s="10" cm="1">
        <f t="array" aca="1" ref="AF15" ca="1">_xll.IMDP("IR", AF$6&amp;AD15, "ASK_Close", $C$4)</f>
        <v>3.0177</v>
      </c>
      <c r="AG15" s="39" t="str" cm="1">
        <f t="array" ref="AG15">INDEX(Sheet2!$I$3:$AP$18, $B15, Sheet1!AG$6)</f>
        <v>08Y</v>
      </c>
      <c r="AH15" s="9" cm="1">
        <f t="array" aca="1" ref="AH15" ca="1">_xll.IMDP("IR", AH$6&amp;AG15, "BID_Close", $C$4)</f>
        <v>3.1307999999999998</v>
      </c>
      <c r="AI15" s="10" cm="1">
        <f t="array" aca="1" ref="AI15" ca="1">_xll.IMDP("IR", AI$6&amp;AG15, "ASK_Close", $C$4)</f>
        <v>3.1196000000000002</v>
      </c>
      <c r="AJ15" s="39" t="str" cm="1">
        <f t="array" ref="AJ15">INDEX(Sheet2!$I$3:$AP$18, $B15, Sheet1!AJ$6)</f>
        <v>10Y</v>
      </c>
      <c r="AK15" s="9" cm="1">
        <f t="array" aca="1" ref="AK15" ca="1">_xll.IMDP("IR", AK$6&amp;AJ15, "BID_Close", $C$4)</f>
        <v>3.3561000000000001</v>
      </c>
      <c r="AL15" s="10" cm="1">
        <f t="array" aca="1" ref="AL15" ca="1">_xll.IMDP("IR", AL$6&amp;AJ15, "ASK_Close", $C$4)</f>
        <v>3.3557999999999999</v>
      </c>
    </row>
    <row r="16" spans="2:38" s="6" customFormat="1" ht="13.5" customHeight="1">
      <c r="B16" s="6">
        <v>9</v>
      </c>
      <c r="C16" s="39" t="str" cm="1">
        <f t="array" ref="C16">INDEX(Sheet2!$I$3:$AP$18, $B16, Sheet1!C$6)</f>
        <v>05Y</v>
      </c>
      <c r="D16" s="9" cm="1">
        <f t="array" aca="1" ref="D16" ca="1">_xll.IMDP("IR", D$6&amp;C16, "BID_Close", $C$4)</f>
        <v>3.9340000000000002</v>
      </c>
      <c r="E16" s="10" cm="1">
        <f t="array" aca="1" ref="E16" ca="1">_xll.IMDP("IR", E$6&amp;C16, "ASK_Close", $C$4)</f>
        <v>3.9289999999999998</v>
      </c>
      <c r="F16" s="39" t="str" cm="1">
        <f t="array" ref="F16">INDEX(Sheet2!$I$3:$AP$18, $B16, Sheet1!F$6)</f>
        <v>09Y</v>
      </c>
      <c r="G16" s="9" cm="1">
        <f t="array" aca="1" ref="G16" ca="1">_xll.IMDP("IR", G$6&amp;F16, "BID_Close", $C$4)</f>
        <v>4.4196</v>
      </c>
      <c r="H16" s="10" cm="1">
        <f t="array" aca="1" ref="H16" ca="1">_xll.IMDP("IR", H$6&amp;F16, "ASK_Close", $C$4)</f>
        <v>4.4084000000000003</v>
      </c>
      <c r="I16" s="39" t="str" cm="1">
        <f t="array" ref="I16">INDEX(Sheet2!$I$3:$AP$18, $B16, Sheet1!I$6)</f>
        <v>09Y</v>
      </c>
      <c r="J16" s="9" cm="1">
        <f t="array" aca="1" ref="J16" ca="1">_xll.IMDP("IR", J$6&amp;I16, "BID_Close", $C$4)</f>
        <v>2.5232999999999999</v>
      </c>
      <c r="K16" s="10" cm="1">
        <f t="array" aca="1" ref="K16" ca="1">_xll.IMDP("IR", K$6&amp;I16, "ASK_Close", $C$4)</f>
        <v>2.5133999999999999</v>
      </c>
      <c r="L16" s="39" t="str" cm="1">
        <f t="array" ref="L16">INDEX(Sheet2!$I$3:$AP$18, $B16, Sheet1!L$6)</f>
        <v>09Y</v>
      </c>
      <c r="M16" s="9" cm="1">
        <f t="array" aca="1" ref="M16" ca="1">_xll.IMDP("IR", M$6&amp;L16, "BID_Close", $C$4)</f>
        <v>1.3593999999999999</v>
      </c>
      <c r="N16" s="10" cm="1">
        <f t="array" aca="1" ref="N16" ca="1">_xll.IMDP("IR", N$6&amp;L16, "ASK_Close", $C$4)</f>
        <v>1.3493999999999999</v>
      </c>
      <c r="O16" s="39" t="str" cm="1">
        <f t="array" ref="O16">INDEX(Sheet2!$I$3:$AP$18, $B16, Sheet1!O$6)</f>
        <v>15Y</v>
      </c>
      <c r="P16" s="9" cm="1">
        <f t="array" aca="1" ref="P16" ca="1">_xll.IMDP("IR", P$6&amp;O16, "BID_Close", $C$4)</f>
        <v>4.4294000000000002</v>
      </c>
      <c r="Q16" s="10" cm="1">
        <f t="array" aca="1" ref="Q16" ca="1">_xll.IMDP("IR", Q$6&amp;O16, "ASK_Close", $C$4)</f>
        <v>4.4093999999999998</v>
      </c>
      <c r="R16" s="39" t="str" cm="1">
        <f t="array" ref="R16">INDEX(Sheet2!$I$3:$AP$18, $B16, Sheet1!R$6)</f>
        <v/>
      </c>
      <c r="S16" s="9" t="str" cm="1">
        <f t="array" aca="1" ref="S16" ca="1">_xll.IMDP("IR", S$6&amp;R16, "BID_Close", $C$4)</f>
        <v/>
      </c>
      <c r="T16" s="10" t="str" cm="1">
        <f t="array" aca="1" ref="T16" ca="1">_xll.IMDP("IR", T$6&amp;R16, "ASK_Close", $C$4)</f>
        <v/>
      </c>
      <c r="U16" s="39" t="str" cm="1">
        <f t="array" ref="U16">INDEX(Sheet2!$I$3:$AP$18, $B16, Sheet1!U$6)</f>
        <v>30Y</v>
      </c>
      <c r="V16" s="9" cm="1">
        <f t="array" aca="1" ref="V16" ca="1">_xll.IMDP("IR", V$6&amp;U16, "BID_Close", $C$4)</f>
        <v>1.8698999999999999</v>
      </c>
      <c r="W16" s="10" cm="1">
        <f t="array" aca="1" ref="W16" ca="1">_xll.IMDP("IR", W$6&amp;U16, "ASK_Close", $C$4)</f>
        <v>1.8297000000000001</v>
      </c>
      <c r="X16" s="39" t="str" cm="1">
        <f t="array" ref="X16">INDEX(Sheet2!$I$3:$AP$18, $B16, Sheet1!X$6)</f>
        <v/>
      </c>
      <c r="Y16" s="9" t="str" cm="1">
        <f t="array" aca="1" ref="Y16" ca="1">_xll.IMDP("IR", Y$6&amp;X16, "BID_Close", $C$4)</f>
        <v/>
      </c>
      <c r="Z16" s="10" t="str" cm="1">
        <f t="array" aca="1" ref="Z16" ca="1">_xll.IMDP("IR", Z$6&amp;X16, "ASK_Close", $C$4)</f>
        <v/>
      </c>
      <c r="AA16" s="39" t="str" cm="1">
        <f t="array" ref="AA16">INDEX(Sheet2!$I$3:$AP$18, $B16, Sheet1!AA$6)</f>
        <v>09Y</v>
      </c>
      <c r="AB16" s="9" cm="1">
        <f t="array" aca="1" ref="AB16" ca="1">_xll.IMDP("IR", AB$6&amp;AA16, "BID_Close", $C$4)</f>
        <v>2.5232999999999999</v>
      </c>
      <c r="AC16" s="10" cm="1">
        <f t="array" aca="1" ref="AC16" ca="1">_xll.IMDP("IR", AC$6&amp;AA16, "ASK_Close", $C$4)</f>
        <v>2.5133999999999999</v>
      </c>
      <c r="AD16" s="39" t="str" cm="1">
        <f t="array" ref="AD16">INDEX(Sheet2!$I$3:$AP$18, $B16, Sheet1!AD$6)</f>
        <v>09Y</v>
      </c>
      <c r="AE16" s="9" cm="1">
        <f t="array" aca="1" ref="AE16" ca="1">_xll.IMDP("IR", AE$6&amp;AD16, "BID_Close", $C$4)</f>
        <v>3.1657000000000002</v>
      </c>
      <c r="AF16" s="10" cm="1">
        <f t="array" aca="1" ref="AF16" ca="1">_xll.IMDP("IR", AF$6&amp;AD16, "ASK_Close", $C$4)</f>
        <v>3.1556999999999999</v>
      </c>
      <c r="AG16" s="39" t="str" cm="1">
        <f t="array" ref="AG16">INDEX(Sheet2!$I$3:$AP$18, $B16, Sheet1!AG$6)</f>
        <v>09Y</v>
      </c>
      <c r="AH16" s="9" cm="1">
        <f t="array" aca="1" ref="AH16" ca="1">_xll.IMDP("IR", AH$6&amp;AG16, "BID_Close", $C$4)</f>
        <v>3.2581000000000002</v>
      </c>
      <c r="AI16" s="10" cm="1">
        <f t="array" aca="1" ref="AI16" ca="1">_xll.IMDP("IR", AI$6&amp;AG16, "ASK_Close", $C$4)</f>
        <v>3.2477</v>
      </c>
      <c r="AJ16" s="39" t="str" cm="1">
        <f t="array" ref="AJ16">INDEX(Sheet2!$I$3:$AP$18, $B16, Sheet1!AJ$6)</f>
        <v>20Y</v>
      </c>
      <c r="AK16" s="9" cm="1">
        <f t="array" aca="1" ref="AK16" ca="1">_xll.IMDP("IR", AK$6&amp;AJ16, "BID_Close", $C$4)</f>
        <v>3.5668000000000002</v>
      </c>
      <c r="AL16" s="10" cm="1">
        <f t="array" aca="1" ref="AL16" ca="1">_xll.IMDP("IR", AL$6&amp;AJ16, "ASK_Close", $C$4)</f>
        <v>3.5666000000000002</v>
      </c>
    </row>
    <row r="17" spans="2:38" s="6" customFormat="1" ht="13.5" customHeight="1">
      <c r="B17" s="6">
        <v>10</v>
      </c>
      <c r="C17" s="39" t="str" cm="1">
        <f t="array" ref="C17">INDEX(Sheet2!$I$3:$AP$18, $B17, Sheet1!C$6)</f>
        <v>07Y</v>
      </c>
      <c r="D17" s="9" cm="1">
        <f t="array" aca="1" ref="D17" ca="1">_xll.IMDP("IR", D$6&amp;C17, "BID_Close", $C$4)</f>
        <v>4.1210000000000004</v>
      </c>
      <c r="E17" s="10" cm="1">
        <f t="array" aca="1" ref="E17" ca="1">_xll.IMDP("IR", E$6&amp;C17, "ASK_Close", $C$4)</f>
        <v>4.1180000000000003</v>
      </c>
      <c r="F17" s="39" t="str" cm="1">
        <f t="array" ref="F17">INDEX(Sheet2!$I$3:$AP$18, $B17, Sheet1!F$6)</f>
        <v>10Y</v>
      </c>
      <c r="G17" s="9" cm="1">
        <f t="array" aca="1" ref="G17" ca="1">_xll.IMDP("IR", G$6&amp;F17, "BID_Close", $C$4)</f>
        <v>4.5445000000000002</v>
      </c>
      <c r="H17" s="10" cm="1">
        <f t="array" aca="1" ref="H17" ca="1">_xll.IMDP("IR", H$6&amp;F17, "ASK_Close", $C$4)</f>
        <v>4.5342000000000002</v>
      </c>
      <c r="I17" s="39" t="str" cm="1">
        <f t="array" ref="I17">INDEX(Sheet2!$I$3:$AP$18, $B17, Sheet1!I$6)</f>
        <v>10Y</v>
      </c>
      <c r="J17" s="9" cm="1">
        <f t="array" aca="1" ref="J17" ca="1">_xll.IMDP("IR", J$6&amp;I17, "BID_Close", $C$4)</f>
        <v>2.5950000000000002</v>
      </c>
      <c r="K17" s="10" cm="1">
        <f t="array" aca="1" ref="K17" ca="1">_xll.IMDP("IR", K$6&amp;I17, "ASK_Close", $C$4)</f>
        <v>2.5859000000000001</v>
      </c>
      <c r="L17" s="39" t="str" cm="1">
        <f t="array" ref="L17">INDEX(Sheet2!$I$3:$AP$18, $B17, Sheet1!L$6)</f>
        <v>10Y</v>
      </c>
      <c r="M17" s="9" cm="1">
        <f t="array" aca="1" ref="M17" ca="1">_xll.IMDP("IR", M$6&amp;L17, "BID_Close", $C$4)</f>
        <v>1.4551000000000001</v>
      </c>
      <c r="N17" s="10" cm="1">
        <f t="array" aca="1" ref="N17" ca="1">_xll.IMDP("IR", N$6&amp;L17, "ASK_Close", $C$4)</f>
        <v>1.4451000000000001</v>
      </c>
      <c r="O17" s="39" t="str" cm="1">
        <f t="array" ref="O17">INDEX(Sheet2!$I$3:$AP$18, $B17, Sheet1!O$6)</f>
        <v>20Y</v>
      </c>
      <c r="P17" s="9" cm="1">
        <f t="array" aca="1" ref="P17" ca="1">_xll.IMDP("IR", P$6&amp;O17, "BID_Close", $C$4)</f>
        <v>4.7594000000000003</v>
      </c>
      <c r="Q17" s="10" cm="1">
        <f t="array" aca="1" ref="Q17" ca="1">_xll.IMDP("IR", Q$6&amp;O17, "ASK_Close", $C$4)</f>
        <v>4.7393999999999998</v>
      </c>
      <c r="R17" s="39" t="str" cm="1">
        <f t="array" ref="R17">INDEX(Sheet2!$I$3:$AP$18, $B17, Sheet1!R$6)</f>
        <v/>
      </c>
      <c r="S17" s="9" t="str" cm="1">
        <f t="array" aca="1" ref="S17" ca="1">_xll.IMDP("IR", S$6&amp;R17, "BID_Close", $C$4)</f>
        <v/>
      </c>
      <c r="T17" s="10" t="str" cm="1">
        <f t="array" aca="1" ref="T17" ca="1">_xll.IMDP("IR", T$6&amp;R17, "ASK_Close", $C$4)</f>
        <v/>
      </c>
      <c r="U17" s="39" t="str" cm="1">
        <f t="array" ref="U17">INDEX(Sheet2!$I$3:$AP$18, $B17, Sheet1!U$6)</f>
        <v/>
      </c>
      <c r="V17" s="9" t="str" cm="1">
        <f t="array" aca="1" ref="V17" ca="1">_xll.IMDP("IR", V$6&amp;U17, "BID_Close", $C$4)</f>
        <v/>
      </c>
      <c r="W17" s="10" t="str" cm="1">
        <f t="array" aca="1" ref="W17" ca="1">_xll.IMDP("IR", W$6&amp;U17, "ASK_Close", $C$4)</f>
        <v/>
      </c>
      <c r="X17" s="39" t="str" cm="1">
        <f t="array" ref="X17">INDEX(Sheet2!$I$3:$AP$18, $B17, Sheet1!X$6)</f>
        <v/>
      </c>
      <c r="Y17" s="9" t="str" cm="1">
        <f t="array" aca="1" ref="Y17" ca="1">_xll.IMDP("IR", Y$6&amp;X17, "BID_Close", $C$4)</f>
        <v/>
      </c>
      <c r="Z17" s="10" t="str" cm="1">
        <f t="array" aca="1" ref="Z17" ca="1">_xll.IMDP("IR", Z$6&amp;X17, "ASK_Close", $C$4)</f>
        <v/>
      </c>
      <c r="AA17" s="39" t="str" cm="1">
        <f t="array" ref="AA17">INDEX(Sheet2!$I$3:$AP$18, $B17, Sheet1!AA$6)</f>
        <v>10Y</v>
      </c>
      <c r="AB17" s="9" cm="1">
        <f t="array" aca="1" ref="AB17" ca="1">_xll.IMDP("IR", AB$6&amp;AA17, "BID_Close", $C$4)</f>
        <v>2.5950000000000002</v>
      </c>
      <c r="AC17" s="10" cm="1">
        <f t="array" aca="1" ref="AC17" ca="1">_xll.IMDP("IR", AC$6&amp;AA17, "ASK_Close", $C$4)</f>
        <v>2.5859000000000001</v>
      </c>
      <c r="AD17" s="39" t="str" cm="1">
        <f t="array" ref="AD17">INDEX(Sheet2!$I$3:$AP$18, $B17, Sheet1!AD$6)</f>
        <v>10Y</v>
      </c>
      <c r="AE17" s="9" cm="1">
        <f t="array" aca="1" ref="AE17" ca="1">_xll.IMDP("IR", AE$6&amp;AD17, "BID_Close", $C$4)</f>
        <v>3.2806000000000002</v>
      </c>
      <c r="AF17" s="10" cm="1">
        <f t="array" aca="1" ref="AF17" ca="1">_xll.IMDP("IR", AF$6&amp;AD17, "ASK_Close", $C$4)</f>
        <v>3.2721</v>
      </c>
      <c r="AG17" s="39" t="str" cm="1">
        <f t="array" ref="AG17">INDEX(Sheet2!$I$3:$AP$18, $B17, Sheet1!AG$6)</f>
        <v>10Y</v>
      </c>
      <c r="AH17" s="9" cm="1">
        <f t="array" aca="1" ref="AH17" ca="1">_xll.IMDP("IR", AH$6&amp;AG17, "BID_Close", $C$4)</f>
        <v>3.4558</v>
      </c>
      <c r="AI17" s="10" cm="1">
        <f t="array" aca="1" ref="AI17" ca="1">_xll.IMDP("IR", AI$6&amp;AG17, "ASK_Close", $C$4)</f>
        <v>3.4462999999999999</v>
      </c>
      <c r="AJ17" s="39" t="str" cm="1">
        <f t="array" ref="AJ17">INDEX(Sheet2!$I$3:$AP$18, $B17, Sheet1!AJ$6)</f>
        <v>30Y</v>
      </c>
      <c r="AK17" s="9" cm="1">
        <f t="array" aca="1" ref="AK17" ca="1">_xll.IMDP("IR", AK$6&amp;AJ17, "BID_Close", $C$4)</f>
        <v>3.6705999999999999</v>
      </c>
      <c r="AL17" s="10" cm="1">
        <f t="array" aca="1" ref="AL17" ca="1">_xll.IMDP("IR", AL$6&amp;AJ17, "ASK_Close", $C$4)</f>
        <v>3.6705000000000001</v>
      </c>
    </row>
    <row r="18" spans="2:38" s="6" customFormat="1" ht="13.5" customHeight="1">
      <c r="B18" s="6">
        <v>11</v>
      </c>
      <c r="C18" s="39" t="str" cm="1">
        <f t="array" ref="C18">INDEX(Sheet2!$I$3:$AP$18, $B18, Sheet1!C$6)</f>
        <v>10Y</v>
      </c>
      <c r="D18" s="9" cm="1">
        <f t="array" aca="1" ref="D18" ca="1">_xll.IMDP("IR", D$6&amp;C18, "BID_Close", $C$4)</f>
        <v>4.3460000000000001</v>
      </c>
      <c r="E18" s="10" cm="1">
        <f t="array" aca="1" ref="E18" ca="1">_xll.IMDP("IR", E$6&amp;C18, "ASK_Close", $C$4)</f>
        <v>4.3360000000000003</v>
      </c>
      <c r="F18" s="39" t="str" cm="1">
        <f t="array" ref="F18">INDEX(Sheet2!$I$3:$AP$18, $B18, Sheet1!F$6)</f>
        <v>12Y</v>
      </c>
      <c r="G18" s="9" cm="1">
        <f t="array" aca="1" ref="G18" ca="1">_xll.IMDP("IR", G$6&amp;F18, "BID_Close", $C$4)</f>
        <v>4.7401999999999997</v>
      </c>
      <c r="H18" s="10" cm="1">
        <f t="array" aca="1" ref="H18" ca="1">_xll.IMDP("IR", H$6&amp;F18, "ASK_Close", $C$4)</f>
        <v>4.7297000000000002</v>
      </c>
      <c r="I18" s="39" t="str" cm="1">
        <f t="array" ref="I18">INDEX(Sheet2!$I$3:$AP$18, $B18, Sheet1!I$6)</f>
        <v>15Y</v>
      </c>
      <c r="J18" s="9" cm="1">
        <f t="array" aca="1" ref="J18" ca="1">_xll.IMDP("IR", J$6&amp;I18, "BID_Close", $C$4)</f>
        <v>2.9058000000000002</v>
      </c>
      <c r="K18" s="10" cm="1">
        <f t="array" aca="1" ref="K18" ca="1">_xll.IMDP("IR", K$6&amp;I18, "ASK_Close", $C$4)</f>
        <v>2.8993000000000002</v>
      </c>
      <c r="L18" s="39" t="str" cm="1">
        <f t="array" ref="L18">INDEX(Sheet2!$I$3:$AP$18, $B18, Sheet1!L$6)</f>
        <v>15Y</v>
      </c>
      <c r="M18" s="9" cm="1">
        <f t="array" aca="1" ref="M18" ca="1">_xll.IMDP("IR", M$6&amp;L18, "BID_Close", $C$4)</f>
        <v>2.2690999999999999</v>
      </c>
      <c r="N18" s="10" cm="1">
        <f t="array" aca="1" ref="N18" ca="1">_xll.IMDP("IR", N$6&amp;L18, "ASK_Close", $C$4)</f>
        <v>2.2591000000000001</v>
      </c>
      <c r="O18" s="39" t="str" cm="1">
        <f t="array" ref="O18">INDEX(Sheet2!$I$3:$AP$18, $B18, Sheet1!O$6)</f>
        <v>30Y</v>
      </c>
      <c r="P18" s="9" cm="1">
        <f t="array" aca="1" ref="P18" ca="1">_xll.IMDP("IR", P$6&amp;O18, "BID_Close", $C$4)</f>
        <v>4.8634000000000004</v>
      </c>
      <c r="Q18" s="10" cm="1">
        <f t="array" aca="1" ref="Q18" ca="1">_xll.IMDP("IR", Q$6&amp;O18, "ASK_Close", $C$4)</f>
        <v>4.8433999999999999</v>
      </c>
      <c r="R18" s="39" t="str" cm="1">
        <f t="array" ref="R18">INDEX(Sheet2!$I$3:$AP$18, $B18, Sheet1!R$6)</f>
        <v/>
      </c>
      <c r="S18" s="9" t="str" cm="1">
        <f t="array" aca="1" ref="S18" ca="1">_xll.IMDP("IR", S$6&amp;R18, "BID_Close", $C$4)</f>
        <v/>
      </c>
      <c r="T18" s="10" t="str" cm="1">
        <f t="array" aca="1" ref="T18" ca="1">_xll.IMDP("IR", T$6&amp;R18, "ASK_Close", $C$4)</f>
        <v/>
      </c>
      <c r="U18" s="39" t="str" cm="1">
        <f t="array" ref="U18">INDEX(Sheet2!$I$3:$AP$18, $B18, Sheet1!U$6)</f>
        <v/>
      </c>
      <c r="V18" s="9" t="str" cm="1">
        <f t="array" aca="1" ref="V18" ca="1">_xll.IMDP("IR", V$6&amp;U18, "BID_Close", $C$4)</f>
        <v/>
      </c>
      <c r="W18" s="10" t="str" cm="1">
        <f t="array" aca="1" ref="W18" ca="1">_xll.IMDP("IR", W$6&amp;U18, "ASK_Close", $C$4)</f>
        <v/>
      </c>
      <c r="X18" s="39" t="str" cm="1">
        <f t="array" ref="X18">INDEX(Sheet2!$I$3:$AP$18, $B18, Sheet1!X$6)</f>
        <v/>
      </c>
      <c r="Y18" s="9" t="str" cm="1">
        <f t="array" aca="1" ref="Y18" ca="1">_xll.IMDP("IR", Y$6&amp;X18, "BID_Close", $C$4)</f>
        <v/>
      </c>
      <c r="Z18" s="10" t="str" cm="1">
        <f t="array" aca="1" ref="Z18" ca="1">_xll.IMDP("IR", Z$6&amp;X18, "ASK_Close", $C$4)</f>
        <v/>
      </c>
      <c r="AA18" s="39" t="str" cm="1">
        <f t="array" ref="AA18">INDEX(Sheet2!$I$3:$AP$18, $B18, Sheet1!AA$6)</f>
        <v>15Y</v>
      </c>
      <c r="AB18" s="9" cm="1">
        <f t="array" aca="1" ref="AB18" ca="1">_xll.IMDP("IR", AB$6&amp;AA18, "BID_Close", $C$4)</f>
        <v>2.9058000000000002</v>
      </c>
      <c r="AC18" s="10" cm="1">
        <f t="array" aca="1" ref="AC18" ca="1">_xll.IMDP("IR", AC$6&amp;AA18, "ASK_Close", $C$4)</f>
        <v>2.8993000000000002</v>
      </c>
      <c r="AD18" s="39" t="str" cm="1">
        <f t="array" ref="AD18">INDEX(Sheet2!$I$3:$AP$18, $B18, Sheet1!AD$6)</f>
        <v>15Y</v>
      </c>
      <c r="AE18" s="9" cm="1">
        <f t="array" aca="1" ref="AE18" ca="1">_xll.IMDP("IR", AE$6&amp;AD18, "BID_Close", $C$4)</f>
        <v>3.66</v>
      </c>
      <c r="AF18" s="10" cm="1">
        <f t="array" aca="1" ref="AF18" ca="1">_xll.IMDP("IR", AF$6&amp;AD18, "ASK_Close", $C$4)</f>
        <v>3.6509999999999998</v>
      </c>
      <c r="AG18" s="39" t="str" cm="1">
        <f t="array" ref="AG18">INDEX(Sheet2!$I$3:$AP$18, $B18, Sheet1!AG$6)</f>
        <v>15Y</v>
      </c>
      <c r="AH18" s="9" cm="1">
        <f t="array" aca="1" ref="AH18" ca="1">_xll.IMDP("IR", AH$6&amp;AG18, "BID_Close", $C$4)</f>
        <v>3.9083000000000001</v>
      </c>
      <c r="AI18" s="10" cm="1">
        <f t="array" aca="1" ref="AI18" ca="1">_xll.IMDP("IR", AI$6&amp;AG18, "ASK_Close", $C$4)</f>
        <v>3.9011</v>
      </c>
      <c r="AJ18" s="39" t="str" cm="1">
        <f t="array" ref="AJ18">INDEX(Sheet2!$I$3:$AP$18, $B18, Sheet1!AJ$6)</f>
        <v/>
      </c>
      <c r="AK18" s="9" t="str" cm="1">
        <f t="array" aca="1" ref="AK18" ca="1">_xll.IMDP("IR", AK$6&amp;AJ18, "BID_Close", $C$4)</f>
        <v/>
      </c>
      <c r="AL18" s="10" t="str" cm="1">
        <f t="array" aca="1" ref="AL18" ca="1">_xll.IMDP("IR", AL$6&amp;AJ18, "ASK_Close", $C$4)</f>
        <v/>
      </c>
    </row>
    <row r="19" spans="2:38" s="6" customFormat="1" ht="13.5" customHeight="1">
      <c r="B19" s="6">
        <v>12</v>
      </c>
      <c r="C19" s="39" t="str" cm="1">
        <f t="array" ref="C19">INDEX(Sheet2!$I$3:$AP$18, $B19, Sheet1!C$6)</f>
        <v>20Y</v>
      </c>
      <c r="D19" s="9" cm="1">
        <f t="array" aca="1" ref="D19" ca="1">_xll.IMDP("IR", D$6&amp;C19, "BID_Close", $C$4)</f>
        <v>4.8680000000000003</v>
      </c>
      <c r="E19" s="10" cm="1">
        <f t="array" aca="1" ref="E19" ca="1">_xll.IMDP("IR", E$6&amp;C19, "ASK_Close", $C$4)</f>
        <v>4.8630000000000004</v>
      </c>
      <c r="F19" s="39" t="str" cm="1">
        <f t="array" ref="F19">INDEX(Sheet2!$I$3:$AP$18, $B19, Sheet1!F$6)</f>
        <v>15Y</v>
      </c>
      <c r="G19" s="9" cm="1">
        <f t="array" aca="1" ref="G19" ca="1">_xll.IMDP("IR", G$6&amp;F19, "BID_Close", $C$4)</f>
        <v>4.9238999999999997</v>
      </c>
      <c r="H19" s="10" cm="1">
        <f t="array" aca="1" ref="H19" ca="1">_xll.IMDP("IR", H$6&amp;F19, "ASK_Close", $C$4)</f>
        <v>4.9156000000000004</v>
      </c>
      <c r="I19" s="39" t="str" cm="1">
        <f t="array" ref="I19">INDEX(Sheet2!$I$3:$AP$18, $B19, Sheet1!I$6)</f>
        <v>20Y</v>
      </c>
      <c r="J19" s="9" cm="1">
        <f t="array" aca="1" ref="J19" ca="1">_xll.IMDP("IR", J$6&amp;I19, "BID_Close", $C$4)</f>
        <v>2.9634</v>
      </c>
      <c r="K19" s="10" cm="1">
        <f t="array" aca="1" ref="K19" ca="1">_xll.IMDP("IR", K$6&amp;I19, "ASK_Close", $C$4)</f>
        <v>2.9580000000000002</v>
      </c>
      <c r="L19" s="39" t="str" cm="1">
        <f t="array" ref="L19">INDEX(Sheet2!$I$3:$AP$18, $B19, Sheet1!L$6)</f>
        <v>20Y</v>
      </c>
      <c r="M19" s="9" cm="1">
        <f t="array" aca="1" ref="M19" ca="1">_xll.IMDP("IR", M$6&amp;L19, "BID_Close", $C$4)</f>
        <v>2.3671000000000002</v>
      </c>
      <c r="N19" s="10" cm="1">
        <f t="array" aca="1" ref="N19" ca="1">_xll.IMDP("IR", N$6&amp;L19, "ASK_Close", $C$4)</f>
        <v>2.3571</v>
      </c>
      <c r="O19" s="39" t="str" cm="1">
        <f t="array" ref="O19">INDEX(Sheet2!$I$3:$AP$18, $B19, Sheet1!O$6)</f>
        <v/>
      </c>
      <c r="P19" s="9" t="str" cm="1">
        <f t="array" aca="1" ref="P19" ca="1">_xll.IMDP("IR", P$6&amp;O19, "BID_Close", $C$4)</f>
        <v/>
      </c>
      <c r="Q19" s="10" t="str" cm="1">
        <f t="array" aca="1" ref="Q19" ca="1">_xll.IMDP("IR", Q$6&amp;O19, "ASK_Close", $C$4)</f>
        <v/>
      </c>
      <c r="R19" s="39" t="str" cm="1">
        <f t="array" ref="R19">INDEX(Sheet2!$I$3:$AP$18, $B19, Sheet1!R$6)</f>
        <v/>
      </c>
      <c r="S19" s="9" t="str" cm="1">
        <f t="array" aca="1" ref="S19" ca="1">_xll.IMDP("IR", S$6&amp;R19, "BID_Close", $C$4)</f>
        <v/>
      </c>
      <c r="T19" s="10" t="str" cm="1">
        <f t="array" aca="1" ref="T19" ca="1">_xll.IMDP("IR", T$6&amp;R19, "ASK_Close", $C$4)</f>
        <v/>
      </c>
      <c r="U19" s="39" t="str" cm="1">
        <f t="array" ref="U19">INDEX(Sheet2!$I$3:$AP$18, $B19, Sheet1!U$6)</f>
        <v/>
      </c>
      <c r="V19" s="9" t="str" cm="1">
        <f t="array" aca="1" ref="V19" ca="1">_xll.IMDP("IR", V$6&amp;U19, "BID_Close", $C$4)</f>
        <v/>
      </c>
      <c r="W19" s="10" t="str" cm="1">
        <f t="array" aca="1" ref="W19" ca="1">_xll.IMDP("IR", W$6&amp;U19, "ASK_Close", $C$4)</f>
        <v/>
      </c>
      <c r="X19" s="39" t="str" cm="1">
        <f t="array" ref="X19">INDEX(Sheet2!$I$3:$AP$18, $B19, Sheet1!X$6)</f>
        <v/>
      </c>
      <c r="Y19" s="9" t="str" cm="1">
        <f t="array" aca="1" ref="Y19" ca="1">_xll.IMDP("IR", Y$6&amp;X19, "BID_Close", $C$4)</f>
        <v/>
      </c>
      <c r="Z19" s="10" t="str" cm="1">
        <f t="array" aca="1" ref="Z19" ca="1">_xll.IMDP("IR", Z$6&amp;X19, "ASK_Close", $C$4)</f>
        <v/>
      </c>
      <c r="AA19" s="39" t="str" cm="1">
        <f t="array" ref="AA19">INDEX(Sheet2!$I$3:$AP$18, $B19, Sheet1!AA$6)</f>
        <v>20Y</v>
      </c>
      <c r="AB19" s="9" cm="1">
        <f t="array" aca="1" ref="AB19" ca="1">_xll.IMDP("IR", AB$6&amp;AA19, "BID_Close", $C$4)</f>
        <v>2.9634</v>
      </c>
      <c r="AC19" s="10" cm="1">
        <f t="array" aca="1" ref="AC19" ca="1">_xll.IMDP("IR", AC$6&amp;AA19, "ASK_Close", $C$4)</f>
        <v>2.9580000000000002</v>
      </c>
      <c r="AD19" s="39" t="str" cm="1">
        <f t="array" ref="AD19">INDEX(Sheet2!$I$3:$AP$18, $B19, Sheet1!AD$6)</f>
        <v>20Y</v>
      </c>
      <c r="AE19" s="9" cm="1">
        <f t="array" aca="1" ref="AE19" ca="1">_xll.IMDP("IR", AE$6&amp;AD19, "BID_Close", $C$4)</f>
        <v>3.7568000000000001</v>
      </c>
      <c r="AF19" s="10" cm="1">
        <f t="array" aca="1" ref="AF19" ca="1">_xll.IMDP("IR", AF$6&amp;AD19, "ASK_Close", $C$4)</f>
        <v>3.7486000000000002</v>
      </c>
      <c r="AG19" s="39" t="str" cm="1">
        <f t="array" ref="AG19">INDEX(Sheet2!$I$3:$AP$18, $B19, Sheet1!AG$6)</f>
        <v>20Y</v>
      </c>
      <c r="AH19" s="9" cm="1">
        <f t="array" aca="1" ref="AH19" ca="1">_xll.IMDP("IR", AH$6&amp;AG19, "BID_Close", $C$4)</f>
        <v>3.9733999999999998</v>
      </c>
      <c r="AI19" s="10" cm="1">
        <f t="array" aca="1" ref="AI19" ca="1">_xll.IMDP("IR", AI$6&amp;AG19, "ASK_Close", $C$4)</f>
        <v>3.9658000000000002</v>
      </c>
      <c r="AJ19" s="39" t="str" cm="1">
        <f t="array" ref="AJ19">INDEX(Sheet2!$I$3:$AP$18, $B19, Sheet1!AJ$6)</f>
        <v/>
      </c>
      <c r="AK19" s="9" t="str" cm="1">
        <f t="array" aca="1" ref="AK19" ca="1">_xll.IMDP("IR", AK$6&amp;AJ19, "BID_Close", $C$4)</f>
        <v/>
      </c>
      <c r="AL19" s="10" t="str" cm="1">
        <f t="array" aca="1" ref="AL19" ca="1">_xll.IMDP("IR", AL$6&amp;AJ19, "ASK_Close", $C$4)</f>
        <v/>
      </c>
    </row>
    <row r="20" spans="2:38" s="6" customFormat="1" ht="13.5" customHeight="1">
      <c r="B20" s="6">
        <v>13</v>
      </c>
      <c r="C20" s="39" t="str" cm="1">
        <f t="array" ref="C20">INDEX(Sheet2!$I$3:$AP$18, $B20, Sheet1!C$6)</f>
        <v>30Y</v>
      </c>
      <c r="D20" s="9" cm="1">
        <f t="array" aca="1" ref="D20" ca="1">_xll.IMDP("IR", D$6&amp;C20, "BID_Close", $C$4)</f>
        <v>4.8639999999999999</v>
      </c>
      <c r="E20" s="10" cm="1">
        <f t="array" aca="1" ref="E20" ca="1">_xll.IMDP("IR", E$6&amp;C20, "ASK_Close", $C$4)</f>
        <v>4.8609999999999998</v>
      </c>
      <c r="F20" s="39" t="str" cm="1">
        <f t="array" ref="F20">INDEX(Sheet2!$I$3:$AP$18, $B20, Sheet1!F$6)</f>
        <v>20Y</v>
      </c>
      <c r="G20" s="9" cm="1">
        <f t="array" aca="1" ref="G20" ca="1">_xll.IMDP("IR", G$6&amp;F20, "BID_Close", $C$4)</f>
        <v>5.2237999999999998</v>
      </c>
      <c r="H20" s="10" cm="1">
        <f t="array" aca="1" ref="H20" ca="1">_xll.IMDP("IR", H$6&amp;F20, "ASK_Close", $C$4)</f>
        <v>5.2161</v>
      </c>
      <c r="I20" s="39" t="str" cm="1">
        <f t="array" ref="I20">INDEX(Sheet2!$I$3:$AP$18, $B20, Sheet1!I$6)</f>
        <v>25Y</v>
      </c>
      <c r="J20" s="9" cm="1">
        <f t="array" aca="1" ref="J20" ca="1">_xll.IMDP("IR", J$6&amp;I20, "BID_Close", $C$4)</f>
        <v>2.9834000000000001</v>
      </c>
      <c r="K20" s="10" cm="1">
        <f t="array" aca="1" ref="K20" ca="1">_xll.IMDP("IR", K$6&amp;I20, "ASK_Close", $C$4)</f>
        <v>2.9765000000000001</v>
      </c>
      <c r="L20" s="39" t="str" cm="1">
        <f t="array" ref="L20">INDEX(Sheet2!$I$3:$AP$18, $B20, Sheet1!L$6)</f>
        <v>30Y</v>
      </c>
      <c r="M20" s="9" cm="1">
        <f t="array" aca="1" ref="M20" ca="1">_xll.IMDP("IR", M$6&amp;L20, "BID_Close", $C$4)</f>
        <v>2.8607</v>
      </c>
      <c r="N20" s="10" cm="1">
        <f t="array" aca="1" ref="N20" ca="1">_xll.IMDP("IR", N$6&amp;L20, "ASK_Close", $C$4)</f>
        <v>2.8506999999999998</v>
      </c>
      <c r="O20" s="39" t="str" cm="1">
        <f t="array" ref="O20">INDEX(Sheet2!$I$3:$AP$18, $B20, Sheet1!O$6)</f>
        <v/>
      </c>
      <c r="P20" s="9" t="str" cm="1">
        <f t="array" aca="1" ref="P20" ca="1">_xll.IMDP("IR", P$6&amp;O20, "BID_Close", $C$4)</f>
        <v/>
      </c>
      <c r="Q20" s="10" t="str" cm="1">
        <f t="array" aca="1" ref="Q20" ca="1">_xll.IMDP("IR", Q$6&amp;O20, "ASK_Close", $C$4)</f>
        <v/>
      </c>
      <c r="R20" s="39" t="str" cm="1">
        <f t="array" ref="R20">INDEX(Sheet2!$I$3:$AP$18, $B20, Sheet1!R$6)</f>
        <v/>
      </c>
      <c r="S20" s="9" t="str" cm="1">
        <f t="array" aca="1" ref="S20" ca="1">_xll.IMDP("IR", S$6&amp;R20, "BID_Close", $C$4)</f>
        <v/>
      </c>
      <c r="T20" s="10" t="str" cm="1">
        <f t="array" aca="1" ref="T20" ca="1">_xll.IMDP("IR", T$6&amp;R20, "ASK_Close", $C$4)</f>
        <v/>
      </c>
      <c r="U20" s="39" t="str" cm="1">
        <f t="array" ref="U20">INDEX(Sheet2!$I$3:$AP$18, $B20, Sheet1!U$6)</f>
        <v/>
      </c>
      <c r="V20" s="9" t="str" cm="1">
        <f t="array" aca="1" ref="V20" ca="1">_xll.IMDP("IR", V$6&amp;U20, "BID_Close", $C$4)</f>
        <v/>
      </c>
      <c r="W20" s="10" t="str" cm="1">
        <f t="array" aca="1" ref="W20" ca="1">_xll.IMDP("IR", W$6&amp;U20, "ASK_Close", $C$4)</f>
        <v/>
      </c>
      <c r="X20" s="39" t="str" cm="1">
        <f t="array" ref="X20">INDEX(Sheet2!$I$3:$AP$18, $B20, Sheet1!X$6)</f>
        <v/>
      </c>
      <c r="Y20" s="9" t="str" cm="1">
        <f t="array" aca="1" ref="Y20" ca="1">_xll.IMDP("IR", Y$6&amp;X20, "BID_Close", $C$4)</f>
        <v/>
      </c>
      <c r="Z20" s="10" t="str" cm="1">
        <f t="array" aca="1" ref="Z20" ca="1">_xll.IMDP("IR", Z$6&amp;X20, "ASK_Close", $C$4)</f>
        <v/>
      </c>
      <c r="AA20" s="39" t="str" cm="1">
        <f t="array" ref="AA20">INDEX(Sheet2!$I$3:$AP$18, $B20, Sheet1!AA$6)</f>
        <v>25Y</v>
      </c>
      <c r="AB20" s="9" cm="1">
        <f t="array" aca="1" ref="AB20" ca="1">_xll.IMDP("IR", AB$6&amp;AA20, "BID_Close", $C$4)</f>
        <v>2.9834000000000001</v>
      </c>
      <c r="AC20" s="10" cm="1">
        <f t="array" aca="1" ref="AC20" ca="1">_xll.IMDP("IR", AC$6&amp;AA20, "ASK_Close", $C$4)</f>
        <v>2.9765000000000001</v>
      </c>
      <c r="AD20" s="39" t="str" cm="1">
        <f t="array" ref="AD20">INDEX(Sheet2!$I$3:$AP$18, $B20, Sheet1!AD$6)</f>
        <v>25Y</v>
      </c>
      <c r="AE20" s="9" cm="1">
        <f t="array" aca="1" ref="AE20" ca="1">_xll.IMDP("IR", AE$6&amp;AD20, "BID_Close", $C$4)</f>
        <v>3.9297</v>
      </c>
      <c r="AF20" s="10" cm="1">
        <f t="array" aca="1" ref="AF20" ca="1">_xll.IMDP("IR", AF$6&amp;AD20, "ASK_Close", $C$4)</f>
        <v>3.9228000000000001</v>
      </c>
      <c r="AG20" s="39" t="str" cm="1">
        <f t="array" ref="AG20">INDEX(Sheet2!$I$3:$AP$18, $B20, Sheet1!AG$6)</f>
        <v>25Y</v>
      </c>
      <c r="AH20" s="9" cm="1">
        <f t="array" aca="1" ref="AH20" ca="1">_xll.IMDP("IR", AH$6&amp;AG20, "BID_Close", $C$4)</f>
        <v>4.1456999999999997</v>
      </c>
      <c r="AI20" s="10" cm="1">
        <f t="array" aca="1" ref="AI20" ca="1">_xll.IMDP("IR", AI$6&amp;AG20, "ASK_Close", $C$4)</f>
        <v>4.1394000000000002</v>
      </c>
      <c r="AJ20" s="39" t="str" cm="1">
        <f t="array" ref="AJ20">INDEX(Sheet2!$I$3:$AP$18, $B20, Sheet1!AJ$6)</f>
        <v/>
      </c>
      <c r="AK20" s="9" t="str" cm="1">
        <f t="array" aca="1" ref="AK20" ca="1">_xll.IMDP("IR", AK$6&amp;AJ20, "BID_Close", $C$4)</f>
        <v/>
      </c>
      <c r="AL20" s="10" t="str" cm="1">
        <f t="array" aca="1" ref="AL20" ca="1">_xll.IMDP("IR", AL$6&amp;AJ20, "ASK_Close", $C$4)</f>
        <v/>
      </c>
    </row>
    <row r="21" spans="2:38" s="6" customFormat="1" ht="13.5" customHeight="1">
      <c r="B21" s="6">
        <v>14</v>
      </c>
      <c r="C21" s="39" t="str" cm="1">
        <f t="array" ref="C21">INDEX(Sheet2!$I$3:$AP$18, $B21, Sheet1!C$6)</f>
        <v/>
      </c>
      <c r="D21" s="9" t="str" cm="1">
        <f t="array" aca="1" ref="D21" ca="1">_xll.IMDP("IR", D$6&amp;C21, "BID_Close", $C$4)</f>
        <v/>
      </c>
      <c r="E21" s="10" t="str" cm="1">
        <f t="array" aca="1" ref="E21" ca="1">_xll.IMDP("IR", E$6&amp;C21, "ASK_Close", $C$4)</f>
        <v/>
      </c>
      <c r="F21" s="39" t="str" cm="1">
        <f t="array" ref="F21">INDEX(Sheet2!$I$3:$AP$18, $B21, Sheet1!F$6)</f>
        <v>25Y</v>
      </c>
      <c r="G21" s="9" cm="1">
        <f t="array" aca="1" ref="G21" ca="1">_xll.IMDP("IR", G$6&amp;F21, "BID_Close", $C$4)</f>
        <v>5.3045999999999998</v>
      </c>
      <c r="H21" s="10" cm="1">
        <f t="array" aca="1" ref="H21" ca="1">_xll.IMDP("IR", H$6&amp;F21, "ASK_Close", $C$4)</f>
        <v>5.298</v>
      </c>
      <c r="I21" s="39" t="str" cm="1">
        <f t="array" ref="I21">INDEX(Sheet2!$I$3:$AP$18, $B21, Sheet1!I$6)</f>
        <v>30Y</v>
      </c>
      <c r="J21" s="9" cm="1">
        <f t="array" aca="1" ref="J21" ca="1">_xll.IMDP("IR", J$6&amp;I21, "BID_Close", $C$4)</f>
        <v>3.0586000000000002</v>
      </c>
      <c r="K21" s="10" cm="1">
        <f t="array" aca="1" ref="K21" ca="1">_xll.IMDP("IR", K$6&amp;I21, "ASK_Close", $C$4)</f>
        <v>3.0545</v>
      </c>
      <c r="L21" s="39" t="str" cm="1">
        <f t="array" ref="L21">INDEX(Sheet2!$I$3:$AP$18, $B21, Sheet1!L$6)</f>
        <v>40Y</v>
      </c>
      <c r="M21" s="9" cm="1">
        <f t="array" aca="1" ref="M21" ca="1">_xll.IMDP("IR", M$6&amp;L21, "BID_Close", $C$4)</f>
        <v>3.1331000000000002</v>
      </c>
      <c r="N21" s="10" cm="1">
        <f t="array" aca="1" ref="N21" ca="1">_xll.IMDP("IR", N$6&amp;L21, "ASK_Close", $C$4)</f>
        <v>3.1231</v>
      </c>
      <c r="O21" s="39" t="str" cm="1">
        <f t="array" ref="O21">INDEX(Sheet2!$I$3:$AP$18, $B21, Sheet1!O$6)</f>
        <v/>
      </c>
      <c r="P21" s="9" t="str" cm="1">
        <f t="array" aca="1" ref="P21" ca="1">_xll.IMDP("IR", P$6&amp;O21, "BID_Close", $C$4)</f>
        <v/>
      </c>
      <c r="Q21" s="10" t="str" cm="1">
        <f t="array" aca="1" ref="Q21" ca="1">_xll.IMDP("IR", Q$6&amp;O21, "ASK_Close", $C$4)</f>
        <v/>
      </c>
      <c r="R21" s="39" t="str" cm="1">
        <f t="array" ref="R21">INDEX(Sheet2!$I$3:$AP$18, $B21, Sheet1!R$6)</f>
        <v/>
      </c>
      <c r="S21" s="9" t="str" cm="1">
        <f t="array" aca="1" ref="S21" ca="1">_xll.IMDP("IR", S$6&amp;R21, "BID_Close", $C$4)</f>
        <v/>
      </c>
      <c r="T21" s="10" t="str" cm="1">
        <f t="array" aca="1" ref="T21" ca="1">_xll.IMDP("IR", T$6&amp;R21, "ASK_Close", $C$4)</f>
        <v/>
      </c>
      <c r="U21" s="39" t="str" cm="1">
        <f t="array" ref="U21">INDEX(Sheet2!$I$3:$AP$18, $B21, Sheet1!U$6)</f>
        <v/>
      </c>
      <c r="V21" s="9" t="str" cm="1">
        <f t="array" aca="1" ref="V21" ca="1">_xll.IMDP("IR", V$6&amp;U21, "BID_Close", $C$4)</f>
        <v/>
      </c>
      <c r="W21" s="10" t="str" cm="1">
        <f t="array" aca="1" ref="W21" ca="1">_xll.IMDP("IR", W$6&amp;U21, "ASK_Close", $C$4)</f>
        <v/>
      </c>
      <c r="X21" s="39" t="str" cm="1">
        <f t="array" ref="X21">INDEX(Sheet2!$I$3:$AP$18, $B21, Sheet1!X$6)</f>
        <v/>
      </c>
      <c r="Y21" s="9" t="str" cm="1">
        <f t="array" aca="1" ref="Y21" ca="1">_xll.IMDP("IR", Y$6&amp;X21, "BID_Close", $C$4)</f>
        <v/>
      </c>
      <c r="Z21" s="10" t="str" cm="1">
        <f t="array" aca="1" ref="Z21" ca="1">_xll.IMDP("IR", Z$6&amp;X21, "ASK_Close", $C$4)</f>
        <v/>
      </c>
      <c r="AA21" s="39" t="str" cm="1">
        <f t="array" ref="AA21">INDEX(Sheet2!$I$3:$AP$18, $B21, Sheet1!AA$6)</f>
        <v>30Y</v>
      </c>
      <c r="AB21" s="9" cm="1">
        <f t="array" aca="1" ref="AB21" ca="1">_xll.IMDP("IR", AB$6&amp;AA21, "BID_Close", $C$4)</f>
        <v>3.0586000000000002</v>
      </c>
      <c r="AC21" s="10" cm="1">
        <f t="array" aca="1" ref="AC21" ca="1">_xll.IMDP("IR", AC$6&amp;AA21, "ASK_Close", $C$4)</f>
        <v>3.0545</v>
      </c>
      <c r="AD21" s="39" t="str" cm="1">
        <f t="array" ref="AD21">INDEX(Sheet2!$I$3:$AP$18, $B21, Sheet1!AD$6)</f>
        <v>30Y</v>
      </c>
      <c r="AE21" s="9" cm="1">
        <f t="array" aca="1" ref="AE21" ca="1">_xll.IMDP("IR", AE$6&amp;AD21, "BID_Close", $C$4)</f>
        <v>4.0366</v>
      </c>
      <c r="AF21" s="10" cm="1">
        <f t="array" aca="1" ref="AF21" ca="1">_xll.IMDP("IR", AF$6&amp;AD21, "ASK_Close", $C$4)</f>
        <v>4.0315000000000003</v>
      </c>
      <c r="AG21" s="39" t="str" cm="1">
        <f t="array" ref="AG21">INDEX(Sheet2!$I$3:$AP$18, $B21, Sheet1!AG$6)</f>
        <v>30Y</v>
      </c>
      <c r="AH21" s="9" cm="1">
        <f t="array" aca="1" ref="AH21" ca="1">_xll.IMDP("IR", AH$6&amp;AG21, "BID_Close", $C$4)</f>
        <v>4.3158000000000003</v>
      </c>
      <c r="AI21" s="10" cm="1">
        <f t="array" aca="1" ref="AI21" ca="1">_xll.IMDP("IR", AI$6&amp;AG21, "ASK_Close", $C$4)</f>
        <v>4.3109000000000002</v>
      </c>
      <c r="AJ21" s="39" t="str" cm="1">
        <f t="array" ref="AJ21">INDEX(Sheet2!$I$3:$AP$18, $B21, Sheet1!AJ$6)</f>
        <v/>
      </c>
      <c r="AK21" s="9" t="str" cm="1">
        <f t="array" aca="1" ref="AK21" ca="1">_xll.IMDP("IR", AK$6&amp;AJ21, "BID_Close", $C$4)</f>
        <v/>
      </c>
      <c r="AL21" s="10" t="str" cm="1">
        <f t="array" aca="1" ref="AL21" ca="1">_xll.IMDP("IR", AL$6&amp;AJ21, "ASK_Close", $C$4)</f>
        <v/>
      </c>
    </row>
    <row r="22" spans="2:38" s="6" customFormat="1" ht="13.5" customHeight="1">
      <c r="B22" s="6">
        <v>15</v>
      </c>
      <c r="C22" s="39" t="str" cm="1">
        <f t="array" ref="C22">INDEX(Sheet2!$I$3:$AP$18, $B22, Sheet1!C$6)</f>
        <v/>
      </c>
      <c r="D22" s="9" t="str" cm="1">
        <f t="array" aca="1" ref="D22" ca="1">_xll.IMDP("IR", D$6&amp;C22, "BID_Close", $C$4)</f>
        <v/>
      </c>
      <c r="E22" s="10" t="str" cm="1">
        <f t="array" aca="1" ref="E22" ca="1">_xll.IMDP("IR", E$6&amp;C22, "ASK_Close", $C$4)</f>
        <v/>
      </c>
      <c r="F22" s="39" t="str" cm="1">
        <f t="array" ref="F22">INDEX(Sheet2!$I$3:$AP$18, $B22, Sheet1!F$6)</f>
        <v>30Y</v>
      </c>
      <c r="G22" s="9" cm="1">
        <f t="array" aca="1" ref="G22" ca="1">_xll.IMDP("IR", G$6&amp;F22, "BID_Close", $C$4)</f>
        <v>5.3414999999999999</v>
      </c>
      <c r="H22" s="10" cm="1">
        <f t="array" aca="1" ref="H22" ca="1">_xll.IMDP("IR", H$6&amp;F22, "ASK_Close", $C$4)</f>
        <v>5.3353999999999999</v>
      </c>
      <c r="I22" s="39" t="str" cm="1">
        <f t="array" ref="I22">INDEX(Sheet2!$I$3:$AP$18, $B22, Sheet1!I$6)</f>
        <v>50Y</v>
      </c>
      <c r="J22" s="9" cm="1">
        <f t="array" aca="1" ref="J22" ca="1">_xll.IMDP("IR", J$6&amp;I22, "BID_Close", $C$4)</f>
        <v>3.9039999999999999</v>
      </c>
      <c r="K22" s="10" cm="1">
        <f t="array" aca="1" ref="K22" ca="1">_xll.IMDP("IR", K$6&amp;I22, "ASK_Close", $C$4)</f>
        <v>3.8954</v>
      </c>
      <c r="L22" s="39" t="str" cm="1">
        <f t="array" ref="L22">INDEX(Sheet2!$I$3:$AP$18, $B22, Sheet1!L$6)</f>
        <v/>
      </c>
      <c r="M22" s="9" t="str" cm="1">
        <f t="array" aca="1" ref="M22" ca="1">_xll.IMDP("IR", M$6&amp;L22, "BID_Close", $C$4)</f>
        <v/>
      </c>
      <c r="N22" s="10" t="str" cm="1">
        <f t="array" aca="1" ref="N22" ca="1">_xll.IMDP("IR", N$6&amp;L22, "ASK_Close", $C$4)</f>
        <v/>
      </c>
      <c r="O22" s="39" t="str" cm="1">
        <f t="array" ref="O22">INDEX(Sheet2!$I$3:$AP$18, $B22, Sheet1!O$6)</f>
        <v/>
      </c>
      <c r="P22" s="9" t="str" cm="1">
        <f t="array" aca="1" ref="P22" ca="1">_xll.IMDP("IR", P$6&amp;O22, "BID_Close", $C$4)</f>
        <v/>
      </c>
      <c r="Q22" s="10" t="str" cm="1">
        <f t="array" aca="1" ref="Q22" ca="1">_xll.IMDP("IR", Q$6&amp;O22, "ASK_Close", $C$4)</f>
        <v/>
      </c>
      <c r="R22" s="39" t="str" cm="1">
        <f t="array" ref="R22">INDEX(Sheet2!$I$3:$AP$18, $B22, Sheet1!R$6)</f>
        <v/>
      </c>
      <c r="S22" s="9" t="str" cm="1">
        <f t="array" aca="1" ref="S22" ca="1">_xll.IMDP("IR", S$6&amp;R22, "BID_Close", $C$4)</f>
        <v/>
      </c>
      <c r="T22" s="10" t="str" cm="1">
        <f t="array" aca="1" ref="T22" ca="1">_xll.IMDP("IR", T$6&amp;R22, "ASK_Close", $C$4)</f>
        <v/>
      </c>
      <c r="U22" s="39" t="str" cm="1">
        <f t="array" ref="U22">INDEX(Sheet2!$I$3:$AP$18, $B22, Sheet1!U$6)</f>
        <v/>
      </c>
      <c r="V22" s="9" t="str" cm="1">
        <f t="array" aca="1" ref="V22" ca="1">_xll.IMDP("IR", V$6&amp;U22, "BID_Close", $C$4)</f>
        <v/>
      </c>
      <c r="W22" s="10" t="str" cm="1">
        <f t="array" aca="1" ref="W22" ca="1">_xll.IMDP("IR", W$6&amp;U22, "ASK_Close", $C$4)</f>
        <v/>
      </c>
      <c r="X22" s="39" t="str" cm="1">
        <f t="array" ref="X22">INDEX(Sheet2!$I$3:$AP$18, $B22, Sheet1!X$6)</f>
        <v/>
      </c>
      <c r="Y22" s="9" t="str" cm="1">
        <f t="array" aca="1" ref="Y22" ca="1">_xll.IMDP("IR", Y$6&amp;X22, "BID_Close", $C$4)</f>
        <v/>
      </c>
      <c r="Z22" s="10" t="str" cm="1">
        <f t="array" aca="1" ref="Z22" ca="1">_xll.IMDP("IR", Z$6&amp;X22, "ASK_Close", $C$4)</f>
        <v/>
      </c>
      <c r="AA22" s="39" t="str" cm="1">
        <f t="array" ref="AA22">INDEX(Sheet2!$I$3:$AP$18, $B22, Sheet1!AA$6)</f>
        <v/>
      </c>
      <c r="AB22" s="9" t="str" cm="1">
        <f t="array" aca="1" ref="AB22" ca="1">_xll.IMDP("IR", AB$6&amp;AA22, "BID_Close", $C$4)</f>
        <v/>
      </c>
      <c r="AC22" s="10" t="str" cm="1">
        <f t="array" aca="1" ref="AC22" ca="1">_xll.IMDP("IR", AC$6&amp;AA22, "ASK_Close", $C$4)</f>
        <v/>
      </c>
      <c r="AD22" s="39" t="str" cm="1">
        <f t="array" ref="AD22">INDEX(Sheet2!$I$3:$AP$18, $B22, Sheet1!AD$6)</f>
        <v>50Y</v>
      </c>
      <c r="AE22" s="9" cm="1">
        <f t="array" aca="1" ref="AE22" ca="1">_xll.IMDP("IR", AE$6&amp;AD22, "BID_Close", $C$4)</f>
        <v>3.9039999999999999</v>
      </c>
      <c r="AF22" s="10" cm="1">
        <f t="array" aca="1" ref="AF22" ca="1">_xll.IMDP("IR", AF$6&amp;AD22, "ASK_Close", $C$4)</f>
        <v>3.8954</v>
      </c>
      <c r="AG22" s="39" t="str" cm="1">
        <f t="array" ref="AG22">INDEX(Sheet2!$I$3:$AP$18, $B22, Sheet1!AG$6)</f>
        <v/>
      </c>
      <c r="AH22" s="9" t="str" cm="1">
        <f t="array" aca="1" ref="AH22" ca="1">_xll.IMDP("IR", AH$6&amp;AG22, "BID_Close", $C$4)</f>
        <v/>
      </c>
      <c r="AI22" s="10" t="str" cm="1">
        <f t="array" aca="1" ref="AI22" ca="1">_xll.IMDP("IR", AI$6&amp;AG22, "ASK_Close", $C$4)</f>
        <v/>
      </c>
      <c r="AJ22" s="39" t="str" cm="1">
        <f t="array" ref="AJ22">INDEX(Sheet2!$I$3:$AP$18, $B22, Sheet1!AJ$6)</f>
        <v/>
      </c>
      <c r="AK22" s="9" t="str" cm="1">
        <f t="array" aca="1" ref="AK22" ca="1">_xll.IMDP("IR", AK$6&amp;AJ22, "BID_Close", $C$4)</f>
        <v/>
      </c>
      <c r="AL22" s="10" t="str" cm="1">
        <f t="array" aca="1" ref="AL22" ca="1">_xll.IMDP("IR", AL$6&amp;AJ22, "ASK_Close", $C$4)</f>
        <v/>
      </c>
    </row>
    <row r="23" spans="2:38" s="6" customFormat="1" ht="13.5" customHeight="1" thickBot="1">
      <c r="B23" s="6">
        <v>16</v>
      </c>
      <c r="C23" s="40" t="str" cm="1">
        <f t="array" ref="C23">INDEX(Sheet2!$I$3:$AP$18, $B23, Sheet1!C$6)</f>
        <v/>
      </c>
      <c r="D23" s="11" t="str" cm="1">
        <f t="array" aca="1" ref="D23" ca="1">_xll.IMDP("IR", D$6&amp;C23, "BID_Close", $C$4)</f>
        <v/>
      </c>
      <c r="E23" s="12" t="str" cm="1">
        <f t="array" aca="1" ref="E23" ca="1">_xll.IMDP("IR", E$6&amp;C23, "ASK_Close", $C$4)</f>
        <v/>
      </c>
      <c r="F23" s="40" t="str" cm="1">
        <f t="array" ref="F23">INDEX(Sheet2!$I$3:$AP$18, $B23, Sheet1!F$6)</f>
        <v>50Y</v>
      </c>
      <c r="G23" s="11" cm="1">
        <f t="array" aca="1" ref="G23" ca="1">_xll.IMDP("IR", G$6&amp;F23, "BID_Close", $C$4)</f>
        <v>4.6820000000000004</v>
      </c>
      <c r="H23" s="12" cm="1">
        <f t="array" aca="1" ref="H23" ca="1">_xll.IMDP("IR", H$6&amp;F23, "ASK_Close", $C$4)</f>
        <v>4.6725000000000003</v>
      </c>
      <c r="I23" s="40" t="str" cm="1">
        <f t="array" ref="I23">INDEX(Sheet2!$I$3:$AP$18, $B23, Sheet1!I$6)</f>
        <v/>
      </c>
      <c r="J23" s="11" t="str" cm="1">
        <f t="array" aca="1" ref="J23" ca="1">_xll.IMDP("IR", J$6&amp;I23, "BID_Close", $C$4)</f>
        <v/>
      </c>
      <c r="K23" s="12" t="str" cm="1">
        <f t="array" aca="1" ref="K23" ca="1">_xll.IMDP("IR", K$6&amp;I23, "ASK_Close", $C$4)</f>
        <v/>
      </c>
      <c r="L23" s="40" t="str" cm="1">
        <f t="array" ref="L23">INDEX(Sheet2!$I$3:$AP$18, $B23, Sheet1!L$6)</f>
        <v/>
      </c>
      <c r="M23" s="11" t="str" cm="1">
        <f t="array" aca="1" ref="M23" ca="1">_xll.IMDP("IR", M$6&amp;L23, "BID_Close", $C$4)</f>
        <v/>
      </c>
      <c r="N23" s="12" t="str" cm="1">
        <f t="array" aca="1" ref="N23" ca="1">_xll.IMDP("IR", N$6&amp;L23, "ASK_Close", $C$4)</f>
        <v/>
      </c>
      <c r="O23" s="40" t="str" cm="1">
        <f t="array" ref="O23">INDEX(Sheet2!$I$3:$AP$18, $B23, Sheet1!O$6)</f>
        <v/>
      </c>
      <c r="P23" s="11" t="str" cm="1">
        <f t="array" aca="1" ref="P23" ca="1">_xll.IMDP("IR", P$6&amp;O23, "BID_Close", $C$4)</f>
        <v/>
      </c>
      <c r="Q23" s="12" t="str" cm="1">
        <f t="array" aca="1" ref="Q23" ca="1">_xll.IMDP("IR", Q$6&amp;O23, "ASK_Close", $C$4)</f>
        <v/>
      </c>
      <c r="R23" s="40" t="str" cm="1">
        <f t="array" ref="R23">INDEX(Sheet2!$I$3:$AP$18, $B23, Sheet1!R$6)</f>
        <v/>
      </c>
      <c r="S23" s="11" t="str" cm="1">
        <f t="array" aca="1" ref="S23" ca="1">_xll.IMDP("IR", S$6&amp;R23, "BID_Close", $C$4)</f>
        <v/>
      </c>
      <c r="T23" s="12" t="str" cm="1">
        <f t="array" aca="1" ref="T23" ca="1">_xll.IMDP("IR", T$6&amp;R23, "ASK_Close", $C$4)</f>
        <v/>
      </c>
      <c r="U23" s="40" t="str" cm="1">
        <f t="array" ref="U23">INDEX(Sheet2!$I$3:$AP$18, $B23, Sheet1!U$6)</f>
        <v/>
      </c>
      <c r="V23" s="11" t="str" cm="1">
        <f t="array" aca="1" ref="V23" ca="1">_xll.IMDP("IR", V$6&amp;U23, "BID_Close", $C$4)</f>
        <v/>
      </c>
      <c r="W23" s="12" t="str" cm="1">
        <f t="array" aca="1" ref="W23" ca="1">_xll.IMDP("IR", W$6&amp;U23, "ASK_Close", $C$4)</f>
        <v/>
      </c>
      <c r="X23" s="40" t="str" cm="1">
        <f t="array" ref="X23">INDEX(Sheet2!$I$3:$AP$18, $B23, Sheet1!X$6)</f>
        <v/>
      </c>
      <c r="Y23" s="11" t="str" cm="1">
        <f t="array" aca="1" ref="Y23" ca="1">_xll.IMDP("IR", Y$6&amp;X23, "BID_Close", $C$4)</f>
        <v/>
      </c>
      <c r="Z23" s="12" t="str" cm="1">
        <f t="array" aca="1" ref="Z23" ca="1">_xll.IMDP("IR", Z$6&amp;X23, "ASK_Close", $C$4)</f>
        <v/>
      </c>
      <c r="AA23" s="40" t="str" cm="1">
        <f t="array" ref="AA23">INDEX(Sheet2!$I$3:$AP$18, $B23, Sheet1!AA$6)</f>
        <v/>
      </c>
      <c r="AB23" s="11" t="str" cm="1">
        <f t="array" aca="1" ref="AB23" ca="1">_xll.IMDP("IR", AB$6&amp;AA23, "BID_Close", $C$4)</f>
        <v/>
      </c>
      <c r="AC23" s="12" t="str" cm="1">
        <f t="array" aca="1" ref="AC23" ca="1">_xll.IMDP("IR", AC$6&amp;AA23, "ASK_Close", $C$4)</f>
        <v/>
      </c>
      <c r="AD23" s="40" t="str" cm="1">
        <f t="array" ref="AD23">INDEX(Sheet2!$I$3:$AP$18, $B23, Sheet1!AD$6)</f>
        <v/>
      </c>
      <c r="AE23" s="11" t="str" cm="1">
        <f t="array" aca="1" ref="AE23" ca="1">_xll.IMDP("IR", AE$6&amp;AD23, "BID_Close", $C$4)</f>
        <v/>
      </c>
      <c r="AF23" s="12" t="str" cm="1">
        <f t="array" aca="1" ref="AF23" ca="1">_xll.IMDP("IR", AF$6&amp;AD23, "ASK_Close", $C$4)</f>
        <v/>
      </c>
      <c r="AG23" s="40" t="str" cm="1">
        <f t="array" ref="AG23">INDEX(Sheet2!$I$3:$AP$18, $B23, Sheet1!AG$6)</f>
        <v/>
      </c>
      <c r="AH23" s="11" t="str" cm="1">
        <f t="array" aca="1" ref="AH23" ca="1">_xll.IMDP("IR", AH$6&amp;AG23, "BID_Close", $C$4)</f>
        <v/>
      </c>
      <c r="AI23" s="12" t="str" cm="1">
        <f t="array" aca="1" ref="AI23" ca="1">_xll.IMDP("IR", AI$6&amp;AG23, "ASK_Close", $C$4)</f>
        <v/>
      </c>
      <c r="AJ23" s="40" t="str" cm="1">
        <f t="array" ref="AJ23">INDEX(Sheet2!$I$3:$AP$18, $B23, Sheet1!AJ$6)</f>
        <v/>
      </c>
      <c r="AK23" s="11" t="str" cm="1">
        <f t="array" aca="1" ref="AK23" ca="1">_xll.IMDP("IR", AK$6&amp;AJ23, "BID_Close", $C$4)</f>
        <v/>
      </c>
      <c r="AL23" s="12" t="str" cm="1">
        <f t="array" aca="1" ref="AL23" ca="1">_xll.IMDP("IR", AL$6&amp;AJ23, "ASK_Close", $C$4)</f>
        <v/>
      </c>
    </row>
    <row r="24" spans="2:38"/>
    <row r="25" spans="2:38"/>
    <row r="26" spans="2:38" ht="31.5">
      <c r="C26" s="34" t="s">
        <v>97</v>
      </c>
      <c r="D26" s="32"/>
      <c r="E26" s="32"/>
      <c r="F26" s="33"/>
      <c r="G26" s="4"/>
      <c r="H26" s="4"/>
    </row>
    <row r="27" spans="2:38" ht="24.75" customHeight="1" thickBot="1"/>
    <row r="28" spans="2:38" ht="15" hidden="1" customHeight="1" thickBot="1">
      <c r="C28" s="4">
        <v>10</v>
      </c>
      <c r="D28" s="4" t="str" cm="1">
        <f t="array" ref="D28">INDEX(Sheet2!$C$3:$C$36, C28)</f>
        <v>US</v>
      </c>
    </row>
    <row r="29" spans="2:38" s="5" customFormat="1" ht="18" customHeight="1" thickBot="1">
      <c r="C29" s="28" t="s">
        <v>93</v>
      </c>
      <c r="D29" s="29" t="str">
        <f>LEFT(Sheet2!$G$4, 3)</f>
        <v>BID</v>
      </c>
      <c r="E29" s="30" t="s">
        <v>0</v>
      </c>
      <c r="F29" s="31" t="s">
        <v>1</v>
      </c>
      <c r="G29" s="31" t="s">
        <v>2</v>
      </c>
      <c r="H29" s="31" t="s">
        <v>3</v>
      </c>
      <c r="I29" s="31" t="s">
        <v>4</v>
      </c>
      <c r="J29" s="31" t="s">
        <v>5</v>
      </c>
      <c r="K29" s="31" t="s">
        <v>6</v>
      </c>
      <c r="L29" s="31" t="s">
        <v>7</v>
      </c>
      <c r="M29" s="31" t="s">
        <v>8</v>
      </c>
      <c r="N29" s="31" t="s">
        <v>67</v>
      </c>
      <c r="O29" s="31" t="s">
        <v>9</v>
      </c>
      <c r="P29" s="31" t="s">
        <v>10</v>
      </c>
      <c r="Q29" s="31" t="s">
        <v>11</v>
      </c>
      <c r="R29" s="31" t="s">
        <v>12</v>
      </c>
      <c r="S29" s="31" t="s">
        <v>13</v>
      </c>
      <c r="T29" s="31" t="s">
        <v>14</v>
      </c>
      <c r="U29" s="31" t="s">
        <v>15</v>
      </c>
      <c r="V29" s="31" t="s">
        <v>16</v>
      </c>
      <c r="W29" s="31" t="s">
        <v>17</v>
      </c>
      <c r="X29" s="31" t="s">
        <v>18</v>
      </c>
      <c r="Y29" s="31" t="s">
        <v>19</v>
      </c>
      <c r="Z29" s="31" t="s">
        <v>20</v>
      </c>
      <c r="AA29" s="31" t="s">
        <v>21</v>
      </c>
      <c r="AB29" s="31" t="s">
        <v>22</v>
      </c>
      <c r="AC29" s="31" t="s">
        <v>23</v>
      </c>
      <c r="AD29" s="31" t="s">
        <v>24</v>
      </c>
      <c r="AE29" s="31" t="s">
        <v>25</v>
      </c>
      <c r="AF29" s="31" t="s">
        <v>26</v>
      </c>
      <c r="AG29" s="31" t="s">
        <v>27</v>
      </c>
      <c r="AH29" s="31" t="s">
        <v>28</v>
      </c>
      <c r="AI29" s="31" t="s">
        <v>29</v>
      </c>
      <c r="AJ29" s="31" t="s">
        <v>30</v>
      </c>
      <c r="AK29" s="31" t="s">
        <v>31</v>
      </c>
      <c r="AL29" s="27" t="s">
        <v>32</v>
      </c>
    </row>
    <row r="30" spans="2:38" s="5" customFormat="1" ht="13.5" customHeight="1">
      <c r="C30" s="41" t="str" cm="1">
        <f t="array" ref="C30">INDEX(Sheet2!$I$3:$AP$18, $B8, Sheet1!C$6)</f>
        <v>01M</v>
      </c>
      <c r="D30" s="13" cm="1">
        <f t="array" aca="1" ref="D30" ca="1">_xll.IMDP("IR", D$28&amp;$C30, "BID_Close", $C$4)</f>
        <v>4.2290000000000001</v>
      </c>
      <c r="E30" s="16" t="str">
        <f ca="1">IFERROR( ($D30-E49)*100, "")</f>
        <v/>
      </c>
      <c r="F30" s="17" t="str">
        <f t="shared" ref="F30:AL30" ca="1" si="0">IFERROR( ($D30-F49)*100, "")</f>
        <v/>
      </c>
      <c r="G30" s="17" t="str">
        <f t="shared" ca="1" si="0"/>
        <v/>
      </c>
      <c r="H30" s="17" t="str">
        <f t="shared" ca="1" si="0"/>
        <v/>
      </c>
      <c r="I30" s="17" t="str">
        <f t="shared" ca="1" si="0"/>
        <v/>
      </c>
      <c r="J30" s="17" t="str">
        <f t="shared" ca="1" si="0"/>
        <v/>
      </c>
      <c r="K30" s="17" t="str">
        <f t="shared" ca="1" si="0"/>
        <v/>
      </c>
      <c r="L30" s="17" t="str">
        <f t="shared" ca="1" si="0"/>
        <v/>
      </c>
      <c r="M30" s="17">
        <f t="shared" ca="1" si="0"/>
        <v>-430.6</v>
      </c>
      <c r="N30" s="17">
        <f t="shared" ca="1" si="0"/>
        <v>0</v>
      </c>
      <c r="O30" s="17" t="str">
        <f t="shared" ca="1" si="0"/>
        <v/>
      </c>
      <c r="P30" s="17" t="str">
        <f t="shared" ca="1" si="0"/>
        <v/>
      </c>
      <c r="Q30" s="17" t="str">
        <f t="shared" ca="1" si="0"/>
        <v/>
      </c>
      <c r="R30" s="17" t="str">
        <f t="shared" ca="1" si="0"/>
        <v/>
      </c>
      <c r="S30" s="17" t="str">
        <f t="shared" ca="1" si="0"/>
        <v/>
      </c>
      <c r="T30" s="17" t="str">
        <f t="shared" ca="1" si="0"/>
        <v/>
      </c>
      <c r="U30" s="17" t="str">
        <f t="shared" ca="1" si="0"/>
        <v/>
      </c>
      <c r="V30" s="17" t="str">
        <f t="shared" ca="1" si="0"/>
        <v/>
      </c>
      <c r="W30" s="17" t="str">
        <f t="shared" ca="1" si="0"/>
        <v/>
      </c>
      <c r="X30" s="17" t="str">
        <f t="shared" ca="1" si="0"/>
        <v/>
      </c>
      <c r="Y30" s="17">
        <f t="shared" ca="1" si="0"/>
        <v>-207.09999999999997</v>
      </c>
      <c r="Z30" s="17" t="str">
        <f t="shared" ca="1" si="0"/>
        <v/>
      </c>
      <c r="AA30" s="17" t="str">
        <f t="shared" ca="1" si="0"/>
        <v/>
      </c>
      <c r="AB30" s="17" t="str">
        <f t="shared" ca="1" si="0"/>
        <v/>
      </c>
      <c r="AC30" s="17" t="str">
        <f t="shared" ca="1" si="0"/>
        <v/>
      </c>
      <c r="AD30" s="17" t="str">
        <f t="shared" ca="1" si="0"/>
        <v/>
      </c>
      <c r="AE30" s="17" t="str">
        <f t="shared" ca="1" si="0"/>
        <v/>
      </c>
      <c r="AF30" s="17" t="str">
        <f t="shared" ca="1" si="0"/>
        <v/>
      </c>
      <c r="AG30" s="17" t="str">
        <f t="shared" ca="1" si="0"/>
        <v/>
      </c>
      <c r="AH30" s="17" t="str">
        <f t="shared" ca="1" si="0"/>
        <v/>
      </c>
      <c r="AI30" s="17" t="str">
        <f t="shared" ca="1" si="0"/>
        <v/>
      </c>
      <c r="AJ30" s="17" t="str">
        <f t="shared" ca="1" si="0"/>
        <v/>
      </c>
      <c r="AK30" s="17" t="str">
        <f t="shared" ca="1" si="0"/>
        <v/>
      </c>
      <c r="AL30" s="18" t="str">
        <f t="shared" ca="1" si="0"/>
        <v/>
      </c>
    </row>
    <row r="31" spans="2:38" s="5" customFormat="1" ht="13.5" customHeight="1">
      <c r="C31" s="42" t="str" cm="1">
        <f t="array" ref="C31">INDEX(Sheet2!$I$3:$AP$18, $B9, Sheet1!C$6)</f>
        <v>02M</v>
      </c>
      <c r="D31" s="14" cm="1">
        <f t="array" aca="1" ref="D31" ca="1">_xll.IMDP("IR", D$28&amp;$C31, "BID_Close", $C$4)</f>
        <v>4.3810000000000002</v>
      </c>
      <c r="E31" s="19" t="str">
        <f t="shared" ref="E31:AL31" ca="1" si="1">IFERROR( ($D31-E50)*100, "")</f>
        <v/>
      </c>
      <c r="F31" s="20" t="str">
        <f t="shared" ca="1" si="1"/>
        <v/>
      </c>
      <c r="G31" s="20" t="str">
        <f t="shared" ca="1" si="1"/>
        <v/>
      </c>
      <c r="H31" s="20" t="str">
        <f t="shared" ca="1" si="1"/>
        <v/>
      </c>
      <c r="I31" s="20" t="str">
        <f t="shared" ca="1" si="1"/>
        <v/>
      </c>
      <c r="J31" s="20" t="str">
        <f t="shared" ca="1" si="1"/>
        <v/>
      </c>
      <c r="K31" s="20" t="str">
        <f t="shared" ca="1" si="1"/>
        <v/>
      </c>
      <c r="L31" s="20" t="str">
        <f t="shared" ca="1" si="1"/>
        <v/>
      </c>
      <c r="M31" s="20" t="str">
        <f t="shared" ca="1" si="1"/>
        <v/>
      </c>
      <c r="N31" s="20">
        <f t="shared" ca="1" si="1"/>
        <v>0</v>
      </c>
      <c r="O31" s="20" t="str">
        <f t="shared" ca="1" si="1"/>
        <v/>
      </c>
      <c r="P31" s="20" t="str">
        <f t="shared" ca="1" si="1"/>
        <v/>
      </c>
      <c r="Q31" s="20" t="str">
        <f t="shared" ca="1" si="1"/>
        <v/>
      </c>
      <c r="R31" s="20" t="str">
        <f t="shared" ca="1" si="1"/>
        <v/>
      </c>
      <c r="S31" s="20" t="str">
        <f t="shared" ca="1" si="1"/>
        <v/>
      </c>
      <c r="T31" s="20" t="str">
        <f t="shared" ca="1" si="1"/>
        <v/>
      </c>
      <c r="U31" s="20" t="str">
        <f t="shared" ca="1" si="1"/>
        <v/>
      </c>
      <c r="V31" s="20" t="str">
        <f t="shared" ca="1" si="1"/>
        <v/>
      </c>
      <c r="W31" s="20" t="str">
        <f t="shared" ca="1" si="1"/>
        <v/>
      </c>
      <c r="X31" s="20" t="str">
        <f t="shared" ca="1" si="1"/>
        <v/>
      </c>
      <c r="Y31" s="20" t="str">
        <f t="shared" ca="1" si="1"/>
        <v/>
      </c>
      <c r="Z31" s="20" t="str">
        <f t="shared" ca="1" si="1"/>
        <v/>
      </c>
      <c r="AA31" s="20" t="str">
        <f t="shared" ca="1" si="1"/>
        <v/>
      </c>
      <c r="AB31" s="20" t="str">
        <f t="shared" ca="1" si="1"/>
        <v/>
      </c>
      <c r="AC31" s="20" t="str">
        <f t="shared" ca="1" si="1"/>
        <v/>
      </c>
      <c r="AD31" s="20" t="str">
        <f t="shared" ca="1" si="1"/>
        <v/>
      </c>
      <c r="AE31" s="20" t="str">
        <f t="shared" ca="1" si="1"/>
        <v/>
      </c>
      <c r="AF31" s="20" t="str">
        <f t="shared" ca="1" si="1"/>
        <v/>
      </c>
      <c r="AG31" s="20" t="str">
        <f t="shared" ca="1" si="1"/>
        <v/>
      </c>
      <c r="AH31" s="20" t="str">
        <f t="shared" ca="1" si="1"/>
        <v/>
      </c>
      <c r="AI31" s="20" t="str">
        <f t="shared" ca="1" si="1"/>
        <v/>
      </c>
      <c r="AJ31" s="20" t="str">
        <f t="shared" ca="1" si="1"/>
        <v/>
      </c>
      <c r="AK31" s="20" t="str">
        <f t="shared" ca="1" si="1"/>
        <v/>
      </c>
      <c r="AL31" s="21" t="str">
        <f t="shared" ca="1" si="1"/>
        <v/>
      </c>
    </row>
    <row r="32" spans="2:38" s="5" customFormat="1" ht="13.5" customHeight="1">
      <c r="C32" s="42" t="str" cm="1">
        <f t="array" ref="C32">INDEX(Sheet2!$I$3:$AP$18, $B10, Sheet1!C$6)</f>
        <v>03M</v>
      </c>
      <c r="D32" s="14" cm="1">
        <f t="array" aca="1" ref="D32" ca="1">_xll.IMDP("IR", D$28&amp;$C32, "BID_Close", $C$4)</f>
        <v>4.3540000000000001</v>
      </c>
      <c r="E32" s="19" t="str">
        <f t="shared" ref="E32:AL32" ca="1" si="2">IFERROR( ($D32-E51)*100, "")</f>
        <v/>
      </c>
      <c r="F32" s="20" t="str">
        <f t="shared" ca="1" si="2"/>
        <v/>
      </c>
      <c r="G32" s="20" t="str">
        <f t="shared" ca="1" si="2"/>
        <v/>
      </c>
      <c r="H32" s="20" t="str">
        <f t="shared" ca="1" si="2"/>
        <v/>
      </c>
      <c r="I32" s="20" t="str">
        <f t="shared" ca="1" si="2"/>
        <v/>
      </c>
      <c r="J32" s="20" t="str">
        <f t="shared" ca="1" si="2"/>
        <v/>
      </c>
      <c r="K32" s="20" t="str">
        <f t="shared" ca="1" si="2"/>
        <v/>
      </c>
      <c r="L32" s="20" t="str">
        <f t="shared" ca="1" si="2"/>
        <v/>
      </c>
      <c r="M32" s="20">
        <f t="shared" ca="1" si="2"/>
        <v>-378.6</v>
      </c>
      <c r="N32" s="20">
        <f t="shared" ca="1" si="2"/>
        <v>0</v>
      </c>
      <c r="O32" s="20" t="str">
        <f t="shared" ca="1" si="2"/>
        <v/>
      </c>
      <c r="P32" s="20" t="str">
        <f t="shared" ca="1" si="2"/>
        <v/>
      </c>
      <c r="Q32" s="20" t="str">
        <f t="shared" ca="1" si="2"/>
        <v/>
      </c>
      <c r="R32" s="20" t="str">
        <f t="shared" ca="1" si="2"/>
        <v/>
      </c>
      <c r="S32" s="20" t="str">
        <f t="shared" ca="1" si="2"/>
        <v/>
      </c>
      <c r="T32" s="20" t="str">
        <f t="shared" ca="1" si="2"/>
        <v/>
      </c>
      <c r="U32" s="20" t="str">
        <f t="shared" ca="1" si="2"/>
        <v/>
      </c>
      <c r="V32" s="20" t="str">
        <f t="shared" ca="1" si="2"/>
        <v/>
      </c>
      <c r="W32" s="20" t="str">
        <f t="shared" ca="1" si="2"/>
        <v/>
      </c>
      <c r="X32" s="20" t="str">
        <f t="shared" ca="1" si="2"/>
        <v/>
      </c>
      <c r="Y32" s="20">
        <f t="shared" ca="1" si="2"/>
        <v>-196.60000000000002</v>
      </c>
      <c r="Z32" s="20" t="str">
        <f t="shared" ca="1" si="2"/>
        <v/>
      </c>
      <c r="AA32" s="20" t="str">
        <f t="shared" ca="1" si="2"/>
        <v/>
      </c>
      <c r="AB32" s="20" t="str">
        <f t="shared" ca="1" si="2"/>
        <v/>
      </c>
      <c r="AC32" s="20" t="str">
        <f t="shared" ca="1" si="2"/>
        <v/>
      </c>
      <c r="AD32" s="20" t="str">
        <f t="shared" ca="1" si="2"/>
        <v/>
      </c>
      <c r="AE32" s="20" t="str">
        <f t="shared" ca="1" si="2"/>
        <v/>
      </c>
      <c r="AF32" s="20" t="str">
        <f t="shared" ca="1" si="2"/>
        <v/>
      </c>
      <c r="AG32" s="20" t="str">
        <f t="shared" ca="1" si="2"/>
        <v/>
      </c>
      <c r="AH32" s="20" t="str">
        <f t="shared" ca="1" si="2"/>
        <v/>
      </c>
      <c r="AI32" s="20" t="str">
        <f t="shared" ca="1" si="2"/>
        <v/>
      </c>
      <c r="AJ32" s="20" t="str">
        <f t="shared" ca="1" si="2"/>
        <v/>
      </c>
      <c r="AK32" s="20" t="str">
        <f t="shared" ca="1" si="2"/>
        <v/>
      </c>
      <c r="AL32" s="21" t="str">
        <f t="shared" ca="1" si="2"/>
        <v/>
      </c>
    </row>
    <row r="33" spans="3:38" s="5" customFormat="1" ht="13.5" customHeight="1">
      <c r="C33" s="42" t="str" cm="1">
        <f t="array" ref="C33">INDEX(Sheet2!$I$3:$AP$18, $B11, Sheet1!C$6)</f>
        <v>04M</v>
      </c>
      <c r="D33" s="14" cm="1">
        <f t="array" aca="1" ref="D33" ca="1">_xll.IMDP("IR", D$28&amp;$C33, "BID_Close", $C$4)</f>
        <v>4.3390000000000004</v>
      </c>
      <c r="E33" s="19" t="str">
        <f t="shared" ref="E33:AL33" ca="1" si="3">IFERROR( ($D33-E52)*100, "")</f>
        <v/>
      </c>
      <c r="F33" s="20" t="str">
        <f t="shared" ca="1" si="3"/>
        <v/>
      </c>
      <c r="G33" s="20" t="str">
        <f t="shared" ca="1" si="3"/>
        <v/>
      </c>
      <c r="H33" s="20" t="str">
        <f t="shared" ca="1" si="3"/>
        <v/>
      </c>
      <c r="I33" s="20" t="str">
        <f t="shared" ca="1" si="3"/>
        <v/>
      </c>
      <c r="J33" s="20" t="str">
        <f t="shared" ca="1" si="3"/>
        <v/>
      </c>
      <c r="K33" s="20" t="str">
        <f t="shared" ca="1" si="3"/>
        <v/>
      </c>
      <c r="L33" s="20" t="str">
        <f t="shared" ca="1" si="3"/>
        <v/>
      </c>
      <c r="M33" s="20" t="str">
        <f t="shared" ca="1" si="3"/>
        <v/>
      </c>
      <c r="N33" s="20">
        <f t="shared" ca="1" si="3"/>
        <v>0</v>
      </c>
      <c r="O33" s="20" t="str">
        <f t="shared" ca="1" si="3"/>
        <v/>
      </c>
      <c r="P33" s="20" t="str">
        <f t="shared" ca="1" si="3"/>
        <v/>
      </c>
      <c r="Q33" s="20" t="str">
        <f t="shared" ca="1" si="3"/>
        <v/>
      </c>
      <c r="R33" s="20" t="str">
        <f t="shared" ca="1" si="3"/>
        <v/>
      </c>
      <c r="S33" s="20" t="str">
        <f t="shared" ca="1" si="3"/>
        <v/>
      </c>
      <c r="T33" s="20" t="str">
        <f t="shared" ca="1" si="3"/>
        <v/>
      </c>
      <c r="U33" s="20" t="str">
        <f t="shared" ca="1" si="3"/>
        <v/>
      </c>
      <c r="V33" s="20" t="str">
        <f t="shared" ca="1" si="3"/>
        <v/>
      </c>
      <c r="W33" s="20" t="str">
        <f t="shared" ca="1" si="3"/>
        <v/>
      </c>
      <c r="X33" s="20" t="str">
        <f t="shared" ca="1" si="3"/>
        <v/>
      </c>
      <c r="Y33" s="20" t="str">
        <f t="shared" ca="1" si="3"/>
        <v/>
      </c>
      <c r="Z33" s="20" t="str">
        <f t="shared" ca="1" si="3"/>
        <v/>
      </c>
      <c r="AA33" s="20" t="str">
        <f t="shared" ca="1" si="3"/>
        <v/>
      </c>
      <c r="AB33" s="20" t="str">
        <f t="shared" ca="1" si="3"/>
        <v/>
      </c>
      <c r="AC33" s="20" t="str">
        <f t="shared" ca="1" si="3"/>
        <v/>
      </c>
      <c r="AD33" s="20" t="str">
        <f t="shared" ca="1" si="3"/>
        <v/>
      </c>
      <c r="AE33" s="20" t="str">
        <f t="shared" ca="1" si="3"/>
        <v/>
      </c>
      <c r="AF33" s="20" t="str">
        <f t="shared" ca="1" si="3"/>
        <v/>
      </c>
      <c r="AG33" s="20" t="str">
        <f t="shared" ca="1" si="3"/>
        <v/>
      </c>
      <c r="AH33" s="20" t="str">
        <f t="shared" ca="1" si="3"/>
        <v/>
      </c>
      <c r="AI33" s="20" t="str">
        <f t="shared" ca="1" si="3"/>
        <v/>
      </c>
      <c r="AJ33" s="20" t="str">
        <f t="shared" ca="1" si="3"/>
        <v/>
      </c>
      <c r="AK33" s="20" t="str">
        <f t="shared" ca="1" si="3"/>
        <v/>
      </c>
      <c r="AL33" s="21" t="str">
        <f t="shared" ca="1" si="3"/>
        <v/>
      </c>
    </row>
    <row r="34" spans="3:38" s="5" customFormat="1" ht="13.5" customHeight="1">
      <c r="C34" s="42" t="str" cm="1">
        <f t="array" ref="C34">INDEX(Sheet2!$I$3:$AP$18, $B12, Sheet1!C$6)</f>
        <v>06M</v>
      </c>
      <c r="D34" s="14" cm="1">
        <f t="array" aca="1" ref="D34" ca="1">_xll.IMDP("IR", D$28&amp;$C34, "BID_Close", $C$4)</f>
        <v>4.3019999999999996</v>
      </c>
      <c r="E34" s="19" t="str">
        <f t="shared" ref="E34:AL34" ca="1" si="4">IFERROR( ($D34-E53)*100, "")</f>
        <v/>
      </c>
      <c r="F34" s="20" t="str">
        <f t="shared" ca="1" si="4"/>
        <v/>
      </c>
      <c r="G34" s="20" t="str">
        <f t="shared" ca="1" si="4"/>
        <v/>
      </c>
      <c r="H34" s="20" t="str">
        <f t="shared" ca="1" si="4"/>
        <v/>
      </c>
      <c r="I34" s="20" t="str">
        <f t="shared" ca="1" si="4"/>
        <v/>
      </c>
      <c r="J34" s="20" t="str">
        <f t="shared" ca="1" si="4"/>
        <v/>
      </c>
      <c r="K34" s="20" t="str">
        <f t="shared" ca="1" si="4"/>
        <v/>
      </c>
      <c r="L34" s="20" t="str">
        <f t="shared" ca="1" si="4"/>
        <v/>
      </c>
      <c r="M34" s="20">
        <f t="shared" ca="1" si="4"/>
        <v>-367.50000000000006</v>
      </c>
      <c r="N34" s="20">
        <f t="shared" ca="1" si="4"/>
        <v>0</v>
      </c>
      <c r="O34" s="20" t="str">
        <f t="shared" ca="1" si="4"/>
        <v/>
      </c>
      <c r="P34" s="20">
        <f t="shared" ca="1" si="4"/>
        <v>-1069.1000000000001</v>
      </c>
      <c r="Q34" s="20" t="str">
        <f t="shared" ca="1" si="4"/>
        <v/>
      </c>
      <c r="R34" s="20" t="str">
        <f t="shared" ca="1" si="4"/>
        <v/>
      </c>
      <c r="S34" s="20" t="str">
        <f t="shared" ca="1" si="4"/>
        <v/>
      </c>
      <c r="T34" s="20" t="str">
        <f t="shared" ca="1" si="4"/>
        <v/>
      </c>
      <c r="U34" s="20" t="str">
        <f t="shared" ca="1" si="4"/>
        <v/>
      </c>
      <c r="V34" s="20" t="str">
        <f t="shared" ca="1" si="4"/>
        <v/>
      </c>
      <c r="W34" s="20" t="str">
        <f t="shared" ca="1" si="4"/>
        <v/>
      </c>
      <c r="X34" s="20" t="str">
        <f t="shared" ca="1" si="4"/>
        <v/>
      </c>
      <c r="Y34" s="20">
        <f t="shared" ca="1" si="4"/>
        <v>-204.8</v>
      </c>
      <c r="Z34" s="20" t="str">
        <f t="shared" ca="1" si="4"/>
        <v/>
      </c>
      <c r="AA34" s="20" t="str">
        <f t="shared" ca="1" si="4"/>
        <v/>
      </c>
      <c r="AB34" s="20" t="str">
        <f t="shared" ca="1" si="4"/>
        <v/>
      </c>
      <c r="AC34" s="20" t="str">
        <f t="shared" ca="1" si="4"/>
        <v/>
      </c>
      <c r="AD34" s="20" t="str">
        <f t="shared" ca="1" si="4"/>
        <v/>
      </c>
      <c r="AE34" s="20" t="str">
        <f t="shared" ca="1" si="4"/>
        <v/>
      </c>
      <c r="AF34" s="20" t="str">
        <f t="shared" ca="1" si="4"/>
        <v/>
      </c>
      <c r="AG34" s="20" t="str">
        <f t="shared" ca="1" si="4"/>
        <v/>
      </c>
      <c r="AH34" s="20" t="str">
        <f t="shared" ca="1" si="4"/>
        <v/>
      </c>
      <c r="AI34" s="20" t="str">
        <f t="shared" ca="1" si="4"/>
        <v/>
      </c>
      <c r="AJ34" s="20" t="str">
        <f t="shared" ca="1" si="4"/>
        <v/>
      </c>
      <c r="AK34" s="20" t="str">
        <f t="shared" ca="1" si="4"/>
        <v/>
      </c>
      <c r="AL34" s="21" t="str">
        <f t="shared" ca="1" si="4"/>
        <v/>
      </c>
    </row>
    <row r="35" spans="3:38" s="5" customFormat="1" ht="13.5" customHeight="1">
      <c r="C35" s="42" t="str" cm="1">
        <f t="array" ref="C35">INDEX(Sheet2!$I$3:$AP$18, $B13, Sheet1!C$6)</f>
        <v>01Y</v>
      </c>
      <c r="D35" s="14" cm="1">
        <f t="array" aca="1" ref="D35" ca="1">_xll.IMDP("IR", D$28&amp;$C35, "BID_Close", $C$4)</f>
        <v>4.08</v>
      </c>
      <c r="E35" s="19" t="str">
        <f t="shared" ref="E35:AL35" ca="1" si="5">IFERROR( ($D35-E54)*100, "")</f>
        <v/>
      </c>
      <c r="F35" s="20">
        <f t="shared" ca="1" si="5"/>
        <v>221.29000000000002</v>
      </c>
      <c r="G35" s="20" t="str">
        <f t="shared" ca="1" si="5"/>
        <v/>
      </c>
      <c r="H35" s="20" t="str">
        <f t="shared" ca="1" si="5"/>
        <v/>
      </c>
      <c r="I35" s="20" t="str">
        <f t="shared" ca="1" si="5"/>
        <v/>
      </c>
      <c r="J35" s="20" t="str">
        <f t="shared" ca="1" si="5"/>
        <v/>
      </c>
      <c r="K35" s="20">
        <f t="shared" ca="1" si="5"/>
        <v>225.89000000000001</v>
      </c>
      <c r="L35" s="20" t="str">
        <f t="shared" ca="1" si="5"/>
        <v/>
      </c>
      <c r="M35" s="20">
        <f t="shared" ca="1" si="5"/>
        <v>-364.9</v>
      </c>
      <c r="N35" s="20">
        <f t="shared" ca="1" si="5"/>
        <v>0</v>
      </c>
      <c r="O35" s="20">
        <f t="shared" ca="1" si="5"/>
        <v>214.85000000000002</v>
      </c>
      <c r="P35" s="20">
        <f t="shared" ca="1" si="5"/>
        <v>-1065.5</v>
      </c>
      <c r="Q35" s="20" t="str">
        <f t="shared" ca="1" si="5"/>
        <v/>
      </c>
      <c r="R35" s="20" t="str">
        <f t="shared" ca="1" si="5"/>
        <v/>
      </c>
      <c r="S35" s="20" t="str">
        <f t="shared" ca="1" si="5"/>
        <v/>
      </c>
      <c r="T35" s="20">
        <f t="shared" ca="1" si="5"/>
        <v>216.59</v>
      </c>
      <c r="U35" s="20">
        <f t="shared" ca="1" si="5"/>
        <v>33.780000000000008</v>
      </c>
      <c r="V35" s="20">
        <f t="shared" ca="1" si="5"/>
        <v>225.89000000000001</v>
      </c>
      <c r="W35" s="20">
        <f t="shared" ca="1" si="5"/>
        <v>208.39</v>
      </c>
      <c r="X35" s="20">
        <f t="shared" ca="1" si="5"/>
        <v>-148.4</v>
      </c>
      <c r="Y35" s="20">
        <f t="shared" ca="1" si="5"/>
        <v>-189.29999999999998</v>
      </c>
      <c r="Z35" s="20">
        <f t="shared" ca="1" si="5"/>
        <v>349.43</v>
      </c>
      <c r="AA35" s="20">
        <f t="shared" ca="1" si="5"/>
        <v>272.27000000000004</v>
      </c>
      <c r="AB35" s="20" t="str">
        <f t="shared" ca="1" si="5"/>
        <v/>
      </c>
      <c r="AC35" s="20" t="str">
        <f t="shared" ca="1" si="5"/>
        <v/>
      </c>
      <c r="AD35" s="20" t="str">
        <f t="shared" ca="1" si="5"/>
        <v/>
      </c>
      <c r="AE35" s="20">
        <f t="shared" ca="1" si="5"/>
        <v>-3372.9</v>
      </c>
      <c r="AF35" s="20" t="str">
        <f t="shared" ca="1" si="5"/>
        <v/>
      </c>
      <c r="AG35" s="20" t="str">
        <f t="shared" ca="1" si="5"/>
        <v/>
      </c>
      <c r="AH35" s="20">
        <f t="shared" ca="1" si="5"/>
        <v>219.26000000000002</v>
      </c>
      <c r="AI35" s="20" t="str">
        <f t="shared" ca="1" si="5"/>
        <v/>
      </c>
      <c r="AJ35" s="20" t="str">
        <f t="shared" ca="1" si="5"/>
        <v/>
      </c>
      <c r="AK35" s="20">
        <f t="shared" ca="1" si="5"/>
        <v>70.66</v>
      </c>
      <c r="AL35" s="21">
        <f t="shared" ca="1" si="5"/>
        <v>231</v>
      </c>
    </row>
    <row r="36" spans="3:38" s="5" customFormat="1" ht="13.5" customHeight="1">
      <c r="C36" s="42" t="str" cm="1">
        <f t="array" ref="C36">INDEX(Sheet2!$I$3:$AP$18, $B14, Sheet1!C$6)</f>
        <v>02Y</v>
      </c>
      <c r="D36" s="14" cm="1">
        <f t="array" aca="1" ref="D36" ca="1">_xll.IMDP("IR", D$28&amp;$C36, "BID_Close", $C$4)</f>
        <v>3.8860000000000001</v>
      </c>
      <c r="E36" s="19">
        <f t="shared" ref="E36:AL36" ca="1" si="6">IFERROR( ($D36-E55)*100, "")</f>
        <v>189.42000000000002</v>
      </c>
      <c r="F36" s="20">
        <f t="shared" ca="1" si="6"/>
        <v>199.89000000000001</v>
      </c>
      <c r="G36" s="20">
        <f t="shared" ca="1" si="6"/>
        <v>35.729999999999997</v>
      </c>
      <c r="H36" s="20">
        <f t="shared" ca="1" si="6"/>
        <v>58.309999999999995</v>
      </c>
      <c r="I36" s="20">
        <f t="shared" ca="1" si="6"/>
        <v>266.60000000000002</v>
      </c>
      <c r="J36" s="20">
        <f t="shared" ca="1" si="6"/>
        <v>238.39000000000001</v>
      </c>
      <c r="K36" s="20">
        <f t="shared" ca="1" si="6"/>
        <v>205.86</v>
      </c>
      <c r="L36" s="20" t="str">
        <f t="shared" ca="1" si="6"/>
        <v/>
      </c>
      <c r="M36" s="20" t="str">
        <f t="shared" ca="1" si="6"/>
        <v/>
      </c>
      <c r="N36" s="20">
        <f t="shared" ca="1" si="6"/>
        <v>0</v>
      </c>
      <c r="O36" s="20">
        <f t="shared" ca="1" si="6"/>
        <v>193.9</v>
      </c>
      <c r="P36" s="20">
        <f t="shared" ca="1" si="6"/>
        <v>-976.69999999999993</v>
      </c>
      <c r="Q36" s="20">
        <f t="shared" ca="1" si="6"/>
        <v>217.67000000000002</v>
      </c>
      <c r="R36" s="20">
        <f t="shared" ca="1" si="6"/>
        <v>189.52</v>
      </c>
      <c r="S36" s="20">
        <f t="shared" ca="1" si="6"/>
        <v>212.10000000000005</v>
      </c>
      <c r="T36" s="20">
        <f t="shared" ca="1" si="6"/>
        <v>203.18</v>
      </c>
      <c r="U36" s="20">
        <f t="shared" ca="1" si="6"/>
        <v>4.0200000000000014</v>
      </c>
      <c r="V36" s="20">
        <f t="shared" ca="1" si="6"/>
        <v>205.86</v>
      </c>
      <c r="W36" s="20">
        <f t="shared" ca="1" si="6"/>
        <v>181.77000000000004</v>
      </c>
      <c r="X36" s="20">
        <f t="shared" ca="1" si="6"/>
        <v>-186.29999999999995</v>
      </c>
      <c r="Y36" s="20" t="str">
        <f t="shared" ca="1" si="6"/>
        <v/>
      </c>
      <c r="Z36" s="20">
        <f t="shared" ca="1" si="6"/>
        <v>314.19</v>
      </c>
      <c r="AA36" s="20">
        <f t="shared" ca="1" si="6"/>
        <v>251.26</v>
      </c>
      <c r="AB36" s="20">
        <f t="shared" ca="1" si="6"/>
        <v>119.49000000000001</v>
      </c>
      <c r="AC36" s="20" t="str">
        <f t="shared" ca="1" si="6"/>
        <v/>
      </c>
      <c r="AD36" s="20">
        <f t="shared" ca="1" si="6"/>
        <v>248.60000000000002</v>
      </c>
      <c r="AE36" s="20">
        <f t="shared" ca="1" si="6"/>
        <v>-3240.9999999999995</v>
      </c>
      <c r="AF36" s="20">
        <f t="shared" ca="1" si="6"/>
        <v>202.16000000000003</v>
      </c>
      <c r="AG36" s="20">
        <f t="shared" ca="1" si="6"/>
        <v>-68.799999999999969</v>
      </c>
      <c r="AH36" s="20">
        <f t="shared" ca="1" si="6"/>
        <v>175.34</v>
      </c>
      <c r="AI36" s="20">
        <f t="shared" ca="1" si="6"/>
        <v>-186.39999999999998</v>
      </c>
      <c r="AJ36" s="20">
        <f t="shared" ca="1" si="6"/>
        <v>-219.4</v>
      </c>
      <c r="AK36" s="20">
        <f t="shared" ca="1" si="6"/>
        <v>62.460000000000008</v>
      </c>
      <c r="AL36" s="21">
        <f t="shared" ca="1" si="6"/>
        <v>206.6</v>
      </c>
    </row>
    <row r="37" spans="3:38" s="5" customFormat="1" ht="13.5" customHeight="1">
      <c r="C37" s="42" t="str" cm="1">
        <f t="array" ref="C37">INDEX(Sheet2!$I$3:$AP$18, $B15, Sheet1!C$6)</f>
        <v>03Y</v>
      </c>
      <c r="D37" s="14" cm="1">
        <f t="array" aca="1" ref="D37" ca="1">_xll.IMDP("IR", D$28&amp;$C37, "BID_Close", $C$4)</f>
        <v>3.8460000000000001</v>
      </c>
      <c r="E37" s="19" t="str">
        <f t="shared" ref="E37:AL37" ca="1" si="7">IFERROR( ($D37-E56)*100, "")</f>
        <v/>
      </c>
      <c r="F37" s="20">
        <f t="shared" ca="1" si="7"/>
        <v>182.67000000000002</v>
      </c>
      <c r="G37" s="20" t="str">
        <f t="shared" ca="1" si="7"/>
        <v/>
      </c>
      <c r="H37" s="20" t="str">
        <f t="shared" ca="1" si="7"/>
        <v/>
      </c>
      <c r="I37" s="20" t="str">
        <f t="shared" ca="1" si="7"/>
        <v/>
      </c>
      <c r="J37" s="20">
        <f t="shared" ca="1" si="7"/>
        <v>217.97000000000003</v>
      </c>
      <c r="K37" s="20">
        <f t="shared" ca="1" si="7"/>
        <v>197.61</v>
      </c>
      <c r="L37" s="20">
        <f t="shared" ca="1" si="7"/>
        <v>70.100000000000009</v>
      </c>
      <c r="M37" s="20">
        <f t="shared" ca="1" si="7"/>
        <v>-447.49999999999994</v>
      </c>
      <c r="N37" s="20">
        <f t="shared" ca="1" si="7"/>
        <v>0</v>
      </c>
      <c r="O37" s="20">
        <f t="shared" ca="1" si="7"/>
        <v>173.25</v>
      </c>
      <c r="P37" s="20">
        <f t="shared" ca="1" si="7"/>
        <v>-1386.1999999999998</v>
      </c>
      <c r="Q37" s="20" t="str">
        <f t="shared" ca="1" si="7"/>
        <v/>
      </c>
      <c r="R37" s="20">
        <f t="shared" ca="1" si="7"/>
        <v>167.56000000000003</v>
      </c>
      <c r="S37" s="20" t="str">
        <f t="shared" ca="1" si="7"/>
        <v/>
      </c>
      <c r="T37" s="20">
        <f t="shared" ca="1" si="7"/>
        <v>186.55</v>
      </c>
      <c r="U37" s="20">
        <f t="shared" ca="1" si="7"/>
        <v>18.570000000000022</v>
      </c>
      <c r="V37" s="20">
        <f t="shared" ca="1" si="7"/>
        <v>197.61</v>
      </c>
      <c r="W37" s="20">
        <f t="shared" ca="1" si="7"/>
        <v>157.94000000000003</v>
      </c>
      <c r="X37" s="20" t="str">
        <f t="shared" ca="1" si="7"/>
        <v/>
      </c>
      <c r="Y37" s="20">
        <f t="shared" ca="1" si="7"/>
        <v>-235.4</v>
      </c>
      <c r="Z37" s="20">
        <f t="shared" ca="1" si="7"/>
        <v>304.23</v>
      </c>
      <c r="AA37" s="20">
        <f t="shared" ca="1" si="7"/>
        <v>244.77</v>
      </c>
      <c r="AB37" s="20" t="str">
        <f t="shared" ca="1" si="7"/>
        <v/>
      </c>
      <c r="AC37" s="20">
        <f t="shared" ca="1" si="7"/>
        <v>-628.59999999999991</v>
      </c>
      <c r="AD37" s="20" t="str">
        <f t="shared" ca="1" si="7"/>
        <v/>
      </c>
      <c r="AE37" s="20">
        <f t="shared" ca="1" si="7"/>
        <v>-2925.2999999999997</v>
      </c>
      <c r="AF37" s="20">
        <f t="shared" ca="1" si="7"/>
        <v>180.40000000000003</v>
      </c>
      <c r="AG37" s="20" t="str">
        <f t="shared" ca="1" si="7"/>
        <v/>
      </c>
      <c r="AH37" s="20">
        <f t="shared" ca="1" si="7"/>
        <v>149.97000000000003</v>
      </c>
      <c r="AI37" s="20">
        <f t="shared" ca="1" si="7"/>
        <v>-192.90000000000003</v>
      </c>
      <c r="AJ37" s="20" t="str">
        <f t="shared" ca="1" si="7"/>
        <v/>
      </c>
      <c r="AK37" s="20">
        <f t="shared" ca="1" si="7"/>
        <v>54.110000000000014</v>
      </c>
      <c r="AL37" s="21">
        <f t="shared" ca="1" si="7"/>
        <v>192.60000000000002</v>
      </c>
    </row>
    <row r="38" spans="3:38" s="5" customFormat="1" ht="13.5" customHeight="1">
      <c r="C38" s="42" t="str" cm="1">
        <f t="array" ref="C38">INDEX(Sheet2!$I$3:$AP$18, $B16, Sheet1!C$6)</f>
        <v>05Y</v>
      </c>
      <c r="D38" s="14" cm="1">
        <f t="array" aca="1" ref="D38" ca="1">_xll.IMDP("IR", D$28&amp;$C38, "BID_Close", $C$4)</f>
        <v>3.9340000000000002</v>
      </c>
      <c r="E38" s="19">
        <f t="shared" ref="E38:AL38" ca="1" si="8">IFERROR( ($D38-E57)*100, "")</f>
        <v>136.42000000000002</v>
      </c>
      <c r="F38" s="20">
        <f t="shared" ca="1" si="8"/>
        <v>163.59000000000003</v>
      </c>
      <c r="G38" s="20">
        <f t="shared" ca="1" si="8"/>
        <v>28.180000000000007</v>
      </c>
      <c r="H38" s="20">
        <f t="shared" ca="1" si="8"/>
        <v>7.1100000000000385</v>
      </c>
      <c r="I38" s="20">
        <f t="shared" ca="1" si="8"/>
        <v>258.40000000000003</v>
      </c>
      <c r="J38" s="20">
        <f t="shared" ca="1" si="8"/>
        <v>197.57000000000002</v>
      </c>
      <c r="K38" s="20">
        <f t="shared" ca="1" si="8"/>
        <v>180.79000000000002</v>
      </c>
      <c r="L38" s="20">
        <f t="shared" ca="1" si="8"/>
        <v>72.900000000000006</v>
      </c>
      <c r="M38" s="20">
        <f t="shared" ca="1" si="8"/>
        <v>-466.99999999999989</v>
      </c>
      <c r="N38" s="20">
        <f t="shared" ca="1" si="8"/>
        <v>0</v>
      </c>
      <c r="O38" s="20">
        <f t="shared" ca="1" si="8"/>
        <v>147.09000000000003</v>
      </c>
      <c r="P38" s="20">
        <f t="shared" ca="1" si="8"/>
        <v>-1103</v>
      </c>
      <c r="Q38" s="20">
        <f t="shared" ca="1" si="8"/>
        <v>213.52</v>
      </c>
      <c r="R38" s="20">
        <f t="shared" ca="1" si="8"/>
        <v>147.82000000000002</v>
      </c>
      <c r="S38" s="20">
        <f t="shared" ca="1" si="8"/>
        <v>217.40000000000003</v>
      </c>
      <c r="T38" s="20">
        <f t="shared" ca="1" si="8"/>
        <v>162.02000000000001</v>
      </c>
      <c r="U38" s="20">
        <f t="shared" ca="1" si="8"/>
        <v>-4.9099999999999699</v>
      </c>
      <c r="V38" s="20">
        <f t="shared" ca="1" si="8"/>
        <v>180.79000000000002</v>
      </c>
      <c r="W38" s="20">
        <f t="shared" ca="1" si="8"/>
        <v>123.99</v>
      </c>
      <c r="X38" s="20">
        <f t="shared" ca="1" si="8"/>
        <v>-210.99999999999994</v>
      </c>
      <c r="Y38" s="20">
        <f t="shared" ca="1" si="8"/>
        <v>-228.39999999999998</v>
      </c>
      <c r="Z38" s="20">
        <f t="shared" ca="1" si="8"/>
        <v>295.19</v>
      </c>
      <c r="AA38" s="20">
        <f t="shared" ca="1" si="8"/>
        <v>243.07</v>
      </c>
      <c r="AB38" s="20">
        <f t="shared" ca="1" si="8"/>
        <v>98.940000000000026</v>
      </c>
      <c r="AC38" s="20">
        <f t="shared" ca="1" si="8"/>
        <v>-731.80000000000007</v>
      </c>
      <c r="AD38" s="20">
        <f t="shared" ca="1" si="8"/>
        <v>252.4</v>
      </c>
      <c r="AE38" s="20">
        <f t="shared" ca="1" si="8"/>
        <v>-2871.5</v>
      </c>
      <c r="AF38" s="20">
        <f t="shared" ca="1" si="8"/>
        <v>157.42000000000002</v>
      </c>
      <c r="AG38" s="20">
        <f t="shared" ca="1" si="8"/>
        <v>-98.59999999999998</v>
      </c>
      <c r="AH38" s="20">
        <f t="shared" ca="1" si="8"/>
        <v>123.86000000000004</v>
      </c>
      <c r="AI38" s="20">
        <f t="shared" ca="1" si="8"/>
        <v>-198.59999999999997</v>
      </c>
      <c r="AJ38" s="20">
        <f t="shared" ca="1" si="8"/>
        <v>-252.59999999999997</v>
      </c>
      <c r="AK38" s="20">
        <f t="shared" ca="1" si="8"/>
        <v>42.060000000000031</v>
      </c>
      <c r="AL38" s="21">
        <f t="shared" ca="1" si="8"/>
        <v>191.4</v>
      </c>
    </row>
    <row r="39" spans="3:38" s="5" customFormat="1" ht="13.5" customHeight="1">
      <c r="C39" s="42" t="str" cm="1">
        <f t="array" ref="C39">INDEX(Sheet2!$I$3:$AP$18, $B17, Sheet1!C$6)</f>
        <v>07Y</v>
      </c>
      <c r="D39" s="14" cm="1">
        <f t="array" aca="1" ref="D39" ca="1">_xll.IMDP("IR", D$28&amp;$C39, "BID_Close", $C$4)</f>
        <v>4.1210000000000004</v>
      </c>
      <c r="E39" s="19" t="str">
        <f t="shared" ref="E39:AL39" ca="1" si="9">IFERROR( ($D39-E58)*100, "")</f>
        <v/>
      </c>
      <c r="F39" s="20">
        <f t="shared" ca="1" si="9"/>
        <v>159.66000000000005</v>
      </c>
      <c r="G39" s="20">
        <f t="shared" ca="1" si="9"/>
        <v>38.520000000000067</v>
      </c>
      <c r="H39" s="20" t="str">
        <f t="shared" ca="1" si="9"/>
        <v/>
      </c>
      <c r="I39" s="20" t="str">
        <f t="shared" ca="1" si="9"/>
        <v/>
      </c>
      <c r="J39" s="20" t="str">
        <f t="shared" ca="1" si="9"/>
        <v/>
      </c>
      <c r="K39" s="20">
        <f t="shared" ca="1" si="9"/>
        <v>179.48000000000005</v>
      </c>
      <c r="L39" s="20">
        <f t="shared" ca="1" si="9"/>
        <v>72.600000000000037</v>
      </c>
      <c r="M39" s="20" t="str">
        <f t="shared" ca="1" si="9"/>
        <v/>
      </c>
      <c r="N39" s="20">
        <f t="shared" ca="1" si="9"/>
        <v>0</v>
      </c>
      <c r="O39" s="20">
        <f t="shared" ca="1" si="9"/>
        <v>133.03000000000003</v>
      </c>
      <c r="P39" s="20" t="str">
        <f t="shared" ca="1" si="9"/>
        <v/>
      </c>
      <c r="Q39" s="20">
        <f t="shared" ca="1" si="9"/>
        <v>219.67000000000007</v>
      </c>
      <c r="R39" s="20">
        <f t="shared" ca="1" si="9"/>
        <v>143.44000000000005</v>
      </c>
      <c r="S39" s="20" t="str">
        <f t="shared" ca="1" si="9"/>
        <v/>
      </c>
      <c r="T39" s="20" t="str">
        <f t="shared" ca="1" si="9"/>
        <v/>
      </c>
      <c r="U39" s="20">
        <f t="shared" ca="1" si="9"/>
        <v>-2.289999999999992</v>
      </c>
      <c r="V39" s="20">
        <f t="shared" ca="1" si="9"/>
        <v>179.48000000000005</v>
      </c>
      <c r="W39" s="20">
        <f t="shared" ca="1" si="9"/>
        <v>105.35000000000005</v>
      </c>
      <c r="X39" s="20">
        <f t="shared" ca="1" si="9"/>
        <v>-221</v>
      </c>
      <c r="Y39" s="20" t="str">
        <f t="shared" ca="1" si="9"/>
        <v/>
      </c>
      <c r="Z39" s="20">
        <f t="shared" ca="1" si="9"/>
        <v>291.46000000000004</v>
      </c>
      <c r="AA39" s="20">
        <f t="shared" ca="1" si="9"/>
        <v>253.31</v>
      </c>
      <c r="AB39" s="20">
        <f t="shared" ca="1" si="9"/>
        <v>98.220000000000056</v>
      </c>
      <c r="AC39" s="20" t="str">
        <f t="shared" ca="1" si="9"/>
        <v/>
      </c>
      <c r="AD39" s="20" t="str">
        <f t="shared" ca="1" si="9"/>
        <v/>
      </c>
      <c r="AE39" s="20" t="str">
        <f t="shared" ca="1" si="9"/>
        <v/>
      </c>
      <c r="AF39" s="20">
        <f t="shared" ca="1" si="9"/>
        <v>145.55000000000001</v>
      </c>
      <c r="AG39" s="20" t="str">
        <f t="shared" ca="1" si="9"/>
        <v/>
      </c>
      <c r="AH39" s="20">
        <f t="shared" ca="1" si="9"/>
        <v>123.46000000000004</v>
      </c>
      <c r="AI39" s="20">
        <f t="shared" ca="1" si="9"/>
        <v>-197.89999999999992</v>
      </c>
      <c r="AJ39" s="20" t="str">
        <f t="shared" ca="1" si="9"/>
        <v/>
      </c>
      <c r="AK39" s="20">
        <f t="shared" ca="1" si="9"/>
        <v>26.960000000000051</v>
      </c>
      <c r="AL39" s="21" t="str">
        <f t="shared" ca="1" si="9"/>
        <v/>
      </c>
    </row>
    <row r="40" spans="3:38" s="5" customFormat="1" ht="13.5" customHeight="1">
      <c r="C40" s="42" t="str" cm="1">
        <f t="array" ref="C40">INDEX(Sheet2!$I$3:$AP$18, $B18, Sheet1!C$6)</f>
        <v>10Y</v>
      </c>
      <c r="D40" s="14" cm="1">
        <f t="array" aca="1" ref="D40" ca="1">_xll.IMDP("IR", D$28&amp;$C40, "BID_Close", $C$4)</f>
        <v>4.3460000000000001</v>
      </c>
      <c r="E40" s="19">
        <f t="shared" ref="E40:AL40" ca="1" si="10">IFERROR( ($D40-E59)*100, "")</f>
        <v>106.15999999999998</v>
      </c>
      <c r="F40" s="20">
        <f t="shared" ca="1" si="10"/>
        <v>155.66</v>
      </c>
      <c r="G40" s="20">
        <f t="shared" ca="1" si="10"/>
        <v>55.100000000000016</v>
      </c>
      <c r="H40" s="20">
        <f t="shared" ca="1" si="10"/>
        <v>-19.789999999999974</v>
      </c>
      <c r="I40" s="20">
        <f t="shared" ca="1" si="10"/>
        <v>293.60000000000002</v>
      </c>
      <c r="J40" s="20">
        <f t="shared" ca="1" si="10"/>
        <v>183.32999999999998</v>
      </c>
      <c r="K40" s="20">
        <f t="shared" ca="1" si="10"/>
        <v>175.1</v>
      </c>
      <c r="L40" s="20">
        <f t="shared" ca="1" si="10"/>
        <v>83.1</v>
      </c>
      <c r="M40" s="20">
        <f t="shared" ca="1" si="10"/>
        <v>-479.59999999999991</v>
      </c>
      <c r="N40" s="20">
        <f t="shared" ca="1" si="10"/>
        <v>0</v>
      </c>
      <c r="O40" s="20">
        <f t="shared" ca="1" si="10"/>
        <v>118.19000000000001</v>
      </c>
      <c r="P40" s="20">
        <f t="shared" ca="1" si="10"/>
        <v>-1003.9999999999999</v>
      </c>
      <c r="Q40" s="20">
        <f t="shared" ca="1" si="10"/>
        <v>211.97</v>
      </c>
      <c r="R40" s="20">
        <f t="shared" ca="1" si="10"/>
        <v>117.29000000000002</v>
      </c>
      <c r="S40" s="20">
        <f t="shared" ca="1" si="10"/>
        <v>221.60000000000002</v>
      </c>
      <c r="T40" s="20">
        <f t="shared" ca="1" si="10"/>
        <v>145.95000000000002</v>
      </c>
      <c r="U40" s="20">
        <f t="shared" ca="1" si="10"/>
        <v>-19.850000000000012</v>
      </c>
      <c r="V40" s="20">
        <f t="shared" ca="1" si="10"/>
        <v>175.1</v>
      </c>
      <c r="W40" s="20">
        <f t="shared" ca="1" si="10"/>
        <v>89.02000000000001</v>
      </c>
      <c r="X40" s="20">
        <f t="shared" ca="1" si="10"/>
        <v>-201.29999999999998</v>
      </c>
      <c r="Y40" s="20">
        <f t="shared" ca="1" si="10"/>
        <v>-224.5</v>
      </c>
      <c r="Z40" s="20">
        <f t="shared" ca="1" si="10"/>
        <v>289.09000000000003</v>
      </c>
      <c r="AA40" s="20">
        <f t="shared" ca="1" si="10"/>
        <v>268.39000000000004</v>
      </c>
      <c r="AB40" s="20">
        <f t="shared" ca="1" si="10"/>
        <v>98.99</v>
      </c>
      <c r="AC40" s="20">
        <f t="shared" ca="1" si="10"/>
        <v>-788.19999999999993</v>
      </c>
      <c r="AD40" s="20">
        <f t="shared" ca="1" si="10"/>
        <v>273.09999999999997</v>
      </c>
      <c r="AE40" s="20">
        <f t="shared" ca="1" si="10"/>
        <v>-2431</v>
      </c>
      <c r="AF40" s="20">
        <f t="shared" ca="1" si="10"/>
        <v>129.63</v>
      </c>
      <c r="AG40" s="20">
        <f t="shared" ca="1" si="10"/>
        <v>-112.80000000000001</v>
      </c>
      <c r="AH40" s="20">
        <f t="shared" ca="1" si="10"/>
        <v>106.53999999999999</v>
      </c>
      <c r="AI40" s="20">
        <f t="shared" ca="1" si="10"/>
        <v>-189.4</v>
      </c>
      <c r="AJ40" s="20">
        <f t="shared" ca="1" si="10"/>
        <v>-253.39999999999998</v>
      </c>
      <c r="AK40" s="20">
        <f t="shared" ca="1" si="10"/>
        <v>14.400000000000013</v>
      </c>
      <c r="AL40" s="21" t="str">
        <f t="shared" ca="1" si="10"/>
        <v/>
      </c>
    </row>
    <row r="41" spans="3:38" s="5" customFormat="1" ht="13.5" customHeight="1">
      <c r="C41" s="42" t="str" cm="1">
        <f t="array" ref="C41">INDEX(Sheet2!$I$3:$AP$18, $B19, Sheet1!C$6)</f>
        <v>20Y</v>
      </c>
      <c r="D41" s="14" cm="1">
        <f t="array" aca="1" ref="D41" ca="1">_xll.IMDP("IR", D$28&amp;$C41, "BID_Close", $C$4)</f>
        <v>4.8680000000000003</v>
      </c>
      <c r="E41" s="19">
        <f t="shared" ref="E41:AL41" ca="1" si="11">IFERROR( ($D41-E60)*100, "")</f>
        <v>110.78000000000002</v>
      </c>
      <c r="F41" s="20">
        <f t="shared" ca="1" si="11"/>
        <v>175.20000000000002</v>
      </c>
      <c r="G41" s="20" t="str">
        <f t="shared" ca="1" si="11"/>
        <v/>
      </c>
      <c r="H41" s="20">
        <f t="shared" ca="1" si="11"/>
        <v>-10.789999999999988</v>
      </c>
      <c r="I41" s="20">
        <f t="shared" ca="1" si="11"/>
        <v>328.8</v>
      </c>
      <c r="J41" s="20">
        <f t="shared" ca="1" si="11"/>
        <v>216.29000000000005</v>
      </c>
      <c r="K41" s="20">
        <f t="shared" ca="1" si="11"/>
        <v>190.46000000000004</v>
      </c>
      <c r="L41" s="20">
        <f t="shared" ca="1" si="11"/>
        <v>107.30000000000004</v>
      </c>
      <c r="M41" s="20">
        <f t="shared" ca="1" si="11"/>
        <v>-488.5</v>
      </c>
      <c r="N41" s="20">
        <f t="shared" ca="1" si="11"/>
        <v>0</v>
      </c>
      <c r="O41" s="20">
        <f t="shared" ca="1" si="11"/>
        <v>113.27000000000002</v>
      </c>
      <c r="P41" s="20" t="str">
        <f t="shared" ca="1" si="11"/>
        <v/>
      </c>
      <c r="Q41" s="20">
        <f t="shared" ca="1" si="11"/>
        <v>247.57000000000002</v>
      </c>
      <c r="R41" s="20">
        <f t="shared" ca="1" si="11"/>
        <v>109.93000000000004</v>
      </c>
      <c r="S41" s="20">
        <f t="shared" ca="1" si="11"/>
        <v>265.30000000000007</v>
      </c>
      <c r="T41" s="20" t="str">
        <f t="shared" ca="1" si="11"/>
        <v/>
      </c>
      <c r="U41" s="20">
        <f t="shared" ca="1" si="11"/>
        <v>-35.579999999999941</v>
      </c>
      <c r="V41" s="20">
        <f t="shared" ca="1" si="11"/>
        <v>190.46000000000004</v>
      </c>
      <c r="W41" s="20">
        <f t="shared" ca="1" si="11"/>
        <v>89.460000000000051</v>
      </c>
      <c r="X41" s="20">
        <f t="shared" ca="1" si="11"/>
        <v>-195.2</v>
      </c>
      <c r="Y41" s="20">
        <f t="shared" ca="1" si="11"/>
        <v>-211.20000000000002</v>
      </c>
      <c r="Z41" s="20">
        <f t="shared" ca="1" si="11"/>
        <v>250.09</v>
      </c>
      <c r="AA41" s="20">
        <f t="shared" ca="1" si="11"/>
        <v>295.73</v>
      </c>
      <c r="AB41" s="20">
        <f t="shared" ca="1" si="11"/>
        <v>130.12</v>
      </c>
      <c r="AC41" s="20" t="str">
        <f t="shared" ca="1" si="11"/>
        <v/>
      </c>
      <c r="AD41" s="20" t="str">
        <f t="shared" ca="1" si="11"/>
        <v/>
      </c>
      <c r="AE41" s="20" t="str">
        <f t="shared" ca="1" si="11"/>
        <v/>
      </c>
      <c r="AF41" s="20">
        <f t="shared" ca="1" si="11"/>
        <v>123.97000000000004</v>
      </c>
      <c r="AG41" s="20" t="str">
        <f t="shared" ca="1" si="11"/>
        <v/>
      </c>
      <c r="AH41" s="20">
        <f t="shared" ca="1" si="11"/>
        <v>111.12000000000002</v>
      </c>
      <c r="AI41" s="20">
        <f t="shared" ca="1" si="11"/>
        <v>-173.19999999999993</v>
      </c>
      <c r="AJ41" s="20" t="str">
        <f t="shared" ca="1" si="11"/>
        <v/>
      </c>
      <c r="AK41" s="20">
        <f t="shared" ca="1" si="11"/>
        <v>10.860000000000003</v>
      </c>
      <c r="AL41" s="21" t="str">
        <f t="shared" ca="1" si="11"/>
        <v/>
      </c>
    </row>
    <row r="42" spans="3:38" s="5" customFormat="1" ht="13.5" customHeight="1">
      <c r="C42" s="42" t="str" cm="1">
        <f t="array" ref="C42">INDEX(Sheet2!$I$3:$AP$18, $B20, Sheet1!C$6)</f>
        <v>30Y</v>
      </c>
      <c r="D42" s="14" cm="1">
        <f t="array" aca="1" ref="D42" ca="1">_xll.IMDP("IR", D$28&amp;$C42, "BID_Close", $C$4)</f>
        <v>4.8639999999999999</v>
      </c>
      <c r="E42" s="19" t="str">
        <f t="shared" ref="E42:AL42" ca="1" si="12">IFERROR( ($D42-E61)*100, "")</f>
        <v/>
      </c>
      <c r="F42" s="20">
        <f t="shared" ca="1" si="12"/>
        <v>167.78999999999996</v>
      </c>
      <c r="G42" s="20" t="str">
        <f t="shared" ca="1" si="12"/>
        <v/>
      </c>
      <c r="H42" s="20" t="str">
        <f t="shared" ca="1" si="12"/>
        <v/>
      </c>
      <c r="I42" s="20">
        <f t="shared" ca="1" si="12"/>
        <v>315.89999999999998</v>
      </c>
      <c r="J42" s="20" t="str">
        <f t="shared" ca="1" si="12"/>
        <v/>
      </c>
      <c r="K42" s="20">
        <f t="shared" ca="1" si="12"/>
        <v>180.53999999999996</v>
      </c>
      <c r="L42" s="20">
        <f t="shared" ca="1" si="12"/>
        <v>84.90000000000002</v>
      </c>
      <c r="M42" s="20">
        <f t="shared" ca="1" si="12"/>
        <v>-494.60000000000008</v>
      </c>
      <c r="N42" s="20">
        <f t="shared" ca="1" si="12"/>
        <v>0</v>
      </c>
      <c r="O42" s="20">
        <f t="shared" ca="1" si="12"/>
        <v>88.749999999999972</v>
      </c>
      <c r="P42" s="20" t="str">
        <f t="shared" ca="1" si="12"/>
        <v/>
      </c>
      <c r="Q42" s="20" t="str">
        <f t="shared" ca="1" si="12"/>
        <v/>
      </c>
      <c r="R42" s="20">
        <f t="shared" ca="1" si="12"/>
        <v>85.419999999999959</v>
      </c>
      <c r="S42" s="20">
        <f t="shared" ca="1" si="12"/>
        <v>261.89999999999998</v>
      </c>
      <c r="T42" s="20" t="str">
        <f t="shared" ca="1" si="12"/>
        <v/>
      </c>
      <c r="U42" s="20">
        <f t="shared" ca="1" si="12"/>
        <v>-47.75</v>
      </c>
      <c r="V42" s="20">
        <f t="shared" ca="1" si="12"/>
        <v>180.53999999999996</v>
      </c>
      <c r="W42" s="20">
        <f t="shared" ca="1" si="12"/>
        <v>54.819999999999958</v>
      </c>
      <c r="X42" s="20" t="str">
        <f t="shared" ca="1" si="12"/>
        <v/>
      </c>
      <c r="Y42" s="20">
        <f t="shared" ca="1" si="12"/>
        <v>-214.50000000000006</v>
      </c>
      <c r="Z42" s="20">
        <f t="shared" ca="1" si="12"/>
        <v>200.32999999999998</v>
      </c>
      <c r="AA42" s="20">
        <f t="shared" ca="1" si="12"/>
        <v>299.41000000000003</v>
      </c>
      <c r="AB42" s="20">
        <f t="shared" ca="1" si="12"/>
        <v>119.34</v>
      </c>
      <c r="AC42" s="20" t="str">
        <f t="shared" ca="1" si="12"/>
        <v/>
      </c>
      <c r="AD42" s="20" t="str">
        <f t="shared" ca="1" si="12"/>
        <v/>
      </c>
      <c r="AE42" s="20" t="str">
        <f t="shared" ca="1" si="12"/>
        <v/>
      </c>
      <c r="AF42" s="20" t="str">
        <f t="shared" ca="1" si="12"/>
        <v/>
      </c>
      <c r="AG42" s="20" t="str">
        <f t="shared" ca="1" si="12"/>
        <v/>
      </c>
      <c r="AH42" s="20">
        <f t="shared" ca="1" si="12"/>
        <v>82.74</v>
      </c>
      <c r="AI42" s="20" t="str">
        <f t="shared" ca="1" si="12"/>
        <v/>
      </c>
      <c r="AJ42" s="20" t="str">
        <f t="shared" ca="1" si="12"/>
        <v/>
      </c>
      <c r="AK42" s="20">
        <f t="shared" ca="1" si="12"/>
        <v>5.9999999999948983E-2</v>
      </c>
      <c r="AL42" s="21" t="str">
        <f t="shared" ca="1" si="12"/>
        <v/>
      </c>
    </row>
    <row r="43" spans="3:38" s="5" customFormat="1" ht="13.5" customHeight="1">
      <c r="C43" s="42" t="str" cm="1">
        <f t="array" ref="C43">INDEX(Sheet2!$I$3:$AP$18, $B21, Sheet1!C$6)</f>
        <v/>
      </c>
      <c r="D43" s="14" t="str" cm="1">
        <f t="array" aca="1" ref="D43" ca="1">_xll.IMDP("IR", D$28&amp;$C43, "BID_Close", $C$4)</f>
        <v/>
      </c>
      <c r="E43" s="19" t="str">
        <f t="shared" ref="E43:AL43" ca="1" si="13">IFERROR( ($D43-E62)*100, "")</f>
        <v/>
      </c>
      <c r="F43" s="20" t="str">
        <f t="shared" ca="1" si="13"/>
        <v/>
      </c>
      <c r="G43" s="20" t="str">
        <f t="shared" ca="1" si="13"/>
        <v/>
      </c>
      <c r="H43" s="20" t="str">
        <f t="shared" ca="1" si="13"/>
        <v/>
      </c>
      <c r="I43" s="20" t="str">
        <f t="shared" ca="1" si="13"/>
        <v/>
      </c>
      <c r="J43" s="20" t="str">
        <f t="shared" ca="1" si="13"/>
        <v/>
      </c>
      <c r="K43" s="20" t="str">
        <f t="shared" ca="1" si="13"/>
        <v/>
      </c>
      <c r="L43" s="20" t="str">
        <f t="shared" ca="1" si="13"/>
        <v/>
      </c>
      <c r="M43" s="20" t="str">
        <f t="shared" ca="1" si="13"/>
        <v/>
      </c>
      <c r="N43" s="20" t="str">
        <f t="shared" ca="1" si="13"/>
        <v/>
      </c>
      <c r="O43" s="20" t="str">
        <f t="shared" ca="1" si="13"/>
        <v/>
      </c>
      <c r="P43" s="20" t="str">
        <f t="shared" ca="1" si="13"/>
        <v/>
      </c>
      <c r="Q43" s="20" t="str">
        <f t="shared" ca="1" si="13"/>
        <v/>
      </c>
      <c r="R43" s="20" t="str">
        <f t="shared" ca="1" si="13"/>
        <v/>
      </c>
      <c r="S43" s="20" t="str">
        <f t="shared" ca="1" si="13"/>
        <v/>
      </c>
      <c r="T43" s="20" t="str">
        <f t="shared" ca="1" si="13"/>
        <v/>
      </c>
      <c r="U43" s="20" t="str">
        <f t="shared" ca="1" si="13"/>
        <v/>
      </c>
      <c r="V43" s="20" t="str">
        <f t="shared" ca="1" si="13"/>
        <v/>
      </c>
      <c r="W43" s="20" t="str">
        <f t="shared" ca="1" si="13"/>
        <v/>
      </c>
      <c r="X43" s="20" t="str">
        <f t="shared" ca="1" si="13"/>
        <v/>
      </c>
      <c r="Y43" s="20" t="str">
        <f t="shared" ca="1" si="13"/>
        <v/>
      </c>
      <c r="Z43" s="20" t="str">
        <f t="shared" ca="1" si="13"/>
        <v/>
      </c>
      <c r="AA43" s="20" t="str">
        <f t="shared" ca="1" si="13"/>
        <v/>
      </c>
      <c r="AB43" s="20" t="str">
        <f t="shared" ca="1" si="13"/>
        <v/>
      </c>
      <c r="AC43" s="20" t="str">
        <f t="shared" ca="1" si="13"/>
        <v/>
      </c>
      <c r="AD43" s="20" t="str">
        <f t="shared" ca="1" si="13"/>
        <v/>
      </c>
      <c r="AE43" s="20" t="str">
        <f t="shared" ca="1" si="13"/>
        <v/>
      </c>
      <c r="AF43" s="20" t="str">
        <f t="shared" ca="1" si="13"/>
        <v/>
      </c>
      <c r="AG43" s="20" t="str">
        <f t="shared" ca="1" si="13"/>
        <v/>
      </c>
      <c r="AH43" s="20" t="str">
        <f t="shared" ca="1" si="13"/>
        <v/>
      </c>
      <c r="AI43" s="20" t="str">
        <f t="shared" ca="1" si="13"/>
        <v/>
      </c>
      <c r="AJ43" s="20" t="str">
        <f t="shared" ca="1" si="13"/>
        <v/>
      </c>
      <c r="AK43" s="20" t="str">
        <f t="shared" ca="1" si="13"/>
        <v/>
      </c>
      <c r="AL43" s="21" t="str">
        <f t="shared" ca="1" si="13"/>
        <v/>
      </c>
    </row>
    <row r="44" spans="3:38" s="5" customFormat="1" ht="13.5" customHeight="1">
      <c r="C44" s="42" t="str" cm="1">
        <f t="array" ref="C44">INDEX(Sheet2!$I$3:$AP$18, $B22, Sheet1!C$6)</f>
        <v/>
      </c>
      <c r="D44" s="14" t="str" cm="1">
        <f t="array" aca="1" ref="D44" ca="1">_xll.IMDP("IR", D$28&amp;$C44, "BID_Close", $C$4)</f>
        <v/>
      </c>
      <c r="E44" s="19" t="str">
        <f t="shared" ref="E44:AL44" ca="1" si="14">IFERROR( ($D44-E63)*100, "")</f>
        <v/>
      </c>
      <c r="F44" s="20" t="str">
        <f t="shared" ca="1" si="14"/>
        <v/>
      </c>
      <c r="G44" s="20" t="str">
        <f t="shared" ca="1" si="14"/>
        <v/>
      </c>
      <c r="H44" s="20" t="str">
        <f t="shared" ca="1" si="14"/>
        <v/>
      </c>
      <c r="I44" s="20" t="str">
        <f t="shared" ca="1" si="14"/>
        <v/>
      </c>
      <c r="J44" s="20" t="str">
        <f t="shared" ca="1" si="14"/>
        <v/>
      </c>
      <c r="K44" s="20" t="str">
        <f t="shared" ca="1" si="14"/>
        <v/>
      </c>
      <c r="L44" s="20" t="str">
        <f t="shared" ca="1" si="14"/>
        <v/>
      </c>
      <c r="M44" s="20" t="str">
        <f t="shared" ca="1" si="14"/>
        <v/>
      </c>
      <c r="N44" s="20" t="str">
        <f t="shared" ca="1" si="14"/>
        <v/>
      </c>
      <c r="O44" s="20" t="str">
        <f t="shared" ca="1" si="14"/>
        <v/>
      </c>
      <c r="P44" s="20" t="str">
        <f t="shared" ca="1" si="14"/>
        <v/>
      </c>
      <c r="Q44" s="20" t="str">
        <f t="shared" ca="1" si="14"/>
        <v/>
      </c>
      <c r="R44" s="20" t="str">
        <f t="shared" ca="1" si="14"/>
        <v/>
      </c>
      <c r="S44" s="20" t="str">
        <f t="shared" ca="1" si="14"/>
        <v/>
      </c>
      <c r="T44" s="20" t="str">
        <f t="shared" ca="1" si="14"/>
        <v/>
      </c>
      <c r="U44" s="20" t="str">
        <f t="shared" ca="1" si="14"/>
        <v/>
      </c>
      <c r="V44" s="20" t="str">
        <f t="shared" ca="1" si="14"/>
        <v/>
      </c>
      <c r="W44" s="20" t="str">
        <f t="shared" ca="1" si="14"/>
        <v/>
      </c>
      <c r="X44" s="20" t="str">
        <f t="shared" ca="1" si="14"/>
        <v/>
      </c>
      <c r="Y44" s="20" t="str">
        <f t="shared" ca="1" si="14"/>
        <v/>
      </c>
      <c r="Z44" s="20" t="str">
        <f t="shared" ca="1" si="14"/>
        <v/>
      </c>
      <c r="AA44" s="20" t="str">
        <f t="shared" ca="1" si="14"/>
        <v/>
      </c>
      <c r="AB44" s="20" t="str">
        <f t="shared" ca="1" si="14"/>
        <v/>
      </c>
      <c r="AC44" s="20" t="str">
        <f t="shared" ca="1" si="14"/>
        <v/>
      </c>
      <c r="AD44" s="20" t="str">
        <f t="shared" ca="1" si="14"/>
        <v/>
      </c>
      <c r="AE44" s="20" t="str">
        <f t="shared" ca="1" si="14"/>
        <v/>
      </c>
      <c r="AF44" s="20" t="str">
        <f t="shared" ca="1" si="14"/>
        <v/>
      </c>
      <c r="AG44" s="20" t="str">
        <f t="shared" ca="1" si="14"/>
        <v/>
      </c>
      <c r="AH44" s="20" t="str">
        <f t="shared" ca="1" si="14"/>
        <v/>
      </c>
      <c r="AI44" s="20" t="str">
        <f t="shared" ca="1" si="14"/>
        <v/>
      </c>
      <c r="AJ44" s="20" t="str">
        <f t="shared" ca="1" si="14"/>
        <v/>
      </c>
      <c r="AK44" s="20" t="str">
        <f t="shared" ca="1" si="14"/>
        <v/>
      </c>
      <c r="AL44" s="21" t="str">
        <f t="shared" ca="1" si="14"/>
        <v/>
      </c>
    </row>
    <row r="45" spans="3:38" s="5" customFormat="1" ht="13.5" customHeight="1" thickBot="1">
      <c r="C45" s="43" t="str" cm="1">
        <f t="array" ref="C45">INDEX(Sheet2!$I$3:$AP$18, $B23, Sheet1!C$6)</f>
        <v/>
      </c>
      <c r="D45" s="15" t="str" cm="1">
        <f t="array" aca="1" ref="D45" ca="1">_xll.IMDP("IR", D$28&amp;$C45, "BID_Close", $C$4)</f>
        <v/>
      </c>
      <c r="E45" s="22" t="str">
        <f t="shared" ref="E45:AL45" ca="1" si="15">IFERROR( ($D45-E64)*100, "")</f>
        <v/>
      </c>
      <c r="F45" s="23" t="str">
        <f t="shared" ca="1" si="15"/>
        <v/>
      </c>
      <c r="G45" s="23" t="str">
        <f t="shared" ca="1" si="15"/>
        <v/>
      </c>
      <c r="H45" s="23" t="str">
        <f t="shared" ca="1" si="15"/>
        <v/>
      </c>
      <c r="I45" s="23" t="str">
        <f t="shared" ca="1" si="15"/>
        <v/>
      </c>
      <c r="J45" s="23" t="str">
        <f t="shared" ca="1" si="15"/>
        <v/>
      </c>
      <c r="K45" s="23" t="str">
        <f t="shared" ca="1" si="15"/>
        <v/>
      </c>
      <c r="L45" s="23" t="str">
        <f t="shared" ca="1" si="15"/>
        <v/>
      </c>
      <c r="M45" s="23" t="str">
        <f t="shared" ca="1" si="15"/>
        <v/>
      </c>
      <c r="N45" s="23" t="str">
        <f t="shared" ca="1" si="15"/>
        <v/>
      </c>
      <c r="O45" s="23" t="str">
        <f t="shared" ca="1" si="15"/>
        <v/>
      </c>
      <c r="P45" s="23" t="str">
        <f t="shared" ca="1" si="15"/>
        <v/>
      </c>
      <c r="Q45" s="23" t="str">
        <f t="shared" ca="1" si="15"/>
        <v/>
      </c>
      <c r="R45" s="23" t="str">
        <f t="shared" ca="1" si="15"/>
        <v/>
      </c>
      <c r="S45" s="23" t="str">
        <f t="shared" ca="1" si="15"/>
        <v/>
      </c>
      <c r="T45" s="23" t="str">
        <f t="shared" ca="1" si="15"/>
        <v/>
      </c>
      <c r="U45" s="23" t="str">
        <f t="shared" ca="1" si="15"/>
        <v/>
      </c>
      <c r="V45" s="23" t="str">
        <f t="shared" ca="1" si="15"/>
        <v/>
      </c>
      <c r="W45" s="23" t="str">
        <f t="shared" ca="1" si="15"/>
        <v/>
      </c>
      <c r="X45" s="23" t="str">
        <f t="shared" ca="1" si="15"/>
        <v/>
      </c>
      <c r="Y45" s="23" t="str">
        <f t="shared" ca="1" si="15"/>
        <v/>
      </c>
      <c r="Z45" s="23" t="str">
        <f t="shared" ca="1" si="15"/>
        <v/>
      </c>
      <c r="AA45" s="23" t="str">
        <f t="shared" ca="1" si="15"/>
        <v/>
      </c>
      <c r="AB45" s="23" t="str">
        <f t="shared" ca="1" si="15"/>
        <v/>
      </c>
      <c r="AC45" s="23" t="str">
        <f t="shared" ca="1" si="15"/>
        <v/>
      </c>
      <c r="AD45" s="23" t="str">
        <f t="shared" ca="1" si="15"/>
        <v/>
      </c>
      <c r="AE45" s="23" t="str">
        <f t="shared" ca="1" si="15"/>
        <v/>
      </c>
      <c r="AF45" s="23" t="str">
        <f t="shared" ca="1" si="15"/>
        <v/>
      </c>
      <c r="AG45" s="23" t="str">
        <f t="shared" ca="1" si="15"/>
        <v/>
      </c>
      <c r="AH45" s="23" t="str">
        <f t="shared" ca="1" si="15"/>
        <v/>
      </c>
      <c r="AI45" s="23" t="str">
        <f t="shared" ca="1" si="15"/>
        <v/>
      </c>
      <c r="AJ45" s="23" t="str">
        <f t="shared" ca="1" si="15"/>
        <v/>
      </c>
      <c r="AK45" s="23" t="str">
        <f t="shared" ca="1" si="15"/>
        <v/>
      </c>
      <c r="AL45" s="24" t="str">
        <f t="shared" ca="1" si="15"/>
        <v/>
      </c>
    </row>
    <row r="46" spans="3:38"/>
    <row r="47" spans="3:38"/>
    <row r="48" spans="3:38" hidden="1">
      <c r="E48" s="2" t="s">
        <v>33</v>
      </c>
      <c r="F48" s="2" t="s">
        <v>34</v>
      </c>
      <c r="G48" s="2" t="s">
        <v>35</v>
      </c>
      <c r="H48" s="2" t="s">
        <v>36</v>
      </c>
      <c r="I48" s="2" t="s">
        <v>37</v>
      </c>
      <c r="J48" s="2" t="s">
        <v>38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43</v>
      </c>
      <c r="P48" s="2" t="s">
        <v>44</v>
      </c>
      <c r="Q48" s="2" t="s">
        <v>45</v>
      </c>
      <c r="R48" s="2" t="s">
        <v>46</v>
      </c>
      <c r="S48" s="2" t="s">
        <v>47</v>
      </c>
      <c r="T48" s="2" t="s">
        <v>48</v>
      </c>
      <c r="U48" s="2" t="s">
        <v>49</v>
      </c>
      <c r="V48" s="2" t="s">
        <v>50</v>
      </c>
      <c r="W48" s="2" t="s">
        <v>51</v>
      </c>
      <c r="X48" s="2" t="s">
        <v>52</v>
      </c>
      <c r="Y48" s="2" t="s">
        <v>53</v>
      </c>
      <c r="Z48" s="2" t="s">
        <v>54</v>
      </c>
      <c r="AA48" s="2" t="s">
        <v>55</v>
      </c>
      <c r="AB48" s="2" t="s">
        <v>56</v>
      </c>
      <c r="AC48" s="2" t="s">
        <v>57</v>
      </c>
      <c r="AD48" s="2" t="s">
        <v>58</v>
      </c>
      <c r="AE48" s="2" t="s">
        <v>59</v>
      </c>
      <c r="AF48" s="2" t="s">
        <v>60</v>
      </c>
      <c r="AG48" s="2" t="s">
        <v>61</v>
      </c>
      <c r="AH48" s="2" t="s">
        <v>62</v>
      </c>
      <c r="AI48" s="2" t="s">
        <v>63</v>
      </c>
      <c r="AJ48" s="2" t="s">
        <v>64</v>
      </c>
      <c r="AK48" s="2" t="s">
        <v>65</v>
      </c>
      <c r="AL48" s="2" t="s">
        <v>66</v>
      </c>
    </row>
    <row r="49" spans="5:38" hidden="1">
      <c r="E49" t="str" cm="1">
        <f t="array" aca="1" ref="E49" ca="1">_xll.IMDP("IR", E$48&amp;$C30, Sheet2!$G$4, $C$4)</f>
        <v/>
      </c>
      <c r="F49" t="str" cm="1">
        <f t="array" aca="1" ref="F49" ca="1">_xll.IMDP("IR", F$48&amp;$C30, Sheet2!$G$4, $C$4)</f>
        <v/>
      </c>
      <c r="G49" t="str" cm="1">
        <f t="array" aca="1" ref="G49" ca="1">_xll.IMDP("IR", G$48&amp;$C30, Sheet2!$G$4, $C$4)</f>
        <v/>
      </c>
      <c r="H49" t="str" cm="1">
        <f t="array" aca="1" ref="H49" ca="1">_xll.IMDP("IR", H$48&amp;$C30, Sheet2!$G$4, $C$4)</f>
        <v/>
      </c>
      <c r="I49" t="str" cm="1">
        <f t="array" aca="1" ref="I49" ca="1">_xll.IMDP("IR", I$48&amp;$C30, Sheet2!$G$4, $C$4)</f>
        <v/>
      </c>
      <c r="J49" t="str" cm="1">
        <f t="array" aca="1" ref="J49" ca="1">_xll.IMDP("IR", J$48&amp;$C30, Sheet2!$G$4, $C$4)</f>
        <v/>
      </c>
      <c r="K49" t="str" cm="1">
        <f t="array" aca="1" ref="K49" ca="1">_xll.IMDP("IR", K$48&amp;$C30, Sheet2!$G$4, $C$4)</f>
        <v/>
      </c>
      <c r="L49" t="str" cm="1">
        <f t="array" aca="1" ref="L49" ca="1">_xll.IMDP("IR", L$48&amp;$C30, Sheet2!$G$4, $C$4)</f>
        <v/>
      </c>
      <c r="M49" cm="1">
        <f t="array" aca="1" ref="M49" ca="1">_xll.IMDP("IR", M$48&amp;$C30, Sheet2!$G$4, $C$4)</f>
        <v>8.5350000000000001</v>
      </c>
      <c r="N49" cm="1">
        <f t="array" aca="1" ref="N49" ca="1">_xll.IMDP("IR", N$48&amp;$C30, Sheet2!$G$4, $C$4)</f>
        <v>4.2290000000000001</v>
      </c>
      <c r="O49" t="str" cm="1">
        <f t="array" aca="1" ref="O49" ca="1">_xll.IMDP("IR", O$48&amp;$C30, Sheet2!$G$4, $C$4)</f>
        <v/>
      </c>
      <c r="P49" t="str" cm="1">
        <f t="array" aca="1" ref="P49" ca="1">_xll.IMDP("IR", P$48&amp;$C30, Sheet2!$G$4, $C$4)</f>
        <v/>
      </c>
      <c r="Q49" t="str" cm="1">
        <f t="array" aca="1" ref="Q49" ca="1">_xll.IMDP("IR", Q$48&amp;$C30, Sheet2!$G$4, $C$4)</f>
        <v/>
      </c>
      <c r="R49" t="str" cm="1">
        <f t="array" aca="1" ref="R49" ca="1">_xll.IMDP("IR", R$48&amp;$C30, Sheet2!$G$4, $C$4)</f>
        <v/>
      </c>
      <c r="S49" t="str" cm="1">
        <f t="array" aca="1" ref="S49" ca="1">_xll.IMDP("IR", S$48&amp;$C30, Sheet2!$G$4, $C$4)</f>
        <v/>
      </c>
      <c r="T49" t="str" cm="1">
        <f t="array" aca="1" ref="T49" ca="1">_xll.IMDP("IR", T$48&amp;$C30, Sheet2!$G$4, $C$4)</f>
        <v/>
      </c>
      <c r="U49" t="str" cm="1">
        <f t="array" aca="1" ref="U49" ca="1">_xll.IMDP("IR", U$48&amp;$C30, Sheet2!$G$4, $C$4)</f>
        <v/>
      </c>
      <c r="V49" t="str" cm="1">
        <f t="array" aca="1" ref="V49" ca="1">_xll.IMDP("IR", V$48&amp;$C30, Sheet2!$G$4, $C$4)</f>
        <v/>
      </c>
      <c r="W49" t="str" cm="1">
        <f t="array" aca="1" ref="W49" ca="1">_xll.IMDP("IR", W$48&amp;$C30, Sheet2!$G$4, $C$4)</f>
        <v/>
      </c>
      <c r="X49" t="str" cm="1">
        <f t="array" aca="1" ref="X49" ca="1">_xll.IMDP("IR", X$48&amp;$C30, Sheet2!$G$4, $C$4)</f>
        <v/>
      </c>
      <c r="Y49" cm="1">
        <f t="array" aca="1" ref="Y49" ca="1">_xll.IMDP("IR", Y$48&amp;$C30, Sheet2!$G$4, $C$4)</f>
        <v>6.3</v>
      </c>
      <c r="Z49" t="str" cm="1">
        <f t="array" aca="1" ref="Z49" ca="1">_xll.IMDP("IR", Z$48&amp;$C30, Sheet2!$G$4, $C$4)</f>
        <v/>
      </c>
      <c r="AA49" t="str" cm="1">
        <f t="array" aca="1" ref="AA49" ca="1">_xll.IMDP("IR", AA$48&amp;$C30, Sheet2!$G$4, $C$4)</f>
        <v/>
      </c>
      <c r="AB49" t="str" cm="1">
        <f t="array" aca="1" ref="AB49" ca="1">_xll.IMDP("IR", AB$48&amp;$C30, Sheet2!$G$4, $C$4)</f>
        <v/>
      </c>
      <c r="AC49" t="str" cm="1">
        <f t="array" aca="1" ref="AC49" ca="1">_xll.IMDP("IR", AC$48&amp;$C30, Sheet2!$G$4, $C$4)</f>
        <v/>
      </c>
      <c r="AD49" t="str" cm="1">
        <f t="array" aca="1" ref="AD49" ca="1">_xll.IMDP("IR", AD$48&amp;$C30, Sheet2!$G$4, $C$4)</f>
        <v/>
      </c>
      <c r="AE49" t="str" cm="1">
        <f t="array" aca="1" ref="AE49" ca="1">_xll.IMDP("IR", AE$48&amp;$C30, Sheet2!$G$4, $C$4)</f>
        <v/>
      </c>
      <c r="AF49" t="str" cm="1">
        <f t="array" aca="1" ref="AF49" ca="1">_xll.IMDP("IR", AF$48&amp;$C30, Sheet2!$G$4, $C$4)</f>
        <v/>
      </c>
      <c r="AG49" t="str" cm="1">
        <f t="array" aca="1" ref="AG49" ca="1">_xll.IMDP("IR", AG$48&amp;$C30, Sheet2!$G$4, $C$4)</f>
        <v/>
      </c>
      <c r="AH49" t="str" cm="1">
        <f t="array" aca="1" ref="AH49" ca="1">_xll.IMDP("IR", AH$48&amp;$C30, Sheet2!$G$4, $C$4)</f>
        <v/>
      </c>
      <c r="AI49" t="str" cm="1">
        <f t="array" aca="1" ref="AI49" ca="1">_xll.IMDP("IR", AI$48&amp;$C30, Sheet2!$G$4, $C$4)</f>
        <v/>
      </c>
      <c r="AJ49" t="str" cm="1">
        <f t="array" aca="1" ref="AJ49" ca="1">_xll.IMDP("IR", AJ$48&amp;$C30, Sheet2!$G$4, $C$4)</f>
        <v/>
      </c>
      <c r="AK49" t="str" cm="1">
        <f t="array" aca="1" ref="AK49" ca="1">_xll.IMDP("IR", AK$48&amp;$C30, Sheet2!$G$4, $C$4)</f>
        <v/>
      </c>
      <c r="AL49" t="str" cm="1">
        <f t="array" aca="1" ref="AL49" ca="1">_xll.IMDP("IR", AL$48&amp;$C30, Sheet2!$G$4, $C$4)</f>
        <v/>
      </c>
    </row>
    <row r="50" spans="5:38" hidden="1">
      <c r="E50" t="str" cm="1">
        <f t="array" aca="1" ref="E50" ca="1">_xll.IMDP("IR", E$48&amp;$C31, Sheet2!$G$4, $C$4)</f>
        <v/>
      </c>
      <c r="F50" t="str" cm="1">
        <f t="array" aca="1" ref="F50" ca="1">_xll.IMDP("IR", F$48&amp;$C31, Sheet2!$G$4, $C$4)</f>
        <v/>
      </c>
      <c r="G50" t="str" cm="1">
        <f t="array" aca="1" ref="G50" ca="1">_xll.IMDP("IR", G$48&amp;$C31, Sheet2!$G$4, $C$4)</f>
        <v/>
      </c>
      <c r="H50" t="str" cm="1">
        <f t="array" aca="1" ref="H50" ca="1">_xll.IMDP("IR", H$48&amp;$C31, Sheet2!$G$4, $C$4)</f>
        <v/>
      </c>
      <c r="I50" t="str" cm="1">
        <f t="array" aca="1" ref="I50" ca="1">_xll.IMDP("IR", I$48&amp;$C31, Sheet2!$G$4, $C$4)</f>
        <v/>
      </c>
      <c r="J50" t="str" cm="1">
        <f t="array" aca="1" ref="J50" ca="1">_xll.IMDP("IR", J$48&amp;$C31, Sheet2!$G$4, $C$4)</f>
        <v/>
      </c>
      <c r="K50" t="str" cm="1">
        <f t="array" aca="1" ref="K50" ca="1">_xll.IMDP("IR", K$48&amp;$C31, Sheet2!$G$4, $C$4)</f>
        <v/>
      </c>
      <c r="L50" t="str" cm="1">
        <f t="array" aca="1" ref="L50" ca="1">_xll.IMDP("IR", L$48&amp;$C31, Sheet2!$G$4, $C$4)</f>
        <v/>
      </c>
      <c r="M50" t="str" cm="1">
        <f t="array" aca="1" ref="M50" ca="1">_xll.IMDP("IR", M$48&amp;$C31, Sheet2!$G$4, $C$4)</f>
        <v/>
      </c>
      <c r="N50" cm="1">
        <f t="array" aca="1" ref="N50" ca="1">_xll.IMDP("IR", N$48&amp;$C31, Sheet2!$G$4, $C$4)</f>
        <v>4.3810000000000002</v>
      </c>
      <c r="O50" t="str" cm="1">
        <f t="array" aca="1" ref="O50" ca="1">_xll.IMDP("IR", O$48&amp;$C31, Sheet2!$G$4, $C$4)</f>
        <v/>
      </c>
      <c r="P50" t="str" cm="1">
        <f t="array" aca="1" ref="P50" ca="1">_xll.IMDP("IR", P$48&amp;$C31, Sheet2!$G$4, $C$4)</f>
        <v/>
      </c>
      <c r="Q50" t="str" cm="1">
        <f t="array" aca="1" ref="Q50" ca="1">_xll.IMDP("IR", Q$48&amp;$C31, Sheet2!$G$4, $C$4)</f>
        <v/>
      </c>
      <c r="R50" t="str" cm="1">
        <f t="array" aca="1" ref="R50" ca="1">_xll.IMDP("IR", R$48&amp;$C31, Sheet2!$G$4, $C$4)</f>
        <v/>
      </c>
      <c r="S50" t="str" cm="1">
        <f t="array" aca="1" ref="S50" ca="1">_xll.IMDP("IR", S$48&amp;$C31, Sheet2!$G$4, $C$4)</f>
        <v/>
      </c>
      <c r="T50" t="str" cm="1">
        <f t="array" aca="1" ref="T50" ca="1">_xll.IMDP("IR", T$48&amp;$C31, Sheet2!$G$4, $C$4)</f>
        <v/>
      </c>
      <c r="U50" t="str" cm="1">
        <f t="array" aca="1" ref="U50" ca="1">_xll.IMDP("IR", U$48&amp;$C31, Sheet2!$G$4, $C$4)</f>
        <v/>
      </c>
      <c r="V50" t="str" cm="1">
        <f t="array" aca="1" ref="V50" ca="1">_xll.IMDP("IR", V$48&amp;$C31, Sheet2!$G$4, $C$4)</f>
        <v/>
      </c>
      <c r="W50" t="str" cm="1">
        <f t="array" aca="1" ref="W50" ca="1">_xll.IMDP("IR", W$48&amp;$C31, Sheet2!$G$4, $C$4)</f>
        <v/>
      </c>
      <c r="X50" t="str" cm="1">
        <f t="array" aca="1" ref="X50" ca="1">_xll.IMDP("IR", X$48&amp;$C31, Sheet2!$G$4, $C$4)</f>
        <v/>
      </c>
      <c r="Y50" t="str" cm="1">
        <f t="array" aca="1" ref="Y50" ca="1">_xll.IMDP("IR", Y$48&amp;$C31, Sheet2!$G$4, $C$4)</f>
        <v/>
      </c>
      <c r="Z50" t="str" cm="1">
        <f t="array" aca="1" ref="Z50" ca="1">_xll.IMDP("IR", Z$48&amp;$C31, Sheet2!$G$4, $C$4)</f>
        <v/>
      </c>
      <c r="AA50" t="str" cm="1">
        <f t="array" aca="1" ref="AA50" ca="1">_xll.IMDP("IR", AA$48&amp;$C31, Sheet2!$G$4, $C$4)</f>
        <v/>
      </c>
      <c r="AB50" t="str" cm="1">
        <f t="array" aca="1" ref="AB50" ca="1">_xll.IMDP("IR", AB$48&amp;$C31, Sheet2!$G$4, $C$4)</f>
        <v/>
      </c>
      <c r="AC50" t="str" cm="1">
        <f t="array" aca="1" ref="AC50" ca="1">_xll.IMDP("IR", AC$48&amp;$C31, Sheet2!$G$4, $C$4)</f>
        <v/>
      </c>
      <c r="AD50" t="str" cm="1">
        <f t="array" aca="1" ref="AD50" ca="1">_xll.IMDP("IR", AD$48&amp;$C31, Sheet2!$G$4, $C$4)</f>
        <v/>
      </c>
      <c r="AE50" t="str" cm="1">
        <f t="array" aca="1" ref="AE50" ca="1">_xll.IMDP("IR", AE$48&amp;$C31, Sheet2!$G$4, $C$4)</f>
        <v/>
      </c>
      <c r="AF50" t="str" cm="1">
        <f t="array" aca="1" ref="AF50" ca="1">_xll.IMDP("IR", AF$48&amp;$C31, Sheet2!$G$4, $C$4)</f>
        <v/>
      </c>
      <c r="AG50" t="str" cm="1">
        <f t="array" aca="1" ref="AG50" ca="1">_xll.IMDP("IR", AG$48&amp;$C31, Sheet2!$G$4, $C$4)</f>
        <v/>
      </c>
      <c r="AH50" t="str" cm="1">
        <f t="array" aca="1" ref="AH50" ca="1">_xll.IMDP("IR", AH$48&amp;$C31, Sheet2!$G$4, $C$4)</f>
        <v/>
      </c>
      <c r="AI50" t="str" cm="1">
        <f t="array" aca="1" ref="AI50" ca="1">_xll.IMDP("IR", AI$48&amp;$C31, Sheet2!$G$4, $C$4)</f>
        <v/>
      </c>
      <c r="AJ50" t="str" cm="1">
        <f t="array" aca="1" ref="AJ50" ca="1">_xll.IMDP("IR", AJ$48&amp;$C31, Sheet2!$G$4, $C$4)</f>
        <v/>
      </c>
      <c r="AK50" t="str" cm="1">
        <f t="array" aca="1" ref="AK50" ca="1">_xll.IMDP("IR", AK$48&amp;$C31, Sheet2!$G$4, $C$4)</f>
        <v/>
      </c>
      <c r="AL50" t="str" cm="1">
        <f t="array" aca="1" ref="AL50" ca="1">_xll.IMDP("IR", AL$48&amp;$C31, Sheet2!$G$4, $C$4)</f>
        <v/>
      </c>
    </row>
    <row r="51" spans="5:38" hidden="1">
      <c r="E51" t="str" cm="1">
        <f t="array" aca="1" ref="E51" ca="1">_xll.IMDP("IR", E$48&amp;$C32, Sheet2!$G$4, $C$4)</f>
        <v/>
      </c>
      <c r="F51" t="str" cm="1">
        <f t="array" aca="1" ref="F51" ca="1">_xll.IMDP("IR", F$48&amp;$C32, Sheet2!$G$4, $C$4)</f>
        <v/>
      </c>
      <c r="G51" t="str" cm="1">
        <f t="array" aca="1" ref="G51" ca="1">_xll.IMDP("IR", G$48&amp;$C32, Sheet2!$G$4, $C$4)</f>
        <v/>
      </c>
      <c r="H51" t="str" cm="1">
        <f t="array" aca="1" ref="H51" ca="1">_xll.IMDP("IR", H$48&amp;$C32, Sheet2!$G$4, $C$4)</f>
        <v/>
      </c>
      <c r="I51" t="str" cm="1">
        <f t="array" aca="1" ref="I51" ca="1">_xll.IMDP("IR", I$48&amp;$C32, Sheet2!$G$4, $C$4)</f>
        <v/>
      </c>
      <c r="J51" t="str" cm="1">
        <f t="array" aca="1" ref="J51" ca="1">_xll.IMDP("IR", J$48&amp;$C32, Sheet2!$G$4, $C$4)</f>
        <v/>
      </c>
      <c r="K51" t="str" cm="1">
        <f t="array" aca="1" ref="K51" ca="1">_xll.IMDP("IR", K$48&amp;$C32, Sheet2!$G$4, $C$4)</f>
        <v/>
      </c>
      <c r="L51" t="str" cm="1">
        <f t="array" aca="1" ref="L51" ca="1">_xll.IMDP("IR", L$48&amp;$C32, Sheet2!$G$4, $C$4)</f>
        <v/>
      </c>
      <c r="M51" cm="1">
        <f t="array" aca="1" ref="M51" ca="1">_xll.IMDP("IR", M$48&amp;$C32, Sheet2!$G$4, $C$4)</f>
        <v>8.14</v>
      </c>
      <c r="N51" cm="1">
        <f t="array" aca="1" ref="N51" ca="1">_xll.IMDP("IR", N$48&amp;$C32, Sheet2!$G$4, $C$4)</f>
        <v>4.3540000000000001</v>
      </c>
      <c r="O51" t="str" cm="1">
        <f t="array" aca="1" ref="O51" ca="1">_xll.IMDP("IR", O$48&amp;$C32, Sheet2!$G$4, $C$4)</f>
        <v/>
      </c>
      <c r="P51" t="str" cm="1">
        <f t="array" aca="1" ref="P51" ca="1">_xll.IMDP("IR", P$48&amp;$C32, Sheet2!$G$4, $C$4)</f>
        <v/>
      </c>
      <c r="Q51" t="str" cm="1">
        <f t="array" aca="1" ref="Q51" ca="1">_xll.IMDP("IR", Q$48&amp;$C32, Sheet2!$G$4, $C$4)</f>
        <v/>
      </c>
      <c r="R51" t="str" cm="1">
        <f t="array" aca="1" ref="R51" ca="1">_xll.IMDP("IR", R$48&amp;$C32, Sheet2!$G$4, $C$4)</f>
        <v/>
      </c>
      <c r="S51" t="str" cm="1">
        <f t="array" aca="1" ref="S51" ca="1">_xll.IMDP("IR", S$48&amp;$C32, Sheet2!$G$4, $C$4)</f>
        <v/>
      </c>
      <c r="T51" t="str" cm="1">
        <f t="array" aca="1" ref="T51" ca="1">_xll.IMDP("IR", T$48&amp;$C32, Sheet2!$G$4, $C$4)</f>
        <v/>
      </c>
      <c r="U51" t="str" cm="1">
        <f t="array" aca="1" ref="U51" ca="1">_xll.IMDP("IR", U$48&amp;$C32, Sheet2!$G$4, $C$4)</f>
        <v/>
      </c>
      <c r="V51" t="str" cm="1">
        <f t="array" aca="1" ref="V51" ca="1">_xll.IMDP("IR", V$48&amp;$C32, Sheet2!$G$4, $C$4)</f>
        <v/>
      </c>
      <c r="W51" t="str" cm="1">
        <f t="array" aca="1" ref="W51" ca="1">_xll.IMDP("IR", W$48&amp;$C32, Sheet2!$G$4, $C$4)</f>
        <v/>
      </c>
      <c r="X51" t="str" cm="1">
        <f t="array" aca="1" ref="X51" ca="1">_xll.IMDP("IR", X$48&amp;$C32, Sheet2!$G$4, $C$4)</f>
        <v/>
      </c>
      <c r="Y51" cm="1">
        <f t="array" aca="1" ref="Y51" ca="1">_xll.IMDP("IR", Y$48&amp;$C32, Sheet2!$G$4, $C$4)</f>
        <v>6.32</v>
      </c>
      <c r="Z51" t="str" cm="1">
        <f t="array" aca="1" ref="Z51" ca="1">_xll.IMDP("IR", Z$48&amp;$C32, Sheet2!$G$4, $C$4)</f>
        <v/>
      </c>
      <c r="AA51" t="str" cm="1">
        <f t="array" aca="1" ref="AA51" ca="1">_xll.IMDP("IR", AA$48&amp;$C32, Sheet2!$G$4, $C$4)</f>
        <v/>
      </c>
      <c r="AB51" t="str" cm="1">
        <f t="array" aca="1" ref="AB51" ca="1">_xll.IMDP("IR", AB$48&amp;$C32, Sheet2!$G$4, $C$4)</f>
        <v/>
      </c>
      <c r="AC51" t="str" cm="1">
        <f t="array" aca="1" ref="AC51" ca="1">_xll.IMDP("IR", AC$48&amp;$C32, Sheet2!$G$4, $C$4)</f>
        <v/>
      </c>
      <c r="AD51" t="str" cm="1">
        <f t="array" aca="1" ref="AD51" ca="1">_xll.IMDP("IR", AD$48&amp;$C32, Sheet2!$G$4, $C$4)</f>
        <v/>
      </c>
      <c r="AE51" t="str" cm="1">
        <f t="array" aca="1" ref="AE51" ca="1">_xll.IMDP("IR", AE$48&amp;$C32, Sheet2!$G$4, $C$4)</f>
        <v/>
      </c>
      <c r="AF51" t="str" cm="1">
        <f t="array" aca="1" ref="AF51" ca="1">_xll.IMDP("IR", AF$48&amp;$C32, Sheet2!$G$4, $C$4)</f>
        <v/>
      </c>
      <c r="AG51" t="str" cm="1">
        <f t="array" aca="1" ref="AG51" ca="1">_xll.IMDP("IR", AG$48&amp;$C32, Sheet2!$G$4, $C$4)</f>
        <v/>
      </c>
      <c r="AH51" t="str" cm="1">
        <f t="array" aca="1" ref="AH51" ca="1">_xll.IMDP("IR", AH$48&amp;$C32, Sheet2!$G$4, $C$4)</f>
        <v/>
      </c>
      <c r="AI51" t="str" cm="1">
        <f t="array" aca="1" ref="AI51" ca="1">_xll.IMDP("IR", AI$48&amp;$C32, Sheet2!$G$4, $C$4)</f>
        <v/>
      </c>
      <c r="AJ51" t="str" cm="1">
        <f t="array" aca="1" ref="AJ51" ca="1">_xll.IMDP("IR", AJ$48&amp;$C32, Sheet2!$G$4, $C$4)</f>
        <v/>
      </c>
      <c r="AK51" t="str" cm="1">
        <f t="array" aca="1" ref="AK51" ca="1">_xll.IMDP("IR", AK$48&amp;$C32, Sheet2!$G$4, $C$4)</f>
        <v/>
      </c>
      <c r="AL51" t="str" cm="1">
        <f t="array" aca="1" ref="AL51" ca="1">_xll.IMDP("IR", AL$48&amp;$C32, Sheet2!$G$4, $C$4)</f>
        <v/>
      </c>
    </row>
    <row r="52" spans="5:38" hidden="1">
      <c r="E52" t="str" cm="1">
        <f t="array" aca="1" ref="E52" ca="1">_xll.IMDP("IR", E$48&amp;$C33, Sheet2!$G$4, $C$4)</f>
        <v/>
      </c>
      <c r="F52" t="str" cm="1">
        <f t="array" aca="1" ref="F52" ca="1">_xll.IMDP("IR", F$48&amp;$C33, Sheet2!$G$4, $C$4)</f>
        <v/>
      </c>
      <c r="G52" t="str" cm="1">
        <f t="array" aca="1" ref="G52" ca="1">_xll.IMDP("IR", G$48&amp;$C33, Sheet2!$G$4, $C$4)</f>
        <v/>
      </c>
      <c r="H52" t="str" cm="1">
        <f t="array" aca="1" ref="H52" ca="1">_xll.IMDP("IR", H$48&amp;$C33, Sheet2!$G$4, $C$4)</f>
        <v/>
      </c>
      <c r="I52" t="str" cm="1">
        <f t="array" aca="1" ref="I52" ca="1">_xll.IMDP("IR", I$48&amp;$C33, Sheet2!$G$4, $C$4)</f>
        <v/>
      </c>
      <c r="J52" t="str" cm="1">
        <f t="array" aca="1" ref="J52" ca="1">_xll.IMDP("IR", J$48&amp;$C33, Sheet2!$G$4, $C$4)</f>
        <v/>
      </c>
      <c r="K52" t="str" cm="1">
        <f t="array" aca="1" ref="K52" ca="1">_xll.IMDP("IR", K$48&amp;$C33, Sheet2!$G$4, $C$4)</f>
        <v/>
      </c>
      <c r="L52" t="str" cm="1">
        <f t="array" aca="1" ref="L52" ca="1">_xll.IMDP("IR", L$48&amp;$C33, Sheet2!$G$4, $C$4)</f>
        <v/>
      </c>
      <c r="M52" t="str" cm="1">
        <f t="array" aca="1" ref="M52" ca="1">_xll.IMDP("IR", M$48&amp;$C33, Sheet2!$G$4, $C$4)</f>
        <v/>
      </c>
      <c r="N52" cm="1">
        <f t="array" aca="1" ref="N52" ca="1">_xll.IMDP("IR", N$48&amp;$C33, Sheet2!$G$4, $C$4)</f>
        <v>4.3390000000000004</v>
      </c>
      <c r="O52" t="str" cm="1">
        <f t="array" aca="1" ref="O52" ca="1">_xll.IMDP("IR", O$48&amp;$C33, Sheet2!$G$4, $C$4)</f>
        <v/>
      </c>
      <c r="P52" t="str" cm="1">
        <f t="array" aca="1" ref="P52" ca="1">_xll.IMDP("IR", P$48&amp;$C33, Sheet2!$G$4, $C$4)</f>
        <v/>
      </c>
      <c r="Q52" t="str" cm="1">
        <f t="array" aca="1" ref="Q52" ca="1">_xll.IMDP("IR", Q$48&amp;$C33, Sheet2!$G$4, $C$4)</f>
        <v/>
      </c>
      <c r="R52" t="str" cm="1">
        <f t="array" aca="1" ref="R52" ca="1">_xll.IMDP("IR", R$48&amp;$C33, Sheet2!$G$4, $C$4)</f>
        <v/>
      </c>
      <c r="S52" t="str" cm="1">
        <f t="array" aca="1" ref="S52" ca="1">_xll.IMDP("IR", S$48&amp;$C33, Sheet2!$G$4, $C$4)</f>
        <v/>
      </c>
      <c r="T52" t="str" cm="1">
        <f t="array" aca="1" ref="T52" ca="1">_xll.IMDP("IR", T$48&amp;$C33, Sheet2!$G$4, $C$4)</f>
        <v/>
      </c>
      <c r="U52" t="str" cm="1">
        <f t="array" aca="1" ref="U52" ca="1">_xll.IMDP("IR", U$48&amp;$C33, Sheet2!$G$4, $C$4)</f>
        <v/>
      </c>
      <c r="V52" t="str" cm="1">
        <f t="array" aca="1" ref="V52" ca="1">_xll.IMDP("IR", V$48&amp;$C33, Sheet2!$G$4, $C$4)</f>
        <v/>
      </c>
      <c r="W52" t="str" cm="1">
        <f t="array" aca="1" ref="W52" ca="1">_xll.IMDP("IR", W$48&amp;$C33, Sheet2!$G$4, $C$4)</f>
        <v/>
      </c>
      <c r="X52" t="str" cm="1">
        <f t="array" aca="1" ref="X52" ca="1">_xll.IMDP("IR", X$48&amp;$C33, Sheet2!$G$4, $C$4)</f>
        <v/>
      </c>
      <c r="Y52" t="str" cm="1">
        <f t="array" aca="1" ref="Y52" ca="1">_xll.IMDP("IR", Y$48&amp;$C33, Sheet2!$G$4, $C$4)</f>
        <v/>
      </c>
      <c r="Z52" t="str" cm="1">
        <f t="array" aca="1" ref="Z52" ca="1">_xll.IMDP("IR", Z$48&amp;$C33, Sheet2!$G$4, $C$4)</f>
        <v/>
      </c>
      <c r="AA52" t="str" cm="1">
        <f t="array" aca="1" ref="AA52" ca="1">_xll.IMDP("IR", AA$48&amp;$C33, Sheet2!$G$4, $C$4)</f>
        <v/>
      </c>
      <c r="AB52" t="str" cm="1">
        <f t="array" aca="1" ref="AB52" ca="1">_xll.IMDP("IR", AB$48&amp;$C33, Sheet2!$G$4, $C$4)</f>
        <v/>
      </c>
      <c r="AC52" t="str" cm="1">
        <f t="array" aca="1" ref="AC52" ca="1">_xll.IMDP("IR", AC$48&amp;$C33, Sheet2!$G$4, $C$4)</f>
        <v/>
      </c>
      <c r="AD52" t="str" cm="1">
        <f t="array" aca="1" ref="AD52" ca="1">_xll.IMDP("IR", AD$48&amp;$C33, Sheet2!$G$4, $C$4)</f>
        <v/>
      </c>
      <c r="AE52" t="str" cm="1">
        <f t="array" aca="1" ref="AE52" ca="1">_xll.IMDP("IR", AE$48&amp;$C33, Sheet2!$G$4, $C$4)</f>
        <v/>
      </c>
      <c r="AF52" t="str" cm="1">
        <f t="array" aca="1" ref="AF52" ca="1">_xll.IMDP("IR", AF$48&amp;$C33, Sheet2!$G$4, $C$4)</f>
        <v/>
      </c>
      <c r="AG52" t="str" cm="1">
        <f t="array" aca="1" ref="AG52" ca="1">_xll.IMDP("IR", AG$48&amp;$C33, Sheet2!$G$4, $C$4)</f>
        <v/>
      </c>
      <c r="AH52" t="str" cm="1">
        <f t="array" aca="1" ref="AH52" ca="1">_xll.IMDP("IR", AH$48&amp;$C33, Sheet2!$G$4, $C$4)</f>
        <v/>
      </c>
      <c r="AI52" t="str" cm="1">
        <f t="array" aca="1" ref="AI52" ca="1">_xll.IMDP("IR", AI$48&amp;$C33, Sheet2!$G$4, $C$4)</f>
        <v/>
      </c>
      <c r="AJ52" t="str" cm="1">
        <f t="array" aca="1" ref="AJ52" ca="1">_xll.IMDP("IR", AJ$48&amp;$C33, Sheet2!$G$4, $C$4)</f>
        <v/>
      </c>
      <c r="AK52" t="str" cm="1">
        <f t="array" aca="1" ref="AK52" ca="1">_xll.IMDP("IR", AK$48&amp;$C33, Sheet2!$G$4, $C$4)</f>
        <v/>
      </c>
      <c r="AL52" t="str" cm="1">
        <f t="array" aca="1" ref="AL52" ca="1">_xll.IMDP("IR", AL$48&amp;$C33, Sheet2!$G$4, $C$4)</f>
        <v/>
      </c>
    </row>
    <row r="53" spans="5:38" hidden="1">
      <c r="E53" t="str" cm="1">
        <f t="array" aca="1" ref="E53" ca="1">_xll.IMDP("IR", E$48&amp;$C34, Sheet2!$G$4, $C$4)</f>
        <v/>
      </c>
      <c r="F53" t="str" cm="1">
        <f t="array" aca="1" ref="F53" ca="1">_xll.IMDP("IR", F$48&amp;$C34, Sheet2!$G$4, $C$4)</f>
        <v/>
      </c>
      <c r="G53" t="str" cm="1">
        <f t="array" aca="1" ref="G53" ca="1">_xll.IMDP("IR", G$48&amp;$C34, Sheet2!$G$4, $C$4)</f>
        <v/>
      </c>
      <c r="H53" t="str" cm="1">
        <f t="array" aca="1" ref="H53" ca="1">_xll.IMDP("IR", H$48&amp;$C34, Sheet2!$G$4, $C$4)</f>
        <v/>
      </c>
      <c r="I53" t="str" cm="1">
        <f t="array" aca="1" ref="I53" ca="1">_xll.IMDP("IR", I$48&amp;$C34, Sheet2!$G$4, $C$4)</f>
        <v/>
      </c>
      <c r="J53" t="str" cm="1">
        <f t="array" aca="1" ref="J53" ca="1">_xll.IMDP("IR", J$48&amp;$C34, Sheet2!$G$4, $C$4)</f>
        <v/>
      </c>
      <c r="K53" t="str" cm="1">
        <f t="array" aca="1" ref="K53" ca="1">_xll.IMDP("IR", K$48&amp;$C34, Sheet2!$G$4, $C$4)</f>
        <v/>
      </c>
      <c r="L53" t="str" cm="1">
        <f t="array" aca="1" ref="L53" ca="1">_xll.IMDP("IR", L$48&amp;$C34, Sheet2!$G$4, $C$4)</f>
        <v/>
      </c>
      <c r="M53" cm="1">
        <f t="array" aca="1" ref="M53" ca="1">_xll.IMDP("IR", M$48&amp;$C34, Sheet2!$G$4, $C$4)</f>
        <v>7.9770000000000003</v>
      </c>
      <c r="N53" cm="1">
        <f t="array" aca="1" ref="N53" ca="1">_xll.IMDP("IR", N$48&amp;$C34, Sheet2!$G$4, $C$4)</f>
        <v>4.3019999999999996</v>
      </c>
      <c r="O53" t="str" cm="1">
        <f t="array" aca="1" ref="O53" ca="1">_xll.IMDP("IR", O$48&amp;$C34, Sheet2!$G$4, $C$4)</f>
        <v/>
      </c>
      <c r="P53" cm="1">
        <f t="array" aca="1" ref="P53" ca="1">_xll.IMDP("IR", P$48&amp;$C34, Sheet2!$G$4, $C$4)</f>
        <v>14.993</v>
      </c>
      <c r="Q53" t="str" cm="1">
        <f t="array" aca="1" ref="Q53" ca="1">_xll.IMDP("IR", Q$48&amp;$C34, Sheet2!$G$4, $C$4)</f>
        <v/>
      </c>
      <c r="R53" t="str" cm="1">
        <f t="array" aca="1" ref="R53" ca="1">_xll.IMDP("IR", R$48&amp;$C34, Sheet2!$G$4, $C$4)</f>
        <v/>
      </c>
      <c r="S53" t="str" cm="1">
        <f t="array" aca="1" ref="S53" ca="1">_xll.IMDP("IR", S$48&amp;$C34, Sheet2!$G$4, $C$4)</f>
        <v/>
      </c>
      <c r="T53" t="str" cm="1">
        <f t="array" aca="1" ref="T53" ca="1">_xll.IMDP("IR", T$48&amp;$C34, Sheet2!$G$4, $C$4)</f>
        <v/>
      </c>
      <c r="U53" t="str" cm="1">
        <f t="array" aca="1" ref="U53" ca="1">_xll.IMDP("IR", U$48&amp;$C34, Sheet2!$G$4, $C$4)</f>
        <v/>
      </c>
      <c r="V53" t="str" cm="1">
        <f t="array" aca="1" ref="V53" ca="1">_xll.IMDP("IR", V$48&amp;$C34, Sheet2!$G$4, $C$4)</f>
        <v/>
      </c>
      <c r="W53" t="str" cm="1">
        <f t="array" aca="1" ref="W53" ca="1">_xll.IMDP("IR", W$48&amp;$C34, Sheet2!$G$4, $C$4)</f>
        <v/>
      </c>
      <c r="X53" t="str" cm="1">
        <f t="array" aca="1" ref="X53" ca="1">_xll.IMDP("IR", X$48&amp;$C34, Sheet2!$G$4, $C$4)</f>
        <v/>
      </c>
      <c r="Y53" cm="1">
        <f t="array" aca="1" ref="Y53" ca="1">_xll.IMDP("IR", Y$48&amp;$C34, Sheet2!$G$4, $C$4)</f>
        <v>6.35</v>
      </c>
      <c r="Z53" t="str" cm="1">
        <f t="array" aca="1" ref="Z53" ca="1">_xll.IMDP("IR", Z$48&amp;$C34, Sheet2!$G$4, $C$4)</f>
        <v/>
      </c>
      <c r="AA53" t="str" cm="1">
        <f t="array" aca="1" ref="AA53" ca="1">_xll.IMDP("IR", AA$48&amp;$C34, Sheet2!$G$4, $C$4)</f>
        <v/>
      </c>
      <c r="AB53" t="str" cm="1">
        <f t="array" aca="1" ref="AB53" ca="1">_xll.IMDP("IR", AB$48&amp;$C34, Sheet2!$G$4, $C$4)</f>
        <v/>
      </c>
      <c r="AC53" t="str" cm="1">
        <f t="array" aca="1" ref="AC53" ca="1">_xll.IMDP("IR", AC$48&amp;$C34, Sheet2!$G$4, $C$4)</f>
        <v/>
      </c>
      <c r="AD53" t="str" cm="1">
        <f t="array" aca="1" ref="AD53" ca="1">_xll.IMDP("IR", AD$48&amp;$C34, Sheet2!$G$4, $C$4)</f>
        <v/>
      </c>
      <c r="AE53" t="str" cm="1">
        <f t="array" aca="1" ref="AE53" ca="1">_xll.IMDP("IR", AE$48&amp;$C34, Sheet2!$G$4, $C$4)</f>
        <v/>
      </c>
      <c r="AF53" t="str" cm="1">
        <f t="array" aca="1" ref="AF53" ca="1">_xll.IMDP("IR", AF$48&amp;$C34, Sheet2!$G$4, $C$4)</f>
        <v/>
      </c>
      <c r="AG53" t="str" cm="1">
        <f t="array" aca="1" ref="AG53" ca="1">_xll.IMDP("IR", AG$48&amp;$C34, Sheet2!$G$4, $C$4)</f>
        <v/>
      </c>
      <c r="AH53" t="str" cm="1">
        <f t="array" aca="1" ref="AH53" ca="1">_xll.IMDP("IR", AH$48&amp;$C34, Sheet2!$G$4, $C$4)</f>
        <v/>
      </c>
      <c r="AI53" t="str" cm="1">
        <f t="array" aca="1" ref="AI53" ca="1">_xll.IMDP("IR", AI$48&amp;$C34, Sheet2!$G$4, $C$4)</f>
        <v/>
      </c>
      <c r="AJ53" t="str" cm="1">
        <f t="array" aca="1" ref="AJ53" ca="1">_xll.IMDP("IR", AJ$48&amp;$C34, Sheet2!$G$4, $C$4)</f>
        <v/>
      </c>
      <c r="AK53" t="str" cm="1">
        <f t="array" aca="1" ref="AK53" ca="1">_xll.IMDP("IR", AK$48&amp;$C34, Sheet2!$G$4, $C$4)</f>
        <v/>
      </c>
      <c r="AL53" t="str" cm="1">
        <f t="array" aca="1" ref="AL53" ca="1">_xll.IMDP("IR", AL$48&amp;$C34, Sheet2!$G$4, $C$4)</f>
        <v/>
      </c>
    </row>
    <row r="54" spans="5:38" hidden="1">
      <c r="E54" t="str" cm="1">
        <f t="array" aca="1" ref="E54" ca="1">_xll.IMDP("IR", E$48&amp;$C35, Sheet2!$G$4, $C$4)</f>
        <v/>
      </c>
      <c r="F54" cm="1">
        <f t="array" aca="1" ref="F54" ca="1">_xll.IMDP("IR", F$48&amp;$C35, Sheet2!$G$4, $C$4)</f>
        <v>1.8671</v>
      </c>
      <c r="G54" t="str" cm="1">
        <f t="array" aca="1" ref="G54" ca="1">_xll.IMDP("IR", G$48&amp;$C35, Sheet2!$G$4, $C$4)</f>
        <v/>
      </c>
      <c r="H54" t="str" cm="1">
        <f t="array" aca="1" ref="H54" ca="1">_xll.IMDP("IR", H$48&amp;$C35, Sheet2!$G$4, $C$4)</f>
        <v/>
      </c>
      <c r="I54" t="str" cm="1">
        <f t="array" aca="1" ref="I54" ca="1">_xll.IMDP("IR", I$48&amp;$C35, Sheet2!$G$4, $C$4)</f>
        <v/>
      </c>
      <c r="J54" t="str" cm="1">
        <f t="array" aca="1" ref="J54" ca="1">_xll.IMDP("IR", J$48&amp;$C35, Sheet2!$G$4, $C$4)</f>
        <v/>
      </c>
      <c r="K54" cm="1">
        <f t="array" aca="1" ref="K54" ca="1">_xll.IMDP("IR", K$48&amp;$C35, Sheet2!$G$4, $C$4)</f>
        <v>1.8210999999999999</v>
      </c>
      <c r="L54" t="str" cm="1">
        <f t="array" aca="1" ref="L54" ca="1">_xll.IMDP("IR", L$48&amp;$C35, Sheet2!$G$4, $C$4)</f>
        <v/>
      </c>
      <c r="M54" cm="1">
        <f t="array" aca="1" ref="M54" ca="1">_xll.IMDP("IR", M$48&amp;$C35, Sheet2!$G$4, $C$4)</f>
        <v>7.7290000000000001</v>
      </c>
      <c r="N54" cm="1">
        <f t="array" aca="1" ref="N54" ca="1">_xll.IMDP("IR", N$48&amp;$C35, Sheet2!$G$4, $C$4)</f>
        <v>4.08</v>
      </c>
      <c r="O54" cm="1">
        <f t="array" aca="1" ref="O54" ca="1">_xll.IMDP("IR", O$48&amp;$C35, Sheet2!$G$4, $C$4)</f>
        <v>1.9315</v>
      </c>
      <c r="P54" cm="1">
        <f t="array" aca="1" ref="P54" ca="1">_xll.IMDP("IR", P$48&amp;$C35, Sheet2!$G$4, $C$4)</f>
        <v>14.734999999999999</v>
      </c>
      <c r="Q54" t="str" cm="1">
        <f t="array" aca="1" ref="Q54" ca="1">_xll.IMDP("IR", Q$48&amp;$C35, Sheet2!$G$4, $C$4)</f>
        <v/>
      </c>
      <c r="R54" t="str" cm="1">
        <f t="array" aca="1" ref="R54" ca="1">_xll.IMDP("IR", R$48&amp;$C35, Sheet2!$G$4, $C$4)</f>
        <v/>
      </c>
      <c r="S54" t="str" cm="1">
        <f t="array" aca="1" ref="S54" ca="1">_xll.IMDP("IR", S$48&amp;$C35, Sheet2!$G$4, $C$4)</f>
        <v/>
      </c>
      <c r="T54" cm="1">
        <f t="array" aca="1" ref="T54" ca="1">_xll.IMDP("IR", T$48&amp;$C35, Sheet2!$G$4, $C$4)</f>
        <v>1.9140999999999999</v>
      </c>
      <c r="U54" cm="1">
        <f t="array" aca="1" ref="U54" ca="1">_xll.IMDP("IR", U$48&amp;$C35, Sheet2!$G$4, $C$4)</f>
        <v>3.7422</v>
      </c>
      <c r="V54" cm="1">
        <f t="array" aca="1" ref="V54" ca="1">_xll.IMDP("IR", V$48&amp;$C35, Sheet2!$G$4, $C$4)</f>
        <v>1.8210999999999999</v>
      </c>
      <c r="W54" cm="1">
        <f t="array" aca="1" ref="W54" ca="1">_xll.IMDP("IR", W$48&amp;$C35, Sheet2!$G$4, $C$4)</f>
        <v>1.9961</v>
      </c>
      <c r="X54" cm="1">
        <f t="array" aca="1" ref="X54" ca="1">_xll.IMDP("IR", X$48&amp;$C35, Sheet2!$G$4, $C$4)</f>
        <v>5.5640000000000001</v>
      </c>
      <c r="Y54" cm="1">
        <f t="array" aca="1" ref="Y54" ca="1">_xll.IMDP("IR", Y$48&amp;$C35, Sheet2!$G$4, $C$4)</f>
        <v>5.9729999999999999</v>
      </c>
      <c r="Z54" cm="1">
        <f t="array" aca="1" ref="Z54" ca="1">_xll.IMDP("IR", Z$48&amp;$C35, Sheet2!$G$4, $C$4)</f>
        <v>0.5857</v>
      </c>
      <c r="AA54" cm="1">
        <f t="array" aca="1" ref="AA54" ca="1">_xll.IMDP("IR", AA$48&amp;$C35, Sheet2!$G$4, $C$4)</f>
        <v>1.3573</v>
      </c>
      <c r="AB54" t="str" cm="1">
        <f t="array" aca="1" ref="AB54" ca="1">_xll.IMDP("IR", AB$48&amp;$C35, Sheet2!$G$4, $C$4)</f>
        <v/>
      </c>
      <c r="AC54" t="str" cm="1">
        <f t="array" aca="1" ref="AC54" ca="1">_xll.IMDP("IR", AC$48&amp;$C35, Sheet2!$G$4, $C$4)</f>
        <v/>
      </c>
      <c r="AD54" t="str" cm="1">
        <f t="array" aca="1" ref="AD54" ca="1">_xll.IMDP("IR", AD$48&amp;$C35, Sheet2!$G$4, $C$4)</f>
        <v/>
      </c>
      <c r="AE54" cm="1">
        <f t="array" aca="1" ref="AE54" ca="1">_xll.IMDP("IR", AE$48&amp;$C35, Sheet2!$G$4, $C$4)</f>
        <v>37.808999999999997</v>
      </c>
      <c r="AF54" t="str" cm="1">
        <f t="array" aca="1" ref="AF54" ca="1">_xll.IMDP("IR", AF$48&amp;$C35, Sheet2!$G$4, $C$4)</f>
        <v/>
      </c>
      <c r="AG54" t="str" cm="1">
        <f t="array" aca="1" ref="AG54" ca="1">_xll.IMDP("IR", AG$48&amp;$C35, Sheet2!$G$4, $C$4)</f>
        <v/>
      </c>
      <c r="AH54" cm="1">
        <f t="array" aca="1" ref="AH54" ca="1">_xll.IMDP("IR", AH$48&amp;$C35, Sheet2!$G$4, $C$4)</f>
        <v>1.8874</v>
      </c>
      <c r="AI54" t="str" cm="1">
        <f t="array" aca="1" ref="AI54" ca="1">_xll.IMDP("IR", AI$48&amp;$C35, Sheet2!$G$4, $C$4)</f>
        <v/>
      </c>
      <c r="AJ54" t="str" cm="1">
        <f t="array" aca="1" ref="AJ54" ca="1">_xll.IMDP("IR", AJ$48&amp;$C35, Sheet2!$G$4, $C$4)</f>
        <v/>
      </c>
      <c r="AK54" cm="1">
        <f t="array" aca="1" ref="AK54" ca="1">_xll.IMDP("IR", AK$48&amp;$C35, Sheet2!$G$4, $C$4)</f>
        <v>3.3734000000000002</v>
      </c>
      <c r="AL54" cm="1">
        <f t="array" aca="1" ref="AL54" ca="1">_xll.IMDP("IR", AL$48&amp;$C35, Sheet2!$G$4, $C$4)</f>
        <v>1.77</v>
      </c>
    </row>
    <row r="55" spans="5:38" hidden="1">
      <c r="E55" cm="1">
        <f t="array" aca="1" ref="E55" ca="1">_xll.IMDP("IR", E$48&amp;$C36, Sheet2!$G$4, $C$4)</f>
        <v>1.9918</v>
      </c>
      <c r="F55" cm="1">
        <f t="array" aca="1" ref="F55" ca="1">_xll.IMDP("IR", F$48&amp;$C36, Sheet2!$G$4, $C$4)</f>
        <v>1.8871</v>
      </c>
      <c r="G55" cm="1">
        <f t="array" aca="1" ref="G55" ca="1">_xll.IMDP("IR", G$48&amp;$C36, Sheet2!$G$4, $C$4)</f>
        <v>3.5287000000000002</v>
      </c>
      <c r="H55" cm="1">
        <f t="array" aca="1" ref="H55" ca="1">_xll.IMDP("IR", H$48&amp;$C36, Sheet2!$G$4, $C$4)</f>
        <v>3.3029000000000002</v>
      </c>
      <c r="I55" cm="1">
        <f t="array" aca="1" ref="I55" ca="1">_xll.IMDP("IR", I$48&amp;$C36, Sheet2!$G$4, $C$4)</f>
        <v>1.22</v>
      </c>
      <c r="J55" cm="1">
        <f t="array" aca="1" ref="J55" ca="1">_xll.IMDP("IR", J$48&amp;$C36, Sheet2!$G$4, $C$4)</f>
        <v>1.5021</v>
      </c>
      <c r="K55" cm="1">
        <f t="array" aca="1" ref="K55" ca="1">_xll.IMDP("IR", K$48&amp;$C36, Sheet2!$G$4, $C$4)</f>
        <v>1.8273999999999999</v>
      </c>
      <c r="L55" t="str" cm="1">
        <f t="array" aca="1" ref="L55" ca="1">_xll.IMDP("IR", L$48&amp;$C36, Sheet2!$G$4, $C$4)</f>
        <v/>
      </c>
      <c r="M55" t="str" cm="1">
        <f t="array" aca="1" ref="M55" ca="1">_xll.IMDP("IR", M$48&amp;$C36, Sheet2!$G$4, $C$4)</f>
        <v/>
      </c>
      <c r="N55" cm="1">
        <f t="array" aca="1" ref="N55" ca="1">_xll.IMDP("IR", N$48&amp;$C36, Sheet2!$G$4, $C$4)</f>
        <v>3.8860000000000001</v>
      </c>
      <c r="O55" cm="1">
        <f t="array" aca="1" ref="O55" ca="1">_xll.IMDP("IR", O$48&amp;$C36, Sheet2!$G$4, $C$4)</f>
        <v>1.9470000000000001</v>
      </c>
      <c r="P55" cm="1">
        <f t="array" aca="1" ref="P55" ca="1">_xll.IMDP("IR", P$48&amp;$C36, Sheet2!$G$4, $C$4)</f>
        <v>13.653</v>
      </c>
      <c r="Q55" cm="1">
        <f t="array" aca="1" ref="Q55" ca="1">_xll.IMDP("IR", Q$48&amp;$C36, Sheet2!$G$4, $C$4)</f>
        <v>1.7093</v>
      </c>
      <c r="R55" cm="1">
        <f t="array" aca="1" ref="R55" ca="1">_xll.IMDP("IR", R$48&amp;$C36, Sheet2!$G$4, $C$4)</f>
        <v>1.9907999999999999</v>
      </c>
      <c r="S55" cm="1">
        <f t="array" aca="1" ref="S55" ca="1">_xll.IMDP("IR", S$48&amp;$C36, Sheet2!$G$4, $C$4)</f>
        <v>1.7649999999999999</v>
      </c>
      <c r="T55" cm="1">
        <f t="array" aca="1" ref="T55" ca="1">_xll.IMDP("IR", T$48&amp;$C36, Sheet2!$G$4, $C$4)</f>
        <v>1.8542000000000001</v>
      </c>
      <c r="U55" cm="1">
        <f t="array" aca="1" ref="U55" ca="1">_xll.IMDP("IR", U$48&amp;$C36, Sheet2!$G$4, $C$4)</f>
        <v>3.8458000000000001</v>
      </c>
      <c r="V55" cm="1">
        <f t="array" aca="1" ref="V55" ca="1">_xll.IMDP("IR", V$48&amp;$C36, Sheet2!$G$4, $C$4)</f>
        <v>1.8273999999999999</v>
      </c>
      <c r="W55" cm="1">
        <f t="array" aca="1" ref="W55" ca="1">_xll.IMDP("IR", W$48&amp;$C36, Sheet2!$G$4, $C$4)</f>
        <v>2.0682999999999998</v>
      </c>
      <c r="X55" cm="1">
        <f t="array" aca="1" ref="X55" ca="1">_xll.IMDP("IR", X$48&amp;$C36, Sheet2!$G$4, $C$4)</f>
        <v>5.7489999999999997</v>
      </c>
      <c r="Y55" t="str" cm="1">
        <f t="array" aca="1" ref="Y55" ca="1">_xll.IMDP("IR", Y$48&amp;$C36, Sheet2!$G$4, $C$4)</f>
        <v/>
      </c>
      <c r="Z55" cm="1">
        <f t="array" aca="1" ref="Z55" ca="1">_xll.IMDP("IR", Z$48&amp;$C36, Sheet2!$G$4, $C$4)</f>
        <v>0.74409999999999998</v>
      </c>
      <c r="AA55" cm="1">
        <f t="array" aca="1" ref="AA55" ca="1">_xll.IMDP("IR", AA$48&amp;$C36, Sheet2!$G$4, $C$4)</f>
        <v>1.3734</v>
      </c>
      <c r="AB55" cm="1">
        <f t="array" aca="1" ref="AB55" ca="1">_xll.IMDP("IR", AB$48&amp;$C36, Sheet2!$G$4, $C$4)</f>
        <v>2.6911</v>
      </c>
      <c r="AC55" t="str" cm="1">
        <f t="array" aca="1" ref="AC55" ca="1">_xll.IMDP("IR", AC$48&amp;$C36, Sheet2!$G$4, $C$4)</f>
        <v/>
      </c>
      <c r="AD55" cm="1">
        <f t="array" aca="1" ref="AD55" ca="1">_xll.IMDP("IR", AD$48&amp;$C36, Sheet2!$G$4, $C$4)</f>
        <v>1.4</v>
      </c>
      <c r="AE55" cm="1">
        <f t="array" aca="1" ref="AE55" ca="1">_xll.IMDP("IR", AE$48&amp;$C36, Sheet2!$G$4, $C$4)</f>
        <v>36.295999999999999</v>
      </c>
      <c r="AF55" cm="1">
        <f t="array" aca="1" ref="AF55" ca="1">_xll.IMDP("IR", AF$48&amp;$C36, Sheet2!$G$4, $C$4)</f>
        <v>1.8644000000000001</v>
      </c>
      <c r="AG55" cm="1">
        <f t="array" aca="1" ref="AG55" ca="1">_xll.IMDP("IR", AG$48&amp;$C36, Sheet2!$G$4, $C$4)</f>
        <v>4.5739999999999998</v>
      </c>
      <c r="AH55" cm="1">
        <f t="array" aca="1" ref="AH55" ca="1">_xll.IMDP("IR", AH$48&amp;$C36, Sheet2!$G$4, $C$4)</f>
        <v>2.1326000000000001</v>
      </c>
      <c r="AI55" cm="1">
        <f t="array" aca="1" ref="AI55" ca="1">_xll.IMDP("IR", AI$48&amp;$C36, Sheet2!$G$4, $C$4)</f>
        <v>5.75</v>
      </c>
      <c r="AJ55" cm="1">
        <f t="array" aca="1" ref="AJ55" ca="1">_xll.IMDP("IR", AJ$48&amp;$C36, Sheet2!$G$4, $C$4)</f>
        <v>6.08</v>
      </c>
      <c r="AK55" cm="1">
        <f t="array" aca="1" ref="AK55" ca="1">_xll.IMDP("IR", AK$48&amp;$C36, Sheet2!$G$4, $C$4)</f>
        <v>3.2614000000000001</v>
      </c>
      <c r="AL55" cm="1">
        <f t="array" aca="1" ref="AL55" ca="1">_xll.IMDP("IR", AL$48&amp;$C36, Sheet2!$G$4, $C$4)</f>
        <v>1.82</v>
      </c>
    </row>
    <row r="56" spans="5:38" hidden="1">
      <c r="E56" t="str" cm="1">
        <f t="array" aca="1" ref="E56" ca="1">_xll.IMDP("IR", E$48&amp;$C37, Sheet2!$G$4, $C$4)</f>
        <v/>
      </c>
      <c r="F56" cm="1">
        <f t="array" aca="1" ref="F56" ca="1">_xll.IMDP("IR", F$48&amp;$C37, Sheet2!$G$4, $C$4)</f>
        <v>2.0192999999999999</v>
      </c>
      <c r="G56" t="str" cm="1">
        <f t="array" aca="1" ref="G56" ca="1">_xll.IMDP("IR", G$48&amp;$C37, Sheet2!$G$4, $C$4)</f>
        <v/>
      </c>
      <c r="H56" t="str" cm="1">
        <f t="array" aca="1" ref="H56" ca="1">_xll.IMDP("IR", H$48&amp;$C37, Sheet2!$G$4, $C$4)</f>
        <v/>
      </c>
      <c r="I56" t="str" cm="1">
        <f t="array" aca="1" ref="I56" ca="1">_xll.IMDP("IR", I$48&amp;$C37, Sheet2!$G$4, $C$4)</f>
        <v/>
      </c>
      <c r="J56" cm="1">
        <f t="array" aca="1" ref="J56" ca="1">_xll.IMDP("IR", J$48&amp;$C37, Sheet2!$G$4, $C$4)</f>
        <v>1.6662999999999999</v>
      </c>
      <c r="K56" cm="1">
        <f t="array" aca="1" ref="K56" ca="1">_xll.IMDP("IR", K$48&amp;$C37, Sheet2!$G$4, $C$4)</f>
        <v>1.8698999999999999</v>
      </c>
      <c r="L56" cm="1">
        <f t="array" aca="1" ref="L56" ca="1">_xll.IMDP("IR", L$48&amp;$C37, Sheet2!$G$4, $C$4)</f>
        <v>3.145</v>
      </c>
      <c r="M56" cm="1">
        <f t="array" aca="1" ref="M56" ca="1">_xll.IMDP("IR", M$48&amp;$C37, Sheet2!$G$4, $C$4)</f>
        <v>8.3209999999999997</v>
      </c>
      <c r="N56" cm="1">
        <f t="array" aca="1" ref="N56" ca="1">_xll.IMDP("IR", N$48&amp;$C37, Sheet2!$G$4, $C$4)</f>
        <v>3.8460000000000001</v>
      </c>
      <c r="O56" cm="1">
        <f t="array" aca="1" ref="O56" ca="1">_xll.IMDP("IR", O$48&amp;$C37, Sheet2!$G$4, $C$4)</f>
        <v>2.1135000000000002</v>
      </c>
      <c r="P56" cm="1">
        <f t="array" aca="1" ref="P56" ca="1">_xll.IMDP("IR", P$48&amp;$C37, Sheet2!$G$4, $C$4)</f>
        <v>17.707999999999998</v>
      </c>
      <c r="Q56" t="str" cm="1">
        <f t="array" aca="1" ref="Q56" ca="1">_xll.IMDP("IR", Q$48&amp;$C37, Sheet2!$G$4, $C$4)</f>
        <v/>
      </c>
      <c r="R56" cm="1">
        <f t="array" aca="1" ref="R56" ca="1">_xll.IMDP("IR", R$48&amp;$C37, Sheet2!$G$4, $C$4)</f>
        <v>2.1703999999999999</v>
      </c>
      <c r="S56" t="str" cm="1">
        <f t="array" aca="1" ref="S56" ca="1">_xll.IMDP("IR", S$48&amp;$C37, Sheet2!$G$4, $C$4)</f>
        <v/>
      </c>
      <c r="T56" cm="1">
        <f t="array" aca="1" ref="T56" ca="1">_xll.IMDP("IR", T$48&amp;$C37, Sheet2!$G$4, $C$4)</f>
        <v>1.9804999999999999</v>
      </c>
      <c r="U56" cm="1">
        <f t="array" aca="1" ref="U56" ca="1">_xll.IMDP("IR", U$48&amp;$C37, Sheet2!$G$4, $C$4)</f>
        <v>3.6602999999999999</v>
      </c>
      <c r="V56" cm="1">
        <f t="array" aca="1" ref="V56" ca="1">_xll.IMDP("IR", V$48&amp;$C37, Sheet2!$G$4, $C$4)</f>
        <v>1.8698999999999999</v>
      </c>
      <c r="W56" cm="1">
        <f t="array" aca="1" ref="W56" ca="1">_xll.IMDP("IR", W$48&amp;$C37, Sheet2!$G$4, $C$4)</f>
        <v>2.2665999999999999</v>
      </c>
      <c r="X56" t="str" cm="1">
        <f t="array" aca="1" ref="X56" ca="1">_xll.IMDP("IR", X$48&amp;$C37, Sheet2!$G$4, $C$4)</f>
        <v/>
      </c>
      <c r="Y56" cm="1">
        <f t="array" aca="1" ref="Y56" ca="1">_xll.IMDP("IR", Y$48&amp;$C37, Sheet2!$G$4, $C$4)</f>
        <v>6.2</v>
      </c>
      <c r="Z56" cm="1">
        <f t="array" aca="1" ref="Z56" ca="1">_xll.IMDP("IR", Z$48&amp;$C37, Sheet2!$G$4, $C$4)</f>
        <v>0.80369999999999997</v>
      </c>
      <c r="AA56" cm="1">
        <f t="array" aca="1" ref="AA56" ca="1">_xll.IMDP("IR", AA$48&amp;$C37, Sheet2!$G$4, $C$4)</f>
        <v>1.3983000000000001</v>
      </c>
      <c r="AB56" t="str" cm="1">
        <f t="array" aca="1" ref="AB56" ca="1">_xll.IMDP("IR", AB$48&amp;$C37, Sheet2!$G$4, $C$4)</f>
        <v/>
      </c>
      <c r="AC56" cm="1">
        <f t="array" aca="1" ref="AC56" ca="1">_xll.IMDP("IR", AC$48&amp;$C37, Sheet2!$G$4, $C$4)</f>
        <v>10.132</v>
      </c>
      <c r="AD56" t="str" cm="1">
        <f t="array" aca="1" ref="AD56" ca="1">_xll.IMDP("IR", AD$48&amp;$C37, Sheet2!$G$4, $C$4)</f>
        <v/>
      </c>
      <c r="AE56" cm="1">
        <f t="array" aca="1" ref="AE56" ca="1">_xll.IMDP("IR", AE$48&amp;$C37, Sheet2!$G$4, $C$4)</f>
        <v>33.098999999999997</v>
      </c>
      <c r="AF56" cm="1">
        <f t="array" aca="1" ref="AF56" ca="1">_xll.IMDP("IR", AF$48&amp;$C37, Sheet2!$G$4, $C$4)</f>
        <v>2.0419999999999998</v>
      </c>
      <c r="AG56" t="str" cm="1">
        <f t="array" aca="1" ref="AG56" ca="1">_xll.IMDP("IR", AG$48&amp;$C37, Sheet2!$G$4, $C$4)</f>
        <v/>
      </c>
      <c r="AH56" cm="1">
        <f t="array" aca="1" ref="AH56" ca="1">_xll.IMDP("IR", AH$48&amp;$C37, Sheet2!$G$4, $C$4)</f>
        <v>2.3462999999999998</v>
      </c>
      <c r="AI56" cm="1">
        <f t="array" aca="1" ref="AI56" ca="1">_xll.IMDP("IR", AI$48&amp;$C37, Sheet2!$G$4, $C$4)</f>
        <v>5.7750000000000004</v>
      </c>
      <c r="AJ56" t="str" cm="1">
        <f t="array" aca="1" ref="AJ56" ca="1">_xll.IMDP("IR", AJ$48&amp;$C37, Sheet2!$G$4, $C$4)</f>
        <v/>
      </c>
      <c r="AK56" cm="1">
        <f t="array" aca="1" ref="AK56" ca="1">_xll.IMDP("IR", AK$48&amp;$C37, Sheet2!$G$4, $C$4)</f>
        <v>3.3048999999999999</v>
      </c>
      <c r="AL56" cm="1">
        <f t="array" aca="1" ref="AL56" ca="1">_xll.IMDP("IR", AL$48&amp;$C37, Sheet2!$G$4, $C$4)</f>
        <v>1.92</v>
      </c>
    </row>
    <row r="57" spans="5:38" hidden="1">
      <c r="E57" cm="1">
        <f t="array" aca="1" ref="E57" ca="1">_xll.IMDP("IR", E$48&amp;$C38, Sheet2!$G$4, $C$4)</f>
        <v>2.5697999999999999</v>
      </c>
      <c r="F57" cm="1">
        <f t="array" aca="1" ref="F57" ca="1">_xll.IMDP("IR", F$48&amp;$C38, Sheet2!$G$4, $C$4)</f>
        <v>2.2980999999999998</v>
      </c>
      <c r="G57" cm="1">
        <f t="array" aca="1" ref="G57" ca="1">_xll.IMDP("IR", G$48&amp;$C38, Sheet2!$G$4, $C$4)</f>
        <v>3.6522000000000001</v>
      </c>
      <c r="H57" cm="1">
        <f t="array" aca="1" ref="H57" ca="1">_xll.IMDP("IR", H$48&amp;$C38, Sheet2!$G$4, $C$4)</f>
        <v>3.8628999999999998</v>
      </c>
      <c r="I57" cm="1">
        <f t="array" aca="1" ref="I57" ca="1">_xll.IMDP("IR", I$48&amp;$C38, Sheet2!$G$4, $C$4)</f>
        <v>1.35</v>
      </c>
      <c r="J57" cm="1">
        <f t="array" aca="1" ref="J57" ca="1">_xll.IMDP("IR", J$48&amp;$C38, Sheet2!$G$4, $C$4)</f>
        <v>1.9582999999999999</v>
      </c>
      <c r="K57" cm="1">
        <f t="array" aca="1" ref="K57" ca="1">_xll.IMDP("IR", K$48&amp;$C38, Sheet2!$G$4, $C$4)</f>
        <v>2.1261000000000001</v>
      </c>
      <c r="L57" cm="1">
        <f t="array" aca="1" ref="L57" ca="1">_xll.IMDP("IR", L$48&amp;$C38, Sheet2!$G$4, $C$4)</f>
        <v>3.2050000000000001</v>
      </c>
      <c r="M57" cm="1">
        <f t="array" aca="1" ref="M57" ca="1">_xll.IMDP("IR", M$48&amp;$C38, Sheet2!$G$4, $C$4)</f>
        <v>8.6039999999999992</v>
      </c>
      <c r="N57" cm="1">
        <f t="array" aca="1" ref="N57" ca="1">_xll.IMDP("IR", N$48&amp;$C38, Sheet2!$G$4, $C$4)</f>
        <v>3.9340000000000002</v>
      </c>
      <c r="O57" cm="1">
        <f t="array" aca="1" ref="O57" ca="1">_xll.IMDP("IR", O$48&amp;$C38, Sheet2!$G$4, $C$4)</f>
        <v>2.4630999999999998</v>
      </c>
      <c r="P57" cm="1">
        <f t="array" aca="1" ref="P57" ca="1">_xll.IMDP("IR", P$48&amp;$C38, Sheet2!$G$4, $C$4)</f>
        <v>14.964</v>
      </c>
      <c r="Q57" cm="1">
        <f t="array" aca="1" ref="Q57" ca="1">_xll.IMDP("IR", Q$48&amp;$C38, Sheet2!$G$4, $C$4)</f>
        <v>1.7988</v>
      </c>
      <c r="R57" cm="1">
        <f t="array" aca="1" ref="R57" ca="1">_xll.IMDP("IR", R$48&amp;$C38, Sheet2!$G$4, $C$4)</f>
        <v>2.4558</v>
      </c>
      <c r="S57" cm="1">
        <f t="array" aca="1" ref="S57" ca="1">_xll.IMDP("IR", S$48&amp;$C38, Sheet2!$G$4, $C$4)</f>
        <v>1.76</v>
      </c>
      <c r="T57" cm="1">
        <f t="array" aca="1" ref="T57" ca="1">_xll.IMDP("IR", T$48&amp;$C38, Sheet2!$G$4, $C$4)</f>
        <v>2.3138000000000001</v>
      </c>
      <c r="U57" cm="1">
        <f t="array" aca="1" ref="U57" ca="1">_xll.IMDP("IR", U$48&amp;$C38, Sheet2!$G$4, $C$4)</f>
        <v>3.9830999999999999</v>
      </c>
      <c r="V57" cm="1">
        <f t="array" aca="1" ref="V57" ca="1">_xll.IMDP("IR", V$48&amp;$C38, Sheet2!$G$4, $C$4)</f>
        <v>2.1261000000000001</v>
      </c>
      <c r="W57" cm="1">
        <f t="array" aca="1" ref="W57" ca="1">_xll.IMDP("IR", W$48&amp;$C38, Sheet2!$G$4, $C$4)</f>
        <v>2.6941000000000002</v>
      </c>
      <c r="X57" cm="1">
        <f t="array" aca="1" ref="X57" ca="1">_xll.IMDP("IR", X$48&amp;$C38, Sheet2!$G$4, $C$4)</f>
        <v>6.0439999999999996</v>
      </c>
      <c r="Y57" cm="1">
        <f t="array" aca="1" ref="Y57" ca="1">_xll.IMDP("IR", Y$48&amp;$C38, Sheet2!$G$4, $C$4)</f>
        <v>6.218</v>
      </c>
      <c r="Z57" cm="1">
        <f t="array" aca="1" ref="Z57" ca="1">_xll.IMDP("IR", Z$48&amp;$C38, Sheet2!$G$4, $C$4)</f>
        <v>0.98209999999999997</v>
      </c>
      <c r="AA57" cm="1">
        <f t="array" aca="1" ref="AA57" ca="1">_xll.IMDP("IR", AA$48&amp;$C38, Sheet2!$G$4, $C$4)</f>
        <v>1.5033000000000001</v>
      </c>
      <c r="AB57" cm="1">
        <f t="array" aca="1" ref="AB57" ca="1">_xll.IMDP("IR", AB$48&amp;$C38, Sheet2!$G$4, $C$4)</f>
        <v>2.9445999999999999</v>
      </c>
      <c r="AC57" cm="1">
        <f t="array" aca="1" ref="AC57" ca="1">_xll.IMDP("IR", AC$48&amp;$C38, Sheet2!$G$4, $C$4)</f>
        <v>11.252000000000001</v>
      </c>
      <c r="AD57" cm="1">
        <f t="array" aca="1" ref="AD57" ca="1">_xll.IMDP("IR", AD$48&amp;$C38, Sheet2!$G$4, $C$4)</f>
        <v>1.41</v>
      </c>
      <c r="AE57" cm="1">
        <f t="array" aca="1" ref="AE57" ca="1">_xll.IMDP("IR", AE$48&amp;$C38, Sheet2!$G$4, $C$4)</f>
        <v>32.649000000000001</v>
      </c>
      <c r="AF57" cm="1">
        <f t="array" aca="1" ref="AF57" ca="1">_xll.IMDP("IR", AF$48&amp;$C38, Sheet2!$G$4, $C$4)</f>
        <v>2.3597999999999999</v>
      </c>
      <c r="AG57" cm="1">
        <f t="array" aca="1" ref="AG57" ca="1">_xll.IMDP("IR", AG$48&amp;$C38, Sheet2!$G$4, $C$4)</f>
        <v>4.92</v>
      </c>
      <c r="AH57" cm="1">
        <f t="array" aca="1" ref="AH57" ca="1">_xll.IMDP("IR", AH$48&amp;$C38, Sheet2!$G$4, $C$4)</f>
        <v>2.6953999999999998</v>
      </c>
      <c r="AI57" cm="1">
        <f t="array" aca="1" ref="AI57" ca="1">_xll.IMDP("IR", AI$48&amp;$C38, Sheet2!$G$4, $C$4)</f>
        <v>5.92</v>
      </c>
      <c r="AJ57" cm="1">
        <f t="array" aca="1" ref="AJ57" ca="1">_xll.IMDP("IR", AJ$48&amp;$C38, Sheet2!$G$4, $C$4)</f>
        <v>6.46</v>
      </c>
      <c r="AK57" cm="1">
        <f t="array" aca="1" ref="AK57" ca="1">_xll.IMDP("IR", AK$48&amp;$C38, Sheet2!$G$4, $C$4)</f>
        <v>3.5133999999999999</v>
      </c>
      <c r="AL57" cm="1">
        <f t="array" aca="1" ref="AL57" ca="1">_xll.IMDP("IR", AL$48&amp;$C38, Sheet2!$G$4, $C$4)</f>
        <v>2.02</v>
      </c>
    </row>
    <row r="58" spans="5:38" hidden="1">
      <c r="E58" t="str" cm="1">
        <f t="array" aca="1" ref="E58" ca="1">_xll.IMDP("IR", E$48&amp;$C39, Sheet2!$G$4, $C$4)</f>
        <v/>
      </c>
      <c r="F58" cm="1">
        <f t="array" aca="1" ref="F58" ca="1">_xll.IMDP("IR", F$48&amp;$C39, Sheet2!$G$4, $C$4)</f>
        <v>2.5244</v>
      </c>
      <c r="G58" cm="1">
        <f t="array" aca="1" ref="G58" ca="1">_xll.IMDP("IR", G$48&amp;$C39, Sheet2!$G$4, $C$4)</f>
        <v>3.7357999999999998</v>
      </c>
      <c r="H58" t="str" cm="1">
        <f t="array" aca="1" ref="H58" ca="1">_xll.IMDP("IR", H$48&amp;$C39, Sheet2!$G$4, $C$4)</f>
        <v/>
      </c>
      <c r="I58" t="str" cm="1">
        <f t="array" aca="1" ref="I58" ca="1">_xll.IMDP("IR", I$48&amp;$C39, Sheet2!$G$4, $C$4)</f>
        <v/>
      </c>
      <c r="J58" t="str" cm="1">
        <f t="array" aca="1" ref="J58" ca="1">_xll.IMDP("IR", J$48&amp;$C39, Sheet2!$G$4, $C$4)</f>
        <v/>
      </c>
      <c r="K58" cm="1">
        <f t="array" aca="1" ref="K58" ca="1">_xll.IMDP("IR", K$48&amp;$C39, Sheet2!$G$4, $C$4)</f>
        <v>2.3262</v>
      </c>
      <c r="L58" cm="1">
        <f t="array" aca="1" ref="L58" ca="1">_xll.IMDP("IR", L$48&amp;$C39, Sheet2!$G$4, $C$4)</f>
        <v>3.395</v>
      </c>
      <c r="M58" t="str" cm="1">
        <f t="array" aca="1" ref="M58" ca="1">_xll.IMDP("IR", M$48&amp;$C39, Sheet2!$G$4, $C$4)</f>
        <v/>
      </c>
      <c r="N58" cm="1">
        <f t="array" aca="1" ref="N58" ca="1">_xll.IMDP("IR", N$48&amp;$C39, Sheet2!$G$4, $C$4)</f>
        <v>4.1210000000000004</v>
      </c>
      <c r="O58" cm="1">
        <f t="array" aca="1" ref="O58" ca="1">_xll.IMDP("IR", O$48&amp;$C39, Sheet2!$G$4, $C$4)</f>
        <v>2.7907000000000002</v>
      </c>
      <c r="P58" t="str" cm="1">
        <f t="array" aca="1" ref="P58" ca="1">_xll.IMDP("IR", P$48&amp;$C39, Sheet2!$G$4, $C$4)</f>
        <v/>
      </c>
      <c r="Q58" cm="1">
        <f t="array" aca="1" ref="Q58" ca="1">_xll.IMDP("IR", Q$48&amp;$C39, Sheet2!$G$4, $C$4)</f>
        <v>1.9242999999999999</v>
      </c>
      <c r="R58" cm="1">
        <f t="array" aca="1" ref="R58" ca="1">_xll.IMDP("IR", R$48&amp;$C39, Sheet2!$G$4, $C$4)</f>
        <v>2.6865999999999999</v>
      </c>
      <c r="S58" t="str" cm="1">
        <f t="array" aca="1" ref="S58" ca="1">_xll.IMDP("IR", S$48&amp;$C39, Sheet2!$G$4, $C$4)</f>
        <v/>
      </c>
      <c r="T58" t="str" cm="1">
        <f t="array" aca="1" ref="T58" ca="1">_xll.IMDP("IR", T$48&amp;$C39, Sheet2!$G$4, $C$4)</f>
        <v/>
      </c>
      <c r="U58" cm="1">
        <f t="array" aca="1" ref="U58" ca="1">_xll.IMDP("IR", U$48&amp;$C39, Sheet2!$G$4, $C$4)</f>
        <v>4.1439000000000004</v>
      </c>
      <c r="V58" cm="1">
        <f t="array" aca="1" ref="V58" ca="1">_xll.IMDP("IR", V$48&amp;$C39, Sheet2!$G$4, $C$4)</f>
        <v>2.3262</v>
      </c>
      <c r="W58" cm="1">
        <f t="array" aca="1" ref="W58" ca="1">_xll.IMDP("IR", W$48&amp;$C39, Sheet2!$G$4, $C$4)</f>
        <v>3.0674999999999999</v>
      </c>
      <c r="X58" cm="1">
        <f t="array" aca="1" ref="X58" ca="1">_xll.IMDP("IR", X$48&amp;$C39, Sheet2!$G$4, $C$4)</f>
        <v>6.3310000000000004</v>
      </c>
      <c r="Y58" t="str" cm="1">
        <f t="array" aca="1" ref="Y58" ca="1">_xll.IMDP("IR", Y$48&amp;$C39, Sheet2!$G$4, $C$4)</f>
        <v/>
      </c>
      <c r="Z58" cm="1">
        <f t="array" aca="1" ref="Z58" ca="1">_xll.IMDP("IR", Z$48&amp;$C39, Sheet2!$G$4, $C$4)</f>
        <v>1.2063999999999999</v>
      </c>
      <c r="AA58" cm="1">
        <f t="array" aca="1" ref="AA58" ca="1">_xll.IMDP("IR", AA$48&amp;$C39, Sheet2!$G$4, $C$4)</f>
        <v>1.5879000000000001</v>
      </c>
      <c r="AB58" cm="1">
        <f t="array" aca="1" ref="AB58" ca="1">_xll.IMDP("IR", AB$48&amp;$C39, Sheet2!$G$4, $C$4)</f>
        <v>3.1387999999999998</v>
      </c>
      <c r="AC58" t="str" cm="1">
        <f t="array" aca="1" ref="AC58" ca="1">_xll.IMDP("IR", AC$48&amp;$C39, Sheet2!$G$4, $C$4)</f>
        <v/>
      </c>
      <c r="AD58" t="str" cm="1">
        <f t="array" aca="1" ref="AD58" ca="1">_xll.IMDP("IR", AD$48&amp;$C39, Sheet2!$G$4, $C$4)</f>
        <v/>
      </c>
      <c r="AE58" t="str" cm="1">
        <f t="array" aca="1" ref="AE58" ca="1">_xll.IMDP("IR", AE$48&amp;$C39, Sheet2!$G$4, $C$4)</f>
        <v/>
      </c>
      <c r="AF58" cm="1">
        <f t="array" aca="1" ref="AF58" ca="1">_xll.IMDP("IR", AF$48&amp;$C39, Sheet2!$G$4, $C$4)</f>
        <v>2.6655000000000002</v>
      </c>
      <c r="AG58" t="str" cm="1">
        <f t="array" aca="1" ref="AG58" ca="1">_xll.IMDP("IR", AG$48&amp;$C39, Sheet2!$G$4, $C$4)</f>
        <v/>
      </c>
      <c r="AH58" cm="1">
        <f t="array" aca="1" ref="AH58" ca="1">_xll.IMDP("IR", AH$48&amp;$C39, Sheet2!$G$4, $C$4)</f>
        <v>2.8864000000000001</v>
      </c>
      <c r="AI58" cm="1">
        <f t="array" aca="1" ref="AI58" ca="1">_xll.IMDP("IR", AI$48&amp;$C39, Sheet2!$G$4, $C$4)</f>
        <v>6.1</v>
      </c>
      <c r="AJ58" t="str" cm="1">
        <f t="array" aca="1" ref="AJ58" ca="1">_xll.IMDP("IR", AJ$48&amp;$C39, Sheet2!$G$4, $C$4)</f>
        <v/>
      </c>
      <c r="AK58" cm="1">
        <f t="array" aca="1" ref="AK58" ca="1">_xll.IMDP("IR", AK$48&amp;$C39, Sheet2!$G$4, $C$4)</f>
        <v>3.8513999999999999</v>
      </c>
      <c r="AL58" t="str" cm="1">
        <f t="array" aca="1" ref="AL58" ca="1">_xll.IMDP("IR", AL$48&amp;$C39, Sheet2!$G$4, $C$4)</f>
        <v/>
      </c>
    </row>
    <row r="59" spans="5:38" hidden="1">
      <c r="E59" cm="1">
        <f t="array" aca="1" ref="E59" ca="1">_xll.IMDP("IR", E$48&amp;$C40, Sheet2!$G$4, $C$4)</f>
        <v>3.2844000000000002</v>
      </c>
      <c r="F59" cm="1">
        <f t="array" aca="1" ref="F59" ca="1">_xll.IMDP("IR", F$48&amp;$C40, Sheet2!$G$4, $C$4)</f>
        <v>2.7894000000000001</v>
      </c>
      <c r="G59" cm="1">
        <f t="array" aca="1" ref="G59" ca="1">_xll.IMDP("IR", G$48&amp;$C40, Sheet2!$G$4, $C$4)</f>
        <v>3.7949999999999999</v>
      </c>
      <c r="H59" cm="1">
        <f t="array" aca="1" ref="H59" ca="1">_xll.IMDP("IR", H$48&amp;$C40, Sheet2!$G$4, $C$4)</f>
        <v>4.5438999999999998</v>
      </c>
      <c r="I59" cm="1">
        <f t="array" aca="1" ref="I59" ca="1">_xll.IMDP("IR", I$48&amp;$C40, Sheet2!$G$4, $C$4)</f>
        <v>1.41</v>
      </c>
      <c r="J59" cm="1">
        <f t="array" aca="1" ref="J59" ca="1">_xll.IMDP("IR", J$48&amp;$C40, Sheet2!$G$4, $C$4)</f>
        <v>2.5127000000000002</v>
      </c>
      <c r="K59" cm="1">
        <f t="array" aca="1" ref="K59" ca="1">_xll.IMDP("IR", K$48&amp;$C40, Sheet2!$G$4, $C$4)</f>
        <v>2.5950000000000002</v>
      </c>
      <c r="L59" cm="1">
        <f t="array" aca="1" ref="L59" ca="1">_xll.IMDP("IR", L$48&amp;$C40, Sheet2!$G$4, $C$4)</f>
        <v>3.5150000000000001</v>
      </c>
      <c r="M59" cm="1">
        <f t="array" aca="1" ref="M59" ca="1">_xll.IMDP("IR", M$48&amp;$C40, Sheet2!$G$4, $C$4)</f>
        <v>9.1419999999999995</v>
      </c>
      <c r="N59" cm="1">
        <f t="array" aca="1" ref="N59" ca="1">_xll.IMDP("IR", N$48&amp;$C40, Sheet2!$G$4, $C$4)</f>
        <v>4.3460000000000001</v>
      </c>
      <c r="O59" cm="1">
        <f t="array" aca="1" ref="O59" ca="1">_xll.IMDP("IR", O$48&amp;$C40, Sheet2!$G$4, $C$4)</f>
        <v>3.1640999999999999</v>
      </c>
      <c r="P59" cm="1">
        <f t="array" aca="1" ref="P59" ca="1">_xll.IMDP("IR", P$48&amp;$C40, Sheet2!$G$4, $C$4)</f>
        <v>14.385999999999999</v>
      </c>
      <c r="Q59" cm="1">
        <f t="array" aca="1" ref="Q59" ca="1">_xll.IMDP("IR", Q$48&amp;$C40, Sheet2!$G$4, $C$4)</f>
        <v>2.2263000000000002</v>
      </c>
      <c r="R59" cm="1">
        <f t="array" aca="1" ref="R59" ca="1">_xll.IMDP("IR", R$48&amp;$C40, Sheet2!$G$4, $C$4)</f>
        <v>3.1730999999999998</v>
      </c>
      <c r="S59" cm="1">
        <f t="array" aca="1" ref="S59" ca="1">_xll.IMDP("IR", S$48&amp;$C40, Sheet2!$G$4, $C$4)</f>
        <v>2.13</v>
      </c>
      <c r="T59" cm="1">
        <f t="array" aca="1" ref="T59" ca="1">_xll.IMDP("IR", T$48&amp;$C40, Sheet2!$G$4, $C$4)</f>
        <v>2.8864999999999998</v>
      </c>
      <c r="U59" cm="1">
        <f t="array" aca="1" ref="U59" ca="1">_xll.IMDP("IR", U$48&amp;$C40, Sheet2!$G$4, $C$4)</f>
        <v>4.5445000000000002</v>
      </c>
      <c r="V59" cm="1">
        <f t="array" aca="1" ref="V59" ca="1">_xll.IMDP("IR", V$48&amp;$C40, Sheet2!$G$4, $C$4)</f>
        <v>2.5950000000000002</v>
      </c>
      <c r="W59" cm="1">
        <f t="array" aca="1" ref="W59" ca="1">_xll.IMDP("IR", W$48&amp;$C40, Sheet2!$G$4, $C$4)</f>
        <v>3.4558</v>
      </c>
      <c r="X59" cm="1">
        <f t="array" aca="1" ref="X59" ca="1">_xll.IMDP("IR", X$48&amp;$C40, Sheet2!$G$4, $C$4)</f>
        <v>6.359</v>
      </c>
      <c r="Y59" cm="1">
        <f t="array" aca="1" ref="Y59" ca="1">_xll.IMDP("IR", Y$48&amp;$C40, Sheet2!$G$4, $C$4)</f>
        <v>6.5910000000000002</v>
      </c>
      <c r="Z59" cm="1">
        <f t="array" aca="1" ref="Z59" ca="1">_xll.IMDP("IR", Z$48&amp;$C40, Sheet2!$G$4, $C$4)</f>
        <v>1.4551000000000001</v>
      </c>
      <c r="AA59" cm="1">
        <f t="array" aca="1" ref="AA59" ca="1">_xll.IMDP("IR", AA$48&amp;$C40, Sheet2!$G$4, $C$4)</f>
        <v>1.6620999999999999</v>
      </c>
      <c r="AB59" cm="1">
        <f t="array" aca="1" ref="AB59" ca="1">_xll.IMDP("IR", AB$48&amp;$C40, Sheet2!$G$4, $C$4)</f>
        <v>3.3561000000000001</v>
      </c>
      <c r="AC59" cm="1">
        <f t="array" aca="1" ref="AC59" ca="1">_xll.IMDP("IR", AC$48&amp;$C40, Sheet2!$G$4, $C$4)</f>
        <v>12.228</v>
      </c>
      <c r="AD59" cm="1">
        <f t="array" aca="1" ref="AD59" ca="1">_xll.IMDP("IR", AD$48&amp;$C40, Sheet2!$G$4, $C$4)</f>
        <v>1.615</v>
      </c>
      <c r="AE59" cm="1">
        <f t="array" aca="1" ref="AE59" ca="1">_xll.IMDP("IR", AE$48&amp;$C40, Sheet2!$G$4, $C$4)</f>
        <v>28.655999999999999</v>
      </c>
      <c r="AF59" cm="1">
        <f t="array" aca="1" ref="AF59" ca="1">_xll.IMDP("IR", AF$48&amp;$C40, Sheet2!$G$4, $C$4)</f>
        <v>3.0497000000000001</v>
      </c>
      <c r="AG59" cm="1">
        <f t="array" aca="1" ref="AG59" ca="1">_xll.IMDP("IR", AG$48&amp;$C40, Sheet2!$G$4, $C$4)</f>
        <v>5.4740000000000002</v>
      </c>
      <c r="AH59" cm="1">
        <f t="array" aca="1" ref="AH59" ca="1">_xll.IMDP("IR", AH$48&amp;$C40, Sheet2!$G$4, $C$4)</f>
        <v>3.2806000000000002</v>
      </c>
      <c r="AI59" cm="1">
        <f t="array" aca="1" ref="AI59" ca="1">_xll.IMDP("IR", AI$48&amp;$C40, Sheet2!$G$4, $C$4)</f>
        <v>6.24</v>
      </c>
      <c r="AJ59" cm="1">
        <f t="array" aca="1" ref="AJ59" ca="1">_xll.IMDP("IR", AJ$48&amp;$C40, Sheet2!$G$4, $C$4)</f>
        <v>6.88</v>
      </c>
      <c r="AK59" cm="1">
        <f t="array" aca="1" ref="AK59" ca="1">_xll.IMDP("IR", AK$48&amp;$C40, Sheet2!$G$4, $C$4)</f>
        <v>4.202</v>
      </c>
      <c r="AL59" t="str" cm="1">
        <f t="array" aca="1" ref="AL59" ca="1">_xll.IMDP("IR", AL$48&amp;$C40, Sheet2!$G$4, $C$4)</f>
        <v/>
      </c>
    </row>
    <row r="60" spans="5:38" hidden="1">
      <c r="E60" cm="1">
        <f t="array" aca="1" ref="E60" ca="1">_xll.IMDP("IR", E$48&amp;$C41, Sheet2!$G$4, $C$4)</f>
        <v>3.7602000000000002</v>
      </c>
      <c r="F60" cm="1">
        <f t="array" aca="1" ref="F60" ca="1">_xll.IMDP("IR", F$48&amp;$C41, Sheet2!$G$4, $C$4)</f>
        <v>3.1160000000000001</v>
      </c>
      <c r="G60" t="str" cm="1">
        <f t="array" aca="1" ref="G60" ca="1">_xll.IMDP("IR", G$48&amp;$C41, Sheet2!$G$4, $C$4)</f>
        <v/>
      </c>
      <c r="H60" cm="1">
        <f t="array" aca="1" ref="H60" ca="1">_xll.IMDP("IR", H$48&amp;$C41, Sheet2!$G$4, $C$4)</f>
        <v>4.9759000000000002</v>
      </c>
      <c r="I60" cm="1">
        <f t="array" aca="1" ref="I60" ca="1">_xll.IMDP("IR", I$48&amp;$C41, Sheet2!$G$4, $C$4)</f>
        <v>1.58</v>
      </c>
      <c r="J60" cm="1">
        <f t="array" aca="1" ref="J60" ca="1">_xll.IMDP("IR", J$48&amp;$C41, Sheet2!$G$4, $C$4)</f>
        <v>2.7050999999999998</v>
      </c>
      <c r="K60" cm="1">
        <f t="array" aca="1" ref="K60" ca="1">_xll.IMDP("IR", K$48&amp;$C41, Sheet2!$G$4, $C$4)</f>
        <v>2.9634</v>
      </c>
      <c r="L60" cm="1">
        <f t="array" aca="1" ref="L60" ca="1">_xll.IMDP("IR", L$48&amp;$C41, Sheet2!$G$4, $C$4)</f>
        <v>3.7949999999999999</v>
      </c>
      <c r="M60" cm="1">
        <f t="array" aca="1" ref="M60" ca="1">_xll.IMDP("IR", M$48&amp;$C41, Sheet2!$G$4, $C$4)</f>
        <v>9.7530000000000001</v>
      </c>
      <c r="N60" cm="1">
        <f t="array" aca="1" ref="N60" ca="1">_xll.IMDP("IR", N$48&amp;$C41, Sheet2!$G$4, $C$4)</f>
        <v>4.8680000000000003</v>
      </c>
      <c r="O60" cm="1">
        <f t="array" aca="1" ref="O60" ca="1">_xll.IMDP("IR", O$48&amp;$C41, Sheet2!$G$4, $C$4)</f>
        <v>3.7353000000000001</v>
      </c>
      <c r="P60" t="str" cm="1">
        <f t="array" aca="1" ref="P60" ca="1">_xll.IMDP("IR", P$48&amp;$C41, Sheet2!$G$4, $C$4)</f>
        <v/>
      </c>
      <c r="Q60" cm="1">
        <f t="array" aca="1" ref="Q60" ca="1">_xll.IMDP("IR", Q$48&amp;$C41, Sheet2!$G$4, $C$4)</f>
        <v>2.3923000000000001</v>
      </c>
      <c r="R60" cm="1">
        <f t="array" aca="1" ref="R60" ca="1">_xll.IMDP("IR", R$48&amp;$C41, Sheet2!$G$4, $C$4)</f>
        <v>3.7686999999999999</v>
      </c>
      <c r="S60" cm="1">
        <f t="array" aca="1" ref="S60" ca="1">_xll.IMDP("IR", S$48&amp;$C41, Sheet2!$G$4, $C$4)</f>
        <v>2.2149999999999999</v>
      </c>
      <c r="T60" t="str" cm="1">
        <f t="array" aca="1" ref="T60" ca="1">_xll.IMDP("IR", T$48&amp;$C41, Sheet2!$G$4, $C$4)</f>
        <v/>
      </c>
      <c r="U60" cm="1">
        <f t="array" aca="1" ref="U60" ca="1">_xll.IMDP("IR", U$48&amp;$C41, Sheet2!$G$4, $C$4)</f>
        <v>5.2237999999999998</v>
      </c>
      <c r="V60" cm="1">
        <f t="array" aca="1" ref="V60" ca="1">_xll.IMDP("IR", V$48&amp;$C41, Sheet2!$G$4, $C$4)</f>
        <v>2.9634</v>
      </c>
      <c r="W60" cm="1">
        <f t="array" aca="1" ref="W60" ca="1">_xll.IMDP("IR", W$48&amp;$C41, Sheet2!$G$4, $C$4)</f>
        <v>3.9733999999999998</v>
      </c>
      <c r="X60" cm="1">
        <f t="array" aca="1" ref="X60" ca="1">_xll.IMDP("IR", X$48&amp;$C41, Sheet2!$G$4, $C$4)</f>
        <v>6.82</v>
      </c>
      <c r="Y60" cm="1">
        <f t="array" aca="1" ref="Y60" ca="1">_xll.IMDP("IR", Y$48&amp;$C41, Sheet2!$G$4, $C$4)</f>
        <v>6.98</v>
      </c>
      <c r="Z60" cm="1">
        <f t="array" aca="1" ref="Z60" ca="1">_xll.IMDP("IR", Z$48&amp;$C41, Sheet2!$G$4, $C$4)</f>
        <v>2.3671000000000002</v>
      </c>
      <c r="AA60" cm="1">
        <f t="array" aca="1" ref="AA60" ca="1">_xll.IMDP("IR", AA$48&amp;$C41, Sheet2!$G$4, $C$4)</f>
        <v>1.9107000000000001</v>
      </c>
      <c r="AB60" cm="1">
        <f t="array" aca="1" ref="AB60" ca="1">_xll.IMDP("IR", AB$48&amp;$C41, Sheet2!$G$4, $C$4)</f>
        <v>3.5668000000000002</v>
      </c>
      <c r="AC60" t="str" cm="1">
        <f t="array" aca="1" ref="AC60" ca="1">_xll.IMDP("IR", AC$48&amp;$C41, Sheet2!$G$4, $C$4)</f>
        <v/>
      </c>
      <c r="AD60" t="str" cm="1">
        <f t="array" aca="1" ref="AD60" ca="1">_xll.IMDP("IR", AD$48&amp;$C41, Sheet2!$G$4, $C$4)</f>
        <v/>
      </c>
      <c r="AE60" t="str" cm="1">
        <f t="array" aca="1" ref="AE60" ca="1">_xll.IMDP("IR", AE$48&amp;$C41, Sheet2!$G$4, $C$4)</f>
        <v/>
      </c>
      <c r="AF60" cm="1">
        <f t="array" aca="1" ref="AF60" ca="1">_xll.IMDP("IR", AF$48&amp;$C41, Sheet2!$G$4, $C$4)</f>
        <v>3.6282999999999999</v>
      </c>
      <c r="AG60" t="str" cm="1">
        <f t="array" aca="1" ref="AG60" ca="1">_xll.IMDP("IR", AG$48&amp;$C41, Sheet2!$G$4, $C$4)</f>
        <v/>
      </c>
      <c r="AH60" cm="1">
        <f t="array" aca="1" ref="AH60" ca="1">_xll.IMDP("IR", AH$48&amp;$C41, Sheet2!$G$4, $C$4)</f>
        <v>3.7568000000000001</v>
      </c>
      <c r="AI60" cm="1">
        <f t="array" aca="1" ref="AI60" ca="1">_xll.IMDP("IR", AI$48&amp;$C41, Sheet2!$G$4, $C$4)</f>
        <v>6.6</v>
      </c>
      <c r="AJ60" t="str" cm="1">
        <f t="array" aca="1" ref="AJ60" ca="1">_xll.IMDP("IR", AJ$48&amp;$C41, Sheet2!$G$4, $C$4)</f>
        <v/>
      </c>
      <c r="AK60" cm="1">
        <f t="array" aca="1" ref="AK60" ca="1">_xll.IMDP("IR", AK$48&amp;$C41, Sheet2!$G$4, $C$4)</f>
        <v>4.7594000000000003</v>
      </c>
      <c r="AL60" t="str" cm="1">
        <f t="array" aca="1" ref="AL60" ca="1">_xll.IMDP("IR", AL$48&amp;$C41, Sheet2!$G$4, $C$4)</f>
        <v/>
      </c>
    </row>
    <row r="61" spans="5:38" hidden="1">
      <c r="E61" t="str" cm="1">
        <f t="array" aca="1" ref="E61" ca="1">_xll.IMDP("IR", E$48&amp;$C42, Sheet2!$G$4, $C$4)</f>
        <v/>
      </c>
      <c r="F61" cm="1">
        <f t="array" aca="1" ref="F61" ca="1">_xll.IMDP("IR", F$48&amp;$C42, Sheet2!$G$4, $C$4)</f>
        <v>3.1861000000000002</v>
      </c>
      <c r="G61" t="str" cm="1">
        <f t="array" aca="1" ref="G61" ca="1">_xll.IMDP("IR", G$48&amp;$C42, Sheet2!$G$4, $C$4)</f>
        <v/>
      </c>
      <c r="H61" t="str" cm="1">
        <f t="array" aca="1" ref="H61" ca="1">_xll.IMDP("IR", H$48&amp;$C42, Sheet2!$G$4, $C$4)</f>
        <v/>
      </c>
      <c r="I61" cm="1">
        <f t="array" aca="1" ref="I61" ca="1">_xll.IMDP("IR", I$48&amp;$C42, Sheet2!$G$4, $C$4)</f>
        <v>1.7050000000000001</v>
      </c>
      <c r="J61" t="str" cm="1">
        <f t="array" aca="1" ref="J61" ca="1">_xll.IMDP("IR", J$48&amp;$C42, Sheet2!$G$4, $C$4)</f>
        <v/>
      </c>
      <c r="K61" cm="1">
        <f t="array" aca="1" ref="K61" ca="1">_xll.IMDP("IR", K$48&amp;$C42, Sheet2!$G$4, $C$4)</f>
        <v>3.0586000000000002</v>
      </c>
      <c r="L61" cm="1">
        <f t="array" aca="1" ref="L61" ca="1">_xll.IMDP("IR", L$48&amp;$C42, Sheet2!$G$4, $C$4)</f>
        <v>4.0149999999999997</v>
      </c>
      <c r="M61" cm="1">
        <f t="array" aca="1" ref="M61" ca="1">_xll.IMDP("IR", M$48&amp;$C42, Sheet2!$G$4, $C$4)</f>
        <v>9.81</v>
      </c>
      <c r="N61" cm="1">
        <f t="array" aca="1" ref="N61" ca="1">_xll.IMDP("IR", N$48&amp;$C42, Sheet2!$G$4, $C$4)</f>
        <v>4.8639999999999999</v>
      </c>
      <c r="O61" cm="1">
        <f t="array" aca="1" ref="O61" ca="1">_xll.IMDP("IR", O$48&amp;$C42, Sheet2!$G$4, $C$4)</f>
        <v>3.9765000000000001</v>
      </c>
      <c r="P61" t="str" cm="1">
        <f t="array" aca="1" ref="P61" ca="1">_xll.IMDP("IR", P$48&amp;$C42, Sheet2!$G$4, $C$4)</f>
        <v/>
      </c>
      <c r="Q61" t="str" cm="1">
        <f t="array" aca="1" ref="Q61" ca="1">_xll.IMDP("IR", Q$48&amp;$C42, Sheet2!$G$4, $C$4)</f>
        <v/>
      </c>
      <c r="R61" cm="1">
        <f t="array" aca="1" ref="R61" ca="1">_xll.IMDP("IR", R$48&amp;$C42, Sheet2!$G$4, $C$4)</f>
        <v>4.0098000000000003</v>
      </c>
      <c r="S61" cm="1">
        <f t="array" aca="1" ref="S61" ca="1">_xll.IMDP("IR", S$48&amp;$C42, Sheet2!$G$4, $C$4)</f>
        <v>2.2450000000000001</v>
      </c>
      <c r="T61" t="str" cm="1">
        <f t="array" aca="1" ref="T61" ca="1">_xll.IMDP("IR", T$48&amp;$C42, Sheet2!$G$4, $C$4)</f>
        <v/>
      </c>
      <c r="U61" cm="1">
        <f t="array" aca="1" ref="U61" ca="1">_xll.IMDP("IR", U$48&amp;$C42, Sheet2!$G$4, $C$4)</f>
        <v>5.3414999999999999</v>
      </c>
      <c r="V61" cm="1">
        <f t="array" aca="1" ref="V61" ca="1">_xll.IMDP("IR", V$48&amp;$C42, Sheet2!$G$4, $C$4)</f>
        <v>3.0586000000000002</v>
      </c>
      <c r="W61" cm="1">
        <f t="array" aca="1" ref="W61" ca="1">_xll.IMDP("IR", W$48&amp;$C42, Sheet2!$G$4, $C$4)</f>
        <v>4.3158000000000003</v>
      </c>
      <c r="X61" t="str" cm="1">
        <f t="array" aca="1" ref="X61" ca="1">_xll.IMDP("IR", X$48&amp;$C42, Sheet2!$G$4, $C$4)</f>
        <v/>
      </c>
      <c r="Y61" cm="1">
        <f t="array" aca="1" ref="Y61" ca="1">_xll.IMDP("IR", Y$48&amp;$C42, Sheet2!$G$4, $C$4)</f>
        <v>7.0090000000000003</v>
      </c>
      <c r="Z61" cm="1">
        <f t="array" aca="1" ref="Z61" ca="1">_xll.IMDP("IR", Z$48&amp;$C42, Sheet2!$G$4, $C$4)</f>
        <v>2.8607</v>
      </c>
      <c r="AA61" cm="1">
        <f t="array" aca="1" ref="AA61" ca="1">_xll.IMDP("IR", AA$48&amp;$C42, Sheet2!$G$4, $C$4)</f>
        <v>1.8698999999999999</v>
      </c>
      <c r="AB61" cm="1">
        <f t="array" aca="1" ref="AB61" ca="1">_xll.IMDP("IR", AB$48&amp;$C42, Sheet2!$G$4, $C$4)</f>
        <v>3.6705999999999999</v>
      </c>
      <c r="AC61" t="str" cm="1">
        <f t="array" aca="1" ref="AC61" ca="1">_xll.IMDP("IR", AC$48&amp;$C42, Sheet2!$G$4, $C$4)</f>
        <v/>
      </c>
      <c r="AD61" t="str" cm="1">
        <f t="array" aca="1" ref="AD61" ca="1">_xll.IMDP("IR", AD$48&amp;$C42, Sheet2!$G$4, $C$4)</f>
        <v/>
      </c>
      <c r="AE61" t="str" cm="1">
        <f t="array" aca="1" ref="AE61" ca="1">_xll.IMDP("IR", AE$48&amp;$C42, Sheet2!$G$4, $C$4)</f>
        <v/>
      </c>
      <c r="AF61" t="str" cm="1">
        <f t="array" aca="1" ref="AF61" ca="1">_xll.IMDP("IR", AF$48&amp;$C42, Sheet2!$G$4, $C$4)</f>
        <v/>
      </c>
      <c r="AG61" t="str" cm="1">
        <f t="array" aca="1" ref="AG61" ca="1">_xll.IMDP("IR", AG$48&amp;$C42, Sheet2!$G$4, $C$4)</f>
        <v/>
      </c>
      <c r="AH61" cm="1">
        <f t="array" aca="1" ref="AH61" ca="1">_xll.IMDP("IR", AH$48&amp;$C42, Sheet2!$G$4, $C$4)</f>
        <v>4.0366</v>
      </c>
      <c r="AI61" t="str" cm="1">
        <f t="array" aca="1" ref="AI61" ca="1">_xll.IMDP("IR", AI$48&amp;$C42, Sheet2!$G$4, $C$4)</f>
        <v/>
      </c>
      <c r="AJ61" t="str" cm="1">
        <f t="array" aca="1" ref="AJ61" ca="1">_xll.IMDP("IR", AJ$48&amp;$C42, Sheet2!$G$4, $C$4)</f>
        <v/>
      </c>
      <c r="AK61" cm="1">
        <f t="array" aca="1" ref="AK61" ca="1">_xll.IMDP("IR", AK$48&amp;$C42, Sheet2!$G$4, $C$4)</f>
        <v>4.8634000000000004</v>
      </c>
      <c r="AL61" t="str" cm="1">
        <f t="array" aca="1" ref="AL61" ca="1">_xll.IMDP("IR", AL$48&amp;$C42, Sheet2!$G$4, $C$4)</f>
        <v/>
      </c>
    </row>
    <row r="62" spans="5:38" hidden="1">
      <c r="E62" t="str" cm="1">
        <f t="array" aca="1" ref="E62" ca="1">_xll.IMDP("IR", E$48&amp;$C43, Sheet2!$G$4, $C$4)</f>
        <v/>
      </c>
      <c r="F62" t="str" cm="1">
        <f t="array" aca="1" ref="F62" ca="1">_xll.IMDP("IR", F$48&amp;$C43, Sheet2!$G$4, $C$4)</f>
        <v/>
      </c>
      <c r="G62" t="str" cm="1">
        <f t="array" aca="1" ref="G62" ca="1">_xll.IMDP("IR", G$48&amp;$C43, Sheet2!$G$4, $C$4)</f>
        <v/>
      </c>
      <c r="H62" t="str" cm="1">
        <f t="array" aca="1" ref="H62" ca="1">_xll.IMDP("IR", H$48&amp;$C43, Sheet2!$G$4, $C$4)</f>
        <v/>
      </c>
      <c r="I62" t="str" cm="1">
        <f t="array" aca="1" ref="I62" ca="1">_xll.IMDP("IR", I$48&amp;$C43, Sheet2!$G$4, $C$4)</f>
        <v/>
      </c>
      <c r="J62" t="str" cm="1">
        <f t="array" aca="1" ref="J62" ca="1">_xll.IMDP("IR", J$48&amp;$C43, Sheet2!$G$4, $C$4)</f>
        <v/>
      </c>
      <c r="K62" t="str" cm="1">
        <f t="array" aca="1" ref="K62" ca="1">_xll.IMDP("IR", K$48&amp;$C43, Sheet2!$G$4, $C$4)</f>
        <v/>
      </c>
      <c r="L62" t="str" cm="1">
        <f t="array" aca="1" ref="L62" ca="1">_xll.IMDP("IR", L$48&amp;$C43, Sheet2!$G$4, $C$4)</f>
        <v/>
      </c>
      <c r="M62" t="str" cm="1">
        <f t="array" aca="1" ref="M62" ca="1">_xll.IMDP("IR", M$48&amp;$C43, Sheet2!$G$4, $C$4)</f>
        <v/>
      </c>
      <c r="N62" t="str" cm="1">
        <f t="array" aca="1" ref="N62" ca="1">_xll.IMDP("IR", N$48&amp;$C43, Sheet2!$G$4, $C$4)</f>
        <v/>
      </c>
      <c r="O62" t="str" cm="1">
        <f t="array" aca="1" ref="O62" ca="1">_xll.IMDP("IR", O$48&amp;$C43, Sheet2!$G$4, $C$4)</f>
        <v/>
      </c>
      <c r="P62" t="str" cm="1">
        <f t="array" aca="1" ref="P62" ca="1">_xll.IMDP("IR", P$48&amp;$C43, Sheet2!$G$4, $C$4)</f>
        <v/>
      </c>
      <c r="Q62" t="str" cm="1">
        <f t="array" aca="1" ref="Q62" ca="1">_xll.IMDP("IR", Q$48&amp;$C43, Sheet2!$G$4, $C$4)</f>
        <v/>
      </c>
      <c r="R62" t="str" cm="1">
        <f t="array" aca="1" ref="R62" ca="1">_xll.IMDP("IR", R$48&amp;$C43, Sheet2!$G$4, $C$4)</f>
        <v/>
      </c>
      <c r="S62" t="str" cm="1">
        <f t="array" aca="1" ref="S62" ca="1">_xll.IMDP("IR", S$48&amp;$C43, Sheet2!$G$4, $C$4)</f>
        <v/>
      </c>
      <c r="T62" t="str" cm="1">
        <f t="array" aca="1" ref="T62" ca="1">_xll.IMDP("IR", T$48&amp;$C43, Sheet2!$G$4, $C$4)</f>
        <v/>
      </c>
      <c r="U62" t="str" cm="1">
        <f t="array" aca="1" ref="U62" ca="1">_xll.IMDP("IR", U$48&amp;$C43, Sheet2!$G$4, $C$4)</f>
        <v/>
      </c>
      <c r="V62" t="str" cm="1">
        <f t="array" aca="1" ref="V62" ca="1">_xll.IMDP("IR", V$48&amp;$C43, Sheet2!$G$4, $C$4)</f>
        <v/>
      </c>
      <c r="W62" t="str" cm="1">
        <f t="array" aca="1" ref="W62" ca="1">_xll.IMDP("IR", W$48&amp;$C43, Sheet2!$G$4, $C$4)</f>
        <v/>
      </c>
      <c r="X62" t="str" cm="1">
        <f t="array" aca="1" ref="X62" ca="1">_xll.IMDP("IR", X$48&amp;$C43, Sheet2!$G$4, $C$4)</f>
        <v/>
      </c>
      <c r="Y62" t="str" cm="1">
        <f t="array" aca="1" ref="Y62" ca="1">_xll.IMDP("IR", Y$48&amp;$C43, Sheet2!$G$4, $C$4)</f>
        <v/>
      </c>
      <c r="Z62" t="str" cm="1">
        <f t="array" aca="1" ref="Z62" ca="1">_xll.IMDP("IR", Z$48&amp;$C43, Sheet2!$G$4, $C$4)</f>
        <v/>
      </c>
      <c r="AA62" t="str" cm="1">
        <f t="array" aca="1" ref="AA62" ca="1">_xll.IMDP("IR", AA$48&amp;$C43, Sheet2!$G$4, $C$4)</f>
        <v/>
      </c>
      <c r="AB62" t="str" cm="1">
        <f t="array" aca="1" ref="AB62" ca="1">_xll.IMDP("IR", AB$48&amp;$C43, Sheet2!$G$4, $C$4)</f>
        <v/>
      </c>
      <c r="AC62" t="str" cm="1">
        <f t="array" aca="1" ref="AC62" ca="1">_xll.IMDP("IR", AC$48&amp;$C43, Sheet2!$G$4, $C$4)</f>
        <v/>
      </c>
      <c r="AD62" t="str" cm="1">
        <f t="array" aca="1" ref="AD62" ca="1">_xll.IMDP("IR", AD$48&amp;$C43, Sheet2!$G$4, $C$4)</f>
        <v/>
      </c>
      <c r="AE62" t="str" cm="1">
        <f t="array" aca="1" ref="AE62" ca="1">_xll.IMDP("IR", AE$48&amp;$C43, Sheet2!$G$4, $C$4)</f>
        <v/>
      </c>
      <c r="AF62" t="str" cm="1">
        <f t="array" aca="1" ref="AF62" ca="1">_xll.IMDP("IR", AF$48&amp;$C43, Sheet2!$G$4, $C$4)</f>
        <v/>
      </c>
      <c r="AG62" t="str" cm="1">
        <f t="array" aca="1" ref="AG62" ca="1">_xll.IMDP("IR", AG$48&amp;$C43, Sheet2!$G$4, $C$4)</f>
        <v/>
      </c>
      <c r="AH62" t="str" cm="1">
        <f t="array" aca="1" ref="AH62" ca="1">_xll.IMDP("IR", AH$48&amp;$C43, Sheet2!$G$4, $C$4)</f>
        <v/>
      </c>
      <c r="AI62" t="str" cm="1">
        <f t="array" aca="1" ref="AI62" ca="1">_xll.IMDP("IR", AI$48&amp;$C43, Sheet2!$G$4, $C$4)</f>
        <v/>
      </c>
      <c r="AJ62" t="str" cm="1">
        <f t="array" aca="1" ref="AJ62" ca="1">_xll.IMDP("IR", AJ$48&amp;$C43, Sheet2!$G$4, $C$4)</f>
        <v/>
      </c>
      <c r="AK62" t="str" cm="1">
        <f t="array" aca="1" ref="AK62" ca="1">_xll.IMDP("IR", AK$48&amp;$C43, Sheet2!$G$4, $C$4)</f>
        <v/>
      </c>
      <c r="AL62" t="str" cm="1">
        <f t="array" aca="1" ref="AL62" ca="1">_xll.IMDP("IR", AL$48&amp;$C43, Sheet2!$G$4, $C$4)</f>
        <v/>
      </c>
    </row>
    <row r="63" spans="5:38" hidden="1">
      <c r="E63" t="str" cm="1">
        <f t="array" aca="1" ref="E63" ca="1">_xll.IMDP("IR", E$48&amp;$C44, Sheet2!$G$4, $C$4)</f>
        <v/>
      </c>
      <c r="F63" t="str" cm="1">
        <f t="array" aca="1" ref="F63" ca="1">_xll.IMDP("IR", F$48&amp;$C44, Sheet2!$G$4, $C$4)</f>
        <v/>
      </c>
      <c r="G63" t="str" cm="1">
        <f t="array" aca="1" ref="G63" ca="1">_xll.IMDP("IR", G$48&amp;$C44, Sheet2!$G$4, $C$4)</f>
        <v/>
      </c>
      <c r="H63" t="str" cm="1">
        <f t="array" aca="1" ref="H63" ca="1">_xll.IMDP("IR", H$48&amp;$C44, Sheet2!$G$4, $C$4)</f>
        <v/>
      </c>
      <c r="I63" t="str" cm="1">
        <f t="array" aca="1" ref="I63" ca="1">_xll.IMDP("IR", I$48&amp;$C44, Sheet2!$G$4, $C$4)</f>
        <v/>
      </c>
      <c r="J63" t="str" cm="1">
        <f t="array" aca="1" ref="J63" ca="1">_xll.IMDP("IR", J$48&amp;$C44, Sheet2!$G$4, $C$4)</f>
        <v/>
      </c>
      <c r="K63" t="str" cm="1">
        <f t="array" aca="1" ref="K63" ca="1">_xll.IMDP("IR", K$48&amp;$C44, Sheet2!$G$4, $C$4)</f>
        <v/>
      </c>
      <c r="L63" t="str" cm="1">
        <f t="array" aca="1" ref="L63" ca="1">_xll.IMDP("IR", L$48&amp;$C44, Sheet2!$G$4, $C$4)</f>
        <v/>
      </c>
      <c r="M63" t="str" cm="1">
        <f t="array" aca="1" ref="M63" ca="1">_xll.IMDP("IR", M$48&amp;$C44, Sheet2!$G$4, $C$4)</f>
        <v/>
      </c>
      <c r="N63" t="str" cm="1">
        <f t="array" aca="1" ref="N63" ca="1">_xll.IMDP("IR", N$48&amp;$C44, Sheet2!$G$4, $C$4)</f>
        <v/>
      </c>
      <c r="O63" t="str" cm="1">
        <f t="array" aca="1" ref="O63" ca="1">_xll.IMDP("IR", O$48&amp;$C44, Sheet2!$G$4, $C$4)</f>
        <v/>
      </c>
      <c r="P63" t="str" cm="1">
        <f t="array" aca="1" ref="P63" ca="1">_xll.IMDP("IR", P$48&amp;$C44, Sheet2!$G$4, $C$4)</f>
        <v/>
      </c>
      <c r="Q63" t="str" cm="1">
        <f t="array" aca="1" ref="Q63" ca="1">_xll.IMDP("IR", Q$48&amp;$C44, Sheet2!$G$4, $C$4)</f>
        <v/>
      </c>
      <c r="R63" t="str" cm="1">
        <f t="array" aca="1" ref="R63" ca="1">_xll.IMDP("IR", R$48&amp;$C44, Sheet2!$G$4, $C$4)</f>
        <v/>
      </c>
      <c r="S63" t="str" cm="1">
        <f t="array" aca="1" ref="S63" ca="1">_xll.IMDP("IR", S$48&amp;$C44, Sheet2!$G$4, $C$4)</f>
        <v/>
      </c>
      <c r="T63" t="str" cm="1">
        <f t="array" aca="1" ref="T63" ca="1">_xll.IMDP("IR", T$48&amp;$C44, Sheet2!$G$4, $C$4)</f>
        <v/>
      </c>
      <c r="U63" t="str" cm="1">
        <f t="array" aca="1" ref="U63" ca="1">_xll.IMDP("IR", U$48&amp;$C44, Sheet2!$G$4, $C$4)</f>
        <v/>
      </c>
      <c r="V63" t="str" cm="1">
        <f t="array" aca="1" ref="V63" ca="1">_xll.IMDP("IR", V$48&amp;$C44, Sheet2!$G$4, $C$4)</f>
        <v/>
      </c>
      <c r="W63" t="str" cm="1">
        <f t="array" aca="1" ref="W63" ca="1">_xll.IMDP("IR", W$48&amp;$C44, Sheet2!$G$4, $C$4)</f>
        <v/>
      </c>
      <c r="X63" t="str" cm="1">
        <f t="array" aca="1" ref="X63" ca="1">_xll.IMDP("IR", X$48&amp;$C44, Sheet2!$G$4, $C$4)</f>
        <v/>
      </c>
      <c r="Y63" t="str" cm="1">
        <f t="array" aca="1" ref="Y63" ca="1">_xll.IMDP("IR", Y$48&amp;$C44, Sheet2!$G$4, $C$4)</f>
        <v/>
      </c>
      <c r="Z63" t="str" cm="1">
        <f t="array" aca="1" ref="Z63" ca="1">_xll.IMDP("IR", Z$48&amp;$C44, Sheet2!$G$4, $C$4)</f>
        <v/>
      </c>
      <c r="AA63" t="str" cm="1">
        <f t="array" aca="1" ref="AA63" ca="1">_xll.IMDP("IR", AA$48&amp;$C44, Sheet2!$G$4, $C$4)</f>
        <v/>
      </c>
      <c r="AB63" t="str" cm="1">
        <f t="array" aca="1" ref="AB63" ca="1">_xll.IMDP("IR", AB$48&amp;$C44, Sheet2!$G$4, $C$4)</f>
        <v/>
      </c>
      <c r="AC63" t="str" cm="1">
        <f t="array" aca="1" ref="AC63" ca="1">_xll.IMDP("IR", AC$48&amp;$C44, Sheet2!$G$4, $C$4)</f>
        <v/>
      </c>
      <c r="AD63" t="str" cm="1">
        <f t="array" aca="1" ref="AD63" ca="1">_xll.IMDP("IR", AD$48&amp;$C44, Sheet2!$G$4, $C$4)</f>
        <v/>
      </c>
      <c r="AE63" t="str" cm="1">
        <f t="array" aca="1" ref="AE63" ca="1">_xll.IMDP("IR", AE$48&amp;$C44, Sheet2!$G$4, $C$4)</f>
        <v/>
      </c>
      <c r="AF63" t="str" cm="1">
        <f t="array" aca="1" ref="AF63" ca="1">_xll.IMDP("IR", AF$48&amp;$C44, Sheet2!$G$4, $C$4)</f>
        <v/>
      </c>
      <c r="AG63" t="str" cm="1">
        <f t="array" aca="1" ref="AG63" ca="1">_xll.IMDP("IR", AG$48&amp;$C44, Sheet2!$G$4, $C$4)</f>
        <v/>
      </c>
      <c r="AH63" t="str" cm="1">
        <f t="array" aca="1" ref="AH63" ca="1">_xll.IMDP("IR", AH$48&amp;$C44, Sheet2!$G$4, $C$4)</f>
        <v/>
      </c>
      <c r="AI63" t="str" cm="1">
        <f t="array" aca="1" ref="AI63" ca="1">_xll.IMDP("IR", AI$48&amp;$C44, Sheet2!$G$4, $C$4)</f>
        <v/>
      </c>
      <c r="AJ63" t="str" cm="1">
        <f t="array" aca="1" ref="AJ63" ca="1">_xll.IMDP("IR", AJ$48&amp;$C44, Sheet2!$G$4, $C$4)</f>
        <v/>
      </c>
      <c r="AK63" t="str" cm="1">
        <f t="array" aca="1" ref="AK63" ca="1">_xll.IMDP("IR", AK$48&amp;$C44, Sheet2!$G$4, $C$4)</f>
        <v/>
      </c>
      <c r="AL63" t="str" cm="1">
        <f t="array" aca="1" ref="AL63" ca="1">_xll.IMDP("IR", AL$48&amp;$C44, Sheet2!$G$4, $C$4)</f>
        <v/>
      </c>
    </row>
    <row r="64" spans="5:38" hidden="1">
      <c r="E64" t="str" cm="1">
        <f t="array" aca="1" ref="E64" ca="1">_xll.IMDP("IR", E$48&amp;$C45, Sheet2!$G$4, $C$4)</f>
        <v/>
      </c>
      <c r="F64" t="str" cm="1">
        <f t="array" aca="1" ref="F64" ca="1">_xll.IMDP("IR", F$48&amp;$C45, Sheet2!$G$4, $C$4)</f>
        <v/>
      </c>
      <c r="G64" t="str" cm="1">
        <f t="array" aca="1" ref="G64" ca="1">_xll.IMDP("IR", G$48&amp;$C45, Sheet2!$G$4, $C$4)</f>
        <v/>
      </c>
      <c r="H64" t="str" cm="1">
        <f t="array" aca="1" ref="H64" ca="1">_xll.IMDP("IR", H$48&amp;$C45, Sheet2!$G$4, $C$4)</f>
        <v/>
      </c>
      <c r="I64" t="str" cm="1">
        <f t="array" aca="1" ref="I64" ca="1">_xll.IMDP("IR", I$48&amp;$C45, Sheet2!$G$4, $C$4)</f>
        <v/>
      </c>
      <c r="J64" t="str" cm="1">
        <f t="array" aca="1" ref="J64" ca="1">_xll.IMDP("IR", J$48&amp;$C45, Sheet2!$G$4, $C$4)</f>
        <v/>
      </c>
      <c r="K64" t="str" cm="1">
        <f t="array" aca="1" ref="K64" ca="1">_xll.IMDP("IR", K$48&amp;$C45, Sheet2!$G$4, $C$4)</f>
        <v/>
      </c>
      <c r="L64" t="str" cm="1">
        <f t="array" aca="1" ref="L64" ca="1">_xll.IMDP("IR", L$48&amp;$C45, Sheet2!$G$4, $C$4)</f>
        <v/>
      </c>
      <c r="M64" t="str" cm="1">
        <f t="array" aca="1" ref="M64" ca="1">_xll.IMDP("IR", M$48&amp;$C45, Sheet2!$G$4, $C$4)</f>
        <v/>
      </c>
      <c r="N64" t="str" cm="1">
        <f t="array" aca="1" ref="N64" ca="1">_xll.IMDP("IR", N$48&amp;$C45, Sheet2!$G$4, $C$4)</f>
        <v/>
      </c>
      <c r="O64" t="str" cm="1">
        <f t="array" aca="1" ref="O64" ca="1">_xll.IMDP("IR", O$48&amp;$C45, Sheet2!$G$4, $C$4)</f>
        <v/>
      </c>
      <c r="P64" t="str" cm="1">
        <f t="array" aca="1" ref="P64" ca="1">_xll.IMDP("IR", P$48&amp;$C45, Sheet2!$G$4, $C$4)</f>
        <v/>
      </c>
      <c r="Q64" t="str" cm="1">
        <f t="array" aca="1" ref="Q64" ca="1">_xll.IMDP("IR", Q$48&amp;$C45, Sheet2!$G$4, $C$4)</f>
        <v/>
      </c>
      <c r="R64" t="str" cm="1">
        <f t="array" aca="1" ref="R64" ca="1">_xll.IMDP("IR", R$48&amp;$C45, Sheet2!$G$4, $C$4)</f>
        <v/>
      </c>
      <c r="S64" t="str" cm="1">
        <f t="array" aca="1" ref="S64" ca="1">_xll.IMDP("IR", S$48&amp;$C45, Sheet2!$G$4, $C$4)</f>
        <v/>
      </c>
      <c r="T64" t="str" cm="1">
        <f t="array" aca="1" ref="T64" ca="1">_xll.IMDP("IR", T$48&amp;$C45, Sheet2!$G$4, $C$4)</f>
        <v/>
      </c>
      <c r="U64" t="str" cm="1">
        <f t="array" aca="1" ref="U64" ca="1">_xll.IMDP("IR", U$48&amp;$C45, Sheet2!$G$4, $C$4)</f>
        <v/>
      </c>
      <c r="V64" t="str" cm="1">
        <f t="array" aca="1" ref="V64" ca="1">_xll.IMDP("IR", V$48&amp;$C45, Sheet2!$G$4, $C$4)</f>
        <v/>
      </c>
      <c r="W64" t="str" cm="1">
        <f t="array" aca="1" ref="W64" ca="1">_xll.IMDP("IR", W$48&amp;$C45, Sheet2!$G$4, $C$4)</f>
        <v/>
      </c>
      <c r="X64" t="str" cm="1">
        <f t="array" aca="1" ref="X64" ca="1">_xll.IMDP("IR", X$48&amp;$C45, Sheet2!$G$4, $C$4)</f>
        <v/>
      </c>
      <c r="Y64" t="str" cm="1">
        <f t="array" aca="1" ref="Y64" ca="1">_xll.IMDP("IR", Y$48&amp;$C45, Sheet2!$G$4, $C$4)</f>
        <v/>
      </c>
      <c r="Z64" t="str" cm="1">
        <f t="array" aca="1" ref="Z64" ca="1">_xll.IMDP("IR", Z$48&amp;$C45, Sheet2!$G$4, $C$4)</f>
        <v/>
      </c>
      <c r="AA64" t="str" cm="1">
        <f t="array" aca="1" ref="AA64" ca="1">_xll.IMDP("IR", AA$48&amp;$C45, Sheet2!$G$4, $C$4)</f>
        <v/>
      </c>
      <c r="AB64" t="str" cm="1">
        <f t="array" aca="1" ref="AB64" ca="1">_xll.IMDP("IR", AB$48&amp;$C45, Sheet2!$G$4, $C$4)</f>
        <v/>
      </c>
      <c r="AC64" t="str" cm="1">
        <f t="array" aca="1" ref="AC64" ca="1">_xll.IMDP("IR", AC$48&amp;$C45, Sheet2!$G$4, $C$4)</f>
        <v/>
      </c>
      <c r="AD64" t="str" cm="1">
        <f t="array" aca="1" ref="AD64" ca="1">_xll.IMDP("IR", AD$48&amp;$C45, Sheet2!$G$4, $C$4)</f>
        <v/>
      </c>
      <c r="AE64" t="str" cm="1">
        <f t="array" aca="1" ref="AE64" ca="1">_xll.IMDP("IR", AE$48&amp;$C45, Sheet2!$G$4, $C$4)</f>
        <v/>
      </c>
      <c r="AF64" t="str" cm="1">
        <f t="array" aca="1" ref="AF64" ca="1">_xll.IMDP("IR", AF$48&amp;$C45, Sheet2!$G$4, $C$4)</f>
        <v/>
      </c>
      <c r="AG64" t="str" cm="1">
        <f t="array" aca="1" ref="AG64" ca="1">_xll.IMDP("IR", AG$48&amp;$C45, Sheet2!$G$4, $C$4)</f>
        <v/>
      </c>
      <c r="AH64" t="str" cm="1">
        <f t="array" aca="1" ref="AH64" ca="1">_xll.IMDP("IR", AH$48&amp;$C45, Sheet2!$G$4, $C$4)</f>
        <v/>
      </c>
      <c r="AI64" t="str" cm="1">
        <f t="array" aca="1" ref="AI64" ca="1">_xll.IMDP("IR", AI$48&amp;$C45, Sheet2!$G$4, $C$4)</f>
        <v/>
      </c>
      <c r="AJ64" t="str" cm="1">
        <f t="array" aca="1" ref="AJ64" ca="1">_xll.IMDP("IR", AJ$48&amp;$C45, Sheet2!$G$4, $C$4)</f>
        <v/>
      </c>
      <c r="AK64" t="str" cm="1">
        <f t="array" aca="1" ref="AK64" ca="1">_xll.IMDP("IR", AK$48&amp;$C45, Sheet2!$G$4, $C$4)</f>
        <v/>
      </c>
      <c r="AL64" t="str" cm="1">
        <f t="array" aca="1" ref="AL64" ca="1">_xll.IMDP("IR", AL$48&amp;$C45, Sheet2!$G$4, $C$4)</f>
        <v/>
      </c>
    </row>
    <row r="65" spans="6:33" hidden="1">
      <c r="F65"/>
      <c r="I65"/>
      <c r="L65"/>
      <c r="O65"/>
      <c r="R65"/>
      <c r="U65"/>
      <c r="X65"/>
      <c r="AA65"/>
      <c r="AD65"/>
      <c r="AG65"/>
    </row>
  </sheetData>
  <mergeCells count="1">
    <mergeCell ref="C4:D4"/>
  </mergeCells>
  <conditionalFormatting sqref="D30:D45">
    <cfRule type="colorScale" priority="2">
      <colorScale>
        <cfvo type="min"/>
        <cfvo type="max"/>
        <color theme="0" tint="-4.9989318521683403E-2"/>
        <color theme="5"/>
      </colorScale>
    </cfRule>
  </conditionalFormatting>
  <conditionalFormatting sqref="D8:E23">
    <cfRule type="colorScale" priority="14">
      <colorScale>
        <cfvo type="min"/>
        <cfvo type="max"/>
        <color theme="0" tint="-4.9989318521683403E-2"/>
        <color theme="5"/>
      </colorScale>
    </cfRule>
  </conditionalFormatting>
  <conditionalFormatting sqref="E30:AL45">
    <cfRule type="colorScale" priority="1">
      <colorScale>
        <cfvo type="min"/>
        <cfvo type="num" val="0"/>
        <cfvo type="max"/>
        <color theme="4" tint="0.39997558519241921"/>
        <color theme="0"/>
        <color theme="5" tint="0.39997558519241921"/>
      </colorScale>
    </cfRule>
  </conditionalFormatting>
  <conditionalFormatting sqref="G8:H23">
    <cfRule type="colorScale" priority="13">
      <colorScale>
        <cfvo type="min"/>
        <cfvo type="max"/>
        <color theme="0" tint="-4.9989318521683403E-2"/>
        <color theme="5"/>
      </colorScale>
    </cfRule>
  </conditionalFormatting>
  <conditionalFormatting sqref="J8:K23">
    <cfRule type="colorScale" priority="12">
      <colorScale>
        <cfvo type="min"/>
        <cfvo type="max"/>
        <color theme="0" tint="-4.9989318521683403E-2"/>
        <color theme="5"/>
      </colorScale>
    </cfRule>
  </conditionalFormatting>
  <conditionalFormatting sqref="M8:N23">
    <cfRule type="colorScale" priority="11">
      <colorScale>
        <cfvo type="min"/>
        <cfvo type="max"/>
        <color theme="0" tint="-4.9989318521683403E-2"/>
        <color theme="5"/>
      </colorScale>
    </cfRule>
  </conditionalFormatting>
  <conditionalFormatting sqref="P8:Q23">
    <cfRule type="colorScale" priority="10">
      <colorScale>
        <cfvo type="min"/>
        <cfvo type="max"/>
        <color theme="0" tint="-4.9989318521683403E-2"/>
        <color theme="5"/>
      </colorScale>
    </cfRule>
  </conditionalFormatting>
  <conditionalFormatting sqref="S8:T23">
    <cfRule type="colorScale" priority="9">
      <colorScale>
        <cfvo type="min"/>
        <cfvo type="max"/>
        <color theme="0" tint="-4.9989318521683403E-2"/>
        <color theme="5"/>
      </colorScale>
    </cfRule>
  </conditionalFormatting>
  <conditionalFormatting sqref="V8:W23">
    <cfRule type="colorScale" priority="8">
      <colorScale>
        <cfvo type="min"/>
        <cfvo type="max"/>
        <color theme="0" tint="-4.9989318521683403E-2"/>
        <color theme="5"/>
      </colorScale>
    </cfRule>
  </conditionalFormatting>
  <conditionalFormatting sqref="Y8:Z23">
    <cfRule type="colorScale" priority="7">
      <colorScale>
        <cfvo type="min"/>
        <cfvo type="max"/>
        <color theme="0" tint="-4.9989318521683403E-2"/>
        <color theme="5"/>
      </colorScale>
    </cfRule>
  </conditionalFormatting>
  <conditionalFormatting sqref="AB8:AC23">
    <cfRule type="colorScale" priority="6">
      <colorScale>
        <cfvo type="min"/>
        <cfvo type="max"/>
        <color theme="0" tint="-4.9989318521683403E-2"/>
        <color theme="5"/>
      </colorScale>
    </cfRule>
  </conditionalFormatting>
  <conditionalFormatting sqref="AE8:AF23">
    <cfRule type="colorScale" priority="5">
      <colorScale>
        <cfvo type="min"/>
        <cfvo type="max"/>
        <color theme="0" tint="-4.9989318521683403E-2"/>
        <color theme="5"/>
      </colorScale>
    </cfRule>
  </conditionalFormatting>
  <conditionalFormatting sqref="AH8:AI23">
    <cfRule type="colorScale" priority="4">
      <colorScale>
        <cfvo type="min"/>
        <cfvo type="max"/>
        <color theme="0" tint="-4.9989318521683403E-2"/>
        <color theme="5"/>
      </colorScale>
    </cfRule>
  </conditionalFormatting>
  <conditionalFormatting sqref="AK8:AL23">
    <cfRule type="colorScale" priority="3">
      <colorScale>
        <cfvo type="min"/>
        <cfvo type="max"/>
        <color theme="0" tint="-4.9989318521683403E-2"/>
        <color theme="5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Drop Down 4">
              <controlPr defaultSize="0" autoLine="0" autoPict="0">
                <anchor moveWithCells="1">
                  <from>
                    <xdr:col>2</xdr:col>
                    <xdr:colOff>76200</xdr:colOff>
                    <xdr:row>4</xdr:row>
                    <xdr:rowOff>85725</xdr:rowOff>
                  </from>
                  <to>
                    <xdr:col>4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4" name="Drop Down 5">
              <controlPr defaultSize="0" autoLine="0" autoPict="0">
                <anchor moveWithCells="1">
                  <from>
                    <xdr:col>5</xdr:col>
                    <xdr:colOff>76200</xdr:colOff>
                    <xdr:row>4</xdr:row>
                    <xdr:rowOff>85725</xdr:rowOff>
                  </from>
                  <to>
                    <xdr:col>7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Drop Down 9">
              <controlPr defaultSize="0" autoLine="0" autoPict="0">
                <anchor moveWithCells="1">
                  <from>
                    <xdr:col>8</xdr:col>
                    <xdr:colOff>76200</xdr:colOff>
                    <xdr:row>4</xdr:row>
                    <xdr:rowOff>85725</xdr:rowOff>
                  </from>
                  <to>
                    <xdr:col>10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Drop Down 10">
              <controlPr defaultSize="0" autoLine="0" autoPict="0">
                <anchor moveWithCells="1">
                  <from>
                    <xdr:col>11</xdr:col>
                    <xdr:colOff>76200</xdr:colOff>
                    <xdr:row>4</xdr:row>
                    <xdr:rowOff>85725</xdr:rowOff>
                  </from>
                  <to>
                    <xdr:col>13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Drop Down 11">
              <controlPr defaultSize="0" autoLine="0" autoPict="0">
                <anchor moveWithCells="1">
                  <from>
                    <xdr:col>14</xdr:col>
                    <xdr:colOff>76200</xdr:colOff>
                    <xdr:row>4</xdr:row>
                    <xdr:rowOff>85725</xdr:rowOff>
                  </from>
                  <to>
                    <xdr:col>16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Drop Down 12">
              <controlPr defaultSize="0" autoLine="0" autoPict="0">
                <anchor moveWithCells="1">
                  <from>
                    <xdr:col>17</xdr:col>
                    <xdr:colOff>76200</xdr:colOff>
                    <xdr:row>4</xdr:row>
                    <xdr:rowOff>85725</xdr:rowOff>
                  </from>
                  <to>
                    <xdr:col>19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Drop Down 13">
              <controlPr defaultSize="0" autoLine="0" autoPict="0">
                <anchor moveWithCells="1">
                  <from>
                    <xdr:col>20</xdr:col>
                    <xdr:colOff>76200</xdr:colOff>
                    <xdr:row>4</xdr:row>
                    <xdr:rowOff>85725</xdr:rowOff>
                  </from>
                  <to>
                    <xdr:col>22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Drop Down 14">
              <controlPr defaultSize="0" autoLine="0" autoPict="0">
                <anchor moveWithCells="1">
                  <from>
                    <xdr:col>23</xdr:col>
                    <xdr:colOff>76200</xdr:colOff>
                    <xdr:row>4</xdr:row>
                    <xdr:rowOff>85725</xdr:rowOff>
                  </from>
                  <to>
                    <xdr:col>25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Drop Down 15">
              <controlPr defaultSize="0" autoLine="0" autoPict="0">
                <anchor moveWithCells="1">
                  <from>
                    <xdr:col>26</xdr:col>
                    <xdr:colOff>76200</xdr:colOff>
                    <xdr:row>4</xdr:row>
                    <xdr:rowOff>85725</xdr:rowOff>
                  </from>
                  <to>
                    <xdr:col>28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Drop Down 16">
              <controlPr defaultSize="0" autoLine="0" autoPict="0">
                <anchor moveWithCells="1">
                  <from>
                    <xdr:col>29</xdr:col>
                    <xdr:colOff>76200</xdr:colOff>
                    <xdr:row>4</xdr:row>
                    <xdr:rowOff>85725</xdr:rowOff>
                  </from>
                  <to>
                    <xdr:col>31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Drop Down 17">
              <controlPr defaultSize="0" autoLine="0" autoPict="0">
                <anchor moveWithCells="1">
                  <from>
                    <xdr:col>32</xdr:col>
                    <xdr:colOff>76200</xdr:colOff>
                    <xdr:row>4</xdr:row>
                    <xdr:rowOff>85725</xdr:rowOff>
                  </from>
                  <to>
                    <xdr:col>34</xdr:col>
                    <xdr:colOff>552450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Drop Down 18">
              <controlPr defaultSize="0" autoLine="0" autoPict="0">
                <anchor moveWithCells="1">
                  <from>
                    <xdr:col>3</xdr:col>
                    <xdr:colOff>552450</xdr:colOff>
                    <xdr:row>25</xdr:row>
                    <xdr:rowOff>47625</xdr:rowOff>
                  </from>
                  <to>
                    <xdr:col>5</xdr:col>
                    <xdr:colOff>428625</xdr:colOff>
                    <xdr:row>25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Option Button 20">
              <controlPr defaultSize="0" autoFill="0" autoLine="0" autoPict="0">
                <anchor moveWithCells="1">
                  <from>
                    <xdr:col>2</xdr:col>
                    <xdr:colOff>219075</xdr:colOff>
                    <xdr:row>26</xdr:row>
                    <xdr:rowOff>57150</xdr:rowOff>
                  </from>
                  <to>
                    <xdr:col>3</xdr:col>
                    <xdr:colOff>66675</xdr:colOff>
                    <xdr:row>26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Option Button 21">
              <controlPr defaultSize="0" autoFill="0" autoLine="0" autoPict="0">
                <anchor moveWithCells="1">
                  <from>
                    <xdr:col>3</xdr:col>
                    <xdr:colOff>19050</xdr:colOff>
                    <xdr:row>26</xdr:row>
                    <xdr:rowOff>57150</xdr:rowOff>
                  </from>
                  <to>
                    <xdr:col>3</xdr:col>
                    <xdr:colOff>523875</xdr:colOff>
                    <xdr:row>26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Drop Down 22">
              <controlPr defaultSize="0" autoLine="0" autoPict="0">
                <anchor moveWithCells="1">
                  <from>
                    <xdr:col>35</xdr:col>
                    <xdr:colOff>76200</xdr:colOff>
                    <xdr:row>4</xdr:row>
                    <xdr:rowOff>85725</xdr:rowOff>
                  </from>
                  <to>
                    <xdr:col>37</xdr:col>
                    <xdr:colOff>561975</xdr:colOff>
                    <xdr:row>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0723-D7D4-4EC3-B1EB-12BF04CDE509}">
  <dimension ref="B2:AP36"/>
  <sheetViews>
    <sheetView workbookViewId="0">
      <selection activeCell="C3" sqref="C3:C36"/>
    </sheetView>
  </sheetViews>
  <sheetFormatPr defaultRowHeight="16.5"/>
  <sheetData>
    <row r="2" spans="2:42"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 t="s">
        <v>52</v>
      </c>
      <c r="AC2" s="1" t="s">
        <v>53</v>
      </c>
      <c r="AD2" s="1" t="s">
        <v>54</v>
      </c>
      <c r="AE2" s="1" t="s">
        <v>55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 t="s">
        <v>63</v>
      </c>
      <c r="AN2" s="1" t="s">
        <v>64</v>
      </c>
      <c r="AO2" s="1" t="s">
        <v>65</v>
      </c>
      <c r="AP2" s="1" t="s">
        <v>66</v>
      </c>
    </row>
    <row r="3" spans="2:42">
      <c r="B3" t="s">
        <v>0</v>
      </c>
      <c r="C3" t="s">
        <v>33</v>
      </c>
      <c r="E3" t="s">
        <v>68</v>
      </c>
      <c r="G3">
        <v>1</v>
      </c>
      <c r="I3" t="s">
        <v>75</v>
      </c>
      <c r="J3" t="s">
        <v>74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76</v>
      </c>
      <c r="Q3" t="s">
        <v>68</v>
      </c>
      <c r="R3" t="s">
        <v>68</v>
      </c>
      <c r="S3" t="s">
        <v>74</v>
      </c>
      <c r="T3" t="s">
        <v>72</v>
      </c>
      <c r="U3" t="s">
        <v>75</v>
      </c>
      <c r="V3" t="s">
        <v>75</v>
      </c>
      <c r="W3" t="s">
        <v>75</v>
      </c>
      <c r="X3" t="s">
        <v>74</v>
      </c>
      <c r="Y3" t="s">
        <v>74</v>
      </c>
      <c r="Z3" t="s">
        <v>74</v>
      </c>
      <c r="AA3" t="s">
        <v>74</v>
      </c>
      <c r="AB3" t="s">
        <v>74</v>
      </c>
      <c r="AC3" t="s">
        <v>68</v>
      </c>
      <c r="AD3" t="s">
        <v>74</v>
      </c>
      <c r="AE3" t="s">
        <v>74</v>
      </c>
      <c r="AF3" t="s">
        <v>75</v>
      </c>
      <c r="AG3" t="s">
        <v>76</v>
      </c>
      <c r="AH3" t="s">
        <v>75</v>
      </c>
      <c r="AI3" t="s">
        <v>74</v>
      </c>
      <c r="AJ3" t="s">
        <v>75</v>
      </c>
      <c r="AK3" t="s">
        <v>75</v>
      </c>
      <c r="AL3" t="s">
        <v>74</v>
      </c>
      <c r="AM3" t="s">
        <v>75</v>
      </c>
      <c r="AN3" t="s">
        <v>75</v>
      </c>
      <c r="AO3" t="s">
        <v>74</v>
      </c>
      <c r="AP3" t="s">
        <v>74</v>
      </c>
    </row>
    <row r="4" spans="2:42">
      <c r="B4" t="s">
        <v>1</v>
      </c>
      <c r="C4" t="s">
        <v>34</v>
      </c>
      <c r="E4" t="s">
        <v>69</v>
      </c>
      <c r="G4" t="str">
        <f>CHOOSE($G$3, "BID_Close", "ASK_Close")</f>
        <v>BID_Close</v>
      </c>
      <c r="I4" t="s">
        <v>78</v>
      </c>
      <c r="J4" t="s">
        <v>75</v>
      </c>
      <c r="K4" t="s">
        <v>78</v>
      </c>
      <c r="L4" t="s">
        <v>78</v>
      </c>
      <c r="M4" t="s">
        <v>78</v>
      </c>
      <c r="N4" t="s">
        <v>76</v>
      </c>
      <c r="O4" t="s">
        <v>75</v>
      </c>
      <c r="P4" t="s">
        <v>78</v>
      </c>
      <c r="Q4" t="s">
        <v>70</v>
      </c>
      <c r="R4" t="s">
        <v>69</v>
      </c>
      <c r="S4" t="s">
        <v>75</v>
      </c>
      <c r="T4" t="s">
        <v>74</v>
      </c>
      <c r="U4" t="s">
        <v>78</v>
      </c>
      <c r="V4" t="s">
        <v>76</v>
      </c>
      <c r="W4" t="s">
        <v>78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70</v>
      </c>
      <c r="AD4" t="s">
        <v>75</v>
      </c>
      <c r="AE4" t="s">
        <v>75</v>
      </c>
      <c r="AF4" t="s">
        <v>77</v>
      </c>
      <c r="AG4" t="s">
        <v>78</v>
      </c>
      <c r="AH4" t="s">
        <v>78</v>
      </c>
      <c r="AI4" t="s">
        <v>75</v>
      </c>
      <c r="AJ4" t="s">
        <v>76</v>
      </c>
      <c r="AK4" t="s">
        <v>78</v>
      </c>
      <c r="AL4" t="s">
        <v>75</v>
      </c>
      <c r="AM4" t="s">
        <v>76</v>
      </c>
      <c r="AN4" t="s">
        <v>78</v>
      </c>
      <c r="AO4" t="s">
        <v>75</v>
      </c>
      <c r="AP4" t="s">
        <v>75</v>
      </c>
    </row>
    <row r="5" spans="2:42">
      <c r="B5" t="s">
        <v>2</v>
      </c>
      <c r="C5" t="s">
        <v>35</v>
      </c>
      <c r="E5" t="s">
        <v>70</v>
      </c>
      <c r="I5" t="s">
        <v>83</v>
      </c>
      <c r="J5" t="s">
        <v>76</v>
      </c>
      <c r="K5" t="s">
        <v>80</v>
      </c>
      <c r="L5" t="s">
        <v>83</v>
      </c>
      <c r="M5" t="s">
        <v>83</v>
      </c>
      <c r="N5" t="s">
        <v>78</v>
      </c>
      <c r="O5" t="s">
        <v>76</v>
      </c>
      <c r="P5" t="s">
        <v>80</v>
      </c>
      <c r="Q5" t="s">
        <v>72</v>
      </c>
      <c r="R5" t="s">
        <v>70</v>
      </c>
      <c r="S5" t="s">
        <v>76</v>
      </c>
      <c r="T5" t="s">
        <v>75</v>
      </c>
      <c r="U5" t="s">
        <v>80</v>
      </c>
      <c r="V5" t="s">
        <v>77</v>
      </c>
      <c r="W5" t="s">
        <v>83</v>
      </c>
      <c r="X5" t="s">
        <v>76</v>
      </c>
      <c r="Y5" t="s">
        <v>76</v>
      </c>
      <c r="Z5" t="s">
        <v>76</v>
      </c>
      <c r="AA5" t="s">
        <v>76</v>
      </c>
      <c r="AB5" t="s">
        <v>78</v>
      </c>
      <c r="AC5" t="s">
        <v>72</v>
      </c>
      <c r="AD5" t="s">
        <v>76</v>
      </c>
      <c r="AE5" t="s">
        <v>76</v>
      </c>
      <c r="AF5" t="s">
        <v>78</v>
      </c>
      <c r="AG5" t="s">
        <v>83</v>
      </c>
      <c r="AH5" t="s">
        <v>83</v>
      </c>
      <c r="AI5" t="s">
        <v>76</v>
      </c>
      <c r="AJ5" t="s">
        <v>77</v>
      </c>
      <c r="AK5" t="s">
        <v>83</v>
      </c>
      <c r="AL5" t="s">
        <v>76</v>
      </c>
      <c r="AM5" t="s">
        <v>77</v>
      </c>
      <c r="AN5" t="s">
        <v>83</v>
      </c>
      <c r="AO5" t="s">
        <v>76</v>
      </c>
      <c r="AP5" t="s">
        <v>76</v>
      </c>
    </row>
    <row r="6" spans="2:42">
      <c r="B6" t="s">
        <v>3</v>
      </c>
      <c r="C6" t="s">
        <v>36</v>
      </c>
      <c r="E6" t="s">
        <v>71</v>
      </c>
      <c r="I6" t="s">
        <v>86</v>
      </c>
      <c r="J6" t="s">
        <v>77</v>
      </c>
      <c r="K6" t="s">
        <v>83</v>
      </c>
      <c r="L6" t="s">
        <v>86</v>
      </c>
      <c r="M6" t="s">
        <v>87</v>
      </c>
      <c r="N6" t="s">
        <v>83</v>
      </c>
      <c r="O6" t="s">
        <v>77</v>
      </c>
      <c r="P6" t="s">
        <v>83</v>
      </c>
      <c r="Q6" t="s">
        <v>73</v>
      </c>
      <c r="R6" t="s">
        <v>71</v>
      </c>
      <c r="S6" t="s">
        <v>77</v>
      </c>
      <c r="T6" t="s">
        <v>76</v>
      </c>
      <c r="U6" t="s">
        <v>82</v>
      </c>
      <c r="V6" t="s">
        <v>78</v>
      </c>
      <c r="W6" t="s">
        <v>86</v>
      </c>
      <c r="X6" t="s">
        <v>78</v>
      </c>
      <c r="Y6" t="s">
        <v>77</v>
      </c>
      <c r="Z6" t="s">
        <v>77</v>
      </c>
      <c r="AA6" t="s">
        <v>77</v>
      </c>
      <c r="AB6" t="s">
        <v>80</v>
      </c>
      <c r="AC6" t="s">
        <v>74</v>
      </c>
      <c r="AD6" t="s">
        <v>77</v>
      </c>
      <c r="AE6" t="s">
        <v>78</v>
      </c>
      <c r="AF6" t="s">
        <v>79</v>
      </c>
      <c r="AG6" t="s">
        <v>86</v>
      </c>
      <c r="AH6" t="s">
        <v>86</v>
      </c>
      <c r="AI6" t="s">
        <v>78</v>
      </c>
      <c r="AJ6" t="s">
        <v>78</v>
      </c>
      <c r="AK6" t="s">
        <v>96</v>
      </c>
      <c r="AL6" t="s">
        <v>77</v>
      </c>
      <c r="AM6" t="s">
        <v>78</v>
      </c>
      <c r="AN6" t="s">
        <v>96</v>
      </c>
      <c r="AO6" t="s">
        <v>77</v>
      </c>
      <c r="AP6" t="s">
        <v>78</v>
      </c>
    </row>
    <row r="7" spans="2:42">
      <c r="B7" t="s">
        <v>4</v>
      </c>
      <c r="C7" t="s">
        <v>37</v>
      </c>
      <c r="E7" t="s">
        <v>72</v>
      </c>
      <c r="I7" t="s">
        <v>87</v>
      </c>
      <c r="J7" t="s">
        <v>78</v>
      </c>
      <c r="K7" t="s">
        <v>96</v>
      </c>
      <c r="L7" t="s">
        <v>87</v>
      </c>
      <c r="M7" t="s">
        <v>89</v>
      </c>
      <c r="N7" t="s">
        <v>87</v>
      </c>
      <c r="O7" t="s">
        <v>78</v>
      </c>
      <c r="P7" t="s">
        <v>86</v>
      </c>
      <c r="Q7" t="s">
        <v>74</v>
      </c>
      <c r="R7" t="s">
        <v>72</v>
      </c>
      <c r="S7" t="s">
        <v>78</v>
      </c>
      <c r="T7" t="s">
        <v>78</v>
      </c>
      <c r="U7" t="s">
        <v>83</v>
      </c>
      <c r="V7" t="s">
        <v>79</v>
      </c>
      <c r="W7" t="s">
        <v>87</v>
      </c>
      <c r="X7" t="s">
        <v>81</v>
      </c>
      <c r="Y7" t="s">
        <v>78</v>
      </c>
      <c r="Z7" t="s">
        <v>78</v>
      </c>
      <c r="AA7" t="s">
        <v>78</v>
      </c>
      <c r="AB7" t="s">
        <v>83</v>
      </c>
      <c r="AC7" t="s">
        <v>76</v>
      </c>
      <c r="AD7" t="s">
        <v>78</v>
      </c>
      <c r="AE7" t="s">
        <v>80</v>
      </c>
      <c r="AF7" t="s">
        <v>80</v>
      </c>
      <c r="AG7" t="s">
        <v>96</v>
      </c>
      <c r="AH7" t="s">
        <v>96</v>
      </c>
      <c r="AI7" t="s">
        <v>83</v>
      </c>
      <c r="AJ7" t="s">
        <v>79</v>
      </c>
      <c r="AK7" t="s">
        <v>96</v>
      </c>
      <c r="AL7" t="s">
        <v>78</v>
      </c>
      <c r="AM7" t="s">
        <v>80</v>
      </c>
      <c r="AN7" t="s">
        <v>96</v>
      </c>
      <c r="AO7" t="s">
        <v>78</v>
      </c>
      <c r="AP7" t="s">
        <v>80</v>
      </c>
    </row>
    <row r="8" spans="2:42">
      <c r="B8" t="s">
        <v>5</v>
      </c>
      <c r="C8" t="s">
        <v>38</v>
      </c>
      <c r="E8" t="s">
        <v>73</v>
      </c>
      <c r="I8" t="s">
        <v>96</v>
      </c>
      <c r="J8" t="s">
        <v>79</v>
      </c>
      <c r="K8" t="s">
        <v>96</v>
      </c>
      <c r="L8" t="s">
        <v>96</v>
      </c>
      <c r="M8" t="s">
        <v>96</v>
      </c>
      <c r="N8" t="s">
        <v>96</v>
      </c>
      <c r="O8" t="s">
        <v>79</v>
      </c>
      <c r="P8" t="s">
        <v>87</v>
      </c>
      <c r="Q8" t="s">
        <v>76</v>
      </c>
      <c r="R8" t="s">
        <v>74</v>
      </c>
      <c r="S8" t="s">
        <v>79</v>
      </c>
      <c r="T8" t="s">
        <v>83</v>
      </c>
      <c r="U8" t="s">
        <v>87</v>
      </c>
      <c r="V8" t="s">
        <v>80</v>
      </c>
      <c r="W8" t="s">
        <v>89</v>
      </c>
      <c r="X8" t="s">
        <v>83</v>
      </c>
      <c r="Y8" t="s">
        <v>79</v>
      </c>
      <c r="Z8" t="s">
        <v>79</v>
      </c>
      <c r="AA8" t="s">
        <v>79</v>
      </c>
      <c r="AB8" t="s">
        <v>84</v>
      </c>
      <c r="AC8" t="s">
        <v>78</v>
      </c>
      <c r="AD8" t="s">
        <v>79</v>
      </c>
      <c r="AE8" t="s">
        <v>83</v>
      </c>
      <c r="AF8" t="s">
        <v>81</v>
      </c>
      <c r="AG8" t="s">
        <v>96</v>
      </c>
      <c r="AH8" t="s">
        <v>96</v>
      </c>
      <c r="AI8" t="s">
        <v>96</v>
      </c>
      <c r="AJ8" t="s">
        <v>80</v>
      </c>
      <c r="AK8" t="s">
        <v>96</v>
      </c>
      <c r="AL8" t="s">
        <v>79</v>
      </c>
      <c r="AM8" t="s">
        <v>83</v>
      </c>
      <c r="AN8" t="s">
        <v>96</v>
      </c>
      <c r="AO8" t="s">
        <v>80</v>
      </c>
      <c r="AP8" t="s">
        <v>96</v>
      </c>
    </row>
    <row r="9" spans="2:42">
      <c r="B9" t="s">
        <v>6</v>
      </c>
      <c r="C9" t="s">
        <v>39</v>
      </c>
      <c r="E9" t="s">
        <v>74</v>
      </c>
      <c r="I9" t="s">
        <v>96</v>
      </c>
      <c r="J9" t="s">
        <v>80</v>
      </c>
      <c r="K9" t="s">
        <v>96</v>
      </c>
      <c r="L9" t="s">
        <v>96</v>
      </c>
      <c r="M9" t="s">
        <v>96</v>
      </c>
      <c r="N9" t="s">
        <v>96</v>
      </c>
      <c r="O9" t="s">
        <v>80</v>
      </c>
      <c r="P9" t="s">
        <v>89</v>
      </c>
      <c r="Q9" t="s">
        <v>78</v>
      </c>
      <c r="R9" t="s">
        <v>75</v>
      </c>
      <c r="S9" t="s">
        <v>80</v>
      </c>
      <c r="T9" t="s">
        <v>96</v>
      </c>
      <c r="U9" t="s">
        <v>96</v>
      </c>
      <c r="V9" t="s">
        <v>81</v>
      </c>
      <c r="W9" t="s">
        <v>96</v>
      </c>
      <c r="X9" t="s">
        <v>86</v>
      </c>
      <c r="Y9" t="s">
        <v>80</v>
      </c>
      <c r="Z9" t="s">
        <v>80</v>
      </c>
      <c r="AA9" t="s">
        <v>80</v>
      </c>
      <c r="AB9" t="s">
        <v>87</v>
      </c>
      <c r="AC9" t="s">
        <v>83</v>
      </c>
      <c r="AD9" t="s">
        <v>80</v>
      </c>
      <c r="AE9" t="s">
        <v>86</v>
      </c>
      <c r="AF9" t="s">
        <v>82</v>
      </c>
      <c r="AG9" t="s">
        <v>96</v>
      </c>
      <c r="AH9" t="s">
        <v>96</v>
      </c>
      <c r="AI9" t="s">
        <v>96</v>
      </c>
      <c r="AJ9" t="s">
        <v>82</v>
      </c>
      <c r="AK9" t="s">
        <v>96</v>
      </c>
      <c r="AL9" t="s">
        <v>80</v>
      </c>
      <c r="AM9" t="s">
        <v>87</v>
      </c>
      <c r="AN9" t="s">
        <v>96</v>
      </c>
      <c r="AO9" t="s">
        <v>82</v>
      </c>
      <c r="AP9" t="s">
        <v>96</v>
      </c>
    </row>
    <row r="10" spans="2:42">
      <c r="B10" t="s">
        <v>7</v>
      </c>
      <c r="C10" t="s">
        <v>40</v>
      </c>
      <c r="E10" t="s">
        <v>75</v>
      </c>
      <c r="I10" t="s">
        <v>96</v>
      </c>
      <c r="J10" t="s">
        <v>81</v>
      </c>
      <c r="K10" t="s">
        <v>96</v>
      </c>
      <c r="L10" t="s">
        <v>96</v>
      </c>
      <c r="M10" t="s">
        <v>96</v>
      </c>
      <c r="N10" t="s">
        <v>96</v>
      </c>
      <c r="O10" t="s">
        <v>81</v>
      </c>
      <c r="P10" t="s">
        <v>96</v>
      </c>
      <c r="Q10" t="s">
        <v>83</v>
      </c>
      <c r="R10" t="s">
        <v>76</v>
      </c>
      <c r="S10" t="s">
        <v>81</v>
      </c>
      <c r="T10" t="s">
        <v>96</v>
      </c>
      <c r="U10" t="s">
        <v>96</v>
      </c>
      <c r="V10" t="s">
        <v>82</v>
      </c>
      <c r="W10" t="s">
        <v>96</v>
      </c>
      <c r="X10" t="s">
        <v>96</v>
      </c>
      <c r="Y10" t="s">
        <v>81</v>
      </c>
      <c r="Z10" t="s">
        <v>81</v>
      </c>
      <c r="AA10" t="s">
        <v>81</v>
      </c>
      <c r="AB10" t="s">
        <v>88</v>
      </c>
      <c r="AC10" t="s">
        <v>86</v>
      </c>
      <c r="AD10" t="s">
        <v>81</v>
      </c>
      <c r="AE10" t="s">
        <v>87</v>
      </c>
      <c r="AF10" t="s">
        <v>83</v>
      </c>
      <c r="AG10" t="s">
        <v>96</v>
      </c>
      <c r="AH10" t="s">
        <v>96</v>
      </c>
      <c r="AI10" t="s">
        <v>96</v>
      </c>
      <c r="AJ10" t="s">
        <v>83</v>
      </c>
      <c r="AK10" t="s">
        <v>96</v>
      </c>
      <c r="AL10" t="s">
        <v>81</v>
      </c>
      <c r="AM10" t="s">
        <v>96</v>
      </c>
      <c r="AN10" t="s">
        <v>96</v>
      </c>
      <c r="AO10" t="s">
        <v>83</v>
      </c>
      <c r="AP10" t="s">
        <v>96</v>
      </c>
    </row>
    <row r="11" spans="2:42">
      <c r="B11" t="s">
        <v>8</v>
      </c>
      <c r="C11" t="s">
        <v>41</v>
      </c>
      <c r="E11" t="s">
        <v>76</v>
      </c>
      <c r="I11" t="s">
        <v>96</v>
      </c>
      <c r="J11" t="s">
        <v>82</v>
      </c>
      <c r="K11" t="s">
        <v>96</v>
      </c>
      <c r="L11" t="s">
        <v>96</v>
      </c>
      <c r="M11" t="s">
        <v>96</v>
      </c>
      <c r="N11" t="s">
        <v>96</v>
      </c>
      <c r="O11" t="s">
        <v>82</v>
      </c>
      <c r="P11" t="s">
        <v>96</v>
      </c>
      <c r="Q11" t="s">
        <v>87</v>
      </c>
      <c r="R11" t="s">
        <v>78</v>
      </c>
      <c r="S11" t="s">
        <v>82</v>
      </c>
      <c r="T11" t="s">
        <v>96</v>
      </c>
      <c r="U11" t="s">
        <v>96</v>
      </c>
      <c r="V11" t="s">
        <v>83</v>
      </c>
      <c r="W11" t="s">
        <v>96</v>
      </c>
      <c r="X11" t="s">
        <v>96</v>
      </c>
      <c r="Y11" t="s">
        <v>82</v>
      </c>
      <c r="Z11" t="s">
        <v>82</v>
      </c>
      <c r="AA11" t="s">
        <v>82</v>
      </c>
      <c r="AB11" t="s">
        <v>96</v>
      </c>
      <c r="AC11" t="s">
        <v>87</v>
      </c>
      <c r="AD11" t="s">
        <v>82</v>
      </c>
      <c r="AE11" t="s">
        <v>89</v>
      </c>
      <c r="AF11" t="s">
        <v>87</v>
      </c>
      <c r="AG11" t="s">
        <v>96</v>
      </c>
      <c r="AH11" t="s">
        <v>96</v>
      </c>
      <c r="AI11" t="s">
        <v>96</v>
      </c>
      <c r="AJ11" t="s">
        <v>87</v>
      </c>
      <c r="AK11" t="s">
        <v>96</v>
      </c>
      <c r="AL11" t="s">
        <v>82</v>
      </c>
      <c r="AM11" t="s">
        <v>96</v>
      </c>
      <c r="AN11" t="s">
        <v>96</v>
      </c>
      <c r="AO11" t="s">
        <v>86</v>
      </c>
      <c r="AP11" t="s">
        <v>96</v>
      </c>
    </row>
    <row r="12" spans="2:42">
      <c r="B12" t="s">
        <v>67</v>
      </c>
      <c r="C12" t="s">
        <v>42</v>
      </c>
      <c r="E12" t="s">
        <v>77</v>
      </c>
      <c r="I12" t="s">
        <v>96</v>
      </c>
      <c r="J12" t="s">
        <v>83</v>
      </c>
      <c r="K12" t="s">
        <v>96</v>
      </c>
      <c r="L12" t="s">
        <v>96</v>
      </c>
      <c r="M12" t="s">
        <v>96</v>
      </c>
      <c r="N12" t="s">
        <v>96</v>
      </c>
      <c r="O12" t="s">
        <v>83</v>
      </c>
      <c r="P12" t="s">
        <v>96</v>
      </c>
      <c r="Q12" t="s">
        <v>89</v>
      </c>
      <c r="R12" t="s">
        <v>80</v>
      </c>
      <c r="S12" t="s">
        <v>83</v>
      </c>
      <c r="T12" t="s">
        <v>96</v>
      </c>
      <c r="U12" t="s">
        <v>96</v>
      </c>
      <c r="V12" t="s">
        <v>87</v>
      </c>
      <c r="W12" t="s">
        <v>96</v>
      </c>
      <c r="X12" t="s">
        <v>96</v>
      </c>
      <c r="Y12" t="s">
        <v>83</v>
      </c>
      <c r="Z12" t="s">
        <v>83</v>
      </c>
      <c r="AA12" t="s">
        <v>83</v>
      </c>
      <c r="AB12" t="s">
        <v>96</v>
      </c>
      <c r="AC12" t="s">
        <v>88</v>
      </c>
      <c r="AD12" t="s">
        <v>83</v>
      </c>
      <c r="AE12" t="s">
        <v>96</v>
      </c>
      <c r="AF12" t="s">
        <v>89</v>
      </c>
      <c r="AG12" t="s">
        <v>96</v>
      </c>
      <c r="AH12" t="s">
        <v>96</v>
      </c>
      <c r="AI12" t="s">
        <v>96</v>
      </c>
      <c r="AJ12" t="s">
        <v>96</v>
      </c>
      <c r="AK12" t="s">
        <v>96</v>
      </c>
      <c r="AL12" t="s">
        <v>83</v>
      </c>
      <c r="AM12" t="s">
        <v>96</v>
      </c>
      <c r="AN12" t="s">
        <v>96</v>
      </c>
      <c r="AO12" t="s">
        <v>87</v>
      </c>
      <c r="AP12" t="s">
        <v>96</v>
      </c>
    </row>
    <row r="13" spans="2:42">
      <c r="B13" t="s">
        <v>9</v>
      </c>
      <c r="C13" t="s">
        <v>43</v>
      </c>
      <c r="E13" t="s">
        <v>78</v>
      </c>
      <c r="I13" t="s">
        <v>96</v>
      </c>
      <c r="J13" t="s">
        <v>86</v>
      </c>
      <c r="K13" t="s">
        <v>96</v>
      </c>
      <c r="L13" t="s">
        <v>96</v>
      </c>
      <c r="M13" t="s">
        <v>96</v>
      </c>
      <c r="N13" t="s">
        <v>96</v>
      </c>
      <c r="O13" t="s">
        <v>86</v>
      </c>
      <c r="P13" t="s">
        <v>96</v>
      </c>
      <c r="Q13" t="s">
        <v>96</v>
      </c>
      <c r="R13" t="s">
        <v>83</v>
      </c>
      <c r="S13" t="s">
        <v>86</v>
      </c>
      <c r="T13" t="s">
        <v>96</v>
      </c>
      <c r="U13" t="s">
        <v>96</v>
      </c>
      <c r="V13" t="s">
        <v>89</v>
      </c>
      <c r="W13" t="s">
        <v>96</v>
      </c>
      <c r="X13" t="s">
        <v>96</v>
      </c>
      <c r="Y13" t="s">
        <v>85</v>
      </c>
      <c r="Z13" t="s">
        <v>86</v>
      </c>
      <c r="AA13" t="s">
        <v>86</v>
      </c>
      <c r="AB13" t="s">
        <v>96</v>
      </c>
      <c r="AC13" t="s">
        <v>89</v>
      </c>
      <c r="AD13" t="s">
        <v>86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96</v>
      </c>
      <c r="AK13" t="s">
        <v>96</v>
      </c>
      <c r="AL13" t="s">
        <v>86</v>
      </c>
      <c r="AM13" t="s">
        <v>96</v>
      </c>
      <c r="AN13" t="s">
        <v>96</v>
      </c>
      <c r="AO13" t="s">
        <v>89</v>
      </c>
      <c r="AP13" t="s">
        <v>96</v>
      </c>
    </row>
    <row r="14" spans="2:42">
      <c r="B14" t="s">
        <v>10</v>
      </c>
      <c r="C14" t="s">
        <v>44</v>
      </c>
      <c r="E14" t="s">
        <v>79</v>
      </c>
      <c r="I14" t="s">
        <v>96</v>
      </c>
      <c r="J14" t="s">
        <v>87</v>
      </c>
      <c r="K14" t="s">
        <v>96</v>
      </c>
      <c r="L14" t="s">
        <v>96</v>
      </c>
      <c r="M14" t="s">
        <v>96</v>
      </c>
      <c r="N14" t="s">
        <v>96</v>
      </c>
      <c r="O14" t="s">
        <v>87</v>
      </c>
      <c r="P14" t="s">
        <v>96</v>
      </c>
      <c r="Q14" t="s">
        <v>96</v>
      </c>
      <c r="R14" t="s">
        <v>87</v>
      </c>
      <c r="S14" t="s">
        <v>87</v>
      </c>
      <c r="T14" t="s">
        <v>96</v>
      </c>
      <c r="U14" t="s">
        <v>96</v>
      </c>
      <c r="V14" t="s">
        <v>96</v>
      </c>
      <c r="W14" t="s">
        <v>96</v>
      </c>
      <c r="X14" t="s">
        <v>96</v>
      </c>
      <c r="Y14" t="s">
        <v>86</v>
      </c>
      <c r="Z14" t="s">
        <v>87</v>
      </c>
      <c r="AA14" t="s">
        <v>87</v>
      </c>
      <c r="AB14" t="s">
        <v>96</v>
      </c>
      <c r="AC14" t="s">
        <v>96</v>
      </c>
      <c r="AD14" t="s">
        <v>87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87</v>
      </c>
      <c r="AM14" t="s">
        <v>96</v>
      </c>
      <c r="AN14" t="s">
        <v>96</v>
      </c>
      <c r="AO14" t="s">
        <v>96</v>
      </c>
      <c r="AP14" t="s">
        <v>96</v>
      </c>
    </row>
    <row r="15" spans="2:42">
      <c r="B15" t="s">
        <v>11</v>
      </c>
      <c r="C15" t="s">
        <v>45</v>
      </c>
      <c r="E15" t="s">
        <v>80</v>
      </c>
      <c r="I15" t="s">
        <v>96</v>
      </c>
      <c r="J15" t="s">
        <v>89</v>
      </c>
      <c r="K15" t="s">
        <v>96</v>
      </c>
      <c r="L15" t="s">
        <v>96</v>
      </c>
      <c r="M15" t="s">
        <v>96</v>
      </c>
      <c r="N15" t="s">
        <v>96</v>
      </c>
      <c r="O15" t="s">
        <v>88</v>
      </c>
      <c r="P15" t="s">
        <v>96</v>
      </c>
      <c r="Q15" t="s">
        <v>96</v>
      </c>
      <c r="R15" t="s">
        <v>89</v>
      </c>
      <c r="S15" t="s">
        <v>89</v>
      </c>
      <c r="T15" t="s">
        <v>96</v>
      </c>
      <c r="U15" t="s">
        <v>96</v>
      </c>
      <c r="V15" t="s">
        <v>96</v>
      </c>
      <c r="W15" t="s">
        <v>96</v>
      </c>
      <c r="X15" t="s">
        <v>96</v>
      </c>
      <c r="Y15" t="s">
        <v>87</v>
      </c>
      <c r="Z15" t="s">
        <v>88</v>
      </c>
      <c r="AA15" t="s">
        <v>88</v>
      </c>
      <c r="AB15" t="s">
        <v>96</v>
      </c>
      <c r="AC15" t="s">
        <v>96</v>
      </c>
      <c r="AD15" t="s">
        <v>89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96</v>
      </c>
      <c r="AK15" t="s">
        <v>96</v>
      </c>
      <c r="AL15" t="s">
        <v>88</v>
      </c>
      <c r="AM15" t="s">
        <v>96</v>
      </c>
      <c r="AN15" t="s">
        <v>96</v>
      </c>
      <c r="AO15" t="s">
        <v>96</v>
      </c>
      <c r="AP15" t="s">
        <v>96</v>
      </c>
    </row>
    <row r="16" spans="2:42">
      <c r="B16" t="s">
        <v>12</v>
      </c>
      <c r="C16" t="s">
        <v>46</v>
      </c>
      <c r="E16" t="s">
        <v>81</v>
      </c>
      <c r="I16" t="s">
        <v>96</v>
      </c>
      <c r="J16" t="s">
        <v>96</v>
      </c>
      <c r="K16" t="s">
        <v>96</v>
      </c>
      <c r="L16" t="s">
        <v>96</v>
      </c>
      <c r="M16" t="s">
        <v>96</v>
      </c>
      <c r="N16" t="s">
        <v>96</v>
      </c>
      <c r="O16" t="s">
        <v>89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 t="s">
        <v>96</v>
      </c>
      <c r="W16" t="s">
        <v>96</v>
      </c>
      <c r="X16" t="s">
        <v>96</v>
      </c>
      <c r="Y16" t="s">
        <v>88</v>
      </c>
      <c r="Z16" t="s">
        <v>89</v>
      </c>
      <c r="AA16" t="s">
        <v>89</v>
      </c>
      <c r="AB16" t="s">
        <v>96</v>
      </c>
      <c r="AC16" t="s">
        <v>96</v>
      </c>
      <c r="AD16" t="s">
        <v>90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96</v>
      </c>
      <c r="AK16" t="s">
        <v>96</v>
      </c>
      <c r="AL16" t="s">
        <v>89</v>
      </c>
      <c r="AM16" t="s">
        <v>96</v>
      </c>
      <c r="AN16" t="s">
        <v>96</v>
      </c>
      <c r="AO16" t="s">
        <v>96</v>
      </c>
      <c r="AP16" t="s">
        <v>96</v>
      </c>
    </row>
    <row r="17" spans="2:42">
      <c r="B17" t="s">
        <v>13</v>
      </c>
      <c r="C17" t="s">
        <v>47</v>
      </c>
      <c r="E17" t="s">
        <v>82</v>
      </c>
      <c r="I17" t="s">
        <v>96</v>
      </c>
      <c r="J17" t="s">
        <v>96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96</v>
      </c>
      <c r="V17" t="s">
        <v>96</v>
      </c>
      <c r="W17" t="s">
        <v>96</v>
      </c>
      <c r="X17" t="s">
        <v>96</v>
      </c>
      <c r="Y17" t="s">
        <v>89</v>
      </c>
      <c r="Z17" t="s">
        <v>91</v>
      </c>
      <c r="AA17" t="s">
        <v>96</v>
      </c>
      <c r="AB17" t="s">
        <v>96</v>
      </c>
      <c r="AC17" t="s">
        <v>96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96</v>
      </c>
      <c r="AK17" t="s">
        <v>96</v>
      </c>
      <c r="AL17" t="s">
        <v>91</v>
      </c>
      <c r="AM17" t="s">
        <v>96</v>
      </c>
      <c r="AN17" t="s">
        <v>96</v>
      </c>
      <c r="AO17" t="s">
        <v>96</v>
      </c>
      <c r="AP17" t="s">
        <v>96</v>
      </c>
    </row>
    <row r="18" spans="2:42">
      <c r="B18" t="s">
        <v>14</v>
      </c>
      <c r="C18" t="s">
        <v>48</v>
      </c>
      <c r="E18" t="s">
        <v>83</v>
      </c>
      <c r="I18" t="s">
        <v>96</v>
      </c>
      <c r="J18" t="s">
        <v>96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 t="s">
        <v>96</v>
      </c>
      <c r="W18" t="s">
        <v>96</v>
      </c>
      <c r="X18" t="s">
        <v>96</v>
      </c>
      <c r="Y18" t="s">
        <v>91</v>
      </c>
      <c r="Z18" t="s">
        <v>96</v>
      </c>
      <c r="AA18" t="s">
        <v>96</v>
      </c>
      <c r="AB18" t="s">
        <v>96</v>
      </c>
      <c r="AC18" t="s">
        <v>96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96</v>
      </c>
      <c r="AK18" t="s">
        <v>96</v>
      </c>
      <c r="AL18" t="s">
        <v>96</v>
      </c>
      <c r="AM18" t="s">
        <v>96</v>
      </c>
      <c r="AN18" t="s">
        <v>96</v>
      </c>
      <c r="AO18" t="s">
        <v>96</v>
      </c>
      <c r="AP18" t="s">
        <v>96</v>
      </c>
    </row>
    <row r="19" spans="2:42">
      <c r="B19" t="s">
        <v>15</v>
      </c>
      <c r="C19" t="s">
        <v>49</v>
      </c>
      <c r="E19" t="s">
        <v>84</v>
      </c>
      <c r="I19" t="s">
        <v>96</v>
      </c>
      <c r="J19" t="s">
        <v>96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96</v>
      </c>
      <c r="U19" t="s">
        <v>96</v>
      </c>
      <c r="V19" t="s">
        <v>96</v>
      </c>
      <c r="W19" t="s">
        <v>96</v>
      </c>
      <c r="X19" t="s">
        <v>96</v>
      </c>
      <c r="Y19" t="s">
        <v>96</v>
      </c>
      <c r="Z19" t="s">
        <v>96</v>
      </c>
      <c r="AA19" t="s">
        <v>96</v>
      </c>
      <c r="AB19" t="s">
        <v>96</v>
      </c>
      <c r="AC19" t="s">
        <v>96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96</v>
      </c>
      <c r="AK19" t="s">
        <v>96</v>
      </c>
      <c r="AL19" t="s">
        <v>96</v>
      </c>
      <c r="AM19" t="s">
        <v>96</v>
      </c>
      <c r="AN19" t="s">
        <v>96</v>
      </c>
      <c r="AO19" t="s">
        <v>96</v>
      </c>
      <c r="AP19" t="s">
        <v>96</v>
      </c>
    </row>
    <row r="20" spans="2:42">
      <c r="B20" t="s">
        <v>16</v>
      </c>
      <c r="C20" t="s">
        <v>50</v>
      </c>
      <c r="E20" t="s">
        <v>85</v>
      </c>
      <c r="R20" t="s">
        <v>96</v>
      </c>
    </row>
    <row r="21" spans="2:42">
      <c r="B21" t="s">
        <v>17</v>
      </c>
      <c r="C21" t="s">
        <v>51</v>
      </c>
      <c r="E21" t="s">
        <v>86</v>
      </c>
    </row>
    <row r="22" spans="2:42">
      <c r="B22" t="s">
        <v>18</v>
      </c>
      <c r="C22" t="s">
        <v>52</v>
      </c>
      <c r="E22" t="s">
        <v>87</v>
      </c>
    </row>
    <row r="23" spans="2:42">
      <c r="B23" t="s">
        <v>19</v>
      </c>
      <c r="C23" t="s">
        <v>53</v>
      </c>
      <c r="E23" t="s">
        <v>88</v>
      </c>
    </row>
    <row r="24" spans="2:42">
      <c r="B24" t="s">
        <v>20</v>
      </c>
      <c r="C24" t="s">
        <v>54</v>
      </c>
      <c r="E24" t="s">
        <v>89</v>
      </c>
    </row>
    <row r="25" spans="2:42">
      <c r="B25" t="s">
        <v>21</v>
      </c>
      <c r="C25" t="s">
        <v>55</v>
      </c>
      <c r="E25" t="s">
        <v>90</v>
      </c>
    </row>
    <row r="26" spans="2:42">
      <c r="B26" t="s">
        <v>22</v>
      </c>
      <c r="C26" t="s">
        <v>56</v>
      </c>
      <c r="E26" t="s">
        <v>91</v>
      </c>
    </row>
    <row r="27" spans="2:42">
      <c r="B27" t="s">
        <v>23</v>
      </c>
      <c r="C27" t="s">
        <v>57</v>
      </c>
    </row>
    <row r="28" spans="2:42">
      <c r="B28" t="s">
        <v>24</v>
      </c>
      <c r="C28" t="s">
        <v>58</v>
      </c>
    </row>
    <row r="29" spans="2:42">
      <c r="B29" t="s">
        <v>25</v>
      </c>
      <c r="C29" t="s">
        <v>59</v>
      </c>
    </row>
    <row r="30" spans="2:42">
      <c r="B30" t="s">
        <v>26</v>
      </c>
      <c r="C30" t="s">
        <v>60</v>
      </c>
    </row>
    <row r="31" spans="2:42">
      <c r="B31" t="s">
        <v>27</v>
      </c>
      <c r="C31" t="s">
        <v>61</v>
      </c>
    </row>
    <row r="32" spans="2:42">
      <c r="B32" t="s">
        <v>28</v>
      </c>
      <c r="C32" t="s">
        <v>62</v>
      </c>
    </row>
    <row r="33" spans="2:3">
      <c r="B33" t="s">
        <v>29</v>
      </c>
      <c r="C33" t="s">
        <v>63</v>
      </c>
    </row>
    <row r="34" spans="2:3">
      <c r="B34" t="s">
        <v>30</v>
      </c>
      <c r="C34" t="s">
        <v>64</v>
      </c>
    </row>
    <row r="35" spans="2:3">
      <c r="B35" t="s">
        <v>31</v>
      </c>
      <c r="C35" t="s">
        <v>65</v>
      </c>
    </row>
    <row r="36" spans="2:3">
      <c r="B36" t="s">
        <v>32</v>
      </c>
      <c r="C3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 Jung</dc:creator>
  <cp:lastModifiedBy>Snow Jung</cp:lastModifiedBy>
  <dcterms:created xsi:type="dcterms:W3CDTF">2025-07-03T06:27:32Z</dcterms:created>
  <dcterms:modified xsi:type="dcterms:W3CDTF">2025-07-04T06:29:54Z</dcterms:modified>
</cp:coreProperties>
</file>