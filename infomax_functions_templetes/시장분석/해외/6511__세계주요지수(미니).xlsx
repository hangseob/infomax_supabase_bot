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05" windowWidth="15360" windowHeight="11655"/>
  </bookViews>
  <sheets>
    <sheet name="세계주요지수2" sheetId="1" r:id="rId1"/>
  </sheets>
  <calcPr calcId="145621"/>
</workbook>
</file>

<file path=xl/calcChain.xml><?xml version="1.0" encoding="utf-8"?>
<calcChain xmlns="http://schemas.openxmlformats.org/spreadsheetml/2006/main">
  <c r="V29" i="1" l="1"/>
  <c r="O30" i="1"/>
  <c r="O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Q29" i="1"/>
  <c r="V28" i="1"/>
  <c r="U28" i="1"/>
  <c r="Q28" i="1"/>
  <c r="O28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30" i="1"/>
  <c r="N31" i="1"/>
  <c r="N32" i="1"/>
  <c r="N33" i="1"/>
  <c r="N34" i="1"/>
  <c r="N35" i="1"/>
  <c r="N36" i="1"/>
  <c r="N37" i="1"/>
  <c r="N38" i="1"/>
  <c r="N39" i="1"/>
  <c r="N40" i="1"/>
  <c r="N29" i="1"/>
  <c r="AU2" i="1"/>
  <c r="AS2" i="1" s="1"/>
  <c r="CB10" i="1"/>
  <c r="CB11" i="1"/>
  <c r="BZ11" i="1" s="1"/>
  <c r="CD11" i="1" s="1"/>
  <c r="CB12" i="1"/>
  <c r="CB13" i="1"/>
  <c r="BZ13" i="1" s="1"/>
  <c r="CD13" i="1" s="1"/>
  <c r="CB14" i="1"/>
  <c r="CB15" i="1"/>
  <c r="BZ15" i="1" s="1"/>
  <c r="CD15" i="1" s="1"/>
  <c r="CB16" i="1"/>
  <c r="CB17" i="1"/>
  <c r="BZ17" i="1" s="1"/>
  <c r="CD17" i="1" s="1"/>
  <c r="CB18" i="1"/>
  <c r="CB19" i="1"/>
  <c r="BZ19" i="1" s="1"/>
  <c r="CD19" i="1" s="1"/>
  <c r="CB20" i="1"/>
  <c r="CB21" i="1"/>
  <c r="BZ21" i="1" s="1"/>
  <c r="CD21" i="1" s="1"/>
  <c r="CB22" i="1"/>
  <c r="CB23" i="1"/>
  <c r="BZ23" i="1" s="1"/>
  <c r="CD23" i="1" s="1"/>
  <c r="CB24" i="1"/>
  <c r="CB25" i="1"/>
  <c r="BZ25" i="1" s="1"/>
  <c r="CD25" i="1" s="1"/>
  <c r="CB26" i="1"/>
  <c r="CB27" i="1"/>
  <c r="BZ27" i="1" s="1"/>
  <c r="CD27" i="1" s="1"/>
  <c r="CB28" i="1"/>
  <c r="CB29" i="1"/>
  <c r="BZ29" i="1" s="1"/>
  <c r="CD29" i="1" s="1"/>
  <c r="CB30" i="1"/>
  <c r="CB31" i="1"/>
  <c r="BZ31" i="1" s="1"/>
  <c r="CD31" i="1" s="1"/>
  <c r="CB32" i="1"/>
  <c r="CB33" i="1"/>
  <c r="BZ33" i="1" s="1"/>
  <c r="CD33" i="1" s="1"/>
  <c r="CB34" i="1"/>
  <c r="CB35" i="1"/>
  <c r="BZ35" i="1" s="1"/>
  <c r="CD35" i="1" s="1"/>
  <c r="CB36" i="1"/>
  <c r="CB37" i="1"/>
  <c r="BZ37" i="1" s="1"/>
  <c r="CD37" i="1" s="1"/>
  <c r="CB38" i="1"/>
  <c r="CB39" i="1"/>
  <c r="BZ39" i="1" s="1"/>
  <c r="CD39" i="1" s="1"/>
  <c r="CB40" i="1"/>
  <c r="CB41" i="1"/>
  <c r="BZ41" i="1" s="1"/>
  <c r="CD41" i="1" s="1"/>
  <c r="CB42" i="1"/>
  <c r="CB43" i="1"/>
  <c r="BZ43" i="1" s="1"/>
  <c r="CD43" i="1" s="1"/>
  <c r="CB44" i="1"/>
  <c r="CB45" i="1"/>
  <c r="BZ45" i="1" s="1"/>
  <c r="CD45" i="1" s="1"/>
  <c r="CB46" i="1"/>
  <c r="CB47" i="1"/>
  <c r="BZ47" i="1" s="1"/>
  <c r="CD47" i="1" s="1"/>
  <c r="CB48" i="1"/>
  <c r="CB49" i="1"/>
  <c r="BZ49" i="1" s="1"/>
  <c r="CD49" i="1" s="1"/>
  <c r="CB50" i="1"/>
  <c r="CB51" i="1"/>
  <c r="BZ51" i="1" s="1"/>
  <c r="CD51" i="1" s="1"/>
  <c r="CB52" i="1"/>
  <c r="CB53" i="1"/>
  <c r="BZ53" i="1" s="1"/>
  <c r="CD53" i="1" s="1"/>
  <c r="CB9" i="1"/>
  <c r="BZ9" i="1" s="1"/>
  <c r="BZ10" i="1"/>
  <c r="CD10" i="1" s="1"/>
  <c r="BZ12" i="1"/>
  <c r="BZ14" i="1"/>
  <c r="CD14" i="1" s="1"/>
  <c r="BZ16" i="1"/>
  <c r="CD16" i="1" s="1"/>
  <c r="BZ18" i="1"/>
  <c r="CD18" i="1" s="1"/>
  <c r="BZ20" i="1"/>
  <c r="BZ22" i="1"/>
  <c r="CD22" i="1" s="1"/>
  <c r="BZ24" i="1"/>
  <c r="BZ26" i="1"/>
  <c r="CD26" i="1" s="1"/>
  <c r="BZ28" i="1"/>
  <c r="BZ30" i="1"/>
  <c r="CD30" i="1" s="1"/>
  <c r="BZ32" i="1"/>
  <c r="CD32" i="1" s="1"/>
  <c r="BZ34" i="1"/>
  <c r="CD34" i="1" s="1"/>
  <c r="BZ36" i="1"/>
  <c r="BZ38" i="1"/>
  <c r="CD38" i="1" s="1"/>
  <c r="BZ40" i="1"/>
  <c r="CD40" i="1" s="1"/>
  <c r="BZ42" i="1"/>
  <c r="CD42" i="1" s="1"/>
  <c r="BZ44" i="1"/>
  <c r="BZ46" i="1"/>
  <c r="CD46" i="1" s="1"/>
  <c r="BZ48" i="1"/>
  <c r="CD48" i="1" s="1"/>
  <c r="BZ50" i="1"/>
  <c r="CD50" i="1" s="1"/>
  <c r="BZ52" i="1"/>
  <c r="BY10" i="1"/>
  <c r="CC10" i="1" s="1"/>
  <c r="BY12" i="1"/>
  <c r="CC12" i="1" s="1"/>
  <c r="BY14" i="1"/>
  <c r="CC14" i="1" s="1"/>
  <c r="BY16" i="1"/>
  <c r="CC16" i="1" s="1"/>
  <c r="BY18" i="1"/>
  <c r="CC18" i="1" s="1"/>
  <c r="BY20" i="1"/>
  <c r="CC20" i="1" s="1"/>
  <c r="BY22" i="1"/>
  <c r="CC22" i="1" s="1"/>
  <c r="BY24" i="1"/>
  <c r="CC24" i="1" s="1"/>
  <c r="BY26" i="1"/>
  <c r="CC26" i="1" s="1"/>
  <c r="BY28" i="1"/>
  <c r="CC28" i="1" s="1"/>
  <c r="BY30" i="1"/>
  <c r="CC30" i="1" s="1"/>
  <c r="BY32" i="1"/>
  <c r="CC32" i="1" s="1"/>
  <c r="BY34" i="1"/>
  <c r="CC34" i="1" s="1"/>
  <c r="BY36" i="1"/>
  <c r="CC36" i="1" s="1"/>
  <c r="BY38" i="1"/>
  <c r="CC38" i="1" s="1"/>
  <c r="BY40" i="1"/>
  <c r="BY42" i="1"/>
  <c r="CC42" i="1" s="1"/>
  <c r="BY44" i="1"/>
  <c r="CC44" i="1" s="1"/>
  <c r="BY46" i="1"/>
  <c r="CC46" i="1" s="1"/>
  <c r="BY48" i="1"/>
  <c r="BY50" i="1"/>
  <c r="CC50" i="1" s="1"/>
  <c r="BY52" i="1"/>
  <c r="CC52" i="1" s="1"/>
  <c r="BY9" i="1"/>
  <c r="CC9" i="1" s="1"/>
  <c r="BV10" i="1"/>
  <c r="BV11" i="1"/>
  <c r="BS11" i="1" s="1"/>
  <c r="BW11" i="1" s="1"/>
  <c r="BV12" i="1"/>
  <c r="BV13" i="1"/>
  <c r="BS13" i="1" s="1"/>
  <c r="BW13" i="1" s="1"/>
  <c r="BV14" i="1"/>
  <c r="BV15" i="1"/>
  <c r="BS15" i="1" s="1"/>
  <c r="BW15" i="1" s="1"/>
  <c r="BV16" i="1"/>
  <c r="BV17" i="1"/>
  <c r="BS17" i="1" s="1"/>
  <c r="BW17" i="1" s="1"/>
  <c r="BV18" i="1"/>
  <c r="BV19" i="1"/>
  <c r="BS19" i="1" s="1"/>
  <c r="BW19" i="1" s="1"/>
  <c r="BV20" i="1"/>
  <c r="BV21" i="1"/>
  <c r="BS21" i="1" s="1"/>
  <c r="BW21" i="1" s="1"/>
  <c r="BV22" i="1"/>
  <c r="BV23" i="1"/>
  <c r="BS23" i="1" s="1"/>
  <c r="BW23" i="1" s="1"/>
  <c r="BV24" i="1"/>
  <c r="BV25" i="1"/>
  <c r="BS25" i="1" s="1"/>
  <c r="BW25" i="1" s="1"/>
  <c r="BV26" i="1"/>
  <c r="BV27" i="1"/>
  <c r="BS27" i="1" s="1"/>
  <c r="BW27" i="1" s="1"/>
  <c r="BV28" i="1"/>
  <c r="BV29" i="1"/>
  <c r="BS29" i="1" s="1"/>
  <c r="BW29" i="1" s="1"/>
  <c r="BV30" i="1"/>
  <c r="BV31" i="1"/>
  <c r="BS31" i="1" s="1"/>
  <c r="BW31" i="1" s="1"/>
  <c r="BV32" i="1"/>
  <c r="BV33" i="1"/>
  <c r="BS33" i="1" s="1"/>
  <c r="BW33" i="1" s="1"/>
  <c r="BV34" i="1"/>
  <c r="BV35" i="1"/>
  <c r="BS35" i="1" s="1"/>
  <c r="BW35" i="1" s="1"/>
  <c r="BV36" i="1"/>
  <c r="BV37" i="1"/>
  <c r="BS37" i="1" s="1"/>
  <c r="BW37" i="1" s="1"/>
  <c r="BV38" i="1"/>
  <c r="BV39" i="1"/>
  <c r="BS39" i="1" s="1"/>
  <c r="BW39" i="1" s="1"/>
  <c r="BV40" i="1"/>
  <c r="BV41" i="1"/>
  <c r="BS41" i="1" s="1"/>
  <c r="BW41" i="1" s="1"/>
  <c r="BV42" i="1"/>
  <c r="BV43" i="1"/>
  <c r="BS43" i="1" s="1"/>
  <c r="BW43" i="1" s="1"/>
  <c r="BV44" i="1"/>
  <c r="BV45" i="1"/>
  <c r="BS45" i="1" s="1"/>
  <c r="BW45" i="1" s="1"/>
  <c r="BV46" i="1"/>
  <c r="BV47" i="1"/>
  <c r="BS47" i="1" s="1"/>
  <c r="BW47" i="1" s="1"/>
  <c r="BV48" i="1"/>
  <c r="BS48" i="1" s="1"/>
  <c r="BW48" i="1" s="1"/>
  <c r="BV49" i="1"/>
  <c r="BS49" i="1" s="1"/>
  <c r="BW49" i="1" s="1"/>
  <c r="BV50" i="1"/>
  <c r="BV51" i="1"/>
  <c r="BS51" i="1" s="1"/>
  <c r="BW51" i="1" s="1"/>
  <c r="BV52" i="1"/>
  <c r="BV53" i="1"/>
  <c r="BS53" i="1" s="1"/>
  <c r="BW53" i="1" s="1"/>
  <c r="BV9" i="1"/>
  <c r="BS9" i="1" s="1"/>
  <c r="BW9" i="1" s="1"/>
  <c r="BS10" i="1"/>
  <c r="BW10" i="1" s="1"/>
  <c r="BS12" i="1"/>
  <c r="BW12" i="1" s="1"/>
  <c r="BS14" i="1"/>
  <c r="BW14" i="1" s="1"/>
  <c r="BS16" i="1"/>
  <c r="BS18" i="1"/>
  <c r="BW18" i="1" s="1"/>
  <c r="BS20" i="1"/>
  <c r="BW20" i="1" s="1"/>
  <c r="BS22" i="1"/>
  <c r="BW22" i="1" s="1"/>
  <c r="BS24" i="1"/>
  <c r="BS26" i="1"/>
  <c r="BW26" i="1" s="1"/>
  <c r="BS28" i="1"/>
  <c r="BW28" i="1" s="1"/>
  <c r="BS30" i="1"/>
  <c r="BW30" i="1" s="1"/>
  <c r="BS32" i="1"/>
  <c r="BS34" i="1"/>
  <c r="BW34" i="1" s="1"/>
  <c r="BS36" i="1"/>
  <c r="BS38" i="1"/>
  <c r="BW38" i="1" s="1"/>
  <c r="BS40" i="1"/>
  <c r="BS42" i="1"/>
  <c r="BW42" i="1" s="1"/>
  <c r="BS44" i="1"/>
  <c r="BW44" i="1" s="1"/>
  <c r="BS46" i="1"/>
  <c r="BW46" i="1" s="1"/>
  <c r="BS50" i="1"/>
  <c r="BW50" i="1" s="1"/>
  <c r="BS52" i="1"/>
  <c r="BW52" i="1" s="1"/>
  <c r="BT10" i="1"/>
  <c r="BT12" i="1"/>
  <c r="BX12" i="1" s="1"/>
  <c r="BT14" i="1"/>
  <c r="BX14" i="1" s="1"/>
  <c r="BT16" i="1"/>
  <c r="BX16" i="1" s="1"/>
  <c r="BT18" i="1"/>
  <c r="BX18" i="1" s="1"/>
  <c r="BT20" i="1"/>
  <c r="BX20" i="1" s="1"/>
  <c r="BT22" i="1"/>
  <c r="BX22" i="1" s="1"/>
  <c r="BT24" i="1"/>
  <c r="BX24" i="1" s="1"/>
  <c r="BT26" i="1"/>
  <c r="BX26" i="1" s="1"/>
  <c r="BT28" i="1"/>
  <c r="BX28" i="1" s="1"/>
  <c r="BT30" i="1"/>
  <c r="BX30" i="1" s="1"/>
  <c r="BT32" i="1"/>
  <c r="BX32" i="1" s="1"/>
  <c r="BT34" i="1"/>
  <c r="BX34" i="1" s="1"/>
  <c r="BT36" i="1"/>
  <c r="BX36" i="1" s="1"/>
  <c r="BT38" i="1"/>
  <c r="BX38" i="1" s="1"/>
  <c r="BT40" i="1"/>
  <c r="BX40" i="1" s="1"/>
  <c r="BT42" i="1"/>
  <c r="BX42" i="1" s="1"/>
  <c r="BT44" i="1"/>
  <c r="BX44" i="1" s="1"/>
  <c r="BT46" i="1"/>
  <c r="BX46" i="1" s="1"/>
  <c r="BT48" i="1"/>
  <c r="BX48" i="1" s="1"/>
  <c r="BT50" i="1"/>
  <c r="BX50" i="1" s="1"/>
  <c r="BT52" i="1"/>
  <c r="BX52" i="1" s="1"/>
  <c r="BT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M10" i="1"/>
  <c r="BQ10" i="1" s="1"/>
  <c r="BM11" i="1"/>
  <c r="BM12" i="1"/>
  <c r="BQ12" i="1" s="1"/>
  <c r="BM13" i="1"/>
  <c r="BM14" i="1"/>
  <c r="BQ14" i="1" s="1"/>
  <c r="BM15" i="1"/>
  <c r="BM16" i="1"/>
  <c r="BQ16" i="1" s="1"/>
  <c r="BM17" i="1"/>
  <c r="BM18" i="1"/>
  <c r="BQ18" i="1" s="1"/>
  <c r="BM19" i="1"/>
  <c r="BM20" i="1"/>
  <c r="BQ20" i="1" s="1"/>
  <c r="BM21" i="1"/>
  <c r="BM22" i="1"/>
  <c r="BQ22" i="1" s="1"/>
  <c r="BM23" i="1"/>
  <c r="BM24" i="1"/>
  <c r="BQ24" i="1" s="1"/>
  <c r="BM25" i="1"/>
  <c r="BM26" i="1"/>
  <c r="BQ26" i="1" s="1"/>
  <c r="BM27" i="1"/>
  <c r="BM28" i="1"/>
  <c r="BQ28" i="1" s="1"/>
  <c r="BM29" i="1"/>
  <c r="BM30" i="1"/>
  <c r="BQ30" i="1" s="1"/>
  <c r="BM31" i="1"/>
  <c r="BM32" i="1"/>
  <c r="BQ32" i="1" s="1"/>
  <c r="BM33" i="1"/>
  <c r="BM34" i="1"/>
  <c r="BQ34" i="1" s="1"/>
  <c r="BM35" i="1"/>
  <c r="BM36" i="1"/>
  <c r="BQ36" i="1" s="1"/>
  <c r="BM37" i="1"/>
  <c r="BM38" i="1"/>
  <c r="BQ38" i="1" s="1"/>
  <c r="BM39" i="1"/>
  <c r="BM40" i="1"/>
  <c r="BQ40" i="1" s="1"/>
  <c r="BM41" i="1"/>
  <c r="BM42" i="1"/>
  <c r="BQ42" i="1" s="1"/>
  <c r="BM43" i="1"/>
  <c r="BM44" i="1"/>
  <c r="BQ44" i="1" s="1"/>
  <c r="BM45" i="1"/>
  <c r="BM46" i="1"/>
  <c r="BQ46" i="1" s="1"/>
  <c r="BM47" i="1"/>
  <c r="BM48" i="1"/>
  <c r="BQ48" i="1" s="1"/>
  <c r="BM49" i="1"/>
  <c r="BM50" i="1"/>
  <c r="BQ50" i="1" s="1"/>
  <c r="BM51" i="1"/>
  <c r="BM52" i="1"/>
  <c r="BQ52" i="1" s="1"/>
  <c r="BM53" i="1"/>
  <c r="BP9" i="1"/>
  <c r="BX10" i="1"/>
  <c r="CD52" i="1"/>
  <c r="CC48" i="1"/>
  <c r="CD44" i="1"/>
  <c r="CC40" i="1"/>
  <c r="CD36" i="1"/>
  <c r="CD28" i="1"/>
  <c r="CD24" i="1"/>
  <c r="CD20" i="1"/>
  <c r="CD12" i="1"/>
  <c r="BW40" i="1"/>
  <c r="BW36" i="1"/>
  <c r="BW32" i="1"/>
  <c r="BW24" i="1"/>
  <c r="BW16" i="1"/>
  <c r="BM9" i="1"/>
  <c r="BQ9" i="1" s="1"/>
  <c r="BJ10" i="1"/>
  <c r="BH10" i="1" s="1"/>
  <c r="BL10" i="1" s="1"/>
  <c r="BJ11" i="1"/>
  <c r="BH11" i="1" s="1"/>
  <c r="BL11" i="1" s="1"/>
  <c r="BJ12" i="1"/>
  <c r="BH12" i="1" s="1"/>
  <c r="BL12" i="1" s="1"/>
  <c r="BJ13" i="1"/>
  <c r="BH13" i="1" s="1"/>
  <c r="BL13" i="1" s="1"/>
  <c r="BJ14" i="1"/>
  <c r="BH14" i="1" s="1"/>
  <c r="BL14" i="1" s="1"/>
  <c r="BJ15" i="1"/>
  <c r="BH15" i="1" s="1"/>
  <c r="BL15" i="1" s="1"/>
  <c r="BJ16" i="1"/>
  <c r="BH16" i="1" s="1"/>
  <c r="BL16" i="1" s="1"/>
  <c r="BJ17" i="1"/>
  <c r="BH17" i="1" s="1"/>
  <c r="BL17" i="1" s="1"/>
  <c r="BJ18" i="1"/>
  <c r="BH18" i="1" s="1"/>
  <c r="BL18" i="1" s="1"/>
  <c r="BJ19" i="1"/>
  <c r="BH19" i="1" s="1"/>
  <c r="BJ20" i="1"/>
  <c r="BH20" i="1" s="1"/>
  <c r="BL20" i="1" s="1"/>
  <c r="BJ21" i="1"/>
  <c r="BH21" i="1" s="1"/>
  <c r="BL21" i="1" s="1"/>
  <c r="BJ22" i="1"/>
  <c r="BH22" i="1" s="1"/>
  <c r="BL22" i="1" s="1"/>
  <c r="BJ23" i="1"/>
  <c r="BH23" i="1" s="1"/>
  <c r="BL23" i="1" s="1"/>
  <c r="BJ24" i="1"/>
  <c r="BH24" i="1" s="1"/>
  <c r="BL24" i="1" s="1"/>
  <c r="BJ25" i="1"/>
  <c r="BH25" i="1" s="1"/>
  <c r="BL25" i="1" s="1"/>
  <c r="BJ26" i="1"/>
  <c r="BH26" i="1" s="1"/>
  <c r="BL26" i="1" s="1"/>
  <c r="BJ27" i="1"/>
  <c r="BH27" i="1" s="1"/>
  <c r="BL27" i="1" s="1"/>
  <c r="BJ28" i="1"/>
  <c r="BH28" i="1" s="1"/>
  <c r="BL28" i="1" s="1"/>
  <c r="BJ29" i="1"/>
  <c r="BH29" i="1" s="1"/>
  <c r="BL29" i="1" s="1"/>
  <c r="BJ30" i="1"/>
  <c r="BH30" i="1" s="1"/>
  <c r="BL30" i="1" s="1"/>
  <c r="BJ31" i="1"/>
  <c r="BH31" i="1" s="1"/>
  <c r="BL31" i="1" s="1"/>
  <c r="BJ32" i="1"/>
  <c r="BH32" i="1" s="1"/>
  <c r="BL32" i="1" s="1"/>
  <c r="BJ33" i="1"/>
  <c r="BH33" i="1" s="1"/>
  <c r="BL33" i="1" s="1"/>
  <c r="BJ34" i="1"/>
  <c r="BH34" i="1" s="1"/>
  <c r="BL34" i="1" s="1"/>
  <c r="BJ35" i="1"/>
  <c r="BH35" i="1" s="1"/>
  <c r="BL35" i="1" s="1"/>
  <c r="BJ36" i="1"/>
  <c r="BH36" i="1" s="1"/>
  <c r="BL36" i="1" s="1"/>
  <c r="BJ37" i="1"/>
  <c r="BH37" i="1" s="1"/>
  <c r="BL37" i="1" s="1"/>
  <c r="BJ38" i="1"/>
  <c r="BH38" i="1" s="1"/>
  <c r="BL38" i="1" s="1"/>
  <c r="BJ39" i="1"/>
  <c r="BH39" i="1" s="1"/>
  <c r="BL39" i="1" s="1"/>
  <c r="BJ40" i="1"/>
  <c r="BH40" i="1" s="1"/>
  <c r="BL40" i="1" s="1"/>
  <c r="BJ41" i="1"/>
  <c r="BH41" i="1" s="1"/>
  <c r="BL41" i="1" s="1"/>
  <c r="BJ42" i="1"/>
  <c r="BH42" i="1" s="1"/>
  <c r="BL42" i="1" s="1"/>
  <c r="BJ43" i="1"/>
  <c r="BH43" i="1" s="1"/>
  <c r="BL43" i="1" s="1"/>
  <c r="BJ44" i="1"/>
  <c r="BH44" i="1" s="1"/>
  <c r="BL44" i="1" s="1"/>
  <c r="BJ45" i="1"/>
  <c r="BH45" i="1" s="1"/>
  <c r="BL45" i="1" s="1"/>
  <c r="BJ46" i="1"/>
  <c r="BH46" i="1" s="1"/>
  <c r="BL46" i="1" s="1"/>
  <c r="BJ47" i="1"/>
  <c r="BH47" i="1" s="1"/>
  <c r="BL47" i="1" s="1"/>
  <c r="BJ48" i="1"/>
  <c r="BH48" i="1" s="1"/>
  <c r="BL48" i="1" s="1"/>
  <c r="BJ49" i="1"/>
  <c r="BH49" i="1" s="1"/>
  <c r="BL49" i="1" s="1"/>
  <c r="BJ50" i="1"/>
  <c r="BH50" i="1" s="1"/>
  <c r="BL50" i="1" s="1"/>
  <c r="BJ51" i="1"/>
  <c r="BH51" i="1" s="1"/>
  <c r="BL51" i="1" s="1"/>
  <c r="BJ52" i="1"/>
  <c r="BH52" i="1" s="1"/>
  <c r="BL52" i="1" s="1"/>
  <c r="BJ53" i="1"/>
  <c r="BH53" i="1" s="1"/>
  <c r="BL53" i="1" s="1"/>
  <c r="BJ9" i="1"/>
  <c r="BH9" i="1" s="1"/>
  <c r="BG11" i="1"/>
  <c r="BK11" i="1" s="1"/>
  <c r="BG15" i="1"/>
  <c r="BK15" i="1" s="1"/>
  <c r="BG19" i="1"/>
  <c r="BK19" i="1" s="1"/>
  <c r="BG23" i="1"/>
  <c r="BK23" i="1" s="1"/>
  <c r="BG27" i="1"/>
  <c r="BK27" i="1" s="1"/>
  <c r="BG34" i="1"/>
  <c r="BK34" i="1" s="1"/>
  <c r="E47" i="1"/>
  <c r="C47" i="1" s="1"/>
  <c r="G47" i="1" s="1"/>
  <c r="E48" i="1"/>
  <c r="C48" i="1" s="1"/>
  <c r="G48" i="1" s="1"/>
  <c r="E49" i="1"/>
  <c r="C49" i="1" s="1"/>
  <c r="G49" i="1" s="1"/>
  <c r="E50" i="1"/>
  <c r="C50" i="1" s="1"/>
  <c r="G50" i="1" s="1"/>
  <c r="E51" i="1"/>
  <c r="C51" i="1" s="1"/>
  <c r="G51" i="1" s="1"/>
  <c r="E52" i="1"/>
  <c r="C52" i="1" s="1"/>
  <c r="G52" i="1" s="1"/>
  <c r="E53" i="1"/>
  <c r="C53" i="1" s="1"/>
  <c r="G53" i="1" s="1"/>
  <c r="E10" i="1"/>
  <c r="B10" i="1" s="1"/>
  <c r="F10" i="1" s="1"/>
  <c r="E41" i="1"/>
  <c r="B41" i="1" s="1"/>
  <c r="F41" i="1" s="1"/>
  <c r="E42" i="1"/>
  <c r="B42" i="1" s="1"/>
  <c r="F42" i="1" s="1"/>
  <c r="E43" i="1"/>
  <c r="B43" i="1" s="1"/>
  <c r="F43" i="1" s="1"/>
  <c r="E44" i="1"/>
  <c r="B44" i="1" s="1"/>
  <c r="F44" i="1" s="1"/>
  <c r="E45" i="1"/>
  <c r="B45" i="1" s="1"/>
  <c r="F45" i="1" s="1"/>
  <c r="E46" i="1"/>
  <c r="B46" i="1" s="1"/>
  <c r="F46" i="1" s="1"/>
  <c r="E11" i="1"/>
  <c r="B11" i="1" s="1"/>
  <c r="F11" i="1" s="1"/>
  <c r="E12" i="1"/>
  <c r="B12" i="1" s="1"/>
  <c r="F12" i="1" s="1"/>
  <c r="E13" i="1"/>
  <c r="B13" i="1" s="1"/>
  <c r="F13" i="1" s="1"/>
  <c r="E14" i="1"/>
  <c r="B14" i="1" s="1"/>
  <c r="F14" i="1" s="1"/>
  <c r="E15" i="1"/>
  <c r="B15" i="1" s="1"/>
  <c r="F15" i="1" s="1"/>
  <c r="E16" i="1"/>
  <c r="B16" i="1" s="1"/>
  <c r="F16" i="1" s="1"/>
  <c r="E17" i="1"/>
  <c r="B17" i="1" s="1"/>
  <c r="F17" i="1" s="1"/>
  <c r="E18" i="1"/>
  <c r="B18" i="1" s="1"/>
  <c r="F18" i="1" s="1"/>
  <c r="E19" i="1"/>
  <c r="B19" i="1" s="1"/>
  <c r="F19" i="1" s="1"/>
  <c r="E20" i="1"/>
  <c r="B20" i="1" s="1"/>
  <c r="F20" i="1" s="1"/>
  <c r="E21" i="1"/>
  <c r="B21" i="1" s="1"/>
  <c r="F21" i="1" s="1"/>
  <c r="E22" i="1"/>
  <c r="B22" i="1" s="1"/>
  <c r="F22" i="1" s="1"/>
  <c r="E23" i="1"/>
  <c r="B23" i="1" s="1"/>
  <c r="F23" i="1" s="1"/>
  <c r="E24" i="1"/>
  <c r="B24" i="1" s="1"/>
  <c r="F24" i="1" s="1"/>
  <c r="E25" i="1"/>
  <c r="B25" i="1" s="1"/>
  <c r="F25" i="1" s="1"/>
  <c r="E26" i="1"/>
  <c r="B26" i="1" s="1"/>
  <c r="F26" i="1" s="1"/>
  <c r="E27" i="1"/>
  <c r="B27" i="1" s="1"/>
  <c r="F27" i="1" s="1"/>
  <c r="E28" i="1"/>
  <c r="B28" i="1" s="1"/>
  <c r="F28" i="1" s="1"/>
  <c r="E29" i="1"/>
  <c r="B29" i="1" s="1"/>
  <c r="F29" i="1" s="1"/>
  <c r="E30" i="1"/>
  <c r="B30" i="1" s="1"/>
  <c r="F30" i="1" s="1"/>
  <c r="E31" i="1"/>
  <c r="B31" i="1" s="1"/>
  <c r="F31" i="1" s="1"/>
  <c r="E32" i="1"/>
  <c r="B32" i="1" s="1"/>
  <c r="F32" i="1" s="1"/>
  <c r="E33" i="1"/>
  <c r="B33" i="1" s="1"/>
  <c r="F33" i="1" s="1"/>
  <c r="E34" i="1"/>
  <c r="B34" i="1" s="1"/>
  <c r="F34" i="1" s="1"/>
  <c r="E35" i="1"/>
  <c r="B35" i="1" s="1"/>
  <c r="F35" i="1" s="1"/>
  <c r="E36" i="1"/>
  <c r="B36" i="1" s="1"/>
  <c r="F36" i="1" s="1"/>
  <c r="E37" i="1"/>
  <c r="B37" i="1" s="1"/>
  <c r="F37" i="1" s="1"/>
  <c r="E38" i="1"/>
  <c r="B38" i="1" s="1"/>
  <c r="F38" i="1" s="1"/>
  <c r="E39" i="1"/>
  <c r="B39" i="1" s="1"/>
  <c r="F39" i="1" s="1"/>
  <c r="E40" i="1"/>
  <c r="B40" i="1" s="1"/>
  <c r="F40" i="1" s="1"/>
  <c r="E9" i="1"/>
  <c r="C9" i="1" s="1"/>
  <c r="G9" i="1" s="1"/>
  <c r="G3" i="1"/>
  <c r="L48" i="1"/>
  <c r="L51" i="1"/>
  <c r="H51" i="1"/>
  <c r="H53" i="1"/>
  <c r="J52" i="1"/>
  <c r="L50" i="1"/>
  <c r="H50" i="1"/>
  <c r="K52" i="1"/>
  <c r="K49" i="1"/>
  <c r="I47" i="1"/>
  <c r="I50" i="1"/>
  <c r="H48" i="1"/>
  <c r="L52" i="1"/>
  <c r="K53" i="1"/>
  <c r="J50" i="1"/>
  <c r="I9" i="1"/>
  <c r="J49" i="1"/>
  <c r="H9" i="1"/>
  <c r="K50" i="1"/>
  <c r="K51" i="1"/>
  <c r="I51" i="1"/>
  <c r="I49" i="1"/>
  <c r="H52" i="1"/>
  <c r="I48" i="1"/>
  <c r="L53" i="1"/>
  <c r="H49" i="1"/>
  <c r="K48" i="1"/>
  <c r="I52" i="1"/>
  <c r="I53" i="1"/>
  <c r="K47" i="1"/>
  <c r="J48" i="1"/>
  <c r="BG21" i="1" l="1"/>
  <c r="BK21" i="1" s="1"/>
  <c r="BG13" i="1"/>
  <c r="BK13" i="1" s="1"/>
  <c r="BG25" i="1"/>
  <c r="BK25" i="1" s="1"/>
  <c r="BG17" i="1"/>
  <c r="BK17" i="1" s="1"/>
  <c r="BG50" i="1"/>
  <c r="BK50" i="1" s="1"/>
  <c r="BT53" i="1"/>
  <c r="BX53" i="1" s="1"/>
  <c r="BT51" i="1"/>
  <c r="BX51" i="1" s="1"/>
  <c r="BT49" i="1"/>
  <c r="BX49" i="1" s="1"/>
  <c r="BT47" i="1"/>
  <c r="BX47" i="1" s="1"/>
  <c r="BT45" i="1"/>
  <c r="BX45" i="1" s="1"/>
  <c r="BT43" i="1"/>
  <c r="BX43" i="1" s="1"/>
  <c r="BT41" i="1"/>
  <c r="BX41" i="1" s="1"/>
  <c r="BT39" i="1"/>
  <c r="BX39" i="1" s="1"/>
  <c r="BT37" i="1"/>
  <c r="BX37" i="1" s="1"/>
  <c r="BT35" i="1"/>
  <c r="BX35" i="1" s="1"/>
  <c r="BT33" i="1"/>
  <c r="BX33" i="1" s="1"/>
  <c r="BT31" i="1"/>
  <c r="BX31" i="1" s="1"/>
  <c r="BT29" i="1"/>
  <c r="BX29" i="1" s="1"/>
  <c r="BT27" i="1"/>
  <c r="BX27" i="1" s="1"/>
  <c r="BT25" i="1"/>
  <c r="BX25" i="1" s="1"/>
  <c r="BT23" i="1"/>
  <c r="BX23" i="1" s="1"/>
  <c r="BT21" i="1"/>
  <c r="BX21" i="1" s="1"/>
  <c r="BT19" i="1"/>
  <c r="BX19" i="1" s="1"/>
  <c r="BT17" i="1"/>
  <c r="BX17" i="1" s="1"/>
  <c r="BT15" i="1"/>
  <c r="BX15" i="1" s="1"/>
  <c r="BT13" i="1"/>
  <c r="BX13" i="1" s="1"/>
  <c r="BT11" i="1"/>
  <c r="BX11" i="1" s="1"/>
  <c r="BY53" i="1"/>
  <c r="CC53" i="1" s="1"/>
  <c r="BY51" i="1"/>
  <c r="CC51" i="1" s="1"/>
  <c r="BY49" i="1"/>
  <c r="CC49" i="1" s="1"/>
  <c r="BY47" i="1"/>
  <c r="BY45" i="1"/>
  <c r="CC45" i="1" s="1"/>
  <c r="BY43" i="1"/>
  <c r="CC43" i="1" s="1"/>
  <c r="BY41" i="1"/>
  <c r="CC41" i="1" s="1"/>
  <c r="BY39" i="1"/>
  <c r="CC39" i="1" s="1"/>
  <c r="BY37" i="1"/>
  <c r="CC37" i="1" s="1"/>
  <c r="BY35" i="1"/>
  <c r="BY33" i="1"/>
  <c r="CC33" i="1" s="1"/>
  <c r="BY31" i="1"/>
  <c r="BY29" i="1"/>
  <c r="CC29" i="1" s="1"/>
  <c r="BY27" i="1"/>
  <c r="CC27" i="1" s="1"/>
  <c r="BY25" i="1"/>
  <c r="CC25" i="1" s="1"/>
  <c r="BY23" i="1"/>
  <c r="CC23" i="1" s="1"/>
  <c r="BY21" i="1"/>
  <c r="CC21" i="1" s="1"/>
  <c r="BY19" i="1"/>
  <c r="CC19" i="1" s="1"/>
  <c r="BY17" i="1"/>
  <c r="CC17" i="1" s="1"/>
  <c r="BY15" i="1"/>
  <c r="CC15" i="1" s="1"/>
  <c r="BY13" i="1"/>
  <c r="BY11" i="1"/>
  <c r="CC11" i="1" s="1"/>
  <c r="BG42" i="1"/>
  <c r="BK42" i="1" s="1"/>
  <c r="BG33" i="1"/>
  <c r="BK33" i="1" s="1"/>
  <c r="BG9" i="1"/>
  <c r="BK9" i="1" s="1"/>
  <c r="BG46" i="1"/>
  <c r="BK46" i="1" s="1"/>
  <c r="BG38" i="1"/>
  <c r="BK38" i="1" s="1"/>
  <c r="BG30" i="1"/>
  <c r="BK30" i="1" s="1"/>
  <c r="BG18" i="1"/>
  <c r="BK18" i="1" s="1"/>
  <c r="BG16" i="1"/>
  <c r="BK16" i="1" s="1"/>
  <c r="BG10" i="1"/>
  <c r="BK10" i="1" s="1"/>
  <c r="BL19" i="1"/>
  <c r="CD9" i="1"/>
  <c r="BX9" i="1"/>
  <c r="S5" i="1" s="1"/>
  <c r="BA3" i="1" s="1"/>
  <c r="BN53" i="1"/>
  <c r="BR53" i="1" s="1"/>
  <c r="BN51" i="1"/>
  <c r="BR51" i="1" s="1"/>
  <c r="BN49" i="1"/>
  <c r="BR49" i="1" s="1"/>
  <c r="BN47" i="1"/>
  <c r="BR47" i="1" s="1"/>
  <c r="BN45" i="1"/>
  <c r="BR45" i="1" s="1"/>
  <c r="BN43" i="1"/>
  <c r="BR43" i="1" s="1"/>
  <c r="BN41" i="1"/>
  <c r="BR41" i="1" s="1"/>
  <c r="BN39" i="1"/>
  <c r="BR39" i="1" s="1"/>
  <c r="BN37" i="1"/>
  <c r="BR37" i="1" s="1"/>
  <c r="BN35" i="1"/>
  <c r="BR35" i="1" s="1"/>
  <c r="BN33" i="1"/>
  <c r="BR33" i="1" s="1"/>
  <c r="BN31" i="1"/>
  <c r="BR31" i="1" s="1"/>
  <c r="BN29" i="1"/>
  <c r="BR29" i="1" s="1"/>
  <c r="BN27" i="1"/>
  <c r="BR27" i="1" s="1"/>
  <c r="BN25" i="1"/>
  <c r="BR25" i="1" s="1"/>
  <c r="BN23" i="1"/>
  <c r="BR23" i="1" s="1"/>
  <c r="BN21" i="1"/>
  <c r="BR21" i="1" s="1"/>
  <c r="BN19" i="1"/>
  <c r="BR19" i="1" s="1"/>
  <c r="BN17" i="1"/>
  <c r="BR17" i="1" s="1"/>
  <c r="BN15" i="1"/>
  <c r="BR15" i="1" s="1"/>
  <c r="BN13" i="1"/>
  <c r="BR13" i="1" s="1"/>
  <c r="BN11" i="1"/>
  <c r="BR11" i="1" s="1"/>
  <c r="CC13" i="1"/>
  <c r="CC31" i="1"/>
  <c r="CC35" i="1"/>
  <c r="CC47" i="1"/>
  <c r="BQ53" i="1"/>
  <c r="BQ51" i="1"/>
  <c r="BQ49" i="1"/>
  <c r="BQ47" i="1"/>
  <c r="BQ45" i="1"/>
  <c r="BQ43" i="1"/>
  <c r="BQ41" i="1"/>
  <c r="BQ39" i="1"/>
  <c r="BQ37" i="1"/>
  <c r="BQ35" i="1"/>
  <c r="BQ33" i="1"/>
  <c r="BQ31" i="1"/>
  <c r="BQ29" i="1"/>
  <c r="BQ27" i="1"/>
  <c r="BQ25" i="1"/>
  <c r="BQ23" i="1"/>
  <c r="BQ21" i="1"/>
  <c r="BQ19" i="1"/>
  <c r="BQ17" i="1"/>
  <c r="BQ15" i="1"/>
  <c r="BQ13" i="1"/>
  <c r="BQ11" i="1"/>
  <c r="BN9" i="1"/>
  <c r="BR9" i="1" s="1"/>
  <c r="BN52" i="1"/>
  <c r="BR52" i="1" s="1"/>
  <c r="BN50" i="1"/>
  <c r="BR50" i="1" s="1"/>
  <c r="BN48" i="1"/>
  <c r="BR48" i="1" s="1"/>
  <c r="BN46" i="1"/>
  <c r="BR46" i="1" s="1"/>
  <c r="BN44" i="1"/>
  <c r="BR44" i="1" s="1"/>
  <c r="BN42" i="1"/>
  <c r="BR42" i="1" s="1"/>
  <c r="BN40" i="1"/>
  <c r="BR40" i="1" s="1"/>
  <c r="BN38" i="1"/>
  <c r="BR38" i="1" s="1"/>
  <c r="BN36" i="1"/>
  <c r="BR36" i="1" s="1"/>
  <c r="BN34" i="1"/>
  <c r="BR34" i="1" s="1"/>
  <c r="BN32" i="1"/>
  <c r="BR32" i="1" s="1"/>
  <c r="BN30" i="1"/>
  <c r="BR30" i="1" s="1"/>
  <c r="BN28" i="1"/>
  <c r="BR28" i="1" s="1"/>
  <c r="BN26" i="1"/>
  <c r="BR26" i="1" s="1"/>
  <c r="BN24" i="1"/>
  <c r="BR24" i="1" s="1"/>
  <c r="BN22" i="1"/>
  <c r="BR22" i="1" s="1"/>
  <c r="BN20" i="1"/>
  <c r="BR20" i="1" s="1"/>
  <c r="BN18" i="1"/>
  <c r="BR18" i="1" s="1"/>
  <c r="BN16" i="1"/>
  <c r="BR16" i="1" s="1"/>
  <c r="BN14" i="1"/>
  <c r="BR14" i="1" s="1"/>
  <c r="BN12" i="1"/>
  <c r="BR12" i="1" s="1"/>
  <c r="BN10" i="1"/>
  <c r="BR10" i="1" s="1"/>
  <c r="BL9" i="1"/>
  <c r="BG52" i="1"/>
  <c r="BK52" i="1" s="1"/>
  <c r="BG48" i="1"/>
  <c r="BK48" i="1" s="1"/>
  <c r="BG44" i="1"/>
  <c r="BK44" i="1" s="1"/>
  <c r="BG40" i="1"/>
  <c r="BK40" i="1" s="1"/>
  <c r="BG36" i="1"/>
  <c r="BK36" i="1" s="1"/>
  <c r="BG32" i="1"/>
  <c r="BK32" i="1" s="1"/>
  <c r="BG28" i="1"/>
  <c r="BK28" i="1" s="1"/>
  <c r="BG26" i="1"/>
  <c r="BK26" i="1" s="1"/>
  <c r="BG24" i="1"/>
  <c r="BK24" i="1" s="1"/>
  <c r="BG22" i="1"/>
  <c r="BK22" i="1" s="1"/>
  <c r="BG20" i="1"/>
  <c r="BK20" i="1" s="1"/>
  <c r="BG14" i="1"/>
  <c r="BK14" i="1" s="1"/>
  <c r="BG12" i="1"/>
  <c r="BK12" i="1" s="1"/>
  <c r="B9" i="1"/>
  <c r="F9" i="1" s="1"/>
  <c r="BG53" i="1"/>
  <c r="BK53" i="1" s="1"/>
  <c r="BG51" i="1"/>
  <c r="BK51" i="1" s="1"/>
  <c r="BG49" i="1"/>
  <c r="BK49" i="1" s="1"/>
  <c r="BG47" i="1"/>
  <c r="BK47" i="1" s="1"/>
  <c r="BG45" i="1"/>
  <c r="BK45" i="1" s="1"/>
  <c r="BG43" i="1"/>
  <c r="BK43" i="1" s="1"/>
  <c r="BG41" i="1"/>
  <c r="BK41" i="1" s="1"/>
  <c r="BG39" i="1"/>
  <c r="BK39" i="1" s="1"/>
  <c r="BG37" i="1"/>
  <c r="BK37" i="1" s="1"/>
  <c r="BG35" i="1"/>
  <c r="BK35" i="1" s="1"/>
  <c r="BG31" i="1"/>
  <c r="BK31" i="1" s="1"/>
  <c r="BG29" i="1"/>
  <c r="BK29" i="1" s="1"/>
  <c r="B53" i="1"/>
  <c r="F53" i="1" s="1"/>
  <c r="B51" i="1"/>
  <c r="F51" i="1" s="1"/>
  <c r="B49" i="1"/>
  <c r="F49" i="1" s="1"/>
  <c r="B47" i="1"/>
  <c r="F47" i="1" s="1"/>
  <c r="B52" i="1"/>
  <c r="F52" i="1" s="1"/>
  <c r="B50" i="1"/>
  <c r="F50" i="1" s="1"/>
  <c r="B48" i="1"/>
  <c r="F48" i="1" s="1"/>
  <c r="C10" i="1"/>
  <c r="G10" i="1" s="1"/>
  <c r="J53" i="1"/>
  <c r="L49" i="1"/>
  <c r="J47" i="1"/>
  <c r="J51" i="1"/>
  <c r="K9" i="1"/>
  <c r="J9" i="1"/>
  <c r="H47" i="1"/>
  <c r="L9" i="1"/>
  <c r="L47" i="1"/>
  <c r="H10" i="1"/>
  <c r="T5" i="1" l="1"/>
  <c r="AU3" i="1"/>
  <c r="Z3" i="1"/>
  <c r="AZ3" i="1" s="1"/>
  <c r="Z5" i="1"/>
  <c r="BB3" i="1" s="1"/>
  <c r="S3" i="1"/>
  <c r="AX3" i="1" s="1"/>
  <c r="C11" i="1"/>
  <c r="G11" i="1" s="1"/>
  <c r="BA4" i="1"/>
  <c r="AU4" i="1"/>
  <c r="K10" i="1"/>
  <c r="H11" i="1"/>
  <c r="L10" i="1"/>
  <c r="I10" i="1"/>
  <c r="J10" i="1"/>
  <c r="AA3" i="1" l="1"/>
  <c r="AT3" i="1"/>
  <c r="AV3" i="1"/>
  <c r="AA5" i="1"/>
  <c r="T3" i="1"/>
  <c r="AR3" i="1"/>
  <c r="C12" i="1"/>
  <c r="G12" i="1" s="1"/>
  <c r="BB4" i="1"/>
  <c r="I11" i="1"/>
  <c r="AX4" i="1"/>
  <c r="AT4" i="1"/>
  <c r="K11" i="1"/>
  <c r="H12" i="1"/>
  <c r="AV4" i="1"/>
  <c r="AR4" i="1"/>
  <c r="AZ4" i="1"/>
  <c r="J11" i="1"/>
  <c r="L11" i="1"/>
  <c r="C13" i="1" l="1"/>
  <c r="G13" i="1" s="1"/>
  <c r="J12" i="1"/>
  <c r="H13" i="1"/>
  <c r="L12" i="1"/>
  <c r="K12" i="1"/>
  <c r="I12" i="1"/>
  <c r="C14" i="1" l="1"/>
  <c r="G14" i="1" s="1"/>
  <c r="L14" i="1"/>
  <c r="I13" i="1"/>
  <c r="K13" i="1"/>
  <c r="L13" i="1"/>
  <c r="J13" i="1"/>
  <c r="C15" i="1" l="1"/>
  <c r="G15" i="1" s="1"/>
  <c r="H15" i="1"/>
  <c r="I14" i="1"/>
  <c r="K14" i="1"/>
  <c r="J14" i="1"/>
  <c r="H14" i="1"/>
  <c r="C16" i="1" l="1"/>
  <c r="G16" i="1" s="1"/>
  <c r="I15" i="1"/>
  <c r="J15" i="1"/>
  <c r="L15" i="1"/>
  <c r="H16" i="1"/>
  <c r="K15" i="1"/>
  <c r="C17" i="1" l="1"/>
  <c r="G17" i="1" s="1"/>
  <c r="H17" i="1"/>
  <c r="J16" i="1"/>
  <c r="L16" i="1"/>
  <c r="K16" i="1"/>
  <c r="I16" i="1"/>
  <c r="C18" i="1" l="1"/>
  <c r="G18" i="1" s="1"/>
  <c r="I17" i="1"/>
  <c r="H18" i="1"/>
  <c r="L17" i="1"/>
  <c r="K17" i="1"/>
  <c r="J17" i="1"/>
  <c r="C19" i="1" l="1"/>
  <c r="G19" i="1" s="1"/>
  <c r="I19" i="1"/>
  <c r="J18" i="1"/>
  <c r="I18" i="1"/>
  <c r="L18" i="1"/>
  <c r="L19" i="1"/>
  <c r="H19" i="1"/>
  <c r="K18" i="1"/>
  <c r="C20" i="1" l="1"/>
  <c r="G20" i="1" s="1"/>
  <c r="K19" i="1"/>
  <c r="J19" i="1"/>
  <c r="I20" i="1"/>
  <c r="C21" i="1" l="1"/>
  <c r="G21" i="1" s="1"/>
  <c r="H20" i="1"/>
  <c r="L20" i="1"/>
  <c r="J20" i="1"/>
  <c r="I21" i="1"/>
  <c r="K20" i="1"/>
  <c r="C22" i="1" l="1"/>
  <c r="G22" i="1" s="1"/>
  <c r="J21" i="1"/>
  <c r="L21" i="1"/>
  <c r="K21" i="1"/>
  <c r="H22" i="1"/>
  <c r="H21" i="1"/>
  <c r="C23" i="1" l="1"/>
  <c r="G23" i="1" s="1"/>
  <c r="J22" i="1"/>
  <c r="K22" i="1"/>
  <c r="L22" i="1"/>
  <c r="I23" i="1"/>
  <c r="I22" i="1"/>
  <c r="C24" i="1" l="1"/>
  <c r="G24" i="1" s="1"/>
  <c r="H24" i="1"/>
  <c r="L23" i="1"/>
  <c r="H23" i="1"/>
  <c r="K23" i="1"/>
  <c r="J23" i="1"/>
  <c r="C25" i="1" l="1"/>
  <c r="G25" i="1" s="1"/>
  <c r="K24" i="1"/>
  <c r="J24" i="1"/>
  <c r="L24" i="1"/>
  <c r="I24" i="1"/>
  <c r="I25" i="1"/>
  <c r="C26" i="1" l="1"/>
  <c r="G26" i="1" s="1"/>
  <c r="K25" i="1"/>
  <c r="L25" i="1"/>
  <c r="H26" i="1"/>
  <c r="J25" i="1"/>
  <c r="H25" i="1"/>
  <c r="C27" i="1" l="1"/>
  <c r="G27" i="1" s="1"/>
  <c r="I27" i="1"/>
  <c r="L26" i="1"/>
  <c r="K26" i="1"/>
  <c r="I26" i="1"/>
  <c r="J26" i="1"/>
  <c r="C28" i="1" l="1"/>
  <c r="G28" i="1" s="1"/>
  <c r="L27" i="1"/>
  <c r="H27" i="1"/>
  <c r="H28" i="1"/>
  <c r="J27" i="1"/>
  <c r="K27" i="1"/>
  <c r="C29" i="1" l="1"/>
  <c r="G29" i="1" s="1"/>
  <c r="I29" i="1"/>
  <c r="K28" i="1"/>
  <c r="L28" i="1"/>
  <c r="I28" i="1"/>
  <c r="J28" i="1"/>
  <c r="C30" i="1" l="1"/>
  <c r="G30" i="1" s="1"/>
  <c r="J29" i="1"/>
  <c r="H30" i="1"/>
  <c r="L29" i="1"/>
  <c r="K29" i="1"/>
  <c r="H29" i="1"/>
  <c r="C31" i="1" l="1"/>
  <c r="G31" i="1" s="1"/>
  <c r="J31" i="1"/>
  <c r="I30" i="1"/>
  <c r="J30" i="1"/>
  <c r="K30" i="1"/>
  <c r="L30" i="1"/>
  <c r="C32" i="1" l="1"/>
  <c r="G32" i="1" s="1"/>
  <c r="I31" i="1"/>
  <c r="K31" i="1"/>
  <c r="L31" i="1"/>
  <c r="H32" i="1"/>
  <c r="H31" i="1"/>
  <c r="C33" i="1" l="1"/>
  <c r="G33" i="1" s="1"/>
  <c r="K32" i="1"/>
  <c r="I32" i="1"/>
  <c r="I33" i="1"/>
  <c r="L32" i="1"/>
  <c r="J32" i="1"/>
  <c r="C34" i="1" l="1"/>
  <c r="G34" i="1" s="1"/>
  <c r="H34" i="1"/>
  <c r="H33" i="1"/>
  <c r="K33" i="1"/>
  <c r="L33" i="1"/>
  <c r="J33" i="1"/>
  <c r="C35" i="1" l="1"/>
  <c r="G35" i="1" s="1"/>
  <c r="K34" i="1"/>
  <c r="I34" i="1"/>
  <c r="I35" i="1"/>
  <c r="J34" i="1"/>
  <c r="L34" i="1"/>
  <c r="C36" i="1" l="1"/>
  <c r="G36" i="1" s="1"/>
  <c r="L35" i="1"/>
  <c r="H35" i="1"/>
  <c r="K35" i="1"/>
  <c r="H36" i="1"/>
  <c r="J35" i="1"/>
  <c r="C37" i="1" l="1"/>
  <c r="G37" i="1" s="1"/>
  <c r="K36" i="1"/>
  <c r="I37" i="1"/>
  <c r="I36" i="1"/>
  <c r="J36" i="1"/>
  <c r="L36" i="1"/>
  <c r="C38" i="1" l="1"/>
  <c r="G38" i="1" s="1"/>
  <c r="J37" i="1"/>
  <c r="L37" i="1"/>
  <c r="H37" i="1"/>
  <c r="H38" i="1"/>
  <c r="K37" i="1"/>
  <c r="C39" i="1" l="1"/>
  <c r="G39" i="1" s="1"/>
  <c r="J38" i="1"/>
  <c r="K38" i="1"/>
  <c r="I38" i="1"/>
  <c r="I39" i="1"/>
  <c r="L38" i="1"/>
  <c r="C40" i="1" l="1"/>
  <c r="G40" i="1" s="1"/>
  <c r="H40" i="1"/>
  <c r="K39" i="1"/>
  <c r="H39" i="1"/>
  <c r="L39" i="1"/>
  <c r="J39" i="1"/>
  <c r="C41" i="1" l="1"/>
  <c r="G41" i="1" s="1"/>
  <c r="J40" i="1"/>
  <c r="L40" i="1"/>
  <c r="I40" i="1"/>
  <c r="K40" i="1"/>
  <c r="I41" i="1"/>
  <c r="C42" i="1" l="1"/>
  <c r="G42" i="1" s="1"/>
  <c r="K41" i="1"/>
  <c r="H41" i="1"/>
  <c r="H42" i="1"/>
  <c r="J41" i="1"/>
  <c r="L41" i="1"/>
  <c r="C43" i="1" l="1"/>
  <c r="G43" i="1" s="1"/>
  <c r="I43" i="1"/>
  <c r="K42" i="1"/>
  <c r="J42" i="1"/>
  <c r="L42" i="1"/>
  <c r="I42" i="1"/>
  <c r="C44" i="1" l="1"/>
  <c r="G44" i="1" s="1"/>
  <c r="L43" i="1"/>
  <c r="I44" i="1"/>
  <c r="H43" i="1"/>
  <c r="L44" i="1"/>
  <c r="K43" i="1"/>
  <c r="J43" i="1"/>
  <c r="H44" i="1"/>
  <c r="K44" i="1"/>
  <c r="C45" i="1" l="1"/>
  <c r="G45" i="1" s="1"/>
  <c r="I45" i="1"/>
  <c r="J44" i="1"/>
  <c r="C46" i="1" l="1"/>
  <c r="G46" i="1" s="1"/>
  <c r="L46" i="1"/>
  <c r="I46" i="1"/>
  <c r="H45" i="1"/>
  <c r="K45" i="1"/>
  <c r="K46" i="1"/>
  <c r="L45" i="1"/>
  <c r="J45" i="1"/>
  <c r="H46" i="1"/>
  <c r="J46" i="1"/>
</calcChain>
</file>

<file path=xl/sharedStrings.xml><?xml version="1.0" encoding="utf-8"?>
<sst xmlns="http://schemas.openxmlformats.org/spreadsheetml/2006/main" count="359" uniqueCount="236">
  <si>
    <t>브라질</t>
  </si>
  <si>
    <t>아르헨티나</t>
  </si>
  <si>
    <t>페루</t>
  </si>
  <si>
    <t>캐나다</t>
  </si>
  <si>
    <t>미국(DJI)</t>
  </si>
  <si>
    <t>미국(NASDAQ)</t>
  </si>
  <si>
    <t>미국(S&amp;P)</t>
  </si>
  <si>
    <t>뉴질랜드</t>
  </si>
  <si>
    <t>호주</t>
  </si>
  <si>
    <t>일본</t>
  </si>
  <si>
    <t>한국(KOSPI)</t>
  </si>
  <si>
    <t>한국(KOSDAQ)</t>
  </si>
  <si>
    <t>대만</t>
  </si>
  <si>
    <t>필리핀</t>
  </si>
  <si>
    <t>중국(상해종합)</t>
  </si>
  <si>
    <t>중국(심천종합)</t>
  </si>
  <si>
    <t>홍콩(항셍)</t>
  </si>
  <si>
    <t>홍콩(항셍 H)</t>
  </si>
  <si>
    <t>인도네시아</t>
  </si>
  <si>
    <t>태국</t>
  </si>
  <si>
    <t>인도</t>
  </si>
  <si>
    <t>러시아</t>
  </si>
  <si>
    <t>터키</t>
  </si>
  <si>
    <t>독일</t>
  </si>
  <si>
    <t>프랑스</t>
  </si>
  <si>
    <t>스페인</t>
  </si>
  <si>
    <t>그리스</t>
  </si>
  <si>
    <t>포르투갈</t>
  </si>
  <si>
    <t>스위스</t>
  </si>
  <si>
    <t>덴마크</t>
  </si>
  <si>
    <t>노르웨이</t>
  </si>
  <si>
    <t>벨기에</t>
  </si>
  <si>
    <t>스웨덴</t>
  </si>
  <si>
    <t>네덜란드</t>
  </si>
  <si>
    <t>폴란드</t>
  </si>
  <si>
    <t>오스트리아</t>
  </si>
  <si>
    <t>BRI:BVSP</t>
  </si>
  <si>
    <t>TWS:TI01</t>
  </si>
  <si>
    <t>PHI:COMP</t>
  </si>
  <si>
    <t>SHS:000001</t>
  </si>
  <si>
    <t>SZS:399106</t>
  </si>
  <si>
    <t>HSI:HSI</t>
  </si>
  <si>
    <t>HSI:HSCE</t>
  </si>
  <si>
    <t>IDI:JKSE</t>
  </si>
  <si>
    <t>THI:SET</t>
  </si>
  <si>
    <t>INI:BSE30</t>
  </si>
  <si>
    <t>TRI:ISE100</t>
  </si>
  <si>
    <t>XTR:DAX30</t>
  </si>
  <si>
    <t>PAS:CAC40</t>
  </si>
  <si>
    <t>ESI:IBEX</t>
  </si>
  <si>
    <t>GRI:ASE</t>
  </si>
  <si>
    <t>PTI:PSI20</t>
  </si>
  <si>
    <t>CHI:SSMI</t>
  </si>
  <si>
    <t>DKI:KFX</t>
  </si>
  <si>
    <t>NOI:OSEAX</t>
  </si>
  <si>
    <t>BEI:MFX</t>
  </si>
  <si>
    <t>SEI:SXASI</t>
  </si>
  <si>
    <t>NLI:AEX</t>
  </si>
  <si>
    <t>PLI:WIGI</t>
  </si>
  <si>
    <t>ATI:ATX</t>
  </si>
  <si>
    <t>001</t>
  </si>
  <si>
    <t>801</t>
  </si>
  <si>
    <t>국가</t>
    <phoneticPr fontId="1" type="noConversion"/>
  </si>
  <si>
    <t>코드</t>
    <phoneticPr fontId="1" type="noConversion"/>
  </si>
  <si>
    <t>현재가</t>
    <phoneticPr fontId="1" type="noConversion"/>
  </si>
  <si>
    <t>전일대비</t>
    <phoneticPr fontId="1" type="noConversion"/>
  </si>
  <si>
    <t>등락률</t>
    <phoneticPr fontId="1" type="noConversion"/>
  </si>
  <si>
    <t>한국시간</t>
    <phoneticPr fontId="1" type="noConversion"/>
  </si>
  <si>
    <t>현지시간</t>
    <phoneticPr fontId="1" type="noConversion"/>
  </si>
  <si>
    <t>ARI:MERV</t>
  </si>
  <si>
    <t>PEI:IGBVL</t>
  </si>
  <si>
    <t>CAI:SPTSX</t>
  </si>
  <si>
    <t>DJI:DJI</t>
  </si>
  <si>
    <t>NAS:IXIC</t>
  </si>
  <si>
    <t>SPI:SPX</t>
  </si>
  <si>
    <t>NZI:NZ50</t>
  </si>
  <si>
    <t>AUI:AORD</t>
  </si>
  <si>
    <t>NII:NI225</t>
  </si>
  <si>
    <t>RUI:RTSI</t>
  </si>
  <si>
    <t>일본(TOPIX1부)</t>
  </si>
  <si>
    <t>중국(CSI 300)</t>
  </si>
  <si>
    <t>베트남</t>
  </si>
  <si>
    <t>파키스탄</t>
  </si>
  <si>
    <t>오만</t>
  </si>
  <si>
    <t>아랍에미레이트</t>
  </si>
  <si>
    <t>쿠웨이트</t>
  </si>
  <si>
    <t>카타르</t>
  </si>
  <si>
    <t>요르단</t>
  </si>
  <si>
    <t>사우디아라비아</t>
  </si>
  <si>
    <t>이스라엘</t>
  </si>
  <si>
    <t>TSE:TSI01</t>
  </si>
  <si>
    <t>VNI:VIDX</t>
  </si>
  <si>
    <t>PKI:KSE100</t>
  </si>
  <si>
    <t>OMI:MSMI</t>
  </si>
  <si>
    <t>AEI:DFM</t>
  </si>
  <si>
    <t>KWI:MKIX</t>
  </si>
  <si>
    <t>JOI:FTI</t>
  </si>
  <si>
    <t>SAI:TASI</t>
  </si>
  <si>
    <t>ILI:TA100</t>
  </si>
  <si>
    <t>SHS:000300</t>
  </si>
  <si>
    <t>QAI:MKIX</t>
  </si>
  <si>
    <t>핀란드</t>
  </si>
  <si>
    <t>헝가리</t>
  </si>
  <si>
    <t>아일랜드</t>
  </si>
  <si>
    <t>룩셈부르크</t>
  </si>
  <si>
    <t>체코</t>
  </si>
  <si>
    <t>이집트</t>
  </si>
  <si>
    <t>유로스톡스50</t>
  </si>
  <si>
    <t>미국(PHLX)</t>
  </si>
  <si>
    <t>미국(NASDAQ100)</t>
  </si>
  <si>
    <t>칠레</t>
  </si>
  <si>
    <t>멕시코</t>
  </si>
  <si>
    <t>베네수엘라</t>
  </si>
  <si>
    <t>USI:SOXX</t>
  </si>
  <si>
    <t>NAS:NDX</t>
  </si>
  <si>
    <t>CLI:IGPA</t>
  </si>
  <si>
    <t>MXI:IPC</t>
  </si>
  <si>
    <t>VEI:INDG</t>
  </si>
  <si>
    <t>E-MIDCAP(G)</t>
  </si>
  <si>
    <t>S&amp;P500(G)</t>
  </si>
  <si>
    <t>S&amp;P MIDCAP400(C)</t>
  </si>
  <si>
    <t>NIKKEI225(Y)(G)</t>
  </si>
  <si>
    <t>NIKKEI225($)</t>
  </si>
  <si>
    <t>NIKKEI225($)(G)</t>
  </si>
  <si>
    <t>NASDAQ100(G)</t>
  </si>
  <si>
    <t>E-NASDAQ CMP(G)</t>
  </si>
  <si>
    <t>S&amp;P500 GROWTH(G)</t>
  </si>
  <si>
    <t>S&amp;P500(C)</t>
  </si>
  <si>
    <t>S&amp;P500 VALUE(G)</t>
  </si>
  <si>
    <t>N225(F) SGX</t>
  </si>
  <si>
    <t>CME$EMD</t>
  </si>
  <si>
    <t>CME$ES</t>
  </si>
  <si>
    <t>CME$MD</t>
  </si>
  <si>
    <t>CME$NIY</t>
  </si>
  <si>
    <t>CME$NK</t>
  </si>
  <si>
    <t>CME$NKD</t>
  </si>
  <si>
    <t>CME$NQ</t>
  </si>
  <si>
    <t>CME$QCN</t>
  </si>
  <si>
    <t>CME$SG</t>
  </si>
  <si>
    <t>CME$SP</t>
  </si>
  <si>
    <t>CME$SU</t>
  </si>
  <si>
    <t>SGX$NK</t>
  </si>
  <si>
    <t>중국</t>
  </si>
  <si>
    <t>콜롬비아</t>
  </si>
  <si>
    <t>홍콩</t>
  </si>
  <si>
    <t>한국</t>
  </si>
  <si>
    <t>모로코</t>
  </si>
  <si>
    <t>네델란드</t>
  </si>
  <si>
    <t>미국</t>
  </si>
  <si>
    <t>남아프리카공화국</t>
  </si>
  <si>
    <t>MSI:AU</t>
  </si>
  <si>
    <t>MSI:AT</t>
  </si>
  <si>
    <t>MSI:BE</t>
  </si>
  <si>
    <t>MSI:BR</t>
  </si>
  <si>
    <t>MSI:CA</t>
  </si>
  <si>
    <t>MSI:CH</t>
  </si>
  <si>
    <t>MSI:CL</t>
  </si>
  <si>
    <t>MSI:CN</t>
  </si>
  <si>
    <t>MSI:CO</t>
  </si>
  <si>
    <t>MSI:CZ</t>
  </si>
  <si>
    <t>MSI:DE</t>
  </si>
  <si>
    <t>MSI:DK</t>
  </si>
  <si>
    <t>MSI:EG</t>
  </si>
  <si>
    <t>MSI:ES</t>
  </si>
  <si>
    <t>MSI:FI</t>
  </si>
  <si>
    <t>MSI:FR</t>
  </si>
  <si>
    <t>MSI:GR</t>
  </si>
  <si>
    <t>MSI:HK</t>
  </si>
  <si>
    <t>MSI:HU</t>
  </si>
  <si>
    <t>MSI:ID</t>
  </si>
  <si>
    <t>MSI:IE</t>
  </si>
  <si>
    <t>MSI:IL</t>
  </si>
  <si>
    <t>MSI:IN</t>
  </si>
  <si>
    <t>MSI:JP</t>
  </si>
  <si>
    <t>MSI:KR</t>
  </si>
  <si>
    <t>MSI:MA</t>
  </si>
  <si>
    <t>MSI:MX</t>
  </si>
  <si>
    <t>MSI:NL</t>
  </si>
  <si>
    <t>MSI:NO</t>
  </si>
  <si>
    <t>MSI:NZ</t>
  </si>
  <si>
    <t>MSI:PE</t>
  </si>
  <si>
    <t>MSI:PH</t>
  </si>
  <si>
    <t>MSI:PL</t>
  </si>
  <si>
    <t>MSI:PT</t>
  </si>
  <si>
    <t>MSI:RU</t>
  </si>
  <si>
    <t>MSI:SE</t>
  </si>
  <si>
    <t>MSI:TH</t>
  </si>
  <si>
    <t>MSI:TR</t>
  </si>
  <si>
    <t>MSI:TW</t>
  </si>
  <si>
    <t>MSI:US</t>
  </si>
  <si>
    <t>MSI:ZA</t>
  </si>
  <si>
    <t>국가대표지수</t>
  </si>
  <si>
    <t>FII:HEX</t>
  </si>
  <si>
    <t>HUI:BUX</t>
  </si>
  <si>
    <t>IEI:ISEQ</t>
  </si>
  <si>
    <t>LUI:LUXX</t>
  </si>
  <si>
    <t>PSE:PX</t>
  </si>
  <si>
    <t>EGI:CASE30</t>
  </si>
  <si>
    <t>DJI:SX5E</t>
  </si>
  <si>
    <t>일자</t>
    <phoneticPr fontId="1" type="noConversion"/>
  </si>
  <si>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</si>
  <si>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</si>
  <si>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</si>
  <si>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</si>
  <si>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</si>
  <si>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</si>
  <si>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</si>
  <si>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</si>
  <si>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</si>
  <si>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</si>
  <si>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선택1</t>
    <phoneticPr fontId="1" type="noConversion"/>
  </si>
  <si>
    <t>선택3</t>
    <phoneticPr fontId="1" type="noConversion"/>
  </si>
  <si>
    <t>선택2</t>
    <phoneticPr fontId="1" type="noConversion"/>
  </si>
  <si>
    <t>선택4</t>
    <phoneticPr fontId="1" type="noConversion"/>
  </si>
  <si>
    <t>일자</t>
    <phoneticPr fontId="1" type="noConversion"/>
  </si>
  <si>
    <t>종가</t>
    <phoneticPr fontId="1" type="noConversion"/>
  </si>
  <si>
    <t>일자</t>
    <phoneticPr fontId="1" type="noConversion"/>
  </si>
  <si>
    <t>일</t>
    <phoneticPr fontId="1" type="noConversion"/>
  </si>
  <si>
    <t>등락률</t>
    <phoneticPr fontId="1" type="noConversion"/>
  </si>
  <si>
    <t>국가</t>
    <phoneticPr fontId="1" type="noConversion"/>
  </si>
  <si>
    <t>코드</t>
    <phoneticPr fontId="1" type="noConversion"/>
  </si>
  <si>
    <t>국가대표지수</t>
    <phoneticPr fontId="1" type="noConversion"/>
  </si>
  <si>
    <t>Asia&amp;Pacific</t>
    <phoneticPr fontId="1" type="noConversion"/>
  </si>
  <si>
    <t>Europe</t>
    <phoneticPr fontId="1" type="noConversion"/>
  </si>
  <si>
    <t>America</t>
    <phoneticPr fontId="1" type="noConversion"/>
  </si>
  <si>
    <t>지수선물</t>
    <phoneticPr fontId="1" type="noConversion"/>
  </si>
  <si>
    <t>MSCI 국가지수</t>
    <phoneticPr fontId="1" type="noConversion"/>
  </si>
  <si>
    <t>국가대표지수</t>
    <phoneticPr fontId="1" type="noConversion"/>
  </si>
  <si>
    <t>Asia&amp;Pacific</t>
    <phoneticPr fontId="1" type="noConversion"/>
  </si>
  <si>
    <t>Europe</t>
    <phoneticPr fontId="1" type="noConversion"/>
  </si>
  <si>
    <t>America</t>
    <phoneticPr fontId="1" type="noConversion"/>
  </si>
  <si>
    <t>지수선물</t>
    <phoneticPr fontId="1" type="noConversion"/>
  </si>
  <si>
    <t>001</t>
    <phoneticPr fontId="1" type="noConversion"/>
  </si>
  <si>
    <t>MSCI 국가지수</t>
    <phoneticPr fontId="1" type="noConversion"/>
  </si>
  <si>
    <t>801</t>
    <phoneticPr fontId="1" type="noConversion"/>
  </si>
  <si>
    <t>국가대표지수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</si>
</sst>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hh:mm:ss"/>
  </numFmts>
  <fonts count="20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sz val="10"/>
      <color theme="0" tint="-4.9989318521683403E-2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0" tint="-4.9989318521683403E-2"/>
      <name val="맑은 고딕"/>
      <family val="2"/>
      <charset val="129"/>
      <scheme val="minor"/>
    </font>
    <font>
      <sz val="10"/>
      <color theme="0" tint="-4.9989318521683403E-2"/>
      <name val="맑은 고딕"/>
      <family val="3"/>
      <charset val="129"/>
      <scheme val="minor"/>
    </font>
    <font>
      <sz val="9"/>
      <color theme="0" tint="-4.9989318521683403E-2"/>
      <name val="맑은 고딕"/>
      <family val="3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sz val="10"/>
      <color theme="0" tint="-4.9989318521683403E-2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 style="thin">
        <color theme="0" tint="-0.34998626667073579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34998626667073579"/>
      </right>
      <top style="thin">
        <color theme="0" tint="-0.14996795556505021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4.9989318521683403E-2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0.34998626667073579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0.34998626667073579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4.9989318521683403E-2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0.34998626667073579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0.34998626667073579"/>
      </right>
      <top style="thin">
        <color theme="0" tint="-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34998626667073579"/>
      </right>
      <top/>
      <bottom style="thin">
        <color theme="0" tint="-0.149967955565050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7" fillId="4" borderId="5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3" fillId="10" borderId="39" applyNumberFormat="0" applyAlignment="0" applyProtection="0">
      <alignment vertical="center"/>
    </xf>
  </cellStyleXfs>
  <cellXfs count="9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Border="1">
      <alignment vertical="center"/>
    </xf>
    <xf numFmtId="0" fontId="4" fillId="0" borderId="0" xfId="0" applyFont="1">
      <alignment vertical="center"/>
    </xf>
    <xf numFmtId="0" fontId="6" fillId="0" borderId="4" xfId="1" applyFont="1" applyBorder="1" applyAlignment="1">
      <alignment horizontal="left" vertical="center"/>
    </xf>
    <xf numFmtId="0" fontId="0" fillId="0" borderId="4" xfId="0" applyBorder="1">
      <alignment vertical="center"/>
    </xf>
    <xf numFmtId="0" fontId="6" fillId="0" borderId="6" xfId="1" applyFont="1" applyBorder="1" applyAlignment="1">
      <alignment horizontal="left" vertical="center"/>
    </xf>
    <xf numFmtId="0" fontId="6" fillId="0" borderId="6" xfId="1" quotePrefix="1" applyFont="1" applyBorder="1" applyAlignment="1">
      <alignment horizontal="left" vertical="center"/>
    </xf>
    <xf numFmtId="0" fontId="8" fillId="4" borderId="5" xfId="2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quotePrefix="1" applyFont="1">
      <alignment vertical="center"/>
    </xf>
    <xf numFmtId="0" fontId="8" fillId="0" borderId="0" xfId="0" applyNumberFormat="1" applyFont="1">
      <alignment vertical="center"/>
    </xf>
    <xf numFmtId="49" fontId="8" fillId="0" borderId="0" xfId="0" applyNumberFormat="1" applyFont="1">
      <alignment vertical="center"/>
    </xf>
    <xf numFmtId="0" fontId="9" fillId="0" borderId="0" xfId="0" applyFo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0" fontId="4" fillId="0" borderId="10" xfId="0" applyFont="1" applyBorder="1">
      <alignment vertical="center"/>
    </xf>
    <xf numFmtId="0" fontId="0" fillId="0" borderId="10" xfId="0" applyBorder="1" applyAlignment="1">
      <alignment horizontal="left" vertical="center"/>
    </xf>
    <xf numFmtId="14" fontId="0" fillId="0" borderId="10" xfId="0" applyNumberFormat="1" applyBorder="1">
      <alignment vertical="center"/>
    </xf>
    <xf numFmtId="0" fontId="0" fillId="0" borderId="10" xfId="0" applyBorder="1">
      <alignment vertical="center"/>
    </xf>
    <xf numFmtId="0" fontId="6" fillId="0" borderId="12" xfId="1" applyFont="1" applyBorder="1" applyAlignment="1">
      <alignment horizontal="left" vertical="center"/>
    </xf>
    <xf numFmtId="0" fontId="0" fillId="0" borderId="13" xfId="0" applyBorder="1">
      <alignment vertical="center"/>
    </xf>
    <xf numFmtId="0" fontId="3" fillId="8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7" fillId="5" borderId="15" xfId="3" applyBorder="1" applyAlignment="1">
      <alignment horizontal="center" vertical="center"/>
    </xf>
    <xf numFmtId="0" fontId="6" fillId="9" borderId="19" xfId="1" applyFont="1" applyFill="1" applyBorder="1">
      <alignment vertical="center"/>
    </xf>
    <xf numFmtId="0" fontId="0" fillId="0" borderId="20" xfId="0" applyBorder="1">
      <alignment vertical="center"/>
    </xf>
    <xf numFmtId="0" fontId="6" fillId="9" borderId="21" xfId="1" applyFont="1" applyFill="1" applyBorder="1">
      <alignment vertical="center"/>
    </xf>
    <xf numFmtId="0" fontId="6" fillId="9" borderId="22" xfId="1" applyFont="1" applyFill="1" applyBorder="1">
      <alignment vertical="center"/>
    </xf>
    <xf numFmtId="0" fontId="6" fillId="0" borderId="23" xfId="1" applyFont="1" applyBorder="1" applyAlignment="1">
      <alignment horizontal="left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10" fillId="8" borderId="16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8" fillId="0" borderId="26" xfId="0" applyFont="1" applyBorder="1">
      <alignment vertical="center"/>
    </xf>
    <xf numFmtId="0" fontId="8" fillId="0" borderId="27" xfId="0" applyFont="1" applyBorder="1">
      <alignment vertical="center"/>
    </xf>
    <xf numFmtId="0" fontId="8" fillId="0" borderId="28" xfId="0" applyFont="1" applyBorder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29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33" xfId="0" applyFont="1" applyBorder="1">
      <alignment vertical="center"/>
    </xf>
    <xf numFmtId="0" fontId="8" fillId="0" borderId="34" xfId="0" applyFont="1" applyBorder="1">
      <alignment vertical="center"/>
    </xf>
    <xf numFmtId="0" fontId="8" fillId="0" borderId="35" xfId="0" applyFont="1" applyBorder="1">
      <alignment vertical="center"/>
    </xf>
    <xf numFmtId="0" fontId="8" fillId="0" borderId="34" xfId="0" applyFont="1" applyBorder="1" applyAlignment="1">
      <alignment horizontal="center" vertical="center"/>
    </xf>
    <xf numFmtId="0" fontId="8" fillId="0" borderId="36" xfId="0" applyFont="1" applyBorder="1">
      <alignment vertical="center"/>
    </xf>
    <xf numFmtId="14" fontId="8" fillId="9" borderId="25" xfId="0" applyNumberFormat="1" applyFont="1" applyFill="1" applyBorder="1" applyAlignment="1">
      <alignment horizontal="center" vertical="center"/>
    </xf>
    <xf numFmtId="14" fontId="8" fillId="9" borderId="30" xfId="0" applyNumberFormat="1" applyFont="1" applyFill="1" applyBorder="1" applyAlignment="1">
      <alignment horizontal="center" vertical="center"/>
    </xf>
    <xf numFmtId="14" fontId="8" fillId="9" borderId="32" xfId="0" applyNumberFormat="1" applyFont="1" applyFill="1" applyBorder="1" applyAlignment="1">
      <alignment horizontal="center" vertical="center"/>
    </xf>
    <xf numFmtId="0" fontId="6" fillId="9" borderId="37" xfId="1" applyFont="1" applyFill="1" applyBorder="1">
      <alignment vertical="center"/>
    </xf>
    <xf numFmtId="0" fontId="0" fillId="0" borderId="38" xfId="0" applyBorder="1">
      <alignment vertical="center"/>
    </xf>
    <xf numFmtId="0" fontId="0" fillId="5" borderId="15" xfId="3" applyFont="1" applyBorder="1" applyAlignment="1">
      <alignment horizontal="center" vertical="center"/>
    </xf>
    <xf numFmtId="14" fontId="0" fillId="4" borderId="42" xfId="2" applyNumberFormat="1" applyFont="1" applyBorder="1" applyAlignment="1">
      <alignment horizontal="center" vertical="center"/>
    </xf>
    <xf numFmtId="0" fontId="5" fillId="12" borderId="41" xfId="0" applyFont="1" applyFill="1" applyBorder="1" applyAlignment="1">
      <alignment horizontal="center" vertical="center"/>
    </xf>
    <xf numFmtId="0" fontId="14" fillId="11" borderId="40" xfId="4" applyFont="1" applyFill="1" applyBorder="1" applyAlignment="1">
      <alignment horizontal="center" vertical="center"/>
    </xf>
    <xf numFmtId="0" fontId="10" fillId="0" borderId="0" xfId="0" applyFont="1" applyFill="1">
      <alignment vertical="center"/>
    </xf>
    <xf numFmtId="14" fontId="12" fillId="0" borderId="0" xfId="0" applyNumberFormat="1" applyFont="1" applyFill="1">
      <alignment vertical="center"/>
    </xf>
    <xf numFmtId="0" fontId="12" fillId="0" borderId="0" xfId="0" applyNumberFormat="1" applyFont="1" applyFill="1">
      <alignment vertical="center"/>
    </xf>
    <xf numFmtId="49" fontId="12" fillId="0" borderId="0" xfId="0" applyNumberFormat="1" applyFont="1" applyFill="1">
      <alignment vertical="center"/>
    </xf>
    <xf numFmtId="176" fontId="12" fillId="0" borderId="0" xfId="0" applyNumberFormat="1" applyFont="1" applyFill="1">
      <alignment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NumberFormat="1" applyFont="1">
      <alignment vertical="center"/>
    </xf>
    <xf numFmtId="0" fontId="16" fillId="6" borderId="0" xfId="0" applyFont="1" applyFill="1" applyBorder="1">
      <alignment vertical="center"/>
    </xf>
    <xf numFmtId="0" fontId="16" fillId="7" borderId="0" xfId="0" applyFont="1" applyFill="1" applyBorder="1">
      <alignment vertical="center"/>
    </xf>
    <xf numFmtId="14" fontId="16" fillId="6" borderId="0" xfId="0" applyNumberFormat="1" applyFont="1" applyFill="1" applyBorder="1">
      <alignment vertical="center"/>
    </xf>
    <xf numFmtId="14" fontId="16" fillId="7" borderId="0" xfId="0" applyNumberFormat="1" applyFont="1" applyFill="1" applyBorder="1">
      <alignment vertical="center"/>
    </xf>
    <xf numFmtId="0" fontId="17" fillId="6" borderId="0" xfId="0" applyFont="1" applyFill="1" applyBorder="1">
      <alignment vertical="center"/>
    </xf>
    <xf numFmtId="0" fontId="16" fillId="6" borderId="0" xfId="0" applyFont="1" applyFill="1" applyBorder="1" applyAlignment="1">
      <alignment horizontal="left" vertical="center"/>
    </xf>
    <xf numFmtId="0" fontId="17" fillId="7" borderId="0" xfId="0" applyFont="1" applyFill="1" applyBorder="1">
      <alignment vertical="center"/>
    </xf>
    <xf numFmtId="0" fontId="16" fillId="7" borderId="0" xfId="0" applyFont="1" applyFill="1" applyBorder="1" applyAlignment="1">
      <alignment horizontal="left" vertical="center"/>
    </xf>
    <xf numFmtId="0" fontId="18" fillId="6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8" fillId="7" borderId="0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9" fillId="6" borderId="0" xfId="1" applyFont="1" applyFill="1" applyBorder="1">
      <alignment vertical="center"/>
    </xf>
    <xf numFmtId="0" fontId="19" fillId="6" borderId="0" xfId="1" applyFont="1" applyFill="1" applyBorder="1" applyAlignment="1">
      <alignment horizontal="left" vertical="center"/>
    </xf>
    <xf numFmtId="0" fontId="19" fillId="7" borderId="0" xfId="1" applyFont="1" applyFill="1" applyBorder="1">
      <alignment vertical="center"/>
    </xf>
    <xf numFmtId="0" fontId="19" fillId="7" borderId="0" xfId="1" applyFont="1" applyFill="1" applyBorder="1" applyAlignment="1">
      <alignment horizontal="left" vertical="center"/>
    </xf>
    <xf numFmtId="0" fontId="19" fillId="6" borderId="0" xfId="1" quotePrefix="1" applyFont="1" applyFill="1" applyBorder="1" applyAlignment="1">
      <alignment horizontal="left" vertical="center"/>
    </xf>
    <xf numFmtId="0" fontId="16" fillId="0" borderId="0" xfId="0" applyFont="1">
      <alignment vertical="center"/>
    </xf>
    <xf numFmtId="0" fontId="16" fillId="0" borderId="0" xfId="0" quotePrefix="1" applyFont="1">
      <alignment vertical="center"/>
    </xf>
    <xf numFmtId="0" fontId="11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0" fontId="18" fillId="3" borderId="2" xfId="0" applyFont="1" applyFill="1" applyBorder="1" applyAlignment="1">
      <alignment vertical="center"/>
    </xf>
    <xf numFmtId="0" fontId="18" fillId="3" borderId="3" xfId="0" applyFont="1" applyFill="1" applyBorder="1" applyAlignment="1">
      <alignment vertical="center"/>
    </xf>
  </cellXfs>
  <cellStyles count="5">
    <cellStyle name="20% - 강조색1" xfId="3" builtinId="30"/>
    <cellStyle name="메모" xfId="2" builtinId="10"/>
    <cellStyle name="입력" xfId="4" builtinId="20"/>
    <cellStyle name="표준" xfId="0" builtinId="0"/>
    <cellStyle name="표준_Sheet1" xfId="1"/>
  </cellStyles>
  <dxfs count="0"/>
  <tableStyles count="0" defaultTableStyle="TableStyleMedium9" defaultPivotStyle="PivotStyleLight16"/>
  <colors>
    <mruColors>
      <color rgb="FF3366FF"/>
      <color rgb="FF6666FF"/>
      <color rgb="FF009999"/>
      <color rgb="FFFF01A2"/>
      <color rgb="FFFF5050"/>
      <color rgb="FFFF6600"/>
      <color rgb="FFFF7C8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141940</v>
        <stp/>
        <stp>P</stp>
        <stp>0</stp>
        <stp>IDX</stp>
        <stp>001</stp>
        <stp>시간</stp>
        <stp>42755</stp>
        <stp/>
        <tr r="K19" s="1"/>
        <tr r="L19" s="1"/>
      </tp>
      <tp>
        <v>141940</v>
        <stp/>
        <stp>P</stp>
        <stp>0</stp>
        <stp>IDX</stp>
        <stp>801</stp>
        <stp>시간</stp>
        <stp>42755</stp>
        <stp/>
        <tr r="K20" s="1"/>
        <tr r="L20" s="1"/>
      </tp>
      <tp t="s">
        <v xml:space="preserve">      </v>
        <stp/>
        <stp>P</stp>
        <stp>0</stp>
        <stp>FRN</stp>
        <stp>GRI:ASE</stp>
        <stp>시간</stp>
        <stp>42755</stp>
        <stp/>
        <tr r="L35" s="1"/>
      </tp>
      <tp>
        <v>103440</v>
        <stp/>
        <stp>P</stp>
        <stp>0</stp>
        <stp>FRN</stp>
        <stp>INI:BSE30</stp>
        <stp>시간</stp>
        <stp>42755</stp>
        <stp/>
        <tr r="L29" s="1"/>
      </tp>
      <tp t="s">
        <v xml:space="preserve">      </v>
        <stp/>
        <stp>P</stp>
        <stp>0</stp>
        <stp>FRN</stp>
        <stp>PLI:WIGI</stp>
        <stp>시간</stp>
        <stp>42755</stp>
        <stp/>
        <tr r="L43" s="1"/>
      </tp>
      <tp t="s">
        <v xml:space="preserve">      </v>
        <stp/>
        <stp>P</stp>
        <stp>0</stp>
        <stp>FRN</stp>
        <stp>RUI:RTSI</stp>
        <stp>시간</stp>
        <stp>42755</stp>
        <stp/>
        <tr r="L30" s="1"/>
      </tp>
      <tp t="s">
        <v xml:space="preserve">      </v>
        <stp/>
        <stp>P</stp>
        <stp>0</stp>
        <stp>FRN</stp>
        <stp>CHI:SSMI</stp>
        <stp>시간</stp>
        <stp>42755</stp>
        <stp/>
        <tr r="L37" s="1"/>
      </tp>
      <tp>
        <v>153900</v>
        <stp/>
        <stp>P</stp>
        <stp>0</stp>
        <stp>FRN</stp>
        <stp>AUI:AORD</stp>
        <stp>시간</stp>
        <stp>42755</stp>
        <stp/>
        <tr r="L17" s="1"/>
      </tp>
      <tp>
        <v>113000</v>
        <stp/>
        <stp>P</stp>
        <stp>0</stp>
        <stp>FRN</stp>
        <stp>IDI:JKSE</stp>
        <stp>시간</stp>
        <stp>42755</stp>
        <stp/>
        <tr r="L27" s="1"/>
      </tp>
      <tp>
        <v>130436</v>
        <stp/>
        <stp>P</stp>
        <stp>0</stp>
        <stp>FRN</stp>
        <stp>HSI:HSCE</stp>
        <stp>시간</stp>
        <stp>42755</stp>
        <stp/>
        <tr r="L26" s="1"/>
      </tp>
      <tp>
        <v>141930</v>
        <stp/>
        <stp>P</stp>
        <stp>0</stp>
        <stp>FRN</stp>
        <stp>NII:NI225</stp>
        <stp>시간</stp>
        <stp>42755</stp>
        <stp/>
        <tr r="L18" s="1"/>
      </tp>
      <tp>
        <v>160411</v>
        <stp/>
        <stp>P</stp>
        <stp>0</stp>
        <stp>FRN</stp>
        <stp>DJI:DJI</stp>
        <stp>시간</stp>
        <stp>42755</stp>
        <stp/>
        <tr r="L13" s="1"/>
      </tp>
      <tp>
        <v>130440</v>
        <stp/>
        <stp>P</stp>
        <stp>0</stp>
        <stp>FRN</stp>
        <stp>HSI:HSI</stp>
        <stp>시간</stp>
        <stp>42755</stp>
        <stp/>
        <tr r="L25" s="1"/>
      </tp>
      <tp t="s">
        <v xml:space="preserve">      </v>
        <stp/>
        <stp>P</stp>
        <stp>0</stp>
        <stp>FRN</stp>
        <stp>PTI:PSI20</stp>
        <stp>시간</stp>
        <stp>42755</stp>
        <stp/>
        <tr r="L36" s="1"/>
      </tp>
      <tp>
        <v>130439</v>
        <stp/>
        <stp>P</stp>
        <stp>0</stp>
        <stp>FRN</stp>
        <stp>SZS:399106</stp>
        <stp>시간</stp>
        <stp>42755</stp>
        <stp/>
        <tr r="L24" s="1"/>
      </tp>
      <tp>
        <v>160002</v>
        <stp/>
        <stp>P</stp>
        <stp>0</stp>
        <stp>FRN</stp>
        <stp>NAS:IXIC</stp>
        <stp>시간</stp>
        <stp>42755</stp>
        <stp/>
        <tr r="L14" s="1"/>
      </tp>
      <tp>
        <v>115600</v>
        <stp/>
        <stp>P</stp>
        <stp>0</stp>
        <stp>FRN</stp>
        <stp>THI:SET</stp>
        <stp>시간</stp>
        <stp>42755</stp>
        <stp/>
        <tr r="L28" s="1"/>
      </tp>
      <tp t="s">
        <v xml:space="preserve">      </v>
        <stp/>
        <stp>P</stp>
        <stp>0</stp>
        <stp>FRN</stp>
        <stp>XTR:DAX30</stp>
        <stp>시간</stp>
        <stp>42755</stp>
        <stp/>
        <tr r="L32" s="1"/>
      </tp>
      <tp>
        <v>130439</v>
        <stp/>
        <stp>P</stp>
        <stp>0</stp>
        <stp>FRN</stp>
        <stp>SHS:000001</stp>
        <stp>시간</stp>
        <stp>42755</stp>
        <stp/>
        <tr r="L23" s="1"/>
      </tp>
      <tp t="s">
        <v/>
        <stp/>
        <stp>P</stp>
        <stp>0</stp>
        <stp>FRN</stp>
        <stp>-</stp>
        <stp>시간</stp>
        <stp>42755</stp>
        <stp/>
        <tr r="L45" s="1"/>
        <tr r="L46" s="1"/>
        <tr r="L47" s="1"/>
        <tr r="L49" s="1"/>
        <tr r="L53" s="1"/>
        <tr r="L52" s="1"/>
        <tr r="L50" s="1"/>
        <tr r="L51" s="1"/>
        <tr r="L48" s="1"/>
      </tp>
      <tp t="s">
        <v xml:space="preserve">      </v>
        <stp/>
        <stp>P</stp>
        <stp>0</stp>
        <stp>FRN</stp>
        <stp>ESI:IBEX</stp>
        <stp>시간</stp>
        <stp>42755</stp>
        <stp/>
        <tr r="L34" s="1"/>
      </tp>
      <tp t="s">
        <v/>
        <stp/>
        <stp>P</stp>
        <stp>0</stp>
        <stp>FRN</stp>
        <stp>ARI:MERV</stp>
        <stp>시간</stp>
        <stp>42755</stp>
        <stp/>
        <tr r="L10" s="1"/>
      </tp>
      <tp t="s">
        <v xml:space="preserve">      </v>
        <stp/>
        <stp>P</stp>
        <stp>0</stp>
        <stp>FRN</stp>
        <stp>NLI:AEX</stp>
        <stp>시간</stp>
        <stp>42755</stp>
        <stp/>
        <tr r="L42" s="1"/>
      </tp>
      <tp t="s">
        <v xml:space="preserve">      </v>
        <stp/>
        <stp>P</stp>
        <stp>0</stp>
        <stp>FRN</stp>
        <stp>DKI:KFX</stp>
        <stp>시간</stp>
        <stp>42755</stp>
        <stp/>
        <tr r="L38" s="1"/>
      </tp>
      <tp t="s">
        <v xml:space="preserve">      </v>
        <stp/>
        <stp>P</stp>
        <stp>0</stp>
        <stp>FRN</stp>
        <stp>BEI:MFX</stp>
        <stp>시간</stp>
        <stp>42755</stp>
        <stp/>
        <tr r="L40" s="1"/>
      </tp>
      <tp t="s">
        <v xml:space="preserve">      </v>
        <stp/>
        <stp>P</stp>
        <stp>0</stp>
        <stp>FRN</stp>
        <stp>ATI:ATX</stp>
        <stp>시간</stp>
        <stp>42755</stp>
        <stp/>
        <tr r="L44" s="1"/>
      </tp>
      <tp>
        <v>160318</v>
        <stp/>
        <stp>P</stp>
        <stp>0</stp>
        <stp>FRN</stp>
        <stp>SPI:SPX</stp>
        <stp>시간</stp>
        <stp>42755</stp>
        <stp/>
        <tr r="L15" s="1"/>
      </tp>
      <tp t="s">
        <v/>
        <stp/>
        <stp>P</stp>
        <stp>0</stp>
        <stp>FRN</stp>
        <stp>BRI:BVSP</stp>
        <stp>시간</stp>
        <stp>42755</stp>
        <stp/>
        <tr r="L9" s="1"/>
      </tp>
      <tp>
        <v>120800</v>
        <stp/>
        <stp>P</stp>
        <stp>0</stp>
        <stp>FRN</stp>
        <stp>PHI:COMP</stp>
        <stp>시간</stp>
        <stp>42755</stp>
        <stp/>
        <tr r="L22" s="1"/>
      </tp>
      <tp t="s">
        <v xml:space="preserve">      </v>
        <stp/>
        <stp>P</stp>
        <stp>0</stp>
        <stp>FRN</stp>
        <stp>PAS:CAC40</stp>
        <stp>시간</stp>
        <stp>42755</stp>
        <stp/>
        <tr r="L33" s="1"/>
      </tp>
      <tp t="s">
        <v xml:space="preserve">      </v>
        <stp/>
        <stp>P</stp>
        <stp>0</stp>
        <stp>FRN</stp>
        <stp>NOI:OSEAX</stp>
        <stp>시간</stp>
        <stp>42755</stp>
        <stp/>
        <tr r="L39" s="1"/>
      </tp>
      <tp t="s">
        <v xml:space="preserve">      </v>
        <stp/>
        <stp>P</stp>
        <stp>0</stp>
        <stp>FRN</stp>
        <stp>TRI:ISE100</stp>
        <stp>시간</stp>
        <stp>42755</stp>
        <stp/>
        <tr r="L31" s="1"/>
      </tp>
      <tp>
        <v>75001</v>
        <stp/>
        <stp>P</stp>
        <stp>0</stp>
        <stp>FRN</stp>
        <stp>PEI:IGBVL</stp>
        <stp>시간</stp>
        <stp>42755</stp>
        <stp/>
        <tr r="L11" s="1"/>
      </tp>
      <tp t="s">
        <v/>
        <stp/>
        <stp>P</stp>
        <stp>0</stp>
        <stp>FRN</stp>
        <stp>CAI:SPTSX</stp>
        <stp>시간</stp>
        <stp>42755</stp>
        <stp/>
        <tr r="L12" s="1"/>
      </tp>
      <tp t="s">
        <v xml:space="preserve">      </v>
        <stp/>
        <stp>P</stp>
        <stp>0</stp>
        <stp>FRN</stp>
        <stp>SEI:SXASI</stp>
        <stp>시간</stp>
        <stp>42755</stp>
        <stp/>
        <tr r="L41" s="1"/>
      </tp>
      <tp>
        <v>0</v>
        <stp/>
        <stp>H</stp>
        <stp>x3.wu4F</stp>
        <stp>217</stp>
        <stp>596552</stp>
        <tr r="BB4" s="1"/>
      </tp>
      <tp>
        <v>0</v>
        <stp/>
        <stp>H</stp>
        <stp>x2.wu4F</stp>
        <stp>216</stp>
        <stp>596552</stp>
        <tr r="AU4" s="1"/>
      </tp>
      <tp>
        <v>0</v>
        <stp/>
        <stp>H</stp>
        <stp>x1.wu4F</stp>
        <stp>215</stp>
        <stp>596552</stp>
        <tr r="BA4" s="1"/>
      </tp>
      <tp>
        <v>0</v>
        <stp/>
        <stp>H</stp>
        <stp>x5.wu4F</stp>
        <stp>219</stp>
        <stp>596552</stp>
        <tr r="AT4" s="1"/>
      </tp>
      <tp>
        <v>0</v>
        <stp/>
        <stp>H</stp>
        <stp>x6.wu4F</stp>
        <stp>220</stp>
        <stp>596552</stp>
        <tr r="AV4" s="1"/>
      </tp>
      <tp>
        <v>0</v>
        <stp/>
        <stp>H</stp>
        <stp>x4.wu4F</stp>
        <stp>218</stp>
        <stp>596552</stp>
        <tr r="AX4" s="1"/>
      </tp>
      <tp>
        <v>0</v>
        <stp/>
        <stp>H</stp>
        <stp>x7.wu4F</stp>
        <stp>221</stp>
        <stp>596552</stp>
        <tr r="AR4" s="1"/>
      </tp>
      <tp>
        <v>0</v>
        <stp/>
        <stp>H</stp>
        <stp>x8.wu4F</stp>
        <stp>222</stp>
        <stp>596552</stp>
        <tr r="AZ4" s="1"/>
      </tp>
      <tp>
        <v>170000</v>
        <stp/>
        <stp>P</stp>
        <stp>0</stp>
        <stp>FRN</stp>
        <stp>NZI:NZ50</stp>
        <stp>시간</stp>
        <stp>42755</stp>
        <stp/>
        <tr r="L16" s="1"/>
      </tp>
      <tp>
        <v>131940</v>
        <stp/>
        <stp>P</stp>
        <stp>0</stp>
        <stp>FRN</stp>
        <stp>TWS:TI01</stp>
        <stp>시간</stp>
        <stp>42755</stp>
        <stp/>
        <tr r="L21" s="1"/>
      </tp>
      <tp>
        <v>133000</v>
        <stp/>
        <stp>P</stp>
        <stp>0</stp>
        <stp>FRN</stp>
        <stp>IDI:JKSE</stp>
        <stp>한국시간</stp>
        <stp>42755</stp>
        <stp/>
        <tr r="K27" s="1"/>
      </tp>
      <tp>
        <v>2068.92</v>
        <stp/>
        <stp>P</stp>
        <stp>0</stp>
        <stp>IDX</stp>
        <stp>001</stp>
        <stp>현재가</stp>
        <stp>42755</stp>
        <stp/>
        <tr r="H19" s="1"/>
      </tp>
      <tp>
        <v>623.04999999999995</v>
        <stp/>
        <stp>P</stp>
        <stp>0</stp>
        <stp>IDX</stp>
        <stp>801</stp>
        <stp>현재가</stp>
        <stp>42755</stp>
        <stp/>
        <tr r="H20" s="1"/>
      </tp>
      <tp>
        <v>140436</v>
        <stp/>
        <stp>P</stp>
        <stp>0</stp>
        <stp>FRN</stp>
        <stp>HSI:HSCE</stp>
        <stp>한국시간</stp>
        <stp>42755</stp>
        <stp/>
        <tr r="K26" s="1"/>
      </tp>
      <tp>
        <v>130000</v>
        <stp/>
        <stp>P</stp>
        <stp>0</stp>
        <stp>FRN</stp>
        <stp>NZI:NZ50</stp>
        <stp>한국시간</stp>
        <stp>42755</stp>
        <stp/>
        <tr r="K16" s="1"/>
      </tp>
      <tp t="s">
        <v xml:space="preserve">      </v>
        <stp/>
        <stp>P</stp>
        <stp>0</stp>
        <stp>FRN</stp>
        <stp>RUI:RTSI</stp>
        <stp>한국시간</stp>
        <stp>42755</stp>
        <stp/>
        <tr r="K30" s="1"/>
      </tp>
      <tp>
        <v>130800</v>
        <stp/>
        <stp>P</stp>
        <stp>0</stp>
        <stp>FRN</stp>
        <stp>PHI:COMP</stp>
        <stp>한국시간</stp>
        <stp>42755</stp>
        <stp/>
        <tr r="K22" s="1"/>
      </tp>
      <tp>
        <v>51330</v>
        <stp/>
        <stp>P</stp>
        <stp>0</stp>
        <stp>FRN</stp>
        <stp>BRI:BVSP</stp>
        <stp>한국시간</stp>
        <stp>42755</stp>
        <stp/>
        <tr r="K9" s="1"/>
      </tp>
      <tp t="s">
        <v xml:space="preserve">      </v>
        <stp/>
        <stp>P</stp>
        <stp>0</stp>
        <stp>FRN</stp>
        <stp>PLI:WIGI</stp>
        <stp>한국시간</stp>
        <stp>42755</stp>
        <stp/>
        <tr r="K43" s="1"/>
      </tp>
      <tp>
        <v>133900</v>
        <stp/>
        <stp>P</stp>
        <stp>0</stp>
        <stp>FRN</stp>
        <stp>AUI:AORD</stp>
        <stp>한국시간</stp>
        <stp>42755</stp>
        <stp/>
        <tr r="K17" s="1"/>
      </tp>
      <tp t="s">
        <v xml:space="preserve">      </v>
        <stp/>
        <stp>P</stp>
        <stp>0</stp>
        <stp>FRN</stp>
        <stp>CHI:SSMI</stp>
        <stp>한국시간</stp>
        <stp>42755</stp>
        <stp/>
        <tr r="K37" s="1"/>
      </tp>
      <tp>
        <v>1885.33</v>
        <stp/>
        <stp>P</stp>
        <stp>0</stp>
        <stp>FRN</stp>
        <stp>SZS:399106</stp>
        <stp>현재가</stp>
        <stp>42755</stp>
        <stp/>
        <tr r="H24" s="1"/>
      </tp>
      <tp>
        <v>60002</v>
        <stp/>
        <stp>P</stp>
        <stp>0</stp>
        <stp>FRN</stp>
        <stp>NAS:IXIC</stp>
        <stp>한국시간</stp>
        <stp>42755</stp>
        <stp/>
        <tr r="K14" s="1"/>
      </tp>
      <tp>
        <v>141940</v>
        <stp/>
        <stp>P</stp>
        <stp>0</stp>
        <stp>FRN</stp>
        <stp>TWS:TI01</stp>
        <stp>한국시간</stp>
        <stp>42755</stp>
        <stp/>
        <tr r="K21" s="1"/>
      </tp>
      <tp>
        <v>89.7</v>
        <stp/>
        <stp>P</stp>
        <stp>0</stp>
        <stp>FRN</stp>
        <stp>NII:NI225</stp>
        <stp>전일대비</stp>
        <stp>42755</stp>
        <stp/>
        <tr r="I18" s="1"/>
      </tp>
      <tp>
        <v>0</v>
        <stp/>
        <stp>P</stp>
        <stp>0</stp>
        <stp>FRN</stp>
        <stp>TRI:ISE100</stp>
        <stp>등락률</stp>
        <stp>42755</stp>
        <stp/>
        <tr r="J31" s="1"/>
      </tp>
      <tp>
        <v>3118.39</v>
        <stp/>
        <stp>P</stp>
        <stp>0</stp>
        <stp>FRN</stp>
        <stp>SHS:000001</stp>
        <stp>현재가</stp>
        <stp>42755</stp>
        <stp/>
        <tr r="H23" s="1"/>
      </tp>
      <tp t="s">
        <v xml:space="preserve">      </v>
        <stp/>
        <stp>P</stp>
        <stp>0</stp>
        <stp>FRN</stp>
        <stp>ESI:IBEX</stp>
        <stp>한국시간</stp>
        <stp>42755</stp>
        <stp/>
        <tr r="K34" s="1"/>
      </tp>
      <tp>
        <v>27.87</v>
        <stp/>
        <stp>P</stp>
        <stp>0</stp>
        <stp>FRN</stp>
        <stp>SZS:399106</stp>
        <stp>전일대비</stp>
        <stp>42755</stp>
        <stp/>
        <tr r="I24" s="1"/>
      </tp>
      <tp>
        <v>0</v>
        <stp/>
        <stp>P</stp>
        <stp>0</stp>
        <stp>FRN</stp>
        <stp>TRI:ISE100</stp>
        <stp>전일대비</stp>
        <stp>42755</stp>
        <stp/>
        <tr r="I31" s="1"/>
      </tp>
      <tp>
        <v>50105</v>
        <stp/>
        <stp>P</stp>
        <stp>0</stp>
        <stp>FRN</stp>
        <stp>ARI:MERV</stp>
        <stp>한국시간</stp>
        <stp>42755</stp>
        <stp/>
        <tr r="K10" s="1"/>
      </tp>
      <tp>
        <v>17.09</v>
        <stp/>
        <stp>P</stp>
        <stp>0</stp>
        <stp>FRN</stp>
        <stp>SHS:000001</stp>
        <stp>전일대비</stp>
        <stp>42755</stp>
        <stp/>
        <tr r="I23" s="1"/>
      </tp>
      <tp>
        <v>-15.57</v>
        <stp/>
        <stp>P</stp>
        <stp>0</stp>
        <stp>FRN</stp>
        <stp>NAS:IXIC</stp>
        <stp>전일대비</stp>
        <stp>42755</stp>
        <stp/>
        <tr r="I14" s="1"/>
      </tp>
      <tp>
        <v>-29.6</v>
        <stp/>
        <stp>P</stp>
        <stp>0</stp>
        <stp>FRN</stp>
        <stp>AUI:AORD</stp>
        <stp>전일대비</stp>
        <stp>42755</stp>
        <stp/>
        <tr r="I17" s="1"/>
      </tp>
      <tp>
        <v>0</v>
        <stp/>
        <stp>P</stp>
        <stp>0</stp>
        <stp>FRN</stp>
        <stp>CHI:SSMI</stp>
        <stp>전일대비</stp>
        <stp>42755</stp>
        <stp/>
        <tr r="I37" s="1"/>
      </tp>
      <tp>
        <v>-1.25</v>
        <stp/>
        <stp>P</stp>
        <stp>0</stp>
        <stp>FRN</stp>
        <stp>ARI:MERV</stp>
        <stp>등락률</stp>
        <stp>42755</stp>
        <stp/>
        <tr r="J10" s="1"/>
      </tp>
      <tp>
        <v>0</v>
        <stp/>
        <stp>P</stp>
        <stp>0</stp>
        <stp>FRN</stp>
        <stp>ESI:IBEX</stp>
        <stp>등락률</stp>
        <stp>42755</stp>
        <stp/>
        <tr r="J34" s="1"/>
      </tp>
      <tp>
        <v>20.5</v>
        <stp/>
        <stp>P</stp>
        <stp>0</stp>
        <stp>FRN</stp>
        <stp>TWS:TI01</stp>
        <stp>전일대비</stp>
        <stp>42755</stp>
        <stp/>
        <tr r="I21" s="1"/>
      </tp>
      <tp>
        <v>141930</v>
        <stp/>
        <stp>P</stp>
        <stp>0</stp>
        <stp>FRN</stp>
        <stp>NII:NI225</stp>
        <stp>한국시간</stp>
        <stp>42755</stp>
        <stp/>
        <tr r="K18" s="1"/>
      </tp>
      <tp>
        <v>-0.31</v>
        <stp/>
        <stp>P</stp>
        <stp>0</stp>
        <stp>FRN</stp>
        <stp>BRI:BVSP</stp>
        <stp>등락률</stp>
        <stp>42755</stp>
        <stp/>
        <tr r="J9" s="1"/>
      </tp>
      <tp>
        <v>-0.2</v>
        <stp/>
        <stp>P</stp>
        <stp>0</stp>
        <stp>FRN</stp>
        <stp>NZI:NZ50</stp>
        <stp>등락률</stp>
        <stp>42755</stp>
        <stp/>
        <tr r="J16" s="1"/>
      </tp>
      <tp>
        <v>-0.63</v>
        <stp/>
        <stp>P</stp>
        <stp>0</stp>
        <stp>FRN</stp>
        <stp>HSI:HSCE</stp>
        <stp>등락률</stp>
        <stp>42755</stp>
        <stp/>
        <tr r="J26" s="1"/>
      </tp>
      <tp>
        <v>0</v>
        <stp/>
        <stp>P</stp>
        <stp>0</stp>
        <stp>FRN</stp>
        <stp>RUI:RTSI</stp>
        <stp>등락률</stp>
        <stp>42755</stp>
        <stp/>
        <tr r="J30" s="1"/>
      </tp>
      <tp>
        <v>0.22</v>
        <stp/>
        <stp>P</stp>
        <stp>0</stp>
        <stp>FRN</stp>
        <stp>TWS:TI01</stp>
        <stp>등락률</stp>
        <stp>42755</stp>
        <stp/>
        <tr r="J21" s="1"/>
      </tp>
      <tp>
        <v>-0.52</v>
        <stp/>
        <stp>P</stp>
        <stp>0</stp>
        <stp>FRN</stp>
        <stp>AUI:AORD</stp>
        <stp>등락률</stp>
        <stp>42755</stp>
        <stp/>
        <tr r="J17" s="1"/>
      </tp>
      <tp>
        <v>4580.68</v>
        <stp/>
        <stp>P</stp>
        <stp>0</stp>
        <stp>FRN</stp>
        <stp>PTI:PSI20</stp>
        <stp>현재가</stp>
        <stp>42755</stp>
        <stp/>
        <tr r="H36" s="1"/>
      </tp>
      <tp>
        <v>0</v>
        <stp/>
        <stp>P</stp>
        <stp>0</stp>
        <stp>FRN</stp>
        <stp>ESI:IBEX</stp>
        <stp>전일대비</stp>
        <stp>42755</stp>
        <stp/>
        <tr r="I34" s="1"/>
      </tp>
      <tp>
        <v>-0.59</v>
        <stp/>
        <stp>P</stp>
        <stp>0</stp>
        <stp>FRN</stp>
        <stp>IDI:JKSE</stp>
        <stp>등락률</stp>
        <stp>42755</stp>
        <stp/>
        <tr r="J27" s="1"/>
      </tp>
      <tp>
        <v>15726.74</v>
        <stp/>
        <stp>P</stp>
        <stp>0</stp>
        <stp>FRN</stp>
        <stp>PEI:IGBVL</stp>
        <stp>현재가</stp>
        <stp>42755</stp>
        <stp/>
        <tr r="H11" s="1"/>
      </tp>
      <tp>
        <v>0</v>
        <stp/>
        <stp>P</stp>
        <stp>0</stp>
        <stp>FRN</stp>
        <stp>PLI:WIGI</stp>
        <stp>등락률</stp>
        <stp>42755</stp>
        <stp/>
        <tr r="J43" s="1"/>
      </tp>
      <tp>
        <v>-0.28000000000000003</v>
        <stp/>
        <stp>P</stp>
        <stp>0</stp>
        <stp>FRN</stp>
        <stp>NAS:IXIC</stp>
        <stp>등락률</stp>
        <stp>42755</stp>
        <stp/>
        <tr r="J14" s="1"/>
      </tp>
      <tp>
        <v>19161.95</v>
        <stp/>
        <stp>P</stp>
        <stp>0</stp>
        <stp>FRN</stp>
        <stp>NII:NI225</stp>
        <stp>현재가</stp>
        <stp>42755</stp>
        <stp/>
        <tr r="H18" s="1"/>
      </tp>
      <tp t="s">
        <v xml:space="preserve">      </v>
        <stp/>
        <stp>P</stp>
        <stp>0</stp>
        <stp>FRN</stp>
        <stp>TRI:ISE100</stp>
        <stp>한국시간</stp>
        <stp>42755</stp>
        <stp/>
        <tr r="K31" s="1"/>
      </tp>
      <tp>
        <v>4841.1400000000003</v>
        <stp/>
        <stp>P</stp>
        <stp>0</stp>
        <stp>FRN</stp>
        <stp>PAS:CAC40</stp>
        <stp>현재가</stp>
        <stp>42755</stp>
        <stp/>
        <tr r="H33" s="1"/>
      </tp>
      <tp>
        <v>140439</v>
        <stp/>
        <stp>P</stp>
        <stp>0</stp>
        <stp>FRN</stp>
        <stp>SZS:399106</stp>
        <stp>한국시간</stp>
        <stp>42755</stp>
        <stp/>
        <tr r="K24" s="1"/>
      </tp>
      <tp t="s">
        <v/>
        <stp/>
        <stp>P</stp>
        <stp>0</stp>
        <stp>FRN</stp>
        <stp>-</stp>
        <stp>현재가</stp>
        <stp>42755</stp>
        <stp/>
        <tr r="H46" s="1"/>
        <tr r="H45" s="1"/>
        <tr r="H47" s="1"/>
        <tr r="H49" s="1"/>
        <tr r="H52" s="1"/>
        <tr r="H48" s="1"/>
        <tr r="H50" s="1"/>
        <tr r="H53" s="1"/>
        <tr r="H51" s="1"/>
      </tp>
      <tp>
        <v>-236.63</v>
        <stp/>
        <stp>P</stp>
        <stp>0</stp>
        <stp>FRN</stp>
        <stp>ARI:MERV</stp>
        <stp>전일대비</stp>
        <stp>42755</stp>
        <stp/>
        <tr r="I10" s="1"/>
      </tp>
      <tp>
        <v>140439</v>
        <stp/>
        <stp>P</stp>
        <stp>0</stp>
        <stp>FRN</stp>
        <stp>SHS:000001</stp>
        <stp>한국시간</stp>
        <stp>42755</stp>
        <stp/>
        <tr r="K23" s="1"/>
      </tp>
      <tp>
        <v>778.86</v>
        <stp/>
        <stp>P</stp>
        <stp>0</stp>
        <stp>FRN</stp>
        <stp>NOI:OSEAX</stp>
        <stp>현재가</stp>
        <stp>42755</stp>
        <stp/>
        <tr r="H39" s="1"/>
      </tp>
      <tp>
        <v>27182.84</v>
        <stp/>
        <stp>P</stp>
        <stp>0</stp>
        <stp>FRN</stp>
        <stp>INI:BSE30</stp>
        <stp>현재가</stp>
        <stp>42755</stp>
        <stp/>
        <tr r="H29" s="1"/>
      </tp>
      <tp>
        <v>534.07000000000005</v>
        <stp/>
        <stp>P</stp>
        <stp>0</stp>
        <stp>FRN</stp>
        <stp>SEI:SXASI</stp>
        <stp>현재가</stp>
        <stp>42755</stp>
        <stp/>
        <tr r="H41" s="1"/>
      </tp>
      <tp>
        <v>484.64</v>
        <stp/>
        <stp>P</stp>
        <stp>0</stp>
        <stp>FRN</stp>
        <stp>NLI:AEX</stp>
        <stp>현재가</stp>
        <stp>42755</stp>
        <stp/>
        <tr r="H42" s="1"/>
      </tp>
      <tp>
        <v>892.89</v>
        <stp/>
        <stp>P</stp>
        <stp>0</stp>
        <stp>FRN</stp>
        <stp>DKI:KFX</stp>
        <stp>현재가</stp>
        <stp>42755</stp>
        <stp/>
        <tr r="H38" s="1"/>
      </tp>
      <tp>
        <v>3593.97</v>
        <stp/>
        <stp>P</stp>
        <stp>0</stp>
        <stp>FRN</stp>
        <stp>BEI:MFX</stp>
        <stp>현재가</stp>
        <stp>42755</stp>
        <stp/>
        <tr r="H40" s="1"/>
      </tp>
      <tp>
        <v>642.51</v>
        <stp/>
        <stp>P</stp>
        <stp>0</stp>
        <stp>FRN</stp>
        <stp>GRI:ASE</stp>
        <stp>현재가</stp>
        <stp>42755</stp>
        <stp/>
        <tr r="H35" s="1"/>
      </tp>
      <tp>
        <v>1558.67</v>
        <stp/>
        <stp>P</stp>
        <stp>0</stp>
        <stp>FRN</stp>
        <stp>THI:SET</stp>
        <stp>현재가</stp>
        <stp>42755</stp>
        <stp/>
        <tr r="H28" s="1"/>
      </tp>
      <tp>
        <v>19732.400000000001</v>
        <stp/>
        <stp>P</stp>
        <stp>0</stp>
        <stp>FRN</stp>
        <stp>DJI:DJI</stp>
        <stp>현재가</stp>
        <stp>42755</stp>
        <stp/>
        <tr r="H13" s="1"/>
      </tp>
      <tp>
        <v>22897.72</v>
        <stp/>
        <stp>P</stp>
        <stp>0</stp>
        <stp>FRN</stp>
        <stp>HSI:HSI</stp>
        <stp>현재가</stp>
        <stp>42755</stp>
        <stp/>
        <tr r="H25" s="1"/>
      </tp>
      <tp>
        <v>2666.46</v>
        <stp/>
        <stp>P</stp>
        <stp>0</stp>
        <stp>FRN</stp>
        <stp>ATI:ATX</stp>
        <stp>현재가</stp>
        <stp>42755</stp>
        <stp/>
        <tr r="H44" s="1"/>
      </tp>
      <tp>
        <v>2263.69</v>
        <stp/>
        <stp>P</stp>
        <stp>0</stp>
        <stp>FRN</stp>
        <stp>SPI:SPX</stp>
        <stp>현재가</stp>
        <stp>42755</stp>
        <stp/>
        <tr r="H15" s="1"/>
      </tp>
      <tp>
        <v>-31.3</v>
        <stp/>
        <stp>P</stp>
        <stp>0</stp>
        <stp>FRN</stp>
        <stp>IDI:JKSE</stp>
        <stp>전일대비</stp>
        <stp>42755</stp>
        <stp/>
        <tr r="I27" s="1"/>
      </tp>
      <tp>
        <v>-13.88</v>
        <stp/>
        <stp>P</stp>
        <stp>0</stp>
        <stp>FRN</stp>
        <stp>NZI:NZ50</stp>
        <stp>전일대비</stp>
        <stp>42755</stp>
        <stp/>
        <tr r="I16" s="1"/>
      </tp>
      <tp>
        <v>-62.13</v>
        <stp/>
        <stp>P</stp>
        <stp>0</stp>
        <stp>FRN</stp>
        <stp>HSI:HSCE</stp>
        <stp>전일대비</stp>
        <stp>42755</stp>
        <stp/>
        <tr r="I26" s="1"/>
      </tp>
      <tp>
        <v>0</v>
        <stp/>
        <stp>P</stp>
        <stp>0</stp>
        <stp>FRN</stp>
        <stp>CHI:SSMI</stp>
        <stp>등락률</stp>
        <stp>42755</stp>
        <stp/>
        <tr r="J37" s="1"/>
      </tp>
      <tp>
        <v>0</v>
        <stp/>
        <stp>P</stp>
        <stp>0</stp>
        <stp>FRN</stp>
        <stp>RUI:RTSI</stp>
        <stp>전일대비</stp>
        <stp>42755</stp>
        <stp/>
        <tr r="I30" s="1"/>
      </tp>
      <tp>
        <v>-0.11</v>
        <stp/>
        <stp>P</stp>
        <stp>0</stp>
        <stp>FRN</stp>
        <stp>PHI:COMP</stp>
        <stp>등락률</stp>
        <stp>42755</stp>
        <stp/>
        <tr r="J22" s="1"/>
      </tp>
      <tp>
        <v>11596.89</v>
        <stp/>
        <stp>P</stp>
        <stp>0</stp>
        <stp>FRN</stp>
        <stp>XTR:DAX30</stp>
        <stp>현재가</stp>
        <stp>42755</stp>
        <stp/>
        <tr r="H32" s="1"/>
      </tp>
      <tp>
        <v>-198.71</v>
        <stp/>
        <stp>P</stp>
        <stp>0</stp>
        <stp>FRN</stp>
        <stp>BRI:BVSP</stp>
        <stp>전일대비</stp>
        <stp>42755</stp>
        <stp/>
        <tr r="I9" s="1"/>
      </tp>
      <tp>
        <v>0</v>
        <stp/>
        <stp>P</stp>
        <stp>0</stp>
        <stp>FRN</stp>
        <stp>PLI:WIGI</stp>
        <stp>전일대비</stp>
        <stp>42755</stp>
        <stp/>
        <tr r="I43" s="1"/>
      </tp>
      <tp>
        <v>15409.81</v>
        <stp/>
        <stp>P</stp>
        <stp>0</stp>
        <stp>FRN</stp>
        <stp>CAI:SPTSX</stp>
        <stp>현재가</stp>
        <stp>42755</stp>
        <stp/>
        <tr r="H12" s="1"/>
      </tp>
      <tp>
        <v>-8</v>
        <stp/>
        <stp>P</stp>
        <stp>0</stp>
        <stp>FRN</stp>
        <stp>PHI:COMP</stp>
        <stp>전일대비</stp>
        <stp>42755</stp>
        <stp/>
        <tr r="I22" s="1"/>
      </tp>
      <tp>
        <v>60800</v>
        <stp/>
        <stp>P</stp>
        <stp>0</stp>
        <stp>FRN</stp>
        <stp>CAI:SPTSX</stp>
        <stp>한국시간</stp>
        <stp>42755</stp>
        <stp/>
        <tr r="K12" s="1"/>
      </tp>
      <tp>
        <v>9379.1</v>
        <stp/>
        <stp>P</stp>
        <stp>0</stp>
        <stp>FRN</stp>
        <stp>ESI:IBEX</stp>
        <stp>현재가</stp>
        <stp>42755</stp>
        <stp/>
        <tr r="H34" s="1"/>
      </tp>
      <tp>
        <v>18633.46</v>
        <stp/>
        <stp>P</stp>
        <stp>0</stp>
        <stp>FRN</stp>
        <stp>ARI:MERV</stp>
        <stp>현재가</stp>
        <stp>42755</stp>
        <stp/>
        <tr r="H10" s="1"/>
      </tp>
      <tp>
        <v>5267.65</v>
        <stp/>
        <stp>P</stp>
        <stp>0</stp>
        <stp>FRN</stp>
        <stp>IDI:JKSE</stp>
        <stp>현재가</stp>
        <stp>42755</stp>
        <stp/>
        <tr r="H27" s="1"/>
      </tp>
      <tp>
        <v>0</v>
        <stp/>
        <stp>P</stp>
        <stp>0</stp>
        <stp>FRN</stp>
        <stp>PTI:PSI20</stp>
        <stp>등락률</stp>
        <stp>42755</stp>
        <stp/>
        <tr r="J36" s="1"/>
      </tp>
      <tp>
        <v>1136.6199999999999</v>
        <stp/>
        <stp>P</stp>
        <stp>0</stp>
        <stp>FRN</stp>
        <stp>RUI:RTSI</stp>
        <stp>현재가</stp>
        <stp>42755</stp>
        <stp/>
        <tr r="H30" s="1"/>
      </tp>
      <tp>
        <v>9730.24</v>
        <stp/>
        <stp>P</stp>
        <stp>0</stp>
        <stp>FRN</stp>
        <stp>HSI:HSCE</stp>
        <stp>현재가</stp>
        <stp>42755</stp>
        <stp/>
        <tr r="H26" s="1"/>
      </tp>
      <tp>
        <v>7048.48</v>
        <stp/>
        <stp>P</stp>
        <stp>0</stp>
        <stp>FRN</stp>
        <stp>NZI:NZ50</stp>
        <stp>현재가</stp>
        <stp>42755</stp>
        <stp/>
        <tr r="H16" s="1"/>
      </tp>
      <tp>
        <v>63950.86</v>
        <stp/>
        <stp>P</stp>
        <stp>0</stp>
        <stp>FRN</stp>
        <stp>BRI:BVSP</stp>
        <stp>현재가</stp>
        <stp>42755</stp>
        <stp/>
        <tr r="H9" s="1"/>
      </tp>
      <tp>
        <v>5715.8</v>
        <stp/>
        <stp>P</stp>
        <stp>0</stp>
        <stp>FRN</stp>
        <stp>AUI:AORD</stp>
        <stp>현재가</stp>
        <stp>42755</stp>
        <stp/>
        <tr r="H17" s="1"/>
      </tp>
      <tp>
        <v>9338.6200000000008</v>
        <stp/>
        <stp>P</stp>
        <stp>0</stp>
        <stp>FRN</stp>
        <stp>TWS:TI01</stp>
        <stp>현재가</stp>
        <stp>42755</stp>
        <stp/>
        <tr r="H21" s="1"/>
      </tp>
      <tp>
        <v>0.47</v>
        <stp/>
        <stp>P</stp>
        <stp>0</stp>
        <stp>FRN</stp>
        <stp>NII:NI225</stp>
        <stp>등락률</stp>
        <stp>42755</stp>
        <stp/>
        <tr r="J18" s="1"/>
      </tp>
      <tp>
        <v>0</v>
        <stp/>
        <stp>P</stp>
        <stp>0</stp>
        <stp>FRN</stp>
        <stp>PAS:CAC40</stp>
        <stp>등락률</stp>
        <stp>42755</stp>
        <stp/>
        <tr r="J33" s="1"/>
      </tp>
      <tp t="s">
        <v/>
        <stp/>
        <stp>P</stp>
        <stp>0</stp>
        <stp>FRN</stp>
        <stp>-</stp>
        <stp>등락률</stp>
        <stp>42755</stp>
        <stp/>
        <tr r="J46" s="1"/>
        <tr r="J45" s="1"/>
        <tr r="J51" s="1"/>
        <tr r="J47" s="1"/>
        <tr r="J53" s="1"/>
        <tr r="J48" s="1"/>
        <tr r="J49" s="1"/>
        <tr r="J50" s="1"/>
        <tr r="J52" s="1"/>
      </tp>
      <tp>
        <v>53654.99</v>
        <stp/>
        <stp>P</stp>
        <stp>0</stp>
        <stp>FRN</stp>
        <stp>PLI:WIGI</stp>
        <stp>현재가</stp>
        <stp>42755</stp>
        <stp/>
        <tr r="H43" s="1"/>
      </tp>
      <tp>
        <v>5540.08</v>
        <stp/>
        <stp>P</stp>
        <stp>0</stp>
        <stp>FRN</stp>
        <stp>NAS:IXIC</stp>
        <stp>현재가</stp>
        <stp>42755</stp>
        <stp/>
        <tr r="H14" s="1"/>
      </tp>
      <tp t="s">
        <v xml:space="preserve">      </v>
        <stp/>
        <stp>P</stp>
        <stp>0</stp>
        <stp>FRN</stp>
        <stp>PAS:CAC40</stp>
        <stp>한국시간</stp>
        <stp>42755</stp>
        <stp/>
        <tr r="K33" s="1"/>
      </tp>
      <tp>
        <v>-1.06</v>
        <stp/>
        <stp>P</stp>
        <stp>0</stp>
        <stp>FRN</stp>
        <stp>PEI:IGBVL</stp>
        <stp>등락률</stp>
        <stp>42755</stp>
        <stp/>
        <tr r="J11" s="1"/>
      </tp>
      <tp>
        <v>0</v>
        <stp/>
        <stp>P</stp>
        <stp>0</stp>
        <stp>FRN</stp>
        <stp>NOI:OSEAX</stp>
        <stp>등락률</stp>
        <stp>42755</stp>
        <stp/>
        <tr r="J39" s="1"/>
      </tp>
      <tp t="s">
        <v xml:space="preserve">      </v>
        <stp/>
        <stp>P</stp>
        <stp>0</stp>
        <stp>FRN</stp>
        <stp>NOI:OSEAX</stp>
        <stp>한국시간</stp>
        <stp>42755</stp>
        <stp/>
        <tr r="K39" s="1"/>
      </tp>
      <tp>
        <v>140440</v>
        <stp/>
        <stp>P</stp>
        <stp>0</stp>
        <stp>FRN</stp>
        <stp>INI:BSE30</stp>
        <stp>한국시간</stp>
        <stp>42755</stp>
        <stp/>
        <tr r="K29" s="1"/>
      </tp>
      <tp>
        <v>0</v>
        <stp/>
        <stp>P</stp>
        <stp>0</stp>
        <stp>FRN</stp>
        <stp>SEI:SXASI</stp>
        <stp>등락률</stp>
        <stp>42755</stp>
        <stp/>
        <tr r="J41" s="1"/>
      </tp>
      <tp>
        <v>-0.46</v>
        <stp/>
        <stp>P</stp>
        <stp>0</stp>
        <stp>FRN</stp>
        <stp>INI:BSE30</stp>
        <stp>등락률</stp>
        <stp>42755</stp>
        <stp/>
        <tr r="J29" s="1"/>
      </tp>
      <tp>
        <v>0</v>
        <stp/>
        <stp>P</stp>
        <stp>0</stp>
        <stp>FRN</stp>
        <stp>BEI:MFX</stp>
        <stp>전일대비</stp>
        <stp>42755</stp>
        <stp/>
        <tr r="I40" s="1"/>
      </tp>
      <tp>
        <v>0</v>
        <stp/>
        <stp>P</stp>
        <stp>0</stp>
        <stp>FRN</stp>
        <stp>DKI:KFX</stp>
        <stp>전일대비</stp>
        <stp>42755</stp>
        <stp/>
        <tr r="I38" s="1"/>
      </tp>
      <tp>
        <v>0</v>
        <stp/>
        <stp>P</stp>
        <stp>0</stp>
        <stp>FRN</stp>
        <stp>NLI:AEX</stp>
        <stp>전일대비</stp>
        <stp>42755</stp>
        <stp/>
        <tr r="I42" s="1"/>
      </tp>
      <tp>
        <v>0</v>
        <stp/>
        <stp>P</stp>
        <stp>0</stp>
        <stp>FRN</stp>
        <stp>DKI:KFX</stp>
        <stp>등락률</stp>
        <stp>42755</stp>
        <stp/>
        <tr r="J38" s="1"/>
      </tp>
      <tp>
        <v>0</v>
        <stp/>
        <stp>P</stp>
        <stp>0</stp>
        <stp>FRN</stp>
        <stp>NLI:AEX</stp>
        <stp>등락률</stp>
        <stp>42755</stp>
        <stp/>
        <tr r="J42" s="1"/>
      </tp>
      <tp>
        <v>0</v>
        <stp/>
        <stp>P</stp>
        <stp>0</stp>
        <stp>FRN</stp>
        <stp>BEI:MFX</stp>
        <stp>등락률</stp>
        <stp>42755</stp>
        <stp/>
        <tr r="J40" s="1"/>
      </tp>
      <tp>
        <v>-0.37</v>
        <stp/>
        <stp>P</stp>
        <stp>0</stp>
        <stp>FRN</stp>
        <stp>DJI:DJI</stp>
        <stp>등락률</stp>
        <stp>42755</stp>
        <stp/>
        <tr r="J13" s="1"/>
      </tp>
      <tp>
        <v>-0.66</v>
        <stp/>
        <stp>P</stp>
        <stp>0</stp>
        <stp>FRN</stp>
        <stp>HSI:HSI</stp>
        <stp>등락률</stp>
        <stp>42755</stp>
        <stp/>
        <tr r="J25" s="1"/>
      </tp>
      <tp>
        <v>0</v>
        <stp/>
        <stp>P</stp>
        <stp>0</stp>
        <stp>FRN</stp>
        <stp>ATI:ATX</stp>
        <stp>등락률</stp>
        <stp>42755</stp>
        <stp/>
        <tr r="J44" s="1"/>
      </tp>
      <tp>
        <v>-0.36</v>
        <stp/>
        <stp>P</stp>
        <stp>0</stp>
        <stp>FRN</stp>
        <stp>SPI:SPX</stp>
        <stp>등락률</stp>
        <stp>42755</stp>
        <stp/>
        <tr r="J15" s="1"/>
      </tp>
      <tp>
        <v>0.24</v>
        <stp/>
        <stp>P</stp>
        <stp>0</stp>
        <stp>FRN</stp>
        <stp>THI:SET</stp>
        <stp>등락률</stp>
        <stp>42755</stp>
        <stp/>
        <tr r="J28" s="1"/>
      </tp>
      <tp>
        <v>0</v>
        <stp/>
        <stp>P</stp>
        <stp>0</stp>
        <stp>FRN</stp>
        <stp>GRI:ASE</stp>
        <stp>등락률</stp>
        <stp>42755</stp>
        <stp/>
        <tr r="J35" s="1"/>
      </tp>
      <tp t="s">
        <v xml:space="preserve">      </v>
        <stp/>
        <stp>P</stp>
        <stp>0</stp>
        <stp>FRN</stp>
        <stp>SEI:SXASI</stp>
        <stp>한국시간</stp>
        <stp>42755</stp>
        <stp/>
        <tr r="K41" s="1"/>
      </tp>
      <tp t="s">
        <v xml:space="preserve">      </v>
        <stp/>
        <stp>P</stp>
        <stp>0</stp>
        <stp>FRN</stp>
        <stp>XTR:DAX30</stp>
        <stp>한국시간</stp>
        <stp>42755</stp>
        <stp/>
        <tr r="K32" s="1"/>
      </tp>
      <tp t="s">
        <v xml:space="preserve">      </v>
        <stp/>
        <stp>P</stp>
        <stp>0</stp>
        <stp>FRN</stp>
        <stp>PEI:IGBVL</stp>
        <stp>한국시간</stp>
        <stp>42755</stp>
        <stp/>
        <tr r="K11" s="1"/>
      </tp>
      <tp>
        <v>7238.08</v>
        <stp/>
        <stp>P</stp>
        <stp>0</stp>
        <stp>FRN</stp>
        <stp>PHI:COMP</stp>
        <stp>현재가</stp>
        <stp>42755</stp>
        <stp/>
        <tr r="H22" s="1"/>
      </tp>
      <tp>
        <v>0</v>
        <stp/>
        <stp>P</stp>
        <stp>0</stp>
        <stp>FRN</stp>
        <stp>XTR:DAX30</stp>
        <stp>등락률</stp>
        <stp>42755</stp>
        <stp/>
        <tr r="J32" s="1"/>
      </tp>
      <tp>
        <v>3.79</v>
        <stp/>
        <stp>P</stp>
        <stp>0</stp>
        <stp>FRN</stp>
        <stp>THI:SET</stp>
        <stp>전일대비</stp>
        <stp>42755</stp>
        <stp/>
        <tr r="I28" s="1"/>
      </tp>
      <tp>
        <v>0</v>
        <stp/>
        <stp>P</stp>
        <stp>0</stp>
        <stp>FRN</stp>
        <stp>GRI:ASE</stp>
        <stp>전일대비</stp>
        <stp>42755</stp>
        <stp/>
        <tr r="I35" s="1"/>
      </tp>
      <tp>
        <v>8273.08</v>
        <stp/>
        <stp>P</stp>
        <stp>0</stp>
        <stp>FRN</stp>
        <stp>CHI:SSMI</stp>
        <stp>현재가</stp>
        <stp>42755</stp>
        <stp/>
        <tr r="H37" s="1"/>
      </tp>
      <tp t="s">
        <v/>
        <stp/>
        <stp>P</stp>
        <stp>0</stp>
        <stp>FRN</stp>
        <stp>-</stp>
        <stp>한국시간</stp>
        <stp>42755</stp>
        <stp/>
        <tr r="K46" s="1"/>
        <tr r="K45" s="1"/>
        <tr r="K47" s="1"/>
        <tr r="K48" s="1"/>
        <tr r="K51" s="1"/>
        <tr r="K50" s="1"/>
        <tr r="K53" s="1"/>
        <tr r="K49" s="1"/>
        <tr r="K52" s="1"/>
      </tp>
      <tp t="s">
        <v xml:space="preserve">      </v>
        <stp/>
        <stp>P</stp>
        <stp>0</stp>
        <stp>FRN</stp>
        <stp>PTI:PSI20</stp>
        <stp>한국시간</stp>
        <stp>42755</stp>
        <stp/>
        <tr r="K36" s="1"/>
      </tp>
      <tp>
        <v>0.08</v>
        <stp/>
        <stp>P</stp>
        <stp>0</stp>
        <stp>FRN</stp>
        <stp>CAI:SPTSX</stp>
        <stp>등락률</stp>
        <stp>42755</stp>
        <stp/>
        <tr r="J12" s="1"/>
      </tp>
      <tp>
        <v>0</v>
        <stp/>
        <stp>P</stp>
        <stp>0</stp>
        <stp>FRN</stp>
        <stp>ATI:ATX</stp>
        <stp>전일대비</stp>
        <stp>42755</stp>
        <stp/>
        <tr r="I44" s="1"/>
      </tp>
      <tp>
        <v>-8.1999999999999993</v>
        <stp/>
        <stp>P</stp>
        <stp>0</stp>
        <stp>FRN</stp>
        <stp>SPI:SPX</stp>
        <stp>전일대비</stp>
        <stp>42755</stp>
        <stp/>
        <tr r="I15" s="1"/>
      </tp>
      <tp>
        <v>-72.319999999999993</v>
        <stp/>
        <stp>P</stp>
        <stp>0</stp>
        <stp>FRN</stp>
        <stp>DJI:DJI</stp>
        <stp>전일대비</stp>
        <stp>42755</stp>
        <stp/>
        <tr r="I13" s="1"/>
      </tp>
      <tp>
        <v>-152.24</v>
        <stp/>
        <stp>P</stp>
        <stp>0</stp>
        <stp>FRN</stp>
        <stp>HSI:HSI</stp>
        <stp>전일대비</stp>
        <stp>42755</stp>
        <stp/>
        <tr r="I25" s="1"/>
      </tp>
      <tp t="s">
        <v xml:space="preserve">      </v>
        <stp/>
        <stp>P</stp>
        <stp>0</stp>
        <stp>FRN</stp>
        <stp>BEI:MFX</stp>
        <stp>한국시간</stp>
        <stp>42755</stp>
        <stp/>
        <tr r="K40" s="1"/>
      </tp>
      <tp t="s">
        <v xml:space="preserve">      </v>
        <stp/>
        <stp>P</stp>
        <stp>0</stp>
        <stp>FRN</stp>
        <stp>DKI:KFX</stp>
        <stp>한국시간</stp>
        <stp>42755</stp>
        <stp/>
        <tr r="K38" s="1"/>
      </tp>
      <tp t="s">
        <v xml:space="preserve">      </v>
        <stp/>
        <stp>P</stp>
        <stp>0</stp>
        <stp>FRN</stp>
        <stp>NLI:AEX</stp>
        <stp>한국시간</stp>
        <stp>42755</stp>
        <stp/>
        <tr r="K42" s="1"/>
      </tp>
      <tp>
        <v>-125.76</v>
        <stp/>
        <stp>P</stp>
        <stp>0</stp>
        <stp>FRN</stp>
        <stp>INI:BSE30</stp>
        <stp>전일대비</stp>
        <stp>42755</stp>
        <stp/>
        <tr r="I29" s="1"/>
      </tp>
      <tp>
        <v>-3.87</v>
        <stp/>
        <stp>P</stp>
        <stp>0</stp>
        <stp>IDX</stp>
        <stp>001</stp>
        <stp>전일대비</stp>
        <stp>42755</stp>
        <stp/>
        <tr r="I19" s="1"/>
      </tp>
      <tp>
        <v>0</v>
        <stp/>
        <stp>P</stp>
        <stp>0</stp>
        <stp>FRN</stp>
        <stp>NOI:OSEAX</stp>
        <stp>전일대비</stp>
        <stp>42755</stp>
        <stp/>
        <tr r="I39" s="1"/>
      </tp>
      <tp>
        <v>0</v>
        <stp/>
        <stp>P</stp>
        <stp>0</stp>
        <stp>FRN</stp>
        <stp>XTR:DAX30</stp>
        <stp>전일대비</stp>
        <stp>42755</stp>
        <stp/>
        <tr r="I32" s="1"/>
      </tp>
      <tp>
        <v>-168.26</v>
        <stp/>
        <stp>P</stp>
        <stp>0</stp>
        <stp>FRN</stp>
        <stp>PEI:IGBVL</stp>
        <stp>전일대비</stp>
        <stp>42755</stp>
        <stp/>
        <tr r="I11" s="1"/>
      </tp>
      <tp>
        <v>0</v>
        <stp/>
        <stp>P</stp>
        <stp>0</stp>
        <stp>FRN</stp>
        <stp>SEI:SXASI</stp>
        <stp>전일대비</stp>
        <stp>42755</stp>
        <stp/>
        <tr r="I41" s="1"/>
      </tp>
      <tp>
        <v>135600</v>
        <stp/>
        <stp>P</stp>
        <stp>0</stp>
        <stp>FRN</stp>
        <stp>THI:SET</stp>
        <stp>한국시간</stp>
        <stp>42755</stp>
        <stp/>
        <tr r="K28" s="1"/>
      </tp>
      <tp t="s">
        <v xml:space="preserve">      </v>
        <stp/>
        <stp>P</stp>
        <stp>0</stp>
        <stp>FRN</stp>
        <stp>GRI:ASE</stp>
        <stp>한국시간</stp>
        <stp>42755</stp>
        <stp/>
        <tr r="K35" s="1"/>
      </tp>
      <tp>
        <v>-0.19</v>
        <stp/>
        <stp>P</stp>
        <stp>0</stp>
        <stp>IDX</stp>
        <stp>001</stp>
        <stp>등락률</stp>
        <stp>42755</stp>
        <stp/>
        <tr r="J19" s="1"/>
      </tp>
      <tp>
        <v>-0.5</v>
        <stp/>
        <stp>P</stp>
        <stp>0</stp>
        <stp>IDX</stp>
        <stp>801</stp>
        <stp>등락률</stp>
        <stp>42755</stp>
        <stp/>
        <tr r="J20" s="1"/>
      </tp>
      <tp>
        <v>-3.14</v>
        <stp/>
        <stp>P</stp>
        <stp>0</stp>
        <stp>IDX</stp>
        <stp>801</stp>
        <stp>전일대비</stp>
        <stp>42755</stp>
        <stp/>
        <tr r="I20" s="1"/>
      </tp>
      <tp t="s">
        <v/>
        <stp/>
        <stp>P</stp>
        <stp>0</stp>
        <stp>FRN</stp>
        <stp>-</stp>
        <stp>전일대비</stp>
        <stp>42755</stp>
        <stp/>
        <tr r="I46" s="1"/>
        <tr r="I45" s="1"/>
        <tr r="I53" s="1"/>
        <tr r="I52" s="1"/>
        <tr r="I48" s="1"/>
        <tr r="I49" s="1"/>
        <tr r="I51" s="1"/>
        <tr r="I50" s="1"/>
        <tr r="I47" s="1"/>
      </tp>
      <tp>
        <v>0</v>
        <stp/>
        <stp>P</stp>
        <stp>0</stp>
        <stp>FRN</stp>
        <stp>PTI:PSI20</stp>
        <stp>전일대비</stp>
        <stp>42755</stp>
        <stp/>
        <tr r="I36" s="1"/>
      </tp>
      <tp t="s">
        <v xml:space="preserve">      </v>
        <stp/>
        <stp>P</stp>
        <stp>0</stp>
        <stp>FRN</stp>
        <stp>ATI:ATX</stp>
        <stp>한국시간</stp>
        <stp>42755</stp>
        <stp/>
        <tr r="K44" s="1"/>
      </tp>
      <tp>
        <v>60318</v>
        <stp/>
        <stp>P</stp>
        <stp>0</stp>
        <stp>FRN</stp>
        <stp>SPI:SPX</stp>
        <stp>한국시간</stp>
        <stp>42755</stp>
        <stp/>
        <tr r="K15" s="1"/>
      </tp>
      <tp>
        <v>60411</v>
        <stp/>
        <stp>P</stp>
        <stp>0</stp>
        <stp>FRN</stp>
        <stp>DJI:DJI</stp>
        <stp>한국시간</stp>
        <stp>42755</stp>
        <stp/>
        <tr r="K13" s="1"/>
      </tp>
      <tp>
        <v>140440</v>
        <stp/>
        <stp>P</stp>
        <stp>0</stp>
        <stp>FRN</stp>
        <stp>HSI:HSI</stp>
        <stp>한국시간</stp>
        <stp>42755</stp>
        <stp/>
        <tr r="K25" s="1"/>
      </tp>
      <tp>
        <v>1.5</v>
        <stp/>
        <stp>P</stp>
        <stp>0</stp>
        <stp>FRN</stp>
        <stp>SZS:399106</stp>
        <stp>등락률</stp>
        <stp>42755</stp>
        <stp/>
        <tr r="J24" s="1"/>
      </tp>
      <tp>
        <v>11.96</v>
        <stp/>
        <stp>P</stp>
        <stp>0</stp>
        <stp>FRN</stp>
        <stp>CAI:SPTSX</stp>
        <stp>전일대비</stp>
        <stp>42755</stp>
        <stp/>
        <tr r="I12" s="1"/>
      </tp>
      <tp>
        <v>82300.320000000007</v>
        <stp/>
        <stp>P</stp>
        <stp>0</stp>
        <stp>FRN</stp>
        <stp>TRI:ISE100</stp>
        <stp>현재가</stp>
        <stp>42755</stp>
        <stp/>
        <tr r="H31" s="1"/>
      </tp>
      <tp>
        <v>0.55000000000000004</v>
        <stp/>
        <stp>P</stp>
        <stp>0</stp>
        <stp>FRN</stp>
        <stp>SHS:000001</stp>
        <stp>등락률</stp>
        <stp>42755</stp>
        <stp/>
        <tr r="J23" s="1"/>
      </tp>
      <tp>
        <v>0</v>
        <stp/>
        <stp>P</stp>
        <stp>0</stp>
        <stp>FRN</stp>
        <stp>PAS:CAC40</stp>
        <stp>전일대비</stp>
        <stp>42755</stp>
        <stp/>
        <tr r="I3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solidFill>
                  <a:sysClr val="windowText" lastClr="000000"/>
                </a:solidFill>
              </a:defRPr>
            </a:pPr>
            <a:r>
              <a:rPr lang="ko-KR" altLang="en-US" sz="1200">
                <a:solidFill>
                  <a:sysClr val="windowText" lastClr="000000"/>
                </a:solidFill>
              </a:rPr>
              <a:t>세계주요지수 비교</a:t>
            </a:r>
          </a:p>
        </c:rich>
      </c:tx>
      <c:layout>
        <c:manualLayout>
          <c:xMode val="edge"/>
          <c:yMode val="edge"/>
          <c:x val="0.36489741771282297"/>
          <c:y val="1.603206412825651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세계주요지수2!$AR$4</c:f>
              <c:strCache>
                <c:ptCount val="1"/>
                <c:pt idx="0">
                  <c:v>한국(KOSPI)</c:v>
                </c:pt>
              </c:strCache>
            </c:strRef>
          </c:tx>
          <c:spPr>
            <a:ln w="25400">
              <a:solidFill>
                <a:srgbClr val="FF01A2"/>
              </a:solidFill>
            </a:ln>
          </c:spPr>
          <c:marker>
            <c:symbol val="none"/>
          </c:marker>
          <c:cat>
            <c:numRef>
              <c:f>세계주요지수2!$AR$6:$AR$371</c:f>
              <c:numCache>
                <c:formatCode>m/d/yyyy</c:formatCode>
                <c:ptCount val="366"/>
                <c:pt idx="0">
                  <c:v>42754</c:v>
                </c:pt>
                <c:pt idx="1">
                  <c:v>42753</c:v>
                </c:pt>
                <c:pt idx="2">
                  <c:v>42752</c:v>
                </c:pt>
                <c:pt idx="3">
                  <c:v>42751</c:v>
                </c:pt>
                <c:pt idx="4">
                  <c:v>42748</c:v>
                </c:pt>
                <c:pt idx="5">
                  <c:v>42747</c:v>
                </c:pt>
                <c:pt idx="6">
                  <c:v>42746</c:v>
                </c:pt>
                <c:pt idx="7">
                  <c:v>42745</c:v>
                </c:pt>
                <c:pt idx="8">
                  <c:v>42744</c:v>
                </c:pt>
                <c:pt idx="9">
                  <c:v>42741</c:v>
                </c:pt>
                <c:pt idx="10">
                  <c:v>42740</c:v>
                </c:pt>
                <c:pt idx="11">
                  <c:v>42739</c:v>
                </c:pt>
                <c:pt idx="12">
                  <c:v>42738</c:v>
                </c:pt>
                <c:pt idx="13">
                  <c:v>42737</c:v>
                </c:pt>
                <c:pt idx="14">
                  <c:v>42733</c:v>
                </c:pt>
                <c:pt idx="15">
                  <c:v>42732</c:v>
                </c:pt>
                <c:pt idx="16">
                  <c:v>42731</c:v>
                </c:pt>
                <c:pt idx="17">
                  <c:v>42730</c:v>
                </c:pt>
                <c:pt idx="18">
                  <c:v>42727</c:v>
                </c:pt>
                <c:pt idx="19">
                  <c:v>42726</c:v>
                </c:pt>
                <c:pt idx="20">
                  <c:v>42725</c:v>
                </c:pt>
                <c:pt idx="21">
                  <c:v>42724</c:v>
                </c:pt>
                <c:pt idx="22">
                  <c:v>42723</c:v>
                </c:pt>
                <c:pt idx="23">
                  <c:v>42720</c:v>
                </c:pt>
                <c:pt idx="24">
                  <c:v>42719</c:v>
                </c:pt>
                <c:pt idx="25">
                  <c:v>42718</c:v>
                </c:pt>
                <c:pt idx="26">
                  <c:v>42717</c:v>
                </c:pt>
                <c:pt idx="27">
                  <c:v>42716</c:v>
                </c:pt>
                <c:pt idx="28">
                  <c:v>42713</c:v>
                </c:pt>
                <c:pt idx="29">
                  <c:v>42712</c:v>
                </c:pt>
                <c:pt idx="30">
                  <c:v>42711</c:v>
                </c:pt>
                <c:pt idx="31">
                  <c:v>42710</c:v>
                </c:pt>
                <c:pt idx="32">
                  <c:v>42709</c:v>
                </c:pt>
                <c:pt idx="33">
                  <c:v>42706</c:v>
                </c:pt>
                <c:pt idx="34">
                  <c:v>42705</c:v>
                </c:pt>
                <c:pt idx="35">
                  <c:v>42704</c:v>
                </c:pt>
                <c:pt idx="36">
                  <c:v>42703</c:v>
                </c:pt>
                <c:pt idx="37">
                  <c:v>42702</c:v>
                </c:pt>
                <c:pt idx="38">
                  <c:v>42699</c:v>
                </c:pt>
                <c:pt idx="39">
                  <c:v>42698</c:v>
                </c:pt>
                <c:pt idx="40">
                  <c:v>42697</c:v>
                </c:pt>
                <c:pt idx="41">
                  <c:v>42696</c:v>
                </c:pt>
                <c:pt idx="42">
                  <c:v>42695</c:v>
                </c:pt>
                <c:pt idx="43">
                  <c:v>42692</c:v>
                </c:pt>
                <c:pt idx="44">
                  <c:v>42691</c:v>
                </c:pt>
                <c:pt idx="45">
                  <c:v>42690</c:v>
                </c:pt>
                <c:pt idx="46">
                  <c:v>42689</c:v>
                </c:pt>
                <c:pt idx="47">
                  <c:v>42688</c:v>
                </c:pt>
                <c:pt idx="48">
                  <c:v>42685</c:v>
                </c:pt>
                <c:pt idx="49">
                  <c:v>42684</c:v>
                </c:pt>
                <c:pt idx="50">
                  <c:v>42683</c:v>
                </c:pt>
                <c:pt idx="51">
                  <c:v>42682</c:v>
                </c:pt>
                <c:pt idx="52">
                  <c:v>42681</c:v>
                </c:pt>
                <c:pt idx="53">
                  <c:v>42678</c:v>
                </c:pt>
                <c:pt idx="54">
                  <c:v>42677</c:v>
                </c:pt>
                <c:pt idx="55">
                  <c:v>42676</c:v>
                </c:pt>
                <c:pt idx="56">
                  <c:v>42675</c:v>
                </c:pt>
                <c:pt idx="57">
                  <c:v>42674</c:v>
                </c:pt>
                <c:pt idx="58">
                  <c:v>42671</c:v>
                </c:pt>
                <c:pt idx="59">
                  <c:v>42670</c:v>
                </c:pt>
                <c:pt idx="60">
                  <c:v>42669</c:v>
                </c:pt>
                <c:pt idx="61">
                  <c:v>42668</c:v>
                </c:pt>
                <c:pt idx="62">
                  <c:v>42667</c:v>
                </c:pt>
                <c:pt idx="63">
                  <c:v>42664</c:v>
                </c:pt>
                <c:pt idx="64">
                  <c:v>42663</c:v>
                </c:pt>
                <c:pt idx="65">
                  <c:v>42662</c:v>
                </c:pt>
                <c:pt idx="66">
                  <c:v>42661</c:v>
                </c:pt>
                <c:pt idx="67">
                  <c:v>42660</c:v>
                </c:pt>
                <c:pt idx="68">
                  <c:v>42657</c:v>
                </c:pt>
                <c:pt idx="69">
                  <c:v>42656</c:v>
                </c:pt>
                <c:pt idx="70">
                  <c:v>42655</c:v>
                </c:pt>
                <c:pt idx="71">
                  <c:v>42654</c:v>
                </c:pt>
                <c:pt idx="72">
                  <c:v>42653</c:v>
                </c:pt>
                <c:pt idx="73">
                  <c:v>42650</c:v>
                </c:pt>
                <c:pt idx="74">
                  <c:v>42649</c:v>
                </c:pt>
                <c:pt idx="75">
                  <c:v>42648</c:v>
                </c:pt>
                <c:pt idx="76">
                  <c:v>42647</c:v>
                </c:pt>
                <c:pt idx="77">
                  <c:v>42643</c:v>
                </c:pt>
                <c:pt idx="78">
                  <c:v>42642</c:v>
                </c:pt>
                <c:pt idx="79">
                  <c:v>42641</c:v>
                </c:pt>
                <c:pt idx="80">
                  <c:v>42640</c:v>
                </c:pt>
                <c:pt idx="81">
                  <c:v>42639</c:v>
                </c:pt>
                <c:pt idx="82">
                  <c:v>42636</c:v>
                </c:pt>
                <c:pt idx="83">
                  <c:v>42635</c:v>
                </c:pt>
                <c:pt idx="84">
                  <c:v>42634</c:v>
                </c:pt>
                <c:pt idx="85">
                  <c:v>42633</c:v>
                </c:pt>
                <c:pt idx="86">
                  <c:v>42632</c:v>
                </c:pt>
                <c:pt idx="87">
                  <c:v>42626</c:v>
                </c:pt>
                <c:pt idx="88">
                  <c:v>42625</c:v>
                </c:pt>
                <c:pt idx="89">
                  <c:v>42622</c:v>
                </c:pt>
                <c:pt idx="90">
                  <c:v>42621</c:v>
                </c:pt>
                <c:pt idx="91">
                  <c:v>42620</c:v>
                </c:pt>
                <c:pt idx="92">
                  <c:v>42619</c:v>
                </c:pt>
                <c:pt idx="93">
                  <c:v>42618</c:v>
                </c:pt>
                <c:pt idx="94">
                  <c:v>42615</c:v>
                </c:pt>
                <c:pt idx="95">
                  <c:v>42614</c:v>
                </c:pt>
                <c:pt idx="96">
                  <c:v>42613</c:v>
                </c:pt>
                <c:pt idx="97">
                  <c:v>42612</c:v>
                </c:pt>
                <c:pt idx="98">
                  <c:v>42611</c:v>
                </c:pt>
                <c:pt idx="99">
                  <c:v>42608</c:v>
                </c:pt>
                <c:pt idx="100">
                  <c:v>42607</c:v>
                </c:pt>
                <c:pt idx="101">
                  <c:v>42606</c:v>
                </c:pt>
                <c:pt idx="102">
                  <c:v>42605</c:v>
                </c:pt>
                <c:pt idx="103">
                  <c:v>42604</c:v>
                </c:pt>
                <c:pt idx="104">
                  <c:v>42601</c:v>
                </c:pt>
                <c:pt idx="105">
                  <c:v>42600</c:v>
                </c:pt>
                <c:pt idx="106">
                  <c:v>42599</c:v>
                </c:pt>
                <c:pt idx="107">
                  <c:v>42598</c:v>
                </c:pt>
                <c:pt idx="108">
                  <c:v>42594</c:v>
                </c:pt>
                <c:pt idx="109">
                  <c:v>42593</c:v>
                </c:pt>
                <c:pt idx="110">
                  <c:v>42592</c:v>
                </c:pt>
                <c:pt idx="111">
                  <c:v>42591</c:v>
                </c:pt>
                <c:pt idx="112">
                  <c:v>42590</c:v>
                </c:pt>
                <c:pt idx="113">
                  <c:v>42587</c:v>
                </c:pt>
                <c:pt idx="114">
                  <c:v>42586</c:v>
                </c:pt>
                <c:pt idx="115">
                  <c:v>42585</c:v>
                </c:pt>
                <c:pt idx="116">
                  <c:v>42584</c:v>
                </c:pt>
                <c:pt idx="117">
                  <c:v>42583</c:v>
                </c:pt>
                <c:pt idx="118">
                  <c:v>42580</c:v>
                </c:pt>
                <c:pt idx="119">
                  <c:v>42579</c:v>
                </c:pt>
                <c:pt idx="120">
                  <c:v>42578</c:v>
                </c:pt>
                <c:pt idx="121">
                  <c:v>42577</c:v>
                </c:pt>
                <c:pt idx="122">
                  <c:v>42576</c:v>
                </c:pt>
                <c:pt idx="123">
                  <c:v>42573</c:v>
                </c:pt>
                <c:pt idx="124">
                  <c:v>42572</c:v>
                </c:pt>
                <c:pt idx="125">
                  <c:v>42571</c:v>
                </c:pt>
                <c:pt idx="126">
                  <c:v>42570</c:v>
                </c:pt>
                <c:pt idx="127">
                  <c:v>42569</c:v>
                </c:pt>
                <c:pt idx="128">
                  <c:v>42566</c:v>
                </c:pt>
                <c:pt idx="129">
                  <c:v>42565</c:v>
                </c:pt>
                <c:pt idx="130">
                  <c:v>42564</c:v>
                </c:pt>
                <c:pt idx="131">
                  <c:v>42563</c:v>
                </c:pt>
                <c:pt idx="132">
                  <c:v>42562</c:v>
                </c:pt>
                <c:pt idx="133">
                  <c:v>42559</c:v>
                </c:pt>
                <c:pt idx="134">
                  <c:v>42558</c:v>
                </c:pt>
                <c:pt idx="135">
                  <c:v>42557</c:v>
                </c:pt>
                <c:pt idx="136">
                  <c:v>42556</c:v>
                </c:pt>
                <c:pt idx="137">
                  <c:v>42555</c:v>
                </c:pt>
                <c:pt idx="138">
                  <c:v>42552</c:v>
                </c:pt>
                <c:pt idx="139">
                  <c:v>42551</c:v>
                </c:pt>
                <c:pt idx="140">
                  <c:v>42550</c:v>
                </c:pt>
                <c:pt idx="141">
                  <c:v>42549</c:v>
                </c:pt>
                <c:pt idx="142">
                  <c:v>42548</c:v>
                </c:pt>
                <c:pt idx="143">
                  <c:v>42545</c:v>
                </c:pt>
                <c:pt idx="144">
                  <c:v>42544</c:v>
                </c:pt>
                <c:pt idx="145">
                  <c:v>42543</c:v>
                </c:pt>
                <c:pt idx="146">
                  <c:v>42542</c:v>
                </c:pt>
                <c:pt idx="147">
                  <c:v>42541</c:v>
                </c:pt>
                <c:pt idx="148">
                  <c:v>42538</c:v>
                </c:pt>
                <c:pt idx="149">
                  <c:v>42537</c:v>
                </c:pt>
                <c:pt idx="150">
                  <c:v>42536</c:v>
                </c:pt>
                <c:pt idx="151">
                  <c:v>42535</c:v>
                </c:pt>
                <c:pt idx="152">
                  <c:v>42534</c:v>
                </c:pt>
                <c:pt idx="153">
                  <c:v>42531</c:v>
                </c:pt>
                <c:pt idx="154">
                  <c:v>42530</c:v>
                </c:pt>
                <c:pt idx="155">
                  <c:v>42529</c:v>
                </c:pt>
                <c:pt idx="156">
                  <c:v>42528</c:v>
                </c:pt>
                <c:pt idx="157">
                  <c:v>42524</c:v>
                </c:pt>
                <c:pt idx="158">
                  <c:v>42523</c:v>
                </c:pt>
                <c:pt idx="159">
                  <c:v>42522</c:v>
                </c:pt>
                <c:pt idx="160">
                  <c:v>42521</c:v>
                </c:pt>
                <c:pt idx="161">
                  <c:v>42520</c:v>
                </c:pt>
                <c:pt idx="162">
                  <c:v>42517</c:v>
                </c:pt>
                <c:pt idx="163">
                  <c:v>42516</c:v>
                </c:pt>
                <c:pt idx="164">
                  <c:v>42515</c:v>
                </c:pt>
                <c:pt idx="165">
                  <c:v>42514</c:v>
                </c:pt>
                <c:pt idx="166">
                  <c:v>42513</c:v>
                </c:pt>
                <c:pt idx="167">
                  <c:v>42510</c:v>
                </c:pt>
                <c:pt idx="168">
                  <c:v>42509</c:v>
                </c:pt>
                <c:pt idx="169">
                  <c:v>42508</c:v>
                </c:pt>
                <c:pt idx="170">
                  <c:v>42507</c:v>
                </c:pt>
                <c:pt idx="171">
                  <c:v>42506</c:v>
                </c:pt>
                <c:pt idx="172">
                  <c:v>42503</c:v>
                </c:pt>
                <c:pt idx="173">
                  <c:v>42502</c:v>
                </c:pt>
                <c:pt idx="174">
                  <c:v>42501</c:v>
                </c:pt>
                <c:pt idx="175">
                  <c:v>42500</c:v>
                </c:pt>
                <c:pt idx="176">
                  <c:v>42499</c:v>
                </c:pt>
                <c:pt idx="177">
                  <c:v>42494</c:v>
                </c:pt>
                <c:pt idx="178">
                  <c:v>42493</c:v>
                </c:pt>
                <c:pt idx="179">
                  <c:v>42492</c:v>
                </c:pt>
                <c:pt idx="180">
                  <c:v>42489</c:v>
                </c:pt>
                <c:pt idx="181">
                  <c:v>42488</c:v>
                </c:pt>
                <c:pt idx="182">
                  <c:v>42487</c:v>
                </c:pt>
                <c:pt idx="183">
                  <c:v>42486</c:v>
                </c:pt>
                <c:pt idx="184">
                  <c:v>42485</c:v>
                </c:pt>
                <c:pt idx="185">
                  <c:v>42482</c:v>
                </c:pt>
                <c:pt idx="186">
                  <c:v>42481</c:v>
                </c:pt>
                <c:pt idx="187">
                  <c:v>42480</c:v>
                </c:pt>
                <c:pt idx="188">
                  <c:v>42479</c:v>
                </c:pt>
                <c:pt idx="189">
                  <c:v>42478</c:v>
                </c:pt>
                <c:pt idx="190">
                  <c:v>42475</c:v>
                </c:pt>
                <c:pt idx="191">
                  <c:v>42474</c:v>
                </c:pt>
                <c:pt idx="192">
                  <c:v>42472</c:v>
                </c:pt>
                <c:pt idx="193">
                  <c:v>42471</c:v>
                </c:pt>
                <c:pt idx="194">
                  <c:v>42468</c:v>
                </c:pt>
                <c:pt idx="195">
                  <c:v>42467</c:v>
                </c:pt>
                <c:pt idx="196">
                  <c:v>42466</c:v>
                </c:pt>
                <c:pt idx="197">
                  <c:v>42465</c:v>
                </c:pt>
                <c:pt idx="198">
                  <c:v>42464</c:v>
                </c:pt>
                <c:pt idx="199">
                  <c:v>42461</c:v>
                </c:pt>
                <c:pt idx="200">
                  <c:v>42460</c:v>
                </c:pt>
                <c:pt idx="201">
                  <c:v>42459</c:v>
                </c:pt>
                <c:pt idx="202">
                  <c:v>42458</c:v>
                </c:pt>
                <c:pt idx="203">
                  <c:v>42457</c:v>
                </c:pt>
                <c:pt idx="204">
                  <c:v>42454</c:v>
                </c:pt>
                <c:pt idx="205">
                  <c:v>42453</c:v>
                </c:pt>
                <c:pt idx="206">
                  <c:v>42452</c:v>
                </c:pt>
                <c:pt idx="207">
                  <c:v>42451</c:v>
                </c:pt>
                <c:pt idx="208">
                  <c:v>42450</c:v>
                </c:pt>
                <c:pt idx="209">
                  <c:v>42447</c:v>
                </c:pt>
                <c:pt idx="210">
                  <c:v>42446</c:v>
                </c:pt>
                <c:pt idx="211">
                  <c:v>42445</c:v>
                </c:pt>
                <c:pt idx="212">
                  <c:v>42444</c:v>
                </c:pt>
                <c:pt idx="213">
                  <c:v>42443</c:v>
                </c:pt>
                <c:pt idx="214">
                  <c:v>42440</c:v>
                </c:pt>
                <c:pt idx="215">
                  <c:v>42439</c:v>
                </c:pt>
                <c:pt idx="216">
                  <c:v>42438</c:v>
                </c:pt>
                <c:pt idx="217">
                  <c:v>42437</c:v>
                </c:pt>
                <c:pt idx="218">
                  <c:v>42436</c:v>
                </c:pt>
                <c:pt idx="219">
                  <c:v>42433</c:v>
                </c:pt>
                <c:pt idx="220">
                  <c:v>42432</c:v>
                </c:pt>
                <c:pt idx="221">
                  <c:v>42431</c:v>
                </c:pt>
                <c:pt idx="222">
                  <c:v>42429</c:v>
                </c:pt>
                <c:pt idx="223">
                  <c:v>42426</c:v>
                </c:pt>
                <c:pt idx="224">
                  <c:v>42425</c:v>
                </c:pt>
                <c:pt idx="225">
                  <c:v>42424</c:v>
                </c:pt>
                <c:pt idx="226">
                  <c:v>42423</c:v>
                </c:pt>
                <c:pt idx="227">
                  <c:v>42422</c:v>
                </c:pt>
                <c:pt idx="228">
                  <c:v>42419</c:v>
                </c:pt>
                <c:pt idx="229">
                  <c:v>42418</c:v>
                </c:pt>
                <c:pt idx="230">
                  <c:v>42417</c:v>
                </c:pt>
                <c:pt idx="231">
                  <c:v>42416</c:v>
                </c:pt>
                <c:pt idx="232">
                  <c:v>42415</c:v>
                </c:pt>
                <c:pt idx="233">
                  <c:v>42412</c:v>
                </c:pt>
                <c:pt idx="234">
                  <c:v>42411</c:v>
                </c:pt>
                <c:pt idx="235">
                  <c:v>42405</c:v>
                </c:pt>
                <c:pt idx="236">
                  <c:v>42404</c:v>
                </c:pt>
                <c:pt idx="237">
                  <c:v>42403</c:v>
                </c:pt>
                <c:pt idx="238">
                  <c:v>42402</c:v>
                </c:pt>
                <c:pt idx="239">
                  <c:v>42401</c:v>
                </c:pt>
                <c:pt idx="240">
                  <c:v>42398</c:v>
                </c:pt>
                <c:pt idx="241">
                  <c:v>42397</c:v>
                </c:pt>
                <c:pt idx="242">
                  <c:v>42396</c:v>
                </c:pt>
                <c:pt idx="243">
                  <c:v>42395</c:v>
                </c:pt>
                <c:pt idx="244">
                  <c:v>42394</c:v>
                </c:pt>
                <c:pt idx="245">
                  <c:v>42391</c:v>
                </c:pt>
                <c:pt idx="246">
                  <c:v>42390</c:v>
                </c:pt>
                <c:pt idx="247">
                  <c:v>42389</c:v>
                </c:pt>
                <c:pt idx="248">
                  <c:v>42388</c:v>
                </c:pt>
              </c:numCache>
            </c:numRef>
          </c:cat>
          <c:val>
            <c:numRef>
              <c:f>세계주요지수2!$AS$6:$AS$371</c:f>
              <c:numCache>
                <c:formatCode>General</c:formatCode>
                <c:ptCount val="366"/>
                <c:pt idx="0">
                  <c:v>2072.79</c:v>
                </c:pt>
                <c:pt idx="1">
                  <c:v>2070.54</c:v>
                </c:pt>
                <c:pt idx="2">
                  <c:v>2071.87</c:v>
                </c:pt>
                <c:pt idx="3">
                  <c:v>2064.17</c:v>
                </c:pt>
                <c:pt idx="4">
                  <c:v>2076.79</c:v>
                </c:pt>
                <c:pt idx="5">
                  <c:v>2087.14</c:v>
                </c:pt>
                <c:pt idx="6">
                  <c:v>2075.17</c:v>
                </c:pt>
                <c:pt idx="7">
                  <c:v>2045.12</c:v>
                </c:pt>
                <c:pt idx="8">
                  <c:v>2048.7800000000002</c:v>
                </c:pt>
                <c:pt idx="9">
                  <c:v>2049.12</c:v>
                </c:pt>
                <c:pt idx="10">
                  <c:v>2041.95</c:v>
                </c:pt>
                <c:pt idx="11">
                  <c:v>2045.64</c:v>
                </c:pt>
                <c:pt idx="12">
                  <c:v>2043.97</c:v>
                </c:pt>
                <c:pt idx="13">
                  <c:v>2026.16</c:v>
                </c:pt>
                <c:pt idx="14">
                  <c:v>2026.46</c:v>
                </c:pt>
                <c:pt idx="15">
                  <c:v>2024.49</c:v>
                </c:pt>
                <c:pt idx="16">
                  <c:v>2042.17</c:v>
                </c:pt>
                <c:pt idx="17">
                  <c:v>2037.75</c:v>
                </c:pt>
                <c:pt idx="18">
                  <c:v>2035.9</c:v>
                </c:pt>
                <c:pt idx="19">
                  <c:v>2035.73</c:v>
                </c:pt>
                <c:pt idx="20">
                  <c:v>2037.96</c:v>
                </c:pt>
                <c:pt idx="21">
                  <c:v>2041.94</c:v>
                </c:pt>
                <c:pt idx="22">
                  <c:v>2038.39</c:v>
                </c:pt>
                <c:pt idx="23">
                  <c:v>2042.24</c:v>
                </c:pt>
                <c:pt idx="24">
                  <c:v>2036.65</c:v>
                </c:pt>
                <c:pt idx="25">
                  <c:v>2036.87</c:v>
                </c:pt>
                <c:pt idx="26">
                  <c:v>2035.98</c:v>
                </c:pt>
                <c:pt idx="27">
                  <c:v>2027.24</c:v>
                </c:pt>
                <c:pt idx="28">
                  <c:v>2024.69</c:v>
                </c:pt>
                <c:pt idx="29">
                  <c:v>2031.07</c:v>
                </c:pt>
                <c:pt idx="30">
                  <c:v>1991.89</c:v>
                </c:pt>
                <c:pt idx="31">
                  <c:v>1989.86</c:v>
                </c:pt>
                <c:pt idx="32">
                  <c:v>1963.36</c:v>
                </c:pt>
                <c:pt idx="33">
                  <c:v>1970.61</c:v>
                </c:pt>
                <c:pt idx="34">
                  <c:v>1983.75</c:v>
                </c:pt>
                <c:pt idx="35">
                  <c:v>1983.48</c:v>
                </c:pt>
                <c:pt idx="36">
                  <c:v>1978.39</c:v>
                </c:pt>
                <c:pt idx="37">
                  <c:v>1978.13</c:v>
                </c:pt>
                <c:pt idx="38">
                  <c:v>1974.46</c:v>
                </c:pt>
                <c:pt idx="39">
                  <c:v>1971.26</c:v>
                </c:pt>
                <c:pt idx="40">
                  <c:v>1987.95</c:v>
                </c:pt>
                <c:pt idx="41">
                  <c:v>1983.47</c:v>
                </c:pt>
                <c:pt idx="42">
                  <c:v>1966.05</c:v>
                </c:pt>
                <c:pt idx="43">
                  <c:v>1974.58</c:v>
                </c:pt>
                <c:pt idx="44">
                  <c:v>1980.55</c:v>
                </c:pt>
                <c:pt idx="45">
                  <c:v>1979.65</c:v>
                </c:pt>
                <c:pt idx="46">
                  <c:v>1967.53</c:v>
                </c:pt>
                <c:pt idx="47">
                  <c:v>1974.4</c:v>
                </c:pt>
                <c:pt idx="48">
                  <c:v>1984.43</c:v>
                </c:pt>
                <c:pt idx="49">
                  <c:v>2002.6</c:v>
                </c:pt>
                <c:pt idx="50">
                  <c:v>1958.38</c:v>
                </c:pt>
                <c:pt idx="51">
                  <c:v>2003.38</c:v>
                </c:pt>
                <c:pt idx="52">
                  <c:v>1997.58</c:v>
                </c:pt>
                <c:pt idx="53">
                  <c:v>1982.02</c:v>
                </c:pt>
                <c:pt idx="54">
                  <c:v>1983.8</c:v>
                </c:pt>
                <c:pt idx="55">
                  <c:v>1978.94</c:v>
                </c:pt>
                <c:pt idx="56">
                  <c:v>2007.39</c:v>
                </c:pt>
                <c:pt idx="57">
                  <c:v>2008.19</c:v>
                </c:pt>
                <c:pt idx="58">
                  <c:v>2019.42</c:v>
                </c:pt>
                <c:pt idx="59">
                  <c:v>2024.12</c:v>
                </c:pt>
                <c:pt idx="60">
                  <c:v>2013.89</c:v>
                </c:pt>
                <c:pt idx="61">
                  <c:v>2037.17</c:v>
                </c:pt>
                <c:pt idx="62">
                  <c:v>2047.74</c:v>
                </c:pt>
                <c:pt idx="63">
                  <c:v>2033</c:v>
                </c:pt>
                <c:pt idx="64">
                  <c:v>2040.6</c:v>
                </c:pt>
                <c:pt idx="65">
                  <c:v>2040.94</c:v>
                </c:pt>
                <c:pt idx="66">
                  <c:v>2040.43</c:v>
                </c:pt>
                <c:pt idx="67">
                  <c:v>2027.61</c:v>
                </c:pt>
                <c:pt idx="68">
                  <c:v>2022.66</c:v>
                </c:pt>
                <c:pt idx="69">
                  <c:v>2015.44</c:v>
                </c:pt>
                <c:pt idx="70">
                  <c:v>2033.73</c:v>
                </c:pt>
                <c:pt idx="71">
                  <c:v>2031.93</c:v>
                </c:pt>
                <c:pt idx="72">
                  <c:v>2056.8200000000002</c:v>
                </c:pt>
                <c:pt idx="73">
                  <c:v>2053.8000000000002</c:v>
                </c:pt>
                <c:pt idx="74">
                  <c:v>2065.3000000000002</c:v>
                </c:pt>
                <c:pt idx="75">
                  <c:v>2053</c:v>
                </c:pt>
                <c:pt idx="76">
                  <c:v>2054.86</c:v>
                </c:pt>
                <c:pt idx="77">
                  <c:v>2043.63</c:v>
                </c:pt>
                <c:pt idx="78">
                  <c:v>2068.7199999999998</c:v>
                </c:pt>
                <c:pt idx="79">
                  <c:v>2053.06</c:v>
                </c:pt>
                <c:pt idx="80">
                  <c:v>2062.8200000000002</c:v>
                </c:pt>
                <c:pt idx="81">
                  <c:v>2047.11</c:v>
                </c:pt>
                <c:pt idx="82">
                  <c:v>2054.0700000000002</c:v>
                </c:pt>
                <c:pt idx="83">
                  <c:v>2049.6999999999998</c:v>
                </c:pt>
                <c:pt idx="84">
                  <c:v>2035.99</c:v>
                </c:pt>
                <c:pt idx="85">
                  <c:v>2025.71</c:v>
                </c:pt>
                <c:pt idx="86">
                  <c:v>2015.78</c:v>
                </c:pt>
                <c:pt idx="87">
                  <c:v>1999.36</c:v>
                </c:pt>
                <c:pt idx="88">
                  <c:v>1991.48</c:v>
                </c:pt>
                <c:pt idx="89">
                  <c:v>2037.87</c:v>
                </c:pt>
                <c:pt idx="90">
                  <c:v>2063.73</c:v>
                </c:pt>
                <c:pt idx="91">
                  <c:v>2061.88</c:v>
                </c:pt>
                <c:pt idx="92">
                  <c:v>2066.5300000000002</c:v>
                </c:pt>
                <c:pt idx="93">
                  <c:v>2060.08</c:v>
                </c:pt>
                <c:pt idx="94">
                  <c:v>2038.31</c:v>
                </c:pt>
                <c:pt idx="95">
                  <c:v>2032.72</c:v>
                </c:pt>
                <c:pt idx="96">
                  <c:v>2034.65</c:v>
                </c:pt>
                <c:pt idx="97">
                  <c:v>2039.74</c:v>
                </c:pt>
                <c:pt idx="98">
                  <c:v>2032.35</c:v>
                </c:pt>
                <c:pt idx="99">
                  <c:v>2037.5</c:v>
                </c:pt>
                <c:pt idx="100">
                  <c:v>2042.92</c:v>
                </c:pt>
                <c:pt idx="101">
                  <c:v>2043.76</c:v>
                </c:pt>
                <c:pt idx="102">
                  <c:v>2049.9299999999998</c:v>
                </c:pt>
                <c:pt idx="103">
                  <c:v>2042.16</c:v>
                </c:pt>
                <c:pt idx="104">
                  <c:v>2056.2399999999998</c:v>
                </c:pt>
                <c:pt idx="105">
                  <c:v>2055.4699999999998</c:v>
                </c:pt>
                <c:pt idx="106">
                  <c:v>2043.75</c:v>
                </c:pt>
                <c:pt idx="107">
                  <c:v>2047.76</c:v>
                </c:pt>
                <c:pt idx="108">
                  <c:v>2050.4699999999998</c:v>
                </c:pt>
                <c:pt idx="109">
                  <c:v>2048.8000000000002</c:v>
                </c:pt>
                <c:pt idx="110">
                  <c:v>2044.64</c:v>
                </c:pt>
                <c:pt idx="111">
                  <c:v>2043.78</c:v>
                </c:pt>
                <c:pt idx="112">
                  <c:v>2031.12</c:v>
                </c:pt>
                <c:pt idx="113">
                  <c:v>2017.94</c:v>
                </c:pt>
                <c:pt idx="114">
                  <c:v>2000.03</c:v>
                </c:pt>
                <c:pt idx="115">
                  <c:v>1994.79</c:v>
                </c:pt>
                <c:pt idx="116">
                  <c:v>2019.03</c:v>
                </c:pt>
                <c:pt idx="117">
                  <c:v>2029.61</c:v>
                </c:pt>
                <c:pt idx="118">
                  <c:v>2016.19</c:v>
                </c:pt>
                <c:pt idx="119">
                  <c:v>2021.1</c:v>
                </c:pt>
                <c:pt idx="120">
                  <c:v>2025.05</c:v>
                </c:pt>
                <c:pt idx="121">
                  <c:v>2027.34</c:v>
                </c:pt>
                <c:pt idx="122">
                  <c:v>2012.32</c:v>
                </c:pt>
                <c:pt idx="123">
                  <c:v>2010.34</c:v>
                </c:pt>
                <c:pt idx="124">
                  <c:v>2012.22</c:v>
                </c:pt>
                <c:pt idx="125">
                  <c:v>2015.46</c:v>
                </c:pt>
                <c:pt idx="126">
                  <c:v>2016.89</c:v>
                </c:pt>
                <c:pt idx="127">
                  <c:v>2021.11</c:v>
                </c:pt>
                <c:pt idx="128">
                  <c:v>2017.26</c:v>
                </c:pt>
                <c:pt idx="129">
                  <c:v>2008.77</c:v>
                </c:pt>
                <c:pt idx="130">
                  <c:v>2005.55</c:v>
                </c:pt>
                <c:pt idx="131">
                  <c:v>1991.23</c:v>
                </c:pt>
                <c:pt idx="132">
                  <c:v>1988.54</c:v>
                </c:pt>
                <c:pt idx="133">
                  <c:v>1963.1</c:v>
                </c:pt>
                <c:pt idx="134">
                  <c:v>1974.08</c:v>
                </c:pt>
                <c:pt idx="135">
                  <c:v>1953.12</c:v>
                </c:pt>
                <c:pt idx="136">
                  <c:v>1989.85</c:v>
                </c:pt>
                <c:pt idx="137">
                  <c:v>1995.3</c:v>
                </c:pt>
                <c:pt idx="138">
                  <c:v>1987.32</c:v>
                </c:pt>
                <c:pt idx="139">
                  <c:v>1970.35</c:v>
                </c:pt>
                <c:pt idx="140">
                  <c:v>1956.36</c:v>
                </c:pt>
                <c:pt idx="141">
                  <c:v>1936.22</c:v>
                </c:pt>
                <c:pt idx="142">
                  <c:v>1926.85</c:v>
                </c:pt>
                <c:pt idx="143">
                  <c:v>1925.24</c:v>
                </c:pt>
                <c:pt idx="144">
                  <c:v>1986.71</c:v>
                </c:pt>
                <c:pt idx="145">
                  <c:v>1992.58</c:v>
                </c:pt>
                <c:pt idx="146">
                  <c:v>1982.7</c:v>
                </c:pt>
                <c:pt idx="147">
                  <c:v>1981.12</c:v>
                </c:pt>
                <c:pt idx="148">
                  <c:v>1953.4</c:v>
                </c:pt>
                <c:pt idx="149">
                  <c:v>1951.99</c:v>
                </c:pt>
                <c:pt idx="150">
                  <c:v>1968.83</c:v>
                </c:pt>
                <c:pt idx="151">
                  <c:v>1972.03</c:v>
                </c:pt>
                <c:pt idx="152">
                  <c:v>1979.06</c:v>
                </c:pt>
                <c:pt idx="153">
                  <c:v>2017.63</c:v>
                </c:pt>
                <c:pt idx="154">
                  <c:v>2024.17</c:v>
                </c:pt>
                <c:pt idx="155">
                  <c:v>2027.08</c:v>
                </c:pt>
                <c:pt idx="156">
                  <c:v>2011.63</c:v>
                </c:pt>
                <c:pt idx="157">
                  <c:v>1985.84</c:v>
                </c:pt>
                <c:pt idx="158">
                  <c:v>1985.11</c:v>
                </c:pt>
                <c:pt idx="159">
                  <c:v>1982.72</c:v>
                </c:pt>
                <c:pt idx="160">
                  <c:v>1983.4</c:v>
                </c:pt>
                <c:pt idx="161">
                  <c:v>1967.13</c:v>
                </c:pt>
                <c:pt idx="162">
                  <c:v>1969.17</c:v>
                </c:pt>
                <c:pt idx="163">
                  <c:v>1957.06</c:v>
                </c:pt>
                <c:pt idx="164">
                  <c:v>1960.51</c:v>
                </c:pt>
                <c:pt idx="165">
                  <c:v>1937.68</c:v>
                </c:pt>
                <c:pt idx="166">
                  <c:v>1955.25</c:v>
                </c:pt>
                <c:pt idx="167">
                  <c:v>1947.67</c:v>
                </c:pt>
                <c:pt idx="168">
                  <c:v>1946.78</c:v>
                </c:pt>
                <c:pt idx="169">
                  <c:v>1956.73</c:v>
                </c:pt>
                <c:pt idx="170">
                  <c:v>1968.06</c:v>
                </c:pt>
                <c:pt idx="171">
                  <c:v>1967.91</c:v>
                </c:pt>
                <c:pt idx="172">
                  <c:v>1966.99</c:v>
                </c:pt>
                <c:pt idx="173">
                  <c:v>1977.49</c:v>
                </c:pt>
                <c:pt idx="174">
                  <c:v>1980.1</c:v>
                </c:pt>
                <c:pt idx="175">
                  <c:v>1982.5</c:v>
                </c:pt>
                <c:pt idx="176">
                  <c:v>1967.81</c:v>
                </c:pt>
                <c:pt idx="177">
                  <c:v>1976.71</c:v>
                </c:pt>
                <c:pt idx="178">
                  <c:v>1986.41</c:v>
                </c:pt>
                <c:pt idx="179">
                  <c:v>1978.15</c:v>
                </c:pt>
                <c:pt idx="180">
                  <c:v>1994.15</c:v>
                </c:pt>
                <c:pt idx="181">
                  <c:v>2000.93</c:v>
                </c:pt>
                <c:pt idx="182">
                  <c:v>2015.4</c:v>
                </c:pt>
                <c:pt idx="183">
                  <c:v>2019.63</c:v>
                </c:pt>
                <c:pt idx="184">
                  <c:v>2014.55</c:v>
                </c:pt>
                <c:pt idx="185">
                  <c:v>2015.49</c:v>
                </c:pt>
                <c:pt idx="186">
                  <c:v>2022.1</c:v>
                </c:pt>
                <c:pt idx="187">
                  <c:v>2005.83</c:v>
                </c:pt>
                <c:pt idx="188">
                  <c:v>2011.36</c:v>
                </c:pt>
                <c:pt idx="189">
                  <c:v>2009.1</c:v>
                </c:pt>
                <c:pt idx="190">
                  <c:v>2014.71</c:v>
                </c:pt>
                <c:pt idx="191">
                  <c:v>2015.93</c:v>
                </c:pt>
                <c:pt idx="192">
                  <c:v>1981.32</c:v>
                </c:pt>
                <c:pt idx="193">
                  <c:v>1970.37</c:v>
                </c:pt>
                <c:pt idx="194">
                  <c:v>1972.05</c:v>
                </c:pt>
                <c:pt idx="195">
                  <c:v>1973.89</c:v>
                </c:pt>
                <c:pt idx="196">
                  <c:v>1971.32</c:v>
                </c:pt>
                <c:pt idx="197">
                  <c:v>1962.74</c:v>
                </c:pt>
                <c:pt idx="198">
                  <c:v>1978.97</c:v>
                </c:pt>
                <c:pt idx="199">
                  <c:v>1973.57</c:v>
                </c:pt>
                <c:pt idx="200">
                  <c:v>1995.85</c:v>
                </c:pt>
                <c:pt idx="201">
                  <c:v>2002.14</c:v>
                </c:pt>
                <c:pt idx="202">
                  <c:v>1994.91</c:v>
                </c:pt>
                <c:pt idx="203">
                  <c:v>1982.54</c:v>
                </c:pt>
                <c:pt idx="204">
                  <c:v>1983.81</c:v>
                </c:pt>
                <c:pt idx="205">
                  <c:v>1985.97</c:v>
                </c:pt>
                <c:pt idx="206">
                  <c:v>1995.12</c:v>
                </c:pt>
                <c:pt idx="207">
                  <c:v>1996.81</c:v>
                </c:pt>
                <c:pt idx="208">
                  <c:v>1989.76</c:v>
                </c:pt>
                <c:pt idx="209">
                  <c:v>1992.12</c:v>
                </c:pt>
                <c:pt idx="210">
                  <c:v>1987.99</c:v>
                </c:pt>
                <c:pt idx="211">
                  <c:v>1974.9</c:v>
                </c:pt>
                <c:pt idx="212">
                  <c:v>1969.97</c:v>
                </c:pt>
                <c:pt idx="213">
                  <c:v>1972.27</c:v>
                </c:pt>
                <c:pt idx="214">
                  <c:v>1971.41</c:v>
                </c:pt>
                <c:pt idx="215">
                  <c:v>1969.33</c:v>
                </c:pt>
                <c:pt idx="216">
                  <c:v>1952.95</c:v>
                </c:pt>
                <c:pt idx="217">
                  <c:v>1946.12</c:v>
                </c:pt>
                <c:pt idx="218">
                  <c:v>1957.87</c:v>
                </c:pt>
                <c:pt idx="219">
                  <c:v>1955.63</c:v>
                </c:pt>
                <c:pt idx="220">
                  <c:v>1958.17</c:v>
                </c:pt>
                <c:pt idx="221">
                  <c:v>1947.42</c:v>
                </c:pt>
                <c:pt idx="222">
                  <c:v>1916.66</c:v>
                </c:pt>
                <c:pt idx="223">
                  <c:v>1920.16</c:v>
                </c:pt>
                <c:pt idx="224">
                  <c:v>1918.57</c:v>
                </c:pt>
                <c:pt idx="225">
                  <c:v>1912.53</c:v>
                </c:pt>
                <c:pt idx="226">
                  <c:v>1914.22</c:v>
                </c:pt>
                <c:pt idx="227">
                  <c:v>1916.36</c:v>
                </c:pt>
                <c:pt idx="228">
                  <c:v>1916.24</c:v>
                </c:pt>
                <c:pt idx="229">
                  <c:v>1908.84</c:v>
                </c:pt>
                <c:pt idx="230">
                  <c:v>1883.94</c:v>
                </c:pt>
                <c:pt idx="231">
                  <c:v>1888.3</c:v>
                </c:pt>
                <c:pt idx="232">
                  <c:v>1862.2</c:v>
                </c:pt>
                <c:pt idx="233">
                  <c:v>1835.28</c:v>
                </c:pt>
                <c:pt idx="234">
                  <c:v>1861.54</c:v>
                </c:pt>
                <c:pt idx="235">
                  <c:v>1917.79</c:v>
                </c:pt>
                <c:pt idx="236">
                  <c:v>1916.26</c:v>
                </c:pt>
                <c:pt idx="237">
                  <c:v>1890.67</c:v>
                </c:pt>
                <c:pt idx="238">
                  <c:v>1906.6</c:v>
                </c:pt>
                <c:pt idx="239">
                  <c:v>1924.82</c:v>
                </c:pt>
                <c:pt idx="240">
                  <c:v>1912.06</c:v>
                </c:pt>
                <c:pt idx="241">
                  <c:v>1906.94</c:v>
                </c:pt>
                <c:pt idx="242">
                  <c:v>1897.87</c:v>
                </c:pt>
                <c:pt idx="243">
                  <c:v>1871.69</c:v>
                </c:pt>
                <c:pt idx="244">
                  <c:v>1893.43</c:v>
                </c:pt>
                <c:pt idx="245">
                  <c:v>1879.43</c:v>
                </c:pt>
                <c:pt idx="246">
                  <c:v>1840.53</c:v>
                </c:pt>
                <c:pt idx="247">
                  <c:v>1845.45</c:v>
                </c:pt>
                <c:pt idx="248">
                  <c:v>1889.64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세계주요지수2!$AT$4</c:f>
              <c:strCache>
                <c:ptCount val="1"/>
                <c:pt idx="0">
                  <c:v>미국(DJI)</c:v>
                </c:pt>
              </c:strCache>
            </c:strRef>
          </c:tx>
          <c:spPr>
            <a:ln w="25400">
              <a:solidFill>
                <a:srgbClr val="3366FF"/>
              </a:solidFill>
            </a:ln>
          </c:spPr>
          <c:marker>
            <c:symbol val="none"/>
          </c:marker>
          <c:cat>
            <c:numRef>
              <c:f>세계주요지수2!$AR$6:$AR$371</c:f>
              <c:numCache>
                <c:formatCode>m/d/yyyy</c:formatCode>
                <c:ptCount val="366"/>
                <c:pt idx="0">
                  <c:v>42754</c:v>
                </c:pt>
                <c:pt idx="1">
                  <c:v>42753</c:v>
                </c:pt>
                <c:pt idx="2">
                  <c:v>42752</c:v>
                </c:pt>
                <c:pt idx="3">
                  <c:v>42751</c:v>
                </c:pt>
                <c:pt idx="4">
                  <c:v>42748</c:v>
                </c:pt>
                <c:pt idx="5">
                  <c:v>42747</c:v>
                </c:pt>
                <c:pt idx="6">
                  <c:v>42746</c:v>
                </c:pt>
                <c:pt idx="7">
                  <c:v>42745</c:v>
                </c:pt>
                <c:pt idx="8">
                  <c:v>42744</c:v>
                </c:pt>
                <c:pt idx="9">
                  <c:v>42741</c:v>
                </c:pt>
                <c:pt idx="10">
                  <c:v>42740</c:v>
                </c:pt>
                <c:pt idx="11">
                  <c:v>42739</c:v>
                </c:pt>
                <c:pt idx="12">
                  <c:v>42738</c:v>
                </c:pt>
                <c:pt idx="13">
                  <c:v>42737</c:v>
                </c:pt>
                <c:pt idx="14">
                  <c:v>42733</c:v>
                </c:pt>
                <c:pt idx="15">
                  <c:v>42732</c:v>
                </c:pt>
                <c:pt idx="16">
                  <c:v>42731</c:v>
                </c:pt>
                <c:pt idx="17">
                  <c:v>42730</c:v>
                </c:pt>
                <c:pt idx="18">
                  <c:v>42727</c:v>
                </c:pt>
                <c:pt idx="19">
                  <c:v>42726</c:v>
                </c:pt>
                <c:pt idx="20">
                  <c:v>42725</c:v>
                </c:pt>
                <c:pt idx="21">
                  <c:v>42724</c:v>
                </c:pt>
                <c:pt idx="22">
                  <c:v>42723</c:v>
                </c:pt>
                <c:pt idx="23">
                  <c:v>42720</c:v>
                </c:pt>
                <c:pt idx="24">
                  <c:v>42719</c:v>
                </c:pt>
                <c:pt idx="25">
                  <c:v>42718</c:v>
                </c:pt>
                <c:pt idx="26">
                  <c:v>42717</c:v>
                </c:pt>
                <c:pt idx="27">
                  <c:v>42716</c:v>
                </c:pt>
                <c:pt idx="28">
                  <c:v>42713</c:v>
                </c:pt>
                <c:pt idx="29">
                  <c:v>42712</c:v>
                </c:pt>
                <c:pt idx="30">
                  <c:v>42711</c:v>
                </c:pt>
                <c:pt idx="31">
                  <c:v>42710</c:v>
                </c:pt>
                <c:pt idx="32">
                  <c:v>42709</c:v>
                </c:pt>
                <c:pt idx="33">
                  <c:v>42706</c:v>
                </c:pt>
                <c:pt idx="34">
                  <c:v>42705</c:v>
                </c:pt>
                <c:pt idx="35">
                  <c:v>42704</c:v>
                </c:pt>
                <c:pt idx="36">
                  <c:v>42703</c:v>
                </c:pt>
                <c:pt idx="37">
                  <c:v>42702</c:v>
                </c:pt>
                <c:pt idx="38">
                  <c:v>42699</c:v>
                </c:pt>
                <c:pt idx="39">
                  <c:v>42698</c:v>
                </c:pt>
                <c:pt idx="40">
                  <c:v>42697</c:v>
                </c:pt>
                <c:pt idx="41">
                  <c:v>42696</c:v>
                </c:pt>
                <c:pt idx="42">
                  <c:v>42695</c:v>
                </c:pt>
                <c:pt idx="43">
                  <c:v>42692</c:v>
                </c:pt>
                <c:pt idx="44">
                  <c:v>42691</c:v>
                </c:pt>
                <c:pt idx="45">
                  <c:v>42690</c:v>
                </c:pt>
                <c:pt idx="46">
                  <c:v>42689</c:v>
                </c:pt>
                <c:pt idx="47">
                  <c:v>42688</c:v>
                </c:pt>
                <c:pt idx="48">
                  <c:v>42685</c:v>
                </c:pt>
                <c:pt idx="49">
                  <c:v>42684</c:v>
                </c:pt>
                <c:pt idx="50">
                  <c:v>42683</c:v>
                </c:pt>
                <c:pt idx="51">
                  <c:v>42682</c:v>
                </c:pt>
                <c:pt idx="52">
                  <c:v>42681</c:v>
                </c:pt>
                <c:pt idx="53">
                  <c:v>42678</c:v>
                </c:pt>
                <c:pt idx="54">
                  <c:v>42677</c:v>
                </c:pt>
                <c:pt idx="55">
                  <c:v>42676</c:v>
                </c:pt>
                <c:pt idx="56">
                  <c:v>42675</c:v>
                </c:pt>
                <c:pt idx="57">
                  <c:v>42674</c:v>
                </c:pt>
                <c:pt idx="58">
                  <c:v>42671</c:v>
                </c:pt>
                <c:pt idx="59">
                  <c:v>42670</c:v>
                </c:pt>
                <c:pt idx="60">
                  <c:v>42669</c:v>
                </c:pt>
                <c:pt idx="61">
                  <c:v>42668</c:v>
                </c:pt>
                <c:pt idx="62">
                  <c:v>42667</c:v>
                </c:pt>
                <c:pt idx="63">
                  <c:v>42664</c:v>
                </c:pt>
                <c:pt idx="64">
                  <c:v>42663</c:v>
                </c:pt>
                <c:pt idx="65">
                  <c:v>42662</c:v>
                </c:pt>
                <c:pt idx="66">
                  <c:v>42661</c:v>
                </c:pt>
                <c:pt idx="67">
                  <c:v>42660</c:v>
                </c:pt>
                <c:pt idx="68">
                  <c:v>42657</c:v>
                </c:pt>
                <c:pt idx="69">
                  <c:v>42656</c:v>
                </c:pt>
                <c:pt idx="70">
                  <c:v>42655</c:v>
                </c:pt>
                <c:pt idx="71">
                  <c:v>42654</c:v>
                </c:pt>
                <c:pt idx="72">
                  <c:v>42653</c:v>
                </c:pt>
                <c:pt idx="73">
                  <c:v>42650</c:v>
                </c:pt>
                <c:pt idx="74">
                  <c:v>42649</c:v>
                </c:pt>
                <c:pt idx="75">
                  <c:v>42648</c:v>
                </c:pt>
                <c:pt idx="76">
                  <c:v>42647</c:v>
                </c:pt>
                <c:pt idx="77">
                  <c:v>42643</c:v>
                </c:pt>
                <c:pt idx="78">
                  <c:v>42642</c:v>
                </c:pt>
                <c:pt idx="79">
                  <c:v>42641</c:v>
                </c:pt>
                <c:pt idx="80">
                  <c:v>42640</c:v>
                </c:pt>
                <c:pt idx="81">
                  <c:v>42639</c:v>
                </c:pt>
                <c:pt idx="82">
                  <c:v>42636</c:v>
                </c:pt>
                <c:pt idx="83">
                  <c:v>42635</c:v>
                </c:pt>
                <c:pt idx="84">
                  <c:v>42634</c:v>
                </c:pt>
                <c:pt idx="85">
                  <c:v>42633</c:v>
                </c:pt>
                <c:pt idx="86">
                  <c:v>42632</c:v>
                </c:pt>
                <c:pt idx="87">
                  <c:v>42626</c:v>
                </c:pt>
                <c:pt idx="88">
                  <c:v>42625</c:v>
                </c:pt>
                <c:pt idx="89">
                  <c:v>42622</c:v>
                </c:pt>
                <c:pt idx="90">
                  <c:v>42621</c:v>
                </c:pt>
                <c:pt idx="91">
                  <c:v>42620</c:v>
                </c:pt>
                <c:pt idx="92">
                  <c:v>42619</c:v>
                </c:pt>
                <c:pt idx="93">
                  <c:v>42618</c:v>
                </c:pt>
                <c:pt idx="94">
                  <c:v>42615</c:v>
                </c:pt>
                <c:pt idx="95">
                  <c:v>42614</c:v>
                </c:pt>
                <c:pt idx="96">
                  <c:v>42613</c:v>
                </c:pt>
                <c:pt idx="97">
                  <c:v>42612</c:v>
                </c:pt>
                <c:pt idx="98">
                  <c:v>42611</c:v>
                </c:pt>
                <c:pt idx="99">
                  <c:v>42608</c:v>
                </c:pt>
                <c:pt idx="100">
                  <c:v>42607</c:v>
                </c:pt>
                <c:pt idx="101">
                  <c:v>42606</c:v>
                </c:pt>
                <c:pt idx="102">
                  <c:v>42605</c:v>
                </c:pt>
                <c:pt idx="103">
                  <c:v>42604</c:v>
                </c:pt>
                <c:pt idx="104">
                  <c:v>42601</c:v>
                </c:pt>
                <c:pt idx="105">
                  <c:v>42600</c:v>
                </c:pt>
                <c:pt idx="106">
                  <c:v>42599</c:v>
                </c:pt>
                <c:pt idx="107">
                  <c:v>42598</c:v>
                </c:pt>
                <c:pt idx="108">
                  <c:v>42594</c:v>
                </c:pt>
                <c:pt idx="109">
                  <c:v>42593</c:v>
                </c:pt>
                <c:pt idx="110">
                  <c:v>42592</c:v>
                </c:pt>
                <c:pt idx="111">
                  <c:v>42591</c:v>
                </c:pt>
                <c:pt idx="112">
                  <c:v>42590</c:v>
                </c:pt>
                <c:pt idx="113">
                  <c:v>42587</c:v>
                </c:pt>
                <c:pt idx="114">
                  <c:v>42586</c:v>
                </c:pt>
                <c:pt idx="115">
                  <c:v>42585</c:v>
                </c:pt>
                <c:pt idx="116">
                  <c:v>42584</c:v>
                </c:pt>
                <c:pt idx="117">
                  <c:v>42583</c:v>
                </c:pt>
                <c:pt idx="118">
                  <c:v>42580</c:v>
                </c:pt>
                <c:pt idx="119">
                  <c:v>42579</c:v>
                </c:pt>
                <c:pt idx="120">
                  <c:v>42578</c:v>
                </c:pt>
                <c:pt idx="121">
                  <c:v>42577</c:v>
                </c:pt>
                <c:pt idx="122">
                  <c:v>42576</c:v>
                </c:pt>
                <c:pt idx="123">
                  <c:v>42573</c:v>
                </c:pt>
                <c:pt idx="124">
                  <c:v>42572</c:v>
                </c:pt>
                <c:pt idx="125">
                  <c:v>42571</c:v>
                </c:pt>
                <c:pt idx="126">
                  <c:v>42570</c:v>
                </c:pt>
                <c:pt idx="127">
                  <c:v>42569</c:v>
                </c:pt>
                <c:pt idx="128">
                  <c:v>42566</c:v>
                </c:pt>
                <c:pt idx="129">
                  <c:v>42565</c:v>
                </c:pt>
                <c:pt idx="130">
                  <c:v>42564</c:v>
                </c:pt>
                <c:pt idx="131">
                  <c:v>42563</c:v>
                </c:pt>
                <c:pt idx="132">
                  <c:v>42562</c:v>
                </c:pt>
                <c:pt idx="133">
                  <c:v>42559</c:v>
                </c:pt>
                <c:pt idx="134">
                  <c:v>42558</c:v>
                </c:pt>
                <c:pt idx="135">
                  <c:v>42557</c:v>
                </c:pt>
                <c:pt idx="136">
                  <c:v>42556</c:v>
                </c:pt>
                <c:pt idx="137">
                  <c:v>42555</c:v>
                </c:pt>
                <c:pt idx="138">
                  <c:v>42552</c:v>
                </c:pt>
                <c:pt idx="139">
                  <c:v>42551</c:v>
                </c:pt>
                <c:pt idx="140">
                  <c:v>42550</c:v>
                </c:pt>
                <c:pt idx="141">
                  <c:v>42549</c:v>
                </c:pt>
                <c:pt idx="142">
                  <c:v>42548</c:v>
                </c:pt>
                <c:pt idx="143">
                  <c:v>42545</c:v>
                </c:pt>
                <c:pt idx="144">
                  <c:v>42544</c:v>
                </c:pt>
                <c:pt idx="145">
                  <c:v>42543</c:v>
                </c:pt>
                <c:pt idx="146">
                  <c:v>42542</c:v>
                </c:pt>
                <c:pt idx="147">
                  <c:v>42541</c:v>
                </c:pt>
                <c:pt idx="148">
                  <c:v>42538</c:v>
                </c:pt>
                <c:pt idx="149">
                  <c:v>42537</c:v>
                </c:pt>
                <c:pt idx="150">
                  <c:v>42536</c:v>
                </c:pt>
                <c:pt idx="151">
                  <c:v>42535</c:v>
                </c:pt>
                <c:pt idx="152">
                  <c:v>42534</c:v>
                </c:pt>
                <c:pt idx="153">
                  <c:v>42531</c:v>
                </c:pt>
                <c:pt idx="154">
                  <c:v>42530</c:v>
                </c:pt>
                <c:pt idx="155">
                  <c:v>42529</c:v>
                </c:pt>
                <c:pt idx="156">
                  <c:v>42528</c:v>
                </c:pt>
                <c:pt idx="157">
                  <c:v>42524</c:v>
                </c:pt>
                <c:pt idx="158">
                  <c:v>42523</c:v>
                </c:pt>
                <c:pt idx="159">
                  <c:v>42522</c:v>
                </c:pt>
                <c:pt idx="160">
                  <c:v>42521</c:v>
                </c:pt>
                <c:pt idx="161">
                  <c:v>42520</c:v>
                </c:pt>
                <c:pt idx="162">
                  <c:v>42517</c:v>
                </c:pt>
                <c:pt idx="163">
                  <c:v>42516</c:v>
                </c:pt>
                <c:pt idx="164">
                  <c:v>42515</c:v>
                </c:pt>
                <c:pt idx="165">
                  <c:v>42514</c:v>
                </c:pt>
                <c:pt idx="166">
                  <c:v>42513</c:v>
                </c:pt>
                <c:pt idx="167">
                  <c:v>42510</c:v>
                </c:pt>
                <c:pt idx="168">
                  <c:v>42509</c:v>
                </c:pt>
                <c:pt idx="169">
                  <c:v>42508</c:v>
                </c:pt>
                <c:pt idx="170">
                  <c:v>42507</c:v>
                </c:pt>
                <c:pt idx="171">
                  <c:v>42506</c:v>
                </c:pt>
                <c:pt idx="172">
                  <c:v>42503</c:v>
                </c:pt>
                <c:pt idx="173">
                  <c:v>42502</c:v>
                </c:pt>
                <c:pt idx="174">
                  <c:v>42501</c:v>
                </c:pt>
                <c:pt idx="175">
                  <c:v>42500</c:v>
                </c:pt>
                <c:pt idx="176">
                  <c:v>42499</c:v>
                </c:pt>
                <c:pt idx="177">
                  <c:v>42494</c:v>
                </c:pt>
                <c:pt idx="178">
                  <c:v>42493</c:v>
                </c:pt>
                <c:pt idx="179">
                  <c:v>42492</c:v>
                </c:pt>
                <c:pt idx="180">
                  <c:v>42489</c:v>
                </c:pt>
                <c:pt idx="181">
                  <c:v>42488</c:v>
                </c:pt>
                <c:pt idx="182">
                  <c:v>42487</c:v>
                </c:pt>
                <c:pt idx="183">
                  <c:v>42486</c:v>
                </c:pt>
                <c:pt idx="184">
                  <c:v>42485</c:v>
                </c:pt>
                <c:pt idx="185">
                  <c:v>42482</c:v>
                </c:pt>
                <c:pt idx="186">
                  <c:v>42481</c:v>
                </c:pt>
                <c:pt idx="187">
                  <c:v>42480</c:v>
                </c:pt>
                <c:pt idx="188">
                  <c:v>42479</c:v>
                </c:pt>
                <c:pt idx="189">
                  <c:v>42478</c:v>
                </c:pt>
                <c:pt idx="190">
                  <c:v>42475</c:v>
                </c:pt>
                <c:pt idx="191">
                  <c:v>42474</c:v>
                </c:pt>
                <c:pt idx="192">
                  <c:v>42472</c:v>
                </c:pt>
                <c:pt idx="193">
                  <c:v>42471</c:v>
                </c:pt>
                <c:pt idx="194">
                  <c:v>42468</c:v>
                </c:pt>
                <c:pt idx="195">
                  <c:v>42467</c:v>
                </c:pt>
                <c:pt idx="196">
                  <c:v>42466</c:v>
                </c:pt>
                <c:pt idx="197">
                  <c:v>42465</c:v>
                </c:pt>
                <c:pt idx="198">
                  <c:v>42464</c:v>
                </c:pt>
                <c:pt idx="199">
                  <c:v>42461</c:v>
                </c:pt>
                <c:pt idx="200">
                  <c:v>42460</c:v>
                </c:pt>
                <c:pt idx="201">
                  <c:v>42459</c:v>
                </c:pt>
                <c:pt idx="202">
                  <c:v>42458</c:v>
                </c:pt>
                <c:pt idx="203">
                  <c:v>42457</c:v>
                </c:pt>
                <c:pt idx="204">
                  <c:v>42454</c:v>
                </c:pt>
                <c:pt idx="205">
                  <c:v>42453</c:v>
                </c:pt>
                <c:pt idx="206">
                  <c:v>42452</c:v>
                </c:pt>
                <c:pt idx="207">
                  <c:v>42451</c:v>
                </c:pt>
                <c:pt idx="208">
                  <c:v>42450</c:v>
                </c:pt>
                <c:pt idx="209">
                  <c:v>42447</c:v>
                </c:pt>
                <c:pt idx="210">
                  <c:v>42446</c:v>
                </c:pt>
                <c:pt idx="211">
                  <c:v>42445</c:v>
                </c:pt>
                <c:pt idx="212">
                  <c:v>42444</c:v>
                </c:pt>
                <c:pt idx="213">
                  <c:v>42443</c:v>
                </c:pt>
                <c:pt idx="214">
                  <c:v>42440</c:v>
                </c:pt>
                <c:pt idx="215">
                  <c:v>42439</c:v>
                </c:pt>
                <c:pt idx="216">
                  <c:v>42438</c:v>
                </c:pt>
                <c:pt idx="217">
                  <c:v>42437</c:v>
                </c:pt>
                <c:pt idx="218">
                  <c:v>42436</c:v>
                </c:pt>
                <c:pt idx="219">
                  <c:v>42433</c:v>
                </c:pt>
                <c:pt idx="220">
                  <c:v>42432</c:v>
                </c:pt>
                <c:pt idx="221">
                  <c:v>42431</c:v>
                </c:pt>
                <c:pt idx="222">
                  <c:v>42429</c:v>
                </c:pt>
                <c:pt idx="223">
                  <c:v>42426</c:v>
                </c:pt>
                <c:pt idx="224">
                  <c:v>42425</c:v>
                </c:pt>
                <c:pt idx="225">
                  <c:v>42424</c:v>
                </c:pt>
                <c:pt idx="226">
                  <c:v>42423</c:v>
                </c:pt>
                <c:pt idx="227">
                  <c:v>42422</c:v>
                </c:pt>
                <c:pt idx="228">
                  <c:v>42419</c:v>
                </c:pt>
                <c:pt idx="229">
                  <c:v>42418</c:v>
                </c:pt>
                <c:pt idx="230">
                  <c:v>42417</c:v>
                </c:pt>
                <c:pt idx="231">
                  <c:v>42416</c:v>
                </c:pt>
                <c:pt idx="232">
                  <c:v>42415</c:v>
                </c:pt>
                <c:pt idx="233">
                  <c:v>42412</c:v>
                </c:pt>
                <c:pt idx="234">
                  <c:v>42411</c:v>
                </c:pt>
                <c:pt idx="235">
                  <c:v>42405</c:v>
                </c:pt>
                <c:pt idx="236">
                  <c:v>42404</c:v>
                </c:pt>
                <c:pt idx="237">
                  <c:v>42403</c:v>
                </c:pt>
                <c:pt idx="238">
                  <c:v>42402</c:v>
                </c:pt>
                <c:pt idx="239">
                  <c:v>42401</c:v>
                </c:pt>
                <c:pt idx="240">
                  <c:v>42398</c:v>
                </c:pt>
                <c:pt idx="241">
                  <c:v>42397</c:v>
                </c:pt>
                <c:pt idx="242">
                  <c:v>42396</c:v>
                </c:pt>
                <c:pt idx="243">
                  <c:v>42395</c:v>
                </c:pt>
                <c:pt idx="244">
                  <c:v>42394</c:v>
                </c:pt>
                <c:pt idx="245">
                  <c:v>42391</c:v>
                </c:pt>
                <c:pt idx="246">
                  <c:v>42390</c:v>
                </c:pt>
                <c:pt idx="247">
                  <c:v>42389</c:v>
                </c:pt>
                <c:pt idx="248">
                  <c:v>42388</c:v>
                </c:pt>
              </c:numCache>
            </c:numRef>
          </c:cat>
          <c:val>
            <c:numRef>
              <c:f>세계주요지수2!$AT$6:$AT$371</c:f>
              <c:numCache>
                <c:formatCode>General</c:formatCode>
                <c:ptCount val="366"/>
                <c:pt idx="0">
                  <c:v>19732.400000000001</c:v>
                </c:pt>
                <c:pt idx="1">
                  <c:v>19804.72</c:v>
                </c:pt>
                <c:pt idx="2">
                  <c:v>19826.77</c:v>
                </c:pt>
                <c:pt idx="3">
                  <c:v>19885.73</c:v>
                </c:pt>
                <c:pt idx="4">
                  <c:v>19891</c:v>
                </c:pt>
                <c:pt idx="5">
                  <c:v>19954.28</c:v>
                </c:pt>
                <c:pt idx="6">
                  <c:v>19855.53</c:v>
                </c:pt>
                <c:pt idx="7">
                  <c:v>19887.38</c:v>
                </c:pt>
                <c:pt idx="8">
                  <c:v>19963.8</c:v>
                </c:pt>
                <c:pt idx="9">
                  <c:v>19899.29</c:v>
                </c:pt>
                <c:pt idx="10">
                  <c:v>19942.16</c:v>
                </c:pt>
                <c:pt idx="11">
                  <c:v>19881.759999999998</c:v>
                </c:pt>
                <c:pt idx="12">
                  <c:v>19762.599999999999</c:v>
                </c:pt>
                <c:pt idx="13">
                  <c:v>19819.78</c:v>
                </c:pt>
                <c:pt idx="14">
                  <c:v>19833.68</c:v>
                </c:pt>
                <c:pt idx="15">
                  <c:v>19945.04</c:v>
                </c:pt>
                <c:pt idx="16">
                  <c:v>19933.810000000001</c:v>
                </c:pt>
                <c:pt idx="17">
                  <c:v>19918.88</c:v>
                </c:pt>
                <c:pt idx="18">
                  <c:v>19941.96</c:v>
                </c:pt>
                <c:pt idx="19">
                  <c:v>19974.62</c:v>
                </c:pt>
                <c:pt idx="20">
                  <c:v>19883.060000000001</c:v>
                </c:pt>
                <c:pt idx="21">
                  <c:v>19843.41</c:v>
                </c:pt>
                <c:pt idx="22">
                  <c:v>19852.240000000002</c:v>
                </c:pt>
                <c:pt idx="23">
                  <c:v>19792.53</c:v>
                </c:pt>
                <c:pt idx="24">
                  <c:v>19911.21</c:v>
                </c:pt>
                <c:pt idx="25">
                  <c:v>19796.43</c:v>
                </c:pt>
                <c:pt idx="26">
                  <c:v>19756.849999999999</c:v>
                </c:pt>
                <c:pt idx="27">
                  <c:v>19614.810000000001</c:v>
                </c:pt>
                <c:pt idx="28">
                  <c:v>19549.62</c:v>
                </c:pt>
                <c:pt idx="29">
                  <c:v>19251.78</c:v>
                </c:pt>
                <c:pt idx="30">
                  <c:v>19216.240000000002</c:v>
                </c:pt>
                <c:pt idx="31">
                  <c:v>19170.419999999998</c:v>
                </c:pt>
                <c:pt idx="32">
                  <c:v>19191.93</c:v>
                </c:pt>
                <c:pt idx="33">
                  <c:v>19123.580000000002</c:v>
                </c:pt>
                <c:pt idx="34">
                  <c:v>19121.599999999999</c:v>
                </c:pt>
                <c:pt idx="35">
                  <c:v>19097.900000000001</c:v>
                </c:pt>
                <c:pt idx="36">
                  <c:v>19152.14</c:v>
                </c:pt>
                <c:pt idx="37">
                  <c:v>19083.18</c:v>
                </c:pt>
                <c:pt idx="38">
                  <c:v>19023.87</c:v>
                </c:pt>
                <c:pt idx="39">
                  <c:v>18956.689999999999</c:v>
                </c:pt>
                <c:pt idx="40">
                  <c:v>18867.93</c:v>
                </c:pt>
                <c:pt idx="41">
                  <c:v>18903.82</c:v>
                </c:pt>
                <c:pt idx="42">
                  <c:v>18868.14</c:v>
                </c:pt>
                <c:pt idx="43">
                  <c:v>18923.060000000001</c:v>
                </c:pt>
                <c:pt idx="44">
                  <c:v>18868.689999999999</c:v>
                </c:pt>
                <c:pt idx="45">
                  <c:v>18847.66</c:v>
                </c:pt>
                <c:pt idx="46">
                  <c:v>18807.88</c:v>
                </c:pt>
                <c:pt idx="47">
                  <c:v>18589.689999999999</c:v>
                </c:pt>
                <c:pt idx="48">
                  <c:v>18332.740000000002</c:v>
                </c:pt>
                <c:pt idx="49">
                  <c:v>18259.599999999999</c:v>
                </c:pt>
                <c:pt idx="50">
                  <c:v>17888.28</c:v>
                </c:pt>
                <c:pt idx="51">
                  <c:v>17930.669999999998</c:v>
                </c:pt>
                <c:pt idx="52">
                  <c:v>17959.64</c:v>
                </c:pt>
                <c:pt idx="53">
                  <c:v>18037.099999999999</c:v>
                </c:pt>
                <c:pt idx="54">
                  <c:v>18142.419999999998</c:v>
                </c:pt>
                <c:pt idx="55">
                  <c:v>18161.189999999999</c:v>
                </c:pt>
                <c:pt idx="56">
                  <c:v>18169.68</c:v>
                </c:pt>
                <c:pt idx="57">
                  <c:v>18199.330000000002</c:v>
                </c:pt>
                <c:pt idx="58">
                  <c:v>18169.27</c:v>
                </c:pt>
                <c:pt idx="59">
                  <c:v>18223.03</c:v>
                </c:pt>
                <c:pt idx="60">
                  <c:v>18145.71</c:v>
                </c:pt>
                <c:pt idx="61">
                  <c:v>18162.349999999999</c:v>
                </c:pt>
                <c:pt idx="62">
                  <c:v>18202.62</c:v>
                </c:pt>
                <c:pt idx="63">
                  <c:v>18161.939999999999</c:v>
                </c:pt>
                <c:pt idx="64">
                  <c:v>18086.400000000001</c:v>
                </c:pt>
                <c:pt idx="65">
                  <c:v>18138.38</c:v>
                </c:pt>
                <c:pt idx="66">
                  <c:v>18098.939999999999</c:v>
                </c:pt>
                <c:pt idx="67">
                  <c:v>18144.2</c:v>
                </c:pt>
                <c:pt idx="68">
                  <c:v>18128.66</c:v>
                </c:pt>
                <c:pt idx="69">
                  <c:v>18329.04</c:v>
                </c:pt>
                <c:pt idx="70">
                  <c:v>18240.490000000002</c:v>
                </c:pt>
                <c:pt idx="71">
                  <c:v>18268.5</c:v>
                </c:pt>
                <c:pt idx="72">
                  <c:v>18281.03</c:v>
                </c:pt>
                <c:pt idx="73">
                  <c:v>18168.45</c:v>
                </c:pt>
                <c:pt idx="74">
                  <c:v>18253.849999999999</c:v>
                </c:pt>
                <c:pt idx="75">
                  <c:v>18308.150000000001</c:v>
                </c:pt>
                <c:pt idx="76">
                  <c:v>18143.45</c:v>
                </c:pt>
                <c:pt idx="77">
                  <c:v>18339.240000000002</c:v>
                </c:pt>
                <c:pt idx="78">
                  <c:v>18228.3</c:v>
                </c:pt>
                <c:pt idx="79">
                  <c:v>18094.830000000002</c:v>
                </c:pt>
                <c:pt idx="80">
                  <c:v>18261.45</c:v>
                </c:pt>
                <c:pt idx="81">
                  <c:v>18392.46</c:v>
                </c:pt>
                <c:pt idx="82">
                  <c:v>18293.7</c:v>
                </c:pt>
                <c:pt idx="83">
                  <c:v>18129.96</c:v>
                </c:pt>
                <c:pt idx="84">
                  <c:v>18120.169999999998</c:v>
                </c:pt>
                <c:pt idx="85">
                  <c:v>18123.8</c:v>
                </c:pt>
                <c:pt idx="86">
                  <c:v>18212.48</c:v>
                </c:pt>
                <c:pt idx="87">
                  <c:v>18034.77</c:v>
                </c:pt>
                <c:pt idx="88">
                  <c:v>18066.75</c:v>
                </c:pt>
                <c:pt idx="89">
                  <c:v>18325.07</c:v>
                </c:pt>
                <c:pt idx="90">
                  <c:v>18085.45</c:v>
                </c:pt>
                <c:pt idx="91">
                  <c:v>18479.91</c:v>
                </c:pt>
                <c:pt idx="92">
                  <c:v>18526.14</c:v>
                </c:pt>
                <c:pt idx="93">
                  <c:v>18538.12</c:v>
                </c:pt>
                <c:pt idx="94">
                  <c:v>18491.96</c:v>
                </c:pt>
                <c:pt idx="95">
                  <c:v>18419.3</c:v>
                </c:pt>
                <c:pt idx="96">
                  <c:v>18400.88</c:v>
                </c:pt>
                <c:pt idx="97">
                  <c:v>18454.3</c:v>
                </c:pt>
                <c:pt idx="98">
                  <c:v>18502.990000000002</c:v>
                </c:pt>
                <c:pt idx="99">
                  <c:v>18395.400000000001</c:v>
                </c:pt>
                <c:pt idx="100">
                  <c:v>18448.41</c:v>
                </c:pt>
                <c:pt idx="101">
                  <c:v>18481.48</c:v>
                </c:pt>
                <c:pt idx="102">
                  <c:v>18547.3</c:v>
                </c:pt>
                <c:pt idx="103">
                  <c:v>18529.419999999998</c:v>
                </c:pt>
                <c:pt idx="104">
                  <c:v>18552.57</c:v>
                </c:pt>
                <c:pt idx="105">
                  <c:v>18597.7</c:v>
                </c:pt>
                <c:pt idx="106">
                  <c:v>18573.939999999999</c:v>
                </c:pt>
                <c:pt idx="107">
                  <c:v>18552.02</c:v>
                </c:pt>
                <c:pt idx="108">
                  <c:v>18636.05</c:v>
                </c:pt>
                <c:pt idx="109">
                  <c:v>18576.47</c:v>
                </c:pt>
                <c:pt idx="110">
                  <c:v>18613.52</c:v>
                </c:pt>
                <c:pt idx="111">
                  <c:v>18495.66</c:v>
                </c:pt>
                <c:pt idx="112">
                  <c:v>18533.05</c:v>
                </c:pt>
                <c:pt idx="113">
                  <c:v>18529.29</c:v>
                </c:pt>
                <c:pt idx="114">
                  <c:v>18543.53</c:v>
                </c:pt>
                <c:pt idx="115">
                  <c:v>18352.05</c:v>
                </c:pt>
                <c:pt idx="116">
                  <c:v>18355</c:v>
                </c:pt>
                <c:pt idx="117">
                  <c:v>18313.77</c:v>
                </c:pt>
                <c:pt idx="118">
                  <c:v>18404.509999999998</c:v>
                </c:pt>
                <c:pt idx="119">
                  <c:v>18432.240000000002</c:v>
                </c:pt>
                <c:pt idx="120">
                  <c:v>18456.349999999999</c:v>
                </c:pt>
                <c:pt idx="121">
                  <c:v>18472.169999999998</c:v>
                </c:pt>
                <c:pt idx="122">
                  <c:v>18473.75</c:v>
                </c:pt>
                <c:pt idx="123">
                  <c:v>18493.060000000001</c:v>
                </c:pt>
                <c:pt idx="124">
                  <c:v>18570.849999999999</c:v>
                </c:pt>
                <c:pt idx="125">
                  <c:v>18517.23</c:v>
                </c:pt>
                <c:pt idx="126">
                  <c:v>18595.03</c:v>
                </c:pt>
                <c:pt idx="127">
                  <c:v>18559.009999999998</c:v>
                </c:pt>
                <c:pt idx="128">
                  <c:v>18533.05</c:v>
                </c:pt>
                <c:pt idx="129">
                  <c:v>18516.55</c:v>
                </c:pt>
                <c:pt idx="130">
                  <c:v>18506.41</c:v>
                </c:pt>
                <c:pt idx="131">
                  <c:v>18372.12</c:v>
                </c:pt>
                <c:pt idx="132">
                  <c:v>18347.669999999998</c:v>
                </c:pt>
                <c:pt idx="133">
                  <c:v>18226.93</c:v>
                </c:pt>
                <c:pt idx="134">
                  <c:v>18146.740000000002</c:v>
                </c:pt>
                <c:pt idx="135">
                  <c:v>17895.88</c:v>
                </c:pt>
                <c:pt idx="136">
                  <c:v>17918.62</c:v>
                </c:pt>
                <c:pt idx="137">
                  <c:v>17840.62</c:v>
                </c:pt>
                <c:pt idx="138">
                  <c:v>17949.37</c:v>
                </c:pt>
                <c:pt idx="139">
                  <c:v>17929.990000000002</c:v>
                </c:pt>
                <c:pt idx="140">
                  <c:v>17694.68</c:v>
                </c:pt>
                <c:pt idx="141">
                  <c:v>17409.72</c:v>
                </c:pt>
                <c:pt idx="142">
                  <c:v>17140.240000000002</c:v>
                </c:pt>
                <c:pt idx="143">
                  <c:v>17400.75</c:v>
                </c:pt>
                <c:pt idx="144">
                  <c:v>18011.07</c:v>
                </c:pt>
                <c:pt idx="145">
                  <c:v>17780.830000000002</c:v>
                </c:pt>
                <c:pt idx="146">
                  <c:v>17829.73</c:v>
                </c:pt>
                <c:pt idx="147">
                  <c:v>17804.87</c:v>
                </c:pt>
                <c:pt idx="148">
                  <c:v>17675.16</c:v>
                </c:pt>
                <c:pt idx="149">
                  <c:v>17733.099999999999</c:v>
                </c:pt>
                <c:pt idx="150">
                  <c:v>17640.169999999998</c:v>
                </c:pt>
                <c:pt idx="151">
                  <c:v>17674.82</c:v>
                </c:pt>
                <c:pt idx="152">
                  <c:v>17732.48</c:v>
                </c:pt>
                <c:pt idx="153">
                  <c:v>17865.34</c:v>
                </c:pt>
                <c:pt idx="154">
                  <c:v>17985.189999999999</c:v>
                </c:pt>
                <c:pt idx="155">
                  <c:v>18005.05</c:v>
                </c:pt>
                <c:pt idx="156">
                  <c:v>17938.28</c:v>
                </c:pt>
                <c:pt idx="157">
                  <c:v>17920.330000000002</c:v>
                </c:pt>
                <c:pt idx="158">
                  <c:v>17807.060000000001</c:v>
                </c:pt>
                <c:pt idx="159">
                  <c:v>17838.560000000001</c:v>
                </c:pt>
                <c:pt idx="160">
                  <c:v>17789.669999999998</c:v>
                </c:pt>
                <c:pt idx="161">
                  <c:v>17787.2</c:v>
                </c:pt>
                <c:pt idx="162">
                  <c:v>17873.22</c:v>
                </c:pt>
                <c:pt idx="163">
                  <c:v>17828.29</c:v>
                </c:pt>
                <c:pt idx="164">
                  <c:v>17851.509999999998</c:v>
                </c:pt>
                <c:pt idx="165">
                  <c:v>17706.05</c:v>
                </c:pt>
                <c:pt idx="166">
                  <c:v>17492.93</c:v>
                </c:pt>
                <c:pt idx="167">
                  <c:v>17500.939999999999</c:v>
                </c:pt>
                <c:pt idx="168">
                  <c:v>17435.400000000001</c:v>
                </c:pt>
                <c:pt idx="169">
                  <c:v>17526.62</c:v>
                </c:pt>
                <c:pt idx="170">
                  <c:v>17529.98</c:v>
                </c:pt>
                <c:pt idx="171">
                  <c:v>17710.71</c:v>
                </c:pt>
                <c:pt idx="172">
                  <c:v>17535.32</c:v>
                </c:pt>
                <c:pt idx="173">
                  <c:v>17720.5</c:v>
                </c:pt>
                <c:pt idx="174">
                  <c:v>17711.12</c:v>
                </c:pt>
                <c:pt idx="175">
                  <c:v>17928.349999999999</c:v>
                </c:pt>
                <c:pt idx="176">
                  <c:v>17705.91</c:v>
                </c:pt>
                <c:pt idx="177">
                  <c:v>17740.63</c:v>
                </c:pt>
                <c:pt idx="178">
                  <c:v>17660.71</c:v>
                </c:pt>
                <c:pt idx="179">
                  <c:v>17651.259999999998</c:v>
                </c:pt>
                <c:pt idx="180">
                  <c:v>17750.91</c:v>
                </c:pt>
                <c:pt idx="181">
                  <c:v>17891.16</c:v>
                </c:pt>
                <c:pt idx="182">
                  <c:v>17773.64</c:v>
                </c:pt>
                <c:pt idx="183">
                  <c:v>17830.759999999998</c:v>
                </c:pt>
                <c:pt idx="184">
                  <c:v>18041.55</c:v>
                </c:pt>
                <c:pt idx="185">
                  <c:v>17990.32</c:v>
                </c:pt>
                <c:pt idx="186">
                  <c:v>17977.240000000002</c:v>
                </c:pt>
                <c:pt idx="187">
                  <c:v>18003.75</c:v>
                </c:pt>
                <c:pt idx="188">
                  <c:v>17982.52</c:v>
                </c:pt>
                <c:pt idx="189">
                  <c:v>18096.27</c:v>
                </c:pt>
                <c:pt idx="190">
                  <c:v>18053.599999999999</c:v>
                </c:pt>
                <c:pt idx="191">
                  <c:v>18004.16</c:v>
                </c:pt>
                <c:pt idx="192">
                  <c:v>17897.46</c:v>
                </c:pt>
                <c:pt idx="193">
                  <c:v>17926.43</c:v>
                </c:pt>
                <c:pt idx="194">
                  <c:v>17908.28</c:v>
                </c:pt>
                <c:pt idx="195">
                  <c:v>17721.25</c:v>
                </c:pt>
                <c:pt idx="196">
                  <c:v>17556.41</c:v>
                </c:pt>
                <c:pt idx="197">
                  <c:v>17576.96</c:v>
                </c:pt>
                <c:pt idx="198">
                  <c:v>17541.96</c:v>
                </c:pt>
                <c:pt idx="199">
                  <c:v>17716.05</c:v>
                </c:pt>
                <c:pt idx="200">
                  <c:v>17603.32</c:v>
                </c:pt>
                <c:pt idx="201">
                  <c:v>17737</c:v>
                </c:pt>
                <c:pt idx="202">
                  <c:v>17792.75</c:v>
                </c:pt>
                <c:pt idx="203">
                  <c:v>17685.09</c:v>
                </c:pt>
                <c:pt idx="204">
                  <c:v>17716.66</c:v>
                </c:pt>
                <c:pt idx="205">
                  <c:v>17633.11</c:v>
                </c:pt>
                <c:pt idx="206">
                  <c:v>17535.39</c:v>
                </c:pt>
                <c:pt idx="207">
                  <c:v>17515.73</c:v>
                </c:pt>
                <c:pt idx="208">
                  <c:v>17502.59</c:v>
                </c:pt>
                <c:pt idx="209">
                  <c:v>17582.57</c:v>
                </c:pt>
                <c:pt idx="210">
                  <c:v>17623.87</c:v>
                </c:pt>
                <c:pt idx="211">
                  <c:v>17602.3</c:v>
                </c:pt>
                <c:pt idx="212">
                  <c:v>17481.490000000002</c:v>
                </c:pt>
                <c:pt idx="213">
                  <c:v>17325.759999999998</c:v>
                </c:pt>
                <c:pt idx="214">
                  <c:v>17251.53</c:v>
                </c:pt>
                <c:pt idx="215">
                  <c:v>17229.13</c:v>
                </c:pt>
                <c:pt idx="216">
                  <c:v>17213.310000000001</c:v>
                </c:pt>
                <c:pt idx="217">
                  <c:v>16995.13</c:v>
                </c:pt>
                <c:pt idx="218">
                  <c:v>17000.36</c:v>
                </c:pt>
                <c:pt idx="219">
                  <c:v>16964.099999999999</c:v>
                </c:pt>
                <c:pt idx="220">
                  <c:v>17073.95</c:v>
                </c:pt>
                <c:pt idx="221">
                  <c:v>17006.77</c:v>
                </c:pt>
                <c:pt idx="222">
                  <c:v>16943.900000000001</c:v>
                </c:pt>
                <c:pt idx="223">
                  <c:v>16899.32</c:v>
                </c:pt>
                <c:pt idx="224">
                  <c:v>16865.080000000002</c:v>
                </c:pt>
                <c:pt idx="225">
                  <c:v>16516.5</c:v>
                </c:pt>
                <c:pt idx="226">
                  <c:v>16639.97</c:v>
                </c:pt>
                <c:pt idx="227">
                  <c:v>16697.29</c:v>
                </c:pt>
                <c:pt idx="228">
                  <c:v>16484.990000000002</c:v>
                </c:pt>
                <c:pt idx="229">
                  <c:v>16431.78</c:v>
                </c:pt>
                <c:pt idx="230">
                  <c:v>16620.66</c:v>
                </c:pt>
                <c:pt idx="231">
                  <c:v>16391.990000000002</c:v>
                </c:pt>
                <c:pt idx="232">
                  <c:v>16413.43</c:v>
                </c:pt>
                <c:pt idx="233">
                  <c:v>16453.830000000002</c:v>
                </c:pt>
                <c:pt idx="234">
                  <c:v>16196.41</c:v>
                </c:pt>
                <c:pt idx="235">
                  <c:v>15973.84</c:v>
                </c:pt>
                <c:pt idx="236">
                  <c:v>15660.18</c:v>
                </c:pt>
                <c:pt idx="237">
                  <c:v>15914.74</c:v>
                </c:pt>
                <c:pt idx="238">
                  <c:v>16014.38</c:v>
                </c:pt>
                <c:pt idx="239">
                  <c:v>16027.05</c:v>
                </c:pt>
                <c:pt idx="240">
                  <c:v>16204.97</c:v>
                </c:pt>
                <c:pt idx="241">
                  <c:v>16416.580000000002</c:v>
                </c:pt>
                <c:pt idx="242">
                  <c:v>16336.66</c:v>
                </c:pt>
                <c:pt idx="243">
                  <c:v>16153.54</c:v>
                </c:pt>
                <c:pt idx="244">
                  <c:v>16449.18</c:v>
                </c:pt>
                <c:pt idx="245">
                  <c:v>16466.3</c:v>
                </c:pt>
                <c:pt idx="246">
                  <c:v>16069.64</c:v>
                </c:pt>
                <c:pt idx="247">
                  <c:v>15944.46</c:v>
                </c:pt>
                <c:pt idx="248">
                  <c:v>16167.23</c:v>
                </c:pt>
                <c:pt idx="249">
                  <c:v>15885.22</c:v>
                </c:pt>
                <c:pt idx="250">
                  <c:v>16093.51</c:v>
                </c:pt>
                <c:pt idx="251">
                  <c:v>15882.68</c:v>
                </c:pt>
                <c:pt idx="252">
                  <c:v>15766.74</c:v>
                </c:pt>
                <c:pt idx="253">
                  <c:v>16016.02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세계주요지수2!$AU$4</c:f>
              <c:strCache>
                <c:ptCount val="1"/>
                <c:pt idx="0">
                  <c:v>중국(상해종합)</c:v>
                </c:pt>
              </c:strCache>
            </c:strRef>
          </c:tx>
          <c:spPr>
            <a:ln w="2540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세계주요지수2!$AR$6:$AR$371</c:f>
              <c:numCache>
                <c:formatCode>m/d/yyyy</c:formatCode>
                <c:ptCount val="366"/>
                <c:pt idx="0">
                  <c:v>42754</c:v>
                </c:pt>
                <c:pt idx="1">
                  <c:v>42753</c:v>
                </c:pt>
                <c:pt idx="2">
                  <c:v>42752</c:v>
                </c:pt>
                <c:pt idx="3">
                  <c:v>42751</c:v>
                </c:pt>
                <c:pt idx="4">
                  <c:v>42748</c:v>
                </c:pt>
                <c:pt idx="5">
                  <c:v>42747</c:v>
                </c:pt>
                <c:pt idx="6">
                  <c:v>42746</c:v>
                </c:pt>
                <c:pt idx="7">
                  <c:v>42745</c:v>
                </c:pt>
                <c:pt idx="8">
                  <c:v>42744</c:v>
                </c:pt>
                <c:pt idx="9">
                  <c:v>42741</c:v>
                </c:pt>
                <c:pt idx="10">
                  <c:v>42740</c:v>
                </c:pt>
                <c:pt idx="11">
                  <c:v>42739</c:v>
                </c:pt>
                <c:pt idx="12">
                  <c:v>42738</c:v>
                </c:pt>
                <c:pt idx="13">
                  <c:v>42737</c:v>
                </c:pt>
                <c:pt idx="14">
                  <c:v>42733</c:v>
                </c:pt>
                <c:pt idx="15">
                  <c:v>42732</c:v>
                </c:pt>
                <c:pt idx="16">
                  <c:v>42731</c:v>
                </c:pt>
                <c:pt idx="17">
                  <c:v>42730</c:v>
                </c:pt>
                <c:pt idx="18">
                  <c:v>42727</c:v>
                </c:pt>
                <c:pt idx="19">
                  <c:v>42726</c:v>
                </c:pt>
                <c:pt idx="20">
                  <c:v>42725</c:v>
                </c:pt>
                <c:pt idx="21">
                  <c:v>42724</c:v>
                </c:pt>
                <c:pt idx="22">
                  <c:v>42723</c:v>
                </c:pt>
                <c:pt idx="23">
                  <c:v>42720</c:v>
                </c:pt>
                <c:pt idx="24">
                  <c:v>42719</c:v>
                </c:pt>
                <c:pt idx="25">
                  <c:v>42718</c:v>
                </c:pt>
                <c:pt idx="26">
                  <c:v>42717</c:v>
                </c:pt>
                <c:pt idx="27">
                  <c:v>42716</c:v>
                </c:pt>
                <c:pt idx="28">
                  <c:v>42713</c:v>
                </c:pt>
                <c:pt idx="29">
                  <c:v>42712</c:v>
                </c:pt>
                <c:pt idx="30">
                  <c:v>42711</c:v>
                </c:pt>
                <c:pt idx="31">
                  <c:v>42710</c:v>
                </c:pt>
                <c:pt idx="32">
                  <c:v>42709</c:v>
                </c:pt>
                <c:pt idx="33">
                  <c:v>42706</c:v>
                </c:pt>
                <c:pt idx="34">
                  <c:v>42705</c:v>
                </c:pt>
                <c:pt idx="35">
                  <c:v>42704</c:v>
                </c:pt>
                <c:pt idx="36">
                  <c:v>42703</c:v>
                </c:pt>
                <c:pt idx="37">
                  <c:v>42702</c:v>
                </c:pt>
                <c:pt idx="38">
                  <c:v>42699</c:v>
                </c:pt>
                <c:pt idx="39">
                  <c:v>42698</c:v>
                </c:pt>
                <c:pt idx="40">
                  <c:v>42697</c:v>
                </c:pt>
                <c:pt idx="41">
                  <c:v>42696</c:v>
                </c:pt>
                <c:pt idx="42">
                  <c:v>42695</c:v>
                </c:pt>
                <c:pt idx="43">
                  <c:v>42692</c:v>
                </c:pt>
                <c:pt idx="44">
                  <c:v>42691</c:v>
                </c:pt>
                <c:pt idx="45">
                  <c:v>42690</c:v>
                </c:pt>
                <c:pt idx="46">
                  <c:v>42689</c:v>
                </c:pt>
                <c:pt idx="47">
                  <c:v>42688</c:v>
                </c:pt>
                <c:pt idx="48">
                  <c:v>42685</c:v>
                </c:pt>
                <c:pt idx="49">
                  <c:v>42684</c:v>
                </c:pt>
                <c:pt idx="50">
                  <c:v>42683</c:v>
                </c:pt>
                <c:pt idx="51">
                  <c:v>42682</c:v>
                </c:pt>
                <c:pt idx="52">
                  <c:v>42681</c:v>
                </c:pt>
                <c:pt idx="53">
                  <c:v>42678</c:v>
                </c:pt>
                <c:pt idx="54">
                  <c:v>42677</c:v>
                </c:pt>
                <c:pt idx="55">
                  <c:v>42676</c:v>
                </c:pt>
                <c:pt idx="56">
                  <c:v>42675</c:v>
                </c:pt>
                <c:pt idx="57">
                  <c:v>42674</c:v>
                </c:pt>
                <c:pt idx="58">
                  <c:v>42671</c:v>
                </c:pt>
                <c:pt idx="59">
                  <c:v>42670</c:v>
                </c:pt>
                <c:pt idx="60">
                  <c:v>42669</c:v>
                </c:pt>
                <c:pt idx="61">
                  <c:v>42668</c:v>
                </c:pt>
                <c:pt idx="62">
                  <c:v>42667</c:v>
                </c:pt>
                <c:pt idx="63">
                  <c:v>42664</c:v>
                </c:pt>
                <c:pt idx="64">
                  <c:v>42663</c:v>
                </c:pt>
                <c:pt idx="65">
                  <c:v>42662</c:v>
                </c:pt>
                <c:pt idx="66">
                  <c:v>42661</c:v>
                </c:pt>
                <c:pt idx="67">
                  <c:v>42660</c:v>
                </c:pt>
                <c:pt idx="68">
                  <c:v>42657</c:v>
                </c:pt>
                <c:pt idx="69">
                  <c:v>42656</c:v>
                </c:pt>
                <c:pt idx="70">
                  <c:v>42655</c:v>
                </c:pt>
                <c:pt idx="71">
                  <c:v>42654</c:v>
                </c:pt>
                <c:pt idx="72">
                  <c:v>42653</c:v>
                </c:pt>
                <c:pt idx="73">
                  <c:v>42650</c:v>
                </c:pt>
                <c:pt idx="74">
                  <c:v>42649</c:v>
                </c:pt>
                <c:pt idx="75">
                  <c:v>42648</c:v>
                </c:pt>
                <c:pt idx="76">
                  <c:v>42647</c:v>
                </c:pt>
                <c:pt idx="77">
                  <c:v>42643</c:v>
                </c:pt>
                <c:pt idx="78">
                  <c:v>42642</c:v>
                </c:pt>
                <c:pt idx="79">
                  <c:v>42641</c:v>
                </c:pt>
                <c:pt idx="80">
                  <c:v>42640</c:v>
                </c:pt>
                <c:pt idx="81">
                  <c:v>42639</c:v>
                </c:pt>
                <c:pt idx="82">
                  <c:v>42636</c:v>
                </c:pt>
                <c:pt idx="83">
                  <c:v>42635</c:v>
                </c:pt>
                <c:pt idx="84">
                  <c:v>42634</c:v>
                </c:pt>
                <c:pt idx="85">
                  <c:v>42633</c:v>
                </c:pt>
                <c:pt idx="86">
                  <c:v>42632</c:v>
                </c:pt>
                <c:pt idx="87">
                  <c:v>42626</c:v>
                </c:pt>
                <c:pt idx="88">
                  <c:v>42625</c:v>
                </c:pt>
                <c:pt idx="89">
                  <c:v>42622</c:v>
                </c:pt>
                <c:pt idx="90">
                  <c:v>42621</c:v>
                </c:pt>
                <c:pt idx="91">
                  <c:v>42620</c:v>
                </c:pt>
                <c:pt idx="92">
                  <c:v>42619</c:v>
                </c:pt>
                <c:pt idx="93">
                  <c:v>42618</c:v>
                </c:pt>
                <c:pt idx="94">
                  <c:v>42615</c:v>
                </c:pt>
                <c:pt idx="95">
                  <c:v>42614</c:v>
                </c:pt>
                <c:pt idx="96">
                  <c:v>42613</c:v>
                </c:pt>
                <c:pt idx="97">
                  <c:v>42612</c:v>
                </c:pt>
                <c:pt idx="98">
                  <c:v>42611</c:v>
                </c:pt>
                <c:pt idx="99">
                  <c:v>42608</c:v>
                </c:pt>
                <c:pt idx="100">
                  <c:v>42607</c:v>
                </c:pt>
                <c:pt idx="101">
                  <c:v>42606</c:v>
                </c:pt>
                <c:pt idx="102">
                  <c:v>42605</c:v>
                </c:pt>
                <c:pt idx="103">
                  <c:v>42604</c:v>
                </c:pt>
                <c:pt idx="104">
                  <c:v>42601</c:v>
                </c:pt>
                <c:pt idx="105">
                  <c:v>42600</c:v>
                </c:pt>
                <c:pt idx="106">
                  <c:v>42599</c:v>
                </c:pt>
                <c:pt idx="107">
                  <c:v>42598</c:v>
                </c:pt>
                <c:pt idx="108">
                  <c:v>42594</c:v>
                </c:pt>
                <c:pt idx="109">
                  <c:v>42593</c:v>
                </c:pt>
                <c:pt idx="110">
                  <c:v>42592</c:v>
                </c:pt>
                <c:pt idx="111">
                  <c:v>42591</c:v>
                </c:pt>
                <c:pt idx="112">
                  <c:v>42590</c:v>
                </c:pt>
                <c:pt idx="113">
                  <c:v>42587</c:v>
                </c:pt>
                <c:pt idx="114">
                  <c:v>42586</c:v>
                </c:pt>
                <c:pt idx="115">
                  <c:v>42585</c:v>
                </c:pt>
                <c:pt idx="116">
                  <c:v>42584</c:v>
                </c:pt>
                <c:pt idx="117">
                  <c:v>42583</c:v>
                </c:pt>
                <c:pt idx="118">
                  <c:v>42580</c:v>
                </c:pt>
                <c:pt idx="119">
                  <c:v>42579</c:v>
                </c:pt>
                <c:pt idx="120">
                  <c:v>42578</c:v>
                </c:pt>
                <c:pt idx="121">
                  <c:v>42577</c:v>
                </c:pt>
                <c:pt idx="122">
                  <c:v>42576</c:v>
                </c:pt>
                <c:pt idx="123">
                  <c:v>42573</c:v>
                </c:pt>
                <c:pt idx="124">
                  <c:v>42572</c:v>
                </c:pt>
                <c:pt idx="125">
                  <c:v>42571</c:v>
                </c:pt>
                <c:pt idx="126">
                  <c:v>42570</c:v>
                </c:pt>
                <c:pt idx="127">
                  <c:v>42569</c:v>
                </c:pt>
                <c:pt idx="128">
                  <c:v>42566</c:v>
                </c:pt>
                <c:pt idx="129">
                  <c:v>42565</c:v>
                </c:pt>
                <c:pt idx="130">
                  <c:v>42564</c:v>
                </c:pt>
                <c:pt idx="131">
                  <c:v>42563</c:v>
                </c:pt>
                <c:pt idx="132">
                  <c:v>42562</c:v>
                </c:pt>
                <c:pt idx="133">
                  <c:v>42559</c:v>
                </c:pt>
                <c:pt idx="134">
                  <c:v>42558</c:v>
                </c:pt>
                <c:pt idx="135">
                  <c:v>42557</c:v>
                </c:pt>
                <c:pt idx="136">
                  <c:v>42556</c:v>
                </c:pt>
                <c:pt idx="137">
                  <c:v>42555</c:v>
                </c:pt>
                <c:pt idx="138">
                  <c:v>42552</c:v>
                </c:pt>
                <c:pt idx="139">
                  <c:v>42551</c:v>
                </c:pt>
                <c:pt idx="140">
                  <c:v>42550</c:v>
                </c:pt>
                <c:pt idx="141">
                  <c:v>42549</c:v>
                </c:pt>
                <c:pt idx="142">
                  <c:v>42548</c:v>
                </c:pt>
                <c:pt idx="143">
                  <c:v>42545</c:v>
                </c:pt>
                <c:pt idx="144">
                  <c:v>42544</c:v>
                </c:pt>
                <c:pt idx="145">
                  <c:v>42543</c:v>
                </c:pt>
                <c:pt idx="146">
                  <c:v>42542</c:v>
                </c:pt>
                <c:pt idx="147">
                  <c:v>42541</c:v>
                </c:pt>
                <c:pt idx="148">
                  <c:v>42538</c:v>
                </c:pt>
                <c:pt idx="149">
                  <c:v>42537</c:v>
                </c:pt>
                <c:pt idx="150">
                  <c:v>42536</c:v>
                </c:pt>
                <c:pt idx="151">
                  <c:v>42535</c:v>
                </c:pt>
                <c:pt idx="152">
                  <c:v>42534</c:v>
                </c:pt>
                <c:pt idx="153">
                  <c:v>42531</c:v>
                </c:pt>
                <c:pt idx="154">
                  <c:v>42530</c:v>
                </c:pt>
                <c:pt idx="155">
                  <c:v>42529</c:v>
                </c:pt>
                <c:pt idx="156">
                  <c:v>42528</c:v>
                </c:pt>
                <c:pt idx="157">
                  <c:v>42524</c:v>
                </c:pt>
                <c:pt idx="158">
                  <c:v>42523</c:v>
                </c:pt>
                <c:pt idx="159">
                  <c:v>42522</c:v>
                </c:pt>
                <c:pt idx="160">
                  <c:v>42521</c:v>
                </c:pt>
                <c:pt idx="161">
                  <c:v>42520</c:v>
                </c:pt>
                <c:pt idx="162">
                  <c:v>42517</c:v>
                </c:pt>
                <c:pt idx="163">
                  <c:v>42516</c:v>
                </c:pt>
                <c:pt idx="164">
                  <c:v>42515</c:v>
                </c:pt>
                <c:pt idx="165">
                  <c:v>42514</c:v>
                </c:pt>
                <c:pt idx="166">
                  <c:v>42513</c:v>
                </c:pt>
                <c:pt idx="167">
                  <c:v>42510</c:v>
                </c:pt>
                <c:pt idx="168">
                  <c:v>42509</c:v>
                </c:pt>
                <c:pt idx="169">
                  <c:v>42508</c:v>
                </c:pt>
                <c:pt idx="170">
                  <c:v>42507</c:v>
                </c:pt>
                <c:pt idx="171">
                  <c:v>42506</c:v>
                </c:pt>
                <c:pt idx="172">
                  <c:v>42503</c:v>
                </c:pt>
                <c:pt idx="173">
                  <c:v>42502</c:v>
                </c:pt>
                <c:pt idx="174">
                  <c:v>42501</c:v>
                </c:pt>
                <c:pt idx="175">
                  <c:v>42500</c:v>
                </c:pt>
                <c:pt idx="176">
                  <c:v>42499</c:v>
                </c:pt>
                <c:pt idx="177">
                  <c:v>42494</c:v>
                </c:pt>
                <c:pt idx="178">
                  <c:v>42493</c:v>
                </c:pt>
                <c:pt idx="179">
                  <c:v>42492</c:v>
                </c:pt>
                <c:pt idx="180">
                  <c:v>42489</c:v>
                </c:pt>
                <c:pt idx="181">
                  <c:v>42488</c:v>
                </c:pt>
                <c:pt idx="182">
                  <c:v>42487</c:v>
                </c:pt>
                <c:pt idx="183">
                  <c:v>42486</c:v>
                </c:pt>
                <c:pt idx="184">
                  <c:v>42485</c:v>
                </c:pt>
                <c:pt idx="185">
                  <c:v>42482</c:v>
                </c:pt>
                <c:pt idx="186">
                  <c:v>42481</c:v>
                </c:pt>
                <c:pt idx="187">
                  <c:v>42480</c:v>
                </c:pt>
                <c:pt idx="188">
                  <c:v>42479</c:v>
                </c:pt>
                <c:pt idx="189">
                  <c:v>42478</c:v>
                </c:pt>
                <c:pt idx="190">
                  <c:v>42475</c:v>
                </c:pt>
                <c:pt idx="191">
                  <c:v>42474</c:v>
                </c:pt>
                <c:pt idx="192">
                  <c:v>42472</c:v>
                </c:pt>
                <c:pt idx="193">
                  <c:v>42471</c:v>
                </c:pt>
                <c:pt idx="194">
                  <c:v>42468</c:v>
                </c:pt>
                <c:pt idx="195">
                  <c:v>42467</c:v>
                </c:pt>
                <c:pt idx="196">
                  <c:v>42466</c:v>
                </c:pt>
                <c:pt idx="197">
                  <c:v>42465</c:v>
                </c:pt>
                <c:pt idx="198">
                  <c:v>42464</c:v>
                </c:pt>
                <c:pt idx="199">
                  <c:v>42461</c:v>
                </c:pt>
                <c:pt idx="200">
                  <c:v>42460</c:v>
                </c:pt>
                <c:pt idx="201">
                  <c:v>42459</c:v>
                </c:pt>
                <c:pt idx="202">
                  <c:v>42458</c:v>
                </c:pt>
                <c:pt idx="203">
                  <c:v>42457</c:v>
                </c:pt>
                <c:pt idx="204">
                  <c:v>42454</c:v>
                </c:pt>
                <c:pt idx="205">
                  <c:v>42453</c:v>
                </c:pt>
                <c:pt idx="206">
                  <c:v>42452</c:v>
                </c:pt>
                <c:pt idx="207">
                  <c:v>42451</c:v>
                </c:pt>
                <c:pt idx="208">
                  <c:v>42450</c:v>
                </c:pt>
                <c:pt idx="209">
                  <c:v>42447</c:v>
                </c:pt>
                <c:pt idx="210">
                  <c:v>42446</c:v>
                </c:pt>
                <c:pt idx="211">
                  <c:v>42445</c:v>
                </c:pt>
                <c:pt idx="212">
                  <c:v>42444</c:v>
                </c:pt>
                <c:pt idx="213">
                  <c:v>42443</c:v>
                </c:pt>
                <c:pt idx="214">
                  <c:v>42440</c:v>
                </c:pt>
                <c:pt idx="215">
                  <c:v>42439</c:v>
                </c:pt>
                <c:pt idx="216">
                  <c:v>42438</c:v>
                </c:pt>
                <c:pt idx="217">
                  <c:v>42437</c:v>
                </c:pt>
                <c:pt idx="218">
                  <c:v>42436</c:v>
                </c:pt>
                <c:pt idx="219">
                  <c:v>42433</c:v>
                </c:pt>
                <c:pt idx="220">
                  <c:v>42432</c:v>
                </c:pt>
                <c:pt idx="221">
                  <c:v>42431</c:v>
                </c:pt>
                <c:pt idx="222">
                  <c:v>42429</c:v>
                </c:pt>
                <c:pt idx="223">
                  <c:v>42426</c:v>
                </c:pt>
                <c:pt idx="224">
                  <c:v>42425</c:v>
                </c:pt>
                <c:pt idx="225">
                  <c:v>42424</c:v>
                </c:pt>
                <c:pt idx="226">
                  <c:v>42423</c:v>
                </c:pt>
                <c:pt idx="227">
                  <c:v>42422</c:v>
                </c:pt>
                <c:pt idx="228">
                  <c:v>42419</c:v>
                </c:pt>
                <c:pt idx="229">
                  <c:v>42418</c:v>
                </c:pt>
                <c:pt idx="230">
                  <c:v>42417</c:v>
                </c:pt>
                <c:pt idx="231">
                  <c:v>42416</c:v>
                </c:pt>
                <c:pt idx="232">
                  <c:v>42415</c:v>
                </c:pt>
                <c:pt idx="233">
                  <c:v>42412</c:v>
                </c:pt>
                <c:pt idx="234">
                  <c:v>42411</c:v>
                </c:pt>
                <c:pt idx="235">
                  <c:v>42405</c:v>
                </c:pt>
                <c:pt idx="236">
                  <c:v>42404</c:v>
                </c:pt>
                <c:pt idx="237">
                  <c:v>42403</c:v>
                </c:pt>
                <c:pt idx="238">
                  <c:v>42402</c:v>
                </c:pt>
                <c:pt idx="239">
                  <c:v>42401</c:v>
                </c:pt>
                <c:pt idx="240">
                  <c:v>42398</c:v>
                </c:pt>
                <c:pt idx="241">
                  <c:v>42397</c:v>
                </c:pt>
                <c:pt idx="242">
                  <c:v>42396</c:v>
                </c:pt>
                <c:pt idx="243">
                  <c:v>42395</c:v>
                </c:pt>
                <c:pt idx="244">
                  <c:v>42394</c:v>
                </c:pt>
                <c:pt idx="245">
                  <c:v>42391</c:v>
                </c:pt>
                <c:pt idx="246">
                  <c:v>42390</c:v>
                </c:pt>
                <c:pt idx="247">
                  <c:v>42389</c:v>
                </c:pt>
                <c:pt idx="248">
                  <c:v>42388</c:v>
                </c:pt>
              </c:numCache>
            </c:numRef>
          </c:cat>
          <c:val>
            <c:numRef>
              <c:f>세계주요지수2!$AU$6:$AU$371</c:f>
              <c:numCache>
                <c:formatCode>General</c:formatCode>
                <c:ptCount val="366"/>
                <c:pt idx="0">
                  <c:v>3101.3</c:v>
                </c:pt>
                <c:pt idx="1">
                  <c:v>3113.01</c:v>
                </c:pt>
                <c:pt idx="2">
                  <c:v>3108.77</c:v>
                </c:pt>
                <c:pt idx="3">
                  <c:v>3103.43</c:v>
                </c:pt>
                <c:pt idx="4">
                  <c:v>3112.76</c:v>
                </c:pt>
                <c:pt idx="5">
                  <c:v>3119.29</c:v>
                </c:pt>
                <c:pt idx="6">
                  <c:v>3136.75</c:v>
                </c:pt>
                <c:pt idx="7">
                  <c:v>3161.67</c:v>
                </c:pt>
                <c:pt idx="8">
                  <c:v>3171.24</c:v>
                </c:pt>
                <c:pt idx="9">
                  <c:v>3154.32</c:v>
                </c:pt>
                <c:pt idx="10">
                  <c:v>3165.41</c:v>
                </c:pt>
                <c:pt idx="11">
                  <c:v>3158.79</c:v>
                </c:pt>
                <c:pt idx="12">
                  <c:v>3135.92</c:v>
                </c:pt>
                <c:pt idx="13">
                  <c:v>3103.64</c:v>
                </c:pt>
                <c:pt idx="14">
                  <c:v>3096.1</c:v>
                </c:pt>
                <c:pt idx="15">
                  <c:v>3102.24</c:v>
                </c:pt>
                <c:pt idx="16">
                  <c:v>3114.66</c:v>
                </c:pt>
                <c:pt idx="17">
                  <c:v>3122.57</c:v>
                </c:pt>
                <c:pt idx="18">
                  <c:v>3110.15</c:v>
                </c:pt>
                <c:pt idx="19">
                  <c:v>3139.56</c:v>
                </c:pt>
                <c:pt idx="20">
                  <c:v>3137.43</c:v>
                </c:pt>
                <c:pt idx="21">
                  <c:v>3102.88</c:v>
                </c:pt>
                <c:pt idx="22">
                  <c:v>3118.08</c:v>
                </c:pt>
                <c:pt idx="23">
                  <c:v>3122.98</c:v>
                </c:pt>
                <c:pt idx="24">
                  <c:v>3117.68</c:v>
                </c:pt>
                <c:pt idx="25">
                  <c:v>3140.53</c:v>
                </c:pt>
                <c:pt idx="26">
                  <c:v>3155.04</c:v>
                </c:pt>
                <c:pt idx="27">
                  <c:v>3152.97</c:v>
                </c:pt>
                <c:pt idx="28">
                  <c:v>3232.88</c:v>
                </c:pt>
                <c:pt idx="29">
                  <c:v>3215.37</c:v>
                </c:pt>
                <c:pt idx="30">
                  <c:v>3222.24</c:v>
                </c:pt>
                <c:pt idx="31">
                  <c:v>3199.65</c:v>
                </c:pt>
                <c:pt idx="32">
                  <c:v>3204.71</c:v>
                </c:pt>
                <c:pt idx="33">
                  <c:v>3243.84</c:v>
                </c:pt>
                <c:pt idx="34">
                  <c:v>3273.31</c:v>
                </c:pt>
                <c:pt idx="35">
                  <c:v>3250.03</c:v>
                </c:pt>
                <c:pt idx="36">
                  <c:v>3282.92</c:v>
                </c:pt>
                <c:pt idx="37">
                  <c:v>3277</c:v>
                </c:pt>
                <c:pt idx="38">
                  <c:v>3261.94</c:v>
                </c:pt>
                <c:pt idx="39">
                  <c:v>3241.74</c:v>
                </c:pt>
                <c:pt idx="40">
                  <c:v>3241.14</c:v>
                </c:pt>
                <c:pt idx="41">
                  <c:v>3248.35</c:v>
                </c:pt>
                <c:pt idx="42">
                  <c:v>3218.15</c:v>
                </c:pt>
                <c:pt idx="43">
                  <c:v>3192.86</c:v>
                </c:pt>
                <c:pt idx="44">
                  <c:v>3208.45</c:v>
                </c:pt>
                <c:pt idx="45">
                  <c:v>3205.06</c:v>
                </c:pt>
                <c:pt idx="46">
                  <c:v>3206.99</c:v>
                </c:pt>
                <c:pt idx="47">
                  <c:v>3210.37</c:v>
                </c:pt>
                <c:pt idx="48">
                  <c:v>3196.04</c:v>
                </c:pt>
                <c:pt idx="49">
                  <c:v>3171.28</c:v>
                </c:pt>
                <c:pt idx="50">
                  <c:v>3128.37</c:v>
                </c:pt>
                <c:pt idx="51">
                  <c:v>3147.89</c:v>
                </c:pt>
                <c:pt idx="52">
                  <c:v>3133.33</c:v>
                </c:pt>
                <c:pt idx="53">
                  <c:v>3125.32</c:v>
                </c:pt>
                <c:pt idx="54">
                  <c:v>3128.94</c:v>
                </c:pt>
                <c:pt idx="55">
                  <c:v>3102.73</c:v>
                </c:pt>
                <c:pt idx="56">
                  <c:v>3122.44</c:v>
                </c:pt>
                <c:pt idx="57">
                  <c:v>3100.49</c:v>
                </c:pt>
                <c:pt idx="58">
                  <c:v>3104.27</c:v>
                </c:pt>
                <c:pt idx="59">
                  <c:v>3112.35</c:v>
                </c:pt>
                <c:pt idx="60">
                  <c:v>3116.31</c:v>
                </c:pt>
                <c:pt idx="61">
                  <c:v>3131.94</c:v>
                </c:pt>
                <c:pt idx="62">
                  <c:v>3128.25</c:v>
                </c:pt>
                <c:pt idx="63">
                  <c:v>3090.94</c:v>
                </c:pt>
                <c:pt idx="64">
                  <c:v>3084.46</c:v>
                </c:pt>
                <c:pt idx="65">
                  <c:v>3084.72</c:v>
                </c:pt>
                <c:pt idx="66">
                  <c:v>3083.88</c:v>
                </c:pt>
                <c:pt idx="67">
                  <c:v>3041.17</c:v>
                </c:pt>
                <c:pt idx="68">
                  <c:v>3063.81</c:v>
                </c:pt>
                <c:pt idx="69">
                  <c:v>3061.35</c:v>
                </c:pt>
                <c:pt idx="70">
                  <c:v>3058.5</c:v>
                </c:pt>
                <c:pt idx="71">
                  <c:v>3065.25</c:v>
                </c:pt>
                <c:pt idx="72">
                  <c:v>3048.14</c:v>
                </c:pt>
                <c:pt idx="73">
                  <c:v>3004.7</c:v>
                </c:pt>
                <c:pt idx="74">
                  <c:v>2998.48</c:v>
                </c:pt>
                <c:pt idx="75">
                  <c:v>2987.86</c:v>
                </c:pt>
                <c:pt idx="76">
                  <c:v>2998.17</c:v>
                </c:pt>
                <c:pt idx="77">
                  <c:v>2980.43</c:v>
                </c:pt>
                <c:pt idx="78">
                  <c:v>3033.9</c:v>
                </c:pt>
                <c:pt idx="79">
                  <c:v>3042.31</c:v>
                </c:pt>
                <c:pt idx="80">
                  <c:v>3025.87</c:v>
                </c:pt>
                <c:pt idx="81">
                  <c:v>3023</c:v>
                </c:pt>
                <c:pt idx="82">
                  <c:v>3026.05</c:v>
                </c:pt>
                <c:pt idx="83">
                  <c:v>3002.85</c:v>
                </c:pt>
                <c:pt idx="84">
                  <c:v>3023.51</c:v>
                </c:pt>
                <c:pt idx="85">
                  <c:v>3021.98</c:v>
                </c:pt>
                <c:pt idx="86">
                  <c:v>3078.85</c:v>
                </c:pt>
                <c:pt idx="87">
                  <c:v>3095.95</c:v>
                </c:pt>
                <c:pt idx="88">
                  <c:v>3091.93</c:v>
                </c:pt>
                <c:pt idx="89">
                  <c:v>3090.71</c:v>
                </c:pt>
                <c:pt idx="90">
                  <c:v>3072.1</c:v>
                </c:pt>
                <c:pt idx="91">
                  <c:v>3067.35</c:v>
                </c:pt>
                <c:pt idx="92">
                  <c:v>3063.31</c:v>
                </c:pt>
                <c:pt idx="93">
                  <c:v>3085.49</c:v>
                </c:pt>
                <c:pt idx="94">
                  <c:v>3074.68</c:v>
                </c:pt>
                <c:pt idx="95">
                  <c:v>3070.03</c:v>
                </c:pt>
                <c:pt idx="96">
                  <c:v>3070.31</c:v>
                </c:pt>
                <c:pt idx="97">
                  <c:v>3068.33</c:v>
                </c:pt>
                <c:pt idx="98">
                  <c:v>3085.88</c:v>
                </c:pt>
                <c:pt idx="99">
                  <c:v>3089.71</c:v>
                </c:pt>
                <c:pt idx="100">
                  <c:v>3084.81</c:v>
                </c:pt>
                <c:pt idx="101">
                  <c:v>3108.1</c:v>
                </c:pt>
                <c:pt idx="102">
                  <c:v>3104.11</c:v>
                </c:pt>
                <c:pt idx="103">
                  <c:v>3109.55</c:v>
                </c:pt>
                <c:pt idx="104">
                  <c:v>3110.04</c:v>
                </c:pt>
                <c:pt idx="105">
                  <c:v>3125.2</c:v>
                </c:pt>
                <c:pt idx="106">
                  <c:v>3050.67</c:v>
                </c:pt>
                <c:pt idx="107">
                  <c:v>3002.64</c:v>
                </c:pt>
                <c:pt idx="108">
                  <c:v>3018.75</c:v>
                </c:pt>
                <c:pt idx="109">
                  <c:v>3025.68</c:v>
                </c:pt>
                <c:pt idx="110">
                  <c:v>3004.28</c:v>
                </c:pt>
                <c:pt idx="111">
                  <c:v>2976.7</c:v>
                </c:pt>
                <c:pt idx="112">
                  <c:v>2982.43</c:v>
                </c:pt>
                <c:pt idx="113">
                  <c:v>2978.46</c:v>
                </c:pt>
                <c:pt idx="114">
                  <c:v>2971.28</c:v>
                </c:pt>
                <c:pt idx="115">
                  <c:v>2953.39</c:v>
                </c:pt>
                <c:pt idx="116">
                  <c:v>2979.34</c:v>
                </c:pt>
                <c:pt idx="117">
                  <c:v>2994.32</c:v>
                </c:pt>
                <c:pt idx="118">
                  <c:v>2992</c:v>
                </c:pt>
                <c:pt idx="119">
                  <c:v>3050.17</c:v>
                </c:pt>
                <c:pt idx="120">
                  <c:v>3015.83</c:v>
                </c:pt>
                <c:pt idx="121">
                  <c:v>3012.82</c:v>
                </c:pt>
                <c:pt idx="122">
                  <c:v>3039.01</c:v>
                </c:pt>
                <c:pt idx="123">
                  <c:v>3027.9</c:v>
                </c:pt>
                <c:pt idx="124">
                  <c:v>3036.6</c:v>
                </c:pt>
                <c:pt idx="125">
                  <c:v>3043.56</c:v>
                </c:pt>
                <c:pt idx="126">
                  <c:v>3054.3</c:v>
                </c:pt>
                <c:pt idx="127">
                  <c:v>3054.02</c:v>
                </c:pt>
                <c:pt idx="128">
                  <c:v>3060.69</c:v>
                </c:pt>
                <c:pt idx="129">
                  <c:v>3049.38</c:v>
                </c:pt>
                <c:pt idx="130">
                  <c:v>2994.92</c:v>
                </c:pt>
                <c:pt idx="131">
                  <c:v>2988.09</c:v>
                </c:pt>
                <c:pt idx="132">
                  <c:v>3016.85</c:v>
                </c:pt>
                <c:pt idx="133">
                  <c:v>3017.29</c:v>
                </c:pt>
                <c:pt idx="134">
                  <c:v>3006.39</c:v>
                </c:pt>
                <c:pt idx="135">
                  <c:v>2988.6</c:v>
                </c:pt>
                <c:pt idx="136">
                  <c:v>2932.48</c:v>
                </c:pt>
                <c:pt idx="137">
                  <c:v>2929.61</c:v>
                </c:pt>
                <c:pt idx="138">
                  <c:v>2931.59</c:v>
                </c:pt>
                <c:pt idx="139">
                  <c:v>2912.56</c:v>
                </c:pt>
                <c:pt idx="140">
                  <c:v>2895.7</c:v>
                </c:pt>
                <c:pt idx="141">
                  <c:v>2854.29</c:v>
                </c:pt>
                <c:pt idx="142">
                  <c:v>2891.96</c:v>
                </c:pt>
                <c:pt idx="143">
                  <c:v>2905.55</c:v>
                </c:pt>
                <c:pt idx="144">
                  <c:v>2878.56</c:v>
                </c:pt>
                <c:pt idx="145">
                  <c:v>2888.81</c:v>
                </c:pt>
                <c:pt idx="146">
                  <c:v>2885.11</c:v>
                </c:pt>
                <c:pt idx="147">
                  <c:v>2872.82</c:v>
                </c:pt>
                <c:pt idx="148">
                  <c:v>2887.21</c:v>
                </c:pt>
                <c:pt idx="149">
                  <c:v>2842.19</c:v>
                </c:pt>
                <c:pt idx="150">
                  <c:v>2833.07</c:v>
                </c:pt>
                <c:pt idx="151">
                  <c:v>2927.16</c:v>
                </c:pt>
                <c:pt idx="152">
                  <c:v>2936.04</c:v>
                </c:pt>
                <c:pt idx="153">
                  <c:v>2934.1</c:v>
                </c:pt>
                <c:pt idx="154">
                  <c:v>2938.68</c:v>
                </c:pt>
                <c:pt idx="155">
                  <c:v>2925.23</c:v>
                </c:pt>
                <c:pt idx="156">
                  <c:v>2913.51</c:v>
                </c:pt>
                <c:pt idx="157">
                  <c:v>2916.62</c:v>
                </c:pt>
                <c:pt idx="158">
                  <c:v>2822.45</c:v>
                </c:pt>
                <c:pt idx="159">
                  <c:v>2821.05</c:v>
                </c:pt>
                <c:pt idx="160">
                  <c:v>2822.44</c:v>
                </c:pt>
                <c:pt idx="161">
                  <c:v>2815.09</c:v>
                </c:pt>
                <c:pt idx="162">
                  <c:v>2821.67</c:v>
                </c:pt>
                <c:pt idx="163">
                  <c:v>2843.64</c:v>
                </c:pt>
                <c:pt idx="164">
                  <c:v>2825.48</c:v>
                </c:pt>
                <c:pt idx="165">
                  <c:v>2806.91</c:v>
                </c:pt>
                <c:pt idx="166">
                  <c:v>2807.51</c:v>
                </c:pt>
                <c:pt idx="167">
                  <c:v>2843.68</c:v>
                </c:pt>
                <c:pt idx="168">
                  <c:v>2850.86</c:v>
                </c:pt>
                <c:pt idx="169">
                  <c:v>2827.11</c:v>
                </c:pt>
                <c:pt idx="170">
                  <c:v>2835.86</c:v>
                </c:pt>
                <c:pt idx="171">
                  <c:v>2837.04</c:v>
                </c:pt>
                <c:pt idx="172">
                  <c:v>2832.59</c:v>
                </c:pt>
                <c:pt idx="173">
                  <c:v>2832.11</c:v>
                </c:pt>
                <c:pt idx="174">
                  <c:v>2913.25</c:v>
                </c:pt>
                <c:pt idx="175">
                  <c:v>2997.84</c:v>
                </c:pt>
                <c:pt idx="176">
                  <c:v>2991.27</c:v>
                </c:pt>
                <c:pt idx="177">
                  <c:v>2992.64</c:v>
                </c:pt>
                <c:pt idx="178">
                  <c:v>2938.32</c:v>
                </c:pt>
                <c:pt idx="179">
                  <c:v>2945.59</c:v>
                </c:pt>
                <c:pt idx="180">
                  <c:v>2953.67</c:v>
                </c:pt>
                <c:pt idx="181">
                  <c:v>2964.7</c:v>
                </c:pt>
                <c:pt idx="182">
                  <c:v>2946.67</c:v>
                </c:pt>
                <c:pt idx="183">
                  <c:v>2959.24</c:v>
                </c:pt>
                <c:pt idx="184">
                  <c:v>2952.89</c:v>
                </c:pt>
                <c:pt idx="185">
                  <c:v>2972.58</c:v>
                </c:pt>
                <c:pt idx="186">
                  <c:v>3042.82</c:v>
                </c:pt>
                <c:pt idx="187">
                  <c:v>3033.66</c:v>
                </c:pt>
                <c:pt idx="188">
                  <c:v>3078.12</c:v>
                </c:pt>
                <c:pt idx="189">
                  <c:v>3082.36</c:v>
                </c:pt>
                <c:pt idx="190">
                  <c:v>3066.64</c:v>
                </c:pt>
                <c:pt idx="191">
                  <c:v>3023.65</c:v>
                </c:pt>
                <c:pt idx="192">
                  <c:v>3033.96</c:v>
                </c:pt>
                <c:pt idx="193">
                  <c:v>2984.96</c:v>
                </c:pt>
                <c:pt idx="194">
                  <c:v>3008.42</c:v>
                </c:pt>
                <c:pt idx="195">
                  <c:v>3050.59</c:v>
                </c:pt>
                <c:pt idx="196">
                  <c:v>3053.07</c:v>
                </c:pt>
                <c:pt idx="197">
                  <c:v>3009.53</c:v>
                </c:pt>
                <c:pt idx="198">
                  <c:v>3003.92</c:v>
                </c:pt>
                <c:pt idx="199">
                  <c:v>3000.64</c:v>
                </c:pt>
                <c:pt idx="200">
                  <c:v>2919.83</c:v>
                </c:pt>
                <c:pt idx="201">
                  <c:v>2957.82</c:v>
                </c:pt>
                <c:pt idx="202">
                  <c:v>2979.43</c:v>
                </c:pt>
                <c:pt idx="203">
                  <c:v>2960.97</c:v>
                </c:pt>
                <c:pt idx="204">
                  <c:v>3009.96</c:v>
                </c:pt>
                <c:pt idx="205">
                  <c:v>2999.36</c:v>
                </c:pt>
                <c:pt idx="206">
                  <c:v>3018.8</c:v>
                </c:pt>
                <c:pt idx="207">
                  <c:v>2955.15</c:v>
                </c:pt>
                <c:pt idx="208">
                  <c:v>2904.83</c:v>
                </c:pt>
                <c:pt idx="209">
                  <c:v>2870.43</c:v>
                </c:pt>
                <c:pt idx="210">
                  <c:v>2864.37</c:v>
                </c:pt>
                <c:pt idx="211">
                  <c:v>2859.5</c:v>
                </c:pt>
                <c:pt idx="212">
                  <c:v>2810.31</c:v>
                </c:pt>
                <c:pt idx="213">
                  <c:v>2804.73</c:v>
                </c:pt>
                <c:pt idx="214">
                  <c:v>2862.56</c:v>
                </c:pt>
                <c:pt idx="215">
                  <c:v>2901.39</c:v>
                </c:pt>
                <c:pt idx="216">
                  <c:v>2897.34</c:v>
                </c:pt>
                <c:pt idx="217">
                  <c:v>2874.15</c:v>
                </c:pt>
                <c:pt idx="218">
                  <c:v>2859.76</c:v>
                </c:pt>
                <c:pt idx="219">
                  <c:v>2849.68</c:v>
                </c:pt>
                <c:pt idx="220">
                  <c:v>2733.17</c:v>
                </c:pt>
                <c:pt idx="221">
                  <c:v>2687.98</c:v>
                </c:pt>
                <c:pt idx="222">
                  <c:v>2767.21</c:v>
                </c:pt>
                <c:pt idx="223">
                  <c:v>2741.25</c:v>
                </c:pt>
                <c:pt idx="224">
                  <c:v>2928.9</c:v>
                </c:pt>
                <c:pt idx="225">
                  <c:v>2903.33</c:v>
                </c:pt>
                <c:pt idx="226">
                  <c:v>2927.18</c:v>
                </c:pt>
                <c:pt idx="227">
                  <c:v>2860.02</c:v>
                </c:pt>
                <c:pt idx="228">
                  <c:v>2862.89</c:v>
                </c:pt>
                <c:pt idx="229">
                  <c:v>2867.34</c:v>
                </c:pt>
                <c:pt idx="230">
                  <c:v>2836.57</c:v>
                </c:pt>
                <c:pt idx="231">
                  <c:v>2746.2</c:v>
                </c:pt>
                <c:pt idx="232">
                  <c:v>2763.49</c:v>
                </c:pt>
                <c:pt idx="233">
                  <c:v>2781.02</c:v>
                </c:pt>
                <c:pt idx="234">
                  <c:v>2739.25</c:v>
                </c:pt>
                <c:pt idx="235">
                  <c:v>2749.57</c:v>
                </c:pt>
                <c:pt idx="236">
                  <c:v>2688.85</c:v>
                </c:pt>
                <c:pt idx="237">
                  <c:v>2737.6</c:v>
                </c:pt>
                <c:pt idx="238">
                  <c:v>2655.66</c:v>
                </c:pt>
                <c:pt idx="239">
                  <c:v>2735.56</c:v>
                </c:pt>
                <c:pt idx="240">
                  <c:v>2749.79</c:v>
                </c:pt>
                <c:pt idx="241">
                  <c:v>2938.51</c:v>
                </c:pt>
                <c:pt idx="242">
                  <c:v>2916.56</c:v>
                </c:pt>
                <c:pt idx="243">
                  <c:v>2880.48</c:v>
                </c:pt>
                <c:pt idx="244">
                  <c:v>2976.69</c:v>
                </c:pt>
                <c:pt idx="245">
                  <c:v>3007.74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세계주요지수2!$AV$4</c:f>
              <c:strCache>
                <c:ptCount val="1"/>
                <c:pt idx="0">
                  <c:v>브라질</c:v>
                </c:pt>
              </c:strCache>
            </c:strRef>
          </c:tx>
          <c:spPr>
            <a:ln w="2540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세계주요지수2!$AR$6:$AR$371</c:f>
              <c:numCache>
                <c:formatCode>m/d/yyyy</c:formatCode>
                <c:ptCount val="366"/>
                <c:pt idx="0">
                  <c:v>42754</c:v>
                </c:pt>
                <c:pt idx="1">
                  <c:v>42753</c:v>
                </c:pt>
                <c:pt idx="2">
                  <c:v>42752</c:v>
                </c:pt>
                <c:pt idx="3">
                  <c:v>42751</c:v>
                </c:pt>
                <c:pt idx="4">
                  <c:v>42748</c:v>
                </c:pt>
                <c:pt idx="5">
                  <c:v>42747</c:v>
                </c:pt>
                <c:pt idx="6">
                  <c:v>42746</c:v>
                </c:pt>
                <c:pt idx="7">
                  <c:v>42745</c:v>
                </c:pt>
                <c:pt idx="8">
                  <c:v>42744</c:v>
                </c:pt>
                <c:pt idx="9">
                  <c:v>42741</c:v>
                </c:pt>
                <c:pt idx="10">
                  <c:v>42740</c:v>
                </c:pt>
                <c:pt idx="11">
                  <c:v>42739</c:v>
                </c:pt>
                <c:pt idx="12">
                  <c:v>42738</c:v>
                </c:pt>
                <c:pt idx="13">
                  <c:v>42737</c:v>
                </c:pt>
                <c:pt idx="14">
                  <c:v>42733</c:v>
                </c:pt>
                <c:pt idx="15">
                  <c:v>42732</c:v>
                </c:pt>
                <c:pt idx="16">
                  <c:v>42731</c:v>
                </c:pt>
                <c:pt idx="17">
                  <c:v>42730</c:v>
                </c:pt>
                <c:pt idx="18">
                  <c:v>42727</c:v>
                </c:pt>
                <c:pt idx="19">
                  <c:v>42726</c:v>
                </c:pt>
                <c:pt idx="20">
                  <c:v>42725</c:v>
                </c:pt>
                <c:pt idx="21">
                  <c:v>42724</c:v>
                </c:pt>
                <c:pt idx="22">
                  <c:v>42723</c:v>
                </c:pt>
                <c:pt idx="23">
                  <c:v>42720</c:v>
                </c:pt>
                <c:pt idx="24">
                  <c:v>42719</c:v>
                </c:pt>
                <c:pt idx="25">
                  <c:v>42718</c:v>
                </c:pt>
                <c:pt idx="26">
                  <c:v>42717</c:v>
                </c:pt>
                <c:pt idx="27">
                  <c:v>42716</c:v>
                </c:pt>
                <c:pt idx="28">
                  <c:v>42713</c:v>
                </c:pt>
                <c:pt idx="29">
                  <c:v>42712</c:v>
                </c:pt>
                <c:pt idx="30">
                  <c:v>42711</c:v>
                </c:pt>
                <c:pt idx="31">
                  <c:v>42710</c:v>
                </c:pt>
                <c:pt idx="32">
                  <c:v>42709</c:v>
                </c:pt>
                <c:pt idx="33">
                  <c:v>42706</c:v>
                </c:pt>
                <c:pt idx="34">
                  <c:v>42705</c:v>
                </c:pt>
                <c:pt idx="35">
                  <c:v>42704</c:v>
                </c:pt>
                <c:pt idx="36">
                  <c:v>42703</c:v>
                </c:pt>
                <c:pt idx="37">
                  <c:v>42702</c:v>
                </c:pt>
                <c:pt idx="38">
                  <c:v>42699</c:v>
                </c:pt>
                <c:pt idx="39">
                  <c:v>42698</c:v>
                </c:pt>
                <c:pt idx="40">
                  <c:v>42697</c:v>
                </c:pt>
                <c:pt idx="41">
                  <c:v>42696</c:v>
                </c:pt>
                <c:pt idx="42">
                  <c:v>42695</c:v>
                </c:pt>
                <c:pt idx="43">
                  <c:v>42692</c:v>
                </c:pt>
                <c:pt idx="44">
                  <c:v>42691</c:v>
                </c:pt>
                <c:pt idx="45">
                  <c:v>42690</c:v>
                </c:pt>
                <c:pt idx="46">
                  <c:v>42689</c:v>
                </c:pt>
                <c:pt idx="47">
                  <c:v>42688</c:v>
                </c:pt>
                <c:pt idx="48">
                  <c:v>42685</c:v>
                </c:pt>
                <c:pt idx="49">
                  <c:v>42684</c:v>
                </c:pt>
                <c:pt idx="50">
                  <c:v>42683</c:v>
                </c:pt>
                <c:pt idx="51">
                  <c:v>42682</c:v>
                </c:pt>
                <c:pt idx="52">
                  <c:v>42681</c:v>
                </c:pt>
                <c:pt idx="53">
                  <c:v>42678</c:v>
                </c:pt>
                <c:pt idx="54">
                  <c:v>42677</c:v>
                </c:pt>
                <c:pt idx="55">
                  <c:v>42676</c:v>
                </c:pt>
                <c:pt idx="56">
                  <c:v>42675</c:v>
                </c:pt>
                <c:pt idx="57">
                  <c:v>42674</c:v>
                </c:pt>
                <c:pt idx="58">
                  <c:v>42671</c:v>
                </c:pt>
                <c:pt idx="59">
                  <c:v>42670</c:v>
                </c:pt>
                <c:pt idx="60">
                  <c:v>42669</c:v>
                </c:pt>
                <c:pt idx="61">
                  <c:v>42668</c:v>
                </c:pt>
                <c:pt idx="62">
                  <c:v>42667</c:v>
                </c:pt>
                <c:pt idx="63">
                  <c:v>42664</c:v>
                </c:pt>
                <c:pt idx="64">
                  <c:v>42663</c:v>
                </c:pt>
                <c:pt idx="65">
                  <c:v>42662</c:v>
                </c:pt>
                <c:pt idx="66">
                  <c:v>42661</c:v>
                </c:pt>
                <c:pt idx="67">
                  <c:v>42660</c:v>
                </c:pt>
                <c:pt idx="68">
                  <c:v>42657</c:v>
                </c:pt>
                <c:pt idx="69">
                  <c:v>42656</c:v>
                </c:pt>
                <c:pt idx="70">
                  <c:v>42655</c:v>
                </c:pt>
                <c:pt idx="71">
                  <c:v>42654</c:v>
                </c:pt>
                <c:pt idx="72">
                  <c:v>42653</c:v>
                </c:pt>
                <c:pt idx="73">
                  <c:v>42650</c:v>
                </c:pt>
                <c:pt idx="74">
                  <c:v>42649</c:v>
                </c:pt>
                <c:pt idx="75">
                  <c:v>42648</c:v>
                </c:pt>
                <c:pt idx="76">
                  <c:v>42647</c:v>
                </c:pt>
                <c:pt idx="77">
                  <c:v>42643</c:v>
                </c:pt>
                <c:pt idx="78">
                  <c:v>42642</c:v>
                </c:pt>
                <c:pt idx="79">
                  <c:v>42641</c:v>
                </c:pt>
                <c:pt idx="80">
                  <c:v>42640</c:v>
                </c:pt>
                <c:pt idx="81">
                  <c:v>42639</c:v>
                </c:pt>
                <c:pt idx="82">
                  <c:v>42636</c:v>
                </c:pt>
                <c:pt idx="83">
                  <c:v>42635</c:v>
                </c:pt>
                <c:pt idx="84">
                  <c:v>42634</c:v>
                </c:pt>
                <c:pt idx="85">
                  <c:v>42633</c:v>
                </c:pt>
                <c:pt idx="86">
                  <c:v>42632</c:v>
                </c:pt>
                <c:pt idx="87">
                  <c:v>42626</c:v>
                </c:pt>
                <c:pt idx="88">
                  <c:v>42625</c:v>
                </c:pt>
                <c:pt idx="89">
                  <c:v>42622</c:v>
                </c:pt>
                <c:pt idx="90">
                  <c:v>42621</c:v>
                </c:pt>
                <c:pt idx="91">
                  <c:v>42620</c:v>
                </c:pt>
                <c:pt idx="92">
                  <c:v>42619</c:v>
                </c:pt>
                <c:pt idx="93">
                  <c:v>42618</c:v>
                </c:pt>
                <c:pt idx="94">
                  <c:v>42615</c:v>
                </c:pt>
                <c:pt idx="95">
                  <c:v>42614</c:v>
                </c:pt>
                <c:pt idx="96">
                  <c:v>42613</c:v>
                </c:pt>
                <c:pt idx="97">
                  <c:v>42612</c:v>
                </c:pt>
                <c:pt idx="98">
                  <c:v>42611</c:v>
                </c:pt>
                <c:pt idx="99">
                  <c:v>42608</c:v>
                </c:pt>
                <c:pt idx="100">
                  <c:v>42607</c:v>
                </c:pt>
                <c:pt idx="101">
                  <c:v>42606</c:v>
                </c:pt>
                <c:pt idx="102">
                  <c:v>42605</c:v>
                </c:pt>
                <c:pt idx="103">
                  <c:v>42604</c:v>
                </c:pt>
                <c:pt idx="104">
                  <c:v>42601</c:v>
                </c:pt>
                <c:pt idx="105">
                  <c:v>42600</c:v>
                </c:pt>
                <c:pt idx="106">
                  <c:v>42599</c:v>
                </c:pt>
                <c:pt idx="107">
                  <c:v>42598</c:v>
                </c:pt>
                <c:pt idx="108">
                  <c:v>42594</c:v>
                </c:pt>
                <c:pt idx="109">
                  <c:v>42593</c:v>
                </c:pt>
                <c:pt idx="110">
                  <c:v>42592</c:v>
                </c:pt>
                <c:pt idx="111">
                  <c:v>42591</c:v>
                </c:pt>
                <c:pt idx="112">
                  <c:v>42590</c:v>
                </c:pt>
                <c:pt idx="113">
                  <c:v>42587</c:v>
                </c:pt>
                <c:pt idx="114">
                  <c:v>42586</c:v>
                </c:pt>
                <c:pt idx="115">
                  <c:v>42585</c:v>
                </c:pt>
                <c:pt idx="116">
                  <c:v>42584</c:v>
                </c:pt>
                <c:pt idx="117">
                  <c:v>42583</c:v>
                </c:pt>
                <c:pt idx="118">
                  <c:v>42580</c:v>
                </c:pt>
                <c:pt idx="119">
                  <c:v>42579</c:v>
                </c:pt>
                <c:pt idx="120">
                  <c:v>42578</c:v>
                </c:pt>
                <c:pt idx="121">
                  <c:v>42577</c:v>
                </c:pt>
                <c:pt idx="122">
                  <c:v>42576</c:v>
                </c:pt>
                <c:pt idx="123">
                  <c:v>42573</c:v>
                </c:pt>
                <c:pt idx="124">
                  <c:v>42572</c:v>
                </c:pt>
                <c:pt idx="125">
                  <c:v>42571</c:v>
                </c:pt>
                <c:pt idx="126">
                  <c:v>42570</c:v>
                </c:pt>
                <c:pt idx="127">
                  <c:v>42569</c:v>
                </c:pt>
                <c:pt idx="128">
                  <c:v>42566</c:v>
                </c:pt>
                <c:pt idx="129">
                  <c:v>42565</c:v>
                </c:pt>
                <c:pt idx="130">
                  <c:v>42564</c:v>
                </c:pt>
                <c:pt idx="131">
                  <c:v>42563</c:v>
                </c:pt>
                <c:pt idx="132">
                  <c:v>42562</c:v>
                </c:pt>
                <c:pt idx="133">
                  <c:v>42559</c:v>
                </c:pt>
                <c:pt idx="134">
                  <c:v>42558</c:v>
                </c:pt>
                <c:pt idx="135">
                  <c:v>42557</c:v>
                </c:pt>
                <c:pt idx="136">
                  <c:v>42556</c:v>
                </c:pt>
                <c:pt idx="137">
                  <c:v>42555</c:v>
                </c:pt>
                <c:pt idx="138">
                  <c:v>42552</c:v>
                </c:pt>
                <c:pt idx="139">
                  <c:v>42551</c:v>
                </c:pt>
                <c:pt idx="140">
                  <c:v>42550</c:v>
                </c:pt>
                <c:pt idx="141">
                  <c:v>42549</c:v>
                </c:pt>
                <c:pt idx="142">
                  <c:v>42548</c:v>
                </c:pt>
                <c:pt idx="143">
                  <c:v>42545</c:v>
                </c:pt>
                <c:pt idx="144">
                  <c:v>42544</c:v>
                </c:pt>
                <c:pt idx="145">
                  <c:v>42543</c:v>
                </c:pt>
                <c:pt idx="146">
                  <c:v>42542</c:v>
                </c:pt>
                <c:pt idx="147">
                  <c:v>42541</c:v>
                </c:pt>
                <c:pt idx="148">
                  <c:v>42538</c:v>
                </c:pt>
                <c:pt idx="149">
                  <c:v>42537</c:v>
                </c:pt>
                <c:pt idx="150">
                  <c:v>42536</c:v>
                </c:pt>
                <c:pt idx="151">
                  <c:v>42535</c:v>
                </c:pt>
                <c:pt idx="152">
                  <c:v>42534</c:v>
                </c:pt>
                <c:pt idx="153">
                  <c:v>42531</c:v>
                </c:pt>
                <c:pt idx="154">
                  <c:v>42530</c:v>
                </c:pt>
                <c:pt idx="155">
                  <c:v>42529</c:v>
                </c:pt>
                <c:pt idx="156">
                  <c:v>42528</c:v>
                </c:pt>
                <c:pt idx="157">
                  <c:v>42524</c:v>
                </c:pt>
                <c:pt idx="158">
                  <c:v>42523</c:v>
                </c:pt>
                <c:pt idx="159">
                  <c:v>42522</c:v>
                </c:pt>
                <c:pt idx="160">
                  <c:v>42521</c:v>
                </c:pt>
                <c:pt idx="161">
                  <c:v>42520</c:v>
                </c:pt>
                <c:pt idx="162">
                  <c:v>42517</c:v>
                </c:pt>
                <c:pt idx="163">
                  <c:v>42516</c:v>
                </c:pt>
                <c:pt idx="164">
                  <c:v>42515</c:v>
                </c:pt>
                <c:pt idx="165">
                  <c:v>42514</c:v>
                </c:pt>
                <c:pt idx="166">
                  <c:v>42513</c:v>
                </c:pt>
                <c:pt idx="167">
                  <c:v>42510</c:v>
                </c:pt>
                <c:pt idx="168">
                  <c:v>42509</c:v>
                </c:pt>
                <c:pt idx="169">
                  <c:v>42508</c:v>
                </c:pt>
                <c:pt idx="170">
                  <c:v>42507</c:v>
                </c:pt>
                <c:pt idx="171">
                  <c:v>42506</c:v>
                </c:pt>
                <c:pt idx="172">
                  <c:v>42503</c:v>
                </c:pt>
                <c:pt idx="173">
                  <c:v>42502</c:v>
                </c:pt>
                <c:pt idx="174">
                  <c:v>42501</c:v>
                </c:pt>
                <c:pt idx="175">
                  <c:v>42500</c:v>
                </c:pt>
                <c:pt idx="176">
                  <c:v>42499</c:v>
                </c:pt>
                <c:pt idx="177">
                  <c:v>42494</c:v>
                </c:pt>
                <c:pt idx="178">
                  <c:v>42493</c:v>
                </c:pt>
                <c:pt idx="179">
                  <c:v>42492</c:v>
                </c:pt>
                <c:pt idx="180">
                  <c:v>42489</c:v>
                </c:pt>
                <c:pt idx="181">
                  <c:v>42488</c:v>
                </c:pt>
                <c:pt idx="182">
                  <c:v>42487</c:v>
                </c:pt>
                <c:pt idx="183">
                  <c:v>42486</c:v>
                </c:pt>
                <c:pt idx="184">
                  <c:v>42485</c:v>
                </c:pt>
                <c:pt idx="185">
                  <c:v>42482</c:v>
                </c:pt>
                <c:pt idx="186">
                  <c:v>42481</c:v>
                </c:pt>
                <c:pt idx="187">
                  <c:v>42480</c:v>
                </c:pt>
                <c:pt idx="188">
                  <c:v>42479</c:v>
                </c:pt>
                <c:pt idx="189">
                  <c:v>42478</c:v>
                </c:pt>
                <c:pt idx="190">
                  <c:v>42475</c:v>
                </c:pt>
                <c:pt idx="191">
                  <c:v>42474</c:v>
                </c:pt>
                <c:pt idx="192">
                  <c:v>42472</c:v>
                </c:pt>
                <c:pt idx="193">
                  <c:v>42471</c:v>
                </c:pt>
                <c:pt idx="194">
                  <c:v>42468</c:v>
                </c:pt>
                <c:pt idx="195">
                  <c:v>42467</c:v>
                </c:pt>
                <c:pt idx="196">
                  <c:v>42466</c:v>
                </c:pt>
                <c:pt idx="197">
                  <c:v>42465</c:v>
                </c:pt>
                <c:pt idx="198">
                  <c:v>42464</c:v>
                </c:pt>
                <c:pt idx="199">
                  <c:v>42461</c:v>
                </c:pt>
                <c:pt idx="200">
                  <c:v>42460</c:v>
                </c:pt>
                <c:pt idx="201">
                  <c:v>42459</c:v>
                </c:pt>
                <c:pt idx="202">
                  <c:v>42458</c:v>
                </c:pt>
                <c:pt idx="203">
                  <c:v>42457</c:v>
                </c:pt>
                <c:pt idx="204">
                  <c:v>42454</c:v>
                </c:pt>
                <c:pt idx="205">
                  <c:v>42453</c:v>
                </c:pt>
                <c:pt idx="206">
                  <c:v>42452</c:v>
                </c:pt>
                <c:pt idx="207">
                  <c:v>42451</c:v>
                </c:pt>
                <c:pt idx="208">
                  <c:v>42450</c:v>
                </c:pt>
                <c:pt idx="209">
                  <c:v>42447</c:v>
                </c:pt>
                <c:pt idx="210">
                  <c:v>42446</c:v>
                </c:pt>
                <c:pt idx="211">
                  <c:v>42445</c:v>
                </c:pt>
                <c:pt idx="212">
                  <c:v>42444</c:v>
                </c:pt>
                <c:pt idx="213">
                  <c:v>42443</c:v>
                </c:pt>
                <c:pt idx="214">
                  <c:v>42440</c:v>
                </c:pt>
                <c:pt idx="215">
                  <c:v>42439</c:v>
                </c:pt>
                <c:pt idx="216">
                  <c:v>42438</c:v>
                </c:pt>
                <c:pt idx="217">
                  <c:v>42437</c:v>
                </c:pt>
                <c:pt idx="218">
                  <c:v>42436</c:v>
                </c:pt>
                <c:pt idx="219">
                  <c:v>42433</c:v>
                </c:pt>
                <c:pt idx="220">
                  <c:v>42432</c:v>
                </c:pt>
                <c:pt idx="221">
                  <c:v>42431</c:v>
                </c:pt>
                <c:pt idx="222">
                  <c:v>42429</c:v>
                </c:pt>
                <c:pt idx="223">
                  <c:v>42426</c:v>
                </c:pt>
                <c:pt idx="224">
                  <c:v>42425</c:v>
                </c:pt>
                <c:pt idx="225">
                  <c:v>42424</c:v>
                </c:pt>
                <c:pt idx="226">
                  <c:v>42423</c:v>
                </c:pt>
                <c:pt idx="227">
                  <c:v>42422</c:v>
                </c:pt>
                <c:pt idx="228">
                  <c:v>42419</c:v>
                </c:pt>
                <c:pt idx="229">
                  <c:v>42418</c:v>
                </c:pt>
                <c:pt idx="230">
                  <c:v>42417</c:v>
                </c:pt>
                <c:pt idx="231">
                  <c:v>42416</c:v>
                </c:pt>
                <c:pt idx="232">
                  <c:v>42415</c:v>
                </c:pt>
                <c:pt idx="233">
                  <c:v>42412</c:v>
                </c:pt>
                <c:pt idx="234">
                  <c:v>42411</c:v>
                </c:pt>
                <c:pt idx="235">
                  <c:v>42405</c:v>
                </c:pt>
                <c:pt idx="236">
                  <c:v>42404</c:v>
                </c:pt>
                <c:pt idx="237">
                  <c:v>42403</c:v>
                </c:pt>
                <c:pt idx="238">
                  <c:v>42402</c:v>
                </c:pt>
                <c:pt idx="239">
                  <c:v>42401</c:v>
                </c:pt>
                <c:pt idx="240">
                  <c:v>42398</c:v>
                </c:pt>
                <c:pt idx="241">
                  <c:v>42397</c:v>
                </c:pt>
                <c:pt idx="242">
                  <c:v>42396</c:v>
                </c:pt>
                <c:pt idx="243">
                  <c:v>42395</c:v>
                </c:pt>
                <c:pt idx="244">
                  <c:v>42394</c:v>
                </c:pt>
                <c:pt idx="245">
                  <c:v>42391</c:v>
                </c:pt>
                <c:pt idx="246">
                  <c:v>42390</c:v>
                </c:pt>
                <c:pt idx="247">
                  <c:v>42389</c:v>
                </c:pt>
                <c:pt idx="248">
                  <c:v>42388</c:v>
                </c:pt>
              </c:numCache>
            </c:numRef>
          </c:cat>
          <c:val>
            <c:numRef>
              <c:f>세계주요지수2!$AV$6:$AV$371</c:f>
              <c:numCache>
                <c:formatCode>General</c:formatCode>
                <c:ptCount val="366"/>
                <c:pt idx="0">
                  <c:v>63950.86</c:v>
                </c:pt>
                <c:pt idx="1">
                  <c:v>64149.57</c:v>
                </c:pt>
                <c:pt idx="2">
                  <c:v>64354.34</c:v>
                </c:pt>
                <c:pt idx="3">
                  <c:v>63831.28</c:v>
                </c:pt>
                <c:pt idx="4">
                  <c:v>63651.519999999997</c:v>
                </c:pt>
                <c:pt idx="5">
                  <c:v>63953.93</c:v>
                </c:pt>
                <c:pt idx="6">
                  <c:v>62446.26</c:v>
                </c:pt>
                <c:pt idx="7">
                  <c:v>62131.8</c:v>
                </c:pt>
                <c:pt idx="8">
                  <c:v>61700.29</c:v>
                </c:pt>
                <c:pt idx="9">
                  <c:v>61665.37</c:v>
                </c:pt>
                <c:pt idx="10">
                  <c:v>62070.98</c:v>
                </c:pt>
                <c:pt idx="11">
                  <c:v>61589.06</c:v>
                </c:pt>
                <c:pt idx="12">
                  <c:v>61813.83</c:v>
                </c:pt>
                <c:pt idx="13">
                  <c:v>59588.7</c:v>
                </c:pt>
                <c:pt idx="14">
                  <c:v>60227.29</c:v>
                </c:pt>
                <c:pt idx="15">
                  <c:v>59781.63</c:v>
                </c:pt>
                <c:pt idx="16">
                  <c:v>58696.69</c:v>
                </c:pt>
                <c:pt idx="17">
                  <c:v>58620.26</c:v>
                </c:pt>
                <c:pt idx="18">
                  <c:v>57937.11</c:v>
                </c:pt>
                <c:pt idx="19">
                  <c:v>57255.22</c:v>
                </c:pt>
                <c:pt idx="20">
                  <c:v>57646.52</c:v>
                </c:pt>
                <c:pt idx="21">
                  <c:v>57582.89</c:v>
                </c:pt>
                <c:pt idx="22">
                  <c:v>57111</c:v>
                </c:pt>
                <c:pt idx="23">
                  <c:v>58389.04</c:v>
                </c:pt>
                <c:pt idx="24">
                  <c:v>58396.160000000003</c:v>
                </c:pt>
                <c:pt idx="25">
                  <c:v>58212.12</c:v>
                </c:pt>
                <c:pt idx="26">
                  <c:v>59280.57</c:v>
                </c:pt>
                <c:pt idx="27">
                  <c:v>59178.62</c:v>
                </c:pt>
                <c:pt idx="28">
                  <c:v>60500.62</c:v>
                </c:pt>
                <c:pt idx="29">
                  <c:v>60676.57</c:v>
                </c:pt>
                <c:pt idx="30">
                  <c:v>61414.400000000001</c:v>
                </c:pt>
                <c:pt idx="31">
                  <c:v>61088.25</c:v>
                </c:pt>
                <c:pt idx="32">
                  <c:v>59831.73</c:v>
                </c:pt>
                <c:pt idx="33">
                  <c:v>60316.13</c:v>
                </c:pt>
                <c:pt idx="34">
                  <c:v>59506.54</c:v>
                </c:pt>
                <c:pt idx="35">
                  <c:v>61906.36</c:v>
                </c:pt>
                <c:pt idx="36">
                  <c:v>60986.52</c:v>
                </c:pt>
                <c:pt idx="37">
                  <c:v>62855.5</c:v>
                </c:pt>
                <c:pt idx="38">
                  <c:v>61559.08</c:v>
                </c:pt>
                <c:pt idx="39">
                  <c:v>61395.53</c:v>
                </c:pt>
                <c:pt idx="40">
                  <c:v>61985.91</c:v>
                </c:pt>
                <c:pt idx="41">
                  <c:v>61954.47</c:v>
                </c:pt>
                <c:pt idx="42">
                  <c:v>61070.27</c:v>
                </c:pt>
                <c:pt idx="43">
                  <c:v>59961.760000000002</c:v>
                </c:pt>
                <c:pt idx="44">
                  <c:v>59770.47</c:v>
                </c:pt>
                <c:pt idx="45">
                  <c:v>60759.32</c:v>
                </c:pt>
                <c:pt idx="46">
                  <c:v>59657.46</c:v>
                </c:pt>
                <c:pt idx="47">
                  <c:v>59183.51</c:v>
                </c:pt>
                <c:pt idx="48">
                  <c:v>61200.959999999999</c:v>
                </c:pt>
                <c:pt idx="49">
                  <c:v>63258.27</c:v>
                </c:pt>
                <c:pt idx="50">
                  <c:v>64157.68</c:v>
                </c:pt>
                <c:pt idx="51">
                  <c:v>64051.65</c:v>
                </c:pt>
                <c:pt idx="52">
                  <c:v>61598.39</c:v>
                </c:pt>
                <c:pt idx="53">
                  <c:v>61750.17</c:v>
                </c:pt>
                <c:pt idx="54">
                  <c:v>63326.42</c:v>
                </c:pt>
                <c:pt idx="55">
                  <c:v>64924.52</c:v>
                </c:pt>
                <c:pt idx="56">
                  <c:v>64307.63</c:v>
                </c:pt>
                <c:pt idx="57">
                  <c:v>64249.5</c:v>
                </c:pt>
                <c:pt idx="58">
                  <c:v>63825.69</c:v>
                </c:pt>
                <c:pt idx="59">
                  <c:v>63866.2</c:v>
                </c:pt>
                <c:pt idx="60">
                  <c:v>64059.89</c:v>
                </c:pt>
                <c:pt idx="61">
                  <c:v>64108.08</c:v>
                </c:pt>
                <c:pt idx="62">
                  <c:v>63837.85</c:v>
                </c:pt>
                <c:pt idx="63">
                  <c:v>63505.61</c:v>
                </c:pt>
                <c:pt idx="64">
                  <c:v>63782.21</c:v>
                </c:pt>
                <c:pt idx="65">
                  <c:v>62696.11</c:v>
                </c:pt>
                <c:pt idx="66">
                  <c:v>61767.22</c:v>
                </c:pt>
                <c:pt idx="67">
                  <c:v>61118.58</c:v>
                </c:pt>
                <c:pt idx="68">
                  <c:v>61021.85</c:v>
                </c:pt>
                <c:pt idx="69">
                  <c:v>61668.33</c:v>
                </c:pt>
                <c:pt idx="70">
                  <c:v>61108.98</c:v>
                </c:pt>
                <c:pt idx="71">
                  <c:v>60644.24</c:v>
                </c:pt>
                <c:pt idx="72">
                  <c:v>60254.34</c:v>
                </c:pt>
                <c:pt idx="73">
                  <c:v>59339.23</c:v>
                </c:pt>
                <c:pt idx="74">
                  <c:v>59461.23</c:v>
                </c:pt>
                <c:pt idx="75">
                  <c:v>58367.05</c:v>
                </c:pt>
                <c:pt idx="76">
                  <c:v>58350.57</c:v>
                </c:pt>
                <c:pt idx="77">
                  <c:v>59355.77</c:v>
                </c:pt>
                <c:pt idx="78">
                  <c:v>58382.49</c:v>
                </c:pt>
                <c:pt idx="79">
                  <c:v>58053.53</c:v>
                </c:pt>
                <c:pt idx="80">
                  <c:v>58697</c:v>
                </c:pt>
                <c:pt idx="81">
                  <c:v>58994.17</c:v>
                </c:pt>
                <c:pt idx="82">
                  <c:v>58393.919999999998</c:v>
                </c:pt>
                <c:pt idx="83">
                  <c:v>57736.46</c:v>
                </c:pt>
                <c:pt idx="84">
                  <c:v>57350.38</c:v>
                </c:pt>
                <c:pt idx="85">
                  <c:v>57079.76</c:v>
                </c:pt>
                <c:pt idx="86">
                  <c:v>57909.49</c:v>
                </c:pt>
                <c:pt idx="87">
                  <c:v>57059.46</c:v>
                </c:pt>
                <c:pt idx="88">
                  <c:v>56820.77</c:v>
                </c:pt>
                <c:pt idx="89">
                  <c:v>58586.11</c:v>
                </c:pt>
                <c:pt idx="90">
                  <c:v>57999.73</c:v>
                </c:pt>
                <c:pt idx="91">
                  <c:v>60231.65</c:v>
                </c:pt>
                <c:pt idx="92">
                  <c:v>60129.440000000002</c:v>
                </c:pt>
                <c:pt idx="93">
                  <c:v>59566.34</c:v>
                </c:pt>
                <c:pt idx="94">
                  <c:v>59616.4</c:v>
                </c:pt>
                <c:pt idx="95">
                  <c:v>58236.27</c:v>
                </c:pt>
                <c:pt idx="96">
                  <c:v>57901.11</c:v>
                </c:pt>
                <c:pt idx="97">
                  <c:v>58575.42</c:v>
                </c:pt>
                <c:pt idx="98">
                  <c:v>58610.39</c:v>
                </c:pt>
                <c:pt idx="99">
                  <c:v>57716.25</c:v>
                </c:pt>
                <c:pt idx="100">
                  <c:v>57722.14</c:v>
                </c:pt>
                <c:pt idx="101">
                  <c:v>57717.88</c:v>
                </c:pt>
                <c:pt idx="102">
                  <c:v>58020.03</c:v>
                </c:pt>
                <c:pt idx="103">
                  <c:v>57781.24</c:v>
                </c:pt>
                <c:pt idx="104">
                  <c:v>59098.92</c:v>
                </c:pt>
                <c:pt idx="105">
                  <c:v>59166.02</c:v>
                </c:pt>
                <c:pt idx="106">
                  <c:v>59323.83</c:v>
                </c:pt>
                <c:pt idx="107">
                  <c:v>58855.43</c:v>
                </c:pt>
                <c:pt idx="108">
                  <c:v>59145.98</c:v>
                </c:pt>
                <c:pt idx="109">
                  <c:v>58298.41</c:v>
                </c:pt>
                <c:pt idx="110">
                  <c:v>58299.57</c:v>
                </c:pt>
                <c:pt idx="111">
                  <c:v>56919.78</c:v>
                </c:pt>
                <c:pt idx="112">
                  <c:v>57689.41</c:v>
                </c:pt>
                <c:pt idx="113">
                  <c:v>57635.43</c:v>
                </c:pt>
                <c:pt idx="114">
                  <c:v>57661.14</c:v>
                </c:pt>
                <c:pt idx="115">
                  <c:v>57593.89</c:v>
                </c:pt>
                <c:pt idx="116">
                  <c:v>57076.91</c:v>
                </c:pt>
                <c:pt idx="117">
                  <c:v>56162.38</c:v>
                </c:pt>
                <c:pt idx="118">
                  <c:v>56755.76</c:v>
                </c:pt>
                <c:pt idx="119">
                  <c:v>57308.21</c:v>
                </c:pt>
                <c:pt idx="120">
                  <c:v>56667.12</c:v>
                </c:pt>
                <c:pt idx="121">
                  <c:v>56852.84</c:v>
                </c:pt>
                <c:pt idx="122">
                  <c:v>56782.75</c:v>
                </c:pt>
                <c:pt idx="123">
                  <c:v>56872.73</c:v>
                </c:pt>
                <c:pt idx="124">
                  <c:v>57002.080000000002</c:v>
                </c:pt>
                <c:pt idx="125">
                  <c:v>56641.49</c:v>
                </c:pt>
                <c:pt idx="126">
                  <c:v>56578.05</c:v>
                </c:pt>
                <c:pt idx="127">
                  <c:v>56698.06</c:v>
                </c:pt>
                <c:pt idx="128">
                  <c:v>56484.21</c:v>
                </c:pt>
                <c:pt idx="129">
                  <c:v>55578.239999999998</c:v>
                </c:pt>
                <c:pt idx="130">
                  <c:v>55480.87</c:v>
                </c:pt>
                <c:pt idx="131">
                  <c:v>54598.29</c:v>
                </c:pt>
                <c:pt idx="132">
                  <c:v>54256.41</c:v>
                </c:pt>
                <c:pt idx="133">
                  <c:v>53960.11</c:v>
                </c:pt>
                <c:pt idx="134">
                  <c:v>53140.74</c:v>
                </c:pt>
                <c:pt idx="135">
                  <c:v>52014.66</c:v>
                </c:pt>
                <c:pt idx="136">
                  <c:v>51901.81</c:v>
                </c:pt>
                <c:pt idx="137">
                  <c:v>51842.27</c:v>
                </c:pt>
                <c:pt idx="138">
                  <c:v>52568.66</c:v>
                </c:pt>
                <c:pt idx="139">
                  <c:v>52233.04</c:v>
                </c:pt>
                <c:pt idx="140">
                  <c:v>51526.93</c:v>
                </c:pt>
                <c:pt idx="141">
                  <c:v>51001.91</c:v>
                </c:pt>
                <c:pt idx="142">
                  <c:v>50006.559999999998</c:v>
                </c:pt>
                <c:pt idx="143">
                  <c:v>49245.53</c:v>
                </c:pt>
                <c:pt idx="144">
                  <c:v>50105.26</c:v>
                </c:pt>
                <c:pt idx="145">
                  <c:v>51559.82</c:v>
                </c:pt>
                <c:pt idx="146">
                  <c:v>50156.3</c:v>
                </c:pt>
                <c:pt idx="147">
                  <c:v>50837.8</c:v>
                </c:pt>
                <c:pt idx="148">
                  <c:v>50329.36</c:v>
                </c:pt>
                <c:pt idx="149">
                  <c:v>49533.84</c:v>
                </c:pt>
                <c:pt idx="150">
                  <c:v>49411.62</c:v>
                </c:pt>
                <c:pt idx="151">
                  <c:v>48914.74</c:v>
                </c:pt>
                <c:pt idx="152">
                  <c:v>48648.29</c:v>
                </c:pt>
                <c:pt idx="153">
                  <c:v>49660.79</c:v>
                </c:pt>
                <c:pt idx="154">
                  <c:v>49422.16</c:v>
                </c:pt>
                <c:pt idx="155">
                  <c:v>51118.46</c:v>
                </c:pt>
                <c:pt idx="156">
                  <c:v>51629.29</c:v>
                </c:pt>
                <c:pt idx="157">
                  <c:v>50487.86</c:v>
                </c:pt>
                <c:pt idx="158">
                  <c:v>50431.8</c:v>
                </c:pt>
                <c:pt idx="159">
                  <c:v>50619.5</c:v>
                </c:pt>
                <c:pt idx="160">
                  <c:v>49887.24</c:v>
                </c:pt>
                <c:pt idx="161">
                  <c:v>49012.65</c:v>
                </c:pt>
                <c:pt idx="162">
                  <c:v>48471.71</c:v>
                </c:pt>
                <c:pt idx="163">
                  <c:v>48964.34</c:v>
                </c:pt>
                <c:pt idx="164">
                  <c:v>49051.49</c:v>
                </c:pt>
                <c:pt idx="165">
                  <c:v>49482.86</c:v>
                </c:pt>
                <c:pt idx="166">
                  <c:v>49345.19</c:v>
                </c:pt>
                <c:pt idx="167">
                  <c:v>49330.42</c:v>
                </c:pt>
                <c:pt idx="168">
                  <c:v>49722.75</c:v>
                </c:pt>
                <c:pt idx="169">
                  <c:v>50132.53</c:v>
                </c:pt>
                <c:pt idx="170">
                  <c:v>50561.7</c:v>
                </c:pt>
                <c:pt idx="171">
                  <c:v>50839.45</c:v>
                </c:pt>
                <c:pt idx="172">
                  <c:v>51802.92</c:v>
                </c:pt>
                <c:pt idx="173">
                  <c:v>51804.31</c:v>
                </c:pt>
                <c:pt idx="174">
                  <c:v>53241.32</c:v>
                </c:pt>
                <c:pt idx="175">
                  <c:v>52764.46</c:v>
                </c:pt>
                <c:pt idx="176">
                  <c:v>53070.91</c:v>
                </c:pt>
                <c:pt idx="177">
                  <c:v>50990.07</c:v>
                </c:pt>
                <c:pt idx="178">
                  <c:v>51717.82</c:v>
                </c:pt>
                <c:pt idx="179">
                  <c:v>51671.040000000001</c:v>
                </c:pt>
                <c:pt idx="180">
                  <c:v>52552.800000000003</c:v>
                </c:pt>
                <c:pt idx="181">
                  <c:v>52260.19</c:v>
                </c:pt>
                <c:pt idx="182">
                  <c:v>53561.54</c:v>
                </c:pt>
                <c:pt idx="183">
                  <c:v>53910.51</c:v>
                </c:pt>
                <c:pt idx="184">
                  <c:v>54311.96</c:v>
                </c:pt>
                <c:pt idx="185">
                  <c:v>54477.78</c:v>
                </c:pt>
                <c:pt idx="186">
                  <c:v>53082.5</c:v>
                </c:pt>
                <c:pt idx="187">
                  <c:v>51861.71</c:v>
                </c:pt>
                <c:pt idx="188">
                  <c:v>52907.88</c:v>
                </c:pt>
                <c:pt idx="189">
                  <c:v>53630.93</c:v>
                </c:pt>
                <c:pt idx="190">
                  <c:v>53710.05</c:v>
                </c:pt>
                <c:pt idx="191">
                  <c:v>52894.080000000002</c:v>
                </c:pt>
                <c:pt idx="192">
                  <c:v>53227.74</c:v>
                </c:pt>
                <c:pt idx="193">
                  <c:v>52411.02</c:v>
                </c:pt>
                <c:pt idx="194">
                  <c:v>53149.84</c:v>
                </c:pt>
                <c:pt idx="195">
                  <c:v>52001.86</c:v>
                </c:pt>
                <c:pt idx="196">
                  <c:v>50165.47</c:v>
                </c:pt>
                <c:pt idx="197">
                  <c:v>50292.93</c:v>
                </c:pt>
                <c:pt idx="198">
                  <c:v>48513.1</c:v>
                </c:pt>
                <c:pt idx="199">
                  <c:v>48096.24</c:v>
                </c:pt>
                <c:pt idx="200">
                  <c:v>49053.62</c:v>
                </c:pt>
                <c:pt idx="201">
                  <c:v>48779.98</c:v>
                </c:pt>
                <c:pt idx="202">
                  <c:v>50561.53</c:v>
                </c:pt>
                <c:pt idx="203">
                  <c:v>50055.27</c:v>
                </c:pt>
                <c:pt idx="204">
                  <c:v>51248.93</c:v>
                </c:pt>
                <c:pt idx="205">
                  <c:v>51154.99</c:v>
                </c:pt>
                <c:pt idx="206">
                  <c:v>50838.23</c:v>
                </c:pt>
                <c:pt idx="207">
                  <c:v>49657.39</c:v>
                </c:pt>
                <c:pt idx="208">
                  <c:v>49690.05</c:v>
                </c:pt>
                <c:pt idx="209">
                  <c:v>51010.2</c:v>
                </c:pt>
                <c:pt idx="210">
                  <c:v>51171.55</c:v>
                </c:pt>
                <c:pt idx="211">
                  <c:v>50814.66</c:v>
                </c:pt>
                <c:pt idx="212">
                  <c:v>50913.79</c:v>
                </c:pt>
                <c:pt idx="213">
                  <c:v>47763.43</c:v>
                </c:pt>
                <c:pt idx="214">
                  <c:v>47130.02</c:v>
                </c:pt>
                <c:pt idx="215">
                  <c:v>48867.34</c:v>
                </c:pt>
                <c:pt idx="216">
                  <c:v>49638.68</c:v>
                </c:pt>
                <c:pt idx="217">
                  <c:v>49571.11</c:v>
                </c:pt>
                <c:pt idx="218">
                  <c:v>48665.09</c:v>
                </c:pt>
                <c:pt idx="219">
                  <c:v>49102.14</c:v>
                </c:pt>
                <c:pt idx="220">
                  <c:v>49246.1</c:v>
                </c:pt>
                <c:pt idx="221">
                  <c:v>49084.87</c:v>
                </c:pt>
                <c:pt idx="222">
                  <c:v>47193.39</c:v>
                </c:pt>
                <c:pt idx="223">
                  <c:v>44893.48</c:v>
                </c:pt>
                <c:pt idx="224">
                  <c:v>44121.79</c:v>
                </c:pt>
                <c:pt idx="225">
                  <c:v>42793.86</c:v>
                </c:pt>
                <c:pt idx="226">
                  <c:v>41593.08</c:v>
                </c:pt>
                <c:pt idx="227">
                  <c:v>41887.9</c:v>
                </c:pt>
                <c:pt idx="228">
                  <c:v>42084.56</c:v>
                </c:pt>
                <c:pt idx="229">
                  <c:v>42520.94</c:v>
                </c:pt>
                <c:pt idx="230">
                  <c:v>43234.86</c:v>
                </c:pt>
                <c:pt idx="231">
                  <c:v>41543.410000000003</c:v>
                </c:pt>
                <c:pt idx="232">
                  <c:v>41477.629999999997</c:v>
                </c:pt>
                <c:pt idx="233">
                  <c:v>41630.82</c:v>
                </c:pt>
                <c:pt idx="234">
                  <c:v>40947.699999999997</c:v>
                </c:pt>
                <c:pt idx="235">
                  <c:v>40092.89</c:v>
                </c:pt>
                <c:pt idx="236">
                  <c:v>39808.050000000003</c:v>
                </c:pt>
                <c:pt idx="237">
                  <c:v>39318.300000000003</c:v>
                </c:pt>
                <c:pt idx="238">
                  <c:v>40376.58</c:v>
                </c:pt>
                <c:pt idx="239">
                  <c:v>40592.089999999997</c:v>
                </c:pt>
                <c:pt idx="240">
                  <c:v>40821.730000000003</c:v>
                </c:pt>
                <c:pt idx="241">
                  <c:v>39588.82</c:v>
                </c:pt>
                <c:pt idx="242">
                  <c:v>38596.17</c:v>
                </c:pt>
                <c:pt idx="243">
                  <c:v>40570.04</c:v>
                </c:pt>
                <c:pt idx="244">
                  <c:v>40405.99</c:v>
                </c:pt>
                <c:pt idx="245">
                  <c:v>38630.19</c:v>
                </c:pt>
                <c:pt idx="246">
                  <c:v>38376.370000000003</c:v>
                </c:pt>
                <c:pt idx="247">
                  <c:v>37497.480000000003</c:v>
                </c:pt>
                <c:pt idx="248">
                  <c:v>38031.22</c:v>
                </c:pt>
                <c:pt idx="249">
                  <c:v>37717.11</c:v>
                </c:pt>
                <c:pt idx="250">
                  <c:v>37645.480000000003</c:v>
                </c:pt>
                <c:pt idx="251">
                  <c:v>38057.019999999997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63968"/>
        <c:axId val="103818368"/>
      </c:lineChart>
      <c:dateAx>
        <c:axId val="1097639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 rot="-2700000"/>
          <a:lstStyle/>
          <a:p>
            <a:pPr>
              <a:defRPr sz="800"/>
            </a:pPr>
            <a:endParaRPr lang="ko-KR"/>
          </a:p>
        </c:txPr>
        <c:crossAx val="103818368"/>
        <c:crosses val="autoZero"/>
        <c:auto val="1"/>
        <c:lblOffset val="100"/>
        <c:baseTimeUnit val="days"/>
      </c:dateAx>
      <c:valAx>
        <c:axId val="10381836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09763968"/>
        <c:crosses val="autoZero"/>
        <c:crossBetween val="between"/>
      </c:valAx>
      <c:spPr>
        <a:solidFill>
          <a:schemeClr val="bg1"/>
        </a:solidFill>
      </c:spPr>
    </c:plotArea>
    <c:legend>
      <c:legendPos val="b"/>
      <c:layout/>
      <c:overlay val="0"/>
      <c:txPr>
        <a:bodyPr/>
        <a:lstStyle/>
        <a:p>
          <a:pPr>
            <a:defRPr sz="800" b="1">
              <a:solidFill>
                <a:sysClr val="windowText" lastClr="000000"/>
              </a:solidFill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bg1">
          <a:lumMod val="75000"/>
        </a:schemeClr>
      </a:solidFill>
    </a:ln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</xdr:colOff>
      <xdr:row>6</xdr:row>
      <xdr:rowOff>200025</xdr:rowOff>
    </xdr:from>
    <xdr:to>
      <xdr:col>21</xdr:col>
      <xdr:colOff>981075</xdr:colOff>
      <xdr:row>25</xdr:row>
      <xdr:rowOff>76200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W1005"/>
  <sheetViews>
    <sheetView showGridLines="0" tabSelected="1" zoomScaleNormal="100" workbookViewId="0"/>
  </sheetViews>
  <sheetFormatPr defaultRowHeight="13.5"/>
  <cols>
    <col min="1" max="1" width="3" customWidth="1"/>
    <col min="2" max="3" width="9.140625" hidden="1" customWidth="1"/>
    <col min="4" max="4" width="3.7109375" hidden="1" customWidth="1"/>
    <col min="5" max="5" width="2.7109375" hidden="1" customWidth="1"/>
    <col min="6" max="6" width="17.28515625" style="3" bestFit="1" customWidth="1"/>
    <col min="7" max="7" width="16.140625" style="1" bestFit="1" customWidth="1"/>
    <col min="8" max="8" width="11.28515625" bestFit="1" customWidth="1"/>
    <col min="10" max="10" width="7.28515625" bestFit="1" customWidth="1"/>
    <col min="12" max="12" width="9.140625" customWidth="1"/>
    <col min="13" max="13" width="4.42578125" style="9" customWidth="1"/>
    <col min="14" max="14" width="11.85546875" style="9" customWidth="1"/>
    <col min="15" max="15" width="14.85546875" style="9" bestFit="1" customWidth="1"/>
    <col min="16" max="16" width="2.7109375" style="9" customWidth="1"/>
    <col min="17" max="17" width="14.140625" style="9" customWidth="1"/>
    <col min="18" max="18" width="2" style="9" customWidth="1"/>
    <col min="19" max="19" width="12.28515625" style="9" hidden="1" customWidth="1"/>
    <col min="20" max="20" width="5.140625" style="13" hidden="1" customWidth="1"/>
    <col min="21" max="21" width="11" style="9" customWidth="1"/>
    <col min="22" max="22" width="14.85546875" style="9" bestFit="1" customWidth="1"/>
    <col min="23" max="23" width="2.7109375" style="9" customWidth="1"/>
    <col min="24" max="24" width="14.5703125" style="9" bestFit="1" customWidth="1"/>
    <col min="25" max="25" width="2.7109375" style="9" customWidth="1"/>
    <col min="26" max="26" width="8.85546875" style="9" hidden="1" customWidth="1"/>
    <col min="27" max="27" width="5.140625" style="13" hidden="1" customWidth="1"/>
    <col min="28" max="31" width="5.140625" style="13" customWidth="1"/>
    <col min="32" max="43" width="5.28515625" style="9" customWidth="1"/>
    <col min="44" max="44" width="11.28515625" style="66" bestFit="1" customWidth="1"/>
    <col min="45" max="45" width="10.7109375" style="66" customWidth="1"/>
    <col min="46" max="46" width="8.85546875" style="66" bestFit="1" customWidth="1"/>
    <col min="47" max="47" width="14.42578125" style="66" bestFit="1" customWidth="1"/>
    <col min="48" max="48" width="10.7109375" style="66" customWidth="1"/>
    <col min="49" max="49" width="5.7109375" style="66" bestFit="1" customWidth="1"/>
    <col min="50" max="50" width="10.7109375" style="66" customWidth="1"/>
    <col min="51" max="51" width="8.5703125" style="66" bestFit="1" customWidth="1"/>
    <col min="52" max="52" width="10.7109375" style="66" customWidth="1"/>
    <col min="53" max="53" width="8.7109375" style="66" bestFit="1" customWidth="1"/>
    <col min="54" max="54" width="10.7109375" style="66" customWidth="1"/>
    <col min="55" max="55" width="8.7109375" style="66" bestFit="1" customWidth="1"/>
    <col min="56" max="56" width="11.28515625" style="66" bestFit="1" customWidth="1"/>
    <col min="57" max="57" width="9.7109375" style="66" bestFit="1" customWidth="1"/>
    <col min="58" max="58" width="5.28515625" style="17" customWidth="1"/>
    <col min="59" max="59" width="14.85546875" style="74" hidden="1" customWidth="1"/>
    <col min="60" max="60" width="12.5703125" style="74" hidden="1" customWidth="1"/>
    <col min="61" max="61" width="3.7109375" style="74" hidden="1" customWidth="1"/>
    <col min="62" max="62" width="2.7109375" style="74" hidden="1" customWidth="1"/>
    <col min="63" max="63" width="14.85546875" style="74" hidden="1" customWidth="1"/>
    <col min="64" max="64" width="9.140625" style="74" hidden="1" customWidth="1"/>
    <col min="65" max="65" width="14.85546875" style="75" hidden="1" customWidth="1"/>
    <col min="66" max="66" width="12.5703125" style="75" hidden="1" customWidth="1"/>
    <col min="67" max="67" width="3.7109375" style="75" hidden="1" customWidth="1"/>
    <col min="68" max="68" width="2.7109375" style="75" hidden="1" customWidth="1"/>
    <col min="69" max="69" width="14.85546875" style="75" hidden="1" customWidth="1"/>
    <col min="70" max="70" width="9.140625" style="75" hidden="1" customWidth="1"/>
    <col min="71" max="71" width="14.85546875" style="74" hidden="1" customWidth="1"/>
    <col min="72" max="72" width="12.5703125" style="74" hidden="1" customWidth="1"/>
    <col min="73" max="73" width="3.7109375" style="74" hidden="1" customWidth="1"/>
    <col min="74" max="74" width="2.7109375" style="74" hidden="1" customWidth="1"/>
    <col min="75" max="75" width="14.85546875" style="74" hidden="1" customWidth="1"/>
    <col min="76" max="76" width="9.140625" style="74" hidden="1" customWidth="1"/>
    <col min="77" max="77" width="14.85546875" style="75" hidden="1" customWidth="1"/>
    <col min="78" max="78" width="12.5703125" style="75" hidden="1" customWidth="1"/>
    <col min="79" max="79" width="3.7109375" style="75" hidden="1" customWidth="1"/>
    <col min="80" max="80" width="2.7109375" style="75" hidden="1" customWidth="1"/>
    <col min="81" max="81" width="14.85546875" style="75" hidden="1" customWidth="1"/>
    <col min="82" max="82" width="9.140625" style="75" hidden="1" customWidth="1"/>
    <col min="83" max="83" width="12.28515625" style="17" customWidth="1"/>
    <col min="84" max="85" width="9.140625" style="17" customWidth="1"/>
    <col min="86" max="86" width="14" style="17" hidden="1" customWidth="1"/>
    <col min="87" max="98" width="9.140625" style="17" hidden="1" customWidth="1"/>
    <col min="99" max="99" width="9.140625" style="17"/>
    <col min="100" max="127" width="9.140625" style="9"/>
  </cols>
  <sheetData>
    <row r="1" spans="2:98">
      <c r="AW1" s="66">
        <v>100</v>
      </c>
      <c r="AY1" s="66" t="s">
        <v>217</v>
      </c>
    </row>
    <row r="2" spans="2:98">
      <c r="AR2" s="66" t="s">
        <v>200</v>
      </c>
      <c r="AS2" s="67">
        <f ca="1">EDATE(AU2,-12)</f>
        <v>42388</v>
      </c>
      <c r="AT2" s="66" t="s">
        <v>201</v>
      </c>
      <c r="AU2" s="67">
        <f ca="1">TODAY()-1</f>
        <v>42754</v>
      </c>
      <c r="AV2" s="66" t="s">
        <v>202</v>
      </c>
      <c r="AW2" s="66">
        <v>1000</v>
      </c>
      <c r="AX2" s="66" t="s">
        <v>203</v>
      </c>
      <c r="AY2" s="66" t="s">
        <v>204</v>
      </c>
      <c r="AZ2" s="66" t="s">
        <v>205</v>
      </c>
      <c r="BA2" s="66" t="s">
        <v>206</v>
      </c>
      <c r="BB2" s="66" t="s">
        <v>207</v>
      </c>
      <c r="BC2" s="66">
        <v>0</v>
      </c>
      <c r="BD2" s="66" t="s">
        <v>208</v>
      </c>
      <c r="BE2" s="66" t="s">
        <v>209</v>
      </c>
    </row>
    <row r="3" spans="2:98">
      <c r="F3" s="64" t="s">
        <v>199</v>
      </c>
      <c r="G3" s="63">
        <f ca="1">TODAY()</f>
        <v>42755</v>
      </c>
      <c r="N3" s="33" t="s">
        <v>210</v>
      </c>
      <c r="O3" s="62" t="s">
        <v>235</v>
      </c>
      <c r="Q3" s="8" t="s">
        <v>10</v>
      </c>
      <c r="S3" t="str">
        <f>IF(ISERROR(VLOOKUP($Q$3,$BK$9:$BL$53,2,FALSE)),"",VLOOKUP(Q3,$BK$9:$BL$53,2,FALSE))</f>
        <v>001</v>
      </c>
      <c r="T3" s="13" t="str">
        <f>IF(S3="001","IDX",IF(S3="801","IDX","FRN"))</f>
        <v>IDX</v>
      </c>
      <c r="Z3" s="71" t="str">
        <f>IF(ISERROR(VLOOKUP($Q$4,$BQ$9:$BR$53,2,FALSE)),"",VLOOKUP(Q4,$BQ$9:$BR$53,2,FALSE))</f>
        <v>DJI:DJI</v>
      </c>
      <c r="AA3" s="72" t="str">
        <f>IF(Z3="001","IDX",IF(Z3="801","IDX","FRN"))</f>
        <v>FRN</v>
      </c>
      <c r="AR3" s="68" t="str">
        <f>S3</f>
        <v>001</v>
      </c>
      <c r="AT3" s="68" t="str">
        <f>Z3</f>
        <v>DJI:DJI</v>
      </c>
      <c r="AU3" s="68" t="str">
        <f>S5</f>
        <v>SHS:000001</v>
      </c>
      <c r="AV3" s="68" t="str">
        <f>Z5</f>
        <v>BRI:BVSP</v>
      </c>
      <c r="AX3" s="68" t="str">
        <f>S3</f>
        <v>001</v>
      </c>
      <c r="AZ3" s="66" t="str">
        <f>Z3</f>
        <v>DJI:DJI</v>
      </c>
      <c r="BA3" s="66" t="str">
        <f>S5</f>
        <v>SHS:000001</v>
      </c>
      <c r="BB3" s="66" t="str">
        <f>Z5</f>
        <v>BRI:BVSP</v>
      </c>
    </row>
    <row r="4" spans="2:98" ht="14.25" thickBot="1">
      <c r="N4" s="33" t="s">
        <v>212</v>
      </c>
      <c r="O4" s="34" t="s">
        <v>191</v>
      </c>
      <c r="P4" s="11"/>
      <c r="Q4" s="8" t="s">
        <v>4</v>
      </c>
      <c r="V4" s="10"/>
      <c r="W4" s="10"/>
      <c r="X4" s="10"/>
      <c r="Z4" s="71"/>
      <c r="AA4" s="72"/>
      <c r="AR4" s="66" t="str">
        <f ca="1">_xll.IMDH($T$3,AR$3,$AR$5:$AS$5,$AS$2,$AU$2,$AW$2,"Per="&amp;$AY$2&amp;",sort="&amp;$BA$2&amp;",real=true,Bizday="&amp;$BC$2&amp;",Quote="&amp;$BE$2&amp;",Pos=20,Orient=V,Title="&amp;$Q$3&amp;",DtFmt=1,TmFmt=1,unit=true")</f>
        <v>한국(KOSPI)</v>
      </c>
      <c r="AT4" s="66" t="str">
        <f ca="1">_xll.IMDH($AA$3,AT$3,$AT$5,$AS$2,$AU$2,$AW$2,"Per="&amp;$AY$2&amp;",sort="&amp;$BA$2&amp;",real=true,Bizday="&amp;$BC$2&amp;",Quote="&amp;$BE$2&amp;",Pos=20,Orient=V,Title="&amp;$Q$4&amp;",DtFmt=1,TmFmt=1,unit=true")</f>
        <v>미국(DJI)</v>
      </c>
      <c r="AU4" s="66" t="str">
        <f ca="1">_xll.IMDH($T$5,AU$3,$AU$5,$AS$2,$AU$2,$AW$2,"Per="&amp;$AY$2&amp;",sort="&amp;$BA$2&amp;",real=true,Bizday="&amp;$BC$2&amp;",Quote="&amp;$BE$2&amp;",Pos=20,Orient=V,Title="&amp;$Q$5&amp;",DtFmt=1,TmFmt=1,unit=true")</f>
        <v>중국(상해종합)</v>
      </c>
      <c r="AV4" s="66" t="str">
        <f ca="1">_xll.IMDH($AA$5,AV$3,$AU$5,$AS$2,$AU$2,$AW$2,"Per="&amp;$AY$2&amp;",sort="&amp;$BA$2&amp;",real=true,Bizday="&amp;$BC$2&amp;",Quote="&amp;$BE$2&amp;",Pos=20,Orient=V,Title="&amp;$Q$6&amp;",DtFmt=1,TmFmt=1,unit=true")</f>
        <v>브라질</v>
      </c>
      <c r="AX4" s="66" t="str">
        <f ca="1">_xll.IMDH($T$3,AX$3,$AX$5:$AY$5,$AS$2,$AU$2,$AW$1,"Per="&amp;$AY$1&amp;",sort="&amp;$BA$2&amp;",real=true,Bizday="&amp;$BC$2&amp;",Quote="&amp;$BE$2&amp;",Pos=20,Orient=V,Title="&amp;$Q$3&amp;",DtFmt=1,TmFmt=1,unit=true")</f>
        <v>한국(KOSPI)</v>
      </c>
      <c r="AZ4" s="66" t="str">
        <f ca="1">_xll.IMDH($AA$3,AZ$3,$AZ$5,$AS$2,$AU$2,$AW$1,"Per="&amp;$AY$1&amp;",sort="&amp;$BA$2&amp;",real=true,Bizday="&amp;$BC$2&amp;",Quote="&amp;$BE$2&amp;",Pos=20,Orient=V,Title="&amp;$Q$4&amp;",DtFmt=1,TmFmt=1,unit=true")</f>
        <v>미국(DJI)</v>
      </c>
      <c r="BA4" s="66" t="str">
        <f ca="1">_xll.IMDH($T$5,BA$3,$BA$5,$AS$2,$AU$2,$AW$1,"Per="&amp;$AY$1&amp;",sort="&amp;$BA$2&amp;",real=true,Bizday="&amp;$BC$2&amp;",Quote="&amp;$BE$2&amp;",Pos=20,Orient=V,Title="&amp;$Q$5&amp;",DtFmt=1,TmFmt=1,unit=true")</f>
        <v>중국(상해종합)</v>
      </c>
      <c r="BB4" s="66" t="str">
        <f ca="1">_xll.IMDH($AA$5,BB$3,$BB$5,$AS$2,$AU$2,$AW$1,"Per="&amp;$AY$1&amp;",sort="&amp;$BA$2&amp;",real=true,Bizday="&amp;$BC$2&amp;",Quote="&amp;$BE$2&amp;",Pos=20,Orient=V,Title="&amp;$Q$6&amp;",DtFmt=1,TmFmt=1,unit=true")</f>
        <v>브라질</v>
      </c>
    </row>
    <row r="5" spans="2:98" ht="14.25" thickBot="1">
      <c r="F5" s="65" t="s">
        <v>191</v>
      </c>
      <c r="G5" s="2"/>
      <c r="N5" s="33" t="s">
        <v>211</v>
      </c>
      <c r="O5" s="34" t="s">
        <v>191</v>
      </c>
      <c r="Q5" s="8" t="s">
        <v>14</v>
      </c>
      <c r="S5" s="12" t="str">
        <f>IF(ISERROR(VLOOKUP($Q$5,$BW$9:$BX$53,2,FALSE)),"",VLOOKUP(Q5,$BW$9:$BX$53,2,FALSE))</f>
        <v>SHS:000001</v>
      </c>
      <c r="T5" s="13" t="str">
        <f>IF(S5="001","IDX",IF(S5="801","IDX","FRN"))</f>
        <v>FRN</v>
      </c>
      <c r="Z5" s="73" t="str">
        <f>IF(ISERROR(VLOOKUP($Q$6,$CC$9:$CD$53,2,FALSE)),"",VLOOKUP(Q6,$CC$9:$CD$53,2,FALSE))</f>
        <v>BRI:BVSP</v>
      </c>
      <c r="AA5" s="72" t="str">
        <f>IF(Z5="001","IDX",IF(Z5="801","IDX","FRN"))</f>
        <v>FRN</v>
      </c>
      <c r="AR5" s="66" t="s">
        <v>214</v>
      </c>
      <c r="AS5" s="69" t="s">
        <v>215</v>
      </c>
      <c r="AT5" s="66" t="s">
        <v>215</v>
      </c>
      <c r="AU5" s="69" t="s">
        <v>215</v>
      </c>
      <c r="AV5" s="69" t="s">
        <v>215</v>
      </c>
      <c r="AX5" s="66" t="s">
        <v>214</v>
      </c>
      <c r="AY5" s="69" t="s">
        <v>218</v>
      </c>
      <c r="AZ5" s="69" t="s">
        <v>218</v>
      </c>
      <c r="BA5" s="69" t="s">
        <v>218</v>
      </c>
      <c r="BB5" s="69" t="s">
        <v>218</v>
      </c>
      <c r="BC5" s="69"/>
      <c r="BD5" s="69"/>
      <c r="BE5" s="69"/>
    </row>
    <row r="6" spans="2:98">
      <c r="G6" s="2"/>
      <c r="N6" s="33" t="s">
        <v>213</v>
      </c>
      <c r="O6" s="34" t="s">
        <v>191</v>
      </c>
      <c r="P6" s="11"/>
      <c r="Q6" s="8" t="s">
        <v>0</v>
      </c>
      <c r="Z6" s="71"/>
      <c r="AA6" s="72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67">
        <v>42754</v>
      </c>
      <c r="AS6" s="66">
        <v>2072.79</v>
      </c>
      <c r="AT6" s="66">
        <v>19732.400000000001</v>
      </c>
      <c r="AU6" s="66">
        <v>3101.3</v>
      </c>
      <c r="AV6" s="66">
        <v>63950.86</v>
      </c>
      <c r="AX6" s="67">
        <v>42754</v>
      </c>
      <c r="AY6" s="68">
        <v>0.11</v>
      </c>
      <c r="AZ6" s="68">
        <v>-0.37</v>
      </c>
      <c r="BA6" s="66">
        <v>-0.38</v>
      </c>
      <c r="BB6" s="68">
        <v>-0.31</v>
      </c>
      <c r="BD6" s="68"/>
      <c r="BL6" s="76"/>
      <c r="BR6" s="77"/>
      <c r="BX6" s="76"/>
      <c r="CD6" s="77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</row>
    <row r="7" spans="2:98" ht="10.5" customHeight="1">
      <c r="F7" s="25"/>
      <c r="G7" s="26"/>
      <c r="H7" s="27"/>
      <c r="I7" s="28"/>
      <c r="J7" s="28"/>
      <c r="K7" s="28"/>
      <c r="L7" s="28"/>
      <c r="Z7" s="71"/>
      <c r="AA7" s="72"/>
      <c r="AR7" s="67">
        <v>42753</v>
      </c>
      <c r="AS7" s="66">
        <v>2070.54</v>
      </c>
      <c r="AT7" s="66">
        <v>19804.72</v>
      </c>
      <c r="AU7" s="66">
        <v>3113.01</v>
      </c>
      <c r="AV7" s="66">
        <v>64149.57</v>
      </c>
      <c r="AX7" s="67">
        <v>42753</v>
      </c>
      <c r="AY7" s="68">
        <v>-0.06</v>
      </c>
      <c r="AZ7" s="68">
        <v>-0.11</v>
      </c>
      <c r="BA7" s="66">
        <v>0.14000000000000001</v>
      </c>
      <c r="BB7" s="68">
        <v>-0.32</v>
      </c>
      <c r="BD7" s="68"/>
      <c r="BK7" s="78"/>
      <c r="BL7" s="79"/>
      <c r="BQ7" s="80"/>
      <c r="BR7" s="81"/>
      <c r="BW7" s="78"/>
      <c r="BX7" s="79"/>
      <c r="CC7" s="80"/>
      <c r="CD7" s="8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</row>
    <row r="8" spans="2:98" ht="14.25" thickBot="1">
      <c r="F8" s="32" t="s">
        <v>62</v>
      </c>
      <c r="G8" s="31" t="s">
        <v>63</v>
      </c>
      <c r="H8" s="31" t="s">
        <v>64</v>
      </c>
      <c r="I8" s="31" t="s">
        <v>65</v>
      </c>
      <c r="J8" s="31" t="s">
        <v>66</v>
      </c>
      <c r="K8" s="31" t="s">
        <v>67</v>
      </c>
      <c r="L8" s="31" t="s">
        <v>68</v>
      </c>
      <c r="Q8" s="16"/>
      <c r="AR8" s="67">
        <v>42752</v>
      </c>
      <c r="AS8" s="66">
        <v>2071.87</v>
      </c>
      <c r="AT8" s="66">
        <v>19826.77</v>
      </c>
      <c r="AU8" s="66">
        <v>3108.77</v>
      </c>
      <c r="AV8" s="66">
        <v>64354.34</v>
      </c>
      <c r="AX8" s="67">
        <v>42752</v>
      </c>
      <c r="AY8" s="68">
        <v>0.37</v>
      </c>
      <c r="AZ8" s="68">
        <v>-0.3</v>
      </c>
      <c r="BA8" s="66">
        <v>0.17</v>
      </c>
      <c r="BB8" s="68">
        <v>0.82</v>
      </c>
      <c r="BD8" s="68"/>
      <c r="BK8" s="82" t="s">
        <v>219</v>
      </c>
      <c r="BL8" s="83" t="s">
        <v>220</v>
      </c>
      <c r="BQ8" s="84" t="s">
        <v>219</v>
      </c>
      <c r="BR8" s="85" t="s">
        <v>220</v>
      </c>
      <c r="BW8" s="82" t="s">
        <v>219</v>
      </c>
      <c r="BX8" s="83" t="s">
        <v>220</v>
      </c>
      <c r="CC8" s="84" t="s">
        <v>219</v>
      </c>
      <c r="CD8" s="85" t="s">
        <v>220</v>
      </c>
      <c r="CH8" s="91"/>
      <c r="CI8" s="93" t="s">
        <v>221</v>
      </c>
      <c r="CJ8" s="94"/>
      <c r="CK8" s="94" t="s">
        <v>222</v>
      </c>
      <c r="CL8" s="94"/>
      <c r="CM8" s="94" t="s">
        <v>223</v>
      </c>
      <c r="CN8" s="94"/>
      <c r="CO8" s="94" t="s">
        <v>224</v>
      </c>
      <c r="CP8" s="94"/>
      <c r="CQ8" s="94" t="s">
        <v>225</v>
      </c>
      <c r="CR8" s="94"/>
      <c r="CS8" s="93" t="s">
        <v>226</v>
      </c>
      <c r="CT8" s="94"/>
    </row>
    <row r="9" spans="2:98">
      <c r="B9" t="str">
        <f t="shared" ref="B9:B53" si="0">INDEX(CI$9:CT$53,$D9,$E9)</f>
        <v>브라질</v>
      </c>
      <c r="C9" t="str">
        <f>INDEX(CI$9:CT$53,$D9,$E9+1)</f>
        <v>BRI:BVSP</v>
      </c>
      <c r="D9">
        <v>1</v>
      </c>
      <c r="E9">
        <f t="shared" ref="E9:E53" si="1">MATCH($F$5,$CI$8:$CT$8,0)</f>
        <v>1</v>
      </c>
      <c r="F9" s="60" t="str">
        <f>IF(B9=0,"-",B9)</f>
        <v>브라질</v>
      </c>
      <c r="G9" s="29" t="str">
        <f>IF(C9=0,"-",C9)</f>
        <v>BRI:BVSP</v>
      </c>
      <c r="H9" s="30">
        <f ca="1">IF(LEN($G9)=3,_xll.IMDP("IDX",$G9,"현재가",$G$3),_xll.IMDP("FRN",$G9,"현재가",$G$3))</f>
        <v>63950.86</v>
      </c>
      <c r="I9" s="30">
        <f ca="1">IF(LEN($G9)=3,_xll.IMDP("IDX",$G9,"전일대비",$G$3),_xll.IMDP("FRN",$G9,"전일대비",$G$3))</f>
        <v>-198.71</v>
      </c>
      <c r="J9" s="30">
        <f ca="1">IF(LEN($G9)=3,_xll.IMDP("IDX",$G9,"등락률",$G$3),_xll.IMDP("FRN",$G9,"등락률",$G$3))</f>
        <v>-0.31</v>
      </c>
      <c r="K9" s="30">
        <f ca="1">IF(LEN($G9)=3,_xll.IMDP("IDX",$G9,"시간",$G$3),_xll.IMDP("FRN",$G9,"한국시간",$G$3))</f>
        <v>51330</v>
      </c>
      <c r="L9" s="61" t="str">
        <f ca="1">IF(LEN($G9)=3,_xll.IMDP("IDX",$G9,"시간",$G$3),_xll.IMDP("FRN",$G9,"시간",$G$3))</f>
        <v/>
      </c>
      <c r="AR9" s="67">
        <v>42751</v>
      </c>
      <c r="AS9" s="66">
        <v>2064.17</v>
      </c>
      <c r="AT9" s="66">
        <v>19885.73</v>
      </c>
      <c r="AU9" s="66">
        <v>3103.43</v>
      </c>
      <c r="AV9" s="66">
        <v>63831.28</v>
      </c>
      <c r="AX9" s="67">
        <v>42751</v>
      </c>
      <c r="AY9" s="68">
        <v>-0.61</v>
      </c>
      <c r="AZ9" s="68">
        <v>-0.03</v>
      </c>
      <c r="BA9" s="66">
        <v>-0.3</v>
      </c>
      <c r="BB9" s="68">
        <v>0.28000000000000003</v>
      </c>
      <c r="BD9" s="68"/>
      <c r="BG9" s="74" t="str">
        <f t="shared" ref="BG9:BG53" si="2">INDEX(CI$9:CT$53,$BI9,$BJ9)</f>
        <v>브라질</v>
      </c>
      <c r="BH9" s="74" t="str">
        <f t="shared" ref="BH9:BH53" si="3">INDEX(CI$9:CT$53,$BI9,$BJ9+1)</f>
        <v>BRI:BVSP</v>
      </c>
      <c r="BI9" s="74">
        <v>1</v>
      </c>
      <c r="BJ9" s="74">
        <f t="shared" ref="BJ9:BJ53" si="4">MATCH($O$3,$CI$8:$CT$8,0)</f>
        <v>1</v>
      </c>
      <c r="BK9" s="86" t="str">
        <f>IF(BG9=0,"",BG9)</f>
        <v>브라질</v>
      </c>
      <c r="BL9" s="87" t="str">
        <f t="shared" ref="BL9:BL46" si="5">IF(BH9=0,"",BH9)</f>
        <v>BRI:BVSP</v>
      </c>
      <c r="BM9" s="75" t="str">
        <f>INDEX(CI$9:CT$53,$BO9,$BP9)</f>
        <v>브라질</v>
      </c>
      <c r="BN9" s="75" t="str">
        <f>INDEX(CI$9:CT$53,$BO9,$BP9+1)</f>
        <v>BRI:BVSP</v>
      </c>
      <c r="BO9" s="75">
        <v>1</v>
      </c>
      <c r="BP9" s="75">
        <f t="shared" ref="BP9:BP53" si="6">MATCH($O$4,$CI$8:$CT$8,0)</f>
        <v>1</v>
      </c>
      <c r="BQ9" s="88" t="str">
        <f>IF(BM9=0,"",BM9)</f>
        <v>브라질</v>
      </c>
      <c r="BR9" s="89" t="str">
        <f t="shared" ref="BR9:BR53" si="7">IF(BN9=0,"",BN9)</f>
        <v>BRI:BVSP</v>
      </c>
      <c r="BS9" s="74" t="str">
        <f>INDEX(CI$9:CT$53,$BU9,$BV9)</f>
        <v>브라질</v>
      </c>
      <c r="BT9" s="74" t="str">
        <f>INDEX(CI$9:CT$53,$BU9,$BV9+1)</f>
        <v>BRI:BVSP</v>
      </c>
      <c r="BU9" s="74">
        <v>1</v>
      </c>
      <c r="BV9" s="74">
        <f t="shared" ref="BV9:BV53" si="8">MATCH($O$5,$CI$8:$CT$8,0)</f>
        <v>1</v>
      </c>
      <c r="BW9" s="86" t="str">
        <f>IF(BS9=0,"",BS9)</f>
        <v>브라질</v>
      </c>
      <c r="BX9" s="87" t="str">
        <f t="shared" ref="BX9:BX53" si="9">IF(BT9=0,"",BT9)</f>
        <v>BRI:BVSP</v>
      </c>
      <c r="BY9" s="81" t="str">
        <f>INDEX(CI$9:CT$53,$CA9,$CB9)</f>
        <v>브라질</v>
      </c>
      <c r="BZ9" s="75" t="str">
        <f>INDEX(CI$9:CT$53,$CA9,$CB9+1)</f>
        <v>BRI:BVSP</v>
      </c>
      <c r="CA9" s="75">
        <v>1</v>
      </c>
      <c r="CB9" s="75">
        <f t="shared" ref="CB9:CB53" si="10">MATCH($O$6,$CI$8:$CT$8,0)</f>
        <v>1</v>
      </c>
      <c r="CC9" s="88" t="str">
        <f>IF(BY9=0,"",BY9)</f>
        <v>브라질</v>
      </c>
      <c r="CD9" s="89" t="str">
        <f t="shared" ref="CD9:CD53" si="11">IF(BZ9=0,"",BZ9)</f>
        <v>BRI:BVSP</v>
      </c>
      <c r="CH9" s="95" t="s">
        <v>227</v>
      </c>
      <c r="CI9" s="91" t="s">
        <v>0</v>
      </c>
      <c r="CJ9" s="91" t="s">
        <v>36</v>
      </c>
      <c r="CK9" s="91" t="s">
        <v>7</v>
      </c>
      <c r="CL9" s="91" t="s">
        <v>75</v>
      </c>
      <c r="CM9" s="91" t="s">
        <v>21</v>
      </c>
      <c r="CN9" s="91" t="s">
        <v>78</v>
      </c>
      <c r="CO9" s="91" t="s">
        <v>0</v>
      </c>
      <c r="CP9" s="91" t="s">
        <v>36</v>
      </c>
      <c r="CQ9" s="91" t="s">
        <v>118</v>
      </c>
      <c r="CR9" s="91" t="s">
        <v>130</v>
      </c>
      <c r="CS9" s="91" t="s">
        <v>8</v>
      </c>
      <c r="CT9" s="91" t="s">
        <v>150</v>
      </c>
    </row>
    <row r="10" spans="2:98">
      <c r="B10" t="str">
        <f t="shared" si="0"/>
        <v>아르헨티나</v>
      </c>
      <c r="C10" t="str">
        <f t="shared" ref="C10:C53" si="12">INDEX(CI$9:CT$53,D10,E10+1)</f>
        <v>ARI:MERV</v>
      </c>
      <c r="D10">
        <v>2</v>
      </c>
      <c r="E10">
        <f t="shared" si="1"/>
        <v>1</v>
      </c>
      <c r="F10" s="35" t="str">
        <f t="shared" ref="F10:F53" si="13">IF(B10=0,"-",B10)</f>
        <v>아르헨티나</v>
      </c>
      <c r="G10" s="6" t="str">
        <f t="shared" ref="G10:G53" si="14">IF(C10=0,"-",C10)</f>
        <v>ARI:MERV</v>
      </c>
      <c r="H10" s="5">
        <f ca="1">IF(LEN($G10)=3,_xll.IMDP("IDX",$G10,"현재가",$G$3),_xll.IMDP("FRN",$G10,"현재가",$G$3))</f>
        <v>18633.46</v>
      </c>
      <c r="I10" s="5">
        <f ca="1">IF(LEN($G10)=3,_xll.IMDP("IDX",$G10,"전일대비",$G$3),_xll.IMDP("FRN",$G10,"전일대비",$G$3))</f>
        <v>-236.63</v>
      </c>
      <c r="J10" s="5">
        <f ca="1">IF(LEN($G10)=3,_xll.IMDP("IDX",$G10,"등락률",$G$3),_xll.IMDP("FRN",$G10,"등락률",$G$3))</f>
        <v>-1.25</v>
      </c>
      <c r="K10" s="5">
        <f ca="1">IF(LEN($G10)=3,_xll.IMDP("IDX",$G10,"시간",$G$3),_xll.IMDP("FRN",$G10,"한국시간",$G$3))</f>
        <v>50105</v>
      </c>
      <c r="L10" s="36" t="str">
        <f ca="1">IF(LEN($G10)=3,_xll.IMDP("IDX",$G10,"시간",$G$3),_xll.IMDP("FRN",$G10,"시간",$G$3))</f>
        <v/>
      </c>
      <c r="AR10" s="67">
        <v>42748</v>
      </c>
      <c r="AS10" s="66">
        <v>2076.79</v>
      </c>
      <c r="AT10" s="66">
        <v>19891</v>
      </c>
      <c r="AU10" s="66">
        <v>3112.76</v>
      </c>
      <c r="AV10" s="66">
        <v>63651.519999999997</v>
      </c>
      <c r="AX10" s="67">
        <v>42748</v>
      </c>
      <c r="AY10" s="68">
        <v>-0.5</v>
      </c>
      <c r="AZ10" s="68">
        <v>-0.32</v>
      </c>
      <c r="BA10" s="66">
        <v>-0.21</v>
      </c>
      <c r="BB10" s="68">
        <v>-0.47</v>
      </c>
      <c r="BD10" s="68"/>
      <c r="BG10" s="74" t="str">
        <f t="shared" si="2"/>
        <v>아르헨티나</v>
      </c>
      <c r="BH10" s="74" t="str">
        <f t="shared" si="3"/>
        <v>ARI:MERV</v>
      </c>
      <c r="BI10" s="74">
        <v>2</v>
      </c>
      <c r="BJ10" s="74">
        <f t="shared" si="4"/>
        <v>1</v>
      </c>
      <c r="BK10" s="86" t="str">
        <f t="shared" ref="BK10:BK46" si="15">IF(BG10=0,"",BG10)</f>
        <v>아르헨티나</v>
      </c>
      <c r="BL10" s="87" t="str">
        <f t="shared" si="5"/>
        <v>ARI:MERV</v>
      </c>
      <c r="BM10" s="75" t="str">
        <f t="shared" ref="BM10:BM53" si="16">INDEX(CI$9:CT$53,$BO10,$BP10)</f>
        <v>아르헨티나</v>
      </c>
      <c r="BN10" s="75" t="str">
        <f t="shared" ref="BN10:BN53" si="17">INDEX(CI$9:CT$53,$BO10,$BP10+1)</f>
        <v>ARI:MERV</v>
      </c>
      <c r="BO10" s="75">
        <v>2</v>
      </c>
      <c r="BP10" s="75">
        <f t="shared" si="6"/>
        <v>1</v>
      </c>
      <c r="BQ10" s="88" t="str">
        <f t="shared" ref="BQ10:BQ53" si="18">IF(BM10=0,"",BM10)</f>
        <v>아르헨티나</v>
      </c>
      <c r="BR10" s="89" t="str">
        <f t="shared" si="7"/>
        <v>ARI:MERV</v>
      </c>
      <c r="BS10" s="74" t="str">
        <f t="shared" ref="BS10:BS53" si="19">INDEX(CI$9:CT$53,$BU10,$BV10)</f>
        <v>아르헨티나</v>
      </c>
      <c r="BT10" s="74" t="str">
        <f t="shared" ref="BT10:BT53" si="20">INDEX(CI$9:CT$53,$BU10,$BV10+1)</f>
        <v>ARI:MERV</v>
      </c>
      <c r="BU10" s="74">
        <v>2</v>
      </c>
      <c r="BV10" s="74">
        <f t="shared" si="8"/>
        <v>1</v>
      </c>
      <c r="BW10" s="86" t="str">
        <f t="shared" ref="BW10:BW53" si="21">IF(BS10=0,"",BS10)</f>
        <v>아르헨티나</v>
      </c>
      <c r="BX10" s="87" t="str">
        <f t="shared" si="9"/>
        <v>ARI:MERV</v>
      </c>
      <c r="BY10" s="81" t="str">
        <f t="shared" ref="BY10:BY53" si="22">INDEX(CI$9:CT$53,$CA10,$CB10)</f>
        <v>아르헨티나</v>
      </c>
      <c r="BZ10" s="75" t="str">
        <f t="shared" ref="BZ10:BZ53" si="23">INDEX(CI$9:CT$53,$CA10,$CB10+1)</f>
        <v>ARI:MERV</v>
      </c>
      <c r="CA10" s="75">
        <v>2</v>
      </c>
      <c r="CB10" s="75">
        <f t="shared" si="10"/>
        <v>1</v>
      </c>
      <c r="CC10" s="88" t="str">
        <f t="shared" ref="CC10:CC53" si="24">IF(BY10=0,"",BY10)</f>
        <v>아르헨티나</v>
      </c>
      <c r="CD10" s="89" t="str">
        <f t="shared" si="11"/>
        <v>ARI:MERV</v>
      </c>
      <c r="CH10" s="96" t="s">
        <v>228</v>
      </c>
      <c r="CI10" s="91" t="s">
        <v>1</v>
      </c>
      <c r="CJ10" s="91" t="s">
        <v>69</v>
      </c>
      <c r="CK10" s="91" t="s">
        <v>8</v>
      </c>
      <c r="CL10" s="91" t="s">
        <v>76</v>
      </c>
      <c r="CM10" s="91" t="s">
        <v>22</v>
      </c>
      <c r="CN10" s="91" t="s">
        <v>46</v>
      </c>
      <c r="CO10" s="91" t="s">
        <v>1</v>
      </c>
      <c r="CP10" s="91" t="s">
        <v>69</v>
      </c>
      <c r="CQ10" s="91" t="s">
        <v>119</v>
      </c>
      <c r="CR10" s="91" t="s">
        <v>131</v>
      </c>
      <c r="CS10" s="91" t="s">
        <v>35</v>
      </c>
      <c r="CT10" s="91" t="s">
        <v>151</v>
      </c>
    </row>
    <row r="11" spans="2:98">
      <c r="B11" t="str">
        <f t="shared" si="0"/>
        <v>페루</v>
      </c>
      <c r="C11" t="str">
        <f t="shared" si="12"/>
        <v>PEI:IGBVL</v>
      </c>
      <c r="D11">
        <v>3</v>
      </c>
      <c r="E11">
        <f t="shared" si="1"/>
        <v>1</v>
      </c>
      <c r="F11" s="35" t="str">
        <f t="shared" si="13"/>
        <v>페루</v>
      </c>
      <c r="G11" s="6" t="str">
        <f t="shared" si="14"/>
        <v>PEI:IGBVL</v>
      </c>
      <c r="H11" s="5">
        <f ca="1">IF(LEN($G11)=3,_xll.IMDP("IDX",$G11,"현재가",$G$3),_xll.IMDP("FRN",$G11,"현재가",$G$3))</f>
        <v>15726.74</v>
      </c>
      <c r="I11" s="5">
        <f ca="1">IF(LEN($G11)=3,_xll.IMDP("IDX",$G11,"전일대비",$G$3),_xll.IMDP("FRN",$G11,"전일대비",$G$3))</f>
        <v>-168.26</v>
      </c>
      <c r="J11" s="5">
        <f ca="1">IF(LEN($G11)=3,_xll.IMDP("IDX",$G11,"등락률",$G$3),_xll.IMDP("FRN",$G11,"등락률",$G$3))</f>
        <v>-1.06</v>
      </c>
      <c r="K11" s="5" t="str">
        <f ca="1">IF(LEN($G11)=3,_xll.IMDP("IDX",$G11,"시간",$G$3),_xll.IMDP("FRN",$G11,"한국시간",$G$3))</f>
        <v xml:space="preserve">      </v>
      </c>
      <c r="L11" s="36">
        <f ca="1">IF(LEN($G11)=3,_xll.IMDP("IDX",$G11,"시간",$G$3),_xll.IMDP("FRN",$G11,"시간",$G$3))</f>
        <v>75001</v>
      </c>
      <c r="AR11" s="67">
        <v>42747</v>
      </c>
      <c r="AS11" s="66">
        <v>2087.14</v>
      </c>
      <c r="AT11" s="66">
        <v>19954.28</v>
      </c>
      <c r="AU11" s="66">
        <v>3119.29</v>
      </c>
      <c r="AV11" s="66">
        <v>63953.93</v>
      </c>
      <c r="AX11" s="67">
        <v>42747</v>
      </c>
      <c r="AY11" s="68">
        <v>0.57999999999999996</v>
      </c>
      <c r="AZ11" s="68">
        <v>0.5</v>
      </c>
      <c r="BA11" s="66">
        <v>-0.56000000000000005</v>
      </c>
      <c r="BB11" s="68">
        <v>2.41</v>
      </c>
      <c r="BD11" s="68"/>
      <c r="BG11" s="74" t="str">
        <f t="shared" si="2"/>
        <v>페루</v>
      </c>
      <c r="BH11" s="74" t="str">
        <f t="shared" si="3"/>
        <v>PEI:IGBVL</v>
      </c>
      <c r="BI11" s="74">
        <v>3</v>
      </c>
      <c r="BJ11" s="74">
        <f t="shared" si="4"/>
        <v>1</v>
      </c>
      <c r="BK11" s="86" t="str">
        <f t="shared" si="15"/>
        <v>페루</v>
      </c>
      <c r="BL11" s="87" t="str">
        <f t="shared" si="5"/>
        <v>PEI:IGBVL</v>
      </c>
      <c r="BM11" s="75" t="str">
        <f t="shared" si="16"/>
        <v>페루</v>
      </c>
      <c r="BN11" s="75" t="str">
        <f t="shared" si="17"/>
        <v>PEI:IGBVL</v>
      </c>
      <c r="BO11" s="75">
        <v>3</v>
      </c>
      <c r="BP11" s="75">
        <f t="shared" si="6"/>
        <v>1</v>
      </c>
      <c r="BQ11" s="88" t="str">
        <f t="shared" si="18"/>
        <v>페루</v>
      </c>
      <c r="BR11" s="89" t="str">
        <f t="shared" si="7"/>
        <v>PEI:IGBVL</v>
      </c>
      <c r="BS11" s="74" t="str">
        <f t="shared" si="19"/>
        <v>페루</v>
      </c>
      <c r="BT11" s="74" t="str">
        <f t="shared" si="20"/>
        <v>PEI:IGBVL</v>
      </c>
      <c r="BU11" s="74">
        <v>3</v>
      </c>
      <c r="BV11" s="74">
        <f t="shared" si="8"/>
        <v>1</v>
      </c>
      <c r="BW11" s="86" t="str">
        <f t="shared" si="21"/>
        <v>페루</v>
      </c>
      <c r="BX11" s="87" t="str">
        <f t="shared" si="9"/>
        <v>PEI:IGBVL</v>
      </c>
      <c r="BY11" s="81" t="str">
        <f t="shared" si="22"/>
        <v>페루</v>
      </c>
      <c r="BZ11" s="75" t="str">
        <f t="shared" si="23"/>
        <v>PEI:IGBVL</v>
      </c>
      <c r="CA11" s="75">
        <v>3</v>
      </c>
      <c r="CB11" s="75">
        <f t="shared" si="10"/>
        <v>1</v>
      </c>
      <c r="CC11" s="88" t="str">
        <f t="shared" si="24"/>
        <v>페루</v>
      </c>
      <c r="CD11" s="89" t="str">
        <f t="shared" si="11"/>
        <v>PEI:IGBVL</v>
      </c>
      <c r="CH11" s="96" t="s">
        <v>229</v>
      </c>
      <c r="CI11" s="91" t="s">
        <v>2</v>
      </c>
      <c r="CJ11" s="91" t="s">
        <v>70</v>
      </c>
      <c r="CK11" s="91" t="s">
        <v>9</v>
      </c>
      <c r="CL11" s="91" t="s">
        <v>77</v>
      </c>
      <c r="CM11" s="91" t="s">
        <v>23</v>
      </c>
      <c r="CN11" s="91" t="s">
        <v>47</v>
      </c>
      <c r="CO11" s="91" t="s">
        <v>2</v>
      </c>
      <c r="CP11" s="91" t="s">
        <v>70</v>
      </c>
      <c r="CQ11" s="91" t="s">
        <v>120</v>
      </c>
      <c r="CR11" s="91" t="s">
        <v>132</v>
      </c>
      <c r="CS11" s="91" t="s">
        <v>31</v>
      </c>
      <c r="CT11" s="91" t="s">
        <v>152</v>
      </c>
    </row>
    <row r="12" spans="2:98">
      <c r="B12" t="str">
        <f t="shared" si="0"/>
        <v>캐나다</v>
      </c>
      <c r="C12" t="str">
        <f t="shared" si="12"/>
        <v>CAI:SPTSX</v>
      </c>
      <c r="D12">
        <v>4</v>
      </c>
      <c r="E12">
        <f t="shared" si="1"/>
        <v>1</v>
      </c>
      <c r="F12" s="35" t="str">
        <f t="shared" si="13"/>
        <v>캐나다</v>
      </c>
      <c r="G12" s="6" t="str">
        <f t="shared" si="14"/>
        <v>CAI:SPTSX</v>
      </c>
      <c r="H12" s="5">
        <f ca="1">IF(LEN($G12)=3,_xll.IMDP("IDX",$G12,"현재가",$G$3),_xll.IMDP("FRN",$G12,"현재가",$G$3))</f>
        <v>15409.81</v>
      </c>
      <c r="I12" s="5">
        <f ca="1">IF(LEN($G12)=3,_xll.IMDP("IDX",$G12,"전일대비",$G$3),_xll.IMDP("FRN",$G12,"전일대비",$G$3))</f>
        <v>11.96</v>
      </c>
      <c r="J12" s="5">
        <f ca="1">IF(LEN($G12)=3,_xll.IMDP("IDX",$G12,"등락률",$G$3),_xll.IMDP("FRN",$G12,"등락률",$G$3))</f>
        <v>0.08</v>
      </c>
      <c r="K12" s="5">
        <f ca="1">IF(LEN($G12)=3,_xll.IMDP("IDX",$G12,"시간",$G$3),_xll.IMDP("FRN",$G12,"한국시간",$G$3))</f>
        <v>60800</v>
      </c>
      <c r="L12" s="36" t="str">
        <f ca="1">IF(LEN($G12)=3,_xll.IMDP("IDX",$G12,"시간",$G$3),_xll.IMDP("FRN",$G12,"시간",$G$3))</f>
        <v/>
      </c>
      <c r="O12" s="14"/>
      <c r="Q12" s="14"/>
      <c r="AR12" s="67">
        <v>42746</v>
      </c>
      <c r="AS12" s="66">
        <v>2075.17</v>
      </c>
      <c r="AT12" s="66">
        <v>19855.53</v>
      </c>
      <c r="AU12" s="66">
        <v>3136.75</v>
      </c>
      <c r="AV12" s="66">
        <v>62446.26</v>
      </c>
      <c r="AX12" s="67">
        <v>42746</v>
      </c>
      <c r="AY12" s="68">
        <v>1.47</v>
      </c>
      <c r="AZ12" s="68">
        <v>-0.16</v>
      </c>
      <c r="BA12" s="66">
        <v>-0.79</v>
      </c>
      <c r="BB12" s="68">
        <v>0.51</v>
      </c>
      <c r="BD12" s="68"/>
      <c r="BG12" s="74" t="str">
        <f t="shared" si="2"/>
        <v>캐나다</v>
      </c>
      <c r="BH12" s="74" t="str">
        <f t="shared" si="3"/>
        <v>CAI:SPTSX</v>
      </c>
      <c r="BI12" s="74">
        <v>4</v>
      </c>
      <c r="BJ12" s="74">
        <f t="shared" si="4"/>
        <v>1</v>
      </c>
      <c r="BK12" s="86" t="str">
        <f t="shared" si="15"/>
        <v>캐나다</v>
      </c>
      <c r="BL12" s="87" t="str">
        <f t="shared" si="5"/>
        <v>CAI:SPTSX</v>
      </c>
      <c r="BM12" s="75" t="str">
        <f t="shared" si="16"/>
        <v>캐나다</v>
      </c>
      <c r="BN12" s="75" t="str">
        <f t="shared" si="17"/>
        <v>CAI:SPTSX</v>
      </c>
      <c r="BO12" s="75">
        <v>4</v>
      </c>
      <c r="BP12" s="75">
        <f t="shared" si="6"/>
        <v>1</v>
      </c>
      <c r="BQ12" s="88" t="str">
        <f t="shared" si="18"/>
        <v>캐나다</v>
      </c>
      <c r="BR12" s="89" t="str">
        <f t="shared" si="7"/>
        <v>CAI:SPTSX</v>
      </c>
      <c r="BS12" s="74" t="str">
        <f t="shared" si="19"/>
        <v>캐나다</v>
      </c>
      <c r="BT12" s="74" t="str">
        <f t="shared" si="20"/>
        <v>CAI:SPTSX</v>
      </c>
      <c r="BU12" s="74">
        <v>4</v>
      </c>
      <c r="BV12" s="74">
        <f t="shared" si="8"/>
        <v>1</v>
      </c>
      <c r="BW12" s="86" t="str">
        <f t="shared" si="21"/>
        <v>캐나다</v>
      </c>
      <c r="BX12" s="87" t="str">
        <f t="shared" si="9"/>
        <v>CAI:SPTSX</v>
      </c>
      <c r="BY12" s="81" t="str">
        <f t="shared" si="22"/>
        <v>캐나다</v>
      </c>
      <c r="BZ12" s="75" t="str">
        <f t="shared" si="23"/>
        <v>CAI:SPTSX</v>
      </c>
      <c r="CA12" s="75">
        <v>4</v>
      </c>
      <c r="CB12" s="75">
        <f t="shared" si="10"/>
        <v>1</v>
      </c>
      <c r="CC12" s="88" t="str">
        <f t="shared" si="24"/>
        <v>캐나다</v>
      </c>
      <c r="CD12" s="89" t="str">
        <f t="shared" si="11"/>
        <v>CAI:SPTSX</v>
      </c>
      <c r="CH12" s="96" t="s">
        <v>230</v>
      </c>
      <c r="CI12" s="91" t="s">
        <v>3</v>
      </c>
      <c r="CJ12" s="91" t="s">
        <v>71</v>
      </c>
      <c r="CK12" s="91" t="s">
        <v>79</v>
      </c>
      <c r="CL12" s="91" t="s">
        <v>90</v>
      </c>
      <c r="CM12" s="91" t="s">
        <v>24</v>
      </c>
      <c r="CN12" s="91" t="s">
        <v>48</v>
      </c>
      <c r="CO12" s="91" t="s">
        <v>3</v>
      </c>
      <c r="CP12" s="91" t="s">
        <v>71</v>
      </c>
      <c r="CQ12" s="91" t="s">
        <v>121</v>
      </c>
      <c r="CR12" s="91" t="s">
        <v>133</v>
      </c>
      <c r="CS12" s="91" t="s">
        <v>0</v>
      </c>
      <c r="CT12" s="91" t="s">
        <v>153</v>
      </c>
    </row>
    <row r="13" spans="2:98">
      <c r="B13" t="str">
        <f t="shared" si="0"/>
        <v>미국(DJI)</v>
      </c>
      <c r="C13" t="str">
        <f t="shared" si="12"/>
        <v>DJI:DJI</v>
      </c>
      <c r="D13">
        <v>5</v>
      </c>
      <c r="E13">
        <f t="shared" si="1"/>
        <v>1</v>
      </c>
      <c r="F13" s="35" t="str">
        <f t="shared" si="13"/>
        <v>미국(DJI)</v>
      </c>
      <c r="G13" s="6" t="str">
        <f t="shared" si="14"/>
        <v>DJI:DJI</v>
      </c>
      <c r="H13" s="5">
        <f ca="1">IF(LEN($G13)=3,_xll.IMDP("IDX",$G13,"현재가",$G$3),_xll.IMDP("FRN",$G13,"현재가",$G$3))</f>
        <v>19732.400000000001</v>
      </c>
      <c r="I13" s="5">
        <f ca="1">IF(LEN($G13)=3,_xll.IMDP("IDX",$G13,"전일대비",$G$3),_xll.IMDP("FRN",$G13,"전일대비",$G$3))</f>
        <v>-72.319999999999993</v>
      </c>
      <c r="J13" s="5">
        <f ca="1">IF(LEN($G13)=3,_xll.IMDP("IDX",$G13,"등락률",$G$3),_xll.IMDP("FRN",$G13,"등락률",$G$3))</f>
        <v>-0.37</v>
      </c>
      <c r="K13" s="5">
        <f ca="1">IF(LEN($G13)=3,_xll.IMDP("IDX",$G13,"시간",$G$3),_xll.IMDP("FRN",$G13,"한국시간",$G$3))</f>
        <v>60411</v>
      </c>
      <c r="L13" s="36">
        <f ca="1">IF(LEN($G13)=3,_xll.IMDP("IDX",$G13,"시간",$G$3),_xll.IMDP("FRN",$G13,"시간",$G$3))</f>
        <v>160411</v>
      </c>
      <c r="O13" s="13"/>
      <c r="AR13" s="67">
        <v>42745</v>
      </c>
      <c r="AS13" s="66">
        <v>2045.12</v>
      </c>
      <c r="AT13" s="66">
        <v>19887.38</v>
      </c>
      <c r="AU13" s="66">
        <v>3161.67</v>
      </c>
      <c r="AV13" s="66">
        <v>62131.8</v>
      </c>
      <c r="AX13" s="67">
        <v>42745</v>
      </c>
      <c r="AY13" s="68">
        <v>-0.18</v>
      </c>
      <c r="AZ13" s="68">
        <v>-0.38</v>
      </c>
      <c r="BA13" s="66">
        <v>-0.3</v>
      </c>
      <c r="BB13" s="68">
        <v>0.7</v>
      </c>
      <c r="BD13" s="68"/>
      <c r="BG13" s="74" t="str">
        <f t="shared" si="2"/>
        <v>미국(DJI)</v>
      </c>
      <c r="BH13" s="74" t="str">
        <f t="shared" si="3"/>
        <v>DJI:DJI</v>
      </c>
      <c r="BI13" s="74">
        <v>5</v>
      </c>
      <c r="BJ13" s="74">
        <f t="shared" si="4"/>
        <v>1</v>
      </c>
      <c r="BK13" s="86" t="str">
        <f t="shared" si="15"/>
        <v>미국(DJI)</v>
      </c>
      <c r="BL13" s="87" t="str">
        <f t="shared" si="5"/>
        <v>DJI:DJI</v>
      </c>
      <c r="BM13" s="75" t="str">
        <f t="shared" si="16"/>
        <v>미국(DJI)</v>
      </c>
      <c r="BN13" s="75" t="str">
        <f t="shared" si="17"/>
        <v>DJI:DJI</v>
      </c>
      <c r="BO13" s="75">
        <v>5</v>
      </c>
      <c r="BP13" s="75">
        <f t="shared" si="6"/>
        <v>1</v>
      </c>
      <c r="BQ13" s="88" t="str">
        <f t="shared" si="18"/>
        <v>미국(DJI)</v>
      </c>
      <c r="BR13" s="89" t="str">
        <f t="shared" si="7"/>
        <v>DJI:DJI</v>
      </c>
      <c r="BS13" s="74" t="str">
        <f t="shared" si="19"/>
        <v>미국(DJI)</v>
      </c>
      <c r="BT13" s="74" t="str">
        <f t="shared" si="20"/>
        <v>DJI:DJI</v>
      </c>
      <c r="BU13" s="74">
        <v>5</v>
      </c>
      <c r="BV13" s="74">
        <f t="shared" si="8"/>
        <v>1</v>
      </c>
      <c r="BW13" s="86" t="str">
        <f t="shared" si="21"/>
        <v>미국(DJI)</v>
      </c>
      <c r="BX13" s="87" t="str">
        <f t="shared" si="9"/>
        <v>DJI:DJI</v>
      </c>
      <c r="BY13" s="81" t="str">
        <f t="shared" si="22"/>
        <v>미국(DJI)</v>
      </c>
      <c r="BZ13" s="75" t="str">
        <f t="shared" si="23"/>
        <v>DJI:DJI</v>
      </c>
      <c r="CA13" s="75">
        <v>5</v>
      </c>
      <c r="CB13" s="75">
        <f t="shared" si="10"/>
        <v>1</v>
      </c>
      <c r="CC13" s="88" t="str">
        <f t="shared" si="24"/>
        <v>미국(DJI)</v>
      </c>
      <c r="CD13" s="89" t="str">
        <f t="shared" si="11"/>
        <v>DJI:DJI</v>
      </c>
      <c r="CH13" s="96" t="s">
        <v>231</v>
      </c>
      <c r="CI13" s="91" t="s">
        <v>4</v>
      </c>
      <c r="CJ13" s="91" t="s">
        <v>72</v>
      </c>
      <c r="CK13" s="91" t="s">
        <v>10</v>
      </c>
      <c r="CL13" s="92" t="s">
        <v>232</v>
      </c>
      <c r="CM13" s="91" t="s">
        <v>25</v>
      </c>
      <c r="CN13" s="91" t="s">
        <v>49</v>
      </c>
      <c r="CO13" s="91" t="s">
        <v>4</v>
      </c>
      <c r="CP13" s="91" t="s">
        <v>72</v>
      </c>
      <c r="CQ13" s="91" t="s">
        <v>122</v>
      </c>
      <c r="CR13" s="91" t="s">
        <v>134</v>
      </c>
      <c r="CS13" s="91" t="s">
        <v>3</v>
      </c>
      <c r="CT13" s="91" t="s">
        <v>154</v>
      </c>
    </row>
    <row r="14" spans="2:98" ht="14.25" thickBot="1">
      <c r="B14" t="str">
        <f t="shared" si="0"/>
        <v>미국(NASDAQ)</v>
      </c>
      <c r="C14" t="str">
        <f t="shared" si="12"/>
        <v>NAS:IXIC</v>
      </c>
      <c r="D14">
        <v>6</v>
      </c>
      <c r="E14">
        <f t="shared" si="1"/>
        <v>1</v>
      </c>
      <c r="F14" s="35" t="str">
        <f t="shared" si="13"/>
        <v>미국(NASDAQ)</v>
      </c>
      <c r="G14" s="6" t="str">
        <f t="shared" si="14"/>
        <v>NAS:IXIC</v>
      </c>
      <c r="H14" s="5">
        <f ca="1">IF(LEN($G14)=3,_xll.IMDP("IDX",$G14,"현재가",$G$3),_xll.IMDP("FRN",$G14,"현재가",$G$3))</f>
        <v>5540.08</v>
      </c>
      <c r="I14" s="5">
        <f ca="1">IF(LEN($G14)=3,_xll.IMDP("IDX",$G14,"전일대비",$G$3),_xll.IMDP("FRN",$G14,"전일대비",$G$3))</f>
        <v>-15.57</v>
      </c>
      <c r="J14" s="5">
        <f ca="1">IF(LEN($G14)=3,_xll.IMDP("IDX",$G14,"등락률",$G$3),_xll.IMDP("FRN",$G14,"등락률",$G$3))</f>
        <v>-0.28000000000000003</v>
      </c>
      <c r="K14" s="5">
        <f ca="1">IF(LEN($G14)=3,_xll.IMDP("IDX",$G14,"시간",$G$3),_xll.IMDP("FRN",$G14,"한국시간",$G$3))</f>
        <v>60002</v>
      </c>
      <c r="L14" s="36">
        <f ca="1">IF(LEN($G14)=3,_xll.IMDP("IDX",$G14,"시간",$G$3),_xll.IMDP("FRN",$G14,"시간",$G$3))</f>
        <v>160002</v>
      </c>
      <c r="AR14" s="67">
        <v>42744</v>
      </c>
      <c r="AS14" s="66">
        <v>2048.7800000000002</v>
      </c>
      <c r="AT14" s="66">
        <v>19963.8</v>
      </c>
      <c r="AU14" s="66">
        <v>3171.24</v>
      </c>
      <c r="AV14" s="66">
        <v>61700.29</v>
      </c>
      <c r="AX14" s="67">
        <v>42744</v>
      </c>
      <c r="AY14" s="68">
        <v>-0.02</v>
      </c>
      <c r="AZ14" s="68">
        <v>0.32</v>
      </c>
      <c r="BA14" s="66">
        <v>0.54</v>
      </c>
      <c r="BB14" s="68">
        <v>0.06</v>
      </c>
      <c r="BD14" s="68"/>
      <c r="BG14" s="74" t="str">
        <f t="shared" si="2"/>
        <v>미국(NASDAQ)</v>
      </c>
      <c r="BH14" s="74" t="str">
        <f t="shared" si="3"/>
        <v>NAS:IXIC</v>
      </c>
      <c r="BI14" s="74">
        <v>6</v>
      </c>
      <c r="BJ14" s="74">
        <f t="shared" si="4"/>
        <v>1</v>
      </c>
      <c r="BK14" s="86" t="str">
        <f t="shared" si="15"/>
        <v>미국(NASDAQ)</v>
      </c>
      <c r="BL14" s="87" t="str">
        <f t="shared" si="5"/>
        <v>NAS:IXIC</v>
      </c>
      <c r="BM14" s="75" t="str">
        <f t="shared" si="16"/>
        <v>미국(NASDAQ)</v>
      </c>
      <c r="BN14" s="75" t="str">
        <f t="shared" si="17"/>
        <v>NAS:IXIC</v>
      </c>
      <c r="BO14" s="75">
        <v>6</v>
      </c>
      <c r="BP14" s="75">
        <f t="shared" si="6"/>
        <v>1</v>
      </c>
      <c r="BQ14" s="88" t="str">
        <f t="shared" si="18"/>
        <v>미국(NASDAQ)</v>
      </c>
      <c r="BR14" s="89" t="str">
        <f t="shared" si="7"/>
        <v>NAS:IXIC</v>
      </c>
      <c r="BS14" s="74" t="str">
        <f t="shared" si="19"/>
        <v>미국(NASDAQ)</v>
      </c>
      <c r="BT14" s="74" t="str">
        <f t="shared" si="20"/>
        <v>NAS:IXIC</v>
      </c>
      <c r="BU14" s="74">
        <v>6</v>
      </c>
      <c r="BV14" s="74">
        <f t="shared" si="8"/>
        <v>1</v>
      </c>
      <c r="BW14" s="86" t="str">
        <f t="shared" si="21"/>
        <v>미국(NASDAQ)</v>
      </c>
      <c r="BX14" s="87" t="str">
        <f t="shared" si="9"/>
        <v>NAS:IXIC</v>
      </c>
      <c r="BY14" s="81" t="str">
        <f t="shared" si="22"/>
        <v>미국(NASDAQ)</v>
      </c>
      <c r="BZ14" s="75" t="str">
        <f t="shared" si="23"/>
        <v>NAS:IXIC</v>
      </c>
      <c r="CA14" s="75">
        <v>6</v>
      </c>
      <c r="CB14" s="75">
        <f t="shared" si="10"/>
        <v>1</v>
      </c>
      <c r="CC14" s="88" t="str">
        <f t="shared" si="24"/>
        <v>미국(NASDAQ)</v>
      </c>
      <c r="CD14" s="89" t="str">
        <f t="shared" si="11"/>
        <v>NAS:IXIC</v>
      </c>
      <c r="CH14" s="97" t="s">
        <v>233</v>
      </c>
      <c r="CI14" s="91" t="s">
        <v>5</v>
      </c>
      <c r="CJ14" s="91" t="s">
        <v>73</v>
      </c>
      <c r="CK14" s="91" t="s">
        <v>11</v>
      </c>
      <c r="CL14" s="92" t="s">
        <v>234</v>
      </c>
      <c r="CM14" s="91" t="s">
        <v>26</v>
      </c>
      <c r="CN14" s="91" t="s">
        <v>50</v>
      </c>
      <c r="CO14" s="91" t="s">
        <v>5</v>
      </c>
      <c r="CP14" s="91" t="s">
        <v>73</v>
      </c>
      <c r="CQ14" s="91" t="s">
        <v>123</v>
      </c>
      <c r="CR14" s="91" t="s">
        <v>135</v>
      </c>
      <c r="CS14" s="91" t="s">
        <v>28</v>
      </c>
      <c r="CT14" s="91" t="s">
        <v>155</v>
      </c>
    </row>
    <row r="15" spans="2:98">
      <c r="B15" t="str">
        <f t="shared" si="0"/>
        <v>미국(S&amp;P)</v>
      </c>
      <c r="C15" t="str">
        <f t="shared" si="12"/>
        <v>SPI:SPX</v>
      </c>
      <c r="D15">
        <v>7</v>
      </c>
      <c r="E15">
        <f t="shared" si="1"/>
        <v>1</v>
      </c>
      <c r="F15" s="35" t="str">
        <f t="shared" si="13"/>
        <v>미국(S&amp;P)</v>
      </c>
      <c r="G15" s="6" t="str">
        <f t="shared" si="14"/>
        <v>SPI:SPX</v>
      </c>
      <c r="H15" s="5">
        <f ca="1">IF(LEN($G15)=3,_xll.IMDP("IDX",$G15,"현재가",$G$3),_xll.IMDP("FRN",$G15,"현재가",$G$3))</f>
        <v>2263.69</v>
      </c>
      <c r="I15" s="5">
        <f ca="1">IF(LEN($G15)=3,_xll.IMDP("IDX",$G15,"전일대비",$G$3),_xll.IMDP("FRN",$G15,"전일대비",$G$3))</f>
        <v>-8.1999999999999993</v>
      </c>
      <c r="J15" s="5">
        <f ca="1">IF(LEN($G15)=3,_xll.IMDP("IDX",$G15,"등락률",$G$3),_xll.IMDP("FRN",$G15,"등락률",$G$3))</f>
        <v>-0.36</v>
      </c>
      <c r="K15" s="5">
        <f ca="1">IF(LEN($G15)=3,_xll.IMDP("IDX",$G15,"시간",$G$3),_xll.IMDP("FRN",$G15,"한국시간",$G$3))</f>
        <v>60318</v>
      </c>
      <c r="L15" s="36">
        <f ca="1">IF(LEN($G15)=3,_xll.IMDP("IDX",$G15,"시간",$G$3),_xll.IMDP("FRN",$G15,"시간",$G$3))</f>
        <v>160318</v>
      </c>
      <c r="AR15" s="67">
        <v>42741</v>
      </c>
      <c r="AS15" s="66">
        <v>2049.12</v>
      </c>
      <c r="AT15" s="66">
        <v>19899.29</v>
      </c>
      <c r="AU15" s="66">
        <v>3154.32</v>
      </c>
      <c r="AV15" s="66">
        <v>61665.37</v>
      </c>
      <c r="AX15" s="67">
        <v>42741</v>
      </c>
      <c r="AY15" s="68">
        <v>0.35</v>
      </c>
      <c r="AZ15" s="68">
        <v>-0.21</v>
      </c>
      <c r="BA15" s="66">
        <v>-0.35</v>
      </c>
      <c r="BB15" s="68">
        <v>-0.65</v>
      </c>
      <c r="BD15" s="68"/>
      <c r="BG15" s="74" t="str">
        <f t="shared" si="2"/>
        <v>미국(S&amp;P)</v>
      </c>
      <c r="BH15" s="74" t="str">
        <f t="shared" si="3"/>
        <v>SPI:SPX</v>
      </c>
      <c r="BI15" s="74">
        <v>7</v>
      </c>
      <c r="BJ15" s="74">
        <f t="shared" si="4"/>
        <v>1</v>
      </c>
      <c r="BK15" s="86" t="str">
        <f t="shared" si="15"/>
        <v>미국(S&amp;P)</v>
      </c>
      <c r="BL15" s="87" t="str">
        <f t="shared" si="5"/>
        <v>SPI:SPX</v>
      </c>
      <c r="BM15" s="75" t="str">
        <f t="shared" si="16"/>
        <v>미국(S&amp;P)</v>
      </c>
      <c r="BN15" s="75" t="str">
        <f t="shared" si="17"/>
        <v>SPI:SPX</v>
      </c>
      <c r="BO15" s="75">
        <v>7</v>
      </c>
      <c r="BP15" s="75">
        <f t="shared" si="6"/>
        <v>1</v>
      </c>
      <c r="BQ15" s="88" t="str">
        <f t="shared" si="18"/>
        <v>미국(S&amp;P)</v>
      </c>
      <c r="BR15" s="89" t="str">
        <f t="shared" si="7"/>
        <v>SPI:SPX</v>
      </c>
      <c r="BS15" s="74" t="str">
        <f t="shared" si="19"/>
        <v>미국(S&amp;P)</v>
      </c>
      <c r="BT15" s="74" t="str">
        <f t="shared" si="20"/>
        <v>SPI:SPX</v>
      </c>
      <c r="BU15" s="74">
        <v>7</v>
      </c>
      <c r="BV15" s="74">
        <f t="shared" si="8"/>
        <v>1</v>
      </c>
      <c r="BW15" s="86" t="str">
        <f t="shared" si="21"/>
        <v>미국(S&amp;P)</v>
      </c>
      <c r="BX15" s="87" t="str">
        <f t="shared" si="9"/>
        <v>SPI:SPX</v>
      </c>
      <c r="BY15" s="81" t="str">
        <f t="shared" si="22"/>
        <v>미국(S&amp;P)</v>
      </c>
      <c r="BZ15" s="75" t="str">
        <f t="shared" si="23"/>
        <v>SPI:SPX</v>
      </c>
      <c r="CA15" s="75">
        <v>7</v>
      </c>
      <c r="CB15" s="75">
        <f t="shared" si="10"/>
        <v>1</v>
      </c>
      <c r="CC15" s="88" t="str">
        <f t="shared" si="24"/>
        <v>미국(S&amp;P)</v>
      </c>
      <c r="CD15" s="89" t="str">
        <f t="shared" si="11"/>
        <v>SPI:SPX</v>
      </c>
      <c r="CH15" s="91"/>
      <c r="CI15" s="91" t="s">
        <v>6</v>
      </c>
      <c r="CJ15" s="91" t="s">
        <v>74</v>
      </c>
      <c r="CK15" s="91" t="s">
        <v>12</v>
      </c>
      <c r="CL15" s="91" t="s">
        <v>37</v>
      </c>
      <c r="CM15" s="91" t="s">
        <v>27</v>
      </c>
      <c r="CN15" s="91" t="s">
        <v>51</v>
      </c>
      <c r="CO15" s="91" t="s">
        <v>6</v>
      </c>
      <c r="CP15" s="91" t="s">
        <v>74</v>
      </c>
      <c r="CQ15" s="91" t="s">
        <v>124</v>
      </c>
      <c r="CR15" s="91" t="s">
        <v>136</v>
      </c>
      <c r="CS15" s="91" t="s">
        <v>110</v>
      </c>
      <c r="CT15" s="91" t="s">
        <v>156</v>
      </c>
    </row>
    <row r="16" spans="2:98">
      <c r="B16" t="str">
        <f t="shared" si="0"/>
        <v>뉴질랜드</v>
      </c>
      <c r="C16" t="str">
        <f t="shared" si="12"/>
        <v>NZI:NZ50</v>
      </c>
      <c r="D16">
        <v>8</v>
      </c>
      <c r="E16">
        <f t="shared" si="1"/>
        <v>1</v>
      </c>
      <c r="F16" s="35" t="str">
        <f t="shared" si="13"/>
        <v>뉴질랜드</v>
      </c>
      <c r="G16" s="6" t="str">
        <f t="shared" si="14"/>
        <v>NZI:NZ50</v>
      </c>
      <c r="H16" s="5">
        <f ca="1">IF(LEN($G16)=3,_xll.IMDP("IDX",$G16,"현재가",$G$3),_xll.IMDP("FRN",$G16,"현재가",$G$3))</f>
        <v>7048.48</v>
      </c>
      <c r="I16" s="5">
        <f ca="1">IF(LEN($G16)=3,_xll.IMDP("IDX",$G16,"전일대비",$G$3),_xll.IMDP("FRN",$G16,"전일대비",$G$3))</f>
        <v>-13.88</v>
      </c>
      <c r="J16" s="5">
        <f ca="1">IF(LEN($G16)=3,_xll.IMDP("IDX",$G16,"등락률",$G$3),_xll.IMDP("FRN",$G16,"등락률",$G$3))</f>
        <v>-0.2</v>
      </c>
      <c r="K16" s="5">
        <f ca="1">IF(LEN($G16)=3,_xll.IMDP("IDX",$G16,"시간",$G$3),_xll.IMDP("FRN",$G16,"한국시간",$G$3))</f>
        <v>130000</v>
      </c>
      <c r="L16" s="36">
        <f ca="1">IF(LEN($G16)=3,_xll.IMDP("IDX",$G16,"시간",$G$3),_xll.IMDP("FRN",$G16,"시간",$G$3))</f>
        <v>170000</v>
      </c>
      <c r="O16" s="15"/>
      <c r="AR16" s="67">
        <v>42740</v>
      </c>
      <c r="AS16" s="66">
        <v>2041.95</v>
      </c>
      <c r="AT16" s="66">
        <v>19942.16</v>
      </c>
      <c r="AU16" s="66">
        <v>3165.41</v>
      </c>
      <c r="AV16" s="66">
        <v>62070.98</v>
      </c>
      <c r="AX16" s="67">
        <v>42740</v>
      </c>
      <c r="AY16" s="68">
        <v>-0.18</v>
      </c>
      <c r="AZ16" s="68">
        <v>0.3</v>
      </c>
      <c r="BA16" s="66">
        <v>0.21</v>
      </c>
      <c r="BB16" s="68">
        <v>0.78</v>
      </c>
      <c r="BD16" s="68"/>
      <c r="BG16" s="74" t="str">
        <f t="shared" si="2"/>
        <v>뉴질랜드</v>
      </c>
      <c r="BH16" s="74" t="str">
        <f t="shared" si="3"/>
        <v>NZI:NZ50</v>
      </c>
      <c r="BI16" s="74">
        <v>8</v>
      </c>
      <c r="BJ16" s="74">
        <f t="shared" si="4"/>
        <v>1</v>
      </c>
      <c r="BK16" s="86" t="str">
        <f t="shared" si="15"/>
        <v>뉴질랜드</v>
      </c>
      <c r="BL16" s="87" t="str">
        <f t="shared" si="5"/>
        <v>NZI:NZ50</v>
      </c>
      <c r="BM16" s="75" t="str">
        <f t="shared" si="16"/>
        <v>뉴질랜드</v>
      </c>
      <c r="BN16" s="75" t="str">
        <f t="shared" si="17"/>
        <v>NZI:NZ50</v>
      </c>
      <c r="BO16" s="75">
        <v>8</v>
      </c>
      <c r="BP16" s="75">
        <f t="shared" si="6"/>
        <v>1</v>
      </c>
      <c r="BQ16" s="88" t="str">
        <f t="shared" si="18"/>
        <v>뉴질랜드</v>
      </c>
      <c r="BR16" s="89" t="str">
        <f t="shared" si="7"/>
        <v>NZI:NZ50</v>
      </c>
      <c r="BS16" s="74" t="str">
        <f t="shared" si="19"/>
        <v>뉴질랜드</v>
      </c>
      <c r="BT16" s="74" t="str">
        <f t="shared" si="20"/>
        <v>NZI:NZ50</v>
      </c>
      <c r="BU16" s="74">
        <v>8</v>
      </c>
      <c r="BV16" s="74">
        <f t="shared" si="8"/>
        <v>1</v>
      </c>
      <c r="BW16" s="86" t="str">
        <f t="shared" si="21"/>
        <v>뉴질랜드</v>
      </c>
      <c r="BX16" s="87" t="str">
        <f t="shared" si="9"/>
        <v>NZI:NZ50</v>
      </c>
      <c r="BY16" s="81" t="str">
        <f t="shared" si="22"/>
        <v>뉴질랜드</v>
      </c>
      <c r="BZ16" s="75" t="str">
        <f t="shared" si="23"/>
        <v>NZI:NZ50</v>
      </c>
      <c r="CA16" s="75">
        <v>8</v>
      </c>
      <c r="CB16" s="75">
        <f t="shared" si="10"/>
        <v>1</v>
      </c>
      <c r="CC16" s="88" t="str">
        <f t="shared" si="24"/>
        <v>뉴질랜드</v>
      </c>
      <c r="CD16" s="89" t="str">
        <f t="shared" si="11"/>
        <v>NZI:NZ50</v>
      </c>
      <c r="CH16" s="91"/>
      <c r="CI16" s="91" t="s">
        <v>7</v>
      </c>
      <c r="CJ16" s="91" t="s">
        <v>75</v>
      </c>
      <c r="CK16" s="91" t="s">
        <v>13</v>
      </c>
      <c r="CL16" s="91" t="s">
        <v>38</v>
      </c>
      <c r="CM16" s="91" t="s">
        <v>28</v>
      </c>
      <c r="CN16" s="91" t="s">
        <v>52</v>
      </c>
      <c r="CO16" s="91" t="s">
        <v>108</v>
      </c>
      <c r="CP16" s="91" t="s">
        <v>113</v>
      </c>
      <c r="CQ16" s="91" t="s">
        <v>125</v>
      </c>
      <c r="CR16" s="91" t="s">
        <v>137</v>
      </c>
      <c r="CS16" s="91" t="s">
        <v>142</v>
      </c>
      <c r="CT16" s="91" t="s">
        <v>157</v>
      </c>
    </row>
    <row r="17" spans="2:98">
      <c r="B17" t="str">
        <f t="shared" si="0"/>
        <v>호주</v>
      </c>
      <c r="C17" t="str">
        <f t="shared" si="12"/>
        <v>AUI:AORD</v>
      </c>
      <c r="D17">
        <v>9</v>
      </c>
      <c r="E17">
        <f t="shared" si="1"/>
        <v>1</v>
      </c>
      <c r="F17" s="35" t="str">
        <f t="shared" si="13"/>
        <v>호주</v>
      </c>
      <c r="G17" s="6" t="str">
        <f t="shared" si="14"/>
        <v>AUI:AORD</v>
      </c>
      <c r="H17" s="5">
        <f ca="1">IF(LEN($G17)=3,_xll.IMDP("IDX",$G17,"현재가",$G$3),_xll.IMDP("FRN",$G17,"현재가",$G$3))</f>
        <v>5715.8</v>
      </c>
      <c r="I17" s="5">
        <f ca="1">IF(LEN($G17)=3,_xll.IMDP("IDX",$G17,"전일대비",$G$3),_xll.IMDP("FRN",$G17,"전일대비",$G$3))</f>
        <v>-29.6</v>
      </c>
      <c r="J17" s="5">
        <f ca="1">IF(LEN($G17)=3,_xll.IMDP("IDX",$G17,"등락률",$G$3),_xll.IMDP("FRN",$G17,"등락률",$G$3))</f>
        <v>-0.52</v>
      </c>
      <c r="K17" s="5">
        <f ca="1">IF(LEN($G17)=3,_xll.IMDP("IDX",$G17,"시간",$G$3),_xll.IMDP("FRN",$G17,"한국시간",$G$3))</f>
        <v>133900</v>
      </c>
      <c r="L17" s="36">
        <f ca="1">IF(LEN($G17)=3,_xll.IMDP("IDX",$G17,"시간",$G$3),_xll.IMDP("FRN",$G17,"시간",$G$3))</f>
        <v>153900</v>
      </c>
      <c r="AR17" s="67">
        <v>42739</v>
      </c>
      <c r="AS17" s="66">
        <v>2045.64</v>
      </c>
      <c r="AT17" s="66">
        <v>19881.759999999998</v>
      </c>
      <c r="AU17" s="66">
        <v>3158.79</v>
      </c>
      <c r="AV17" s="66">
        <v>61589.06</v>
      </c>
      <c r="AX17" s="67">
        <v>42739</v>
      </c>
      <c r="AY17" s="68">
        <v>0.08</v>
      </c>
      <c r="AZ17" s="68">
        <v>0.6</v>
      </c>
      <c r="BA17" s="66">
        <v>0.73</v>
      </c>
      <c r="BB17" s="68">
        <v>-0.36</v>
      </c>
      <c r="BD17" s="68"/>
      <c r="BG17" s="74" t="str">
        <f t="shared" si="2"/>
        <v>호주</v>
      </c>
      <c r="BH17" s="74" t="str">
        <f t="shared" si="3"/>
        <v>AUI:AORD</v>
      </c>
      <c r="BI17" s="74">
        <v>9</v>
      </c>
      <c r="BJ17" s="74">
        <f t="shared" si="4"/>
        <v>1</v>
      </c>
      <c r="BK17" s="86" t="str">
        <f t="shared" si="15"/>
        <v>호주</v>
      </c>
      <c r="BL17" s="87" t="str">
        <f t="shared" si="5"/>
        <v>AUI:AORD</v>
      </c>
      <c r="BM17" s="75" t="str">
        <f t="shared" si="16"/>
        <v>호주</v>
      </c>
      <c r="BN17" s="75" t="str">
        <f t="shared" si="17"/>
        <v>AUI:AORD</v>
      </c>
      <c r="BO17" s="75">
        <v>9</v>
      </c>
      <c r="BP17" s="75">
        <f t="shared" si="6"/>
        <v>1</v>
      </c>
      <c r="BQ17" s="88" t="str">
        <f t="shared" si="18"/>
        <v>호주</v>
      </c>
      <c r="BR17" s="89" t="str">
        <f t="shared" si="7"/>
        <v>AUI:AORD</v>
      </c>
      <c r="BS17" s="74" t="str">
        <f t="shared" si="19"/>
        <v>호주</v>
      </c>
      <c r="BT17" s="74" t="str">
        <f t="shared" si="20"/>
        <v>AUI:AORD</v>
      </c>
      <c r="BU17" s="74">
        <v>9</v>
      </c>
      <c r="BV17" s="74">
        <f t="shared" si="8"/>
        <v>1</v>
      </c>
      <c r="BW17" s="86" t="str">
        <f t="shared" si="21"/>
        <v>호주</v>
      </c>
      <c r="BX17" s="87" t="str">
        <f t="shared" si="9"/>
        <v>AUI:AORD</v>
      </c>
      <c r="BY17" s="81" t="str">
        <f t="shared" si="22"/>
        <v>호주</v>
      </c>
      <c r="BZ17" s="75" t="str">
        <f t="shared" si="23"/>
        <v>AUI:AORD</v>
      </c>
      <c r="CA17" s="75">
        <v>9</v>
      </c>
      <c r="CB17" s="75">
        <f t="shared" si="10"/>
        <v>1</v>
      </c>
      <c r="CC17" s="88" t="str">
        <f t="shared" si="24"/>
        <v>호주</v>
      </c>
      <c r="CD17" s="89" t="str">
        <f t="shared" si="11"/>
        <v>AUI:AORD</v>
      </c>
      <c r="CH17" s="91"/>
      <c r="CI17" s="91" t="s">
        <v>8</v>
      </c>
      <c r="CJ17" s="91" t="s">
        <v>76</v>
      </c>
      <c r="CK17" s="91" t="s">
        <v>14</v>
      </c>
      <c r="CL17" s="91" t="s">
        <v>39</v>
      </c>
      <c r="CM17" s="91" t="s">
        <v>29</v>
      </c>
      <c r="CN17" s="91" t="s">
        <v>53</v>
      </c>
      <c r="CO17" s="91" t="s">
        <v>109</v>
      </c>
      <c r="CP17" s="91" t="s">
        <v>114</v>
      </c>
      <c r="CQ17" s="91" t="s">
        <v>126</v>
      </c>
      <c r="CR17" s="91" t="s">
        <v>138</v>
      </c>
      <c r="CS17" s="91" t="s">
        <v>143</v>
      </c>
      <c r="CT17" s="91" t="s">
        <v>158</v>
      </c>
    </row>
    <row r="18" spans="2:98">
      <c r="B18" t="str">
        <f t="shared" si="0"/>
        <v>일본</v>
      </c>
      <c r="C18" t="str">
        <f t="shared" si="12"/>
        <v>NII:NI225</v>
      </c>
      <c r="D18">
        <v>10</v>
      </c>
      <c r="E18">
        <f t="shared" si="1"/>
        <v>1</v>
      </c>
      <c r="F18" s="35" t="str">
        <f t="shared" si="13"/>
        <v>일본</v>
      </c>
      <c r="G18" s="6" t="str">
        <f t="shared" si="14"/>
        <v>NII:NI225</v>
      </c>
      <c r="H18" s="5">
        <f ca="1">IF(LEN($G18)=3,_xll.IMDP("IDX",$G18,"현재가",$G$3),_xll.IMDP("FRN",$G18,"현재가",$G$3))</f>
        <v>19161.95</v>
      </c>
      <c r="I18" s="5">
        <f ca="1">IF(LEN($G18)=3,_xll.IMDP("IDX",$G18,"전일대비",$G$3),_xll.IMDP("FRN",$G18,"전일대비",$G$3))</f>
        <v>89.7</v>
      </c>
      <c r="J18" s="5">
        <f ca="1">IF(LEN($G18)=3,_xll.IMDP("IDX",$G18,"등락률",$G$3),_xll.IMDP("FRN",$G18,"등락률",$G$3))</f>
        <v>0.47</v>
      </c>
      <c r="K18" s="5">
        <f ca="1">IF(LEN($G18)=3,_xll.IMDP("IDX",$G18,"시간",$G$3),_xll.IMDP("FRN",$G18,"한국시간",$G$3))</f>
        <v>141930</v>
      </c>
      <c r="L18" s="36">
        <f ca="1">IF(LEN($G18)=3,_xll.IMDP("IDX",$G18,"시간",$G$3),_xll.IMDP("FRN",$G18,"시간",$G$3))</f>
        <v>141930</v>
      </c>
      <c r="O18" s="15"/>
      <c r="AR18" s="67">
        <v>42738</v>
      </c>
      <c r="AS18" s="66">
        <v>2043.97</v>
      </c>
      <c r="AT18" s="66">
        <v>19762.599999999999</v>
      </c>
      <c r="AU18" s="66">
        <v>3135.92</v>
      </c>
      <c r="AV18" s="66">
        <v>61813.83</v>
      </c>
      <c r="AX18" s="67">
        <v>42738</v>
      </c>
      <c r="AY18" s="68">
        <v>0.88</v>
      </c>
      <c r="AZ18" s="68">
        <v>-0.28999999999999998</v>
      </c>
      <c r="BA18" s="66">
        <v>1.04</v>
      </c>
      <c r="BB18" s="68">
        <v>3.73</v>
      </c>
      <c r="BD18" s="68"/>
      <c r="BG18" s="74" t="str">
        <f t="shared" si="2"/>
        <v>일본</v>
      </c>
      <c r="BH18" s="74" t="str">
        <f t="shared" si="3"/>
        <v>NII:NI225</v>
      </c>
      <c r="BI18" s="74">
        <v>10</v>
      </c>
      <c r="BJ18" s="74">
        <f t="shared" si="4"/>
        <v>1</v>
      </c>
      <c r="BK18" s="86" t="str">
        <f t="shared" si="15"/>
        <v>일본</v>
      </c>
      <c r="BL18" s="87" t="str">
        <f t="shared" si="5"/>
        <v>NII:NI225</v>
      </c>
      <c r="BM18" s="75" t="str">
        <f t="shared" si="16"/>
        <v>일본</v>
      </c>
      <c r="BN18" s="75" t="str">
        <f t="shared" si="17"/>
        <v>NII:NI225</v>
      </c>
      <c r="BO18" s="75">
        <v>10</v>
      </c>
      <c r="BP18" s="75">
        <f t="shared" si="6"/>
        <v>1</v>
      </c>
      <c r="BQ18" s="88" t="str">
        <f t="shared" si="18"/>
        <v>일본</v>
      </c>
      <c r="BR18" s="89" t="str">
        <f t="shared" si="7"/>
        <v>NII:NI225</v>
      </c>
      <c r="BS18" s="74" t="str">
        <f t="shared" si="19"/>
        <v>일본</v>
      </c>
      <c r="BT18" s="74" t="str">
        <f t="shared" si="20"/>
        <v>NII:NI225</v>
      </c>
      <c r="BU18" s="74">
        <v>10</v>
      </c>
      <c r="BV18" s="74">
        <f t="shared" si="8"/>
        <v>1</v>
      </c>
      <c r="BW18" s="86" t="str">
        <f t="shared" si="21"/>
        <v>일본</v>
      </c>
      <c r="BX18" s="87" t="str">
        <f t="shared" si="9"/>
        <v>NII:NI225</v>
      </c>
      <c r="BY18" s="81" t="str">
        <f t="shared" si="22"/>
        <v>일본</v>
      </c>
      <c r="BZ18" s="75" t="str">
        <f t="shared" si="23"/>
        <v>NII:NI225</v>
      </c>
      <c r="CA18" s="75">
        <v>10</v>
      </c>
      <c r="CB18" s="75">
        <f t="shared" si="10"/>
        <v>1</v>
      </c>
      <c r="CC18" s="88" t="str">
        <f t="shared" si="24"/>
        <v>일본</v>
      </c>
      <c r="CD18" s="89" t="str">
        <f t="shared" si="11"/>
        <v>NII:NI225</v>
      </c>
      <c r="CI18" s="91" t="s">
        <v>9</v>
      </c>
      <c r="CJ18" s="91" t="s">
        <v>77</v>
      </c>
      <c r="CK18" s="91" t="s">
        <v>15</v>
      </c>
      <c r="CL18" s="91" t="s">
        <v>40</v>
      </c>
      <c r="CM18" s="91" t="s">
        <v>30</v>
      </c>
      <c r="CN18" s="91" t="s">
        <v>54</v>
      </c>
      <c r="CO18" s="91" t="s">
        <v>110</v>
      </c>
      <c r="CP18" s="91" t="s">
        <v>115</v>
      </c>
      <c r="CQ18" s="91" t="s">
        <v>127</v>
      </c>
      <c r="CR18" s="91" t="s">
        <v>139</v>
      </c>
      <c r="CS18" s="91" t="s">
        <v>105</v>
      </c>
      <c r="CT18" s="91" t="s">
        <v>159</v>
      </c>
    </row>
    <row r="19" spans="2:98">
      <c r="B19" t="str">
        <f t="shared" si="0"/>
        <v>한국(KOSPI)</v>
      </c>
      <c r="C19" t="str">
        <f t="shared" si="12"/>
        <v>001</v>
      </c>
      <c r="D19">
        <v>11</v>
      </c>
      <c r="E19">
        <f t="shared" si="1"/>
        <v>1</v>
      </c>
      <c r="F19" s="35" t="str">
        <f t="shared" si="13"/>
        <v>한국(KOSPI)</v>
      </c>
      <c r="G19" s="7" t="str">
        <f t="shared" si="14"/>
        <v>001</v>
      </c>
      <c r="H19" s="5">
        <f ca="1">IF(LEN($G19)=3,_xll.IMDP("IDX",$G19,"현재가",$G$3),_xll.IMDP("FRN",$G19,"현재가",$G$3))</f>
        <v>2068.92</v>
      </c>
      <c r="I19" s="5">
        <f ca="1">IF(LEN($G19)=3,_xll.IMDP("IDX",$G19,"전일대비",$G$3),_xll.IMDP("FRN",$G19,"전일대비",$G$3))</f>
        <v>-3.87</v>
      </c>
      <c r="J19" s="5">
        <f ca="1">IF(LEN($G19)=3,_xll.IMDP("IDX",$G19,"등락률",$G$3),_xll.IMDP("FRN",$G19,"등락률",$G$3))</f>
        <v>-0.19</v>
      </c>
      <c r="K19" s="5">
        <f ca="1">IF(LEN($G19)=3,_xll.IMDP("IDX",$G19,"시간",$G$3),_xll.IMDP("FRN",$G19,"한국시간",$G$3))</f>
        <v>141940</v>
      </c>
      <c r="L19" s="36">
        <f ca="1">IF(LEN($G19)=3,_xll.IMDP("IDX",$G19,"시간",$G$3),_xll.IMDP("FRN",$G19,"시간",$G$3))</f>
        <v>141940</v>
      </c>
      <c r="AR19" s="67">
        <v>42737</v>
      </c>
      <c r="AS19" s="66">
        <v>2026.16</v>
      </c>
      <c r="AT19" s="66">
        <v>19819.78</v>
      </c>
      <c r="AU19" s="66">
        <v>3103.64</v>
      </c>
      <c r="AV19" s="66">
        <v>59588.7</v>
      </c>
      <c r="AX19" s="67">
        <v>42737</v>
      </c>
      <c r="AY19" s="68">
        <v>-0.01</v>
      </c>
      <c r="AZ19" s="68">
        <v>-7.0000000000000007E-2</v>
      </c>
      <c r="BA19" s="66">
        <v>0.24</v>
      </c>
      <c r="BB19" s="68">
        <v>-1.06</v>
      </c>
      <c r="BD19" s="68"/>
      <c r="BG19" s="74" t="str">
        <f t="shared" si="2"/>
        <v>한국(KOSPI)</v>
      </c>
      <c r="BH19" s="74" t="str">
        <f t="shared" si="3"/>
        <v>001</v>
      </c>
      <c r="BI19" s="74">
        <v>11</v>
      </c>
      <c r="BJ19" s="74">
        <f t="shared" si="4"/>
        <v>1</v>
      </c>
      <c r="BK19" s="86" t="str">
        <f t="shared" si="15"/>
        <v>한국(KOSPI)</v>
      </c>
      <c r="BL19" s="90" t="str">
        <f t="shared" si="5"/>
        <v>001</v>
      </c>
      <c r="BM19" s="75" t="str">
        <f t="shared" si="16"/>
        <v>한국(KOSPI)</v>
      </c>
      <c r="BN19" s="75" t="str">
        <f t="shared" si="17"/>
        <v>001</v>
      </c>
      <c r="BO19" s="75">
        <v>11</v>
      </c>
      <c r="BP19" s="75">
        <f t="shared" si="6"/>
        <v>1</v>
      </c>
      <c r="BQ19" s="88" t="str">
        <f t="shared" si="18"/>
        <v>한국(KOSPI)</v>
      </c>
      <c r="BR19" s="89" t="str">
        <f t="shared" si="7"/>
        <v>001</v>
      </c>
      <c r="BS19" s="74" t="str">
        <f t="shared" si="19"/>
        <v>한국(KOSPI)</v>
      </c>
      <c r="BT19" s="74" t="str">
        <f t="shared" si="20"/>
        <v>001</v>
      </c>
      <c r="BU19" s="74">
        <v>11</v>
      </c>
      <c r="BV19" s="74">
        <f t="shared" si="8"/>
        <v>1</v>
      </c>
      <c r="BW19" s="86" t="str">
        <f t="shared" si="21"/>
        <v>한국(KOSPI)</v>
      </c>
      <c r="BX19" s="87" t="str">
        <f t="shared" si="9"/>
        <v>001</v>
      </c>
      <c r="BY19" s="81" t="str">
        <f t="shared" si="22"/>
        <v>한국(KOSPI)</v>
      </c>
      <c r="BZ19" s="75" t="str">
        <f t="shared" si="23"/>
        <v>001</v>
      </c>
      <c r="CA19" s="75">
        <v>11</v>
      </c>
      <c r="CB19" s="75">
        <f t="shared" si="10"/>
        <v>1</v>
      </c>
      <c r="CC19" s="88" t="str">
        <f t="shared" si="24"/>
        <v>한국(KOSPI)</v>
      </c>
      <c r="CD19" s="89" t="str">
        <f t="shared" si="11"/>
        <v>001</v>
      </c>
      <c r="CI19" s="91" t="s">
        <v>10</v>
      </c>
      <c r="CJ19" s="91" t="s">
        <v>60</v>
      </c>
      <c r="CK19" s="91" t="s">
        <v>80</v>
      </c>
      <c r="CL19" s="91" t="s">
        <v>99</v>
      </c>
      <c r="CM19" s="91" t="s">
        <v>31</v>
      </c>
      <c r="CN19" s="91" t="s">
        <v>55</v>
      </c>
      <c r="CO19" s="91" t="s">
        <v>111</v>
      </c>
      <c r="CP19" s="91" t="s">
        <v>116</v>
      </c>
      <c r="CQ19" s="91" t="s">
        <v>128</v>
      </c>
      <c r="CR19" s="91" t="s">
        <v>140</v>
      </c>
      <c r="CS19" s="91" t="s">
        <v>23</v>
      </c>
      <c r="CT19" s="91" t="s">
        <v>160</v>
      </c>
    </row>
    <row r="20" spans="2:98">
      <c r="B20" t="str">
        <f t="shared" si="0"/>
        <v>한국(KOSDAQ)</v>
      </c>
      <c r="C20" t="str">
        <f t="shared" si="12"/>
        <v>801</v>
      </c>
      <c r="D20">
        <v>12</v>
      </c>
      <c r="E20">
        <f t="shared" si="1"/>
        <v>1</v>
      </c>
      <c r="F20" s="35" t="str">
        <f t="shared" si="13"/>
        <v>한국(KOSDAQ)</v>
      </c>
      <c r="G20" s="7" t="str">
        <f t="shared" si="14"/>
        <v>801</v>
      </c>
      <c r="H20" s="5">
        <f ca="1">IF(LEN($G20)=3,_xll.IMDP("IDX",$G20,"현재가",$G$3),_xll.IMDP("FRN",$G20,"현재가",$G$3))</f>
        <v>623.04999999999995</v>
      </c>
      <c r="I20" s="5">
        <f ca="1">IF(LEN($G20)=3,_xll.IMDP("IDX",$G20,"전일대비",$G$3),_xll.IMDP("FRN",$G20,"전일대비",$G$3))</f>
        <v>-3.14</v>
      </c>
      <c r="J20" s="5">
        <f ca="1">IF(LEN($G20)=3,_xll.IMDP("IDX",$G20,"등락률",$G$3),_xll.IMDP("FRN",$G20,"등락률",$G$3))</f>
        <v>-0.5</v>
      </c>
      <c r="K20" s="5">
        <f ca="1">IF(LEN($G20)=3,_xll.IMDP("IDX",$G20,"시간",$G$3),_xll.IMDP("FRN",$G20,"한국시간",$G$3))</f>
        <v>141940</v>
      </c>
      <c r="L20" s="36">
        <f ca="1">IF(LEN($G20)=3,_xll.IMDP("IDX",$G20,"시간",$G$3),_xll.IMDP("FRN",$G20,"시간",$G$3))</f>
        <v>141940</v>
      </c>
      <c r="AR20" s="67">
        <v>42733</v>
      </c>
      <c r="AS20" s="66">
        <v>2026.46</v>
      </c>
      <c r="AT20" s="66">
        <v>19833.68</v>
      </c>
      <c r="AU20" s="66">
        <v>3096.1</v>
      </c>
      <c r="AV20" s="66">
        <v>60227.29</v>
      </c>
      <c r="AX20" s="67">
        <v>42733</v>
      </c>
      <c r="AY20" s="68">
        <v>0.1</v>
      </c>
      <c r="AZ20" s="68">
        <v>-0.56000000000000005</v>
      </c>
      <c r="BA20" s="66">
        <v>-0.2</v>
      </c>
      <c r="BB20" s="68">
        <v>0.75</v>
      </c>
      <c r="BD20" s="68"/>
      <c r="BG20" s="74" t="str">
        <f t="shared" si="2"/>
        <v>한국(KOSDAQ)</v>
      </c>
      <c r="BH20" s="74" t="str">
        <f t="shared" si="3"/>
        <v>801</v>
      </c>
      <c r="BI20" s="74">
        <v>12</v>
      </c>
      <c r="BJ20" s="74">
        <f t="shared" si="4"/>
        <v>1</v>
      </c>
      <c r="BK20" s="86" t="str">
        <f t="shared" si="15"/>
        <v>한국(KOSDAQ)</v>
      </c>
      <c r="BL20" s="90" t="str">
        <f t="shared" si="5"/>
        <v>801</v>
      </c>
      <c r="BM20" s="75" t="str">
        <f t="shared" si="16"/>
        <v>한국(KOSDAQ)</v>
      </c>
      <c r="BN20" s="75" t="str">
        <f t="shared" si="17"/>
        <v>801</v>
      </c>
      <c r="BO20" s="75">
        <v>12</v>
      </c>
      <c r="BP20" s="75">
        <f t="shared" si="6"/>
        <v>1</v>
      </c>
      <c r="BQ20" s="88" t="str">
        <f t="shared" si="18"/>
        <v>한국(KOSDAQ)</v>
      </c>
      <c r="BR20" s="89" t="str">
        <f t="shared" si="7"/>
        <v>801</v>
      </c>
      <c r="BS20" s="74" t="str">
        <f t="shared" si="19"/>
        <v>한국(KOSDAQ)</v>
      </c>
      <c r="BT20" s="74" t="str">
        <f t="shared" si="20"/>
        <v>801</v>
      </c>
      <c r="BU20" s="74">
        <v>12</v>
      </c>
      <c r="BV20" s="74">
        <f t="shared" si="8"/>
        <v>1</v>
      </c>
      <c r="BW20" s="86" t="str">
        <f t="shared" si="21"/>
        <v>한국(KOSDAQ)</v>
      </c>
      <c r="BX20" s="87" t="str">
        <f t="shared" si="9"/>
        <v>801</v>
      </c>
      <c r="BY20" s="81" t="str">
        <f t="shared" si="22"/>
        <v>한국(KOSDAQ)</v>
      </c>
      <c r="BZ20" s="75" t="str">
        <f t="shared" si="23"/>
        <v>801</v>
      </c>
      <c r="CA20" s="75">
        <v>12</v>
      </c>
      <c r="CB20" s="75">
        <f t="shared" si="10"/>
        <v>1</v>
      </c>
      <c r="CC20" s="88" t="str">
        <f t="shared" si="24"/>
        <v>한국(KOSDAQ)</v>
      </c>
      <c r="CD20" s="89" t="str">
        <f t="shared" si="11"/>
        <v>801</v>
      </c>
      <c r="CI20" s="91" t="s">
        <v>11</v>
      </c>
      <c r="CJ20" s="91" t="s">
        <v>61</v>
      </c>
      <c r="CK20" s="91" t="s">
        <v>16</v>
      </c>
      <c r="CL20" s="91" t="s">
        <v>41</v>
      </c>
      <c r="CM20" s="91" t="s">
        <v>32</v>
      </c>
      <c r="CN20" s="91" t="s">
        <v>56</v>
      </c>
      <c r="CO20" s="91" t="s">
        <v>112</v>
      </c>
      <c r="CP20" s="91" t="s">
        <v>117</v>
      </c>
      <c r="CQ20" s="91" t="s">
        <v>129</v>
      </c>
      <c r="CR20" s="91" t="s">
        <v>141</v>
      </c>
      <c r="CS20" s="91" t="s">
        <v>29</v>
      </c>
      <c r="CT20" s="91" t="s">
        <v>161</v>
      </c>
    </row>
    <row r="21" spans="2:98">
      <c r="B21" t="str">
        <f t="shared" si="0"/>
        <v>대만</v>
      </c>
      <c r="C21" t="str">
        <f t="shared" si="12"/>
        <v>TWS:TI01</v>
      </c>
      <c r="D21">
        <v>13</v>
      </c>
      <c r="E21">
        <f t="shared" si="1"/>
        <v>1</v>
      </c>
      <c r="F21" s="35" t="str">
        <f t="shared" si="13"/>
        <v>대만</v>
      </c>
      <c r="G21" s="6" t="str">
        <f t="shared" si="14"/>
        <v>TWS:TI01</v>
      </c>
      <c r="H21" s="5">
        <f ca="1">IF(LEN($G21)=3,_xll.IMDP("IDX",$G21,"현재가",$G$3),_xll.IMDP("FRN",$G21,"현재가",$G$3))</f>
        <v>9338.6200000000008</v>
      </c>
      <c r="I21" s="5">
        <f ca="1">IF(LEN($G21)=3,_xll.IMDP("IDX",$G21,"전일대비",$G$3),_xll.IMDP("FRN",$G21,"전일대비",$G$3))</f>
        <v>20.5</v>
      </c>
      <c r="J21" s="5">
        <f ca="1">IF(LEN($G21)=3,_xll.IMDP("IDX",$G21,"등락률",$G$3),_xll.IMDP("FRN",$G21,"등락률",$G$3))</f>
        <v>0.22</v>
      </c>
      <c r="K21" s="5">
        <f ca="1">IF(LEN($G21)=3,_xll.IMDP("IDX",$G21,"시간",$G$3),_xll.IMDP("FRN",$G21,"한국시간",$G$3))</f>
        <v>141940</v>
      </c>
      <c r="L21" s="36">
        <f ca="1">IF(LEN($G21)=3,_xll.IMDP("IDX",$G21,"시간",$G$3),_xll.IMDP("FRN",$G21,"시간",$G$3))</f>
        <v>131940</v>
      </c>
      <c r="AR21" s="67">
        <v>42732</v>
      </c>
      <c r="AS21" s="66">
        <v>2024.49</v>
      </c>
      <c r="AT21" s="66">
        <v>19945.04</v>
      </c>
      <c r="AU21" s="66">
        <v>3102.24</v>
      </c>
      <c r="AV21" s="66">
        <v>59781.63</v>
      </c>
      <c r="AX21" s="67">
        <v>42732</v>
      </c>
      <c r="AY21" s="68">
        <v>-0.87</v>
      </c>
      <c r="AZ21" s="68">
        <v>0.06</v>
      </c>
      <c r="BA21" s="66">
        <v>-0.4</v>
      </c>
      <c r="BB21" s="68">
        <v>1.85</v>
      </c>
      <c r="BD21" s="68"/>
      <c r="BG21" s="74" t="str">
        <f t="shared" si="2"/>
        <v>대만</v>
      </c>
      <c r="BH21" s="74" t="str">
        <f t="shared" si="3"/>
        <v>TWS:TI01</v>
      </c>
      <c r="BI21" s="74">
        <v>13</v>
      </c>
      <c r="BJ21" s="74">
        <f t="shared" si="4"/>
        <v>1</v>
      </c>
      <c r="BK21" s="86" t="str">
        <f t="shared" si="15"/>
        <v>대만</v>
      </c>
      <c r="BL21" s="87" t="str">
        <f t="shared" si="5"/>
        <v>TWS:TI01</v>
      </c>
      <c r="BM21" s="75" t="str">
        <f t="shared" si="16"/>
        <v>대만</v>
      </c>
      <c r="BN21" s="75" t="str">
        <f t="shared" si="17"/>
        <v>TWS:TI01</v>
      </c>
      <c r="BO21" s="75">
        <v>13</v>
      </c>
      <c r="BP21" s="75">
        <f t="shared" si="6"/>
        <v>1</v>
      </c>
      <c r="BQ21" s="88" t="str">
        <f t="shared" si="18"/>
        <v>대만</v>
      </c>
      <c r="BR21" s="89" t="str">
        <f t="shared" si="7"/>
        <v>TWS:TI01</v>
      </c>
      <c r="BS21" s="74" t="str">
        <f t="shared" si="19"/>
        <v>대만</v>
      </c>
      <c r="BT21" s="74" t="str">
        <f t="shared" si="20"/>
        <v>TWS:TI01</v>
      </c>
      <c r="BU21" s="74">
        <v>13</v>
      </c>
      <c r="BV21" s="74">
        <f t="shared" si="8"/>
        <v>1</v>
      </c>
      <c r="BW21" s="86" t="str">
        <f t="shared" si="21"/>
        <v>대만</v>
      </c>
      <c r="BX21" s="87" t="str">
        <f t="shared" si="9"/>
        <v>TWS:TI01</v>
      </c>
      <c r="BY21" s="81" t="str">
        <f t="shared" si="22"/>
        <v>대만</v>
      </c>
      <c r="BZ21" s="75" t="str">
        <f t="shared" si="23"/>
        <v>TWS:TI01</v>
      </c>
      <c r="CA21" s="75">
        <v>13</v>
      </c>
      <c r="CB21" s="75">
        <f t="shared" si="10"/>
        <v>1</v>
      </c>
      <c r="CC21" s="88" t="str">
        <f t="shared" si="24"/>
        <v>대만</v>
      </c>
      <c r="CD21" s="89" t="str">
        <f t="shared" si="11"/>
        <v>TWS:TI01</v>
      </c>
      <c r="CI21" s="91" t="s">
        <v>12</v>
      </c>
      <c r="CJ21" s="91" t="s">
        <v>37</v>
      </c>
      <c r="CK21" s="91" t="s">
        <v>17</v>
      </c>
      <c r="CL21" s="91" t="s">
        <v>42</v>
      </c>
      <c r="CM21" s="91" t="s">
        <v>33</v>
      </c>
      <c r="CN21" s="91" t="s">
        <v>57</v>
      </c>
      <c r="CO21" s="91"/>
      <c r="CP21" s="91"/>
      <c r="CQ21" s="91"/>
      <c r="CR21" s="91"/>
      <c r="CS21" s="91" t="s">
        <v>106</v>
      </c>
      <c r="CT21" s="91" t="s">
        <v>162</v>
      </c>
    </row>
    <row r="22" spans="2:98">
      <c r="B22" t="str">
        <f t="shared" si="0"/>
        <v>필리핀</v>
      </c>
      <c r="C22" t="str">
        <f t="shared" si="12"/>
        <v>PHI:COMP</v>
      </c>
      <c r="D22">
        <v>14</v>
      </c>
      <c r="E22">
        <f t="shared" si="1"/>
        <v>1</v>
      </c>
      <c r="F22" s="35" t="str">
        <f t="shared" si="13"/>
        <v>필리핀</v>
      </c>
      <c r="G22" s="6" t="str">
        <f t="shared" si="14"/>
        <v>PHI:COMP</v>
      </c>
      <c r="H22" s="5">
        <f ca="1">IF(LEN($G22)=3,_xll.IMDP("IDX",$G22,"현재가",$G$3),_xll.IMDP("FRN",$G22,"현재가",$G$3))</f>
        <v>7238.08</v>
      </c>
      <c r="I22" s="5">
        <f ca="1">IF(LEN($G22)=3,_xll.IMDP("IDX",$G22,"전일대비",$G$3),_xll.IMDP("FRN",$G22,"전일대비",$G$3))</f>
        <v>-8</v>
      </c>
      <c r="J22" s="5">
        <f ca="1">IF(LEN($G22)=3,_xll.IMDP("IDX",$G22,"등락률",$G$3),_xll.IMDP("FRN",$G22,"등락률",$G$3))</f>
        <v>-0.11</v>
      </c>
      <c r="K22" s="5">
        <f ca="1">IF(LEN($G22)=3,_xll.IMDP("IDX",$G22,"시간",$G$3),_xll.IMDP("FRN",$G22,"한국시간",$G$3))</f>
        <v>130800</v>
      </c>
      <c r="L22" s="36">
        <f ca="1">IF(LEN($G22)=3,_xll.IMDP("IDX",$G22,"시간",$G$3),_xll.IMDP("FRN",$G22,"시간",$G$3))</f>
        <v>120800</v>
      </c>
      <c r="AR22" s="67">
        <v>42731</v>
      </c>
      <c r="AS22" s="66">
        <v>2042.17</v>
      </c>
      <c r="AT22" s="66">
        <v>19933.810000000001</v>
      </c>
      <c r="AU22" s="66">
        <v>3114.66</v>
      </c>
      <c r="AV22" s="66">
        <v>58696.69</v>
      </c>
      <c r="AX22" s="67">
        <v>42731</v>
      </c>
      <c r="AY22" s="68">
        <v>0.22</v>
      </c>
      <c r="AZ22" s="68">
        <v>7.0000000000000007E-2</v>
      </c>
      <c r="BA22" s="66">
        <v>-0.25</v>
      </c>
      <c r="BB22" s="68">
        <v>0.13</v>
      </c>
      <c r="BD22" s="68"/>
      <c r="BG22" s="74" t="str">
        <f t="shared" si="2"/>
        <v>필리핀</v>
      </c>
      <c r="BH22" s="74" t="str">
        <f t="shared" si="3"/>
        <v>PHI:COMP</v>
      </c>
      <c r="BI22" s="74">
        <v>14</v>
      </c>
      <c r="BJ22" s="74">
        <f t="shared" si="4"/>
        <v>1</v>
      </c>
      <c r="BK22" s="86" t="str">
        <f t="shared" si="15"/>
        <v>필리핀</v>
      </c>
      <c r="BL22" s="87" t="str">
        <f t="shared" si="5"/>
        <v>PHI:COMP</v>
      </c>
      <c r="BM22" s="75" t="str">
        <f t="shared" si="16"/>
        <v>필리핀</v>
      </c>
      <c r="BN22" s="75" t="str">
        <f t="shared" si="17"/>
        <v>PHI:COMP</v>
      </c>
      <c r="BO22" s="75">
        <v>14</v>
      </c>
      <c r="BP22" s="75">
        <f t="shared" si="6"/>
        <v>1</v>
      </c>
      <c r="BQ22" s="88" t="str">
        <f t="shared" si="18"/>
        <v>필리핀</v>
      </c>
      <c r="BR22" s="89" t="str">
        <f t="shared" si="7"/>
        <v>PHI:COMP</v>
      </c>
      <c r="BS22" s="74" t="str">
        <f t="shared" si="19"/>
        <v>필리핀</v>
      </c>
      <c r="BT22" s="74" t="str">
        <f t="shared" si="20"/>
        <v>PHI:COMP</v>
      </c>
      <c r="BU22" s="74">
        <v>14</v>
      </c>
      <c r="BV22" s="74">
        <f t="shared" si="8"/>
        <v>1</v>
      </c>
      <c r="BW22" s="86" t="str">
        <f t="shared" si="21"/>
        <v>필리핀</v>
      </c>
      <c r="BX22" s="87" t="str">
        <f t="shared" si="9"/>
        <v>PHI:COMP</v>
      </c>
      <c r="BY22" s="81" t="str">
        <f t="shared" si="22"/>
        <v>필리핀</v>
      </c>
      <c r="BZ22" s="75" t="str">
        <f t="shared" si="23"/>
        <v>PHI:COMP</v>
      </c>
      <c r="CA22" s="75">
        <v>14</v>
      </c>
      <c r="CB22" s="75">
        <f t="shared" si="10"/>
        <v>1</v>
      </c>
      <c r="CC22" s="88" t="str">
        <f t="shared" si="24"/>
        <v>필리핀</v>
      </c>
      <c r="CD22" s="89" t="str">
        <f t="shared" si="11"/>
        <v>PHI:COMP</v>
      </c>
      <c r="CI22" s="91" t="s">
        <v>13</v>
      </c>
      <c r="CJ22" s="91" t="s">
        <v>38</v>
      </c>
      <c r="CK22" s="91" t="s">
        <v>18</v>
      </c>
      <c r="CL22" s="91" t="s">
        <v>43</v>
      </c>
      <c r="CM22" s="91" t="s">
        <v>34</v>
      </c>
      <c r="CN22" s="91" t="s">
        <v>58</v>
      </c>
      <c r="CO22" s="91"/>
      <c r="CP22" s="91"/>
      <c r="CQ22" s="91"/>
      <c r="CR22" s="91"/>
      <c r="CS22" s="91" t="s">
        <v>25</v>
      </c>
      <c r="CT22" s="91" t="s">
        <v>163</v>
      </c>
    </row>
    <row r="23" spans="2:98">
      <c r="B23" t="str">
        <f t="shared" si="0"/>
        <v>중국(상해종합)</v>
      </c>
      <c r="C23" t="str">
        <f t="shared" si="12"/>
        <v>SHS:000001</v>
      </c>
      <c r="D23">
        <v>15</v>
      </c>
      <c r="E23">
        <f t="shared" si="1"/>
        <v>1</v>
      </c>
      <c r="F23" s="35" t="str">
        <f t="shared" si="13"/>
        <v>중국(상해종합)</v>
      </c>
      <c r="G23" s="6" t="str">
        <f t="shared" si="14"/>
        <v>SHS:000001</v>
      </c>
      <c r="H23" s="5">
        <f ca="1">IF(LEN($G23)=3,_xll.IMDP("IDX",$G23,"현재가",$G$3),_xll.IMDP("FRN",$G23,"현재가",$G$3))</f>
        <v>3118.39</v>
      </c>
      <c r="I23" s="5">
        <f ca="1">IF(LEN($G23)=3,_xll.IMDP("IDX",$G23,"전일대비",$G$3),_xll.IMDP("FRN",$G23,"전일대비",$G$3))</f>
        <v>17.09</v>
      </c>
      <c r="J23" s="5">
        <f ca="1">IF(LEN($G23)=3,_xll.IMDP("IDX",$G23,"등락률",$G$3),_xll.IMDP("FRN",$G23,"등락률",$G$3))</f>
        <v>0.55000000000000004</v>
      </c>
      <c r="K23" s="5">
        <f ca="1">IF(LEN($G23)=3,_xll.IMDP("IDX",$G23,"시간",$G$3),_xll.IMDP("FRN",$G23,"한국시간",$G$3))</f>
        <v>140439</v>
      </c>
      <c r="L23" s="36">
        <f ca="1">IF(LEN($G23)=3,_xll.IMDP("IDX",$G23,"시간",$G$3),_xll.IMDP("FRN",$G23,"시간",$G$3))</f>
        <v>130439</v>
      </c>
      <c r="AR23" s="67">
        <v>42730</v>
      </c>
      <c r="AS23" s="66">
        <v>2037.75</v>
      </c>
      <c r="AT23" s="66">
        <v>19918.88</v>
      </c>
      <c r="AU23" s="66">
        <v>3122.57</v>
      </c>
      <c r="AV23" s="66">
        <v>58620.26</v>
      </c>
      <c r="AX23" s="67">
        <v>42730</v>
      </c>
      <c r="AY23" s="68">
        <v>0.09</v>
      </c>
      <c r="AZ23" s="68">
        <v>-0.12</v>
      </c>
      <c r="BA23" s="66">
        <v>0.4</v>
      </c>
      <c r="BB23" s="68">
        <v>1.18</v>
      </c>
      <c r="BD23" s="68"/>
      <c r="BG23" s="74" t="str">
        <f t="shared" si="2"/>
        <v>중국(상해종합)</v>
      </c>
      <c r="BH23" s="74" t="str">
        <f t="shared" si="3"/>
        <v>SHS:000001</v>
      </c>
      <c r="BI23" s="74">
        <v>15</v>
      </c>
      <c r="BJ23" s="74">
        <f t="shared" si="4"/>
        <v>1</v>
      </c>
      <c r="BK23" s="86" t="str">
        <f t="shared" si="15"/>
        <v>중국(상해종합)</v>
      </c>
      <c r="BL23" s="87" t="str">
        <f t="shared" si="5"/>
        <v>SHS:000001</v>
      </c>
      <c r="BM23" s="75" t="str">
        <f t="shared" si="16"/>
        <v>중국(상해종합)</v>
      </c>
      <c r="BN23" s="75" t="str">
        <f t="shared" si="17"/>
        <v>SHS:000001</v>
      </c>
      <c r="BO23" s="75">
        <v>15</v>
      </c>
      <c r="BP23" s="75">
        <f t="shared" si="6"/>
        <v>1</v>
      </c>
      <c r="BQ23" s="88" t="str">
        <f t="shared" si="18"/>
        <v>중국(상해종합)</v>
      </c>
      <c r="BR23" s="89" t="str">
        <f t="shared" si="7"/>
        <v>SHS:000001</v>
      </c>
      <c r="BS23" s="74" t="str">
        <f t="shared" si="19"/>
        <v>중국(상해종합)</v>
      </c>
      <c r="BT23" s="74" t="str">
        <f t="shared" si="20"/>
        <v>SHS:000001</v>
      </c>
      <c r="BU23" s="74">
        <v>15</v>
      </c>
      <c r="BV23" s="74">
        <f t="shared" si="8"/>
        <v>1</v>
      </c>
      <c r="BW23" s="86" t="str">
        <f t="shared" si="21"/>
        <v>중국(상해종합)</v>
      </c>
      <c r="BX23" s="87" t="str">
        <f t="shared" si="9"/>
        <v>SHS:000001</v>
      </c>
      <c r="BY23" s="81" t="str">
        <f t="shared" si="22"/>
        <v>중국(상해종합)</v>
      </c>
      <c r="BZ23" s="75" t="str">
        <f t="shared" si="23"/>
        <v>SHS:000001</v>
      </c>
      <c r="CA23" s="75">
        <v>15</v>
      </c>
      <c r="CB23" s="75">
        <f t="shared" si="10"/>
        <v>1</v>
      </c>
      <c r="CC23" s="88" t="str">
        <f t="shared" si="24"/>
        <v>중국(상해종합)</v>
      </c>
      <c r="CD23" s="89" t="str">
        <f t="shared" si="11"/>
        <v>SHS:000001</v>
      </c>
      <c r="CI23" s="91" t="s">
        <v>14</v>
      </c>
      <c r="CJ23" s="91" t="s">
        <v>39</v>
      </c>
      <c r="CK23" s="91" t="s">
        <v>19</v>
      </c>
      <c r="CL23" s="91" t="s">
        <v>44</v>
      </c>
      <c r="CM23" s="91" t="s">
        <v>35</v>
      </c>
      <c r="CN23" s="91" t="s">
        <v>59</v>
      </c>
      <c r="CO23" s="91"/>
      <c r="CP23" s="91"/>
      <c r="CQ23" s="91"/>
      <c r="CR23" s="91"/>
      <c r="CS23" s="91" t="s">
        <v>101</v>
      </c>
      <c r="CT23" s="91" t="s">
        <v>164</v>
      </c>
    </row>
    <row r="24" spans="2:98">
      <c r="B24" t="str">
        <f t="shared" si="0"/>
        <v>중국(심천종합)</v>
      </c>
      <c r="C24" t="str">
        <f t="shared" si="12"/>
        <v>SZS:399106</v>
      </c>
      <c r="D24">
        <v>16</v>
      </c>
      <c r="E24">
        <f t="shared" si="1"/>
        <v>1</v>
      </c>
      <c r="F24" s="35" t="str">
        <f t="shared" si="13"/>
        <v>중국(심천종합)</v>
      </c>
      <c r="G24" s="6" t="str">
        <f t="shared" si="14"/>
        <v>SZS:399106</v>
      </c>
      <c r="H24" s="5">
        <f ca="1">IF(LEN($G24)=3,_xll.IMDP("IDX",$G24,"현재가",$G$3),_xll.IMDP("FRN",$G24,"현재가",$G$3))</f>
        <v>1885.33</v>
      </c>
      <c r="I24" s="5">
        <f ca="1">IF(LEN($G24)=3,_xll.IMDP("IDX",$G24,"전일대비",$G$3),_xll.IMDP("FRN",$G24,"전일대비",$G$3))</f>
        <v>27.87</v>
      </c>
      <c r="J24" s="5">
        <f ca="1">IF(LEN($G24)=3,_xll.IMDP("IDX",$G24,"등락률",$G$3),_xll.IMDP("FRN",$G24,"등락률",$G$3))</f>
        <v>1.5</v>
      </c>
      <c r="K24" s="5">
        <f ca="1">IF(LEN($G24)=3,_xll.IMDP("IDX",$G24,"시간",$G$3),_xll.IMDP("FRN",$G24,"한국시간",$G$3))</f>
        <v>140439</v>
      </c>
      <c r="L24" s="36">
        <f ca="1">IF(LEN($G24)=3,_xll.IMDP("IDX",$G24,"시간",$G$3),_xll.IMDP("FRN",$G24,"시간",$G$3))</f>
        <v>130439</v>
      </c>
      <c r="AR24" s="67">
        <v>42727</v>
      </c>
      <c r="AS24" s="66">
        <v>2035.9</v>
      </c>
      <c r="AT24" s="66">
        <v>19941.96</v>
      </c>
      <c r="AU24" s="66">
        <v>3110.15</v>
      </c>
      <c r="AV24" s="66">
        <v>57937.11</v>
      </c>
      <c r="AX24" s="67">
        <v>42727</v>
      </c>
      <c r="AY24" s="68">
        <v>0.01</v>
      </c>
      <c r="AZ24" s="68">
        <v>-0.16</v>
      </c>
      <c r="BA24" s="66">
        <v>-0.94</v>
      </c>
      <c r="BB24" s="68">
        <v>1.19</v>
      </c>
      <c r="BD24" s="68"/>
      <c r="BG24" s="74" t="str">
        <f t="shared" si="2"/>
        <v>중국(심천종합)</v>
      </c>
      <c r="BH24" s="74" t="str">
        <f t="shared" si="3"/>
        <v>SZS:399106</v>
      </c>
      <c r="BI24" s="74">
        <v>16</v>
      </c>
      <c r="BJ24" s="74">
        <f t="shared" si="4"/>
        <v>1</v>
      </c>
      <c r="BK24" s="86" t="str">
        <f t="shared" si="15"/>
        <v>중국(심천종합)</v>
      </c>
      <c r="BL24" s="87" t="str">
        <f t="shared" si="5"/>
        <v>SZS:399106</v>
      </c>
      <c r="BM24" s="75" t="str">
        <f t="shared" si="16"/>
        <v>중국(심천종합)</v>
      </c>
      <c r="BN24" s="75" t="str">
        <f t="shared" si="17"/>
        <v>SZS:399106</v>
      </c>
      <c r="BO24" s="75">
        <v>16</v>
      </c>
      <c r="BP24" s="75">
        <f t="shared" si="6"/>
        <v>1</v>
      </c>
      <c r="BQ24" s="88" t="str">
        <f t="shared" si="18"/>
        <v>중국(심천종합)</v>
      </c>
      <c r="BR24" s="89" t="str">
        <f t="shared" si="7"/>
        <v>SZS:399106</v>
      </c>
      <c r="BS24" s="74" t="str">
        <f t="shared" si="19"/>
        <v>중국(심천종합)</v>
      </c>
      <c r="BT24" s="74" t="str">
        <f t="shared" si="20"/>
        <v>SZS:399106</v>
      </c>
      <c r="BU24" s="74">
        <v>16</v>
      </c>
      <c r="BV24" s="74">
        <f t="shared" si="8"/>
        <v>1</v>
      </c>
      <c r="BW24" s="86" t="str">
        <f t="shared" si="21"/>
        <v>중국(심천종합)</v>
      </c>
      <c r="BX24" s="87" t="str">
        <f t="shared" si="9"/>
        <v>SZS:399106</v>
      </c>
      <c r="BY24" s="81" t="str">
        <f t="shared" si="22"/>
        <v>중국(심천종합)</v>
      </c>
      <c r="BZ24" s="75" t="str">
        <f t="shared" si="23"/>
        <v>SZS:399106</v>
      </c>
      <c r="CA24" s="75">
        <v>16</v>
      </c>
      <c r="CB24" s="75">
        <f t="shared" si="10"/>
        <v>1</v>
      </c>
      <c r="CC24" s="88" t="str">
        <f t="shared" si="24"/>
        <v>중국(심천종합)</v>
      </c>
      <c r="CD24" s="89" t="str">
        <f t="shared" si="11"/>
        <v>SZS:399106</v>
      </c>
      <c r="CI24" s="91" t="s">
        <v>15</v>
      </c>
      <c r="CJ24" s="91" t="s">
        <v>40</v>
      </c>
      <c r="CK24" s="91" t="s">
        <v>20</v>
      </c>
      <c r="CL24" s="91" t="s">
        <v>45</v>
      </c>
      <c r="CM24" s="91" t="s">
        <v>101</v>
      </c>
      <c r="CN24" s="91" t="s">
        <v>192</v>
      </c>
      <c r="CO24" s="91"/>
      <c r="CP24" s="91"/>
      <c r="CQ24" s="91"/>
      <c r="CR24" s="91"/>
      <c r="CS24" s="91" t="s">
        <v>24</v>
      </c>
      <c r="CT24" s="91" t="s">
        <v>165</v>
      </c>
    </row>
    <row r="25" spans="2:98">
      <c r="B25" t="str">
        <f t="shared" si="0"/>
        <v>홍콩(항셍)</v>
      </c>
      <c r="C25" t="str">
        <f t="shared" si="12"/>
        <v>HSI:HSI</v>
      </c>
      <c r="D25">
        <v>17</v>
      </c>
      <c r="E25">
        <f t="shared" si="1"/>
        <v>1</v>
      </c>
      <c r="F25" s="35" t="str">
        <f t="shared" si="13"/>
        <v>홍콩(항셍)</v>
      </c>
      <c r="G25" s="6" t="str">
        <f t="shared" si="14"/>
        <v>HSI:HSI</v>
      </c>
      <c r="H25" s="5">
        <f ca="1">IF(LEN($G25)=3,_xll.IMDP("IDX",$G25,"현재가",$G$3),_xll.IMDP("FRN",$G25,"현재가",$G$3))</f>
        <v>22897.72</v>
      </c>
      <c r="I25" s="5">
        <f ca="1">IF(LEN($G25)=3,_xll.IMDP("IDX",$G25,"전일대비",$G$3),_xll.IMDP("FRN",$G25,"전일대비",$G$3))</f>
        <v>-152.24</v>
      </c>
      <c r="J25" s="5">
        <f ca="1">IF(LEN($G25)=3,_xll.IMDP("IDX",$G25,"등락률",$G$3),_xll.IMDP("FRN",$G25,"등락률",$G$3))</f>
        <v>-0.66</v>
      </c>
      <c r="K25" s="5">
        <f ca="1">IF(LEN($G25)=3,_xll.IMDP("IDX",$G25,"시간",$G$3),_xll.IMDP("FRN",$G25,"한국시간",$G$3))</f>
        <v>140440</v>
      </c>
      <c r="L25" s="36">
        <f ca="1">IF(LEN($G25)=3,_xll.IMDP("IDX",$G25,"시간",$G$3),_xll.IMDP("FRN",$G25,"시간",$G$3))</f>
        <v>130440</v>
      </c>
      <c r="AR25" s="67">
        <v>42726</v>
      </c>
      <c r="AS25" s="66">
        <v>2035.73</v>
      </c>
      <c r="AT25" s="66">
        <v>19974.62</v>
      </c>
      <c r="AU25" s="66">
        <v>3139.56</v>
      </c>
      <c r="AV25" s="66">
        <v>57255.22</v>
      </c>
      <c r="AX25" s="67">
        <v>42726</v>
      </c>
      <c r="AY25" s="68">
        <v>-0.11</v>
      </c>
      <c r="AZ25" s="68">
        <v>0.46</v>
      </c>
      <c r="BA25" s="66">
        <v>7.0000000000000007E-2</v>
      </c>
      <c r="BB25" s="68">
        <v>-0.68</v>
      </c>
      <c r="BD25" s="68"/>
      <c r="BG25" s="74" t="str">
        <f t="shared" si="2"/>
        <v>홍콩(항셍)</v>
      </c>
      <c r="BH25" s="74" t="str">
        <f t="shared" si="3"/>
        <v>HSI:HSI</v>
      </c>
      <c r="BI25" s="74">
        <v>17</v>
      </c>
      <c r="BJ25" s="74">
        <f t="shared" si="4"/>
        <v>1</v>
      </c>
      <c r="BK25" s="86" t="str">
        <f t="shared" si="15"/>
        <v>홍콩(항셍)</v>
      </c>
      <c r="BL25" s="87" t="str">
        <f t="shared" si="5"/>
        <v>HSI:HSI</v>
      </c>
      <c r="BM25" s="75" t="str">
        <f t="shared" si="16"/>
        <v>홍콩(항셍)</v>
      </c>
      <c r="BN25" s="75" t="str">
        <f t="shared" si="17"/>
        <v>HSI:HSI</v>
      </c>
      <c r="BO25" s="75">
        <v>17</v>
      </c>
      <c r="BP25" s="75">
        <f t="shared" si="6"/>
        <v>1</v>
      </c>
      <c r="BQ25" s="88" t="str">
        <f t="shared" si="18"/>
        <v>홍콩(항셍)</v>
      </c>
      <c r="BR25" s="89" t="str">
        <f t="shared" si="7"/>
        <v>HSI:HSI</v>
      </c>
      <c r="BS25" s="74" t="str">
        <f t="shared" si="19"/>
        <v>홍콩(항셍)</v>
      </c>
      <c r="BT25" s="74" t="str">
        <f t="shared" si="20"/>
        <v>HSI:HSI</v>
      </c>
      <c r="BU25" s="74">
        <v>17</v>
      </c>
      <c r="BV25" s="74">
        <f t="shared" si="8"/>
        <v>1</v>
      </c>
      <c r="BW25" s="86" t="str">
        <f t="shared" si="21"/>
        <v>홍콩(항셍)</v>
      </c>
      <c r="BX25" s="87" t="str">
        <f t="shared" si="9"/>
        <v>HSI:HSI</v>
      </c>
      <c r="BY25" s="81" t="str">
        <f t="shared" si="22"/>
        <v>홍콩(항셍)</v>
      </c>
      <c r="BZ25" s="75" t="str">
        <f t="shared" si="23"/>
        <v>HSI:HSI</v>
      </c>
      <c r="CA25" s="75">
        <v>17</v>
      </c>
      <c r="CB25" s="75">
        <f t="shared" si="10"/>
        <v>1</v>
      </c>
      <c r="CC25" s="88" t="str">
        <f t="shared" si="24"/>
        <v>홍콩(항셍)</v>
      </c>
      <c r="CD25" s="89" t="str">
        <f t="shared" si="11"/>
        <v>HSI:HSI</v>
      </c>
      <c r="CI25" s="91" t="s">
        <v>16</v>
      </c>
      <c r="CJ25" s="91" t="s">
        <v>41</v>
      </c>
      <c r="CK25" s="91" t="s">
        <v>81</v>
      </c>
      <c r="CL25" s="91" t="s">
        <v>91</v>
      </c>
      <c r="CM25" s="91" t="s">
        <v>102</v>
      </c>
      <c r="CN25" s="91" t="s">
        <v>193</v>
      </c>
      <c r="CO25" s="91"/>
      <c r="CP25" s="91"/>
      <c r="CQ25" s="91"/>
      <c r="CR25" s="91"/>
      <c r="CS25" s="91" t="s">
        <v>26</v>
      </c>
      <c r="CT25" s="91" t="s">
        <v>166</v>
      </c>
    </row>
    <row r="26" spans="2:98">
      <c r="B26" t="str">
        <f t="shared" si="0"/>
        <v>홍콩(항셍 H)</v>
      </c>
      <c r="C26" t="str">
        <f t="shared" si="12"/>
        <v>HSI:HSCE</v>
      </c>
      <c r="D26">
        <v>18</v>
      </c>
      <c r="E26">
        <f t="shared" si="1"/>
        <v>1</v>
      </c>
      <c r="F26" s="35" t="str">
        <f t="shared" si="13"/>
        <v>홍콩(항셍 H)</v>
      </c>
      <c r="G26" s="6" t="str">
        <f t="shared" si="14"/>
        <v>HSI:HSCE</v>
      </c>
      <c r="H26" s="5">
        <f ca="1">IF(LEN($G26)=3,_xll.IMDP("IDX",$G26,"현재가",$G$3),_xll.IMDP("FRN",$G26,"현재가",$G$3))</f>
        <v>9730.24</v>
      </c>
      <c r="I26" s="5">
        <f ca="1">IF(LEN($G26)=3,_xll.IMDP("IDX",$G26,"전일대비",$G$3),_xll.IMDP("FRN",$G26,"전일대비",$G$3))</f>
        <v>-62.13</v>
      </c>
      <c r="J26" s="5">
        <f ca="1">IF(LEN($G26)=3,_xll.IMDP("IDX",$G26,"등락률",$G$3),_xll.IMDP("FRN",$G26,"등락률",$G$3))</f>
        <v>-0.63</v>
      </c>
      <c r="K26" s="5">
        <f ca="1">IF(LEN($G26)=3,_xll.IMDP("IDX",$G26,"시간",$G$3),_xll.IMDP("FRN",$G26,"한국시간",$G$3))</f>
        <v>140436</v>
      </c>
      <c r="L26" s="36">
        <f ca="1">IF(LEN($G26)=3,_xll.IMDP("IDX",$G26,"시간",$G$3),_xll.IMDP("FRN",$G26,"시간",$G$3))</f>
        <v>130436</v>
      </c>
      <c r="AR26" s="67">
        <v>42725</v>
      </c>
      <c r="AS26" s="66">
        <v>2037.96</v>
      </c>
      <c r="AT26" s="66">
        <v>19883.060000000001</v>
      </c>
      <c r="AU26" s="66">
        <v>3137.43</v>
      </c>
      <c r="AV26" s="66">
        <v>57646.52</v>
      </c>
      <c r="AX26" s="67">
        <v>42725</v>
      </c>
      <c r="AY26" s="68">
        <v>-0.19</v>
      </c>
      <c r="AZ26" s="68">
        <v>0.2</v>
      </c>
      <c r="BA26" s="66">
        <v>1.1100000000000001</v>
      </c>
      <c r="BB26" s="68">
        <v>0.11</v>
      </c>
      <c r="BD26" s="68"/>
      <c r="BG26" s="74" t="str">
        <f t="shared" si="2"/>
        <v>홍콩(항셍 H)</v>
      </c>
      <c r="BH26" s="74" t="str">
        <f t="shared" si="3"/>
        <v>HSI:HSCE</v>
      </c>
      <c r="BI26" s="74">
        <v>18</v>
      </c>
      <c r="BJ26" s="74">
        <f t="shared" si="4"/>
        <v>1</v>
      </c>
      <c r="BK26" s="86" t="str">
        <f t="shared" si="15"/>
        <v>홍콩(항셍 H)</v>
      </c>
      <c r="BL26" s="87" t="str">
        <f t="shared" si="5"/>
        <v>HSI:HSCE</v>
      </c>
      <c r="BM26" s="75" t="str">
        <f t="shared" si="16"/>
        <v>홍콩(항셍 H)</v>
      </c>
      <c r="BN26" s="75" t="str">
        <f t="shared" si="17"/>
        <v>HSI:HSCE</v>
      </c>
      <c r="BO26" s="75">
        <v>18</v>
      </c>
      <c r="BP26" s="75">
        <f t="shared" si="6"/>
        <v>1</v>
      </c>
      <c r="BQ26" s="88" t="str">
        <f t="shared" si="18"/>
        <v>홍콩(항셍 H)</v>
      </c>
      <c r="BR26" s="89" t="str">
        <f t="shared" si="7"/>
        <v>HSI:HSCE</v>
      </c>
      <c r="BS26" s="74" t="str">
        <f t="shared" si="19"/>
        <v>홍콩(항셍 H)</v>
      </c>
      <c r="BT26" s="74" t="str">
        <f t="shared" si="20"/>
        <v>HSI:HSCE</v>
      </c>
      <c r="BU26" s="74">
        <v>18</v>
      </c>
      <c r="BV26" s="74">
        <f t="shared" si="8"/>
        <v>1</v>
      </c>
      <c r="BW26" s="86" t="str">
        <f t="shared" si="21"/>
        <v>홍콩(항셍 H)</v>
      </c>
      <c r="BX26" s="87" t="str">
        <f t="shared" si="9"/>
        <v>HSI:HSCE</v>
      </c>
      <c r="BY26" s="81" t="str">
        <f t="shared" si="22"/>
        <v>홍콩(항셍 H)</v>
      </c>
      <c r="BZ26" s="75" t="str">
        <f t="shared" si="23"/>
        <v>HSI:HSCE</v>
      </c>
      <c r="CA26" s="75">
        <v>18</v>
      </c>
      <c r="CB26" s="75">
        <f t="shared" si="10"/>
        <v>1</v>
      </c>
      <c r="CC26" s="88" t="str">
        <f t="shared" si="24"/>
        <v>홍콩(항셍 H)</v>
      </c>
      <c r="CD26" s="89" t="str">
        <f t="shared" si="11"/>
        <v>HSI:HSCE</v>
      </c>
      <c r="CI26" s="91" t="s">
        <v>17</v>
      </c>
      <c r="CJ26" s="91" t="s">
        <v>42</v>
      </c>
      <c r="CK26" s="91" t="s">
        <v>82</v>
      </c>
      <c r="CL26" s="91" t="s">
        <v>92</v>
      </c>
      <c r="CM26" s="91" t="s">
        <v>103</v>
      </c>
      <c r="CN26" s="91" t="s">
        <v>194</v>
      </c>
      <c r="CO26" s="91"/>
      <c r="CP26" s="91"/>
      <c r="CQ26" s="91"/>
      <c r="CR26" s="91"/>
      <c r="CS26" s="91" t="s">
        <v>144</v>
      </c>
      <c r="CT26" s="91" t="s">
        <v>167</v>
      </c>
    </row>
    <row r="27" spans="2:98">
      <c r="B27" t="str">
        <f t="shared" si="0"/>
        <v>인도네시아</v>
      </c>
      <c r="C27" t="str">
        <f t="shared" si="12"/>
        <v>IDI:JKSE</v>
      </c>
      <c r="D27">
        <v>19</v>
      </c>
      <c r="E27">
        <f t="shared" si="1"/>
        <v>1</v>
      </c>
      <c r="F27" s="35" t="str">
        <f t="shared" si="13"/>
        <v>인도네시아</v>
      </c>
      <c r="G27" s="6" t="str">
        <f t="shared" si="14"/>
        <v>IDI:JKSE</v>
      </c>
      <c r="H27" s="5">
        <f ca="1">IF(LEN($G27)=3,_xll.IMDP("IDX",$G27,"현재가",$G$3),_xll.IMDP("FRN",$G27,"현재가",$G$3))</f>
        <v>5267.65</v>
      </c>
      <c r="I27" s="5">
        <f ca="1">IF(LEN($G27)=3,_xll.IMDP("IDX",$G27,"전일대비",$G$3),_xll.IMDP("FRN",$G27,"전일대비",$G$3))</f>
        <v>-31.3</v>
      </c>
      <c r="J27" s="5">
        <f ca="1">IF(LEN($G27)=3,_xll.IMDP("IDX",$G27,"등락률",$G$3),_xll.IMDP("FRN",$G27,"등락률",$G$3))</f>
        <v>-0.59</v>
      </c>
      <c r="K27" s="5">
        <f ca="1">IF(LEN($G27)=3,_xll.IMDP("IDX",$G27,"시간",$G$3),_xll.IMDP("FRN",$G27,"한국시간",$G$3))</f>
        <v>133000</v>
      </c>
      <c r="L27" s="36">
        <f ca="1">IF(LEN($G27)=3,_xll.IMDP("IDX",$G27,"시간",$G$3),_xll.IMDP("FRN",$G27,"시간",$G$3))</f>
        <v>113000</v>
      </c>
      <c r="AR27" s="67">
        <v>42724</v>
      </c>
      <c r="AS27" s="66">
        <v>2041.94</v>
      </c>
      <c r="AT27" s="66">
        <v>19843.41</v>
      </c>
      <c r="AU27" s="66">
        <v>3102.88</v>
      </c>
      <c r="AV27" s="66">
        <v>57582.89</v>
      </c>
      <c r="AX27" s="67">
        <v>42724</v>
      </c>
      <c r="AY27" s="68">
        <v>0.17</v>
      </c>
      <c r="AZ27" s="68">
        <v>-0.04</v>
      </c>
      <c r="BA27" s="66">
        <v>-0.49</v>
      </c>
      <c r="BB27" s="68">
        <v>0.83</v>
      </c>
      <c r="BD27" s="68"/>
      <c r="BG27" s="74" t="str">
        <f t="shared" si="2"/>
        <v>인도네시아</v>
      </c>
      <c r="BH27" s="74" t="str">
        <f t="shared" si="3"/>
        <v>IDI:JKSE</v>
      </c>
      <c r="BI27" s="74">
        <v>19</v>
      </c>
      <c r="BJ27" s="74">
        <f t="shared" si="4"/>
        <v>1</v>
      </c>
      <c r="BK27" s="86" t="str">
        <f t="shared" si="15"/>
        <v>인도네시아</v>
      </c>
      <c r="BL27" s="87" t="str">
        <f t="shared" si="5"/>
        <v>IDI:JKSE</v>
      </c>
      <c r="BM27" s="75" t="str">
        <f t="shared" si="16"/>
        <v>인도네시아</v>
      </c>
      <c r="BN27" s="75" t="str">
        <f t="shared" si="17"/>
        <v>IDI:JKSE</v>
      </c>
      <c r="BO27" s="75">
        <v>19</v>
      </c>
      <c r="BP27" s="75">
        <f t="shared" si="6"/>
        <v>1</v>
      </c>
      <c r="BQ27" s="88" t="str">
        <f t="shared" si="18"/>
        <v>인도네시아</v>
      </c>
      <c r="BR27" s="89" t="str">
        <f t="shared" si="7"/>
        <v>IDI:JKSE</v>
      </c>
      <c r="BS27" s="74" t="str">
        <f t="shared" si="19"/>
        <v>인도네시아</v>
      </c>
      <c r="BT27" s="74" t="str">
        <f t="shared" si="20"/>
        <v>IDI:JKSE</v>
      </c>
      <c r="BU27" s="74">
        <v>19</v>
      </c>
      <c r="BV27" s="74">
        <f t="shared" si="8"/>
        <v>1</v>
      </c>
      <c r="BW27" s="86" t="str">
        <f t="shared" si="21"/>
        <v>인도네시아</v>
      </c>
      <c r="BX27" s="87" t="str">
        <f t="shared" si="9"/>
        <v>IDI:JKSE</v>
      </c>
      <c r="BY27" s="81" t="str">
        <f t="shared" si="22"/>
        <v>인도네시아</v>
      </c>
      <c r="BZ27" s="75" t="str">
        <f t="shared" si="23"/>
        <v>IDI:JKSE</v>
      </c>
      <c r="CA27" s="75">
        <v>19</v>
      </c>
      <c r="CB27" s="75">
        <f t="shared" si="10"/>
        <v>1</v>
      </c>
      <c r="CC27" s="88" t="str">
        <f t="shared" si="24"/>
        <v>인도네시아</v>
      </c>
      <c r="CD27" s="89" t="str">
        <f t="shared" si="11"/>
        <v>IDI:JKSE</v>
      </c>
      <c r="CI27" s="91" t="s">
        <v>18</v>
      </c>
      <c r="CJ27" s="91" t="s">
        <v>43</v>
      </c>
      <c r="CK27" s="91" t="s">
        <v>83</v>
      </c>
      <c r="CL27" s="91" t="s">
        <v>93</v>
      </c>
      <c r="CM27" s="91" t="s">
        <v>104</v>
      </c>
      <c r="CN27" s="91" t="s">
        <v>195</v>
      </c>
      <c r="CO27" s="91"/>
      <c r="CP27" s="91"/>
      <c r="CQ27" s="91"/>
      <c r="CR27" s="91"/>
      <c r="CS27" s="91" t="s">
        <v>102</v>
      </c>
      <c r="CT27" s="91" t="s">
        <v>168</v>
      </c>
    </row>
    <row r="28" spans="2:98">
      <c r="B28" t="str">
        <f t="shared" si="0"/>
        <v>태국</v>
      </c>
      <c r="C28" t="str">
        <f t="shared" si="12"/>
        <v>THI:SET</v>
      </c>
      <c r="D28">
        <v>20</v>
      </c>
      <c r="E28">
        <f t="shared" si="1"/>
        <v>1</v>
      </c>
      <c r="F28" s="35" t="str">
        <f t="shared" si="13"/>
        <v>태국</v>
      </c>
      <c r="G28" s="6" t="str">
        <f t="shared" si="14"/>
        <v>THI:SET</v>
      </c>
      <c r="H28" s="5">
        <f ca="1">IF(LEN($G28)=3,_xll.IMDP("IDX",$G28,"현재가",$G$3),_xll.IMDP("FRN",$G28,"현재가",$G$3))</f>
        <v>1558.67</v>
      </c>
      <c r="I28" s="5">
        <f ca="1">IF(LEN($G28)=3,_xll.IMDP("IDX",$G28,"전일대비",$G$3),_xll.IMDP("FRN",$G28,"전일대비",$G$3))</f>
        <v>3.79</v>
      </c>
      <c r="J28" s="5">
        <f ca="1">IF(LEN($G28)=3,_xll.IMDP("IDX",$G28,"등락률",$G$3),_xll.IMDP("FRN",$G28,"등락률",$G$3))</f>
        <v>0.24</v>
      </c>
      <c r="K28" s="5">
        <f ca="1">IF(LEN($G28)=3,_xll.IMDP("IDX",$G28,"시간",$G$3),_xll.IMDP("FRN",$G28,"한국시간",$G$3))</f>
        <v>135600</v>
      </c>
      <c r="L28" s="36">
        <f ca="1">IF(LEN($G28)=3,_xll.IMDP("IDX",$G28,"시간",$G$3),_xll.IMDP("FRN",$G28,"시간",$G$3))</f>
        <v>115600</v>
      </c>
      <c r="N28" s="42" t="s">
        <v>216</v>
      </c>
      <c r="O28" s="43" t="str">
        <f>Q3</f>
        <v>한국(KOSPI)</v>
      </c>
      <c r="P28" s="44"/>
      <c r="Q28" s="45" t="str">
        <f>Q4</f>
        <v>미국(DJI)</v>
      </c>
      <c r="R28" s="43"/>
      <c r="S28" s="43"/>
      <c r="T28" s="43"/>
      <c r="U28" s="43" t="str">
        <f>Q5</f>
        <v>중국(상해종합)</v>
      </c>
      <c r="V28" s="44" t="str">
        <f>Q6</f>
        <v>브라질</v>
      </c>
      <c r="W28" s="18"/>
      <c r="X28" s="20"/>
      <c r="AR28" s="67">
        <v>42723</v>
      </c>
      <c r="AS28" s="66">
        <v>2038.39</v>
      </c>
      <c r="AT28" s="66">
        <v>19852.240000000002</v>
      </c>
      <c r="AU28" s="66">
        <v>3118.08</v>
      </c>
      <c r="AV28" s="66">
        <v>57111</v>
      </c>
      <c r="AX28" s="67">
        <v>42723</v>
      </c>
      <c r="AY28" s="68">
        <v>-0.19</v>
      </c>
      <c r="AZ28" s="68">
        <v>0.3</v>
      </c>
      <c r="BA28" s="66">
        <v>-0.16</v>
      </c>
      <c r="BB28" s="68">
        <v>-2.19</v>
      </c>
      <c r="BD28" s="68"/>
      <c r="BG28" s="74" t="str">
        <f t="shared" si="2"/>
        <v>태국</v>
      </c>
      <c r="BH28" s="74" t="str">
        <f t="shared" si="3"/>
        <v>THI:SET</v>
      </c>
      <c r="BI28" s="74">
        <v>20</v>
      </c>
      <c r="BJ28" s="74">
        <f t="shared" si="4"/>
        <v>1</v>
      </c>
      <c r="BK28" s="86" t="str">
        <f t="shared" si="15"/>
        <v>태국</v>
      </c>
      <c r="BL28" s="87" t="str">
        <f t="shared" si="5"/>
        <v>THI:SET</v>
      </c>
      <c r="BM28" s="75" t="str">
        <f t="shared" si="16"/>
        <v>태국</v>
      </c>
      <c r="BN28" s="75" t="str">
        <f t="shared" si="17"/>
        <v>THI:SET</v>
      </c>
      <c r="BO28" s="75">
        <v>20</v>
      </c>
      <c r="BP28" s="75">
        <f t="shared" si="6"/>
        <v>1</v>
      </c>
      <c r="BQ28" s="88" t="str">
        <f t="shared" si="18"/>
        <v>태국</v>
      </c>
      <c r="BR28" s="89" t="str">
        <f t="shared" si="7"/>
        <v>THI:SET</v>
      </c>
      <c r="BS28" s="74" t="str">
        <f t="shared" si="19"/>
        <v>태국</v>
      </c>
      <c r="BT28" s="74" t="str">
        <f t="shared" si="20"/>
        <v>THI:SET</v>
      </c>
      <c r="BU28" s="74">
        <v>20</v>
      </c>
      <c r="BV28" s="74">
        <f t="shared" si="8"/>
        <v>1</v>
      </c>
      <c r="BW28" s="86" t="str">
        <f t="shared" si="21"/>
        <v>태국</v>
      </c>
      <c r="BX28" s="87" t="str">
        <f t="shared" si="9"/>
        <v>THI:SET</v>
      </c>
      <c r="BY28" s="81" t="str">
        <f t="shared" si="22"/>
        <v>태국</v>
      </c>
      <c r="BZ28" s="75" t="str">
        <f t="shared" si="23"/>
        <v>THI:SET</v>
      </c>
      <c r="CA28" s="75">
        <v>20</v>
      </c>
      <c r="CB28" s="75">
        <f t="shared" si="10"/>
        <v>1</v>
      </c>
      <c r="CC28" s="88" t="str">
        <f t="shared" si="24"/>
        <v>태국</v>
      </c>
      <c r="CD28" s="89" t="str">
        <f t="shared" si="11"/>
        <v>THI:SET</v>
      </c>
      <c r="CI28" s="91" t="s">
        <v>19</v>
      </c>
      <c r="CJ28" s="91" t="s">
        <v>44</v>
      </c>
      <c r="CK28" s="91" t="s">
        <v>84</v>
      </c>
      <c r="CL28" s="91" t="s">
        <v>94</v>
      </c>
      <c r="CM28" s="91" t="s">
        <v>105</v>
      </c>
      <c r="CN28" s="91" t="s">
        <v>196</v>
      </c>
      <c r="CO28" s="91"/>
      <c r="CP28" s="91"/>
      <c r="CQ28" s="91"/>
      <c r="CR28" s="91"/>
      <c r="CS28" s="91" t="s">
        <v>18</v>
      </c>
      <c r="CT28" s="91" t="s">
        <v>169</v>
      </c>
    </row>
    <row r="29" spans="2:98">
      <c r="B29" t="str">
        <f t="shared" si="0"/>
        <v>인도</v>
      </c>
      <c r="C29" t="str">
        <f t="shared" si="12"/>
        <v>INI:BSE30</v>
      </c>
      <c r="D29">
        <v>21</v>
      </c>
      <c r="E29">
        <f t="shared" si="1"/>
        <v>1</v>
      </c>
      <c r="F29" s="35" t="str">
        <f t="shared" si="13"/>
        <v>인도</v>
      </c>
      <c r="G29" s="6" t="str">
        <f t="shared" si="14"/>
        <v>INI:BSE30</v>
      </c>
      <c r="H29" s="5">
        <f ca="1">IF(LEN($G29)=3,_xll.IMDP("IDX",$G29,"현재가",$G$3),_xll.IMDP("FRN",$G29,"현재가",$G$3))</f>
        <v>27182.84</v>
      </c>
      <c r="I29" s="5">
        <f ca="1">IF(LEN($G29)=3,_xll.IMDP("IDX",$G29,"전일대비",$G$3),_xll.IMDP("FRN",$G29,"전일대비",$G$3))</f>
        <v>-125.76</v>
      </c>
      <c r="J29" s="5">
        <f ca="1">IF(LEN($G29)=3,_xll.IMDP("IDX",$G29,"등락률",$G$3),_xll.IMDP("FRN",$G29,"등락률",$G$3))</f>
        <v>-0.46</v>
      </c>
      <c r="K29" s="5">
        <f ca="1">IF(LEN($G29)=3,_xll.IMDP("IDX",$G29,"시간",$G$3),_xll.IMDP("FRN",$G29,"한국시간",$G$3))</f>
        <v>140440</v>
      </c>
      <c r="L29" s="36">
        <f ca="1">IF(LEN($G29)=3,_xll.IMDP("IDX",$G29,"시간",$G$3),_xll.IMDP("FRN",$G29,"시간",$G$3))</f>
        <v>103440</v>
      </c>
      <c r="N29" s="57">
        <f t="shared" ref="N29:N53" si="25">AR6</f>
        <v>42754</v>
      </c>
      <c r="O29" s="46">
        <f t="shared" ref="O29:O53" si="26">AS6</f>
        <v>2072.79</v>
      </c>
      <c r="P29" s="47"/>
      <c r="Q29" s="48">
        <f t="shared" ref="Q29:Q53" si="27">AT6</f>
        <v>19732.400000000001</v>
      </c>
      <c r="R29" s="47"/>
      <c r="S29" s="48"/>
      <c r="T29" s="49"/>
      <c r="U29" s="48">
        <f t="shared" ref="U29:U53" si="28">AU6</f>
        <v>3101.3</v>
      </c>
      <c r="V29" s="50">
        <f t="shared" ref="V29:V53" si="29">AV6</f>
        <v>63950.86</v>
      </c>
      <c r="W29" s="19"/>
      <c r="X29" s="20"/>
      <c r="AR29" s="67">
        <v>42720</v>
      </c>
      <c r="AS29" s="66">
        <v>2042.24</v>
      </c>
      <c r="AT29" s="66">
        <v>19792.53</v>
      </c>
      <c r="AU29" s="66">
        <v>3122.98</v>
      </c>
      <c r="AV29" s="66">
        <v>58389.04</v>
      </c>
      <c r="AX29" s="67">
        <v>42720</v>
      </c>
      <c r="AY29" s="68">
        <v>0.27</v>
      </c>
      <c r="AZ29" s="68">
        <v>-0.6</v>
      </c>
      <c r="BA29" s="66">
        <v>0.17</v>
      </c>
      <c r="BB29" s="68">
        <v>-0.01</v>
      </c>
      <c r="BD29" s="68"/>
      <c r="BG29" s="74" t="str">
        <f t="shared" si="2"/>
        <v>인도</v>
      </c>
      <c r="BH29" s="74" t="str">
        <f t="shared" si="3"/>
        <v>INI:BSE30</v>
      </c>
      <c r="BI29" s="74">
        <v>21</v>
      </c>
      <c r="BJ29" s="74">
        <f t="shared" si="4"/>
        <v>1</v>
      </c>
      <c r="BK29" s="86" t="str">
        <f t="shared" si="15"/>
        <v>인도</v>
      </c>
      <c r="BL29" s="87" t="str">
        <f t="shared" si="5"/>
        <v>INI:BSE30</v>
      </c>
      <c r="BM29" s="75" t="str">
        <f t="shared" si="16"/>
        <v>인도</v>
      </c>
      <c r="BN29" s="75" t="str">
        <f t="shared" si="17"/>
        <v>INI:BSE30</v>
      </c>
      <c r="BO29" s="75">
        <v>21</v>
      </c>
      <c r="BP29" s="75">
        <f t="shared" si="6"/>
        <v>1</v>
      </c>
      <c r="BQ29" s="88" t="str">
        <f t="shared" si="18"/>
        <v>인도</v>
      </c>
      <c r="BR29" s="89" t="str">
        <f t="shared" si="7"/>
        <v>INI:BSE30</v>
      </c>
      <c r="BS29" s="74" t="str">
        <f t="shared" si="19"/>
        <v>인도</v>
      </c>
      <c r="BT29" s="74" t="str">
        <f t="shared" si="20"/>
        <v>INI:BSE30</v>
      </c>
      <c r="BU29" s="74">
        <v>21</v>
      </c>
      <c r="BV29" s="74">
        <f t="shared" si="8"/>
        <v>1</v>
      </c>
      <c r="BW29" s="86" t="str">
        <f t="shared" si="21"/>
        <v>인도</v>
      </c>
      <c r="BX29" s="87" t="str">
        <f t="shared" si="9"/>
        <v>INI:BSE30</v>
      </c>
      <c r="BY29" s="81" t="str">
        <f t="shared" si="22"/>
        <v>인도</v>
      </c>
      <c r="BZ29" s="75" t="str">
        <f t="shared" si="23"/>
        <v>INI:BSE30</v>
      </c>
      <c r="CA29" s="75">
        <v>21</v>
      </c>
      <c r="CB29" s="75">
        <f t="shared" si="10"/>
        <v>1</v>
      </c>
      <c r="CC29" s="88" t="str">
        <f t="shared" si="24"/>
        <v>인도</v>
      </c>
      <c r="CD29" s="89" t="str">
        <f t="shared" si="11"/>
        <v>INI:BSE30</v>
      </c>
      <c r="CI29" s="91" t="s">
        <v>20</v>
      </c>
      <c r="CJ29" s="91" t="s">
        <v>45</v>
      </c>
      <c r="CK29" s="91" t="s">
        <v>85</v>
      </c>
      <c r="CL29" s="91" t="s">
        <v>95</v>
      </c>
      <c r="CM29" s="91" t="s">
        <v>106</v>
      </c>
      <c r="CN29" s="91" t="s">
        <v>197</v>
      </c>
      <c r="CO29" s="91"/>
      <c r="CP29" s="91"/>
      <c r="CQ29" s="91"/>
      <c r="CR29" s="91"/>
      <c r="CS29" s="91" t="s">
        <v>103</v>
      </c>
      <c r="CT29" s="91" t="s">
        <v>170</v>
      </c>
    </row>
    <row r="30" spans="2:98">
      <c r="B30" t="str">
        <f t="shared" si="0"/>
        <v>러시아</v>
      </c>
      <c r="C30" t="str">
        <f t="shared" si="12"/>
        <v>RUI:RTSI</v>
      </c>
      <c r="D30">
        <v>22</v>
      </c>
      <c r="E30">
        <f t="shared" si="1"/>
        <v>1</v>
      </c>
      <c r="F30" s="35" t="str">
        <f t="shared" si="13"/>
        <v>러시아</v>
      </c>
      <c r="G30" s="6" t="str">
        <f t="shared" si="14"/>
        <v>RUI:RTSI</v>
      </c>
      <c r="H30" s="5">
        <f ca="1">IF(LEN($G30)=3,_xll.IMDP("IDX",$G30,"현재가",$G$3),_xll.IMDP("FRN",$G30,"현재가",$G$3))</f>
        <v>1136.6199999999999</v>
      </c>
      <c r="I30" s="5">
        <f ca="1">IF(LEN($G30)=3,_xll.IMDP("IDX",$G30,"전일대비",$G$3),_xll.IMDP("FRN",$G30,"전일대비",$G$3))</f>
        <v>0</v>
      </c>
      <c r="J30" s="5">
        <f ca="1">IF(LEN($G30)=3,_xll.IMDP("IDX",$G30,"등락률",$G$3),_xll.IMDP("FRN",$G30,"등락률",$G$3))</f>
        <v>0</v>
      </c>
      <c r="K30" s="5" t="str">
        <f ca="1">IF(LEN($G30)=3,_xll.IMDP("IDX",$G30,"시간",$G$3),_xll.IMDP("FRN",$G30,"한국시간",$G$3))</f>
        <v xml:space="preserve">      </v>
      </c>
      <c r="L30" s="36" t="str">
        <f ca="1">IF(LEN($G30)=3,_xll.IMDP("IDX",$G30,"시간",$G$3),_xll.IMDP("FRN",$G30,"시간",$G$3))</f>
        <v xml:space="preserve">      </v>
      </c>
      <c r="N30" s="58">
        <f t="shared" si="25"/>
        <v>42753</v>
      </c>
      <c r="O30" s="21">
        <f t="shared" si="26"/>
        <v>2070.54</v>
      </c>
      <c r="P30" s="22"/>
      <c r="Q30" s="23">
        <f t="shared" si="27"/>
        <v>19804.72</v>
      </c>
      <c r="R30" s="22"/>
      <c r="S30" s="23"/>
      <c r="T30" s="24"/>
      <c r="U30" s="23">
        <f t="shared" si="28"/>
        <v>3113.01</v>
      </c>
      <c r="V30" s="51">
        <f t="shared" si="29"/>
        <v>64149.57</v>
      </c>
      <c r="W30" s="19"/>
      <c r="X30" s="20"/>
      <c r="AR30" s="67">
        <v>42719</v>
      </c>
      <c r="AS30" s="66">
        <v>2036.65</v>
      </c>
      <c r="AT30" s="66">
        <v>19911.21</v>
      </c>
      <c r="AU30" s="66">
        <v>3117.68</v>
      </c>
      <c r="AV30" s="66">
        <v>58396.160000000003</v>
      </c>
      <c r="AX30" s="67">
        <v>42719</v>
      </c>
      <c r="AY30" s="68">
        <v>-0.01</v>
      </c>
      <c r="AZ30" s="68">
        <v>0.57999999999999996</v>
      </c>
      <c r="BA30" s="66">
        <v>-0.73</v>
      </c>
      <c r="BB30" s="68">
        <v>0.32</v>
      </c>
      <c r="BD30" s="68"/>
      <c r="BG30" s="74" t="str">
        <f t="shared" si="2"/>
        <v>러시아</v>
      </c>
      <c r="BH30" s="74" t="str">
        <f t="shared" si="3"/>
        <v>RUI:RTSI</v>
      </c>
      <c r="BI30" s="74">
        <v>22</v>
      </c>
      <c r="BJ30" s="74">
        <f t="shared" si="4"/>
        <v>1</v>
      </c>
      <c r="BK30" s="86" t="str">
        <f t="shared" si="15"/>
        <v>러시아</v>
      </c>
      <c r="BL30" s="87" t="str">
        <f t="shared" si="5"/>
        <v>RUI:RTSI</v>
      </c>
      <c r="BM30" s="75" t="str">
        <f t="shared" si="16"/>
        <v>러시아</v>
      </c>
      <c r="BN30" s="75" t="str">
        <f t="shared" si="17"/>
        <v>RUI:RTSI</v>
      </c>
      <c r="BO30" s="75">
        <v>22</v>
      </c>
      <c r="BP30" s="75">
        <f t="shared" si="6"/>
        <v>1</v>
      </c>
      <c r="BQ30" s="88" t="str">
        <f t="shared" si="18"/>
        <v>러시아</v>
      </c>
      <c r="BR30" s="89" t="str">
        <f t="shared" si="7"/>
        <v>RUI:RTSI</v>
      </c>
      <c r="BS30" s="74" t="str">
        <f t="shared" si="19"/>
        <v>러시아</v>
      </c>
      <c r="BT30" s="74" t="str">
        <f t="shared" si="20"/>
        <v>RUI:RTSI</v>
      </c>
      <c r="BU30" s="74">
        <v>22</v>
      </c>
      <c r="BV30" s="74">
        <f t="shared" si="8"/>
        <v>1</v>
      </c>
      <c r="BW30" s="86" t="str">
        <f t="shared" si="21"/>
        <v>러시아</v>
      </c>
      <c r="BX30" s="87" t="str">
        <f t="shared" si="9"/>
        <v>RUI:RTSI</v>
      </c>
      <c r="BY30" s="81" t="str">
        <f t="shared" si="22"/>
        <v>러시아</v>
      </c>
      <c r="BZ30" s="75" t="str">
        <f t="shared" si="23"/>
        <v>RUI:RTSI</v>
      </c>
      <c r="CA30" s="75">
        <v>22</v>
      </c>
      <c r="CB30" s="75">
        <f t="shared" si="10"/>
        <v>1</v>
      </c>
      <c r="CC30" s="88" t="str">
        <f t="shared" si="24"/>
        <v>러시아</v>
      </c>
      <c r="CD30" s="89" t="str">
        <f t="shared" si="11"/>
        <v>RUI:RTSI</v>
      </c>
      <c r="CI30" s="91" t="s">
        <v>21</v>
      </c>
      <c r="CJ30" s="91" t="s">
        <v>78</v>
      </c>
      <c r="CK30" s="91" t="s">
        <v>86</v>
      </c>
      <c r="CL30" s="91" t="s">
        <v>100</v>
      </c>
      <c r="CM30" s="91" t="s">
        <v>107</v>
      </c>
      <c r="CN30" s="91" t="s">
        <v>198</v>
      </c>
      <c r="CO30" s="91"/>
      <c r="CP30" s="91"/>
      <c r="CQ30" s="91"/>
      <c r="CR30" s="91"/>
      <c r="CS30" s="91" t="s">
        <v>89</v>
      </c>
      <c r="CT30" s="91" t="s">
        <v>171</v>
      </c>
    </row>
    <row r="31" spans="2:98">
      <c r="B31" t="str">
        <f t="shared" si="0"/>
        <v>터키</v>
      </c>
      <c r="C31" t="str">
        <f t="shared" si="12"/>
        <v>TRI:ISE100</v>
      </c>
      <c r="D31">
        <v>23</v>
      </c>
      <c r="E31">
        <f t="shared" si="1"/>
        <v>1</v>
      </c>
      <c r="F31" s="35" t="str">
        <f t="shared" si="13"/>
        <v>터키</v>
      </c>
      <c r="G31" s="6" t="str">
        <f t="shared" si="14"/>
        <v>TRI:ISE100</v>
      </c>
      <c r="H31" s="5">
        <f ca="1">IF(LEN($G31)=3,_xll.IMDP("IDX",$G31,"현재가",$G$3),_xll.IMDP("FRN",$G31,"현재가",$G$3))</f>
        <v>82300.320000000007</v>
      </c>
      <c r="I31" s="5">
        <f ca="1">IF(LEN($G31)=3,_xll.IMDP("IDX",$G31,"전일대비",$G$3),_xll.IMDP("FRN",$G31,"전일대비",$G$3))</f>
        <v>0</v>
      </c>
      <c r="J31" s="5">
        <f ca="1">IF(LEN($G31)=3,_xll.IMDP("IDX",$G31,"등락률",$G$3),_xll.IMDP("FRN",$G31,"등락률",$G$3))</f>
        <v>0</v>
      </c>
      <c r="K31" s="5" t="str">
        <f ca="1">IF(LEN($G31)=3,_xll.IMDP("IDX",$G31,"시간",$G$3),_xll.IMDP("FRN",$G31,"한국시간",$G$3))</f>
        <v xml:space="preserve">      </v>
      </c>
      <c r="L31" s="36" t="str">
        <f ca="1">IF(LEN($G31)=3,_xll.IMDP("IDX",$G31,"시간",$G$3),_xll.IMDP("FRN",$G31,"시간",$G$3))</f>
        <v xml:space="preserve">      </v>
      </c>
      <c r="N31" s="58">
        <f t="shared" si="25"/>
        <v>42752</v>
      </c>
      <c r="O31" s="21">
        <f t="shared" si="26"/>
        <v>2071.87</v>
      </c>
      <c r="P31" s="22"/>
      <c r="Q31" s="23">
        <f t="shared" si="27"/>
        <v>19826.77</v>
      </c>
      <c r="R31" s="22"/>
      <c r="S31" s="23"/>
      <c r="T31" s="24"/>
      <c r="U31" s="23">
        <f t="shared" si="28"/>
        <v>3108.77</v>
      </c>
      <c r="V31" s="51">
        <f t="shared" si="29"/>
        <v>64354.34</v>
      </c>
      <c r="W31" s="19"/>
      <c r="X31" s="20"/>
      <c r="AR31" s="67">
        <v>42718</v>
      </c>
      <c r="AS31" s="66">
        <v>2036.87</v>
      </c>
      <c r="AT31" s="66">
        <v>19796.43</v>
      </c>
      <c r="AU31" s="66">
        <v>3140.53</v>
      </c>
      <c r="AV31" s="66">
        <v>58212.12</v>
      </c>
      <c r="AX31" s="67">
        <v>42718</v>
      </c>
      <c r="AY31" s="68">
        <v>0.04</v>
      </c>
      <c r="AZ31" s="68">
        <v>0.2</v>
      </c>
      <c r="BA31" s="66">
        <v>-0.46</v>
      </c>
      <c r="BB31" s="68">
        <v>-1.8</v>
      </c>
      <c r="BD31" s="68"/>
      <c r="BG31" s="74" t="str">
        <f t="shared" si="2"/>
        <v>터키</v>
      </c>
      <c r="BH31" s="74" t="str">
        <f t="shared" si="3"/>
        <v>TRI:ISE100</v>
      </c>
      <c r="BI31" s="74">
        <v>23</v>
      </c>
      <c r="BJ31" s="74">
        <f t="shared" si="4"/>
        <v>1</v>
      </c>
      <c r="BK31" s="86" t="str">
        <f t="shared" si="15"/>
        <v>터키</v>
      </c>
      <c r="BL31" s="87" t="str">
        <f t="shared" si="5"/>
        <v>TRI:ISE100</v>
      </c>
      <c r="BM31" s="75" t="str">
        <f t="shared" si="16"/>
        <v>터키</v>
      </c>
      <c r="BN31" s="75" t="str">
        <f t="shared" si="17"/>
        <v>TRI:ISE100</v>
      </c>
      <c r="BO31" s="75">
        <v>23</v>
      </c>
      <c r="BP31" s="75">
        <f t="shared" si="6"/>
        <v>1</v>
      </c>
      <c r="BQ31" s="88" t="str">
        <f t="shared" si="18"/>
        <v>터키</v>
      </c>
      <c r="BR31" s="89" t="str">
        <f t="shared" si="7"/>
        <v>TRI:ISE100</v>
      </c>
      <c r="BS31" s="74" t="str">
        <f t="shared" si="19"/>
        <v>터키</v>
      </c>
      <c r="BT31" s="74" t="str">
        <f t="shared" si="20"/>
        <v>TRI:ISE100</v>
      </c>
      <c r="BU31" s="74">
        <v>23</v>
      </c>
      <c r="BV31" s="74">
        <f t="shared" si="8"/>
        <v>1</v>
      </c>
      <c r="BW31" s="86" t="str">
        <f t="shared" si="21"/>
        <v>터키</v>
      </c>
      <c r="BX31" s="87" t="str">
        <f t="shared" si="9"/>
        <v>TRI:ISE100</v>
      </c>
      <c r="BY31" s="81" t="str">
        <f t="shared" si="22"/>
        <v>터키</v>
      </c>
      <c r="BZ31" s="75" t="str">
        <f t="shared" si="23"/>
        <v>TRI:ISE100</v>
      </c>
      <c r="CA31" s="75">
        <v>23</v>
      </c>
      <c r="CB31" s="75">
        <f t="shared" si="10"/>
        <v>1</v>
      </c>
      <c r="CC31" s="88" t="str">
        <f t="shared" si="24"/>
        <v>터키</v>
      </c>
      <c r="CD31" s="89" t="str">
        <f t="shared" si="11"/>
        <v>TRI:ISE100</v>
      </c>
      <c r="CI31" s="91" t="s">
        <v>22</v>
      </c>
      <c r="CJ31" s="91" t="s">
        <v>46</v>
      </c>
      <c r="CK31" s="91" t="s">
        <v>87</v>
      </c>
      <c r="CL31" s="91" t="s">
        <v>96</v>
      </c>
      <c r="CM31" s="91"/>
      <c r="CN31" s="91"/>
      <c r="CO31" s="91"/>
      <c r="CP31" s="91"/>
      <c r="CQ31" s="91"/>
      <c r="CR31" s="91"/>
      <c r="CS31" s="91" t="s">
        <v>20</v>
      </c>
      <c r="CT31" s="91" t="s">
        <v>172</v>
      </c>
    </row>
    <row r="32" spans="2:98">
      <c r="B32" t="str">
        <f t="shared" si="0"/>
        <v>독일</v>
      </c>
      <c r="C32" t="str">
        <f t="shared" si="12"/>
        <v>XTR:DAX30</v>
      </c>
      <c r="D32">
        <v>24</v>
      </c>
      <c r="E32">
        <f t="shared" si="1"/>
        <v>1</v>
      </c>
      <c r="F32" s="35" t="str">
        <f t="shared" si="13"/>
        <v>독일</v>
      </c>
      <c r="G32" s="6" t="str">
        <f t="shared" si="14"/>
        <v>XTR:DAX30</v>
      </c>
      <c r="H32" s="5">
        <f ca="1">IF(LEN($G32)=3,_xll.IMDP("IDX",$G32,"현재가",$G$3),_xll.IMDP("FRN",$G32,"현재가",$G$3))</f>
        <v>11596.89</v>
      </c>
      <c r="I32" s="5">
        <f ca="1">IF(LEN($G32)=3,_xll.IMDP("IDX",$G32,"전일대비",$G$3),_xll.IMDP("FRN",$G32,"전일대비",$G$3))</f>
        <v>0</v>
      </c>
      <c r="J32" s="5">
        <f ca="1">IF(LEN($G32)=3,_xll.IMDP("IDX",$G32,"등락률",$G$3),_xll.IMDP("FRN",$G32,"등락률",$G$3))</f>
        <v>0</v>
      </c>
      <c r="K32" s="5" t="str">
        <f ca="1">IF(LEN($G32)=3,_xll.IMDP("IDX",$G32,"시간",$G$3),_xll.IMDP("FRN",$G32,"한국시간",$G$3))</f>
        <v xml:space="preserve">      </v>
      </c>
      <c r="L32" s="36" t="str">
        <f ca="1">IF(LEN($G32)=3,_xll.IMDP("IDX",$G32,"시간",$G$3),_xll.IMDP("FRN",$G32,"시간",$G$3))</f>
        <v xml:space="preserve">      </v>
      </c>
      <c r="N32" s="58">
        <f t="shared" si="25"/>
        <v>42751</v>
      </c>
      <c r="O32" s="21">
        <f t="shared" si="26"/>
        <v>2064.17</v>
      </c>
      <c r="P32" s="22"/>
      <c r="Q32" s="23">
        <f t="shared" si="27"/>
        <v>19885.73</v>
      </c>
      <c r="R32" s="22"/>
      <c r="S32" s="23"/>
      <c r="T32" s="24"/>
      <c r="U32" s="23">
        <f t="shared" si="28"/>
        <v>3103.43</v>
      </c>
      <c r="V32" s="51">
        <f t="shared" si="29"/>
        <v>63831.28</v>
      </c>
      <c r="W32" s="19"/>
      <c r="X32" s="20"/>
      <c r="AR32" s="67">
        <v>42717</v>
      </c>
      <c r="AS32" s="66">
        <v>2035.98</v>
      </c>
      <c r="AT32" s="66">
        <v>19756.849999999999</v>
      </c>
      <c r="AU32" s="66">
        <v>3155.04</v>
      </c>
      <c r="AV32" s="66">
        <v>59280.57</v>
      </c>
      <c r="AX32" s="67">
        <v>42717</v>
      </c>
      <c r="AY32" s="68">
        <v>0.43</v>
      </c>
      <c r="AZ32" s="68">
        <v>0.72</v>
      </c>
      <c r="BA32" s="66">
        <v>7.0000000000000007E-2</v>
      </c>
      <c r="BB32" s="68">
        <v>0.17</v>
      </c>
      <c r="BD32" s="68"/>
      <c r="BG32" s="74" t="str">
        <f t="shared" si="2"/>
        <v>독일</v>
      </c>
      <c r="BH32" s="74" t="str">
        <f t="shared" si="3"/>
        <v>XTR:DAX30</v>
      </c>
      <c r="BI32" s="74">
        <v>24</v>
      </c>
      <c r="BJ32" s="74">
        <f t="shared" si="4"/>
        <v>1</v>
      </c>
      <c r="BK32" s="86" t="str">
        <f t="shared" si="15"/>
        <v>독일</v>
      </c>
      <c r="BL32" s="87" t="str">
        <f t="shared" si="5"/>
        <v>XTR:DAX30</v>
      </c>
      <c r="BM32" s="75" t="str">
        <f t="shared" si="16"/>
        <v>독일</v>
      </c>
      <c r="BN32" s="75" t="str">
        <f t="shared" si="17"/>
        <v>XTR:DAX30</v>
      </c>
      <c r="BO32" s="75">
        <v>24</v>
      </c>
      <c r="BP32" s="75">
        <f t="shared" si="6"/>
        <v>1</v>
      </c>
      <c r="BQ32" s="88" t="str">
        <f t="shared" si="18"/>
        <v>독일</v>
      </c>
      <c r="BR32" s="89" t="str">
        <f t="shared" si="7"/>
        <v>XTR:DAX30</v>
      </c>
      <c r="BS32" s="74" t="str">
        <f t="shared" si="19"/>
        <v>독일</v>
      </c>
      <c r="BT32" s="74" t="str">
        <f t="shared" si="20"/>
        <v>XTR:DAX30</v>
      </c>
      <c r="BU32" s="74">
        <v>24</v>
      </c>
      <c r="BV32" s="74">
        <f t="shared" si="8"/>
        <v>1</v>
      </c>
      <c r="BW32" s="86" t="str">
        <f t="shared" si="21"/>
        <v>독일</v>
      </c>
      <c r="BX32" s="87" t="str">
        <f t="shared" si="9"/>
        <v>XTR:DAX30</v>
      </c>
      <c r="BY32" s="81" t="str">
        <f t="shared" si="22"/>
        <v>독일</v>
      </c>
      <c r="BZ32" s="75" t="str">
        <f t="shared" si="23"/>
        <v>XTR:DAX30</v>
      </c>
      <c r="CA32" s="75">
        <v>24</v>
      </c>
      <c r="CB32" s="75">
        <f t="shared" si="10"/>
        <v>1</v>
      </c>
      <c r="CC32" s="88" t="str">
        <f t="shared" si="24"/>
        <v>독일</v>
      </c>
      <c r="CD32" s="89" t="str">
        <f t="shared" si="11"/>
        <v>XTR:DAX30</v>
      </c>
      <c r="CI32" s="91" t="s">
        <v>23</v>
      </c>
      <c r="CJ32" s="91" t="s">
        <v>47</v>
      </c>
      <c r="CK32" s="91" t="s">
        <v>88</v>
      </c>
      <c r="CL32" s="91" t="s">
        <v>97</v>
      </c>
      <c r="CM32" s="91"/>
      <c r="CN32" s="91"/>
      <c r="CO32" s="91"/>
      <c r="CP32" s="91"/>
      <c r="CQ32" s="91"/>
      <c r="CR32" s="91"/>
      <c r="CS32" s="91" t="s">
        <v>9</v>
      </c>
      <c r="CT32" s="91" t="s">
        <v>173</v>
      </c>
    </row>
    <row r="33" spans="2:98">
      <c r="B33" t="str">
        <f t="shared" si="0"/>
        <v>프랑스</v>
      </c>
      <c r="C33" t="str">
        <f t="shared" si="12"/>
        <v>PAS:CAC40</v>
      </c>
      <c r="D33">
        <v>25</v>
      </c>
      <c r="E33">
        <f t="shared" si="1"/>
        <v>1</v>
      </c>
      <c r="F33" s="35" t="str">
        <f t="shared" si="13"/>
        <v>프랑스</v>
      </c>
      <c r="G33" s="6" t="str">
        <f t="shared" si="14"/>
        <v>PAS:CAC40</v>
      </c>
      <c r="H33" s="5">
        <f ca="1">IF(LEN($G33)=3,_xll.IMDP("IDX",$G33,"현재가",$G$3),_xll.IMDP("FRN",$G33,"현재가",$G$3))</f>
        <v>4841.1400000000003</v>
      </c>
      <c r="I33" s="5">
        <f ca="1">IF(LEN($G33)=3,_xll.IMDP("IDX",$G33,"전일대비",$G$3),_xll.IMDP("FRN",$G33,"전일대비",$G$3))</f>
        <v>0</v>
      </c>
      <c r="J33" s="5">
        <f ca="1">IF(LEN($G33)=3,_xll.IMDP("IDX",$G33,"등락률",$G$3),_xll.IMDP("FRN",$G33,"등락률",$G$3))</f>
        <v>0</v>
      </c>
      <c r="K33" s="5" t="str">
        <f ca="1">IF(LEN($G33)=3,_xll.IMDP("IDX",$G33,"시간",$G$3),_xll.IMDP("FRN",$G33,"한국시간",$G$3))</f>
        <v xml:space="preserve">      </v>
      </c>
      <c r="L33" s="36" t="str">
        <f ca="1">IF(LEN($G33)=3,_xll.IMDP("IDX",$G33,"시간",$G$3),_xll.IMDP("FRN",$G33,"시간",$G$3))</f>
        <v xml:space="preserve">      </v>
      </c>
      <c r="N33" s="58">
        <f t="shared" si="25"/>
        <v>42748</v>
      </c>
      <c r="O33" s="21">
        <f t="shared" si="26"/>
        <v>2076.79</v>
      </c>
      <c r="P33" s="22"/>
      <c r="Q33" s="23">
        <f t="shared" si="27"/>
        <v>19891</v>
      </c>
      <c r="R33" s="22"/>
      <c r="S33" s="23"/>
      <c r="T33" s="24"/>
      <c r="U33" s="23">
        <f t="shared" si="28"/>
        <v>3112.76</v>
      </c>
      <c r="V33" s="51">
        <f t="shared" si="29"/>
        <v>63651.519999999997</v>
      </c>
      <c r="W33" s="19"/>
      <c r="X33" s="20"/>
      <c r="AR33" s="67">
        <v>42716</v>
      </c>
      <c r="AS33" s="66">
        <v>2027.24</v>
      </c>
      <c r="AT33" s="66">
        <v>19614.810000000001</v>
      </c>
      <c r="AU33" s="66">
        <v>3152.97</v>
      </c>
      <c r="AV33" s="66">
        <v>59178.62</v>
      </c>
      <c r="AX33" s="67">
        <v>42716</v>
      </c>
      <c r="AY33" s="68">
        <v>0.13</v>
      </c>
      <c r="AZ33" s="68">
        <v>0.33</v>
      </c>
      <c r="BA33" s="66">
        <v>-2.4700000000000002</v>
      </c>
      <c r="BB33" s="68">
        <v>-2.19</v>
      </c>
      <c r="BD33" s="68"/>
      <c r="BG33" s="74" t="str">
        <f t="shared" si="2"/>
        <v>프랑스</v>
      </c>
      <c r="BH33" s="74" t="str">
        <f t="shared" si="3"/>
        <v>PAS:CAC40</v>
      </c>
      <c r="BI33" s="74">
        <v>25</v>
      </c>
      <c r="BJ33" s="74">
        <f t="shared" si="4"/>
        <v>1</v>
      </c>
      <c r="BK33" s="86" t="str">
        <f>IF(BG33=0,"",BG33)</f>
        <v>프랑스</v>
      </c>
      <c r="BL33" s="87" t="str">
        <f t="shared" si="5"/>
        <v>PAS:CAC40</v>
      </c>
      <c r="BM33" s="75" t="str">
        <f t="shared" si="16"/>
        <v>프랑스</v>
      </c>
      <c r="BN33" s="75" t="str">
        <f t="shared" si="17"/>
        <v>PAS:CAC40</v>
      </c>
      <c r="BO33" s="75">
        <v>25</v>
      </c>
      <c r="BP33" s="75">
        <f t="shared" si="6"/>
        <v>1</v>
      </c>
      <c r="BQ33" s="88" t="str">
        <f t="shared" si="18"/>
        <v>프랑스</v>
      </c>
      <c r="BR33" s="89" t="str">
        <f t="shared" si="7"/>
        <v>PAS:CAC40</v>
      </c>
      <c r="BS33" s="74" t="str">
        <f t="shared" si="19"/>
        <v>프랑스</v>
      </c>
      <c r="BT33" s="74" t="str">
        <f t="shared" si="20"/>
        <v>PAS:CAC40</v>
      </c>
      <c r="BU33" s="74">
        <v>25</v>
      </c>
      <c r="BV33" s="74">
        <f t="shared" si="8"/>
        <v>1</v>
      </c>
      <c r="BW33" s="86" t="str">
        <f t="shared" si="21"/>
        <v>프랑스</v>
      </c>
      <c r="BX33" s="87" t="str">
        <f t="shared" si="9"/>
        <v>PAS:CAC40</v>
      </c>
      <c r="BY33" s="81" t="str">
        <f t="shared" si="22"/>
        <v>프랑스</v>
      </c>
      <c r="BZ33" s="75" t="str">
        <f t="shared" si="23"/>
        <v>PAS:CAC40</v>
      </c>
      <c r="CA33" s="75">
        <v>25</v>
      </c>
      <c r="CB33" s="75">
        <f t="shared" si="10"/>
        <v>1</v>
      </c>
      <c r="CC33" s="88" t="str">
        <f t="shared" si="24"/>
        <v>프랑스</v>
      </c>
      <c r="CD33" s="89" t="str">
        <f t="shared" si="11"/>
        <v>PAS:CAC40</v>
      </c>
      <c r="CI33" s="91" t="s">
        <v>24</v>
      </c>
      <c r="CJ33" s="91" t="s">
        <v>48</v>
      </c>
      <c r="CK33" s="91" t="s">
        <v>89</v>
      </c>
      <c r="CL33" s="91" t="s">
        <v>98</v>
      </c>
      <c r="CM33" s="91"/>
      <c r="CN33" s="91"/>
      <c r="CO33" s="91"/>
      <c r="CP33" s="91"/>
      <c r="CQ33" s="91"/>
      <c r="CR33" s="91"/>
      <c r="CS33" s="91" t="s">
        <v>145</v>
      </c>
      <c r="CT33" s="91" t="s">
        <v>174</v>
      </c>
    </row>
    <row r="34" spans="2:98">
      <c r="B34" t="str">
        <f t="shared" si="0"/>
        <v>스페인</v>
      </c>
      <c r="C34" t="str">
        <f t="shared" si="12"/>
        <v>ESI:IBEX</v>
      </c>
      <c r="D34">
        <v>26</v>
      </c>
      <c r="E34">
        <f t="shared" si="1"/>
        <v>1</v>
      </c>
      <c r="F34" s="35" t="str">
        <f t="shared" si="13"/>
        <v>스페인</v>
      </c>
      <c r="G34" s="6" t="str">
        <f t="shared" si="14"/>
        <v>ESI:IBEX</v>
      </c>
      <c r="H34" s="5">
        <f ca="1">IF(LEN($G34)=3,_xll.IMDP("IDX",$G34,"현재가",$G$3),_xll.IMDP("FRN",$G34,"현재가",$G$3))</f>
        <v>9379.1</v>
      </c>
      <c r="I34" s="5">
        <f ca="1">IF(LEN($G34)=3,_xll.IMDP("IDX",$G34,"전일대비",$G$3),_xll.IMDP("FRN",$G34,"전일대비",$G$3))</f>
        <v>0</v>
      </c>
      <c r="J34" s="5">
        <f ca="1">IF(LEN($G34)=3,_xll.IMDP("IDX",$G34,"등락률",$G$3),_xll.IMDP("FRN",$G34,"등락률",$G$3))</f>
        <v>0</v>
      </c>
      <c r="K34" s="5" t="str">
        <f ca="1">IF(LEN($G34)=3,_xll.IMDP("IDX",$G34,"시간",$G$3),_xll.IMDP("FRN",$G34,"한국시간",$G$3))</f>
        <v xml:space="preserve">      </v>
      </c>
      <c r="L34" s="36" t="str">
        <f ca="1">IF(LEN($G34)=3,_xll.IMDP("IDX",$G34,"시간",$G$3),_xll.IMDP("FRN",$G34,"시간",$G$3))</f>
        <v xml:space="preserve">      </v>
      </c>
      <c r="N34" s="58">
        <f t="shared" si="25"/>
        <v>42747</v>
      </c>
      <c r="O34" s="21">
        <f t="shared" si="26"/>
        <v>2087.14</v>
      </c>
      <c r="P34" s="22"/>
      <c r="Q34" s="23">
        <f t="shared" si="27"/>
        <v>19954.28</v>
      </c>
      <c r="R34" s="22"/>
      <c r="S34" s="23"/>
      <c r="T34" s="24"/>
      <c r="U34" s="23">
        <f t="shared" si="28"/>
        <v>3119.29</v>
      </c>
      <c r="V34" s="51">
        <f t="shared" si="29"/>
        <v>63953.93</v>
      </c>
      <c r="W34" s="19"/>
      <c r="X34" s="20"/>
      <c r="AR34" s="67">
        <v>42713</v>
      </c>
      <c r="AS34" s="66">
        <v>2024.69</v>
      </c>
      <c r="AT34" s="66">
        <v>19549.62</v>
      </c>
      <c r="AU34" s="66">
        <v>3232.88</v>
      </c>
      <c r="AV34" s="66">
        <v>60500.62</v>
      </c>
      <c r="AX34" s="67">
        <v>42713</v>
      </c>
      <c r="AY34" s="68">
        <v>-0.31</v>
      </c>
      <c r="AZ34" s="68">
        <v>1.55</v>
      </c>
      <c r="BA34" s="66">
        <v>0.54</v>
      </c>
      <c r="BB34" s="68">
        <v>-0.28999999999999998</v>
      </c>
      <c r="BD34" s="68"/>
      <c r="BG34" s="74" t="str">
        <f t="shared" si="2"/>
        <v>스페인</v>
      </c>
      <c r="BH34" s="74" t="str">
        <f t="shared" si="3"/>
        <v>ESI:IBEX</v>
      </c>
      <c r="BI34" s="74">
        <v>26</v>
      </c>
      <c r="BJ34" s="74">
        <f t="shared" si="4"/>
        <v>1</v>
      </c>
      <c r="BK34" s="86" t="str">
        <f t="shared" si="15"/>
        <v>스페인</v>
      </c>
      <c r="BL34" s="87" t="str">
        <f t="shared" si="5"/>
        <v>ESI:IBEX</v>
      </c>
      <c r="BM34" s="75" t="str">
        <f t="shared" si="16"/>
        <v>스페인</v>
      </c>
      <c r="BN34" s="75" t="str">
        <f t="shared" si="17"/>
        <v>ESI:IBEX</v>
      </c>
      <c r="BO34" s="75">
        <v>26</v>
      </c>
      <c r="BP34" s="75">
        <f t="shared" si="6"/>
        <v>1</v>
      </c>
      <c r="BQ34" s="88" t="str">
        <f t="shared" si="18"/>
        <v>스페인</v>
      </c>
      <c r="BR34" s="89" t="str">
        <f t="shared" si="7"/>
        <v>ESI:IBEX</v>
      </c>
      <c r="BS34" s="74" t="str">
        <f t="shared" si="19"/>
        <v>스페인</v>
      </c>
      <c r="BT34" s="74" t="str">
        <f t="shared" si="20"/>
        <v>ESI:IBEX</v>
      </c>
      <c r="BU34" s="74">
        <v>26</v>
      </c>
      <c r="BV34" s="74">
        <f t="shared" si="8"/>
        <v>1</v>
      </c>
      <c r="BW34" s="86" t="str">
        <f t="shared" si="21"/>
        <v>스페인</v>
      </c>
      <c r="BX34" s="87" t="str">
        <f t="shared" si="9"/>
        <v>ESI:IBEX</v>
      </c>
      <c r="BY34" s="81" t="str">
        <f t="shared" si="22"/>
        <v>스페인</v>
      </c>
      <c r="BZ34" s="75" t="str">
        <f t="shared" si="23"/>
        <v>ESI:IBEX</v>
      </c>
      <c r="CA34" s="75">
        <v>26</v>
      </c>
      <c r="CB34" s="75">
        <f t="shared" si="10"/>
        <v>1</v>
      </c>
      <c r="CC34" s="88" t="str">
        <f t="shared" si="24"/>
        <v>스페인</v>
      </c>
      <c r="CD34" s="89" t="str">
        <f t="shared" si="11"/>
        <v>ESI:IBEX</v>
      </c>
      <c r="CI34" s="91" t="s">
        <v>25</v>
      </c>
      <c r="CJ34" s="91" t="s">
        <v>49</v>
      </c>
      <c r="CK34" s="91"/>
      <c r="CL34" s="91"/>
      <c r="CM34" s="91"/>
      <c r="CN34" s="91"/>
      <c r="CO34" s="91"/>
      <c r="CP34" s="91"/>
      <c r="CQ34" s="91"/>
      <c r="CR34" s="91"/>
      <c r="CS34" s="91" t="s">
        <v>146</v>
      </c>
      <c r="CT34" s="91" t="s">
        <v>175</v>
      </c>
    </row>
    <row r="35" spans="2:98">
      <c r="B35" t="str">
        <f t="shared" si="0"/>
        <v>그리스</v>
      </c>
      <c r="C35" t="str">
        <f t="shared" si="12"/>
        <v>GRI:ASE</v>
      </c>
      <c r="D35">
        <v>27</v>
      </c>
      <c r="E35">
        <f t="shared" si="1"/>
        <v>1</v>
      </c>
      <c r="F35" s="35" t="str">
        <f t="shared" si="13"/>
        <v>그리스</v>
      </c>
      <c r="G35" s="6" t="str">
        <f t="shared" si="14"/>
        <v>GRI:ASE</v>
      </c>
      <c r="H35" s="5">
        <f ca="1">IF(LEN($G35)=3,_xll.IMDP("IDX",$G35,"현재가",$G$3),_xll.IMDP("FRN",$G35,"현재가",$G$3))</f>
        <v>642.51</v>
      </c>
      <c r="I35" s="5">
        <f ca="1">IF(LEN($G35)=3,_xll.IMDP("IDX",$G35,"전일대비",$G$3),_xll.IMDP("FRN",$G35,"전일대비",$G$3))</f>
        <v>0</v>
      </c>
      <c r="J35" s="5">
        <f ca="1">IF(LEN($G35)=3,_xll.IMDP("IDX",$G35,"등락률",$G$3),_xll.IMDP("FRN",$G35,"등락률",$G$3))</f>
        <v>0</v>
      </c>
      <c r="K35" s="5" t="str">
        <f ca="1">IF(LEN($G35)=3,_xll.IMDP("IDX",$G35,"시간",$G$3),_xll.IMDP("FRN",$G35,"한국시간",$G$3))</f>
        <v xml:space="preserve">      </v>
      </c>
      <c r="L35" s="36" t="str">
        <f ca="1">IF(LEN($G35)=3,_xll.IMDP("IDX",$G35,"시간",$G$3),_xll.IMDP("FRN",$G35,"시간",$G$3))</f>
        <v xml:space="preserve">      </v>
      </c>
      <c r="N35" s="58">
        <f t="shared" si="25"/>
        <v>42746</v>
      </c>
      <c r="O35" s="21">
        <f t="shared" si="26"/>
        <v>2075.17</v>
      </c>
      <c r="P35" s="22"/>
      <c r="Q35" s="23">
        <f t="shared" si="27"/>
        <v>19855.53</v>
      </c>
      <c r="R35" s="22"/>
      <c r="S35" s="23"/>
      <c r="T35" s="24"/>
      <c r="U35" s="23">
        <f t="shared" si="28"/>
        <v>3136.75</v>
      </c>
      <c r="V35" s="51">
        <f t="shared" si="29"/>
        <v>62446.26</v>
      </c>
      <c r="W35" s="19"/>
      <c r="X35" s="20"/>
      <c r="AR35" s="67">
        <v>42712</v>
      </c>
      <c r="AS35" s="66">
        <v>2031.07</v>
      </c>
      <c r="AT35" s="66">
        <v>19251.78</v>
      </c>
      <c r="AU35" s="66">
        <v>3215.37</v>
      </c>
      <c r="AV35" s="66">
        <v>60676.57</v>
      </c>
      <c r="AX35" s="67">
        <v>42712</v>
      </c>
      <c r="AY35" s="68">
        <v>1.97</v>
      </c>
      <c r="AZ35" s="68">
        <v>0.18</v>
      </c>
      <c r="BA35" s="66">
        <v>-0.21</v>
      </c>
      <c r="BB35" s="68">
        <v>-1.2</v>
      </c>
      <c r="BD35" s="68"/>
      <c r="BG35" s="74" t="str">
        <f t="shared" si="2"/>
        <v>그리스</v>
      </c>
      <c r="BH35" s="74" t="str">
        <f t="shared" si="3"/>
        <v>GRI:ASE</v>
      </c>
      <c r="BI35" s="74">
        <v>27</v>
      </c>
      <c r="BJ35" s="74">
        <f t="shared" si="4"/>
        <v>1</v>
      </c>
      <c r="BK35" s="86" t="str">
        <f t="shared" si="15"/>
        <v>그리스</v>
      </c>
      <c r="BL35" s="87" t="str">
        <f t="shared" si="5"/>
        <v>GRI:ASE</v>
      </c>
      <c r="BM35" s="75" t="str">
        <f t="shared" si="16"/>
        <v>그리스</v>
      </c>
      <c r="BN35" s="75" t="str">
        <f t="shared" si="17"/>
        <v>GRI:ASE</v>
      </c>
      <c r="BO35" s="75">
        <v>27</v>
      </c>
      <c r="BP35" s="75">
        <f t="shared" si="6"/>
        <v>1</v>
      </c>
      <c r="BQ35" s="88" t="str">
        <f t="shared" si="18"/>
        <v>그리스</v>
      </c>
      <c r="BR35" s="89" t="str">
        <f t="shared" si="7"/>
        <v>GRI:ASE</v>
      </c>
      <c r="BS35" s="74" t="str">
        <f t="shared" si="19"/>
        <v>그리스</v>
      </c>
      <c r="BT35" s="74" t="str">
        <f t="shared" si="20"/>
        <v>GRI:ASE</v>
      </c>
      <c r="BU35" s="74">
        <v>27</v>
      </c>
      <c r="BV35" s="74">
        <f t="shared" si="8"/>
        <v>1</v>
      </c>
      <c r="BW35" s="86" t="str">
        <f t="shared" si="21"/>
        <v>그리스</v>
      </c>
      <c r="BX35" s="87" t="str">
        <f t="shared" si="9"/>
        <v>GRI:ASE</v>
      </c>
      <c r="BY35" s="81" t="str">
        <f t="shared" si="22"/>
        <v>그리스</v>
      </c>
      <c r="BZ35" s="75" t="str">
        <f t="shared" si="23"/>
        <v>GRI:ASE</v>
      </c>
      <c r="CA35" s="75">
        <v>27</v>
      </c>
      <c r="CB35" s="75">
        <f t="shared" si="10"/>
        <v>1</v>
      </c>
      <c r="CC35" s="88" t="str">
        <f t="shared" si="24"/>
        <v>그리스</v>
      </c>
      <c r="CD35" s="89" t="str">
        <f t="shared" si="11"/>
        <v>GRI:ASE</v>
      </c>
      <c r="CI35" s="91" t="s">
        <v>26</v>
      </c>
      <c r="CJ35" s="91" t="s">
        <v>50</v>
      </c>
      <c r="CK35" s="91"/>
      <c r="CL35" s="91"/>
      <c r="CM35" s="91"/>
      <c r="CN35" s="91"/>
      <c r="CO35" s="91"/>
      <c r="CP35" s="91"/>
      <c r="CQ35" s="91"/>
      <c r="CR35" s="91"/>
      <c r="CS35" s="91" t="s">
        <v>111</v>
      </c>
      <c r="CT35" s="91" t="s">
        <v>176</v>
      </c>
    </row>
    <row r="36" spans="2:98">
      <c r="B36" t="str">
        <f t="shared" si="0"/>
        <v>포르투갈</v>
      </c>
      <c r="C36" t="str">
        <f t="shared" si="12"/>
        <v>PTI:PSI20</v>
      </c>
      <c r="D36">
        <v>28</v>
      </c>
      <c r="E36">
        <f t="shared" si="1"/>
        <v>1</v>
      </c>
      <c r="F36" s="35" t="str">
        <f t="shared" si="13"/>
        <v>포르투갈</v>
      </c>
      <c r="G36" s="6" t="str">
        <f t="shared" si="14"/>
        <v>PTI:PSI20</v>
      </c>
      <c r="H36" s="5">
        <f ca="1">IF(LEN($G36)=3,_xll.IMDP("IDX",$G36,"현재가",$G$3),_xll.IMDP("FRN",$G36,"현재가",$G$3))</f>
        <v>4580.68</v>
      </c>
      <c r="I36" s="5">
        <f ca="1">IF(LEN($G36)=3,_xll.IMDP("IDX",$G36,"전일대비",$G$3),_xll.IMDP("FRN",$G36,"전일대비",$G$3))</f>
        <v>0</v>
      </c>
      <c r="J36" s="5">
        <f ca="1">IF(LEN($G36)=3,_xll.IMDP("IDX",$G36,"등락률",$G$3),_xll.IMDP("FRN",$G36,"등락률",$G$3))</f>
        <v>0</v>
      </c>
      <c r="K36" s="5" t="str">
        <f ca="1">IF(LEN($G36)=3,_xll.IMDP("IDX",$G36,"시간",$G$3),_xll.IMDP("FRN",$G36,"한국시간",$G$3))</f>
        <v xml:space="preserve">      </v>
      </c>
      <c r="L36" s="36" t="str">
        <f ca="1">IF(LEN($G36)=3,_xll.IMDP("IDX",$G36,"시간",$G$3),_xll.IMDP("FRN",$G36,"시간",$G$3))</f>
        <v xml:space="preserve">      </v>
      </c>
      <c r="N36" s="58">
        <f t="shared" si="25"/>
        <v>42745</v>
      </c>
      <c r="O36" s="21">
        <f t="shared" si="26"/>
        <v>2045.12</v>
      </c>
      <c r="P36" s="22"/>
      <c r="Q36" s="23">
        <f t="shared" si="27"/>
        <v>19887.38</v>
      </c>
      <c r="R36" s="22"/>
      <c r="S36" s="23"/>
      <c r="T36" s="24"/>
      <c r="U36" s="23">
        <f t="shared" si="28"/>
        <v>3161.67</v>
      </c>
      <c r="V36" s="51">
        <f t="shared" si="29"/>
        <v>62131.8</v>
      </c>
      <c r="W36" s="19"/>
      <c r="X36" s="20"/>
      <c r="AR36" s="67">
        <v>42711</v>
      </c>
      <c r="AS36" s="66">
        <v>1991.89</v>
      </c>
      <c r="AT36" s="66">
        <v>19216.240000000002</v>
      </c>
      <c r="AU36" s="66">
        <v>3222.24</v>
      </c>
      <c r="AV36" s="66">
        <v>61414.400000000001</v>
      </c>
      <c r="AX36" s="67">
        <v>42711</v>
      </c>
      <c r="AY36" s="68">
        <v>0.1</v>
      </c>
      <c r="AZ36" s="68">
        <v>0.24</v>
      </c>
      <c r="BA36" s="66">
        <v>0.71</v>
      </c>
      <c r="BB36" s="68">
        <v>0.53</v>
      </c>
      <c r="BD36" s="68"/>
      <c r="BG36" s="74" t="str">
        <f t="shared" si="2"/>
        <v>포르투갈</v>
      </c>
      <c r="BH36" s="74" t="str">
        <f t="shared" si="3"/>
        <v>PTI:PSI20</v>
      </c>
      <c r="BI36" s="74">
        <v>28</v>
      </c>
      <c r="BJ36" s="74">
        <f t="shared" si="4"/>
        <v>1</v>
      </c>
      <c r="BK36" s="86" t="str">
        <f t="shared" si="15"/>
        <v>포르투갈</v>
      </c>
      <c r="BL36" s="87" t="str">
        <f t="shared" si="5"/>
        <v>PTI:PSI20</v>
      </c>
      <c r="BM36" s="75" t="str">
        <f t="shared" si="16"/>
        <v>포르투갈</v>
      </c>
      <c r="BN36" s="75" t="str">
        <f t="shared" si="17"/>
        <v>PTI:PSI20</v>
      </c>
      <c r="BO36" s="75">
        <v>28</v>
      </c>
      <c r="BP36" s="75">
        <f t="shared" si="6"/>
        <v>1</v>
      </c>
      <c r="BQ36" s="88" t="str">
        <f t="shared" si="18"/>
        <v>포르투갈</v>
      </c>
      <c r="BR36" s="89" t="str">
        <f t="shared" si="7"/>
        <v>PTI:PSI20</v>
      </c>
      <c r="BS36" s="74" t="str">
        <f t="shared" si="19"/>
        <v>포르투갈</v>
      </c>
      <c r="BT36" s="74" t="str">
        <f t="shared" si="20"/>
        <v>PTI:PSI20</v>
      </c>
      <c r="BU36" s="74">
        <v>28</v>
      </c>
      <c r="BV36" s="74">
        <f t="shared" si="8"/>
        <v>1</v>
      </c>
      <c r="BW36" s="86" t="str">
        <f t="shared" si="21"/>
        <v>포르투갈</v>
      </c>
      <c r="BX36" s="87" t="str">
        <f t="shared" si="9"/>
        <v>PTI:PSI20</v>
      </c>
      <c r="BY36" s="81" t="str">
        <f t="shared" si="22"/>
        <v>포르투갈</v>
      </c>
      <c r="BZ36" s="75" t="str">
        <f t="shared" si="23"/>
        <v>PTI:PSI20</v>
      </c>
      <c r="CA36" s="75">
        <v>28</v>
      </c>
      <c r="CB36" s="75">
        <f t="shared" si="10"/>
        <v>1</v>
      </c>
      <c r="CC36" s="88" t="str">
        <f t="shared" si="24"/>
        <v>포르투갈</v>
      </c>
      <c r="CD36" s="89" t="str">
        <f t="shared" si="11"/>
        <v>PTI:PSI20</v>
      </c>
      <c r="CI36" s="91" t="s">
        <v>27</v>
      </c>
      <c r="CJ36" s="91" t="s">
        <v>51</v>
      </c>
      <c r="CK36" s="91"/>
      <c r="CL36" s="91"/>
      <c r="CM36" s="91"/>
      <c r="CN36" s="91"/>
      <c r="CO36" s="91"/>
      <c r="CP36" s="91"/>
      <c r="CQ36" s="91"/>
      <c r="CR36" s="91"/>
      <c r="CS36" s="91" t="s">
        <v>147</v>
      </c>
      <c r="CT36" s="91" t="s">
        <v>177</v>
      </c>
    </row>
    <row r="37" spans="2:98">
      <c r="B37" t="str">
        <f t="shared" si="0"/>
        <v>스위스</v>
      </c>
      <c r="C37" t="str">
        <f t="shared" si="12"/>
        <v>CHI:SSMI</v>
      </c>
      <c r="D37">
        <v>29</v>
      </c>
      <c r="E37">
        <f t="shared" si="1"/>
        <v>1</v>
      </c>
      <c r="F37" s="35" t="str">
        <f t="shared" si="13"/>
        <v>스위스</v>
      </c>
      <c r="G37" s="6" t="str">
        <f t="shared" si="14"/>
        <v>CHI:SSMI</v>
      </c>
      <c r="H37" s="5">
        <f ca="1">IF(LEN($G37)=3,_xll.IMDP("IDX",$G37,"현재가",$G$3),_xll.IMDP("FRN",$G37,"현재가",$G$3))</f>
        <v>8273.08</v>
      </c>
      <c r="I37" s="5">
        <f ca="1">IF(LEN($G37)=3,_xll.IMDP("IDX",$G37,"전일대비",$G$3),_xll.IMDP("FRN",$G37,"전일대비",$G$3))</f>
        <v>0</v>
      </c>
      <c r="J37" s="5">
        <f ca="1">IF(LEN($G37)=3,_xll.IMDP("IDX",$G37,"등락률",$G$3),_xll.IMDP("FRN",$G37,"등락률",$G$3))</f>
        <v>0</v>
      </c>
      <c r="K37" s="5" t="str">
        <f ca="1">IF(LEN($G37)=3,_xll.IMDP("IDX",$G37,"시간",$G$3),_xll.IMDP("FRN",$G37,"한국시간",$G$3))</f>
        <v xml:space="preserve">      </v>
      </c>
      <c r="L37" s="36" t="str">
        <f ca="1">IF(LEN($G37)=3,_xll.IMDP("IDX",$G37,"시간",$G$3),_xll.IMDP("FRN",$G37,"시간",$G$3))</f>
        <v xml:space="preserve">      </v>
      </c>
      <c r="N37" s="58">
        <f t="shared" si="25"/>
        <v>42744</v>
      </c>
      <c r="O37" s="21">
        <f t="shared" si="26"/>
        <v>2048.7800000000002</v>
      </c>
      <c r="P37" s="22"/>
      <c r="Q37" s="23">
        <f t="shared" si="27"/>
        <v>19963.8</v>
      </c>
      <c r="R37" s="22"/>
      <c r="S37" s="23"/>
      <c r="T37" s="24"/>
      <c r="U37" s="23">
        <f t="shared" si="28"/>
        <v>3171.24</v>
      </c>
      <c r="V37" s="51">
        <f t="shared" si="29"/>
        <v>61700.29</v>
      </c>
      <c r="W37" s="19"/>
      <c r="X37" s="20"/>
      <c r="AR37" s="67">
        <v>42710</v>
      </c>
      <c r="AS37" s="66">
        <v>1989.86</v>
      </c>
      <c r="AT37" s="66">
        <v>19170.419999999998</v>
      </c>
      <c r="AU37" s="66">
        <v>3199.65</v>
      </c>
      <c r="AV37" s="66">
        <v>61088.25</v>
      </c>
      <c r="AX37" s="67">
        <v>42710</v>
      </c>
      <c r="AY37" s="68">
        <v>1.35</v>
      </c>
      <c r="AZ37" s="68">
        <v>-0.11</v>
      </c>
      <c r="BA37" s="66">
        <v>-0.16</v>
      </c>
      <c r="BB37" s="68">
        <v>2.1</v>
      </c>
      <c r="BD37" s="68"/>
      <c r="BG37" s="74" t="str">
        <f t="shared" si="2"/>
        <v>스위스</v>
      </c>
      <c r="BH37" s="74" t="str">
        <f t="shared" si="3"/>
        <v>CHI:SSMI</v>
      </c>
      <c r="BI37" s="74">
        <v>29</v>
      </c>
      <c r="BJ37" s="74">
        <f t="shared" si="4"/>
        <v>1</v>
      </c>
      <c r="BK37" s="86" t="str">
        <f t="shared" si="15"/>
        <v>스위스</v>
      </c>
      <c r="BL37" s="87" t="str">
        <f t="shared" si="5"/>
        <v>CHI:SSMI</v>
      </c>
      <c r="BM37" s="75" t="str">
        <f t="shared" si="16"/>
        <v>스위스</v>
      </c>
      <c r="BN37" s="75" t="str">
        <f t="shared" si="17"/>
        <v>CHI:SSMI</v>
      </c>
      <c r="BO37" s="75">
        <v>29</v>
      </c>
      <c r="BP37" s="75">
        <f t="shared" si="6"/>
        <v>1</v>
      </c>
      <c r="BQ37" s="88" t="str">
        <f t="shared" si="18"/>
        <v>스위스</v>
      </c>
      <c r="BR37" s="89" t="str">
        <f t="shared" si="7"/>
        <v>CHI:SSMI</v>
      </c>
      <c r="BS37" s="74" t="str">
        <f t="shared" si="19"/>
        <v>스위스</v>
      </c>
      <c r="BT37" s="74" t="str">
        <f t="shared" si="20"/>
        <v>CHI:SSMI</v>
      </c>
      <c r="BU37" s="74">
        <v>29</v>
      </c>
      <c r="BV37" s="74">
        <f t="shared" si="8"/>
        <v>1</v>
      </c>
      <c r="BW37" s="86" t="str">
        <f t="shared" si="21"/>
        <v>스위스</v>
      </c>
      <c r="BX37" s="87" t="str">
        <f t="shared" si="9"/>
        <v>CHI:SSMI</v>
      </c>
      <c r="BY37" s="81" t="str">
        <f t="shared" si="22"/>
        <v>스위스</v>
      </c>
      <c r="BZ37" s="75" t="str">
        <f t="shared" si="23"/>
        <v>CHI:SSMI</v>
      </c>
      <c r="CA37" s="75">
        <v>29</v>
      </c>
      <c r="CB37" s="75">
        <f t="shared" si="10"/>
        <v>1</v>
      </c>
      <c r="CC37" s="88" t="str">
        <f t="shared" si="24"/>
        <v>스위스</v>
      </c>
      <c r="CD37" s="89" t="str">
        <f t="shared" si="11"/>
        <v>CHI:SSMI</v>
      </c>
      <c r="CI37" s="91" t="s">
        <v>28</v>
      </c>
      <c r="CJ37" s="91" t="s">
        <v>52</v>
      </c>
      <c r="CK37" s="91"/>
      <c r="CL37" s="91"/>
      <c r="CM37" s="91"/>
      <c r="CN37" s="91"/>
      <c r="CO37" s="91"/>
      <c r="CP37" s="91"/>
      <c r="CQ37" s="91"/>
      <c r="CR37" s="91"/>
      <c r="CS37" s="91" t="s">
        <v>30</v>
      </c>
      <c r="CT37" s="91" t="s">
        <v>178</v>
      </c>
    </row>
    <row r="38" spans="2:98">
      <c r="B38" t="str">
        <f t="shared" si="0"/>
        <v>덴마크</v>
      </c>
      <c r="C38" t="str">
        <f t="shared" si="12"/>
        <v>DKI:KFX</v>
      </c>
      <c r="D38">
        <v>30</v>
      </c>
      <c r="E38">
        <f t="shared" si="1"/>
        <v>1</v>
      </c>
      <c r="F38" s="35" t="str">
        <f t="shared" si="13"/>
        <v>덴마크</v>
      </c>
      <c r="G38" s="6" t="str">
        <f t="shared" si="14"/>
        <v>DKI:KFX</v>
      </c>
      <c r="H38" s="5">
        <f ca="1">IF(LEN($G38)=3,_xll.IMDP("IDX",$G38,"현재가",$G$3),_xll.IMDP("FRN",$G38,"현재가",$G$3))</f>
        <v>892.89</v>
      </c>
      <c r="I38" s="5">
        <f ca="1">IF(LEN($G38)=3,_xll.IMDP("IDX",$G38,"전일대비",$G$3),_xll.IMDP("FRN",$G38,"전일대비",$G$3))</f>
        <v>0</v>
      </c>
      <c r="J38" s="5">
        <f ca="1">IF(LEN($G38)=3,_xll.IMDP("IDX",$G38,"등락률",$G$3),_xll.IMDP("FRN",$G38,"등락률",$G$3))</f>
        <v>0</v>
      </c>
      <c r="K38" s="5" t="str">
        <f ca="1">IF(LEN($G38)=3,_xll.IMDP("IDX",$G38,"시간",$G$3),_xll.IMDP("FRN",$G38,"한국시간",$G$3))</f>
        <v xml:space="preserve">      </v>
      </c>
      <c r="L38" s="36" t="str">
        <f ca="1">IF(LEN($G38)=3,_xll.IMDP("IDX",$G38,"시간",$G$3),_xll.IMDP("FRN",$G38,"시간",$G$3))</f>
        <v xml:space="preserve">      </v>
      </c>
      <c r="N38" s="58">
        <f t="shared" si="25"/>
        <v>42741</v>
      </c>
      <c r="O38" s="21">
        <f t="shared" si="26"/>
        <v>2049.12</v>
      </c>
      <c r="P38" s="22"/>
      <c r="Q38" s="23">
        <f t="shared" si="27"/>
        <v>19899.29</v>
      </c>
      <c r="R38" s="22"/>
      <c r="S38" s="23"/>
      <c r="T38" s="24"/>
      <c r="U38" s="23">
        <f t="shared" si="28"/>
        <v>3154.32</v>
      </c>
      <c r="V38" s="51">
        <f t="shared" si="29"/>
        <v>61665.37</v>
      </c>
      <c r="W38" s="19"/>
      <c r="X38" s="20"/>
      <c r="AR38" s="67">
        <v>42709</v>
      </c>
      <c r="AS38" s="66">
        <v>1963.36</v>
      </c>
      <c r="AT38" s="66">
        <v>19191.93</v>
      </c>
      <c r="AU38" s="66">
        <v>3204.71</v>
      </c>
      <c r="AV38" s="66">
        <v>59831.73</v>
      </c>
      <c r="AX38" s="67">
        <v>42709</v>
      </c>
      <c r="AY38" s="68">
        <v>-0.37</v>
      </c>
      <c r="AZ38" s="68">
        <v>0.36</v>
      </c>
      <c r="BA38" s="66">
        <v>-1.21</v>
      </c>
      <c r="BB38" s="68">
        <v>-0.8</v>
      </c>
      <c r="BD38" s="68"/>
      <c r="BG38" s="74" t="str">
        <f t="shared" si="2"/>
        <v>덴마크</v>
      </c>
      <c r="BH38" s="74" t="str">
        <f t="shared" si="3"/>
        <v>DKI:KFX</v>
      </c>
      <c r="BI38" s="74">
        <v>30</v>
      </c>
      <c r="BJ38" s="74">
        <f t="shared" si="4"/>
        <v>1</v>
      </c>
      <c r="BK38" s="86" t="str">
        <f t="shared" si="15"/>
        <v>덴마크</v>
      </c>
      <c r="BL38" s="87" t="str">
        <f t="shared" si="5"/>
        <v>DKI:KFX</v>
      </c>
      <c r="BM38" s="75" t="str">
        <f t="shared" si="16"/>
        <v>덴마크</v>
      </c>
      <c r="BN38" s="75" t="str">
        <f t="shared" si="17"/>
        <v>DKI:KFX</v>
      </c>
      <c r="BO38" s="75">
        <v>30</v>
      </c>
      <c r="BP38" s="75">
        <f t="shared" si="6"/>
        <v>1</v>
      </c>
      <c r="BQ38" s="88" t="str">
        <f t="shared" si="18"/>
        <v>덴마크</v>
      </c>
      <c r="BR38" s="89" t="str">
        <f t="shared" si="7"/>
        <v>DKI:KFX</v>
      </c>
      <c r="BS38" s="74" t="str">
        <f t="shared" si="19"/>
        <v>덴마크</v>
      </c>
      <c r="BT38" s="74" t="str">
        <f t="shared" si="20"/>
        <v>DKI:KFX</v>
      </c>
      <c r="BU38" s="74">
        <v>30</v>
      </c>
      <c r="BV38" s="74">
        <f t="shared" si="8"/>
        <v>1</v>
      </c>
      <c r="BW38" s="86" t="str">
        <f t="shared" si="21"/>
        <v>덴마크</v>
      </c>
      <c r="BX38" s="87" t="str">
        <f t="shared" si="9"/>
        <v>DKI:KFX</v>
      </c>
      <c r="BY38" s="81" t="str">
        <f t="shared" si="22"/>
        <v>덴마크</v>
      </c>
      <c r="BZ38" s="75" t="str">
        <f t="shared" si="23"/>
        <v>DKI:KFX</v>
      </c>
      <c r="CA38" s="75">
        <v>30</v>
      </c>
      <c r="CB38" s="75">
        <f t="shared" si="10"/>
        <v>1</v>
      </c>
      <c r="CC38" s="88" t="str">
        <f t="shared" si="24"/>
        <v>덴마크</v>
      </c>
      <c r="CD38" s="89" t="str">
        <f t="shared" si="11"/>
        <v>DKI:KFX</v>
      </c>
      <c r="CI38" s="91" t="s">
        <v>29</v>
      </c>
      <c r="CJ38" s="91" t="s">
        <v>53</v>
      </c>
      <c r="CK38" s="91"/>
      <c r="CL38" s="91"/>
      <c r="CM38" s="91"/>
      <c r="CN38" s="91"/>
      <c r="CO38" s="91"/>
      <c r="CP38" s="91"/>
      <c r="CQ38" s="91"/>
      <c r="CR38" s="91"/>
      <c r="CS38" s="91" t="s">
        <v>7</v>
      </c>
      <c r="CT38" s="91" t="s">
        <v>179</v>
      </c>
    </row>
    <row r="39" spans="2:98">
      <c r="B39" t="str">
        <f t="shared" si="0"/>
        <v>노르웨이</v>
      </c>
      <c r="C39" t="str">
        <f t="shared" si="12"/>
        <v>NOI:OSEAX</v>
      </c>
      <c r="D39">
        <v>31</v>
      </c>
      <c r="E39">
        <f t="shared" si="1"/>
        <v>1</v>
      </c>
      <c r="F39" s="35" t="str">
        <f t="shared" si="13"/>
        <v>노르웨이</v>
      </c>
      <c r="G39" s="6" t="str">
        <f t="shared" si="14"/>
        <v>NOI:OSEAX</v>
      </c>
      <c r="H39" s="5">
        <f ca="1">IF(LEN($G39)=3,_xll.IMDP("IDX",$G39,"현재가",$G$3),_xll.IMDP("FRN",$G39,"현재가",$G$3))</f>
        <v>778.86</v>
      </c>
      <c r="I39" s="5">
        <f ca="1">IF(LEN($G39)=3,_xll.IMDP("IDX",$G39,"전일대비",$G$3),_xll.IMDP("FRN",$G39,"전일대비",$G$3))</f>
        <v>0</v>
      </c>
      <c r="J39" s="5">
        <f ca="1">IF(LEN($G39)=3,_xll.IMDP("IDX",$G39,"등락률",$G$3),_xll.IMDP("FRN",$G39,"등락률",$G$3))</f>
        <v>0</v>
      </c>
      <c r="K39" s="5" t="str">
        <f ca="1">IF(LEN($G39)=3,_xll.IMDP("IDX",$G39,"시간",$G$3),_xll.IMDP("FRN",$G39,"한국시간",$G$3))</f>
        <v xml:space="preserve">      </v>
      </c>
      <c r="L39" s="36" t="str">
        <f ca="1">IF(LEN($G39)=3,_xll.IMDP("IDX",$G39,"시간",$G$3),_xll.IMDP("FRN",$G39,"시간",$G$3))</f>
        <v xml:space="preserve">      </v>
      </c>
      <c r="N39" s="58">
        <f t="shared" si="25"/>
        <v>42740</v>
      </c>
      <c r="O39" s="21">
        <f t="shared" si="26"/>
        <v>2041.95</v>
      </c>
      <c r="P39" s="22"/>
      <c r="Q39" s="23">
        <f t="shared" si="27"/>
        <v>19942.16</v>
      </c>
      <c r="R39" s="22"/>
      <c r="S39" s="23"/>
      <c r="T39" s="24"/>
      <c r="U39" s="23">
        <f t="shared" si="28"/>
        <v>3165.41</v>
      </c>
      <c r="V39" s="51">
        <f t="shared" si="29"/>
        <v>62070.98</v>
      </c>
      <c r="W39" s="19"/>
      <c r="X39" s="20"/>
      <c r="AR39" s="67">
        <v>42706</v>
      </c>
      <c r="AS39" s="66">
        <v>1970.61</v>
      </c>
      <c r="AT39" s="66">
        <v>19123.580000000002</v>
      </c>
      <c r="AU39" s="66">
        <v>3243.84</v>
      </c>
      <c r="AV39" s="66">
        <v>60316.13</v>
      </c>
      <c r="AX39" s="67">
        <v>42706</v>
      </c>
      <c r="AY39" s="68">
        <v>-0.66</v>
      </c>
      <c r="AZ39" s="68">
        <v>0.01</v>
      </c>
      <c r="BA39" s="66">
        <v>-0.9</v>
      </c>
      <c r="BB39" s="68">
        <v>1.36</v>
      </c>
      <c r="BD39" s="68"/>
      <c r="BG39" s="74" t="str">
        <f t="shared" si="2"/>
        <v>노르웨이</v>
      </c>
      <c r="BH39" s="74" t="str">
        <f t="shared" si="3"/>
        <v>NOI:OSEAX</v>
      </c>
      <c r="BI39" s="74">
        <v>31</v>
      </c>
      <c r="BJ39" s="74">
        <f t="shared" si="4"/>
        <v>1</v>
      </c>
      <c r="BK39" s="86" t="str">
        <f t="shared" si="15"/>
        <v>노르웨이</v>
      </c>
      <c r="BL39" s="87" t="str">
        <f t="shared" si="5"/>
        <v>NOI:OSEAX</v>
      </c>
      <c r="BM39" s="75" t="str">
        <f t="shared" si="16"/>
        <v>노르웨이</v>
      </c>
      <c r="BN39" s="75" t="str">
        <f t="shared" si="17"/>
        <v>NOI:OSEAX</v>
      </c>
      <c r="BO39" s="75">
        <v>31</v>
      </c>
      <c r="BP39" s="75">
        <f t="shared" si="6"/>
        <v>1</v>
      </c>
      <c r="BQ39" s="88" t="str">
        <f t="shared" si="18"/>
        <v>노르웨이</v>
      </c>
      <c r="BR39" s="89" t="str">
        <f t="shared" si="7"/>
        <v>NOI:OSEAX</v>
      </c>
      <c r="BS39" s="74" t="str">
        <f t="shared" si="19"/>
        <v>노르웨이</v>
      </c>
      <c r="BT39" s="74" t="str">
        <f t="shared" si="20"/>
        <v>NOI:OSEAX</v>
      </c>
      <c r="BU39" s="74">
        <v>31</v>
      </c>
      <c r="BV39" s="74">
        <f t="shared" si="8"/>
        <v>1</v>
      </c>
      <c r="BW39" s="86" t="str">
        <f t="shared" si="21"/>
        <v>노르웨이</v>
      </c>
      <c r="BX39" s="87" t="str">
        <f t="shared" si="9"/>
        <v>NOI:OSEAX</v>
      </c>
      <c r="BY39" s="81" t="str">
        <f t="shared" si="22"/>
        <v>노르웨이</v>
      </c>
      <c r="BZ39" s="75" t="str">
        <f t="shared" si="23"/>
        <v>NOI:OSEAX</v>
      </c>
      <c r="CA39" s="75">
        <v>31</v>
      </c>
      <c r="CB39" s="75">
        <f t="shared" si="10"/>
        <v>1</v>
      </c>
      <c r="CC39" s="88" t="str">
        <f t="shared" si="24"/>
        <v>노르웨이</v>
      </c>
      <c r="CD39" s="89" t="str">
        <f t="shared" si="11"/>
        <v>NOI:OSEAX</v>
      </c>
      <c r="CI39" s="91" t="s">
        <v>30</v>
      </c>
      <c r="CJ39" s="91" t="s">
        <v>54</v>
      </c>
      <c r="CK39" s="91"/>
      <c r="CL39" s="91"/>
      <c r="CM39" s="91"/>
      <c r="CN39" s="91"/>
      <c r="CO39" s="91"/>
      <c r="CP39" s="91"/>
      <c r="CQ39" s="91"/>
      <c r="CR39" s="91"/>
      <c r="CS39" s="91" t="s">
        <v>2</v>
      </c>
      <c r="CT39" s="91" t="s">
        <v>180</v>
      </c>
    </row>
    <row r="40" spans="2:98">
      <c r="B40" t="str">
        <f t="shared" si="0"/>
        <v>벨기에</v>
      </c>
      <c r="C40" t="str">
        <f t="shared" si="12"/>
        <v>BEI:MFX</v>
      </c>
      <c r="D40">
        <v>32</v>
      </c>
      <c r="E40">
        <f t="shared" si="1"/>
        <v>1</v>
      </c>
      <c r="F40" s="35" t="str">
        <f t="shared" si="13"/>
        <v>벨기에</v>
      </c>
      <c r="G40" s="6" t="str">
        <f t="shared" si="14"/>
        <v>BEI:MFX</v>
      </c>
      <c r="H40" s="5">
        <f ca="1">IF(LEN($G40)=3,_xll.IMDP("IDX",$G40,"현재가",$G$3),_xll.IMDP("FRN",$G40,"현재가",$G$3))</f>
        <v>3593.97</v>
      </c>
      <c r="I40" s="5">
        <f ca="1">IF(LEN($G40)=3,_xll.IMDP("IDX",$G40,"전일대비",$G$3),_xll.IMDP("FRN",$G40,"전일대비",$G$3))</f>
        <v>0</v>
      </c>
      <c r="J40" s="5">
        <f ca="1">IF(LEN($G40)=3,_xll.IMDP("IDX",$G40,"등락률",$G$3),_xll.IMDP("FRN",$G40,"등락률",$G$3))</f>
        <v>0</v>
      </c>
      <c r="K40" s="5" t="str">
        <f ca="1">IF(LEN($G40)=3,_xll.IMDP("IDX",$G40,"시간",$G$3),_xll.IMDP("FRN",$G40,"한국시간",$G$3))</f>
        <v xml:space="preserve">      </v>
      </c>
      <c r="L40" s="36" t="str">
        <f ca="1">IF(LEN($G40)=3,_xll.IMDP("IDX",$G40,"시간",$G$3),_xll.IMDP("FRN",$G40,"시간",$G$3))</f>
        <v xml:space="preserve">      </v>
      </c>
      <c r="N40" s="58">
        <f t="shared" si="25"/>
        <v>42739</v>
      </c>
      <c r="O40" s="21">
        <f t="shared" si="26"/>
        <v>2045.64</v>
      </c>
      <c r="P40" s="22"/>
      <c r="Q40" s="23">
        <f t="shared" si="27"/>
        <v>19881.759999999998</v>
      </c>
      <c r="R40" s="22"/>
      <c r="S40" s="23"/>
      <c r="T40" s="24"/>
      <c r="U40" s="23">
        <f t="shared" si="28"/>
        <v>3158.79</v>
      </c>
      <c r="V40" s="51">
        <f t="shared" si="29"/>
        <v>61589.06</v>
      </c>
      <c r="W40" s="19"/>
      <c r="X40" s="20"/>
      <c r="AR40" s="67">
        <v>42705</v>
      </c>
      <c r="AS40" s="66">
        <v>1983.75</v>
      </c>
      <c r="AT40" s="66">
        <v>19121.599999999999</v>
      </c>
      <c r="AU40" s="66">
        <v>3273.31</v>
      </c>
      <c r="AV40" s="66">
        <v>59506.54</v>
      </c>
      <c r="AX40" s="67">
        <v>42705</v>
      </c>
      <c r="AY40" s="68">
        <v>0.01</v>
      </c>
      <c r="AZ40" s="68">
        <v>0.12</v>
      </c>
      <c r="BA40" s="66">
        <v>0.72</v>
      </c>
      <c r="BB40" s="68">
        <v>-3.88</v>
      </c>
      <c r="BD40" s="68"/>
      <c r="BG40" s="74" t="str">
        <f t="shared" si="2"/>
        <v>벨기에</v>
      </c>
      <c r="BH40" s="74" t="str">
        <f t="shared" si="3"/>
        <v>BEI:MFX</v>
      </c>
      <c r="BI40" s="74">
        <v>32</v>
      </c>
      <c r="BJ40" s="74">
        <f t="shared" si="4"/>
        <v>1</v>
      </c>
      <c r="BK40" s="86" t="str">
        <f t="shared" si="15"/>
        <v>벨기에</v>
      </c>
      <c r="BL40" s="87" t="str">
        <f t="shared" si="5"/>
        <v>BEI:MFX</v>
      </c>
      <c r="BM40" s="75" t="str">
        <f t="shared" si="16"/>
        <v>벨기에</v>
      </c>
      <c r="BN40" s="75" t="str">
        <f t="shared" si="17"/>
        <v>BEI:MFX</v>
      </c>
      <c r="BO40" s="75">
        <v>32</v>
      </c>
      <c r="BP40" s="75">
        <f t="shared" si="6"/>
        <v>1</v>
      </c>
      <c r="BQ40" s="88" t="str">
        <f t="shared" si="18"/>
        <v>벨기에</v>
      </c>
      <c r="BR40" s="89" t="str">
        <f t="shared" si="7"/>
        <v>BEI:MFX</v>
      </c>
      <c r="BS40" s="74" t="str">
        <f t="shared" si="19"/>
        <v>벨기에</v>
      </c>
      <c r="BT40" s="74" t="str">
        <f t="shared" si="20"/>
        <v>BEI:MFX</v>
      </c>
      <c r="BU40" s="74">
        <v>32</v>
      </c>
      <c r="BV40" s="74">
        <f t="shared" si="8"/>
        <v>1</v>
      </c>
      <c r="BW40" s="86" t="str">
        <f t="shared" si="21"/>
        <v>벨기에</v>
      </c>
      <c r="BX40" s="87" t="str">
        <f t="shared" si="9"/>
        <v>BEI:MFX</v>
      </c>
      <c r="BY40" s="81" t="str">
        <f t="shared" si="22"/>
        <v>벨기에</v>
      </c>
      <c r="BZ40" s="75" t="str">
        <f t="shared" si="23"/>
        <v>BEI:MFX</v>
      </c>
      <c r="CA40" s="75">
        <v>32</v>
      </c>
      <c r="CB40" s="75">
        <f t="shared" si="10"/>
        <v>1</v>
      </c>
      <c r="CC40" s="88" t="str">
        <f t="shared" si="24"/>
        <v>벨기에</v>
      </c>
      <c r="CD40" s="89" t="str">
        <f t="shared" si="11"/>
        <v>BEI:MFX</v>
      </c>
      <c r="CI40" s="91" t="s">
        <v>31</v>
      </c>
      <c r="CJ40" s="91" t="s">
        <v>55</v>
      </c>
      <c r="CK40" s="91"/>
      <c r="CL40" s="91"/>
      <c r="CM40" s="91"/>
      <c r="CN40" s="91"/>
      <c r="CO40" s="91"/>
      <c r="CP40" s="91"/>
      <c r="CQ40" s="91"/>
      <c r="CR40" s="91"/>
      <c r="CS40" s="91" t="s">
        <v>13</v>
      </c>
      <c r="CT40" s="91" t="s">
        <v>181</v>
      </c>
    </row>
    <row r="41" spans="2:98">
      <c r="B41" t="str">
        <f t="shared" si="0"/>
        <v>스웨덴</v>
      </c>
      <c r="C41" t="str">
        <f t="shared" si="12"/>
        <v>SEI:SXASI</v>
      </c>
      <c r="D41">
        <v>33</v>
      </c>
      <c r="E41">
        <f t="shared" si="1"/>
        <v>1</v>
      </c>
      <c r="F41" s="35" t="str">
        <f t="shared" si="13"/>
        <v>스웨덴</v>
      </c>
      <c r="G41" s="6" t="str">
        <f t="shared" si="14"/>
        <v>SEI:SXASI</v>
      </c>
      <c r="H41" s="5">
        <f ca="1">IF(LEN($G41)=3,_xll.IMDP("IDX",$G41,"현재가",$G$3),_xll.IMDP("FRN",$G41,"현재가",$G$3))</f>
        <v>534.07000000000005</v>
      </c>
      <c r="I41" s="5">
        <f ca="1">IF(LEN($G41)=3,_xll.IMDP("IDX",$G41,"전일대비",$G$3),_xll.IMDP("FRN",$G41,"전일대비",$G$3))</f>
        <v>0</v>
      </c>
      <c r="J41" s="5">
        <f ca="1">IF(LEN($G41)=3,_xll.IMDP("IDX",$G41,"등락률",$G$3),_xll.IMDP("FRN",$G41,"등락률",$G$3))</f>
        <v>0</v>
      </c>
      <c r="K41" s="5" t="str">
        <f ca="1">IF(LEN($G41)=3,_xll.IMDP("IDX",$G41,"시간",$G$3),_xll.IMDP("FRN",$G41,"한국시간",$G$3))</f>
        <v xml:space="preserve">      </v>
      </c>
      <c r="L41" s="36" t="str">
        <f ca="1">IF(LEN($G41)=3,_xll.IMDP("IDX",$G41,"시간",$G$3),_xll.IMDP("FRN",$G41,"시간",$G$3))</f>
        <v xml:space="preserve">      </v>
      </c>
      <c r="N41" s="58">
        <f t="shared" si="25"/>
        <v>42738</v>
      </c>
      <c r="O41" s="21">
        <f t="shared" si="26"/>
        <v>2043.97</v>
      </c>
      <c r="P41" s="22"/>
      <c r="Q41" s="23">
        <f t="shared" si="27"/>
        <v>19762.599999999999</v>
      </c>
      <c r="R41" s="22"/>
      <c r="S41" s="23"/>
      <c r="T41" s="24"/>
      <c r="U41" s="23">
        <f t="shared" si="28"/>
        <v>3135.92</v>
      </c>
      <c r="V41" s="51">
        <f t="shared" si="29"/>
        <v>61813.83</v>
      </c>
      <c r="W41" s="19"/>
      <c r="X41" s="20"/>
      <c r="AR41" s="67">
        <v>42704</v>
      </c>
      <c r="AS41" s="66">
        <v>1983.48</v>
      </c>
      <c r="AT41" s="66">
        <v>19097.900000000001</v>
      </c>
      <c r="AU41" s="66">
        <v>3250.03</v>
      </c>
      <c r="AV41" s="66">
        <v>61906.36</v>
      </c>
      <c r="AX41" s="67">
        <v>42704</v>
      </c>
      <c r="AY41" s="68">
        <v>0.26</v>
      </c>
      <c r="AZ41" s="68">
        <v>-0.28000000000000003</v>
      </c>
      <c r="BA41" s="66">
        <v>-1</v>
      </c>
      <c r="BB41" s="68">
        <v>1.51</v>
      </c>
      <c r="BD41" s="68"/>
      <c r="BG41" s="74" t="str">
        <f t="shared" si="2"/>
        <v>스웨덴</v>
      </c>
      <c r="BH41" s="74" t="str">
        <f t="shared" si="3"/>
        <v>SEI:SXASI</v>
      </c>
      <c r="BI41" s="74">
        <v>33</v>
      </c>
      <c r="BJ41" s="74">
        <f t="shared" si="4"/>
        <v>1</v>
      </c>
      <c r="BK41" s="86" t="str">
        <f t="shared" si="15"/>
        <v>스웨덴</v>
      </c>
      <c r="BL41" s="87" t="str">
        <f t="shared" si="5"/>
        <v>SEI:SXASI</v>
      </c>
      <c r="BM41" s="75" t="str">
        <f t="shared" si="16"/>
        <v>스웨덴</v>
      </c>
      <c r="BN41" s="75" t="str">
        <f t="shared" si="17"/>
        <v>SEI:SXASI</v>
      </c>
      <c r="BO41" s="75">
        <v>33</v>
      </c>
      <c r="BP41" s="75">
        <f t="shared" si="6"/>
        <v>1</v>
      </c>
      <c r="BQ41" s="88" t="str">
        <f t="shared" si="18"/>
        <v>스웨덴</v>
      </c>
      <c r="BR41" s="89" t="str">
        <f t="shared" si="7"/>
        <v>SEI:SXASI</v>
      </c>
      <c r="BS41" s="74" t="str">
        <f t="shared" si="19"/>
        <v>스웨덴</v>
      </c>
      <c r="BT41" s="74" t="str">
        <f t="shared" si="20"/>
        <v>SEI:SXASI</v>
      </c>
      <c r="BU41" s="74">
        <v>33</v>
      </c>
      <c r="BV41" s="74">
        <f t="shared" si="8"/>
        <v>1</v>
      </c>
      <c r="BW41" s="86" t="str">
        <f t="shared" si="21"/>
        <v>스웨덴</v>
      </c>
      <c r="BX41" s="87" t="str">
        <f t="shared" si="9"/>
        <v>SEI:SXASI</v>
      </c>
      <c r="BY41" s="81" t="str">
        <f t="shared" si="22"/>
        <v>스웨덴</v>
      </c>
      <c r="BZ41" s="75" t="str">
        <f t="shared" si="23"/>
        <v>SEI:SXASI</v>
      </c>
      <c r="CA41" s="75">
        <v>33</v>
      </c>
      <c r="CB41" s="75">
        <f t="shared" si="10"/>
        <v>1</v>
      </c>
      <c r="CC41" s="88" t="str">
        <f t="shared" si="24"/>
        <v>스웨덴</v>
      </c>
      <c r="CD41" s="89" t="str">
        <f t="shared" si="11"/>
        <v>SEI:SXASI</v>
      </c>
      <c r="CI41" s="91" t="s">
        <v>32</v>
      </c>
      <c r="CJ41" s="91" t="s">
        <v>56</v>
      </c>
      <c r="CK41" s="91"/>
      <c r="CL41" s="91"/>
      <c r="CM41" s="91"/>
      <c r="CN41" s="91"/>
      <c r="CO41" s="91"/>
      <c r="CP41" s="91"/>
      <c r="CQ41" s="91"/>
      <c r="CR41" s="91"/>
      <c r="CS41" s="91" t="s">
        <v>34</v>
      </c>
      <c r="CT41" s="91" t="s">
        <v>182</v>
      </c>
    </row>
    <row r="42" spans="2:98">
      <c r="B42" t="str">
        <f t="shared" si="0"/>
        <v>네덜란드</v>
      </c>
      <c r="C42" t="str">
        <f t="shared" si="12"/>
        <v>NLI:AEX</v>
      </c>
      <c r="D42">
        <v>34</v>
      </c>
      <c r="E42">
        <f t="shared" si="1"/>
        <v>1</v>
      </c>
      <c r="F42" s="35" t="str">
        <f t="shared" si="13"/>
        <v>네덜란드</v>
      </c>
      <c r="G42" s="6" t="str">
        <f t="shared" si="14"/>
        <v>NLI:AEX</v>
      </c>
      <c r="H42" s="5">
        <f ca="1">IF(LEN($G42)=3,_xll.IMDP("IDX",$G42,"현재가",$G$3),_xll.IMDP("FRN",$G42,"현재가",$G$3))</f>
        <v>484.64</v>
      </c>
      <c r="I42" s="5">
        <f ca="1">IF(LEN($G42)=3,_xll.IMDP("IDX",$G42,"전일대비",$G$3),_xll.IMDP("FRN",$G42,"전일대비",$G$3))</f>
        <v>0</v>
      </c>
      <c r="J42" s="5">
        <f ca="1">IF(LEN($G42)=3,_xll.IMDP("IDX",$G42,"등락률",$G$3),_xll.IMDP("FRN",$G42,"등락률",$G$3))</f>
        <v>0</v>
      </c>
      <c r="K42" s="5" t="str">
        <f ca="1">IF(LEN($G42)=3,_xll.IMDP("IDX",$G42,"시간",$G$3),_xll.IMDP("FRN",$G42,"한국시간",$G$3))</f>
        <v xml:space="preserve">      </v>
      </c>
      <c r="L42" s="36" t="str">
        <f ca="1">IF(LEN($G42)=3,_xll.IMDP("IDX",$G42,"시간",$G$3),_xll.IMDP("FRN",$G42,"시간",$G$3))</f>
        <v xml:space="preserve">      </v>
      </c>
      <c r="N42" s="58">
        <f t="shared" si="25"/>
        <v>42737</v>
      </c>
      <c r="O42" s="21">
        <f t="shared" si="26"/>
        <v>2026.16</v>
      </c>
      <c r="P42" s="22"/>
      <c r="Q42" s="23">
        <f t="shared" si="27"/>
        <v>19819.78</v>
      </c>
      <c r="R42" s="22"/>
      <c r="S42" s="23"/>
      <c r="T42" s="24"/>
      <c r="U42" s="23">
        <f t="shared" si="28"/>
        <v>3103.64</v>
      </c>
      <c r="V42" s="51">
        <f t="shared" si="29"/>
        <v>59588.7</v>
      </c>
      <c r="W42" s="19"/>
      <c r="X42" s="20"/>
      <c r="AR42" s="67">
        <v>42703</v>
      </c>
      <c r="AS42" s="66">
        <v>1978.39</v>
      </c>
      <c r="AT42" s="66">
        <v>19152.14</v>
      </c>
      <c r="AU42" s="66">
        <v>3282.92</v>
      </c>
      <c r="AV42" s="66">
        <v>60986.52</v>
      </c>
      <c r="AX42" s="67">
        <v>42703</v>
      </c>
      <c r="AY42" s="68">
        <v>0.01</v>
      </c>
      <c r="AZ42" s="68">
        <v>0.36</v>
      </c>
      <c r="BA42" s="66">
        <v>0.18</v>
      </c>
      <c r="BB42" s="68">
        <v>-2.97</v>
      </c>
      <c r="BD42" s="68"/>
      <c r="BG42" s="74" t="str">
        <f t="shared" si="2"/>
        <v>네덜란드</v>
      </c>
      <c r="BH42" s="74" t="str">
        <f t="shared" si="3"/>
        <v>NLI:AEX</v>
      </c>
      <c r="BI42" s="74">
        <v>34</v>
      </c>
      <c r="BJ42" s="74">
        <f t="shared" si="4"/>
        <v>1</v>
      </c>
      <c r="BK42" s="86" t="str">
        <f t="shared" si="15"/>
        <v>네덜란드</v>
      </c>
      <c r="BL42" s="87" t="str">
        <f t="shared" si="5"/>
        <v>NLI:AEX</v>
      </c>
      <c r="BM42" s="75" t="str">
        <f t="shared" si="16"/>
        <v>네덜란드</v>
      </c>
      <c r="BN42" s="75" t="str">
        <f t="shared" si="17"/>
        <v>NLI:AEX</v>
      </c>
      <c r="BO42" s="75">
        <v>34</v>
      </c>
      <c r="BP42" s="75">
        <f t="shared" si="6"/>
        <v>1</v>
      </c>
      <c r="BQ42" s="88" t="str">
        <f t="shared" si="18"/>
        <v>네덜란드</v>
      </c>
      <c r="BR42" s="89" t="str">
        <f t="shared" si="7"/>
        <v>NLI:AEX</v>
      </c>
      <c r="BS42" s="74" t="str">
        <f t="shared" si="19"/>
        <v>네덜란드</v>
      </c>
      <c r="BT42" s="74" t="str">
        <f t="shared" si="20"/>
        <v>NLI:AEX</v>
      </c>
      <c r="BU42" s="74">
        <v>34</v>
      </c>
      <c r="BV42" s="74">
        <f t="shared" si="8"/>
        <v>1</v>
      </c>
      <c r="BW42" s="86" t="str">
        <f t="shared" si="21"/>
        <v>네덜란드</v>
      </c>
      <c r="BX42" s="87" t="str">
        <f t="shared" si="9"/>
        <v>NLI:AEX</v>
      </c>
      <c r="BY42" s="81" t="str">
        <f t="shared" si="22"/>
        <v>네덜란드</v>
      </c>
      <c r="BZ42" s="75" t="str">
        <f t="shared" si="23"/>
        <v>NLI:AEX</v>
      </c>
      <c r="CA42" s="75">
        <v>34</v>
      </c>
      <c r="CB42" s="75">
        <f t="shared" si="10"/>
        <v>1</v>
      </c>
      <c r="CC42" s="88" t="str">
        <f t="shared" si="24"/>
        <v>네덜란드</v>
      </c>
      <c r="CD42" s="89" t="str">
        <f t="shared" si="11"/>
        <v>NLI:AEX</v>
      </c>
      <c r="CI42" s="91" t="s">
        <v>33</v>
      </c>
      <c r="CJ42" s="91" t="s">
        <v>57</v>
      </c>
      <c r="CK42" s="91"/>
      <c r="CL42" s="91"/>
      <c r="CM42" s="91"/>
      <c r="CN42" s="91"/>
      <c r="CO42" s="91"/>
      <c r="CP42" s="91"/>
      <c r="CQ42" s="91"/>
      <c r="CR42" s="91"/>
      <c r="CS42" s="91" t="s">
        <v>27</v>
      </c>
      <c r="CT42" s="91" t="s">
        <v>183</v>
      </c>
    </row>
    <row r="43" spans="2:98">
      <c r="B43" t="str">
        <f t="shared" si="0"/>
        <v>폴란드</v>
      </c>
      <c r="C43" t="str">
        <f t="shared" si="12"/>
        <v>PLI:WIGI</v>
      </c>
      <c r="D43">
        <v>35</v>
      </c>
      <c r="E43">
        <f t="shared" si="1"/>
        <v>1</v>
      </c>
      <c r="F43" s="35" t="str">
        <f t="shared" si="13"/>
        <v>폴란드</v>
      </c>
      <c r="G43" s="6" t="str">
        <f t="shared" si="14"/>
        <v>PLI:WIGI</v>
      </c>
      <c r="H43" s="5">
        <f ca="1">IF(LEN($G43)=3,_xll.IMDP("IDX",$G43,"현재가",$G$3),_xll.IMDP("FRN",$G43,"현재가",$G$3))</f>
        <v>53654.99</v>
      </c>
      <c r="I43" s="5">
        <f ca="1">IF(LEN($G43)=3,_xll.IMDP("IDX",$G43,"전일대비",$G$3),_xll.IMDP("FRN",$G43,"전일대비",$G$3))</f>
        <v>0</v>
      </c>
      <c r="J43" s="5">
        <f ca="1">IF(LEN($G43)=3,_xll.IMDP("IDX",$G43,"등락률",$G$3),_xll.IMDP("FRN",$G43,"등락률",$G$3))</f>
        <v>0</v>
      </c>
      <c r="K43" s="5" t="str">
        <f ca="1">IF(LEN($G43)=3,_xll.IMDP("IDX",$G43,"시간",$G$3),_xll.IMDP("FRN",$G43,"한국시간",$G$3))</f>
        <v xml:space="preserve">      </v>
      </c>
      <c r="L43" s="36" t="str">
        <f ca="1">IF(LEN($G43)=3,_xll.IMDP("IDX",$G43,"시간",$G$3),_xll.IMDP("FRN",$G43,"시간",$G$3))</f>
        <v xml:space="preserve">      </v>
      </c>
      <c r="N43" s="58">
        <f t="shared" si="25"/>
        <v>42733</v>
      </c>
      <c r="O43" s="21">
        <f t="shared" si="26"/>
        <v>2026.46</v>
      </c>
      <c r="P43" s="22"/>
      <c r="Q43" s="23">
        <f t="shared" si="27"/>
        <v>19833.68</v>
      </c>
      <c r="R43" s="22"/>
      <c r="S43" s="23"/>
      <c r="T43" s="24"/>
      <c r="U43" s="23">
        <f t="shared" si="28"/>
        <v>3096.1</v>
      </c>
      <c r="V43" s="51">
        <f t="shared" si="29"/>
        <v>60227.29</v>
      </c>
      <c r="W43" s="19"/>
      <c r="X43" s="20"/>
      <c r="AR43" s="67">
        <v>42702</v>
      </c>
      <c r="AS43" s="66">
        <v>1978.13</v>
      </c>
      <c r="AT43" s="66">
        <v>19083.18</v>
      </c>
      <c r="AU43" s="66">
        <v>3277</v>
      </c>
      <c r="AV43" s="66">
        <v>62855.5</v>
      </c>
      <c r="AX43" s="67">
        <v>42702</v>
      </c>
      <c r="AY43" s="68">
        <v>0.19</v>
      </c>
      <c r="AZ43" s="68">
        <v>0.31</v>
      </c>
      <c r="BA43" s="66">
        <v>0.46</v>
      </c>
      <c r="BB43" s="68">
        <v>2.11</v>
      </c>
      <c r="BD43" s="68"/>
      <c r="BG43" s="74" t="str">
        <f t="shared" si="2"/>
        <v>폴란드</v>
      </c>
      <c r="BH43" s="74" t="str">
        <f t="shared" si="3"/>
        <v>PLI:WIGI</v>
      </c>
      <c r="BI43" s="74">
        <v>35</v>
      </c>
      <c r="BJ43" s="74">
        <f t="shared" si="4"/>
        <v>1</v>
      </c>
      <c r="BK43" s="86" t="str">
        <f t="shared" si="15"/>
        <v>폴란드</v>
      </c>
      <c r="BL43" s="87" t="str">
        <f t="shared" si="5"/>
        <v>PLI:WIGI</v>
      </c>
      <c r="BM43" s="75" t="str">
        <f t="shared" si="16"/>
        <v>폴란드</v>
      </c>
      <c r="BN43" s="75" t="str">
        <f t="shared" si="17"/>
        <v>PLI:WIGI</v>
      </c>
      <c r="BO43" s="75">
        <v>35</v>
      </c>
      <c r="BP43" s="75">
        <f t="shared" si="6"/>
        <v>1</v>
      </c>
      <c r="BQ43" s="88" t="str">
        <f t="shared" si="18"/>
        <v>폴란드</v>
      </c>
      <c r="BR43" s="89" t="str">
        <f t="shared" si="7"/>
        <v>PLI:WIGI</v>
      </c>
      <c r="BS43" s="74" t="str">
        <f t="shared" si="19"/>
        <v>폴란드</v>
      </c>
      <c r="BT43" s="74" t="str">
        <f t="shared" si="20"/>
        <v>PLI:WIGI</v>
      </c>
      <c r="BU43" s="74">
        <v>35</v>
      </c>
      <c r="BV43" s="74">
        <f t="shared" si="8"/>
        <v>1</v>
      </c>
      <c r="BW43" s="86" t="str">
        <f t="shared" si="21"/>
        <v>폴란드</v>
      </c>
      <c r="BX43" s="87" t="str">
        <f t="shared" si="9"/>
        <v>PLI:WIGI</v>
      </c>
      <c r="BY43" s="81" t="str">
        <f t="shared" si="22"/>
        <v>폴란드</v>
      </c>
      <c r="BZ43" s="75" t="str">
        <f t="shared" si="23"/>
        <v>PLI:WIGI</v>
      </c>
      <c r="CA43" s="75">
        <v>35</v>
      </c>
      <c r="CB43" s="75">
        <f t="shared" si="10"/>
        <v>1</v>
      </c>
      <c r="CC43" s="88" t="str">
        <f t="shared" si="24"/>
        <v>폴란드</v>
      </c>
      <c r="CD43" s="89" t="str">
        <f t="shared" si="11"/>
        <v>PLI:WIGI</v>
      </c>
      <c r="CI43" s="91" t="s">
        <v>34</v>
      </c>
      <c r="CJ43" s="91" t="s">
        <v>58</v>
      </c>
      <c r="CK43" s="91"/>
      <c r="CL43" s="91"/>
      <c r="CM43" s="91"/>
      <c r="CN43" s="91"/>
      <c r="CO43" s="91"/>
      <c r="CP43" s="91"/>
      <c r="CQ43" s="91"/>
      <c r="CR43" s="91"/>
      <c r="CS43" s="91" t="s">
        <v>21</v>
      </c>
      <c r="CT43" s="91" t="s">
        <v>184</v>
      </c>
    </row>
    <row r="44" spans="2:98">
      <c r="B44" t="str">
        <f t="shared" si="0"/>
        <v>오스트리아</v>
      </c>
      <c r="C44" t="str">
        <f t="shared" si="12"/>
        <v>ATI:ATX</v>
      </c>
      <c r="D44">
        <v>36</v>
      </c>
      <c r="E44">
        <f t="shared" si="1"/>
        <v>1</v>
      </c>
      <c r="F44" s="35" t="str">
        <f t="shared" si="13"/>
        <v>오스트리아</v>
      </c>
      <c r="G44" s="6" t="str">
        <f t="shared" si="14"/>
        <v>ATI:ATX</v>
      </c>
      <c r="H44" s="5">
        <f ca="1">IF(LEN($G44)=3,_xll.IMDP("IDX",$G44,"현재가",$G$3),_xll.IMDP("FRN",$G44,"현재가",$G$3))</f>
        <v>2666.46</v>
      </c>
      <c r="I44" s="5">
        <f ca="1">IF(LEN($G44)=3,_xll.IMDP("IDX",$G44,"전일대비",$G$3),_xll.IMDP("FRN",$G44,"전일대비",$G$3))</f>
        <v>0</v>
      </c>
      <c r="J44" s="5">
        <f ca="1">IF(LEN($G44)=3,_xll.IMDP("IDX",$G44,"등락률",$G$3),_xll.IMDP("FRN",$G44,"등락률",$G$3))</f>
        <v>0</v>
      </c>
      <c r="K44" s="5" t="str">
        <f ca="1">IF(LEN($G44)=3,_xll.IMDP("IDX",$G44,"시간",$G$3),_xll.IMDP("FRN",$G44,"한국시간",$G$3))</f>
        <v xml:space="preserve">      </v>
      </c>
      <c r="L44" s="36" t="str">
        <f ca="1">IF(LEN($G44)=3,_xll.IMDP("IDX",$G44,"시간",$G$3),_xll.IMDP("FRN",$G44,"시간",$G$3))</f>
        <v xml:space="preserve">      </v>
      </c>
      <c r="N44" s="58">
        <f t="shared" si="25"/>
        <v>42732</v>
      </c>
      <c r="O44" s="21">
        <f t="shared" si="26"/>
        <v>2024.49</v>
      </c>
      <c r="P44" s="22"/>
      <c r="Q44" s="23">
        <f t="shared" si="27"/>
        <v>19945.04</v>
      </c>
      <c r="R44" s="22"/>
      <c r="S44" s="23"/>
      <c r="T44" s="24"/>
      <c r="U44" s="23">
        <f t="shared" si="28"/>
        <v>3102.24</v>
      </c>
      <c r="V44" s="51">
        <f t="shared" si="29"/>
        <v>59781.63</v>
      </c>
      <c r="W44" s="19"/>
      <c r="X44" s="20"/>
      <c r="AR44" s="67">
        <v>42699</v>
      </c>
      <c r="AS44" s="66">
        <v>1974.46</v>
      </c>
      <c r="AT44" s="66">
        <v>19023.87</v>
      </c>
      <c r="AU44" s="66">
        <v>3261.94</v>
      </c>
      <c r="AV44" s="66">
        <v>61559.08</v>
      </c>
      <c r="AX44" s="67">
        <v>42699</v>
      </c>
      <c r="AY44" s="68">
        <v>0.16</v>
      </c>
      <c r="AZ44" s="68">
        <v>0.35</v>
      </c>
      <c r="BA44" s="66">
        <v>0.62</v>
      </c>
      <c r="BB44" s="68">
        <v>0.27</v>
      </c>
      <c r="BD44" s="68"/>
      <c r="BG44" s="74" t="str">
        <f t="shared" si="2"/>
        <v>오스트리아</v>
      </c>
      <c r="BH44" s="74" t="str">
        <f t="shared" si="3"/>
        <v>ATI:ATX</v>
      </c>
      <c r="BI44" s="74">
        <v>36</v>
      </c>
      <c r="BJ44" s="74">
        <f t="shared" si="4"/>
        <v>1</v>
      </c>
      <c r="BK44" s="86" t="str">
        <f t="shared" si="15"/>
        <v>오스트리아</v>
      </c>
      <c r="BL44" s="87" t="str">
        <f t="shared" si="5"/>
        <v>ATI:ATX</v>
      </c>
      <c r="BM44" s="75" t="str">
        <f t="shared" si="16"/>
        <v>오스트리아</v>
      </c>
      <c r="BN44" s="75" t="str">
        <f t="shared" si="17"/>
        <v>ATI:ATX</v>
      </c>
      <c r="BO44" s="75">
        <v>36</v>
      </c>
      <c r="BP44" s="75">
        <f t="shared" si="6"/>
        <v>1</v>
      </c>
      <c r="BQ44" s="88" t="str">
        <f t="shared" si="18"/>
        <v>오스트리아</v>
      </c>
      <c r="BR44" s="89" t="str">
        <f t="shared" si="7"/>
        <v>ATI:ATX</v>
      </c>
      <c r="BS44" s="74" t="str">
        <f t="shared" si="19"/>
        <v>오스트리아</v>
      </c>
      <c r="BT44" s="74" t="str">
        <f t="shared" si="20"/>
        <v>ATI:ATX</v>
      </c>
      <c r="BU44" s="74">
        <v>36</v>
      </c>
      <c r="BV44" s="74">
        <f t="shared" si="8"/>
        <v>1</v>
      </c>
      <c r="BW44" s="86" t="str">
        <f t="shared" si="21"/>
        <v>오스트리아</v>
      </c>
      <c r="BX44" s="87" t="str">
        <f t="shared" si="9"/>
        <v>ATI:ATX</v>
      </c>
      <c r="BY44" s="81" t="str">
        <f t="shared" si="22"/>
        <v>오스트리아</v>
      </c>
      <c r="BZ44" s="75" t="str">
        <f t="shared" si="23"/>
        <v>ATI:ATX</v>
      </c>
      <c r="CA44" s="75">
        <v>36</v>
      </c>
      <c r="CB44" s="75">
        <f t="shared" si="10"/>
        <v>1</v>
      </c>
      <c r="CC44" s="88" t="str">
        <f t="shared" si="24"/>
        <v>오스트리아</v>
      </c>
      <c r="CD44" s="89" t="str">
        <f t="shared" si="11"/>
        <v>ATI:ATX</v>
      </c>
      <c r="CI44" s="91" t="s">
        <v>35</v>
      </c>
      <c r="CJ44" s="91" t="s">
        <v>59</v>
      </c>
      <c r="CK44" s="91"/>
      <c r="CL44" s="91"/>
      <c r="CM44" s="91"/>
      <c r="CN44" s="91"/>
      <c r="CO44" s="91"/>
      <c r="CP44" s="91"/>
      <c r="CQ44" s="91"/>
      <c r="CR44" s="91"/>
      <c r="CS44" s="91" t="s">
        <v>32</v>
      </c>
      <c r="CT44" s="91" t="s">
        <v>185</v>
      </c>
    </row>
    <row r="45" spans="2:98">
      <c r="B45">
        <f t="shared" si="0"/>
        <v>0</v>
      </c>
      <c r="C45">
        <f t="shared" si="12"/>
        <v>0</v>
      </c>
      <c r="D45">
        <v>37</v>
      </c>
      <c r="E45">
        <f t="shared" si="1"/>
        <v>1</v>
      </c>
      <c r="F45" s="35" t="str">
        <f t="shared" si="13"/>
        <v>-</v>
      </c>
      <c r="G45" s="6" t="str">
        <f t="shared" si="14"/>
        <v>-</v>
      </c>
      <c r="H45" s="5" t="str">
        <f ca="1">IF(LEN($G45)=3,_xll.IMDP("IDX",$G45,"현재가",$G$3),_xll.IMDP("FRN",$G45,"현재가",$G$3))</f>
        <v/>
      </c>
      <c r="I45" s="5" t="str">
        <f ca="1">IF(LEN($G45)=3,_xll.IMDP("IDX",$G45,"전일대비",$G$3),_xll.IMDP("FRN",$G45,"전일대비",$G$3))</f>
        <v/>
      </c>
      <c r="J45" s="5" t="str">
        <f ca="1">IF(LEN($G45)=3,_xll.IMDP("IDX",$G45,"등락률",$G$3),_xll.IMDP("FRN",$G45,"등락률",$G$3))</f>
        <v/>
      </c>
      <c r="K45" s="5" t="str">
        <f ca="1">IF(LEN($G45)=3,_xll.IMDP("IDX",$G45,"시간",$G$3),_xll.IMDP("FRN",$G45,"한국시간",$G$3))</f>
        <v/>
      </c>
      <c r="L45" s="36" t="str">
        <f ca="1">IF(LEN($G45)=3,_xll.IMDP("IDX",$G45,"시간",$G$3),_xll.IMDP("FRN",$G45,"시간",$G$3))</f>
        <v/>
      </c>
      <c r="N45" s="58">
        <f t="shared" si="25"/>
        <v>42731</v>
      </c>
      <c r="O45" s="21">
        <f t="shared" si="26"/>
        <v>2042.17</v>
      </c>
      <c r="P45" s="22"/>
      <c r="Q45" s="23">
        <f t="shared" si="27"/>
        <v>19933.810000000001</v>
      </c>
      <c r="R45" s="22"/>
      <c r="S45" s="23"/>
      <c r="T45" s="24"/>
      <c r="U45" s="23">
        <f t="shared" si="28"/>
        <v>3114.66</v>
      </c>
      <c r="V45" s="51">
        <f t="shared" si="29"/>
        <v>58696.69</v>
      </c>
      <c r="W45" s="19"/>
      <c r="X45" s="20"/>
      <c r="AR45" s="67">
        <v>42698</v>
      </c>
      <c r="AS45" s="66">
        <v>1971.26</v>
      </c>
      <c r="AT45" s="66">
        <v>18956.689999999999</v>
      </c>
      <c r="AU45" s="66">
        <v>3241.74</v>
      </c>
      <c r="AV45" s="66">
        <v>61395.53</v>
      </c>
      <c r="AX45" s="67">
        <v>42698</v>
      </c>
      <c r="AY45" s="68">
        <v>-0.84</v>
      </c>
      <c r="AZ45" s="68">
        <v>0.47</v>
      </c>
      <c r="BA45" s="66">
        <v>0.02</v>
      </c>
      <c r="BB45" s="68">
        <v>-0.95</v>
      </c>
      <c r="BD45" s="68"/>
      <c r="BG45" s="74">
        <f t="shared" si="2"/>
        <v>0</v>
      </c>
      <c r="BH45" s="74">
        <f t="shared" si="3"/>
        <v>0</v>
      </c>
      <c r="BI45" s="74">
        <v>37</v>
      </c>
      <c r="BJ45" s="74">
        <f t="shared" si="4"/>
        <v>1</v>
      </c>
      <c r="BK45" s="86" t="str">
        <f t="shared" si="15"/>
        <v/>
      </c>
      <c r="BL45" s="87" t="str">
        <f t="shared" si="5"/>
        <v/>
      </c>
      <c r="BM45" s="75">
        <f t="shared" si="16"/>
        <v>0</v>
      </c>
      <c r="BN45" s="75">
        <f t="shared" si="17"/>
        <v>0</v>
      </c>
      <c r="BO45" s="75">
        <v>37</v>
      </c>
      <c r="BP45" s="75">
        <f t="shared" si="6"/>
        <v>1</v>
      </c>
      <c r="BQ45" s="88" t="str">
        <f t="shared" si="18"/>
        <v/>
      </c>
      <c r="BR45" s="89" t="str">
        <f t="shared" si="7"/>
        <v/>
      </c>
      <c r="BS45" s="74">
        <f t="shared" si="19"/>
        <v>0</v>
      </c>
      <c r="BT45" s="74">
        <f t="shared" si="20"/>
        <v>0</v>
      </c>
      <c r="BU45" s="74">
        <v>37</v>
      </c>
      <c r="BV45" s="74">
        <f t="shared" si="8"/>
        <v>1</v>
      </c>
      <c r="BW45" s="86" t="str">
        <f t="shared" si="21"/>
        <v/>
      </c>
      <c r="BX45" s="87" t="str">
        <f t="shared" si="9"/>
        <v/>
      </c>
      <c r="BY45" s="81">
        <f t="shared" si="22"/>
        <v>0</v>
      </c>
      <c r="BZ45" s="75">
        <f t="shared" si="23"/>
        <v>0</v>
      </c>
      <c r="CA45" s="75">
        <v>37</v>
      </c>
      <c r="CB45" s="75">
        <f t="shared" si="10"/>
        <v>1</v>
      </c>
      <c r="CC45" s="88" t="str">
        <f t="shared" si="24"/>
        <v/>
      </c>
      <c r="CD45" s="89" t="str">
        <f t="shared" si="11"/>
        <v/>
      </c>
      <c r="CI45" s="91"/>
      <c r="CJ45" s="91"/>
      <c r="CK45" s="91"/>
      <c r="CL45" s="91"/>
      <c r="CM45" s="91"/>
      <c r="CN45" s="91"/>
      <c r="CO45" s="91"/>
      <c r="CP45" s="91"/>
      <c r="CQ45" s="91"/>
      <c r="CR45" s="91"/>
      <c r="CS45" s="91" t="s">
        <v>19</v>
      </c>
      <c r="CT45" s="91" t="s">
        <v>186</v>
      </c>
    </row>
    <row r="46" spans="2:98">
      <c r="B46">
        <f t="shared" si="0"/>
        <v>0</v>
      </c>
      <c r="C46">
        <f t="shared" si="12"/>
        <v>0</v>
      </c>
      <c r="D46">
        <v>38</v>
      </c>
      <c r="E46">
        <f t="shared" si="1"/>
        <v>1</v>
      </c>
      <c r="F46" s="37" t="str">
        <f t="shared" si="13"/>
        <v>-</v>
      </c>
      <c r="G46" s="4" t="str">
        <f t="shared" si="14"/>
        <v>-</v>
      </c>
      <c r="H46" s="5" t="str">
        <f ca="1">IF(LEN($G46)=3,_xll.IMDP("IDX",$G46,"현재가",$G$3),_xll.IMDP("FRN",$G46,"현재가",$G$3))</f>
        <v/>
      </c>
      <c r="I46" s="5" t="str">
        <f ca="1">IF(LEN($G46)=3,_xll.IMDP("IDX",$G46,"전일대비",$G$3),_xll.IMDP("FRN",$G46,"전일대비",$G$3))</f>
        <v/>
      </c>
      <c r="J46" s="5" t="str">
        <f ca="1">IF(LEN($G46)=3,_xll.IMDP("IDX",$G46,"등락률",$G$3),_xll.IMDP("FRN",$G46,"등락률",$G$3))</f>
        <v/>
      </c>
      <c r="K46" s="5" t="str">
        <f ca="1">IF(LEN($G46)=3,_xll.IMDP("IDX",$G46,"시간",$G$3),_xll.IMDP("FRN",$G46,"한국시간",$G$3))</f>
        <v/>
      </c>
      <c r="L46" s="36" t="str">
        <f ca="1">IF(LEN($G46)=3,_xll.IMDP("IDX",$G46,"시간",$G$3),_xll.IMDP("FRN",$G46,"시간",$G$3))</f>
        <v/>
      </c>
      <c r="N46" s="58">
        <f t="shared" si="25"/>
        <v>42730</v>
      </c>
      <c r="O46" s="21">
        <f t="shared" si="26"/>
        <v>2037.75</v>
      </c>
      <c r="P46" s="22"/>
      <c r="Q46" s="23">
        <f t="shared" si="27"/>
        <v>19918.88</v>
      </c>
      <c r="R46" s="22"/>
      <c r="S46" s="23"/>
      <c r="T46" s="24"/>
      <c r="U46" s="23">
        <f t="shared" si="28"/>
        <v>3122.57</v>
      </c>
      <c r="V46" s="51">
        <f t="shared" si="29"/>
        <v>58620.26</v>
      </c>
      <c r="W46" s="19"/>
      <c r="X46" s="20"/>
      <c r="AR46" s="67">
        <v>42697</v>
      </c>
      <c r="AS46" s="66">
        <v>1987.95</v>
      </c>
      <c r="AT46" s="66">
        <v>18867.93</v>
      </c>
      <c r="AU46" s="66">
        <v>3241.14</v>
      </c>
      <c r="AV46" s="66">
        <v>61985.91</v>
      </c>
      <c r="AX46" s="67">
        <v>42697</v>
      </c>
      <c r="AY46" s="68">
        <v>0.23</v>
      </c>
      <c r="AZ46" s="68">
        <v>-0.19</v>
      </c>
      <c r="BA46" s="66">
        <v>-0.22</v>
      </c>
      <c r="BB46" s="68">
        <v>0.05</v>
      </c>
      <c r="BD46" s="68"/>
      <c r="BG46" s="74">
        <f t="shared" si="2"/>
        <v>0</v>
      </c>
      <c r="BH46" s="74">
        <f t="shared" si="3"/>
        <v>0</v>
      </c>
      <c r="BI46" s="74">
        <v>38</v>
      </c>
      <c r="BJ46" s="74">
        <f t="shared" si="4"/>
        <v>1</v>
      </c>
      <c r="BK46" s="86" t="str">
        <f t="shared" si="15"/>
        <v/>
      </c>
      <c r="BL46" s="87" t="str">
        <f t="shared" si="5"/>
        <v/>
      </c>
      <c r="BM46" s="75">
        <f t="shared" si="16"/>
        <v>0</v>
      </c>
      <c r="BN46" s="75">
        <f t="shared" si="17"/>
        <v>0</v>
      </c>
      <c r="BO46" s="75">
        <v>38</v>
      </c>
      <c r="BP46" s="75">
        <f t="shared" si="6"/>
        <v>1</v>
      </c>
      <c r="BQ46" s="88" t="str">
        <f t="shared" si="18"/>
        <v/>
      </c>
      <c r="BR46" s="89" t="str">
        <f t="shared" si="7"/>
        <v/>
      </c>
      <c r="BS46" s="74">
        <f t="shared" si="19"/>
        <v>0</v>
      </c>
      <c r="BT46" s="74">
        <f t="shared" si="20"/>
        <v>0</v>
      </c>
      <c r="BU46" s="74">
        <v>38</v>
      </c>
      <c r="BV46" s="74">
        <f t="shared" si="8"/>
        <v>1</v>
      </c>
      <c r="BW46" s="86" t="str">
        <f t="shared" si="21"/>
        <v/>
      </c>
      <c r="BX46" s="87" t="str">
        <f t="shared" si="9"/>
        <v/>
      </c>
      <c r="BY46" s="81">
        <f t="shared" si="22"/>
        <v>0</v>
      </c>
      <c r="BZ46" s="75">
        <f t="shared" si="23"/>
        <v>0</v>
      </c>
      <c r="CA46" s="75">
        <v>38</v>
      </c>
      <c r="CB46" s="75">
        <f t="shared" si="10"/>
        <v>1</v>
      </c>
      <c r="CC46" s="88" t="str">
        <f t="shared" si="24"/>
        <v/>
      </c>
      <c r="CD46" s="89" t="str">
        <f t="shared" si="11"/>
        <v/>
      </c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 t="s">
        <v>22</v>
      </c>
      <c r="CT46" s="91" t="s">
        <v>187</v>
      </c>
    </row>
    <row r="47" spans="2:98">
      <c r="B47">
        <f t="shared" si="0"/>
        <v>0</v>
      </c>
      <c r="C47">
        <f t="shared" si="12"/>
        <v>0</v>
      </c>
      <c r="D47">
        <v>39</v>
      </c>
      <c r="E47">
        <f t="shared" si="1"/>
        <v>1</v>
      </c>
      <c r="F47" s="37" t="str">
        <f t="shared" si="13"/>
        <v>-</v>
      </c>
      <c r="G47" s="4" t="str">
        <f t="shared" si="14"/>
        <v>-</v>
      </c>
      <c r="H47" s="5" t="str">
        <f ca="1">IF(LEN($G47)=3,_xll.IMDP("IDX",$G47,"현재가",$G$3),_xll.IMDP("FRN",$G47,"현재가",$G$3))</f>
        <v/>
      </c>
      <c r="I47" s="5" t="str">
        <f ca="1">IF(LEN($G47)=3,_xll.IMDP("IDX",$G47,"전일대비",$G$3),_xll.IMDP("FRN",$G47,"전일대비",$G$3))</f>
        <v/>
      </c>
      <c r="J47" s="5" t="str">
        <f ca="1">IF(LEN($G47)=3,_xll.IMDP("IDX",$G47,"등락률",$G$3),_xll.IMDP("FRN",$G47,"등락률",$G$3))</f>
        <v/>
      </c>
      <c r="K47" s="5" t="str">
        <f ca="1">IF(LEN($G47)=3,_xll.IMDP("IDX",$G47,"시간",$G$3),_xll.IMDP("FRN",$G47,"한국시간",$G$3))</f>
        <v/>
      </c>
      <c r="L47" s="36" t="str">
        <f ca="1">IF(LEN($G47)=3,_xll.IMDP("IDX",$G47,"시간",$G$3),_xll.IMDP("FRN",$G47,"시간",$G$3))</f>
        <v/>
      </c>
      <c r="N47" s="58">
        <f t="shared" si="25"/>
        <v>42727</v>
      </c>
      <c r="O47" s="21">
        <f t="shared" si="26"/>
        <v>2035.9</v>
      </c>
      <c r="P47" s="22"/>
      <c r="Q47" s="23">
        <f t="shared" si="27"/>
        <v>19941.96</v>
      </c>
      <c r="R47" s="22"/>
      <c r="S47" s="23"/>
      <c r="T47" s="24"/>
      <c r="U47" s="23">
        <f t="shared" si="28"/>
        <v>3110.15</v>
      </c>
      <c r="V47" s="51">
        <f t="shared" si="29"/>
        <v>57937.11</v>
      </c>
      <c r="W47" s="19"/>
      <c r="X47" s="20"/>
      <c r="AR47" s="67">
        <v>42696</v>
      </c>
      <c r="AS47" s="66">
        <v>1983.47</v>
      </c>
      <c r="AT47" s="66">
        <v>18903.82</v>
      </c>
      <c r="AU47" s="66">
        <v>3248.35</v>
      </c>
      <c r="AV47" s="66">
        <v>61954.47</v>
      </c>
      <c r="AX47" s="67">
        <v>42696</v>
      </c>
      <c r="AY47" s="68">
        <v>0.89</v>
      </c>
      <c r="AZ47" s="68">
        <v>0.19</v>
      </c>
      <c r="BA47" s="66">
        <v>0.94</v>
      </c>
      <c r="BB47" s="68">
        <v>1.45</v>
      </c>
      <c r="BD47" s="68"/>
      <c r="BG47" s="74">
        <f t="shared" si="2"/>
        <v>0</v>
      </c>
      <c r="BH47" s="74">
        <f t="shared" si="3"/>
        <v>0</v>
      </c>
      <c r="BI47" s="74">
        <v>39</v>
      </c>
      <c r="BJ47" s="74">
        <f t="shared" si="4"/>
        <v>1</v>
      </c>
      <c r="BK47" s="86" t="str">
        <f>IF(BG47=0,"",BG47)</f>
        <v/>
      </c>
      <c r="BL47" s="87" t="str">
        <f>IF(BH47=0,"",BH47)</f>
        <v/>
      </c>
      <c r="BM47" s="75">
        <f t="shared" si="16"/>
        <v>0</v>
      </c>
      <c r="BN47" s="75">
        <f t="shared" si="17"/>
        <v>0</v>
      </c>
      <c r="BO47" s="75">
        <v>39</v>
      </c>
      <c r="BP47" s="75">
        <f t="shared" si="6"/>
        <v>1</v>
      </c>
      <c r="BQ47" s="88" t="str">
        <f t="shared" si="18"/>
        <v/>
      </c>
      <c r="BR47" s="89" t="str">
        <f t="shared" si="7"/>
        <v/>
      </c>
      <c r="BS47" s="74">
        <f t="shared" si="19"/>
        <v>0</v>
      </c>
      <c r="BT47" s="74">
        <f t="shared" si="20"/>
        <v>0</v>
      </c>
      <c r="BU47" s="74">
        <v>39</v>
      </c>
      <c r="BV47" s="74">
        <f t="shared" si="8"/>
        <v>1</v>
      </c>
      <c r="BW47" s="86" t="str">
        <f t="shared" si="21"/>
        <v/>
      </c>
      <c r="BX47" s="87" t="str">
        <f t="shared" si="9"/>
        <v/>
      </c>
      <c r="BY47" s="81">
        <f t="shared" si="22"/>
        <v>0</v>
      </c>
      <c r="BZ47" s="75">
        <f t="shared" si="23"/>
        <v>0</v>
      </c>
      <c r="CA47" s="75">
        <v>39</v>
      </c>
      <c r="CB47" s="75">
        <f t="shared" si="10"/>
        <v>1</v>
      </c>
      <c r="CC47" s="88" t="str">
        <f t="shared" si="24"/>
        <v/>
      </c>
      <c r="CD47" s="89" t="str">
        <f t="shared" si="11"/>
        <v/>
      </c>
      <c r="CI47" s="91"/>
      <c r="CJ47" s="91"/>
      <c r="CK47" s="91"/>
      <c r="CL47" s="91"/>
      <c r="CM47" s="91"/>
      <c r="CN47" s="91"/>
      <c r="CO47" s="91"/>
      <c r="CP47" s="91"/>
      <c r="CQ47" s="91"/>
      <c r="CR47" s="91"/>
      <c r="CS47" s="91" t="s">
        <v>12</v>
      </c>
      <c r="CT47" s="91" t="s">
        <v>188</v>
      </c>
    </row>
    <row r="48" spans="2:98">
      <c r="B48">
        <f t="shared" si="0"/>
        <v>0</v>
      </c>
      <c r="C48">
        <f t="shared" si="12"/>
        <v>0</v>
      </c>
      <c r="D48">
        <v>40</v>
      </c>
      <c r="E48">
        <f t="shared" si="1"/>
        <v>1</v>
      </c>
      <c r="F48" s="37" t="str">
        <f t="shared" si="13"/>
        <v>-</v>
      </c>
      <c r="G48" s="4" t="str">
        <f t="shared" si="14"/>
        <v>-</v>
      </c>
      <c r="H48" s="5" t="str">
        <f ca="1">IF(LEN($G48)=3,_xll.IMDP("IDX",$G48,"현재가",$G$3),_xll.IMDP("FRN",$G48,"현재가",$G$3))</f>
        <v/>
      </c>
      <c r="I48" s="5" t="str">
        <f ca="1">IF(LEN($G48)=3,_xll.IMDP("IDX",$G48,"전일대비",$G$3),_xll.IMDP("FRN",$G48,"전일대비",$G$3))</f>
        <v/>
      </c>
      <c r="J48" s="5" t="str">
        <f ca="1">IF(LEN($G48)=3,_xll.IMDP("IDX",$G48,"등락률",$G$3),_xll.IMDP("FRN",$G48,"등락률",$G$3))</f>
        <v/>
      </c>
      <c r="K48" s="5" t="str">
        <f ca="1">IF(LEN($G48)=3,_xll.IMDP("IDX",$G48,"시간",$G$3),_xll.IMDP("FRN",$G48,"한국시간",$G$3))</f>
        <v/>
      </c>
      <c r="L48" s="36" t="str">
        <f ca="1">IF(LEN($G48)=3,_xll.IMDP("IDX",$G48,"시간",$G$3),_xll.IMDP("FRN",$G48,"시간",$G$3))</f>
        <v/>
      </c>
      <c r="N48" s="58">
        <f t="shared" si="25"/>
        <v>42726</v>
      </c>
      <c r="O48" s="21">
        <f t="shared" si="26"/>
        <v>2035.73</v>
      </c>
      <c r="P48" s="22"/>
      <c r="Q48" s="23">
        <f t="shared" si="27"/>
        <v>19974.62</v>
      </c>
      <c r="R48" s="22"/>
      <c r="S48" s="23"/>
      <c r="T48" s="24"/>
      <c r="U48" s="23">
        <f t="shared" si="28"/>
        <v>3139.56</v>
      </c>
      <c r="V48" s="51">
        <f t="shared" si="29"/>
        <v>57255.22</v>
      </c>
      <c r="W48" s="19"/>
      <c r="X48" s="20"/>
      <c r="AR48" s="67">
        <v>42695</v>
      </c>
      <c r="AS48" s="66">
        <v>1966.05</v>
      </c>
      <c r="AT48" s="66">
        <v>18868.14</v>
      </c>
      <c r="AU48" s="66">
        <v>3218.15</v>
      </c>
      <c r="AV48" s="66">
        <v>61070.27</v>
      </c>
      <c r="AX48" s="67">
        <v>42695</v>
      </c>
      <c r="AY48" s="68">
        <v>-0.43</v>
      </c>
      <c r="AZ48" s="68">
        <v>-0.28999999999999998</v>
      </c>
      <c r="BA48" s="66">
        <v>0.79</v>
      </c>
      <c r="BB48" s="68">
        <v>1.85</v>
      </c>
      <c r="BD48" s="68"/>
      <c r="BG48" s="74">
        <f t="shared" si="2"/>
        <v>0</v>
      </c>
      <c r="BH48" s="74">
        <f t="shared" si="3"/>
        <v>0</v>
      </c>
      <c r="BI48" s="74">
        <v>40</v>
      </c>
      <c r="BJ48" s="74">
        <f t="shared" si="4"/>
        <v>1</v>
      </c>
      <c r="BK48" s="86" t="str">
        <f t="shared" ref="BK48:BK53" si="30">IF(BG48=0,"",BG48)</f>
        <v/>
      </c>
      <c r="BL48" s="87" t="str">
        <f t="shared" ref="BL48:BL53" si="31">IF(BH48=0,"",BH48)</f>
        <v/>
      </c>
      <c r="BM48" s="75">
        <f t="shared" si="16"/>
        <v>0</v>
      </c>
      <c r="BN48" s="75">
        <f t="shared" si="17"/>
        <v>0</v>
      </c>
      <c r="BO48" s="75">
        <v>40</v>
      </c>
      <c r="BP48" s="75">
        <f t="shared" si="6"/>
        <v>1</v>
      </c>
      <c r="BQ48" s="88" t="str">
        <f t="shared" si="18"/>
        <v/>
      </c>
      <c r="BR48" s="89" t="str">
        <f t="shared" si="7"/>
        <v/>
      </c>
      <c r="BS48" s="74">
        <f t="shared" si="19"/>
        <v>0</v>
      </c>
      <c r="BT48" s="74">
        <f t="shared" si="20"/>
        <v>0</v>
      </c>
      <c r="BU48" s="74">
        <v>40</v>
      </c>
      <c r="BV48" s="74">
        <f t="shared" si="8"/>
        <v>1</v>
      </c>
      <c r="BW48" s="86" t="str">
        <f t="shared" si="21"/>
        <v/>
      </c>
      <c r="BX48" s="87" t="str">
        <f t="shared" si="9"/>
        <v/>
      </c>
      <c r="BY48" s="81">
        <f t="shared" si="22"/>
        <v>0</v>
      </c>
      <c r="BZ48" s="75">
        <f t="shared" si="23"/>
        <v>0</v>
      </c>
      <c r="CA48" s="75">
        <v>40</v>
      </c>
      <c r="CB48" s="75">
        <f t="shared" si="10"/>
        <v>1</v>
      </c>
      <c r="CC48" s="88" t="str">
        <f t="shared" si="24"/>
        <v/>
      </c>
      <c r="CD48" s="89" t="str">
        <f t="shared" si="11"/>
        <v/>
      </c>
      <c r="CI48" s="91"/>
      <c r="CJ48" s="91"/>
      <c r="CK48" s="91"/>
      <c r="CL48" s="91"/>
      <c r="CM48" s="91"/>
      <c r="CN48" s="91"/>
      <c r="CO48" s="91"/>
      <c r="CP48" s="91"/>
      <c r="CQ48" s="91"/>
      <c r="CR48" s="91"/>
      <c r="CS48" s="91" t="s">
        <v>148</v>
      </c>
      <c r="CT48" s="91" t="s">
        <v>189</v>
      </c>
    </row>
    <row r="49" spans="2:98">
      <c r="B49">
        <f t="shared" si="0"/>
        <v>0</v>
      </c>
      <c r="C49">
        <f t="shared" si="12"/>
        <v>0</v>
      </c>
      <c r="D49">
        <v>41</v>
      </c>
      <c r="E49">
        <f t="shared" si="1"/>
        <v>1</v>
      </c>
      <c r="F49" s="37" t="str">
        <f t="shared" si="13"/>
        <v>-</v>
      </c>
      <c r="G49" s="4" t="str">
        <f t="shared" si="14"/>
        <v>-</v>
      </c>
      <c r="H49" s="5" t="str">
        <f ca="1">IF(LEN($G49)=3,_xll.IMDP("IDX",$G49,"현재가",$G$3),_xll.IMDP("FRN",$G49,"현재가",$G$3))</f>
        <v/>
      </c>
      <c r="I49" s="5" t="str">
        <f ca="1">IF(LEN($G49)=3,_xll.IMDP("IDX",$G49,"전일대비",$G$3),_xll.IMDP("FRN",$G49,"전일대비",$G$3))</f>
        <v/>
      </c>
      <c r="J49" s="5" t="str">
        <f ca="1">IF(LEN($G49)=3,_xll.IMDP("IDX",$G49,"등락률",$G$3),_xll.IMDP("FRN",$G49,"등락률",$G$3))</f>
        <v/>
      </c>
      <c r="K49" s="5" t="str">
        <f ca="1">IF(LEN($G49)=3,_xll.IMDP("IDX",$G49,"시간",$G$3),_xll.IMDP("FRN",$G49,"한국시간",$G$3))</f>
        <v/>
      </c>
      <c r="L49" s="36" t="str">
        <f ca="1">IF(LEN($G49)=3,_xll.IMDP("IDX",$G49,"시간",$G$3),_xll.IMDP("FRN",$G49,"시간",$G$3))</f>
        <v/>
      </c>
      <c r="N49" s="58">
        <f t="shared" si="25"/>
        <v>42725</v>
      </c>
      <c r="O49" s="21">
        <f t="shared" si="26"/>
        <v>2037.96</v>
      </c>
      <c r="P49" s="22"/>
      <c r="Q49" s="23">
        <f t="shared" si="27"/>
        <v>19883.060000000001</v>
      </c>
      <c r="R49" s="22"/>
      <c r="S49" s="23"/>
      <c r="T49" s="24"/>
      <c r="U49" s="23">
        <f t="shared" si="28"/>
        <v>3137.43</v>
      </c>
      <c r="V49" s="51">
        <f t="shared" si="29"/>
        <v>57646.52</v>
      </c>
      <c r="W49" s="19"/>
      <c r="X49" s="20"/>
      <c r="AR49" s="67">
        <v>42692</v>
      </c>
      <c r="AS49" s="66">
        <v>1974.58</v>
      </c>
      <c r="AT49" s="66">
        <v>18923.060000000001</v>
      </c>
      <c r="AU49" s="66">
        <v>3192.86</v>
      </c>
      <c r="AV49" s="66">
        <v>59961.760000000002</v>
      </c>
      <c r="AX49" s="67">
        <v>42692</v>
      </c>
      <c r="AY49" s="68">
        <v>-0.3</v>
      </c>
      <c r="AZ49" s="68">
        <v>0.28999999999999998</v>
      </c>
      <c r="BA49" s="66">
        <v>-0.49</v>
      </c>
      <c r="BB49" s="68">
        <v>0.32</v>
      </c>
      <c r="BD49" s="68"/>
      <c r="BG49" s="74">
        <f t="shared" si="2"/>
        <v>0</v>
      </c>
      <c r="BH49" s="74">
        <f t="shared" si="3"/>
        <v>0</v>
      </c>
      <c r="BI49" s="74">
        <v>41</v>
      </c>
      <c r="BJ49" s="74">
        <f t="shared" si="4"/>
        <v>1</v>
      </c>
      <c r="BK49" s="86" t="str">
        <f t="shared" si="30"/>
        <v/>
      </c>
      <c r="BL49" s="87" t="str">
        <f t="shared" si="31"/>
        <v/>
      </c>
      <c r="BM49" s="75">
        <f t="shared" si="16"/>
        <v>0</v>
      </c>
      <c r="BN49" s="75">
        <f t="shared" si="17"/>
        <v>0</v>
      </c>
      <c r="BO49" s="75">
        <v>41</v>
      </c>
      <c r="BP49" s="75">
        <f t="shared" si="6"/>
        <v>1</v>
      </c>
      <c r="BQ49" s="88" t="str">
        <f t="shared" si="18"/>
        <v/>
      </c>
      <c r="BR49" s="89" t="str">
        <f t="shared" si="7"/>
        <v/>
      </c>
      <c r="BS49" s="74">
        <f t="shared" si="19"/>
        <v>0</v>
      </c>
      <c r="BT49" s="74">
        <f t="shared" si="20"/>
        <v>0</v>
      </c>
      <c r="BU49" s="74">
        <v>41</v>
      </c>
      <c r="BV49" s="74">
        <f t="shared" si="8"/>
        <v>1</v>
      </c>
      <c r="BW49" s="86" t="str">
        <f t="shared" si="21"/>
        <v/>
      </c>
      <c r="BX49" s="87" t="str">
        <f t="shared" si="9"/>
        <v/>
      </c>
      <c r="BY49" s="81">
        <f t="shared" si="22"/>
        <v>0</v>
      </c>
      <c r="BZ49" s="75">
        <f t="shared" si="23"/>
        <v>0</v>
      </c>
      <c r="CA49" s="75">
        <v>41</v>
      </c>
      <c r="CB49" s="75">
        <f t="shared" si="10"/>
        <v>1</v>
      </c>
      <c r="CC49" s="88" t="str">
        <f t="shared" si="24"/>
        <v/>
      </c>
      <c r="CD49" s="89" t="str">
        <f t="shared" si="11"/>
        <v/>
      </c>
      <c r="CI49" s="91"/>
      <c r="CJ49" s="91"/>
      <c r="CK49" s="91"/>
      <c r="CL49" s="91"/>
      <c r="CM49" s="91"/>
      <c r="CN49" s="91"/>
      <c r="CO49" s="91"/>
      <c r="CP49" s="91"/>
      <c r="CQ49" s="91"/>
      <c r="CR49" s="91"/>
      <c r="CS49" s="91" t="s">
        <v>149</v>
      </c>
      <c r="CT49" s="91" t="s">
        <v>190</v>
      </c>
    </row>
    <row r="50" spans="2:98">
      <c r="B50">
        <f t="shared" si="0"/>
        <v>0</v>
      </c>
      <c r="C50">
        <f t="shared" si="12"/>
        <v>0</v>
      </c>
      <c r="D50">
        <v>42</v>
      </c>
      <c r="E50">
        <f t="shared" si="1"/>
        <v>1</v>
      </c>
      <c r="F50" s="37" t="str">
        <f t="shared" si="13"/>
        <v>-</v>
      </c>
      <c r="G50" s="4" t="str">
        <f t="shared" si="14"/>
        <v>-</v>
      </c>
      <c r="H50" s="5" t="str">
        <f ca="1">IF(LEN($G50)=3,_xll.IMDP("IDX",$G50,"현재가",$G$3),_xll.IMDP("FRN",$G50,"현재가",$G$3))</f>
        <v/>
      </c>
      <c r="I50" s="5" t="str">
        <f ca="1">IF(LEN($G50)=3,_xll.IMDP("IDX",$G50,"전일대비",$G$3),_xll.IMDP("FRN",$G50,"전일대비",$G$3))</f>
        <v/>
      </c>
      <c r="J50" s="5" t="str">
        <f ca="1">IF(LEN($G50)=3,_xll.IMDP("IDX",$G50,"등락률",$G$3),_xll.IMDP("FRN",$G50,"등락률",$G$3))</f>
        <v/>
      </c>
      <c r="K50" s="5" t="str">
        <f ca="1">IF(LEN($G50)=3,_xll.IMDP("IDX",$G50,"시간",$G$3),_xll.IMDP("FRN",$G50,"한국시간",$G$3))</f>
        <v/>
      </c>
      <c r="L50" s="36" t="str">
        <f ca="1">IF(LEN($G50)=3,_xll.IMDP("IDX",$G50,"시간",$G$3),_xll.IMDP("FRN",$G50,"시간",$G$3))</f>
        <v/>
      </c>
      <c r="N50" s="58">
        <f t="shared" si="25"/>
        <v>42724</v>
      </c>
      <c r="O50" s="21">
        <f t="shared" si="26"/>
        <v>2041.94</v>
      </c>
      <c r="P50" s="22"/>
      <c r="Q50" s="23">
        <f t="shared" si="27"/>
        <v>19843.41</v>
      </c>
      <c r="R50" s="22"/>
      <c r="S50" s="23"/>
      <c r="T50" s="24"/>
      <c r="U50" s="23">
        <f t="shared" si="28"/>
        <v>3102.88</v>
      </c>
      <c r="V50" s="51">
        <f t="shared" si="29"/>
        <v>57582.89</v>
      </c>
      <c r="W50" s="19"/>
      <c r="X50" s="20"/>
      <c r="AR50" s="67">
        <v>42691</v>
      </c>
      <c r="AS50" s="66">
        <v>1980.55</v>
      </c>
      <c r="AT50" s="66">
        <v>18868.689999999999</v>
      </c>
      <c r="AU50" s="66">
        <v>3208.45</v>
      </c>
      <c r="AV50" s="66">
        <v>59770.47</v>
      </c>
      <c r="AX50" s="67">
        <v>42691</v>
      </c>
      <c r="AY50" s="68">
        <v>0.05</v>
      </c>
      <c r="AZ50" s="68">
        <v>0.11</v>
      </c>
      <c r="BA50" s="66">
        <v>0.11</v>
      </c>
      <c r="BB50" s="68">
        <v>-1.63</v>
      </c>
      <c r="BD50" s="68"/>
      <c r="BG50" s="74">
        <f t="shared" si="2"/>
        <v>0</v>
      </c>
      <c r="BH50" s="74">
        <f t="shared" si="3"/>
        <v>0</v>
      </c>
      <c r="BI50" s="74">
        <v>42</v>
      </c>
      <c r="BJ50" s="74">
        <f t="shared" si="4"/>
        <v>1</v>
      </c>
      <c r="BK50" s="86" t="str">
        <f t="shared" si="30"/>
        <v/>
      </c>
      <c r="BL50" s="87" t="str">
        <f t="shared" si="31"/>
        <v/>
      </c>
      <c r="BM50" s="75">
        <f t="shared" si="16"/>
        <v>0</v>
      </c>
      <c r="BN50" s="75">
        <f t="shared" si="17"/>
        <v>0</v>
      </c>
      <c r="BO50" s="75">
        <v>42</v>
      </c>
      <c r="BP50" s="75">
        <f t="shared" si="6"/>
        <v>1</v>
      </c>
      <c r="BQ50" s="88" t="str">
        <f t="shared" si="18"/>
        <v/>
      </c>
      <c r="BR50" s="89" t="str">
        <f t="shared" si="7"/>
        <v/>
      </c>
      <c r="BS50" s="74">
        <f t="shared" si="19"/>
        <v>0</v>
      </c>
      <c r="BT50" s="74">
        <f t="shared" si="20"/>
        <v>0</v>
      </c>
      <c r="BU50" s="74">
        <v>42</v>
      </c>
      <c r="BV50" s="74">
        <f t="shared" si="8"/>
        <v>1</v>
      </c>
      <c r="BW50" s="86" t="str">
        <f t="shared" si="21"/>
        <v/>
      </c>
      <c r="BX50" s="87" t="str">
        <f t="shared" si="9"/>
        <v/>
      </c>
      <c r="BY50" s="81">
        <f t="shared" si="22"/>
        <v>0</v>
      </c>
      <c r="BZ50" s="75">
        <f t="shared" si="23"/>
        <v>0</v>
      </c>
      <c r="CA50" s="75">
        <v>42</v>
      </c>
      <c r="CB50" s="75">
        <f t="shared" si="10"/>
        <v>1</v>
      </c>
      <c r="CC50" s="88" t="str">
        <f t="shared" si="24"/>
        <v/>
      </c>
      <c r="CD50" s="89" t="str">
        <f t="shared" si="11"/>
        <v/>
      </c>
    </row>
    <row r="51" spans="2:98">
      <c r="B51">
        <f t="shared" si="0"/>
        <v>0</v>
      </c>
      <c r="C51">
        <f t="shared" si="12"/>
        <v>0</v>
      </c>
      <c r="D51">
        <v>43</v>
      </c>
      <c r="E51">
        <f t="shared" si="1"/>
        <v>1</v>
      </c>
      <c r="F51" s="37" t="str">
        <f t="shared" si="13"/>
        <v>-</v>
      </c>
      <c r="G51" s="4" t="str">
        <f t="shared" si="14"/>
        <v>-</v>
      </c>
      <c r="H51" s="5" t="str">
        <f ca="1">IF(LEN($G51)=3,_xll.IMDP("IDX",$G51,"현재가",$G$3),_xll.IMDP("FRN",$G51,"현재가",$G$3))</f>
        <v/>
      </c>
      <c r="I51" s="5" t="str">
        <f ca="1">IF(LEN($G51)=3,_xll.IMDP("IDX",$G51,"전일대비",$G$3),_xll.IMDP("FRN",$G51,"전일대비",$G$3))</f>
        <v/>
      </c>
      <c r="J51" s="5" t="str">
        <f ca="1">IF(LEN($G51)=3,_xll.IMDP("IDX",$G51,"등락률",$G$3),_xll.IMDP("FRN",$G51,"등락률",$G$3))</f>
        <v/>
      </c>
      <c r="K51" s="5" t="str">
        <f ca="1">IF(LEN($G51)=3,_xll.IMDP("IDX",$G51,"시간",$G$3),_xll.IMDP("FRN",$G51,"한국시간",$G$3))</f>
        <v/>
      </c>
      <c r="L51" s="36" t="str">
        <f ca="1">IF(LEN($G51)=3,_xll.IMDP("IDX",$G51,"시간",$G$3),_xll.IMDP("FRN",$G51,"시간",$G$3))</f>
        <v/>
      </c>
      <c r="N51" s="58">
        <f t="shared" si="25"/>
        <v>42723</v>
      </c>
      <c r="O51" s="21">
        <f t="shared" si="26"/>
        <v>2038.39</v>
      </c>
      <c r="P51" s="22"/>
      <c r="Q51" s="23">
        <f t="shared" si="27"/>
        <v>19852.240000000002</v>
      </c>
      <c r="R51" s="22"/>
      <c r="S51" s="23"/>
      <c r="T51" s="24"/>
      <c r="U51" s="23">
        <f t="shared" si="28"/>
        <v>3118.08</v>
      </c>
      <c r="V51" s="51">
        <f t="shared" si="29"/>
        <v>57111</v>
      </c>
      <c r="W51" s="19"/>
      <c r="X51" s="20"/>
      <c r="AR51" s="67">
        <v>42690</v>
      </c>
      <c r="AS51" s="66">
        <v>1979.65</v>
      </c>
      <c r="AT51" s="66">
        <v>18847.66</v>
      </c>
      <c r="AU51" s="66">
        <v>3205.06</v>
      </c>
      <c r="AV51" s="66">
        <v>60759.32</v>
      </c>
      <c r="AX51" s="67">
        <v>42690</v>
      </c>
      <c r="AY51" s="68">
        <v>0.62</v>
      </c>
      <c r="AZ51" s="68">
        <v>0.21</v>
      </c>
      <c r="BA51" s="66">
        <v>-0.06</v>
      </c>
      <c r="BB51" s="68">
        <v>1.85</v>
      </c>
      <c r="BD51" s="68"/>
      <c r="BG51" s="74">
        <f t="shared" si="2"/>
        <v>0</v>
      </c>
      <c r="BH51" s="74">
        <f t="shared" si="3"/>
        <v>0</v>
      </c>
      <c r="BI51" s="74">
        <v>43</v>
      </c>
      <c r="BJ51" s="74">
        <f t="shared" si="4"/>
        <v>1</v>
      </c>
      <c r="BK51" s="86" t="str">
        <f t="shared" si="30"/>
        <v/>
      </c>
      <c r="BL51" s="87" t="str">
        <f t="shared" si="31"/>
        <v/>
      </c>
      <c r="BM51" s="75">
        <f t="shared" si="16"/>
        <v>0</v>
      </c>
      <c r="BN51" s="75">
        <f t="shared" si="17"/>
        <v>0</v>
      </c>
      <c r="BO51" s="75">
        <v>43</v>
      </c>
      <c r="BP51" s="75">
        <f t="shared" si="6"/>
        <v>1</v>
      </c>
      <c r="BQ51" s="88" t="str">
        <f t="shared" si="18"/>
        <v/>
      </c>
      <c r="BR51" s="89" t="str">
        <f t="shared" si="7"/>
        <v/>
      </c>
      <c r="BS51" s="74">
        <f t="shared" si="19"/>
        <v>0</v>
      </c>
      <c r="BT51" s="74">
        <f t="shared" si="20"/>
        <v>0</v>
      </c>
      <c r="BU51" s="74">
        <v>43</v>
      </c>
      <c r="BV51" s="74">
        <f t="shared" si="8"/>
        <v>1</v>
      </c>
      <c r="BW51" s="86" t="str">
        <f t="shared" si="21"/>
        <v/>
      </c>
      <c r="BX51" s="87" t="str">
        <f t="shared" si="9"/>
        <v/>
      </c>
      <c r="BY51" s="81">
        <f t="shared" si="22"/>
        <v>0</v>
      </c>
      <c r="BZ51" s="75">
        <f t="shared" si="23"/>
        <v>0</v>
      </c>
      <c r="CA51" s="75">
        <v>43</v>
      </c>
      <c r="CB51" s="75">
        <f t="shared" si="10"/>
        <v>1</v>
      </c>
      <c r="CC51" s="88" t="str">
        <f t="shared" si="24"/>
        <v/>
      </c>
      <c r="CD51" s="89" t="str">
        <f t="shared" si="11"/>
        <v/>
      </c>
    </row>
    <row r="52" spans="2:98">
      <c r="B52">
        <f t="shared" si="0"/>
        <v>0</v>
      </c>
      <c r="C52">
        <f t="shared" si="12"/>
        <v>0</v>
      </c>
      <c r="D52">
        <v>44</v>
      </c>
      <c r="E52">
        <f t="shared" si="1"/>
        <v>1</v>
      </c>
      <c r="F52" s="37" t="str">
        <f t="shared" si="13"/>
        <v>-</v>
      </c>
      <c r="G52" s="4" t="str">
        <f t="shared" si="14"/>
        <v>-</v>
      </c>
      <c r="H52" s="5" t="str">
        <f ca="1">IF(LEN($G52)=3,_xll.IMDP("IDX",$G52,"현재가",$G$3),_xll.IMDP("FRN",$G52,"현재가",$G$3))</f>
        <v/>
      </c>
      <c r="I52" s="5" t="str">
        <f ca="1">IF(LEN($G52)=3,_xll.IMDP("IDX",$G52,"전일대비",$G$3),_xll.IMDP("FRN",$G52,"전일대비",$G$3))</f>
        <v/>
      </c>
      <c r="J52" s="5" t="str">
        <f ca="1">IF(LEN($G52)=3,_xll.IMDP("IDX",$G52,"등락률",$G$3),_xll.IMDP("FRN",$G52,"등락률",$G$3))</f>
        <v/>
      </c>
      <c r="K52" s="5" t="str">
        <f ca="1">IF(LEN($G52)=3,_xll.IMDP("IDX",$G52,"시간",$G$3),_xll.IMDP("FRN",$G52,"한국시간",$G$3))</f>
        <v/>
      </c>
      <c r="L52" s="36" t="str">
        <f ca="1">IF(LEN($G52)=3,_xll.IMDP("IDX",$G52,"시간",$G$3),_xll.IMDP("FRN",$G52,"시간",$G$3))</f>
        <v/>
      </c>
      <c r="N52" s="58">
        <f t="shared" si="25"/>
        <v>42720</v>
      </c>
      <c r="O52" s="21">
        <f t="shared" si="26"/>
        <v>2042.24</v>
      </c>
      <c r="P52" s="22"/>
      <c r="Q52" s="23">
        <f t="shared" si="27"/>
        <v>19792.53</v>
      </c>
      <c r="R52" s="22"/>
      <c r="S52" s="23"/>
      <c r="T52" s="24"/>
      <c r="U52" s="23">
        <f t="shared" si="28"/>
        <v>3122.98</v>
      </c>
      <c r="V52" s="51">
        <f t="shared" si="29"/>
        <v>58389.04</v>
      </c>
      <c r="W52" s="19"/>
      <c r="X52" s="20"/>
      <c r="AR52" s="67">
        <v>42689</v>
      </c>
      <c r="AS52" s="66">
        <v>1967.53</v>
      </c>
      <c r="AT52" s="66">
        <v>18807.88</v>
      </c>
      <c r="AU52" s="66">
        <v>3206.99</v>
      </c>
      <c r="AV52" s="66">
        <v>59657.46</v>
      </c>
      <c r="AX52" s="67">
        <v>42689</v>
      </c>
      <c r="AY52" s="68">
        <v>-0.35</v>
      </c>
      <c r="AZ52" s="68">
        <v>1.17</v>
      </c>
      <c r="BA52" s="66">
        <v>-0.11</v>
      </c>
      <c r="BB52" s="68">
        <v>0.8</v>
      </c>
      <c r="BD52" s="68"/>
      <c r="BG52" s="74">
        <f t="shared" si="2"/>
        <v>0</v>
      </c>
      <c r="BH52" s="74">
        <f t="shared" si="3"/>
        <v>0</v>
      </c>
      <c r="BI52" s="74">
        <v>44</v>
      </c>
      <c r="BJ52" s="74">
        <f t="shared" si="4"/>
        <v>1</v>
      </c>
      <c r="BK52" s="86" t="str">
        <f t="shared" si="30"/>
        <v/>
      </c>
      <c r="BL52" s="87" t="str">
        <f t="shared" si="31"/>
        <v/>
      </c>
      <c r="BM52" s="75">
        <f t="shared" si="16"/>
        <v>0</v>
      </c>
      <c r="BN52" s="75">
        <f t="shared" si="17"/>
        <v>0</v>
      </c>
      <c r="BO52" s="75">
        <v>44</v>
      </c>
      <c r="BP52" s="75">
        <f t="shared" si="6"/>
        <v>1</v>
      </c>
      <c r="BQ52" s="88" t="str">
        <f t="shared" si="18"/>
        <v/>
      </c>
      <c r="BR52" s="89" t="str">
        <f t="shared" si="7"/>
        <v/>
      </c>
      <c r="BS52" s="74">
        <f t="shared" si="19"/>
        <v>0</v>
      </c>
      <c r="BT52" s="74">
        <f t="shared" si="20"/>
        <v>0</v>
      </c>
      <c r="BU52" s="74">
        <v>44</v>
      </c>
      <c r="BV52" s="74">
        <f t="shared" si="8"/>
        <v>1</v>
      </c>
      <c r="BW52" s="86" t="str">
        <f t="shared" si="21"/>
        <v/>
      </c>
      <c r="BX52" s="87" t="str">
        <f t="shared" si="9"/>
        <v/>
      </c>
      <c r="BY52" s="81">
        <f t="shared" si="22"/>
        <v>0</v>
      </c>
      <c r="BZ52" s="75">
        <f t="shared" si="23"/>
        <v>0</v>
      </c>
      <c r="CA52" s="75">
        <v>44</v>
      </c>
      <c r="CB52" s="75">
        <f t="shared" si="10"/>
        <v>1</v>
      </c>
      <c r="CC52" s="88" t="str">
        <f t="shared" si="24"/>
        <v/>
      </c>
      <c r="CD52" s="89" t="str">
        <f t="shared" si="11"/>
        <v/>
      </c>
    </row>
    <row r="53" spans="2:98">
      <c r="B53">
        <f t="shared" si="0"/>
        <v>0</v>
      </c>
      <c r="C53">
        <f t="shared" si="12"/>
        <v>0</v>
      </c>
      <c r="D53">
        <v>45</v>
      </c>
      <c r="E53">
        <f t="shared" si="1"/>
        <v>1</v>
      </c>
      <c r="F53" s="38" t="str">
        <f t="shared" si="13"/>
        <v>-</v>
      </c>
      <c r="G53" s="39" t="str">
        <f t="shared" si="14"/>
        <v>-</v>
      </c>
      <c r="H53" s="40" t="str">
        <f ca="1">IF(LEN($G53)=3,_xll.IMDP("IDX",$G53,"현재가",$G$3),_xll.IMDP("FRN",$G53,"현재가",$G$3))</f>
        <v/>
      </c>
      <c r="I53" s="40" t="str">
        <f ca="1">IF(LEN($G53)=3,_xll.IMDP("IDX",$G53,"전일대비",$G$3),_xll.IMDP("FRN",$G53,"전일대비",$G$3))</f>
        <v/>
      </c>
      <c r="J53" s="40" t="str">
        <f ca="1">IF(LEN($G53)=3,_xll.IMDP("IDX",$G53,"등락률",$G$3),_xll.IMDP("FRN",$G53,"등락률",$G$3))</f>
        <v/>
      </c>
      <c r="K53" s="40" t="str">
        <f ca="1">IF(LEN($G53)=3,_xll.IMDP("IDX",$G53,"시간",$G$3),_xll.IMDP("FRN",$G53,"한국시간",$G$3))</f>
        <v/>
      </c>
      <c r="L53" s="41" t="str">
        <f ca="1">IF(LEN($G53)=3,_xll.IMDP("IDX",$G53,"시간",$G$3),_xll.IMDP("FRN",$G53,"시간",$G$3))</f>
        <v/>
      </c>
      <c r="N53" s="59">
        <f t="shared" si="25"/>
        <v>42719</v>
      </c>
      <c r="O53" s="52">
        <f t="shared" si="26"/>
        <v>2036.65</v>
      </c>
      <c r="P53" s="53"/>
      <c r="Q53" s="54">
        <f t="shared" si="27"/>
        <v>19911.21</v>
      </c>
      <c r="R53" s="53"/>
      <c r="S53" s="54"/>
      <c r="T53" s="55"/>
      <c r="U53" s="54">
        <f t="shared" si="28"/>
        <v>3117.68</v>
      </c>
      <c r="V53" s="56">
        <f t="shared" si="29"/>
        <v>58396.160000000003</v>
      </c>
      <c r="W53" s="19"/>
      <c r="X53" s="20"/>
      <c r="AR53" s="67">
        <v>42688</v>
      </c>
      <c r="AS53" s="66">
        <v>1974.4</v>
      </c>
      <c r="AT53" s="66">
        <v>18589.689999999999</v>
      </c>
      <c r="AU53" s="66">
        <v>3210.37</v>
      </c>
      <c r="AV53" s="66">
        <v>59183.51</v>
      </c>
      <c r="AX53" s="67">
        <v>42688</v>
      </c>
      <c r="AY53" s="68">
        <v>-0.51</v>
      </c>
      <c r="AZ53" s="68">
        <v>1.4</v>
      </c>
      <c r="BA53" s="66">
        <v>0.45</v>
      </c>
      <c r="BB53" s="68">
        <v>-3.3</v>
      </c>
      <c r="BD53" s="68"/>
      <c r="BG53" s="74">
        <f t="shared" si="2"/>
        <v>0</v>
      </c>
      <c r="BH53" s="74">
        <f t="shared" si="3"/>
        <v>0</v>
      </c>
      <c r="BI53" s="74">
        <v>45</v>
      </c>
      <c r="BJ53" s="74">
        <f t="shared" si="4"/>
        <v>1</v>
      </c>
      <c r="BK53" s="86" t="str">
        <f t="shared" si="30"/>
        <v/>
      </c>
      <c r="BL53" s="87" t="str">
        <f t="shared" si="31"/>
        <v/>
      </c>
      <c r="BM53" s="75">
        <f t="shared" si="16"/>
        <v>0</v>
      </c>
      <c r="BN53" s="75">
        <f t="shared" si="17"/>
        <v>0</v>
      </c>
      <c r="BO53" s="75">
        <v>45</v>
      </c>
      <c r="BP53" s="75">
        <f t="shared" si="6"/>
        <v>1</v>
      </c>
      <c r="BQ53" s="88" t="str">
        <f t="shared" si="18"/>
        <v/>
      </c>
      <c r="BR53" s="89" t="str">
        <f t="shared" si="7"/>
        <v/>
      </c>
      <c r="BS53" s="74">
        <f t="shared" si="19"/>
        <v>0</v>
      </c>
      <c r="BT53" s="74">
        <f t="shared" si="20"/>
        <v>0</v>
      </c>
      <c r="BU53" s="74">
        <v>45</v>
      </c>
      <c r="BV53" s="74">
        <f t="shared" si="8"/>
        <v>1</v>
      </c>
      <c r="BW53" s="86" t="str">
        <f t="shared" si="21"/>
        <v/>
      </c>
      <c r="BX53" s="87" t="str">
        <f t="shared" si="9"/>
        <v/>
      </c>
      <c r="BY53" s="81">
        <f t="shared" si="22"/>
        <v>0</v>
      </c>
      <c r="BZ53" s="75">
        <f t="shared" si="23"/>
        <v>0</v>
      </c>
      <c r="CA53" s="75">
        <v>45</v>
      </c>
      <c r="CB53" s="75">
        <f t="shared" si="10"/>
        <v>1</v>
      </c>
      <c r="CC53" s="88" t="str">
        <f t="shared" si="24"/>
        <v/>
      </c>
      <c r="CD53" s="89" t="str">
        <f t="shared" si="11"/>
        <v/>
      </c>
    </row>
    <row r="54" spans="2:98">
      <c r="AR54" s="67">
        <v>42685</v>
      </c>
      <c r="AS54" s="66">
        <v>1984.43</v>
      </c>
      <c r="AT54" s="66">
        <v>18332.740000000002</v>
      </c>
      <c r="AU54" s="66">
        <v>3196.04</v>
      </c>
      <c r="AV54" s="66">
        <v>61200.959999999999</v>
      </c>
      <c r="AX54" s="67">
        <v>42685</v>
      </c>
      <c r="AY54" s="68">
        <v>-0.91</v>
      </c>
      <c r="AZ54" s="68">
        <v>0.4</v>
      </c>
      <c r="BA54" s="66">
        <v>0.78</v>
      </c>
      <c r="BB54" s="68">
        <v>-3.25</v>
      </c>
      <c r="BD54" s="68"/>
    </row>
    <row r="55" spans="2:98">
      <c r="AR55" s="67">
        <v>42684</v>
      </c>
      <c r="AS55" s="66">
        <v>2002.6</v>
      </c>
      <c r="AT55" s="66">
        <v>18259.599999999999</v>
      </c>
      <c r="AU55" s="66">
        <v>3171.28</v>
      </c>
      <c r="AV55" s="66">
        <v>63258.27</v>
      </c>
      <c r="AX55" s="67">
        <v>42684</v>
      </c>
      <c r="AY55" s="68">
        <v>2.2599999999999998</v>
      </c>
      <c r="AZ55" s="68">
        <v>2.08</v>
      </c>
      <c r="BA55" s="66">
        <v>1.37</v>
      </c>
      <c r="BB55" s="68">
        <v>-1.4</v>
      </c>
      <c r="BD55" s="68"/>
    </row>
    <row r="56" spans="2:98">
      <c r="AR56" s="67">
        <v>42683</v>
      </c>
      <c r="AS56" s="66">
        <v>1958.38</v>
      </c>
      <c r="AT56" s="66">
        <v>17888.28</v>
      </c>
      <c r="AU56" s="66">
        <v>3128.37</v>
      </c>
      <c r="AV56" s="66">
        <v>64157.68</v>
      </c>
      <c r="AX56" s="67">
        <v>42683</v>
      </c>
      <c r="AY56" s="68">
        <v>-2.25</v>
      </c>
      <c r="AZ56" s="68">
        <v>-0.24</v>
      </c>
      <c r="BA56" s="66">
        <v>-0.62</v>
      </c>
      <c r="BB56" s="68">
        <v>0.17</v>
      </c>
      <c r="BD56" s="68"/>
    </row>
    <row r="57" spans="2:98">
      <c r="AR57" s="67">
        <v>42682</v>
      </c>
      <c r="AS57" s="66">
        <v>2003.38</v>
      </c>
      <c r="AT57" s="66">
        <v>17930.669999999998</v>
      </c>
      <c r="AU57" s="66">
        <v>3147.89</v>
      </c>
      <c r="AV57" s="66">
        <v>64051.65</v>
      </c>
      <c r="AX57" s="67">
        <v>42682</v>
      </c>
      <c r="AY57" s="68">
        <v>0.28999999999999998</v>
      </c>
      <c r="AZ57" s="68">
        <v>-0.16</v>
      </c>
      <c r="BA57" s="66">
        <v>0.46</v>
      </c>
      <c r="BB57" s="68">
        <v>3.98</v>
      </c>
      <c r="BD57" s="68"/>
    </row>
    <row r="58" spans="2:98">
      <c r="AR58" s="67">
        <v>42681</v>
      </c>
      <c r="AS58" s="66">
        <v>1997.58</v>
      </c>
      <c r="AT58" s="66">
        <v>17959.64</v>
      </c>
      <c r="AU58" s="66">
        <v>3133.33</v>
      </c>
      <c r="AV58" s="66">
        <v>61598.39</v>
      </c>
      <c r="AX58" s="67">
        <v>42681</v>
      </c>
      <c r="AY58" s="68">
        <v>0.79</v>
      </c>
      <c r="AZ58" s="68">
        <v>-0.43</v>
      </c>
      <c r="BA58" s="66">
        <v>0.26</v>
      </c>
      <c r="BB58" s="68">
        <v>-0.25</v>
      </c>
      <c r="BD58" s="68"/>
    </row>
    <row r="59" spans="2:98">
      <c r="AR59" s="67">
        <v>42678</v>
      </c>
      <c r="AS59" s="66">
        <v>1982.02</v>
      </c>
      <c r="AT59" s="66">
        <v>18037.099999999999</v>
      </c>
      <c r="AU59" s="66">
        <v>3125.32</v>
      </c>
      <c r="AV59" s="66">
        <v>61750.17</v>
      </c>
      <c r="AX59" s="67">
        <v>42678</v>
      </c>
      <c r="AY59" s="68">
        <v>-0.09</v>
      </c>
      <c r="AZ59" s="68">
        <v>-0.57999999999999996</v>
      </c>
      <c r="BA59" s="66">
        <v>-0.12</v>
      </c>
      <c r="BB59" s="68">
        <v>-2.4900000000000002</v>
      </c>
      <c r="BD59" s="68"/>
    </row>
    <row r="60" spans="2:98">
      <c r="AR60" s="67">
        <v>42677</v>
      </c>
      <c r="AS60" s="66">
        <v>1983.8</v>
      </c>
      <c r="AT60" s="66">
        <v>18142.419999999998</v>
      </c>
      <c r="AU60" s="66">
        <v>3128.94</v>
      </c>
      <c r="AV60" s="66">
        <v>63326.42</v>
      </c>
      <c r="AX60" s="67">
        <v>42677</v>
      </c>
      <c r="AY60" s="68">
        <v>0.25</v>
      </c>
      <c r="AZ60" s="68">
        <v>-0.1</v>
      </c>
      <c r="BA60" s="66">
        <v>0.84</v>
      </c>
      <c r="BB60" s="68">
        <v>-2.46</v>
      </c>
      <c r="BD60" s="68"/>
    </row>
    <row r="61" spans="2:98">
      <c r="AR61" s="67">
        <v>42676</v>
      </c>
      <c r="AS61" s="66">
        <v>1978.94</v>
      </c>
      <c r="AT61" s="66">
        <v>18161.189999999999</v>
      </c>
      <c r="AU61" s="66">
        <v>3102.73</v>
      </c>
      <c r="AV61" s="66">
        <v>64924.52</v>
      </c>
      <c r="AX61" s="67">
        <v>42676</v>
      </c>
      <c r="AY61" s="68">
        <v>-1.42</v>
      </c>
      <c r="AZ61" s="68">
        <v>-0.05</v>
      </c>
      <c r="BA61" s="66">
        <v>-0.63</v>
      </c>
      <c r="BB61" s="68">
        <v>0.96</v>
      </c>
      <c r="BD61" s="68"/>
    </row>
    <row r="62" spans="2:98">
      <c r="AR62" s="67">
        <v>42675</v>
      </c>
      <c r="AS62" s="66">
        <v>2007.39</v>
      </c>
      <c r="AT62" s="66">
        <v>18169.68</v>
      </c>
      <c r="AU62" s="66">
        <v>3122.44</v>
      </c>
      <c r="AV62" s="66">
        <v>64307.63</v>
      </c>
      <c r="AX62" s="67">
        <v>42675</v>
      </c>
      <c r="AY62" s="68">
        <v>-0.04</v>
      </c>
      <c r="AZ62" s="68">
        <v>-0.16</v>
      </c>
      <c r="BA62" s="66">
        <v>0.71</v>
      </c>
      <c r="BB62" s="68">
        <v>0.09</v>
      </c>
      <c r="BD62" s="68"/>
    </row>
    <row r="63" spans="2:98">
      <c r="AR63" s="67">
        <v>42674</v>
      </c>
      <c r="AS63" s="66">
        <v>2008.19</v>
      </c>
      <c r="AT63" s="66">
        <v>18199.330000000002</v>
      </c>
      <c r="AU63" s="66">
        <v>3100.49</v>
      </c>
      <c r="AV63" s="66">
        <v>64249.5</v>
      </c>
      <c r="AX63" s="67">
        <v>42674</v>
      </c>
      <c r="AY63" s="68">
        <v>-0.56000000000000005</v>
      </c>
      <c r="AZ63" s="68">
        <v>0.17</v>
      </c>
      <c r="BA63" s="66">
        <v>-0.12</v>
      </c>
      <c r="BB63" s="68">
        <v>0.66</v>
      </c>
      <c r="BD63" s="68"/>
    </row>
    <row r="64" spans="2:98">
      <c r="AR64" s="67">
        <v>42671</v>
      </c>
      <c r="AS64" s="66">
        <v>2019.42</v>
      </c>
      <c r="AT64" s="66">
        <v>18169.27</v>
      </c>
      <c r="AU64" s="66">
        <v>3104.27</v>
      </c>
      <c r="AV64" s="66">
        <v>63825.69</v>
      </c>
      <c r="AX64" s="67">
        <v>42671</v>
      </c>
      <c r="AY64" s="68">
        <v>-0.23</v>
      </c>
      <c r="AZ64" s="68">
        <v>-0.3</v>
      </c>
      <c r="BA64" s="66">
        <v>-0.26</v>
      </c>
      <c r="BB64" s="68">
        <v>-0.06</v>
      </c>
      <c r="BD64" s="68"/>
    </row>
    <row r="65" spans="44:56">
      <c r="AR65" s="67">
        <v>42670</v>
      </c>
      <c r="AS65" s="66">
        <v>2024.12</v>
      </c>
      <c r="AT65" s="66">
        <v>18223.03</v>
      </c>
      <c r="AU65" s="66">
        <v>3112.35</v>
      </c>
      <c r="AV65" s="66">
        <v>63866.2</v>
      </c>
      <c r="AX65" s="67">
        <v>42670</v>
      </c>
      <c r="AY65" s="68">
        <v>0.51</v>
      </c>
      <c r="AZ65" s="68">
        <v>0.43</v>
      </c>
      <c r="BA65" s="66">
        <v>-0.13</v>
      </c>
      <c r="BB65" s="68">
        <v>-0.3</v>
      </c>
      <c r="BD65" s="68"/>
    </row>
    <row r="66" spans="44:56">
      <c r="AR66" s="67">
        <v>42669</v>
      </c>
      <c r="AS66" s="66">
        <v>2013.89</v>
      </c>
      <c r="AT66" s="66">
        <v>18145.71</v>
      </c>
      <c r="AU66" s="66">
        <v>3116.31</v>
      </c>
      <c r="AV66" s="66">
        <v>64059.89</v>
      </c>
      <c r="AX66" s="67">
        <v>42669</v>
      </c>
      <c r="AY66" s="68">
        <v>-1.1399999999999999</v>
      </c>
      <c r="AZ66" s="68">
        <v>-0.09</v>
      </c>
      <c r="BA66" s="66">
        <v>-0.5</v>
      </c>
      <c r="BB66" s="68">
        <v>-0.08</v>
      </c>
      <c r="BD66" s="68"/>
    </row>
    <row r="67" spans="44:56">
      <c r="AR67" s="67">
        <v>42668</v>
      </c>
      <c r="AS67" s="66">
        <v>2037.17</v>
      </c>
      <c r="AT67" s="66">
        <v>18162.349999999999</v>
      </c>
      <c r="AU67" s="66">
        <v>3131.94</v>
      </c>
      <c r="AV67" s="66">
        <v>64108.08</v>
      </c>
      <c r="AX67" s="67">
        <v>42668</v>
      </c>
      <c r="AY67" s="68">
        <v>-0.52</v>
      </c>
      <c r="AZ67" s="68">
        <v>-0.22</v>
      </c>
      <c r="BA67" s="66">
        <v>0.12</v>
      </c>
      <c r="BB67" s="68">
        <v>0.42</v>
      </c>
      <c r="BD67" s="68"/>
    </row>
    <row r="68" spans="44:56">
      <c r="AR68" s="67">
        <v>42667</v>
      </c>
      <c r="AS68" s="66">
        <v>2047.74</v>
      </c>
      <c r="AT68" s="66">
        <v>18202.62</v>
      </c>
      <c r="AU68" s="66">
        <v>3128.25</v>
      </c>
      <c r="AV68" s="66">
        <v>63837.85</v>
      </c>
      <c r="AX68" s="67">
        <v>42667</v>
      </c>
      <c r="AY68" s="68">
        <v>0.73</v>
      </c>
      <c r="AZ68" s="68">
        <v>0.22</v>
      </c>
      <c r="BA68" s="66">
        <v>1.21</v>
      </c>
      <c r="BB68" s="68">
        <v>0.52</v>
      </c>
      <c r="BD68" s="68"/>
    </row>
    <row r="69" spans="44:56">
      <c r="AR69" s="67">
        <v>42664</v>
      </c>
      <c r="AS69" s="66">
        <v>2033</v>
      </c>
      <c r="AT69" s="66">
        <v>18161.939999999999</v>
      </c>
      <c r="AU69" s="66">
        <v>3090.94</v>
      </c>
      <c r="AV69" s="66">
        <v>63505.61</v>
      </c>
      <c r="AX69" s="67">
        <v>42664</v>
      </c>
      <c r="AY69" s="68">
        <v>-0.37</v>
      </c>
      <c r="AZ69" s="68">
        <v>0.42</v>
      </c>
      <c r="BA69" s="66">
        <v>0.21</v>
      </c>
      <c r="BB69" s="68">
        <v>-0.43</v>
      </c>
      <c r="BD69" s="68"/>
    </row>
    <row r="70" spans="44:56">
      <c r="AR70" s="67">
        <v>42663</v>
      </c>
      <c r="AS70" s="66">
        <v>2040.6</v>
      </c>
      <c r="AT70" s="66">
        <v>18086.400000000001</v>
      </c>
      <c r="AU70" s="66">
        <v>3084.46</v>
      </c>
      <c r="AV70" s="66">
        <v>63782.21</v>
      </c>
      <c r="AX70" s="67">
        <v>42663</v>
      </c>
      <c r="AY70" s="68">
        <v>-0.02</v>
      </c>
      <c r="AZ70" s="68">
        <v>-0.28999999999999998</v>
      </c>
      <c r="BA70" s="66">
        <v>-0.01</v>
      </c>
      <c r="BB70" s="68">
        <v>1.73</v>
      </c>
      <c r="BD70" s="68"/>
    </row>
    <row r="71" spans="44:56">
      <c r="AR71" s="67">
        <v>42662</v>
      </c>
      <c r="AS71" s="66">
        <v>2040.94</v>
      </c>
      <c r="AT71" s="66">
        <v>18138.38</v>
      </c>
      <c r="AU71" s="66">
        <v>3084.72</v>
      </c>
      <c r="AV71" s="66">
        <v>62696.11</v>
      </c>
      <c r="AX71" s="67">
        <v>42662</v>
      </c>
      <c r="AY71" s="68">
        <v>0.02</v>
      </c>
      <c r="AZ71" s="68">
        <v>0.22</v>
      </c>
      <c r="BA71" s="66">
        <v>0.03</v>
      </c>
      <c r="BB71" s="68">
        <v>1.5</v>
      </c>
      <c r="BD71" s="68"/>
    </row>
    <row r="72" spans="44:56">
      <c r="AR72" s="67">
        <v>42661</v>
      </c>
      <c r="AS72" s="66">
        <v>2040.43</v>
      </c>
      <c r="AT72" s="66">
        <v>18098.939999999999</v>
      </c>
      <c r="AU72" s="66">
        <v>3083.88</v>
      </c>
      <c r="AV72" s="66">
        <v>61767.22</v>
      </c>
      <c r="AX72" s="67">
        <v>42661</v>
      </c>
      <c r="AY72" s="68">
        <v>0.63</v>
      </c>
      <c r="AZ72" s="68">
        <v>-0.25</v>
      </c>
      <c r="BA72" s="66">
        <v>1.4</v>
      </c>
      <c r="BB72" s="68">
        <v>1.06</v>
      </c>
      <c r="BD72" s="68"/>
    </row>
    <row r="73" spans="44:56">
      <c r="AR73" s="67">
        <v>42660</v>
      </c>
      <c r="AS73" s="66">
        <v>2027.61</v>
      </c>
      <c r="AT73" s="66">
        <v>18144.2</v>
      </c>
      <c r="AU73" s="66">
        <v>3041.17</v>
      </c>
      <c r="AV73" s="66">
        <v>61118.58</v>
      </c>
      <c r="AX73" s="67">
        <v>42660</v>
      </c>
      <c r="AY73" s="68">
        <v>0.24</v>
      </c>
      <c r="AZ73" s="68">
        <v>0.09</v>
      </c>
      <c r="BA73" s="66">
        <v>-0.74</v>
      </c>
      <c r="BB73" s="68">
        <v>0.16</v>
      </c>
      <c r="BD73" s="68"/>
    </row>
    <row r="74" spans="44:56">
      <c r="AR74" s="67">
        <v>42657</v>
      </c>
      <c r="AS74" s="66">
        <v>2022.66</v>
      </c>
      <c r="AT74" s="66">
        <v>18128.66</v>
      </c>
      <c r="AU74" s="66">
        <v>3063.81</v>
      </c>
      <c r="AV74" s="66">
        <v>61021.85</v>
      </c>
      <c r="AX74" s="67">
        <v>42657</v>
      </c>
      <c r="AY74" s="68">
        <v>0.36</v>
      </c>
      <c r="AZ74" s="68">
        <v>-1.0900000000000001</v>
      </c>
      <c r="BA74" s="66">
        <v>0.08</v>
      </c>
      <c r="BB74" s="68">
        <v>-1.05</v>
      </c>
      <c r="BD74" s="68"/>
    </row>
    <row r="75" spans="44:56">
      <c r="AR75" s="67">
        <v>42656</v>
      </c>
      <c r="AS75" s="66">
        <v>2015.44</v>
      </c>
      <c r="AT75" s="66">
        <v>18329.04</v>
      </c>
      <c r="AU75" s="66">
        <v>3061.35</v>
      </c>
      <c r="AV75" s="66">
        <v>61668.33</v>
      </c>
      <c r="AX75" s="67">
        <v>42656</v>
      </c>
      <c r="AY75" s="68">
        <v>-0.9</v>
      </c>
      <c r="AZ75" s="68">
        <v>0.49</v>
      </c>
      <c r="BA75" s="66">
        <v>0.09</v>
      </c>
      <c r="BB75" s="68">
        <v>0.92</v>
      </c>
      <c r="BD75" s="68"/>
    </row>
    <row r="76" spans="44:56">
      <c r="AR76" s="67">
        <v>42655</v>
      </c>
      <c r="AS76" s="66">
        <v>2033.73</v>
      </c>
      <c r="AT76" s="66">
        <v>18240.490000000002</v>
      </c>
      <c r="AU76" s="66">
        <v>3058.5</v>
      </c>
      <c r="AV76" s="66">
        <v>61108.98</v>
      </c>
      <c r="AX76" s="67">
        <v>42655</v>
      </c>
      <c r="AY76" s="68">
        <v>0.09</v>
      </c>
      <c r="AZ76" s="68">
        <v>-0.15</v>
      </c>
      <c r="BA76" s="66">
        <v>-0.22</v>
      </c>
      <c r="BB76" s="68">
        <v>0.77</v>
      </c>
      <c r="BD76" s="68"/>
    </row>
    <row r="77" spans="44:56">
      <c r="AR77" s="67">
        <v>42654</v>
      </c>
      <c r="AS77" s="66">
        <v>2031.93</v>
      </c>
      <c r="AT77" s="66">
        <v>18268.5</v>
      </c>
      <c r="AU77" s="66">
        <v>3065.25</v>
      </c>
      <c r="AV77" s="66">
        <v>60644.24</v>
      </c>
      <c r="AX77" s="67">
        <v>42654</v>
      </c>
      <c r="AY77" s="68">
        <v>-1.21</v>
      </c>
      <c r="AZ77" s="68">
        <v>-7.0000000000000007E-2</v>
      </c>
      <c r="BA77" s="66">
        <v>0.56000000000000005</v>
      </c>
      <c r="BB77" s="68">
        <v>0.65</v>
      </c>
      <c r="BD77" s="68"/>
    </row>
    <row r="78" spans="44:56">
      <c r="AR78" s="67">
        <v>42653</v>
      </c>
      <c r="AS78" s="66">
        <v>2056.8200000000002</v>
      </c>
      <c r="AT78" s="66">
        <v>18281.03</v>
      </c>
      <c r="AU78" s="66">
        <v>3048.14</v>
      </c>
      <c r="AV78" s="66">
        <v>60254.34</v>
      </c>
      <c r="AX78" s="67">
        <v>42653</v>
      </c>
      <c r="AY78" s="68">
        <v>0.15</v>
      </c>
      <c r="AZ78" s="68">
        <v>0.62</v>
      </c>
      <c r="BA78" s="66">
        <v>1.45</v>
      </c>
      <c r="BB78" s="68">
        <v>1.54</v>
      </c>
      <c r="BD78" s="68"/>
    </row>
    <row r="79" spans="44:56">
      <c r="AR79" s="67">
        <v>42650</v>
      </c>
      <c r="AS79" s="66">
        <v>2053.8000000000002</v>
      </c>
      <c r="AT79" s="66">
        <v>18168.45</v>
      </c>
      <c r="AU79" s="66">
        <v>3004.7</v>
      </c>
      <c r="AV79" s="66">
        <v>59339.23</v>
      </c>
      <c r="AX79" s="67">
        <v>42650</v>
      </c>
      <c r="AY79" s="68">
        <v>-0.56000000000000005</v>
      </c>
      <c r="AZ79" s="68">
        <v>-0.47</v>
      </c>
      <c r="BA79" s="66">
        <v>0.21</v>
      </c>
      <c r="BB79" s="68">
        <v>-0.21</v>
      </c>
      <c r="BD79" s="68"/>
    </row>
    <row r="80" spans="44:56">
      <c r="AR80" s="67">
        <v>42649</v>
      </c>
      <c r="AS80" s="66">
        <v>2065.3000000000002</v>
      </c>
      <c r="AT80" s="66">
        <v>18253.849999999999</v>
      </c>
      <c r="AU80" s="66">
        <v>2998.48</v>
      </c>
      <c r="AV80" s="66">
        <v>59461.23</v>
      </c>
      <c r="AX80" s="67">
        <v>42649</v>
      </c>
      <c r="AY80" s="68">
        <v>0.6</v>
      </c>
      <c r="AZ80" s="68">
        <v>-0.3</v>
      </c>
      <c r="BA80" s="66">
        <v>0.36</v>
      </c>
      <c r="BB80" s="68">
        <v>1.87</v>
      </c>
      <c r="BD80" s="68"/>
    </row>
    <row r="81" spans="44:56">
      <c r="AR81" s="67">
        <v>42648</v>
      </c>
      <c r="AS81" s="66">
        <v>2053</v>
      </c>
      <c r="AT81" s="66">
        <v>18308.150000000001</v>
      </c>
      <c r="AU81" s="66">
        <v>2987.86</v>
      </c>
      <c r="AV81" s="66">
        <v>58367.05</v>
      </c>
      <c r="AX81" s="67">
        <v>42648</v>
      </c>
      <c r="AY81" s="68">
        <v>-0.09</v>
      </c>
      <c r="AZ81" s="68">
        <v>0.91</v>
      </c>
      <c r="BA81" s="66">
        <v>-0.34</v>
      </c>
      <c r="BB81" s="68">
        <v>0.03</v>
      </c>
      <c r="BD81" s="68"/>
    </row>
    <row r="82" spans="44:56">
      <c r="AR82" s="67">
        <v>42647</v>
      </c>
      <c r="AS82" s="66">
        <v>2054.86</v>
      </c>
      <c r="AT82" s="66">
        <v>18143.45</v>
      </c>
      <c r="AU82" s="66">
        <v>2998.17</v>
      </c>
      <c r="AV82" s="66">
        <v>58350.57</v>
      </c>
      <c r="AX82" s="67">
        <v>42647</v>
      </c>
      <c r="AY82" s="68">
        <v>0.55000000000000004</v>
      </c>
      <c r="AZ82" s="68">
        <v>-1.07</v>
      </c>
      <c r="BA82" s="66">
        <v>0.6</v>
      </c>
      <c r="BB82" s="68">
        <v>-1.69</v>
      </c>
      <c r="BD82" s="68"/>
    </row>
    <row r="83" spans="44:56">
      <c r="AR83" s="67">
        <v>42643</v>
      </c>
      <c r="AS83" s="66">
        <v>2043.63</v>
      </c>
      <c r="AT83" s="66">
        <v>18339.240000000002</v>
      </c>
      <c r="AU83" s="66">
        <v>2980.43</v>
      </c>
      <c r="AV83" s="66">
        <v>59355.77</v>
      </c>
      <c r="AX83" s="67">
        <v>42643</v>
      </c>
      <c r="AY83" s="68">
        <v>-1.21</v>
      </c>
      <c r="AZ83" s="68">
        <v>0.61</v>
      </c>
      <c r="BA83" s="66">
        <v>-1.76</v>
      </c>
      <c r="BB83" s="68">
        <v>1.67</v>
      </c>
      <c r="BD83" s="68"/>
    </row>
    <row r="84" spans="44:56">
      <c r="AR84" s="67">
        <v>42642</v>
      </c>
      <c r="AS84" s="66">
        <v>2068.7199999999998</v>
      </c>
      <c r="AT84" s="66">
        <v>18228.3</v>
      </c>
      <c r="AU84" s="66">
        <v>3033.9</v>
      </c>
      <c r="AV84" s="66">
        <v>58382.49</v>
      </c>
      <c r="AX84" s="67">
        <v>42642</v>
      </c>
      <c r="AY84" s="68">
        <v>0.76</v>
      </c>
      <c r="AZ84" s="68">
        <v>0.74</v>
      </c>
      <c r="BA84" s="66">
        <v>-0.28000000000000003</v>
      </c>
      <c r="BB84" s="68">
        <v>0.56999999999999995</v>
      </c>
      <c r="BD84" s="68"/>
    </row>
    <row r="85" spans="44:56">
      <c r="AR85" s="67">
        <v>42641</v>
      </c>
      <c r="AS85" s="66">
        <v>2053.06</v>
      </c>
      <c r="AT85" s="66">
        <v>18094.830000000002</v>
      </c>
      <c r="AU85" s="66">
        <v>3042.31</v>
      </c>
      <c r="AV85" s="66">
        <v>58053.53</v>
      </c>
      <c r="AX85" s="67">
        <v>42641</v>
      </c>
      <c r="AY85" s="68">
        <v>-0.47</v>
      </c>
      <c r="AZ85" s="68">
        <v>-0.91</v>
      </c>
      <c r="BA85" s="66">
        <v>0.54</v>
      </c>
      <c r="BB85" s="68">
        <v>-1.1000000000000001</v>
      </c>
      <c r="BD85" s="68"/>
    </row>
    <row r="86" spans="44:56">
      <c r="AR86" s="67">
        <v>42640</v>
      </c>
      <c r="AS86" s="66">
        <v>2062.8200000000002</v>
      </c>
      <c r="AT86" s="66">
        <v>18261.45</v>
      </c>
      <c r="AU86" s="66">
        <v>3025.87</v>
      </c>
      <c r="AV86" s="66">
        <v>58697</v>
      </c>
      <c r="AX86" s="67">
        <v>42640</v>
      </c>
      <c r="AY86" s="68">
        <v>0.77</v>
      </c>
      <c r="AZ86" s="68">
        <v>-0.71</v>
      </c>
      <c r="BA86" s="66">
        <v>0.1</v>
      </c>
      <c r="BB86" s="68">
        <v>-0.5</v>
      </c>
      <c r="BD86" s="68"/>
    </row>
    <row r="87" spans="44:56">
      <c r="AR87" s="67">
        <v>42639</v>
      </c>
      <c r="AS87" s="66">
        <v>2047.11</v>
      </c>
      <c r="AT87" s="66">
        <v>18392.46</v>
      </c>
      <c r="AU87" s="66">
        <v>3023</v>
      </c>
      <c r="AV87" s="66">
        <v>58994.17</v>
      </c>
      <c r="AX87" s="67">
        <v>42639</v>
      </c>
      <c r="AY87" s="68">
        <v>-0.34</v>
      </c>
      <c r="AZ87" s="68">
        <v>0.54</v>
      </c>
      <c r="BA87" s="66">
        <v>-0.1</v>
      </c>
      <c r="BB87" s="68">
        <v>1.03</v>
      </c>
      <c r="BD87" s="68"/>
    </row>
    <row r="88" spans="44:56">
      <c r="AR88" s="67">
        <v>42636</v>
      </c>
      <c r="AS88" s="66">
        <v>2054.0700000000002</v>
      </c>
      <c r="AT88" s="66">
        <v>18293.7</v>
      </c>
      <c r="AU88" s="66">
        <v>3026.05</v>
      </c>
      <c r="AV88" s="66">
        <v>58393.919999999998</v>
      </c>
      <c r="AX88" s="67">
        <v>42636</v>
      </c>
      <c r="AY88" s="68">
        <v>0.21</v>
      </c>
      <c r="AZ88" s="68">
        <v>0.9</v>
      </c>
      <c r="BA88" s="66">
        <v>0.77</v>
      </c>
      <c r="BB88" s="68">
        <v>1.1399999999999999</v>
      </c>
      <c r="BD88" s="68"/>
    </row>
    <row r="89" spans="44:56">
      <c r="AR89" s="67">
        <v>42635</v>
      </c>
      <c r="AS89" s="66">
        <v>2049.6999999999998</v>
      </c>
      <c r="AT89" s="66">
        <v>18129.96</v>
      </c>
      <c r="AU89" s="66">
        <v>3002.85</v>
      </c>
      <c r="AV89" s="66">
        <v>57736.46</v>
      </c>
      <c r="AX89" s="67">
        <v>42635</v>
      </c>
      <c r="AY89" s="68">
        <v>0.67</v>
      </c>
      <c r="AZ89" s="68">
        <v>0.05</v>
      </c>
      <c r="BA89" s="66">
        <v>-0.68</v>
      </c>
      <c r="BB89" s="68">
        <v>0.67</v>
      </c>
      <c r="BD89" s="68"/>
    </row>
    <row r="90" spans="44:56">
      <c r="AR90" s="67">
        <v>42634</v>
      </c>
      <c r="AS90" s="66">
        <v>2035.99</v>
      </c>
      <c r="AT90" s="66">
        <v>18120.169999999998</v>
      </c>
      <c r="AU90" s="66">
        <v>3023.51</v>
      </c>
      <c r="AV90" s="66">
        <v>57350.38</v>
      </c>
      <c r="AX90" s="67">
        <v>42634</v>
      </c>
      <c r="AY90" s="68">
        <v>0.51</v>
      </c>
      <c r="AZ90" s="68">
        <v>-0.02</v>
      </c>
      <c r="BA90" s="66">
        <v>0.05</v>
      </c>
      <c r="BB90" s="68">
        <v>0.47</v>
      </c>
      <c r="BD90" s="68"/>
    </row>
    <row r="91" spans="44:56">
      <c r="AR91" s="67">
        <v>42633</v>
      </c>
      <c r="AS91" s="66">
        <v>2025.71</v>
      </c>
      <c r="AT91" s="66">
        <v>18123.8</v>
      </c>
      <c r="AU91" s="66">
        <v>3021.98</v>
      </c>
      <c r="AV91" s="66">
        <v>57079.76</v>
      </c>
      <c r="AX91" s="67">
        <v>42633</v>
      </c>
      <c r="AY91" s="68">
        <v>0.49</v>
      </c>
      <c r="AZ91" s="68">
        <v>-0.49</v>
      </c>
      <c r="BA91" s="66">
        <v>-1.85</v>
      </c>
      <c r="BB91" s="68">
        <v>-1.43</v>
      </c>
      <c r="BD91" s="68"/>
    </row>
    <row r="92" spans="44:56">
      <c r="AR92" s="67">
        <v>42632</v>
      </c>
      <c r="AS92" s="66">
        <v>2015.78</v>
      </c>
      <c r="AT92" s="66">
        <v>18212.48</v>
      </c>
      <c r="AU92" s="66">
        <v>3078.85</v>
      </c>
      <c r="AV92" s="66">
        <v>57909.49</v>
      </c>
      <c r="AX92" s="67">
        <v>42632</v>
      </c>
      <c r="AY92" s="68">
        <v>0.82</v>
      </c>
      <c r="AZ92" s="68">
        <v>0.99</v>
      </c>
      <c r="BA92" s="66">
        <v>-0.55000000000000004</v>
      </c>
      <c r="BB92" s="68">
        <v>1.49</v>
      </c>
      <c r="BD92" s="68"/>
    </row>
    <row r="93" spans="44:56">
      <c r="AR93" s="67">
        <v>42626</v>
      </c>
      <c r="AS93" s="66">
        <v>1999.36</v>
      </c>
      <c r="AT93" s="66">
        <v>18034.77</v>
      </c>
      <c r="AU93" s="66">
        <v>3095.95</v>
      </c>
      <c r="AV93" s="66">
        <v>57059.46</v>
      </c>
      <c r="AX93" s="67">
        <v>42626</v>
      </c>
      <c r="AY93" s="68">
        <v>0.4</v>
      </c>
      <c r="AZ93" s="68">
        <v>-0.18</v>
      </c>
      <c r="BA93" s="66">
        <v>0.13</v>
      </c>
      <c r="BB93" s="68">
        <v>0.42</v>
      </c>
      <c r="BD93" s="68"/>
    </row>
    <row r="94" spans="44:56">
      <c r="AR94" s="67">
        <v>42625</v>
      </c>
      <c r="AS94" s="66">
        <v>1991.48</v>
      </c>
      <c r="AT94" s="66">
        <v>18066.75</v>
      </c>
      <c r="AU94" s="66">
        <v>3091.93</v>
      </c>
      <c r="AV94" s="66">
        <v>56820.77</v>
      </c>
      <c r="AX94" s="67">
        <v>42625</v>
      </c>
      <c r="AY94" s="68">
        <v>-2.2799999999999998</v>
      </c>
      <c r="AZ94" s="68">
        <v>-1.41</v>
      </c>
      <c r="BA94" s="66">
        <v>0.04</v>
      </c>
      <c r="BB94" s="68">
        <v>-3.01</v>
      </c>
      <c r="BD94" s="68"/>
    </row>
    <row r="95" spans="44:56">
      <c r="AR95" s="67">
        <v>42622</v>
      </c>
      <c r="AS95" s="66">
        <v>2037.87</v>
      </c>
      <c r="AT95" s="66">
        <v>18325.07</v>
      </c>
      <c r="AU95" s="66">
        <v>3090.71</v>
      </c>
      <c r="AV95" s="66">
        <v>58586.11</v>
      </c>
      <c r="AX95" s="67">
        <v>42622</v>
      </c>
      <c r="AY95" s="68">
        <v>-1.25</v>
      </c>
      <c r="AZ95" s="68">
        <v>1.32</v>
      </c>
      <c r="BA95" s="66">
        <v>0.61</v>
      </c>
      <c r="BB95" s="68">
        <v>1.01</v>
      </c>
      <c r="BD95" s="68"/>
    </row>
    <row r="96" spans="44:56">
      <c r="AR96" s="67">
        <v>42621</v>
      </c>
      <c r="AS96" s="66">
        <v>2063.73</v>
      </c>
      <c r="AT96" s="66">
        <v>18085.45</v>
      </c>
      <c r="AU96" s="66">
        <v>3072.1</v>
      </c>
      <c r="AV96" s="66">
        <v>57999.73</v>
      </c>
      <c r="AX96" s="67">
        <v>42621</v>
      </c>
      <c r="AY96" s="68">
        <v>0.09</v>
      </c>
      <c r="AZ96" s="68">
        <v>-2.13</v>
      </c>
      <c r="BA96" s="66">
        <v>0.15</v>
      </c>
      <c r="BB96" s="68">
        <v>-3.71</v>
      </c>
      <c r="BD96" s="68"/>
    </row>
    <row r="97" spans="44:56">
      <c r="AR97" s="67">
        <v>42620</v>
      </c>
      <c r="AS97" s="66">
        <v>2061.88</v>
      </c>
      <c r="AT97" s="66">
        <v>18479.91</v>
      </c>
      <c r="AU97" s="66">
        <v>3067.35</v>
      </c>
      <c r="AV97" s="66">
        <v>60231.65</v>
      </c>
      <c r="AX97" s="67">
        <v>42620</v>
      </c>
      <c r="AY97" s="68">
        <v>-0.23</v>
      </c>
      <c r="AZ97" s="68">
        <v>-0.25</v>
      </c>
      <c r="BA97" s="66">
        <v>0.13</v>
      </c>
      <c r="BB97" s="68">
        <v>0.17</v>
      </c>
      <c r="BD97" s="68"/>
    </row>
    <row r="98" spans="44:56">
      <c r="AR98" s="67">
        <v>42619</v>
      </c>
      <c r="AS98" s="66">
        <v>2066.5300000000002</v>
      </c>
      <c r="AT98" s="66">
        <v>18526.14</v>
      </c>
      <c r="AU98" s="66">
        <v>3063.31</v>
      </c>
      <c r="AV98" s="66">
        <v>60129.440000000002</v>
      </c>
      <c r="AX98" s="67">
        <v>42619</v>
      </c>
      <c r="AY98" s="68">
        <v>0.31</v>
      </c>
      <c r="AZ98" s="68">
        <v>-0.06</v>
      </c>
      <c r="BA98" s="66">
        <v>-0.72</v>
      </c>
      <c r="BB98" s="68">
        <v>0.95</v>
      </c>
      <c r="BD98" s="68"/>
    </row>
    <row r="99" spans="44:56">
      <c r="AR99" s="67">
        <v>42618</v>
      </c>
      <c r="AS99" s="66">
        <v>2060.08</v>
      </c>
      <c r="AT99" s="66">
        <v>18538.12</v>
      </c>
      <c r="AU99" s="66">
        <v>3085.49</v>
      </c>
      <c r="AV99" s="66">
        <v>59566.34</v>
      </c>
      <c r="AX99" s="67">
        <v>42618</v>
      </c>
      <c r="AY99" s="68">
        <v>1.07</v>
      </c>
      <c r="AZ99" s="68">
        <v>0.25</v>
      </c>
      <c r="BA99" s="66">
        <v>0.35</v>
      </c>
      <c r="BB99" s="68">
        <v>-0.08</v>
      </c>
      <c r="BD99" s="68"/>
    </row>
    <row r="100" spans="44:56">
      <c r="AR100" s="67">
        <v>42615</v>
      </c>
      <c r="AS100" s="66">
        <v>2038.31</v>
      </c>
      <c r="AT100" s="66">
        <v>18491.96</v>
      </c>
      <c r="AU100" s="66">
        <v>3074.68</v>
      </c>
      <c r="AV100" s="66">
        <v>59616.4</v>
      </c>
      <c r="AX100" s="67">
        <v>42615</v>
      </c>
      <c r="AY100" s="68">
        <v>0.28000000000000003</v>
      </c>
      <c r="AZ100" s="68">
        <v>0.39</v>
      </c>
      <c r="BA100" s="66">
        <v>0.15</v>
      </c>
      <c r="BB100" s="68">
        <v>2.37</v>
      </c>
      <c r="BD100" s="68"/>
    </row>
    <row r="101" spans="44:56">
      <c r="AR101" s="67">
        <v>42614</v>
      </c>
      <c r="AS101" s="66">
        <v>2032.72</v>
      </c>
      <c r="AT101" s="66">
        <v>18419.3</v>
      </c>
      <c r="AU101" s="66">
        <v>3070.03</v>
      </c>
      <c r="AV101" s="66">
        <v>58236.27</v>
      </c>
      <c r="AX101" s="67">
        <v>42614</v>
      </c>
      <c r="AY101" s="68">
        <v>-0.09</v>
      </c>
      <c r="AZ101" s="68">
        <v>0.1</v>
      </c>
      <c r="BA101" s="66">
        <v>-0.01</v>
      </c>
      <c r="BB101" s="68">
        <v>0.57999999999999996</v>
      </c>
      <c r="BD101" s="68"/>
    </row>
    <row r="102" spans="44:56">
      <c r="AR102" s="67">
        <v>42613</v>
      </c>
      <c r="AS102" s="66">
        <v>2034.65</v>
      </c>
      <c r="AT102" s="66">
        <v>18400.88</v>
      </c>
      <c r="AU102" s="66">
        <v>3070.31</v>
      </c>
      <c r="AV102" s="66">
        <v>57901.11</v>
      </c>
      <c r="AX102" s="67">
        <v>42613</v>
      </c>
      <c r="AY102" s="68">
        <v>-0.25</v>
      </c>
      <c r="AZ102" s="68">
        <v>-0.28999999999999998</v>
      </c>
      <c r="BA102" s="66">
        <v>0.06</v>
      </c>
      <c r="BB102" s="68">
        <v>-1.1499999999999999</v>
      </c>
      <c r="BD102" s="68"/>
    </row>
    <row r="103" spans="44:56">
      <c r="AR103" s="67">
        <v>42612</v>
      </c>
      <c r="AS103" s="66">
        <v>2039.74</v>
      </c>
      <c r="AT103" s="66">
        <v>18454.3</v>
      </c>
      <c r="AU103" s="66">
        <v>3068.33</v>
      </c>
      <c r="AV103" s="66">
        <v>58575.42</v>
      </c>
      <c r="AX103" s="67">
        <v>42612</v>
      </c>
      <c r="AY103" s="68">
        <v>0.36</v>
      </c>
      <c r="AZ103" s="68">
        <v>-0.26</v>
      </c>
      <c r="BA103" s="66">
        <v>-0.56999999999999995</v>
      </c>
      <c r="BB103" s="68">
        <v>-0.06</v>
      </c>
      <c r="BD103" s="68"/>
    </row>
    <row r="104" spans="44:56">
      <c r="AR104" s="67">
        <v>42611</v>
      </c>
      <c r="AS104" s="66">
        <v>2032.35</v>
      </c>
      <c r="AT104" s="66">
        <v>18502.990000000002</v>
      </c>
      <c r="AU104" s="66">
        <v>3085.88</v>
      </c>
      <c r="AV104" s="66">
        <v>58610.39</v>
      </c>
      <c r="AX104" s="67">
        <v>42611</v>
      </c>
      <c r="AY104" s="68">
        <v>-0.25</v>
      </c>
      <c r="AZ104" s="68">
        <v>0.57999999999999996</v>
      </c>
      <c r="BA104" s="66">
        <v>-0.12</v>
      </c>
      <c r="BB104" s="68">
        <v>1.55</v>
      </c>
      <c r="BD104" s="68"/>
    </row>
    <row r="105" spans="44:56">
      <c r="AR105" s="67">
        <v>42608</v>
      </c>
      <c r="AS105" s="66">
        <v>2037.5</v>
      </c>
      <c r="AT105" s="66">
        <v>18395.400000000001</v>
      </c>
      <c r="AU105" s="66">
        <v>3089.71</v>
      </c>
      <c r="AV105" s="66">
        <v>57716.25</v>
      </c>
      <c r="AX105" s="67">
        <v>42608</v>
      </c>
      <c r="AY105" s="68">
        <v>-0.27</v>
      </c>
      <c r="AZ105" s="68">
        <v>-0.28999999999999998</v>
      </c>
      <c r="BA105" s="66">
        <v>0.16</v>
      </c>
      <c r="BB105" s="68">
        <v>-0.01</v>
      </c>
      <c r="BD105" s="68"/>
    </row>
    <row r="106" spans="44:56">
      <c r="AR106" s="67">
        <v>42607</v>
      </c>
      <c r="AS106" s="66">
        <v>2042.92</v>
      </c>
      <c r="AT106" s="66">
        <v>18448.41</v>
      </c>
      <c r="AU106" s="66">
        <v>3084.81</v>
      </c>
      <c r="AV106" s="66">
        <v>57722.14</v>
      </c>
      <c r="AX106" s="70"/>
      <c r="AY106" s="68"/>
    </row>
    <row r="107" spans="44:56">
      <c r="AR107" s="67">
        <v>42606</v>
      </c>
      <c r="AS107" s="66">
        <v>2043.76</v>
      </c>
      <c r="AT107" s="66">
        <v>18481.48</v>
      </c>
      <c r="AU107" s="66">
        <v>3108.1</v>
      </c>
      <c r="AV107" s="66">
        <v>57717.88</v>
      </c>
      <c r="AX107" s="70"/>
      <c r="AY107" s="68"/>
    </row>
    <row r="108" spans="44:56">
      <c r="AR108" s="67">
        <v>42605</v>
      </c>
      <c r="AS108" s="66">
        <v>2049.9299999999998</v>
      </c>
      <c r="AT108" s="66">
        <v>18547.3</v>
      </c>
      <c r="AU108" s="66">
        <v>3104.11</v>
      </c>
      <c r="AV108" s="66">
        <v>58020.03</v>
      </c>
      <c r="AX108" s="70"/>
      <c r="AY108" s="68"/>
    </row>
    <row r="109" spans="44:56">
      <c r="AR109" s="67">
        <v>42604</v>
      </c>
      <c r="AS109" s="66">
        <v>2042.16</v>
      </c>
      <c r="AT109" s="66">
        <v>18529.419999999998</v>
      </c>
      <c r="AU109" s="66">
        <v>3109.55</v>
      </c>
      <c r="AV109" s="66">
        <v>57781.24</v>
      </c>
      <c r="AX109" s="70"/>
      <c r="AY109" s="68"/>
    </row>
    <row r="110" spans="44:56">
      <c r="AR110" s="67">
        <v>42601</v>
      </c>
      <c r="AS110" s="66">
        <v>2056.2399999999998</v>
      </c>
      <c r="AT110" s="66">
        <v>18552.57</v>
      </c>
      <c r="AU110" s="66">
        <v>3110.04</v>
      </c>
      <c r="AV110" s="66">
        <v>59098.92</v>
      </c>
      <c r="AX110" s="70"/>
      <c r="AY110" s="68"/>
    </row>
    <row r="111" spans="44:56">
      <c r="AR111" s="67">
        <v>42600</v>
      </c>
      <c r="AS111" s="66">
        <v>2055.4699999999998</v>
      </c>
      <c r="AT111" s="66">
        <v>18597.7</v>
      </c>
      <c r="AU111" s="66">
        <v>3125.2</v>
      </c>
      <c r="AV111" s="66">
        <v>59166.02</v>
      </c>
      <c r="AX111" s="70"/>
      <c r="AY111" s="68"/>
    </row>
    <row r="112" spans="44:56">
      <c r="AR112" s="67">
        <v>42599</v>
      </c>
      <c r="AS112" s="66">
        <v>2043.75</v>
      </c>
      <c r="AT112" s="66">
        <v>18573.939999999999</v>
      </c>
      <c r="AU112" s="66">
        <v>3050.67</v>
      </c>
      <c r="AV112" s="66">
        <v>59323.83</v>
      </c>
      <c r="AX112" s="70"/>
      <c r="AY112" s="68"/>
    </row>
    <row r="113" spans="44:51">
      <c r="AR113" s="67">
        <v>42598</v>
      </c>
      <c r="AS113" s="66">
        <v>2047.76</v>
      </c>
      <c r="AT113" s="66">
        <v>18552.02</v>
      </c>
      <c r="AU113" s="66">
        <v>3002.64</v>
      </c>
      <c r="AV113" s="66">
        <v>58855.43</v>
      </c>
      <c r="AX113" s="70"/>
      <c r="AY113" s="68"/>
    </row>
    <row r="114" spans="44:51">
      <c r="AR114" s="67">
        <v>42594</v>
      </c>
      <c r="AS114" s="66">
        <v>2050.4699999999998</v>
      </c>
      <c r="AT114" s="66">
        <v>18636.05</v>
      </c>
      <c r="AU114" s="66">
        <v>3018.75</v>
      </c>
      <c r="AV114" s="66">
        <v>59145.98</v>
      </c>
      <c r="AX114" s="70"/>
      <c r="AY114" s="68"/>
    </row>
    <row r="115" spans="44:51">
      <c r="AR115" s="67">
        <v>42593</v>
      </c>
      <c r="AS115" s="66">
        <v>2048.8000000000002</v>
      </c>
      <c r="AT115" s="66">
        <v>18576.47</v>
      </c>
      <c r="AU115" s="66">
        <v>3025.68</v>
      </c>
      <c r="AV115" s="66">
        <v>58298.41</v>
      </c>
      <c r="AX115" s="70"/>
      <c r="AY115" s="68"/>
    </row>
    <row r="116" spans="44:51">
      <c r="AR116" s="67">
        <v>42592</v>
      </c>
      <c r="AS116" s="66">
        <v>2044.64</v>
      </c>
      <c r="AT116" s="66">
        <v>18613.52</v>
      </c>
      <c r="AU116" s="66">
        <v>3004.28</v>
      </c>
      <c r="AV116" s="66">
        <v>58299.57</v>
      </c>
      <c r="AX116" s="70"/>
      <c r="AY116" s="68"/>
    </row>
    <row r="117" spans="44:51">
      <c r="AR117" s="67">
        <v>42591</v>
      </c>
      <c r="AS117" s="66">
        <v>2043.78</v>
      </c>
      <c r="AT117" s="66">
        <v>18495.66</v>
      </c>
      <c r="AU117" s="66">
        <v>2976.7</v>
      </c>
      <c r="AV117" s="66">
        <v>56919.78</v>
      </c>
      <c r="AX117" s="70"/>
      <c r="AY117" s="68"/>
    </row>
    <row r="118" spans="44:51">
      <c r="AR118" s="67">
        <v>42590</v>
      </c>
      <c r="AS118" s="66">
        <v>2031.12</v>
      </c>
      <c r="AT118" s="66">
        <v>18533.05</v>
      </c>
      <c r="AU118" s="66">
        <v>2982.43</v>
      </c>
      <c r="AV118" s="66">
        <v>57689.41</v>
      </c>
      <c r="AX118" s="70"/>
      <c r="AY118" s="68"/>
    </row>
    <row r="119" spans="44:51">
      <c r="AR119" s="67">
        <v>42587</v>
      </c>
      <c r="AS119" s="66">
        <v>2017.94</v>
      </c>
      <c r="AT119" s="66">
        <v>18529.29</v>
      </c>
      <c r="AU119" s="66">
        <v>2978.46</v>
      </c>
      <c r="AV119" s="66">
        <v>57635.43</v>
      </c>
      <c r="AX119" s="70"/>
      <c r="AY119" s="68"/>
    </row>
    <row r="120" spans="44:51">
      <c r="AR120" s="67">
        <v>42586</v>
      </c>
      <c r="AS120" s="66">
        <v>2000.03</v>
      </c>
      <c r="AT120" s="66">
        <v>18543.53</v>
      </c>
      <c r="AU120" s="66">
        <v>2971.28</v>
      </c>
      <c r="AV120" s="66">
        <v>57661.14</v>
      </c>
      <c r="AX120" s="70"/>
      <c r="AY120" s="68"/>
    </row>
    <row r="121" spans="44:51">
      <c r="AR121" s="67">
        <v>42585</v>
      </c>
      <c r="AS121" s="66">
        <v>1994.79</v>
      </c>
      <c r="AT121" s="66">
        <v>18352.05</v>
      </c>
      <c r="AU121" s="66">
        <v>2953.39</v>
      </c>
      <c r="AV121" s="66">
        <v>57593.89</v>
      </c>
      <c r="AX121" s="70"/>
      <c r="AY121" s="68"/>
    </row>
    <row r="122" spans="44:51">
      <c r="AR122" s="67">
        <v>42584</v>
      </c>
      <c r="AS122" s="66">
        <v>2019.03</v>
      </c>
      <c r="AT122" s="66">
        <v>18355</v>
      </c>
      <c r="AU122" s="66">
        <v>2979.34</v>
      </c>
      <c r="AV122" s="66">
        <v>57076.91</v>
      </c>
      <c r="AX122" s="70"/>
      <c r="AY122" s="68"/>
    </row>
    <row r="123" spans="44:51">
      <c r="AR123" s="67">
        <v>42583</v>
      </c>
      <c r="AS123" s="66">
        <v>2029.61</v>
      </c>
      <c r="AT123" s="66">
        <v>18313.77</v>
      </c>
      <c r="AU123" s="66">
        <v>2994.32</v>
      </c>
      <c r="AV123" s="66">
        <v>56162.38</v>
      </c>
      <c r="AX123" s="70"/>
      <c r="AY123" s="68"/>
    </row>
    <row r="124" spans="44:51">
      <c r="AR124" s="67">
        <v>42580</v>
      </c>
      <c r="AS124" s="66">
        <v>2016.19</v>
      </c>
      <c r="AT124" s="66">
        <v>18404.509999999998</v>
      </c>
      <c r="AU124" s="66">
        <v>2992</v>
      </c>
      <c r="AV124" s="66">
        <v>56755.76</v>
      </c>
      <c r="AX124" s="70"/>
      <c r="AY124" s="68"/>
    </row>
    <row r="125" spans="44:51">
      <c r="AR125" s="67">
        <v>42579</v>
      </c>
      <c r="AS125" s="66">
        <v>2021.1</v>
      </c>
      <c r="AT125" s="66">
        <v>18432.240000000002</v>
      </c>
      <c r="AU125" s="66">
        <v>3050.17</v>
      </c>
      <c r="AV125" s="66">
        <v>57308.21</v>
      </c>
      <c r="AX125" s="70"/>
      <c r="AY125" s="68"/>
    </row>
    <row r="126" spans="44:51">
      <c r="AR126" s="67">
        <v>42578</v>
      </c>
      <c r="AS126" s="66">
        <v>2025.05</v>
      </c>
      <c r="AT126" s="66">
        <v>18456.349999999999</v>
      </c>
      <c r="AU126" s="66">
        <v>3015.83</v>
      </c>
      <c r="AV126" s="66">
        <v>56667.12</v>
      </c>
      <c r="AX126" s="70"/>
      <c r="AY126" s="68"/>
    </row>
    <row r="127" spans="44:51">
      <c r="AR127" s="67">
        <v>42577</v>
      </c>
      <c r="AS127" s="66">
        <v>2027.34</v>
      </c>
      <c r="AT127" s="66">
        <v>18472.169999999998</v>
      </c>
      <c r="AU127" s="66">
        <v>3012.82</v>
      </c>
      <c r="AV127" s="66">
        <v>56852.84</v>
      </c>
      <c r="AX127" s="70"/>
      <c r="AY127" s="68"/>
    </row>
    <row r="128" spans="44:51">
      <c r="AR128" s="67">
        <v>42576</v>
      </c>
      <c r="AS128" s="66">
        <v>2012.32</v>
      </c>
      <c r="AT128" s="66">
        <v>18473.75</v>
      </c>
      <c r="AU128" s="66">
        <v>3039.01</v>
      </c>
      <c r="AV128" s="66">
        <v>56782.75</v>
      </c>
      <c r="AX128" s="70"/>
      <c r="AY128" s="68"/>
    </row>
    <row r="129" spans="44:51">
      <c r="AR129" s="67">
        <v>42573</v>
      </c>
      <c r="AS129" s="66">
        <v>2010.34</v>
      </c>
      <c r="AT129" s="66">
        <v>18493.060000000001</v>
      </c>
      <c r="AU129" s="66">
        <v>3027.9</v>
      </c>
      <c r="AV129" s="66">
        <v>56872.73</v>
      </c>
      <c r="AX129" s="70"/>
      <c r="AY129" s="68"/>
    </row>
    <row r="130" spans="44:51">
      <c r="AR130" s="67">
        <v>42572</v>
      </c>
      <c r="AS130" s="66">
        <v>2012.22</v>
      </c>
      <c r="AT130" s="66">
        <v>18570.849999999999</v>
      </c>
      <c r="AU130" s="66">
        <v>3036.6</v>
      </c>
      <c r="AV130" s="66">
        <v>57002.080000000002</v>
      </c>
      <c r="AX130" s="70"/>
      <c r="AY130" s="68"/>
    </row>
    <row r="131" spans="44:51">
      <c r="AR131" s="67">
        <v>42571</v>
      </c>
      <c r="AS131" s="66">
        <v>2015.46</v>
      </c>
      <c r="AT131" s="66">
        <v>18517.23</v>
      </c>
      <c r="AU131" s="66">
        <v>3043.56</v>
      </c>
      <c r="AV131" s="66">
        <v>56641.49</v>
      </c>
      <c r="AX131" s="70"/>
      <c r="AY131" s="68"/>
    </row>
    <row r="132" spans="44:51">
      <c r="AR132" s="67">
        <v>42570</v>
      </c>
      <c r="AS132" s="66">
        <v>2016.89</v>
      </c>
      <c r="AT132" s="66">
        <v>18595.03</v>
      </c>
      <c r="AU132" s="66">
        <v>3054.3</v>
      </c>
      <c r="AV132" s="66">
        <v>56578.05</v>
      </c>
      <c r="AX132" s="70"/>
      <c r="AY132" s="68"/>
    </row>
    <row r="133" spans="44:51">
      <c r="AR133" s="67">
        <v>42569</v>
      </c>
      <c r="AS133" s="66">
        <v>2021.11</v>
      </c>
      <c r="AT133" s="66">
        <v>18559.009999999998</v>
      </c>
      <c r="AU133" s="66">
        <v>3054.02</v>
      </c>
      <c r="AV133" s="66">
        <v>56698.06</v>
      </c>
      <c r="AX133" s="70"/>
      <c r="AY133" s="68"/>
    </row>
    <row r="134" spans="44:51">
      <c r="AR134" s="67">
        <v>42566</v>
      </c>
      <c r="AS134" s="66">
        <v>2017.26</v>
      </c>
      <c r="AT134" s="66">
        <v>18533.05</v>
      </c>
      <c r="AU134" s="66">
        <v>3060.69</v>
      </c>
      <c r="AV134" s="66">
        <v>56484.21</v>
      </c>
      <c r="AX134" s="70"/>
      <c r="AY134" s="68"/>
    </row>
    <row r="135" spans="44:51">
      <c r="AR135" s="67">
        <v>42565</v>
      </c>
      <c r="AS135" s="66">
        <v>2008.77</v>
      </c>
      <c r="AT135" s="66">
        <v>18516.55</v>
      </c>
      <c r="AU135" s="66">
        <v>3049.38</v>
      </c>
      <c r="AV135" s="66">
        <v>55578.239999999998</v>
      </c>
      <c r="AX135" s="70"/>
      <c r="AY135" s="68"/>
    </row>
    <row r="136" spans="44:51">
      <c r="AR136" s="67">
        <v>42564</v>
      </c>
      <c r="AS136" s="66">
        <v>2005.55</v>
      </c>
      <c r="AT136" s="66">
        <v>18506.41</v>
      </c>
      <c r="AU136" s="66">
        <v>2994.92</v>
      </c>
      <c r="AV136" s="66">
        <v>55480.87</v>
      </c>
      <c r="AX136" s="70"/>
      <c r="AY136" s="68"/>
    </row>
    <row r="137" spans="44:51">
      <c r="AR137" s="67">
        <v>42563</v>
      </c>
      <c r="AS137" s="66">
        <v>1991.23</v>
      </c>
      <c r="AT137" s="66">
        <v>18372.12</v>
      </c>
      <c r="AU137" s="66">
        <v>2988.09</v>
      </c>
      <c r="AV137" s="66">
        <v>54598.29</v>
      </c>
      <c r="AX137" s="70"/>
      <c r="AY137" s="68"/>
    </row>
    <row r="138" spans="44:51">
      <c r="AR138" s="67">
        <v>42562</v>
      </c>
      <c r="AS138" s="66">
        <v>1988.54</v>
      </c>
      <c r="AT138" s="66">
        <v>18347.669999999998</v>
      </c>
      <c r="AU138" s="66">
        <v>3016.85</v>
      </c>
      <c r="AV138" s="66">
        <v>54256.41</v>
      </c>
      <c r="AX138" s="70"/>
      <c r="AY138" s="68"/>
    </row>
    <row r="139" spans="44:51">
      <c r="AR139" s="67">
        <v>42559</v>
      </c>
      <c r="AS139" s="66">
        <v>1963.1</v>
      </c>
      <c r="AT139" s="66">
        <v>18226.93</v>
      </c>
      <c r="AU139" s="66">
        <v>3017.29</v>
      </c>
      <c r="AV139" s="66">
        <v>53960.11</v>
      </c>
      <c r="AX139" s="70"/>
      <c r="AY139" s="68"/>
    </row>
    <row r="140" spans="44:51">
      <c r="AR140" s="67">
        <v>42558</v>
      </c>
      <c r="AS140" s="66">
        <v>1974.08</v>
      </c>
      <c r="AT140" s="66">
        <v>18146.740000000002</v>
      </c>
      <c r="AU140" s="66">
        <v>3006.39</v>
      </c>
      <c r="AV140" s="66">
        <v>53140.74</v>
      </c>
      <c r="AX140" s="70"/>
      <c r="AY140" s="68"/>
    </row>
    <row r="141" spans="44:51">
      <c r="AR141" s="67">
        <v>42557</v>
      </c>
      <c r="AS141" s="66">
        <v>1953.12</v>
      </c>
      <c r="AT141" s="66">
        <v>17895.88</v>
      </c>
      <c r="AU141" s="66">
        <v>2988.6</v>
      </c>
      <c r="AV141" s="66">
        <v>52014.66</v>
      </c>
      <c r="AX141" s="70"/>
      <c r="AY141" s="68"/>
    </row>
    <row r="142" spans="44:51">
      <c r="AR142" s="67">
        <v>42556</v>
      </c>
      <c r="AS142" s="66">
        <v>1989.85</v>
      </c>
      <c r="AT142" s="66">
        <v>17918.62</v>
      </c>
      <c r="AU142" s="66">
        <v>2932.48</v>
      </c>
      <c r="AV142" s="66">
        <v>51901.81</v>
      </c>
      <c r="AX142" s="70"/>
      <c r="AY142" s="68"/>
    </row>
    <row r="143" spans="44:51">
      <c r="AR143" s="67">
        <v>42555</v>
      </c>
      <c r="AS143" s="66">
        <v>1995.3</v>
      </c>
      <c r="AT143" s="66">
        <v>17840.62</v>
      </c>
      <c r="AU143" s="66">
        <v>2929.61</v>
      </c>
      <c r="AV143" s="66">
        <v>51842.27</v>
      </c>
      <c r="AX143" s="70"/>
      <c r="AY143" s="68"/>
    </row>
    <row r="144" spans="44:51">
      <c r="AR144" s="67">
        <v>42552</v>
      </c>
      <c r="AS144" s="66">
        <v>1987.32</v>
      </c>
      <c r="AT144" s="66">
        <v>17949.37</v>
      </c>
      <c r="AU144" s="66">
        <v>2931.59</v>
      </c>
      <c r="AV144" s="66">
        <v>52568.66</v>
      </c>
      <c r="AX144" s="70"/>
      <c r="AY144" s="68"/>
    </row>
    <row r="145" spans="44:51">
      <c r="AR145" s="67">
        <v>42551</v>
      </c>
      <c r="AS145" s="66">
        <v>1970.35</v>
      </c>
      <c r="AT145" s="66">
        <v>17929.990000000002</v>
      </c>
      <c r="AU145" s="66">
        <v>2912.56</v>
      </c>
      <c r="AV145" s="66">
        <v>52233.04</v>
      </c>
      <c r="AX145" s="70"/>
      <c r="AY145" s="68"/>
    </row>
    <row r="146" spans="44:51">
      <c r="AR146" s="67">
        <v>42550</v>
      </c>
      <c r="AS146" s="66">
        <v>1956.36</v>
      </c>
      <c r="AT146" s="66">
        <v>17694.68</v>
      </c>
      <c r="AU146" s="66">
        <v>2895.7</v>
      </c>
      <c r="AV146" s="66">
        <v>51526.93</v>
      </c>
      <c r="AX146" s="70"/>
      <c r="AY146" s="68"/>
    </row>
    <row r="147" spans="44:51">
      <c r="AR147" s="67">
        <v>42549</v>
      </c>
      <c r="AS147" s="66">
        <v>1936.22</v>
      </c>
      <c r="AT147" s="66">
        <v>17409.72</v>
      </c>
      <c r="AU147" s="66">
        <v>2854.29</v>
      </c>
      <c r="AV147" s="66">
        <v>51001.91</v>
      </c>
      <c r="AX147" s="70"/>
      <c r="AY147" s="68"/>
    </row>
    <row r="148" spans="44:51">
      <c r="AR148" s="67">
        <v>42548</v>
      </c>
      <c r="AS148" s="66">
        <v>1926.85</v>
      </c>
      <c r="AT148" s="66">
        <v>17140.240000000002</v>
      </c>
      <c r="AU148" s="66">
        <v>2891.96</v>
      </c>
      <c r="AV148" s="66">
        <v>50006.559999999998</v>
      </c>
      <c r="AX148" s="70"/>
      <c r="AY148" s="68"/>
    </row>
    <row r="149" spans="44:51">
      <c r="AR149" s="67">
        <v>42545</v>
      </c>
      <c r="AS149" s="66">
        <v>1925.24</v>
      </c>
      <c r="AT149" s="66">
        <v>17400.75</v>
      </c>
      <c r="AU149" s="66">
        <v>2905.55</v>
      </c>
      <c r="AV149" s="66">
        <v>49245.53</v>
      </c>
      <c r="AX149" s="70"/>
      <c r="AY149" s="68"/>
    </row>
    <row r="150" spans="44:51">
      <c r="AR150" s="67">
        <v>42544</v>
      </c>
      <c r="AS150" s="66">
        <v>1986.71</v>
      </c>
      <c r="AT150" s="66">
        <v>18011.07</v>
      </c>
      <c r="AU150" s="66">
        <v>2878.56</v>
      </c>
      <c r="AV150" s="66">
        <v>50105.26</v>
      </c>
      <c r="AX150" s="70"/>
      <c r="AY150" s="68"/>
    </row>
    <row r="151" spans="44:51">
      <c r="AR151" s="67">
        <v>42543</v>
      </c>
      <c r="AS151" s="66">
        <v>1992.58</v>
      </c>
      <c r="AT151" s="66">
        <v>17780.830000000002</v>
      </c>
      <c r="AU151" s="66">
        <v>2888.81</v>
      </c>
      <c r="AV151" s="66">
        <v>51559.82</v>
      </c>
      <c r="AX151" s="70"/>
      <c r="AY151" s="68"/>
    </row>
    <row r="152" spans="44:51">
      <c r="AR152" s="67">
        <v>42542</v>
      </c>
      <c r="AS152" s="66">
        <v>1982.7</v>
      </c>
      <c r="AT152" s="66">
        <v>17829.73</v>
      </c>
      <c r="AU152" s="66">
        <v>2885.11</v>
      </c>
      <c r="AV152" s="66">
        <v>50156.3</v>
      </c>
      <c r="AX152" s="70"/>
      <c r="AY152" s="68"/>
    </row>
    <row r="153" spans="44:51">
      <c r="AR153" s="67">
        <v>42541</v>
      </c>
      <c r="AS153" s="66">
        <v>1981.12</v>
      </c>
      <c r="AT153" s="66">
        <v>17804.87</v>
      </c>
      <c r="AU153" s="66">
        <v>2872.82</v>
      </c>
      <c r="AV153" s="66">
        <v>50837.8</v>
      </c>
      <c r="AX153" s="70"/>
      <c r="AY153" s="68"/>
    </row>
    <row r="154" spans="44:51">
      <c r="AR154" s="67">
        <v>42538</v>
      </c>
      <c r="AS154" s="66">
        <v>1953.4</v>
      </c>
      <c r="AT154" s="66">
        <v>17675.16</v>
      </c>
      <c r="AU154" s="66">
        <v>2887.21</v>
      </c>
      <c r="AV154" s="66">
        <v>50329.36</v>
      </c>
      <c r="AX154" s="70"/>
      <c r="AY154" s="68"/>
    </row>
    <row r="155" spans="44:51">
      <c r="AR155" s="67">
        <v>42537</v>
      </c>
      <c r="AS155" s="66">
        <v>1951.99</v>
      </c>
      <c r="AT155" s="66">
        <v>17733.099999999999</v>
      </c>
      <c r="AU155" s="66">
        <v>2842.19</v>
      </c>
      <c r="AV155" s="66">
        <v>49533.84</v>
      </c>
      <c r="AX155" s="70"/>
      <c r="AY155" s="68"/>
    </row>
    <row r="156" spans="44:51">
      <c r="AR156" s="67">
        <v>42536</v>
      </c>
      <c r="AS156" s="66">
        <v>1968.83</v>
      </c>
      <c r="AT156" s="66">
        <v>17640.169999999998</v>
      </c>
      <c r="AU156" s="66">
        <v>2833.07</v>
      </c>
      <c r="AV156" s="66">
        <v>49411.62</v>
      </c>
      <c r="AX156" s="70"/>
      <c r="AY156" s="68"/>
    </row>
    <row r="157" spans="44:51">
      <c r="AR157" s="67">
        <v>42535</v>
      </c>
      <c r="AS157" s="66">
        <v>1972.03</v>
      </c>
      <c r="AT157" s="66">
        <v>17674.82</v>
      </c>
      <c r="AU157" s="66">
        <v>2927.16</v>
      </c>
      <c r="AV157" s="66">
        <v>48914.74</v>
      </c>
      <c r="AX157" s="70"/>
      <c r="AY157" s="68"/>
    </row>
    <row r="158" spans="44:51">
      <c r="AR158" s="67">
        <v>42534</v>
      </c>
      <c r="AS158" s="66">
        <v>1979.06</v>
      </c>
      <c r="AT158" s="66">
        <v>17732.48</v>
      </c>
      <c r="AU158" s="66">
        <v>2936.04</v>
      </c>
      <c r="AV158" s="66">
        <v>48648.29</v>
      </c>
      <c r="AX158" s="70"/>
      <c r="AY158" s="68"/>
    </row>
    <row r="159" spans="44:51">
      <c r="AR159" s="67">
        <v>42531</v>
      </c>
      <c r="AS159" s="66">
        <v>2017.63</v>
      </c>
      <c r="AT159" s="66">
        <v>17865.34</v>
      </c>
      <c r="AU159" s="66">
        <v>2934.1</v>
      </c>
      <c r="AV159" s="66">
        <v>49660.79</v>
      </c>
      <c r="AX159" s="70"/>
      <c r="AY159" s="68"/>
    </row>
    <row r="160" spans="44:51">
      <c r="AR160" s="67">
        <v>42530</v>
      </c>
      <c r="AS160" s="66">
        <v>2024.17</v>
      </c>
      <c r="AT160" s="66">
        <v>17985.189999999999</v>
      </c>
      <c r="AU160" s="66">
        <v>2938.68</v>
      </c>
      <c r="AV160" s="66">
        <v>49422.16</v>
      </c>
      <c r="AX160" s="70"/>
      <c r="AY160" s="68"/>
    </row>
    <row r="161" spans="44:51">
      <c r="AR161" s="67">
        <v>42529</v>
      </c>
      <c r="AS161" s="66">
        <v>2027.08</v>
      </c>
      <c r="AT161" s="66">
        <v>18005.05</v>
      </c>
      <c r="AU161" s="66">
        <v>2925.23</v>
      </c>
      <c r="AV161" s="66">
        <v>51118.46</v>
      </c>
      <c r="AX161" s="70"/>
      <c r="AY161" s="68"/>
    </row>
    <row r="162" spans="44:51">
      <c r="AR162" s="67">
        <v>42528</v>
      </c>
      <c r="AS162" s="66">
        <v>2011.63</v>
      </c>
      <c r="AT162" s="66">
        <v>17938.28</v>
      </c>
      <c r="AU162" s="66">
        <v>2913.51</v>
      </c>
      <c r="AV162" s="66">
        <v>51629.29</v>
      </c>
      <c r="AX162" s="70"/>
      <c r="AY162" s="68"/>
    </row>
    <row r="163" spans="44:51">
      <c r="AR163" s="67">
        <v>42524</v>
      </c>
      <c r="AS163" s="66">
        <v>1985.84</v>
      </c>
      <c r="AT163" s="66">
        <v>17920.330000000002</v>
      </c>
      <c r="AU163" s="66">
        <v>2916.62</v>
      </c>
      <c r="AV163" s="66">
        <v>50487.86</v>
      </c>
      <c r="AX163" s="70"/>
      <c r="AY163" s="68"/>
    </row>
    <row r="164" spans="44:51">
      <c r="AR164" s="67">
        <v>42523</v>
      </c>
      <c r="AS164" s="66">
        <v>1985.11</v>
      </c>
      <c r="AT164" s="66">
        <v>17807.060000000001</v>
      </c>
      <c r="AU164" s="66">
        <v>2822.45</v>
      </c>
      <c r="AV164" s="66">
        <v>50431.8</v>
      </c>
      <c r="AX164" s="70"/>
      <c r="AY164" s="68"/>
    </row>
    <row r="165" spans="44:51">
      <c r="AR165" s="67">
        <v>42522</v>
      </c>
      <c r="AS165" s="66">
        <v>1982.72</v>
      </c>
      <c r="AT165" s="66">
        <v>17838.560000000001</v>
      </c>
      <c r="AU165" s="66">
        <v>2821.05</v>
      </c>
      <c r="AV165" s="66">
        <v>50619.5</v>
      </c>
      <c r="AX165" s="70"/>
      <c r="AY165" s="68"/>
    </row>
    <row r="166" spans="44:51">
      <c r="AR166" s="67">
        <v>42521</v>
      </c>
      <c r="AS166" s="66">
        <v>1983.4</v>
      </c>
      <c r="AT166" s="66">
        <v>17789.669999999998</v>
      </c>
      <c r="AU166" s="66">
        <v>2822.44</v>
      </c>
      <c r="AV166" s="66">
        <v>49887.24</v>
      </c>
      <c r="AX166" s="70"/>
      <c r="AY166" s="68"/>
    </row>
    <row r="167" spans="44:51">
      <c r="AR167" s="67">
        <v>42520</v>
      </c>
      <c r="AS167" s="66">
        <v>1967.13</v>
      </c>
      <c r="AT167" s="66">
        <v>17787.2</v>
      </c>
      <c r="AU167" s="66">
        <v>2815.09</v>
      </c>
      <c r="AV167" s="66">
        <v>49012.65</v>
      </c>
      <c r="AX167" s="70"/>
      <c r="AY167" s="68"/>
    </row>
    <row r="168" spans="44:51">
      <c r="AR168" s="67">
        <v>42517</v>
      </c>
      <c r="AS168" s="66">
        <v>1969.17</v>
      </c>
      <c r="AT168" s="66">
        <v>17873.22</v>
      </c>
      <c r="AU168" s="66">
        <v>2821.67</v>
      </c>
      <c r="AV168" s="66">
        <v>48471.71</v>
      </c>
      <c r="AX168" s="70"/>
      <c r="AY168" s="68"/>
    </row>
    <row r="169" spans="44:51">
      <c r="AR169" s="67">
        <v>42516</v>
      </c>
      <c r="AS169" s="66">
        <v>1957.06</v>
      </c>
      <c r="AT169" s="66">
        <v>17828.29</v>
      </c>
      <c r="AU169" s="66">
        <v>2843.64</v>
      </c>
      <c r="AV169" s="66">
        <v>48964.34</v>
      </c>
      <c r="AX169" s="70"/>
      <c r="AY169" s="68"/>
    </row>
    <row r="170" spans="44:51">
      <c r="AR170" s="67">
        <v>42515</v>
      </c>
      <c r="AS170" s="66">
        <v>1960.51</v>
      </c>
      <c r="AT170" s="66">
        <v>17851.509999999998</v>
      </c>
      <c r="AU170" s="66">
        <v>2825.48</v>
      </c>
      <c r="AV170" s="66">
        <v>49051.49</v>
      </c>
      <c r="AX170" s="70"/>
      <c r="AY170" s="68"/>
    </row>
    <row r="171" spans="44:51">
      <c r="AR171" s="67">
        <v>42514</v>
      </c>
      <c r="AS171" s="66">
        <v>1937.68</v>
      </c>
      <c r="AT171" s="66">
        <v>17706.05</v>
      </c>
      <c r="AU171" s="66">
        <v>2806.91</v>
      </c>
      <c r="AV171" s="66">
        <v>49482.86</v>
      </c>
      <c r="AX171" s="70"/>
      <c r="AY171" s="68"/>
    </row>
    <row r="172" spans="44:51">
      <c r="AR172" s="67">
        <v>42513</v>
      </c>
      <c r="AS172" s="66">
        <v>1955.25</v>
      </c>
      <c r="AT172" s="66">
        <v>17492.93</v>
      </c>
      <c r="AU172" s="66">
        <v>2807.51</v>
      </c>
      <c r="AV172" s="66">
        <v>49345.19</v>
      </c>
      <c r="AX172" s="70"/>
      <c r="AY172" s="68"/>
    </row>
    <row r="173" spans="44:51">
      <c r="AR173" s="67">
        <v>42510</v>
      </c>
      <c r="AS173" s="66">
        <v>1947.67</v>
      </c>
      <c r="AT173" s="66">
        <v>17500.939999999999</v>
      </c>
      <c r="AU173" s="66">
        <v>2843.68</v>
      </c>
      <c r="AV173" s="66">
        <v>49330.42</v>
      </c>
      <c r="AX173" s="70"/>
      <c r="AY173" s="68"/>
    </row>
    <row r="174" spans="44:51">
      <c r="AR174" s="67">
        <v>42509</v>
      </c>
      <c r="AS174" s="66">
        <v>1946.78</v>
      </c>
      <c r="AT174" s="66">
        <v>17435.400000000001</v>
      </c>
      <c r="AU174" s="66">
        <v>2850.86</v>
      </c>
      <c r="AV174" s="66">
        <v>49722.75</v>
      </c>
      <c r="AX174" s="70"/>
      <c r="AY174" s="68"/>
    </row>
    <row r="175" spans="44:51">
      <c r="AR175" s="67">
        <v>42508</v>
      </c>
      <c r="AS175" s="66">
        <v>1956.73</v>
      </c>
      <c r="AT175" s="66">
        <v>17526.62</v>
      </c>
      <c r="AU175" s="66">
        <v>2827.11</v>
      </c>
      <c r="AV175" s="66">
        <v>50132.53</v>
      </c>
      <c r="AX175" s="70"/>
      <c r="AY175" s="68"/>
    </row>
    <row r="176" spans="44:51">
      <c r="AR176" s="67">
        <v>42507</v>
      </c>
      <c r="AS176" s="66">
        <v>1968.06</v>
      </c>
      <c r="AT176" s="66">
        <v>17529.98</v>
      </c>
      <c r="AU176" s="66">
        <v>2835.86</v>
      </c>
      <c r="AV176" s="66">
        <v>50561.7</v>
      </c>
      <c r="AX176" s="70"/>
      <c r="AY176" s="68"/>
    </row>
    <row r="177" spans="44:51">
      <c r="AR177" s="67">
        <v>42506</v>
      </c>
      <c r="AS177" s="66">
        <v>1967.91</v>
      </c>
      <c r="AT177" s="66">
        <v>17710.71</v>
      </c>
      <c r="AU177" s="66">
        <v>2837.04</v>
      </c>
      <c r="AV177" s="66">
        <v>50839.45</v>
      </c>
      <c r="AX177" s="70"/>
      <c r="AY177" s="68"/>
    </row>
    <row r="178" spans="44:51">
      <c r="AR178" s="67">
        <v>42503</v>
      </c>
      <c r="AS178" s="66">
        <v>1966.99</v>
      </c>
      <c r="AT178" s="66">
        <v>17535.32</v>
      </c>
      <c r="AU178" s="66">
        <v>2832.59</v>
      </c>
      <c r="AV178" s="66">
        <v>51802.92</v>
      </c>
      <c r="AX178" s="70"/>
      <c r="AY178" s="68"/>
    </row>
    <row r="179" spans="44:51">
      <c r="AR179" s="67">
        <v>42502</v>
      </c>
      <c r="AS179" s="66">
        <v>1977.49</v>
      </c>
      <c r="AT179" s="66">
        <v>17720.5</v>
      </c>
      <c r="AU179" s="66">
        <v>2832.11</v>
      </c>
      <c r="AV179" s="66">
        <v>51804.31</v>
      </c>
      <c r="AX179" s="70"/>
      <c r="AY179" s="68"/>
    </row>
    <row r="180" spans="44:51">
      <c r="AR180" s="67">
        <v>42501</v>
      </c>
      <c r="AS180" s="66">
        <v>1980.1</v>
      </c>
      <c r="AT180" s="66">
        <v>17711.12</v>
      </c>
      <c r="AU180" s="66">
        <v>2913.25</v>
      </c>
      <c r="AV180" s="66">
        <v>53241.32</v>
      </c>
      <c r="AX180" s="70"/>
      <c r="AY180" s="68"/>
    </row>
    <row r="181" spans="44:51">
      <c r="AR181" s="67">
        <v>42500</v>
      </c>
      <c r="AS181" s="66">
        <v>1982.5</v>
      </c>
      <c r="AT181" s="66">
        <v>17928.349999999999</v>
      </c>
      <c r="AU181" s="66">
        <v>2997.84</v>
      </c>
      <c r="AV181" s="66">
        <v>52764.46</v>
      </c>
      <c r="AX181" s="70"/>
      <c r="AY181" s="68"/>
    </row>
    <row r="182" spans="44:51">
      <c r="AR182" s="67">
        <v>42499</v>
      </c>
      <c r="AS182" s="66">
        <v>1967.81</v>
      </c>
      <c r="AT182" s="66">
        <v>17705.91</v>
      </c>
      <c r="AU182" s="66">
        <v>2991.27</v>
      </c>
      <c r="AV182" s="66">
        <v>53070.91</v>
      </c>
      <c r="AX182" s="70"/>
      <c r="AY182" s="68"/>
    </row>
    <row r="183" spans="44:51">
      <c r="AR183" s="67">
        <v>42494</v>
      </c>
      <c r="AS183" s="66">
        <v>1976.71</v>
      </c>
      <c r="AT183" s="66">
        <v>17740.63</v>
      </c>
      <c r="AU183" s="66">
        <v>2992.64</v>
      </c>
      <c r="AV183" s="66">
        <v>50990.07</v>
      </c>
      <c r="AX183" s="70"/>
      <c r="AY183" s="68"/>
    </row>
    <row r="184" spans="44:51">
      <c r="AR184" s="67">
        <v>42493</v>
      </c>
      <c r="AS184" s="66">
        <v>1986.41</v>
      </c>
      <c r="AT184" s="66">
        <v>17660.71</v>
      </c>
      <c r="AU184" s="66">
        <v>2938.32</v>
      </c>
      <c r="AV184" s="66">
        <v>51717.82</v>
      </c>
      <c r="AX184" s="70"/>
      <c r="AY184" s="68"/>
    </row>
    <row r="185" spans="44:51">
      <c r="AR185" s="67">
        <v>42492</v>
      </c>
      <c r="AS185" s="66">
        <v>1978.15</v>
      </c>
      <c r="AT185" s="66">
        <v>17651.259999999998</v>
      </c>
      <c r="AU185" s="66">
        <v>2945.59</v>
      </c>
      <c r="AV185" s="66">
        <v>51671.040000000001</v>
      </c>
      <c r="AX185" s="70"/>
      <c r="AY185" s="68"/>
    </row>
    <row r="186" spans="44:51">
      <c r="AR186" s="67">
        <v>42489</v>
      </c>
      <c r="AS186" s="66">
        <v>1994.15</v>
      </c>
      <c r="AT186" s="66">
        <v>17750.91</v>
      </c>
      <c r="AU186" s="66">
        <v>2953.67</v>
      </c>
      <c r="AV186" s="66">
        <v>52552.800000000003</v>
      </c>
      <c r="AX186" s="70"/>
      <c r="AY186" s="68"/>
    </row>
    <row r="187" spans="44:51">
      <c r="AR187" s="67">
        <v>42488</v>
      </c>
      <c r="AS187" s="66">
        <v>2000.93</v>
      </c>
      <c r="AT187" s="66">
        <v>17891.16</v>
      </c>
      <c r="AU187" s="66">
        <v>2964.7</v>
      </c>
      <c r="AV187" s="66">
        <v>52260.19</v>
      </c>
      <c r="AX187" s="70"/>
      <c r="AY187" s="68"/>
    </row>
    <row r="188" spans="44:51">
      <c r="AR188" s="67">
        <v>42487</v>
      </c>
      <c r="AS188" s="66">
        <v>2015.4</v>
      </c>
      <c r="AT188" s="66">
        <v>17773.64</v>
      </c>
      <c r="AU188" s="66">
        <v>2946.67</v>
      </c>
      <c r="AV188" s="66">
        <v>53561.54</v>
      </c>
      <c r="AX188" s="70"/>
      <c r="AY188" s="68"/>
    </row>
    <row r="189" spans="44:51">
      <c r="AR189" s="67">
        <v>42486</v>
      </c>
      <c r="AS189" s="66">
        <v>2019.63</v>
      </c>
      <c r="AT189" s="66">
        <v>17830.759999999998</v>
      </c>
      <c r="AU189" s="66">
        <v>2959.24</v>
      </c>
      <c r="AV189" s="66">
        <v>53910.51</v>
      </c>
      <c r="AX189" s="70"/>
      <c r="AY189" s="68"/>
    </row>
    <row r="190" spans="44:51">
      <c r="AR190" s="67">
        <v>42485</v>
      </c>
      <c r="AS190" s="66">
        <v>2014.55</v>
      </c>
      <c r="AT190" s="66">
        <v>18041.55</v>
      </c>
      <c r="AU190" s="66">
        <v>2952.89</v>
      </c>
      <c r="AV190" s="66">
        <v>54311.96</v>
      </c>
      <c r="AX190" s="70"/>
      <c r="AY190" s="68"/>
    </row>
    <row r="191" spans="44:51">
      <c r="AR191" s="67">
        <v>42482</v>
      </c>
      <c r="AS191" s="66">
        <v>2015.49</v>
      </c>
      <c r="AT191" s="66">
        <v>17990.32</v>
      </c>
      <c r="AU191" s="66">
        <v>2972.58</v>
      </c>
      <c r="AV191" s="66">
        <v>54477.78</v>
      </c>
      <c r="AX191" s="70"/>
      <c r="AY191" s="68"/>
    </row>
    <row r="192" spans="44:51">
      <c r="AR192" s="67">
        <v>42481</v>
      </c>
      <c r="AS192" s="66">
        <v>2022.1</v>
      </c>
      <c r="AT192" s="66">
        <v>17977.240000000002</v>
      </c>
      <c r="AU192" s="66">
        <v>3042.82</v>
      </c>
      <c r="AV192" s="66">
        <v>53082.5</v>
      </c>
      <c r="AX192" s="70"/>
      <c r="AY192" s="68"/>
    </row>
    <row r="193" spans="44:51">
      <c r="AR193" s="67">
        <v>42480</v>
      </c>
      <c r="AS193" s="66">
        <v>2005.83</v>
      </c>
      <c r="AT193" s="66">
        <v>18003.75</v>
      </c>
      <c r="AU193" s="66">
        <v>3033.66</v>
      </c>
      <c r="AV193" s="66">
        <v>51861.71</v>
      </c>
      <c r="AX193" s="70"/>
      <c r="AY193" s="68"/>
    </row>
    <row r="194" spans="44:51">
      <c r="AR194" s="67">
        <v>42479</v>
      </c>
      <c r="AS194" s="66">
        <v>2011.36</v>
      </c>
      <c r="AT194" s="66">
        <v>17982.52</v>
      </c>
      <c r="AU194" s="66">
        <v>3078.12</v>
      </c>
      <c r="AV194" s="66">
        <v>52907.88</v>
      </c>
      <c r="AX194" s="70"/>
      <c r="AY194" s="68"/>
    </row>
    <row r="195" spans="44:51">
      <c r="AR195" s="67">
        <v>42478</v>
      </c>
      <c r="AS195" s="66">
        <v>2009.1</v>
      </c>
      <c r="AT195" s="66">
        <v>18096.27</v>
      </c>
      <c r="AU195" s="66">
        <v>3082.36</v>
      </c>
      <c r="AV195" s="66">
        <v>53630.93</v>
      </c>
      <c r="AX195" s="70"/>
      <c r="AY195" s="68"/>
    </row>
    <row r="196" spans="44:51">
      <c r="AR196" s="67">
        <v>42475</v>
      </c>
      <c r="AS196" s="66">
        <v>2014.71</v>
      </c>
      <c r="AT196" s="66">
        <v>18053.599999999999</v>
      </c>
      <c r="AU196" s="66">
        <v>3066.64</v>
      </c>
      <c r="AV196" s="66">
        <v>53710.05</v>
      </c>
      <c r="AX196" s="70"/>
      <c r="AY196" s="68"/>
    </row>
    <row r="197" spans="44:51">
      <c r="AR197" s="67">
        <v>42474</v>
      </c>
      <c r="AS197" s="66">
        <v>2015.93</v>
      </c>
      <c r="AT197" s="66">
        <v>18004.16</v>
      </c>
      <c r="AU197" s="66">
        <v>3023.65</v>
      </c>
      <c r="AV197" s="66">
        <v>52894.080000000002</v>
      </c>
      <c r="AX197" s="70"/>
      <c r="AY197" s="68"/>
    </row>
    <row r="198" spans="44:51">
      <c r="AR198" s="67">
        <v>42472</v>
      </c>
      <c r="AS198" s="66">
        <v>1981.32</v>
      </c>
      <c r="AT198" s="66">
        <v>17897.46</v>
      </c>
      <c r="AU198" s="66">
        <v>3033.96</v>
      </c>
      <c r="AV198" s="66">
        <v>53227.74</v>
      </c>
      <c r="AX198" s="70"/>
      <c r="AY198" s="68"/>
    </row>
    <row r="199" spans="44:51">
      <c r="AR199" s="67">
        <v>42471</v>
      </c>
      <c r="AS199" s="66">
        <v>1970.37</v>
      </c>
      <c r="AT199" s="66">
        <v>17926.43</v>
      </c>
      <c r="AU199" s="66">
        <v>2984.96</v>
      </c>
      <c r="AV199" s="66">
        <v>52411.02</v>
      </c>
      <c r="AX199" s="70"/>
      <c r="AY199" s="68"/>
    </row>
    <row r="200" spans="44:51">
      <c r="AR200" s="67">
        <v>42468</v>
      </c>
      <c r="AS200" s="66">
        <v>1972.05</v>
      </c>
      <c r="AT200" s="66">
        <v>17908.28</v>
      </c>
      <c r="AU200" s="66">
        <v>3008.42</v>
      </c>
      <c r="AV200" s="66">
        <v>53149.84</v>
      </c>
      <c r="AX200" s="70"/>
      <c r="AY200" s="68"/>
    </row>
    <row r="201" spans="44:51">
      <c r="AR201" s="67">
        <v>42467</v>
      </c>
      <c r="AS201" s="66">
        <v>1973.89</v>
      </c>
      <c r="AT201" s="66">
        <v>17721.25</v>
      </c>
      <c r="AU201" s="66">
        <v>3050.59</v>
      </c>
      <c r="AV201" s="66">
        <v>52001.86</v>
      </c>
      <c r="AX201" s="70"/>
      <c r="AY201" s="68"/>
    </row>
    <row r="202" spans="44:51">
      <c r="AR202" s="67">
        <v>42466</v>
      </c>
      <c r="AS202" s="66">
        <v>1971.32</v>
      </c>
      <c r="AT202" s="66">
        <v>17556.41</v>
      </c>
      <c r="AU202" s="66">
        <v>3053.07</v>
      </c>
      <c r="AV202" s="66">
        <v>50165.47</v>
      </c>
      <c r="AX202" s="70"/>
      <c r="AY202" s="68"/>
    </row>
    <row r="203" spans="44:51">
      <c r="AR203" s="67">
        <v>42465</v>
      </c>
      <c r="AS203" s="66">
        <v>1962.74</v>
      </c>
      <c r="AT203" s="66">
        <v>17576.96</v>
      </c>
      <c r="AU203" s="66">
        <v>3009.53</v>
      </c>
      <c r="AV203" s="66">
        <v>50292.93</v>
      </c>
      <c r="AX203" s="70"/>
      <c r="AY203" s="68"/>
    </row>
    <row r="204" spans="44:51">
      <c r="AR204" s="67">
        <v>42464</v>
      </c>
      <c r="AS204" s="66">
        <v>1978.97</v>
      </c>
      <c r="AT204" s="66">
        <v>17541.96</v>
      </c>
      <c r="AU204" s="66">
        <v>3003.92</v>
      </c>
      <c r="AV204" s="66">
        <v>48513.1</v>
      </c>
      <c r="AX204" s="70"/>
      <c r="AY204" s="68"/>
    </row>
    <row r="205" spans="44:51">
      <c r="AR205" s="67">
        <v>42461</v>
      </c>
      <c r="AS205" s="66">
        <v>1973.57</v>
      </c>
      <c r="AT205" s="66">
        <v>17716.05</v>
      </c>
      <c r="AU205" s="66">
        <v>3000.64</v>
      </c>
      <c r="AV205" s="66">
        <v>48096.24</v>
      </c>
      <c r="AX205" s="70"/>
      <c r="AY205" s="68"/>
    </row>
    <row r="206" spans="44:51">
      <c r="AR206" s="67">
        <v>42460</v>
      </c>
      <c r="AS206" s="66">
        <v>1995.85</v>
      </c>
      <c r="AT206" s="66">
        <v>17603.32</v>
      </c>
      <c r="AU206" s="66">
        <v>2919.83</v>
      </c>
      <c r="AV206" s="66">
        <v>49053.62</v>
      </c>
      <c r="AX206" s="70"/>
      <c r="AY206" s="68"/>
    </row>
    <row r="207" spans="44:51">
      <c r="AR207" s="67">
        <v>42459</v>
      </c>
      <c r="AS207" s="66">
        <v>2002.14</v>
      </c>
      <c r="AT207" s="66">
        <v>17737</v>
      </c>
      <c r="AU207" s="66">
        <v>2957.82</v>
      </c>
      <c r="AV207" s="66">
        <v>48779.98</v>
      </c>
      <c r="AX207" s="70"/>
      <c r="AY207" s="68"/>
    </row>
    <row r="208" spans="44:51">
      <c r="AR208" s="67">
        <v>42458</v>
      </c>
      <c r="AS208" s="66">
        <v>1994.91</v>
      </c>
      <c r="AT208" s="66">
        <v>17792.75</v>
      </c>
      <c r="AU208" s="66">
        <v>2979.43</v>
      </c>
      <c r="AV208" s="66">
        <v>50561.53</v>
      </c>
      <c r="AX208" s="70"/>
      <c r="AY208" s="68"/>
    </row>
    <row r="209" spans="44:51">
      <c r="AR209" s="67">
        <v>42457</v>
      </c>
      <c r="AS209" s="66">
        <v>1982.54</v>
      </c>
      <c r="AT209" s="66">
        <v>17685.09</v>
      </c>
      <c r="AU209" s="66">
        <v>2960.97</v>
      </c>
      <c r="AV209" s="66">
        <v>50055.27</v>
      </c>
      <c r="AX209" s="70"/>
      <c r="AY209" s="68"/>
    </row>
    <row r="210" spans="44:51">
      <c r="AR210" s="67">
        <v>42454</v>
      </c>
      <c r="AS210" s="66">
        <v>1983.81</v>
      </c>
      <c r="AT210" s="66">
        <v>17716.66</v>
      </c>
      <c r="AU210" s="66">
        <v>3009.96</v>
      </c>
      <c r="AV210" s="66">
        <v>51248.93</v>
      </c>
      <c r="AX210" s="70"/>
      <c r="AY210" s="68"/>
    </row>
    <row r="211" spans="44:51">
      <c r="AR211" s="67">
        <v>42453</v>
      </c>
      <c r="AS211" s="66">
        <v>1985.97</v>
      </c>
      <c r="AT211" s="66">
        <v>17633.11</v>
      </c>
      <c r="AU211" s="66">
        <v>2999.36</v>
      </c>
      <c r="AV211" s="66">
        <v>51154.99</v>
      </c>
      <c r="AX211" s="70"/>
      <c r="AY211" s="68"/>
    </row>
    <row r="212" spans="44:51">
      <c r="AR212" s="67">
        <v>42452</v>
      </c>
      <c r="AS212" s="66">
        <v>1995.12</v>
      </c>
      <c r="AT212" s="66">
        <v>17535.39</v>
      </c>
      <c r="AU212" s="66">
        <v>3018.8</v>
      </c>
      <c r="AV212" s="66">
        <v>50838.23</v>
      </c>
      <c r="AX212" s="70"/>
      <c r="AY212" s="68"/>
    </row>
    <row r="213" spans="44:51">
      <c r="AR213" s="67">
        <v>42451</v>
      </c>
      <c r="AS213" s="66">
        <v>1996.81</v>
      </c>
      <c r="AT213" s="66">
        <v>17515.73</v>
      </c>
      <c r="AU213" s="66">
        <v>2955.15</v>
      </c>
      <c r="AV213" s="66">
        <v>49657.39</v>
      </c>
      <c r="AX213" s="70"/>
      <c r="AY213" s="68"/>
    </row>
    <row r="214" spans="44:51">
      <c r="AR214" s="67">
        <v>42450</v>
      </c>
      <c r="AS214" s="66">
        <v>1989.76</v>
      </c>
      <c r="AT214" s="66">
        <v>17502.59</v>
      </c>
      <c r="AU214" s="66">
        <v>2904.83</v>
      </c>
      <c r="AV214" s="66">
        <v>49690.05</v>
      </c>
      <c r="AX214" s="70"/>
      <c r="AY214" s="68"/>
    </row>
    <row r="215" spans="44:51">
      <c r="AR215" s="67">
        <v>42447</v>
      </c>
      <c r="AS215" s="66">
        <v>1992.12</v>
      </c>
      <c r="AT215" s="66">
        <v>17582.57</v>
      </c>
      <c r="AU215" s="66">
        <v>2870.43</v>
      </c>
      <c r="AV215" s="66">
        <v>51010.2</v>
      </c>
      <c r="AX215" s="70"/>
      <c r="AY215" s="68"/>
    </row>
    <row r="216" spans="44:51">
      <c r="AR216" s="67">
        <v>42446</v>
      </c>
      <c r="AS216" s="66">
        <v>1987.99</v>
      </c>
      <c r="AT216" s="66">
        <v>17623.87</v>
      </c>
      <c r="AU216" s="66">
        <v>2864.37</v>
      </c>
      <c r="AV216" s="66">
        <v>51171.55</v>
      </c>
      <c r="AX216" s="70"/>
      <c r="AY216" s="68"/>
    </row>
    <row r="217" spans="44:51">
      <c r="AR217" s="67">
        <v>42445</v>
      </c>
      <c r="AS217" s="66">
        <v>1974.9</v>
      </c>
      <c r="AT217" s="66">
        <v>17602.3</v>
      </c>
      <c r="AU217" s="66">
        <v>2859.5</v>
      </c>
      <c r="AV217" s="66">
        <v>50814.66</v>
      </c>
      <c r="AX217" s="70"/>
      <c r="AY217" s="68"/>
    </row>
    <row r="218" spans="44:51">
      <c r="AR218" s="67">
        <v>42444</v>
      </c>
      <c r="AS218" s="66">
        <v>1969.97</v>
      </c>
      <c r="AT218" s="66">
        <v>17481.490000000002</v>
      </c>
      <c r="AU218" s="66">
        <v>2810.31</v>
      </c>
      <c r="AV218" s="66">
        <v>50913.79</v>
      </c>
      <c r="AX218" s="70"/>
      <c r="AY218" s="68"/>
    </row>
    <row r="219" spans="44:51">
      <c r="AR219" s="67">
        <v>42443</v>
      </c>
      <c r="AS219" s="66">
        <v>1972.27</v>
      </c>
      <c r="AT219" s="66">
        <v>17325.759999999998</v>
      </c>
      <c r="AU219" s="66">
        <v>2804.73</v>
      </c>
      <c r="AV219" s="66">
        <v>47763.43</v>
      </c>
      <c r="AX219" s="70"/>
      <c r="AY219" s="68"/>
    </row>
    <row r="220" spans="44:51">
      <c r="AR220" s="67">
        <v>42440</v>
      </c>
      <c r="AS220" s="66">
        <v>1971.41</v>
      </c>
      <c r="AT220" s="66">
        <v>17251.53</v>
      </c>
      <c r="AU220" s="66">
        <v>2862.56</v>
      </c>
      <c r="AV220" s="66">
        <v>47130.02</v>
      </c>
      <c r="AX220" s="70"/>
      <c r="AY220" s="68"/>
    </row>
    <row r="221" spans="44:51">
      <c r="AR221" s="67">
        <v>42439</v>
      </c>
      <c r="AS221" s="66">
        <v>1969.33</v>
      </c>
      <c r="AT221" s="66">
        <v>17229.13</v>
      </c>
      <c r="AU221" s="66">
        <v>2901.39</v>
      </c>
      <c r="AV221" s="66">
        <v>48867.34</v>
      </c>
      <c r="AX221" s="70"/>
      <c r="AY221" s="68"/>
    </row>
    <row r="222" spans="44:51">
      <c r="AR222" s="67">
        <v>42438</v>
      </c>
      <c r="AS222" s="66">
        <v>1952.95</v>
      </c>
      <c r="AT222" s="66">
        <v>17213.310000000001</v>
      </c>
      <c r="AU222" s="66">
        <v>2897.34</v>
      </c>
      <c r="AV222" s="66">
        <v>49638.68</v>
      </c>
      <c r="AX222" s="70"/>
      <c r="AY222" s="68"/>
    </row>
    <row r="223" spans="44:51">
      <c r="AR223" s="67">
        <v>42437</v>
      </c>
      <c r="AS223" s="66">
        <v>1946.12</v>
      </c>
      <c r="AT223" s="66">
        <v>16995.13</v>
      </c>
      <c r="AU223" s="66">
        <v>2874.15</v>
      </c>
      <c r="AV223" s="66">
        <v>49571.11</v>
      </c>
      <c r="AX223" s="70"/>
      <c r="AY223" s="68"/>
    </row>
    <row r="224" spans="44:51">
      <c r="AR224" s="67">
        <v>42436</v>
      </c>
      <c r="AS224" s="66">
        <v>1957.87</v>
      </c>
      <c r="AT224" s="66">
        <v>17000.36</v>
      </c>
      <c r="AU224" s="66">
        <v>2859.76</v>
      </c>
      <c r="AV224" s="66">
        <v>48665.09</v>
      </c>
      <c r="AX224" s="70"/>
      <c r="AY224" s="68"/>
    </row>
    <row r="225" spans="44:51">
      <c r="AR225" s="67">
        <v>42433</v>
      </c>
      <c r="AS225" s="66">
        <v>1955.63</v>
      </c>
      <c r="AT225" s="66">
        <v>16964.099999999999</v>
      </c>
      <c r="AU225" s="66">
        <v>2849.68</v>
      </c>
      <c r="AV225" s="66">
        <v>49102.14</v>
      </c>
      <c r="AX225" s="70"/>
      <c r="AY225" s="68"/>
    </row>
    <row r="226" spans="44:51">
      <c r="AR226" s="67">
        <v>42432</v>
      </c>
      <c r="AS226" s="66">
        <v>1958.17</v>
      </c>
      <c r="AT226" s="66">
        <v>17073.95</v>
      </c>
      <c r="AU226" s="66">
        <v>2733.17</v>
      </c>
      <c r="AV226" s="66">
        <v>49246.1</v>
      </c>
      <c r="AX226" s="70"/>
      <c r="AY226" s="68"/>
    </row>
    <row r="227" spans="44:51">
      <c r="AR227" s="67">
        <v>42431</v>
      </c>
      <c r="AS227" s="66">
        <v>1947.42</v>
      </c>
      <c r="AT227" s="66">
        <v>17006.77</v>
      </c>
      <c r="AU227" s="66">
        <v>2687.98</v>
      </c>
      <c r="AV227" s="66">
        <v>49084.87</v>
      </c>
      <c r="AX227" s="70"/>
      <c r="AY227" s="68"/>
    </row>
    <row r="228" spans="44:51">
      <c r="AR228" s="67">
        <v>42429</v>
      </c>
      <c r="AS228" s="66">
        <v>1916.66</v>
      </c>
      <c r="AT228" s="66">
        <v>16943.900000000001</v>
      </c>
      <c r="AU228" s="66">
        <v>2767.21</v>
      </c>
      <c r="AV228" s="66">
        <v>47193.39</v>
      </c>
      <c r="AX228" s="70"/>
      <c r="AY228" s="68"/>
    </row>
    <row r="229" spans="44:51">
      <c r="AR229" s="67">
        <v>42426</v>
      </c>
      <c r="AS229" s="66">
        <v>1920.16</v>
      </c>
      <c r="AT229" s="66">
        <v>16899.32</v>
      </c>
      <c r="AU229" s="66">
        <v>2741.25</v>
      </c>
      <c r="AV229" s="66">
        <v>44893.48</v>
      </c>
      <c r="AX229" s="70"/>
      <c r="AY229" s="68"/>
    </row>
    <row r="230" spans="44:51">
      <c r="AR230" s="67">
        <v>42425</v>
      </c>
      <c r="AS230" s="66">
        <v>1918.57</v>
      </c>
      <c r="AT230" s="66">
        <v>16865.080000000002</v>
      </c>
      <c r="AU230" s="66">
        <v>2928.9</v>
      </c>
      <c r="AV230" s="66">
        <v>44121.79</v>
      </c>
      <c r="AX230" s="70"/>
      <c r="AY230" s="68"/>
    </row>
    <row r="231" spans="44:51">
      <c r="AR231" s="67">
        <v>42424</v>
      </c>
      <c r="AS231" s="66">
        <v>1912.53</v>
      </c>
      <c r="AT231" s="66">
        <v>16516.5</v>
      </c>
      <c r="AU231" s="66">
        <v>2903.33</v>
      </c>
      <c r="AV231" s="66">
        <v>42793.86</v>
      </c>
      <c r="AX231" s="70"/>
      <c r="AY231" s="68"/>
    </row>
    <row r="232" spans="44:51">
      <c r="AR232" s="67">
        <v>42423</v>
      </c>
      <c r="AS232" s="66">
        <v>1914.22</v>
      </c>
      <c r="AT232" s="66">
        <v>16639.97</v>
      </c>
      <c r="AU232" s="66">
        <v>2927.18</v>
      </c>
      <c r="AV232" s="66">
        <v>41593.08</v>
      </c>
      <c r="AX232" s="70"/>
      <c r="AY232" s="68"/>
    </row>
    <row r="233" spans="44:51">
      <c r="AR233" s="67">
        <v>42422</v>
      </c>
      <c r="AS233" s="66">
        <v>1916.36</v>
      </c>
      <c r="AT233" s="66">
        <v>16697.29</v>
      </c>
      <c r="AU233" s="66">
        <v>2860.02</v>
      </c>
      <c r="AV233" s="66">
        <v>41887.9</v>
      </c>
      <c r="AX233" s="70"/>
      <c r="AY233" s="68"/>
    </row>
    <row r="234" spans="44:51">
      <c r="AR234" s="67">
        <v>42419</v>
      </c>
      <c r="AS234" s="66">
        <v>1916.24</v>
      </c>
      <c r="AT234" s="66">
        <v>16484.990000000002</v>
      </c>
      <c r="AU234" s="66">
        <v>2862.89</v>
      </c>
      <c r="AV234" s="66">
        <v>42084.56</v>
      </c>
      <c r="AX234" s="70"/>
      <c r="AY234" s="68"/>
    </row>
    <row r="235" spans="44:51">
      <c r="AR235" s="67">
        <v>42418</v>
      </c>
      <c r="AS235" s="66">
        <v>1908.84</v>
      </c>
      <c r="AT235" s="66">
        <v>16431.78</v>
      </c>
      <c r="AU235" s="66">
        <v>2867.34</v>
      </c>
      <c r="AV235" s="66">
        <v>42520.94</v>
      </c>
      <c r="AX235" s="70"/>
      <c r="AY235" s="68"/>
    </row>
    <row r="236" spans="44:51">
      <c r="AR236" s="67">
        <v>42417</v>
      </c>
      <c r="AS236" s="66">
        <v>1883.94</v>
      </c>
      <c r="AT236" s="66">
        <v>16620.66</v>
      </c>
      <c r="AU236" s="66">
        <v>2836.57</v>
      </c>
      <c r="AV236" s="66">
        <v>43234.86</v>
      </c>
      <c r="AX236" s="70"/>
      <c r="AY236" s="68"/>
    </row>
    <row r="237" spans="44:51">
      <c r="AR237" s="67">
        <v>42416</v>
      </c>
      <c r="AS237" s="66">
        <v>1888.3</v>
      </c>
      <c r="AT237" s="66">
        <v>16391.990000000002</v>
      </c>
      <c r="AU237" s="66">
        <v>2746.2</v>
      </c>
      <c r="AV237" s="66">
        <v>41543.410000000003</v>
      </c>
      <c r="AX237" s="70"/>
      <c r="AY237" s="68"/>
    </row>
    <row r="238" spans="44:51">
      <c r="AR238" s="67">
        <v>42415</v>
      </c>
      <c r="AS238" s="66">
        <v>1862.2</v>
      </c>
      <c r="AT238" s="66">
        <v>16413.43</v>
      </c>
      <c r="AU238" s="66">
        <v>2763.49</v>
      </c>
      <c r="AV238" s="66">
        <v>41477.629999999997</v>
      </c>
      <c r="AX238" s="70"/>
      <c r="AY238" s="68"/>
    </row>
    <row r="239" spans="44:51">
      <c r="AR239" s="67">
        <v>42412</v>
      </c>
      <c r="AS239" s="66">
        <v>1835.28</v>
      </c>
      <c r="AT239" s="66">
        <v>16453.830000000002</v>
      </c>
      <c r="AU239" s="66">
        <v>2781.02</v>
      </c>
      <c r="AV239" s="66">
        <v>41630.82</v>
      </c>
      <c r="AX239" s="70"/>
      <c r="AY239" s="68"/>
    </row>
    <row r="240" spans="44:51">
      <c r="AR240" s="67">
        <v>42411</v>
      </c>
      <c r="AS240" s="66">
        <v>1861.54</v>
      </c>
      <c r="AT240" s="66">
        <v>16196.41</v>
      </c>
      <c r="AU240" s="66">
        <v>2739.25</v>
      </c>
      <c r="AV240" s="66">
        <v>40947.699999999997</v>
      </c>
      <c r="AX240" s="70"/>
      <c r="AY240" s="68"/>
    </row>
    <row r="241" spans="44:51">
      <c r="AR241" s="67">
        <v>42405</v>
      </c>
      <c r="AS241" s="66">
        <v>1917.79</v>
      </c>
      <c r="AT241" s="66">
        <v>15973.84</v>
      </c>
      <c r="AU241" s="66">
        <v>2749.57</v>
      </c>
      <c r="AV241" s="66">
        <v>40092.89</v>
      </c>
      <c r="AX241" s="70"/>
      <c r="AY241" s="68"/>
    </row>
    <row r="242" spans="44:51">
      <c r="AR242" s="67">
        <v>42404</v>
      </c>
      <c r="AS242" s="66">
        <v>1916.26</v>
      </c>
      <c r="AT242" s="66">
        <v>15660.18</v>
      </c>
      <c r="AU242" s="66">
        <v>2688.85</v>
      </c>
      <c r="AV242" s="66">
        <v>39808.050000000003</v>
      </c>
      <c r="AX242" s="70"/>
      <c r="AY242" s="68"/>
    </row>
    <row r="243" spans="44:51">
      <c r="AR243" s="67">
        <v>42403</v>
      </c>
      <c r="AS243" s="66">
        <v>1890.67</v>
      </c>
      <c r="AT243" s="66">
        <v>15914.74</v>
      </c>
      <c r="AU243" s="66">
        <v>2737.6</v>
      </c>
      <c r="AV243" s="66">
        <v>39318.300000000003</v>
      </c>
      <c r="AX243" s="70"/>
      <c r="AY243" s="68"/>
    </row>
    <row r="244" spans="44:51">
      <c r="AR244" s="67">
        <v>42402</v>
      </c>
      <c r="AS244" s="66">
        <v>1906.6</v>
      </c>
      <c r="AT244" s="66">
        <v>16014.38</v>
      </c>
      <c r="AU244" s="66">
        <v>2655.66</v>
      </c>
      <c r="AV244" s="66">
        <v>40376.58</v>
      </c>
      <c r="AX244" s="70"/>
      <c r="AY244" s="68"/>
    </row>
    <row r="245" spans="44:51">
      <c r="AR245" s="67">
        <v>42401</v>
      </c>
      <c r="AS245" s="66">
        <v>1924.82</v>
      </c>
      <c r="AT245" s="66">
        <v>16027.05</v>
      </c>
      <c r="AU245" s="66">
        <v>2735.56</v>
      </c>
      <c r="AV245" s="66">
        <v>40592.089999999997</v>
      </c>
      <c r="AX245" s="70"/>
      <c r="AY245" s="68"/>
    </row>
    <row r="246" spans="44:51">
      <c r="AR246" s="67">
        <v>42398</v>
      </c>
      <c r="AS246" s="66">
        <v>1912.06</v>
      </c>
      <c r="AT246" s="66">
        <v>16204.97</v>
      </c>
      <c r="AU246" s="66">
        <v>2749.79</v>
      </c>
      <c r="AV246" s="66">
        <v>40821.730000000003</v>
      </c>
      <c r="AX246" s="70"/>
      <c r="AY246" s="68"/>
    </row>
    <row r="247" spans="44:51">
      <c r="AR247" s="67">
        <v>42397</v>
      </c>
      <c r="AS247" s="66">
        <v>1906.94</v>
      </c>
      <c r="AT247" s="66">
        <v>16416.580000000002</v>
      </c>
      <c r="AU247" s="66">
        <v>2938.51</v>
      </c>
      <c r="AV247" s="66">
        <v>39588.82</v>
      </c>
      <c r="AX247" s="70"/>
      <c r="AY247" s="68"/>
    </row>
    <row r="248" spans="44:51">
      <c r="AR248" s="67">
        <v>42396</v>
      </c>
      <c r="AS248" s="66">
        <v>1897.87</v>
      </c>
      <c r="AT248" s="66">
        <v>16336.66</v>
      </c>
      <c r="AU248" s="66">
        <v>2916.56</v>
      </c>
      <c r="AV248" s="66">
        <v>38596.17</v>
      </c>
      <c r="AX248" s="70"/>
      <c r="AY248" s="68"/>
    </row>
    <row r="249" spans="44:51">
      <c r="AR249" s="67">
        <v>42395</v>
      </c>
      <c r="AS249" s="66">
        <v>1871.69</v>
      </c>
      <c r="AT249" s="66">
        <v>16153.54</v>
      </c>
      <c r="AU249" s="66">
        <v>2880.48</v>
      </c>
      <c r="AV249" s="66">
        <v>40570.04</v>
      </c>
      <c r="AX249" s="70"/>
      <c r="AY249" s="68"/>
    </row>
    <row r="250" spans="44:51">
      <c r="AR250" s="67">
        <v>42394</v>
      </c>
      <c r="AS250" s="66">
        <v>1893.43</v>
      </c>
      <c r="AT250" s="66">
        <v>16449.18</v>
      </c>
      <c r="AU250" s="66">
        <v>2976.69</v>
      </c>
      <c r="AV250" s="66">
        <v>40405.99</v>
      </c>
      <c r="AX250" s="70"/>
      <c r="AY250" s="68"/>
    </row>
    <row r="251" spans="44:51">
      <c r="AR251" s="67">
        <v>42391</v>
      </c>
      <c r="AS251" s="66">
        <v>1879.43</v>
      </c>
      <c r="AT251" s="66">
        <v>16466.3</v>
      </c>
      <c r="AU251" s="66">
        <v>3007.74</v>
      </c>
      <c r="AV251" s="66">
        <v>38630.19</v>
      </c>
      <c r="AX251" s="70"/>
      <c r="AY251" s="68"/>
    </row>
    <row r="252" spans="44:51">
      <c r="AR252" s="67">
        <v>42390</v>
      </c>
      <c r="AS252" s="66">
        <v>1840.53</v>
      </c>
      <c r="AT252" s="66">
        <v>16069.64</v>
      </c>
      <c r="AV252" s="66">
        <v>38376.370000000003</v>
      </c>
      <c r="AX252" s="70"/>
      <c r="AY252" s="68"/>
    </row>
    <row r="253" spans="44:51">
      <c r="AR253" s="67">
        <v>42389</v>
      </c>
      <c r="AS253" s="66">
        <v>1845.45</v>
      </c>
      <c r="AT253" s="66">
        <v>15944.46</v>
      </c>
      <c r="AV253" s="66">
        <v>37497.480000000003</v>
      </c>
      <c r="AX253" s="70"/>
      <c r="AY253" s="68"/>
    </row>
    <row r="254" spans="44:51">
      <c r="AR254" s="67">
        <v>42388</v>
      </c>
      <c r="AS254" s="66">
        <v>1889.64</v>
      </c>
      <c r="AT254" s="66">
        <v>16167.23</v>
      </c>
      <c r="AV254" s="66">
        <v>38031.22</v>
      </c>
      <c r="AX254" s="70"/>
      <c r="AY254" s="68"/>
    </row>
    <row r="255" spans="44:51">
      <c r="AR255" s="67"/>
      <c r="AT255" s="66">
        <v>15885.22</v>
      </c>
      <c r="AV255" s="66">
        <v>37717.11</v>
      </c>
      <c r="AX255" s="70"/>
      <c r="AY255" s="68"/>
    </row>
    <row r="256" spans="44:51">
      <c r="AR256" s="67"/>
      <c r="AT256" s="66">
        <v>16093.51</v>
      </c>
      <c r="AV256" s="66">
        <v>37645.480000000003</v>
      </c>
      <c r="AX256" s="70"/>
      <c r="AY256" s="68"/>
    </row>
    <row r="257" spans="44:51">
      <c r="AR257" s="67"/>
      <c r="AT257" s="66">
        <v>15882.68</v>
      </c>
      <c r="AV257" s="66">
        <v>38057.019999999997</v>
      </c>
      <c r="AX257" s="70"/>
      <c r="AY257" s="68"/>
    </row>
    <row r="258" spans="44:51">
      <c r="AR258" s="67"/>
      <c r="AT258" s="66">
        <v>15766.74</v>
      </c>
      <c r="AX258" s="70"/>
      <c r="AY258" s="68"/>
    </row>
    <row r="259" spans="44:51">
      <c r="AR259" s="67"/>
      <c r="AT259" s="66">
        <v>16016.02</v>
      </c>
      <c r="AX259" s="70"/>
      <c r="AY259" s="68"/>
    </row>
    <row r="260" spans="44:51">
      <c r="AR260" s="67"/>
      <c r="AX260" s="70"/>
      <c r="AY260" s="68"/>
    </row>
    <row r="261" spans="44:51">
      <c r="AR261" s="67"/>
      <c r="AX261" s="70"/>
      <c r="AY261" s="68"/>
    </row>
    <row r="262" spans="44:51">
      <c r="AR262" s="67"/>
      <c r="AX262" s="70"/>
      <c r="AY262" s="68"/>
    </row>
    <row r="263" spans="44:51">
      <c r="AR263" s="67"/>
      <c r="AX263" s="70"/>
      <c r="AY263" s="68"/>
    </row>
    <row r="264" spans="44:51">
      <c r="AR264" s="67"/>
      <c r="AX264" s="70"/>
      <c r="AY264" s="68"/>
    </row>
    <row r="265" spans="44:51">
      <c r="AR265" s="67"/>
      <c r="AX265" s="70"/>
      <c r="AY265" s="68"/>
    </row>
    <row r="266" spans="44:51">
      <c r="AR266" s="67"/>
      <c r="AX266" s="70"/>
      <c r="AY266" s="68"/>
    </row>
    <row r="267" spans="44:51">
      <c r="AR267" s="67"/>
      <c r="AX267" s="70"/>
      <c r="AY267" s="68"/>
    </row>
    <row r="268" spans="44:51">
      <c r="AR268" s="67"/>
      <c r="AX268" s="70"/>
      <c r="AY268" s="68"/>
    </row>
    <row r="269" spans="44:51">
      <c r="AR269" s="67"/>
      <c r="AX269" s="70"/>
      <c r="AY269" s="68"/>
    </row>
    <row r="270" spans="44:51">
      <c r="AR270" s="67"/>
      <c r="AX270" s="70"/>
      <c r="AY270" s="68"/>
    </row>
    <row r="271" spans="44:51">
      <c r="AR271" s="67"/>
      <c r="AX271" s="70"/>
      <c r="AY271" s="68"/>
    </row>
    <row r="272" spans="44:51">
      <c r="AR272" s="67"/>
      <c r="AX272" s="70"/>
      <c r="AY272" s="68"/>
    </row>
    <row r="273" spans="44:51">
      <c r="AR273" s="67"/>
      <c r="AX273" s="70"/>
      <c r="AY273" s="68"/>
    </row>
    <row r="274" spans="44:51">
      <c r="AR274" s="67"/>
      <c r="AX274" s="70"/>
      <c r="AY274" s="68"/>
    </row>
    <row r="275" spans="44:51">
      <c r="AR275" s="67"/>
      <c r="AX275" s="70"/>
      <c r="AY275" s="68"/>
    </row>
    <row r="276" spans="44:51">
      <c r="AR276" s="67"/>
      <c r="AX276" s="70"/>
      <c r="AY276" s="68"/>
    </row>
    <row r="277" spans="44:51">
      <c r="AR277" s="67"/>
      <c r="AX277" s="70"/>
      <c r="AY277" s="68"/>
    </row>
    <row r="278" spans="44:51">
      <c r="AR278" s="67"/>
      <c r="AX278" s="70"/>
      <c r="AY278" s="68"/>
    </row>
    <row r="279" spans="44:51">
      <c r="AR279" s="67"/>
      <c r="AX279" s="70"/>
      <c r="AY279" s="68"/>
    </row>
    <row r="280" spans="44:51">
      <c r="AR280" s="67"/>
      <c r="AX280" s="70"/>
      <c r="AY280" s="68"/>
    </row>
    <row r="281" spans="44:51">
      <c r="AR281" s="67"/>
      <c r="AX281" s="70"/>
      <c r="AY281" s="68"/>
    </row>
    <row r="282" spans="44:51">
      <c r="AR282" s="67"/>
      <c r="AX282" s="70"/>
      <c r="AY282" s="68"/>
    </row>
    <row r="283" spans="44:51">
      <c r="AR283" s="67"/>
      <c r="AX283" s="70"/>
      <c r="AY283" s="68"/>
    </row>
    <row r="284" spans="44:51">
      <c r="AR284" s="67"/>
      <c r="AX284" s="70"/>
      <c r="AY284" s="68"/>
    </row>
    <row r="285" spans="44:51">
      <c r="AR285" s="67"/>
      <c r="AX285" s="70"/>
      <c r="AY285" s="68"/>
    </row>
    <row r="286" spans="44:51">
      <c r="AR286" s="67"/>
      <c r="AX286" s="70"/>
      <c r="AY286" s="68"/>
    </row>
    <row r="287" spans="44:51">
      <c r="AR287" s="67"/>
      <c r="AX287" s="70"/>
      <c r="AY287" s="68"/>
    </row>
    <row r="288" spans="44:51">
      <c r="AR288" s="67"/>
      <c r="AX288" s="70"/>
      <c r="AY288" s="68"/>
    </row>
    <row r="289" spans="44:51">
      <c r="AR289" s="67"/>
      <c r="AX289" s="70"/>
      <c r="AY289" s="68"/>
    </row>
    <row r="290" spans="44:51">
      <c r="AR290" s="67"/>
      <c r="AX290" s="70"/>
      <c r="AY290" s="68"/>
    </row>
    <row r="291" spans="44:51">
      <c r="AR291" s="67"/>
      <c r="AX291" s="70"/>
      <c r="AY291" s="68"/>
    </row>
    <row r="292" spans="44:51">
      <c r="AR292" s="67"/>
      <c r="AX292" s="70"/>
      <c r="AY292" s="68"/>
    </row>
    <row r="293" spans="44:51">
      <c r="AR293" s="67"/>
      <c r="AX293" s="70"/>
      <c r="AY293" s="68"/>
    </row>
    <row r="294" spans="44:51">
      <c r="AR294" s="67"/>
      <c r="AX294" s="70"/>
      <c r="AY294" s="68"/>
    </row>
    <row r="295" spans="44:51">
      <c r="AR295" s="67"/>
      <c r="AX295" s="70"/>
      <c r="AY295" s="68"/>
    </row>
    <row r="296" spans="44:51">
      <c r="AR296" s="67"/>
      <c r="AX296" s="70"/>
      <c r="AY296" s="68"/>
    </row>
    <row r="297" spans="44:51">
      <c r="AR297" s="67"/>
      <c r="AX297" s="70"/>
      <c r="AY297" s="68"/>
    </row>
    <row r="298" spans="44:51">
      <c r="AR298" s="67"/>
      <c r="AX298" s="70"/>
      <c r="AY298" s="68"/>
    </row>
    <row r="299" spans="44:51">
      <c r="AR299" s="67"/>
      <c r="AX299" s="70"/>
      <c r="AY299" s="68"/>
    </row>
    <row r="300" spans="44:51">
      <c r="AR300" s="67"/>
      <c r="AX300" s="70"/>
      <c r="AY300" s="68"/>
    </row>
    <row r="301" spans="44:51">
      <c r="AR301" s="67"/>
      <c r="AX301" s="70"/>
      <c r="AY301" s="68"/>
    </row>
    <row r="302" spans="44:51">
      <c r="AR302" s="67"/>
      <c r="AX302" s="70"/>
      <c r="AY302" s="68"/>
    </row>
    <row r="303" spans="44:51">
      <c r="AR303" s="67"/>
      <c r="AX303" s="70"/>
      <c r="AY303" s="68"/>
    </row>
    <row r="304" spans="44:51">
      <c r="AR304" s="67"/>
      <c r="AX304" s="70"/>
      <c r="AY304" s="68"/>
    </row>
    <row r="305" spans="44:51">
      <c r="AR305" s="67"/>
      <c r="AX305" s="70"/>
      <c r="AY305" s="68"/>
    </row>
    <row r="306" spans="44:51">
      <c r="AR306" s="67"/>
      <c r="AX306" s="70"/>
      <c r="AY306" s="68"/>
    </row>
    <row r="307" spans="44:51">
      <c r="AR307" s="67"/>
      <c r="AX307" s="70"/>
      <c r="AY307" s="68"/>
    </row>
    <row r="308" spans="44:51">
      <c r="AR308" s="67"/>
      <c r="AX308" s="70"/>
      <c r="AY308" s="68"/>
    </row>
    <row r="309" spans="44:51">
      <c r="AR309" s="67"/>
      <c r="AX309" s="70"/>
      <c r="AY309" s="68"/>
    </row>
    <row r="310" spans="44:51">
      <c r="AR310" s="67"/>
      <c r="AX310" s="70"/>
      <c r="AY310" s="68"/>
    </row>
    <row r="311" spans="44:51">
      <c r="AR311" s="67"/>
      <c r="AX311" s="70"/>
      <c r="AY311" s="68"/>
    </row>
    <row r="312" spans="44:51">
      <c r="AR312" s="67"/>
      <c r="AX312" s="70"/>
      <c r="AY312" s="68"/>
    </row>
    <row r="313" spans="44:51">
      <c r="AR313" s="67"/>
      <c r="AX313" s="70"/>
      <c r="AY313" s="68"/>
    </row>
    <row r="314" spans="44:51">
      <c r="AR314" s="67"/>
      <c r="AX314" s="70"/>
      <c r="AY314" s="68"/>
    </row>
    <row r="315" spans="44:51">
      <c r="AR315" s="67"/>
      <c r="AX315" s="70"/>
      <c r="AY315" s="68"/>
    </row>
    <row r="316" spans="44:51">
      <c r="AR316" s="67"/>
      <c r="AX316" s="70"/>
      <c r="AY316" s="68"/>
    </row>
    <row r="317" spans="44:51">
      <c r="AR317" s="67"/>
      <c r="AX317" s="70"/>
      <c r="AY317" s="68"/>
    </row>
    <row r="318" spans="44:51">
      <c r="AR318" s="67"/>
      <c r="AX318" s="70"/>
      <c r="AY318" s="68"/>
    </row>
    <row r="319" spans="44:51">
      <c r="AR319" s="67"/>
      <c r="AX319" s="70"/>
      <c r="AY319" s="68"/>
    </row>
    <row r="320" spans="44:51">
      <c r="AR320" s="67"/>
      <c r="AX320" s="70"/>
      <c r="AY320" s="68"/>
    </row>
    <row r="321" spans="44:51">
      <c r="AR321" s="67"/>
      <c r="AX321" s="70"/>
      <c r="AY321" s="68"/>
    </row>
    <row r="322" spans="44:51">
      <c r="AR322" s="67"/>
      <c r="AX322" s="70"/>
      <c r="AY322" s="68"/>
    </row>
    <row r="323" spans="44:51">
      <c r="AR323" s="67"/>
      <c r="AX323" s="70"/>
      <c r="AY323" s="68"/>
    </row>
    <row r="324" spans="44:51">
      <c r="AR324" s="67"/>
      <c r="AX324" s="70"/>
      <c r="AY324" s="68"/>
    </row>
    <row r="325" spans="44:51">
      <c r="AR325" s="67"/>
      <c r="AX325" s="70"/>
      <c r="AY325" s="68"/>
    </row>
    <row r="326" spans="44:51">
      <c r="AR326" s="67"/>
      <c r="AX326" s="70"/>
      <c r="AY326" s="68"/>
    </row>
    <row r="327" spans="44:51">
      <c r="AR327" s="67"/>
      <c r="AX327" s="70"/>
      <c r="AY327" s="68"/>
    </row>
    <row r="328" spans="44:51">
      <c r="AR328" s="67"/>
      <c r="AX328" s="70"/>
      <c r="AY328" s="68"/>
    </row>
    <row r="329" spans="44:51">
      <c r="AR329" s="67"/>
      <c r="AX329" s="70"/>
      <c r="AY329" s="68"/>
    </row>
    <row r="330" spans="44:51">
      <c r="AR330" s="67"/>
      <c r="AX330" s="70"/>
      <c r="AY330" s="68"/>
    </row>
    <row r="331" spans="44:51">
      <c r="AR331" s="67"/>
      <c r="AX331" s="70"/>
      <c r="AY331" s="68"/>
    </row>
    <row r="332" spans="44:51">
      <c r="AR332" s="67"/>
      <c r="AX332" s="70"/>
      <c r="AY332" s="68"/>
    </row>
    <row r="333" spans="44:51">
      <c r="AR333" s="67"/>
      <c r="AX333" s="70"/>
      <c r="AY333" s="68"/>
    </row>
    <row r="334" spans="44:51">
      <c r="AR334" s="67"/>
      <c r="AX334" s="70"/>
      <c r="AY334" s="68"/>
    </row>
    <row r="335" spans="44:51">
      <c r="AR335" s="67"/>
      <c r="AX335" s="70"/>
      <c r="AY335" s="68"/>
    </row>
    <row r="336" spans="44:51">
      <c r="AR336" s="67"/>
      <c r="AX336" s="70"/>
      <c r="AY336" s="68"/>
    </row>
    <row r="337" spans="44:51">
      <c r="AR337" s="67"/>
      <c r="AX337" s="70"/>
      <c r="AY337" s="68"/>
    </row>
    <row r="338" spans="44:51">
      <c r="AR338" s="67"/>
      <c r="AX338" s="70"/>
      <c r="AY338" s="68"/>
    </row>
    <row r="339" spans="44:51">
      <c r="AR339" s="67"/>
      <c r="AX339" s="70"/>
      <c r="AY339" s="68"/>
    </row>
    <row r="340" spans="44:51">
      <c r="AR340" s="67"/>
      <c r="AX340" s="70"/>
      <c r="AY340" s="68"/>
    </row>
    <row r="341" spans="44:51">
      <c r="AR341" s="67"/>
      <c r="AX341" s="70"/>
      <c r="AY341" s="68"/>
    </row>
    <row r="342" spans="44:51">
      <c r="AR342" s="67"/>
      <c r="AX342" s="70"/>
      <c r="AY342" s="68"/>
    </row>
    <row r="343" spans="44:51">
      <c r="AR343" s="67"/>
      <c r="AX343" s="70"/>
      <c r="AY343" s="68"/>
    </row>
    <row r="344" spans="44:51">
      <c r="AR344" s="67"/>
      <c r="AX344" s="70"/>
      <c r="AY344" s="68"/>
    </row>
    <row r="345" spans="44:51">
      <c r="AR345" s="67"/>
      <c r="AX345" s="70"/>
      <c r="AY345" s="68"/>
    </row>
    <row r="346" spans="44:51">
      <c r="AR346" s="67"/>
      <c r="AX346" s="70"/>
      <c r="AY346" s="68"/>
    </row>
    <row r="347" spans="44:51">
      <c r="AR347" s="67"/>
      <c r="AX347" s="70"/>
      <c r="AY347" s="68"/>
    </row>
    <row r="348" spans="44:51">
      <c r="AR348" s="67"/>
      <c r="AX348" s="70"/>
      <c r="AY348" s="68"/>
    </row>
    <row r="349" spans="44:51">
      <c r="AR349" s="67"/>
      <c r="AX349" s="70"/>
      <c r="AY349" s="68"/>
    </row>
    <row r="350" spans="44:51">
      <c r="AR350" s="67"/>
      <c r="AX350" s="70"/>
      <c r="AY350" s="68"/>
    </row>
    <row r="351" spans="44:51">
      <c r="AR351" s="67"/>
      <c r="AX351" s="70"/>
      <c r="AY351" s="68"/>
    </row>
    <row r="352" spans="44:51">
      <c r="AR352" s="67"/>
      <c r="AX352" s="70"/>
      <c r="AY352" s="68"/>
    </row>
    <row r="353" spans="44:51">
      <c r="AR353" s="67"/>
      <c r="AX353" s="70"/>
      <c r="AY353" s="68"/>
    </row>
    <row r="354" spans="44:51">
      <c r="AR354" s="67"/>
      <c r="AX354" s="70"/>
      <c r="AY354" s="68"/>
    </row>
    <row r="355" spans="44:51">
      <c r="AR355" s="67"/>
      <c r="AX355" s="70"/>
      <c r="AY355" s="68"/>
    </row>
    <row r="356" spans="44:51">
      <c r="AR356" s="67"/>
      <c r="AX356" s="70"/>
      <c r="AY356" s="68"/>
    </row>
    <row r="357" spans="44:51">
      <c r="AR357" s="67"/>
      <c r="AX357" s="70"/>
      <c r="AY357" s="68"/>
    </row>
    <row r="358" spans="44:51">
      <c r="AR358" s="67"/>
      <c r="AX358" s="70"/>
      <c r="AY358" s="68"/>
    </row>
    <row r="359" spans="44:51">
      <c r="AR359" s="67"/>
      <c r="AX359" s="70"/>
      <c r="AY359" s="68"/>
    </row>
    <row r="360" spans="44:51">
      <c r="AR360" s="67"/>
      <c r="AX360" s="70"/>
      <c r="AY360" s="68"/>
    </row>
    <row r="361" spans="44:51">
      <c r="AR361" s="67"/>
      <c r="AX361" s="70"/>
      <c r="AY361" s="68"/>
    </row>
    <row r="362" spans="44:51">
      <c r="AR362" s="67"/>
      <c r="AX362" s="70"/>
      <c r="AY362" s="68"/>
    </row>
    <row r="363" spans="44:51">
      <c r="AR363" s="67"/>
      <c r="AX363" s="70"/>
      <c r="AY363" s="68"/>
    </row>
    <row r="364" spans="44:51">
      <c r="AR364" s="67"/>
      <c r="AX364" s="70"/>
      <c r="AY364" s="68"/>
    </row>
    <row r="365" spans="44:51">
      <c r="AR365" s="67"/>
      <c r="AX365" s="70"/>
      <c r="AY365" s="68"/>
    </row>
    <row r="366" spans="44:51">
      <c r="AR366" s="67"/>
      <c r="AX366" s="70"/>
      <c r="AY366" s="68"/>
    </row>
    <row r="367" spans="44:51">
      <c r="AR367" s="67"/>
      <c r="AX367" s="70"/>
      <c r="AY367" s="68"/>
    </row>
    <row r="368" spans="44:51">
      <c r="AR368" s="67"/>
      <c r="AX368" s="70"/>
      <c r="AY368" s="68"/>
    </row>
    <row r="369" spans="44:51">
      <c r="AR369" s="67"/>
      <c r="AX369" s="70"/>
      <c r="AY369" s="68"/>
    </row>
    <row r="370" spans="44:51">
      <c r="AR370" s="67"/>
      <c r="AX370" s="70"/>
      <c r="AY370" s="68"/>
    </row>
    <row r="371" spans="44:51">
      <c r="AR371" s="67"/>
      <c r="AX371" s="70"/>
      <c r="AY371" s="68"/>
    </row>
    <row r="372" spans="44:51">
      <c r="AR372" s="67"/>
      <c r="AX372" s="70"/>
      <c r="AY372" s="68"/>
    </row>
    <row r="373" spans="44:51">
      <c r="AR373" s="67"/>
      <c r="AX373" s="70"/>
      <c r="AY373" s="68"/>
    </row>
    <row r="374" spans="44:51">
      <c r="AR374" s="67"/>
      <c r="AX374" s="70"/>
      <c r="AY374" s="68"/>
    </row>
    <row r="375" spans="44:51">
      <c r="AR375" s="67"/>
      <c r="AX375" s="70"/>
      <c r="AY375" s="68"/>
    </row>
    <row r="376" spans="44:51">
      <c r="AR376" s="67"/>
      <c r="AX376" s="70"/>
      <c r="AY376" s="68"/>
    </row>
    <row r="377" spans="44:51">
      <c r="AR377" s="67"/>
      <c r="AX377" s="70"/>
      <c r="AY377" s="68"/>
    </row>
    <row r="378" spans="44:51">
      <c r="AR378" s="67"/>
      <c r="AX378" s="70"/>
      <c r="AY378" s="68"/>
    </row>
    <row r="379" spans="44:51">
      <c r="AR379" s="67"/>
      <c r="AX379" s="70"/>
      <c r="AY379" s="68"/>
    </row>
    <row r="380" spans="44:51">
      <c r="AR380" s="67"/>
      <c r="AX380" s="70"/>
      <c r="AY380" s="68"/>
    </row>
    <row r="381" spans="44:51">
      <c r="AR381" s="67"/>
      <c r="AX381" s="70"/>
      <c r="AY381" s="68"/>
    </row>
    <row r="382" spans="44:51">
      <c r="AR382" s="67"/>
      <c r="AX382" s="70"/>
      <c r="AY382" s="68"/>
    </row>
    <row r="383" spans="44:51">
      <c r="AR383" s="67"/>
      <c r="AX383" s="70"/>
      <c r="AY383" s="68"/>
    </row>
    <row r="384" spans="44:51">
      <c r="AR384" s="67"/>
      <c r="AX384" s="70"/>
      <c r="AY384" s="68"/>
    </row>
    <row r="385" spans="44:51">
      <c r="AR385" s="67"/>
      <c r="AX385" s="70"/>
      <c r="AY385" s="68"/>
    </row>
    <row r="386" spans="44:51">
      <c r="AR386" s="67"/>
      <c r="AX386" s="70"/>
      <c r="AY386" s="68"/>
    </row>
    <row r="387" spans="44:51">
      <c r="AR387" s="67"/>
      <c r="AX387" s="70"/>
      <c r="AY387" s="68"/>
    </row>
    <row r="388" spans="44:51">
      <c r="AR388" s="67"/>
      <c r="AX388" s="70"/>
      <c r="AY388" s="68"/>
    </row>
    <row r="389" spans="44:51">
      <c r="AR389" s="67"/>
      <c r="AX389" s="70"/>
      <c r="AY389" s="68"/>
    </row>
    <row r="390" spans="44:51">
      <c r="AR390" s="67"/>
      <c r="AX390" s="70"/>
      <c r="AY390" s="68"/>
    </row>
    <row r="391" spans="44:51">
      <c r="AR391" s="67"/>
      <c r="AX391" s="70"/>
      <c r="AY391" s="68"/>
    </row>
    <row r="392" spans="44:51">
      <c r="AR392" s="67"/>
      <c r="AX392" s="70"/>
      <c r="AY392" s="68"/>
    </row>
    <row r="393" spans="44:51">
      <c r="AR393" s="67"/>
      <c r="AX393" s="70"/>
      <c r="AY393" s="68"/>
    </row>
    <row r="394" spans="44:51">
      <c r="AR394" s="67"/>
      <c r="AX394" s="70"/>
      <c r="AY394" s="68"/>
    </row>
    <row r="395" spans="44:51">
      <c r="AR395" s="67"/>
      <c r="AX395" s="70"/>
      <c r="AY395" s="68"/>
    </row>
    <row r="396" spans="44:51">
      <c r="AR396" s="67"/>
      <c r="AX396" s="70"/>
      <c r="AY396" s="68"/>
    </row>
    <row r="397" spans="44:51">
      <c r="AR397" s="67"/>
      <c r="AX397" s="70"/>
      <c r="AY397" s="68"/>
    </row>
    <row r="398" spans="44:51">
      <c r="AR398" s="67"/>
      <c r="AX398" s="70"/>
      <c r="AY398" s="68"/>
    </row>
    <row r="399" spans="44:51">
      <c r="AR399" s="67"/>
      <c r="AX399" s="70"/>
      <c r="AY399" s="68"/>
    </row>
    <row r="400" spans="44:51">
      <c r="AR400" s="67"/>
      <c r="AX400" s="70"/>
      <c r="AY400" s="68"/>
    </row>
    <row r="401" spans="44:51">
      <c r="AR401" s="67"/>
      <c r="AX401" s="70"/>
      <c r="AY401" s="68"/>
    </row>
    <row r="402" spans="44:51">
      <c r="AR402" s="67"/>
      <c r="AX402" s="70"/>
      <c r="AY402" s="68"/>
    </row>
    <row r="403" spans="44:51">
      <c r="AR403" s="67"/>
      <c r="AX403" s="70"/>
      <c r="AY403" s="68"/>
    </row>
    <row r="404" spans="44:51">
      <c r="AR404" s="67"/>
      <c r="AX404" s="70"/>
      <c r="AY404" s="68"/>
    </row>
    <row r="405" spans="44:51">
      <c r="AR405" s="67"/>
      <c r="AX405" s="70"/>
      <c r="AY405" s="68"/>
    </row>
    <row r="406" spans="44:51">
      <c r="AR406" s="67"/>
      <c r="AX406" s="70"/>
      <c r="AY406" s="68"/>
    </row>
    <row r="407" spans="44:51">
      <c r="AR407" s="67"/>
      <c r="AX407" s="70"/>
      <c r="AY407" s="68"/>
    </row>
    <row r="408" spans="44:51">
      <c r="AR408" s="67"/>
      <c r="AX408" s="70"/>
      <c r="AY408" s="68"/>
    </row>
    <row r="409" spans="44:51">
      <c r="AR409" s="67"/>
      <c r="AX409" s="70"/>
      <c r="AY409" s="68"/>
    </row>
    <row r="410" spans="44:51">
      <c r="AR410" s="67"/>
      <c r="AX410" s="70"/>
      <c r="AY410" s="68"/>
    </row>
    <row r="411" spans="44:51">
      <c r="AR411" s="67"/>
      <c r="AX411" s="70"/>
      <c r="AY411" s="68"/>
    </row>
    <row r="412" spans="44:51">
      <c r="AR412" s="67"/>
      <c r="AX412" s="70"/>
      <c r="AY412" s="68"/>
    </row>
    <row r="413" spans="44:51">
      <c r="AR413" s="67"/>
      <c r="AX413" s="70"/>
      <c r="AY413" s="68"/>
    </row>
    <row r="414" spans="44:51">
      <c r="AR414" s="67"/>
      <c r="AX414" s="70"/>
      <c r="AY414" s="68"/>
    </row>
    <row r="415" spans="44:51">
      <c r="AR415" s="67"/>
      <c r="AX415" s="70"/>
      <c r="AY415" s="68"/>
    </row>
    <row r="416" spans="44:51">
      <c r="AR416" s="67"/>
      <c r="AX416" s="70"/>
      <c r="AY416" s="68"/>
    </row>
    <row r="417" spans="44:51">
      <c r="AR417" s="67"/>
      <c r="AX417" s="70"/>
      <c r="AY417" s="68"/>
    </row>
    <row r="418" spans="44:51">
      <c r="AR418" s="67"/>
      <c r="AX418" s="70"/>
      <c r="AY418" s="68"/>
    </row>
    <row r="419" spans="44:51">
      <c r="AR419" s="67"/>
      <c r="AX419" s="70"/>
      <c r="AY419" s="68"/>
    </row>
    <row r="420" spans="44:51">
      <c r="AR420" s="67"/>
      <c r="AX420" s="70"/>
      <c r="AY420" s="68"/>
    </row>
    <row r="421" spans="44:51">
      <c r="AR421" s="67"/>
      <c r="AX421" s="70"/>
      <c r="AY421" s="68"/>
    </row>
    <row r="422" spans="44:51">
      <c r="AR422" s="67"/>
      <c r="AX422" s="70"/>
      <c r="AY422" s="68"/>
    </row>
    <row r="423" spans="44:51">
      <c r="AR423" s="67"/>
      <c r="AX423" s="70"/>
      <c r="AY423" s="68"/>
    </row>
    <row r="424" spans="44:51">
      <c r="AR424" s="67"/>
      <c r="AX424" s="70"/>
      <c r="AY424" s="68"/>
    </row>
    <row r="425" spans="44:51">
      <c r="AR425" s="67"/>
      <c r="AX425" s="70"/>
      <c r="AY425" s="68"/>
    </row>
    <row r="426" spans="44:51">
      <c r="AR426" s="67"/>
      <c r="AX426" s="70"/>
      <c r="AY426" s="68"/>
    </row>
    <row r="427" spans="44:51">
      <c r="AR427" s="67"/>
      <c r="AX427" s="70"/>
      <c r="AY427" s="68"/>
    </row>
    <row r="428" spans="44:51">
      <c r="AR428" s="67"/>
      <c r="AX428" s="70"/>
      <c r="AY428" s="68"/>
    </row>
    <row r="429" spans="44:51">
      <c r="AR429" s="67"/>
      <c r="AX429" s="70"/>
      <c r="AY429" s="68"/>
    </row>
    <row r="430" spans="44:51">
      <c r="AR430" s="67"/>
      <c r="AX430" s="70"/>
      <c r="AY430" s="68"/>
    </row>
    <row r="431" spans="44:51">
      <c r="AR431" s="67"/>
      <c r="AX431" s="70"/>
      <c r="AY431" s="68"/>
    </row>
    <row r="432" spans="44:51">
      <c r="AR432" s="67"/>
      <c r="AX432" s="70"/>
      <c r="AY432" s="68"/>
    </row>
    <row r="433" spans="44:51">
      <c r="AR433" s="67"/>
      <c r="AX433" s="70"/>
      <c r="AY433" s="68"/>
    </row>
    <row r="434" spans="44:51">
      <c r="AR434" s="67"/>
      <c r="AX434" s="70"/>
      <c r="AY434" s="68"/>
    </row>
    <row r="435" spans="44:51">
      <c r="AR435" s="67"/>
      <c r="AX435" s="70"/>
      <c r="AY435" s="68"/>
    </row>
    <row r="436" spans="44:51">
      <c r="AR436" s="67"/>
      <c r="AX436" s="70"/>
      <c r="AY436" s="68"/>
    </row>
    <row r="437" spans="44:51">
      <c r="AR437" s="67"/>
      <c r="AX437" s="70"/>
      <c r="AY437" s="68"/>
    </row>
    <row r="438" spans="44:51">
      <c r="AR438" s="67"/>
      <c r="AX438" s="70"/>
      <c r="AY438" s="68"/>
    </row>
    <row r="439" spans="44:51">
      <c r="AR439" s="67"/>
      <c r="AX439" s="70"/>
      <c r="AY439" s="68"/>
    </row>
    <row r="440" spans="44:51">
      <c r="AR440" s="67"/>
      <c r="AX440" s="70"/>
      <c r="AY440" s="68"/>
    </row>
    <row r="441" spans="44:51">
      <c r="AR441" s="67"/>
      <c r="AX441" s="70"/>
      <c r="AY441" s="68"/>
    </row>
    <row r="442" spans="44:51">
      <c r="AR442" s="67"/>
      <c r="AX442" s="70"/>
      <c r="AY442" s="68"/>
    </row>
    <row r="443" spans="44:51">
      <c r="AR443" s="67"/>
      <c r="AX443" s="70"/>
      <c r="AY443" s="68"/>
    </row>
    <row r="444" spans="44:51">
      <c r="AR444" s="67"/>
      <c r="AX444" s="70"/>
      <c r="AY444" s="68"/>
    </row>
    <row r="445" spans="44:51">
      <c r="AR445" s="67"/>
      <c r="AX445" s="70"/>
      <c r="AY445" s="68"/>
    </row>
    <row r="446" spans="44:51">
      <c r="AR446" s="67"/>
      <c r="AX446" s="70"/>
      <c r="AY446" s="68"/>
    </row>
    <row r="447" spans="44:51">
      <c r="AR447" s="67"/>
      <c r="AX447" s="70"/>
      <c r="AY447" s="68"/>
    </row>
    <row r="448" spans="44:51">
      <c r="AR448" s="67"/>
      <c r="AX448" s="70"/>
      <c r="AY448" s="68"/>
    </row>
    <row r="449" spans="44:51">
      <c r="AR449" s="67"/>
      <c r="AX449" s="70"/>
      <c r="AY449" s="68"/>
    </row>
    <row r="450" spans="44:51">
      <c r="AR450" s="67"/>
      <c r="AX450" s="70"/>
      <c r="AY450" s="68"/>
    </row>
    <row r="451" spans="44:51">
      <c r="AR451" s="67"/>
      <c r="AX451" s="70"/>
      <c r="AY451" s="68"/>
    </row>
    <row r="452" spans="44:51">
      <c r="AR452" s="67"/>
      <c r="AX452" s="70"/>
      <c r="AY452" s="68"/>
    </row>
    <row r="453" spans="44:51">
      <c r="AR453" s="67"/>
      <c r="AX453" s="70"/>
      <c r="AY453" s="68"/>
    </row>
    <row r="454" spans="44:51">
      <c r="AR454" s="67"/>
      <c r="AX454" s="70"/>
      <c r="AY454" s="68"/>
    </row>
    <row r="455" spans="44:51">
      <c r="AR455" s="67"/>
      <c r="AX455" s="70"/>
      <c r="AY455" s="68"/>
    </row>
    <row r="456" spans="44:51">
      <c r="AR456" s="67"/>
      <c r="AX456" s="70"/>
      <c r="AY456" s="68"/>
    </row>
    <row r="457" spans="44:51">
      <c r="AR457" s="67"/>
      <c r="AX457" s="70"/>
      <c r="AY457" s="68"/>
    </row>
    <row r="458" spans="44:51">
      <c r="AR458" s="67"/>
      <c r="AX458" s="70"/>
      <c r="AY458" s="68"/>
    </row>
    <row r="459" spans="44:51">
      <c r="AR459" s="67"/>
      <c r="AX459" s="70"/>
      <c r="AY459" s="68"/>
    </row>
    <row r="460" spans="44:51">
      <c r="AR460" s="67"/>
      <c r="AX460" s="70"/>
      <c r="AY460" s="68"/>
    </row>
    <row r="461" spans="44:51">
      <c r="AR461" s="67"/>
      <c r="AX461" s="70"/>
      <c r="AY461" s="68"/>
    </row>
    <row r="462" spans="44:51">
      <c r="AR462" s="67"/>
      <c r="AX462" s="70"/>
      <c r="AY462" s="68"/>
    </row>
    <row r="463" spans="44:51">
      <c r="AR463" s="67"/>
      <c r="AX463" s="70"/>
      <c r="AY463" s="68"/>
    </row>
    <row r="464" spans="44:51">
      <c r="AR464" s="67"/>
      <c r="AX464" s="70"/>
      <c r="AY464" s="68"/>
    </row>
    <row r="465" spans="44:51">
      <c r="AR465" s="67"/>
      <c r="AX465" s="70"/>
      <c r="AY465" s="68"/>
    </row>
    <row r="466" spans="44:51">
      <c r="AR466" s="67"/>
      <c r="AX466" s="70"/>
      <c r="AY466" s="68"/>
    </row>
    <row r="467" spans="44:51">
      <c r="AR467" s="67"/>
      <c r="AX467" s="70"/>
      <c r="AY467" s="68"/>
    </row>
    <row r="468" spans="44:51">
      <c r="AR468" s="67"/>
      <c r="AX468" s="70"/>
      <c r="AY468" s="68"/>
    </row>
    <row r="469" spans="44:51">
      <c r="AR469" s="67"/>
      <c r="AX469" s="70"/>
      <c r="AY469" s="68"/>
    </row>
    <row r="470" spans="44:51">
      <c r="AR470" s="67"/>
      <c r="AX470" s="70"/>
      <c r="AY470" s="68"/>
    </row>
    <row r="471" spans="44:51">
      <c r="AR471" s="67"/>
      <c r="AX471" s="70"/>
      <c r="AY471" s="68"/>
    </row>
    <row r="472" spans="44:51">
      <c r="AR472" s="67"/>
      <c r="AX472" s="70"/>
      <c r="AY472" s="68"/>
    </row>
    <row r="473" spans="44:51">
      <c r="AR473" s="67"/>
      <c r="AX473" s="70"/>
      <c r="AY473" s="68"/>
    </row>
    <row r="474" spans="44:51">
      <c r="AR474" s="67"/>
      <c r="AX474" s="70"/>
      <c r="AY474" s="68"/>
    </row>
    <row r="475" spans="44:51">
      <c r="AR475" s="67"/>
      <c r="AX475" s="70"/>
      <c r="AY475" s="68"/>
    </row>
    <row r="476" spans="44:51">
      <c r="AR476" s="67"/>
      <c r="AX476" s="70"/>
      <c r="AY476" s="68"/>
    </row>
    <row r="477" spans="44:51">
      <c r="AR477" s="67"/>
      <c r="AX477" s="70"/>
      <c r="AY477" s="68"/>
    </row>
    <row r="478" spans="44:51">
      <c r="AR478" s="67"/>
      <c r="AX478" s="70"/>
      <c r="AY478" s="68"/>
    </row>
    <row r="479" spans="44:51">
      <c r="AR479" s="67"/>
      <c r="AX479" s="70"/>
      <c r="AY479" s="68"/>
    </row>
    <row r="480" spans="44:51">
      <c r="AR480" s="67"/>
      <c r="AX480" s="70"/>
      <c r="AY480" s="68"/>
    </row>
    <row r="481" spans="44:51">
      <c r="AR481" s="67"/>
      <c r="AX481" s="70"/>
      <c r="AY481" s="68"/>
    </row>
    <row r="482" spans="44:51">
      <c r="AR482" s="67"/>
      <c r="AX482" s="70"/>
      <c r="AY482" s="68"/>
    </row>
    <row r="483" spans="44:51">
      <c r="AR483" s="67"/>
      <c r="AX483" s="70"/>
      <c r="AY483" s="68"/>
    </row>
    <row r="484" spans="44:51">
      <c r="AR484" s="67"/>
      <c r="AX484" s="70"/>
      <c r="AY484" s="68"/>
    </row>
    <row r="485" spans="44:51">
      <c r="AR485" s="67"/>
      <c r="AX485" s="70"/>
      <c r="AY485" s="68"/>
    </row>
    <row r="486" spans="44:51">
      <c r="AR486" s="67"/>
      <c r="AX486" s="70"/>
      <c r="AY486" s="68"/>
    </row>
    <row r="487" spans="44:51">
      <c r="AR487" s="67"/>
      <c r="AX487" s="70"/>
      <c r="AY487" s="68"/>
    </row>
    <row r="488" spans="44:51">
      <c r="AR488" s="67"/>
      <c r="AX488" s="70"/>
      <c r="AY488" s="68"/>
    </row>
    <row r="489" spans="44:51">
      <c r="AR489" s="67"/>
      <c r="AX489" s="70"/>
      <c r="AY489" s="68"/>
    </row>
    <row r="490" spans="44:51">
      <c r="AR490" s="67"/>
      <c r="AX490" s="70"/>
      <c r="AY490" s="68"/>
    </row>
    <row r="491" spans="44:51">
      <c r="AR491" s="67"/>
      <c r="AX491" s="70"/>
      <c r="AY491" s="68"/>
    </row>
    <row r="492" spans="44:51">
      <c r="AR492" s="67"/>
      <c r="AX492" s="70"/>
      <c r="AY492" s="68"/>
    </row>
    <row r="493" spans="44:51">
      <c r="AR493" s="67"/>
      <c r="AX493" s="70"/>
      <c r="AY493" s="68"/>
    </row>
    <row r="494" spans="44:51">
      <c r="AR494" s="67"/>
      <c r="AX494" s="70"/>
      <c r="AY494" s="68"/>
    </row>
    <row r="495" spans="44:51">
      <c r="AR495" s="67"/>
      <c r="AX495" s="70"/>
      <c r="AY495" s="68"/>
    </row>
    <row r="496" spans="44:51">
      <c r="AR496" s="67"/>
      <c r="AX496" s="70"/>
      <c r="AY496" s="68"/>
    </row>
    <row r="497" spans="44:51">
      <c r="AR497" s="67"/>
      <c r="AX497" s="70"/>
      <c r="AY497" s="68"/>
    </row>
    <row r="498" spans="44:51">
      <c r="AR498" s="67"/>
      <c r="AX498" s="70"/>
      <c r="AY498" s="68"/>
    </row>
    <row r="499" spans="44:51">
      <c r="AR499" s="67"/>
      <c r="AX499" s="70"/>
      <c r="AY499" s="68"/>
    </row>
    <row r="500" spans="44:51">
      <c r="AR500" s="67"/>
      <c r="AX500" s="70"/>
      <c r="AY500" s="68"/>
    </row>
    <row r="501" spans="44:51">
      <c r="AR501" s="67"/>
      <c r="AX501" s="70"/>
      <c r="AY501" s="68"/>
    </row>
    <row r="502" spans="44:51">
      <c r="AR502" s="67"/>
      <c r="AX502" s="70"/>
      <c r="AY502" s="68"/>
    </row>
    <row r="503" spans="44:51">
      <c r="AR503" s="67"/>
      <c r="AX503" s="70"/>
      <c r="AY503" s="68"/>
    </row>
    <row r="504" spans="44:51">
      <c r="AR504" s="67"/>
      <c r="AX504" s="70"/>
      <c r="AY504" s="68"/>
    </row>
    <row r="505" spans="44:51">
      <c r="AR505" s="67"/>
      <c r="AX505" s="70"/>
      <c r="AY505" s="68"/>
    </row>
    <row r="506" spans="44:51">
      <c r="AR506" s="67"/>
      <c r="AX506" s="70"/>
      <c r="AY506" s="68"/>
    </row>
    <row r="507" spans="44:51">
      <c r="AR507" s="67"/>
      <c r="AX507" s="70"/>
      <c r="AY507" s="68"/>
    </row>
    <row r="508" spans="44:51">
      <c r="AR508" s="67"/>
      <c r="AX508" s="70"/>
      <c r="AY508" s="68"/>
    </row>
    <row r="509" spans="44:51">
      <c r="AR509" s="67"/>
      <c r="AX509" s="70"/>
      <c r="AY509" s="68"/>
    </row>
    <row r="510" spans="44:51">
      <c r="AR510" s="67"/>
      <c r="AX510" s="70"/>
      <c r="AY510" s="68"/>
    </row>
    <row r="511" spans="44:51">
      <c r="AR511" s="67"/>
      <c r="AX511" s="70"/>
      <c r="AY511" s="68"/>
    </row>
    <row r="512" spans="44:51">
      <c r="AR512" s="67"/>
      <c r="AX512" s="70"/>
      <c r="AY512" s="68"/>
    </row>
    <row r="513" spans="44:51">
      <c r="AR513" s="67"/>
      <c r="AX513" s="70"/>
      <c r="AY513" s="68"/>
    </row>
    <row r="514" spans="44:51">
      <c r="AR514" s="67"/>
      <c r="AX514" s="70"/>
      <c r="AY514" s="68"/>
    </row>
    <row r="515" spans="44:51">
      <c r="AR515" s="67"/>
      <c r="AX515" s="70"/>
      <c r="AY515" s="68"/>
    </row>
    <row r="516" spans="44:51">
      <c r="AR516" s="67"/>
      <c r="AX516" s="70"/>
      <c r="AY516" s="68"/>
    </row>
    <row r="517" spans="44:51">
      <c r="AR517" s="67"/>
      <c r="AX517" s="70"/>
      <c r="AY517" s="68"/>
    </row>
    <row r="518" spans="44:51">
      <c r="AR518" s="67"/>
      <c r="AX518" s="70"/>
      <c r="AY518" s="68"/>
    </row>
    <row r="519" spans="44:51">
      <c r="AR519" s="67"/>
      <c r="AX519" s="70"/>
      <c r="AY519" s="68"/>
    </row>
    <row r="520" spans="44:51">
      <c r="AR520" s="67"/>
      <c r="AX520" s="70"/>
      <c r="AY520" s="68"/>
    </row>
    <row r="521" spans="44:51">
      <c r="AR521" s="67"/>
      <c r="AX521" s="70"/>
      <c r="AY521" s="68"/>
    </row>
    <row r="522" spans="44:51">
      <c r="AR522" s="67"/>
      <c r="AX522" s="70"/>
      <c r="AY522" s="68"/>
    </row>
    <row r="523" spans="44:51">
      <c r="AR523" s="67"/>
      <c r="AX523" s="70"/>
      <c r="AY523" s="68"/>
    </row>
    <row r="524" spans="44:51">
      <c r="AR524" s="67"/>
      <c r="AX524" s="70"/>
      <c r="AY524" s="68"/>
    </row>
    <row r="525" spans="44:51">
      <c r="AR525" s="67"/>
      <c r="AX525" s="70"/>
      <c r="AY525" s="68"/>
    </row>
    <row r="526" spans="44:51">
      <c r="AR526" s="67"/>
      <c r="AX526" s="70"/>
      <c r="AY526" s="68"/>
    </row>
    <row r="527" spans="44:51">
      <c r="AR527" s="67"/>
      <c r="AX527" s="70"/>
      <c r="AY527" s="68"/>
    </row>
    <row r="528" spans="44:51">
      <c r="AR528" s="67"/>
      <c r="AX528" s="70"/>
      <c r="AY528" s="68"/>
    </row>
    <row r="529" spans="44:51">
      <c r="AR529" s="67"/>
      <c r="AX529" s="70"/>
      <c r="AY529" s="68"/>
    </row>
    <row r="530" spans="44:51">
      <c r="AR530" s="67"/>
      <c r="AX530" s="70"/>
      <c r="AY530" s="68"/>
    </row>
    <row r="531" spans="44:51">
      <c r="AR531" s="67"/>
      <c r="AX531" s="70"/>
      <c r="AY531" s="68"/>
    </row>
    <row r="532" spans="44:51">
      <c r="AR532" s="67"/>
      <c r="AX532" s="70"/>
      <c r="AY532" s="68"/>
    </row>
    <row r="533" spans="44:51">
      <c r="AR533" s="67"/>
      <c r="AX533" s="70"/>
      <c r="AY533" s="68"/>
    </row>
    <row r="534" spans="44:51">
      <c r="AR534" s="67"/>
      <c r="AX534" s="70"/>
      <c r="AY534" s="68"/>
    </row>
    <row r="535" spans="44:51">
      <c r="AR535" s="67"/>
      <c r="AX535" s="70"/>
      <c r="AY535" s="68"/>
    </row>
    <row r="536" spans="44:51">
      <c r="AR536" s="67"/>
      <c r="AX536" s="70"/>
      <c r="AY536" s="68"/>
    </row>
    <row r="537" spans="44:51">
      <c r="AR537" s="67"/>
      <c r="AX537" s="70"/>
      <c r="AY537" s="68"/>
    </row>
    <row r="538" spans="44:51">
      <c r="AR538" s="67"/>
      <c r="AX538" s="70"/>
      <c r="AY538" s="68"/>
    </row>
    <row r="539" spans="44:51">
      <c r="AR539" s="67"/>
      <c r="AX539" s="70"/>
      <c r="AY539" s="68"/>
    </row>
    <row r="540" spans="44:51">
      <c r="AR540" s="67"/>
      <c r="AX540" s="70"/>
      <c r="AY540" s="68"/>
    </row>
    <row r="541" spans="44:51">
      <c r="AR541" s="67"/>
      <c r="AX541" s="70"/>
      <c r="AY541" s="68"/>
    </row>
    <row r="542" spans="44:51">
      <c r="AR542" s="67"/>
      <c r="AX542" s="70"/>
      <c r="AY542" s="68"/>
    </row>
    <row r="543" spans="44:51">
      <c r="AR543" s="67"/>
      <c r="AX543" s="70"/>
      <c r="AY543" s="68"/>
    </row>
    <row r="544" spans="44:51">
      <c r="AR544" s="67"/>
      <c r="AX544" s="70"/>
      <c r="AY544" s="68"/>
    </row>
    <row r="545" spans="44:51">
      <c r="AR545" s="67"/>
      <c r="AX545" s="70"/>
      <c r="AY545" s="68"/>
    </row>
    <row r="546" spans="44:51">
      <c r="AR546" s="67"/>
      <c r="AX546" s="70"/>
      <c r="AY546" s="68"/>
    </row>
    <row r="547" spans="44:51">
      <c r="AR547" s="67"/>
      <c r="AX547" s="70"/>
      <c r="AY547" s="68"/>
    </row>
    <row r="548" spans="44:51">
      <c r="AR548" s="67"/>
      <c r="AX548" s="70"/>
      <c r="AY548" s="68"/>
    </row>
    <row r="549" spans="44:51">
      <c r="AR549" s="67"/>
      <c r="AX549" s="70"/>
      <c r="AY549" s="68"/>
    </row>
    <row r="550" spans="44:51">
      <c r="AR550" s="67"/>
      <c r="AX550" s="70"/>
      <c r="AY550" s="68"/>
    </row>
    <row r="551" spans="44:51">
      <c r="AR551" s="67"/>
      <c r="AX551" s="70"/>
      <c r="AY551" s="68"/>
    </row>
    <row r="552" spans="44:51">
      <c r="AR552" s="67"/>
      <c r="AX552" s="70"/>
      <c r="AY552" s="68"/>
    </row>
    <row r="553" spans="44:51">
      <c r="AR553" s="67"/>
      <c r="AX553" s="70"/>
      <c r="AY553" s="68"/>
    </row>
    <row r="554" spans="44:51">
      <c r="AR554" s="67"/>
      <c r="AX554" s="70"/>
      <c r="AY554" s="68"/>
    </row>
    <row r="555" spans="44:51">
      <c r="AR555" s="67"/>
      <c r="AX555" s="70"/>
      <c r="AY555" s="68"/>
    </row>
    <row r="556" spans="44:51">
      <c r="AR556" s="67"/>
      <c r="AX556" s="70"/>
      <c r="AY556" s="68"/>
    </row>
    <row r="557" spans="44:51">
      <c r="AR557" s="67"/>
      <c r="AX557" s="70"/>
      <c r="AY557" s="68"/>
    </row>
    <row r="558" spans="44:51">
      <c r="AR558" s="67"/>
      <c r="AX558" s="70"/>
      <c r="AY558" s="68"/>
    </row>
    <row r="559" spans="44:51">
      <c r="AR559" s="67"/>
      <c r="AX559" s="70"/>
      <c r="AY559" s="68"/>
    </row>
    <row r="560" spans="44:51">
      <c r="AR560" s="67"/>
      <c r="AX560" s="70"/>
      <c r="AY560" s="68"/>
    </row>
    <row r="561" spans="44:51">
      <c r="AR561" s="67"/>
      <c r="AX561" s="70"/>
      <c r="AY561" s="68"/>
    </row>
    <row r="562" spans="44:51">
      <c r="AR562" s="67"/>
      <c r="AX562" s="70"/>
      <c r="AY562" s="68"/>
    </row>
    <row r="563" spans="44:51">
      <c r="AR563" s="67"/>
      <c r="AX563" s="70"/>
      <c r="AY563" s="68"/>
    </row>
    <row r="564" spans="44:51">
      <c r="AR564" s="67"/>
      <c r="AX564" s="70"/>
      <c r="AY564" s="68"/>
    </row>
    <row r="565" spans="44:51">
      <c r="AR565" s="67"/>
      <c r="AX565" s="70"/>
      <c r="AY565" s="68"/>
    </row>
    <row r="566" spans="44:51">
      <c r="AR566" s="67"/>
      <c r="AX566" s="70"/>
      <c r="AY566" s="68"/>
    </row>
    <row r="567" spans="44:51">
      <c r="AR567" s="67"/>
      <c r="AX567" s="70"/>
      <c r="AY567" s="68"/>
    </row>
    <row r="568" spans="44:51">
      <c r="AR568" s="67"/>
      <c r="AX568" s="70"/>
      <c r="AY568" s="68"/>
    </row>
    <row r="569" spans="44:51">
      <c r="AR569" s="67"/>
      <c r="AX569" s="70"/>
      <c r="AY569" s="68"/>
    </row>
    <row r="570" spans="44:51">
      <c r="AR570" s="67"/>
      <c r="AX570" s="70"/>
      <c r="AY570" s="68"/>
    </row>
    <row r="571" spans="44:51">
      <c r="AR571" s="67"/>
      <c r="AX571" s="70"/>
      <c r="AY571" s="68"/>
    </row>
    <row r="572" spans="44:51">
      <c r="AR572" s="67"/>
      <c r="AX572" s="70"/>
      <c r="AY572" s="68"/>
    </row>
    <row r="573" spans="44:51">
      <c r="AR573" s="67"/>
      <c r="AX573" s="70"/>
      <c r="AY573" s="68"/>
    </row>
    <row r="574" spans="44:51">
      <c r="AR574" s="67"/>
      <c r="AX574" s="70"/>
      <c r="AY574" s="68"/>
    </row>
    <row r="575" spans="44:51">
      <c r="AR575" s="67"/>
      <c r="AX575" s="70"/>
      <c r="AY575" s="68"/>
    </row>
    <row r="576" spans="44:51">
      <c r="AR576" s="67"/>
      <c r="AX576" s="70"/>
      <c r="AY576" s="68"/>
    </row>
    <row r="577" spans="44:51">
      <c r="AR577" s="67"/>
      <c r="AX577" s="70"/>
      <c r="AY577" s="68"/>
    </row>
    <row r="578" spans="44:51">
      <c r="AR578" s="67"/>
      <c r="AX578" s="70"/>
      <c r="AY578" s="68"/>
    </row>
    <row r="579" spans="44:51">
      <c r="AR579" s="67"/>
      <c r="AX579" s="70"/>
      <c r="AY579" s="68"/>
    </row>
    <row r="580" spans="44:51">
      <c r="AR580" s="67"/>
      <c r="AX580" s="70"/>
      <c r="AY580" s="68"/>
    </row>
    <row r="581" spans="44:51">
      <c r="AR581" s="67"/>
      <c r="AX581" s="70"/>
      <c r="AY581" s="68"/>
    </row>
    <row r="582" spans="44:51">
      <c r="AR582" s="67"/>
      <c r="AX582" s="70"/>
      <c r="AY582" s="68"/>
    </row>
    <row r="583" spans="44:51">
      <c r="AR583" s="67"/>
      <c r="AX583" s="70"/>
      <c r="AY583" s="68"/>
    </row>
    <row r="584" spans="44:51">
      <c r="AR584" s="67"/>
      <c r="AX584" s="70"/>
      <c r="AY584" s="68"/>
    </row>
    <row r="585" spans="44:51">
      <c r="AR585" s="67"/>
      <c r="AX585" s="70"/>
      <c r="AY585" s="68"/>
    </row>
    <row r="586" spans="44:51">
      <c r="AR586" s="67"/>
      <c r="AX586" s="70"/>
      <c r="AY586" s="68"/>
    </row>
    <row r="587" spans="44:51">
      <c r="AR587" s="67"/>
      <c r="AX587" s="70"/>
      <c r="AY587" s="68"/>
    </row>
    <row r="588" spans="44:51">
      <c r="AR588" s="67"/>
      <c r="AX588" s="70"/>
      <c r="AY588" s="68"/>
    </row>
    <row r="589" spans="44:51">
      <c r="AR589" s="67"/>
      <c r="AX589" s="70"/>
      <c r="AY589" s="68"/>
    </row>
    <row r="590" spans="44:51">
      <c r="AR590" s="67"/>
      <c r="AX590" s="70"/>
      <c r="AY590" s="68"/>
    </row>
    <row r="591" spans="44:51">
      <c r="AR591" s="67"/>
      <c r="AX591" s="70"/>
      <c r="AY591" s="68"/>
    </row>
    <row r="592" spans="44:51">
      <c r="AR592" s="67"/>
      <c r="AX592" s="70"/>
      <c r="AY592" s="68"/>
    </row>
    <row r="593" spans="44:51">
      <c r="AR593" s="67"/>
      <c r="AX593" s="70"/>
      <c r="AY593" s="68"/>
    </row>
    <row r="594" spans="44:51">
      <c r="AR594" s="67"/>
      <c r="AX594" s="70"/>
      <c r="AY594" s="68"/>
    </row>
    <row r="595" spans="44:51">
      <c r="AR595" s="67"/>
      <c r="AX595" s="70"/>
      <c r="AY595" s="68"/>
    </row>
    <row r="596" spans="44:51">
      <c r="AR596" s="67"/>
      <c r="AX596" s="70"/>
      <c r="AY596" s="68"/>
    </row>
    <row r="597" spans="44:51">
      <c r="AR597" s="67"/>
      <c r="AX597" s="70"/>
      <c r="AY597" s="68"/>
    </row>
    <row r="598" spans="44:51">
      <c r="AR598" s="67"/>
      <c r="AX598" s="70"/>
      <c r="AY598" s="68"/>
    </row>
    <row r="599" spans="44:51">
      <c r="AR599" s="67"/>
      <c r="AX599" s="70"/>
      <c r="AY599" s="68"/>
    </row>
    <row r="600" spans="44:51">
      <c r="AR600" s="67"/>
      <c r="AX600" s="70"/>
      <c r="AY600" s="68"/>
    </row>
    <row r="601" spans="44:51">
      <c r="AR601" s="67"/>
      <c r="AX601" s="70"/>
      <c r="AY601" s="68"/>
    </row>
    <row r="602" spans="44:51">
      <c r="AR602" s="67"/>
      <c r="AX602" s="70"/>
      <c r="AY602" s="68"/>
    </row>
    <row r="603" spans="44:51">
      <c r="AR603" s="67"/>
      <c r="AX603" s="70"/>
      <c r="AY603" s="68"/>
    </row>
    <row r="604" spans="44:51">
      <c r="AR604" s="67"/>
      <c r="AX604" s="70"/>
      <c r="AY604" s="68"/>
    </row>
    <row r="605" spans="44:51">
      <c r="AR605" s="67"/>
      <c r="AX605" s="70"/>
      <c r="AY605" s="68"/>
    </row>
    <row r="606" spans="44:51">
      <c r="AR606" s="67"/>
      <c r="AX606" s="70"/>
      <c r="AY606" s="68"/>
    </row>
    <row r="607" spans="44:51">
      <c r="AR607" s="67"/>
      <c r="AX607" s="70"/>
      <c r="AY607" s="68"/>
    </row>
    <row r="608" spans="44:51">
      <c r="AR608" s="67"/>
      <c r="AX608" s="70"/>
      <c r="AY608" s="68"/>
    </row>
    <row r="609" spans="44:51">
      <c r="AR609" s="67"/>
      <c r="AX609" s="70"/>
      <c r="AY609" s="68"/>
    </row>
    <row r="610" spans="44:51">
      <c r="AR610" s="67"/>
      <c r="AX610" s="70"/>
      <c r="AY610" s="68"/>
    </row>
    <row r="611" spans="44:51">
      <c r="AR611" s="67"/>
      <c r="AX611" s="70"/>
      <c r="AY611" s="68"/>
    </row>
    <row r="612" spans="44:51">
      <c r="AR612" s="67"/>
      <c r="AX612" s="70"/>
      <c r="AY612" s="68"/>
    </row>
    <row r="613" spans="44:51">
      <c r="AR613" s="67"/>
      <c r="AX613" s="70"/>
      <c r="AY613" s="68"/>
    </row>
    <row r="614" spans="44:51">
      <c r="AR614" s="67"/>
      <c r="AX614" s="70"/>
      <c r="AY614" s="68"/>
    </row>
    <row r="615" spans="44:51">
      <c r="AR615" s="67"/>
      <c r="AX615" s="70"/>
      <c r="AY615" s="68"/>
    </row>
    <row r="616" spans="44:51">
      <c r="AR616" s="67"/>
      <c r="AX616" s="70"/>
      <c r="AY616" s="68"/>
    </row>
    <row r="617" spans="44:51">
      <c r="AR617" s="67"/>
      <c r="AX617" s="70"/>
      <c r="AY617" s="68"/>
    </row>
    <row r="618" spans="44:51">
      <c r="AR618" s="67"/>
      <c r="AX618" s="70"/>
      <c r="AY618" s="68"/>
    </row>
    <row r="619" spans="44:51">
      <c r="AR619" s="67"/>
      <c r="AX619" s="70"/>
      <c r="AY619" s="68"/>
    </row>
    <row r="620" spans="44:51">
      <c r="AR620" s="67"/>
      <c r="AX620" s="70"/>
      <c r="AY620" s="68"/>
    </row>
    <row r="621" spans="44:51">
      <c r="AR621" s="67"/>
      <c r="AX621" s="70"/>
      <c r="AY621" s="68"/>
    </row>
    <row r="622" spans="44:51">
      <c r="AR622" s="67"/>
      <c r="AX622" s="70"/>
      <c r="AY622" s="68"/>
    </row>
    <row r="623" spans="44:51">
      <c r="AR623" s="67"/>
      <c r="AX623" s="70"/>
      <c r="AY623" s="68"/>
    </row>
    <row r="624" spans="44:51">
      <c r="AR624" s="67"/>
      <c r="AX624" s="70"/>
      <c r="AY624" s="68"/>
    </row>
    <row r="625" spans="44:51">
      <c r="AR625" s="67"/>
      <c r="AX625" s="70"/>
      <c r="AY625" s="68"/>
    </row>
    <row r="626" spans="44:51">
      <c r="AR626" s="67"/>
      <c r="AX626" s="70"/>
      <c r="AY626" s="68"/>
    </row>
    <row r="627" spans="44:51">
      <c r="AR627" s="67"/>
      <c r="AX627" s="70"/>
      <c r="AY627" s="68"/>
    </row>
    <row r="628" spans="44:51">
      <c r="AR628" s="67"/>
      <c r="AX628" s="70"/>
      <c r="AY628" s="68"/>
    </row>
    <row r="629" spans="44:51">
      <c r="AR629" s="67"/>
      <c r="AX629" s="70"/>
      <c r="AY629" s="68"/>
    </row>
    <row r="630" spans="44:51">
      <c r="AR630" s="67"/>
      <c r="AX630" s="70"/>
      <c r="AY630" s="68"/>
    </row>
    <row r="631" spans="44:51">
      <c r="AR631" s="67"/>
      <c r="AX631" s="70"/>
      <c r="AY631" s="68"/>
    </row>
    <row r="632" spans="44:51">
      <c r="AR632" s="67"/>
      <c r="AX632" s="70"/>
      <c r="AY632" s="68"/>
    </row>
    <row r="633" spans="44:51">
      <c r="AR633" s="67"/>
      <c r="AX633" s="70"/>
      <c r="AY633" s="68"/>
    </row>
    <row r="634" spans="44:51">
      <c r="AR634" s="67"/>
      <c r="AX634" s="70"/>
      <c r="AY634" s="68"/>
    </row>
    <row r="635" spans="44:51">
      <c r="AR635" s="67"/>
      <c r="AX635" s="70"/>
      <c r="AY635" s="68"/>
    </row>
    <row r="636" spans="44:51">
      <c r="AR636" s="67"/>
      <c r="AX636" s="70"/>
      <c r="AY636" s="68"/>
    </row>
    <row r="637" spans="44:51">
      <c r="AR637" s="67"/>
      <c r="AX637" s="70"/>
      <c r="AY637" s="68"/>
    </row>
    <row r="638" spans="44:51">
      <c r="AR638" s="67"/>
      <c r="AX638" s="70"/>
      <c r="AY638" s="68"/>
    </row>
    <row r="639" spans="44:51">
      <c r="AR639" s="67"/>
      <c r="AX639" s="70"/>
      <c r="AY639" s="68"/>
    </row>
    <row r="640" spans="44:51">
      <c r="AR640" s="67"/>
      <c r="AX640" s="70"/>
      <c r="AY640" s="68"/>
    </row>
    <row r="641" spans="44:51">
      <c r="AR641" s="67"/>
      <c r="AX641" s="70"/>
      <c r="AY641" s="68"/>
    </row>
    <row r="642" spans="44:51">
      <c r="AR642" s="67"/>
      <c r="AX642" s="70"/>
      <c r="AY642" s="68"/>
    </row>
    <row r="643" spans="44:51">
      <c r="AR643" s="67"/>
      <c r="AX643" s="70"/>
      <c r="AY643" s="68"/>
    </row>
    <row r="644" spans="44:51">
      <c r="AR644" s="67"/>
      <c r="AX644" s="70"/>
      <c r="AY644" s="68"/>
    </row>
    <row r="645" spans="44:51">
      <c r="AR645" s="67"/>
      <c r="AX645" s="70"/>
      <c r="AY645" s="68"/>
    </row>
    <row r="646" spans="44:51">
      <c r="AR646" s="67"/>
      <c r="AX646" s="70"/>
      <c r="AY646" s="68"/>
    </row>
    <row r="647" spans="44:51">
      <c r="AR647" s="67"/>
      <c r="AX647" s="70"/>
      <c r="AY647" s="68"/>
    </row>
    <row r="648" spans="44:51">
      <c r="AR648" s="67"/>
      <c r="AX648" s="70"/>
      <c r="AY648" s="68"/>
    </row>
    <row r="649" spans="44:51">
      <c r="AR649" s="67"/>
      <c r="AX649" s="70"/>
      <c r="AY649" s="68"/>
    </row>
    <row r="650" spans="44:51">
      <c r="AR650" s="67"/>
      <c r="AX650" s="70"/>
      <c r="AY650" s="68"/>
    </row>
    <row r="651" spans="44:51">
      <c r="AR651" s="67"/>
      <c r="AX651" s="70"/>
      <c r="AY651" s="68"/>
    </row>
    <row r="652" spans="44:51">
      <c r="AR652" s="67"/>
      <c r="AX652" s="70"/>
      <c r="AY652" s="68"/>
    </row>
    <row r="653" spans="44:51">
      <c r="AR653" s="67"/>
      <c r="AX653" s="70"/>
      <c r="AY653" s="68"/>
    </row>
    <row r="654" spans="44:51">
      <c r="AR654" s="67"/>
      <c r="AX654" s="70"/>
      <c r="AY654" s="68"/>
    </row>
    <row r="655" spans="44:51">
      <c r="AR655" s="67"/>
      <c r="AX655" s="70"/>
      <c r="AY655" s="68"/>
    </row>
    <row r="656" spans="44:51">
      <c r="AR656" s="67"/>
      <c r="AX656" s="70"/>
      <c r="AY656" s="68"/>
    </row>
    <row r="657" spans="44:51">
      <c r="AR657" s="67"/>
      <c r="AX657" s="70"/>
      <c r="AY657" s="68"/>
    </row>
    <row r="658" spans="44:51">
      <c r="AR658" s="67"/>
      <c r="AX658" s="70"/>
      <c r="AY658" s="68"/>
    </row>
    <row r="659" spans="44:51">
      <c r="AR659" s="67"/>
      <c r="AX659" s="70"/>
      <c r="AY659" s="68"/>
    </row>
    <row r="660" spans="44:51">
      <c r="AR660" s="67"/>
      <c r="AX660" s="70"/>
      <c r="AY660" s="68"/>
    </row>
    <row r="661" spans="44:51">
      <c r="AR661" s="67"/>
      <c r="AX661" s="70"/>
      <c r="AY661" s="68"/>
    </row>
    <row r="662" spans="44:51">
      <c r="AR662" s="67"/>
      <c r="AX662" s="70"/>
      <c r="AY662" s="68"/>
    </row>
    <row r="663" spans="44:51">
      <c r="AR663" s="67"/>
      <c r="AX663" s="70"/>
      <c r="AY663" s="68"/>
    </row>
    <row r="664" spans="44:51">
      <c r="AR664" s="67"/>
      <c r="AX664" s="70"/>
      <c r="AY664" s="68"/>
    </row>
    <row r="665" spans="44:51">
      <c r="AR665" s="67"/>
      <c r="AX665" s="70"/>
      <c r="AY665" s="68"/>
    </row>
    <row r="666" spans="44:51">
      <c r="AR666" s="67"/>
      <c r="AX666" s="70"/>
      <c r="AY666" s="68"/>
    </row>
    <row r="667" spans="44:51">
      <c r="AR667" s="67"/>
      <c r="AX667" s="70"/>
      <c r="AY667" s="68"/>
    </row>
    <row r="668" spans="44:51">
      <c r="AR668" s="67"/>
      <c r="AX668" s="70"/>
      <c r="AY668" s="68"/>
    </row>
    <row r="669" spans="44:51">
      <c r="AR669" s="67"/>
      <c r="AX669" s="70"/>
      <c r="AY669" s="68"/>
    </row>
    <row r="670" spans="44:51">
      <c r="AR670" s="67"/>
      <c r="AX670" s="70"/>
      <c r="AY670" s="68"/>
    </row>
    <row r="671" spans="44:51">
      <c r="AR671" s="67"/>
      <c r="AX671" s="70"/>
      <c r="AY671" s="68"/>
    </row>
    <row r="672" spans="44:51">
      <c r="AR672" s="67"/>
      <c r="AX672" s="70"/>
      <c r="AY672" s="68"/>
    </row>
    <row r="673" spans="44:51">
      <c r="AR673" s="67"/>
      <c r="AX673" s="70"/>
      <c r="AY673" s="68"/>
    </row>
    <row r="674" spans="44:51">
      <c r="AR674" s="67"/>
      <c r="AX674" s="70"/>
      <c r="AY674" s="68"/>
    </row>
    <row r="675" spans="44:51">
      <c r="AR675" s="67"/>
      <c r="AX675" s="70"/>
      <c r="AY675" s="68"/>
    </row>
    <row r="676" spans="44:51">
      <c r="AR676" s="67"/>
      <c r="AX676" s="70"/>
      <c r="AY676" s="68"/>
    </row>
    <row r="677" spans="44:51">
      <c r="AR677" s="67"/>
      <c r="AX677" s="70"/>
      <c r="AY677" s="68"/>
    </row>
    <row r="678" spans="44:51">
      <c r="AR678" s="67"/>
      <c r="AX678" s="70"/>
      <c r="AY678" s="68"/>
    </row>
    <row r="679" spans="44:51">
      <c r="AR679" s="67"/>
      <c r="AX679" s="70"/>
      <c r="AY679" s="68"/>
    </row>
    <row r="680" spans="44:51">
      <c r="AR680" s="67"/>
      <c r="AX680" s="70"/>
      <c r="AY680" s="68"/>
    </row>
    <row r="681" spans="44:51">
      <c r="AR681" s="67"/>
      <c r="AX681" s="70"/>
      <c r="AY681" s="68"/>
    </row>
    <row r="682" spans="44:51">
      <c r="AR682" s="67"/>
      <c r="AX682" s="70"/>
      <c r="AY682" s="68"/>
    </row>
    <row r="683" spans="44:51">
      <c r="AR683" s="67"/>
      <c r="AX683" s="70"/>
      <c r="AY683" s="68"/>
    </row>
    <row r="684" spans="44:51">
      <c r="AR684" s="67"/>
      <c r="AX684" s="70"/>
      <c r="AY684" s="68"/>
    </row>
    <row r="685" spans="44:51">
      <c r="AR685" s="67"/>
      <c r="AX685" s="70"/>
      <c r="AY685" s="68"/>
    </row>
    <row r="686" spans="44:51">
      <c r="AR686" s="67"/>
      <c r="AX686" s="70"/>
      <c r="AY686" s="68"/>
    </row>
    <row r="687" spans="44:51">
      <c r="AR687" s="67"/>
      <c r="AX687" s="70"/>
      <c r="AY687" s="68"/>
    </row>
    <row r="688" spans="44:51">
      <c r="AR688" s="67"/>
      <c r="AX688" s="70"/>
      <c r="AY688" s="68"/>
    </row>
    <row r="689" spans="44:51">
      <c r="AR689" s="67"/>
      <c r="AX689" s="70"/>
      <c r="AY689" s="68"/>
    </row>
    <row r="690" spans="44:51">
      <c r="AR690" s="67"/>
      <c r="AX690" s="70"/>
      <c r="AY690" s="68"/>
    </row>
    <row r="691" spans="44:51">
      <c r="AR691" s="67"/>
      <c r="AX691" s="70"/>
      <c r="AY691" s="68"/>
    </row>
    <row r="692" spans="44:51">
      <c r="AR692" s="67"/>
      <c r="AX692" s="70"/>
      <c r="AY692" s="68"/>
    </row>
    <row r="693" spans="44:51">
      <c r="AR693" s="67"/>
      <c r="AX693" s="70"/>
      <c r="AY693" s="68"/>
    </row>
    <row r="694" spans="44:51">
      <c r="AR694" s="67"/>
      <c r="AX694" s="70"/>
      <c r="AY694" s="68"/>
    </row>
    <row r="695" spans="44:51">
      <c r="AR695" s="67"/>
      <c r="AX695" s="70"/>
      <c r="AY695" s="68"/>
    </row>
    <row r="696" spans="44:51">
      <c r="AR696" s="67"/>
      <c r="AX696" s="70"/>
      <c r="AY696" s="68"/>
    </row>
    <row r="697" spans="44:51">
      <c r="AR697" s="67"/>
      <c r="AX697" s="70"/>
      <c r="AY697" s="68"/>
    </row>
    <row r="698" spans="44:51">
      <c r="AR698" s="67"/>
      <c r="AX698" s="70"/>
      <c r="AY698" s="68"/>
    </row>
    <row r="699" spans="44:51">
      <c r="AR699" s="67"/>
      <c r="AX699" s="70"/>
      <c r="AY699" s="68"/>
    </row>
    <row r="700" spans="44:51">
      <c r="AR700" s="67"/>
      <c r="AX700" s="70"/>
      <c r="AY700" s="68"/>
    </row>
    <row r="701" spans="44:51">
      <c r="AR701" s="67"/>
      <c r="AX701" s="70"/>
      <c r="AY701" s="68"/>
    </row>
    <row r="702" spans="44:51">
      <c r="AR702" s="67"/>
      <c r="AX702" s="70"/>
      <c r="AY702" s="68"/>
    </row>
    <row r="703" spans="44:51">
      <c r="AR703" s="67"/>
      <c r="AX703" s="70"/>
      <c r="AY703" s="68"/>
    </row>
    <row r="704" spans="44:51">
      <c r="AR704" s="67"/>
      <c r="AX704" s="70"/>
      <c r="AY704" s="68"/>
    </row>
    <row r="705" spans="44:51">
      <c r="AR705" s="67"/>
      <c r="AX705" s="70"/>
      <c r="AY705" s="68"/>
    </row>
    <row r="706" spans="44:51">
      <c r="AR706" s="67"/>
      <c r="AX706" s="70"/>
      <c r="AY706" s="68"/>
    </row>
    <row r="707" spans="44:51">
      <c r="AR707" s="67"/>
      <c r="AX707" s="70"/>
      <c r="AY707" s="68"/>
    </row>
    <row r="708" spans="44:51">
      <c r="AR708" s="67"/>
      <c r="AX708" s="70"/>
      <c r="AY708" s="68"/>
    </row>
    <row r="709" spans="44:51">
      <c r="AR709" s="67"/>
      <c r="AX709" s="70"/>
      <c r="AY709" s="68"/>
    </row>
    <row r="710" spans="44:51">
      <c r="AR710" s="67"/>
      <c r="AX710" s="70"/>
      <c r="AY710" s="68"/>
    </row>
    <row r="711" spans="44:51">
      <c r="AR711" s="67"/>
      <c r="AX711" s="70"/>
      <c r="AY711" s="68"/>
    </row>
    <row r="712" spans="44:51">
      <c r="AR712" s="67"/>
      <c r="AX712" s="70"/>
      <c r="AY712" s="68"/>
    </row>
    <row r="713" spans="44:51">
      <c r="AR713" s="67"/>
      <c r="AX713" s="70"/>
      <c r="AY713" s="68"/>
    </row>
    <row r="714" spans="44:51">
      <c r="AR714" s="67"/>
      <c r="AX714" s="70"/>
      <c r="AY714" s="68"/>
    </row>
    <row r="715" spans="44:51">
      <c r="AR715" s="67"/>
      <c r="AX715" s="70"/>
      <c r="AY715" s="68"/>
    </row>
    <row r="716" spans="44:51">
      <c r="AR716" s="67"/>
      <c r="AX716" s="70"/>
      <c r="AY716" s="68"/>
    </row>
    <row r="717" spans="44:51">
      <c r="AR717" s="67"/>
      <c r="AX717" s="70"/>
      <c r="AY717" s="68"/>
    </row>
    <row r="718" spans="44:51">
      <c r="AR718" s="67"/>
      <c r="AX718" s="70"/>
      <c r="AY718" s="68"/>
    </row>
    <row r="719" spans="44:51">
      <c r="AR719" s="67"/>
      <c r="AX719" s="70"/>
      <c r="AY719" s="68"/>
    </row>
    <row r="720" spans="44:51">
      <c r="AR720" s="67"/>
      <c r="AX720" s="70"/>
      <c r="AY720" s="68"/>
    </row>
    <row r="721" spans="44:51">
      <c r="AR721" s="67"/>
      <c r="AX721" s="70"/>
      <c r="AY721" s="68"/>
    </row>
    <row r="722" spans="44:51">
      <c r="AR722" s="67"/>
      <c r="AX722" s="70"/>
      <c r="AY722" s="68"/>
    </row>
    <row r="723" spans="44:51">
      <c r="AR723" s="67"/>
      <c r="AX723" s="70"/>
      <c r="AY723" s="68"/>
    </row>
    <row r="724" spans="44:51">
      <c r="AR724" s="67"/>
      <c r="AX724" s="70"/>
      <c r="AY724" s="70"/>
    </row>
    <row r="725" spans="44:51">
      <c r="AR725" s="67"/>
      <c r="AX725" s="70"/>
      <c r="AY725" s="70"/>
    </row>
    <row r="726" spans="44:51">
      <c r="AR726" s="67"/>
      <c r="AX726" s="70"/>
      <c r="AY726" s="70"/>
    </row>
    <row r="727" spans="44:51">
      <c r="AR727" s="67"/>
      <c r="AX727" s="70"/>
      <c r="AY727" s="70"/>
    </row>
    <row r="728" spans="44:51">
      <c r="AR728" s="67"/>
      <c r="AX728" s="70"/>
      <c r="AY728" s="70"/>
    </row>
    <row r="729" spans="44:51">
      <c r="AR729" s="67"/>
      <c r="AX729" s="70"/>
      <c r="AY729" s="70"/>
    </row>
    <row r="730" spans="44:51">
      <c r="AR730" s="67"/>
      <c r="AX730" s="70"/>
      <c r="AY730" s="70"/>
    </row>
    <row r="731" spans="44:51">
      <c r="AR731" s="67"/>
      <c r="AX731" s="70"/>
      <c r="AY731" s="70"/>
    </row>
    <row r="732" spans="44:51">
      <c r="AR732" s="67"/>
      <c r="AX732" s="70"/>
      <c r="AY732" s="70"/>
    </row>
    <row r="733" spans="44:51">
      <c r="AR733" s="67"/>
      <c r="AX733" s="70"/>
      <c r="AY733" s="70"/>
    </row>
    <row r="734" spans="44:51">
      <c r="AR734" s="67"/>
      <c r="AX734" s="70"/>
      <c r="AY734" s="70"/>
    </row>
    <row r="735" spans="44:51">
      <c r="AR735" s="67"/>
      <c r="AX735" s="70"/>
      <c r="AY735" s="70"/>
    </row>
    <row r="736" spans="44:51">
      <c r="AR736" s="67"/>
      <c r="AX736" s="70"/>
      <c r="AY736" s="70"/>
    </row>
    <row r="737" spans="44:51">
      <c r="AR737" s="67"/>
      <c r="AX737" s="70"/>
      <c r="AY737" s="70"/>
    </row>
    <row r="738" spans="44:51">
      <c r="AR738" s="67"/>
      <c r="AX738" s="70"/>
      <c r="AY738" s="70"/>
    </row>
    <row r="739" spans="44:51">
      <c r="AR739" s="67"/>
      <c r="AX739" s="70"/>
      <c r="AY739" s="70"/>
    </row>
    <row r="740" spans="44:51">
      <c r="AR740" s="67"/>
      <c r="AX740" s="70"/>
      <c r="AY740" s="70"/>
    </row>
    <row r="741" spans="44:51">
      <c r="AR741" s="67"/>
      <c r="AX741" s="70"/>
      <c r="AY741" s="70"/>
    </row>
    <row r="742" spans="44:51">
      <c r="AR742" s="67"/>
      <c r="AX742" s="70"/>
      <c r="AY742" s="70"/>
    </row>
    <row r="743" spans="44:51">
      <c r="AR743" s="67"/>
      <c r="AX743" s="70"/>
      <c r="AY743" s="70"/>
    </row>
    <row r="744" spans="44:51">
      <c r="AR744" s="67"/>
      <c r="AX744" s="70"/>
      <c r="AY744" s="70"/>
    </row>
    <row r="745" spans="44:51">
      <c r="AR745" s="67"/>
      <c r="AX745" s="70"/>
      <c r="AY745" s="70"/>
    </row>
    <row r="746" spans="44:51">
      <c r="AR746" s="67"/>
      <c r="AX746" s="70"/>
      <c r="AY746" s="70"/>
    </row>
    <row r="747" spans="44:51">
      <c r="AR747" s="67"/>
      <c r="AX747" s="70"/>
      <c r="AY747" s="70"/>
    </row>
    <row r="748" spans="44:51">
      <c r="AR748" s="67"/>
      <c r="AX748" s="70"/>
      <c r="AY748" s="70"/>
    </row>
    <row r="749" spans="44:51">
      <c r="AR749" s="67"/>
      <c r="AX749" s="70"/>
      <c r="AY749" s="70"/>
    </row>
    <row r="750" spans="44:51">
      <c r="AR750" s="67"/>
      <c r="AX750" s="70"/>
      <c r="AY750" s="70"/>
    </row>
    <row r="751" spans="44:51">
      <c r="AR751" s="67"/>
      <c r="AX751" s="70"/>
      <c r="AY751" s="70"/>
    </row>
    <row r="752" spans="44:51">
      <c r="AR752" s="67"/>
      <c r="AX752" s="70"/>
      <c r="AY752" s="70"/>
    </row>
    <row r="753" spans="44:51">
      <c r="AR753" s="67"/>
      <c r="AX753" s="70"/>
      <c r="AY753" s="70"/>
    </row>
    <row r="754" spans="44:51">
      <c r="AR754" s="67"/>
      <c r="AX754" s="70"/>
      <c r="AY754" s="70"/>
    </row>
    <row r="755" spans="44:51">
      <c r="AR755" s="67"/>
      <c r="AX755" s="70"/>
      <c r="AY755" s="70"/>
    </row>
    <row r="756" spans="44:51">
      <c r="AR756" s="67"/>
      <c r="AX756" s="70"/>
      <c r="AY756" s="70"/>
    </row>
    <row r="757" spans="44:51">
      <c r="AR757" s="67"/>
      <c r="AX757" s="70"/>
      <c r="AY757" s="70"/>
    </row>
    <row r="758" spans="44:51">
      <c r="AR758" s="67"/>
      <c r="AX758" s="70"/>
      <c r="AY758" s="70"/>
    </row>
    <row r="759" spans="44:51">
      <c r="AR759" s="67"/>
      <c r="AX759" s="70"/>
      <c r="AY759" s="70"/>
    </row>
    <row r="760" spans="44:51">
      <c r="AR760" s="67"/>
      <c r="AX760" s="70"/>
      <c r="AY760" s="70"/>
    </row>
    <row r="761" spans="44:51">
      <c r="AR761" s="67"/>
      <c r="AX761" s="70"/>
      <c r="AY761" s="70"/>
    </row>
    <row r="762" spans="44:51">
      <c r="AR762" s="67"/>
      <c r="AX762" s="70"/>
      <c r="AY762" s="70"/>
    </row>
    <row r="763" spans="44:51">
      <c r="AR763" s="67"/>
      <c r="AX763" s="70"/>
      <c r="AY763" s="70"/>
    </row>
    <row r="764" spans="44:51">
      <c r="AR764" s="67"/>
      <c r="AX764" s="70"/>
      <c r="AY764" s="70"/>
    </row>
    <row r="765" spans="44:51">
      <c r="AR765" s="67"/>
      <c r="AX765" s="70"/>
      <c r="AY765" s="70"/>
    </row>
    <row r="766" spans="44:51">
      <c r="AR766" s="67"/>
      <c r="AX766" s="70"/>
      <c r="AY766" s="70"/>
    </row>
    <row r="767" spans="44:51">
      <c r="AR767" s="67"/>
      <c r="AX767" s="70"/>
      <c r="AY767" s="70"/>
    </row>
    <row r="768" spans="44:51">
      <c r="AR768" s="67"/>
      <c r="AX768" s="70"/>
      <c r="AY768" s="70"/>
    </row>
    <row r="769" spans="44:51">
      <c r="AR769" s="67"/>
      <c r="AX769" s="70"/>
      <c r="AY769" s="70"/>
    </row>
    <row r="770" spans="44:51">
      <c r="AR770" s="67"/>
      <c r="AX770" s="70"/>
      <c r="AY770" s="70"/>
    </row>
    <row r="771" spans="44:51">
      <c r="AR771" s="67"/>
      <c r="AX771" s="70"/>
      <c r="AY771" s="70"/>
    </row>
    <row r="772" spans="44:51">
      <c r="AR772" s="67"/>
      <c r="AX772" s="70"/>
      <c r="AY772" s="70"/>
    </row>
    <row r="773" spans="44:51">
      <c r="AR773" s="67"/>
      <c r="AX773" s="70"/>
      <c r="AY773" s="70"/>
    </row>
    <row r="774" spans="44:51">
      <c r="AR774" s="67"/>
      <c r="AX774" s="70"/>
      <c r="AY774" s="70"/>
    </row>
    <row r="775" spans="44:51">
      <c r="AR775" s="67"/>
      <c r="AX775" s="70"/>
      <c r="AY775" s="70"/>
    </row>
    <row r="776" spans="44:51">
      <c r="AR776" s="67"/>
      <c r="AX776" s="70"/>
      <c r="AY776" s="70"/>
    </row>
    <row r="777" spans="44:51">
      <c r="AR777" s="67"/>
      <c r="AX777" s="70"/>
      <c r="AY777" s="70"/>
    </row>
    <row r="778" spans="44:51">
      <c r="AR778" s="67"/>
      <c r="AX778" s="70"/>
      <c r="AY778" s="70"/>
    </row>
    <row r="779" spans="44:51">
      <c r="AR779" s="67"/>
      <c r="AX779" s="70"/>
      <c r="AY779" s="70"/>
    </row>
    <row r="780" spans="44:51">
      <c r="AR780" s="67"/>
      <c r="AX780" s="70"/>
      <c r="AY780" s="70"/>
    </row>
    <row r="781" spans="44:51">
      <c r="AR781" s="67"/>
      <c r="AX781" s="70"/>
      <c r="AY781" s="70"/>
    </row>
    <row r="782" spans="44:51">
      <c r="AR782" s="67"/>
      <c r="AX782" s="70"/>
      <c r="AY782" s="70"/>
    </row>
    <row r="783" spans="44:51">
      <c r="AR783" s="67"/>
      <c r="AX783" s="70"/>
      <c r="AY783" s="70"/>
    </row>
    <row r="784" spans="44:51">
      <c r="AR784" s="67"/>
      <c r="AX784" s="70"/>
      <c r="AY784" s="70"/>
    </row>
    <row r="785" spans="44:51">
      <c r="AR785" s="67"/>
      <c r="AX785" s="70"/>
      <c r="AY785" s="70"/>
    </row>
    <row r="786" spans="44:51">
      <c r="AR786" s="67"/>
      <c r="AX786" s="70"/>
      <c r="AY786" s="70"/>
    </row>
    <row r="787" spans="44:51">
      <c r="AR787" s="67"/>
      <c r="AX787" s="70"/>
      <c r="AY787" s="70"/>
    </row>
    <row r="788" spans="44:51">
      <c r="AR788" s="67"/>
      <c r="AX788" s="70"/>
      <c r="AY788" s="70"/>
    </row>
    <row r="789" spans="44:51">
      <c r="AR789" s="67"/>
      <c r="AX789" s="70"/>
      <c r="AY789" s="70"/>
    </row>
    <row r="790" spans="44:51">
      <c r="AR790" s="67"/>
      <c r="AX790" s="70"/>
      <c r="AY790" s="70"/>
    </row>
    <row r="791" spans="44:51">
      <c r="AR791" s="67"/>
      <c r="AX791" s="70"/>
      <c r="AY791" s="70"/>
    </row>
    <row r="792" spans="44:51">
      <c r="AR792" s="67"/>
      <c r="AX792" s="70"/>
      <c r="AY792" s="70"/>
    </row>
    <row r="793" spans="44:51">
      <c r="AR793" s="67"/>
      <c r="AX793" s="70"/>
      <c r="AY793" s="70"/>
    </row>
    <row r="794" spans="44:51">
      <c r="AR794" s="67"/>
      <c r="AX794" s="70"/>
      <c r="AY794" s="70"/>
    </row>
    <row r="795" spans="44:51">
      <c r="AR795" s="67"/>
      <c r="AX795" s="70"/>
      <c r="AY795" s="70"/>
    </row>
    <row r="796" spans="44:51">
      <c r="AR796" s="67"/>
      <c r="AX796" s="70"/>
      <c r="AY796" s="70"/>
    </row>
    <row r="797" spans="44:51">
      <c r="AR797" s="67"/>
      <c r="AX797" s="70"/>
      <c r="AY797" s="70"/>
    </row>
    <row r="798" spans="44:51">
      <c r="AR798" s="67"/>
      <c r="AX798" s="70"/>
      <c r="AY798" s="70"/>
    </row>
    <row r="799" spans="44:51">
      <c r="AR799" s="67"/>
      <c r="AX799" s="70"/>
      <c r="AY799" s="70"/>
    </row>
    <row r="800" spans="44:51">
      <c r="AR800" s="67"/>
      <c r="AX800" s="70"/>
      <c r="AY800" s="70"/>
    </row>
    <row r="801" spans="44:51">
      <c r="AR801" s="67"/>
      <c r="AX801" s="70"/>
      <c r="AY801" s="70"/>
    </row>
    <row r="802" spans="44:51">
      <c r="AR802" s="67"/>
      <c r="AX802" s="70"/>
      <c r="AY802" s="70"/>
    </row>
    <row r="803" spans="44:51">
      <c r="AR803" s="67"/>
      <c r="AX803" s="70"/>
      <c r="AY803" s="70"/>
    </row>
    <row r="804" spans="44:51">
      <c r="AR804" s="67"/>
      <c r="AX804" s="70"/>
      <c r="AY804" s="70"/>
    </row>
    <row r="805" spans="44:51">
      <c r="AR805" s="67"/>
      <c r="AX805" s="70"/>
      <c r="AY805" s="70"/>
    </row>
    <row r="806" spans="44:51">
      <c r="AR806" s="67"/>
      <c r="AX806" s="70"/>
      <c r="AY806" s="70"/>
    </row>
    <row r="807" spans="44:51">
      <c r="AR807" s="67"/>
      <c r="AX807" s="70"/>
      <c r="AY807" s="70"/>
    </row>
    <row r="808" spans="44:51">
      <c r="AR808" s="67"/>
      <c r="AX808" s="70"/>
      <c r="AY808" s="70"/>
    </row>
    <row r="809" spans="44:51">
      <c r="AR809" s="67"/>
      <c r="AX809" s="70"/>
      <c r="AY809" s="70"/>
    </row>
    <row r="810" spans="44:51">
      <c r="AR810" s="67"/>
      <c r="AX810" s="70"/>
      <c r="AY810" s="70"/>
    </row>
    <row r="811" spans="44:51">
      <c r="AR811" s="67"/>
      <c r="AX811" s="70"/>
      <c r="AY811" s="70"/>
    </row>
    <row r="812" spans="44:51">
      <c r="AR812" s="67"/>
      <c r="AX812" s="70"/>
      <c r="AY812" s="70"/>
    </row>
    <row r="813" spans="44:51">
      <c r="AR813" s="67"/>
      <c r="AX813" s="70"/>
      <c r="AY813" s="70"/>
    </row>
    <row r="814" spans="44:51">
      <c r="AR814" s="67"/>
      <c r="AX814" s="70"/>
      <c r="AY814" s="70"/>
    </row>
    <row r="815" spans="44:51">
      <c r="AR815" s="67"/>
      <c r="AX815" s="70"/>
      <c r="AY815" s="70"/>
    </row>
    <row r="816" spans="44:51">
      <c r="AR816" s="67"/>
      <c r="AX816" s="70"/>
      <c r="AY816" s="70"/>
    </row>
    <row r="817" spans="44:51">
      <c r="AR817" s="67"/>
      <c r="AX817" s="70"/>
      <c r="AY817" s="70"/>
    </row>
    <row r="818" spans="44:51">
      <c r="AR818" s="67"/>
      <c r="AX818" s="70"/>
      <c r="AY818" s="70"/>
    </row>
    <row r="819" spans="44:51">
      <c r="AR819" s="67"/>
      <c r="AX819" s="70"/>
      <c r="AY819" s="70"/>
    </row>
    <row r="820" spans="44:51">
      <c r="AR820" s="67"/>
      <c r="AX820" s="70"/>
      <c r="AY820" s="70"/>
    </row>
    <row r="821" spans="44:51">
      <c r="AR821" s="67"/>
      <c r="AX821" s="70"/>
      <c r="AY821" s="70"/>
    </row>
    <row r="822" spans="44:51">
      <c r="AR822" s="67"/>
      <c r="AX822" s="70"/>
      <c r="AY822" s="70"/>
    </row>
    <row r="823" spans="44:51">
      <c r="AR823" s="67"/>
      <c r="AX823" s="70"/>
      <c r="AY823" s="70"/>
    </row>
    <row r="824" spans="44:51">
      <c r="AR824" s="67"/>
      <c r="AX824" s="70"/>
      <c r="AY824" s="70"/>
    </row>
    <row r="825" spans="44:51">
      <c r="AR825" s="67"/>
      <c r="AX825" s="70"/>
      <c r="AY825" s="70"/>
    </row>
    <row r="826" spans="44:51">
      <c r="AR826" s="67"/>
      <c r="AX826" s="70"/>
      <c r="AY826" s="70"/>
    </row>
    <row r="827" spans="44:51">
      <c r="AR827" s="67"/>
      <c r="AX827" s="70"/>
      <c r="AY827" s="70"/>
    </row>
    <row r="828" spans="44:51">
      <c r="AR828" s="67"/>
      <c r="AX828" s="70"/>
      <c r="AY828" s="70"/>
    </row>
    <row r="829" spans="44:51">
      <c r="AR829" s="67"/>
      <c r="AX829" s="70"/>
      <c r="AY829" s="70"/>
    </row>
    <row r="830" spans="44:51">
      <c r="AR830" s="67"/>
      <c r="AX830" s="70"/>
      <c r="AY830" s="70"/>
    </row>
    <row r="831" spans="44:51">
      <c r="AR831" s="67"/>
      <c r="AX831" s="70"/>
      <c r="AY831" s="70"/>
    </row>
    <row r="832" spans="44:51">
      <c r="AR832" s="67"/>
      <c r="AX832" s="70"/>
      <c r="AY832" s="70"/>
    </row>
    <row r="833" spans="44:51">
      <c r="AR833" s="67"/>
      <c r="AX833" s="70"/>
      <c r="AY833" s="70"/>
    </row>
    <row r="834" spans="44:51">
      <c r="AR834" s="67"/>
      <c r="AX834" s="70"/>
      <c r="AY834" s="70"/>
    </row>
    <row r="835" spans="44:51">
      <c r="AR835" s="67"/>
      <c r="AX835" s="70"/>
      <c r="AY835" s="70"/>
    </row>
    <row r="836" spans="44:51">
      <c r="AR836" s="67"/>
      <c r="AX836" s="70"/>
      <c r="AY836" s="70"/>
    </row>
    <row r="837" spans="44:51">
      <c r="AR837" s="67"/>
      <c r="AX837" s="70"/>
      <c r="AY837" s="70"/>
    </row>
    <row r="838" spans="44:51">
      <c r="AR838" s="67"/>
      <c r="AX838" s="70"/>
      <c r="AY838" s="70"/>
    </row>
    <row r="839" spans="44:51">
      <c r="AR839" s="67"/>
      <c r="AX839" s="70"/>
      <c r="AY839" s="70"/>
    </row>
    <row r="840" spans="44:51">
      <c r="AR840" s="67"/>
      <c r="AX840" s="70"/>
      <c r="AY840" s="70"/>
    </row>
    <row r="841" spans="44:51">
      <c r="AR841" s="67"/>
      <c r="AX841" s="70"/>
      <c r="AY841" s="70"/>
    </row>
    <row r="842" spans="44:51">
      <c r="AR842" s="67"/>
      <c r="AX842" s="70"/>
      <c r="AY842" s="70"/>
    </row>
    <row r="843" spans="44:51">
      <c r="AR843" s="67"/>
      <c r="AX843" s="70"/>
      <c r="AY843" s="70"/>
    </row>
    <row r="844" spans="44:51">
      <c r="AR844" s="67"/>
      <c r="AX844" s="70"/>
      <c r="AY844" s="70"/>
    </row>
    <row r="845" spans="44:51">
      <c r="AR845" s="67"/>
      <c r="AX845" s="70"/>
      <c r="AY845" s="70"/>
    </row>
    <row r="846" spans="44:51">
      <c r="AR846" s="67"/>
      <c r="AX846" s="70"/>
      <c r="AY846" s="70"/>
    </row>
    <row r="847" spans="44:51">
      <c r="AR847" s="67"/>
      <c r="AX847" s="70"/>
      <c r="AY847" s="70"/>
    </row>
    <row r="848" spans="44:51">
      <c r="AR848" s="67"/>
      <c r="AX848" s="70"/>
      <c r="AY848" s="70"/>
    </row>
    <row r="849" spans="44:51">
      <c r="AR849" s="67"/>
      <c r="AX849" s="70"/>
      <c r="AY849" s="70"/>
    </row>
    <row r="850" spans="44:51">
      <c r="AR850" s="67"/>
      <c r="AX850" s="70"/>
      <c r="AY850" s="70"/>
    </row>
    <row r="851" spans="44:51">
      <c r="AR851" s="67"/>
      <c r="AX851" s="70"/>
      <c r="AY851" s="70"/>
    </row>
    <row r="852" spans="44:51">
      <c r="AR852" s="67"/>
      <c r="AX852" s="70"/>
      <c r="AY852" s="70"/>
    </row>
    <row r="853" spans="44:51">
      <c r="AR853" s="67"/>
      <c r="AX853" s="70"/>
      <c r="AY853" s="70"/>
    </row>
    <row r="854" spans="44:51">
      <c r="AR854" s="67"/>
      <c r="AX854" s="70"/>
      <c r="AY854" s="70"/>
    </row>
    <row r="855" spans="44:51">
      <c r="AR855" s="67"/>
      <c r="AX855" s="70"/>
      <c r="AY855" s="70"/>
    </row>
    <row r="856" spans="44:51">
      <c r="AR856" s="67"/>
      <c r="AX856" s="70"/>
      <c r="AY856" s="70"/>
    </row>
    <row r="857" spans="44:51">
      <c r="AR857" s="67"/>
      <c r="AX857" s="70"/>
      <c r="AY857" s="70"/>
    </row>
    <row r="858" spans="44:51">
      <c r="AR858" s="67"/>
      <c r="AX858" s="70"/>
      <c r="AY858" s="70"/>
    </row>
    <row r="859" spans="44:51">
      <c r="AR859" s="67"/>
      <c r="AX859" s="70"/>
      <c r="AY859" s="70"/>
    </row>
    <row r="860" spans="44:51">
      <c r="AR860" s="67"/>
      <c r="AX860" s="70"/>
      <c r="AY860" s="70"/>
    </row>
    <row r="861" spans="44:51">
      <c r="AR861" s="67"/>
      <c r="AX861" s="70"/>
      <c r="AY861" s="70"/>
    </row>
    <row r="862" spans="44:51">
      <c r="AR862" s="67"/>
      <c r="AX862" s="70"/>
      <c r="AY862" s="70"/>
    </row>
    <row r="863" spans="44:51">
      <c r="AR863" s="67"/>
      <c r="AX863" s="70"/>
      <c r="AY863" s="70"/>
    </row>
    <row r="864" spans="44:51">
      <c r="AR864" s="67"/>
      <c r="AX864" s="70"/>
      <c r="AY864" s="70"/>
    </row>
    <row r="865" spans="44:51">
      <c r="AR865" s="67"/>
      <c r="AX865" s="70"/>
      <c r="AY865" s="70"/>
    </row>
    <row r="866" spans="44:51">
      <c r="AR866" s="67"/>
      <c r="AX866" s="70"/>
      <c r="AY866" s="70"/>
    </row>
    <row r="867" spans="44:51">
      <c r="AR867" s="67"/>
      <c r="AX867" s="70"/>
      <c r="AY867" s="70"/>
    </row>
    <row r="868" spans="44:51">
      <c r="AR868" s="67"/>
      <c r="AX868" s="70"/>
      <c r="AY868" s="70"/>
    </row>
    <row r="869" spans="44:51">
      <c r="AR869" s="67"/>
      <c r="AX869" s="70"/>
      <c r="AY869" s="70"/>
    </row>
    <row r="870" spans="44:51">
      <c r="AR870" s="67"/>
      <c r="AX870" s="70"/>
      <c r="AY870" s="70"/>
    </row>
    <row r="871" spans="44:51">
      <c r="AR871" s="67"/>
      <c r="AX871" s="70"/>
      <c r="AY871" s="70"/>
    </row>
    <row r="872" spans="44:51">
      <c r="AR872" s="67"/>
      <c r="AX872" s="70"/>
      <c r="AY872" s="70"/>
    </row>
    <row r="873" spans="44:51">
      <c r="AR873" s="67"/>
      <c r="AX873" s="70"/>
      <c r="AY873" s="70"/>
    </row>
    <row r="874" spans="44:51">
      <c r="AR874" s="67"/>
      <c r="AX874" s="70"/>
      <c r="AY874" s="70"/>
    </row>
    <row r="875" spans="44:51">
      <c r="AR875" s="67"/>
      <c r="AX875" s="70"/>
      <c r="AY875" s="70"/>
    </row>
    <row r="876" spans="44:51">
      <c r="AR876" s="67"/>
      <c r="AX876" s="70"/>
      <c r="AY876" s="70"/>
    </row>
    <row r="877" spans="44:51">
      <c r="AR877" s="67"/>
      <c r="AX877" s="70"/>
      <c r="AY877" s="70"/>
    </row>
    <row r="878" spans="44:51">
      <c r="AR878" s="67"/>
      <c r="AX878" s="70"/>
      <c r="AY878" s="70"/>
    </row>
    <row r="879" spans="44:51">
      <c r="AR879" s="67"/>
      <c r="AX879" s="70"/>
      <c r="AY879" s="70"/>
    </row>
    <row r="880" spans="44:51">
      <c r="AR880" s="67"/>
      <c r="AX880" s="70"/>
      <c r="AY880" s="70"/>
    </row>
    <row r="881" spans="44:51">
      <c r="AR881" s="67"/>
      <c r="AX881" s="70"/>
      <c r="AY881" s="70"/>
    </row>
    <row r="882" spans="44:51">
      <c r="AR882" s="67"/>
      <c r="AX882" s="70"/>
      <c r="AY882" s="70"/>
    </row>
    <row r="883" spans="44:51">
      <c r="AR883" s="67"/>
      <c r="AX883" s="70"/>
      <c r="AY883" s="70"/>
    </row>
    <row r="884" spans="44:51">
      <c r="AR884" s="67"/>
      <c r="AX884" s="70"/>
      <c r="AY884" s="70"/>
    </row>
    <row r="885" spans="44:51">
      <c r="AR885" s="67"/>
      <c r="AX885" s="70"/>
      <c r="AY885" s="70"/>
    </row>
    <row r="886" spans="44:51">
      <c r="AR886" s="67"/>
      <c r="AX886" s="70"/>
      <c r="AY886" s="70"/>
    </row>
    <row r="887" spans="44:51">
      <c r="AR887" s="67"/>
      <c r="AX887" s="70"/>
      <c r="AY887" s="70"/>
    </row>
    <row r="888" spans="44:51">
      <c r="AR888" s="67"/>
      <c r="AX888" s="70"/>
      <c r="AY888" s="70"/>
    </row>
    <row r="889" spans="44:51">
      <c r="AR889" s="67"/>
      <c r="AX889" s="70"/>
      <c r="AY889" s="70"/>
    </row>
    <row r="890" spans="44:51">
      <c r="AR890" s="67"/>
      <c r="AX890" s="70"/>
      <c r="AY890" s="70"/>
    </row>
    <row r="891" spans="44:51">
      <c r="AR891" s="67"/>
      <c r="AX891" s="70"/>
      <c r="AY891" s="70"/>
    </row>
    <row r="892" spans="44:51">
      <c r="AR892" s="67"/>
      <c r="AX892" s="70"/>
      <c r="AY892" s="70"/>
    </row>
    <row r="893" spans="44:51">
      <c r="AR893" s="67"/>
      <c r="AX893" s="70"/>
      <c r="AY893" s="70"/>
    </row>
    <row r="894" spans="44:51">
      <c r="AR894" s="67"/>
      <c r="AX894" s="70"/>
      <c r="AY894" s="70"/>
    </row>
    <row r="895" spans="44:51">
      <c r="AR895" s="67"/>
      <c r="AX895" s="70"/>
      <c r="AY895" s="70"/>
    </row>
    <row r="896" spans="44:51">
      <c r="AR896" s="67"/>
      <c r="AX896" s="70"/>
      <c r="AY896" s="70"/>
    </row>
    <row r="897" spans="44:51">
      <c r="AR897" s="67"/>
      <c r="AX897" s="70"/>
      <c r="AY897" s="70"/>
    </row>
    <row r="898" spans="44:51">
      <c r="AR898" s="67"/>
      <c r="AX898" s="70"/>
      <c r="AY898" s="70"/>
    </row>
    <row r="899" spans="44:51">
      <c r="AR899" s="67"/>
      <c r="AX899" s="70"/>
      <c r="AY899" s="70"/>
    </row>
    <row r="900" spans="44:51">
      <c r="AR900" s="67"/>
      <c r="AX900" s="70"/>
      <c r="AY900" s="70"/>
    </row>
    <row r="901" spans="44:51">
      <c r="AR901" s="67"/>
      <c r="AX901" s="70"/>
      <c r="AY901" s="70"/>
    </row>
    <row r="902" spans="44:51">
      <c r="AR902" s="67"/>
      <c r="AX902" s="70"/>
      <c r="AY902" s="70"/>
    </row>
    <row r="903" spans="44:51">
      <c r="AR903" s="67"/>
      <c r="AX903" s="70"/>
      <c r="AY903" s="70"/>
    </row>
    <row r="904" spans="44:51">
      <c r="AR904" s="67"/>
      <c r="AX904" s="70"/>
      <c r="AY904" s="70"/>
    </row>
    <row r="905" spans="44:51">
      <c r="AR905" s="67"/>
      <c r="AX905" s="70"/>
      <c r="AY905" s="70"/>
    </row>
    <row r="906" spans="44:51">
      <c r="AR906" s="67"/>
      <c r="AX906" s="70"/>
      <c r="AY906" s="70"/>
    </row>
    <row r="907" spans="44:51">
      <c r="AR907" s="67"/>
      <c r="AX907" s="70"/>
      <c r="AY907" s="70"/>
    </row>
    <row r="908" spans="44:51">
      <c r="AR908" s="67"/>
      <c r="AX908" s="70"/>
      <c r="AY908" s="70"/>
    </row>
    <row r="909" spans="44:51">
      <c r="AR909" s="67"/>
      <c r="AX909" s="70"/>
      <c r="AY909" s="70"/>
    </row>
    <row r="910" spans="44:51">
      <c r="AR910" s="67"/>
      <c r="AX910" s="70"/>
      <c r="AY910" s="70"/>
    </row>
    <row r="911" spans="44:51">
      <c r="AR911" s="67"/>
      <c r="AX911" s="70"/>
      <c r="AY911" s="70"/>
    </row>
    <row r="912" spans="44:51">
      <c r="AR912" s="67"/>
      <c r="AX912" s="70"/>
      <c r="AY912" s="70"/>
    </row>
    <row r="913" spans="44:51">
      <c r="AR913" s="67"/>
      <c r="AX913" s="70"/>
      <c r="AY913" s="70"/>
    </row>
    <row r="914" spans="44:51">
      <c r="AR914" s="67"/>
      <c r="AX914" s="70"/>
      <c r="AY914" s="70"/>
    </row>
    <row r="915" spans="44:51">
      <c r="AR915" s="67"/>
      <c r="AX915" s="70"/>
      <c r="AY915" s="70"/>
    </row>
    <row r="916" spans="44:51">
      <c r="AR916" s="67"/>
      <c r="AX916" s="70"/>
      <c r="AY916" s="70"/>
    </row>
    <row r="917" spans="44:51">
      <c r="AR917" s="67"/>
      <c r="AX917" s="70"/>
      <c r="AY917" s="70"/>
    </row>
    <row r="918" spans="44:51">
      <c r="AR918" s="67"/>
      <c r="AX918" s="70"/>
      <c r="AY918" s="70"/>
    </row>
    <row r="919" spans="44:51">
      <c r="AR919" s="67"/>
      <c r="AX919" s="70"/>
      <c r="AY919" s="70"/>
    </row>
    <row r="920" spans="44:51">
      <c r="AR920" s="67"/>
      <c r="AX920" s="70"/>
      <c r="AY920" s="70"/>
    </row>
    <row r="921" spans="44:51">
      <c r="AR921" s="67"/>
      <c r="AX921" s="70"/>
      <c r="AY921" s="70"/>
    </row>
    <row r="922" spans="44:51">
      <c r="AR922" s="67"/>
      <c r="AX922" s="70"/>
      <c r="AY922" s="70"/>
    </row>
    <row r="923" spans="44:51">
      <c r="AR923" s="67"/>
      <c r="AX923" s="70"/>
      <c r="AY923" s="70"/>
    </row>
    <row r="924" spans="44:51">
      <c r="AR924" s="67"/>
      <c r="AX924" s="70"/>
      <c r="AY924" s="70"/>
    </row>
    <row r="925" spans="44:51">
      <c r="AR925" s="67"/>
      <c r="AX925" s="70"/>
      <c r="AY925" s="70"/>
    </row>
    <row r="926" spans="44:51">
      <c r="AR926" s="67"/>
      <c r="AX926" s="70"/>
      <c r="AY926" s="70"/>
    </row>
    <row r="927" spans="44:51">
      <c r="AR927" s="67"/>
      <c r="AX927" s="70"/>
      <c r="AY927" s="70"/>
    </row>
    <row r="928" spans="44:51">
      <c r="AR928" s="67"/>
      <c r="AX928" s="70"/>
      <c r="AY928" s="70"/>
    </row>
    <row r="929" spans="44:51">
      <c r="AR929" s="67"/>
      <c r="AX929" s="70"/>
      <c r="AY929" s="70"/>
    </row>
    <row r="930" spans="44:51">
      <c r="AR930" s="67"/>
      <c r="AX930" s="70"/>
      <c r="AY930" s="70"/>
    </row>
    <row r="931" spans="44:51">
      <c r="AR931" s="67"/>
      <c r="AX931" s="70"/>
      <c r="AY931" s="70"/>
    </row>
    <row r="932" spans="44:51">
      <c r="AR932" s="67"/>
      <c r="AX932" s="70"/>
      <c r="AY932" s="70"/>
    </row>
    <row r="933" spans="44:51">
      <c r="AR933" s="67"/>
      <c r="AX933" s="70"/>
      <c r="AY933" s="70"/>
    </row>
    <row r="934" spans="44:51">
      <c r="AR934" s="67"/>
      <c r="AX934" s="70"/>
      <c r="AY934" s="70"/>
    </row>
    <row r="935" spans="44:51">
      <c r="AR935" s="67"/>
      <c r="AX935" s="70"/>
      <c r="AY935" s="70"/>
    </row>
    <row r="936" spans="44:51">
      <c r="AR936" s="67"/>
      <c r="AX936" s="70"/>
      <c r="AY936" s="70"/>
    </row>
    <row r="937" spans="44:51">
      <c r="AR937" s="67"/>
      <c r="AX937" s="70"/>
      <c r="AY937" s="70"/>
    </row>
    <row r="938" spans="44:51">
      <c r="AR938" s="67"/>
      <c r="AX938" s="70"/>
      <c r="AY938" s="70"/>
    </row>
    <row r="939" spans="44:51">
      <c r="AR939" s="67"/>
      <c r="AX939" s="70"/>
      <c r="AY939" s="70"/>
    </row>
    <row r="940" spans="44:51">
      <c r="AR940" s="67"/>
      <c r="AX940" s="70"/>
      <c r="AY940" s="70"/>
    </row>
    <row r="941" spans="44:51">
      <c r="AR941" s="67"/>
      <c r="AX941" s="70"/>
      <c r="AY941" s="70"/>
    </row>
    <row r="942" spans="44:51">
      <c r="AR942" s="67"/>
      <c r="AX942" s="70"/>
      <c r="AY942" s="70"/>
    </row>
    <row r="943" spans="44:51">
      <c r="AR943" s="67"/>
      <c r="AX943" s="70"/>
      <c r="AY943" s="70"/>
    </row>
    <row r="944" spans="44:51">
      <c r="AR944" s="67"/>
      <c r="AX944" s="70"/>
      <c r="AY944" s="70"/>
    </row>
    <row r="945" spans="44:51">
      <c r="AR945" s="67"/>
      <c r="AX945" s="70"/>
      <c r="AY945" s="70"/>
    </row>
    <row r="946" spans="44:51">
      <c r="AR946" s="67"/>
      <c r="AX946" s="70"/>
      <c r="AY946" s="70"/>
    </row>
    <row r="947" spans="44:51">
      <c r="AR947" s="67"/>
      <c r="AX947" s="70"/>
      <c r="AY947" s="70"/>
    </row>
    <row r="948" spans="44:51">
      <c r="AR948" s="67"/>
      <c r="AX948" s="70"/>
      <c r="AY948" s="70"/>
    </row>
    <row r="949" spans="44:51">
      <c r="AR949" s="67"/>
      <c r="AX949" s="70"/>
      <c r="AY949" s="70"/>
    </row>
    <row r="950" spans="44:51">
      <c r="AR950" s="67"/>
      <c r="AX950" s="70"/>
      <c r="AY950" s="70"/>
    </row>
    <row r="951" spans="44:51">
      <c r="AR951" s="67"/>
      <c r="AX951" s="70"/>
      <c r="AY951" s="70"/>
    </row>
    <row r="952" spans="44:51">
      <c r="AR952" s="67"/>
      <c r="AX952" s="70"/>
      <c r="AY952" s="70"/>
    </row>
    <row r="953" spans="44:51">
      <c r="AR953" s="67"/>
      <c r="AX953" s="70"/>
      <c r="AY953" s="70"/>
    </row>
    <row r="954" spans="44:51">
      <c r="AR954" s="67"/>
      <c r="AX954" s="70"/>
      <c r="AY954" s="70"/>
    </row>
    <row r="955" spans="44:51">
      <c r="AR955" s="67"/>
      <c r="AX955" s="70"/>
      <c r="AY955" s="70"/>
    </row>
    <row r="956" spans="44:51">
      <c r="AR956" s="67"/>
      <c r="AX956" s="70"/>
      <c r="AY956" s="70"/>
    </row>
    <row r="957" spans="44:51">
      <c r="AR957" s="67"/>
      <c r="AX957" s="70"/>
      <c r="AY957" s="70"/>
    </row>
    <row r="958" spans="44:51">
      <c r="AR958" s="67"/>
      <c r="AX958" s="70"/>
      <c r="AY958" s="70"/>
    </row>
    <row r="959" spans="44:51">
      <c r="AR959" s="67"/>
      <c r="AX959" s="70"/>
      <c r="AY959" s="70"/>
    </row>
    <row r="960" spans="44:51">
      <c r="AR960" s="67"/>
      <c r="AX960" s="70"/>
      <c r="AY960" s="70"/>
    </row>
    <row r="961" spans="44:51">
      <c r="AR961" s="67"/>
      <c r="AX961" s="70"/>
      <c r="AY961" s="70"/>
    </row>
    <row r="962" spans="44:51">
      <c r="AR962" s="67"/>
      <c r="AX962" s="70"/>
      <c r="AY962" s="70"/>
    </row>
    <row r="963" spans="44:51">
      <c r="AR963" s="67"/>
      <c r="AX963" s="70"/>
      <c r="AY963" s="70"/>
    </row>
    <row r="964" spans="44:51">
      <c r="AR964" s="67"/>
      <c r="AX964" s="70"/>
      <c r="AY964" s="70"/>
    </row>
    <row r="965" spans="44:51">
      <c r="AR965" s="67"/>
      <c r="AX965" s="70"/>
      <c r="AY965" s="70"/>
    </row>
    <row r="966" spans="44:51">
      <c r="AR966" s="67"/>
      <c r="AX966" s="70"/>
      <c r="AY966" s="70"/>
    </row>
    <row r="967" spans="44:51">
      <c r="AR967" s="67"/>
      <c r="AX967" s="70"/>
      <c r="AY967" s="70"/>
    </row>
    <row r="968" spans="44:51">
      <c r="AR968" s="67"/>
      <c r="AX968" s="70"/>
      <c r="AY968" s="70"/>
    </row>
    <row r="969" spans="44:51">
      <c r="AR969" s="67"/>
      <c r="AX969" s="70"/>
      <c r="AY969" s="70"/>
    </row>
    <row r="970" spans="44:51">
      <c r="AR970" s="67"/>
      <c r="AX970" s="70"/>
      <c r="AY970" s="70"/>
    </row>
    <row r="971" spans="44:51">
      <c r="AR971" s="67"/>
      <c r="AX971" s="70"/>
      <c r="AY971" s="70"/>
    </row>
    <row r="972" spans="44:51">
      <c r="AR972" s="67"/>
      <c r="AX972" s="70"/>
      <c r="AY972" s="70"/>
    </row>
    <row r="973" spans="44:51">
      <c r="AR973" s="67"/>
      <c r="AX973" s="70"/>
      <c r="AY973" s="70"/>
    </row>
    <row r="974" spans="44:51">
      <c r="AR974" s="67"/>
      <c r="AX974" s="70"/>
      <c r="AY974" s="70"/>
    </row>
    <row r="975" spans="44:51">
      <c r="AR975" s="67"/>
      <c r="AX975" s="70"/>
      <c r="AY975" s="70"/>
    </row>
    <row r="976" spans="44:51">
      <c r="AR976" s="67"/>
      <c r="AX976" s="70"/>
      <c r="AY976" s="70"/>
    </row>
    <row r="977" spans="44:51">
      <c r="AR977" s="67"/>
      <c r="AX977" s="70"/>
      <c r="AY977" s="70"/>
    </row>
    <row r="978" spans="44:51">
      <c r="AR978" s="67"/>
      <c r="AX978" s="70"/>
      <c r="AY978" s="70"/>
    </row>
    <row r="979" spans="44:51">
      <c r="AR979" s="67"/>
      <c r="AX979" s="70"/>
      <c r="AY979" s="70"/>
    </row>
    <row r="980" spans="44:51">
      <c r="AR980" s="67"/>
      <c r="AX980" s="70"/>
      <c r="AY980" s="70"/>
    </row>
    <row r="981" spans="44:51">
      <c r="AR981" s="67"/>
      <c r="AX981" s="70"/>
      <c r="AY981" s="70"/>
    </row>
    <row r="982" spans="44:51">
      <c r="AR982" s="67"/>
      <c r="AX982" s="70"/>
      <c r="AY982" s="70"/>
    </row>
    <row r="983" spans="44:51">
      <c r="AR983" s="67"/>
      <c r="AX983" s="70"/>
      <c r="AY983" s="70"/>
    </row>
    <row r="984" spans="44:51">
      <c r="AR984" s="67"/>
      <c r="AX984" s="70"/>
      <c r="AY984" s="70"/>
    </row>
    <row r="985" spans="44:51">
      <c r="AR985" s="67"/>
      <c r="AX985" s="70"/>
      <c r="AY985" s="70"/>
    </row>
    <row r="986" spans="44:51">
      <c r="AR986" s="67"/>
      <c r="AX986" s="70"/>
      <c r="AY986" s="70"/>
    </row>
    <row r="987" spans="44:51">
      <c r="AR987" s="67"/>
      <c r="AX987" s="70"/>
      <c r="AY987" s="70"/>
    </row>
    <row r="988" spans="44:51">
      <c r="AR988" s="67"/>
      <c r="AX988" s="70"/>
      <c r="AY988" s="70"/>
    </row>
    <row r="989" spans="44:51">
      <c r="AR989" s="67"/>
      <c r="AX989" s="70"/>
      <c r="AY989" s="70"/>
    </row>
    <row r="990" spans="44:51">
      <c r="AR990" s="67"/>
      <c r="AX990" s="70"/>
      <c r="AY990" s="70"/>
    </row>
    <row r="991" spans="44:51">
      <c r="AR991" s="67"/>
      <c r="AX991" s="70"/>
      <c r="AY991" s="70"/>
    </row>
    <row r="992" spans="44:51">
      <c r="AR992" s="67"/>
      <c r="AX992" s="70"/>
      <c r="AY992" s="70"/>
    </row>
    <row r="993" spans="44:51">
      <c r="AR993" s="67"/>
      <c r="AX993" s="70"/>
      <c r="AY993" s="70"/>
    </row>
    <row r="994" spans="44:51">
      <c r="AR994" s="67"/>
      <c r="AX994" s="70"/>
      <c r="AY994" s="70"/>
    </row>
    <row r="995" spans="44:51">
      <c r="AR995" s="67"/>
      <c r="AX995" s="70"/>
      <c r="AY995" s="70"/>
    </row>
    <row r="996" spans="44:51">
      <c r="AR996" s="67"/>
      <c r="AX996" s="70"/>
      <c r="AY996" s="70"/>
    </row>
    <row r="997" spans="44:51">
      <c r="AR997" s="67"/>
      <c r="AX997" s="70"/>
      <c r="AY997" s="70"/>
    </row>
    <row r="998" spans="44:51">
      <c r="AR998" s="67"/>
      <c r="AX998" s="70"/>
      <c r="AY998" s="70"/>
    </row>
    <row r="999" spans="44:51">
      <c r="AR999" s="67"/>
      <c r="AX999" s="70"/>
      <c r="AY999" s="70"/>
    </row>
    <row r="1000" spans="44:51">
      <c r="AR1000" s="67"/>
      <c r="AX1000" s="70"/>
      <c r="AY1000" s="70"/>
    </row>
    <row r="1001" spans="44:51">
      <c r="AR1001" s="67"/>
      <c r="AX1001" s="70"/>
      <c r="AY1001" s="70"/>
    </row>
    <row r="1002" spans="44:51">
      <c r="AR1002" s="67"/>
      <c r="AX1002" s="70"/>
      <c r="AY1002" s="70"/>
    </row>
    <row r="1003" spans="44:51">
      <c r="AR1003" s="67"/>
      <c r="AX1003" s="70"/>
      <c r="AY1003" s="70"/>
    </row>
    <row r="1004" spans="44:51">
      <c r="AR1004" s="67"/>
      <c r="AX1004" s="70"/>
      <c r="AY1004" s="70"/>
    </row>
    <row r="1005" spans="44:51">
      <c r="AR1005" s="67"/>
      <c r="AX1005" s="70"/>
      <c r="AY1005" s="70"/>
    </row>
  </sheetData>
  <phoneticPr fontId="1" type="noConversion"/>
  <conditionalFormatting sqref="J9:J53">
    <cfRule type="dataBar" priority="1">
      <dataBar>
        <cfvo type="min"/>
        <cfvo type="max"/>
        <color rgb="FF638EC6"/>
      </dataBar>
    </cfRule>
  </conditionalFormatting>
  <dataValidations count="5">
    <dataValidation type="list" allowBlank="1" showInputMessage="1" showErrorMessage="1" sqref="F5 O3:O6">
      <formula1>$CH$9:$CH$14</formula1>
    </dataValidation>
    <dataValidation type="list" allowBlank="1" showInputMessage="1" showErrorMessage="1" sqref="Q6">
      <formula1>$CC$9:$CC$53</formula1>
    </dataValidation>
    <dataValidation type="list" allowBlank="1" showInputMessage="1" showErrorMessage="1" sqref="Q4">
      <formula1>$BQ$9:$BQ$53</formula1>
    </dataValidation>
    <dataValidation type="list" allowBlank="1" showInputMessage="1" showErrorMessage="1" sqref="Q5">
      <formula1>$BW$9:$BW$53</formula1>
    </dataValidation>
    <dataValidation type="list" allowBlank="1" showInputMessage="1" showErrorMessage="1" sqref="Q3">
      <formula1>$BK$9:$BK$53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세계주요지수2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2015-05-21T04:39:58Z</dcterms:created>
  <dcterms:modified xsi:type="dcterms:W3CDTF">2017-01-20T05:19:44Z</dcterms:modified>
</cp:coreProperties>
</file>