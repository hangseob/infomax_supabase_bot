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095" windowWidth="25440" windowHeight="13935"/>
  </bookViews>
  <sheets>
    <sheet name="LME Price" sheetId="1" r:id="rId1"/>
    <sheet name="도움말" sheetId="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  <c r="F65" i="1"/>
  <c r="I60" i="1"/>
  <c r="G60" i="1" s="1"/>
  <c r="M65" i="1"/>
  <c r="L65" i="1"/>
  <c r="K65" i="1"/>
  <c r="J65" i="1"/>
  <c r="I65" i="1"/>
  <c r="H65" i="1"/>
  <c r="A74" i="1"/>
  <c r="B74" i="1" s="1"/>
  <c r="M61" i="1" s="1"/>
  <c r="A73" i="1"/>
  <c r="B73" i="1" s="1"/>
  <c r="L61" i="1" s="1"/>
  <c r="A72" i="1"/>
  <c r="B72" i="1" s="1"/>
  <c r="K61" i="1" s="1"/>
  <c r="A71" i="1"/>
  <c r="B71" i="1" s="1"/>
  <c r="J61" i="1" s="1"/>
  <c r="A70" i="1"/>
  <c r="B70" i="1" s="1"/>
  <c r="I61" i="1" s="1"/>
  <c r="A69" i="1"/>
  <c r="B69" i="1" s="1"/>
  <c r="H61" i="1" s="1"/>
  <c r="A68" i="1"/>
  <c r="B68" i="1" s="1"/>
  <c r="G61" i="1" s="1"/>
  <c r="A67" i="1"/>
  <c r="B67" i="1" s="1"/>
  <c r="F61" i="1" s="1"/>
  <c r="H41" i="1"/>
  <c r="H21" i="1"/>
  <c r="H44" i="1"/>
  <c r="H28" i="1"/>
  <c r="H12" i="1"/>
  <c r="H35" i="1"/>
  <c r="H46" i="1"/>
  <c r="H14" i="1"/>
  <c r="H42" i="1"/>
  <c r="I53" i="1"/>
  <c r="I37" i="1"/>
  <c r="I13" i="1"/>
  <c r="I48" i="1"/>
  <c r="I32" i="1"/>
  <c r="I16" i="1"/>
  <c r="I43" i="1"/>
  <c r="I23" i="1"/>
  <c r="I46" i="1"/>
  <c r="I30" i="1"/>
  <c r="O44" i="1"/>
  <c r="L29" i="1"/>
  <c r="P28" i="1"/>
  <c r="L30" i="1"/>
  <c r="J38" i="1"/>
  <c r="O20" i="1"/>
  <c r="K34" i="1"/>
  <c r="L41" i="1"/>
  <c r="L35" i="1"/>
  <c r="J32" i="1"/>
  <c r="L12" i="1"/>
  <c r="O29" i="1"/>
  <c r="O19" i="1"/>
  <c r="N36" i="1"/>
  <c r="O48" i="1"/>
  <c r="J46" i="1"/>
  <c r="M15" i="1"/>
  <c r="N39" i="1"/>
  <c r="L47" i="1"/>
  <c r="M22" i="1"/>
  <c r="K46" i="1"/>
  <c r="M32" i="1"/>
  <c r="K19" i="1"/>
  <c r="M46" i="1"/>
  <c r="M37" i="1"/>
  <c r="P33" i="1"/>
  <c r="L13" i="1"/>
  <c r="L53" i="1"/>
  <c r="O42" i="1"/>
  <c r="K37" i="1"/>
  <c r="K43" i="1"/>
  <c r="O36" i="1"/>
  <c r="M44" i="1"/>
  <c r="J22" i="1"/>
  <c r="J34" i="1"/>
  <c r="N37" i="1"/>
  <c r="N38" i="1"/>
  <c r="M30" i="1"/>
  <c r="M41" i="1"/>
  <c r="K47" i="1"/>
  <c r="M45" i="1"/>
  <c r="J29" i="1"/>
  <c r="O51" i="1"/>
  <c r="P23" i="1"/>
  <c r="P45" i="1"/>
  <c r="K33" i="1"/>
  <c r="P49" i="1"/>
  <c r="J14" i="1"/>
  <c r="M21" i="1"/>
  <c r="N40" i="1"/>
  <c r="L15" i="1"/>
  <c r="K45" i="1"/>
  <c r="J39" i="1"/>
  <c r="O49" i="1"/>
  <c r="K39" i="1"/>
  <c r="P51" i="1"/>
  <c r="N50" i="1"/>
  <c r="J36" i="1"/>
  <c r="M26" i="1"/>
  <c r="J15" i="1"/>
  <c r="N32" i="1"/>
  <c r="L19" i="1"/>
  <c r="K26" i="1"/>
  <c r="P16" i="1"/>
  <c r="P21" i="1"/>
  <c r="J27" i="1"/>
  <c r="K22" i="1"/>
  <c r="O12" i="1"/>
  <c r="P53" i="1"/>
  <c r="N41" i="1"/>
  <c r="N26" i="1"/>
  <c r="H53" i="1"/>
  <c r="H37" i="1"/>
  <c r="H13" i="1"/>
  <c r="H40" i="1"/>
  <c r="H24" i="1"/>
  <c r="H47" i="1"/>
  <c r="H23" i="1"/>
  <c r="H38" i="1"/>
  <c r="H51" i="1"/>
  <c r="H34" i="1"/>
  <c r="I49" i="1"/>
  <c r="I33" i="1"/>
  <c r="I26" i="1"/>
  <c r="I44" i="1"/>
  <c r="I28" i="1"/>
  <c r="I12" i="1"/>
  <c r="I39" i="1"/>
  <c r="I19" i="1"/>
  <c r="I42" i="1"/>
  <c r="I22" i="1"/>
  <c r="J37" i="1"/>
  <c r="O14" i="1"/>
  <c r="M33" i="1"/>
  <c r="M28" i="1"/>
  <c r="L20" i="1"/>
  <c r="N46" i="1"/>
  <c r="P42" i="1"/>
  <c r="K29" i="1"/>
  <c r="P32" i="1"/>
  <c r="M35" i="1"/>
  <c r="P27" i="1"/>
  <c r="K44" i="1"/>
  <c r="P19" i="1"/>
  <c r="O38" i="1"/>
  <c r="P18" i="1"/>
  <c r="J33" i="1"/>
  <c r="K27" i="1"/>
  <c r="P13" i="1"/>
  <c r="O13" i="1"/>
  <c r="P40" i="1"/>
  <c r="P48" i="1"/>
  <c r="P50" i="1"/>
  <c r="L37" i="1"/>
  <c r="M40" i="1"/>
  <c r="O39" i="1"/>
  <c r="L51" i="1"/>
  <c r="M52" i="1"/>
  <c r="M16" i="1"/>
  <c r="K52" i="1"/>
  <c r="P29" i="1"/>
  <c r="K42" i="1"/>
  <c r="P34" i="1"/>
  <c r="P36" i="1"/>
  <c r="O15" i="1"/>
  <c r="N33" i="1"/>
  <c r="L28" i="1"/>
  <c r="N16" i="1"/>
  <c r="N15" i="1"/>
  <c r="P30" i="1"/>
  <c r="N49" i="1"/>
  <c r="N42" i="1"/>
  <c r="P35" i="1"/>
  <c r="N23" i="1"/>
  <c r="K35" i="1"/>
  <c r="M19" i="1"/>
  <c r="M39" i="1"/>
  <c r="M51" i="1"/>
  <c r="P24" i="1"/>
  <c r="N47" i="1"/>
  <c r="K12" i="1"/>
  <c r="N48" i="1"/>
  <c r="K53" i="1"/>
  <c r="L22" i="1"/>
  <c r="O52" i="1"/>
  <c r="O45" i="1"/>
  <c r="M53" i="1"/>
  <c r="L24" i="1"/>
  <c r="M29" i="1"/>
  <c r="K48" i="1"/>
  <c r="J26" i="1"/>
  <c r="L36" i="1"/>
  <c r="L49" i="1"/>
  <c r="N21" i="1"/>
  <c r="P15" i="1"/>
  <c r="N27" i="1"/>
  <c r="O47" i="1"/>
  <c r="O50" i="1"/>
  <c r="O21" i="1"/>
  <c r="L38" i="1"/>
  <c r="L42" i="1"/>
  <c r="P38" i="1"/>
  <c r="H49" i="1"/>
  <c r="H33" i="1"/>
  <c r="H52" i="1"/>
  <c r="H36" i="1"/>
  <c r="H20" i="1"/>
  <c r="H43" i="1"/>
  <c r="H19" i="1"/>
  <c r="H30" i="1"/>
  <c r="H27" i="1"/>
  <c r="H26" i="1"/>
  <c r="I45" i="1"/>
  <c r="I29" i="1"/>
  <c r="I14" i="1"/>
  <c r="I40" i="1"/>
  <c r="I24" i="1"/>
  <c r="I51" i="1"/>
  <c r="I35" i="1"/>
  <c r="I15" i="1"/>
  <c r="I38" i="1"/>
  <c r="I18" i="1"/>
  <c r="N51" i="1"/>
  <c r="O26" i="1"/>
  <c r="O22" i="1"/>
  <c r="P37" i="1"/>
  <c r="K51" i="1"/>
  <c r="J23" i="1"/>
  <c r="J47" i="1"/>
  <c r="M34" i="1"/>
  <c r="O43" i="1"/>
  <c r="L39" i="1"/>
  <c r="O53" i="1"/>
  <c r="P52" i="1"/>
  <c r="P39" i="1"/>
  <c r="L46" i="1"/>
  <c r="O30" i="1"/>
  <c r="N24" i="1"/>
  <c r="N28" i="1"/>
  <c r="J35" i="1"/>
  <c r="O35" i="1"/>
  <c r="L45" i="1"/>
  <c r="N29" i="1"/>
  <c r="K30" i="1"/>
  <c r="M48" i="1"/>
  <c r="M13" i="1"/>
  <c r="M38" i="1"/>
  <c r="N53" i="1"/>
  <c r="L52" i="1"/>
  <c r="N30" i="1"/>
  <c r="O23" i="1"/>
  <c r="N45" i="1"/>
  <c r="N43" i="1"/>
  <c r="L50" i="1"/>
  <c r="K13" i="1"/>
  <c r="M36" i="1"/>
  <c r="L44" i="1"/>
  <c r="O16" i="1"/>
  <c r="N18" i="1"/>
  <c r="L23" i="1"/>
  <c r="P44" i="1"/>
  <c r="L43" i="1"/>
  <c r="O37" i="1"/>
  <c r="K38" i="1"/>
  <c r="K32" i="1"/>
  <c r="P46" i="1"/>
  <c r="K41" i="1"/>
  <c r="M43" i="1"/>
  <c r="J40" i="1"/>
  <c r="J49" i="1"/>
  <c r="O27" i="1"/>
  <c r="L16" i="1"/>
  <c r="K49" i="1"/>
  <c r="P26" i="1"/>
  <c r="L27" i="1"/>
  <c r="O41" i="1"/>
  <c r="O32" i="1"/>
  <c r="J50" i="1"/>
  <c r="M27" i="1"/>
  <c r="M49" i="1"/>
  <c r="M12" i="1"/>
  <c r="H45" i="1"/>
  <c r="H29" i="1"/>
  <c r="H48" i="1"/>
  <c r="H32" i="1"/>
  <c r="H16" i="1"/>
  <c r="H39" i="1"/>
  <c r="H15" i="1"/>
  <c r="H22" i="1"/>
  <c r="H50" i="1"/>
  <c r="H18" i="1"/>
  <c r="I41" i="1"/>
  <c r="I21" i="1"/>
  <c r="I52" i="1"/>
  <c r="I36" i="1"/>
  <c r="I20" i="1"/>
  <c r="I47" i="1"/>
  <c r="I27" i="1"/>
  <c r="I50" i="1"/>
  <c r="I34" i="1"/>
  <c r="N20" i="1"/>
  <c r="L33" i="1"/>
  <c r="J28" i="1"/>
  <c r="K15" i="1"/>
  <c r="P20" i="1"/>
  <c r="L21" i="1"/>
  <c r="M42" i="1"/>
  <c r="J53" i="1"/>
  <c r="J30" i="1"/>
  <c r="M24" i="1"/>
  <c r="N35" i="1"/>
  <c r="L26" i="1"/>
  <c r="J45" i="1"/>
  <c r="L40" i="1"/>
  <c r="J12" i="1"/>
  <c r="J42" i="1"/>
  <c r="K50" i="1"/>
  <c r="P12" i="1"/>
  <c r="P41" i="1"/>
  <c r="J44" i="1"/>
  <c r="L34" i="1"/>
  <c r="N12" i="1"/>
  <c r="J43" i="1"/>
  <c r="O18" i="1"/>
  <c r="P47" i="1"/>
  <c r="K18" i="1"/>
  <c r="K16" i="1"/>
  <c r="J52" i="1"/>
  <c r="O40" i="1"/>
  <c r="N44" i="1"/>
  <c r="L48" i="1"/>
  <c r="L14" i="1"/>
  <c r="N52" i="1"/>
  <c r="O46" i="1"/>
  <c r="P22" i="1"/>
  <c r="N34" i="1"/>
  <c r="J48" i="1"/>
  <c r="K14" i="1"/>
  <c r="L32" i="1"/>
  <c r="J24" i="1"/>
  <c r="N13" i="1"/>
  <c r="M14" i="1"/>
  <c r="P43" i="1"/>
  <c r="P14" i="1"/>
  <c r="O24" i="1"/>
  <c r="O33" i="1"/>
  <c r="M23" i="1"/>
  <c r="J21" i="1"/>
  <c r="L18" i="1"/>
  <c r="K21" i="1"/>
  <c r="K36" i="1"/>
  <c r="M18" i="1"/>
  <c r="J19" i="1"/>
  <c r="N19" i="1"/>
  <c r="K23" i="1"/>
  <c r="M50" i="1"/>
  <c r="J20" i="1"/>
  <c r="K28" i="1"/>
  <c r="K20" i="1"/>
  <c r="O34" i="1"/>
  <c r="J18" i="1"/>
  <c r="N22" i="1"/>
  <c r="K24" i="1"/>
  <c r="J16" i="1"/>
  <c r="J13" i="1"/>
  <c r="J51" i="1"/>
  <c r="M20" i="1"/>
  <c r="K40" i="1"/>
  <c r="J41" i="1"/>
  <c r="O28" i="1"/>
  <c r="N14" i="1"/>
  <c r="M47" i="1"/>
  <c r="H25" i="1"/>
  <c r="L11" i="1"/>
  <c r="J31" i="1"/>
  <c r="N31" i="1"/>
  <c r="O11" i="1"/>
  <c r="J25" i="1"/>
  <c r="K25" i="1"/>
  <c r="J11" i="1"/>
  <c r="H11" i="1"/>
  <c r="P25" i="1"/>
  <c r="K11" i="1"/>
  <c r="I17" i="1"/>
  <c r="I31" i="1"/>
  <c r="P17" i="1"/>
  <c r="P11" i="1"/>
  <c r="O31" i="1"/>
  <c r="O25" i="1"/>
  <c r="M11" i="1"/>
  <c r="P31" i="1"/>
  <c r="N11" i="1"/>
  <c r="O17" i="1"/>
  <c r="I25" i="1"/>
  <c r="L17" i="1"/>
  <c r="M25" i="1"/>
  <c r="K17" i="1"/>
  <c r="H17" i="1"/>
  <c r="I11" i="1"/>
  <c r="M31" i="1"/>
  <c r="N25" i="1"/>
  <c r="J17" i="1"/>
  <c r="L31" i="1"/>
  <c r="H31" i="1"/>
  <c r="N17" i="1"/>
  <c r="M17" i="1"/>
  <c r="L25" i="1"/>
  <c r="K31" i="1"/>
  <c r="M62" i="1"/>
  <c r="G62" i="1"/>
  <c r="I62" i="1"/>
  <c r="H62" i="1"/>
  <c r="L62" i="1"/>
  <c r="E62" i="1"/>
  <c r="K62" i="1"/>
  <c r="J62" i="1"/>
</calcChain>
</file>

<file path=xl/comments1.xml><?xml version="1.0" encoding="utf-8"?>
<comments xmlns="http://schemas.openxmlformats.org/spreadsheetml/2006/main">
  <authors>
    <author>infomax</author>
  </authors>
  <commentList>
    <comment ref="H9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현지일자
한국일자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현지시간
한국시간</t>
        </r>
      </text>
    </comment>
    <comment ref="S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27M
</t>
        </r>
      </text>
    </comment>
    <comment ref="T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</t>
        </r>
      </text>
    </comment>
    <comment ref="U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Unofficial
</t>
        </r>
      </text>
    </comment>
    <comment ref="V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27M
</t>
        </r>
      </text>
    </comment>
    <comment ref="W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27M
</t>
        </r>
      </text>
    </comment>
    <comment ref="X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27M
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CASH
3M
3M Official
3M Unofficial
15M
27M
</t>
        </r>
      </text>
    </comment>
  </commentList>
</comments>
</file>

<file path=xl/sharedStrings.xml><?xml version="1.0" encoding="utf-8"?>
<sst xmlns="http://schemas.openxmlformats.org/spreadsheetml/2006/main" count="148" uniqueCount="104">
  <si>
    <t>CASH</t>
    <phoneticPr fontId="2" type="noConversion"/>
  </si>
  <si>
    <t>3M</t>
    <phoneticPr fontId="2" type="noConversion"/>
  </si>
  <si>
    <t>3M Official</t>
    <phoneticPr fontId="2" type="noConversion"/>
  </si>
  <si>
    <t>3M Unofficial</t>
    <phoneticPr fontId="2" type="noConversion"/>
  </si>
  <si>
    <t>15M</t>
    <phoneticPr fontId="2" type="noConversion"/>
  </si>
  <si>
    <t>LME:AAY</t>
  </si>
  <si>
    <t>LME:AAA</t>
  </si>
  <si>
    <t>LME:AAO</t>
  </si>
  <si>
    <t>LME:AAB</t>
  </si>
  <si>
    <t>LME:AAC</t>
  </si>
  <si>
    <t>LME:ADA</t>
  </si>
  <si>
    <t>LME:ADB</t>
  </si>
  <si>
    <t>LME:ADO</t>
  </si>
  <si>
    <t>LME:ADC</t>
  </si>
  <si>
    <t>LME:ADD</t>
  </si>
  <si>
    <t>27M</t>
    <phoneticPr fontId="2" type="noConversion"/>
  </si>
  <si>
    <t>LME:CDY</t>
  </si>
  <si>
    <t>LME:CDO</t>
  </si>
  <si>
    <t>LME:NAB</t>
  </si>
  <si>
    <t>LME:CDA</t>
  </si>
  <si>
    <t>LME:CDB</t>
  </si>
  <si>
    <t>LME:CDC</t>
  </si>
  <si>
    <t>LME:CDD</t>
  </si>
  <si>
    <t>LME:NAA</t>
  </si>
  <si>
    <t>LME:NAY</t>
  </si>
  <si>
    <t>LME:NDY</t>
  </si>
  <si>
    <t>LME:NDA</t>
  </si>
  <si>
    <t>LME:NDO</t>
  </si>
  <si>
    <t>LME:NDB</t>
  </si>
  <si>
    <t>LME:NDC</t>
  </si>
  <si>
    <t>LME:NDD</t>
  </si>
  <si>
    <t>LME:PDY</t>
  </si>
  <si>
    <t>LME:PDA</t>
  </si>
  <si>
    <t>LME:PDO</t>
  </si>
  <si>
    <t>LME:PDB</t>
  </si>
  <si>
    <t>LME:PDC</t>
  </si>
  <si>
    <t>LME:PDD</t>
  </si>
  <si>
    <t>LME:SDY</t>
  </si>
  <si>
    <t>LME:ZDA</t>
  </si>
  <si>
    <t>LME:SDA</t>
  </si>
  <si>
    <t>LME:SDO</t>
  </si>
  <si>
    <t>LME:SDB</t>
  </si>
  <si>
    <t>LME:SDC</t>
  </si>
  <si>
    <t>LME:ZDY</t>
  </si>
  <si>
    <t>LME:ZDO</t>
  </si>
  <si>
    <t>LME:ZDB</t>
  </si>
  <si>
    <t>LME:ZDC</t>
  </si>
  <si>
    <t>LME:ZDD</t>
  </si>
  <si>
    <t>Aluminium</t>
    <phoneticPr fontId="2" type="noConversion"/>
  </si>
  <si>
    <t>Aluminium Alloy</t>
    <phoneticPr fontId="2" type="noConversion"/>
  </si>
  <si>
    <t>Tin</t>
    <phoneticPr fontId="2" type="noConversion"/>
  </si>
  <si>
    <t>NA Aluminium</t>
    <phoneticPr fontId="2" type="noConversion"/>
  </si>
  <si>
    <t>Copper</t>
    <phoneticPr fontId="2" type="noConversion"/>
  </si>
  <si>
    <t>Nikel</t>
    <phoneticPr fontId="2" type="noConversion"/>
  </si>
  <si>
    <t>Lead</t>
    <phoneticPr fontId="2" type="noConversion"/>
  </si>
  <si>
    <t>Zinc</t>
    <phoneticPr fontId="2" type="noConversion"/>
  </si>
  <si>
    <t>CASH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</si>
  <si>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</si>
  <si>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</si>
  <si>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</si>
  <si>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</si>
  <si>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</si>
  <si>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</si>
  <si>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</si>
  <si>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</si>
  <si>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</si>
  <si>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</si>
  <si>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한국시간</t>
  </si>
  <si>
    <t>한국일자</t>
  </si>
  <si>
    <t>LME:ADY</t>
    <phoneticPr fontId="2" type="noConversion"/>
  </si>
  <si>
    <t>현지일자</t>
    <phoneticPr fontId="2" type="noConversion"/>
  </si>
  <si>
    <t>현지시간</t>
    <phoneticPr fontId="2" type="noConversion"/>
  </si>
  <si>
    <t>한국일자</t>
    <phoneticPr fontId="2" type="noConversion"/>
  </si>
  <si>
    <t>한국시간</t>
    <phoneticPr fontId="2" type="noConversion"/>
  </si>
  <si>
    <t>DATE</t>
    <phoneticPr fontId="2" type="noConversion"/>
  </si>
  <si>
    <t>Aluminium</t>
    <phoneticPr fontId="2" type="noConversion"/>
  </si>
  <si>
    <t>Aluminium Alloy</t>
    <phoneticPr fontId="2" type="noConversion"/>
  </si>
  <si>
    <t>NA Aluminium</t>
    <phoneticPr fontId="2" type="noConversion"/>
  </si>
  <si>
    <t>Copper</t>
    <phoneticPr fontId="2" type="noConversion"/>
  </si>
  <si>
    <t>Nikel</t>
    <phoneticPr fontId="2" type="noConversion"/>
  </si>
  <si>
    <t>Lead</t>
    <phoneticPr fontId="2" type="noConversion"/>
  </si>
  <si>
    <t>상품명</t>
    <phoneticPr fontId="2" type="noConversion"/>
  </si>
  <si>
    <t>코드</t>
    <phoneticPr fontId="2" type="noConversion"/>
  </si>
  <si>
    <t>현재가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</si>
  <si>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</si>
  <si>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</si>
  <si>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</si>
  <si>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전일대비</t>
    <phoneticPr fontId="2" type="noConversion"/>
  </si>
  <si>
    <t>등락률</t>
    <phoneticPr fontId="2" type="noConversion"/>
  </si>
  <si>
    <t>Tin</t>
    <phoneticPr fontId="2" type="noConversion"/>
  </si>
  <si>
    <t>Zinc</t>
    <phoneticPr fontId="2" type="noConversion"/>
  </si>
  <si>
    <t>LME History</t>
    <phoneticPr fontId="2" type="noConversion"/>
  </si>
  <si>
    <t>일자</t>
    <phoneticPr fontId="2" type="noConversion"/>
  </si>
  <si>
    <t>종가</t>
    <phoneticPr fontId="2" type="noConversion"/>
  </si>
  <si>
    <t>DATE</t>
    <phoneticPr fontId="2" type="noConversion"/>
  </si>
  <si>
    <t>Aluminium</t>
    <phoneticPr fontId="2" type="noConversion"/>
  </si>
  <si>
    <t>Aluminium Alloy</t>
    <phoneticPr fontId="2" type="noConversion"/>
  </si>
  <si>
    <t>NA Aluminium</t>
    <phoneticPr fontId="2" type="noConversion"/>
  </si>
  <si>
    <t>Copper(R)</t>
    <phoneticPr fontId="2" type="noConversion"/>
  </si>
  <si>
    <t>Nikel(R)</t>
    <phoneticPr fontId="2" type="noConversion"/>
  </si>
  <si>
    <t>Lead</t>
    <phoneticPr fontId="2" type="noConversion"/>
  </si>
  <si>
    <t>Tin(R)</t>
    <phoneticPr fontId="2" type="noConversion"/>
  </si>
  <si>
    <t>Zinc</t>
    <phoneticPr fontId="2" type="noConversion"/>
  </si>
  <si>
    <t>Non-ferrous Metal 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</si>
</sst>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400]h:mm:ss\ AM/PM"/>
    <numFmt numFmtId="177" formatCode="#,##0.00_ "/>
  </numFmts>
  <fonts count="13" x14ac:knownFonts="1"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5" tint="-0.249977111117893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0" tint="-0.249977111117893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249977111117893"/>
      </left>
      <right/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/>
      <bottom style="thin">
        <color theme="0" tint="-0.14996795556505021"/>
      </bottom>
      <diagonal/>
    </border>
    <border>
      <left style="thin">
        <color theme="0" tint="-0.249977111117893"/>
      </left>
      <right/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7" xfId="0" applyFill="1" applyBorder="1">
      <alignment vertical="center"/>
    </xf>
    <xf numFmtId="0" fontId="0" fillId="3" borderId="28" xfId="0" applyFill="1" applyBorder="1">
      <alignment vertical="center"/>
    </xf>
    <xf numFmtId="0" fontId="0" fillId="3" borderId="29" xfId="0" applyFill="1" applyBorder="1">
      <alignment vertical="center"/>
    </xf>
    <xf numFmtId="0" fontId="0" fillId="3" borderId="30" xfId="0" applyFill="1" applyBorder="1">
      <alignment vertical="center"/>
    </xf>
    <xf numFmtId="0" fontId="0" fillId="3" borderId="31" xfId="0" applyFill="1" applyBorder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0" fillId="3" borderId="45" xfId="0" applyFill="1" applyBorder="1">
      <alignment vertical="center"/>
    </xf>
    <xf numFmtId="49" fontId="0" fillId="0" borderId="46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1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4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9" xfId="0" applyNumberFormat="1" applyBorder="1">
      <alignment vertical="center"/>
    </xf>
    <xf numFmtId="177" fontId="0" fillId="0" borderId="14" xfId="0" applyNumberFormat="1" applyBorder="1">
      <alignment vertical="center"/>
    </xf>
    <xf numFmtId="177" fontId="0" fillId="0" borderId="22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16" xfId="0" applyNumberFormat="1" applyBorder="1">
      <alignment vertical="center"/>
    </xf>
    <xf numFmtId="177" fontId="0" fillId="0" borderId="25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47" xfId="0" applyNumberFormat="1" applyBorder="1">
      <alignment vertical="center"/>
    </xf>
    <xf numFmtId="177" fontId="0" fillId="0" borderId="48" xfId="0" applyNumberFormat="1" applyBorder="1">
      <alignment vertical="center"/>
    </xf>
    <xf numFmtId="177" fontId="0" fillId="0" borderId="3" xfId="0" applyNumberFormat="1" applyBorder="1" applyAlignment="1">
      <alignment horizontal="right" vertical="center"/>
    </xf>
    <xf numFmtId="177" fontId="0" fillId="0" borderId="43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177" fontId="0" fillId="0" borderId="35" xfId="0" applyNumberFormat="1" applyBorder="1" applyAlignment="1">
      <alignment horizontal="right" vertical="center"/>
    </xf>
    <xf numFmtId="177" fontId="0" fillId="0" borderId="18" xfId="0" applyNumberFormat="1" applyBorder="1" applyAlignment="1">
      <alignment horizontal="right" vertical="center"/>
    </xf>
    <xf numFmtId="177" fontId="0" fillId="0" borderId="37" xfId="0" applyNumberFormat="1" applyBorder="1" applyAlignment="1">
      <alignment horizontal="right" vertical="center"/>
    </xf>
    <xf numFmtId="177" fontId="0" fillId="0" borderId="13" xfId="0" applyNumberFormat="1" applyBorder="1" applyAlignment="1">
      <alignment horizontal="right" vertical="center"/>
    </xf>
    <xf numFmtId="177" fontId="0" fillId="0" borderId="39" xfId="0" applyNumberFormat="1" applyBorder="1" applyAlignment="1">
      <alignment horizontal="right" vertical="center"/>
    </xf>
    <xf numFmtId="177" fontId="0" fillId="0" borderId="15" xfId="0" applyNumberFormat="1" applyBorder="1" applyAlignment="1">
      <alignment horizontal="right" vertical="center"/>
    </xf>
    <xf numFmtId="177" fontId="0" fillId="0" borderId="41" xfId="0" applyNumberFormat="1" applyBorder="1" applyAlignment="1">
      <alignment horizontal="right" vertical="center"/>
    </xf>
    <xf numFmtId="177" fontId="0" fillId="0" borderId="49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C00000"/>
      </font>
    </dxf>
    <dxf>
      <font>
        <color rgb="FF0070C0"/>
      </font>
    </dxf>
  </dxfs>
  <tableStyles count="0" defaultTableStyle="TableStyleMedium9" defaultPivotStyle="PivotStyleLight16"/>
  <colors>
    <mruColors>
      <color rgb="FFFF5B01"/>
      <color rgb="FF1FB5D5"/>
      <color rgb="FF9387DD"/>
      <color rgb="FF0073A4"/>
      <color rgb="FF00C4FF"/>
      <color rgb="FFFF9600"/>
      <color rgb="FF5FCB07"/>
      <color rgb="FF006CFF"/>
      <color rgb="FFFF01A2"/>
      <color rgb="FFB8E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2237.25</v>
        <stp/>
        <stp>P</stp>
        <stp>0</stp>
        <stp>FRN</stp>
        <stp>LME:ADY</stp>
        <stp>현재가</stp>
        <stp/>
        <stp/>
        <tr r="J11" s="1"/>
      </tp>
      <tp>
        <v>1798</v>
        <stp/>
        <stp>P</stp>
        <stp>0</stp>
        <stp>FRN</stp>
        <stp>LME:AAY</stp>
        <stp>현재가</stp>
        <stp/>
        <stp/>
        <tr r="J17" s="1"/>
      </tp>
      <tp>
        <v>8687</v>
        <stp/>
        <stp>P</stp>
        <stp>0</stp>
        <stp>FRN</stp>
        <stp>LME:CDY</stp>
        <stp>현재가</stp>
        <stp/>
        <stp/>
        <tr r="J25" s="1"/>
      </tp>
      <tp>
        <v>21082</v>
        <stp/>
        <stp>P</stp>
        <stp>0</stp>
        <stp>FRN</stp>
        <stp>LME:NDY</stp>
        <stp>현재가</stp>
        <stp/>
        <stp/>
        <tr r="J31" s="1"/>
      </tp>
      <tp>
        <v>2411.75</v>
        <stp/>
        <stp>P</stp>
        <stp>0</stp>
        <stp>FRN</stp>
        <stp>LME:NAY</stp>
        <stp>현재가</stp>
        <stp/>
        <stp/>
        <tr r="J22" s="1"/>
      </tp>
      <tp>
        <v>2126.5</v>
        <stp/>
        <stp>P</stp>
        <stp>0</stp>
        <stp>FRN</stp>
        <stp>LME:PDY</stp>
        <stp>현재가</stp>
        <stp/>
        <stp/>
        <tr r="J37" s="1"/>
      </tp>
      <tp>
        <v>29104</v>
        <stp/>
        <stp>P</stp>
        <stp>0</stp>
        <stp>FRN</stp>
        <stp>LME:SDY</stp>
        <stp>현재가</stp>
        <stp/>
        <stp/>
        <tr r="J43" s="1"/>
      </tp>
      <tp>
        <v>2460.25</v>
        <stp/>
        <stp>P</stp>
        <stp>0</stp>
        <stp>FRN</stp>
        <stp>LME:ZDY</stp>
        <stp>현재가</stp>
        <stp/>
        <stp/>
        <tr r="J48" s="1"/>
      </tp>
      <tp>
        <v>2279</v>
        <stp/>
        <stp>P</stp>
        <stp>0</stp>
        <stp>FRN</stp>
        <stp>LME:ADO</stp>
        <stp>현재가</stp>
        <stp/>
        <stp/>
        <tr r="J13" s="1"/>
      </tp>
      <tp>
        <v>1850</v>
        <stp/>
        <stp>P</stp>
        <stp>0</stp>
        <stp>FRN</stp>
        <stp>LME:AAO</stp>
        <stp>현재가</stp>
        <stp/>
        <stp/>
        <tr r="J19" s="1"/>
      </tp>
      <tp>
        <v>8586</v>
        <stp/>
        <stp>P</stp>
        <stp>0</stp>
        <stp>FRN</stp>
        <stp>LME:CDO</stp>
        <stp>현재가</stp>
        <stp/>
        <stp/>
        <tr r="J27" s="1"/>
      </tp>
      <tp>
        <v>21350</v>
        <stp/>
        <stp>P</stp>
        <stp>0</stp>
        <stp>FRN</stp>
        <stp>LME:NDO</stp>
        <stp>현재가</stp>
        <stp/>
        <stp/>
        <tr r="J33" s="1"/>
      </tp>
      <tp>
        <v>2111</v>
        <stp/>
        <stp>P</stp>
        <stp>0</stp>
        <stp>FRN</stp>
        <stp>LME:PDO</stp>
        <stp>현재가</stp>
        <stp/>
        <stp/>
        <tr r="J39" s="1"/>
      </tp>
      <tp>
        <v>29100</v>
        <stp/>
        <stp>P</stp>
        <stp>0</stp>
        <stp>FRN</stp>
        <stp>LME:SDO</stp>
        <stp>현재가</stp>
        <stp/>
        <stp/>
        <tr r="J45" s="1"/>
      </tp>
      <tp>
        <v>2481.5</v>
        <stp/>
        <stp>P</stp>
        <stp>0</stp>
        <stp>FRN</stp>
        <stp>LME:ZDO</stp>
        <stp>현재가</stp>
        <stp/>
        <stp/>
        <tr r="J50" s="1"/>
      </tp>
      <tp>
        <v>2278</v>
        <stp/>
        <stp>P</stp>
        <stp>0</stp>
        <stp>FRN</stp>
        <stp>LME:ADA</stp>
        <stp>현재가</stp>
        <stp/>
        <stp/>
        <tr r="J12" s="1"/>
      </tp>
      <tp>
        <v>1850</v>
        <stp/>
        <stp>P</stp>
        <stp>0</stp>
        <stp>FRN</stp>
        <stp>LME:AAA</stp>
        <stp>현재가</stp>
        <stp/>
        <stp/>
        <tr r="J18" s="1"/>
      </tp>
      <tp>
        <v>8694</v>
        <stp/>
        <stp>P</stp>
        <stp>0</stp>
        <stp>FRN</stp>
        <stp>LME:CDA</stp>
        <stp>현재가</stp>
        <stp/>
        <stp/>
        <tr r="J26" s="1"/>
      </tp>
      <tp>
        <v>21294</v>
        <stp/>
        <stp>P</stp>
        <stp>0</stp>
        <stp>FRN</stp>
        <stp>LME:NDA</stp>
        <stp>현재가</stp>
        <stp/>
        <stp/>
        <tr r="J32" s="1"/>
      </tp>
      <tp>
        <v>2440</v>
        <stp/>
        <stp>P</stp>
        <stp>0</stp>
        <stp>FRN</stp>
        <stp>LME:NAA</stp>
        <stp>현재가</stp>
        <stp/>
        <stp/>
        <tr r="J23" s="1"/>
      </tp>
      <tp>
        <v>2127</v>
        <stp/>
        <stp>P</stp>
        <stp>0</stp>
        <stp>FRN</stp>
        <stp>LME:PDA</stp>
        <stp>현재가</stp>
        <stp/>
        <stp/>
        <tr r="J38" s="1"/>
      </tp>
      <tp>
        <v>28809</v>
        <stp/>
        <stp>P</stp>
        <stp>0</stp>
        <stp>FRN</stp>
        <stp>LME:SDA</stp>
        <stp>현재가</stp>
        <stp/>
        <stp/>
        <tr r="J44" s="1"/>
      </tp>
      <tp>
        <v>2479</v>
        <stp/>
        <stp>P</stp>
        <stp>0</stp>
        <stp>FRN</stp>
        <stp>LME:ZDA</stp>
        <stp>현재가</stp>
        <stp/>
        <stp/>
        <tr r="J49" s="1"/>
      </tp>
      <tp>
        <v>2269</v>
        <stp/>
        <stp>P</stp>
        <stp>0</stp>
        <stp>FRN</stp>
        <stp>LME:ADB</stp>
        <stp>현재가</stp>
        <stp/>
        <stp/>
        <tr r="J14" s="1"/>
      </tp>
      <tp>
        <v>1850</v>
        <stp/>
        <stp>P</stp>
        <stp>0</stp>
        <stp>FRN</stp>
        <stp>LME:AAB</stp>
        <stp>현재가</stp>
        <stp/>
        <stp/>
        <tr r="J20" s="1"/>
      </tp>
      <tp>
        <v>8671.5</v>
        <stp/>
        <stp>P</stp>
        <stp>0</stp>
        <stp>FRN</stp>
        <stp>LME:CDB</stp>
        <stp>현재가</stp>
        <stp/>
        <stp/>
        <tr r="J28" s="1"/>
      </tp>
      <tp>
        <v>21370</v>
        <stp/>
        <stp>P</stp>
        <stp>0</stp>
        <stp>FRN</stp>
        <stp>LME:NDB</stp>
        <stp>현재가</stp>
        <stp/>
        <stp/>
        <tr r="J34" s="1"/>
      </tp>
      <tp>
        <v>2440</v>
        <stp/>
        <stp>P</stp>
        <stp>0</stp>
        <stp>FRN</stp>
        <stp>LME:NAB</stp>
        <stp>현재가</stp>
        <stp/>
        <stp/>
        <tr r="J24" s="1"/>
      </tp>
      <tp>
        <v>2118</v>
        <stp/>
        <stp>P</stp>
        <stp>0</stp>
        <stp>FRN</stp>
        <stp>LME:PDB</stp>
        <stp>현재가</stp>
        <stp/>
        <stp/>
        <tr r="J40" s="1"/>
      </tp>
      <tp>
        <v>28760</v>
        <stp/>
        <stp>P</stp>
        <stp>0</stp>
        <stp>FRN</stp>
        <stp>LME:SDB</stp>
        <stp>현재가</stp>
        <stp/>
        <stp/>
        <tr r="J46" s="1"/>
      </tp>
      <tp>
        <v>2464</v>
        <stp/>
        <stp>P</stp>
        <stp>0</stp>
        <stp>FRN</stp>
        <stp>LME:ZDB</stp>
        <stp>현재가</stp>
        <stp/>
        <stp/>
        <tr r="J51" s="1"/>
      </tp>
      <tp>
        <v>2285</v>
        <stp/>
        <stp>P</stp>
        <stp>0</stp>
        <stp>FRN</stp>
        <stp>LME:ADC</stp>
        <stp>현재가</stp>
        <stp/>
        <stp/>
        <tr r="J15" s="1"/>
      </tp>
      <tp>
        <v>2040</v>
        <stp/>
        <stp>P</stp>
        <stp>0</stp>
        <stp>FRN</stp>
        <stp>LME:AAC</stp>
        <stp>현재가</stp>
        <stp/>
        <stp/>
        <tr r="J21" s="1"/>
      </tp>
      <tp>
        <v>8698</v>
        <stp/>
        <stp>P</stp>
        <stp>0</stp>
        <stp>FRN</stp>
        <stp>LME:CDC</stp>
        <stp>현재가</stp>
        <stp/>
        <stp/>
        <tr r="J29" s="1"/>
      </tp>
      <tp>
        <v>20922</v>
        <stp/>
        <stp>P</stp>
        <stp>0</stp>
        <stp>FRN</stp>
        <stp>LME:NDC</stp>
        <stp>현재가</stp>
        <stp/>
        <stp/>
        <tr r="J35" s="1"/>
      </tp>
      <tp>
        <v>2127.25</v>
        <stp/>
        <stp>P</stp>
        <stp>0</stp>
        <stp>FRN</stp>
        <stp>LME:PDC</stp>
        <stp>현재가</stp>
        <stp/>
        <stp/>
        <tr r="J41" s="1"/>
      </tp>
      <tp>
        <v>27897</v>
        <stp/>
        <stp>P</stp>
        <stp>0</stp>
        <stp>FRN</stp>
        <stp>LME:SDC</stp>
        <stp>현재가</stp>
        <stp/>
        <stp/>
        <tr r="J47" s="1"/>
      </tp>
      <tp>
        <v>2426.25</v>
        <stp/>
        <stp>P</stp>
        <stp>0</stp>
        <stp>FRN</stp>
        <stp>LME:ZDC</stp>
        <stp>현재가</stp>
        <stp/>
        <stp/>
        <tr r="J52" s="1"/>
      </tp>
      <tp>
        <v>2608.5</v>
        <stp/>
        <stp>P</stp>
        <stp>0</stp>
        <stp>FRN</stp>
        <stp>LME:ADD</stp>
        <stp>현재가</stp>
        <stp/>
        <stp/>
        <tr r="J16" s="1"/>
      </tp>
      <tp>
        <v>8294.5</v>
        <stp/>
        <stp>P</stp>
        <stp>0</stp>
        <stp>FRN</stp>
        <stp>LME:CDD</stp>
        <stp>현재가</stp>
        <stp/>
        <stp/>
        <tr r="J30" s="1"/>
      </tp>
      <tp>
        <v>22823</v>
        <stp/>
        <stp>P</stp>
        <stp>0</stp>
        <stp>FRN</stp>
        <stp>LME:NDD</stp>
        <stp>현재가</stp>
        <stp/>
        <stp/>
        <tr r="J36" s="1"/>
      </tp>
      <tp>
        <v>1846</v>
        <stp/>
        <stp>P</stp>
        <stp>0</stp>
        <stp>FRN</stp>
        <stp>LME:PDD</stp>
        <stp>현재가</stp>
        <stp/>
        <stp/>
        <tr r="J42" s="1"/>
      </tp>
      <tp>
        <v>3063.75</v>
        <stp/>
        <stp>P</stp>
        <stp>0</stp>
        <stp>FRN</stp>
        <stp>LME:ZDD</stp>
        <stp>현재가</stp>
        <stp/>
        <stp/>
        <tr r="J53" s="1"/>
      </tp>
      <tp>
        <v>0</v>
        <stp/>
        <stp>H</stp>
        <stp>x8.u65F1</stp>
        <stp>15</stp>
        <stp>1972782</stp>
        <tr r="J62" s="1"/>
      </tp>
      <tp t="e">
        <v>#N/A</v>
        <stp/>
        <stp>H</stp>
        <stp>x3.u65F1</stp>
        <stp>10</stp>
        <stp>1972782</stp>
        <tr r="I62" s="1"/>
      </tp>
      <tp>
        <v>0</v>
        <stp/>
        <stp>H</stp>
        <stp>x4.u65F1</stp>
        <stp>11</stp>
        <stp>1972782</stp>
        <tr r="H62" s="1"/>
      </tp>
      <tp>
        <v>0</v>
        <stp/>
        <stp>H</stp>
        <stp>x5.u65F1</stp>
        <stp>12</stp>
        <stp>1972782</stp>
        <tr r="L62" s="1"/>
      </tp>
      <tp>
        <v>0</v>
        <stp/>
        <stp>H</stp>
        <stp>x6.u65F1</stp>
        <stp>13</stp>
        <stp>1972782</stp>
        <tr r="E62" s="1"/>
      </tp>
      <tp>
        <v>0</v>
        <stp/>
        <stp>H</stp>
        <stp>x7.u65F1</stp>
        <stp>14</stp>
        <stp>1972782</stp>
        <tr r="K62" s="1"/>
      </tp>
      <tp>
        <v>29400</v>
        <stp/>
        <stp>P</stp>
        <stp>0</stp>
        <stp>FRN</stp>
        <stp>LME:SDY</stp>
        <stp>시가</stp>
        <stp/>
        <stp/>
        <tr r="K43" s="1"/>
      </tp>
      <tp>
        <v>2109</v>
        <stp/>
        <stp>P</stp>
        <stp>0</stp>
        <stp>FRN</stp>
        <stp>LME:PDY</stp>
        <stp>시가</stp>
        <stp/>
        <stp/>
        <tr r="K37" s="1"/>
      </tp>
      <tp>
        <v>2466</v>
        <stp/>
        <stp>P</stp>
        <stp>0</stp>
        <stp>FRN</stp>
        <stp>LME:ZDY</stp>
        <stp>시가</stp>
        <stp/>
        <stp/>
        <tr r="K48" s="1"/>
      </tp>
      <tp>
        <v>8540</v>
        <stp/>
        <stp>P</stp>
        <stp>0</stp>
        <stp>FRN</stp>
        <stp>LME:CDY</stp>
        <stp>시가</stp>
        <stp/>
        <stp/>
        <tr r="K25" s="1"/>
      </tp>
      <tp>
        <v>2231</v>
        <stp/>
        <stp>P</stp>
        <stp>0</stp>
        <stp>FRN</stp>
        <stp>LME:ADY</stp>
        <stp>시가</stp>
        <stp/>
        <stp/>
        <tr r="K11" s="1"/>
      </tp>
      <tp>
        <v>21150</v>
        <stp/>
        <stp>P</stp>
        <stp>0</stp>
        <stp>FRN</stp>
        <stp>LME:NDY</stp>
        <stp>시가</stp>
        <stp/>
        <stp/>
        <tr r="K31" s="1"/>
      </tp>
      <tp>
        <v>21145</v>
        <stp/>
        <stp>P</stp>
        <stp>0</stp>
        <stp>FRN</stp>
        <stp>LME:NDY</stp>
        <stp>저가</stp>
        <stp/>
        <stp/>
        <tr r="M31" s="1"/>
      </tp>
      <tp>
        <v>8540</v>
        <stp/>
        <stp>P</stp>
        <stp>0</stp>
        <stp>FRN</stp>
        <stp>LME:CDY</stp>
        <stp>저가</stp>
        <stp/>
        <stp/>
        <tr r="M25" s="1"/>
      </tp>
      <tp>
        <v>2217.25</v>
        <stp/>
        <stp>P</stp>
        <stp>0</stp>
        <stp>FRN</stp>
        <stp>LME:ADY</stp>
        <stp>저가</stp>
        <stp/>
        <stp/>
        <tr r="M11" s="1"/>
      </tp>
      <tp>
        <v>2461</v>
        <stp/>
        <stp>P</stp>
        <stp>0</stp>
        <stp>FRN</stp>
        <stp>LME:ZDY</stp>
        <stp>저가</stp>
        <stp/>
        <stp/>
        <tr r="M48" s="1"/>
      </tp>
      <tp>
        <v>29400</v>
        <stp/>
        <stp>P</stp>
        <stp>0</stp>
        <stp>FRN</stp>
        <stp>LME:SDY</stp>
        <stp>저가</stp>
        <stp/>
        <stp/>
        <tr r="M43" s="1"/>
      </tp>
      <tp>
        <v>2108</v>
        <stp/>
        <stp>P</stp>
        <stp>0</stp>
        <stp>FRN</stp>
        <stp>LME:PDY</stp>
        <stp>저가</stp>
        <stp/>
        <stp/>
        <tr r="M37" s="1"/>
      </tp>
      <tp>
        <v>21150</v>
        <stp/>
        <stp>P</stp>
        <stp>0</stp>
        <stp>FRN</stp>
        <stp>LME:NDY</stp>
        <stp>고가</stp>
        <stp/>
        <stp/>
        <tr r="L31" s="1"/>
      </tp>
      <tp>
        <v>8694</v>
        <stp/>
        <stp>P</stp>
        <stp>0</stp>
        <stp>FRN</stp>
        <stp>LME:CDY</stp>
        <stp>고가</stp>
        <stp/>
        <stp/>
        <tr r="L25" s="1"/>
      </tp>
      <tp>
        <v>2236</v>
        <stp/>
        <stp>P</stp>
        <stp>0</stp>
        <stp>FRN</stp>
        <stp>LME:ADY</stp>
        <stp>고가</stp>
        <stp/>
        <stp/>
        <tr r="L11" s="1"/>
      </tp>
      <tp>
        <v>2466</v>
        <stp/>
        <stp>P</stp>
        <stp>0</stp>
        <stp>FRN</stp>
        <stp>LME:ZDY</stp>
        <stp>고가</stp>
        <stp/>
        <stp/>
        <tr r="L48" s="1"/>
      </tp>
      <tp>
        <v>29426</v>
        <stp/>
        <stp>P</stp>
        <stp>0</stp>
        <stp>FRN</stp>
        <stp>LME:SDY</stp>
        <stp>고가</stp>
        <stp/>
        <stp/>
        <tr r="L43" s="1"/>
      </tp>
      <tp>
        <v>2120</v>
        <stp/>
        <stp>P</stp>
        <stp>0</stp>
        <stp>FRN</stp>
        <stp>LME:PDY</stp>
        <stp>고가</stp>
        <stp/>
        <stp/>
        <tr r="L37" s="1"/>
      </tp>
      <tp>
        <v>29100</v>
        <stp/>
        <stp>P</stp>
        <stp>0</stp>
        <stp>FRN</stp>
        <stp>LME:SDO</stp>
        <stp>시가</stp>
        <stp/>
        <stp/>
        <tr r="K45" s="1"/>
      </tp>
      <tp>
        <v>2111</v>
        <stp/>
        <stp>P</stp>
        <stp>0</stp>
        <stp>FRN</stp>
        <stp>LME:PDO</stp>
        <stp>시가</stp>
        <stp/>
        <stp/>
        <tr r="K39" s="1"/>
      </tp>
      <tp>
        <v>2481.5</v>
        <stp/>
        <stp>P</stp>
        <stp>0</stp>
        <stp>FRN</stp>
        <stp>LME:ZDO</stp>
        <stp>시가</stp>
        <stp/>
        <stp/>
        <tr r="K50" s="1"/>
      </tp>
      <tp>
        <v>8586</v>
        <stp/>
        <stp>P</stp>
        <stp>0</stp>
        <stp>FRN</stp>
        <stp>LME:CDO</stp>
        <stp>시가</stp>
        <stp/>
        <stp/>
        <tr r="K27" s="1"/>
      </tp>
      <tp>
        <v>2279</v>
        <stp/>
        <stp>P</stp>
        <stp>0</stp>
        <stp>FRN</stp>
        <stp>LME:ADO</stp>
        <stp>시가</stp>
        <stp/>
        <stp/>
        <tr r="K13" s="1"/>
      </tp>
      <tp>
        <v>21350</v>
        <stp/>
        <stp>P</stp>
        <stp>0</stp>
        <stp>FRN</stp>
        <stp>LME:NDO</stp>
        <stp>시가</stp>
        <stp/>
        <stp/>
        <tr r="K33" s="1"/>
      </tp>
      <tp>
        <v>21350</v>
        <stp/>
        <stp>P</stp>
        <stp>0</stp>
        <stp>FRN</stp>
        <stp>LME:NDO</stp>
        <stp>저가</stp>
        <stp/>
        <stp/>
        <tr r="M33" s="1"/>
      </tp>
      <tp>
        <v>8586</v>
        <stp/>
        <stp>P</stp>
        <stp>0</stp>
        <stp>FRN</stp>
        <stp>LME:CDO</stp>
        <stp>저가</stp>
        <stp/>
        <stp/>
        <tr r="M27" s="1"/>
      </tp>
      <tp>
        <v>2279</v>
        <stp/>
        <stp>P</stp>
        <stp>0</stp>
        <stp>FRN</stp>
        <stp>LME:ADO</stp>
        <stp>저가</stp>
        <stp/>
        <stp/>
        <tr r="M13" s="1"/>
      </tp>
      <tp>
        <v>2481.5</v>
        <stp/>
        <stp>P</stp>
        <stp>0</stp>
        <stp>FRN</stp>
        <stp>LME:ZDO</stp>
        <stp>저가</stp>
        <stp/>
        <stp/>
        <tr r="M50" s="1"/>
      </tp>
      <tp>
        <v>29100</v>
        <stp/>
        <stp>P</stp>
        <stp>0</stp>
        <stp>FRN</stp>
        <stp>LME:SDO</stp>
        <stp>저가</stp>
        <stp/>
        <stp/>
        <tr r="M45" s="1"/>
      </tp>
      <tp>
        <v>2111</v>
        <stp/>
        <stp>P</stp>
        <stp>0</stp>
        <stp>FRN</stp>
        <stp>LME:PDO</stp>
        <stp>저가</stp>
        <stp/>
        <stp/>
        <tr r="M39" s="1"/>
      </tp>
      <tp>
        <v>21350</v>
        <stp/>
        <stp>P</stp>
        <stp>0</stp>
        <stp>FRN</stp>
        <stp>LME:NDO</stp>
        <stp>고가</stp>
        <stp/>
        <stp/>
        <tr r="L33" s="1"/>
      </tp>
      <tp>
        <v>8586</v>
        <stp/>
        <stp>P</stp>
        <stp>0</stp>
        <stp>FRN</stp>
        <stp>LME:CDO</stp>
        <stp>고가</stp>
        <stp/>
        <stp/>
        <tr r="L27" s="1"/>
      </tp>
      <tp>
        <v>2279</v>
        <stp/>
        <stp>P</stp>
        <stp>0</stp>
        <stp>FRN</stp>
        <stp>LME:ADO</stp>
        <stp>고가</stp>
        <stp/>
        <stp/>
        <tr r="L13" s="1"/>
      </tp>
      <tp>
        <v>2481.5</v>
        <stp/>
        <stp>P</stp>
        <stp>0</stp>
        <stp>FRN</stp>
        <stp>LME:ZDO</stp>
        <stp>고가</stp>
        <stp/>
        <stp/>
        <tr r="L50" s="1"/>
      </tp>
      <tp>
        <v>29100</v>
        <stp/>
        <stp>P</stp>
        <stp>0</stp>
        <stp>FRN</stp>
        <stp>LME:SDO</stp>
        <stp>고가</stp>
        <stp/>
        <stp/>
        <tr r="L45" s="1"/>
      </tp>
      <tp>
        <v>2111</v>
        <stp/>
        <stp>P</stp>
        <stp>0</stp>
        <stp>FRN</stp>
        <stp>LME:PDO</stp>
        <stp>고가</stp>
        <stp/>
        <stp/>
        <tr r="L39" s="1"/>
      </tp>
      <tp>
        <v>28955</v>
        <stp/>
        <stp>P</stp>
        <stp>0</stp>
        <stp>FRN</stp>
        <stp>LME:SDA</stp>
        <stp>시가</stp>
        <stp/>
        <stp/>
        <tr r="K44" s="1"/>
      </tp>
      <tp>
        <v>2091</v>
        <stp/>
        <stp>P</stp>
        <stp>0</stp>
        <stp>FRN</stp>
        <stp>LME:PDA</stp>
        <stp>시가</stp>
        <stp/>
        <stp/>
        <tr r="K38" s="1"/>
      </tp>
      <tp>
        <v>2425</v>
        <stp/>
        <stp>P</stp>
        <stp>0</stp>
        <stp>FRN</stp>
        <stp>LME:ZDA</stp>
        <stp>시가</stp>
        <stp/>
        <stp/>
        <tr r="K49" s="1"/>
      </tp>
      <tp>
        <v>8518</v>
        <stp/>
        <stp>P</stp>
        <stp>0</stp>
        <stp>FRN</stp>
        <stp>LME:CDA</stp>
        <stp>시가</stp>
        <stp/>
        <stp/>
        <tr r="K26" s="1"/>
      </tp>
      <tp>
        <v>2234</v>
        <stp/>
        <stp>P</stp>
        <stp>0</stp>
        <stp>FRN</stp>
        <stp>LME:ADA</stp>
        <stp>시가</stp>
        <stp/>
        <stp/>
        <tr r="K12" s="1"/>
      </tp>
      <tp>
        <v>21525</v>
        <stp/>
        <stp>P</stp>
        <stp>0</stp>
        <stp>FRN</stp>
        <stp>LME:NDA</stp>
        <stp>시가</stp>
        <stp/>
        <stp/>
        <tr r="K32" s="1"/>
      </tp>
      <tp>
        <v>21060</v>
        <stp/>
        <stp>P</stp>
        <stp>0</stp>
        <stp>FRN</stp>
        <stp>LME:NDA</stp>
        <stp>저가</stp>
        <stp/>
        <stp/>
        <tr r="M32" s="1"/>
      </tp>
      <tp>
        <v>8486</v>
        <stp/>
        <stp>P</stp>
        <stp>0</stp>
        <stp>FRN</stp>
        <stp>LME:CDA</stp>
        <stp>저가</stp>
        <stp/>
        <stp/>
        <tr r="M26" s="1"/>
      </tp>
      <tp>
        <v>2225</v>
        <stp/>
        <stp>P</stp>
        <stp>0</stp>
        <stp>FRN</stp>
        <stp>LME:ADA</stp>
        <stp>저가</stp>
        <stp/>
        <stp/>
        <tr r="M12" s="1"/>
      </tp>
      <tp>
        <v>2411</v>
        <stp/>
        <stp>P</stp>
        <stp>0</stp>
        <stp>FRN</stp>
        <stp>LME:ZDA</stp>
        <stp>저가</stp>
        <stp/>
        <stp/>
        <tr r="M49" s="1"/>
      </tp>
      <tp>
        <v>28370</v>
        <stp/>
        <stp>P</stp>
        <stp>0</stp>
        <stp>FRN</stp>
        <stp>LME:SDA</stp>
        <stp>저가</stp>
        <stp/>
        <stp/>
        <tr r="M44" s="1"/>
      </tp>
      <tp>
        <v>2089.5</v>
        <stp/>
        <stp>P</stp>
        <stp>0</stp>
        <stp>FRN</stp>
        <stp>LME:PDA</stp>
        <stp>저가</stp>
        <stp/>
        <stp/>
        <tr r="M38" s="1"/>
      </tp>
      <tp>
        <v>21590</v>
        <stp/>
        <stp>P</stp>
        <stp>0</stp>
        <stp>FRN</stp>
        <stp>LME:NDA</stp>
        <stp>고가</stp>
        <stp/>
        <stp/>
        <tr r="L32" s="1"/>
      </tp>
      <tp>
        <v>8710</v>
        <stp/>
        <stp>P</stp>
        <stp>0</stp>
        <stp>FRN</stp>
        <stp>LME:CDA</stp>
        <stp>고가</stp>
        <stp/>
        <stp/>
        <tr r="L26" s="1"/>
      </tp>
      <tp>
        <v>2290</v>
        <stp/>
        <stp>P</stp>
        <stp>0</stp>
        <stp>FRN</stp>
        <stp>LME:ADA</stp>
        <stp>고가</stp>
        <stp/>
        <stp/>
        <tr r="L12" s="1"/>
      </tp>
      <tp>
        <v>2503.5</v>
        <stp/>
        <stp>P</stp>
        <stp>0</stp>
        <stp>FRN</stp>
        <stp>LME:ZDA</stp>
        <stp>고가</stp>
        <stp/>
        <stp/>
        <tr r="L49" s="1"/>
      </tp>
      <tp>
        <v>29076</v>
        <stp/>
        <stp>P</stp>
        <stp>0</stp>
        <stp>FRN</stp>
        <stp>LME:SDA</stp>
        <stp>고가</stp>
        <stp/>
        <stp/>
        <tr r="L44" s="1"/>
      </tp>
      <tp>
        <v>2130</v>
        <stp/>
        <stp>P</stp>
        <stp>0</stp>
        <stp>FRN</stp>
        <stp>LME:PDA</stp>
        <stp>고가</stp>
        <stp/>
        <stp/>
        <tr r="L38" s="1"/>
      </tp>
      <tp>
        <v>28760</v>
        <stp/>
        <stp>P</stp>
        <stp>0</stp>
        <stp>FRN</stp>
        <stp>LME:SDB</stp>
        <stp>시가</stp>
        <stp/>
        <stp/>
        <tr r="K46" s="1"/>
      </tp>
      <tp>
        <v>2118</v>
        <stp/>
        <stp>P</stp>
        <stp>0</stp>
        <stp>FRN</stp>
        <stp>LME:PDB</stp>
        <stp>시가</stp>
        <stp/>
        <stp/>
        <tr r="K40" s="1"/>
      </tp>
      <tp>
        <v>2464</v>
        <stp/>
        <stp>P</stp>
        <stp>0</stp>
        <stp>FRN</stp>
        <stp>LME:ZDB</stp>
        <stp>시가</stp>
        <stp/>
        <stp/>
        <tr r="K51" s="1"/>
      </tp>
      <tp>
        <v>8671.5</v>
        <stp/>
        <stp>P</stp>
        <stp>0</stp>
        <stp>FRN</stp>
        <stp>LME:CDB</stp>
        <stp>시가</stp>
        <stp/>
        <stp/>
        <tr r="K28" s="1"/>
      </tp>
      <tp>
        <v>2269</v>
        <stp/>
        <stp>P</stp>
        <stp>0</stp>
        <stp>FRN</stp>
        <stp>LME:ADB</stp>
        <stp>시가</stp>
        <stp/>
        <stp/>
        <tr r="K14" s="1"/>
      </tp>
      <tp>
        <v>21370</v>
        <stp/>
        <stp>P</stp>
        <stp>0</stp>
        <stp>FRN</stp>
        <stp>LME:NDB</stp>
        <stp>시가</stp>
        <stp/>
        <stp/>
        <tr r="K34" s="1"/>
      </tp>
      <tp>
        <v>21370</v>
        <stp/>
        <stp>P</stp>
        <stp>0</stp>
        <stp>FRN</stp>
        <stp>LME:NDB</stp>
        <stp>저가</stp>
        <stp/>
        <stp/>
        <tr r="M34" s="1"/>
      </tp>
      <tp>
        <v>8671.5</v>
        <stp/>
        <stp>P</stp>
        <stp>0</stp>
        <stp>FRN</stp>
        <stp>LME:CDB</stp>
        <stp>저가</stp>
        <stp/>
        <stp/>
        <tr r="M28" s="1"/>
      </tp>
      <tp>
        <v>2269</v>
        <stp/>
        <stp>P</stp>
        <stp>0</stp>
        <stp>FRN</stp>
        <stp>LME:ADB</stp>
        <stp>저가</stp>
        <stp/>
        <stp/>
        <tr r="M14" s="1"/>
      </tp>
      <tp>
        <v>2464</v>
        <stp/>
        <stp>P</stp>
        <stp>0</stp>
        <stp>FRN</stp>
        <stp>LME:ZDB</stp>
        <stp>저가</stp>
        <stp/>
        <stp/>
        <tr r="M51" s="1"/>
      </tp>
      <tp>
        <v>28760</v>
        <stp/>
        <stp>P</stp>
        <stp>0</stp>
        <stp>FRN</stp>
        <stp>LME:SDB</stp>
        <stp>저가</stp>
        <stp/>
        <stp/>
        <tr r="M46" s="1"/>
      </tp>
      <tp>
        <v>2118</v>
        <stp/>
        <stp>P</stp>
        <stp>0</stp>
        <stp>FRN</stp>
        <stp>LME:PDB</stp>
        <stp>저가</stp>
        <stp/>
        <stp/>
        <tr r="M40" s="1"/>
      </tp>
      <tp>
        <v>21370</v>
        <stp/>
        <stp>P</stp>
        <stp>0</stp>
        <stp>FRN</stp>
        <stp>LME:NDB</stp>
        <stp>고가</stp>
        <stp/>
        <stp/>
        <tr r="L34" s="1"/>
      </tp>
      <tp>
        <v>8671.5</v>
        <stp/>
        <stp>P</stp>
        <stp>0</stp>
        <stp>FRN</stp>
        <stp>LME:CDB</stp>
        <stp>고가</stp>
        <stp/>
        <stp/>
        <tr r="L28" s="1"/>
      </tp>
      <tp>
        <v>2269</v>
        <stp/>
        <stp>P</stp>
        <stp>0</stp>
        <stp>FRN</stp>
        <stp>LME:ADB</stp>
        <stp>고가</stp>
        <stp/>
        <stp/>
        <tr r="L14" s="1"/>
      </tp>
      <tp>
        <v>2464</v>
        <stp/>
        <stp>P</stp>
        <stp>0</stp>
        <stp>FRN</stp>
        <stp>LME:ZDB</stp>
        <stp>고가</stp>
        <stp/>
        <stp/>
        <tr r="L51" s="1"/>
      </tp>
      <tp>
        <v>28760</v>
        <stp/>
        <stp>P</stp>
        <stp>0</stp>
        <stp>FRN</stp>
        <stp>LME:SDB</stp>
        <stp>고가</stp>
        <stp/>
        <stp/>
        <tr r="L46" s="1"/>
      </tp>
      <tp>
        <v>2118</v>
        <stp/>
        <stp>P</stp>
        <stp>0</stp>
        <stp>FRN</stp>
        <stp>LME:PDB</stp>
        <stp>고가</stp>
        <stp/>
        <stp/>
        <tr r="L40" s="1"/>
      </tp>
      <tp>
        <v>28955</v>
        <stp/>
        <stp>P</stp>
        <stp>0</stp>
        <stp>FRN</stp>
        <stp>LME:SDC</stp>
        <stp>시가</stp>
        <stp/>
        <stp/>
        <tr r="K47" s="1"/>
      </tp>
      <tp>
        <v>2127.25</v>
        <stp/>
        <stp>P</stp>
        <stp>0</stp>
        <stp>FRN</stp>
        <stp>LME:PDC</stp>
        <stp>시가</stp>
        <stp/>
        <stp/>
        <tr r="K41" s="1"/>
      </tp>
      <tp>
        <v>2386</v>
        <stp/>
        <stp>P</stp>
        <stp>0</stp>
        <stp>FRN</stp>
        <stp>LME:ZDC</stp>
        <stp>시가</stp>
        <stp/>
        <stp/>
        <tr r="K52" s="1"/>
      </tp>
      <tp>
        <v>8698</v>
        <stp/>
        <stp>P</stp>
        <stp>0</stp>
        <stp>FRN</stp>
        <stp>LME:CDC</stp>
        <stp>시가</stp>
        <stp/>
        <stp/>
        <tr r="K29" s="1"/>
      </tp>
      <tp>
        <v>2285</v>
        <stp/>
        <stp>P</stp>
        <stp>0</stp>
        <stp>FRN</stp>
        <stp>LME:ADC</stp>
        <stp>시가</stp>
        <stp/>
        <stp/>
        <tr r="K15" s="1"/>
      </tp>
      <tp>
        <v>20922</v>
        <stp/>
        <stp>P</stp>
        <stp>0</stp>
        <stp>FRN</stp>
        <stp>LME:NDC</stp>
        <stp>시가</stp>
        <stp/>
        <stp/>
        <tr r="K35" s="1"/>
      </tp>
      <tp t="s">
        <v xml:space="preserve">          nan</v>
        <stp/>
        <stp>P</stp>
        <stp>0</stp>
        <stp>FRN</stp>
        <stp>LME:NDC</stp>
        <stp>저가</stp>
        <stp/>
        <stp/>
        <tr r="M35" s="1"/>
      </tp>
      <tp t="s">
        <v xml:space="preserve">          nan</v>
        <stp/>
        <stp>P</stp>
        <stp>0</stp>
        <stp>FRN</stp>
        <stp>LME:CDC</stp>
        <stp>저가</stp>
        <stp/>
        <stp/>
        <tr r="M29" s="1"/>
      </tp>
      <tp t="s">
        <v xml:space="preserve">          nan</v>
        <stp/>
        <stp>P</stp>
        <stp>0</stp>
        <stp>FRN</stp>
        <stp>LME:ADC</stp>
        <stp>저가</stp>
        <stp/>
        <stp/>
        <tr r="M15" s="1"/>
      </tp>
      <tp>
        <v>2386</v>
        <stp/>
        <stp>P</stp>
        <stp>0</stp>
        <stp>FRN</stp>
        <stp>LME:ZDC</stp>
        <stp>저가</stp>
        <stp/>
        <stp/>
        <tr r="M52" s="1"/>
      </tp>
      <tp t="s">
        <v xml:space="preserve">          nan</v>
        <stp/>
        <stp>P</stp>
        <stp>0</stp>
        <stp>FRN</stp>
        <stp>LME:SDC</stp>
        <stp>저가</stp>
        <stp/>
        <stp/>
        <tr r="M47" s="1"/>
      </tp>
      <tp t="s">
        <v xml:space="preserve">          nan</v>
        <stp/>
        <stp>P</stp>
        <stp>0</stp>
        <stp>FRN</stp>
        <stp>LME:PDC</stp>
        <stp>저가</stp>
        <stp/>
        <stp/>
        <tr r="M41" s="1"/>
      </tp>
      <tp t="s">
        <v xml:space="preserve">          nan</v>
        <stp/>
        <stp>P</stp>
        <stp>0</stp>
        <stp>FRN</stp>
        <stp>LME:NDC</stp>
        <stp>고가</stp>
        <stp/>
        <stp/>
        <tr r="L35" s="1"/>
      </tp>
      <tp t="s">
        <v xml:space="preserve">          nan</v>
        <stp/>
        <stp>P</stp>
        <stp>0</stp>
        <stp>FRN</stp>
        <stp>LME:CDC</stp>
        <stp>고가</stp>
        <stp/>
        <stp/>
        <tr r="L29" s="1"/>
      </tp>
      <tp t="s">
        <v xml:space="preserve">          nan</v>
        <stp/>
        <stp>P</stp>
        <stp>0</stp>
        <stp>FRN</stp>
        <stp>LME:ADC</stp>
        <stp>고가</stp>
        <stp/>
        <stp/>
        <tr r="L15" s="1"/>
      </tp>
      <tp>
        <v>2386</v>
        <stp/>
        <stp>P</stp>
        <stp>0</stp>
        <stp>FRN</stp>
        <stp>LME:ZDC</stp>
        <stp>고가</stp>
        <stp/>
        <stp/>
        <tr r="L52" s="1"/>
      </tp>
      <tp t="s">
        <v xml:space="preserve">          nan</v>
        <stp/>
        <stp>P</stp>
        <stp>0</stp>
        <stp>FRN</stp>
        <stp>LME:SDC</stp>
        <stp>고가</stp>
        <stp/>
        <stp/>
        <tr r="L47" s="1"/>
      </tp>
      <tp t="s">
        <v xml:space="preserve">          nan</v>
        <stp/>
        <stp>P</stp>
        <stp>0</stp>
        <stp>FRN</stp>
        <stp>LME:PDC</stp>
        <stp>고가</stp>
        <stp/>
        <stp/>
        <tr r="L41" s="1"/>
      </tp>
      <tp>
        <v>1846</v>
        <stp/>
        <stp>P</stp>
        <stp>0</stp>
        <stp>FRN</stp>
        <stp>LME:PDD</stp>
        <stp>시가</stp>
        <stp/>
        <stp/>
        <tr r="K42" s="1"/>
      </tp>
      <tp>
        <v>3063.75</v>
        <stp/>
        <stp>P</stp>
        <stp>0</stp>
        <stp>FRN</stp>
        <stp>LME:ZDD</stp>
        <stp>시가</stp>
        <stp/>
        <stp/>
        <tr r="K53" s="1"/>
      </tp>
      <tp>
        <v>8294.5</v>
        <stp/>
        <stp>P</stp>
        <stp>0</stp>
        <stp>FRN</stp>
        <stp>LME:CDD</stp>
        <stp>시가</stp>
        <stp/>
        <stp/>
        <tr r="K30" s="1"/>
      </tp>
      <tp>
        <v>2608.5</v>
        <stp/>
        <stp>P</stp>
        <stp>0</stp>
        <stp>FRN</stp>
        <stp>LME:ADD</stp>
        <stp>시가</stp>
        <stp/>
        <stp/>
        <tr r="K16" s="1"/>
      </tp>
      <tp>
        <v>22823</v>
        <stp/>
        <stp>P</stp>
        <stp>0</stp>
        <stp>FRN</stp>
        <stp>LME:NDD</stp>
        <stp>시가</stp>
        <stp/>
        <stp/>
        <tr r="K36" s="1"/>
      </tp>
      <tp t="s">
        <v xml:space="preserve">          nan</v>
        <stp/>
        <stp>P</stp>
        <stp>0</stp>
        <stp>FRN</stp>
        <stp>LME:NDD</stp>
        <stp>저가</stp>
        <stp/>
        <stp/>
        <tr r="M36" s="1"/>
      </tp>
      <tp t="s">
        <v xml:space="preserve">          nan</v>
        <stp/>
        <stp>P</stp>
        <stp>0</stp>
        <stp>FRN</stp>
        <stp>LME:CDD</stp>
        <stp>저가</stp>
        <stp/>
        <stp/>
        <tr r="M30" s="1"/>
      </tp>
      <tp t="s">
        <v xml:space="preserve">          nan</v>
        <stp/>
        <stp>P</stp>
        <stp>0</stp>
        <stp>FRN</stp>
        <stp>LME:ADD</stp>
        <stp>저가</stp>
        <stp/>
        <stp/>
        <tr r="M16" s="1"/>
      </tp>
      <tp t="s">
        <v xml:space="preserve">          nan</v>
        <stp/>
        <stp>P</stp>
        <stp>0</stp>
        <stp>FRN</stp>
        <stp>LME:ZDD</stp>
        <stp>저가</stp>
        <stp/>
        <stp/>
        <tr r="M53" s="1"/>
      </tp>
      <tp t="s">
        <v xml:space="preserve">          nan</v>
        <stp/>
        <stp>P</stp>
        <stp>0</stp>
        <stp>FRN</stp>
        <stp>LME:PDD</stp>
        <stp>저가</stp>
        <stp/>
        <stp/>
        <tr r="M42" s="1"/>
      </tp>
      <tp t="s">
        <v xml:space="preserve">          nan</v>
        <stp/>
        <stp>P</stp>
        <stp>0</stp>
        <stp>FRN</stp>
        <stp>LME:NDD</stp>
        <stp>고가</stp>
        <stp/>
        <stp/>
        <tr r="L36" s="1"/>
      </tp>
      <tp t="s">
        <v xml:space="preserve">          nan</v>
        <stp/>
        <stp>P</stp>
        <stp>0</stp>
        <stp>FRN</stp>
        <stp>LME:CDD</stp>
        <stp>고가</stp>
        <stp/>
        <stp/>
        <tr r="L30" s="1"/>
      </tp>
      <tp t="s">
        <v xml:space="preserve">          nan</v>
        <stp/>
        <stp>P</stp>
        <stp>0</stp>
        <stp>FRN</stp>
        <stp>LME:ADD</stp>
        <stp>고가</stp>
        <stp/>
        <stp/>
        <tr r="L16" s="1"/>
      </tp>
      <tp t="s">
        <v xml:space="preserve">          nan</v>
        <stp/>
        <stp>P</stp>
        <stp>0</stp>
        <stp>FRN</stp>
        <stp>LME:ZDD</stp>
        <stp>고가</stp>
        <stp/>
        <stp/>
        <tr r="L53" s="1"/>
      </tp>
      <tp t="s">
        <v xml:space="preserve">          nan</v>
        <stp/>
        <stp>P</stp>
        <stp>0</stp>
        <stp>FRN</stp>
        <stp>LME:PDD</stp>
        <stp>고가</stp>
        <stp/>
        <stp/>
        <tr r="L42" s="1"/>
      </tp>
      <tp>
        <v>1798</v>
        <stp/>
        <stp>P</stp>
        <stp>0</stp>
        <stp>FRN</stp>
        <stp>LME:AAY</stp>
        <stp>시가</stp>
        <stp/>
        <stp/>
        <tr r="K17" s="1"/>
      </tp>
      <tp>
        <v>2411.75</v>
        <stp/>
        <stp>P</stp>
        <stp>0</stp>
        <stp>FRN</stp>
        <stp>LME:NAY</stp>
        <stp>시가</stp>
        <stp/>
        <stp/>
        <tr r="K22" s="1"/>
      </tp>
      <tp t="s">
        <v xml:space="preserve">          nan</v>
        <stp/>
        <stp>P</stp>
        <stp>0</stp>
        <stp>FRN</stp>
        <stp>LME:NAY</stp>
        <stp>저가</stp>
        <stp/>
        <stp/>
        <tr r="M22" s="1"/>
      </tp>
      <tp t="s">
        <v xml:space="preserve">          nan</v>
        <stp/>
        <stp>P</stp>
        <stp>0</stp>
        <stp>FRN</stp>
        <stp>LME:AAY</stp>
        <stp>저가</stp>
        <stp/>
        <stp/>
        <tr r="M17" s="1"/>
      </tp>
      <tp t="s">
        <v xml:space="preserve">          nan</v>
        <stp/>
        <stp>P</stp>
        <stp>0</stp>
        <stp>FRN</stp>
        <stp>LME:NAY</stp>
        <stp>고가</stp>
        <stp/>
        <stp/>
        <tr r="L22" s="1"/>
      </tp>
      <tp t="s">
        <v xml:space="preserve">          nan</v>
        <stp/>
        <stp>P</stp>
        <stp>0</stp>
        <stp>FRN</stp>
        <stp>LME:AAY</stp>
        <stp>고가</stp>
        <stp/>
        <stp/>
        <tr r="L17" s="1"/>
      </tp>
      <tp>
        <v>1850</v>
        <stp/>
        <stp>P</stp>
        <stp>0</stp>
        <stp>FRN</stp>
        <stp>LME:AAO</stp>
        <stp>시가</stp>
        <stp/>
        <stp/>
        <tr r="K19" s="1"/>
      </tp>
      <tp>
        <v>1850</v>
        <stp/>
        <stp>P</stp>
        <stp>0</stp>
        <stp>FRN</stp>
        <stp>LME:AAO</stp>
        <stp>저가</stp>
        <stp/>
        <stp/>
        <tr r="M19" s="1"/>
      </tp>
      <tp>
        <v>1850</v>
        <stp/>
        <stp>P</stp>
        <stp>0</stp>
        <stp>FRN</stp>
        <stp>LME:AAO</stp>
        <stp>고가</stp>
        <stp/>
        <stp/>
        <tr r="L19" s="1"/>
      </tp>
      <tp>
        <v>1850</v>
        <stp/>
        <stp>P</stp>
        <stp>0</stp>
        <stp>FRN</stp>
        <stp>LME:AAA</stp>
        <stp>시가</stp>
        <stp/>
        <stp/>
        <tr r="K18" s="1"/>
      </tp>
      <tp>
        <v>2440</v>
        <stp/>
        <stp>P</stp>
        <stp>0</stp>
        <stp>FRN</stp>
        <stp>LME:NAA</stp>
        <stp>시가</stp>
        <stp/>
        <stp/>
        <tr r="K23" s="1"/>
      </tp>
      <tp t="s">
        <v xml:space="preserve">          nan</v>
        <stp/>
        <stp>P</stp>
        <stp>0</stp>
        <stp>FRN</stp>
        <stp>LME:NAA</stp>
        <stp>저가</stp>
        <stp/>
        <stp/>
        <tr r="M23" s="1"/>
      </tp>
      <tp t="s">
        <v xml:space="preserve">          nan</v>
        <stp/>
        <stp>P</stp>
        <stp>0</stp>
        <stp>FRN</stp>
        <stp>LME:AAA</stp>
        <stp>저가</stp>
        <stp/>
        <stp/>
        <tr r="M18" s="1"/>
      </tp>
      <tp t="s">
        <v xml:space="preserve">          nan</v>
        <stp/>
        <stp>P</stp>
        <stp>0</stp>
        <stp>FRN</stp>
        <stp>LME:NAA</stp>
        <stp>고가</stp>
        <stp/>
        <stp/>
        <tr r="L23" s="1"/>
      </tp>
      <tp t="s">
        <v xml:space="preserve">          nan</v>
        <stp/>
        <stp>P</stp>
        <stp>0</stp>
        <stp>FRN</stp>
        <stp>LME:AAA</stp>
        <stp>고가</stp>
        <stp/>
        <stp/>
        <tr r="L18" s="1"/>
      </tp>
      <tp>
        <v>1850</v>
        <stp/>
        <stp>P</stp>
        <stp>0</stp>
        <stp>FRN</stp>
        <stp>LME:AAB</stp>
        <stp>시가</stp>
        <stp/>
        <stp/>
        <tr r="K20" s="1"/>
      </tp>
      <tp>
        <v>2440</v>
        <stp/>
        <stp>P</stp>
        <stp>0</stp>
        <stp>FRN</stp>
        <stp>LME:NAB</stp>
        <stp>시가</stp>
        <stp/>
        <stp/>
        <tr r="K24" s="1"/>
      </tp>
      <tp>
        <v>2440</v>
        <stp/>
        <stp>P</stp>
        <stp>0</stp>
        <stp>FRN</stp>
        <stp>LME:NAB</stp>
        <stp>저가</stp>
        <stp/>
        <stp/>
        <tr r="M24" s="1"/>
      </tp>
      <tp>
        <v>1850</v>
        <stp/>
        <stp>P</stp>
        <stp>0</stp>
        <stp>FRN</stp>
        <stp>LME:AAB</stp>
        <stp>저가</stp>
        <stp/>
        <stp/>
        <tr r="M20" s="1"/>
      </tp>
      <tp>
        <v>2440</v>
        <stp/>
        <stp>P</stp>
        <stp>0</stp>
        <stp>FRN</stp>
        <stp>LME:NAB</stp>
        <stp>고가</stp>
        <stp/>
        <stp/>
        <tr r="L24" s="1"/>
      </tp>
      <tp>
        <v>1850</v>
        <stp/>
        <stp>P</stp>
        <stp>0</stp>
        <stp>FRN</stp>
        <stp>LME:AAB</stp>
        <stp>고가</stp>
        <stp/>
        <stp/>
        <tr r="L20" s="1"/>
      </tp>
      <tp>
        <v>2040</v>
        <stp/>
        <stp>P</stp>
        <stp>0</stp>
        <stp>FRN</stp>
        <stp>LME:AAC</stp>
        <stp>시가</stp>
        <stp/>
        <stp/>
        <tr r="K21" s="1"/>
      </tp>
      <tp>
        <v>2040</v>
        <stp/>
        <stp>P</stp>
        <stp>0</stp>
        <stp>FRN</stp>
        <stp>LME:AAC</stp>
        <stp>저가</stp>
        <stp/>
        <stp/>
        <tr r="M21" s="1"/>
      </tp>
      <tp>
        <v>2040</v>
        <stp/>
        <stp>P</stp>
        <stp>0</stp>
        <stp>FRN</stp>
        <stp>LME:AAC</stp>
        <stp>고가</stp>
        <stp/>
        <stp/>
        <tr r="L21" s="1"/>
      </tp>
      <tp>
        <v>0.97211805555555553</v>
        <stp/>
        <stp>P</stp>
        <stp>0</stp>
        <stp>FRN</stp>
        <stp>LME:AAO</stp>
        <stp>한국시간</stp>
        <stp/>
        <stp>TmFmt=1</stp>
        <tr r="I19" s="1"/>
      </tp>
      <tp>
        <v>0.97211805555555553</v>
        <stp/>
        <stp>P</stp>
        <stp>0</stp>
        <stp>FRN</stp>
        <stp>LME:ADO</stp>
        <stp>한국시간</stp>
        <stp/>
        <stp>TmFmt=1</stp>
        <tr r="I13" s="1"/>
      </tp>
      <tp>
        <v>0.97211805555555553</v>
        <stp/>
        <stp>P</stp>
        <stp>0</stp>
        <stp>FRN</stp>
        <stp>LME:CDO</stp>
        <stp>한국시간</stp>
        <stp/>
        <stp>TmFmt=1</stp>
        <tr r="I27" s="1"/>
      </tp>
      <tp>
        <v>0.97211805555555553</v>
        <stp/>
        <stp>P</stp>
        <stp>0</stp>
        <stp>FRN</stp>
        <stp>LME:NDO</stp>
        <stp>한국시간</stp>
        <stp/>
        <stp>TmFmt=1</stp>
        <tr r="I33" s="1"/>
      </tp>
      <tp>
        <v>0.97211805555555553</v>
        <stp/>
        <stp>P</stp>
        <stp>0</stp>
        <stp>FRN</stp>
        <stp>LME:PDO</stp>
        <stp>한국시간</stp>
        <stp/>
        <stp>TmFmt=1</stp>
        <tr r="I39" s="1"/>
      </tp>
      <tp>
        <v>0.97211805555555553</v>
        <stp/>
        <stp>P</stp>
        <stp>0</stp>
        <stp>FRN</stp>
        <stp>LME:SDO</stp>
        <stp>한국시간</stp>
        <stp/>
        <stp>TmFmt=1</stp>
        <tr r="I45" s="1"/>
      </tp>
      <tp>
        <v>0.97211805555555553</v>
        <stp/>
        <stp>P</stp>
        <stp>0</stp>
        <stp>FRN</stp>
        <stp>LME:ZDO</stp>
        <stp>한국시간</stp>
        <stp/>
        <stp>TmFmt=1</stp>
        <tr r="I50" s="1"/>
      </tp>
      <tp>
        <v>0.97211805555555553</v>
        <stp/>
        <stp>P</stp>
        <stp>0</stp>
        <stp>FRN</stp>
        <stp>LME:AAA</stp>
        <stp>한국시간</stp>
        <stp/>
        <stp>TmFmt=1</stp>
        <tr r="I18" s="1"/>
      </tp>
      <tp>
        <v>0.97211805555555553</v>
        <stp/>
        <stp>P</stp>
        <stp>0</stp>
        <stp>FRN</stp>
        <stp>LME:ADA</stp>
        <stp>한국시간</stp>
        <stp/>
        <stp>TmFmt=1</stp>
        <tr r="I12" s="1"/>
      </tp>
      <tp>
        <v>0.97211805555555553</v>
        <stp/>
        <stp>P</stp>
        <stp>0</stp>
        <stp>FRN</stp>
        <stp>LME:CDA</stp>
        <stp>한국시간</stp>
        <stp/>
        <stp>TmFmt=1</stp>
        <tr r="I26" s="1"/>
      </tp>
      <tp>
        <v>0.97211805555555553</v>
        <stp/>
        <stp>P</stp>
        <stp>0</stp>
        <stp>FRN</stp>
        <stp>LME:NAA</stp>
        <stp>한국시간</stp>
        <stp/>
        <stp>TmFmt=1</stp>
        <tr r="I23" s="1"/>
      </tp>
      <tp>
        <v>0.97211805555555553</v>
        <stp/>
        <stp>P</stp>
        <stp>0</stp>
        <stp>FRN</stp>
        <stp>LME:NDA</stp>
        <stp>한국시간</stp>
        <stp/>
        <stp>TmFmt=1</stp>
        <tr r="I32" s="1"/>
      </tp>
      <tp>
        <v>0.97211805555555553</v>
        <stp/>
        <stp>P</stp>
        <stp>0</stp>
        <stp>FRN</stp>
        <stp>LME:PDA</stp>
        <stp>한국시간</stp>
        <stp/>
        <stp>TmFmt=1</stp>
        <tr r="I38" s="1"/>
      </tp>
      <tp>
        <v>0.97211805555555553</v>
        <stp/>
        <stp>P</stp>
        <stp>0</stp>
        <stp>FRN</stp>
        <stp>LME:SDA</stp>
        <stp>한국시간</stp>
        <stp/>
        <stp>TmFmt=1</stp>
        <tr r="I44" s="1"/>
      </tp>
      <tp>
        <v>0.97211805555555553</v>
        <stp/>
        <stp>P</stp>
        <stp>0</stp>
        <stp>FRN</stp>
        <stp>LME:ZDA</stp>
        <stp>한국시간</stp>
        <stp/>
        <stp>TmFmt=1</stp>
        <tr r="I49" s="1"/>
      </tp>
      <tp>
        <v>0.97211805555555553</v>
        <stp/>
        <stp>P</stp>
        <stp>0</stp>
        <stp>FRN</stp>
        <stp>LME:AAB</stp>
        <stp>한국시간</stp>
        <stp/>
        <stp>TmFmt=1</stp>
        <tr r="I20" s="1"/>
      </tp>
      <tp>
        <v>0.97211805555555553</v>
        <stp/>
        <stp>P</stp>
        <stp>0</stp>
        <stp>FRN</stp>
        <stp>LME:ADB</stp>
        <stp>한국시간</stp>
        <stp/>
        <stp>TmFmt=1</stp>
        <tr r="I14" s="1"/>
      </tp>
      <tp>
        <v>0.97211805555555553</v>
        <stp/>
        <stp>P</stp>
        <stp>0</stp>
        <stp>FRN</stp>
        <stp>LME:CDB</stp>
        <stp>한국시간</stp>
        <stp/>
        <stp>TmFmt=1</stp>
        <tr r="I28" s="1"/>
      </tp>
      <tp>
        <v>0.97211805555555553</v>
        <stp/>
        <stp>P</stp>
        <stp>0</stp>
        <stp>FRN</stp>
        <stp>LME:NAB</stp>
        <stp>한국시간</stp>
        <stp/>
        <stp>TmFmt=1</stp>
        <tr r="I24" s="1"/>
      </tp>
      <tp>
        <v>0.97211805555555553</v>
        <stp/>
        <stp>P</stp>
        <stp>0</stp>
        <stp>FRN</stp>
        <stp>LME:NDB</stp>
        <stp>한국시간</stp>
        <stp/>
        <stp>TmFmt=1</stp>
        <tr r="I34" s="1"/>
      </tp>
      <tp>
        <v>0.97211805555555553</v>
        <stp/>
        <stp>P</stp>
        <stp>0</stp>
        <stp>FRN</stp>
        <stp>LME:PDB</stp>
        <stp>한국시간</stp>
        <stp/>
        <stp>TmFmt=1</stp>
        <tr r="I40" s="1"/>
      </tp>
      <tp>
        <v>0.97211805555555553</v>
        <stp/>
        <stp>P</stp>
        <stp>0</stp>
        <stp>FRN</stp>
        <stp>LME:SDB</stp>
        <stp>한국시간</stp>
        <stp/>
        <stp>TmFmt=1</stp>
        <tr r="I46" s="1"/>
      </tp>
      <tp>
        <v>0.97211805555555553</v>
        <stp/>
        <stp>P</stp>
        <stp>0</stp>
        <stp>FRN</stp>
        <stp>LME:ZDB</stp>
        <stp>한국시간</stp>
        <stp/>
        <stp>TmFmt=1</stp>
        <tr r="I51" s="1"/>
      </tp>
      <tp>
        <v>0.97211805555555553</v>
        <stp/>
        <stp>P</stp>
        <stp>0</stp>
        <stp>FRN</stp>
        <stp>LME:AAC</stp>
        <stp>한국시간</stp>
        <stp/>
        <stp>TmFmt=1</stp>
        <tr r="I21" s="1"/>
      </tp>
      <tp>
        <v>0.97211805555555553</v>
        <stp/>
        <stp>P</stp>
        <stp>0</stp>
        <stp>FRN</stp>
        <stp>LME:ADC</stp>
        <stp>한국시간</stp>
        <stp/>
        <stp>TmFmt=1</stp>
        <tr r="I15" s="1"/>
      </tp>
      <tp>
        <v>0.97211805555555553</v>
        <stp/>
        <stp>P</stp>
        <stp>0</stp>
        <stp>FRN</stp>
        <stp>LME:CDC</stp>
        <stp>한국시간</stp>
        <stp/>
        <stp>TmFmt=1</stp>
        <tr r="I29" s="1"/>
      </tp>
      <tp>
        <v>0.97211805555555553</v>
        <stp/>
        <stp>P</stp>
        <stp>0</stp>
        <stp>FRN</stp>
        <stp>LME:NDC</stp>
        <stp>한국시간</stp>
        <stp/>
        <stp>TmFmt=1</stp>
        <tr r="I35" s="1"/>
      </tp>
      <tp>
        <v>0.97211805555555553</v>
        <stp/>
        <stp>P</stp>
        <stp>0</stp>
        <stp>FRN</stp>
        <stp>LME:PDC</stp>
        <stp>한국시간</stp>
        <stp/>
        <stp>TmFmt=1</stp>
        <tr r="I41" s="1"/>
      </tp>
      <tp>
        <v>0.97211805555555553</v>
        <stp/>
        <stp>P</stp>
        <stp>0</stp>
        <stp>FRN</stp>
        <stp>LME:SDC</stp>
        <stp>한국시간</stp>
        <stp/>
        <stp>TmFmt=1</stp>
        <tr r="I47" s="1"/>
      </tp>
      <tp>
        <v>0.97211805555555553</v>
        <stp/>
        <stp>P</stp>
        <stp>0</stp>
        <stp>FRN</stp>
        <stp>LME:ZDC</stp>
        <stp>한국시간</stp>
        <stp/>
        <stp>TmFmt=1</stp>
        <tr r="I52" s="1"/>
      </tp>
      <tp>
        <v>0.97211805555555553</v>
        <stp/>
        <stp>P</stp>
        <stp>0</stp>
        <stp>FRN</stp>
        <stp>LME:ADD</stp>
        <stp>한국시간</stp>
        <stp/>
        <stp>TmFmt=1</stp>
        <tr r="I16" s="1"/>
      </tp>
      <tp>
        <v>0.97211805555555553</v>
        <stp/>
        <stp>P</stp>
        <stp>0</stp>
        <stp>FRN</stp>
        <stp>LME:CDD</stp>
        <stp>한국시간</stp>
        <stp/>
        <stp>TmFmt=1</stp>
        <tr r="I30" s="1"/>
      </tp>
      <tp>
        <v>0.97211805555555553</v>
        <stp/>
        <stp>P</stp>
        <stp>0</stp>
        <stp>FRN</stp>
        <stp>LME:NDD</stp>
        <stp>한국시간</stp>
        <stp/>
        <stp>TmFmt=1</stp>
        <tr r="I36" s="1"/>
      </tp>
      <tp>
        <v>0.97211805555555553</v>
        <stp/>
        <stp>P</stp>
        <stp>0</stp>
        <stp>FRN</stp>
        <stp>LME:PDD</stp>
        <stp>한국시간</stp>
        <stp/>
        <stp>TmFmt=1</stp>
        <tr r="I42" s="1"/>
      </tp>
      <tp>
        <v>0.97211805555555553</v>
        <stp/>
        <stp>P</stp>
        <stp>0</stp>
        <stp>FRN</stp>
        <stp>LME:ZDD</stp>
        <stp>한국시간</stp>
        <stp/>
        <stp>TmFmt=1</stp>
        <tr r="I53" s="1"/>
      </tp>
      <tp>
        <v>0.97211805555555553</v>
        <stp/>
        <stp>P</stp>
        <stp>0</stp>
        <stp>FRN</stp>
        <stp>LME:AAY</stp>
        <stp>한국시간</stp>
        <stp/>
        <stp>TmFmt=1</stp>
        <tr r="I17" s="1"/>
      </tp>
      <tp>
        <v>0.97211805555555553</v>
        <stp/>
        <stp>P</stp>
        <stp>0</stp>
        <stp>FRN</stp>
        <stp>LME:ADY</stp>
        <stp>한국시간</stp>
        <stp/>
        <stp>TmFmt=1</stp>
        <tr r="I11" s="1"/>
      </tp>
      <tp>
        <v>0.97211805555555553</v>
        <stp/>
        <stp>P</stp>
        <stp>0</stp>
        <stp>FRN</stp>
        <stp>LME:CDY</stp>
        <stp>한국시간</stp>
        <stp/>
        <stp>TmFmt=1</stp>
        <tr r="I25" s="1"/>
      </tp>
      <tp>
        <v>0.97211805555555553</v>
        <stp/>
        <stp>P</stp>
        <stp>0</stp>
        <stp>FRN</stp>
        <stp>LME:NAY</stp>
        <stp>한국시간</stp>
        <stp/>
        <stp>TmFmt=1</stp>
        <tr r="I22" s="1"/>
      </tp>
      <tp>
        <v>0.97211805555555553</v>
        <stp/>
        <stp>P</stp>
        <stp>0</stp>
        <stp>FRN</stp>
        <stp>LME:NDY</stp>
        <stp>한국시간</stp>
        <stp/>
        <stp>TmFmt=1</stp>
        <tr r="I31" s="1"/>
      </tp>
      <tp>
        <v>0.97211805555555553</v>
        <stp/>
        <stp>P</stp>
        <stp>0</stp>
        <stp>FRN</stp>
        <stp>LME:PDY</stp>
        <stp>한국시간</stp>
        <stp/>
        <stp>TmFmt=1</stp>
        <tr r="I37" s="1"/>
      </tp>
      <tp>
        <v>0.97211805555555553</v>
        <stp/>
        <stp>P</stp>
        <stp>0</stp>
        <stp>FRN</stp>
        <stp>LME:SDY</stp>
        <stp>한국시간</stp>
        <stp/>
        <stp>TmFmt=1</stp>
        <tr r="I43" s="1"/>
      </tp>
      <tp>
        <v>0.97211805555555553</v>
        <stp/>
        <stp>P</stp>
        <stp>0</stp>
        <stp>FRN</stp>
        <stp>LME:ZDY</stp>
        <stp>한국시간</stp>
        <stp/>
        <stp>TmFmt=1</stp>
        <tr r="I48" s="1"/>
      </tp>
      <tp t="e">
        <v>#N/A</v>
        <stp/>
        <stp>H</stp>
        <stp>x1.u65F1</stp>
        <stp>8</stp>
        <stp>1972782</stp>
        <tr r="M62" s="1"/>
      </tp>
      <tp t="e">
        <v>#N/A</v>
        <stp/>
        <stp>H</stp>
        <stp>x2.u65F1</stp>
        <stp>9</stp>
        <stp>1972782</stp>
        <tr r="G62" s="1"/>
      </tp>
      <tp>
        <v>0.1</v>
        <stp/>
        <stp>P</stp>
        <stp>0</stp>
        <stp>FRN</stp>
        <stp>LME:AAY</stp>
        <stp>등락률</stp>
        <stp/>
        <stp/>
        <tr r="P17" s="1"/>
      </tp>
      <tp>
        <v>1.92</v>
        <stp/>
        <stp>P</stp>
        <stp>0</stp>
        <stp>FRN</stp>
        <stp>LME:ADY</stp>
        <stp>등락률</stp>
        <stp/>
        <stp/>
        <tr r="P11" s="1"/>
      </tp>
      <tp>
        <v>2.34</v>
        <stp/>
        <stp>P</stp>
        <stp>0</stp>
        <stp>FRN</stp>
        <stp>LME:CDY</stp>
        <stp>등락률</stp>
        <stp/>
        <stp/>
        <tr r="P25" s="1"/>
      </tp>
      <tp>
        <v>0.01</v>
        <stp/>
        <stp>P</stp>
        <stp>0</stp>
        <stp>FRN</stp>
        <stp>LME:NAY</stp>
        <stp>등락률</stp>
        <stp/>
        <stp/>
        <tr r="P22" s="1"/>
      </tp>
      <tp>
        <v>-1.78</v>
        <stp/>
        <stp>P</stp>
        <stp>0</stp>
        <stp>FRN</stp>
        <stp>LME:NDY</stp>
        <stp>등락률</stp>
        <stp/>
        <stp/>
        <tr r="P31" s="1"/>
      </tp>
      <tp>
        <v>1.69</v>
        <stp/>
        <stp>P</stp>
        <stp>0</stp>
        <stp>FRN</stp>
        <stp>LME:PDY</stp>
        <stp>등락률</stp>
        <stp/>
        <stp/>
        <tr r="P37" s="1"/>
      </tp>
      <tp>
        <v>-0.94</v>
        <stp/>
        <stp>P</stp>
        <stp>0</stp>
        <stp>FRN</stp>
        <stp>LME:SDY</stp>
        <stp>등락률</stp>
        <stp/>
        <stp/>
        <tr r="P43" s="1"/>
      </tp>
      <tp>
        <v>2.04</v>
        <stp/>
        <stp>P</stp>
        <stp>0</stp>
        <stp>FRN</stp>
        <stp>LME:ZDY</stp>
        <stp>등락률</stp>
        <stp/>
        <stp/>
        <tr r="P48" s="1"/>
      </tp>
      <tp>
        <v>-2.63</v>
        <stp/>
        <stp>P</stp>
        <stp>0</stp>
        <stp>FRN</stp>
        <stp>LME:AAO</stp>
        <stp>등락률</stp>
        <stp/>
        <stp/>
        <tr r="P19" s="1"/>
      </tp>
      <tp>
        <v>4.25</v>
        <stp/>
        <stp>P</stp>
        <stp>0</stp>
        <stp>FRN</stp>
        <stp>LME:ADO</stp>
        <stp>등락률</stp>
        <stp/>
        <stp/>
        <tr r="P13" s="1"/>
      </tp>
      <tp>
        <v>2.42</v>
        <stp/>
        <stp>P</stp>
        <stp>0</stp>
        <stp>FRN</stp>
        <stp>LME:CDO</stp>
        <stp>등락률</stp>
        <stp/>
        <stp/>
        <tr r="P27" s="1"/>
      </tp>
      <tp>
        <v>1.04</v>
        <stp/>
        <stp>P</stp>
        <stp>0</stp>
        <stp>FRN</stp>
        <stp>LME:NDO</stp>
        <stp>등락률</stp>
        <stp/>
        <stp/>
        <tr r="P33" s="1"/>
      </tp>
      <tp>
        <v>1.93</v>
        <stp/>
        <stp>P</stp>
        <stp>0</stp>
        <stp>FRN</stp>
        <stp>LME:PDO</stp>
        <stp>등락률</stp>
        <stp/>
        <stp/>
        <tr r="P39" s="1"/>
      </tp>
      <tp>
        <v>3.54</v>
        <stp/>
        <stp>P</stp>
        <stp>0</stp>
        <stp>FRN</stp>
        <stp>LME:SDO</stp>
        <stp>등락률</stp>
        <stp/>
        <stp/>
        <tr r="P45" s="1"/>
      </tp>
      <tp>
        <v>4.4800000000000004</v>
        <stp/>
        <stp>P</stp>
        <stp>0</stp>
        <stp>FRN</stp>
        <stp>LME:ZDO</stp>
        <stp>등락률</stp>
        <stp/>
        <stp/>
        <tr r="P50" s="1"/>
      </tp>
      <tp>
        <v>0</v>
        <stp/>
        <stp>P</stp>
        <stp>0</stp>
        <stp>FRN</stp>
        <stp>LME:AAA</stp>
        <stp>등락률</stp>
        <stp/>
        <stp/>
        <tr r="P18" s="1"/>
      </tp>
      <tp>
        <v>1.88</v>
        <stp/>
        <stp>P</stp>
        <stp>0</stp>
        <stp>FRN</stp>
        <stp>LME:ADA</stp>
        <stp>등락률</stp>
        <stp/>
        <stp/>
        <tr r="P12" s="1"/>
      </tp>
      <tp>
        <v>2.29</v>
        <stp/>
        <stp>P</stp>
        <stp>0</stp>
        <stp>FRN</stp>
        <stp>LME:CDA</stp>
        <stp>등락률</stp>
        <stp/>
        <stp/>
        <tr r="P26" s="1"/>
      </tp>
      <tp>
        <v>0</v>
        <stp/>
        <stp>P</stp>
        <stp>0</stp>
        <stp>FRN</stp>
        <stp>LME:NAA</stp>
        <stp>등락률</stp>
        <stp/>
        <stp/>
        <tr r="P23" s="1"/>
      </tp>
      <tp>
        <v>-1.8</v>
        <stp/>
        <stp>P</stp>
        <stp>0</stp>
        <stp>FRN</stp>
        <stp>LME:NDA</stp>
        <stp>등락률</stp>
        <stp/>
        <stp/>
        <tr r="P32" s="1"/>
      </tp>
      <tp>
        <v>1.99</v>
        <stp/>
        <stp>P</stp>
        <stp>0</stp>
        <stp>FRN</stp>
        <stp>LME:PDA</stp>
        <stp>등락률</stp>
        <stp/>
        <stp/>
        <tr r="P38" s="1"/>
      </tp>
      <tp>
        <v>-0.89</v>
        <stp/>
        <stp>P</stp>
        <stp>0</stp>
        <stp>FRN</stp>
        <stp>LME:SDA</stp>
        <stp>등락률</stp>
        <stp/>
        <stp/>
        <tr r="P44" s="1"/>
      </tp>
      <tp>
        <v>2.21</v>
        <stp/>
        <stp>P</stp>
        <stp>0</stp>
        <stp>FRN</stp>
        <stp>LME:ZDA</stp>
        <stp>등락률</stp>
        <stp/>
        <stp/>
        <tr r="P49" s="1"/>
      </tp>
      <tp>
        <v>-2.63</v>
        <stp/>
        <stp>P</stp>
        <stp>0</stp>
        <stp>FRN</stp>
        <stp>LME:AAB</stp>
        <stp>등락률</stp>
        <stp/>
        <stp/>
        <tr r="P20" s="1"/>
      </tp>
      <tp>
        <v>2.12</v>
        <stp/>
        <stp>P</stp>
        <stp>0</stp>
        <stp>FRN</stp>
        <stp>LME:ADB</stp>
        <stp>등락률</stp>
        <stp/>
        <stp/>
        <tr r="P14" s="1"/>
      </tp>
      <tp>
        <v>2.2000000000000002</v>
        <stp/>
        <stp>P</stp>
        <stp>0</stp>
        <stp>FRN</stp>
        <stp>LME:CDB</stp>
        <stp>등락률</stp>
        <stp/>
        <stp/>
        <tr r="P28" s="1"/>
      </tp>
      <tp>
        <v>0</v>
        <stp/>
        <stp>P</stp>
        <stp>0</stp>
        <stp>FRN</stp>
        <stp>LME:NAB</stp>
        <stp>등락률</stp>
        <stp/>
        <stp/>
        <tr r="P24" s="1"/>
      </tp>
      <tp>
        <v>-0.44</v>
        <stp/>
        <stp>P</stp>
        <stp>0</stp>
        <stp>FRN</stp>
        <stp>LME:NDB</stp>
        <stp>등락률</stp>
        <stp/>
        <stp/>
        <tr r="P34" s="1"/>
      </tp>
      <tp>
        <v>1.51</v>
        <stp/>
        <stp>P</stp>
        <stp>0</stp>
        <stp>FRN</stp>
        <stp>LME:PDB</stp>
        <stp>등락률</stp>
        <stp/>
        <stp/>
        <tr r="P40" s="1"/>
      </tp>
      <tp>
        <v>-1.17</v>
        <stp/>
        <stp>P</stp>
        <stp>0</stp>
        <stp>FRN</stp>
        <stp>LME:SDB</stp>
        <stp>등락률</stp>
        <stp/>
        <stp/>
        <tr r="P46" s="1"/>
      </tp>
      <tp>
        <v>1.61</v>
        <stp/>
        <stp>P</stp>
        <stp>0</stp>
        <stp>FRN</stp>
        <stp>LME:ZDB</stp>
        <stp>등락률</stp>
        <stp/>
        <stp/>
        <tr r="P51" s="1"/>
      </tp>
      <tp>
        <v>-14.14</v>
        <stp/>
        <stp>P</stp>
        <stp>0</stp>
        <stp>FRN</stp>
        <stp>LME:AAC</stp>
        <stp>등락률</stp>
        <stp/>
        <stp/>
        <tr r="P21" s="1"/>
      </tp>
      <tp>
        <v>-0.12</v>
        <stp/>
        <stp>P</stp>
        <stp>0</stp>
        <stp>FRN</stp>
        <stp>LME:ADC</stp>
        <stp>등락률</stp>
        <stp/>
        <stp/>
        <tr r="P15" s="1"/>
      </tp>
      <tp>
        <v>4.3899999999999997</v>
        <stp/>
        <stp>P</stp>
        <stp>0</stp>
        <stp>FRN</stp>
        <stp>LME:CDC</stp>
        <stp>등락률</stp>
        <stp/>
        <stp/>
        <tr r="P29" s="1"/>
      </tp>
      <tp>
        <v>-2.7</v>
        <stp/>
        <stp>P</stp>
        <stp>0</stp>
        <stp>FRN</stp>
        <stp>LME:NDC</stp>
        <stp>등락률</stp>
        <stp/>
        <stp/>
        <tr r="P35" s="1"/>
      </tp>
      <tp>
        <v>-1.1000000000000001</v>
        <stp/>
        <stp>P</stp>
        <stp>0</stp>
        <stp>FRN</stp>
        <stp>LME:PDC</stp>
        <stp>등락률</stp>
        <stp/>
        <stp/>
        <tr r="P41" s="1"/>
      </tp>
      <tp>
        <v>-0.96</v>
        <stp/>
        <stp>P</stp>
        <stp>0</stp>
        <stp>FRN</stp>
        <stp>LME:SDC</stp>
        <stp>등락률</stp>
        <stp/>
        <stp/>
        <tr r="P47" s="1"/>
      </tp>
      <tp>
        <v>-2.68</v>
        <stp/>
        <stp>P</stp>
        <stp>0</stp>
        <stp>FRN</stp>
        <stp>LME:ZDC</stp>
        <stp>등락률</stp>
        <stp/>
        <stp/>
        <tr r="P52" s="1"/>
      </tp>
      <tp>
        <v>-1.94</v>
        <stp/>
        <stp>P</stp>
        <stp>0</stp>
        <stp>FRN</stp>
        <stp>LME:ADD</stp>
        <stp>등락률</stp>
        <stp/>
        <stp/>
        <tr r="P16" s="1"/>
      </tp>
      <tp>
        <v>3.24</v>
        <stp/>
        <stp>P</stp>
        <stp>0</stp>
        <stp>FRN</stp>
        <stp>LME:CDD</stp>
        <stp>등락률</stp>
        <stp/>
        <stp/>
        <tr r="P30" s="1"/>
      </tp>
      <tp>
        <v>-0.49</v>
        <stp/>
        <stp>P</stp>
        <stp>0</stp>
        <stp>FRN</stp>
        <stp>LME:NDD</stp>
        <stp>등락률</stp>
        <stp/>
        <stp/>
        <tr r="P36" s="1"/>
      </tp>
      <tp>
        <v>-1.32</v>
        <stp/>
        <stp>P</stp>
        <stp>0</stp>
        <stp>FRN</stp>
        <stp>LME:PDD</stp>
        <stp>등락률</stp>
        <stp/>
        <stp/>
        <tr r="P42" s="1"/>
      </tp>
      <tp>
        <v>12.88</v>
        <stp/>
        <stp>P</stp>
        <stp>0</stp>
        <stp>FRN</stp>
        <stp>LME:ZDD</stp>
        <stp>등락률</stp>
        <stp/>
        <stp/>
        <tr r="P53" s="1"/>
      </tp>
      <tp>
        <v>45121</v>
        <stp/>
        <stp>P</stp>
        <stp>0</stp>
        <stp>FRN</stp>
        <stp>LME:ADY</stp>
        <stp>한국일자</stp>
        <stp/>
        <stp>DtFmt=1</stp>
        <tr r="H11" s="1"/>
      </tp>
      <tp>
        <v>45121</v>
        <stp/>
        <stp>P</stp>
        <stp>0</stp>
        <stp>FRN</stp>
        <stp>LME:AAY</stp>
        <stp>한국일자</stp>
        <stp/>
        <stp>DtFmt=1</stp>
        <tr r="H17" s="1"/>
      </tp>
      <tp>
        <v>45121</v>
        <stp/>
        <stp>P</stp>
        <stp>0</stp>
        <stp>FRN</stp>
        <stp>LME:CDY</stp>
        <stp>한국일자</stp>
        <stp/>
        <stp>DtFmt=1</stp>
        <tr r="H25" s="1"/>
      </tp>
      <tp>
        <v>45121</v>
        <stp/>
        <stp>P</stp>
        <stp>0</stp>
        <stp>FRN</stp>
        <stp>LME:NDY</stp>
        <stp>한국일자</stp>
        <stp/>
        <stp>DtFmt=1</stp>
        <tr r="H31" s="1"/>
      </tp>
      <tp>
        <v>45121</v>
        <stp/>
        <stp>P</stp>
        <stp>0</stp>
        <stp>FRN</stp>
        <stp>LME:NAY</stp>
        <stp>한국일자</stp>
        <stp/>
        <stp>DtFmt=1</stp>
        <tr r="H22" s="1"/>
      </tp>
      <tp>
        <v>45121</v>
        <stp/>
        <stp>P</stp>
        <stp>0</stp>
        <stp>FRN</stp>
        <stp>LME:PDY</stp>
        <stp>한국일자</stp>
        <stp/>
        <stp>DtFmt=1</stp>
        <tr r="H37" s="1"/>
      </tp>
      <tp>
        <v>45121</v>
        <stp/>
        <stp>P</stp>
        <stp>0</stp>
        <stp>FRN</stp>
        <stp>LME:SDY</stp>
        <stp>한국일자</stp>
        <stp/>
        <stp>DtFmt=1</stp>
        <tr r="H43" s="1"/>
      </tp>
      <tp>
        <v>45121</v>
        <stp/>
        <stp>P</stp>
        <stp>0</stp>
        <stp>FRN</stp>
        <stp>LME:ZDY</stp>
        <stp>한국일자</stp>
        <stp/>
        <stp>DtFmt=1</stp>
        <tr r="H48" s="1"/>
      </tp>
      <tp>
        <v>45121</v>
        <stp/>
        <stp>P</stp>
        <stp>0</stp>
        <stp>FRN</stp>
        <stp>LME:ADC</stp>
        <stp>한국일자</stp>
        <stp/>
        <stp>DtFmt=1</stp>
        <tr r="H15" s="1"/>
      </tp>
      <tp>
        <v>45121</v>
        <stp/>
        <stp>P</stp>
        <stp>0</stp>
        <stp>FRN</stp>
        <stp>LME:AAC</stp>
        <stp>한국일자</stp>
        <stp/>
        <stp>DtFmt=1</stp>
        <tr r="H21" s="1"/>
      </tp>
      <tp>
        <v>45121</v>
        <stp/>
        <stp>P</stp>
        <stp>0</stp>
        <stp>FRN</stp>
        <stp>LME:CDC</stp>
        <stp>한국일자</stp>
        <stp/>
        <stp>DtFmt=1</stp>
        <tr r="H29" s="1"/>
      </tp>
      <tp>
        <v>45121</v>
        <stp/>
        <stp>P</stp>
        <stp>0</stp>
        <stp>FRN</stp>
        <stp>LME:NDC</stp>
        <stp>한국일자</stp>
        <stp/>
        <stp>DtFmt=1</stp>
        <tr r="H35" s="1"/>
      </tp>
      <tp>
        <v>45121</v>
        <stp/>
        <stp>P</stp>
        <stp>0</stp>
        <stp>FRN</stp>
        <stp>LME:PDC</stp>
        <stp>한국일자</stp>
        <stp/>
        <stp>DtFmt=1</stp>
        <tr r="H41" s="1"/>
      </tp>
      <tp>
        <v>45121</v>
        <stp/>
        <stp>P</stp>
        <stp>0</stp>
        <stp>FRN</stp>
        <stp>LME:SDC</stp>
        <stp>한국일자</stp>
        <stp/>
        <stp>DtFmt=1</stp>
        <tr r="H47" s="1"/>
      </tp>
      <tp>
        <v>45121</v>
        <stp/>
        <stp>P</stp>
        <stp>0</stp>
        <stp>FRN</stp>
        <stp>LME:ZDC</stp>
        <stp>한국일자</stp>
        <stp/>
        <stp>DtFmt=1</stp>
        <tr r="H52" s="1"/>
      </tp>
      <tp>
        <v>45121</v>
        <stp/>
        <stp>P</stp>
        <stp>0</stp>
        <stp>FRN</stp>
        <stp>LME:ADB</stp>
        <stp>한국일자</stp>
        <stp/>
        <stp>DtFmt=1</stp>
        <tr r="H14" s="1"/>
      </tp>
      <tp>
        <v>45121</v>
        <stp/>
        <stp>P</stp>
        <stp>0</stp>
        <stp>FRN</stp>
        <stp>LME:AAB</stp>
        <stp>한국일자</stp>
        <stp/>
        <stp>DtFmt=1</stp>
        <tr r="H20" s="1"/>
      </tp>
      <tp>
        <v>45121</v>
        <stp/>
        <stp>P</stp>
        <stp>0</stp>
        <stp>FRN</stp>
        <stp>LME:CDB</stp>
        <stp>한국일자</stp>
        <stp/>
        <stp>DtFmt=1</stp>
        <tr r="H28" s="1"/>
      </tp>
      <tp>
        <v>45121</v>
        <stp/>
        <stp>P</stp>
        <stp>0</stp>
        <stp>FRN</stp>
        <stp>LME:NDB</stp>
        <stp>한국일자</stp>
        <stp/>
        <stp>DtFmt=1</stp>
        <tr r="H34" s="1"/>
      </tp>
      <tp>
        <v>45121</v>
        <stp/>
        <stp>P</stp>
        <stp>0</stp>
        <stp>FRN</stp>
        <stp>LME:NAB</stp>
        <stp>한국일자</stp>
        <stp/>
        <stp>DtFmt=1</stp>
        <tr r="H24" s="1"/>
      </tp>
      <tp>
        <v>45121</v>
        <stp/>
        <stp>P</stp>
        <stp>0</stp>
        <stp>FRN</stp>
        <stp>LME:PDB</stp>
        <stp>한국일자</stp>
        <stp/>
        <stp>DtFmt=1</stp>
        <tr r="H40" s="1"/>
      </tp>
      <tp>
        <v>45121</v>
        <stp/>
        <stp>P</stp>
        <stp>0</stp>
        <stp>FRN</stp>
        <stp>LME:SDB</stp>
        <stp>한국일자</stp>
        <stp/>
        <stp>DtFmt=1</stp>
        <tr r="H46" s="1"/>
      </tp>
      <tp>
        <v>45121</v>
        <stp/>
        <stp>P</stp>
        <stp>0</stp>
        <stp>FRN</stp>
        <stp>LME:ZDB</stp>
        <stp>한국일자</stp>
        <stp/>
        <stp>DtFmt=1</stp>
        <tr r="H51" s="1"/>
      </tp>
      <tp>
        <v>45121</v>
        <stp/>
        <stp>P</stp>
        <stp>0</stp>
        <stp>FRN</stp>
        <stp>LME:ADA</stp>
        <stp>한국일자</stp>
        <stp/>
        <stp>DtFmt=1</stp>
        <tr r="H12" s="1"/>
      </tp>
      <tp>
        <v>45121</v>
        <stp/>
        <stp>P</stp>
        <stp>0</stp>
        <stp>FRN</stp>
        <stp>LME:AAA</stp>
        <stp>한국일자</stp>
        <stp/>
        <stp>DtFmt=1</stp>
        <tr r="H18" s="1"/>
      </tp>
      <tp>
        <v>45121</v>
        <stp/>
        <stp>P</stp>
        <stp>0</stp>
        <stp>FRN</stp>
        <stp>LME:CDA</stp>
        <stp>한국일자</stp>
        <stp/>
        <stp>DtFmt=1</stp>
        <tr r="H26" s="1"/>
      </tp>
      <tp>
        <v>45121</v>
        <stp/>
        <stp>P</stp>
        <stp>0</stp>
        <stp>FRN</stp>
        <stp>LME:NDA</stp>
        <stp>한국일자</stp>
        <stp/>
        <stp>DtFmt=1</stp>
        <tr r="H32" s="1"/>
      </tp>
      <tp>
        <v>45121</v>
        <stp/>
        <stp>P</stp>
        <stp>0</stp>
        <stp>FRN</stp>
        <stp>LME:NAA</stp>
        <stp>한국일자</stp>
        <stp/>
        <stp>DtFmt=1</stp>
        <tr r="H23" s="1"/>
      </tp>
      <tp>
        <v>45121</v>
        <stp/>
        <stp>P</stp>
        <stp>0</stp>
        <stp>FRN</stp>
        <stp>LME:PDA</stp>
        <stp>한국일자</stp>
        <stp/>
        <stp>DtFmt=1</stp>
        <tr r="H38" s="1"/>
      </tp>
      <tp>
        <v>45121</v>
        <stp/>
        <stp>P</stp>
        <stp>0</stp>
        <stp>FRN</stp>
        <stp>LME:SDA</stp>
        <stp>한국일자</stp>
        <stp/>
        <stp>DtFmt=1</stp>
        <tr r="H44" s="1"/>
      </tp>
      <tp>
        <v>45121</v>
        <stp/>
        <stp>P</stp>
        <stp>0</stp>
        <stp>FRN</stp>
        <stp>LME:ZDA</stp>
        <stp>한국일자</stp>
        <stp/>
        <stp>DtFmt=1</stp>
        <tr r="H49" s="1"/>
      </tp>
      <tp>
        <v>45121</v>
        <stp/>
        <stp>P</stp>
        <stp>0</stp>
        <stp>FRN</stp>
        <stp>LME:ADD</stp>
        <stp>한국일자</stp>
        <stp/>
        <stp>DtFmt=1</stp>
        <tr r="H16" s="1"/>
      </tp>
      <tp>
        <v>45121</v>
        <stp/>
        <stp>P</stp>
        <stp>0</stp>
        <stp>FRN</stp>
        <stp>LME:CDD</stp>
        <stp>한국일자</stp>
        <stp/>
        <stp>DtFmt=1</stp>
        <tr r="H30" s="1"/>
      </tp>
      <tp>
        <v>45121</v>
        <stp/>
        <stp>P</stp>
        <stp>0</stp>
        <stp>FRN</stp>
        <stp>LME:NDD</stp>
        <stp>한국일자</stp>
        <stp/>
        <stp>DtFmt=1</stp>
        <tr r="H36" s="1"/>
      </tp>
      <tp>
        <v>45121</v>
        <stp/>
        <stp>P</stp>
        <stp>0</stp>
        <stp>FRN</stp>
        <stp>LME:PDD</stp>
        <stp>한국일자</stp>
        <stp/>
        <stp>DtFmt=1</stp>
        <tr r="H42" s="1"/>
      </tp>
      <tp>
        <v>45121</v>
        <stp/>
        <stp>P</stp>
        <stp>0</stp>
        <stp>FRN</stp>
        <stp>LME:ZDD</stp>
        <stp>한국일자</stp>
        <stp/>
        <stp>DtFmt=1</stp>
        <tr r="H53" s="1"/>
      </tp>
      <tp>
        <v>45121</v>
        <stp/>
        <stp>P</stp>
        <stp>0</stp>
        <stp>FRN</stp>
        <stp>LME:ADO</stp>
        <stp>한국일자</stp>
        <stp/>
        <stp>DtFmt=1</stp>
        <tr r="H13" s="1"/>
      </tp>
      <tp>
        <v>45121</v>
        <stp/>
        <stp>P</stp>
        <stp>0</stp>
        <stp>FRN</stp>
        <stp>LME:AAO</stp>
        <stp>한국일자</stp>
        <stp/>
        <stp>DtFmt=1</stp>
        <tr r="H19" s="1"/>
      </tp>
      <tp>
        <v>45121</v>
        <stp/>
        <stp>P</stp>
        <stp>0</stp>
        <stp>FRN</stp>
        <stp>LME:CDO</stp>
        <stp>한국일자</stp>
        <stp/>
        <stp>DtFmt=1</stp>
        <tr r="H27" s="1"/>
      </tp>
      <tp>
        <v>45121</v>
        <stp/>
        <stp>P</stp>
        <stp>0</stp>
        <stp>FRN</stp>
        <stp>LME:NDO</stp>
        <stp>한국일자</stp>
        <stp/>
        <stp>DtFmt=1</stp>
        <tr r="H33" s="1"/>
      </tp>
      <tp>
        <v>45121</v>
        <stp/>
        <stp>P</stp>
        <stp>0</stp>
        <stp>FRN</stp>
        <stp>LME:PDO</stp>
        <stp>한국일자</stp>
        <stp/>
        <stp>DtFmt=1</stp>
        <tr r="H39" s="1"/>
      </tp>
      <tp>
        <v>45121</v>
        <stp/>
        <stp>P</stp>
        <stp>0</stp>
        <stp>FRN</stp>
        <stp>LME:SDO</stp>
        <stp>한국일자</stp>
        <stp/>
        <stp>DtFmt=1</stp>
        <tr r="H45" s="1"/>
      </tp>
      <tp>
        <v>45121</v>
        <stp/>
        <stp>P</stp>
        <stp>0</stp>
        <stp>FRN</stp>
        <stp>LME:ZDO</stp>
        <stp>한국일자</stp>
        <stp/>
        <stp>DtFmt=1</stp>
        <tr r="H50" s="1"/>
      </tp>
      <tp t="s">
        <v>▼</v>
        <stp/>
        <stp>P</stp>
        <stp>0</stp>
        <stp>FRN</stp>
        <stp>LME:AAB</stp>
        <stp>전일대비부호</stp>
        <stp/>
        <stp/>
        <tr r="N20" s="1"/>
      </tp>
      <tp t="s">
        <v xml:space="preserve"> </v>
        <stp/>
        <stp>P</stp>
        <stp>0</stp>
        <stp>FRN</stp>
        <stp>LME:NAB</stp>
        <stp>전일대비부호</stp>
        <stp/>
        <stp/>
        <tr r="N24" s="1"/>
      </tp>
      <tp t="s">
        <v>▼</v>
        <stp/>
        <stp>P</stp>
        <stp>0</stp>
        <stp>FRN</stp>
        <stp>LME:AAC</stp>
        <stp>전일대비부호</stp>
        <stp/>
        <stp/>
        <tr r="N21" s="1"/>
      </tp>
      <tp t="s">
        <v xml:space="preserve"> </v>
        <stp/>
        <stp>P</stp>
        <stp>0</stp>
        <stp>FRN</stp>
        <stp>LME:AAA</stp>
        <stp>전일대비부호</stp>
        <stp/>
        <stp/>
        <tr r="N18" s="1"/>
      </tp>
      <tp t="s">
        <v xml:space="preserve"> </v>
        <stp/>
        <stp>P</stp>
        <stp>0</stp>
        <stp>FRN</stp>
        <stp>LME:NAA</stp>
        <stp>전일대비부호</stp>
        <stp/>
        <stp/>
        <tr r="N23" s="1"/>
      </tp>
      <tp t="s">
        <v>▼</v>
        <stp/>
        <stp>P</stp>
        <stp>0</stp>
        <stp>FRN</stp>
        <stp>LME:AAO</stp>
        <stp>전일대비부호</stp>
        <stp/>
        <stp/>
        <tr r="N19" s="1"/>
      </tp>
      <tp t="s">
        <v>▲</v>
        <stp/>
        <stp>P</stp>
        <stp>0</stp>
        <stp>FRN</stp>
        <stp>LME:AAY</stp>
        <stp>전일대비부호</stp>
        <stp/>
        <stp/>
        <tr r="N17" s="1"/>
      </tp>
      <tp t="s">
        <v>▲</v>
        <stp/>
        <stp>P</stp>
        <stp>0</stp>
        <stp>FRN</stp>
        <stp>LME:NAY</stp>
        <stp>전일대비부호</stp>
        <stp/>
        <stp/>
        <tr r="N22" s="1"/>
      </tp>
      <tp t="s">
        <v>▼</v>
        <stp/>
        <stp>P</stp>
        <stp>0</stp>
        <stp>FRN</stp>
        <stp>LME:PDD</stp>
        <stp>전일대비부호</stp>
        <stp/>
        <stp/>
        <tr r="N42" s="1"/>
      </tp>
      <tp t="s">
        <v>▲</v>
        <stp/>
        <stp>P</stp>
        <stp>0</stp>
        <stp>FRN</stp>
        <stp>LME:ZDD</stp>
        <stp>전일대비부호</stp>
        <stp/>
        <stp/>
        <tr r="N53" s="1"/>
      </tp>
      <tp t="s">
        <v>▲</v>
        <stp/>
        <stp>P</stp>
        <stp>0</stp>
        <stp>FRN</stp>
        <stp>LME:CDD</stp>
        <stp>전일대비부호</stp>
        <stp/>
        <stp/>
        <tr r="N30" s="1"/>
      </tp>
      <tp t="s">
        <v>▼</v>
        <stp/>
        <stp>P</stp>
        <stp>0</stp>
        <stp>FRN</stp>
        <stp>LME:ADD</stp>
        <stp>전일대비부호</stp>
        <stp/>
        <stp/>
        <tr r="N16" s="1"/>
      </tp>
      <tp t="s">
        <v>▼</v>
        <stp/>
        <stp>P</stp>
        <stp>0</stp>
        <stp>FRN</stp>
        <stp>LME:NDD</stp>
        <stp>전일대비부호</stp>
        <stp/>
        <stp/>
        <tr r="N36" s="1"/>
      </tp>
      <tp t="s">
        <v>▼</v>
        <stp/>
        <stp>P</stp>
        <stp>0</stp>
        <stp>FRN</stp>
        <stp>LME:SDB</stp>
        <stp>전일대비부호</stp>
        <stp/>
        <stp/>
        <tr r="N46" s="1"/>
      </tp>
      <tp t="s">
        <v>▲</v>
        <stp/>
        <stp>P</stp>
        <stp>0</stp>
        <stp>FRN</stp>
        <stp>LME:PDB</stp>
        <stp>전일대비부호</stp>
        <stp/>
        <stp/>
        <tr r="N40" s="1"/>
      </tp>
      <tp t="s">
        <v>▲</v>
        <stp/>
        <stp>P</stp>
        <stp>0</stp>
        <stp>FRN</stp>
        <stp>LME:ZDB</stp>
        <stp>전일대비부호</stp>
        <stp/>
        <stp/>
        <tr r="N51" s="1"/>
      </tp>
      <tp t="s">
        <v>▲</v>
        <stp/>
        <stp>P</stp>
        <stp>0</stp>
        <stp>FRN</stp>
        <stp>LME:CDB</stp>
        <stp>전일대비부호</stp>
        <stp/>
        <stp/>
        <tr r="N28" s="1"/>
      </tp>
      <tp t="s">
        <v>▲</v>
        <stp/>
        <stp>P</stp>
        <stp>0</stp>
        <stp>FRN</stp>
        <stp>LME:ADB</stp>
        <stp>전일대비부호</stp>
        <stp/>
        <stp/>
        <tr r="N14" s="1"/>
      </tp>
      <tp t="s">
        <v>▼</v>
        <stp/>
        <stp>P</stp>
        <stp>0</stp>
        <stp>FRN</stp>
        <stp>LME:NDB</stp>
        <stp>전일대비부호</stp>
        <stp/>
        <stp/>
        <tr r="N34" s="1"/>
      </tp>
      <tp t="s">
        <v>▼</v>
        <stp/>
        <stp>P</stp>
        <stp>0</stp>
        <stp>FRN</stp>
        <stp>LME:SDC</stp>
        <stp>전일대비부호</stp>
        <stp/>
        <stp/>
        <tr r="N47" s="1"/>
      </tp>
      <tp t="s">
        <v>▼</v>
        <stp/>
        <stp>P</stp>
        <stp>0</stp>
        <stp>FRN</stp>
        <stp>LME:PDC</stp>
        <stp>전일대비부호</stp>
        <stp/>
        <stp/>
        <tr r="N41" s="1"/>
      </tp>
      <tp t="s">
        <v>▼</v>
        <stp/>
        <stp>P</stp>
        <stp>0</stp>
        <stp>FRN</stp>
        <stp>LME:ZDC</stp>
        <stp>전일대비부호</stp>
        <stp/>
        <stp/>
        <tr r="N52" s="1"/>
      </tp>
      <tp t="s">
        <v>▲</v>
        <stp/>
        <stp>P</stp>
        <stp>0</stp>
        <stp>FRN</stp>
        <stp>LME:CDC</stp>
        <stp>전일대비부호</stp>
        <stp/>
        <stp/>
        <tr r="N29" s="1"/>
      </tp>
      <tp t="s">
        <v>▼</v>
        <stp/>
        <stp>P</stp>
        <stp>0</stp>
        <stp>FRN</stp>
        <stp>LME:ADC</stp>
        <stp>전일대비부호</stp>
        <stp/>
        <stp/>
        <tr r="N15" s="1"/>
      </tp>
      <tp t="s">
        <v>▼</v>
        <stp/>
        <stp>P</stp>
        <stp>0</stp>
        <stp>FRN</stp>
        <stp>LME:NDC</stp>
        <stp>전일대비부호</stp>
        <stp/>
        <stp/>
        <tr r="N35" s="1"/>
      </tp>
      <tp t="s">
        <v>▼</v>
        <stp/>
        <stp>P</stp>
        <stp>0</stp>
        <stp>FRN</stp>
        <stp>LME:SDA</stp>
        <stp>전일대비부호</stp>
        <stp/>
        <stp/>
        <tr r="N44" s="1"/>
      </tp>
      <tp t="s">
        <v>▲</v>
        <stp/>
        <stp>P</stp>
        <stp>0</stp>
        <stp>FRN</stp>
        <stp>LME:PDA</stp>
        <stp>전일대비부호</stp>
        <stp/>
        <stp/>
        <tr r="N38" s="1"/>
      </tp>
      <tp t="s">
        <v>▲</v>
        <stp/>
        <stp>P</stp>
        <stp>0</stp>
        <stp>FRN</stp>
        <stp>LME:ZDA</stp>
        <stp>전일대비부호</stp>
        <stp/>
        <stp/>
        <tr r="N49" s="1"/>
      </tp>
      <tp t="s">
        <v>▲</v>
        <stp/>
        <stp>P</stp>
        <stp>0</stp>
        <stp>FRN</stp>
        <stp>LME:CDA</stp>
        <stp>전일대비부호</stp>
        <stp/>
        <stp/>
        <tr r="N26" s="1"/>
      </tp>
      <tp t="s">
        <v>▲</v>
        <stp/>
        <stp>P</stp>
        <stp>0</stp>
        <stp>FRN</stp>
        <stp>LME:ADA</stp>
        <stp>전일대비부호</stp>
        <stp/>
        <stp/>
        <tr r="N12" s="1"/>
      </tp>
      <tp t="s">
        <v>▼</v>
        <stp/>
        <stp>P</stp>
        <stp>0</stp>
        <stp>FRN</stp>
        <stp>LME:NDA</stp>
        <stp>전일대비부호</stp>
        <stp/>
        <stp/>
        <tr r="N32" s="1"/>
      </tp>
      <tp t="s">
        <v>▲</v>
        <stp/>
        <stp>P</stp>
        <stp>0</stp>
        <stp>FRN</stp>
        <stp>LME:SDO</stp>
        <stp>전일대비부호</stp>
        <stp/>
        <stp/>
        <tr r="N45" s="1"/>
      </tp>
      <tp t="s">
        <v>▲</v>
        <stp/>
        <stp>P</stp>
        <stp>0</stp>
        <stp>FRN</stp>
        <stp>LME:PDO</stp>
        <stp>전일대비부호</stp>
        <stp/>
        <stp/>
        <tr r="N39" s="1"/>
      </tp>
      <tp t="s">
        <v>▲</v>
        <stp/>
        <stp>P</stp>
        <stp>0</stp>
        <stp>FRN</stp>
        <stp>LME:ZDO</stp>
        <stp>전일대비부호</stp>
        <stp/>
        <stp/>
        <tr r="N50" s="1"/>
      </tp>
      <tp t="s">
        <v>▲</v>
        <stp/>
        <stp>P</stp>
        <stp>0</stp>
        <stp>FRN</stp>
        <stp>LME:CDO</stp>
        <stp>전일대비부호</stp>
        <stp/>
        <stp/>
        <tr r="N27" s="1"/>
      </tp>
      <tp t="s">
        <v>▲</v>
        <stp/>
        <stp>P</stp>
        <stp>0</stp>
        <stp>FRN</stp>
        <stp>LME:ADO</stp>
        <stp>전일대비부호</stp>
        <stp/>
        <stp/>
        <tr r="N13" s="1"/>
      </tp>
      <tp t="s">
        <v>▲</v>
        <stp/>
        <stp>P</stp>
        <stp>0</stp>
        <stp>FRN</stp>
        <stp>LME:NDO</stp>
        <stp>전일대비부호</stp>
        <stp/>
        <stp/>
        <tr r="N33" s="1"/>
      </tp>
      <tp t="s">
        <v>▼</v>
        <stp/>
        <stp>P</stp>
        <stp>0</stp>
        <stp>FRN</stp>
        <stp>LME:SDY</stp>
        <stp>전일대비부호</stp>
        <stp/>
        <stp/>
        <tr r="N43" s="1"/>
      </tp>
      <tp t="s">
        <v>▲</v>
        <stp/>
        <stp>P</stp>
        <stp>0</stp>
        <stp>FRN</stp>
        <stp>LME:PDY</stp>
        <stp>전일대비부호</stp>
        <stp/>
        <stp/>
        <tr r="N37" s="1"/>
      </tp>
      <tp t="s">
        <v>▲</v>
        <stp/>
        <stp>P</stp>
        <stp>0</stp>
        <stp>FRN</stp>
        <stp>LME:ZDY</stp>
        <stp>전일대비부호</stp>
        <stp/>
        <stp/>
        <tr r="N48" s="1"/>
      </tp>
      <tp t="s">
        <v>▲</v>
        <stp/>
        <stp>P</stp>
        <stp>0</stp>
        <stp>FRN</stp>
        <stp>LME:CDY</stp>
        <stp>전일대비부호</stp>
        <stp/>
        <stp/>
        <tr r="N25" s="1"/>
      </tp>
      <tp t="s">
        <v>▲</v>
        <stp/>
        <stp>P</stp>
        <stp>0</stp>
        <stp>FRN</stp>
        <stp>LME:ADY</stp>
        <stp>전일대비부호</stp>
        <stp/>
        <stp/>
        <tr r="N11" s="1"/>
      </tp>
      <tp t="s">
        <v>▼</v>
        <stp/>
        <stp>P</stp>
        <stp>0</stp>
        <stp>FRN</stp>
        <stp>LME:NDY</stp>
        <stp>전일대비부호</stp>
        <stp/>
        <stp/>
        <tr r="N31" s="1"/>
      </tp>
      <tp>
        <v>-50</v>
        <stp/>
        <stp>P</stp>
        <stp>0</stp>
        <stp>FRN</stp>
        <stp>LME:AAB</stp>
        <stp>전일대비</stp>
        <stp/>
        <stp/>
        <tr r="O20" s="1"/>
      </tp>
      <tp>
        <v>-336</v>
        <stp/>
        <stp>P</stp>
        <stp>0</stp>
        <stp>FRN</stp>
        <stp>LME:AAC</stp>
        <stp>전일대비</stp>
        <stp/>
        <stp/>
        <tr r="O21" s="1"/>
      </tp>
      <tp>
        <v>0</v>
        <stp/>
        <stp>P</stp>
        <stp>0</stp>
        <stp>FRN</stp>
        <stp>LME:AAA</stp>
        <stp>전일대비</stp>
        <stp/>
        <stp/>
        <tr r="O18" s="1"/>
      </tp>
      <tp>
        <v>-50</v>
        <stp/>
        <stp>P</stp>
        <stp>0</stp>
        <stp>FRN</stp>
        <stp>LME:AAO</stp>
        <stp>전일대비</stp>
        <stp/>
        <stp/>
        <tr r="O19" s="1"/>
      </tp>
      <tp>
        <v>1.75</v>
        <stp/>
        <stp>P</stp>
        <stp>0</stp>
        <stp>FRN</stp>
        <stp>LME:AAY</stp>
        <stp>전일대비</stp>
        <stp/>
        <stp/>
        <tr r="O17" s="1"/>
      </tp>
      <tp>
        <v>-51.5</v>
        <stp/>
        <stp>P</stp>
        <stp>0</stp>
        <stp>FRN</stp>
        <stp>LME:ADD</stp>
        <stp>전일대비</stp>
        <stp/>
        <stp/>
        <tr r="O16" s="1"/>
      </tp>
      <tp>
        <v>47</v>
        <stp/>
        <stp>P</stp>
        <stp>0</stp>
        <stp>FRN</stp>
        <stp>LME:ADB</stp>
        <stp>전일대비</stp>
        <stp/>
        <stp/>
        <tr r="O14" s="1"/>
      </tp>
      <tp>
        <v>-2.75</v>
        <stp/>
        <stp>P</stp>
        <stp>0</stp>
        <stp>FRN</stp>
        <stp>LME:ADC</stp>
        <stp>전일대비</stp>
        <stp/>
        <stp/>
        <tr r="O15" s="1"/>
      </tp>
      <tp>
        <v>42</v>
        <stp/>
        <stp>P</stp>
        <stp>0</stp>
        <stp>FRN</stp>
        <stp>LME:ADA</stp>
        <stp>전일대비</stp>
        <stp/>
        <stp/>
        <tr r="O12" s="1"/>
      </tp>
      <tp>
        <v>93</v>
        <stp/>
        <stp>P</stp>
        <stp>0</stp>
        <stp>FRN</stp>
        <stp>LME:ADO</stp>
        <stp>전일대비</stp>
        <stp/>
        <stp/>
        <tr r="O13" s="1"/>
      </tp>
      <tp>
        <v>42.25</v>
        <stp/>
        <stp>P</stp>
        <stp>0</stp>
        <stp>FRN</stp>
        <stp>LME:ADY</stp>
        <stp>전일대비</stp>
        <stp/>
        <stp/>
        <tr r="O11" s="1"/>
      </tp>
      <tp>
        <v>260</v>
        <stp/>
        <stp>P</stp>
        <stp>0</stp>
        <stp>FRN</stp>
        <stp>LME:CDD</stp>
        <stp>전일대비</stp>
        <stp/>
        <stp/>
        <tr r="O30" s="1"/>
      </tp>
      <tp>
        <v>186.5</v>
        <stp/>
        <stp>P</stp>
        <stp>0</stp>
        <stp>FRN</stp>
        <stp>LME:CDB</stp>
        <stp>전일대비</stp>
        <stp/>
        <stp/>
        <tr r="O28" s="1"/>
      </tp>
      <tp>
        <v>365.5</v>
        <stp/>
        <stp>P</stp>
        <stp>0</stp>
        <stp>FRN</stp>
        <stp>LME:CDC</stp>
        <stp>전일대비</stp>
        <stp/>
        <stp/>
        <tr r="O29" s="1"/>
      </tp>
      <tp>
        <v>194.5</v>
        <stp/>
        <stp>P</stp>
        <stp>0</stp>
        <stp>FRN</stp>
        <stp>LME:CDA</stp>
        <stp>전일대비</stp>
        <stp/>
        <stp/>
        <tr r="O26" s="1"/>
      </tp>
      <tp>
        <v>203</v>
        <stp/>
        <stp>P</stp>
        <stp>0</stp>
        <stp>FRN</stp>
        <stp>LME:CDO</stp>
        <stp>전일대비</stp>
        <stp/>
        <stp/>
        <tr r="O27" s="1"/>
      </tp>
      <tp>
        <v>198.25</v>
        <stp/>
        <stp>P</stp>
        <stp>0</stp>
        <stp>FRN</stp>
        <stp>LME:CDY</stp>
        <stp>전일대비</stp>
        <stp/>
        <stp/>
        <tr r="O25" s="1"/>
      </tp>
      <tp>
        <v>0</v>
        <stp/>
        <stp>P</stp>
        <stp>0</stp>
        <stp>FRN</stp>
        <stp>LME:NAB</stp>
        <stp>전일대비</stp>
        <stp/>
        <stp/>
        <tr r="O24" s="1"/>
      </tp>
      <tp>
        <v>0</v>
        <stp/>
        <stp>P</stp>
        <stp>0</stp>
        <stp>FRN</stp>
        <stp>LME:NAA</stp>
        <stp>전일대비</stp>
        <stp/>
        <stp/>
        <tr r="O23" s="1"/>
      </tp>
      <tp>
        <v>0.25</v>
        <stp/>
        <stp>P</stp>
        <stp>0</stp>
        <stp>FRN</stp>
        <stp>LME:NAY</stp>
        <stp>전일대비</stp>
        <stp/>
        <stp/>
        <tr r="O22" s="1"/>
      </tp>
      <tp>
        <v>-113</v>
        <stp/>
        <stp>P</stp>
        <stp>0</stp>
        <stp>FRN</stp>
        <stp>LME:NDD</stp>
        <stp>전일대비</stp>
        <stp/>
        <stp/>
        <tr r="O36" s="1"/>
      </tp>
      <tp>
        <v>-95</v>
        <stp/>
        <stp>P</stp>
        <stp>0</stp>
        <stp>FRN</stp>
        <stp>LME:NDB</stp>
        <stp>전일대비</stp>
        <stp/>
        <stp/>
        <tr r="O34" s="1"/>
      </tp>
      <tp>
        <v>-580</v>
        <stp/>
        <stp>P</stp>
        <stp>0</stp>
        <stp>FRN</stp>
        <stp>LME:NDC</stp>
        <stp>전일대비</stp>
        <stp/>
        <stp/>
        <tr r="O35" s="1"/>
      </tp>
      <tp>
        <v>-391</v>
        <stp/>
        <stp>P</stp>
        <stp>0</stp>
        <stp>FRN</stp>
        <stp>LME:NDA</stp>
        <stp>전일대비</stp>
        <stp/>
        <stp/>
        <tr r="O32" s="1"/>
      </tp>
      <tp>
        <v>220</v>
        <stp/>
        <stp>P</stp>
        <stp>0</stp>
        <stp>FRN</stp>
        <stp>LME:NDO</stp>
        <stp>전일대비</stp>
        <stp/>
        <stp/>
        <tr r="O33" s="1"/>
      </tp>
      <tp>
        <v>-382.5</v>
        <stp/>
        <stp>P</stp>
        <stp>0</stp>
        <stp>FRN</stp>
        <stp>LME:NDY</stp>
        <stp>전일대비</stp>
        <stp/>
        <stp/>
        <tr r="O31" s="1"/>
      </tp>
      <tp>
        <v>-24.75</v>
        <stp/>
        <stp>P</stp>
        <stp>0</stp>
        <stp>FRN</stp>
        <stp>LME:PDD</stp>
        <stp>전일대비</stp>
        <stp/>
        <stp/>
        <tr r="O42" s="1"/>
      </tp>
      <tp>
        <v>31.5</v>
        <stp/>
        <stp>P</stp>
        <stp>0</stp>
        <stp>FRN</stp>
        <stp>LME:PDB</stp>
        <stp>전일대비</stp>
        <stp/>
        <stp/>
        <tr r="O40" s="1"/>
      </tp>
      <tp>
        <v>-23.75</v>
        <stp/>
        <stp>P</stp>
        <stp>0</stp>
        <stp>FRN</stp>
        <stp>LME:PDC</stp>
        <stp>전일대비</stp>
        <stp/>
        <stp/>
        <tr r="O41" s="1"/>
      </tp>
      <tp>
        <v>41.5</v>
        <stp/>
        <stp>P</stp>
        <stp>0</stp>
        <stp>FRN</stp>
        <stp>LME:PDA</stp>
        <stp>전일대비</stp>
        <stp/>
        <stp/>
        <tr r="O38" s="1"/>
      </tp>
      <tp>
        <v>40</v>
        <stp/>
        <stp>P</stp>
        <stp>0</stp>
        <stp>FRN</stp>
        <stp>LME:PDO</stp>
        <stp>전일대비</stp>
        <stp/>
        <stp/>
        <tr r="O39" s="1"/>
      </tp>
      <tp>
        <v>35.24</v>
        <stp/>
        <stp>P</stp>
        <stp>0</stp>
        <stp>FRN</stp>
        <stp>LME:PDY</stp>
        <stp>전일대비</stp>
        <stp/>
        <stp/>
        <tr r="O37" s="1"/>
      </tp>
      <tp>
        <v>-340</v>
        <stp/>
        <stp>P</stp>
        <stp>0</stp>
        <stp>FRN</stp>
        <stp>LME:SDB</stp>
        <stp>전일대비</stp>
        <stp/>
        <stp/>
        <tr r="O46" s="1"/>
      </tp>
      <tp>
        <v>-271</v>
        <stp/>
        <stp>P</stp>
        <stp>0</stp>
        <stp>FRN</stp>
        <stp>LME:SDC</stp>
        <stp>전일대비</stp>
        <stp/>
        <stp/>
        <tr r="O47" s="1"/>
      </tp>
      <tp>
        <v>-260</v>
        <stp/>
        <stp>P</stp>
        <stp>0</stp>
        <stp>FRN</stp>
        <stp>LME:SDA</stp>
        <stp>전일대비</stp>
        <stp/>
        <stp/>
        <tr r="O44" s="1"/>
      </tp>
      <tp>
        <v>995</v>
        <stp/>
        <stp>P</stp>
        <stp>0</stp>
        <stp>FRN</stp>
        <stp>LME:SDO</stp>
        <stp>전일대비</stp>
        <stp/>
        <stp/>
        <tr r="O45" s="1"/>
      </tp>
      <tp>
        <v>-275</v>
        <stp/>
        <stp>P</stp>
        <stp>0</stp>
        <stp>FRN</stp>
        <stp>LME:SDY</stp>
        <stp>전일대비</stp>
        <stp/>
        <stp/>
        <tr r="O43" s="1"/>
      </tp>
      <tp>
        <v>349.5</v>
        <stp/>
        <stp>P</stp>
        <stp>0</stp>
        <stp>FRN</stp>
        <stp>LME:ZDD</stp>
        <stp>전일대비</stp>
        <stp/>
        <stp/>
        <tr r="O53" s="1"/>
      </tp>
      <tp>
        <v>39</v>
        <stp/>
        <stp>P</stp>
        <stp>0</stp>
        <stp>FRN</stp>
        <stp>LME:ZDB</stp>
        <stp>전일대비</stp>
        <stp/>
        <stp/>
        <tr r="O51" s="1"/>
      </tp>
      <tp>
        <v>-66.75</v>
        <stp/>
        <stp>P</stp>
        <stp>0</stp>
        <stp>FRN</stp>
        <stp>LME:ZDC</stp>
        <stp>전일대비</stp>
        <stp/>
        <stp/>
        <tr r="O52" s="1"/>
      </tp>
      <tp>
        <v>53.5</v>
        <stp/>
        <stp>P</stp>
        <stp>0</stp>
        <stp>FRN</stp>
        <stp>LME:ZDA</stp>
        <stp>전일대비</stp>
        <stp/>
        <stp/>
        <tr r="O49" s="1"/>
      </tp>
      <tp>
        <v>106.5</v>
        <stp/>
        <stp>P</stp>
        <stp>0</stp>
        <stp>FRN</stp>
        <stp>LME:ZDO</stp>
        <stp>전일대비</stp>
        <stp/>
        <stp/>
        <tr r="O50" s="1"/>
      </tp>
      <tp>
        <v>49.25</v>
        <stp/>
        <stp>P</stp>
        <stp>0</stp>
        <stp>FRN</stp>
        <stp>LME:ZDY</stp>
        <stp>전일대비</stp>
        <stp/>
        <stp/>
        <tr r="O4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LME Price History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'LME Price'!$F$64</c:f>
              <c:strCache>
                <c:ptCount val="1"/>
                <c:pt idx="0">
                  <c:v>Aluminium</c:v>
                </c:pt>
              </c:strCache>
            </c:strRef>
          </c:tx>
          <c:spPr>
            <a:ln w="28575" cap="rnd">
              <a:solidFill>
                <a:srgbClr val="FF01A2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Price'!$F$66:$F$431</c:f>
              <c:numCache>
                <c:formatCode>General</c:formatCode>
                <c:ptCount val="366"/>
                <c:pt idx="1">
                  <c:v>2237.25</c:v>
                </c:pt>
                <c:pt idx="2">
                  <c:v>2195</c:v>
                </c:pt>
                <c:pt idx="3">
                  <c:v>2123.4699999999998</c:v>
                </c:pt>
                <c:pt idx="4">
                  <c:v>2098.09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2084.0500000000002</c:v>
                </c:pt>
                <c:pt idx="9">
                  <c:v>2097.25</c:v>
                </c:pt>
                <c:pt idx="10">
                  <c:v>2123.2399999999998</c:v>
                </c:pt>
                <c:pt idx="11">
                  <c:v>2112.5</c:v>
                </c:pt>
                <c:pt idx="12">
                  <c:v>2110.5</c:v>
                </c:pt>
                <c:pt idx="13">
                  <c:v>2110.5</c:v>
                </c:pt>
                <c:pt idx="14">
                  <c:v>2110.5</c:v>
                </c:pt>
                <c:pt idx="15">
                  <c:v>2119.59</c:v>
                </c:pt>
                <c:pt idx="16">
                  <c:v>2132.1999999999998</c:v>
                </c:pt>
                <c:pt idx="17">
                  <c:v>2157.5</c:v>
                </c:pt>
                <c:pt idx="18">
                  <c:v>2110.5</c:v>
                </c:pt>
                <c:pt idx="19">
                  <c:v>2135.4</c:v>
                </c:pt>
                <c:pt idx="20">
                  <c:v>2135.4</c:v>
                </c:pt>
                <c:pt idx="21">
                  <c:v>2135.4</c:v>
                </c:pt>
                <c:pt idx="22">
                  <c:v>2160.25</c:v>
                </c:pt>
                <c:pt idx="23">
                  <c:v>2181.75</c:v>
                </c:pt>
                <c:pt idx="24">
                  <c:v>2187.25</c:v>
                </c:pt>
                <c:pt idx="25">
                  <c:v>2196.75</c:v>
                </c:pt>
                <c:pt idx="26">
                  <c:v>2230.6999999999998</c:v>
                </c:pt>
                <c:pt idx="27">
                  <c:v>2230.6999999999998</c:v>
                </c:pt>
                <c:pt idx="28">
                  <c:v>2230.6999999999998</c:v>
                </c:pt>
                <c:pt idx="29">
                  <c:v>2212.75</c:v>
                </c:pt>
                <c:pt idx="30">
                  <c:v>2214.25</c:v>
                </c:pt>
                <c:pt idx="31">
                  <c:v>2194.25</c:v>
                </c:pt>
                <c:pt idx="32">
                  <c:v>2186.29</c:v>
                </c:pt>
                <c:pt idx="33">
                  <c:v>2229.0100000000002</c:v>
                </c:pt>
                <c:pt idx="34">
                  <c:v>2229.0100000000002</c:v>
                </c:pt>
                <c:pt idx="35">
                  <c:v>2229.0100000000002</c:v>
                </c:pt>
                <c:pt idx="36">
                  <c:v>2215.5</c:v>
                </c:pt>
                <c:pt idx="37">
                  <c:v>2174.25</c:v>
                </c:pt>
                <c:pt idx="38">
                  <c:v>2165.4299999999998</c:v>
                </c:pt>
                <c:pt idx="39">
                  <c:v>2202</c:v>
                </c:pt>
                <c:pt idx="40">
                  <c:v>2234.21</c:v>
                </c:pt>
                <c:pt idx="41">
                  <c:v>2234.21</c:v>
                </c:pt>
                <c:pt idx="42">
                  <c:v>2234.21</c:v>
                </c:pt>
                <c:pt idx="43">
                  <c:v>2314.25</c:v>
                </c:pt>
                <c:pt idx="44">
                  <c:v>2286.5</c:v>
                </c:pt>
                <c:pt idx="45">
                  <c:v>2251.5100000000002</c:v>
                </c:pt>
                <c:pt idx="46">
                  <c:v>2245.5</c:v>
                </c:pt>
                <c:pt idx="47">
                  <c:v>2245.5</c:v>
                </c:pt>
                <c:pt idx="48">
                  <c:v>2245.5</c:v>
                </c:pt>
                <c:pt idx="49">
                  <c:v>2245.5</c:v>
                </c:pt>
                <c:pt idx="50">
                  <c:v>2244.75</c:v>
                </c:pt>
                <c:pt idx="51">
                  <c:v>2211.1799999999998</c:v>
                </c:pt>
                <c:pt idx="52">
                  <c:v>2202.6</c:v>
                </c:pt>
                <c:pt idx="53">
                  <c:v>2253.25</c:v>
                </c:pt>
                <c:pt idx="54">
                  <c:v>2290</c:v>
                </c:pt>
                <c:pt idx="55">
                  <c:v>2290</c:v>
                </c:pt>
                <c:pt idx="56">
                  <c:v>2290</c:v>
                </c:pt>
                <c:pt idx="57">
                  <c:v>2291.75</c:v>
                </c:pt>
                <c:pt idx="58">
                  <c:v>2308.5500000000002</c:v>
                </c:pt>
                <c:pt idx="59">
                  <c:v>2254.5</c:v>
                </c:pt>
                <c:pt idx="60">
                  <c:v>2263</c:v>
                </c:pt>
                <c:pt idx="61">
                  <c:v>2221.5</c:v>
                </c:pt>
                <c:pt idx="62">
                  <c:v>2221.5</c:v>
                </c:pt>
                <c:pt idx="63">
                  <c:v>2221.5</c:v>
                </c:pt>
                <c:pt idx="64">
                  <c:v>2196.6999999999998</c:v>
                </c:pt>
                <c:pt idx="65">
                  <c:v>2259.75</c:v>
                </c:pt>
                <c:pt idx="66">
                  <c:v>2315.5</c:v>
                </c:pt>
                <c:pt idx="67">
                  <c:v>2316.75</c:v>
                </c:pt>
                <c:pt idx="68">
                  <c:v>2316.75</c:v>
                </c:pt>
                <c:pt idx="69">
                  <c:v>2316.75</c:v>
                </c:pt>
                <c:pt idx="70">
                  <c:v>2316.75</c:v>
                </c:pt>
                <c:pt idx="71">
                  <c:v>2278.25</c:v>
                </c:pt>
                <c:pt idx="72">
                  <c:v>2312.9899999999998</c:v>
                </c:pt>
                <c:pt idx="73">
                  <c:v>2367.5100000000002</c:v>
                </c:pt>
                <c:pt idx="74">
                  <c:v>2368</c:v>
                </c:pt>
                <c:pt idx="75">
                  <c:v>2368</c:v>
                </c:pt>
                <c:pt idx="76">
                  <c:v>2368</c:v>
                </c:pt>
                <c:pt idx="77">
                  <c:v>2368</c:v>
                </c:pt>
                <c:pt idx="78">
                  <c:v>2308.5</c:v>
                </c:pt>
                <c:pt idx="79">
                  <c:v>2313.25</c:v>
                </c:pt>
                <c:pt idx="80">
                  <c:v>2323.4899999999998</c:v>
                </c:pt>
                <c:pt idx="81">
                  <c:v>2360.5</c:v>
                </c:pt>
                <c:pt idx="82">
                  <c:v>2385.5</c:v>
                </c:pt>
                <c:pt idx="83">
                  <c:v>2385.5</c:v>
                </c:pt>
                <c:pt idx="84">
                  <c:v>2385.5</c:v>
                </c:pt>
                <c:pt idx="85">
                  <c:v>2408.5</c:v>
                </c:pt>
                <c:pt idx="86">
                  <c:v>2427.4</c:v>
                </c:pt>
                <c:pt idx="87">
                  <c:v>2421</c:v>
                </c:pt>
                <c:pt idx="88">
                  <c:v>2366.75</c:v>
                </c:pt>
                <c:pt idx="89">
                  <c:v>2360.7600000000002</c:v>
                </c:pt>
                <c:pt idx="90">
                  <c:v>2360.7600000000002</c:v>
                </c:pt>
                <c:pt idx="91">
                  <c:v>2360.7600000000002</c:v>
                </c:pt>
                <c:pt idx="92">
                  <c:v>2331.5</c:v>
                </c:pt>
                <c:pt idx="93">
                  <c:v>2285.9499999999998</c:v>
                </c:pt>
                <c:pt idx="94">
                  <c:v>2257.75</c:v>
                </c:pt>
                <c:pt idx="95">
                  <c:v>2292.25</c:v>
                </c:pt>
                <c:pt idx="96">
                  <c:v>2292.25</c:v>
                </c:pt>
                <c:pt idx="97">
                  <c:v>2292.25</c:v>
                </c:pt>
                <c:pt idx="98">
                  <c:v>2292.25</c:v>
                </c:pt>
                <c:pt idx="99">
                  <c:v>2292.25</c:v>
                </c:pt>
                <c:pt idx="100">
                  <c:v>2290.75</c:v>
                </c:pt>
                <c:pt idx="101">
                  <c:v>2323.27</c:v>
                </c:pt>
                <c:pt idx="102">
                  <c:v>2353</c:v>
                </c:pt>
                <c:pt idx="103">
                  <c:v>2376.75</c:v>
                </c:pt>
                <c:pt idx="104">
                  <c:v>2376.75</c:v>
                </c:pt>
                <c:pt idx="105">
                  <c:v>2376.75</c:v>
                </c:pt>
                <c:pt idx="106">
                  <c:v>2344.25</c:v>
                </c:pt>
                <c:pt idx="107">
                  <c:v>2337.5</c:v>
                </c:pt>
                <c:pt idx="108">
                  <c:v>2345.5</c:v>
                </c:pt>
                <c:pt idx="109">
                  <c:v>2320.25</c:v>
                </c:pt>
                <c:pt idx="110">
                  <c:v>2296.81</c:v>
                </c:pt>
                <c:pt idx="111">
                  <c:v>2296.81</c:v>
                </c:pt>
                <c:pt idx="112">
                  <c:v>2296.81</c:v>
                </c:pt>
                <c:pt idx="113">
                  <c:v>2278.75</c:v>
                </c:pt>
                <c:pt idx="114">
                  <c:v>2236.5</c:v>
                </c:pt>
                <c:pt idx="115">
                  <c:v>2217.5</c:v>
                </c:pt>
                <c:pt idx="116">
                  <c:v>2225.17</c:v>
                </c:pt>
                <c:pt idx="117">
                  <c:v>2226.5</c:v>
                </c:pt>
                <c:pt idx="118">
                  <c:v>2226.5</c:v>
                </c:pt>
                <c:pt idx="119">
                  <c:v>2226.5</c:v>
                </c:pt>
                <c:pt idx="120">
                  <c:v>2216.5</c:v>
                </c:pt>
                <c:pt idx="121">
                  <c:v>2224.25</c:v>
                </c:pt>
                <c:pt idx="122">
                  <c:v>2302</c:v>
                </c:pt>
                <c:pt idx="123">
                  <c:v>2283</c:v>
                </c:pt>
                <c:pt idx="124">
                  <c:v>2263.25</c:v>
                </c:pt>
                <c:pt idx="125">
                  <c:v>2263.25</c:v>
                </c:pt>
                <c:pt idx="126">
                  <c:v>2263.25</c:v>
                </c:pt>
                <c:pt idx="127">
                  <c:v>2281.4</c:v>
                </c:pt>
                <c:pt idx="128">
                  <c:v>2305.69</c:v>
                </c:pt>
                <c:pt idx="129">
                  <c:v>2300.75</c:v>
                </c:pt>
                <c:pt idx="130">
                  <c:v>2334</c:v>
                </c:pt>
                <c:pt idx="131">
                  <c:v>2361</c:v>
                </c:pt>
                <c:pt idx="132">
                  <c:v>2361</c:v>
                </c:pt>
                <c:pt idx="133">
                  <c:v>2361</c:v>
                </c:pt>
                <c:pt idx="134">
                  <c:v>2355.25</c:v>
                </c:pt>
                <c:pt idx="135">
                  <c:v>2385.02</c:v>
                </c:pt>
                <c:pt idx="136">
                  <c:v>2327.63</c:v>
                </c:pt>
                <c:pt idx="137">
                  <c:v>2316.25</c:v>
                </c:pt>
                <c:pt idx="138">
                  <c:v>2285.0100000000002</c:v>
                </c:pt>
                <c:pt idx="139">
                  <c:v>2285.0100000000002</c:v>
                </c:pt>
                <c:pt idx="140">
                  <c:v>2285.0100000000002</c:v>
                </c:pt>
                <c:pt idx="141">
                  <c:v>2352.75</c:v>
                </c:pt>
                <c:pt idx="142">
                  <c:v>2375.5</c:v>
                </c:pt>
                <c:pt idx="143">
                  <c:v>2426.23</c:v>
                </c:pt>
                <c:pt idx="144">
                  <c:v>2419.5</c:v>
                </c:pt>
                <c:pt idx="145">
                  <c:v>2346.5</c:v>
                </c:pt>
                <c:pt idx="146">
                  <c:v>2346.5</c:v>
                </c:pt>
                <c:pt idx="147">
                  <c:v>2346.5</c:v>
                </c:pt>
                <c:pt idx="148">
                  <c:v>2354.25</c:v>
                </c:pt>
                <c:pt idx="149">
                  <c:v>2348</c:v>
                </c:pt>
                <c:pt idx="150">
                  <c:v>2384.75</c:v>
                </c:pt>
                <c:pt idx="151">
                  <c:v>2378.75</c:v>
                </c:pt>
                <c:pt idx="152">
                  <c:v>2404.7399999999998</c:v>
                </c:pt>
                <c:pt idx="153">
                  <c:v>2404.7399999999998</c:v>
                </c:pt>
                <c:pt idx="154">
                  <c:v>2404.7399999999998</c:v>
                </c:pt>
                <c:pt idx="155">
                  <c:v>2462.85</c:v>
                </c:pt>
                <c:pt idx="156">
                  <c:v>2442.15</c:v>
                </c:pt>
                <c:pt idx="157">
                  <c:v>2486</c:v>
                </c:pt>
                <c:pt idx="158">
                  <c:v>2498.0100000000002</c:v>
                </c:pt>
                <c:pt idx="159">
                  <c:v>2534.5</c:v>
                </c:pt>
                <c:pt idx="160">
                  <c:v>2534.5</c:v>
                </c:pt>
                <c:pt idx="161">
                  <c:v>2534.5</c:v>
                </c:pt>
                <c:pt idx="162">
                  <c:v>2583.0100000000002</c:v>
                </c:pt>
                <c:pt idx="163">
                  <c:v>2597.25</c:v>
                </c:pt>
                <c:pt idx="164">
                  <c:v>2613</c:v>
                </c:pt>
                <c:pt idx="165">
                  <c:v>2553</c:v>
                </c:pt>
                <c:pt idx="166">
                  <c:v>2591.5</c:v>
                </c:pt>
                <c:pt idx="167">
                  <c:v>2591.5</c:v>
                </c:pt>
                <c:pt idx="168">
                  <c:v>2591.5</c:v>
                </c:pt>
                <c:pt idx="169">
                  <c:v>2601.75</c:v>
                </c:pt>
                <c:pt idx="170">
                  <c:v>2624.25</c:v>
                </c:pt>
                <c:pt idx="171">
                  <c:v>2619.75</c:v>
                </c:pt>
                <c:pt idx="172">
                  <c:v>2605.3000000000002</c:v>
                </c:pt>
                <c:pt idx="173">
                  <c:v>2582.25</c:v>
                </c:pt>
                <c:pt idx="174">
                  <c:v>2582.25</c:v>
                </c:pt>
                <c:pt idx="175">
                  <c:v>2582.25</c:v>
                </c:pt>
                <c:pt idx="176">
                  <c:v>2558.25</c:v>
                </c:pt>
                <c:pt idx="177">
                  <c:v>2611.6999999999998</c:v>
                </c:pt>
                <c:pt idx="178">
                  <c:v>2593.75</c:v>
                </c:pt>
                <c:pt idx="179">
                  <c:v>2595.25</c:v>
                </c:pt>
                <c:pt idx="180">
                  <c:v>2566.35</c:v>
                </c:pt>
                <c:pt idx="181">
                  <c:v>2566.35</c:v>
                </c:pt>
                <c:pt idx="182">
                  <c:v>2566.35</c:v>
                </c:pt>
                <c:pt idx="183">
                  <c:v>2516.25</c:v>
                </c:pt>
                <c:pt idx="184">
                  <c:v>2477.75</c:v>
                </c:pt>
                <c:pt idx="185">
                  <c:v>2429</c:v>
                </c:pt>
                <c:pt idx="186">
                  <c:v>2404.75</c:v>
                </c:pt>
                <c:pt idx="187">
                  <c:v>2264.2600000000002</c:v>
                </c:pt>
                <c:pt idx="188">
                  <c:v>2264.2600000000002</c:v>
                </c:pt>
                <c:pt idx="189">
                  <c:v>2264.2600000000002</c:v>
                </c:pt>
                <c:pt idx="190">
                  <c:v>2222.9499999999998</c:v>
                </c:pt>
                <c:pt idx="191">
                  <c:v>2231.75</c:v>
                </c:pt>
                <c:pt idx="192">
                  <c:v>2275.5</c:v>
                </c:pt>
                <c:pt idx="193">
                  <c:v>2349.5100000000002</c:v>
                </c:pt>
                <c:pt idx="194">
                  <c:v>2349.5100000000002</c:v>
                </c:pt>
                <c:pt idx="195">
                  <c:v>2349.5100000000002</c:v>
                </c:pt>
                <c:pt idx="196">
                  <c:v>2349.5100000000002</c:v>
                </c:pt>
                <c:pt idx="197">
                  <c:v>2375.25</c:v>
                </c:pt>
                <c:pt idx="198">
                  <c:v>2350.2600000000002</c:v>
                </c:pt>
                <c:pt idx="199">
                  <c:v>2363.41</c:v>
                </c:pt>
                <c:pt idx="200">
                  <c:v>2363.41</c:v>
                </c:pt>
                <c:pt idx="201">
                  <c:v>2363.41</c:v>
                </c:pt>
                <c:pt idx="202">
                  <c:v>2363.41</c:v>
                </c:pt>
                <c:pt idx="203">
                  <c:v>2363.41</c:v>
                </c:pt>
                <c:pt idx="204">
                  <c:v>2376.75</c:v>
                </c:pt>
                <c:pt idx="205">
                  <c:v>2363.25</c:v>
                </c:pt>
                <c:pt idx="206">
                  <c:v>2339</c:v>
                </c:pt>
                <c:pt idx="207">
                  <c:v>2323.5</c:v>
                </c:pt>
                <c:pt idx="208">
                  <c:v>2337.1</c:v>
                </c:pt>
                <c:pt idx="209">
                  <c:v>2337.1</c:v>
                </c:pt>
                <c:pt idx="210">
                  <c:v>2337.1</c:v>
                </c:pt>
                <c:pt idx="211">
                  <c:v>2344.75</c:v>
                </c:pt>
                <c:pt idx="212">
                  <c:v>2402</c:v>
                </c:pt>
                <c:pt idx="213">
                  <c:v>2419.75</c:v>
                </c:pt>
                <c:pt idx="214">
                  <c:v>2375.9899999999998</c:v>
                </c:pt>
                <c:pt idx="215">
                  <c:v>2447.25</c:v>
                </c:pt>
                <c:pt idx="216">
                  <c:v>2447.25</c:v>
                </c:pt>
                <c:pt idx="217">
                  <c:v>2447.25</c:v>
                </c:pt>
                <c:pt idx="218">
                  <c:v>2470.2600000000002</c:v>
                </c:pt>
                <c:pt idx="219">
                  <c:v>2452.5</c:v>
                </c:pt>
                <c:pt idx="220">
                  <c:v>2477.2600000000002</c:v>
                </c:pt>
                <c:pt idx="221">
                  <c:v>2491.5</c:v>
                </c:pt>
                <c:pt idx="222">
                  <c:v>2517.4499999999998</c:v>
                </c:pt>
                <c:pt idx="223">
                  <c:v>2517.4499999999998</c:v>
                </c:pt>
                <c:pt idx="224">
                  <c:v>2517.4499999999998</c:v>
                </c:pt>
                <c:pt idx="225">
                  <c:v>2456.9899999999998</c:v>
                </c:pt>
                <c:pt idx="226">
                  <c:v>2447.5</c:v>
                </c:pt>
                <c:pt idx="227">
                  <c:v>2344.9899999999998</c:v>
                </c:pt>
                <c:pt idx="228">
                  <c:v>2327.7600000000002</c:v>
                </c:pt>
                <c:pt idx="229">
                  <c:v>2329.5500000000002</c:v>
                </c:pt>
                <c:pt idx="230">
                  <c:v>2329.5500000000002</c:v>
                </c:pt>
                <c:pt idx="231">
                  <c:v>2329.5500000000002</c:v>
                </c:pt>
                <c:pt idx="232">
                  <c:v>2337.7600000000002</c:v>
                </c:pt>
                <c:pt idx="233">
                  <c:v>2369.4</c:v>
                </c:pt>
                <c:pt idx="234">
                  <c:v>2406.0300000000002</c:v>
                </c:pt>
                <c:pt idx="235">
                  <c:v>2355.5500000000002</c:v>
                </c:pt>
                <c:pt idx="236">
                  <c:v>2405.5100000000002</c:v>
                </c:pt>
                <c:pt idx="237">
                  <c:v>2405.5100000000002</c:v>
                </c:pt>
                <c:pt idx="238">
                  <c:v>2405.5100000000002</c:v>
                </c:pt>
                <c:pt idx="239">
                  <c:v>2365</c:v>
                </c:pt>
                <c:pt idx="240">
                  <c:v>2387</c:v>
                </c:pt>
                <c:pt idx="241">
                  <c:v>2407.25</c:v>
                </c:pt>
                <c:pt idx="242">
                  <c:v>2427.5</c:v>
                </c:pt>
                <c:pt idx="243">
                  <c:v>2445.75</c:v>
                </c:pt>
                <c:pt idx="244">
                  <c:v>2445.75</c:v>
                </c:pt>
                <c:pt idx="245">
                  <c:v>2445.75</c:v>
                </c:pt>
                <c:pt idx="246">
                  <c:v>2309.75</c:v>
                </c:pt>
                <c:pt idx="247">
                  <c:v>2303.89</c:v>
                </c:pt>
                <c:pt idx="248">
                  <c:v>2356.56</c:v>
                </c:pt>
                <c:pt idx="249">
                  <c:v>2322.59</c:v>
                </c:pt>
                <c:pt idx="250">
                  <c:v>2344.5</c:v>
                </c:pt>
                <c:pt idx="251">
                  <c:v>2344.5</c:v>
                </c:pt>
                <c:pt idx="252">
                  <c:v>2344.5</c:v>
                </c:pt>
                <c:pt idx="253">
                  <c:v>2251</c:v>
                </c:pt>
                <c:pt idx="254">
                  <c:v>2238.4499999999998</c:v>
                </c:pt>
                <c:pt idx="255">
                  <c:v>2232.5</c:v>
                </c:pt>
                <c:pt idx="256">
                  <c:v>2216.75</c:v>
                </c:pt>
                <c:pt idx="257">
                  <c:v>2200.7399999999998</c:v>
                </c:pt>
                <c:pt idx="258">
                  <c:v>2200.7399999999998</c:v>
                </c:pt>
                <c:pt idx="259">
                  <c:v>2200.7399999999998</c:v>
                </c:pt>
                <c:pt idx="260">
                  <c:v>2279.02</c:v>
                </c:pt>
                <c:pt idx="261">
                  <c:v>2331</c:v>
                </c:pt>
                <c:pt idx="262">
                  <c:v>2212.3000000000002</c:v>
                </c:pt>
                <c:pt idx="263">
                  <c:v>2157.2600000000002</c:v>
                </c:pt>
                <c:pt idx="264">
                  <c:v>2188.5</c:v>
                </c:pt>
                <c:pt idx="265">
                  <c:v>2188.5</c:v>
                </c:pt>
                <c:pt idx="266">
                  <c:v>2188.5</c:v>
                </c:pt>
                <c:pt idx="267">
                  <c:v>2194.25</c:v>
                </c:pt>
                <c:pt idx="268">
                  <c:v>2154.5</c:v>
                </c:pt>
                <c:pt idx="269">
                  <c:v>2181.5100000000002</c:v>
                </c:pt>
                <c:pt idx="270">
                  <c:v>2228.06</c:v>
                </c:pt>
                <c:pt idx="271">
                  <c:v>2306</c:v>
                </c:pt>
                <c:pt idx="272">
                  <c:v>2306</c:v>
                </c:pt>
                <c:pt idx="273">
                  <c:v>2306</c:v>
                </c:pt>
                <c:pt idx="274">
                  <c:v>2359.15</c:v>
                </c:pt>
                <c:pt idx="275">
                  <c:v>2259.8000000000002</c:v>
                </c:pt>
                <c:pt idx="276">
                  <c:v>2259.8000000000002</c:v>
                </c:pt>
                <c:pt idx="277">
                  <c:v>2259.8000000000002</c:v>
                </c:pt>
                <c:pt idx="278">
                  <c:v>2300.5</c:v>
                </c:pt>
                <c:pt idx="279">
                  <c:v>2300.5</c:v>
                </c:pt>
                <c:pt idx="280">
                  <c:v>2300.5</c:v>
                </c:pt>
                <c:pt idx="281">
                  <c:v>2343</c:v>
                </c:pt>
                <c:pt idx="282">
                  <c:v>2345.25</c:v>
                </c:pt>
                <c:pt idx="283">
                  <c:v>2343.4</c:v>
                </c:pt>
                <c:pt idx="284">
                  <c:v>2210.75</c:v>
                </c:pt>
                <c:pt idx="285">
                  <c:v>2154.75</c:v>
                </c:pt>
                <c:pt idx="286">
                  <c:v>2154.75</c:v>
                </c:pt>
                <c:pt idx="287">
                  <c:v>2154.75</c:v>
                </c:pt>
                <c:pt idx="288">
                  <c:v>2185.25</c:v>
                </c:pt>
                <c:pt idx="289">
                  <c:v>2102.75</c:v>
                </c:pt>
                <c:pt idx="290">
                  <c:v>2092.25</c:v>
                </c:pt>
                <c:pt idx="291">
                  <c:v>2119.75</c:v>
                </c:pt>
                <c:pt idx="292">
                  <c:v>2148.12</c:v>
                </c:pt>
                <c:pt idx="293">
                  <c:v>2148.12</c:v>
                </c:pt>
                <c:pt idx="294">
                  <c:v>2148.12</c:v>
                </c:pt>
                <c:pt idx="295">
                  <c:v>2213.35</c:v>
                </c:pt>
                <c:pt idx="296">
                  <c:v>2177.5</c:v>
                </c:pt>
                <c:pt idx="297">
                  <c:v>2225.75</c:v>
                </c:pt>
                <c:pt idx="298">
                  <c:v>2238</c:v>
                </c:pt>
                <c:pt idx="299">
                  <c:v>2268.15</c:v>
                </c:pt>
                <c:pt idx="300">
                  <c:v>2268.15</c:v>
                </c:pt>
                <c:pt idx="301">
                  <c:v>2268.15</c:v>
                </c:pt>
                <c:pt idx="302">
                  <c:v>2298.25</c:v>
                </c:pt>
                <c:pt idx="303">
                  <c:v>2256</c:v>
                </c:pt>
                <c:pt idx="304">
                  <c:v>2298.25</c:v>
                </c:pt>
                <c:pt idx="305">
                  <c:v>2267.75</c:v>
                </c:pt>
                <c:pt idx="306">
                  <c:v>2274</c:v>
                </c:pt>
                <c:pt idx="307">
                  <c:v>2274</c:v>
                </c:pt>
                <c:pt idx="308">
                  <c:v>2274</c:v>
                </c:pt>
                <c:pt idx="309">
                  <c:v>2256.0100000000002</c:v>
                </c:pt>
                <c:pt idx="310">
                  <c:v>2224.5</c:v>
                </c:pt>
                <c:pt idx="311">
                  <c:v>2254.25</c:v>
                </c:pt>
                <c:pt idx="312">
                  <c:v>2290.75</c:v>
                </c:pt>
                <c:pt idx="313">
                  <c:v>2297.75</c:v>
                </c:pt>
                <c:pt idx="314">
                  <c:v>2297.75</c:v>
                </c:pt>
                <c:pt idx="315">
                  <c:v>2297.75</c:v>
                </c:pt>
                <c:pt idx="316">
                  <c:v>2301.5</c:v>
                </c:pt>
                <c:pt idx="317">
                  <c:v>2369.25</c:v>
                </c:pt>
                <c:pt idx="318">
                  <c:v>2400</c:v>
                </c:pt>
                <c:pt idx="319">
                  <c:v>2502.75</c:v>
                </c:pt>
                <c:pt idx="320">
                  <c:v>2502.75</c:v>
                </c:pt>
                <c:pt idx="321">
                  <c:v>2502.75</c:v>
                </c:pt>
                <c:pt idx="322">
                  <c:v>2502.75</c:v>
                </c:pt>
                <c:pt idx="323">
                  <c:v>2443.75</c:v>
                </c:pt>
                <c:pt idx="324">
                  <c:v>2439.9899999999998</c:v>
                </c:pt>
                <c:pt idx="325">
                  <c:v>2441</c:v>
                </c:pt>
                <c:pt idx="326">
                  <c:v>2405.75</c:v>
                </c:pt>
                <c:pt idx="327">
                  <c:v>2393.75</c:v>
                </c:pt>
                <c:pt idx="328">
                  <c:v>2393.75</c:v>
                </c:pt>
                <c:pt idx="329">
                  <c:v>2393.75</c:v>
                </c:pt>
                <c:pt idx="330">
                  <c:v>2404</c:v>
                </c:pt>
                <c:pt idx="331">
                  <c:v>2409</c:v>
                </c:pt>
                <c:pt idx="332">
                  <c:v>2388.25</c:v>
                </c:pt>
                <c:pt idx="333">
                  <c:v>2390.5</c:v>
                </c:pt>
                <c:pt idx="334">
                  <c:v>2437.75</c:v>
                </c:pt>
                <c:pt idx="335">
                  <c:v>2437.75</c:v>
                </c:pt>
                <c:pt idx="336">
                  <c:v>2437.75</c:v>
                </c:pt>
                <c:pt idx="337">
                  <c:v>2524.4499999999998</c:v>
                </c:pt>
                <c:pt idx="338">
                  <c:v>2495.7600000000002</c:v>
                </c:pt>
                <c:pt idx="339">
                  <c:v>2500.25</c:v>
                </c:pt>
                <c:pt idx="340">
                  <c:v>2454.25</c:v>
                </c:pt>
                <c:pt idx="341">
                  <c:v>2423.75</c:v>
                </c:pt>
                <c:pt idx="342">
                  <c:v>2423.75</c:v>
                </c:pt>
                <c:pt idx="343">
                  <c:v>2423.75</c:v>
                </c:pt>
                <c:pt idx="344">
                  <c:v>2408.2600000000002</c:v>
                </c:pt>
                <c:pt idx="345">
                  <c:v>2379.85</c:v>
                </c:pt>
                <c:pt idx="346">
                  <c:v>2420.25</c:v>
                </c:pt>
                <c:pt idx="347">
                  <c:v>2444.71</c:v>
                </c:pt>
                <c:pt idx="348">
                  <c:v>2504.2399999999998</c:v>
                </c:pt>
                <c:pt idx="349">
                  <c:v>2504.2399999999998</c:v>
                </c:pt>
                <c:pt idx="350">
                  <c:v>2504.2399999999998</c:v>
                </c:pt>
                <c:pt idx="351">
                  <c:v>2464.75</c:v>
                </c:pt>
                <c:pt idx="352">
                  <c:v>2429</c:v>
                </c:pt>
                <c:pt idx="353">
                  <c:v>2430.75</c:v>
                </c:pt>
                <c:pt idx="354">
                  <c:v>2408.5</c:v>
                </c:pt>
                <c:pt idx="355">
                  <c:v>2480.5</c:v>
                </c:pt>
                <c:pt idx="356">
                  <c:v>2480.5</c:v>
                </c:pt>
                <c:pt idx="357">
                  <c:v>2480.5</c:v>
                </c:pt>
                <c:pt idx="358">
                  <c:v>2421.25</c:v>
                </c:pt>
                <c:pt idx="359">
                  <c:v>2434.75</c:v>
                </c:pt>
                <c:pt idx="360">
                  <c:v>2379.5</c:v>
                </c:pt>
                <c:pt idx="361">
                  <c:v>2410.19</c:v>
                </c:pt>
                <c:pt idx="362">
                  <c:v>2326.15</c:v>
                </c:pt>
                <c:pt idx="363">
                  <c:v>2326.15</c:v>
                </c:pt>
                <c:pt idx="364">
                  <c:v>2326.15</c:v>
                </c:pt>
                <c:pt idx="365">
                  <c:v>2324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C7-4EC5-9C94-890115B2441D}"/>
            </c:ext>
          </c:extLst>
        </c:ser>
        <c:ser>
          <c:idx val="1"/>
          <c:order val="1"/>
          <c:tx>
            <c:strRef>
              <c:f>'LME Price'!$G$64</c:f>
              <c:strCache>
                <c:ptCount val="1"/>
                <c:pt idx="0">
                  <c:v>Aluminium Alloy</c:v>
                </c:pt>
              </c:strCache>
            </c:strRef>
          </c:tx>
          <c:spPr>
            <a:ln w="28575" cap="rnd">
              <a:solidFill>
                <a:srgbClr val="006CFF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Price'!$G$66:$G$431</c:f>
              <c:numCache>
                <c:formatCode>General</c:formatCode>
                <c:ptCount val="366"/>
                <c:pt idx="1">
                  <c:v>1798</c:v>
                </c:pt>
                <c:pt idx="2">
                  <c:v>1796.25</c:v>
                </c:pt>
                <c:pt idx="3">
                  <c:v>1846</c:v>
                </c:pt>
                <c:pt idx="4">
                  <c:v>1896</c:v>
                </c:pt>
                <c:pt idx="5">
                  <c:v>1898</c:v>
                </c:pt>
                <c:pt idx="6">
                  <c:v>1898</c:v>
                </c:pt>
                <c:pt idx="7">
                  <c:v>1898</c:v>
                </c:pt>
                <c:pt idx="8">
                  <c:v>1954.25</c:v>
                </c:pt>
                <c:pt idx="9">
                  <c:v>1952.5</c:v>
                </c:pt>
                <c:pt idx="10">
                  <c:v>1952.5</c:v>
                </c:pt>
                <c:pt idx="11">
                  <c:v>1952.5</c:v>
                </c:pt>
                <c:pt idx="12">
                  <c:v>1955</c:v>
                </c:pt>
                <c:pt idx="13">
                  <c:v>1955</c:v>
                </c:pt>
                <c:pt idx="14">
                  <c:v>1955</c:v>
                </c:pt>
                <c:pt idx="15">
                  <c:v>1953.5</c:v>
                </c:pt>
                <c:pt idx="16">
                  <c:v>1951.75</c:v>
                </c:pt>
                <c:pt idx="17">
                  <c:v>1951.5</c:v>
                </c:pt>
                <c:pt idx="18">
                  <c:v>1951.25</c:v>
                </c:pt>
                <c:pt idx="19">
                  <c:v>1953</c:v>
                </c:pt>
                <c:pt idx="20">
                  <c:v>1953</c:v>
                </c:pt>
                <c:pt idx="21">
                  <c:v>1953</c:v>
                </c:pt>
                <c:pt idx="22">
                  <c:v>1952.5</c:v>
                </c:pt>
                <c:pt idx="23">
                  <c:v>1951</c:v>
                </c:pt>
                <c:pt idx="24">
                  <c:v>1951</c:v>
                </c:pt>
                <c:pt idx="25">
                  <c:v>1951</c:v>
                </c:pt>
                <c:pt idx="26">
                  <c:v>1953</c:v>
                </c:pt>
                <c:pt idx="27">
                  <c:v>1953</c:v>
                </c:pt>
                <c:pt idx="28">
                  <c:v>1953</c:v>
                </c:pt>
                <c:pt idx="29">
                  <c:v>1953</c:v>
                </c:pt>
                <c:pt idx="30">
                  <c:v>1951</c:v>
                </c:pt>
                <c:pt idx="31">
                  <c:v>1950.5</c:v>
                </c:pt>
                <c:pt idx="32">
                  <c:v>1950.5</c:v>
                </c:pt>
                <c:pt idx="33">
                  <c:v>1952</c:v>
                </c:pt>
                <c:pt idx="34">
                  <c:v>1952</c:v>
                </c:pt>
                <c:pt idx="35">
                  <c:v>1952</c:v>
                </c:pt>
                <c:pt idx="36">
                  <c:v>1951.5</c:v>
                </c:pt>
                <c:pt idx="37">
                  <c:v>1950</c:v>
                </c:pt>
                <c:pt idx="38">
                  <c:v>1950</c:v>
                </c:pt>
                <c:pt idx="39">
                  <c:v>1950</c:v>
                </c:pt>
                <c:pt idx="40">
                  <c:v>1951.5</c:v>
                </c:pt>
                <c:pt idx="41">
                  <c:v>1951.5</c:v>
                </c:pt>
                <c:pt idx="42">
                  <c:v>1951.5</c:v>
                </c:pt>
                <c:pt idx="43">
                  <c:v>1951</c:v>
                </c:pt>
                <c:pt idx="44">
                  <c:v>1950</c:v>
                </c:pt>
                <c:pt idx="45">
                  <c:v>1950</c:v>
                </c:pt>
                <c:pt idx="46">
                  <c:v>1952</c:v>
                </c:pt>
                <c:pt idx="47">
                  <c:v>1952</c:v>
                </c:pt>
                <c:pt idx="48">
                  <c:v>1952</c:v>
                </c:pt>
                <c:pt idx="49">
                  <c:v>1952</c:v>
                </c:pt>
                <c:pt idx="50">
                  <c:v>1951.5</c:v>
                </c:pt>
                <c:pt idx="51">
                  <c:v>1949.5</c:v>
                </c:pt>
                <c:pt idx="52">
                  <c:v>1949.5</c:v>
                </c:pt>
                <c:pt idx="53">
                  <c:v>1949.5</c:v>
                </c:pt>
                <c:pt idx="54">
                  <c:v>1951</c:v>
                </c:pt>
                <c:pt idx="55">
                  <c:v>1951</c:v>
                </c:pt>
                <c:pt idx="56">
                  <c:v>1951</c:v>
                </c:pt>
                <c:pt idx="57">
                  <c:v>1950.5</c:v>
                </c:pt>
                <c:pt idx="58">
                  <c:v>1949</c:v>
                </c:pt>
                <c:pt idx="59">
                  <c:v>1949</c:v>
                </c:pt>
                <c:pt idx="60">
                  <c:v>1949</c:v>
                </c:pt>
                <c:pt idx="61">
                  <c:v>1951.25</c:v>
                </c:pt>
                <c:pt idx="62">
                  <c:v>1951.25</c:v>
                </c:pt>
                <c:pt idx="63">
                  <c:v>1951.25</c:v>
                </c:pt>
                <c:pt idx="64">
                  <c:v>1950.5</c:v>
                </c:pt>
                <c:pt idx="65">
                  <c:v>1949</c:v>
                </c:pt>
                <c:pt idx="66">
                  <c:v>1949</c:v>
                </c:pt>
                <c:pt idx="67">
                  <c:v>1951.5</c:v>
                </c:pt>
                <c:pt idx="68">
                  <c:v>1951.5</c:v>
                </c:pt>
                <c:pt idx="69">
                  <c:v>1951.5</c:v>
                </c:pt>
                <c:pt idx="70">
                  <c:v>1951.5</c:v>
                </c:pt>
                <c:pt idx="71">
                  <c:v>1950.5</c:v>
                </c:pt>
                <c:pt idx="72">
                  <c:v>1948</c:v>
                </c:pt>
                <c:pt idx="73">
                  <c:v>1947.5</c:v>
                </c:pt>
                <c:pt idx="74">
                  <c:v>1950</c:v>
                </c:pt>
                <c:pt idx="75">
                  <c:v>1950</c:v>
                </c:pt>
                <c:pt idx="76">
                  <c:v>1950</c:v>
                </c:pt>
                <c:pt idx="77">
                  <c:v>1950</c:v>
                </c:pt>
                <c:pt idx="78">
                  <c:v>1950</c:v>
                </c:pt>
                <c:pt idx="79">
                  <c:v>1947.5</c:v>
                </c:pt>
                <c:pt idx="80">
                  <c:v>1947.5</c:v>
                </c:pt>
                <c:pt idx="81">
                  <c:v>1947</c:v>
                </c:pt>
                <c:pt idx="82">
                  <c:v>1948.5</c:v>
                </c:pt>
                <c:pt idx="83">
                  <c:v>1948.5</c:v>
                </c:pt>
                <c:pt idx="84">
                  <c:v>1948.5</c:v>
                </c:pt>
                <c:pt idx="85">
                  <c:v>1948.5</c:v>
                </c:pt>
                <c:pt idx="86">
                  <c:v>1947</c:v>
                </c:pt>
                <c:pt idx="87">
                  <c:v>1947</c:v>
                </c:pt>
                <c:pt idx="88">
                  <c:v>1947</c:v>
                </c:pt>
                <c:pt idx="89">
                  <c:v>1948.75</c:v>
                </c:pt>
                <c:pt idx="90">
                  <c:v>1948.75</c:v>
                </c:pt>
                <c:pt idx="91">
                  <c:v>1948.75</c:v>
                </c:pt>
                <c:pt idx="92">
                  <c:v>1949</c:v>
                </c:pt>
                <c:pt idx="93">
                  <c:v>1948</c:v>
                </c:pt>
                <c:pt idx="94">
                  <c:v>1948</c:v>
                </c:pt>
                <c:pt idx="95">
                  <c:v>1951.5</c:v>
                </c:pt>
                <c:pt idx="96">
                  <c:v>1951.5</c:v>
                </c:pt>
                <c:pt idx="97">
                  <c:v>1951.5</c:v>
                </c:pt>
                <c:pt idx="98">
                  <c:v>1951.5</c:v>
                </c:pt>
                <c:pt idx="99">
                  <c:v>1951.5</c:v>
                </c:pt>
                <c:pt idx="100">
                  <c:v>1952</c:v>
                </c:pt>
                <c:pt idx="101">
                  <c:v>1949</c:v>
                </c:pt>
                <c:pt idx="102">
                  <c:v>1950</c:v>
                </c:pt>
                <c:pt idx="103">
                  <c:v>1951.5</c:v>
                </c:pt>
                <c:pt idx="104">
                  <c:v>1951.5</c:v>
                </c:pt>
                <c:pt idx="105">
                  <c:v>1951.5</c:v>
                </c:pt>
                <c:pt idx="106">
                  <c:v>1954</c:v>
                </c:pt>
                <c:pt idx="107">
                  <c:v>1957</c:v>
                </c:pt>
                <c:pt idx="108">
                  <c:v>1960</c:v>
                </c:pt>
                <c:pt idx="109">
                  <c:v>1963</c:v>
                </c:pt>
                <c:pt idx="110">
                  <c:v>1955.75</c:v>
                </c:pt>
                <c:pt idx="111">
                  <c:v>1955.75</c:v>
                </c:pt>
                <c:pt idx="112">
                  <c:v>1955.75</c:v>
                </c:pt>
                <c:pt idx="113">
                  <c:v>1955</c:v>
                </c:pt>
                <c:pt idx="114">
                  <c:v>1954</c:v>
                </c:pt>
                <c:pt idx="115">
                  <c:v>1954.5</c:v>
                </c:pt>
                <c:pt idx="116">
                  <c:v>1954.5</c:v>
                </c:pt>
                <c:pt idx="117">
                  <c:v>1956</c:v>
                </c:pt>
                <c:pt idx="118">
                  <c:v>1956</c:v>
                </c:pt>
                <c:pt idx="119">
                  <c:v>1956</c:v>
                </c:pt>
                <c:pt idx="120">
                  <c:v>1955.5</c:v>
                </c:pt>
                <c:pt idx="121">
                  <c:v>1950</c:v>
                </c:pt>
                <c:pt idx="122">
                  <c:v>2093</c:v>
                </c:pt>
                <c:pt idx="123">
                  <c:v>2093</c:v>
                </c:pt>
                <c:pt idx="124">
                  <c:v>2095</c:v>
                </c:pt>
                <c:pt idx="125">
                  <c:v>2095</c:v>
                </c:pt>
                <c:pt idx="126">
                  <c:v>2095</c:v>
                </c:pt>
                <c:pt idx="127">
                  <c:v>2094</c:v>
                </c:pt>
                <c:pt idx="128">
                  <c:v>2092.25</c:v>
                </c:pt>
                <c:pt idx="129">
                  <c:v>2092</c:v>
                </c:pt>
                <c:pt idx="130">
                  <c:v>2091.5</c:v>
                </c:pt>
                <c:pt idx="131">
                  <c:v>2093.25</c:v>
                </c:pt>
                <c:pt idx="132">
                  <c:v>2093.25</c:v>
                </c:pt>
                <c:pt idx="133">
                  <c:v>2093.25</c:v>
                </c:pt>
                <c:pt idx="134">
                  <c:v>2092.5</c:v>
                </c:pt>
                <c:pt idx="135">
                  <c:v>2091</c:v>
                </c:pt>
                <c:pt idx="136">
                  <c:v>2091.75</c:v>
                </c:pt>
                <c:pt idx="137">
                  <c:v>2093.5</c:v>
                </c:pt>
                <c:pt idx="138">
                  <c:v>2093.75</c:v>
                </c:pt>
                <c:pt idx="139">
                  <c:v>2093.75</c:v>
                </c:pt>
                <c:pt idx="140">
                  <c:v>2093.75</c:v>
                </c:pt>
                <c:pt idx="141">
                  <c:v>2093.5</c:v>
                </c:pt>
                <c:pt idx="142">
                  <c:v>2091.75</c:v>
                </c:pt>
                <c:pt idx="143">
                  <c:v>2091</c:v>
                </c:pt>
                <c:pt idx="144">
                  <c:v>2092.25</c:v>
                </c:pt>
                <c:pt idx="145">
                  <c:v>2092.5</c:v>
                </c:pt>
                <c:pt idx="146">
                  <c:v>2092.5</c:v>
                </c:pt>
                <c:pt idx="147">
                  <c:v>2092.5</c:v>
                </c:pt>
                <c:pt idx="148">
                  <c:v>2093</c:v>
                </c:pt>
                <c:pt idx="149">
                  <c:v>2091</c:v>
                </c:pt>
                <c:pt idx="150">
                  <c:v>2090</c:v>
                </c:pt>
                <c:pt idx="151">
                  <c:v>2091.5</c:v>
                </c:pt>
                <c:pt idx="152">
                  <c:v>2092.5</c:v>
                </c:pt>
                <c:pt idx="153">
                  <c:v>2092.5</c:v>
                </c:pt>
                <c:pt idx="154">
                  <c:v>2092.5</c:v>
                </c:pt>
                <c:pt idx="155">
                  <c:v>2092.5</c:v>
                </c:pt>
                <c:pt idx="156">
                  <c:v>2090.25</c:v>
                </c:pt>
                <c:pt idx="157">
                  <c:v>2089.5</c:v>
                </c:pt>
                <c:pt idx="158">
                  <c:v>2091.75</c:v>
                </c:pt>
                <c:pt idx="159">
                  <c:v>2092.5</c:v>
                </c:pt>
                <c:pt idx="160">
                  <c:v>2092.5</c:v>
                </c:pt>
                <c:pt idx="161">
                  <c:v>2092.5</c:v>
                </c:pt>
                <c:pt idx="162">
                  <c:v>2092.75</c:v>
                </c:pt>
                <c:pt idx="163">
                  <c:v>2090.5</c:v>
                </c:pt>
                <c:pt idx="164">
                  <c:v>2092.75</c:v>
                </c:pt>
                <c:pt idx="165">
                  <c:v>2092</c:v>
                </c:pt>
                <c:pt idx="166">
                  <c:v>2092</c:v>
                </c:pt>
                <c:pt idx="167">
                  <c:v>2092</c:v>
                </c:pt>
                <c:pt idx="168">
                  <c:v>2092</c:v>
                </c:pt>
                <c:pt idx="169">
                  <c:v>2092</c:v>
                </c:pt>
                <c:pt idx="170">
                  <c:v>2090.5</c:v>
                </c:pt>
                <c:pt idx="171">
                  <c:v>2090.5</c:v>
                </c:pt>
                <c:pt idx="172">
                  <c:v>2089.75</c:v>
                </c:pt>
                <c:pt idx="173">
                  <c:v>2092</c:v>
                </c:pt>
                <c:pt idx="174">
                  <c:v>2092</c:v>
                </c:pt>
                <c:pt idx="175">
                  <c:v>2092</c:v>
                </c:pt>
                <c:pt idx="176">
                  <c:v>2091.5</c:v>
                </c:pt>
                <c:pt idx="177">
                  <c:v>2089.5</c:v>
                </c:pt>
                <c:pt idx="178">
                  <c:v>2089</c:v>
                </c:pt>
                <c:pt idx="179">
                  <c:v>2088</c:v>
                </c:pt>
                <c:pt idx="180">
                  <c:v>2090.5</c:v>
                </c:pt>
                <c:pt idx="181">
                  <c:v>2090.5</c:v>
                </c:pt>
                <c:pt idx="182">
                  <c:v>2090.5</c:v>
                </c:pt>
                <c:pt idx="183">
                  <c:v>2091</c:v>
                </c:pt>
                <c:pt idx="184">
                  <c:v>2091.5</c:v>
                </c:pt>
                <c:pt idx="185">
                  <c:v>2091.5</c:v>
                </c:pt>
                <c:pt idx="186">
                  <c:v>2091.5</c:v>
                </c:pt>
                <c:pt idx="187">
                  <c:v>2094.5</c:v>
                </c:pt>
                <c:pt idx="188">
                  <c:v>2094.5</c:v>
                </c:pt>
                <c:pt idx="189">
                  <c:v>2094.5</c:v>
                </c:pt>
                <c:pt idx="190">
                  <c:v>2095</c:v>
                </c:pt>
                <c:pt idx="191">
                  <c:v>2095.5</c:v>
                </c:pt>
                <c:pt idx="192">
                  <c:v>2171</c:v>
                </c:pt>
                <c:pt idx="193">
                  <c:v>2173.5</c:v>
                </c:pt>
                <c:pt idx="194">
                  <c:v>2173.5</c:v>
                </c:pt>
                <c:pt idx="195">
                  <c:v>2173.5</c:v>
                </c:pt>
                <c:pt idx="196">
                  <c:v>2173.5</c:v>
                </c:pt>
                <c:pt idx="197">
                  <c:v>2124</c:v>
                </c:pt>
                <c:pt idx="198">
                  <c:v>2114</c:v>
                </c:pt>
                <c:pt idx="199">
                  <c:v>2066</c:v>
                </c:pt>
                <c:pt idx="200">
                  <c:v>2066</c:v>
                </c:pt>
                <c:pt idx="201">
                  <c:v>2066</c:v>
                </c:pt>
                <c:pt idx="202">
                  <c:v>2066</c:v>
                </c:pt>
                <c:pt idx="203">
                  <c:v>2066</c:v>
                </c:pt>
                <c:pt idx="204">
                  <c:v>1966.5</c:v>
                </c:pt>
                <c:pt idx="205">
                  <c:v>1967</c:v>
                </c:pt>
                <c:pt idx="206">
                  <c:v>1827</c:v>
                </c:pt>
                <c:pt idx="207">
                  <c:v>1832</c:v>
                </c:pt>
                <c:pt idx="208">
                  <c:v>1860</c:v>
                </c:pt>
                <c:pt idx="209">
                  <c:v>1860</c:v>
                </c:pt>
                <c:pt idx="210">
                  <c:v>1860</c:v>
                </c:pt>
                <c:pt idx="211">
                  <c:v>1860</c:v>
                </c:pt>
                <c:pt idx="212">
                  <c:v>1860</c:v>
                </c:pt>
                <c:pt idx="213">
                  <c:v>1860</c:v>
                </c:pt>
                <c:pt idx="214">
                  <c:v>1860</c:v>
                </c:pt>
                <c:pt idx="215">
                  <c:v>1860</c:v>
                </c:pt>
                <c:pt idx="216">
                  <c:v>1860</c:v>
                </c:pt>
                <c:pt idx="217">
                  <c:v>1860</c:v>
                </c:pt>
                <c:pt idx="218">
                  <c:v>1860</c:v>
                </c:pt>
                <c:pt idx="219">
                  <c:v>1860</c:v>
                </c:pt>
                <c:pt idx="220">
                  <c:v>1860</c:v>
                </c:pt>
                <c:pt idx="221">
                  <c:v>1860</c:v>
                </c:pt>
                <c:pt idx="222">
                  <c:v>1860</c:v>
                </c:pt>
                <c:pt idx="223">
                  <c:v>1860</c:v>
                </c:pt>
                <c:pt idx="224">
                  <c:v>1860</c:v>
                </c:pt>
                <c:pt idx="225">
                  <c:v>1860</c:v>
                </c:pt>
                <c:pt idx="226">
                  <c:v>1860</c:v>
                </c:pt>
                <c:pt idx="227">
                  <c:v>1860</c:v>
                </c:pt>
                <c:pt idx="228">
                  <c:v>1860</c:v>
                </c:pt>
                <c:pt idx="229">
                  <c:v>1860</c:v>
                </c:pt>
                <c:pt idx="230">
                  <c:v>1860</c:v>
                </c:pt>
                <c:pt idx="231">
                  <c:v>1860</c:v>
                </c:pt>
                <c:pt idx="232">
                  <c:v>1860</c:v>
                </c:pt>
                <c:pt idx="233">
                  <c:v>1860</c:v>
                </c:pt>
                <c:pt idx="234">
                  <c:v>1860</c:v>
                </c:pt>
                <c:pt idx="235">
                  <c:v>1860</c:v>
                </c:pt>
                <c:pt idx="236">
                  <c:v>1860</c:v>
                </c:pt>
                <c:pt idx="237">
                  <c:v>1860</c:v>
                </c:pt>
                <c:pt idx="238">
                  <c:v>1860</c:v>
                </c:pt>
                <c:pt idx="239">
                  <c:v>1860</c:v>
                </c:pt>
                <c:pt idx="240">
                  <c:v>1860</c:v>
                </c:pt>
                <c:pt idx="241">
                  <c:v>1860</c:v>
                </c:pt>
                <c:pt idx="242">
                  <c:v>1860</c:v>
                </c:pt>
                <c:pt idx="243">
                  <c:v>1860</c:v>
                </c:pt>
                <c:pt idx="244">
                  <c:v>1860</c:v>
                </c:pt>
                <c:pt idx="245">
                  <c:v>1860</c:v>
                </c:pt>
                <c:pt idx="246">
                  <c:v>1830</c:v>
                </c:pt>
                <c:pt idx="247">
                  <c:v>1750</c:v>
                </c:pt>
                <c:pt idx="248">
                  <c:v>1700</c:v>
                </c:pt>
                <c:pt idx="249">
                  <c:v>1660</c:v>
                </c:pt>
                <c:pt idx="250">
                  <c:v>1660</c:v>
                </c:pt>
                <c:pt idx="251">
                  <c:v>1660</c:v>
                </c:pt>
                <c:pt idx="252">
                  <c:v>1660</c:v>
                </c:pt>
                <c:pt idx="253">
                  <c:v>1660</c:v>
                </c:pt>
                <c:pt idx="254">
                  <c:v>1600</c:v>
                </c:pt>
                <c:pt idx="255">
                  <c:v>1600</c:v>
                </c:pt>
                <c:pt idx="256">
                  <c:v>1600</c:v>
                </c:pt>
                <c:pt idx="257">
                  <c:v>1600</c:v>
                </c:pt>
                <c:pt idx="258">
                  <c:v>1600</c:v>
                </c:pt>
                <c:pt idx="259">
                  <c:v>1600</c:v>
                </c:pt>
                <c:pt idx="260">
                  <c:v>1600</c:v>
                </c:pt>
                <c:pt idx="261">
                  <c:v>1650</c:v>
                </c:pt>
                <c:pt idx="262">
                  <c:v>1650</c:v>
                </c:pt>
                <c:pt idx="263">
                  <c:v>1700</c:v>
                </c:pt>
                <c:pt idx="264">
                  <c:v>1760</c:v>
                </c:pt>
                <c:pt idx="265">
                  <c:v>1760</c:v>
                </c:pt>
                <c:pt idx="266">
                  <c:v>1760</c:v>
                </c:pt>
                <c:pt idx="267">
                  <c:v>1760</c:v>
                </c:pt>
                <c:pt idx="268">
                  <c:v>1760</c:v>
                </c:pt>
                <c:pt idx="269">
                  <c:v>1760</c:v>
                </c:pt>
                <c:pt idx="270">
                  <c:v>1760</c:v>
                </c:pt>
                <c:pt idx="271">
                  <c:v>1760</c:v>
                </c:pt>
                <c:pt idx="272">
                  <c:v>1760</c:v>
                </c:pt>
                <c:pt idx="273">
                  <c:v>1760</c:v>
                </c:pt>
                <c:pt idx="274">
                  <c:v>1760</c:v>
                </c:pt>
                <c:pt idx="275">
                  <c:v>1760</c:v>
                </c:pt>
                <c:pt idx="276">
                  <c:v>1760</c:v>
                </c:pt>
                <c:pt idx="277">
                  <c:v>1760</c:v>
                </c:pt>
                <c:pt idx="278">
                  <c:v>1760</c:v>
                </c:pt>
                <c:pt idx="279">
                  <c:v>1760</c:v>
                </c:pt>
                <c:pt idx="280">
                  <c:v>1760</c:v>
                </c:pt>
                <c:pt idx="281">
                  <c:v>1760</c:v>
                </c:pt>
                <c:pt idx="282">
                  <c:v>1760</c:v>
                </c:pt>
                <c:pt idx="283">
                  <c:v>1760</c:v>
                </c:pt>
                <c:pt idx="284">
                  <c:v>1760</c:v>
                </c:pt>
                <c:pt idx="285">
                  <c:v>1760</c:v>
                </c:pt>
                <c:pt idx="286">
                  <c:v>1760</c:v>
                </c:pt>
                <c:pt idx="287">
                  <c:v>1760</c:v>
                </c:pt>
                <c:pt idx="288">
                  <c:v>1760</c:v>
                </c:pt>
                <c:pt idx="289">
                  <c:v>1760</c:v>
                </c:pt>
                <c:pt idx="290">
                  <c:v>1760</c:v>
                </c:pt>
                <c:pt idx="291">
                  <c:v>1760</c:v>
                </c:pt>
                <c:pt idx="292">
                  <c:v>1760</c:v>
                </c:pt>
                <c:pt idx="293">
                  <c:v>1760</c:v>
                </c:pt>
                <c:pt idx="294">
                  <c:v>1760</c:v>
                </c:pt>
                <c:pt idx="295">
                  <c:v>1760</c:v>
                </c:pt>
                <c:pt idx="296">
                  <c:v>1760</c:v>
                </c:pt>
                <c:pt idx="297">
                  <c:v>1760</c:v>
                </c:pt>
                <c:pt idx="298">
                  <c:v>1760</c:v>
                </c:pt>
                <c:pt idx="299">
                  <c:v>1760</c:v>
                </c:pt>
                <c:pt idx="300">
                  <c:v>1760</c:v>
                </c:pt>
                <c:pt idx="301">
                  <c:v>1760</c:v>
                </c:pt>
                <c:pt idx="302">
                  <c:v>1760</c:v>
                </c:pt>
                <c:pt idx="303">
                  <c:v>1760</c:v>
                </c:pt>
                <c:pt idx="304">
                  <c:v>1760</c:v>
                </c:pt>
                <c:pt idx="305">
                  <c:v>1760</c:v>
                </c:pt>
                <c:pt idx="306">
                  <c:v>1760</c:v>
                </c:pt>
                <c:pt idx="307">
                  <c:v>1760</c:v>
                </c:pt>
                <c:pt idx="308">
                  <c:v>1760</c:v>
                </c:pt>
                <c:pt idx="309">
                  <c:v>1760</c:v>
                </c:pt>
                <c:pt idx="310">
                  <c:v>1760</c:v>
                </c:pt>
                <c:pt idx="311">
                  <c:v>1760</c:v>
                </c:pt>
                <c:pt idx="312">
                  <c:v>1760</c:v>
                </c:pt>
                <c:pt idx="313">
                  <c:v>1760</c:v>
                </c:pt>
                <c:pt idx="314">
                  <c:v>1760</c:v>
                </c:pt>
                <c:pt idx="315">
                  <c:v>1760</c:v>
                </c:pt>
                <c:pt idx="316">
                  <c:v>1760</c:v>
                </c:pt>
                <c:pt idx="317">
                  <c:v>1760</c:v>
                </c:pt>
                <c:pt idx="318">
                  <c:v>1760</c:v>
                </c:pt>
                <c:pt idx="319">
                  <c:v>1760</c:v>
                </c:pt>
                <c:pt idx="320">
                  <c:v>1760</c:v>
                </c:pt>
                <c:pt idx="321">
                  <c:v>1760</c:v>
                </c:pt>
                <c:pt idx="322">
                  <c:v>1760</c:v>
                </c:pt>
                <c:pt idx="323">
                  <c:v>1760</c:v>
                </c:pt>
                <c:pt idx="324">
                  <c:v>1760</c:v>
                </c:pt>
                <c:pt idx="325">
                  <c:v>1760</c:v>
                </c:pt>
                <c:pt idx="326">
                  <c:v>1760</c:v>
                </c:pt>
                <c:pt idx="327">
                  <c:v>1760</c:v>
                </c:pt>
                <c:pt idx="328">
                  <c:v>1760</c:v>
                </c:pt>
                <c:pt idx="329">
                  <c:v>1760</c:v>
                </c:pt>
                <c:pt idx="330">
                  <c:v>1760</c:v>
                </c:pt>
                <c:pt idx="331">
                  <c:v>1760</c:v>
                </c:pt>
                <c:pt idx="332">
                  <c:v>1760</c:v>
                </c:pt>
                <c:pt idx="333">
                  <c:v>1760</c:v>
                </c:pt>
                <c:pt idx="334">
                  <c:v>1760</c:v>
                </c:pt>
                <c:pt idx="335">
                  <c:v>1760</c:v>
                </c:pt>
                <c:pt idx="336">
                  <c:v>1760</c:v>
                </c:pt>
                <c:pt idx="337">
                  <c:v>1760</c:v>
                </c:pt>
                <c:pt idx="338">
                  <c:v>1760</c:v>
                </c:pt>
                <c:pt idx="339">
                  <c:v>1760</c:v>
                </c:pt>
                <c:pt idx="340">
                  <c:v>1760</c:v>
                </c:pt>
                <c:pt idx="341">
                  <c:v>1760</c:v>
                </c:pt>
                <c:pt idx="342">
                  <c:v>1760</c:v>
                </c:pt>
                <c:pt idx="343">
                  <c:v>1760</c:v>
                </c:pt>
                <c:pt idx="344">
                  <c:v>1760</c:v>
                </c:pt>
                <c:pt idx="345">
                  <c:v>1760</c:v>
                </c:pt>
                <c:pt idx="346">
                  <c:v>1760</c:v>
                </c:pt>
                <c:pt idx="347">
                  <c:v>1760</c:v>
                </c:pt>
                <c:pt idx="348">
                  <c:v>1760</c:v>
                </c:pt>
                <c:pt idx="349">
                  <c:v>1760</c:v>
                </c:pt>
                <c:pt idx="350">
                  <c:v>1760</c:v>
                </c:pt>
                <c:pt idx="351">
                  <c:v>1760</c:v>
                </c:pt>
                <c:pt idx="352">
                  <c:v>1760</c:v>
                </c:pt>
                <c:pt idx="353">
                  <c:v>1760</c:v>
                </c:pt>
                <c:pt idx="354">
                  <c:v>1760</c:v>
                </c:pt>
                <c:pt idx="355">
                  <c:v>1710</c:v>
                </c:pt>
                <c:pt idx="356">
                  <c:v>1710</c:v>
                </c:pt>
                <c:pt idx="357">
                  <c:v>1710</c:v>
                </c:pt>
                <c:pt idx="358">
                  <c:v>1710</c:v>
                </c:pt>
                <c:pt idx="359">
                  <c:v>1710</c:v>
                </c:pt>
                <c:pt idx="360">
                  <c:v>1710</c:v>
                </c:pt>
                <c:pt idx="361">
                  <c:v>1710</c:v>
                </c:pt>
                <c:pt idx="362">
                  <c:v>1710</c:v>
                </c:pt>
                <c:pt idx="363">
                  <c:v>1710</c:v>
                </c:pt>
                <c:pt idx="364">
                  <c:v>1710</c:v>
                </c:pt>
                <c:pt idx="365">
                  <c:v>1710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EC7-4EC5-9C94-890115B2441D}"/>
            </c:ext>
          </c:extLst>
        </c:ser>
        <c:ser>
          <c:idx val="2"/>
          <c:order val="2"/>
          <c:tx>
            <c:strRef>
              <c:f>'LME Price'!$H$64</c:f>
              <c:strCache>
                <c:ptCount val="1"/>
                <c:pt idx="0">
                  <c:v>NA Aluminium</c:v>
                </c:pt>
              </c:strCache>
            </c:strRef>
          </c:tx>
          <c:spPr>
            <a:ln w="28575" cap="rnd">
              <a:solidFill>
                <a:srgbClr val="5FCB07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Price'!$H$66:$H$431</c:f>
              <c:numCache>
                <c:formatCode>General</c:formatCode>
                <c:ptCount val="366"/>
                <c:pt idx="1">
                  <c:v>2411.75</c:v>
                </c:pt>
                <c:pt idx="2">
                  <c:v>2411.5</c:v>
                </c:pt>
                <c:pt idx="3">
                  <c:v>2411.75</c:v>
                </c:pt>
                <c:pt idx="4">
                  <c:v>2411.75</c:v>
                </c:pt>
                <c:pt idx="5">
                  <c:v>2413</c:v>
                </c:pt>
                <c:pt idx="6">
                  <c:v>2413</c:v>
                </c:pt>
                <c:pt idx="7">
                  <c:v>2413</c:v>
                </c:pt>
                <c:pt idx="8">
                  <c:v>2412.75</c:v>
                </c:pt>
                <c:pt idx="9">
                  <c:v>2412.25</c:v>
                </c:pt>
                <c:pt idx="10">
                  <c:v>2412.25</c:v>
                </c:pt>
                <c:pt idx="11">
                  <c:v>2412.25</c:v>
                </c:pt>
                <c:pt idx="12">
                  <c:v>2413.75</c:v>
                </c:pt>
                <c:pt idx="13">
                  <c:v>2413.75</c:v>
                </c:pt>
                <c:pt idx="14">
                  <c:v>2413.75</c:v>
                </c:pt>
                <c:pt idx="15">
                  <c:v>2413.25</c:v>
                </c:pt>
                <c:pt idx="16">
                  <c:v>2413.25</c:v>
                </c:pt>
                <c:pt idx="17">
                  <c:v>2413.75</c:v>
                </c:pt>
                <c:pt idx="18">
                  <c:v>2414.25</c:v>
                </c:pt>
                <c:pt idx="19">
                  <c:v>2415.5</c:v>
                </c:pt>
                <c:pt idx="20">
                  <c:v>2415.5</c:v>
                </c:pt>
                <c:pt idx="21">
                  <c:v>2415.5</c:v>
                </c:pt>
                <c:pt idx="22">
                  <c:v>2415.5</c:v>
                </c:pt>
                <c:pt idx="23">
                  <c:v>2415.5</c:v>
                </c:pt>
                <c:pt idx="24">
                  <c:v>2415.5</c:v>
                </c:pt>
                <c:pt idx="25">
                  <c:v>2415.5</c:v>
                </c:pt>
                <c:pt idx="26">
                  <c:v>2415</c:v>
                </c:pt>
                <c:pt idx="27">
                  <c:v>2415</c:v>
                </c:pt>
                <c:pt idx="28">
                  <c:v>2415</c:v>
                </c:pt>
                <c:pt idx="29">
                  <c:v>2415</c:v>
                </c:pt>
                <c:pt idx="30">
                  <c:v>2409</c:v>
                </c:pt>
                <c:pt idx="31">
                  <c:v>2407.75</c:v>
                </c:pt>
                <c:pt idx="32">
                  <c:v>2416.5</c:v>
                </c:pt>
                <c:pt idx="33">
                  <c:v>2416.25</c:v>
                </c:pt>
                <c:pt idx="34">
                  <c:v>2416.25</c:v>
                </c:pt>
                <c:pt idx="35">
                  <c:v>2416.25</c:v>
                </c:pt>
                <c:pt idx="36">
                  <c:v>2414.5</c:v>
                </c:pt>
                <c:pt idx="37">
                  <c:v>2409.75</c:v>
                </c:pt>
                <c:pt idx="38">
                  <c:v>2407.75</c:v>
                </c:pt>
                <c:pt idx="39">
                  <c:v>2406.25</c:v>
                </c:pt>
                <c:pt idx="40">
                  <c:v>2406</c:v>
                </c:pt>
                <c:pt idx="41">
                  <c:v>2406</c:v>
                </c:pt>
                <c:pt idx="42">
                  <c:v>2406</c:v>
                </c:pt>
                <c:pt idx="43">
                  <c:v>2454.5</c:v>
                </c:pt>
                <c:pt idx="44">
                  <c:v>2450</c:v>
                </c:pt>
                <c:pt idx="45">
                  <c:v>2498.75</c:v>
                </c:pt>
                <c:pt idx="46">
                  <c:v>2548.5</c:v>
                </c:pt>
                <c:pt idx="47">
                  <c:v>2548.5</c:v>
                </c:pt>
                <c:pt idx="48">
                  <c:v>2548.5</c:v>
                </c:pt>
                <c:pt idx="49">
                  <c:v>2548.5</c:v>
                </c:pt>
                <c:pt idx="50">
                  <c:v>2546.75</c:v>
                </c:pt>
                <c:pt idx="51">
                  <c:v>2540.5</c:v>
                </c:pt>
                <c:pt idx="52">
                  <c:v>2539</c:v>
                </c:pt>
                <c:pt idx="53">
                  <c:v>2537.75</c:v>
                </c:pt>
                <c:pt idx="54">
                  <c:v>2537</c:v>
                </c:pt>
                <c:pt idx="55">
                  <c:v>2537</c:v>
                </c:pt>
                <c:pt idx="56">
                  <c:v>2537</c:v>
                </c:pt>
                <c:pt idx="57">
                  <c:v>2534.75</c:v>
                </c:pt>
                <c:pt idx="58">
                  <c:v>2530</c:v>
                </c:pt>
                <c:pt idx="59">
                  <c:v>2528.5</c:v>
                </c:pt>
                <c:pt idx="60">
                  <c:v>2527</c:v>
                </c:pt>
                <c:pt idx="61">
                  <c:v>2526.75</c:v>
                </c:pt>
                <c:pt idx="62">
                  <c:v>2526.75</c:v>
                </c:pt>
                <c:pt idx="63">
                  <c:v>2526.75</c:v>
                </c:pt>
                <c:pt idx="64">
                  <c:v>2525</c:v>
                </c:pt>
                <c:pt idx="65">
                  <c:v>2520.5</c:v>
                </c:pt>
                <c:pt idx="66">
                  <c:v>2519</c:v>
                </c:pt>
                <c:pt idx="67">
                  <c:v>2518.5</c:v>
                </c:pt>
                <c:pt idx="68">
                  <c:v>2518.5</c:v>
                </c:pt>
                <c:pt idx="69">
                  <c:v>2518.5</c:v>
                </c:pt>
                <c:pt idx="70">
                  <c:v>2518.5</c:v>
                </c:pt>
                <c:pt idx="71">
                  <c:v>2517</c:v>
                </c:pt>
                <c:pt idx="72">
                  <c:v>2511</c:v>
                </c:pt>
                <c:pt idx="73">
                  <c:v>2510</c:v>
                </c:pt>
                <c:pt idx="74">
                  <c:v>2510</c:v>
                </c:pt>
                <c:pt idx="75">
                  <c:v>2510</c:v>
                </c:pt>
                <c:pt idx="76">
                  <c:v>2510</c:v>
                </c:pt>
                <c:pt idx="77">
                  <c:v>2510</c:v>
                </c:pt>
                <c:pt idx="78">
                  <c:v>2509</c:v>
                </c:pt>
                <c:pt idx="79">
                  <c:v>2503</c:v>
                </c:pt>
                <c:pt idx="80">
                  <c:v>2502</c:v>
                </c:pt>
                <c:pt idx="81">
                  <c:v>2501</c:v>
                </c:pt>
                <c:pt idx="82">
                  <c:v>2500.5</c:v>
                </c:pt>
                <c:pt idx="83">
                  <c:v>2500.5</c:v>
                </c:pt>
                <c:pt idx="84">
                  <c:v>2500.5</c:v>
                </c:pt>
                <c:pt idx="85">
                  <c:v>2499.5</c:v>
                </c:pt>
                <c:pt idx="86">
                  <c:v>2495</c:v>
                </c:pt>
                <c:pt idx="87">
                  <c:v>2493.5</c:v>
                </c:pt>
                <c:pt idx="88">
                  <c:v>2492.5</c:v>
                </c:pt>
                <c:pt idx="89">
                  <c:v>2492.25</c:v>
                </c:pt>
                <c:pt idx="90">
                  <c:v>2492.25</c:v>
                </c:pt>
                <c:pt idx="91">
                  <c:v>2492.25</c:v>
                </c:pt>
                <c:pt idx="92">
                  <c:v>2465</c:v>
                </c:pt>
                <c:pt idx="93">
                  <c:v>2346</c:v>
                </c:pt>
                <c:pt idx="94">
                  <c:v>2345</c:v>
                </c:pt>
                <c:pt idx="95">
                  <c:v>2345</c:v>
                </c:pt>
                <c:pt idx="96">
                  <c:v>2345</c:v>
                </c:pt>
                <c:pt idx="97">
                  <c:v>2345</c:v>
                </c:pt>
                <c:pt idx="98">
                  <c:v>2345</c:v>
                </c:pt>
                <c:pt idx="99">
                  <c:v>2345</c:v>
                </c:pt>
                <c:pt idx="100">
                  <c:v>2344</c:v>
                </c:pt>
                <c:pt idx="101">
                  <c:v>2336.5</c:v>
                </c:pt>
                <c:pt idx="102">
                  <c:v>2336</c:v>
                </c:pt>
                <c:pt idx="103">
                  <c:v>2335.5</c:v>
                </c:pt>
                <c:pt idx="104">
                  <c:v>2335.5</c:v>
                </c:pt>
                <c:pt idx="105">
                  <c:v>2335.5</c:v>
                </c:pt>
                <c:pt idx="106">
                  <c:v>2334</c:v>
                </c:pt>
                <c:pt idx="107">
                  <c:v>2330</c:v>
                </c:pt>
                <c:pt idx="108">
                  <c:v>2320</c:v>
                </c:pt>
                <c:pt idx="109">
                  <c:v>2275.5</c:v>
                </c:pt>
                <c:pt idx="110">
                  <c:v>2275</c:v>
                </c:pt>
                <c:pt idx="111">
                  <c:v>2275</c:v>
                </c:pt>
                <c:pt idx="112">
                  <c:v>2275</c:v>
                </c:pt>
                <c:pt idx="113">
                  <c:v>2275</c:v>
                </c:pt>
                <c:pt idx="114">
                  <c:v>2200</c:v>
                </c:pt>
                <c:pt idx="115">
                  <c:v>2210</c:v>
                </c:pt>
                <c:pt idx="116">
                  <c:v>2250</c:v>
                </c:pt>
                <c:pt idx="117">
                  <c:v>2251</c:v>
                </c:pt>
                <c:pt idx="118">
                  <c:v>2251</c:v>
                </c:pt>
                <c:pt idx="119">
                  <c:v>2251</c:v>
                </c:pt>
                <c:pt idx="120">
                  <c:v>2250</c:v>
                </c:pt>
                <c:pt idx="121">
                  <c:v>2300</c:v>
                </c:pt>
                <c:pt idx="122">
                  <c:v>2340.5</c:v>
                </c:pt>
                <c:pt idx="123">
                  <c:v>2340</c:v>
                </c:pt>
                <c:pt idx="124">
                  <c:v>2339</c:v>
                </c:pt>
                <c:pt idx="125">
                  <c:v>2339</c:v>
                </c:pt>
                <c:pt idx="126">
                  <c:v>2339</c:v>
                </c:pt>
                <c:pt idx="127">
                  <c:v>2337.5</c:v>
                </c:pt>
                <c:pt idx="128">
                  <c:v>2333.75</c:v>
                </c:pt>
                <c:pt idx="129">
                  <c:v>2332.5</c:v>
                </c:pt>
                <c:pt idx="130">
                  <c:v>2331</c:v>
                </c:pt>
                <c:pt idx="131">
                  <c:v>2330</c:v>
                </c:pt>
                <c:pt idx="132">
                  <c:v>2330</c:v>
                </c:pt>
                <c:pt idx="133">
                  <c:v>2330</c:v>
                </c:pt>
                <c:pt idx="134">
                  <c:v>2329</c:v>
                </c:pt>
                <c:pt idx="135">
                  <c:v>2325</c:v>
                </c:pt>
                <c:pt idx="136">
                  <c:v>2345</c:v>
                </c:pt>
                <c:pt idx="137">
                  <c:v>2356.5</c:v>
                </c:pt>
                <c:pt idx="138">
                  <c:v>2355.25</c:v>
                </c:pt>
                <c:pt idx="139">
                  <c:v>2355.25</c:v>
                </c:pt>
                <c:pt idx="140">
                  <c:v>2355.25</c:v>
                </c:pt>
                <c:pt idx="141">
                  <c:v>2354</c:v>
                </c:pt>
                <c:pt idx="142">
                  <c:v>2350.25</c:v>
                </c:pt>
                <c:pt idx="143">
                  <c:v>2349</c:v>
                </c:pt>
                <c:pt idx="144">
                  <c:v>2347.75</c:v>
                </c:pt>
                <c:pt idx="145">
                  <c:v>2346.5</c:v>
                </c:pt>
                <c:pt idx="146">
                  <c:v>2346.5</c:v>
                </c:pt>
                <c:pt idx="147">
                  <c:v>2346.5</c:v>
                </c:pt>
                <c:pt idx="148">
                  <c:v>2346.5</c:v>
                </c:pt>
                <c:pt idx="149">
                  <c:v>2341.5</c:v>
                </c:pt>
                <c:pt idx="150">
                  <c:v>2340.25</c:v>
                </c:pt>
                <c:pt idx="151">
                  <c:v>2339</c:v>
                </c:pt>
                <c:pt idx="152">
                  <c:v>2337.75</c:v>
                </c:pt>
                <c:pt idx="153">
                  <c:v>2337.75</c:v>
                </c:pt>
                <c:pt idx="154">
                  <c:v>2337.75</c:v>
                </c:pt>
                <c:pt idx="155">
                  <c:v>2336.5</c:v>
                </c:pt>
                <c:pt idx="156">
                  <c:v>2332.75</c:v>
                </c:pt>
                <c:pt idx="157">
                  <c:v>2331.5</c:v>
                </c:pt>
                <c:pt idx="158">
                  <c:v>2330.25</c:v>
                </c:pt>
                <c:pt idx="159">
                  <c:v>2329</c:v>
                </c:pt>
                <c:pt idx="160">
                  <c:v>2329</c:v>
                </c:pt>
                <c:pt idx="161">
                  <c:v>2329</c:v>
                </c:pt>
                <c:pt idx="162">
                  <c:v>2327.75</c:v>
                </c:pt>
                <c:pt idx="163">
                  <c:v>2324</c:v>
                </c:pt>
                <c:pt idx="164">
                  <c:v>2322.75</c:v>
                </c:pt>
                <c:pt idx="165">
                  <c:v>2321.5</c:v>
                </c:pt>
                <c:pt idx="166">
                  <c:v>2320</c:v>
                </c:pt>
                <c:pt idx="167">
                  <c:v>2320</c:v>
                </c:pt>
                <c:pt idx="168">
                  <c:v>2320</c:v>
                </c:pt>
                <c:pt idx="169">
                  <c:v>2319</c:v>
                </c:pt>
                <c:pt idx="170">
                  <c:v>2315</c:v>
                </c:pt>
                <c:pt idx="171">
                  <c:v>2314</c:v>
                </c:pt>
                <c:pt idx="172">
                  <c:v>2312.5</c:v>
                </c:pt>
                <c:pt idx="173">
                  <c:v>2311.5</c:v>
                </c:pt>
                <c:pt idx="174">
                  <c:v>2311.5</c:v>
                </c:pt>
                <c:pt idx="175">
                  <c:v>2311.5</c:v>
                </c:pt>
                <c:pt idx="176">
                  <c:v>2310</c:v>
                </c:pt>
                <c:pt idx="177">
                  <c:v>2065</c:v>
                </c:pt>
                <c:pt idx="178">
                  <c:v>2065</c:v>
                </c:pt>
                <c:pt idx="179">
                  <c:v>2061</c:v>
                </c:pt>
                <c:pt idx="180">
                  <c:v>2060</c:v>
                </c:pt>
                <c:pt idx="181">
                  <c:v>2060</c:v>
                </c:pt>
                <c:pt idx="182">
                  <c:v>2060</c:v>
                </c:pt>
                <c:pt idx="183">
                  <c:v>2060</c:v>
                </c:pt>
                <c:pt idx="184">
                  <c:v>2055</c:v>
                </c:pt>
                <c:pt idx="185">
                  <c:v>2030</c:v>
                </c:pt>
                <c:pt idx="186">
                  <c:v>2017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2015</c:v>
                </c:pt>
                <c:pt idx="191">
                  <c:v>2012</c:v>
                </c:pt>
                <c:pt idx="192">
                  <c:v>2001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2100</c:v>
                </c:pt>
                <c:pt idx="198">
                  <c:v>2200</c:v>
                </c:pt>
                <c:pt idx="199">
                  <c:v>2300</c:v>
                </c:pt>
                <c:pt idx="200">
                  <c:v>2300</c:v>
                </c:pt>
                <c:pt idx="201">
                  <c:v>2300</c:v>
                </c:pt>
                <c:pt idx="202">
                  <c:v>2300</c:v>
                </c:pt>
                <c:pt idx="203">
                  <c:v>2300</c:v>
                </c:pt>
                <c:pt idx="204">
                  <c:v>2390</c:v>
                </c:pt>
                <c:pt idx="205">
                  <c:v>2390</c:v>
                </c:pt>
                <c:pt idx="206">
                  <c:v>2390</c:v>
                </c:pt>
                <c:pt idx="207">
                  <c:v>2390</c:v>
                </c:pt>
                <c:pt idx="208">
                  <c:v>2390</c:v>
                </c:pt>
                <c:pt idx="209">
                  <c:v>2390</c:v>
                </c:pt>
                <c:pt idx="210">
                  <c:v>2390</c:v>
                </c:pt>
                <c:pt idx="211">
                  <c:v>2390</c:v>
                </c:pt>
                <c:pt idx="212">
                  <c:v>2389</c:v>
                </c:pt>
                <c:pt idx="213">
                  <c:v>2388.5</c:v>
                </c:pt>
                <c:pt idx="214">
                  <c:v>2388</c:v>
                </c:pt>
                <c:pt idx="215">
                  <c:v>2388</c:v>
                </c:pt>
                <c:pt idx="216">
                  <c:v>2388</c:v>
                </c:pt>
                <c:pt idx="217">
                  <c:v>2388</c:v>
                </c:pt>
                <c:pt idx="218">
                  <c:v>2388</c:v>
                </c:pt>
                <c:pt idx="219">
                  <c:v>2387</c:v>
                </c:pt>
                <c:pt idx="220">
                  <c:v>2386.5</c:v>
                </c:pt>
                <c:pt idx="221">
                  <c:v>2386.5</c:v>
                </c:pt>
                <c:pt idx="222">
                  <c:v>2386</c:v>
                </c:pt>
                <c:pt idx="223">
                  <c:v>2386</c:v>
                </c:pt>
                <c:pt idx="224">
                  <c:v>2386</c:v>
                </c:pt>
                <c:pt idx="225">
                  <c:v>2386</c:v>
                </c:pt>
                <c:pt idx="226">
                  <c:v>2385.5</c:v>
                </c:pt>
                <c:pt idx="227">
                  <c:v>2385.5</c:v>
                </c:pt>
                <c:pt idx="228">
                  <c:v>2385.5</c:v>
                </c:pt>
                <c:pt idx="229">
                  <c:v>2385.5</c:v>
                </c:pt>
                <c:pt idx="230">
                  <c:v>2385.5</c:v>
                </c:pt>
                <c:pt idx="231">
                  <c:v>2385.5</c:v>
                </c:pt>
                <c:pt idx="232">
                  <c:v>2385.5</c:v>
                </c:pt>
                <c:pt idx="233">
                  <c:v>2385</c:v>
                </c:pt>
                <c:pt idx="234">
                  <c:v>2385</c:v>
                </c:pt>
                <c:pt idx="235">
                  <c:v>2384.5</c:v>
                </c:pt>
                <c:pt idx="236">
                  <c:v>2384.5</c:v>
                </c:pt>
                <c:pt idx="237">
                  <c:v>2384.5</c:v>
                </c:pt>
                <c:pt idx="238">
                  <c:v>2384.5</c:v>
                </c:pt>
                <c:pt idx="239">
                  <c:v>2384.5</c:v>
                </c:pt>
                <c:pt idx="240">
                  <c:v>2384</c:v>
                </c:pt>
                <c:pt idx="241">
                  <c:v>2384</c:v>
                </c:pt>
                <c:pt idx="242">
                  <c:v>2384</c:v>
                </c:pt>
                <c:pt idx="243">
                  <c:v>2383.5</c:v>
                </c:pt>
                <c:pt idx="244">
                  <c:v>2383.5</c:v>
                </c:pt>
                <c:pt idx="245">
                  <c:v>2383.5</c:v>
                </c:pt>
                <c:pt idx="246">
                  <c:v>2383.5</c:v>
                </c:pt>
                <c:pt idx="247">
                  <c:v>2383.5</c:v>
                </c:pt>
                <c:pt idx="248">
                  <c:v>2392.5</c:v>
                </c:pt>
                <c:pt idx="249">
                  <c:v>2392</c:v>
                </c:pt>
                <c:pt idx="250">
                  <c:v>2392</c:v>
                </c:pt>
                <c:pt idx="251">
                  <c:v>2392</c:v>
                </c:pt>
                <c:pt idx="252">
                  <c:v>2392</c:v>
                </c:pt>
                <c:pt idx="253">
                  <c:v>2391.5</c:v>
                </c:pt>
                <c:pt idx="254">
                  <c:v>2390.5</c:v>
                </c:pt>
                <c:pt idx="255">
                  <c:v>2390</c:v>
                </c:pt>
                <c:pt idx="256">
                  <c:v>2389.5</c:v>
                </c:pt>
                <c:pt idx="257">
                  <c:v>2389</c:v>
                </c:pt>
                <c:pt idx="258">
                  <c:v>2389</c:v>
                </c:pt>
                <c:pt idx="259">
                  <c:v>2389</c:v>
                </c:pt>
                <c:pt idx="260">
                  <c:v>2388.5</c:v>
                </c:pt>
                <c:pt idx="261">
                  <c:v>2387.5</c:v>
                </c:pt>
                <c:pt idx="262">
                  <c:v>2387</c:v>
                </c:pt>
                <c:pt idx="263">
                  <c:v>2386.5</c:v>
                </c:pt>
                <c:pt idx="264">
                  <c:v>2388</c:v>
                </c:pt>
                <c:pt idx="265">
                  <c:v>2388</c:v>
                </c:pt>
                <c:pt idx="266">
                  <c:v>2388</c:v>
                </c:pt>
                <c:pt idx="267">
                  <c:v>2415</c:v>
                </c:pt>
                <c:pt idx="268">
                  <c:v>2451.5</c:v>
                </c:pt>
                <c:pt idx="269">
                  <c:v>2450.5</c:v>
                </c:pt>
                <c:pt idx="270">
                  <c:v>2450</c:v>
                </c:pt>
                <c:pt idx="271">
                  <c:v>2450</c:v>
                </c:pt>
                <c:pt idx="272">
                  <c:v>2450</c:v>
                </c:pt>
                <c:pt idx="273">
                  <c:v>2450</c:v>
                </c:pt>
                <c:pt idx="274">
                  <c:v>2479</c:v>
                </c:pt>
                <c:pt idx="275">
                  <c:v>2479</c:v>
                </c:pt>
                <c:pt idx="276">
                  <c:v>2484</c:v>
                </c:pt>
                <c:pt idx="277">
                  <c:v>2485</c:v>
                </c:pt>
                <c:pt idx="278">
                  <c:v>2477.25</c:v>
                </c:pt>
                <c:pt idx="279">
                  <c:v>2477.25</c:v>
                </c:pt>
                <c:pt idx="280">
                  <c:v>2477.25</c:v>
                </c:pt>
                <c:pt idx="281">
                  <c:v>2477.25</c:v>
                </c:pt>
                <c:pt idx="282">
                  <c:v>2476</c:v>
                </c:pt>
                <c:pt idx="283">
                  <c:v>2475.75</c:v>
                </c:pt>
                <c:pt idx="284">
                  <c:v>2475.5</c:v>
                </c:pt>
                <c:pt idx="285">
                  <c:v>2475</c:v>
                </c:pt>
                <c:pt idx="286">
                  <c:v>2475</c:v>
                </c:pt>
                <c:pt idx="287">
                  <c:v>2475</c:v>
                </c:pt>
                <c:pt idx="288">
                  <c:v>2475</c:v>
                </c:pt>
                <c:pt idx="289">
                  <c:v>2474</c:v>
                </c:pt>
                <c:pt idx="290">
                  <c:v>2474</c:v>
                </c:pt>
                <c:pt idx="291">
                  <c:v>2479</c:v>
                </c:pt>
                <c:pt idx="292">
                  <c:v>2478.5</c:v>
                </c:pt>
                <c:pt idx="293">
                  <c:v>2478.5</c:v>
                </c:pt>
                <c:pt idx="294">
                  <c:v>2478.5</c:v>
                </c:pt>
                <c:pt idx="295">
                  <c:v>2478</c:v>
                </c:pt>
                <c:pt idx="296">
                  <c:v>2477</c:v>
                </c:pt>
                <c:pt idx="297">
                  <c:v>2476.5</c:v>
                </c:pt>
                <c:pt idx="298">
                  <c:v>2281</c:v>
                </c:pt>
                <c:pt idx="299">
                  <c:v>2280.5</c:v>
                </c:pt>
                <c:pt idx="300">
                  <c:v>2280.5</c:v>
                </c:pt>
                <c:pt idx="301">
                  <c:v>2280.5</c:v>
                </c:pt>
                <c:pt idx="302">
                  <c:v>2280</c:v>
                </c:pt>
                <c:pt idx="303">
                  <c:v>2270</c:v>
                </c:pt>
                <c:pt idx="304">
                  <c:v>2209</c:v>
                </c:pt>
                <c:pt idx="305">
                  <c:v>2209</c:v>
                </c:pt>
                <c:pt idx="306">
                  <c:v>2208.5</c:v>
                </c:pt>
                <c:pt idx="307">
                  <c:v>2208.5</c:v>
                </c:pt>
                <c:pt idx="308">
                  <c:v>2208.5</c:v>
                </c:pt>
                <c:pt idx="309">
                  <c:v>2223</c:v>
                </c:pt>
                <c:pt idx="310">
                  <c:v>2222</c:v>
                </c:pt>
                <c:pt idx="311">
                  <c:v>2247</c:v>
                </c:pt>
                <c:pt idx="312">
                  <c:v>2267.5</c:v>
                </c:pt>
                <c:pt idx="313">
                  <c:v>2270</c:v>
                </c:pt>
                <c:pt idx="314">
                  <c:v>2270</c:v>
                </c:pt>
                <c:pt idx="315">
                  <c:v>2270</c:v>
                </c:pt>
                <c:pt idx="316">
                  <c:v>2282</c:v>
                </c:pt>
                <c:pt idx="317">
                  <c:v>2284.5</c:v>
                </c:pt>
                <c:pt idx="318">
                  <c:v>2325</c:v>
                </c:pt>
                <c:pt idx="319">
                  <c:v>2325</c:v>
                </c:pt>
                <c:pt idx="320">
                  <c:v>2325</c:v>
                </c:pt>
                <c:pt idx="321">
                  <c:v>2325</c:v>
                </c:pt>
                <c:pt idx="322">
                  <c:v>2325</c:v>
                </c:pt>
                <c:pt idx="323">
                  <c:v>2325</c:v>
                </c:pt>
                <c:pt idx="324">
                  <c:v>2325</c:v>
                </c:pt>
                <c:pt idx="325">
                  <c:v>2325</c:v>
                </c:pt>
                <c:pt idx="326">
                  <c:v>2325</c:v>
                </c:pt>
                <c:pt idx="327">
                  <c:v>2325</c:v>
                </c:pt>
                <c:pt idx="328">
                  <c:v>2325</c:v>
                </c:pt>
                <c:pt idx="329">
                  <c:v>2325</c:v>
                </c:pt>
                <c:pt idx="330">
                  <c:v>2365</c:v>
                </c:pt>
                <c:pt idx="331">
                  <c:v>2365</c:v>
                </c:pt>
                <c:pt idx="332">
                  <c:v>2365</c:v>
                </c:pt>
                <c:pt idx="333">
                  <c:v>2365</c:v>
                </c:pt>
                <c:pt idx="334">
                  <c:v>2375</c:v>
                </c:pt>
                <c:pt idx="335">
                  <c:v>2375</c:v>
                </c:pt>
                <c:pt idx="336">
                  <c:v>2375</c:v>
                </c:pt>
                <c:pt idx="337">
                  <c:v>2395</c:v>
                </c:pt>
                <c:pt idx="338">
                  <c:v>2395</c:v>
                </c:pt>
                <c:pt idx="339">
                  <c:v>2395</c:v>
                </c:pt>
                <c:pt idx="340">
                  <c:v>2395</c:v>
                </c:pt>
                <c:pt idx="341">
                  <c:v>2395</c:v>
                </c:pt>
                <c:pt idx="342">
                  <c:v>2395</c:v>
                </c:pt>
                <c:pt idx="343">
                  <c:v>2395</c:v>
                </c:pt>
                <c:pt idx="344">
                  <c:v>2395</c:v>
                </c:pt>
                <c:pt idx="345">
                  <c:v>2395</c:v>
                </c:pt>
                <c:pt idx="346">
                  <c:v>2395</c:v>
                </c:pt>
                <c:pt idx="347">
                  <c:v>2395</c:v>
                </c:pt>
                <c:pt idx="348">
                  <c:v>2396</c:v>
                </c:pt>
                <c:pt idx="349">
                  <c:v>2396</c:v>
                </c:pt>
                <c:pt idx="350">
                  <c:v>2396</c:v>
                </c:pt>
                <c:pt idx="351">
                  <c:v>2397</c:v>
                </c:pt>
                <c:pt idx="352">
                  <c:v>2398</c:v>
                </c:pt>
                <c:pt idx="353">
                  <c:v>2399</c:v>
                </c:pt>
                <c:pt idx="354">
                  <c:v>2400</c:v>
                </c:pt>
                <c:pt idx="355">
                  <c:v>2323.5</c:v>
                </c:pt>
                <c:pt idx="356">
                  <c:v>2323.5</c:v>
                </c:pt>
                <c:pt idx="357">
                  <c:v>2323.5</c:v>
                </c:pt>
                <c:pt idx="358">
                  <c:v>2323</c:v>
                </c:pt>
                <c:pt idx="359">
                  <c:v>2322.5</c:v>
                </c:pt>
                <c:pt idx="360">
                  <c:v>2322.5</c:v>
                </c:pt>
                <c:pt idx="361">
                  <c:v>2322</c:v>
                </c:pt>
                <c:pt idx="362">
                  <c:v>2323</c:v>
                </c:pt>
                <c:pt idx="363">
                  <c:v>2323</c:v>
                </c:pt>
                <c:pt idx="364">
                  <c:v>2323</c:v>
                </c:pt>
                <c:pt idx="365">
                  <c:v>2324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C7-4EC5-9C94-890115B2441D}"/>
            </c:ext>
          </c:extLst>
        </c:ser>
        <c:ser>
          <c:idx val="5"/>
          <c:order val="5"/>
          <c:tx>
            <c:strRef>
              <c:f>'LME Price'!$K$64</c:f>
              <c:strCache>
                <c:ptCount val="1"/>
                <c:pt idx="0">
                  <c:v>Lead</c:v>
                </c:pt>
              </c:strCache>
            </c:strRef>
          </c:tx>
          <c:spPr>
            <a:ln w="28575" cap="rnd">
              <a:solidFill>
                <a:srgbClr val="FF9600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Price'!$K$66:$K$431</c:f>
              <c:numCache>
                <c:formatCode>General</c:formatCode>
                <c:ptCount val="366"/>
                <c:pt idx="1">
                  <c:v>2126.5</c:v>
                </c:pt>
                <c:pt idx="2">
                  <c:v>2091.2600000000002</c:v>
                </c:pt>
                <c:pt idx="3">
                  <c:v>2056.75</c:v>
                </c:pt>
                <c:pt idx="4">
                  <c:v>2061.75</c:v>
                </c:pt>
                <c:pt idx="5">
                  <c:v>2058.5500000000002</c:v>
                </c:pt>
                <c:pt idx="6">
                  <c:v>2058.5500000000002</c:v>
                </c:pt>
                <c:pt idx="7">
                  <c:v>2058.5500000000002</c:v>
                </c:pt>
                <c:pt idx="8">
                  <c:v>2058.25</c:v>
                </c:pt>
                <c:pt idx="9">
                  <c:v>2060.75</c:v>
                </c:pt>
                <c:pt idx="10">
                  <c:v>2111.25</c:v>
                </c:pt>
                <c:pt idx="11">
                  <c:v>2125.5</c:v>
                </c:pt>
                <c:pt idx="12">
                  <c:v>2143.5</c:v>
                </c:pt>
                <c:pt idx="13">
                  <c:v>2143.5</c:v>
                </c:pt>
                <c:pt idx="14">
                  <c:v>2143.5</c:v>
                </c:pt>
                <c:pt idx="15">
                  <c:v>2094.5</c:v>
                </c:pt>
                <c:pt idx="16">
                  <c:v>2120.5</c:v>
                </c:pt>
                <c:pt idx="17">
                  <c:v>2161.25</c:v>
                </c:pt>
                <c:pt idx="18">
                  <c:v>2124.5</c:v>
                </c:pt>
                <c:pt idx="19">
                  <c:v>2176.25</c:v>
                </c:pt>
                <c:pt idx="20">
                  <c:v>2176.25</c:v>
                </c:pt>
                <c:pt idx="21">
                  <c:v>2176.25</c:v>
                </c:pt>
                <c:pt idx="22">
                  <c:v>2231</c:v>
                </c:pt>
                <c:pt idx="23">
                  <c:v>2272.5</c:v>
                </c:pt>
                <c:pt idx="24">
                  <c:v>2209</c:v>
                </c:pt>
                <c:pt idx="25">
                  <c:v>2186.25</c:v>
                </c:pt>
                <c:pt idx="26">
                  <c:v>2188.5</c:v>
                </c:pt>
                <c:pt idx="27">
                  <c:v>2188.5</c:v>
                </c:pt>
                <c:pt idx="28">
                  <c:v>2188.5</c:v>
                </c:pt>
                <c:pt idx="29">
                  <c:v>2161.5</c:v>
                </c:pt>
                <c:pt idx="30">
                  <c:v>2148</c:v>
                </c:pt>
                <c:pt idx="31">
                  <c:v>2111.5</c:v>
                </c:pt>
                <c:pt idx="32">
                  <c:v>2095</c:v>
                </c:pt>
                <c:pt idx="33">
                  <c:v>2074</c:v>
                </c:pt>
                <c:pt idx="34">
                  <c:v>2074</c:v>
                </c:pt>
                <c:pt idx="35">
                  <c:v>2074</c:v>
                </c:pt>
                <c:pt idx="36">
                  <c:v>2052</c:v>
                </c:pt>
                <c:pt idx="37">
                  <c:v>2049.75</c:v>
                </c:pt>
                <c:pt idx="38">
                  <c:v>2034.5</c:v>
                </c:pt>
                <c:pt idx="39">
                  <c:v>2035.5</c:v>
                </c:pt>
                <c:pt idx="40">
                  <c:v>2038.5</c:v>
                </c:pt>
                <c:pt idx="41">
                  <c:v>2038.5</c:v>
                </c:pt>
                <c:pt idx="42">
                  <c:v>2038.5</c:v>
                </c:pt>
                <c:pt idx="43">
                  <c:v>1995.5</c:v>
                </c:pt>
                <c:pt idx="44">
                  <c:v>2011.53</c:v>
                </c:pt>
                <c:pt idx="45">
                  <c:v>2064.75</c:v>
                </c:pt>
                <c:pt idx="46">
                  <c:v>2078.25</c:v>
                </c:pt>
                <c:pt idx="47">
                  <c:v>2078.25</c:v>
                </c:pt>
                <c:pt idx="48">
                  <c:v>2078.25</c:v>
                </c:pt>
                <c:pt idx="49">
                  <c:v>2078.25</c:v>
                </c:pt>
                <c:pt idx="50">
                  <c:v>2073</c:v>
                </c:pt>
                <c:pt idx="51">
                  <c:v>2046.75</c:v>
                </c:pt>
                <c:pt idx="52">
                  <c:v>2071.5</c:v>
                </c:pt>
                <c:pt idx="53">
                  <c:v>2092</c:v>
                </c:pt>
                <c:pt idx="54">
                  <c:v>2104.61</c:v>
                </c:pt>
                <c:pt idx="55">
                  <c:v>2104.61</c:v>
                </c:pt>
                <c:pt idx="56">
                  <c:v>2104.61</c:v>
                </c:pt>
                <c:pt idx="57">
                  <c:v>2061.25</c:v>
                </c:pt>
                <c:pt idx="58">
                  <c:v>2051.1999999999998</c:v>
                </c:pt>
                <c:pt idx="59">
                  <c:v>2031.25</c:v>
                </c:pt>
                <c:pt idx="60">
                  <c:v>2057.5</c:v>
                </c:pt>
                <c:pt idx="61">
                  <c:v>2067.75</c:v>
                </c:pt>
                <c:pt idx="62">
                  <c:v>2067.75</c:v>
                </c:pt>
                <c:pt idx="63">
                  <c:v>2067.75</c:v>
                </c:pt>
                <c:pt idx="64">
                  <c:v>2100.1</c:v>
                </c:pt>
                <c:pt idx="65">
                  <c:v>2129.6999999999998</c:v>
                </c:pt>
                <c:pt idx="66">
                  <c:v>2132.14</c:v>
                </c:pt>
                <c:pt idx="67">
                  <c:v>2106.5</c:v>
                </c:pt>
                <c:pt idx="68">
                  <c:v>2106.5</c:v>
                </c:pt>
                <c:pt idx="69">
                  <c:v>2106.5</c:v>
                </c:pt>
                <c:pt idx="70">
                  <c:v>2106.5</c:v>
                </c:pt>
                <c:pt idx="71">
                  <c:v>2088</c:v>
                </c:pt>
                <c:pt idx="72">
                  <c:v>2127.75</c:v>
                </c:pt>
                <c:pt idx="73">
                  <c:v>2176.5</c:v>
                </c:pt>
                <c:pt idx="74">
                  <c:v>2173.5</c:v>
                </c:pt>
                <c:pt idx="75">
                  <c:v>2173.5</c:v>
                </c:pt>
                <c:pt idx="76">
                  <c:v>2173.5</c:v>
                </c:pt>
                <c:pt idx="77">
                  <c:v>2173.5</c:v>
                </c:pt>
                <c:pt idx="78">
                  <c:v>2121.85</c:v>
                </c:pt>
                <c:pt idx="79">
                  <c:v>2121.75</c:v>
                </c:pt>
                <c:pt idx="80">
                  <c:v>2130.7600000000002</c:v>
                </c:pt>
                <c:pt idx="81">
                  <c:v>2176.5</c:v>
                </c:pt>
                <c:pt idx="82">
                  <c:v>2196.25</c:v>
                </c:pt>
                <c:pt idx="83">
                  <c:v>2196.25</c:v>
                </c:pt>
                <c:pt idx="84">
                  <c:v>2196.25</c:v>
                </c:pt>
                <c:pt idx="85">
                  <c:v>2184</c:v>
                </c:pt>
                <c:pt idx="86">
                  <c:v>2178.5</c:v>
                </c:pt>
                <c:pt idx="87">
                  <c:v>2178</c:v>
                </c:pt>
                <c:pt idx="88">
                  <c:v>2138.25</c:v>
                </c:pt>
                <c:pt idx="89">
                  <c:v>2198</c:v>
                </c:pt>
                <c:pt idx="90">
                  <c:v>2198</c:v>
                </c:pt>
                <c:pt idx="91">
                  <c:v>2198</c:v>
                </c:pt>
                <c:pt idx="92">
                  <c:v>2178.5</c:v>
                </c:pt>
                <c:pt idx="93">
                  <c:v>2154.9</c:v>
                </c:pt>
                <c:pt idx="94">
                  <c:v>2104.5</c:v>
                </c:pt>
                <c:pt idx="95">
                  <c:v>2103.7399999999998</c:v>
                </c:pt>
                <c:pt idx="96">
                  <c:v>2103.7399999999998</c:v>
                </c:pt>
                <c:pt idx="97">
                  <c:v>2103.7399999999998</c:v>
                </c:pt>
                <c:pt idx="98">
                  <c:v>2103.7399999999998</c:v>
                </c:pt>
                <c:pt idx="99">
                  <c:v>2103.7399999999998</c:v>
                </c:pt>
                <c:pt idx="100">
                  <c:v>2115.5</c:v>
                </c:pt>
                <c:pt idx="101">
                  <c:v>2116.75</c:v>
                </c:pt>
                <c:pt idx="102">
                  <c:v>2118.5</c:v>
                </c:pt>
                <c:pt idx="103">
                  <c:v>2123.25</c:v>
                </c:pt>
                <c:pt idx="104">
                  <c:v>2123.25</c:v>
                </c:pt>
                <c:pt idx="105">
                  <c:v>2123.25</c:v>
                </c:pt>
                <c:pt idx="106">
                  <c:v>2161.5</c:v>
                </c:pt>
                <c:pt idx="107">
                  <c:v>2168.25</c:v>
                </c:pt>
                <c:pt idx="108">
                  <c:v>2156.25</c:v>
                </c:pt>
                <c:pt idx="109">
                  <c:v>2154.25</c:v>
                </c:pt>
                <c:pt idx="110">
                  <c:v>2149.5</c:v>
                </c:pt>
                <c:pt idx="111">
                  <c:v>2149.5</c:v>
                </c:pt>
                <c:pt idx="112">
                  <c:v>2149.5</c:v>
                </c:pt>
                <c:pt idx="113">
                  <c:v>2144.5</c:v>
                </c:pt>
                <c:pt idx="114">
                  <c:v>2147.75</c:v>
                </c:pt>
                <c:pt idx="115">
                  <c:v>2119</c:v>
                </c:pt>
                <c:pt idx="116">
                  <c:v>2134</c:v>
                </c:pt>
                <c:pt idx="117">
                  <c:v>2090.25</c:v>
                </c:pt>
                <c:pt idx="118">
                  <c:v>2090.25</c:v>
                </c:pt>
                <c:pt idx="119">
                  <c:v>2090.25</c:v>
                </c:pt>
                <c:pt idx="120">
                  <c:v>2058</c:v>
                </c:pt>
                <c:pt idx="121">
                  <c:v>2062.75</c:v>
                </c:pt>
                <c:pt idx="122">
                  <c:v>2079.5500000000002</c:v>
                </c:pt>
                <c:pt idx="123">
                  <c:v>2077.4</c:v>
                </c:pt>
                <c:pt idx="124">
                  <c:v>2075.5</c:v>
                </c:pt>
                <c:pt idx="125">
                  <c:v>2075.5</c:v>
                </c:pt>
                <c:pt idx="126">
                  <c:v>2075.5</c:v>
                </c:pt>
                <c:pt idx="127">
                  <c:v>2082.25</c:v>
                </c:pt>
                <c:pt idx="128">
                  <c:v>2086.5</c:v>
                </c:pt>
                <c:pt idx="129">
                  <c:v>2082</c:v>
                </c:pt>
                <c:pt idx="130">
                  <c:v>2115.65</c:v>
                </c:pt>
                <c:pt idx="131">
                  <c:v>2117.5</c:v>
                </c:pt>
                <c:pt idx="132">
                  <c:v>2117.5</c:v>
                </c:pt>
                <c:pt idx="133">
                  <c:v>2117.5</c:v>
                </c:pt>
                <c:pt idx="134">
                  <c:v>2123</c:v>
                </c:pt>
                <c:pt idx="135">
                  <c:v>2140.5</c:v>
                </c:pt>
                <c:pt idx="136">
                  <c:v>2103</c:v>
                </c:pt>
                <c:pt idx="137">
                  <c:v>2117.25</c:v>
                </c:pt>
                <c:pt idx="138">
                  <c:v>2077.75</c:v>
                </c:pt>
                <c:pt idx="139">
                  <c:v>2077.75</c:v>
                </c:pt>
                <c:pt idx="140">
                  <c:v>2077.75</c:v>
                </c:pt>
                <c:pt idx="141">
                  <c:v>2050.25</c:v>
                </c:pt>
                <c:pt idx="142">
                  <c:v>2097.5</c:v>
                </c:pt>
                <c:pt idx="143">
                  <c:v>2141.9899999999998</c:v>
                </c:pt>
                <c:pt idx="144">
                  <c:v>2151.5100000000002</c:v>
                </c:pt>
                <c:pt idx="145">
                  <c:v>2056.25</c:v>
                </c:pt>
                <c:pt idx="146">
                  <c:v>2056.25</c:v>
                </c:pt>
                <c:pt idx="147">
                  <c:v>2056.25</c:v>
                </c:pt>
                <c:pt idx="148">
                  <c:v>2016.75</c:v>
                </c:pt>
                <c:pt idx="149">
                  <c:v>2039.75</c:v>
                </c:pt>
                <c:pt idx="150">
                  <c:v>2086</c:v>
                </c:pt>
                <c:pt idx="151">
                  <c:v>2087.5</c:v>
                </c:pt>
                <c:pt idx="152">
                  <c:v>2068.75</c:v>
                </c:pt>
                <c:pt idx="153">
                  <c:v>2068.75</c:v>
                </c:pt>
                <c:pt idx="154">
                  <c:v>2068.75</c:v>
                </c:pt>
                <c:pt idx="155">
                  <c:v>2126.25</c:v>
                </c:pt>
                <c:pt idx="156">
                  <c:v>2135</c:v>
                </c:pt>
                <c:pt idx="157">
                  <c:v>2086</c:v>
                </c:pt>
                <c:pt idx="158">
                  <c:v>2087.75</c:v>
                </c:pt>
                <c:pt idx="159">
                  <c:v>2084.25</c:v>
                </c:pt>
                <c:pt idx="160">
                  <c:v>2084.25</c:v>
                </c:pt>
                <c:pt idx="161">
                  <c:v>2084.25</c:v>
                </c:pt>
                <c:pt idx="162">
                  <c:v>2120.75</c:v>
                </c:pt>
                <c:pt idx="163">
                  <c:v>2127</c:v>
                </c:pt>
                <c:pt idx="164">
                  <c:v>2128.5</c:v>
                </c:pt>
                <c:pt idx="165">
                  <c:v>2151.5</c:v>
                </c:pt>
                <c:pt idx="166">
                  <c:v>2182.25</c:v>
                </c:pt>
                <c:pt idx="167">
                  <c:v>2182.25</c:v>
                </c:pt>
                <c:pt idx="168">
                  <c:v>2182.25</c:v>
                </c:pt>
                <c:pt idx="169">
                  <c:v>2205.5</c:v>
                </c:pt>
                <c:pt idx="170">
                  <c:v>2158.25</c:v>
                </c:pt>
                <c:pt idx="171">
                  <c:v>2120.6</c:v>
                </c:pt>
                <c:pt idx="172">
                  <c:v>2049</c:v>
                </c:pt>
                <c:pt idx="173">
                  <c:v>2086.25</c:v>
                </c:pt>
                <c:pt idx="174">
                  <c:v>2086.25</c:v>
                </c:pt>
                <c:pt idx="175">
                  <c:v>2086.25</c:v>
                </c:pt>
                <c:pt idx="176">
                  <c:v>2144</c:v>
                </c:pt>
                <c:pt idx="177">
                  <c:v>2188.2600000000002</c:v>
                </c:pt>
                <c:pt idx="178">
                  <c:v>2239</c:v>
                </c:pt>
                <c:pt idx="179">
                  <c:v>2249</c:v>
                </c:pt>
                <c:pt idx="180">
                  <c:v>2271</c:v>
                </c:pt>
                <c:pt idx="181">
                  <c:v>2271</c:v>
                </c:pt>
                <c:pt idx="182">
                  <c:v>2271</c:v>
                </c:pt>
                <c:pt idx="183">
                  <c:v>2212</c:v>
                </c:pt>
                <c:pt idx="184">
                  <c:v>2204</c:v>
                </c:pt>
                <c:pt idx="185">
                  <c:v>2213.25</c:v>
                </c:pt>
                <c:pt idx="186">
                  <c:v>2264</c:v>
                </c:pt>
                <c:pt idx="187">
                  <c:v>2231.2600000000002</c:v>
                </c:pt>
                <c:pt idx="188">
                  <c:v>2231.2600000000002</c:v>
                </c:pt>
                <c:pt idx="189">
                  <c:v>2231.2600000000002</c:v>
                </c:pt>
                <c:pt idx="190">
                  <c:v>2264.75</c:v>
                </c:pt>
                <c:pt idx="191">
                  <c:v>2331</c:v>
                </c:pt>
                <c:pt idx="192">
                  <c:v>2333</c:v>
                </c:pt>
                <c:pt idx="193">
                  <c:v>2336.5</c:v>
                </c:pt>
                <c:pt idx="194">
                  <c:v>2336.5</c:v>
                </c:pt>
                <c:pt idx="195">
                  <c:v>2336.5</c:v>
                </c:pt>
                <c:pt idx="196">
                  <c:v>2336.5</c:v>
                </c:pt>
                <c:pt idx="197">
                  <c:v>2315.5</c:v>
                </c:pt>
                <c:pt idx="198">
                  <c:v>2264.75</c:v>
                </c:pt>
                <c:pt idx="199">
                  <c:v>2322.5</c:v>
                </c:pt>
                <c:pt idx="200">
                  <c:v>2322.5</c:v>
                </c:pt>
                <c:pt idx="201">
                  <c:v>2322.5</c:v>
                </c:pt>
                <c:pt idx="202">
                  <c:v>2322.5</c:v>
                </c:pt>
                <c:pt idx="203">
                  <c:v>2322.5</c:v>
                </c:pt>
                <c:pt idx="204">
                  <c:v>2253.75</c:v>
                </c:pt>
                <c:pt idx="205">
                  <c:v>2252.25</c:v>
                </c:pt>
                <c:pt idx="206">
                  <c:v>2194</c:v>
                </c:pt>
                <c:pt idx="207">
                  <c:v>2173</c:v>
                </c:pt>
                <c:pt idx="208">
                  <c:v>2155.25</c:v>
                </c:pt>
                <c:pt idx="209">
                  <c:v>2155.25</c:v>
                </c:pt>
                <c:pt idx="210">
                  <c:v>2155.25</c:v>
                </c:pt>
                <c:pt idx="211">
                  <c:v>2146.5</c:v>
                </c:pt>
                <c:pt idx="212">
                  <c:v>2171.5</c:v>
                </c:pt>
                <c:pt idx="213">
                  <c:v>2197.25</c:v>
                </c:pt>
                <c:pt idx="214">
                  <c:v>2177.5</c:v>
                </c:pt>
                <c:pt idx="215">
                  <c:v>2192</c:v>
                </c:pt>
                <c:pt idx="216">
                  <c:v>2192</c:v>
                </c:pt>
                <c:pt idx="217">
                  <c:v>2192</c:v>
                </c:pt>
                <c:pt idx="218">
                  <c:v>2198.75</c:v>
                </c:pt>
                <c:pt idx="219">
                  <c:v>2196.25</c:v>
                </c:pt>
                <c:pt idx="220">
                  <c:v>2206.5</c:v>
                </c:pt>
                <c:pt idx="221">
                  <c:v>2225</c:v>
                </c:pt>
                <c:pt idx="222">
                  <c:v>2189.75</c:v>
                </c:pt>
                <c:pt idx="223">
                  <c:v>2189.75</c:v>
                </c:pt>
                <c:pt idx="224">
                  <c:v>2189.75</c:v>
                </c:pt>
                <c:pt idx="225">
                  <c:v>2161</c:v>
                </c:pt>
                <c:pt idx="226">
                  <c:v>2181.75</c:v>
                </c:pt>
                <c:pt idx="227">
                  <c:v>2123</c:v>
                </c:pt>
                <c:pt idx="228">
                  <c:v>2103.5</c:v>
                </c:pt>
                <c:pt idx="229">
                  <c:v>2105.5</c:v>
                </c:pt>
                <c:pt idx="230">
                  <c:v>2105.5</c:v>
                </c:pt>
                <c:pt idx="231">
                  <c:v>2105.5</c:v>
                </c:pt>
                <c:pt idx="232">
                  <c:v>2119.25</c:v>
                </c:pt>
                <c:pt idx="233">
                  <c:v>2094.5</c:v>
                </c:pt>
                <c:pt idx="234">
                  <c:v>2077</c:v>
                </c:pt>
                <c:pt idx="235">
                  <c:v>2082.25</c:v>
                </c:pt>
                <c:pt idx="236">
                  <c:v>2141.0500000000002</c:v>
                </c:pt>
                <c:pt idx="237">
                  <c:v>2141.0500000000002</c:v>
                </c:pt>
                <c:pt idx="238">
                  <c:v>2141.0500000000002</c:v>
                </c:pt>
                <c:pt idx="239">
                  <c:v>2139</c:v>
                </c:pt>
                <c:pt idx="240">
                  <c:v>2166.75</c:v>
                </c:pt>
                <c:pt idx="241">
                  <c:v>2220.75</c:v>
                </c:pt>
                <c:pt idx="242">
                  <c:v>2194.5</c:v>
                </c:pt>
                <c:pt idx="243">
                  <c:v>2165.5</c:v>
                </c:pt>
                <c:pt idx="244">
                  <c:v>2165.5</c:v>
                </c:pt>
                <c:pt idx="245">
                  <c:v>2165.5</c:v>
                </c:pt>
                <c:pt idx="246">
                  <c:v>2099.5</c:v>
                </c:pt>
                <c:pt idx="247">
                  <c:v>2085</c:v>
                </c:pt>
                <c:pt idx="248">
                  <c:v>2060.5</c:v>
                </c:pt>
                <c:pt idx="249">
                  <c:v>2041.75</c:v>
                </c:pt>
                <c:pt idx="250">
                  <c:v>2005.55</c:v>
                </c:pt>
                <c:pt idx="251">
                  <c:v>2005.55</c:v>
                </c:pt>
                <c:pt idx="252">
                  <c:v>2005.55</c:v>
                </c:pt>
                <c:pt idx="253">
                  <c:v>2005.5</c:v>
                </c:pt>
                <c:pt idx="254">
                  <c:v>2000.99</c:v>
                </c:pt>
                <c:pt idx="255">
                  <c:v>1986.75</c:v>
                </c:pt>
                <c:pt idx="256">
                  <c:v>1977.58</c:v>
                </c:pt>
                <c:pt idx="257">
                  <c:v>1870.5</c:v>
                </c:pt>
                <c:pt idx="258">
                  <c:v>1870.5</c:v>
                </c:pt>
                <c:pt idx="259">
                  <c:v>1870.5</c:v>
                </c:pt>
                <c:pt idx="260">
                  <c:v>1870.5</c:v>
                </c:pt>
                <c:pt idx="261">
                  <c:v>1899.25</c:v>
                </c:pt>
                <c:pt idx="262">
                  <c:v>1880</c:v>
                </c:pt>
                <c:pt idx="263">
                  <c:v>1904</c:v>
                </c:pt>
                <c:pt idx="264">
                  <c:v>1911.5</c:v>
                </c:pt>
                <c:pt idx="265">
                  <c:v>1911.5</c:v>
                </c:pt>
                <c:pt idx="266">
                  <c:v>1911.5</c:v>
                </c:pt>
                <c:pt idx="267">
                  <c:v>2000.5</c:v>
                </c:pt>
                <c:pt idx="268">
                  <c:v>2018.25</c:v>
                </c:pt>
                <c:pt idx="269">
                  <c:v>2049.5</c:v>
                </c:pt>
                <c:pt idx="270">
                  <c:v>2062.5</c:v>
                </c:pt>
                <c:pt idx="271">
                  <c:v>2075.5</c:v>
                </c:pt>
                <c:pt idx="272">
                  <c:v>2075.5</c:v>
                </c:pt>
                <c:pt idx="273">
                  <c:v>2075.5</c:v>
                </c:pt>
                <c:pt idx="274">
                  <c:v>2092</c:v>
                </c:pt>
                <c:pt idx="275">
                  <c:v>2076.25</c:v>
                </c:pt>
                <c:pt idx="276">
                  <c:v>2057.4899999999998</c:v>
                </c:pt>
                <c:pt idx="277">
                  <c:v>2116</c:v>
                </c:pt>
                <c:pt idx="278">
                  <c:v>2116</c:v>
                </c:pt>
                <c:pt idx="279">
                  <c:v>2116</c:v>
                </c:pt>
                <c:pt idx="280">
                  <c:v>2116</c:v>
                </c:pt>
                <c:pt idx="281">
                  <c:v>2081.25</c:v>
                </c:pt>
                <c:pt idx="282">
                  <c:v>2075.25</c:v>
                </c:pt>
                <c:pt idx="283">
                  <c:v>1958.5</c:v>
                </c:pt>
                <c:pt idx="284">
                  <c:v>1863.25</c:v>
                </c:pt>
                <c:pt idx="285">
                  <c:v>1912.15</c:v>
                </c:pt>
                <c:pt idx="286">
                  <c:v>1912.15</c:v>
                </c:pt>
                <c:pt idx="287">
                  <c:v>1912.15</c:v>
                </c:pt>
                <c:pt idx="288">
                  <c:v>1877</c:v>
                </c:pt>
                <c:pt idx="289">
                  <c:v>1830.5</c:v>
                </c:pt>
                <c:pt idx="290">
                  <c:v>1737.5</c:v>
                </c:pt>
                <c:pt idx="291">
                  <c:v>1739</c:v>
                </c:pt>
                <c:pt idx="292">
                  <c:v>1787.5</c:v>
                </c:pt>
                <c:pt idx="293">
                  <c:v>1787.5</c:v>
                </c:pt>
                <c:pt idx="294">
                  <c:v>1787.5</c:v>
                </c:pt>
                <c:pt idx="295">
                  <c:v>1837.26</c:v>
                </c:pt>
                <c:pt idx="296">
                  <c:v>1820</c:v>
                </c:pt>
                <c:pt idx="297">
                  <c:v>1862.25</c:v>
                </c:pt>
                <c:pt idx="298">
                  <c:v>1865.5</c:v>
                </c:pt>
                <c:pt idx="299">
                  <c:v>1874</c:v>
                </c:pt>
                <c:pt idx="300">
                  <c:v>1874</c:v>
                </c:pt>
                <c:pt idx="301">
                  <c:v>1874</c:v>
                </c:pt>
                <c:pt idx="302">
                  <c:v>1906.25</c:v>
                </c:pt>
                <c:pt idx="303">
                  <c:v>1954.75</c:v>
                </c:pt>
                <c:pt idx="304">
                  <c:v>1948</c:v>
                </c:pt>
                <c:pt idx="305">
                  <c:v>1944.12</c:v>
                </c:pt>
                <c:pt idx="306">
                  <c:v>1915.25</c:v>
                </c:pt>
                <c:pt idx="307">
                  <c:v>1915.25</c:v>
                </c:pt>
                <c:pt idx="308">
                  <c:v>1915.25</c:v>
                </c:pt>
                <c:pt idx="309">
                  <c:v>1880.75</c:v>
                </c:pt>
                <c:pt idx="310">
                  <c:v>1901</c:v>
                </c:pt>
                <c:pt idx="311">
                  <c:v>1891.7</c:v>
                </c:pt>
                <c:pt idx="312">
                  <c:v>1873.25</c:v>
                </c:pt>
                <c:pt idx="313">
                  <c:v>1885.25</c:v>
                </c:pt>
                <c:pt idx="314">
                  <c:v>1885.25</c:v>
                </c:pt>
                <c:pt idx="315">
                  <c:v>1885.25</c:v>
                </c:pt>
                <c:pt idx="316">
                  <c:v>1899.25</c:v>
                </c:pt>
                <c:pt idx="317">
                  <c:v>1946.25</c:v>
                </c:pt>
                <c:pt idx="318">
                  <c:v>1983.5</c:v>
                </c:pt>
                <c:pt idx="319">
                  <c:v>1983.61</c:v>
                </c:pt>
                <c:pt idx="320">
                  <c:v>1983.61</c:v>
                </c:pt>
                <c:pt idx="321">
                  <c:v>1983.61</c:v>
                </c:pt>
                <c:pt idx="322">
                  <c:v>1983.61</c:v>
                </c:pt>
                <c:pt idx="323">
                  <c:v>1972.44</c:v>
                </c:pt>
                <c:pt idx="324">
                  <c:v>1967.5</c:v>
                </c:pt>
                <c:pt idx="325">
                  <c:v>1969.75</c:v>
                </c:pt>
                <c:pt idx="326">
                  <c:v>2008.75</c:v>
                </c:pt>
                <c:pt idx="327">
                  <c:v>2038</c:v>
                </c:pt>
                <c:pt idx="328">
                  <c:v>2038</c:v>
                </c:pt>
                <c:pt idx="329">
                  <c:v>2038</c:v>
                </c:pt>
                <c:pt idx="330">
                  <c:v>2068</c:v>
                </c:pt>
                <c:pt idx="331">
                  <c:v>2112.75</c:v>
                </c:pt>
                <c:pt idx="332">
                  <c:v>2157.5</c:v>
                </c:pt>
                <c:pt idx="333">
                  <c:v>2173.5</c:v>
                </c:pt>
                <c:pt idx="334">
                  <c:v>2189.75</c:v>
                </c:pt>
                <c:pt idx="335">
                  <c:v>2189.75</c:v>
                </c:pt>
                <c:pt idx="336">
                  <c:v>2189.75</c:v>
                </c:pt>
                <c:pt idx="337">
                  <c:v>2208.5</c:v>
                </c:pt>
                <c:pt idx="338">
                  <c:v>2188</c:v>
                </c:pt>
                <c:pt idx="339">
                  <c:v>2178.5</c:v>
                </c:pt>
                <c:pt idx="340">
                  <c:v>2187</c:v>
                </c:pt>
                <c:pt idx="341">
                  <c:v>2094.75</c:v>
                </c:pt>
                <c:pt idx="342">
                  <c:v>2094.75</c:v>
                </c:pt>
                <c:pt idx="343">
                  <c:v>2094.75</c:v>
                </c:pt>
                <c:pt idx="344">
                  <c:v>2022.5</c:v>
                </c:pt>
                <c:pt idx="345">
                  <c:v>2022.5</c:v>
                </c:pt>
                <c:pt idx="346">
                  <c:v>2049</c:v>
                </c:pt>
                <c:pt idx="347">
                  <c:v>2057.75</c:v>
                </c:pt>
                <c:pt idx="348">
                  <c:v>2037.25</c:v>
                </c:pt>
                <c:pt idx="349">
                  <c:v>2037.25</c:v>
                </c:pt>
                <c:pt idx="350">
                  <c:v>2037.25</c:v>
                </c:pt>
                <c:pt idx="351">
                  <c:v>2001.48</c:v>
                </c:pt>
                <c:pt idx="352">
                  <c:v>2020</c:v>
                </c:pt>
                <c:pt idx="353">
                  <c:v>2034</c:v>
                </c:pt>
                <c:pt idx="354">
                  <c:v>2014.5</c:v>
                </c:pt>
                <c:pt idx="355">
                  <c:v>2023.75</c:v>
                </c:pt>
                <c:pt idx="356">
                  <c:v>2023.75</c:v>
                </c:pt>
                <c:pt idx="357">
                  <c:v>2023.75</c:v>
                </c:pt>
                <c:pt idx="358">
                  <c:v>2024.24</c:v>
                </c:pt>
                <c:pt idx="359">
                  <c:v>2045.25</c:v>
                </c:pt>
                <c:pt idx="360">
                  <c:v>1993.25</c:v>
                </c:pt>
                <c:pt idx="361">
                  <c:v>2015</c:v>
                </c:pt>
                <c:pt idx="362">
                  <c:v>1966.15</c:v>
                </c:pt>
                <c:pt idx="363">
                  <c:v>1966.15</c:v>
                </c:pt>
                <c:pt idx="364">
                  <c:v>1966.15</c:v>
                </c:pt>
                <c:pt idx="365">
                  <c:v>1855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EC7-4EC5-9C94-890115B2441D}"/>
            </c:ext>
          </c:extLst>
        </c:ser>
        <c:ser>
          <c:idx val="7"/>
          <c:order val="7"/>
          <c:tx>
            <c:strRef>
              <c:f>'LME Price'!$M$64</c:f>
              <c:strCache>
                <c:ptCount val="1"/>
                <c:pt idx="0">
                  <c:v>Zinc</c:v>
                </c:pt>
              </c:strCache>
            </c:strRef>
          </c:tx>
          <c:spPr>
            <a:ln w="28575" cap="rnd">
              <a:solidFill>
                <a:srgbClr val="00C4FF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Price'!$M$66:$M$431</c:f>
              <c:numCache>
                <c:formatCode>General</c:formatCode>
                <c:ptCount val="366"/>
                <c:pt idx="1">
                  <c:v>2460.25</c:v>
                </c:pt>
                <c:pt idx="2">
                  <c:v>2411</c:v>
                </c:pt>
                <c:pt idx="3">
                  <c:v>2340.89</c:v>
                </c:pt>
                <c:pt idx="4">
                  <c:v>2335</c:v>
                </c:pt>
                <c:pt idx="5">
                  <c:v>2352.75</c:v>
                </c:pt>
                <c:pt idx="6">
                  <c:v>2352.75</c:v>
                </c:pt>
                <c:pt idx="7">
                  <c:v>2352.75</c:v>
                </c:pt>
                <c:pt idx="8">
                  <c:v>2356.75</c:v>
                </c:pt>
                <c:pt idx="9">
                  <c:v>2351</c:v>
                </c:pt>
                <c:pt idx="10">
                  <c:v>2403</c:v>
                </c:pt>
                <c:pt idx="11">
                  <c:v>2355.25</c:v>
                </c:pt>
                <c:pt idx="12">
                  <c:v>2382.25</c:v>
                </c:pt>
                <c:pt idx="13">
                  <c:v>2382.25</c:v>
                </c:pt>
                <c:pt idx="14">
                  <c:v>2382.25</c:v>
                </c:pt>
                <c:pt idx="15">
                  <c:v>2336</c:v>
                </c:pt>
                <c:pt idx="16">
                  <c:v>2340.5100000000002</c:v>
                </c:pt>
                <c:pt idx="17">
                  <c:v>2378.25</c:v>
                </c:pt>
                <c:pt idx="18">
                  <c:v>2318.25</c:v>
                </c:pt>
                <c:pt idx="19">
                  <c:v>2351.25</c:v>
                </c:pt>
                <c:pt idx="20">
                  <c:v>2351.25</c:v>
                </c:pt>
                <c:pt idx="21">
                  <c:v>2351.25</c:v>
                </c:pt>
                <c:pt idx="22">
                  <c:v>2445</c:v>
                </c:pt>
                <c:pt idx="23">
                  <c:v>2406.4899999999998</c:v>
                </c:pt>
                <c:pt idx="24">
                  <c:v>2342.5</c:v>
                </c:pt>
                <c:pt idx="25">
                  <c:v>2421.5</c:v>
                </c:pt>
                <c:pt idx="26">
                  <c:v>2477.3000000000002</c:v>
                </c:pt>
                <c:pt idx="27">
                  <c:v>2477.3000000000002</c:v>
                </c:pt>
                <c:pt idx="28">
                  <c:v>2477.3000000000002</c:v>
                </c:pt>
                <c:pt idx="29">
                  <c:v>2480.5</c:v>
                </c:pt>
                <c:pt idx="30">
                  <c:v>2488</c:v>
                </c:pt>
                <c:pt idx="31">
                  <c:v>2383.5</c:v>
                </c:pt>
                <c:pt idx="32">
                  <c:v>2347.25</c:v>
                </c:pt>
                <c:pt idx="33">
                  <c:v>2401</c:v>
                </c:pt>
                <c:pt idx="34">
                  <c:v>2401</c:v>
                </c:pt>
                <c:pt idx="35">
                  <c:v>2401</c:v>
                </c:pt>
                <c:pt idx="36">
                  <c:v>2407</c:v>
                </c:pt>
                <c:pt idx="37">
                  <c:v>2399.1</c:v>
                </c:pt>
                <c:pt idx="38">
                  <c:v>2322.5</c:v>
                </c:pt>
                <c:pt idx="39">
                  <c:v>2280.5</c:v>
                </c:pt>
                <c:pt idx="40">
                  <c:v>2301</c:v>
                </c:pt>
                <c:pt idx="41">
                  <c:v>2301</c:v>
                </c:pt>
                <c:pt idx="42">
                  <c:v>2301</c:v>
                </c:pt>
                <c:pt idx="43">
                  <c:v>2250.25</c:v>
                </c:pt>
                <c:pt idx="44">
                  <c:v>2229.75</c:v>
                </c:pt>
                <c:pt idx="45">
                  <c:v>2287.77</c:v>
                </c:pt>
                <c:pt idx="46">
                  <c:v>2329.25</c:v>
                </c:pt>
                <c:pt idx="47">
                  <c:v>2329.25</c:v>
                </c:pt>
                <c:pt idx="48">
                  <c:v>2329.25</c:v>
                </c:pt>
                <c:pt idx="49">
                  <c:v>2329.25</c:v>
                </c:pt>
                <c:pt idx="50">
                  <c:v>2259</c:v>
                </c:pt>
                <c:pt idx="51">
                  <c:v>2305.25</c:v>
                </c:pt>
                <c:pt idx="52">
                  <c:v>2367.5</c:v>
                </c:pt>
                <c:pt idx="53">
                  <c:v>2426</c:v>
                </c:pt>
                <c:pt idx="54">
                  <c:v>2476.5</c:v>
                </c:pt>
                <c:pt idx="55">
                  <c:v>2476.5</c:v>
                </c:pt>
                <c:pt idx="56">
                  <c:v>2476.5</c:v>
                </c:pt>
                <c:pt idx="57">
                  <c:v>2450</c:v>
                </c:pt>
                <c:pt idx="58">
                  <c:v>2518.75</c:v>
                </c:pt>
                <c:pt idx="59">
                  <c:v>2479.5</c:v>
                </c:pt>
                <c:pt idx="60">
                  <c:v>2517.5</c:v>
                </c:pt>
                <c:pt idx="61">
                  <c:v>2532.98</c:v>
                </c:pt>
                <c:pt idx="62">
                  <c:v>2532.98</c:v>
                </c:pt>
                <c:pt idx="63">
                  <c:v>2532.98</c:v>
                </c:pt>
                <c:pt idx="64">
                  <c:v>2532.2600000000002</c:v>
                </c:pt>
                <c:pt idx="65">
                  <c:v>2609.4</c:v>
                </c:pt>
                <c:pt idx="66">
                  <c:v>2664.3</c:v>
                </c:pt>
                <c:pt idx="67">
                  <c:v>2679.25</c:v>
                </c:pt>
                <c:pt idx="68">
                  <c:v>2679.25</c:v>
                </c:pt>
                <c:pt idx="69">
                  <c:v>2679.25</c:v>
                </c:pt>
                <c:pt idx="70">
                  <c:v>2679.25</c:v>
                </c:pt>
                <c:pt idx="71">
                  <c:v>2614.75</c:v>
                </c:pt>
                <c:pt idx="72">
                  <c:v>2623.25</c:v>
                </c:pt>
                <c:pt idx="73">
                  <c:v>2611</c:v>
                </c:pt>
                <c:pt idx="74">
                  <c:v>2650.5</c:v>
                </c:pt>
                <c:pt idx="75">
                  <c:v>2650.5</c:v>
                </c:pt>
                <c:pt idx="76">
                  <c:v>2650.5</c:v>
                </c:pt>
                <c:pt idx="77">
                  <c:v>2650.5</c:v>
                </c:pt>
                <c:pt idx="78">
                  <c:v>2621.25</c:v>
                </c:pt>
                <c:pt idx="79">
                  <c:v>2644.25</c:v>
                </c:pt>
                <c:pt idx="80">
                  <c:v>2592.75</c:v>
                </c:pt>
                <c:pt idx="81">
                  <c:v>2657.25</c:v>
                </c:pt>
                <c:pt idx="82">
                  <c:v>2704.75</c:v>
                </c:pt>
                <c:pt idx="83">
                  <c:v>2704.75</c:v>
                </c:pt>
                <c:pt idx="84">
                  <c:v>2704.75</c:v>
                </c:pt>
                <c:pt idx="85">
                  <c:v>2757.5</c:v>
                </c:pt>
                <c:pt idx="86">
                  <c:v>2782.25</c:v>
                </c:pt>
                <c:pt idx="87">
                  <c:v>2880</c:v>
                </c:pt>
                <c:pt idx="88">
                  <c:v>2848</c:v>
                </c:pt>
                <c:pt idx="89">
                  <c:v>2873.75</c:v>
                </c:pt>
                <c:pt idx="90">
                  <c:v>2873.75</c:v>
                </c:pt>
                <c:pt idx="91">
                  <c:v>2873.75</c:v>
                </c:pt>
                <c:pt idx="92">
                  <c:v>2854.5</c:v>
                </c:pt>
                <c:pt idx="93">
                  <c:v>2799.25</c:v>
                </c:pt>
                <c:pt idx="94">
                  <c:v>2770.5</c:v>
                </c:pt>
                <c:pt idx="95">
                  <c:v>2795.49</c:v>
                </c:pt>
                <c:pt idx="96">
                  <c:v>2795.49</c:v>
                </c:pt>
                <c:pt idx="97">
                  <c:v>2795.49</c:v>
                </c:pt>
                <c:pt idx="98">
                  <c:v>2795.49</c:v>
                </c:pt>
                <c:pt idx="99">
                  <c:v>2795.49</c:v>
                </c:pt>
                <c:pt idx="100">
                  <c:v>2808</c:v>
                </c:pt>
                <c:pt idx="101">
                  <c:v>2852.5</c:v>
                </c:pt>
                <c:pt idx="102">
                  <c:v>2923.67</c:v>
                </c:pt>
                <c:pt idx="103">
                  <c:v>2947.25</c:v>
                </c:pt>
                <c:pt idx="104">
                  <c:v>2947.25</c:v>
                </c:pt>
                <c:pt idx="105">
                  <c:v>2947.25</c:v>
                </c:pt>
                <c:pt idx="106">
                  <c:v>2963.5</c:v>
                </c:pt>
                <c:pt idx="107">
                  <c:v>3003.25</c:v>
                </c:pt>
                <c:pt idx="108">
                  <c:v>2971.7</c:v>
                </c:pt>
                <c:pt idx="109">
                  <c:v>2943.99</c:v>
                </c:pt>
                <c:pt idx="110">
                  <c:v>2923.25</c:v>
                </c:pt>
                <c:pt idx="111">
                  <c:v>2923.25</c:v>
                </c:pt>
                <c:pt idx="112">
                  <c:v>2923.25</c:v>
                </c:pt>
                <c:pt idx="113">
                  <c:v>2936</c:v>
                </c:pt>
                <c:pt idx="114">
                  <c:v>2892.25</c:v>
                </c:pt>
                <c:pt idx="115">
                  <c:v>2888</c:v>
                </c:pt>
                <c:pt idx="116">
                  <c:v>2912.5</c:v>
                </c:pt>
                <c:pt idx="117">
                  <c:v>2931</c:v>
                </c:pt>
                <c:pt idx="118">
                  <c:v>2931</c:v>
                </c:pt>
                <c:pt idx="119">
                  <c:v>2931</c:v>
                </c:pt>
                <c:pt idx="120">
                  <c:v>2871</c:v>
                </c:pt>
                <c:pt idx="121">
                  <c:v>2876</c:v>
                </c:pt>
                <c:pt idx="122">
                  <c:v>2925</c:v>
                </c:pt>
                <c:pt idx="123">
                  <c:v>2969</c:v>
                </c:pt>
                <c:pt idx="124">
                  <c:v>2954.75</c:v>
                </c:pt>
                <c:pt idx="125">
                  <c:v>2954.75</c:v>
                </c:pt>
                <c:pt idx="126">
                  <c:v>2954.75</c:v>
                </c:pt>
                <c:pt idx="127">
                  <c:v>2994.5</c:v>
                </c:pt>
                <c:pt idx="128">
                  <c:v>3004</c:v>
                </c:pt>
                <c:pt idx="129">
                  <c:v>2980.75</c:v>
                </c:pt>
                <c:pt idx="130">
                  <c:v>3054</c:v>
                </c:pt>
                <c:pt idx="131">
                  <c:v>3100.5</c:v>
                </c:pt>
                <c:pt idx="132">
                  <c:v>3100.5</c:v>
                </c:pt>
                <c:pt idx="133">
                  <c:v>3100.5</c:v>
                </c:pt>
                <c:pt idx="134">
                  <c:v>3067</c:v>
                </c:pt>
                <c:pt idx="135">
                  <c:v>3142.5</c:v>
                </c:pt>
                <c:pt idx="136">
                  <c:v>3030.5</c:v>
                </c:pt>
                <c:pt idx="137">
                  <c:v>3016</c:v>
                </c:pt>
                <c:pt idx="138">
                  <c:v>2988.25</c:v>
                </c:pt>
                <c:pt idx="139">
                  <c:v>2988.25</c:v>
                </c:pt>
                <c:pt idx="140">
                  <c:v>2988.25</c:v>
                </c:pt>
                <c:pt idx="141">
                  <c:v>3059.75</c:v>
                </c:pt>
                <c:pt idx="142">
                  <c:v>3088.75</c:v>
                </c:pt>
                <c:pt idx="143">
                  <c:v>3171.5</c:v>
                </c:pt>
                <c:pt idx="144">
                  <c:v>3164.5</c:v>
                </c:pt>
                <c:pt idx="145">
                  <c:v>3085.75</c:v>
                </c:pt>
                <c:pt idx="146">
                  <c:v>3085.75</c:v>
                </c:pt>
                <c:pt idx="147">
                  <c:v>3085.75</c:v>
                </c:pt>
                <c:pt idx="148">
                  <c:v>3030.75</c:v>
                </c:pt>
                <c:pt idx="149">
                  <c:v>3037</c:v>
                </c:pt>
                <c:pt idx="150">
                  <c:v>3108.25</c:v>
                </c:pt>
                <c:pt idx="151">
                  <c:v>3127</c:v>
                </c:pt>
                <c:pt idx="152">
                  <c:v>3059.75</c:v>
                </c:pt>
                <c:pt idx="153">
                  <c:v>3059.75</c:v>
                </c:pt>
                <c:pt idx="154">
                  <c:v>3059.75</c:v>
                </c:pt>
                <c:pt idx="155">
                  <c:v>3152</c:v>
                </c:pt>
                <c:pt idx="156">
                  <c:v>3167.01</c:v>
                </c:pt>
                <c:pt idx="157">
                  <c:v>3169.75</c:v>
                </c:pt>
                <c:pt idx="158">
                  <c:v>3164</c:v>
                </c:pt>
                <c:pt idx="159">
                  <c:v>3269.5</c:v>
                </c:pt>
                <c:pt idx="160">
                  <c:v>3269.5</c:v>
                </c:pt>
                <c:pt idx="161">
                  <c:v>3269.5</c:v>
                </c:pt>
                <c:pt idx="162">
                  <c:v>3411.5</c:v>
                </c:pt>
                <c:pt idx="163">
                  <c:v>3375.25</c:v>
                </c:pt>
                <c:pt idx="164">
                  <c:v>3418.76</c:v>
                </c:pt>
                <c:pt idx="165">
                  <c:v>3475.75</c:v>
                </c:pt>
                <c:pt idx="166">
                  <c:v>3438.75</c:v>
                </c:pt>
                <c:pt idx="167">
                  <c:v>3438.75</c:v>
                </c:pt>
                <c:pt idx="168">
                  <c:v>3438.75</c:v>
                </c:pt>
                <c:pt idx="169">
                  <c:v>3508.25</c:v>
                </c:pt>
                <c:pt idx="170">
                  <c:v>3467</c:v>
                </c:pt>
                <c:pt idx="171">
                  <c:v>3447.25</c:v>
                </c:pt>
                <c:pt idx="172">
                  <c:v>3439.75</c:v>
                </c:pt>
                <c:pt idx="173">
                  <c:v>3435.5</c:v>
                </c:pt>
                <c:pt idx="174">
                  <c:v>3435.5</c:v>
                </c:pt>
                <c:pt idx="175">
                  <c:v>3435.5</c:v>
                </c:pt>
                <c:pt idx="176">
                  <c:v>3474</c:v>
                </c:pt>
                <c:pt idx="177">
                  <c:v>3422.96</c:v>
                </c:pt>
                <c:pt idx="178">
                  <c:v>3312.75</c:v>
                </c:pt>
                <c:pt idx="179">
                  <c:v>3323.5</c:v>
                </c:pt>
                <c:pt idx="180">
                  <c:v>3348.25</c:v>
                </c:pt>
                <c:pt idx="181">
                  <c:v>3348.25</c:v>
                </c:pt>
                <c:pt idx="182">
                  <c:v>3348.25</c:v>
                </c:pt>
                <c:pt idx="183">
                  <c:v>3257</c:v>
                </c:pt>
                <c:pt idx="184">
                  <c:v>3226.25</c:v>
                </c:pt>
                <c:pt idx="185">
                  <c:v>3174.1</c:v>
                </c:pt>
                <c:pt idx="186">
                  <c:v>3223.25</c:v>
                </c:pt>
                <c:pt idx="187">
                  <c:v>3041.75</c:v>
                </c:pt>
                <c:pt idx="188">
                  <c:v>3041.75</c:v>
                </c:pt>
                <c:pt idx="189">
                  <c:v>3041.75</c:v>
                </c:pt>
                <c:pt idx="190">
                  <c:v>3028.25</c:v>
                </c:pt>
                <c:pt idx="191">
                  <c:v>3019.25</c:v>
                </c:pt>
                <c:pt idx="192">
                  <c:v>3023.75</c:v>
                </c:pt>
                <c:pt idx="193">
                  <c:v>3003.25</c:v>
                </c:pt>
                <c:pt idx="194">
                  <c:v>3003.25</c:v>
                </c:pt>
                <c:pt idx="195">
                  <c:v>3003.25</c:v>
                </c:pt>
                <c:pt idx="196">
                  <c:v>3003.25</c:v>
                </c:pt>
                <c:pt idx="197">
                  <c:v>3012.75</c:v>
                </c:pt>
                <c:pt idx="198">
                  <c:v>3025</c:v>
                </c:pt>
                <c:pt idx="199">
                  <c:v>2987</c:v>
                </c:pt>
                <c:pt idx="200">
                  <c:v>2987</c:v>
                </c:pt>
                <c:pt idx="201">
                  <c:v>2987</c:v>
                </c:pt>
                <c:pt idx="202">
                  <c:v>2987</c:v>
                </c:pt>
                <c:pt idx="203">
                  <c:v>2987</c:v>
                </c:pt>
                <c:pt idx="204">
                  <c:v>2965</c:v>
                </c:pt>
                <c:pt idx="205">
                  <c:v>3031</c:v>
                </c:pt>
                <c:pt idx="206">
                  <c:v>3120.5</c:v>
                </c:pt>
                <c:pt idx="207">
                  <c:v>3052</c:v>
                </c:pt>
                <c:pt idx="208">
                  <c:v>3048.5</c:v>
                </c:pt>
                <c:pt idx="209">
                  <c:v>3048.5</c:v>
                </c:pt>
                <c:pt idx="210">
                  <c:v>3048.5</c:v>
                </c:pt>
                <c:pt idx="211">
                  <c:v>3180.75</c:v>
                </c:pt>
                <c:pt idx="212">
                  <c:v>3261.5</c:v>
                </c:pt>
                <c:pt idx="213">
                  <c:v>3346.25</c:v>
                </c:pt>
                <c:pt idx="214">
                  <c:v>3300</c:v>
                </c:pt>
                <c:pt idx="215">
                  <c:v>3286</c:v>
                </c:pt>
                <c:pt idx="216">
                  <c:v>3286</c:v>
                </c:pt>
                <c:pt idx="217">
                  <c:v>3286</c:v>
                </c:pt>
                <c:pt idx="218">
                  <c:v>3269</c:v>
                </c:pt>
                <c:pt idx="219">
                  <c:v>3207</c:v>
                </c:pt>
                <c:pt idx="220">
                  <c:v>3179</c:v>
                </c:pt>
                <c:pt idx="221">
                  <c:v>3139.5</c:v>
                </c:pt>
                <c:pt idx="222">
                  <c:v>3085.25</c:v>
                </c:pt>
                <c:pt idx="223">
                  <c:v>3085.25</c:v>
                </c:pt>
                <c:pt idx="224">
                  <c:v>3085.25</c:v>
                </c:pt>
                <c:pt idx="225">
                  <c:v>3090.25</c:v>
                </c:pt>
                <c:pt idx="226">
                  <c:v>3050.25</c:v>
                </c:pt>
                <c:pt idx="227">
                  <c:v>2949.5</c:v>
                </c:pt>
                <c:pt idx="228">
                  <c:v>2947.5</c:v>
                </c:pt>
                <c:pt idx="229">
                  <c:v>2920.75</c:v>
                </c:pt>
                <c:pt idx="230">
                  <c:v>2920.75</c:v>
                </c:pt>
                <c:pt idx="231">
                  <c:v>2920.75</c:v>
                </c:pt>
                <c:pt idx="232">
                  <c:v>2910.75</c:v>
                </c:pt>
                <c:pt idx="233">
                  <c:v>2900.25</c:v>
                </c:pt>
                <c:pt idx="234">
                  <c:v>2906</c:v>
                </c:pt>
                <c:pt idx="235">
                  <c:v>2890.25</c:v>
                </c:pt>
                <c:pt idx="236">
                  <c:v>3023</c:v>
                </c:pt>
                <c:pt idx="237">
                  <c:v>3023</c:v>
                </c:pt>
                <c:pt idx="238">
                  <c:v>3023</c:v>
                </c:pt>
                <c:pt idx="239">
                  <c:v>2984</c:v>
                </c:pt>
                <c:pt idx="240">
                  <c:v>3061.5</c:v>
                </c:pt>
                <c:pt idx="241">
                  <c:v>3128.5</c:v>
                </c:pt>
                <c:pt idx="242">
                  <c:v>3154</c:v>
                </c:pt>
                <c:pt idx="243">
                  <c:v>3044.25</c:v>
                </c:pt>
                <c:pt idx="244">
                  <c:v>3044.25</c:v>
                </c:pt>
                <c:pt idx="245">
                  <c:v>3044.25</c:v>
                </c:pt>
                <c:pt idx="246">
                  <c:v>2899.5</c:v>
                </c:pt>
                <c:pt idx="247">
                  <c:v>2867</c:v>
                </c:pt>
                <c:pt idx="248">
                  <c:v>2946.5</c:v>
                </c:pt>
                <c:pt idx="249">
                  <c:v>2907.5</c:v>
                </c:pt>
                <c:pt idx="250">
                  <c:v>2893</c:v>
                </c:pt>
                <c:pt idx="251">
                  <c:v>2893</c:v>
                </c:pt>
                <c:pt idx="252">
                  <c:v>2893</c:v>
                </c:pt>
                <c:pt idx="253">
                  <c:v>2737.25</c:v>
                </c:pt>
                <c:pt idx="254">
                  <c:v>2765</c:v>
                </c:pt>
                <c:pt idx="255">
                  <c:v>2770</c:v>
                </c:pt>
                <c:pt idx="256">
                  <c:v>2735.5</c:v>
                </c:pt>
                <c:pt idx="257">
                  <c:v>2855.9</c:v>
                </c:pt>
                <c:pt idx="258">
                  <c:v>2855.9</c:v>
                </c:pt>
                <c:pt idx="259">
                  <c:v>2855.9</c:v>
                </c:pt>
                <c:pt idx="260">
                  <c:v>2983</c:v>
                </c:pt>
                <c:pt idx="261">
                  <c:v>2988.5</c:v>
                </c:pt>
                <c:pt idx="262">
                  <c:v>2944.5</c:v>
                </c:pt>
                <c:pt idx="263">
                  <c:v>3011.25</c:v>
                </c:pt>
                <c:pt idx="264">
                  <c:v>2980</c:v>
                </c:pt>
                <c:pt idx="265">
                  <c:v>2980</c:v>
                </c:pt>
                <c:pt idx="266">
                  <c:v>2980</c:v>
                </c:pt>
                <c:pt idx="267">
                  <c:v>3011</c:v>
                </c:pt>
                <c:pt idx="268">
                  <c:v>2924.26</c:v>
                </c:pt>
                <c:pt idx="269">
                  <c:v>2879.25</c:v>
                </c:pt>
                <c:pt idx="270">
                  <c:v>2980.5</c:v>
                </c:pt>
                <c:pt idx="271">
                  <c:v>2980.5</c:v>
                </c:pt>
                <c:pt idx="272">
                  <c:v>2980.5</c:v>
                </c:pt>
                <c:pt idx="273">
                  <c:v>2980.5</c:v>
                </c:pt>
                <c:pt idx="274">
                  <c:v>2952.25</c:v>
                </c:pt>
                <c:pt idx="275">
                  <c:v>2939.75</c:v>
                </c:pt>
                <c:pt idx="276">
                  <c:v>2945.75</c:v>
                </c:pt>
                <c:pt idx="277">
                  <c:v>2978.75</c:v>
                </c:pt>
                <c:pt idx="278">
                  <c:v>3011.5</c:v>
                </c:pt>
                <c:pt idx="279">
                  <c:v>3011.5</c:v>
                </c:pt>
                <c:pt idx="280">
                  <c:v>3011.5</c:v>
                </c:pt>
                <c:pt idx="281">
                  <c:v>3143.25</c:v>
                </c:pt>
                <c:pt idx="282">
                  <c:v>3082.75</c:v>
                </c:pt>
                <c:pt idx="283">
                  <c:v>3076.51</c:v>
                </c:pt>
                <c:pt idx="284">
                  <c:v>2998.25</c:v>
                </c:pt>
                <c:pt idx="285">
                  <c:v>3014.25</c:v>
                </c:pt>
                <c:pt idx="286">
                  <c:v>3014.25</c:v>
                </c:pt>
                <c:pt idx="287">
                  <c:v>3014.25</c:v>
                </c:pt>
                <c:pt idx="288">
                  <c:v>2957.25</c:v>
                </c:pt>
                <c:pt idx="289">
                  <c:v>2868.75</c:v>
                </c:pt>
                <c:pt idx="290">
                  <c:v>2875</c:v>
                </c:pt>
                <c:pt idx="291">
                  <c:v>2936</c:v>
                </c:pt>
                <c:pt idx="292">
                  <c:v>3020.25</c:v>
                </c:pt>
                <c:pt idx="293">
                  <c:v>3020.25</c:v>
                </c:pt>
                <c:pt idx="294">
                  <c:v>3020.25</c:v>
                </c:pt>
                <c:pt idx="295">
                  <c:v>3122.25</c:v>
                </c:pt>
                <c:pt idx="296">
                  <c:v>3112</c:v>
                </c:pt>
                <c:pt idx="297">
                  <c:v>3144.25</c:v>
                </c:pt>
                <c:pt idx="298">
                  <c:v>3165.75</c:v>
                </c:pt>
                <c:pt idx="299">
                  <c:v>3184.05</c:v>
                </c:pt>
                <c:pt idx="300">
                  <c:v>3184.05</c:v>
                </c:pt>
                <c:pt idx="301">
                  <c:v>3184.05</c:v>
                </c:pt>
                <c:pt idx="302">
                  <c:v>3214</c:v>
                </c:pt>
                <c:pt idx="303">
                  <c:v>3253.75</c:v>
                </c:pt>
                <c:pt idx="304">
                  <c:v>3250</c:v>
                </c:pt>
                <c:pt idx="305">
                  <c:v>3209.75</c:v>
                </c:pt>
                <c:pt idx="306">
                  <c:v>3183</c:v>
                </c:pt>
                <c:pt idx="307">
                  <c:v>3183</c:v>
                </c:pt>
                <c:pt idx="308">
                  <c:v>3183</c:v>
                </c:pt>
                <c:pt idx="309">
                  <c:v>3150.5</c:v>
                </c:pt>
                <c:pt idx="310">
                  <c:v>3150.5</c:v>
                </c:pt>
                <c:pt idx="311">
                  <c:v>3203.5</c:v>
                </c:pt>
                <c:pt idx="312">
                  <c:v>3241.5</c:v>
                </c:pt>
                <c:pt idx="313">
                  <c:v>3172.5</c:v>
                </c:pt>
                <c:pt idx="314">
                  <c:v>3172.5</c:v>
                </c:pt>
                <c:pt idx="315">
                  <c:v>3172.5</c:v>
                </c:pt>
                <c:pt idx="316">
                  <c:v>3320.5</c:v>
                </c:pt>
                <c:pt idx="317">
                  <c:v>3531.5</c:v>
                </c:pt>
                <c:pt idx="318">
                  <c:v>3646.5</c:v>
                </c:pt>
                <c:pt idx="319">
                  <c:v>3646.5</c:v>
                </c:pt>
                <c:pt idx="320">
                  <c:v>3646.5</c:v>
                </c:pt>
                <c:pt idx="321">
                  <c:v>3646.5</c:v>
                </c:pt>
                <c:pt idx="322">
                  <c:v>3646.5</c:v>
                </c:pt>
                <c:pt idx="323">
                  <c:v>3624.75</c:v>
                </c:pt>
                <c:pt idx="324">
                  <c:v>3587.5</c:v>
                </c:pt>
                <c:pt idx="325">
                  <c:v>3548.5</c:v>
                </c:pt>
                <c:pt idx="326">
                  <c:v>3559.77</c:v>
                </c:pt>
                <c:pt idx="327">
                  <c:v>3548</c:v>
                </c:pt>
                <c:pt idx="328">
                  <c:v>3548</c:v>
                </c:pt>
                <c:pt idx="329">
                  <c:v>3548</c:v>
                </c:pt>
                <c:pt idx="330">
                  <c:v>3533</c:v>
                </c:pt>
                <c:pt idx="331">
                  <c:v>3578.5</c:v>
                </c:pt>
                <c:pt idx="332">
                  <c:v>3755</c:v>
                </c:pt>
                <c:pt idx="333">
                  <c:v>3643.5</c:v>
                </c:pt>
                <c:pt idx="334">
                  <c:v>3687.75</c:v>
                </c:pt>
                <c:pt idx="335">
                  <c:v>3687.75</c:v>
                </c:pt>
                <c:pt idx="336">
                  <c:v>3687.75</c:v>
                </c:pt>
                <c:pt idx="337">
                  <c:v>3782.25</c:v>
                </c:pt>
                <c:pt idx="338">
                  <c:v>3706.25</c:v>
                </c:pt>
                <c:pt idx="339">
                  <c:v>3663.5</c:v>
                </c:pt>
                <c:pt idx="340">
                  <c:v>3552.75</c:v>
                </c:pt>
                <c:pt idx="341">
                  <c:v>3594.5</c:v>
                </c:pt>
                <c:pt idx="342">
                  <c:v>3594.5</c:v>
                </c:pt>
                <c:pt idx="343">
                  <c:v>3594.5</c:v>
                </c:pt>
                <c:pt idx="344">
                  <c:v>3576.5</c:v>
                </c:pt>
                <c:pt idx="345">
                  <c:v>3389</c:v>
                </c:pt>
                <c:pt idx="346">
                  <c:v>3412</c:v>
                </c:pt>
                <c:pt idx="347">
                  <c:v>3441</c:v>
                </c:pt>
                <c:pt idx="348">
                  <c:v>3412.26</c:v>
                </c:pt>
                <c:pt idx="349">
                  <c:v>3412.26</c:v>
                </c:pt>
                <c:pt idx="350">
                  <c:v>3412.26</c:v>
                </c:pt>
                <c:pt idx="351">
                  <c:v>3265</c:v>
                </c:pt>
                <c:pt idx="352">
                  <c:v>3148</c:v>
                </c:pt>
                <c:pt idx="353">
                  <c:v>3142</c:v>
                </c:pt>
                <c:pt idx="354">
                  <c:v>3059.25</c:v>
                </c:pt>
                <c:pt idx="355">
                  <c:v>3069.5</c:v>
                </c:pt>
                <c:pt idx="356">
                  <c:v>3069.5</c:v>
                </c:pt>
                <c:pt idx="357">
                  <c:v>3069.5</c:v>
                </c:pt>
                <c:pt idx="358">
                  <c:v>2997.25</c:v>
                </c:pt>
                <c:pt idx="359">
                  <c:v>3084</c:v>
                </c:pt>
                <c:pt idx="360">
                  <c:v>3033</c:v>
                </c:pt>
                <c:pt idx="361">
                  <c:v>3091.5</c:v>
                </c:pt>
                <c:pt idx="362">
                  <c:v>2978.75</c:v>
                </c:pt>
                <c:pt idx="363">
                  <c:v>2978.75</c:v>
                </c:pt>
                <c:pt idx="364">
                  <c:v>2978.75</c:v>
                </c:pt>
                <c:pt idx="365">
                  <c:v>2951.5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EC7-4EC5-9C94-890115B2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63424"/>
        <c:axId val="237464960"/>
      </c:lineChart>
      <c:lineChart>
        <c:grouping val="standard"/>
        <c:varyColors val="0"/>
        <c:ser>
          <c:idx val="3"/>
          <c:order val="3"/>
          <c:tx>
            <c:strRef>
              <c:f>'LME Price'!$I$64</c:f>
              <c:strCache>
                <c:ptCount val="1"/>
                <c:pt idx="0">
                  <c:v>Copper(R)</c:v>
                </c:pt>
              </c:strCache>
            </c:strRef>
          </c:tx>
          <c:spPr>
            <a:ln w="28575" cap="rnd">
              <a:solidFill>
                <a:srgbClr val="0073A4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Price'!$I$66:$I$431</c:f>
              <c:numCache>
                <c:formatCode>General</c:formatCode>
                <c:ptCount val="366"/>
                <c:pt idx="1">
                  <c:v>8687</c:v>
                </c:pt>
                <c:pt idx="2">
                  <c:v>8488.75</c:v>
                </c:pt>
                <c:pt idx="3">
                  <c:v>8305</c:v>
                </c:pt>
                <c:pt idx="4">
                  <c:v>8356.49</c:v>
                </c:pt>
                <c:pt idx="5">
                  <c:v>8360.5</c:v>
                </c:pt>
                <c:pt idx="6">
                  <c:v>8360.5</c:v>
                </c:pt>
                <c:pt idx="7">
                  <c:v>8360.5</c:v>
                </c:pt>
                <c:pt idx="8">
                  <c:v>8246</c:v>
                </c:pt>
                <c:pt idx="9">
                  <c:v>8304</c:v>
                </c:pt>
                <c:pt idx="10">
                  <c:v>8346</c:v>
                </c:pt>
                <c:pt idx="11">
                  <c:v>8397</c:v>
                </c:pt>
                <c:pt idx="12">
                  <c:v>8322.0499999999993</c:v>
                </c:pt>
                <c:pt idx="13">
                  <c:v>8322.0499999999993</c:v>
                </c:pt>
                <c:pt idx="14">
                  <c:v>8322.0499999999993</c:v>
                </c:pt>
                <c:pt idx="15">
                  <c:v>8177</c:v>
                </c:pt>
                <c:pt idx="16">
                  <c:v>8259.5</c:v>
                </c:pt>
                <c:pt idx="17">
                  <c:v>8382</c:v>
                </c:pt>
                <c:pt idx="18">
                  <c:v>8422</c:v>
                </c:pt>
                <c:pt idx="19">
                  <c:v>8409.24</c:v>
                </c:pt>
                <c:pt idx="20">
                  <c:v>8409.24</c:v>
                </c:pt>
                <c:pt idx="21">
                  <c:v>8409.24</c:v>
                </c:pt>
                <c:pt idx="22">
                  <c:v>8579.25</c:v>
                </c:pt>
                <c:pt idx="23">
                  <c:v>8606.25</c:v>
                </c:pt>
                <c:pt idx="24">
                  <c:v>8552.25</c:v>
                </c:pt>
                <c:pt idx="25">
                  <c:v>8546</c:v>
                </c:pt>
                <c:pt idx="26">
                  <c:v>8555</c:v>
                </c:pt>
                <c:pt idx="27">
                  <c:v>8555</c:v>
                </c:pt>
                <c:pt idx="28">
                  <c:v>8555</c:v>
                </c:pt>
                <c:pt idx="29">
                  <c:v>8555.99</c:v>
                </c:pt>
                <c:pt idx="30">
                  <c:v>8509.25</c:v>
                </c:pt>
                <c:pt idx="31">
                  <c:v>8450</c:v>
                </c:pt>
                <c:pt idx="32">
                  <c:v>8282</c:v>
                </c:pt>
                <c:pt idx="33">
                  <c:v>8349</c:v>
                </c:pt>
                <c:pt idx="34">
                  <c:v>8349</c:v>
                </c:pt>
                <c:pt idx="35">
                  <c:v>8349</c:v>
                </c:pt>
                <c:pt idx="36">
                  <c:v>8336</c:v>
                </c:pt>
                <c:pt idx="37">
                  <c:v>8292.1</c:v>
                </c:pt>
                <c:pt idx="38">
                  <c:v>8334</c:v>
                </c:pt>
                <c:pt idx="39">
                  <c:v>8331.01</c:v>
                </c:pt>
                <c:pt idx="40">
                  <c:v>8233.5</c:v>
                </c:pt>
                <c:pt idx="41">
                  <c:v>8233.5</c:v>
                </c:pt>
                <c:pt idx="42">
                  <c:v>8233.5</c:v>
                </c:pt>
                <c:pt idx="43">
                  <c:v>8240</c:v>
                </c:pt>
                <c:pt idx="44">
                  <c:v>8070</c:v>
                </c:pt>
                <c:pt idx="45">
                  <c:v>8103</c:v>
                </c:pt>
                <c:pt idx="46">
                  <c:v>8106</c:v>
                </c:pt>
                <c:pt idx="47">
                  <c:v>8106</c:v>
                </c:pt>
                <c:pt idx="48">
                  <c:v>8106</c:v>
                </c:pt>
                <c:pt idx="49">
                  <c:v>8106</c:v>
                </c:pt>
                <c:pt idx="50">
                  <c:v>7914.75</c:v>
                </c:pt>
                <c:pt idx="51">
                  <c:v>7851.75</c:v>
                </c:pt>
                <c:pt idx="52">
                  <c:v>8035.74</c:v>
                </c:pt>
                <c:pt idx="53">
                  <c:v>8061.53</c:v>
                </c:pt>
                <c:pt idx="54">
                  <c:v>8201</c:v>
                </c:pt>
                <c:pt idx="55">
                  <c:v>8201</c:v>
                </c:pt>
                <c:pt idx="56">
                  <c:v>8201</c:v>
                </c:pt>
                <c:pt idx="57">
                  <c:v>8128.48</c:v>
                </c:pt>
                <c:pt idx="58">
                  <c:v>8262.75</c:v>
                </c:pt>
                <c:pt idx="59">
                  <c:v>8074.24</c:v>
                </c:pt>
                <c:pt idx="60">
                  <c:v>8218.25</c:v>
                </c:pt>
                <c:pt idx="61">
                  <c:v>8222.75</c:v>
                </c:pt>
                <c:pt idx="62">
                  <c:v>8222.75</c:v>
                </c:pt>
                <c:pt idx="63">
                  <c:v>8222.75</c:v>
                </c:pt>
                <c:pt idx="64">
                  <c:v>8133.2</c:v>
                </c:pt>
                <c:pt idx="65">
                  <c:v>8436.25</c:v>
                </c:pt>
                <c:pt idx="66">
                  <c:v>8562.25</c:v>
                </c:pt>
                <c:pt idx="67">
                  <c:v>8560.25</c:v>
                </c:pt>
                <c:pt idx="68">
                  <c:v>8560.25</c:v>
                </c:pt>
                <c:pt idx="69">
                  <c:v>8560.25</c:v>
                </c:pt>
                <c:pt idx="70">
                  <c:v>8560.25</c:v>
                </c:pt>
                <c:pt idx="71">
                  <c:v>8474.4</c:v>
                </c:pt>
                <c:pt idx="72">
                  <c:v>8442.75</c:v>
                </c:pt>
                <c:pt idx="73">
                  <c:v>8490</c:v>
                </c:pt>
                <c:pt idx="74">
                  <c:v>8577</c:v>
                </c:pt>
                <c:pt idx="75">
                  <c:v>8577</c:v>
                </c:pt>
                <c:pt idx="76">
                  <c:v>8577</c:v>
                </c:pt>
                <c:pt idx="77">
                  <c:v>8577</c:v>
                </c:pt>
                <c:pt idx="78">
                  <c:v>8569.5</c:v>
                </c:pt>
                <c:pt idx="79">
                  <c:v>8535.25</c:v>
                </c:pt>
                <c:pt idx="80">
                  <c:v>8506</c:v>
                </c:pt>
                <c:pt idx="81">
                  <c:v>8710</c:v>
                </c:pt>
                <c:pt idx="82">
                  <c:v>8778.5</c:v>
                </c:pt>
                <c:pt idx="83">
                  <c:v>8778.5</c:v>
                </c:pt>
                <c:pt idx="84">
                  <c:v>8778.5</c:v>
                </c:pt>
                <c:pt idx="85">
                  <c:v>8865.25</c:v>
                </c:pt>
                <c:pt idx="86">
                  <c:v>8947.75</c:v>
                </c:pt>
                <c:pt idx="87">
                  <c:v>9004.4</c:v>
                </c:pt>
                <c:pt idx="88">
                  <c:v>8962.9500000000007</c:v>
                </c:pt>
                <c:pt idx="89">
                  <c:v>9030.25</c:v>
                </c:pt>
                <c:pt idx="90">
                  <c:v>9030.25</c:v>
                </c:pt>
                <c:pt idx="91">
                  <c:v>9030.25</c:v>
                </c:pt>
                <c:pt idx="92">
                  <c:v>9065.75</c:v>
                </c:pt>
                <c:pt idx="93">
                  <c:v>8916.7999999999993</c:v>
                </c:pt>
                <c:pt idx="94">
                  <c:v>8851.5</c:v>
                </c:pt>
                <c:pt idx="95">
                  <c:v>8806.75</c:v>
                </c:pt>
                <c:pt idx="96">
                  <c:v>8806.75</c:v>
                </c:pt>
                <c:pt idx="97">
                  <c:v>8806.75</c:v>
                </c:pt>
                <c:pt idx="98">
                  <c:v>8806.75</c:v>
                </c:pt>
                <c:pt idx="99">
                  <c:v>8806.75</c:v>
                </c:pt>
                <c:pt idx="100">
                  <c:v>8784.75</c:v>
                </c:pt>
                <c:pt idx="101">
                  <c:v>8740.25</c:v>
                </c:pt>
                <c:pt idx="102">
                  <c:v>8917</c:v>
                </c:pt>
                <c:pt idx="103">
                  <c:v>9003.5</c:v>
                </c:pt>
                <c:pt idx="104">
                  <c:v>9003.5</c:v>
                </c:pt>
                <c:pt idx="105">
                  <c:v>9003.5</c:v>
                </c:pt>
                <c:pt idx="106">
                  <c:v>9003.25</c:v>
                </c:pt>
                <c:pt idx="107">
                  <c:v>9008.75</c:v>
                </c:pt>
                <c:pt idx="108">
                  <c:v>8968.25</c:v>
                </c:pt>
                <c:pt idx="109">
                  <c:v>8951.25</c:v>
                </c:pt>
                <c:pt idx="110">
                  <c:v>8911.75</c:v>
                </c:pt>
                <c:pt idx="111">
                  <c:v>8911.75</c:v>
                </c:pt>
                <c:pt idx="112">
                  <c:v>8911.75</c:v>
                </c:pt>
                <c:pt idx="113">
                  <c:v>9033</c:v>
                </c:pt>
                <c:pt idx="114">
                  <c:v>8900.5</c:v>
                </c:pt>
                <c:pt idx="115">
                  <c:v>8761</c:v>
                </c:pt>
                <c:pt idx="116">
                  <c:v>8701.25</c:v>
                </c:pt>
                <c:pt idx="117">
                  <c:v>8573.25</c:v>
                </c:pt>
                <c:pt idx="118">
                  <c:v>8573.25</c:v>
                </c:pt>
                <c:pt idx="119">
                  <c:v>8573.25</c:v>
                </c:pt>
                <c:pt idx="120">
                  <c:v>8508.75</c:v>
                </c:pt>
                <c:pt idx="121">
                  <c:v>8480.75</c:v>
                </c:pt>
                <c:pt idx="122">
                  <c:v>8809</c:v>
                </c:pt>
                <c:pt idx="123">
                  <c:v>8918.25</c:v>
                </c:pt>
                <c:pt idx="124">
                  <c:v>8847</c:v>
                </c:pt>
                <c:pt idx="125">
                  <c:v>8847</c:v>
                </c:pt>
                <c:pt idx="126">
                  <c:v>8847</c:v>
                </c:pt>
                <c:pt idx="127">
                  <c:v>8832.2999999999993</c:v>
                </c:pt>
                <c:pt idx="128">
                  <c:v>8886</c:v>
                </c:pt>
                <c:pt idx="129">
                  <c:v>8737.5</c:v>
                </c:pt>
                <c:pt idx="130">
                  <c:v>8893.25</c:v>
                </c:pt>
                <c:pt idx="131">
                  <c:v>8954.5</c:v>
                </c:pt>
                <c:pt idx="132">
                  <c:v>8954.5</c:v>
                </c:pt>
                <c:pt idx="133">
                  <c:v>8954.5</c:v>
                </c:pt>
                <c:pt idx="134">
                  <c:v>8928.1</c:v>
                </c:pt>
                <c:pt idx="135">
                  <c:v>9084</c:v>
                </c:pt>
                <c:pt idx="136">
                  <c:v>8951</c:v>
                </c:pt>
                <c:pt idx="137">
                  <c:v>8783</c:v>
                </c:pt>
                <c:pt idx="138">
                  <c:v>8689</c:v>
                </c:pt>
                <c:pt idx="139">
                  <c:v>8689</c:v>
                </c:pt>
                <c:pt idx="140">
                  <c:v>8689</c:v>
                </c:pt>
                <c:pt idx="141">
                  <c:v>8884.99</c:v>
                </c:pt>
                <c:pt idx="142">
                  <c:v>9103</c:v>
                </c:pt>
                <c:pt idx="143">
                  <c:v>9183.5</c:v>
                </c:pt>
                <c:pt idx="144">
                  <c:v>9115.5</c:v>
                </c:pt>
                <c:pt idx="145">
                  <c:v>8950.25</c:v>
                </c:pt>
                <c:pt idx="146">
                  <c:v>8950.25</c:v>
                </c:pt>
                <c:pt idx="147">
                  <c:v>8950.25</c:v>
                </c:pt>
                <c:pt idx="148">
                  <c:v>8991.5</c:v>
                </c:pt>
                <c:pt idx="149">
                  <c:v>8826.75</c:v>
                </c:pt>
                <c:pt idx="150">
                  <c:v>8921</c:v>
                </c:pt>
                <c:pt idx="151">
                  <c:v>8916.5</c:v>
                </c:pt>
                <c:pt idx="152">
                  <c:v>8828.76</c:v>
                </c:pt>
                <c:pt idx="153">
                  <c:v>8828.76</c:v>
                </c:pt>
                <c:pt idx="154">
                  <c:v>8828.76</c:v>
                </c:pt>
                <c:pt idx="155">
                  <c:v>8952.24</c:v>
                </c:pt>
                <c:pt idx="156">
                  <c:v>8863.75</c:v>
                </c:pt>
                <c:pt idx="157">
                  <c:v>8893</c:v>
                </c:pt>
                <c:pt idx="158">
                  <c:v>8838</c:v>
                </c:pt>
                <c:pt idx="159">
                  <c:v>8951.25</c:v>
                </c:pt>
                <c:pt idx="160">
                  <c:v>8951.25</c:v>
                </c:pt>
                <c:pt idx="161">
                  <c:v>8951.25</c:v>
                </c:pt>
                <c:pt idx="162">
                  <c:v>9028.25</c:v>
                </c:pt>
                <c:pt idx="163">
                  <c:v>9060.5</c:v>
                </c:pt>
                <c:pt idx="164">
                  <c:v>9199.5499999999993</c:v>
                </c:pt>
                <c:pt idx="165">
                  <c:v>9188.35</c:v>
                </c:pt>
                <c:pt idx="166">
                  <c:v>9242.24</c:v>
                </c:pt>
                <c:pt idx="167">
                  <c:v>9242.24</c:v>
                </c:pt>
                <c:pt idx="168">
                  <c:v>9242.24</c:v>
                </c:pt>
                <c:pt idx="169">
                  <c:v>9306.5</c:v>
                </c:pt>
                <c:pt idx="170">
                  <c:v>9289.5</c:v>
                </c:pt>
                <c:pt idx="171">
                  <c:v>9291.01</c:v>
                </c:pt>
                <c:pt idx="172">
                  <c:v>9330.77</c:v>
                </c:pt>
                <c:pt idx="173">
                  <c:v>9307.76</c:v>
                </c:pt>
                <c:pt idx="174">
                  <c:v>9307.76</c:v>
                </c:pt>
                <c:pt idx="175">
                  <c:v>9307.76</c:v>
                </c:pt>
                <c:pt idx="176">
                  <c:v>9301</c:v>
                </c:pt>
                <c:pt idx="177">
                  <c:v>9326</c:v>
                </c:pt>
                <c:pt idx="178">
                  <c:v>9282.99</c:v>
                </c:pt>
                <c:pt idx="179">
                  <c:v>9088.19</c:v>
                </c:pt>
                <c:pt idx="180">
                  <c:v>9168.5499999999993</c:v>
                </c:pt>
                <c:pt idx="181">
                  <c:v>9168.5499999999993</c:v>
                </c:pt>
                <c:pt idx="182">
                  <c:v>9168.5499999999993</c:v>
                </c:pt>
                <c:pt idx="183">
                  <c:v>9169.0499999999993</c:v>
                </c:pt>
                <c:pt idx="184">
                  <c:v>9107.5</c:v>
                </c:pt>
                <c:pt idx="185">
                  <c:v>8890.5</c:v>
                </c:pt>
                <c:pt idx="186">
                  <c:v>8833</c:v>
                </c:pt>
                <c:pt idx="187">
                  <c:v>8569.9</c:v>
                </c:pt>
                <c:pt idx="188">
                  <c:v>8569.9</c:v>
                </c:pt>
                <c:pt idx="189">
                  <c:v>8569.9</c:v>
                </c:pt>
                <c:pt idx="190">
                  <c:v>8361.5</c:v>
                </c:pt>
                <c:pt idx="191">
                  <c:v>8236</c:v>
                </c:pt>
                <c:pt idx="192">
                  <c:v>8307</c:v>
                </c:pt>
                <c:pt idx="193">
                  <c:v>8364.76</c:v>
                </c:pt>
                <c:pt idx="194">
                  <c:v>8364.76</c:v>
                </c:pt>
                <c:pt idx="195">
                  <c:v>8364.76</c:v>
                </c:pt>
                <c:pt idx="196">
                  <c:v>8364.76</c:v>
                </c:pt>
                <c:pt idx="197">
                  <c:v>8409.5</c:v>
                </c:pt>
                <c:pt idx="198">
                  <c:v>8426</c:v>
                </c:pt>
                <c:pt idx="199">
                  <c:v>8328</c:v>
                </c:pt>
                <c:pt idx="200">
                  <c:v>8328</c:v>
                </c:pt>
                <c:pt idx="201">
                  <c:v>8328</c:v>
                </c:pt>
                <c:pt idx="202">
                  <c:v>8328</c:v>
                </c:pt>
                <c:pt idx="203">
                  <c:v>8328</c:v>
                </c:pt>
                <c:pt idx="204">
                  <c:v>8290.5</c:v>
                </c:pt>
                <c:pt idx="205">
                  <c:v>8369.5</c:v>
                </c:pt>
                <c:pt idx="206">
                  <c:v>8333.75</c:v>
                </c:pt>
                <c:pt idx="207">
                  <c:v>8303.25</c:v>
                </c:pt>
                <c:pt idx="208">
                  <c:v>8234</c:v>
                </c:pt>
                <c:pt idx="209">
                  <c:v>8234</c:v>
                </c:pt>
                <c:pt idx="210">
                  <c:v>8234</c:v>
                </c:pt>
                <c:pt idx="211">
                  <c:v>8253</c:v>
                </c:pt>
                <c:pt idx="212">
                  <c:v>8478.25</c:v>
                </c:pt>
                <c:pt idx="213">
                  <c:v>8449.25</c:v>
                </c:pt>
                <c:pt idx="214">
                  <c:v>8329.25</c:v>
                </c:pt>
                <c:pt idx="215">
                  <c:v>8507</c:v>
                </c:pt>
                <c:pt idx="216">
                  <c:v>8507</c:v>
                </c:pt>
                <c:pt idx="217">
                  <c:v>8507</c:v>
                </c:pt>
                <c:pt idx="218">
                  <c:v>8524.75</c:v>
                </c:pt>
                <c:pt idx="219">
                  <c:v>8430</c:v>
                </c:pt>
                <c:pt idx="220">
                  <c:v>8384.75</c:v>
                </c:pt>
                <c:pt idx="221">
                  <c:v>8348.5</c:v>
                </c:pt>
                <c:pt idx="222">
                  <c:v>8432.5</c:v>
                </c:pt>
                <c:pt idx="223">
                  <c:v>8432.5</c:v>
                </c:pt>
                <c:pt idx="224">
                  <c:v>8432.5</c:v>
                </c:pt>
                <c:pt idx="225">
                  <c:v>8311.5</c:v>
                </c:pt>
                <c:pt idx="226">
                  <c:v>8226.75</c:v>
                </c:pt>
                <c:pt idx="227">
                  <c:v>8036</c:v>
                </c:pt>
                <c:pt idx="228">
                  <c:v>7935.25</c:v>
                </c:pt>
                <c:pt idx="229">
                  <c:v>7975</c:v>
                </c:pt>
                <c:pt idx="230">
                  <c:v>7975</c:v>
                </c:pt>
                <c:pt idx="231">
                  <c:v>7975</c:v>
                </c:pt>
                <c:pt idx="232">
                  <c:v>8003</c:v>
                </c:pt>
                <c:pt idx="233">
                  <c:v>7962.25</c:v>
                </c:pt>
                <c:pt idx="234">
                  <c:v>7975.25</c:v>
                </c:pt>
                <c:pt idx="235">
                  <c:v>7840.5</c:v>
                </c:pt>
                <c:pt idx="236">
                  <c:v>8042.5</c:v>
                </c:pt>
                <c:pt idx="237">
                  <c:v>8042.5</c:v>
                </c:pt>
                <c:pt idx="238">
                  <c:v>8042.5</c:v>
                </c:pt>
                <c:pt idx="239">
                  <c:v>8072.25</c:v>
                </c:pt>
                <c:pt idx="240">
                  <c:v>8260.75</c:v>
                </c:pt>
                <c:pt idx="241">
                  <c:v>8348.25</c:v>
                </c:pt>
                <c:pt idx="242">
                  <c:v>8356</c:v>
                </c:pt>
                <c:pt idx="243">
                  <c:v>8501.9</c:v>
                </c:pt>
                <c:pt idx="244">
                  <c:v>8501.9</c:v>
                </c:pt>
                <c:pt idx="245">
                  <c:v>8501.9</c:v>
                </c:pt>
                <c:pt idx="246">
                  <c:v>8282.5</c:v>
                </c:pt>
                <c:pt idx="247">
                  <c:v>8114.25</c:v>
                </c:pt>
                <c:pt idx="248">
                  <c:v>8127.5</c:v>
                </c:pt>
                <c:pt idx="249">
                  <c:v>7924.75</c:v>
                </c:pt>
                <c:pt idx="250">
                  <c:v>8136</c:v>
                </c:pt>
                <c:pt idx="251">
                  <c:v>8136</c:v>
                </c:pt>
                <c:pt idx="252">
                  <c:v>8136</c:v>
                </c:pt>
                <c:pt idx="253">
                  <c:v>7596</c:v>
                </c:pt>
                <c:pt idx="254">
                  <c:v>7663.25</c:v>
                </c:pt>
                <c:pt idx="255">
                  <c:v>7717</c:v>
                </c:pt>
                <c:pt idx="256">
                  <c:v>7522</c:v>
                </c:pt>
                <c:pt idx="257">
                  <c:v>7619</c:v>
                </c:pt>
                <c:pt idx="258">
                  <c:v>7619</c:v>
                </c:pt>
                <c:pt idx="259">
                  <c:v>7619</c:v>
                </c:pt>
                <c:pt idx="260">
                  <c:v>7838.25</c:v>
                </c:pt>
                <c:pt idx="261">
                  <c:v>7886</c:v>
                </c:pt>
                <c:pt idx="262">
                  <c:v>7634</c:v>
                </c:pt>
                <c:pt idx="263">
                  <c:v>7689</c:v>
                </c:pt>
                <c:pt idx="264">
                  <c:v>7719.24</c:v>
                </c:pt>
                <c:pt idx="265">
                  <c:v>7719.24</c:v>
                </c:pt>
                <c:pt idx="266">
                  <c:v>7719.24</c:v>
                </c:pt>
                <c:pt idx="267">
                  <c:v>7645.5</c:v>
                </c:pt>
                <c:pt idx="268">
                  <c:v>7455.75</c:v>
                </c:pt>
                <c:pt idx="269">
                  <c:v>7483</c:v>
                </c:pt>
                <c:pt idx="270">
                  <c:v>7642.5</c:v>
                </c:pt>
                <c:pt idx="271">
                  <c:v>7652.75</c:v>
                </c:pt>
                <c:pt idx="272">
                  <c:v>7652.75</c:v>
                </c:pt>
                <c:pt idx="273">
                  <c:v>7652.75</c:v>
                </c:pt>
                <c:pt idx="274">
                  <c:v>7665.5</c:v>
                </c:pt>
                <c:pt idx="275">
                  <c:v>7636</c:v>
                </c:pt>
                <c:pt idx="276">
                  <c:v>7661.25</c:v>
                </c:pt>
                <c:pt idx="277">
                  <c:v>7637.75</c:v>
                </c:pt>
                <c:pt idx="278">
                  <c:v>7507.75</c:v>
                </c:pt>
                <c:pt idx="279">
                  <c:v>7507.75</c:v>
                </c:pt>
                <c:pt idx="280">
                  <c:v>7507.75</c:v>
                </c:pt>
                <c:pt idx="281">
                  <c:v>7649.75</c:v>
                </c:pt>
                <c:pt idx="282">
                  <c:v>7725.25</c:v>
                </c:pt>
                <c:pt idx="283">
                  <c:v>7800</c:v>
                </c:pt>
                <c:pt idx="284">
                  <c:v>7602.5</c:v>
                </c:pt>
                <c:pt idx="285">
                  <c:v>7683.25</c:v>
                </c:pt>
                <c:pt idx="286">
                  <c:v>7683.25</c:v>
                </c:pt>
                <c:pt idx="287">
                  <c:v>7683.25</c:v>
                </c:pt>
                <c:pt idx="288">
                  <c:v>7647</c:v>
                </c:pt>
                <c:pt idx="289">
                  <c:v>7520</c:v>
                </c:pt>
                <c:pt idx="290">
                  <c:v>7422</c:v>
                </c:pt>
                <c:pt idx="291">
                  <c:v>7430</c:v>
                </c:pt>
                <c:pt idx="292">
                  <c:v>7518</c:v>
                </c:pt>
                <c:pt idx="293">
                  <c:v>7518</c:v>
                </c:pt>
                <c:pt idx="294">
                  <c:v>7518</c:v>
                </c:pt>
                <c:pt idx="295">
                  <c:v>7739</c:v>
                </c:pt>
                <c:pt idx="296">
                  <c:v>7749</c:v>
                </c:pt>
                <c:pt idx="297">
                  <c:v>7826</c:v>
                </c:pt>
                <c:pt idx="298">
                  <c:v>7826.5</c:v>
                </c:pt>
                <c:pt idx="299">
                  <c:v>7869</c:v>
                </c:pt>
                <c:pt idx="300">
                  <c:v>7869</c:v>
                </c:pt>
                <c:pt idx="301">
                  <c:v>7869</c:v>
                </c:pt>
                <c:pt idx="302">
                  <c:v>7848.75</c:v>
                </c:pt>
                <c:pt idx="303">
                  <c:v>7893.5</c:v>
                </c:pt>
                <c:pt idx="304">
                  <c:v>7994.25</c:v>
                </c:pt>
                <c:pt idx="305">
                  <c:v>8079.5</c:v>
                </c:pt>
                <c:pt idx="306">
                  <c:v>7924</c:v>
                </c:pt>
                <c:pt idx="307">
                  <c:v>7924</c:v>
                </c:pt>
                <c:pt idx="308">
                  <c:v>7924</c:v>
                </c:pt>
                <c:pt idx="309">
                  <c:v>7919</c:v>
                </c:pt>
                <c:pt idx="310">
                  <c:v>7698.5</c:v>
                </c:pt>
                <c:pt idx="311">
                  <c:v>7751</c:v>
                </c:pt>
                <c:pt idx="312">
                  <c:v>7731</c:v>
                </c:pt>
                <c:pt idx="313">
                  <c:v>7691</c:v>
                </c:pt>
                <c:pt idx="314">
                  <c:v>7691</c:v>
                </c:pt>
                <c:pt idx="315">
                  <c:v>7691</c:v>
                </c:pt>
                <c:pt idx="316">
                  <c:v>7652</c:v>
                </c:pt>
                <c:pt idx="317">
                  <c:v>7845.5</c:v>
                </c:pt>
                <c:pt idx="318">
                  <c:v>7893</c:v>
                </c:pt>
                <c:pt idx="319">
                  <c:v>8188.25</c:v>
                </c:pt>
                <c:pt idx="320">
                  <c:v>8188.25</c:v>
                </c:pt>
                <c:pt idx="321">
                  <c:v>8188.25</c:v>
                </c:pt>
                <c:pt idx="322">
                  <c:v>8188.25</c:v>
                </c:pt>
                <c:pt idx="323">
                  <c:v>8167</c:v>
                </c:pt>
                <c:pt idx="324">
                  <c:v>8058.25</c:v>
                </c:pt>
                <c:pt idx="325">
                  <c:v>8170.75</c:v>
                </c:pt>
                <c:pt idx="326">
                  <c:v>8076.1</c:v>
                </c:pt>
                <c:pt idx="327">
                  <c:v>8100.85</c:v>
                </c:pt>
                <c:pt idx="328">
                  <c:v>8100.85</c:v>
                </c:pt>
                <c:pt idx="329">
                  <c:v>8100.85</c:v>
                </c:pt>
                <c:pt idx="330">
                  <c:v>8045.25</c:v>
                </c:pt>
                <c:pt idx="331">
                  <c:v>7925.25</c:v>
                </c:pt>
                <c:pt idx="332">
                  <c:v>7975</c:v>
                </c:pt>
                <c:pt idx="333">
                  <c:v>7972</c:v>
                </c:pt>
                <c:pt idx="334">
                  <c:v>8085</c:v>
                </c:pt>
                <c:pt idx="335">
                  <c:v>8085</c:v>
                </c:pt>
                <c:pt idx="336">
                  <c:v>8085</c:v>
                </c:pt>
                <c:pt idx="337">
                  <c:v>8165.5</c:v>
                </c:pt>
                <c:pt idx="338">
                  <c:v>8080.98</c:v>
                </c:pt>
                <c:pt idx="339">
                  <c:v>7980.5</c:v>
                </c:pt>
                <c:pt idx="340">
                  <c:v>7986.75</c:v>
                </c:pt>
                <c:pt idx="341">
                  <c:v>7720.2</c:v>
                </c:pt>
                <c:pt idx="342">
                  <c:v>7720.2</c:v>
                </c:pt>
                <c:pt idx="343">
                  <c:v>7720.2</c:v>
                </c:pt>
                <c:pt idx="344">
                  <c:v>7720.2</c:v>
                </c:pt>
                <c:pt idx="345">
                  <c:v>7671.75</c:v>
                </c:pt>
                <c:pt idx="346">
                  <c:v>7808.75</c:v>
                </c:pt>
                <c:pt idx="347">
                  <c:v>7821.25</c:v>
                </c:pt>
                <c:pt idx="348">
                  <c:v>7931.25</c:v>
                </c:pt>
                <c:pt idx="349">
                  <c:v>7931.25</c:v>
                </c:pt>
                <c:pt idx="350">
                  <c:v>7931.25</c:v>
                </c:pt>
                <c:pt idx="351">
                  <c:v>7765.75</c:v>
                </c:pt>
                <c:pt idx="352">
                  <c:v>7627.25</c:v>
                </c:pt>
                <c:pt idx="353">
                  <c:v>7520.25</c:v>
                </c:pt>
                <c:pt idx="354">
                  <c:v>7463.75</c:v>
                </c:pt>
                <c:pt idx="355">
                  <c:v>7433</c:v>
                </c:pt>
                <c:pt idx="356">
                  <c:v>7433</c:v>
                </c:pt>
                <c:pt idx="357">
                  <c:v>7433</c:v>
                </c:pt>
                <c:pt idx="358">
                  <c:v>7304</c:v>
                </c:pt>
                <c:pt idx="359">
                  <c:v>7358</c:v>
                </c:pt>
                <c:pt idx="360">
                  <c:v>7254.5</c:v>
                </c:pt>
                <c:pt idx="361">
                  <c:v>7411</c:v>
                </c:pt>
                <c:pt idx="362">
                  <c:v>7178.25</c:v>
                </c:pt>
                <c:pt idx="363">
                  <c:v>7178.25</c:v>
                </c:pt>
                <c:pt idx="364">
                  <c:v>7178.25</c:v>
                </c:pt>
                <c:pt idx="365">
                  <c:v>7160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EC7-4EC5-9C94-890115B2441D}"/>
            </c:ext>
          </c:extLst>
        </c:ser>
        <c:ser>
          <c:idx val="4"/>
          <c:order val="4"/>
          <c:tx>
            <c:strRef>
              <c:f>'LME Price'!$J$64</c:f>
              <c:strCache>
                <c:ptCount val="1"/>
                <c:pt idx="0">
                  <c:v>Nikel(R)</c:v>
                </c:pt>
              </c:strCache>
            </c:strRef>
          </c:tx>
          <c:spPr>
            <a:ln w="28575" cap="rnd">
              <a:solidFill>
                <a:srgbClr val="9387DD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Price'!$J$66:$J$431</c:f>
              <c:numCache>
                <c:formatCode>General</c:formatCode>
                <c:ptCount val="366"/>
                <c:pt idx="1">
                  <c:v>21082</c:v>
                </c:pt>
                <c:pt idx="2">
                  <c:v>21464.5</c:v>
                </c:pt>
                <c:pt idx="3">
                  <c:v>20501</c:v>
                </c:pt>
                <c:pt idx="4">
                  <c:v>20816</c:v>
                </c:pt>
                <c:pt idx="5">
                  <c:v>20606</c:v>
                </c:pt>
                <c:pt idx="6">
                  <c:v>20606</c:v>
                </c:pt>
                <c:pt idx="7">
                  <c:v>20606</c:v>
                </c:pt>
                <c:pt idx="8">
                  <c:v>21023.5</c:v>
                </c:pt>
                <c:pt idx="9">
                  <c:v>21030.5</c:v>
                </c:pt>
                <c:pt idx="10">
                  <c:v>20334</c:v>
                </c:pt>
                <c:pt idx="11">
                  <c:v>20406</c:v>
                </c:pt>
                <c:pt idx="12">
                  <c:v>20346.13</c:v>
                </c:pt>
                <c:pt idx="13">
                  <c:v>20346.13</c:v>
                </c:pt>
                <c:pt idx="14">
                  <c:v>20346.13</c:v>
                </c:pt>
                <c:pt idx="15">
                  <c:v>20458</c:v>
                </c:pt>
                <c:pt idx="16">
                  <c:v>19856</c:v>
                </c:pt>
                <c:pt idx="17">
                  <c:v>20581</c:v>
                </c:pt>
                <c:pt idx="18">
                  <c:v>20090.5</c:v>
                </c:pt>
                <c:pt idx="19">
                  <c:v>21117</c:v>
                </c:pt>
                <c:pt idx="20">
                  <c:v>21117</c:v>
                </c:pt>
                <c:pt idx="21">
                  <c:v>21117</c:v>
                </c:pt>
                <c:pt idx="22">
                  <c:v>21017.5</c:v>
                </c:pt>
                <c:pt idx="23">
                  <c:v>21066</c:v>
                </c:pt>
                <c:pt idx="24">
                  <c:v>21919</c:v>
                </c:pt>
                <c:pt idx="25">
                  <c:v>22401.99</c:v>
                </c:pt>
                <c:pt idx="26">
                  <c:v>22955.75</c:v>
                </c:pt>
                <c:pt idx="27">
                  <c:v>22955.75</c:v>
                </c:pt>
                <c:pt idx="28">
                  <c:v>22955.75</c:v>
                </c:pt>
                <c:pt idx="29">
                  <c:v>22901</c:v>
                </c:pt>
                <c:pt idx="30">
                  <c:v>22637.25</c:v>
                </c:pt>
                <c:pt idx="31">
                  <c:v>21880</c:v>
                </c:pt>
                <c:pt idx="32">
                  <c:v>20662</c:v>
                </c:pt>
                <c:pt idx="33">
                  <c:v>21031</c:v>
                </c:pt>
                <c:pt idx="34">
                  <c:v>21031</c:v>
                </c:pt>
                <c:pt idx="35">
                  <c:v>21031</c:v>
                </c:pt>
                <c:pt idx="36">
                  <c:v>21011</c:v>
                </c:pt>
                <c:pt idx="37">
                  <c:v>21309</c:v>
                </c:pt>
                <c:pt idx="38">
                  <c:v>20846</c:v>
                </c:pt>
                <c:pt idx="39">
                  <c:v>20770</c:v>
                </c:pt>
                <c:pt idx="40">
                  <c:v>21091</c:v>
                </c:pt>
                <c:pt idx="41">
                  <c:v>21091</c:v>
                </c:pt>
                <c:pt idx="42">
                  <c:v>21091</c:v>
                </c:pt>
                <c:pt idx="43">
                  <c:v>21185</c:v>
                </c:pt>
                <c:pt idx="44">
                  <c:v>20433</c:v>
                </c:pt>
                <c:pt idx="45">
                  <c:v>20865.5</c:v>
                </c:pt>
                <c:pt idx="46">
                  <c:v>21034.5</c:v>
                </c:pt>
                <c:pt idx="47">
                  <c:v>21034.5</c:v>
                </c:pt>
                <c:pt idx="48">
                  <c:v>21034.5</c:v>
                </c:pt>
                <c:pt idx="49">
                  <c:v>21034.5</c:v>
                </c:pt>
                <c:pt idx="50">
                  <c:v>21053.5</c:v>
                </c:pt>
                <c:pt idx="51">
                  <c:v>20522</c:v>
                </c:pt>
                <c:pt idx="52">
                  <c:v>20838</c:v>
                </c:pt>
                <c:pt idx="53">
                  <c:v>21273</c:v>
                </c:pt>
                <c:pt idx="54">
                  <c:v>21171</c:v>
                </c:pt>
                <c:pt idx="55">
                  <c:v>21171</c:v>
                </c:pt>
                <c:pt idx="56">
                  <c:v>21171</c:v>
                </c:pt>
                <c:pt idx="57">
                  <c:v>20812.25</c:v>
                </c:pt>
                <c:pt idx="58">
                  <c:v>21215</c:v>
                </c:pt>
                <c:pt idx="59">
                  <c:v>20986</c:v>
                </c:pt>
                <c:pt idx="60">
                  <c:v>21484.75</c:v>
                </c:pt>
                <c:pt idx="61">
                  <c:v>22110</c:v>
                </c:pt>
                <c:pt idx="62">
                  <c:v>22110</c:v>
                </c:pt>
                <c:pt idx="63">
                  <c:v>22110</c:v>
                </c:pt>
                <c:pt idx="64">
                  <c:v>21703</c:v>
                </c:pt>
                <c:pt idx="65">
                  <c:v>22449</c:v>
                </c:pt>
                <c:pt idx="66">
                  <c:v>23409.5</c:v>
                </c:pt>
                <c:pt idx="67">
                  <c:v>24447.25</c:v>
                </c:pt>
                <c:pt idx="68">
                  <c:v>24447.25</c:v>
                </c:pt>
                <c:pt idx="69">
                  <c:v>24447.25</c:v>
                </c:pt>
                <c:pt idx="70">
                  <c:v>24447.25</c:v>
                </c:pt>
                <c:pt idx="71">
                  <c:v>23962</c:v>
                </c:pt>
                <c:pt idx="72">
                  <c:v>24689</c:v>
                </c:pt>
                <c:pt idx="73">
                  <c:v>24949.5</c:v>
                </c:pt>
                <c:pt idx="74">
                  <c:v>24210.5</c:v>
                </c:pt>
                <c:pt idx="75">
                  <c:v>24210.5</c:v>
                </c:pt>
                <c:pt idx="76">
                  <c:v>24210.5</c:v>
                </c:pt>
                <c:pt idx="77">
                  <c:v>24210.5</c:v>
                </c:pt>
                <c:pt idx="78">
                  <c:v>24062</c:v>
                </c:pt>
                <c:pt idx="79">
                  <c:v>23634</c:v>
                </c:pt>
                <c:pt idx="80">
                  <c:v>23266.99</c:v>
                </c:pt>
                <c:pt idx="81">
                  <c:v>24502.5</c:v>
                </c:pt>
                <c:pt idx="82">
                  <c:v>24394.5</c:v>
                </c:pt>
                <c:pt idx="83">
                  <c:v>24394.5</c:v>
                </c:pt>
                <c:pt idx="84">
                  <c:v>24394.5</c:v>
                </c:pt>
                <c:pt idx="85">
                  <c:v>24923</c:v>
                </c:pt>
                <c:pt idx="86">
                  <c:v>25420</c:v>
                </c:pt>
                <c:pt idx="87">
                  <c:v>25593</c:v>
                </c:pt>
                <c:pt idx="88">
                  <c:v>24635</c:v>
                </c:pt>
                <c:pt idx="89">
                  <c:v>24025</c:v>
                </c:pt>
                <c:pt idx="90">
                  <c:v>24025</c:v>
                </c:pt>
                <c:pt idx="91">
                  <c:v>24025</c:v>
                </c:pt>
                <c:pt idx="92">
                  <c:v>23549</c:v>
                </c:pt>
                <c:pt idx="93">
                  <c:v>23384</c:v>
                </c:pt>
                <c:pt idx="94">
                  <c:v>23264</c:v>
                </c:pt>
                <c:pt idx="95">
                  <c:v>22657</c:v>
                </c:pt>
                <c:pt idx="96">
                  <c:v>22657</c:v>
                </c:pt>
                <c:pt idx="97">
                  <c:v>22657</c:v>
                </c:pt>
                <c:pt idx="98">
                  <c:v>22657</c:v>
                </c:pt>
                <c:pt idx="99">
                  <c:v>22657</c:v>
                </c:pt>
                <c:pt idx="100">
                  <c:v>22493</c:v>
                </c:pt>
                <c:pt idx="101">
                  <c:v>22910</c:v>
                </c:pt>
                <c:pt idx="102">
                  <c:v>23178.5</c:v>
                </c:pt>
                <c:pt idx="103">
                  <c:v>23651</c:v>
                </c:pt>
                <c:pt idx="104">
                  <c:v>23651</c:v>
                </c:pt>
                <c:pt idx="105">
                  <c:v>23651</c:v>
                </c:pt>
                <c:pt idx="106">
                  <c:v>23006.52</c:v>
                </c:pt>
                <c:pt idx="107">
                  <c:v>23567</c:v>
                </c:pt>
                <c:pt idx="108">
                  <c:v>23902</c:v>
                </c:pt>
                <c:pt idx="109">
                  <c:v>23664</c:v>
                </c:pt>
                <c:pt idx="110">
                  <c:v>23268</c:v>
                </c:pt>
                <c:pt idx="111">
                  <c:v>23268</c:v>
                </c:pt>
                <c:pt idx="112">
                  <c:v>23268</c:v>
                </c:pt>
                <c:pt idx="113">
                  <c:v>22267</c:v>
                </c:pt>
                <c:pt idx="114">
                  <c:v>22128</c:v>
                </c:pt>
                <c:pt idx="115">
                  <c:v>22258.5</c:v>
                </c:pt>
                <c:pt idx="116">
                  <c:v>22555.5</c:v>
                </c:pt>
                <c:pt idx="117">
                  <c:v>23147</c:v>
                </c:pt>
                <c:pt idx="118">
                  <c:v>23147</c:v>
                </c:pt>
                <c:pt idx="119">
                  <c:v>23147</c:v>
                </c:pt>
                <c:pt idx="120">
                  <c:v>23018</c:v>
                </c:pt>
                <c:pt idx="121">
                  <c:v>22788</c:v>
                </c:pt>
                <c:pt idx="122">
                  <c:v>22830.799999999999</c:v>
                </c:pt>
                <c:pt idx="123">
                  <c:v>22927</c:v>
                </c:pt>
                <c:pt idx="124">
                  <c:v>22490</c:v>
                </c:pt>
                <c:pt idx="125">
                  <c:v>22490</c:v>
                </c:pt>
                <c:pt idx="126">
                  <c:v>22490</c:v>
                </c:pt>
                <c:pt idx="127">
                  <c:v>23056</c:v>
                </c:pt>
                <c:pt idx="128">
                  <c:v>23750.25</c:v>
                </c:pt>
                <c:pt idx="129">
                  <c:v>23921</c:v>
                </c:pt>
                <c:pt idx="130">
                  <c:v>24204</c:v>
                </c:pt>
                <c:pt idx="131">
                  <c:v>24384.92</c:v>
                </c:pt>
                <c:pt idx="132">
                  <c:v>24384.92</c:v>
                </c:pt>
                <c:pt idx="133">
                  <c:v>24384.92</c:v>
                </c:pt>
                <c:pt idx="134">
                  <c:v>24177.5</c:v>
                </c:pt>
                <c:pt idx="135">
                  <c:v>24676</c:v>
                </c:pt>
                <c:pt idx="136">
                  <c:v>24591</c:v>
                </c:pt>
                <c:pt idx="137">
                  <c:v>25303</c:v>
                </c:pt>
                <c:pt idx="138">
                  <c:v>24340.5</c:v>
                </c:pt>
                <c:pt idx="139">
                  <c:v>24340.5</c:v>
                </c:pt>
                <c:pt idx="140">
                  <c:v>24340.5</c:v>
                </c:pt>
                <c:pt idx="141">
                  <c:v>25176</c:v>
                </c:pt>
                <c:pt idx="142">
                  <c:v>26219</c:v>
                </c:pt>
                <c:pt idx="143">
                  <c:v>26880</c:v>
                </c:pt>
                <c:pt idx="144">
                  <c:v>26722</c:v>
                </c:pt>
                <c:pt idx="145">
                  <c:v>25571</c:v>
                </c:pt>
                <c:pt idx="146">
                  <c:v>25571</c:v>
                </c:pt>
                <c:pt idx="147">
                  <c:v>25571</c:v>
                </c:pt>
                <c:pt idx="148">
                  <c:v>26268</c:v>
                </c:pt>
                <c:pt idx="149">
                  <c:v>25908</c:v>
                </c:pt>
                <c:pt idx="150">
                  <c:v>26227</c:v>
                </c:pt>
                <c:pt idx="151">
                  <c:v>26409</c:v>
                </c:pt>
                <c:pt idx="152">
                  <c:v>27575.5</c:v>
                </c:pt>
                <c:pt idx="153">
                  <c:v>27575.5</c:v>
                </c:pt>
                <c:pt idx="154">
                  <c:v>27575.5</c:v>
                </c:pt>
                <c:pt idx="155">
                  <c:v>28952</c:v>
                </c:pt>
                <c:pt idx="156">
                  <c:v>27192</c:v>
                </c:pt>
                <c:pt idx="157">
                  <c:v>27043</c:v>
                </c:pt>
                <c:pt idx="158">
                  <c:v>27053</c:v>
                </c:pt>
                <c:pt idx="159">
                  <c:v>28427</c:v>
                </c:pt>
                <c:pt idx="160">
                  <c:v>28427</c:v>
                </c:pt>
                <c:pt idx="161">
                  <c:v>28427</c:v>
                </c:pt>
                <c:pt idx="162">
                  <c:v>29610</c:v>
                </c:pt>
                <c:pt idx="163">
                  <c:v>29092</c:v>
                </c:pt>
                <c:pt idx="164">
                  <c:v>30153</c:v>
                </c:pt>
                <c:pt idx="165">
                  <c:v>29017.3</c:v>
                </c:pt>
                <c:pt idx="166">
                  <c:v>28673.5</c:v>
                </c:pt>
                <c:pt idx="167">
                  <c:v>28673.5</c:v>
                </c:pt>
                <c:pt idx="168">
                  <c:v>28673.5</c:v>
                </c:pt>
                <c:pt idx="169">
                  <c:v>29194</c:v>
                </c:pt>
                <c:pt idx="170">
                  <c:v>28953</c:v>
                </c:pt>
                <c:pt idx="171">
                  <c:v>28561</c:v>
                </c:pt>
                <c:pt idx="172">
                  <c:v>27895</c:v>
                </c:pt>
                <c:pt idx="173">
                  <c:v>28541</c:v>
                </c:pt>
                <c:pt idx="174">
                  <c:v>28541</c:v>
                </c:pt>
                <c:pt idx="175">
                  <c:v>28541</c:v>
                </c:pt>
                <c:pt idx="176">
                  <c:v>29150</c:v>
                </c:pt>
                <c:pt idx="177">
                  <c:v>27651</c:v>
                </c:pt>
                <c:pt idx="178">
                  <c:v>26485</c:v>
                </c:pt>
                <c:pt idx="179">
                  <c:v>27027</c:v>
                </c:pt>
                <c:pt idx="180">
                  <c:v>26599</c:v>
                </c:pt>
                <c:pt idx="181">
                  <c:v>26599</c:v>
                </c:pt>
                <c:pt idx="182">
                  <c:v>26599</c:v>
                </c:pt>
                <c:pt idx="183">
                  <c:v>26827</c:v>
                </c:pt>
                <c:pt idx="184">
                  <c:v>26836</c:v>
                </c:pt>
                <c:pt idx="185">
                  <c:v>27234</c:v>
                </c:pt>
                <c:pt idx="186">
                  <c:v>27213</c:v>
                </c:pt>
                <c:pt idx="187">
                  <c:v>27904</c:v>
                </c:pt>
                <c:pt idx="188">
                  <c:v>27904</c:v>
                </c:pt>
                <c:pt idx="189">
                  <c:v>27904</c:v>
                </c:pt>
                <c:pt idx="190">
                  <c:v>27599</c:v>
                </c:pt>
                <c:pt idx="191">
                  <c:v>29616</c:v>
                </c:pt>
                <c:pt idx="192">
                  <c:v>30958</c:v>
                </c:pt>
                <c:pt idx="193">
                  <c:v>29886</c:v>
                </c:pt>
                <c:pt idx="194">
                  <c:v>29886</c:v>
                </c:pt>
                <c:pt idx="195">
                  <c:v>29886</c:v>
                </c:pt>
                <c:pt idx="196">
                  <c:v>29886</c:v>
                </c:pt>
                <c:pt idx="197">
                  <c:v>30077</c:v>
                </c:pt>
                <c:pt idx="198">
                  <c:v>30234</c:v>
                </c:pt>
                <c:pt idx="199">
                  <c:v>29377</c:v>
                </c:pt>
                <c:pt idx="200">
                  <c:v>29377</c:v>
                </c:pt>
                <c:pt idx="201">
                  <c:v>29377</c:v>
                </c:pt>
                <c:pt idx="202">
                  <c:v>29377</c:v>
                </c:pt>
                <c:pt idx="203">
                  <c:v>29377</c:v>
                </c:pt>
                <c:pt idx="204">
                  <c:v>29075</c:v>
                </c:pt>
                <c:pt idx="205">
                  <c:v>29431.5</c:v>
                </c:pt>
                <c:pt idx="206">
                  <c:v>28199</c:v>
                </c:pt>
                <c:pt idx="207">
                  <c:v>27073</c:v>
                </c:pt>
                <c:pt idx="208">
                  <c:v>28132.75</c:v>
                </c:pt>
                <c:pt idx="209">
                  <c:v>28132.75</c:v>
                </c:pt>
                <c:pt idx="210">
                  <c:v>28132.75</c:v>
                </c:pt>
                <c:pt idx="211">
                  <c:v>28103</c:v>
                </c:pt>
                <c:pt idx="212">
                  <c:v>28143</c:v>
                </c:pt>
                <c:pt idx="213">
                  <c:v>28007</c:v>
                </c:pt>
                <c:pt idx="214">
                  <c:v>29225</c:v>
                </c:pt>
                <c:pt idx="215">
                  <c:v>29210</c:v>
                </c:pt>
                <c:pt idx="216">
                  <c:v>29210</c:v>
                </c:pt>
                <c:pt idx="217">
                  <c:v>29210</c:v>
                </c:pt>
                <c:pt idx="218">
                  <c:v>29538</c:v>
                </c:pt>
                <c:pt idx="219">
                  <c:v>31281</c:v>
                </c:pt>
                <c:pt idx="220">
                  <c:v>29142</c:v>
                </c:pt>
                <c:pt idx="221">
                  <c:v>28556</c:v>
                </c:pt>
                <c:pt idx="222">
                  <c:v>28750</c:v>
                </c:pt>
                <c:pt idx="223">
                  <c:v>28750</c:v>
                </c:pt>
                <c:pt idx="224">
                  <c:v>28750</c:v>
                </c:pt>
                <c:pt idx="225">
                  <c:v>27496</c:v>
                </c:pt>
                <c:pt idx="226">
                  <c:v>26892</c:v>
                </c:pt>
                <c:pt idx="227">
                  <c:v>26744</c:v>
                </c:pt>
                <c:pt idx="228">
                  <c:v>25512</c:v>
                </c:pt>
                <c:pt idx="229">
                  <c:v>25304</c:v>
                </c:pt>
                <c:pt idx="230">
                  <c:v>25304</c:v>
                </c:pt>
                <c:pt idx="231">
                  <c:v>25304</c:v>
                </c:pt>
                <c:pt idx="232">
                  <c:v>25986</c:v>
                </c:pt>
                <c:pt idx="233">
                  <c:v>26154.25</c:v>
                </c:pt>
                <c:pt idx="234">
                  <c:v>25895</c:v>
                </c:pt>
                <c:pt idx="235">
                  <c:v>24828</c:v>
                </c:pt>
                <c:pt idx="236">
                  <c:v>25251</c:v>
                </c:pt>
                <c:pt idx="237">
                  <c:v>25251</c:v>
                </c:pt>
                <c:pt idx="238">
                  <c:v>25251</c:v>
                </c:pt>
                <c:pt idx="239">
                  <c:v>27438</c:v>
                </c:pt>
                <c:pt idx="240">
                  <c:v>27438</c:v>
                </c:pt>
                <c:pt idx="241">
                  <c:v>30178.5</c:v>
                </c:pt>
                <c:pt idx="242">
                  <c:v>28767</c:v>
                </c:pt>
                <c:pt idx="243">
                  <c:v>26856</c:v>
                </c:pt>
                <c:pt idx="244">
                  <c:v>26856</c:v>
                </c:pt>
                <c:pt idx="245">
                  <c:v>26856</c:v>
                </c:pt>
                <c:pt idx="246">
                  <c:v>25853</c:v>
                </c:pt>
                <c:pt idx="247">
                  <c:v>24595</c:v>
                </c:pt>
                <c:pt idx="248">
                  <c:v>23906.5</c:v>
                </c:pt>
                <c:pt idx="249">
                  <c:v>23290</c:v>
                </c:pt>
                <c:pt idx="250">
                  <c:v>23721</c:v>
                </c:pt>
                <c:pt idx="251">
                  <c:v>23721</c:v>
                </c:pt>
                <c:pt idx="252">
                  <c:v>23721</c:v>
                </c:pt>
                <c:pt idx="253">
                  <c:v>22703</c:v>
                </c:pt>
                <c:pt idx="254">
                  <c:v>24063</c:v>
                </c:pt>
                <c:pt idx="255">
                  <c:v>23513.1</c:v>
                </c:pt>
                <c:pt idx="256">
                  <c:v>21705</c:v>
                </c:pt>
                <c:pt idx="257">
                  <c:v>22020.5</c:v>
                </c:pt>
                <c:pt idx="258">
                  <c:v>22020.5</c:v>
                </c:pt>
                <c:pt idx="259">
                  <c:v>22020.5</c:v>
                </c:pt>
                <c:pt idx="260">
                  <c:v>22273.5</c:v>
                </c:pt>
                <c:pt idx="261">
                  <c:v>22559</c:v>
                </c:pt>
                <c:pt idx="262">
                  <c:v>22200.5</c:v>
                </c:pt>
                <c:pt idx="263">
                  <c:v>22151</c:v>
                </c:pt>
                <c:pt idx="264">
                  <c:v>21849</c:v>
                </c:pt>
                <c:pt idx="265">
                  <c:v>21849</c:v>
                </c:pt>
                <c:pt idx="266">
                  <c:v>21849</c:v>
                </c:pt>
                <c:pt idx="267">
                  <c:v>22085</c:v>
                </c:pt>
                <c:pt idx="268">
                  <c:v>21818</c:v>
                </c:pt>
                <c:pt idx="269">
                  <c:v>21739</c:v>
                </c:pt>
                <c:pt idx="270">
                  <c:v>21411</c:v>
                </c:pt>
                <c:pt idx="271">
                  <c:v>21660.75</c:v>
                </c:pt>
                <c:pt idx="272">
                  <c:v>21660.75</c:v>
                </c:pt>
                <c:pt idx="273">
                  <c:v>21660.75</c:v>
                </c:pt>
                <c:pt idx="274">
                  <c:v>22299</c:v>
                </c:pt>
                <c:pt idx="275">
                  <c:v>22142</c:v>
                </c:pt>
                <c:pt idx="276">
                  <c:v>21915</c:v>
                </c:pt>
                <c:pt idx="277">
                  <c:v>22282</c:v>
                </c:pt>
                <c:pt idx="278">
                  <c:v>22366</c:v>
                </c:pt>
                <c:pt idx="279">
                  <c:v>22366</c:v>
                </c:pt>
                <c:pt idx="280">
                  <c:v>22366</c:v>
                </c:pt>
                <c:pt idx="281">
                  <c:v>22666.5</c:v>
                </c:pt>
                <c:pt idx="282">
                  <c:v>22472.5</c:v>
                </c:pt>
                <c:pt idx="283">
                  <c:v>21934</c:v>
                </c:pt>
                <c:pt idx="284">
                  <c:v>21141.5</c:v>
                </c:pt>
                <c:pt idx="285">
                  <c:v>21012</c:v>
                </c:pt>
                <c:pt idx="286">
                  <c:v>21012</c:v>
                </c:pt>
                <c:pt idx="287">
                  <c:v>21012</c:v>
                </c:pt>
                <c:pt idx="288">
                  <c:v>22250</c:v>
                </c:pt>
                <c:pt idx="289">
                  <c:v>21692.5</c:v>
                </c:pt>
                <c:pt idx="290">
                  <c:v>21723</c:v>
                </c:pt>
                <c:pt idx="291">
                  <c:v>22039</c:v>
                </c:pt>
                <c:pt idx="292">
                  <c:v>23297.5</c:v>
                </c:pt>
                <c:pt idx="293">
                  <c:v>23297.5</c:v>
                </c:pt>
                <c:pt idx="294">
                  <c:v>23297.5</c:v>
                </c:pt>
                <c:pt idx="295">
                  <c:v>24482</c:v>
                </c:pt>
                <c:pt idx="296">
                  <c:v>24882</c:v>
                </c:pt>
                <c:pt idx="297">
                  <c:v>24913</c:v>
                </c:pt>
                <c:pt idx="298">
                  <c:v>24556</c:v>
                </c:pt>
                <c:pt idx="299">
                  <c:v>24229</c:v>
                </c:pt>
                <c:pt idx="300">
                  <c:v>24229</c:v>
                </c:pt>
                <c:pt idx="301">
                  <c:v>24229</c:v>
                </c:pt>
                <c:pt idx="302">
                  <c:v>23096.25</c:v>
                </c:pt>
                <c:pt idx="303">
                  <c:v>24184</c:v>
                </c:pt>
                <c:pt idx="304">
                  <c:v>24257</c:v>
                </c:pt>
                <c:pt idx="305">
                  <c:v>24536.5</c:v>
                </c:pt>
                <c:pt idx="306">
                  <c:v>22959</c:v>
                </c:pt>
                <c:pt idx="307">
                  <c:v>22959</c:v>
                </c:pt>
                <c:pt idx="308">
                  <c:v>22959</c:v>
                </c:pt>
                <c:pt idx="309">
                  <c:v>21716</c:v>
                </c:pt>
                <c:pt idx="310">
                  <c:v>21522</c:v>
                </c:pt>
                <c:pt idx="311">
                  <c:v>21532</c:v>
                </c:pt>
                <c:pt idx="312">
                  <c:v>21424.01</c:v>
                </c:pt>
                <c:pt idx="313">
                  <c:v>20476</c:v>
                </c:pt>
                <c:pt idx="314">
                  <c:v>20476</c:v>
                </c:pt>
                <c:pt idx="315">
                  <c:v>20476</c:v>
                </c:pt>
                <c:pt idx="316">
                  <c:v>20248.5</c:v>
                </c:pt>
                <c:pt idx="317">
                  <c:v>21323</c:v>
                </c:pt>
                <c:pt idx="318">
                  <c:v>21273</c:v>
                </c:pt>
                <c:pt idx="319">
                  <c:v>21540</c:v>
                </c:pt>
                <c:pt idx="320">
                  <c:v>21540</c:v>
                </c:pt>
                <c:pt idx="321">
                  <c:v>21540</c:v>
                </c:pt>
                <c:pt idx="322">
                  <c:v>21540</c:v>
                </c:pt>
                <c:pt idx="323">
                  <c:v>21578</c:v>
                </c:pt>
                <c:pt idx="324">
                  <c:v>21262.5</c:v>
                </c:pt>
                <c:pt idx="325">
                  <c:v>22253</c:v>
                </c:pt>
                <c:pt idx="326">
                  <c:v>22253</c:v>
                </c:pt>
                <c:pt idx="327">
                  <c:v>22176.5</c:v>
                </c:pt>
                <c:pt idx="328">
                  <c:v>22176.5</c:v>
                </c:pt>
                <c:pt idx="329">
                  <c:v>22176.5</c:v>
                </c:pt>
                <c:pt idx="330">
                  <c:v>21704</c:v>
                </c:pt>
                <c:pt idx="331">
                  <c:v>21807</c:v>
                </c:pt>
                <c:pt idx="332">
                  <c:v>22157.75</c:v>
                </c:pt>
                <c:pt idx="333">
                  <c:v>21937.75</c:v>
                </c:pt>
                <c:pt idx="334">
                  <c:v>22963.5</c:v>
                </c:pt>
                <c:pt idx="335">
                  <c:v>22963.5</c:v>
                </c:pt>
                <c:pt idx="336">
                  <c:v>22963.5</c:v>
                </c:pt>
                <c:pt idx="337">
                  <c:v>23584.5</c:v>
                </c:pt>
                <c:pt idx="338">
                  <c:v>22422</c:v>
                </c:pt>
                <c:pt idx="339">
                  <c:v>21490</c:v>
                </c:pt>
                <c:pt idx="340">
                  <c:v>21614</c:v>
                </c:pt>
                <c:pt idx="341">
                  <c:v>22151</c:v>
                </c:pt>
                <c:pt idx="342">
                  <c:v>22151</c:v>
                </c:pt>
                <c:pt idx="343">
                  <c:v>22151</c:v>
                </c:pt>
                <c:pt idx="344">
                  <c:v>22137</c:v>
                </c:pt>
                <c:pt idx="345">
                  <c:v>22274.75</c:v>
                </c:pt>
                <c:pt idx="346">
                  <c:v>22435</c:v>
                </c:pt>
                <c:pt idx="347">
                  <c:v>23522</c:v>
                </c:pt>
                <c:pt idx="348">
                  <c:v>21883</c:v>
                </c:pt>
                <c:pt idx="349">
                  <c:v>21883</c:v>
                </c:pt>
                <c:pt idx="350">
                  <c:v>21883</c:v>
                </c:pt>
                <c:pt idx="351">
                  <c:v>21883</c:v>
                </c:pt>
                <c:pt idx="352">
                  <c:v>21754</c:v>
                </c:pt>
                <c:pt idx="353">
                  <c:v>21513</c:v>
                </c:pt>
                <c:pt idx="354">
                  <c:v>22172</c:v>
                </c:pt>
                <c:pt idx="355">
                  <c:v>22080</c:v>
                </c:pt>
                <c:pt idx="356">
                  <c:v>22080</c:v>
                </c:pt>
                <c:pt idx="357">
                  <c:v>22080</c:v>
                </c:pt>
                <c:pt idx="358">
                  <c:v>21431</c:v>
                </c:pt>
                <c:pt idx="359">
                  <c:v>21129.25</c:v>
                </c:pt>
                <c:pt idx="360">
                  <c:v>20542.5</c:v>
                </c:pt>
                <c:pt idx="361">
                  <c:v>20604.5</c:v>
                </c:pt>
                <c:pt idx="362">
                  <c:v>19333</c:v>
                </c:pt>
                <c:pt idx="363">
                  <c:v>19333</c:v>
                </c:pt>
                <c:pt idx="364">
                  <c:v>19333</c:v>
                </c:pt>
                <c:pt idx="365">
                  <c:v>19346.5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8EC7-4EC5-9C94-890115B2441D}"/>
            </c:ext>
          </c:extLst>
        </c:ser>
        <c:ser>
          <c:idx val="6"/>
          <c:order val="6"/>
          <c:tx>
            <c:strRef>
              <c:f>'LME Price'!$L$64</c:f>
              <c:strCache>
                <c:ptCount val="1"/>
                <c:pt idx="0">
                  <c:v>Tin(R)</c:v>
                </c:pt>
              </c:strCache>
            </c:strRef>
          </c:tx>
          <c:spPr>
            <a:ln w="28575" cap="rnd">
              <a:solidFill>
                <a:srgbClr val="FF5B01"/>
              </a:solidFill>
              <a:round/>
            </a:ln>
            <a:effectLst/>
          </c:spPr>
          <c:marker>
            <c:symbol val="none"/>
          </c:marker>
          <c:cat>
            <c:numRef>
              <c:f>'LME Price'!$E$66:$E$431</c:f>
              <c:numCache>
                <c:formatCode>m/d/yyyy</c:formatCode>
                <c:ptCount val="366"/>
                <c:pt idx="0">
                  <c:v>45121</c:v>
                </c:pt>
                <c:pt idx="1">
                  <c:v>45120</c:v>
                </c:pt>
                <c:pt idx="2">
                  <c:v>45119</c:v>
                </c:pt>
                <c:pt idx="3">
                  <c:v>45118</c:v>
                </c:pt>
                <c:pt idx="4">
                  <c:v>45117</c:v>
                </c:pt>
                <c:pt idx="5">
                  <c:v>45116</c:v>
                </c:pt>
                <c:pt idx="6">
                  <c:v>45115</c:v>
                </c:pt>
                <c:pt idx="7">
                  <c:v>45114</c:v>
                </c:pt>
                <c:pt idx="8">
                  <c:v>45113</c:v>
                </c:pt>
                <c:pt idx="9">
                  <c:v>45112</c:v>
                </c:pt>
                <c:pt idx="10">
                  <c:v>45111</c:v>
                </c:pt>
                <c:pt idx="11">
                  <c:v>45110</c:v>
                </c:pt>
                <c:pt idx="12">
                  <c:v>45109</c:v>
                </c:pt>
                <c:pt idx="13">
                  <c:v>45108</c:v>
                </c:pt>
                <c:pt idx="14">
                  <c:v>45107</c:v>
                </c:pt>
                <c:pt idx="15">
                  <c:v>45106</c:v>
                </c:pt>
                <c:pt idx="16">
                  <c:v>45105</c:v>
                </c:pt>
                <c:pt idx="17">
                  <c:v>45104</c:v>
                </c:pt>
                <c:pt idx="18">
                  <c:v>45103</c:v>
                </c:pt>
                <c:pt idx="19">
                  <c:v>45102</c:v>
                </c:pt>
                <c:pt idx="20">
                  <c:v>45101</c:v>
                </c:pt>
                <c:pt idx="21">
                  <c:v>45100</c:v>
                </c:pt>
                <c:pt idx="22">
                  <c:v>45099</c:v>
                </c:pt>
                <c:pt idx="23">
                  <c:v>45098</c:v>
                </c:pt>
                <c:pt idx="24">
                  <c:v>45097</c:v>
                </c:pt>
                <c:pt idx="25">
                  <c:v>45096</c:v>
                </c:pt>
                <c:pt idx="26">
                  <c:v>45095</c:v>
                </c:pt>
                <c:pt idx="27">
                  <c:v>45094</c:v>
                </c:pt>
                <c:pt idx="28">
                  <c:v>45093</c:v>
                </c:pt>
                <c:pt idx="29">
                  <c:v>45092</c:v>
                </c:pt>
                <c:pt idx="30">
                  <c:v>45091</c:v>
                </c:pt>
                <c:pt idx="31">
                  <c:v>45090</c:v>
                </c:pt>
                <c:pt idx="32">
                  <c:v>45089</c:v>
                </c:pt>
                <c:pt idx="33">
                  <c:v>45088</c:v>
                </c:pt>
                <c:pt idx="34">
                  <c:v>45087</c:v>
                </c:pt>
                <c:pt idx="35">
                  <c:v>45086</c:v>
                </c:pt>
                <c:pt idx="36">
                  <c:v>45085</c:v>
                </c:pt>
                <c:pt idx="37">
                  <c:v>45084</c:v>
                </c:pt>
                <c:pt idx="38">
                  <c:v>45083</c:v>
                </c:pt>
                <c:pt idx="39">
                  <c:v>45082</c:v>
                </c:pt>
                <c:pt idx="40">
                  <c:v>45081</c:v>
                </c:pt>
                <c:pt idx="41">
                  <c:v>45080</c:v>
                </c:pt>
                <c:pt idx="42">
                  <c:v>45079</c:v>
                </c:pt>
                <c:pt idx="43">
                  <c:v>45078</c:v>
                </c:pt>
                <c:pt idx="44">
                  <c:v>45077</c:v>
                </c:pt>
                <c:pt idx="45">
                  <c:v>45076</c:v>
                </c:pt>
                <c:pt idx="46">
                  <c:v>45075</c:v>
                </c:pt>
                <c:pt idx="47">
                  <c:v>45074</c:v>
                </c:pt>
                <c:pt idx="48">
                  <c:v>45073</c:v>
                </c:pt>
                <c:pt idx="49">
                  <c:v>45072</c:v>
                </c:pt>
                <c:pt idx="50">
                  <c:v>45071</c:v>
                </c:pt>
                <c:pt idx="51">
                  <c:v>45070</c:v>
                </c:pt>
                <c:pt idx="52">
                  <c:v>45069</c:v>
                </c:pt>
                <c:pt idx="53">
                  <c:v>45068</c:v>
                </c:pt>
                <c:pt idx="54">
                  <c:v>45067</c:v>
                </c:pt>
                <c:pt idx="55">
                  <c:v>45066</c:v>
                </c:pt>
                <c:pt idx="56">
                  <c:v>45065</c:v>
                </c:pt>
                <c:pt idx="57">
                  <c:v>45064</c:v>
                </c:pt>
                <c:pt idx="58">
                  <c:v>45063</c:v>
                </c:pt>
                <c:pt idx="59">
                  <c:v>45062</c:v>
                </c:pt>
                <c:pt idx="60">
                  <c:v>45061</c:v>
                </c:pt>
                <c:pt idx="61">
                  <c:v>45060</c:v>
                </c:pt>
                <c:pt idx="62">
                  <c:v>45059</c:v>
                </c:pt>
                <c:pt idx="63">
                  <c:v>45058</c:v>
                </c:pt>
                <c:pt idx="64">
                  <c:v>45057</c:v>
                </c:pt>
                <c:pt idx="65">
                  <c:v>45056</c:v>
                </c:pt>
                <c:pt idx="66">
                  <c:v>45055</c:v>
                </c:pt>
                <c:pt idx="67">
                  <c:v>45054</c:v>
                </c:pt>
                <c:pt idx="68">
                  <c:v>45053</c:v>
                </c:pt>
                <c:pt idx="69">
                  <c:v>45052</c:v>
                </c:pt>
                <c:pt idx="70">
                  <c:v>45051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45047</c:v>
                </c:pt>
                <c:pt idx="75">
                  <c:v>45046</c:v>
                </c:pt>
                <c:pt idx="76">
                  <c:v>45045</c:v>
                </c:pt>
                <c:pt idx="77">
                  <c:v>45044</c:v>
                </c:pt>
                <c:pt idx="78">
                  <c:v>45043</c:v>
                </c:pt>
                <c:pt idx="79">
                  <c:v>45042</c:v>
                </c:pt>
                <c:pt idx="80">
                  <c:v>45041</c:v>
                </c:pt>
                <c:pt idx="81">
                  <c:v>45040</c:v>
                </c:pt>
                <c:pt idx="82">
                  <c:v>45039</c:v>
                </c:pt>
                <c:pt idx="83">
                  <c:v>45038</c:v>
                </c:pt>
                <c:pt idx="84">
                  <c:v>45037</c:v>
                </c:pt>
                <c:pt idx="85">
                  <c:v>45036</c:v>
                </c:pt>
                <c:pt idx="86">
                  <c:v>45035</c:v>
                </c:pt>
                <c:pt idx="87">
                  <c:v>45034</c:v>
                </c:pt>
                <c:pt idx="88">
                  <c:v>45033</c:v>
                </c:pt>
                <c:pt idx="89">
                  <c:v>45032</c:v>
                </c:pt>
                <c:pt idx="90">
                  <c:v>45031</c:v>
                </c:pt>
                <c:pt idx="91">
                  <c:v>45030</c:v>
                </c:pt>
                <c:pt idx="92">
                  <c:v>45029</c:v>
                </c:pt>
                <c:pt idx="93">
                  <c:v>45028</c:v>
                </c:pt>
                <c:pt idx="94">
                  <c:v>45027</c:v>
                </c:pt>
                <c:pt idx="95">
                  <c:v>45026</c:v>
                </c:pt>
                <c:pt idx="96">
                  <c:v>45025</c:v>
                </c:pt>
                <c:pt idx="97">
                  <c:v>45024</c:v>
                </c:pt>
                <c:pt idx="98">
                  <c:v>45023</c:v>
                </c:pt>
                <c:pt idx="99">
                  <c:v>45022</c:v>
                </c:pt>
                <c:pt idx="100">
                  <c:v>45021</c:v>
                </c:pt>
                <c:pt idx="101">
                  <c:v>45020</c:v>
                </c:pt>
                <c:pt idx="102">
                  <c:v>45019</c:v>
                </c:pt>
                <c:pt idx="103">
                  <c:v>45018</c:v>
                </c:pt>
                <c:pt idx="104">
                  <c:v>45017</c:v>
                </c:pt>
                <c:pt idx="105">
                  <c:v>45016</c:v>
                </c:pt>
                <c:pt idx="106">
                  <c:v>45015</c:v>
                </c:pt>
                <c:pt idx="107">
                  <c:v>45014</c:v>
                </c:pt>
                <c:pt idx="108">
                  <c:v>45013</c:v>
                </c:pt>
                <c:pt idx="109">
                  <c:v>45012</c:v>
                </c:pt>
                <c:pt idx="110">
                  <c:v>45011</c:v>
                </c:pt>
                <c:pt idx="111">
                  <c:v>45010</c:v>
                </c:pt>
                <c:pt idx="112">
                  <c:v>45009</c:v>
                </c:pt>
                <c:pt idx="113">
                  <c:v>45008</c:v>
                </c:pt>
                <c:pt idx="114">
                  <c:v>45007</c:v>
                </c:pt>
                <c:pt idx="115">
                  <c:v>45006</c:v>
                </c:pt>
                <c:pt idx="116">
                  <c:v>45005</c:v>
                </c:pt>
                <c:pt idx="117">
                  <c:v>45004</c:v>
                </c:pt>
                <c:pt idx="118">
                  <c:v>45003</c:v>
                </c:pt>
                <c:pt idx="119">
                  <c:v>45002</c:v>
                </c:pt>
                <c:pt idx="120">
                  <c:v>45001</c:v>
                </c:pt>
                <c:pt idx="121">
                  <c:v>45000</c:v>
                </c:pt>
                <c:pt idx="122">
                  <c:v>44999</c:v>
                </c:pt>
                <c:pt idx="123">
                  <c:v>44998</c:v>
                </c:pt>
                <c:pt idx="124">
                  <c:v>44997</c:v>
                </c:pt>
                <c:pt idx="125">
                  <c:v>44996</c:v>
                </c:pt>
                <c:pt idx="126">
                  <c:v>44995</c:v>
                </c:pt>
                <c:pt idx="127">
                  <c:v>44994</c:v>
                </c:pt>
                <c:pt idx="128">
                  <c:v>44993</c:v>
                </c:pt>
                <c:pt idx="129">
                  <c:v>44992</c:v>
                </c:pt>
                <c:pt idx="130">
                  <c:v>44991</c:v>
                </c:pt>
                <c:pt idx="131">
                  <c:v>44990</c:v>
                </c:pt>
                <c:pt idx="132">
                  <c:v>44989</c:v>
                </c:pt>
                <c:pt idx="133">
                  <c:v>44988</c:v>
                </c:pt>
                <c:pt idx="134">
                  <c:v>44987</c:v>
                </c:pt>
                <c:pt idx="135">
                  <c:v>44986</c:v>
                </c:pt>
                <c:pt idx="136">
                  <c:v>44985</c:v>
                </c:pt>
                <c:pt idx="137">
                  <c:v>44984</c:v>
                </c:pt>
                <c:pt idx="138">
                  <c:v>44983</c:v>
                </c:pt>
                <c:pt idx="139">
                  <c:v>44982</c:v>
                </c:pt>
                <c:pt idx="140">
                  <c:v>44981</c:v>
                </c:pt>
                <c:pt idx="141">
                  <c:v>44980</c:v>
                </c:pt>
                <c:pt idx="142">
                  <c:v>44979</c:v>
                </c:pt>
                <c:pt idx="143">
                  <c:v>44978</c:v>
                </c:pt>
                <c:pt idx="144">
                  <c:v>44977</c:v>
                </c:pt>
                <c:pt idx="145">
                  <c:v>44976</c:v>
                </c:pt>
                <c:pt idx="146">
                  <c:v>44975</c:v>
                </c:pt>
                <c:pt idx="147">
                  <c:v>44974</c:v>
                </c:pt>
                <c:pt idx="148">
                  <c:v>44973</c:v>
                </c:pt>
                <c:pt idx="149">
                  <c:v>44972</c:v>
                </c:pt>
                <c:pt idx="150">
                  <c:v>44971</c:v>
                </c:pt>
                <c:pt idx="151">
                  <c:v>44970</c:v>
                </c:pt>
                <c:pt idx="152">
                  <c:v>44969</c:v>
                </c:pt>
                <c:pt idx="153">
                  <c:v>44968</c:v>
                </c:pt>
                <c:pt idx="154">
                  <c:v>44967</c:v>
                </c:pt>
                <c:pt idx="155">
                  <c:v>44966</c:v>
                </c:pt>
                <c:pt idx="156">
                  <c:v>44965</c:v>
                </c:pt>
                <c:pt idx="157">
                  <c:v>44964</c:v>
                </c:pt>
                <c:pt idx="158">
                  <c:v>44963</c:v>
                </c:pt>
                <c:pt idx="159">
                  <c:v>44962</c:v>
                </c:pt>
                <c:pt idx="160">
                  <c:v>44961</c:v>
                </c:pt>
                <c:pt idx="161">
                  <c:v>44960</c:v>
                </c:pt>
                <c:pt idx="162">
                  <c:v>44959</c:v>
                </c:pt>
                <c:pt idx="163">
                  <c:v>44958</c:v>
                </c:pt>
                <c:pt idx="164">
                  <c:v>44957</c:v>
                </c:pt>
                <c:pt idx="165">
                  <c:v>44956</c:v>
                </c:pt>
                <c:pt idx="166">
                  <c:v>44955</c:v>
                </c:pt>
                <c:pt idx="167">
                  <c:v>44954</c:v>
                </c:pt>
                <c:pt idx="168">
                  <c:v>44953</c:v>
                </c:pt>
                <c:pt idx="169">
                  <c:v>44952</c:v>
                </c:pt>
                <c:pt idx="170">
                  <c:v>44951</c:v>
                </c:pt>
                <c:pt idx="171">
                  <c:v>44950</c:v>
                </c:pt>
                <c:pt idx="172">
                  <c:v>44949</c:v>
                </c:pt>
                <c:pt idx="173">
                  <c:v>44948</c:v>
                </c:pt>
                <c:pt idx="174">
                  <c:v>44947</c:v>
                </c:pt>
                <c:pt idx="175">
                  <c:v>44946</c:v>
                </c:pt>
                <c:pt idx="176">
                  <c:v>44945</c:v>
                </c:pt>
                <c:pt idx="177">
                  <c:v>44944</c:v>
                </c:pt>
                <c:pt idx="178">
                  <c:v>44943</c:v>
                </c:pt>
                <c:pt idx="179">
                  <c:v>44942</c:v>
                </c:pt>
                <c:pt idx="180">
                  <c:v>44941</c:v>
                </c:pt>
                <c:pt idx="181">
                  <c:v>44940</c:v>
                </c:pt>
                <c:pt idx="182">
                  <c:v>44939</c:v>
                </c:pt>
                <c:pt idx="183">
                  <c:v>44938</c:v>
                </c:pt>
                <c:pt idx="184">
                  <c:v>44937</c:v>
                </c:pt>
                <c:pt idx="185">
                  <c:v>44936</c:v>
                </c:pt>
                <c:pt idx="186">
                  <c:v>44935</c:v>
                </c:pt>
                <c:pt idx="187">
                  <c:v>44934</c:v>
                </c:pt>
                <c:pt idx="188">
                  <c:v>44933</c:v>
                </c:pt>
                <c:pt idx="189">
                  <c:v>44932</c:v>
                </c:pt>
                <c:pt idx="190">
                  <c:v>44931</c:v>
                </c:pt>
                <c:pt idx="191">
                  <c:v>44930</c:v>
                </c:pt>
                <c:pt idx="192">
                  <c:v>44929</c:v>
                </c:pt>
                <c:pt idx="193">
                  <c:v>44928</c:v>
                </c:pt>
                <c:pt idx="194">
                  <c:v>44927</c:v>
                </c:pt>
                <c:pt idx="195">
                  <c:v>44926</c:v>
                </c:pt>
                <c:pt idx="196">
                  <c:v>44925</c:v>
                </c:pt>
                <c:pt idx="197">
                  <c:v>44924</c:v>
                </c:pt>
                <c:pt idx="198">
                  <c:v>44923</c:v>
                </c:pt>
                <c:pt idx="199">
                  <c:v>44922</c:v>
                </c:pt>
                <c:pt idx="200">
                  <c:v>44921</c:v>
                </c:pt>
                <c:pt idx="201">
                  <c:v>44920</c:v>
                </c:pt>
                <c:pt idx="202">
                  <c:v>44919</c:v>
                </c:pt>
                <c:pt idx="203">
                  <c:v>44918</c:v>
                </c:pt>
                <c:pt idx="204">
                  <c:v>44917</c:v>
                </c:pt>
                <c:pt idx="205">
                  <c:v>44916</c:v>
                </c:pt>
                <c:pt idx="206">
                  <c:v>44915</c:v>
                </c:pt>
                <c:pt idx="207">
                  <c:v>44914</c:v>
                </c:pt>
                <c:pt idx="208">
                  <c:v>44913</c:v>
                </c:pt>
                <c:pt idx="209">
                  <c:v>44912</c:v>
                </c:pt>
                <c:pt idx="210">
                  <c:v>44911</c:v>
                </c:pt>
                <c:pt idx="211">
                  <c:v>44910</c:v>
                </c:pt>
                <c:pt idx="212">
                  <c:v>44909</c:v>
                </c:pt>
                <c:pt idx="213">
                  <c:v>44908</c:v>
                </c:pt>
                <c:pt idx="214">
                  <c:v>44907</c:v>
                </c:pt>
                <c:pt idx="215">
                  <c:v>44906</c:v>
                </c:pt>
                <c:pt idx="216">
                  <c:v>44905</c:v>
                </c:pt>
                <c:pt idx="217">
                  <c:v>44904</c:v>
                </c:pt>
                <c:pt idx="218">
                  <c:v>44903</c:v>
                </c:pt>
                <c:pt idx="219">
                  <c:v>44902</c:v>
                </c:pt>
                <c:pt idx="220">
                  <c:v>44901</c:v>
                </c:pt>
                <c:pt idx="221">
                  <c:v>44900</c:v>
                </c:pt>
                <c:pt idx="222">
                  <c:v>44899</c:v>
                </c:pt>
                <c:pt idx="223">
                  <c:v>44898</c:v>
                </c:pt>
                <c:pt idx="224">
                  <c:v>44897</c:v>
                </c:pt>
                <c:pt idx="225">
                  <c:v>44896</c:v>
                </c:pt>
                <c:pt idx="226">
                  <c:v>44895</c:v>
                </c:pt>
                <c:pt idx="227">
                  <c:v>44894</c:v>
                </c:pt>
                <c:pt idx="228">
                  <c:v>44893</c:v>
                </c:pt>
                <c:pt idx="229">
                  <c:v>44892</c:v>
                </c:pt>
                <c:pt idx="230">
                  <c:v>44891</c:v>
                </c:pt>
                <c:pt idx="231">
                  <c:v>44890</c:v>
                </c:pt>
                <c:pt idx="232">
                  <c:v>44889</c:v>
                </c:pt>
                <c:pt idx="233">
                  <c:v>44888</c:v>
                </c:pt>
                <c:pt idx="234">
                  <c:v>44887</c:v>
                </c:pt>
                <c:pt idx="235">
                  <c:v>44886</c:v>
                </c:pt>
                <c:pt idx="236">
                  <c:v>44885</c:v>
                </c:pt>
                <c:pt idx="237">
                  <c:v>44884</c:v>
                </c:pt>
                <c:pt idx="238">
                  <c:v>44883</c:v>
                </c:pt>
                <c:pt idx="239">
                  <c:v>44882</c:v>
                </c:pt>
                <c:pt idx="240">
                  <c:v>44881</c:v>
                </c:pt>
                <c:pt idx="241">
                  <c:v>44880</c:v>
                </c:pt>
                <c:pt idx="242">
                  <c:v>44879</c:v>
                </c:pt>
                <c:pt idx="243">
                  <c:v>44878</c:v>
                </c:pt>
                <c:pt idx="244">
                  <c:v>44877</c:v>
                </c:pt>
                <c:pt idx="245">
                  <c:v>44876</c:v>
                </c:pt>
                <c:pt idx="246">
                  <c:v>44875</c:v>
                </c:pt>
                <c:pt idx="247">
                  <c:v>44874</c:v>
                </c:pt>
                <c:pt idx="248">
                  <c:v>44873</c:v>
                </c:pt>
                <c:pt idx="249">
                  <c:v>44872</c:v>
                </c:pt>
                <c:pt idx="250">
                  <c:v>44871</c:v>
                </c:pt>
                <c:pt idx="251">
                  <c:v>44870</c:v>
                </c:pt>
                <c:pt idx="252">
                  <c:v>44869</c:v>
                </c:pt>
                <c:pt idx="253">
                  <c:v>44868</c:v>
                </c:pt>
                <c:pt idx="254">
                  <c:v>44867</c:v>
                </c:pt>
                <c:pt idx="255">
                  <c:v>44866</c:v>
                </c:pt>
                <c:pt idx="256">
                  <c:v>44865</c:v>
                </c:pt>
                <c:pt idx="257">
                  <c:v>44864</c:v>
                </c:pt>
                <c:pt idx="258">
                  <c:v>44863</c:v>
                </c:pt>
                <c:pt idx="259">
                  <c:v>44862</c:v>
                </c:pt>
                <c:pt idx="260">
                  <c:v>44861</c:v>
                </c:pt>
                <c:pt idx="261">
                  <c:v>44860</c:v>
                </c:pt>
                <c:pt idx="262">
                  <c:v>44859</c:v>
                </c:pt>
                <c:pt idx="263">
                  <c:v>44858</c:v>
                </c:pt>
                <c:pt idx="264">
                  <c:v>44857</c:v>
                </c:pt>
                <c:pt idx="265">
                  <c:v>44856</c:v>
                </c:pt>
                <c:pt idx="266">
                  <c:v>44855</c:v>
                </c:pt>
                <c:pt idx="267">
                  <c:v>44854</c:v>
                </c:pt>
                <c:pt idx="268">
                  <c:v>44853</c:v>
                </c:pt>
                <c:pt idx="269">
                  <c:v>44852</c:v>
                </c:pt>
                <c:pt idx="270">
                  <c:v>44851</c:v>
                </c:pt>
                <c:pt idx="271">
                  <c:v>44850</c:v>
                </c:pt>
                <c:pt idx="272">
                  <c:v>44849</c:v>
                </c:pt>
                <c:pt idx="273">
                  <c:v>44848</c:v>
                </c:pt>
                <c:pt idx="274">
                  <c:v>44847</c:v>
                </c:pt>
                <c:pt idx="275">
                  <c:v>44846</c:v>
                </c:pt>
                <c:pt idx="276">
                  <c:v>44845</c:v>
                </c:pt>
                <c:pt idx="277">
                  <c:v>44844</c:v>
                </c:pt>
                <c:pt idx="278">
                  <c:v>44843</c:v>
                </c:pt>
                <c:pt idx="279">
                  <c:v>44842</c:v>
                </c:pt>
                <c:pt idx="280">
                  <c:v>44841</c:v>
                </c:pt>
                <c:pt idx="281">
                  <c:v>44840</c:v>
                </c:pt>
                <c:pt idx="282">
                  <c:v>44839</c:v>
                </c:pt>
                <c:pt idx="283">
                  <c:v>44838</c:v>
                </c:pt>
                <c:pt idx="284">
                  <c:v>44837</c:v>
                </c:pt>
                <c:pt idx="285">
                  <c:v>44836</c:v>
                </c:pt>
                <c:pt idx="286">
                  <c:v>44835</c:v>
                </c:pt>
                <c:pt idx="287">
                  <c:v>44834</c:v>
                </c:pt>
                <c:pt idx="288">
                  <c:v>44833</c:v>
                </c:pt>
                <c:pt idx="289">
                  <c:v>44832</c:v>
                </c:pt>
                <c:pt idx="290">
                  <c:v>44831</c:v>
                </c:pt>
                <c:pt idx="291">
                  <c:v>44830</c:v>
                </c:pt>
                <c:pt idx="292">
                  <c:v>44829</c:v>
                </c:pt>
                <c:pt idx="293">
                  <c:v>44828</c:v>
                </c:pt>
                <c:pt idx="294">
                  <c:v>44827</c:v>
                </c:pt>
                <c:pt idx="295">
                  <c:v>44826</c:v>
                </c:pt>
                <c:pt idx="296">
                  <c:v>44825</c:v>
                </c:pt>
                <c:pt idx="297">
                  <c:v>44824</c:v>
                </c:pt>
                <c:pt idx="298">
                  <c:v>44823</c:v>
                </c:pt>
                <c:pt idx="299">
                  <c:v>44822</c:v>
                </c:pt>
                <c:pt idx="300">
                  <c:v>44821</c:v>
                </c:pt>
                <c:pt idx="301">
                  <c:v>44820</c:v>
                </c:pt>
                <c:pt idx="302">
                  <c:v>44819</c:v>
                </c:pt>
                <c:pt idx="303">
                  <c:v>44818</c:v>
                </c:pt>
                <c:pt idx="304">
                  <c:v>44817</c:v>
                </c:pt>
                <c:pt idx="305">
                  <c:v>44816</c:v>
                </c:pt>
                <c:pt idx="306">
                  <c:v>44815</c:v>
                </c:pt>
                <c:pt idx="307">
                  <c:v>44814</c:v>
                </c:pt>
                <c:pt idx="308">
                  <c:v>44813</c:v>
                </c:pt>
                <c:pt idx="309">
                  <c:v>44812</c:v>
                </c:pt>
                <c:pt idx="310">
                  <c:v>44811</c:v>
                </c:pt>
                <c:pt idx="311">
                  <c:v>44810</c:v>
                </c:pt>
                <c:pt idx="312">
                  <c:v>44809</c:v>
                </c:pt>
                <c:pt idx="313">
                  <c:v>44808</c:v>
                </c:pt>
                <c:pt idx="314">
                  <c:v>44807</c:v>
                </c:pt>
                <c:pt idx="315">
                  <c:v>44806</c:v>
                </c:pt>
                <c:pt idx="316">
                  <c:v>44805</c:v>
                </c:pt>
                <c:pt idx="317">
                  <c:v>44804</c:v>
                </c:pt>
                <c:pt idx="318">
                  <c:v>44803</c:v>
                </c:pt>
                <c:pt idx="319">
                  <c:v>44802</c:v>
                </c:pt>
                <c:pt idx="320">
                  <c:v>44801</c:v>
                </c:pt>
                <c:pt idx="321">
                  <c:v>44800</c:v>
                </c:pt>
                <c:pt idx="322">
                  <c:v>44799</c:v>
                </c:pt>
                <c:pt idx="323">
                  <c:v>44798</c:v>
                </c:pt>
                <c:pt idx="324">
                  <c:v>44797</c:v>
                </c:pt>
                <c:pt idx="325">
                  <c:v>44796</c:v>
                </c:pt>
                <c:pt idx="326">
                  <c:v>44795</c:v>
                </c:pt>
                <c:pt idx="327">
                  <c:v>44794</c:v>
                </c:pt>
                <c:pt idx="328">
                  <c:v>44793</c:v>
                </c:pt>
                <c:pt idx="329">
                  <c:v>44792</c:v>
                </c:pt>
                <c:pt idx="330">
                  <c:v>44791</c:v>
                </c:pt>
                <c:pt idx="331">
                  <c:v>44790</c:v>
                </c:pt>
                <c:pt idx="332">
                  <c:v>44789</c:v>
                </c:pt>
                <c:pt idx="333">
                  <c:v>44788</c:v>
                </c:pt>
                <c:pt idx="334">
                  <c:v>44787</c:v>
                </c:pt>
                <c:pt idx="335">
                  <c:v>44786</c:v>
                </c:pt>
                <c:pt idx="336">
                  <c:v>44785</c:v>
                </c:pt>
                <c:pt idx="337">
                  <c:v>44784</c:v>
                </c:pt>
                <c:pt idx="338">
                  <c:v>44783</c:v>
                </c:pt>
                <c:pt idx="339">
                  <c:v>44782</c:v>
                </c:pt>
                <c:pt idx="340">
                  <c:v>44781</c:v>
                </c:pt>
                <c:pt idx="341">
                  <c:v>44780</c:v>
                </c:pt>
                <c:pt idx="342">
                  <c:v>44779</c:v>
                </c:pt>
                <c:pt idx="343">
                  <c:v>44778</c:v>
                </c:pt>
                <c:pt idx="344">
                  <c:v>44777</c:v>
                </c:pt>
                <c:pt idx="345">
                  <c:v>44776</c:v>
                </c:pt>
                <c:pt idx="346">
                  <c:v>44775</c:v>
                </c:pt>
                <c:pt idx="347">
                  <c:v>44774</c:v>
                </c:pt>
                <c:pt idx="348">
                  <c:v>44773</c:v>
                </c:pt>
                <c:pt idx="349">
                  <c:v>44772</c:v>
                </c:pt>
                <c:pt idx="350">
                  <c:v>44771</c:v>
                </c:pt>
                <c:pt idx="351">
                  <c:v>44770</c:v>
                </c:pt>
                <c:pt idx="352">
                  <c:v>44769</c:v>
                </c:pt>
                <c:pt idx="353">
                  <c:v>44768</c:v>
                </c:pt>
                <c:pt idx="354">
                  <c:v>44767</c:v>
                </c:pt>
                <c:pt idx="355">
                  <c:v>44766</c:v>
                </c:pt>
                <c:pt idx="356">
                  <c:v>44765</c:v>
                </c:pt>
                <c:pt idx="357">
                  <c:v>44764</c:v>
                </c:pt>
                <c:pt idx="358">
                  <c:v>44763</c:v>
                </c:pt>
                <c:pt idx="359">
                  <c:v>44762</c:v>
                </c:pt>
                <c:pt idx="360">
                  <c:v>44761</c:v>
                </c:pt>
                <c:pt idx="361">
                  <c:v>44760</c:v>
                </c:pt>
                <c:pt idx="362">
                  <c:v>44759</c:v>
                </c:pt>
                <c:pt idx="363">
                  <c:v>44758</c:v>
                </c:pt>
                <c:pt idx="364">
                  <c:v>44757</c:v>
                </c:pt>
                <c:pt idx="365">
                  <c:v>44756</c:v>
                </c:pt>
              </c:numCache>
            </c:numRef>
          </c:cat>
          <c:val>
            <c:numRef>
              <c:f>'LME Price'!$L$66:$L$431</c:f>
              <c:numCache>
                <c:formatCode>General</c:formatCode>
                <c:ptCount val="366"/>
                <c:pt idx="1">
                  <c:v>29104</c:v>
                </c:pt>
                <c:pt idx="2">
                  <c:v>29379</c:v>
                </c:pt>
                <c:pt idx="3">
                  <c:v>28316</c:v>
                </c:pt>
                <c:pt idx="4">
                  <c:v>28435</c:v>
                </c:pt>
                <c:pt idx="5">
                  <c:v>28887</c:v>
                </c:pt>
                <c:pt idx="6">
                  <c:v>28887</c:v>
                </c:pt>
                <c:pt idx="7">
                  <c:v>28887</c:v>
                </c:pt>
                <c:pt idx="8">
                  <c:v>29246</c:v>
                </c:pt>
                <c:pt idx="9">
                  <c:v>28352</c:v>
                </c:pt>
                <c:pt idx="10">
                  <c:v>28100</c:v>
                </c:pt>
                <c:pt idx="11">
                  <c:v>28097</c:v>
                </c:pt>
                <c:pt idx="12">
                  <c:v>27462</c:v>
                </c:pt>
                <c:pt idx="13">
                  <c:v>27462</c:v>
                </c:pt>
                <c:pt idx="14">
                  <c:v>27462</c:v>
                </c:pt>
                <c:pt idx="15">
                  <c:v>26766</c:v>
                </c:pt>
                <c:pt idx="16">
                  <c:v>27231</c:v>
                </c:pt>
                <c:pt idx="17">
                  <c:v>27683</c:v>
                </c:pt>
                <c:pt idx="18">
                  <c:v>27059</c:v>
                </c:pt>
                <c:pt idx="19">
                  <c:v>28034</c:v>
                </c:pt>
                <c:pt idx="20">
                  <c:v>28034</c:v>
                </c:pt>
                <c:pt idx="21">
                  <c:v>28034</c:v>
                </c:pt>
                <c:pt idx="22">
                  <c:v>28574</c:v>
                </c:pt>
                <c:pt idx="23">
                  <c:v>29015</c:v>
                </c:pt>
                <c:pt idx="24">
                  <c:v>28247</c:v>
                </c:pt>
                <c:pt idx="25">
                  <c:v>28260</c:v>
                </c:pt>
                <c:pt idx="26">
                  <c:v>28243.5</c:v>
                </c:pt>
                <c:pt idx="27">
                  <c:v>28243.5</c:v>
                </c:pt>
                <c:pt idx="28">
                  <c:v>28243.5</c:v>
                </c:pt>
                <c:pt idx="29">
                  <c:v>28659.5</c:v>
                </c:pt>
                <c:pt idx="30">
                  <c:v>27837</c:v>
                </c:pt>
                <c:pt idx="31">
                  <c:v>26521</c:v>
                </c:pt>
                <c:pt idx="32">
                  <c:v>26341</c:v>
                </c:pt>
                <c:pt idx="33">
                  <c:v>26977</c:v>
                </c:pt>
                <c:pt idx="34">
                  <c:v>26977</c:v>
                </c:pt>
                <c:pt idx="35">
                  <c:v>26977</c:v>
                </c:pt>
                <c:pt idx="36">
                  <c:v>26244</c:v>
                </c:pt>
                <c:pt idx="37">
                  <c:v>26092</c:v>
                </c:pt>
                <c:pt idx="38">
                  <c:v>26063</c:v>
                </c:pt>
                <c:pt idx="39">
                  <c:v>25896</c:v>
                </c:pt>
                <c:pt idx="40">
                  <c:v>25889.99</c:v>
                </c:pt>
                <c:pt idx="41">
                  <c:v>25889.99</c:v>
                </c:pt>
                <c:pt idx="42">
                  <c:v>25889.99</c:v>
                </c:pt>
                <c:pt idx="43">
                  <c:v>25672</c:v>
                </c:pt>
                <c:pt idx="44">
                  <c:v>25700.91</c:v>
                </c:pt>
                <c:pt idx="45">
                  <c:v>25867</c:v>
                </c:pt>
                <c:pt idx="46">
                  <c:v>25214</c:v>
                </c:pt>
                <c:pt idx="47">
                  <c:v>25214</c:v>
                </c:pt>
                <c:pt idx="48">
                  <c:v>25214</c:v>
                </c:pt>
                <c:pt idx="49">
                  <c:v>25214</c:v>
                </c:pt>
                <c:pt idx="50">
                  <c:v>24803</c:v>
                </c:pt>
                <c:pt idx="51">
                  <c:v>24127.01</c:v>
                </c:pt>
                <c:pt idx="52">
                  <c:v>24454.99</c:v>
                </c:pt>
                <c:pt idx="53">
                  <c:v>25115</c:v>
                </c:pt>
                <c:pt idx="54">
                  <c:v>25651</c:v>
                </c:pt>
                <c:pt idx="55">
                  <c:v>25651</c:v>
                </c:pt>
                <c:pt idx="56">
                  <c:v>25651</c:v>
                </c:pt>
                <c:pt idx="57">
                  <c:v>25247</c:v>
                </c:pt>
                <c:pt idx="58">
                  <c:v>25077</c:v>
                </c:pt>
                <c:pt idx="59">
                  <c:v>24814</c:v>
                </c:pt>
                <c:pt idx="60">
                  <c:v>25314</c:v>
                </c:pt>
                <c:pt idx="61">
                  <c:v>25104</c:v>
                </c:pt>
                <c:pt idx="62">
                  <c:v>25104</c:v>
                </c:pt>
                <c:pt idx="63">
                  <c:v>25104</c:v>
                </c:pt>
                <c:pt idx="64">
                  <c:v>25616</c:v>
                </c:pt>
                <c:pt idx="65">
                  <c:v>26164</c:v>
                </c:pt>
                <c:pt idx="66">
                  <c:v>26310</c:v>
                </c:pt>
                <c:pt idx="67">
                  <c:v>26379</c:v>
                </c:pt>
                <c:pt idx="68">
                  <c:v>26379</c:v>
                </c:pt>
                <c:pt idx="69">
                  <c:v>26379</c:v>
                </c:pt>
                <c:pt idx="70">
                  <c:v>26379</c:v>
                </c:pt>
                <c:pt idx="71">
                  <c:v>25885</c:v>
                </c:pt>
                <c:pt idx="72">
                  <c:v>27062</c:v>
                </c:pt>
                <c:pt idx="73">
                  <c:v>26771</c:v>
                </c:pt>
                <c:pt idx="74">
                  <c:v>26398</c:v>
                </c:pt>
                <c:pt idx="75">
                  <c:v>26398</c:v>
                </c:pt>
                <c:pt idx="76">
                  <c:v>26398</c:v>
                </c:pt>
                <c:pt idx="77">
                  <c:v>26398</c:v>
                </c:pt>
                <c:pt idx="78">
                  <c:v>25935</c:v>
                </c:pt>
                <c:pt idx="79">
                  <c:v>25871</c:v>
                </c:pt>
                <c:pt idx="80">
                  <c:v>25717</c:v>
                </c:pt>
                <c:pt idx="81">
                  <c:v>26822.5</c:v>
                </c:pt>
                <c:pt idx="82">
                  <c:v>26779</c:v>
                </c:pt>
                <c:pt idx="83">
                  <c:v>26779</c:v>
                </c:pt>
                <c:pt idx="84">
                  <c:v>26779</c:v>
                </c:pt>
                <c:pt idx="85">
                  <c:v>27120</c:v>
                </c:pt>
                <c:pt idx="86">
                  <c:v>27275</c:v>
                </c:pt>
                <c:pt idx="87">
                  <c:v>28108</c:v>
                </c:pt>
                <c:pt idx="88">
                  <c:v>27586</c:v>
                </c:pt>
                <c:pt idx="89">
                  <c:v>24878</c:v>
                </c:pt>
                <c:pt idx="90">
                  <c:v>24878</c:v>
                </c:pt>
                <c:pt idx="91">
                  <c:v>24878</c:v>
                </c:pt>
                <c:pt idx="92">
                  <c:v>24462</c:v>
                </c:pt>
                <c:pt idx="93">
                  <c:v>23979</c:v>
                </c:pt>
                <c:pt idx="94">
                  <c:v>23687</c:v>
                </c:pt>
                <c:pt idx="95">
                  <c:v>24295</c:v>
                </c:pt>
                <c:pt idx="96">
                  <c:v>24295</c:v>
                </c:pt>
                <c:pt idx="97">
                  <c:v>24295</c:v>
                </c:pt>
                <c:pt idx="98">
                  <c:v>24295</c:v>
                </c:pt>
                <c:pt idx="99">
                  <c:v>24295</c:v>
                </c:pt>
                <c:pt idx="100">
                  <c:v>24232</c:v>
                </c:pt>
                <c:pt idx="101">
                  <c:v>25043</c:v>
                </c:pt>
                <c:pt idx="102">
                  <c:v>26100</c:v>
                </c:pt>
                <c:pt idx="103">
                  <c:v>25925</c:v>
                </c:pt>
                <c:pt idx="104">
                  <c:v>25925</c:v>
                </c:pt>
                <c:pt idx="105">
                  <c:v>25925</c:v>
                </c:pt>
                <c:pt idx="106">
                  <c:v>26036</c:v>
                </c:pt>
                <c:pt idx="107">
                  <c:v>25964</c:v>
                </c:pt>
                <c:pt idx="108">
                  <c:v>25917</c:v>
                </c:pt>
                <c:pt idx="109">
                  <c:v>25567</c:v>
                </c:pt>
                <c:pt idx="110">
                  <c:v>24945</c:v>
                </c:pt>
                <c:pt idx="111">
                  <c:v>24945</c:v>
                </c:pt>
                <c:pt idx="112">
                  <c:v>24945</c:v>
                </c:pt>
                <c:pt idx="113">
                  <c:v>24370</c:v>
                </c:pt>
                <c:pt idx="114">
                  <c:v>23291</c:v>
                </c:pt>
                <c:pt idx="115">
                  <c:v>22911</c:v>
                </c:pt>
                <c:pt idx="116">
                  <c:v>22612.77</c:v>
                </c:pt>
                <c:pt idx="117">
                  <c:v>22400</c:v>
                </c:pt>
                <c:pt idx="118">
                  <c:v>22400</c:v>
                </c:pt>
                <c:pt idx="119">
                  <c:v>22400</c:v>
                </c:pt>
                <c:pt idx="120">
                  <c:v>22118</c:v>
                </c:pt>
                <c:pt idx="121">
                  <c:v>22278.16</c:v>
                </c:pt>
                <c:pt idx="122">
                  <c:v>22744</c:v>
                </c:pt>
                <c:pt idx="123">
                  <c:v>22943</c:v>
                </c:pt>
                <c:pt idx="124">
                  <c:v>22732</c:v>
                </c:pt>
                <c:pt idx="125">
                  <c:v>22732</c:v>
                </c:pt>
                <c:pt idx="126">
                  <c:v>22732</c:v>
                </c:pt>
                <c:pt idx="127">
                  <c:v>23148</c:v>
                </c:pt>
                <c:pt idx="128">
                  <c:v>23572.74</c:v>
                </c:pt>
                <c:pt idx="129">
                  <c:v>23991.66</c:v>
                </c:pt>
                <c:pt idx="130">
                  <c:v>24396.83</c:v>
                </c:pt>
                <c:pt idx="131">
                  <c:v>24620</c:v>
                </c:pt>
                <c:pt idx="132">
                  <c:v>24620</c:v>
                </c:pt>
                <c:pt idx="133">
                  <c:v>24620</c:v>
                </c:pt>
                <c:pt idx="134">
                  <c:v>24377</c:v>
                </c:pt>
                <c:pt idx="135">
                  <c:v>25139</c:v>
                </c:pt>
                <c:pt idx="136">
                  <c:v>24741</c:v>
                </c:pt>
                <c:pt idx="137">
                  <c:v>25294</c:v>
                </c:pt>
                <c:pt idx="138">
                  <c:v>25478</c:v>
                </c:pt>
                <c:pt idx="139">
                  <c:v>25478</c:v>
                </c:pt>
                <c:pt idx="140">
                  <c:v>25478</c:v>
                </c:pt>
                <c:pt idx="141">
                  <c:v>26016</c:v>
                </c:pt>
                <c:pt idx="142">
                  <c:v>26688</c:v>
                </c:pt>
                <c:pt idx="143">
                  <c:v>27341</c:v>
                </c:pt>
                <c:pt idx="144">
                  <c:v>26490</c:v>
                </c:pt>
                <c:pt idx="145">
                  <c:v>25659</c:v>
                </c:pt>
                <c:pt idx="146">
                  <c:v>25659</c:v>
                </c:pt>
                <c:pt idx="147">
                  <c:v>25659</c:v>
                </c:pt>
                <c:pt idx="148">
                  <c:v>26806</c:v>
                </c:pt>
                <c:pt idx="149">
                  <c:v>26451</c:v>
                </c:pt>
                <c:pt idx="150">
                  <c:v>26598</c:v>
                </c:pt>
                <c:pt idx="151">
                  <c:v>27368</c:v>
                </c:pt>
                <c:pt idx="152">
                  <c:v>27155.5</c:v>
                </c:pt>
                <c:pt idx="153">
                  <c:v>27155.5</c:v>
                </c:pt>
                <c:pt idx="154">
                  <c:v>27155.5</c:v>
                </c:pt>
                <c:pt idx="155">
                  <c:v>27578</c:v>
                </c:pt>
                <c:pt idx="156">
                  <c:v>27526</c:v>
                </c:pt>
                <c:pt idx="157">
                  <c:v>26952</c:v>
                </c:pt>
                <c:pt idx="158">
                  <c:v>26786</c:v>
                </c:pt>
                <c:pt idx="159">
                  <c:v>28308</c:v>
                </c:pt>
                <c:pt idx="160">
                  <c:v>28308</c:v>
                </c:pt>
                <c:pt idx="161">
                  <c:v>28308</c:v>
                </c:pt>
                <c:pt idx="162">
                  <c:v>29288.15</c:v>
                </c:pt>
                <c:pt idx="163">
                  <c:v>28734.43</c:v>
                </c:pt>
                <c:pt idx="164">
                  <c:v>29431</c:v>
                </c:pt>
                <c:pt idx="165">
                  <c:v>29777</c:v>
                </c:pt>
                <c:pt idx="166">
                  <c:v>30808</c:v>
                </c:pt>
                <c:pt idx="167">
                  <c:v>30808</c:v>
                </c:pt>
                <c:pt idx="168">
                  <c:v>30808</c:v>
                </c:pt>
                <c:pt idx="169">
                  <c:v>32267</c:v>
                </c:pt>
                <c:pt idx="170">
                  <c:v>30815</c:v>
                </c:pt>
                <c:pt idx="171">
                  <c:v>29900</c:v>
                </c:pt>
                <c:pt idx="172">
                  <c:v>29475</c:v>
                </c:pt>
                <c:pt idx="173">
                  <c:v>29493</c:v>
                </c:pt>
                <c:pt idx="174">
                  <c:v>29493</c:v>
                </c:pt>
                <c:pt idx="175">
                  <c:v>29493</c:v>
                </c:pt>
                <c:pt idx="176">
                  <c:v>28703</c:v>
                </c:pt>
                <c:pt idx="177">
                  <c:v>29016</c:v>
                </c:pt>
                <c:pt idx="178">
                  <c:v>28331</c:v>
                </c:pt>
                <c:pt idx="179">
                  <c:v>28413</c:v>
                </c:pt>
                <c:pt idx="180">
                  <c:v>28677</c:v>
                </c:pt>
                <c:pt idx="181">
                  <c:v>28677</c:v>
                </c:pt>
                <c:pt idx="182">
                  <c:v>28677</c:v>
                </c:pt>
                <c:pt idx="183">
                  <c:v>27321</c:v>
                </c:pt>
                <c:pt idx="184">
                  <c:v>26721</c:v>
                </c:pt>
                <c:pt idx="185">
                  <c:v>25765</c:v>
                </c:pt>
                <c:pt idx="186">
                  <c:v>25801</c:v>
                </c:pt>
                <c:pt idx="187">
                  <c:v>25210</c:v>
                </c:pt>
                <c:pt idx="188">
                  <c:v>25210</c:v>
                </c:pt>
                <c:pt idx="189">
                  <c:v>25210</c:v>
                </c:pt>
                <c:pt idx="190">
                  <c:v>24814</c:v>
                </c:pt>
                <c:pt idx="191">
                  <c:v>25062</c:v>
                </c:pt>
                <c:pt idx="192">
                  <c:v>25437</c:v>
                </c:pt>
                <c:pt idx="193">
                  <c:v>24754.25</c:v>
                </c:pt>
                <c:pt idx="194">
                  <c:v>24754.25</c:v>
                </c:pt>
                <c:pt idx="195">
                  <c:v>24754.25</c:v>
                </c:pt>
                <c:pt idx="196">
                  <c:v>24754.25</c:v>
                </c:pt>
                <c:pt idx="197">
                  <c:v>24930</c:v>
                </c:pt>
                <c:pt idx="198">
                  <c:v>24745</c:v>
                </c:pt>
                <c:pt idx="199">
                  <c:v>23919</c:v>
                </c:pt>
                <c:pt idx="200">
                  <c:v>23919</c:v>
                </c:pt>
                <c:pt idx="201">
                  <c:v>23919</c:v>
                </c:pt>
                <c:pt idx="202">
                  <c:v>23919</c:v>
                </c:pt>
                <c:pt idx="203">
                  <c:v>23919</c:v>
                </c:pt>
                <c:pt idx="204">
                  <c:v>23885</c:v>
                </c:pt>
                <c:pt idx="205">
                  <c:v>24048</c:v>
                </c:pt>
                <c:pt idx="206">
                  <c:v>23909</c:v>
                </c:pt>
                <c:pt idx="207">
                  <c:v>23288.18</c:v>
                </c:pt>
                <c:pt idx="208">
                  <c:v>23560</c:v>
                </c:pt>
                <c:pt idx="209">
                  <c:v>23560</c:v>
                </c:pt>
                <c:pt idx="210">
                  <c:v>23560</c:v>
                </c:pt>
                <c:pt idx="211">
                  <c:v>23636</c:v>
                </c:pt>
                <c:pt idx="212">
                  <c:v>24323.5</c:v>
                </c:pt>
                <c:pt idx="213">
                  <c:v>24689</c:v>
                </c:pt>
                <c:pt idx="214">
                  <c:v>23970</c:v>
                </c:pt>
                <c:pt idx="215">
                  <c:v>24328</c:v>
                </c:pt>
                <c:pt idx="216">
                  <c:v>24328</c:v>
                </c:pt>
                <c:pt idx="217">
                  <c:v>24328</c:v>
                </c:pt>
                <c:pt idx="218">
                  <c:v>24687</c:v>
                </c:pt>
                <c:pt idx="219">
                  <c:v>24387</c:v>
                </c:pt>
                <c:pt idx="220">
                  <c:v>24946.5</c:v>
                </c:pt>
                <c:pt idx="221">
                  <c:v>24571</c:v>
                </c:pt>
                <c:pt idx="222">
                  <c:v>23380</c:v>
                </c:pt>
                <c:pt idx="223">
                  <c:v>23380</c:v>
                </c:pt>
                <c:pt idx="224">
                  <c:v>23380</c:v>
                </c:pt>
                <c:pt idx="225">
                  <c:v>23491</c:v>
                </c:pt>
                <c:pt idx="226">
                  <c:v>23045</c:v>
                </c:pt>
                <c:pt idx="227">
                  <c:v>22918</c:v>
                </c:pt>
                <c:pt idx="228">
                  <c:v>22458</c:v>
                </c:pt>
                <c:pt idx="229">
                  <c:v>22288</c:v>
                </c:pt>
                <c:pt idx="230">
                  <c:v>22288</c:v>
                </c:pt>
                <c:pt idx="231">
                  <c:v>22288</c:v>
                </c:pt>
                <c:pt idx="232">
                  <c:v>22282</c:v>
                </c:pt>
                <c:pt idx="233">
                  <c:v>22055</c:v>
                </c:pt>
                <c:pt idx="234">
                  <c:v>22219</c:v>
                </c:pt>
                <c:pt idx="235">
                  <c:v>21243</c:v>
                </c:pt>
                <c:pt idx="236">
                  <c:v>22809</c:v>
                </c:pt>
                <c:pt idx="237">
                  <c:v>22809</c:v>
                </c:pt>
                <c:pt idx="238">
                  <c:v>22809</c:v>
                </c:pt>
                <c:pt idx="239">
                  <c:v>22726</c:v>
                </c:pt>
                <c:pt idx="240">
                  <c:v>23822</c:v>
                </c:pt>
                <c:pt idx="241">
                  <c:v>23592</c:v>
                </c:pt>
                <c:pt idx="242">
                  <c:v>22275</c:v>
                </c:pt>
                <c:pt idx="243">
                  <c:v>21497</c:v>
                </c:pt>
                <c:pt idx="244">
                  <c:v>21497</c:v>
                </c:pt>
                <c:pt idx="245">
                  <c:v>21497</c:v>
                </c:pt>
                <c:pt idx="246">
                  <c:v>20550</c:v>
                </c:pt>
                <c:pt idx="247">
                  <c:v>19997</c:v>
                </c:pt>
                <c:pt idx="248">
                  <c:v>19724</c:v>
                </c:pt>
                <c:pt idx="249">
                  <c:v>18997</c:v>
                </c:pt>
                <c:pt idx="250">
                  <c:v>18992</c:v>
                </c:pt>
                <c:pt idx="251">
                  <c:v>18992</c:v>
                </c:pt>
                <c:pt idx="252">
                  <c:v>18992</c:v>
                </c:pt>
                <c:pt idx="253">
                  <c:v>17907</c:v>
                </c:pt>
                <c:pt idx="254">
                  <c:v>18098</c:v>
                </c:pt>
                <c:pt idx="255">
                  <c:v>17995</c:v>
                </c:pt>
                <c:pt idx="256">
                  <c:v>17652.990000000002</c:v>
                </c:pt>
                <c:pt idx="257">
                  <c:v>18130</c:v>
                </c:pt>
                <c:pt idx="258">
                  <c:v>18130</c:v>
                </c:pt>
                <c:pt idx="259">
                  <c:v>18130</c:v>
                </c:pt>
                <c:pt idx="260">
                  <c:v>18729</c:v>
                </c:pt>
                <c:pt idx="261">
                  <c:v>18711</c:v>
                </c:pt>
                <c:pt idx="262">
                  <c:v>18477</c:v>
                </c:pt>
                <c:pt idx="263">
                  <c:v>18456</c:v>
                </c:pt>
                <c:pt idx="264">
                  <c:v>18436</c:v>
                </c:pt>
                <c:pt idx="265">
                  <c:v>18436</c:v>
                </c:pt>
                <c:pt idx="266">
                  <c:v>18436</c:v>
                </c:pt>
                <c:pt idx="267">
                  <c:v>19320</c:v>
                </c:pt>
                <c:pt idx="268">
                  <c:v>19243</c:v>
                </c:pt>
                <c:pt idx="269">
                  <c:v>19415</c:v>
                </c:pt>
                <c:pt idx="270">
                  <c:v>19643</c:v>
                </c:pt>
                <c:pt idx="271">
                  <c:v>19993</c:v>
                </c:pt>
                <c:pt idx="272">
                  <c:v>19993</c:v>
                </c:pt>
                <c:pt idx="273">
                  <c:v>19993</c:v>
                </c:pt>
                <c:pt idx="274">
                  <c:v>20173.75</c:v>
                </c:pt>
                <c:pt idx="275">
                  <c:v>19900</c:v>
                </c:pt>
                <c:pt idx="276">
                  <c:v>20325</c:v>
                </c:pt>
                <c:pt idx="277">
                  <c:v>20188</c:v>
                </c:pt>
                <c:pt idx="278">
                  <c:v>20209.75</c:v>
                </c:pt>
                <c:pt idx="279">
                  <c:v>20209.75</c:v>
                </c:pt>
                <c:pt idx="280">
                  <c:v>20209.75</c:v>
                </c:pt>
                <c:pt idx="281">
                  <c:v>20209.75</c:v>
                </c:pt>
                <c:pt idx="282">
                  <c:v>20370</c:v>
                </c:pt>
                <c:pt idx="283">
                  <c:v>20254</c:v>
                </c:pt>
                <c:pt idx="284">
                  <c:v>20103</c:v>
                </c:pt>
                <c:pt idx="285">
                  <c:v>20674</c:v>
                </c:pt>
                <c:pt idx="286">
                  <c:v>20674</c:v>
                </c:pt>
                <c:pt idx="287">
                  <c:v>20674</c:v>
                </c:pt>
                <c:pt idx="288">
                  <c:v>20542.740000000002</c:v>
                </c:pt>
                <c:pt idx="289">
                  <c:v>20748</c:v>
                </c:pt>
                <c:pt idx="290">
                  <c:v>20682</c:v>
                </c:pt>
                <c:pt idx="291">
                  <c:v>20646</c:v>
                </c:pt>
                <c:pt idx="292">
                  <c:v>20261</c:v>
                </c:pt>
                <c:pt idx="293">
                  <c:v>20261</c:v>
                </c:pt>
                <c:pt idx="294">
                  <c:v>20261</c:v>
                </c:pt>
                <c:pt idx="295">
                  <c:v>21715</c:v>
                </c:pt>
                <c:pt idx="296">
                  <c:v>21225</c:v>
                </c:pt>
                <c:pt idx="297">
                  <c:v>21251</c:v>
                </c:pt>
                <c:pt idx="298">
                  <c:v>21026</c:v>
                </c:pt>
                <c:pt idx="299">
                  <c:v>21238</c:v>
                </c:pt>
                <c:pt idx="300">
                  <c:v>21238</c:v>
                </c:pt>
                <c:pt idx="301">
                  <c:v>21238</c:v>
                </c:pt>
                <c:pt idx="302">
                  <c:v>20933</c:v>
                </c:pt>
                <c:pt idx="303">
                  <c:v>21318</c:v>
                </c:pt>
                <c:pt idx="304">
                  <c:v>21505</c:v>
                </c:pt>
                <c:pt idx="305">
                  <c:v>21591</c:v>
                </c:pt>
                <c:pt idx="306">
                  <c:v>21305</c:v>
                </c:pt>
                <c:pt idx="307">
                  <c:v>21305</c:v>
                </c:pt>
                <c:pt idx="308">
                  <c:v>21305</c:v>
                </c:pt>
                <c:pt idx="309">
                  <c:v>21486</c:v>
                </c:pt>
                <c:pt idx="310">
                  <c:v>21008.45</c:v>
                </c:pt>
                <c:pt idx="311">
                  <c:v>21346</c:v>
                </c:pt>
                <c:pt idx="312">
                  <c:v>21752.62</c:v>
                </c:pt>
                <c:pt idx="313">
                  <c:v>21290</c:v>
                </c:pt>
                <c:pt idx="314">
                  <c:v>21290</c:v>
                </c:pt>
                <c:pt idx="315">
                  <c:v>21290</c:v>
                </c:pt>
                <c:pt idx="316">
                  <c:v>21185</c:v>
                </c:pt>
                <c:pt idx="317">
                  <c:v>22924.5</c:v>
                </c:pt>
                <c:pt idx="318">
                  <c:v>24939</c:v>
                </c:pt>
                <c:pt idx="319">
                  <c:v>24939</c:v>
                </c:pt>
                <c:pt idx="320">
                  <c:v>24939</c:v>
                </c:pt>
                <c:pt idx="321">
                  <c:v>24939</c:v>
                </c:pt>
                <c:pt idx="322">
                  <c:v>24939</c:v>
                </c:pt>
                <c:pt idx="323">
                  <c:v>24485</c:v>
                </c:pt>
                <c:pt idx="324">
                  <c:v>24445.5</c:v>
                </c:pt>
                <c:pt idx="325">
                  <c:v>24670</c:v>
                </c:pt>
                <c:pt idx="326">
                  <c:v>24640</c:v>
                </c:pt>
                <c:pt idx="327">
                  <c:v>25005</c:v>
                </c:pt>
                <c:pt idx="328">
                  <c:v>25005</c:v>
                </c:pt>
                <c:pt idx="329">
                  <c:v>25005</c:v>
                </c:pt>
                <c:pt idx="330">
                  <c:v>24795</c:v>
                </c:pt>
                <c:pt idx="331">
                  <c:v>24855</c:v>
                </c:pt>
                <c:pt idx="332">
                  <c:v>24812.5</c:v>
                </c:pt>
                <c:pt idx="333">
                  <c:v>24911</c:v>
                </c:pt>
                <c:pt idx="334">
                  <c:v>25367</c:v>
                </c:pt>
                <c:pt idx="335">
                  <c:v>25367</c:v>
                </c:pt>
                <c:pt idx="336">
                  <c:v>25367</c:v>
                </c:pt>
                <c:pt idx="337">
                  <c:v>25535</c:v>
                </c:pt>
                <c:pt idx="338">
                  <c:v>24706</c:v>
                </c:pt>
                <c:pt idx="339">
                  <c:v>24551</c:v>
                </c:pt>
                <c:pt idx="340">
                  <c:v>24432</c:v>
                </c:pt>
                <c:pt idx="341">
                  <c:v>24615.75</c:v>
                </c:pt>
                <c:pt idx="342">
                  <c:v>24615.75</c:v>
                </c:pt>
                <c:pt idx="343">
                  <c:v>24615.75</c:v>
                </c:pt>
                <c:pt idx="344">
                  <c:v>24760.25</c:v>
                </c:pt>
                <c:pt idx="345">
                  <c:v>24455</c:v>
                </c:pt>
                <c:pt idx="346">
                  <c:v>24437</c:v>
                </c:pt>
                <c:pt idx="347">
                  <c:v>25089</c:v>
                </c:pt>
                <c:pt idx="348">
                  <c:v>25212</c:v>
                </c:pt>
                <c:pt idx="349">
                  <c:v>25212</c:v>
                </c:pt>
                <c:pt idx="350">
                  <c:v>25212</c:v>
                </c:pt>
                <c:pt idx="351">
                  <c:v>24465.5</c:v>
                </c:pt>
                <c:pt idx="352">
                  <c:v>24529</c:v>
                </c:pt>
                <c:pt idx="353">
                  <c:v>24630</c:v>
                </c:pt>
                <c:pt idx="354">
                  <c:v>24930</c:v>
                </c:pt>
                <c:pt idx="355">
                  <c:v>25265</c:v>
                </c:pt>
                <c:pt idx="356">
                  <c:v>25265</c:v>
                </c:pt>
                <c:pt idx="357">
                  <c:v>25265</c:v>
                </c:pt>
                <c:pt idx="358">
                  <c:v>25189</c:v>
                </c:pt>
                <c:pt idx="359">
                  <c:v>25046</c:v>
                </c:pt>
                <c:pt idx="360">
                  <c:v>25090</c:v>
                </c:pt>
                <c:pt idx="361">
                  <c:v>24926</c:v>
                </c:pt>
                <c:pt idx="362">
                  <c:v>25080</c:v>
                </c:pt>
                <c:pt idx="363">
                  <c:v>25080</c:v>
                </c:pt>
                <c:pt idx="364">
                  <c:v>25080</c:v>
                </c:pt>
                <c:pt idx="365">
                  <c:v>24518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8EC7-4EC5-9C94-890115B2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68288"/>
        <c:axId val="237466752"/>
      </c:lineChart>
      <c:dateAx>
        <c:axId val="2374634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7464960"/>
        <c:crosses val="autoZero"/>
        <c:auto val="1"/>
        <c:lblOffset val="100"/>
        <c:baseTimeUnit val="days"/>
      </c:dateAx>
      <c:valAx>
        <c:axId val="2374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7463424"/>
        <c:crosses val="autoZero"/>
        <c:crossBetween val="between"/>
      </c:valAx>
      <c:valAx>
        <c:axId val="2374667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7468288"/>
        <c:crosses val="max"/>
        <c:crossBetween val="between"/>
      </c:valAx>
      <c:dateAx>
        <c:axId val="237468288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one"/>
        <c:crossAx val="2374667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603250</xdr:colOff>
      <xdr:row>11</xdr:row>
      <xdr:rowOff>10584</xdr:rowOff>
    </xdr:from>
    <xdr:to>
      <xdr:col>26</xdr:col>
      <xdr:colOff>0</xdr:colOff>
      <xdr:row>53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7</xdr:col>
      <xdr:colOff>561975</xdr:colOff>
      <xdr:row>27</xdr:row>
      <xdr:rowOff>77659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xmlns="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295275"/>
          <a:ext cx="4619625" cy="44115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304800</xdr:colOff>
      <xdr:row>11</xdr:row>
      <xdr:rowOff>9526</xdr:rowOff>
    </xdr:from>
    <xdr:to>
      <xdr:col>13</xdr:col>
      <xdr:colOff>142875</xdr:colOff>
      <xdr:row>35</xdr:row>
      <xdr:rowOff>48306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xmlns="" id="{00000000-0008-0000-01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3352800" y="1895476"/>
          <a:ext cx="4714875" cy="4153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495300</xdr:colOff>
      <xdr:row>7</xdr:row>
      <xdr:rowOff>76200</xdr:rowOff>
    </xdr:from>
    <xdr:to>
      <xdr:col>4</xdr:col>
      <xdr:colOff>161925</xdr:colOff>
      <xdr:row>9</xdr:row>
      <xdr:rowOff>142875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xmlns="" id="{00000000-0008-0000-01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14500" y="1276350"/>
          <a:ext cx="885825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495300</xdr:colOff>
      <xdr:row>4</xdr:row>
      <xdr:rowOff>133350</xdr:rowOff>
    </xdr:from>
    <xdr:to>
      <xdr:col>4</xdr:col>
      <xdr:colOff>161925</xdr:colOff>
      <xdr:row>7</xdr:row>
      <xdr:rowOff>28575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14500" y="819150"/>
          <a:ext cx="885825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8</xdr:col>
      <xdr:colOff>85725</xdr:colOff>
      <xdr:row>3</xdr:row>
      <xdr:rowOff>66675</xdr:rowOff>
    </xdr:from>
    <xdr:to>
      <xdr:col>11</xdr:col>
      <xdr:colOff>57150</xdr:colOff>
      <xdr:row>7</xdr:row>
      <xdr:rowOff>152400</xdr:rowOff>
    </xdr:to>
    <xdr:sp macro="" textlink="">
      <xdr:nvSpPr>
        <xdr:cNvPr id="11" name="설명선 1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4962525" y="581025"/>
          <a:ext cx="1800225" cy="771525"/>
        </a:xfrm>
        <a:prstGeom prst="borderCallout1">
          <a:avLst>
            <a:gd name="adj1" fmla="val 18750"/>
            <a:gd name="adj2" fmla="val -8333"/>
            <a:gd name="adj3" fmla="val 83895"/>
            <a:gd name="adj4" fmla="val -127055"/>
          </a:avLst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ko-KR"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한국일자와 현지일자</a:t>
          </a:r>
          <a:r>
            <a:rPr lang="en-US" altLang="ko-KR"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/</a:t>
          </a:r>
          <a:endParaRPr lang="ko-KR" altLang="ko-KR" sz="9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r>
            <a:rPr lang="ko-KR" altLang="ko-KR"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한국시간과 현지시간</a:t>
          </a:r>
          <a:r>
            <a:rPr lang="ko-KR" altLang="ko-KR" sz="9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선택 가능</a:t>
          </a:r>
          <a:endParaRPr lang="ko-KR" altLang="ko-KR" sz="9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endParaRPr lang="ko-KR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219075</xdr:colOff>
      <xdr:row>12</xdr:row>
      <xdr:rowOff>123825</xdr:rowOff>
    </xdr:from>
    <xdr:to>
      <xdr:col>8</xdr:col>
      <xdr:colOff>28575</xdr:colOff>
      <xdr:row>17</xdr:row>
      <xdr:rowOff>57150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xmlns="" id="{00000000-0008-0000-01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876675" y="2181225"/>
          <a:ext cx="1028700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13</xdr:col>
      <xdr:colOff>247651</xdr:colOff>
      <xdr:row>11</xdr:row>
      <xdr:rowOff>66676</xdr:rowOff>
    </xdr:from>
    <xdr:to>
      <xdr:col>15</xdr:col>
      <xdr:colOff>438151</xdr:colOff>
      <xdr:row>15</xdr:row>
      <xdr:rowOff>28576</xdr:rowOff>
    </xdr:to>
    <xdr:sp macro="" textlink="">
      <xdr:nvSpPr>
        <xdr:cNvPr id="14" name="설명선 1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8172451" y="1952626"/>
          <a:ext cx="1409700" cy="647700"/>
        </a:xfrm>
        <a:prstGeom prst="borderCallout1">
          <a:avLst>
            <a:gd name="adj1" fmla="val 18750"/>
            <a:gd name="adj2" fmla="val -8333"/>
            <a:gd name="adj3" fmla="val 54029"/>
            <a:gd name="adj4" fmla="val -225000"/>
          </a:avLst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>
              <a:solidFill>
                <a:schemeClr val="tx1">
                  <a:lumMod val="65000"/>
                  <a:lumOff val="35000"/>
                </a:schemeClr>
              </a:solidFill>
            </a:rPr>
            <a:t>종목별  기물을 선택하여 </a:t>
          </a:r>
          <a:endParaRPr lang="en-US" altLang="ko-KR" sz="9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r>
            <a:rPr lang="ko-KR" altLang="en-US" sz="900">
              <a:solidFill>
                <a:schemeClr val="tx1">
                  <a:lumMod val="65000"/>
                  <a:lumOff val="35000"/>
                </a:schemeClr>
              </a:solidFill>
            </a:rPr>
            <a:t>차트</a:t>
          </a:r>
          <a:r>
            <a:rPr lang="ko-KR" alt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조회 가능</a:t>
          </a:r>
          <a:endParaRPr lang="ko-KR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T431"/>
  <sheetViews>
    <sheetView showGridLines="0" showRowColHeaders="0" tabSelected="1" topLeftCell="D1" zoomScale="85" zoomScaleNormal="85" workbookViewId="0">
      <selection activeCell="J3" sqref="J3"/>
    </sheetView>
  </sheetViews>
  <sheetFormatPr defaultRowHeight="13.5" x14ac:dyDescent="0.25"/>
  <cols>
    <col min="1" max="3" width="9.140625" hidden="1" customWidth="1"/>
    <col min="4" max="4" width="3.5703125" customWidth="1"/>
    <col min="5" max="5" width="18" customWidth="1"/>
    <col min="6" max="6" width="14.42578125" customWidth="1"/>
    <col min="7" max="7" width="9.7109375" customWidth="1"/>
    <col min="8" max="8" width="11.7109375" customWidth="1"/>
    <col min="9" max="9" width="10.28515625" style="17" customWidth="1"/>
    <col min="10" max="13" width="11.140625" customWidth="1"/>
    <col min="14" max="14" width="3.5703125" bestFit="1" customWidth="1"/>
    <col min="15" max="16" width="10.140625" customWidth="1"/>
    <col min="17" max="17" width="5.5703125" customWidth="1"/>
    <col min="18" max="18" width="14" customWidth="1"/>
    <col min="19" max="19" width="14.85546875" customWidth="1"/>
    <col min="20" max="20" width="16.7109375" bestFit="1" customWidth="1"/>
    <col min="21" max="21" width="15.140625" customWidth="1"/>
    <col min="22" max="23" width="14.42578125" customWidth="1"/>
    <col min="24" max="24" width="14.28515625" customWidth="1"/>
    <col min="25" max="25" width="14" customWidth="1"/>
    <col min="26" max="26" width="13.85546875" customWidth="1"/>
    <col min="27" max="29" width="15.7109375" customWidth="1"/>
  </cols>
  <sheetData>
    <row r="1" spans="5:72" x14ac:dyDescent="0.25">
      <c r="G1" s="17"/>
      <c r="O1" s="1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</row>
    <row r="2" spans="5:72" x14ac:dyDescent="0.25">
      <c r="G2" s="17"/>
      <c r="O2" s="1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</row>
    <row r="3" spans="5:72" ht="26.25" x14ac:dyDescent="0.25">
      <c r="E3" s="34" t="s">
        <v>103</v>
      </c>
      <c r="F3" s="5"/>
      <c r="G3" s="18"/>
      <c r="H3" s="5"/>
      <c r="I3" s="18"/>
      <c r="J3" s="5"/>
      <c r="K3" s="5"/>
      <c r="L3" s="5"/>
      <c r="M3" s="5"/>
      <c r="N3" s="5"/>
      <c r="O3" s="2" t="s">
        <v>70</v>
      </c>
      <c r="P3" s="2" t="s">
        <v>71</v>
      </c>
      <c r="Q3" s="5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</row>
    <row r="4" spans="5:72" ht="5.0999999999999996" hidden="1" customHeight="1" x14ac:dyDescent="0.25">
      <c r="G4" s="17"/>
      <c r="O4" s="2" t="s">
        <v>72</v>
      </c>
      <c r="P4" s="2" t="s">
        <v>73</v>
      </c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</row>
    <row r="5" spans="5:72" hidden="1" x14ac:dyDescent="0.25">
      <c r="G5" s="17"/>
      <c r="O5" s="1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</row>
    <row r="6" spans="5:72" hidden="1" x14ac:dyDescent="0.25">
      <c r="G6" s="17"/>
      <c r="O6" s="1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</row>
    <row r="7" spans="5:72" ht="21" hidden="1" customHeight="1" x14ac:dyDescent="0.25">
      <c r="G7" s="17"/>
      <c r="O7" s="1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</row>
    <row r="8" spans="5:72" ht="5.0999999999999996" customHeight="1" x14ac:dyDescent="0.25">
      <c r="E8" s="3"/>
      <c r="G8" s="17"/>
      <c r="O8" s="1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</row>
    <row r="9" spans="5:72" ht="19.5" customHeight="1" x14ac:dyDescent="0.25">
      <c r="E9" s="77" t="s">
        <v>81</v>
      </c>
      <c r="F9" s="84"/>
      <c r="G9" s="77" t="s">
        <v>82</v>
      </c>
      <c r="H9" s="77" t="s">
        <v>68</v>
      </c>
      <c r="I9" s="77" t="s">
        <v>67</v>
      </c>
      <c r="J9" s="77" t="s">
        <v>83</v>
      </c>
      <c r="K9" s="77" t="s">
        <v>84</v>
      </c>
      <c r="L9" s="77" t="s">
        <v>85</v>
      </c>
      <c r="M9" s="77" t="s">
        <v>86</v>
      </c>
      <c r="N9" s="77" t="s">
        <v>87</v>
      </c>
      <c r="O9" s="77"/>
      <c r="P9" s="77" t="s">
        <v>88</v>
      </c>
      <c r="R9" s="77" t="s">
        <v>74</v>
      </c>
      <c r="S9" s="29" t="s">
        <v>75</v>
      </c>
      <c r="T9" s="27" t="s">
        <v>76</v>
      </c>
      <c r="U9" s="27" t="s">
        <v>77</v>
      </c>
      <c r="V9" s="28" t="s">
        <v>78</v>
      </c>
      <c r="W9" s="28" t="s">
        <v>79</v>
      </c>
      <c r="X9" s="28" t="s">
        <v>80</v>
      </c>
      <c r="Y9" s="28" t="s">
        <v>89</v>
      </c>
      <c r="Z9" s="28" t="s">
        <v>90</v>
      </c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</row>
    <row r="10" spans="5:72" ht="18" customHeight="1" x14ac:dyDescent="0.25">
      <c r="E10" s="77"/>
      <c r="F10" s="84"/>
      <c r="G10" s="77"/>
      <c r="H10" s="77"/>
      <c r="I10" s="77"/>
      <c r="J10" s="77"/>
      <c r="K10" s="77"/>
      <c r="L10" s="77"/>
      <c r="M10" s="77"/>
      <c r="N10" s="77"/>
      <c r="O10" s="77"/>
      <c r="P10" s="77"/>
      <c r="R10" s="77"/>
      <c r="S10" s="36" t="s">
        <v>56</v>
      </c>
      <c r="T10" s="35" t="s">
        <v>56</v>
      </c>
      <c r="U10" s="35" t="s">
        <v>56</v>
      </c>
      <c r="V10" s="35" t="s">
        <v>56</v>
      </c>
      <c r="W10" s="35" t="s">
        <v>56</v>
      </c>
      <c r="X10" s="35" t="s">
        <v>56</v>
      </c>
      <c r="Y10" s="35" t="s">
        <v>56</v>
      </c>
      <c r="Z10" s="35" t="s">
        <v>56</v>
      </c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</row>
    <row r="11" spans="5:72" x14ac:dyDescent="0.25">
      <c r="E11" s="81" t="s">
        <v>48</v>
      </c>
      <c r="F11" s="16" t="s">
        <v>0</v>
      </c>
      <c r="G11" s="20" t="s">
        <v>69</v>
      </c>
      <c r="H11" s="45">
        <f>IF($H$9="현지일자",_xll.IMDP("FRN",$G11,"일자",,"DtFmt=1"),_xll.IMDP("FRN",$G11,"한국일자",,"DtFmt=1"))</f>
        <v>45121</v>
      </c>
      <c r="I11" s="38">
        <f>IF($I$9="현지시간",_xll.IMDP("FRN",$G11,"시간",,"TmFmt=1"),_xll.IMDP("FRN",$G11,"한국시간",,"TmFmt=1"))</f>
        <v>0.97211805555555553</v>
      </c>
      <c r="J11" s="54">
        <f>_xll.IMDP("FRN",$G11,"현재가")</f>
        <v>2237.25</v>
      </c>
      <c r="K11" s="54">
        <f>_xll.IMDP("FRN",$G11,"시가")</f>
        <v>2231</v>
      </c>
      <c r="L11" s="54">
        <f>_xll.IMDP("FRN",$G11,"고가")</f>
        <v>2236</v>
      </c>
      <c r="M11" s="54">
        <f>_xll.IMDP("FRN",$G11,"저가")</f>
        <v>2217.25</v>
      </c>
      <c r="N11" s="33" t="str">
        <f>_xll.IMDP("FRN",$G11,"전일대비부호")</f>
        <v>▲</v>
      </c>
      <c r="O11" s="65">
        <f>_xll.IMDP("FRN",$G11,"전일대비")</f>
        <v>42.25</v>
      </c>
      <c r="P11" s="66">
        <f>_xll.IMDP("FRN",$G11,"등락률")</f>
        <v>1.92</v>
      </c>
      <c r="Q11" s="1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</row>
    <row r="12" spans="5:72" x14ac:dyDescent="0.25">
      <c r="E12" s="79"/>
      <c r="F12" s="12" t="s">
        <v>1</v>
      </c>
      <c r="G12" s="19" t="s">
        <v>10</v>
      </c>
      <c r="H12" s="46">
        <f>IF($H$9="현지일자",_xll.IMDP("FRN",$G12,"일자",,"DtFmt=1"),_xll.IMDP("FRN",$G12,"한국일자",,"DtFmt=1"))</f>
        <v>45121</v>
      </c>
      <c r="I12" s="39">
        <f>IF($I$9="현지시간",_xll.IMDP("FRN",$G12,"시간",,"TmFmt=1"),_xll.IMDP("FRN",$G12,"한국시간",,"TmFmt=1"))</f>
        <v>0.97211805555555553</v>
      </c>
      <c r="J12" s="55">
        <f>_xll.IMDP("FRN",$G12,"현재가")</f>
        <v>2278</v>
      </c>
      <c r="K12" s="55">
        <f>_xll.IMDP("FRN",$G12,"시가")</f>
        <v>2234</v>
      </c>
      <c r="L12" s="55">
        <f>_xll.IMDP("FRN",$G12,"고가")</f>
        <v>2290</v>
      </c>
      <c r="M12" s="55">
        <f>_xll.IMDP("FRN",$G12,"저가")</f>
        <v>2225</v>
      </c>
      <c r="N12" s="6" t="str">
        <f>_xll.IMDP("FRN",$G12,"전일대비부호")</f>
        <v>▲</v>
      </c>
      <c r="O12" s="67">
        <f>_xll.IMDP("FRN",$G12,"전일대비")</f>
        <v>42</v>
      </c>
      <c r="P12" s="68">
        <f>_xll.IMDP("FRN",$G12,"등락률")</f>
        <v>1.88</v>
      </c>
      <c r="Q12" s="1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</row>
    <row r="13" spans="5:72" x14ac:dyDescent="0.25">
      <c r="E13" s="79"/>
      <c r="F13" s="12" t="s">
        <v>2</v>
      </c>
      <c r="G13" s="20" t="s">
        <v>12</v>
      </c>
      <c r="H13" s="46">
        <f>IF($H$9="현지일자",_xll.IMDP("FRN",$G13,"일자",,"DtFmt=1"),_xll.IMDP("FRN",$G13,"한국일자",,"DtFmt=1"))</f>
        <v>45121</v>
      </c>
      <c r="I13" s="39">
        <f>IF($I$9="현지시간",_xll.IMDP("FRN",$G13,"시간",,"TmFmt=1"),_xll.IMDP("FRN",$G13,"한국시간",,"TmFmt=1"))</f>
        <v>0.97211805555555553</v>
      </c>
      <c r="J13" s="55">
        <f>_xll.IMDP("FRN",$G13,"현재가")</f>
        <v>2279</v>
      </c>
      <c r="K13" s="55">
        <f>_xll.IMDP("FRN",$G13,"시가")</f>
        <v>2279</v>
      </c>
      <c r="L13" s="55">
        <f>_xll.IMDP("FRN",$G13,"고가")</f>
        <v>2279</v>
      </c>
      <c r="M13" s="55">
        <f>_xll.IMDP("FRN",$G13,"저가")</f>
        <v>2279</v>
      </c>
      <c r="N13" s="6" t="str">
        <f>_xll.IMDP("FRN",$G13,"전일대비부호")</f>
        <v>▲</v>
      </c>
      <c r="O13" s="67">
        <f>_xll.IMDP("FRN",$G13,"전일대비")</f>
        <v>93</v>
      </c>
      <c r="P13" s="68">
        <f>_xll.IMDP("FRN",$G13,"등락률")</f>
        <v>4.25</v>
      </c>
      <c r="Q13" s="1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</row>
    <row r="14" spans="5:72" x14ac:dyDescent="0.25">
      <c r="E14" s="79"/>
      <c r="F14" s="12" t="s">
        <v>3</v>
      </c>
      <c r="G14" s="20" t="s">
        <v>11</v>
      </c>
      <c r="H14" s="46">
        <f>IF($H$9="현지일자",_xll.IMDP("FRN",$G14,"일자",,"DtFmt=1"),_xll.IMDP("FRN",$G14,"한국일자",,"DtFmt=1"))</f>
        <v>45121</v>
      </c>
      <c r="I14" s="39">
        <f>IF($I$9="현지시간",_xll.IMDP("FRN",$G14,"시간",,"TmFmt=1"),_xll.IMDP("FRN",$G14,"한국시간",,"TmFmt=1"))</f>
        <v>0.97211805555555553</v>
      </c>
      <c r="J14" s="55">
        <f>_xll.IMDP("FRN",$G14,"현재가")</f>
        <v>2269</v>
      </c>
      <c r="K14" s="55">
        <f>_xll.IMDP("FRN",$G14,"시가")</f>
        <v>2269</v>
      </c>
      <c r="L14" s="55">
        <f>_xll.IMDP("FRN",$G14,"고가")</f>
        <v>2269</v>
      </c>
      <c r="M14" s="55">
        <f>_xll.IMDP("FRN",$G14,"저가")</f>
        <v>2269</v>
      </c>
      <c r="N14" s="6" t="str">
        <f>_xll.IMDP("FRN",$G14,"전일대비부호")</f>
        <v>▲</v>
      </c>
      <c r="O14" s="67">
        <f>_xll.IMDP("FRN",$G14,"전일대비")</f>
        <v>47</v>
      </c>
      <c r="P14" s="68">
        <f>_xll.IMDP("FRN",$G14,"등락률")</f>
        <v>2.12</v>
      </c>
      <c r="Q14" s="1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</row>
    <row r="15" spans="5:72" x14ac:dyDescent="0.25">
      <c r="E15" s="79"/>
      <c r="F15" s="12" t="s">
        <v>4</v>
      </c>
      <c r="G15" s="20" t="s">
        <v>13</v>
      </c>
      <c r="H15" s="46">
        <f>IF($H$9="현지일자",_xll.IMDP("FRN",$G15,"일자",,"DtFmt=1"),_xll.IMDP("FRN",$G15,"한국일자",,"DtFmt=1"))</f>
        <v>45121</v>
      </c>
      <c r="I15" s="39">
        <f>IF($I$9="현지시간",_xll.IMDP("FRN",$G15,"시간",,"TmFmt=1"),_xll.IMDP("FRN",$G15,"한국시간",,"TmFmt=1"))</f>
        <v>0.97211805555555553</v>
      </c>
      <c r="J15" s="55">
        <f>_xll.IMDP("FRN",$G15,"현재가")</f>
        <v>2285</v>
      </c>
      <c r="K15" s="55">
        <f>_xll.IMDP("FRN",$G15,"시가")</f>
        <v>2285</v>
      </c>
      <c r="L15" s="55" t="str">
        <f>_xll.IMDP("FRN",$G15,"고가")</f>
        <v xml:space="preserve">          nan</v>
      </c>
      <c r="M15" s="55" t="str">
        <f>_xll.IMDP("FRN",$G15,"저가")</f>
        <v xml:space="preserve">          nan</v>
      </c>
      <c r="N15" s="6" t="str">
        <f>_xll.IMDP("FRN",$G15,"전일대비부호")</f>
        <v>▼</v>
      </c>
      <c r="O15" s="67">
        <f>_xll.IMDP("FRN",$G15,"전일대비")</f>
        <v>-2.75</v>
      </c>
      <c r="P15" s="68">
        <f>_xll.IMDP("FRN",$G15,"등락률")</f>
        <v>-0.12</v>
      </c>
      <c r="Q15" s="1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</row>
    <row r="16" spans="5:72" x14ac:dyDescent="0.25">
      <c r="E16" s="83"/>
      <c r="F16" s="13" t="s">
        <v>15</v>
      </c>
      <c r="G16" s="21" t="s">
        <v>14</v>
      </c>
      <c r="H16" s="47">
        <f>IF($H$9="현지일자",_xll.IMDP("FRN",$G16,"일자",,"DtFmt=1"),_xll.IMDP("FRN",$G16,"한국일자",,"DtFmt=1"))</f>
        <v>45121</v>
      </c>
      <c r="I16" s="40">
        <f>IF($I$9="현지시간",_xll.IMDP("FRN",$G16,"시간",,"TmFmt=1"),_xll.IMDP("FRN",$G16,"한국시간",,"TmFmt=1"))</f>
        <v>0.97211805555555553</v>
      </c>
      <c r="J16" s="56">
        <f>_xll.IMDP("FRN",$G16,"현재가")</f>
        <v>2608.5</v>
      </c>
      <c r="K16" s="56">
        <f>_xll.IMDP("FRN",$G16,"시가")</f>
        <v>2608.5</v>
      </c>
      <c r="L16" s="56" t="str">
        <f>_xll.IMDP("FRN",$G16,"고가")</f>
        <v xml:space="preserve">          nan</v>
      </c>
      <c r="M16" s="56" t="str">
        <f>_xll.IMDP("FRN",$G16,"저가")</f>
        <v xml:space="preserve">          nan</v>
      </c>
      <c r="N16" s="9" t="str">
        <f>_xll.IMDP("FRN",$G16,"전일대비부호")</f>
        <v>▼</v>
      </c>
      <c r="O16" s="69">
        <f>_xll.IMDP("FRN",$G16,"전일대비")</f>
        <v>-51.5</v>
      </c>
      <c r="P16" s="70">
        <f>_xll.IMDP("FRN",$G16,"등락률")</f>
        <v>-1.94</v>
      </c>
      <c r="Q16" s="1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</row>
    <row r="17" spans="5:72" x14ac:dyDescent="0.25">
      <c r="E17" s="78" t="s">
        <v>49</v>
      </c>
      <c r="F17" s="14" t="s">
        <v>0</v>
      </c>
      <c r="G17" s="22" t="s">
        <v>5</v>
      </c>
      <c r="H17" s="48">
        <f>IF($H$9="현지일자",_xll.IMDP("FRN",$G17,"일자",,"DtFmt=1"),_xll.IMDP("FRN",$G17,"한국일자",,"DtFmt=1"))</f>
        <v>45121</v>
      </c>
      <c r="I17" s="41">
        <f>IF($I$9="현지시간",_xll.IMDP("FRN",$G17,"시간",,"TmFmt=1"),_xll.IMDP("FRN",$G17,"한국시간",,"TmFmt=1"))</f>
        <v>0.97211805555555553</v>
      </c>
      <c r="J17" s="57">
        <f>_xll.IMDP("FRN",$G17,"현재가")</f>
        <v>1798</v>
      </c>
      <c r="K17" s="57">
        <f>_xll.IMDP("FRN",$G17,"시가")</f>
        <v>1798</v>
      </c>
      <c r="L17" s="57" t="str">
        <f>_xll.IMDP("FRN",$G17,"고가")</f>
        <v xml:space="preserve">          nan</v>
      </c>
      <c r="M17" s="58" t="str">
        <f>_xll.IMDP("FRN",$G17,"저가")</f>
        <v xml:space="preserve">          nan</v>
      </c>
      <c r="N17" s="10" t="str">
        <f>_xll.IMDP("FRN",$G17,"전일대비부호")</f>
        <v>▲</v>
      </c>
      <c r="O17" s="71">
        <f>_xll.IMDP("FRN",$G17,"전일대비")</f>
        <v>1.75</v>
      </c>
      <c r="P17" s="72">
        <f>_xll.IMDP("FRN",$G17,"등락률")</f>
        <v>0.1</v>
      </c>
      <c r="Q17" s="1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</row>
    <row r="18" spans="5:72" x14ac:dyDescent="0.25">
      <c r="E18" s="79"/>
      <c r="F18" s="12" t="s">
        <v>1</v>
      </c>
      <c r="G18" s="23" t="s">
        <v>6</v>
      </c>
      <c r="H18" s="49">
        <f>IF($H$9="현지일자",_xll.IMDP("FRN",$G18,"일자",,"DtFmt=1"),_xll.IMDP("FRN",$G18,"한국일자",,"DtFmt=1"))</f>
        <v>45121</v>
      </c>
      <c r="I18" s="39">
        <f>IF($I$9="현지시간",_xll.IMDP("FRN",$G18,"시간",,"TmFmt=1"),_xll.IMDP("FRN",$G18,"한국시간",,"TmFmt=1"))</f>
        <v>0.97211805555555553</v>
      </c>
      <c r="J18" s="55">
        <f>_xll.IMDP("FRN",$G18,"현재가")</f>
        <v>1850</v>
      </c>
      <c r="K18" s="55">
        <f>_xll.IMDP("FRN",$G18,"시가")</f>
        <v>1850</v>
      </c>
      <c r="L18" s="55" t="str">
        <f>_xll.IMDP("FRN",$G18,"고가")</f>
        <v xml:space="preserve">          nan</v>
      </c>
      <c r="M18" s="59" t="str">
        <f>_xll.IMDP("FRN",$G18,"저가")</f>
        <v xml:space="preserve">          nan</v>
      </c>
      <c r="N18" s="7" t="str">
        <f>_xll.IMDP("FRN",$G18,"전일대비부호")</f>
        <v xml:space="preserve"> </v>
      </c>
      <c r="O18" s="67">
        <f>_xll.IMDP("FRN",$G18,"전일대비")</f>
        <v>0</v>
      </c>
      <c r="P18" s="68">
        <f>_xll.IMDP("FRN",$G18,"등락률")</f>
        <v>0</v>
      </c>
      <c r="Q18" s="1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</row>
    <row r="19" spans="5:72" x14ac:dyDescent="0.25">
      <c r="E19" s="79"/>
      <c r="F19" s="12" t="s">
        <v>2</v>
      </c>
      <c r="G19" s="23" t="s">
        <v>7</v>
      </c>
      <c r="H19" s="49">
        <f>IF($H$9="현지일자",_xll.IMDP("FRN",$G19,"일자",,"DtFmt=1"),_xll.IMDP("FRN",$G19,"한국일자",,"DtFmt=1"))</f>
        <v>45121</v>
      </c>
      <c r="I19" s="39">
        <f>IF($I$9="현지시간",_xll.IMDP("FRN",$G19,"시간",,"TmFmt=1"),_xll.IMDP("FRN",$G19,"한국시간",,"TmFmt=1"))</f>
        <v>0.97211805555555553</v>
      </c>
      <c r="J19" s="55">
        <f>_xll.IMDP("FRN",$G19,"현재가")</f>
        <v>1850</v>
      </c>
      <c r="K19" s="55">
        <f>_xll.IMDP("FRN",$G19,"시가")</f>
        <v>1850</v>
      </c>
      <c r="L19" s="55">
        <f>_xll.IMDP("FRN",$G19,"고가")</f>
        <v>1850</v>
      </c>
      <c r="M19" s="59">
        <f>_xll.IMDP("FRN",$G19,"저가")</f>
        <v>1850</v>
      </c>
      <c r="N19" s="7" t="str">
        <f>_xll.IMDP("FRN",$G19,"전일대비부호")</f>
        <v>▼</v>
      </c>
      <c r="O19" s="67">
        <f>_xll.IMDP("FRN",$G19,"전일대비")</f>
        <v>-50</v>
      </c>
      <c r="P19" s="68">
        <f>_xll.IMDP("FRN",$G19,"등락률")</f>
        <v>-2.63</v>
      </c>
      <c r="Q19" s="1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</row>
    <row r="20" spans="5:72" x14ac:dyDescent="0.25">
      <c r="E20" s="79"/>
      <c r="F20" s="12" t="s">
        <v>3</v>
      </c>
      <c r="G20" s="23" t="s">
        <v>8</v>
      </c>
      <c r="H20" s="49">
        <f>IF($H$9="현지일자",_xll.IMDP("FRN",$G20,"일자",,"DtFmt=1"),_xll.IMDP("FRN",$G20,"한국일자",,"DtFmt=1"))</f>
        <v>45121</v>
      </c>
      <c r="I20" s="39">
        <f>IF($I$9="현지시간",_xll.IMDP("FRN",$G20,"시간",,"TmFmt=1"),_xll.IMDP("FRN",$G20,"한국시간",,"TmFmt=1"))</f>
        <v>0.97211805555555553</v>
      </c>
      <c r="J20" s="55">
        <f>_xll.IMDP("FRN",$G20,"현재가")</f>
        <v>1850</v>
      </c>
      <c r="K20" s="55">
        <f>_xll.IMDP("FRN",$G20,"시가")</f>
        <v>1850</v>
      </c>
      <c r="L20" s="55">
        <f>_xll.IMDP("FRN",$G20,"고가")</f>
        <v>1850</v>
      </c>
      <c r="M20" s="59">
        <f>_xll.IMDP("FRN",$G20,"저가")</f>
        <v>1850</v>
      </c>
      <c r="N20" s="7" t="str">
        <f>_xll.IMDP("FRN",$G20,"전일대비부호")</f>
        <v>▼</v>
      </c>
      <c r="O20" s="67">
        <f>_xll.IMDP("FRN",$G20,"전일대비")</f>
        <v>-50</v>
      </c>
      <c r="P20" s="68">
        <f>_xll.IMDP("FRN",$G20,"등락률")</f>
        <v>-2.63</v>
      </c>
      <c r="Q20" s="1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</row>
    <row r="21" spans="5:72" x14ac:dyDescent="0.25">
      <c r="E21" s="80"/>
      <c r="F21" s="15" t="s">
        <v>4</v>
      </c>
      <c r="G21" s="24" t="s">
        <v>9</v>
      </c>
      <c r="H21" s="50">
        <f>IF($H$9="현지일자",_xll.IMDP("FRN",$G21,"일자",,"DtFmt=1"),_xll.IMDP("FRN",$G21,"한국일자",,"DtFmt=1"))</f>
        <v>45121</v>
      </c>
      <c r="I21" s="42">
        <f>IF($I$9="현지시간",_xll.IMDP("FRN",$G21,"시간",,"TmFmt=1"),_xll.IMDP("FRN",$G21,"한국시간",,"TmFmt=1"))</f>
        <v>0.97211805555555553</v>
      </c>
      <c r="J21" s="60">
        <f>_xll.IMDP("FRN",$G21,"현재가")</f>
        <v>2040</v>
      </c>
      <c r="K21" s="60">
        <f>_xll.IMDP("FRN",$G21,"시가")</f>
        <v>2040</v>
      </c>
      <c r="L21" s="60">
        <f>_xll.IMDP("FRN",$G21,"고가")</f>
        <v>2040</v>
      </c>
      <c r="M21" s="61">
        <f>_xll.IMDP("FRN",$G21,"저가")</f>
        <v>2040</v>
      </c>
      <c r="N21" s="11" t="str">
        <f>_xll.IMDP("FRN",$G21,"전일대비부호")</f>
        <v>▼</v>
      </c>
      <c r="O21" s="73">
        <f>_xll.IMDP("FRN",$G21,"전일대비")</f>
        <v>-336</v>
      </c>
      <c r="P21" s="74">
        <f>_xll.IMDP("FRN",$G21,"등락률")</f>
        <v>-14.14</v>
      </c>
      <c r="Q21" s="1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</row>
    <row r="22" spans="5:72" x14ac:dyDescent="0.25">
      <c r="E22" s="78" t="s">
        <v>51</v>
      </c>
      <c r="F22" s="14" t="s">
        <v>0</v>
      </c>
      <c r="G22" s="25" t="s">
        <v>24</v>
      </c>
      <c r="H22" s="51">
        <f>IF($H$9="현지일자",_xll.IMDP("FRN",$G22,"일자",,"DtFmt=1"),_xll.IMDP("FRN",$G22,"한국일자",,"DtFmt=1"))</f>
        <v>45121</v>
      </c>
      <c r="I22" s="41">
        <f>IF($I$9="현지시간",_xll.IMDP("FRN",$G22,"시간",,"TmFmt=1"),_xll.IMDP("FRN",$G22,"한국시간",,"TmFmt=1"))</f>
        <v>0.97211805555555553</v>
      </c>
      <c r="J22" s="57">
        <f>_xll.IMDP("FRN",$G22,"현재가")</f>
        <v>2411.75</v>
      </c>
      <c r="K22" s="57">
        <f>_xll.IMDP("FRN",$G22,"시가")</f>
        <v>2411.75</v>
      </c>
      <c r="L22" s="57" t="str">
        <f>_xll.IMDP("FRN",$G22,"고가")</f>
        <v xml:space="preserve">          nan</v>
      </c>
      <c r="M22" s="58" t="str">
        <f>_xll.IMDP("FRN",$G22,"저가")</f>
        <v xml:space="preserve">          nan</v>
      </c>
      <c r="N22" s="10" t="str">
        <f>_xll.IMDP("FRN",$G22,"전일대비부호")</f>
        <v>▲</v>
      </c>
      <c r="O22" s="71">
        <f>_xll.IMDP("FRN",$G22,"전일대비")</f>
        <v>0.25</v>
      </c>
      <c r="P22" s="72">
        <f>_xll.IMDP("FRN",$G22,"등락률")</f>
        <v>0.01</v>
      </c>
      <c r="Q22" s="1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</row>
    <row r="23" spans="5:72" x14ac:dyDescent="0.25">
      <c r="E23" s="79"/>
      <c r="F23" s="12" t="s">
        <v>1</v>
      </c>
      <c r="G23" s="23" t="s">
        <v>23</v>
      </c>
      <c r="H23" s="49">
        <f>IF($H$9="현지일자",_xll.IMDP("FRN",$G23,"일자",,"DtFmt=1"),_xll.IMDP("FRN",$G23,"한국일자",,"DtFmt=1"))</f>
        <v>45121</v>
      </c>
      <c r="I23" s="39">
        <f>IF($I$9="현지시간",_xll.IMDP("FRN",$G23,"시간",,"TmFmt=1"),_xll.IMDP("FRN",$G23,"한국시간",,"TmFmt=1"))</f>
        <v>0.97211805555555553</v>
      </c>
      <c r="J23" s="55">
        <f>_xll.IMDP("FRN",$G23,"현재가")</f>
        <v>2440</v>
      </c>
      <c r="K23" s="55">
        <f>_xll.IMDP("FRN",$G23,"시가")</f>
        <v>2440</v>
      </c>
      <c r="L23" s="55" t="str">
        <f>_xll.IMDP("FRN",$G23,"고가")</f>
        <v xml:space="preserve">          nan</v>
      </c>
      <c r="M23" s="59" t="str">
        <f>_xll.IMDP("FRN",$G23,"저가")</f>
        <v xml:space="preserve">          nan</v>
      </c>
      <c r="N23" s="7" t="str">
        <f>_xll.IMDP("FRN",$G23,"전일대비부호")</f>
        <v xml:space="preserve"> </v>
      </c>
      <c r="O23" s="67">
        <f>_xll.IMDP("FRN",$G23,"전일대비")</f>
        <v>0</v>
      </c>
      <c r="P23" s="68">
        <f>_xll.IMDP("FRN",$G23,"등락률")</f>
        <v>0</v>
      </c>
      <c r="Q23" s="1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</row>
    <row r="24" spans="5:72" x14ac:dyDescent="0.25">
      <c r="E24" s="80"/>
      <c r="F24" s="15" t="s">
        <v>3</v>
      </c>
      <c r="G24" s="24" t="s">
        <v>18</v>
      </c>
      <c r="H24" s="50">
        <f>IF($H$9="현지일자",_xll.IMDP("FRN",$G24,"일자",,"DtFmt=1"),_xll.IMDP("FRN",$G24,"한국일자",,"DtFmt=1"))</f>
        <v>45121</v>
      </c>
      <c r="I24" s="42">
        <f>IF($I$9="현지시간",_xll.IMDP("FRN",$G24,"시간",,"TmFmt=1"),_xll.IMDP("FRN",$G24,"한국시간",,"TmFmt=1"))</f>
        <v>0.97211805555555553</v>
      </c>
      <c r="J24" s="60">
        <f>_xll.IMDP("FRN",$G24,"현재가")</f>
        <v>2440</v>
      </c>
      <c r="K24" s="60">
        <f>_xll.IMDP("FRN",$G24,"시가")</f>
        <v>2440</v>
      </c>
      <c r="L24" s="60">
        <f>_xll.IMDP("FRN",$G24,"고가")</f>
        <v>2440</v>
      </c>
      <c r="M24" s="61">
        <f>_xll.IMDP("FRN",$G24,"저가")</f>
        <v>2440</v>
      </c>
      <c r="N24" s="11" t="str">
        <f>_xll.IMDP("FRN",$G24,"전일대비부호")</f>
        <v xml:space="preserve"> </v>
      </c>
      <c r="O24" s="73">
        <f>_xll.IMDP("FRN",$G24,"전일대비")</f>
        <v>0</v>
      </c>
      <c r="P24" s="74">
        <f>_xll.IMDP("FRN",$G24,"등락률")</f>
        <v>0</v>
      </c>
      <c r="Q24" s="1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</row>
    <row r="25" spans="5:72" x14ac:dyDescent="0.25">
      <c r="E25" s="78" t="s">
        <v>52</v>
      </c>
      <c r="F25" s="14" t="s">
        <v>0</v>
      </c>
      <c r="G25" s="25" t="s">
        <v>16</v>
      </c>
      <c r="H25" s="51">
        <f>IF($H$9="현지일자",_xll.IMDP("FRN",$G25,"일자",,"DtFmt=1"),_xll.IMDP("FRN",$G25,"한국일자",,"DtFmt=1"))</f>
        <v>45121</v>
      </c>
      <c r="I25" s="41">
        <f>IF($I$9="현지시간",_xll.IMDP("FRN",$G25,"시간",,"TmFmt=1"),_xll.IMDP("FRN",$G25,"한국시간",,"TmFmt=1"))</f>
        <v>0.97211805555555553</v>
      </c>
      <c r="J25" s="57">
        <f>_xll.IMDP("FRN",$G25,"현재가")</f>
        <v>8687</v>
      </c>
      <c r="K25" s="57">
        <f>_xll.IMDP("FRN",$G25,"시가")</f>
        <v>8540</v>
      </c>
      <c r="L25" s="57">
        <f>_xll.IMDP("FRN",$G25,"고가")</f>
        <v>8694</v>
      </c>
      <c r="M25" s="58">
        <f>_xll.IMDP("FRN",$G25,"저가")</f>
        <v>8540</v>
      </c>
      <c r="N25" s="10" t="str">
        <f>_xll.IMDP("FRN",$G25,"전일대비부호")</f>
        <v>▲</v>
      </c>
      <c r="O25" s="71">
        <f>_xll.IMDP("FRN",$G25,"전일대비")</f>
        <v>198.25</v>
      </c>
      <c r="P25" s="72">
        <f>_xll.IMDP("FRN",$G25,"등락률")</f>
        <v>2.34</v>
      </c>
      <c r="Q25" s="1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</row>
    <row r="26" spans="5:72" x14ac:dyDescent="0.25">
      <c r="E26" s="79"/>
      <c r="F26" s="12" t="s">
        <v>1</v>
      </c>
      <c r="G26" s="23" t="s">
        <v>19</v>
      </c>
      <c r="H26" s="49">
        <f>IF($H$9="현지일자",_xll.IMDP("FRN",$G26,"일자",,"DtFmt=1"),_xll.IMDP("FRN",$G26,"한국일자",,"DtFmt=1"))</f>
        <v>45121</v>
      </c>
      <c r="I26" s="39">
        <f>IF($I$9="현지시간",_xll.IMDP("FRN",$G26,"시간",,"TmFmt=1"),_xll.IMDP("FRN",$G26,"한국시간",,"TmFmt=1"))</f>
        <v>0.97211805555555553</v>
      </c>
      <c r="J26" s="55">
        <f>_xll.IMDP("FRN",$G26,"현재가")</f>
        <v>8694</v>
      </c>
      <c r="K26" s="55">
        <f>_xll.IMDP("FRN",$G26,"시가")</f>
        <v>8518</v>
      </c>
      <c r="L26" s="55">
        <f>_xll.IMDP("FRN",$G26,"고가")</f>
        <v>8710</v>
      </c>
      <c r="M26" s="59">
        <f>_xll.IMDP("FRN",$G26,"저가")</f>
        <v>8486</v>
      </c>
      <c r="N26" s="7" t="str">
        <f>_xll.IMDP("FRN",$G26,"전일대비부호")</f>
        <v>▲</v>
      </c>
      <c r="O26" s="67">
        <f>_xll.IMDP("FRN",$G26,"전일대비")</f>
        <v>194.5</v>
      </c>
      <c r="P26" s="68">
        <f>_xll.IMDP("FRN",$G26,"등락률")</f>
        <v>2.29</v>
      </c>
      <c r="Q26" s="1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</row>
    <row r="27" spans="5:72" x14ac:dyDescent="0.25">
      <c r="E27" s="79"/>
      <c r="F27" s="12" t="s">
        <v>2</v>
      </c>
      <c r="G27" s="23" t="s">
        <v>17</v>
      </c>
      <c r="H27" s="49">
        <f>IF($H$9="현지일자",_xll.IMDP("FRN",$G27,"일자",,"DtFmt=1"),_xll.IMDP("FRN",$G27,"한국일자",,"DtFmt=1"))</f>
        <v>45121</v>
      </c>
      <c r="I27" s="39">
        <f>IF($I$9="현지시간",_xll.IMDP("FRN",$G27,"시간",,"TmFmt=1"),_xll.IMDP("FRN",$G27,"한국시간",,"TmFmt=1"))</f>
        <v>0.97211805555555553</v>
      </c>
      <c r="J27" s="55">
        <f>_xll.IMDP("FRN",$G27,"현재가")</f>
        <v>8586</v>
      </c>
      <c r="K27" s="55">
        <f>_xll.IMDP("FRN",$G27,"시가")</f>
        <v>8586</v>
      </c>
      <c r="L27" s="55">
        <f>_xll.IMDP("FRN",$G27,"고가")</f>
        <v>8586</v>
      </c>
      <c r="M27" s="59">
        <f>_xll.IMDP("FRN",$G27,"저가")</f>
        <v>8586</v>
      </c>
      <c r="N27" s="7" t="str">
        <f>_xll.IMDP("FRN",$G27,"전일대비부호")</f>
        <v>▲</v>
      </c>
      <c r="O27" s="67">
        <f>_xll.IMDP("FRN",$G27,"전일대비")</f>
        <v>203</v>
      </c>
      <c r="P27" s="68">
        <f>_xll.IMDP("FRN",$G27,"등락률")</f>
        <v>2.42</v>
      </c>
      <c r="Q27" s="1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</row>
    <row r="28" spans="5:72" x14ac:dyDescent="0.25">
      <c r="E28" s="79"/>
      <c r="F28" s="12" t="s">
        <v>3</v>
      </c>
      <c r="G28" s="23" t="s">
        <v>20</v>
      </c>
      <c r="H28" s="49">
        <f>IF($H$9="현지일자",_xll.IMDP("FRN",$G28,"일자",,"DtFmt=1"),_xll.IMDP("FRN",$G28,"한국일자",,"DtFmt=1"))</f>
        <v>45121</v>
      </c>
      <c r="I28" s="39">
        <f>IF($I$9="현지시간",_xll.IMDP("FRN",$G28,"시간",,"TmFmt=1"),_xll.IMDP("FRN",$G28,"한국시간",,"TmFmt=1"))</f>
        <v>0.97211805555555553</v>
      </c>
      <c r="J28" s="55">
        <f>_xll.IMDP("FRN",$G28,"현재가")</f>
        <v>8671.5</v>
      </c>
      <c r="K28" s="55">
        <f>_xll.IMDP("FRN",$G28,"시가")</f>
        <v>8671.5</v>
      </c>
      <c r="L28" s="55">
        <f>_xll.IMDP("FRN",$G28,"고가")</f>
        <v>8671.5</v>
      </c>
      <c r="M28" s="59">
        <f>_xll.IMDP("FRN",$G28,"저가")</f>
        <v>8671.5</v>
      </c>
      <c r="N28" s="7" t="str">
        <f>_xll.IMDP("FRN",$G28,"전일대비부호")</f>
        <v>▲</v>
      </c>
      <c r="O28" s="67">
        <f>_xll.IMDP("FRN",$G28,"전일대비")</f>
        <v>186.5</v>
      </c>
      <c r="P28" s="68">
        <f>_xll.IMDP("FRN",$G28,"등락률")</f>
        <v>2.2000000000000002</v>
      </c>
      <c r="Q28" s="1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</row>
    <row r="29" spans="5:72" x14ac:dyDescent="0.25">
      <c r="E29" s="79"/>
      <c r="F29" s="12" t="s">
        <v>4</v>
      </c>
      <c r="G29" s="23" t="s">
        <v>21</v>
      </c>
      <c r="H29" s="49">
        <f>IF($H$9="현지일자",_xll.IMDP("FRN",$G29,"일자",,"DtFmt=1"),_xll.IMDP("FRN",$G29,"한국일자",,"DtFmt=1"))</f>
        <v>45121</v>
      </c>
      <c r="I29" s="39">
        <f>IF($I$9="현지시간",_xll.IMDP("FRN",$G29,"시간",,"TmFmt=1"),_xll.IMDP("FRN",$G29,"한국시간",,"TmFmt=1"))</f>
        <v>0.97211805555555553</v>
      </c>
      <c r="J29" s="55">
        <f>_xll.IMDP("FRN",$G29,"현재가")</f>
        <v>8698</v>
      </c>
      <c r="K29" s="55">
        <f>_xll.IMDP("FRN",$G29,"시가")</f>
        <v>8698</v>
      </c>
      <c r="L29" s="55" t="str">
        <f>_xll.IMDP("FRN",$G29,"고가")</f>
        <v xml:space="preserve">          nan</v>
      </c>
      <c r="M29" s="59" t="str">
        <f>_xll.IMDP("FRN",$G29,"저가")</f>
        <v xml:space="preserve">          nan</v>
      </c>
      <c r="N29" s="7" t="str">
        <f>_xll.IMDP("FRN",$G29,"전일대비부호")</f>
        <v>▲</v>
      </c>
      <c r="O29" s="67">
        <f>_xll.IMDP("FRN",$G29,"전일대비")</f>
        <v>365.5</v>
      </c>
      <c r="P29" s="68">
        <f>_xll.IMDP("FRN",$G29,"등락률")</f>
        <v>4.3899999999999997</v>
      </c>
      <c r="Q29" s="1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</row>
    <row r="30" spans="5:72" x14ac:dyDescent="0.25">
      <c r="E30" s="80"/>
      <c r="F30" s="15" t="s">
        <v>15</v>
      </c>
      <c r="G30" s="24" t="s">
        <v>22</v>
      </c>
      <c r="H30" s="50">
        <f>IF($H$9="현지일자",_xll.IMDP("FRN",$G30,"일자",,"DtFmt=1"),_xll.IMDP("FRN",$G30,"한국일자",,"DtFmt=1"))</f>
        <v>45121</v>
      </c>
      <c r="I30" s="42">
        <f>IF($I$9="현지시간",_xll.IMDP("FRN",$G30,"시간",,"TmFmt=1"),_xll.IMDP("FRN",$G30,"한국시간",,"TmFmt=1"))</f>
        <v>0.97211805555555553</v>
      </c>
      <c r="J30" s="60">
        <f>_xll.IMDP("FRN",$G30,"현재가")</f>
        <v>8294.5</v>
      </c>
      <c r="K30" s="60">
        <f>_xll.IMDP("FRN",$G30,"시가")</f>
        <v>8294.5</v>
      </c>
      <c r="L30" s="60" t="str">
        <f>_xll.IMDP("FRN",$G30,"고가")</f>
        <v xml:space="preserve">          nan</v>
      </c>
      <c r="M30" s="61" t="str">
        <f>_xll.IMDP("FRN",$G30,"저가")</f>
        <v xml:space="preserve">          nan</v>
      </c>
      <c r="N30" s="11" t="str">
        <f>_xll.IMDP("FRN",$G30,"전일대비부호")</f>
        <v>▲</v>
      </c>
      <c r="O30" s="73">
        <f>_xll.IMDP("FRN",$G30,"전일대비")</f>
        <v>260</v>
      </c>
      <c r="P30" s="74">
        <f>_xll.IMDP("FRN",$G30,"등락률")</f>
        <v>3.24</v>
      </c>
      <c r="Q30" s="1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</row>
    <row r="31" spans="5:72" x14ac:dyDescent="0.25">
      <c r="E31" s="78" t="s">
        <v>53</v>
      </c>
      <c r="F31" s="14" t="s">
        <v>0</v>
      </c>
      <c r="G31" s="25" t="s">
        <v>25</v>
      </c>
      <c r="H31" s="51">
        <f>IF($H$9="현지일자",_xll.IMDP("FRN",$G31,"일자",,"DtFmt=1"),_xll.IMDP("FRN",$G31,"한국일자",,"DtFmt=1"))</f>
        <v>45121</v>
      </c>
      <c r="I31" s="41">
        <f>IF($I$9="현지시간",_xll.IMDP("FRN",$G31,"시간",,"TmFmt=1"),_xll.IMDP("FRN",$G31,"한국시간",,"TmFmt=1"))</f>
        <v>0.97211805555555553</v>
      </c>
      <c r="J31" s="57">
        <f>_xll.IMDP("FRN",$G31,"현재가")</f>
        <v>21082</v>
      </c>
      <c r="K31" s="57">
        <f>_xll.IMDP("FRN",$G31,"시가")</f>
        <v>21150</v>
      </c>
      <c r="L31" s="57">
        <f>_xll.IMDP("FRN",$G31,"고가")</f>
        <v>21150</v>
      </c>
      <c r="M31" s="58">
        <f>_xll.IMDP("FRN",$G31,"저가")</f>
        <v>21145</v>
      </c>
      <c r="N31" s="10" t="str">
        <f>_xll.IMDP("FRN",$G31,"전일대비부호")</f>
        <v>▼</v>
      </c>
      <c r="O31" s="71">
        <f>_xll.IMDP("FRN",$G31,"전일대비")</f>
        <v>-382.5</v>
      </c>
      <c r="P31" s="72">
        <f>_xll.IMDP("FRN",$G31,"등락률")</f>
        <v>-1.78</v>
      </c>
      <c r="Q31" s="1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</row>
    <row r="32" spans="5:72" x14ac:dyDescent="0.25">
      <c r="E32" s="79"/>
      <c r="F32" s="12" t="s">
        <v>1</v>
      </c>
      <c r="G32" s="23" t="s">
        <v>26</v>
      </c>
      <c r="H32" s="49">
        <f>IF($H$9="현지일자",_xll.IMDP("FRN",$G32,"일자",,"DtFmt=1"),_xll.IMDP("FRN",$G32,"한국일자",,"DtFmt=1"))</f>
        <v>45121</v>
      </c>
      <c r="I32" s="39">
        <f>IF($I$9="현지시간",_xll.IMDP("FRN",$G32,"시간",,"TmFmt=1"),_xll.IMDP("FRN",$G32,"한국시간",,"TmFmt=1"))</f>
        <v>0.97211805555555553</v>
      </c>
      <c r="J32" s="55">
        <f>_xll.IMDP("FRN",$G32,"현재가")</f>
        <v>21294</v>
      </c>
      <c r="K32" s="55">
        <f>_xll.IMDP("FRN",$G32,"시가")</f>
        <v>21525</v>
      </c>
      <c r="L32" s="55">
        <f>_xll.IMDP("FRN",$G32,"고가")</f>
        <v>21590</v>
      </c>
      <c r="M32" s="59">
        <f>_xll.IMDP("FRN",$G32,"저가")</f>
        <v>21060</v>
      </c>
      <c r="N32" s="7" t="str">
        <f>_xll.IMDP("FRN",$G32,"전일대비부호")</f>
        <v>▼</v>
      </c>
      <c r="O32" s="67">
        <f>_xll.IMDP("FRN",$G32,"전일대비")</f>
        <v>-391</v>
      </c>
      <c r="P32" s="68">
        <f>_xll.IMDP("FRN",$G32,"등락률")</f>
        <v>-1.8</v>
      </c>
      <c r="Q32" s="1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</row>
    <row r="33" spans="5:72" x14ac:dyDescent="0.25">
      <c r="E33" s="79"/>
      <c r="F33" s="12" t="s">
        <v>2</v>
      </c>
      <c r="G33" s="23" t="s">
        <v>27</v>
      </c>
      <c r="H33" s="49">
        <f>IF($H$9="현지일자",_xll.IMDP("FRN",$G33,"일자",,"DtFmt=1"),_xll.IMDP("FRN",$G33,"한국일자",,"DtFmt=1"))</f>
        <v>45121</v>
      </c>
      <c r="I33" s="39">
        <f>IF($I$9="현지시간",_xll.IMDP("FRN",$G33,"시간",,"TmFmt=1"),_xll.IMDP("FRN",$G33,"한국시간",,"TmFmt=1"))</f>
        <v>0.97211805555555553</v>
      </c>
      <c r="J33" s="55">
        <f>_xll.IMDP("FRN",$G33,"현재가")</f>
        <v>21350</v>
      </c>
      <c r="K33" s="55">
        <f>_xll.IMDP("FRN",$G33,"시가")</f>
        <v>21350</v>
      </c>
      <c r="L33" s="55">
        <f>_xll.IMDP("FRN",$G33,"고가")</f>
        <v>21350</v>
      </c>
      <c r="M33" s="59">
        <f>_xll.IMDP("FRN",$G33,"저가")</f>
        <v>21350</v>
      </c>
      <c r="N33" s="7" t="str">
        <f>_xll.IMDP("FRN",$G33,"전일대비부호")</f>
        <v>▲</v>
      </c>
      <c r="O33" s="67">
        <f>_xll.IMDP("FRN",$G33,"전일대비")</f>
        <v>220</v>
      </c>
      <c r="P33" s="68">
        <f>_xll.IMDP("FRN",$G33,"등락률")</f>
        <v>1.04</v>
      </c>
      <c r="Q33" s="1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</row>
    <row r="34" spans="5:72" x14ac:dyDescent="0.25">
      <c r="E34" s="79"/>
      <c r="F34" s="12" t="s">
        <v>3</v>
      </c>
      <c r="G34" s="23" t="s">
        <v>28</v>
      </c>
      <c r="H34" s="49">
        <f>IF($H$9="현지일자",_xll.IMDP("FRN",$G34,"일자",,"DtFmt=1"),_xll.IMDP("FRN",$G34,"한국일자",,"DtFmt=1"))</f>
        <v>45121</v>
      </c>
      <c r="I34" s="39">
        <f>IF($I$9="현지시간",_xll.IMDP("FRN",$G34,"시간",,"TmFmt=1"),_xll.IMDP("FRN",$G34,"한국시간",,"TmFmt=1"))</f>
        <v>0.97211805555555553</v>
      </c>
      <c r="J34" s="55">
        <f>_xll.IMDP("FRN",$G34,"현재가")</f>
        <v>21370</v>
      </c>
      <c r="K34" s="55">
        <f>_xll.IMDP("FRN",$G34,"시가")</f>
        <v>21370</v>
      </c>
      <c r="L34" s="55">
        <f>_xll.IMDP("FRN",$G34,"고가")</f>
        <v>21370</v>
      </c>
      <c r="M34" s="59">
        <f>_xll.IMDP("FRN",$G34,"저가")</f>
        <v>21370</v>
      </c>
      <c r="N34" s="7" t="str">
        <f>_xll.IMDP("FRN",$G34,"전일대비부호")</f>
        <v>▼</v>
      </c>
      <c r="O34" s="67">
        <f>_xll.IMDP("FRN",$G34,"전일대비")</f>
        <v>-95</v>
      </c>
      <c r="P34" s="68">
        <f>_xll.IMDP("FRN",$G34,"등락률")</f>
        <v>-0.44</v>
      </c>
      <c r="Q34" s="1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</row>
    <row r="35" spans="5:72" x14ac:dyDescent="0.25">
      <c r="E35" s="79"/>
      <c r="F35" s="12" t="s">
        <v>4</v>
      </c>
      <c r="G35" s="23" t="s">
        <v>29</v>
      </c>
      <c r="H35" s="49">
        <f>IF($H$9="현지일자",_xll.IMDP("FRN",$G35,"일자",,"DtFmt=1"),_xll.IMDP("FRN",$G35,"한국일자",,"DtFmt=1"))</f>
        <v>45121</v>
      </c>
      <c r="I35" s="39">
        <f>IF($I$9="현지시간",_xll.IMDP("FRN",$G35,"시간",,"TmFmt=1"),_xll.IMDP("FRN",$G35,"한국시간",,"TmFmt=1"))</f>
        <v>0.97211805555555553</v>
      </c>
      <c r="J35" s="55">
        <f>_xll.IMDP("FRN",$G35,"현재가")</f>
        <v>20922</v>
      </c>
      <c r="K35" s="55">
        <f>_xll.IMDP("FRN",$G35,"시가")</f>
        <v>20922</v>
      </c>
      <c r="L35" s="55" t="str">
        <f>_xll.IMDP("FRN",$G35,"고가")</f>
        <v xml:space="preserve">          nan</v>
      </c>
      <c r="M35" s="59" t="str">
        <f>_xll.IMDP("FRN",$G35,"저가")</f>
        <v xml:space="preserve">          nan</v>
      </c>
      <c r="N35" s="7" t="str">
        <f>_xll.IMDP("FRN",$G35,"전일대비부호")</f>
        <v>▼</v>
      </c>
      <c r="O35" s="67">
        <f>_xll.IMDP("FRN",$G35,"전일대비")</f>
        <v>-580</v>
      </c>
      <c r="P35" s="68">
        <f>_xll.IMDP("FRN",$G35,"등락률")</f>
        <v>-2.7</v>
      </c>
      <c r="Q35" s="1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</row>
    <row r="36" spans="5:72" x14ac:dyDescent="0.25">
      <c r="E36" s="80"/>
      <c r="F36" s="15" t="s">
        <v>15</v>
      </c>
      <c r="G36" s="24" t="s">
        <v>30</v>
      </c>
      <c r="H36" s="50">
        <f>IF($H$9="현지일자",_xll.IMDP("FRN",$G36,"일자",,"DtFmt=1"),_xll.IMDP("FRN",$G36,"한국일자",,"DtFmt=1"))</f>
        <v>45121</v>
      </c>
      <c r="I36" s="42">
        <f>IF($I$9="현지시간",_xll.IMDP("FRN",$G36,"시간",,"TmFmt=1"),_xll.IMDP("FRN",$G36,"한국시간",,"TmFmt=1"))</f>
        <v>0.97211805555555553</v>
      </c>
      <c r="J36" s="60">
        <f>_xll.IMDP("FRN",$G36,"현재가")</f>
        <v>22823</v>
      </c>
      <c r="K36" s="60">
        <f>_xll.IMDP("FRN",$G36,"시가")</f>
        <v>22823</v>
      </c>
      <c r="L36" s="60" t="str">
        <f>_xll.IMDP("FRN",$G36,"고가")</f>
        <v xml:space="preserve">          nan</v>
      </c>
      <c r="M36" s="61" t="str">
        <f>_xll.IMDP("FRN",$G36,"저가")</f>
        <v xml:space="preserve">          nan</v>
      </c>
      <c r="N36" s="11" t="str">
        <f>_xll.IMDP("FRN",$G36,"전일대비부호")</f>
        <v>▼</v>
      </c>
      <c r="O36" s="73">
        <f>_xll.IMDP("FRN",$G36,"전일대비")</f>
        <v>-113</v>
      </c>
      <c r="P36" s="74">
        <f>_xll.IMDP("FRN",$G36,"등락률")</f>
        <v>-0.49</v>
      </c>
      <c r="Q36" s="1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</row>
    <row r="37" spans="5:72" x14ac:dyDescent="0.25">
      <c r="E37" s="78" t="s">
        <v>54</v>
      </c>
      <c r="F37" s="14" t="s">
        <v>0</v>
      </c>
      <c r="G37" s="25" t="s">
        <v>31</v>
      </c>
      <c r="H37" s="51">
        <f>IF($H$9="현지일자",_xll.IMDP("FRN",$G37,"일자",,"DtFmt=1"),_xll.IMDP("FRN",$G37,"한국일자",,"DtFmt=1"))</f>
        <v>45121</v>
      </c>
      <c r="I37" s="41">
        <f>IF($I$9="현지시간",_xll.IMDP("FRN",$G37,"시간",,"TmFmt=1"),_xll.IMDP("FRN",$G37,"한국시간",,"TmFmt=1"))</f>
        <v>0.97211805555555553</v>
      </c>
      <c r="J37" s="57">
        <f>_xll.IMDP("FRN",$G37,"현재가")</f>
        <v>2126.5</v>
      </c>
      <c r="K37" s="57">
        <f>_xll.IMDP("FRN",$G37,"시가")</f>
        <v>2109</v>
      </c>
      <c r="L37" s="57">
        <f>_xll.IMDP("FRN",$G37,"고가")</f>
        <v>2120</v>
      </c>
      <c r="M37" s="58">
        <f>_xll.IMDP("FRN",$G37,"저가")</f>
        <v>2108</v>
      </c>
      <c r="N37" s="10" t="str">
        <f>_xll.IMDP("FRN",$G37,"전일대비부호")</f>
        <v>▲</v>
      </c>
      <c r="O37" s="71">
        <f>_xll.IMDP("FRN",$G37,"전일대비")</f>
        <v>35.24</v>
      </c>
      <c r="P37" s="72">
        <f>_xll.IMDP("FRN",$G37,"등락률")</f>
        <v>1.69</v>
      </c>
      <c r="Q37" s="1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</row>
    <row r="38" spans="5:72" x14ac:dyDescent="0.25">
      <c r="E38" s="79"/>
      <c r="F38" s="12" t="s">
        <v>1</v>
      </c>
      <c r="G38" s="23" t="s">
        <v>32</v>
      </c>
      <c r="H38" s="49">
        <f>IF($H$9="현지일자",_xll.IMDP("FRN",$G38,"일자",,"DtFmt=1"),_xll.IMDP("FRN",$G38,"한국일자",,"DtFmt=1"))</f>
        <v>45121</v>
      </c>
      <c r="I38" s="39">
        <f>IF($I$9="현지시간",_xll.IMDP("FRN",$G38,"시간",,"TmFmt=1"),_xll.IMDP("FRN",$G38,"한국시간",,"TmFmt=1"))</f>
        <v>0.97211805555555553</v>
      </c>
      <c r="J38" s="55">
        <f>_xll.IMDP("FRN",$G38,"현재가")</f>
        <v>2127</v>
      </c>
      <c r="K38" s="55">
        <f>_xll.IMDP("FRN",$G38,"시가")</f>
        <v>2091</v>
      </c>
      <c r="L38" s="55">
        <f>_xll.IMDP("FRN",$G38,"고가")</f>
        <v>2130</v>
      </c>
      <c r="M38" s="59">
        <f>_xll.IMDP("FRN",$G38,"저가")</f>
        <v>2089.5</v>
      </c>
      <c r="N38" s="7" t="str">
        <f>_xll.IMDP("FRN",$G38,"전일대비부호")</f>
        <v>▲</v>
      </c>
      <c r="O38" s="67">
        <f>_xll.IMDP("FRN",$G38,"전일대비")</f>
        <v>41.5</v>
      </c>
      <c r="P38" s="68">
        <f>_xll.IMDP("FRN",$G38,"등락률")</f>
        <v>1.99</v>
      </c>
      <c r="Q38" s="1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</row>
    <row r="39" spans="5:72" x14ac:dyDescent="0.25">
      <c r="E39" s="79"/>
      <c r="F39" s="12" t="s">
        <v>2</v>
      </c>
      <c r="G39" s="23" t="s">
        <v>33</v>
      </c>
      <c r="H39" s="49">
        <f>IF($H$9="현지일자",_xll.IMDP("FRN",$G39,"일자",,"DtFmt=1"),_xll.IMDP("FRN",$G39,"한국일자",,"DtFmt=1"))</f>
        <v>45121</v>
      </c>
      <c r="I39" s="39">
        <f>IF($I$9="현지시간",_xll.IMDP("FRN",$G39,"시간",,"TmFmt=1"),_xll.IMDP("FRN",$G39,"한국시간",,"TmFmt=1"))</f>
        <v>0.97211805555555553</v>
      </c>
      <c r="J39" s="55">
        <f>_xll.IMDP("FRN",$G39,"현재가")</f>
        <v>2111</v>
      </c>
      <c r="K39" s="55">
        <f>_xll.IMDP("FRN",$G39,"시가")</f>
        <v>2111</v>
      </c>
      <c r="L39" s="55">
        <f>_xll.IMDP("FRN",$G39,"고가")</f>
        <v>2111</v>
      </c>
      <c r="M39" s="59">
        <f>_xll.IMDP("FRN",$G39,"저가")</f>
        <v>2111</v>
      </c>
      <c r="N39" s="7" t="str">
        <f>_xll.IMDP("FRN",$G39,"전일대비부호")</f>
        <v>▲</v>
      </c>
      <c r="O39" s="67">
        <f>_xll.IMDP("FRN",$G39,"전일대비")</f>
        <v>40</v>
      </c>
      <c r="P39" s="68">
        <f>_xll.IMDP("FRN",$G39,"등락률")</f>
        <v>1.93</v>
      </c>
      <c r="Q39" s="1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</row>
    <row r="40" spans="5:72" x14ac:dyDescent="0.25">
      <c r="E40" s="79"/>
      <c r="F40" s="12" t="s">
        <v>3</v>
      </c>
      <c r="G40" s="23" t="s">
        <v>34</v>
      </c>
      <c r="H40" s="49">
        <f>IF($H$9="현지일자",_xll.IMDP("FRN",$G40,"일자",,"DtFmt=1"),_xll.IMDP("FRN",$G40,"한국일자",,"DtFmt=1"))</f>
        <v>45121</v>
      </c>
      <c r="I40" s="39">
        <f>IF($I$9="현지시간",_xll.IMDP("FRN",$G40,"시간",,"TmFmt=1"),_xll.IMDP("FRN",$G40,"한국시간",,"TmFmt=1"))</f>
        <v>0.97211805555555553</v>
      </c>
      <c r="J40" s="55">
        <f>_xll.IMDP("FRN",$G40,"현재가")</f>
        <v>2118</v>
      </c>
      <c r="K40" s="55">
        <f>_xll.IMDP("FRN",$G40,"시가")</f>
        <v>2118</v>
      </c>
      <c r="L40" s="55">
        <f>_xll.IMDP("FRN",$G40,"고가")</f>
        <v>2118</v>
      </c>
      <c r="M40" s="59">
        <f>_xll.IMDP("FRN",$G40,"저가")</f>
        <v>2118</v>
      </c>
      <c r="N40" s="7" t="str">
        <f>_xll.IMDP("FRN",$G40,"전일대비부호")</f>
        <v>▲</v>
      </c>
      <c r="O40" s="67">
        <f>_xll.IMDP("FRN",$G40,"전일대비")</f>
        <v>31.5</v>
      </c>
      <c r="P40" s="68">
        <f>_xll.IMDP("FRN",$G40,"등락률")</f>
        <v>1.51</v>
      </c>
      <c r="Q40" s="1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</row>
    <row r="41" spans="5:72" x14ac:dyDescent="0.25">
      <c r="E41" s="79"/>
      <c r="F41" s="12" t="s">
        <v>4</v>
      </c>
      <c r="G41" s="23" t="s">
        <v>35</v>
      </c>
      <c r="H41" s="49">
        <f>IF($H$9="현지일자",_xll.IMDP("FRN",$G41,"일자",,"DtFmt=1"),_xll.IMDP("FRN",$G41,"한국일자",,"DtFmt=1"))</f>
        <v>45121</v>
      </c>
      <c r="I41" s="39">
        <f>IF($I$9="현지시간",_xll.IMDP("FRN",$G41,"시간",,"TmFmt=1"),_xll.IMDP("FRN",$G41,"한국시간",,"TmFmt=1"))</f>
        <v>0.97211805555555553</v>
      </c>
      <c r="J41" s="55">
        <f>_xll.IMDP("FRN",$G41,"현재가")</f>
        <v>2127.25</v>
      </c>
      <c r="K41" s="55">
        <f>_xll.IMDP("FRN",$G41,"시가")</f>
        <v>2127.25</v>
      </c>
      <c r="L41" s="55" t="str">
        <f>_xll.IMDP("FRN",$G41,"고가")</f>
        <v xml:space="preserve">          nan</v>
      </c>
      <c r="M41" s="59" t="str">
        <f>_xll.IMDP("FRN",$G41,"저가")</f>
        <v xml:space="preserve">          nan</v>
      </c>
      <c r="N41" s="7" t="str">
        <f>_xll.IMDP("FRN",$G41,"전일대비부호")</f>
        <v>▼</v>
      </c>
      <c r="O41" s="67">
        <f>_xll.IMDP("FRN",$G41,"전일대비")</f>
        <v>-23.75</v>
      </c>
      <c r="P41" s="68">
        <f>_xll.IMDP("FRN",$G41,"등락률")</f>
        <v>-1.1000000000000001</v>
      </c>
      <c r="Q41" s="1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</row>
    <row r="42" spans="5:72" x14ac:dyDescent="0.25">
      <c r="E42" s="80"/>
      <c r="F42" s="15" t="s">
        <v>15</v>
      </c>
      <c r="G42" s="24" t="s">
        <v>36</v>
      </c>
      <c r="H42" s="50">
        <f>IF($H$9="현지일자",_xll.IMDP("FRN",$G42,"일자",,"DtFmt=1"),_xll.IMDP("FRN",$G42,"한국일자",,"DtFmt=1"))</f>
        <v>45121</v>
      </c>
      <c r="I42" s="42">
        <f>IF($I$9="현지시간",_xll.IMDP("FRN",$G42,"시간",,"TmFmt=1"),_xll.IMDP("FRN",$G42,"한국시간",,"TmFmt=1"))</f>
        <v>0.97211805555555553</v>
      </c>
      <c r="J42" s="60">
        <f>_xll.IMDP("FRN",$G42,"현재가")</f>
        <v>1846</v>
      </c>
      <c r="K42" s="60">
        <f>_xll.IMDP("FRN",$G42,"시가")</f>
        <v>1846</v>
      </c>
      <c r="L42" s="60" t="str">
        <f>_xll.IMDP("FRN",$G42,"고가")</f>
        <v xml:space="preserve">          nan</v>
      </c>
      <c r="M42" s="61" t="str">
        <f>_xll.IMDP("FRN",$G42,"저가")</f>
        <v xml:space="preserve">          nan</v>
      </c>
      <c r="N42" s="11" t="str">
        <f>_xll.IMDP("FRN",$G42,"전일대비부호")</f>
        <v>▼</v>
      </c>
      <c r="O42" s="73">
        <f>_xll.IMDP("FRN",$G42,"전일대비")</f>
        <v>-24.75</v>
      </c>
      <c r="P42" s="74">
        <f>_xll.IMDP("FRN",$G42,"등락률")</f>
        <v>-1.32</v>
      </c>
      <c r="Q42" s="1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</row>
    <row r="43" spans="5:72" x14ac:dyDescent="0.25">
      <c r="E43" s="78" t="s">
        <v>50</v>
      </c>
      <c r="F43" s="14" t="s">
        <v>0</v>
      </c>
      <c r="G43" s="25" t="s">
        <v>37</v>
      </c>
      <c r="H43" s="51">
        <f>IF($H$9="현지일자",_xll.IMDP("FRN",$G43,"일자",,"DtFmt=1"),_xll.IMDP("FRN",$G43,"한국일자",,"DtFmt=1"))</f>
        <v>45121</v>
      </c>
      <c r="I43" s="41">
        <f>IF($I$9="현지시간",_xll.IMDP("FRN",$G43,"시간",,"TmFmt=1"),_xll.IMDP("FRN",$G43,"한국시간",,"TmFmt=1"))</f>
        <v>0.97211805555555553</v>
      </c>
      <c r="J43" s="57">
        <f>_xll.IMDP("FRN",$G43,"현재가")</f>
        <v>29104</v>
      </c>
      <c r="K43" s="57">
        <f>_xll.IMDP("FRN",$G43,"시가")</f>
        <v>29400</v>
      </c>
      <c r="L43" s="57">
        <f>_xll.IMDP("FRN",$G43,"고가")</f>
        <v>29426</v>
      </c>
      <c r="M43" s="58">
        <f>_xll.IMDP("FRN",$G43,"저가")</f>
        <v>29400</v>
      </c>
      <c r="N43" s="10" t="str">
        <f>_xll.IMDP("FRN",$G43,"전일대비부호")</f>
        <v>▼</v>
      </c>
      <c r="O43" s="71">
        <f>_xll.IMDP("FRN",$G43,"전일대비")</f>
        <v>-275</v>
      </c>
      <c r="P43" s="72">
        <f>_xll.IMDP("FRN",$G43,"등락률")</f>
        <v>-0.94</v>
      </c>
      <c r="Q43" s="1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</row>
    <row r="44" spans="5:72" x14ac:dyDescent="0.25">
      <c r="E44" s="79"/>
      <c r="F44" s="12" t="s">
        <v>1</v>
      </c>
      <c r="G44" s="23" t="s">
        <v>39</v>
      </c>
      <c r="H44" s="49">
        <f>IF($H$9="현지일자",_xll.IMDP("FRN",$G44,"일자",,"DtFmt=1"),_xll.IMDP("FRN",$G44,"한국일자",,"DtFmt=1"))</f>
        <v>45121</v>
      </c>
      <c r="I44" s="39">
        <f>IF($I$9="현지시간",_xll.IMDP("FRN",$G44,"시간",,"TmFmt=1"),_xll.IMDP("FRN",$G44,"한국시간",,"TmFmt=1"))</f>
        <v>0.97211805555555553</v>
      </c>
      <c r="J44" s="55">
        <f>_xll.IMDP("FRN",$G44,"현재가")</f>
        <v>28809</v>
      </c>
      <c r="K44" s="55">
        <f>_xll.IMDP("FRN",$G44,"시가")</f>
        <v>28955</v>
      </c>
      <c r="L44" s="55">
        <f>_xll.IMDP("FRN",$G44,"고가")</f>
        <v>29076</v>
      </c>
      <c r="M44" s="59">
        <f>_xll.IMDP("FRN",$G44,"저가")</f>
        <v>28370</v>
      </c>
      <c r="N44" s="7" t="str">
        <f>_xll.IMDP("FRN",$G44,"전일대비부호")</f>
        <v>▼</v>
      </c>
      <c r="O44" s="67">
        <f>_xll.IMDP("FRN",$G44,"전일대비")</f>
        <v>-260</v>
      </c>
      <c r="P44" s="68">
        <f>_xll.IMDP("FRN",$G44,"등락률")</f>
        <v>-0.89</v>
      </c>
      <c r="Q44" s="1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</row>
    <row r="45" spans="5:72" x14ac:dyDescent="0.25">
      <c r="E45" s="79"/>
      <c r="F45" s="12" t="s">
        <v>2</v>
      </c>
      <c r="G45" s="23" t="s">
        <v>40</v>
      </c>
      <c r="H45" s="49">
        <f>IF($H$9="현지일자",_xll.IMDP("FRN",$G45,"일자",,"DtFmt=1"),_xll.IMDP("FRN",$G45,"한국일자",,"DtFmt=1"))</f>
        <v>45121</v>
      </c>
      <c r="I45" s="39">
        <f>IF($I$9="현지시간",_xll.IMDP("FRN",$G45,"시간",,"TmFmt=1"),_xll.IMDP("FRN",$G45,"한국시간",,"TmFmt=1"))</f>
        <v>0.97211805555555553</v>
      </c>
      <c r="J45" s="55">
        <f>_xll.IMDP("FRN",$G45,"현재가")</f>
        <v>29100</v>
      </c>
      <c r="K45" s="55">
        <f>_xll.IMDP("FRN",$G45,"시가")</f>
        <v>29100</v>
      </c>
      <c r="L45" s="55">
        <f>_xll.IMDP("FRN",$G45,"고가")</f>
        <v>29100</v>
      </c>
      <c r="M45" s="59">
        <f>_xll.IMDP("FRN",$G45,"저가")</f>
        <v>29100</v>
      </c>
      <c r="N45" s="7" t="str">
        <f>_xll.IMDP("FRN",$G45,"전일대비부호")</f>
        <v>▲</v>
      </c>
      <c r="O45" s="67">
        <f>_xll.IMDP("FRN",$G45,"전일대비")</f>
        <v>995</v>
      </c>
      <c r="P45" s="68">
        <f>_xll.IMDP("FRN",$G45,"등락률")</f>
        <v>3.54</v>
      </c>
      <c r="Q45" s="1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</row>
    <row r="46" spans="5:72" x14ac:dyDescent="0.25">
      <c r="E46" s="79"/>
      <c r="F46" s="12" t="s">
        <v>3</v>
      </c>
      <c r="G46" s="23" t="s">
        <v>41</v>
      </c>
      <c r="H46" s="49">
        <f>IF($H$9="현지일자",_xll.IMDP("FRN",$G46,"일자",,"DtFmt=1"),_xll.IMDP("FRN",$G46,"한국일자",,"DtFmt=1"))</f>
        <v>45121</v>
      </c>
      <c r="I46" s="39">
        <f>IF($I$9="현지시간",_xll.IMDP("FRN",$G46,"시간",,"TmFmt=1"),_xll.IMDP("FRN",$G46,"한국시간",,"TmFmt=1"))</f>
        <v>0.97211805555555553</v>
      </c>
      <c r="J46" s="55">
        <f>_xll.IMDP("FRN",$G46,"현재가")</f>
        <v>28760</v>
      </c>
      <c r="K46" s="55">
        <f>_xll.IMDP("FRN",$G46,"시가")</f>
        <v>28760</v>
      </c>
      <c r="L46" s="55">
        <f>_xll.IMDP("FRN",$G46,"고가")</f>
        <v>28760</v>
      </c>
      <c r="M46" s="59">
        <f>_xll.IMDP("FRN",$G46,"저가")</f>
        <v>28760</v>
      </c>
      <c r="N46" s="7" t="str">
        <f>_xll.IMDP("FRN",$G46,"전일대비부호")</f>
        <v>▼</v>
      </c>
      <c r="O46" s="67">
        <f>_xll.IMDP("FRN",$G46,"전일대비")</f>
        <v>-340</v>
      </c>
      <c r="P46" s="68">
        <f>_xll.IMDP("FRN",$G46,"등락률")</f>
        <v>-1.17</v>
      </c>
      <c r="Q46" s="1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</row>
    <row r="47" spans="5:72" x14ac:dyDescent="0.25">
      <c r="E47" s="80"/>
      <c r="F47" s="15" t="s">
        <v>4</v>
      </c>
      <c r="G47" s="24" t="s">
        <v>42</v>
      </c>
      <c r="H47" s="50">
        <f>IF($H$9="현지일자",_xll.IMDP("FRN",$G47,"일자",,"DtFmt=1"),_xll.IMDP("FRN",$G47,"한국일자",,"DtFmt=1"))</f>
        <v>45121</v>
      </c>
      <c r="I47" s="42">
        <f>IF($I$9="현지시간",_xll.IMDP("FRN",$G47,"시간",,"TmFmt=1"),_xll.IMDP("FRN",$G47,"한국시간",,"TmFmt=1"))</f>
        <v>0.97211805555555553</v>
      </c>
      <c r="J47" s="60">
        <f>_xll.IMDP("FRN",$G47,"현재가")</f>
        <v>27897</v>
      </c>
      <c r="K47" s="60">
        <f>_xll.IMDP("FRN",$G47,"시가")</f>
        <v>28955</v>
      </c>
      <c r="L47" s="60" t="str">
        <f>_xll.IMDP("FRN",$G47,"고가")</f>
        <v xml:space="preserve">          nan</v>
      </c>
      <c r="M47" s="61" t="str">
        <f>_xll.IMDP("FRN",$G47,"저가")</f>
        <v xml:space="preserve">          nan</v>
      </c>
      <c r="N47" s="11" t="str">
        <f>_xll.IMDP("FRN",$G47,"전일대비부호")</f>
        <v>▼</v>
      </c>
      <c r="O47" s="73">
        <f>_xll.IMDP("FRN",$G47,"전일대비")</f>
        <v>-271</v>
      </c>
      <c r="P47" s="74">
        <f>_xll.IMDP("FRN",$G47,"등락률")</f>
        <v>-0.96</v>
      </c>
      <c r="Q47" s="1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</row>
    <row r="48" spans="5:72" x14ac:dyDescent="0.25">
      <c r="E48" s="81" t="s">
        <v>55</v>
      </c>
      <c r="F48" s="16" t="s">
        <v>0</v>
      </c>
      <c r="G48" s="26" t="s">
        <v>43</v>
      </c>
      <c r="H48" s="52">
        <f>IF($H$9="현지일자",_xll.IMDP("FRN",$G48,"일자",,"DtFmt=1"),_xll.IMDP("FRN",$G48,"한국일자",,"DtFmt=1"))</f>
        <v>45121</v>
      </c>
      <c r="I48" s="38">
        <f>IF($I$9="현지시간",_xll.IMDP("FRN",$G48,"시간",,"TmFmt=1"),_xll.IMDP("FRN",$G48,"한국시간",,"TmFmt=1"))</f>
        <v>0.97211805555555553</v>
      </c>
      <c r="J48" s="54">
        <f>_xll.IMDP("FRN",$G48,"현재가")</f>
        <v>2460.25</v>
      </c>
      <c r="K48" s="54">
        <f>_xll.IMDP("FRN",$G48,"시가")</f>
        <v>2466</v>
      </c>
      <c r="L48" s="54">
        <f>_xll.IMDP("FRN",$G48,"고가")</f>
        <v>2466</v>
      </c>
      <c r="M48" s="62">
        <f>_xll.IMDP("FRN",$G48,"저가")</f>
        <v>2461</v>
      </c>
      <c r="N48" s="8" t="str">
        <f>_xll.IMDP("FRN",$G48,"전일대비부호")</f>
        <v>▲</v>
      </c>
      <c r="O48" s="65">
        <f>_xll.IMDP("FRN",$G48,"전일대비")</f>
        <v>49.25</v>
      </c>
      <c r="P48" s="66">
        <f>_xll.IMDP("FRN",$G48,"등락률")</f>
        <v>2.04</v>
      </c>
      <c r="Q48" s="1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</row>
    <row r="49" spans="5:72" x14ac:dyDescent="0.25">
      <c r="E49" s="79"/>
      <c r="F49" s="12" t="s">
        <v>1</v>
      </c>
      <c r="G49" s="23" t="s">
        <v>38</v>
      </c>
      <c r="H49" s="49">
        <f>IF($H$9="현지일자",_xll.IMDP("FRN",$G49,"일자",,"DtFmt=1"),_xll.IMDP("FRN",$G49,"한국일자",,"DtFmt=1"))</f>
        <v>45121</v>
      </c>
      <c r="I49" s="39">
        <f>IF($I$9="현지시간",_xll.IMDP("FRN",$G49,"시간",,"TmFmt=1"),_xll.IMDP("FRN",$G49,"한국시간",,"TmFmt=1"))</f>
        <v>0.97211805555555553</v>
      </c>
      <c r="J49" s="55">
        <f>_xll.IMDP("FRN",$G49,"현재가")</f>
        <v>2479</v>
      </c>
      <c r="K49" s="55">
        <f>_xll.IMDP("FRN",$G49,"시가")</f>
        <v>2425</v>
      </c>
      <c r="L49" s="55">
        <f>_xll.IMDP("FRN",$G49,"고가")</f>
        <v>2503.5</v>
      </c>
      <c r="M49" s="59">
        <f>_xll.IMDP("FRN",$G49,"저가")</f>
        <v>2411</v>
      </c>
      <c r="N49" s="7" t="str">
        <f>_xll.IMDP("FRN",$G49,"전일대비부호")</f>
        <v>▲</v>
      </c>
      <c r="O49" s="67">
        <f>_xll.IMDP("FRN",$G49,"전일대비")</f>
        <v>53.5</v>
      </c>
      <c r="P49" s="68">
        <f>_xll.IMDP("FRN",$G49,"등락률")</f>
        <v>2.21</v>
      </c>
      <c r="Q49" s="1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</row>
    <row r="50" spans="5:72" x14ac:dyDescent="0.25">
      <c r="E50" s="79"/>
      <c r="F50" s="12" t="s">
        <v>2</v>
      </c>
      <c r="G50" s="23" t="s">
        <v>44</v>
      </c>
      <c r="H50" s="49">
        <f>IF($H$9="현지일자",_xll.IMDP("FRN",$G50,"일자",,"DtFmt=1"),_xll.IMDP("FRN",$G50,"한국일자",,"DtFmt=1"))</f>
        <v>45121</v>
      </c>
      <c r="I50" s="39">
        <f>IF($I$9="현지시간",_xll.IMDP("FRN",$G50,"시간",,"TmFmt=1"),_xll.IMDP("FRN",$G50,"한국시간",,"TmFmt=1"))</f>
        <v>0.97211805555555553</v>
      </c>
      <c r="J50" s="55">
        <f>_xll.IMDP("FRN",$G50,"현재가")</f>
        <v>2481.5</v>
      </c>
      <c r="K50" s="55">
        <f>_xll.IMDP("FRN",$G50,"시가")</f>
        <v>2481.5</v>
      </c>
      <c r="L50" s="55">
        <f>_xll.IMDP("FRN",$G50,"고가")</f>
        <v>2481.5</v>
      </c>
      <c r="M50" s="59">
        <f>_xll.IMDP("FRN",$G50,"저가")</f>
        <v>2481.5</v>
      </c>
      <c r="N50" s="7" t="str">
        <f>_xll.IMDP("FRN",$G50,"전일대비부호")</f>
        <v>▲</v>
      </c>
      <c r="O50" s="67">
        <f>_xll.IMDP("FRN",$G50,"전일대비")</f>
        <v>106.5</v>
      </c>
      <c r="P50" s="68">
        <f>_xll.IMDP("FRN",$G50,"등락률")</f>
        <v>4.4800000000000004</v>
      </c>
      <c r="Q50" s="1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</row>
    <row r="51" spans="5:72" x14ac:dyDescent="0.25">
      <c r="E51" s="79"/>
      <c r="F51" s="12" t="s">
        <v>3</v>
      </c>
      <c r="G51" s="23" t="s">
        <v>45</v>
      </c>
      <c r="H51" s="49">
        <f>IF($H$9="현지일자",_xll.IMDP("FRN",$G51,"일자",,"DtFmt=1"),_xll.IMDP("FRN",$G51,"한국일자",,"DtFmt=1"))</f>
        <v>45121</v>
      </c>
      <c r="I51" s="39">
        <f>IF($I$9="현지시간",_xll.IMDP("FRN",$G51,"시간",,"TmFmt=1"),_xll.IMDP("FRN",$G51,"한국시간",,"TmFmt=1"))</f>
        <v>0.97211805555555553</v>
      </c>
      <c r="J51" s="55">
        <f>_xll.IMDP("FRN",$G51,"현재가")</f>
        <v>2464</v>
      </c>
      <c r="K51" s="55">
        <f>_xll.IMDP("FRN",$G51,"시가")</f>
        <v>2464</v>
      </c>
      <c r="L51" s="55">
        <f>_xll.IMDP("FRN",$G51,"고가")</f>
        <v>2464</v>
      </c>
      <c r="M51" s="59">
        <f>_xll.IMDP("FRN",$G51,"저가")</f>
        <v>2464</v>
      </c>
      <c r="N51" s="7" t="str">
        <f>_xll.IMDP("FRN",$G51,"전일대비부호")</f>
        <v>▲</v>
      </c>
      <c r="O51" s="67">
        <f>_xll.IMDP("FRN",$G51,"전일대비")</f>
        <v>39</v>
      </c>
      <c r="P51" s="68">
        <f>_xll.IMDP("FRN",$G51,"등락률")</f>
        <v>1.61</v>
      </c>
      <c r="Q51" s="1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</row>
    <row r="52" spans="5:72" x14ac:dyDescent="0.25">
      <c r="E52" s="79"/>
      <c r="F52" s="12" t="s">
        <v>4</v>
      </c>
      <c r="G52" s="23" t="s">
        <v>46</v>
      </c>
      <c r="H52" s="49">
        <f>IF($H$9="현지일자",_xll.IMDP("FRN",$G52,"일자",,"DtFmt=1"),_xll.IMDP("FRN",$G52,"한국일자",,"DtFmt=1"))</f>
        <v>45121</v>
      </c>
      <c r="I52" s="39">
        <f>IF($I$9="현지시간",_xll.IMDP("FRN",$G52,"시간",,"TmFmt=1"),_xll.IMDP("FRN",$G52,"한국시간",,"TmFmt=1"))</f>
        <v>0.97211805555555553</v>
      </c>
      <c r="J52" s="55">
        <f>_xll.IMDP("FRN",$G52,"현재가")</f>
        <v>2426.25</v>
      </c>
      <c r="K52" s="55">
        <f>_xll.IMDP("FRN",$G52,"시가")</f>
        <v>2386</v>
      </c>
      <c r="L52" s="55">
        <f>_xll.IMDP("FRN",$G52,"고가")</f>
        <v>2386</v>
      </c>
      <c r="M52" s="59">
        <f>_xll.IMDP("FRN",$G52,"저가")</f>
        <v>2386</v>
      </c>
      <c r="N52" s="7" t="str">
        <f>_xll.IMDP("FRN",$G52,"전일대비부호")</f>
        <v>▼</v>
      </c>
      <c r="O52" s="67">
        <f>_xll.IMDP("FRN",$G52,"전일대비")</f>
        <v>-66.75</v>
      </c>
      <c r="P52" s="68">
        <f>_xll.IMDP("FRN",$G52,"등락률")</f>
        <v>-2.68</v>
      </c>
      <c r="Q52" s="1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</row>
    <row r="53" spans="5:72" x14ac:dyDescent="0.25">
      <c r="E53" s="82"/>
      <c r="F53" s="30" t="s">
        <v>15</v>
      </c>
      <c r="G53" s="31" t="s">
        <v>47</v>
      </c>
      <c r="H53" s="53">
        <f>IF($H$9="현지일자",_xll.IMDP("FRN",$G53,"일자",,"DtFmt=1"),_xll.IMDP("FRN",$G53,"한국일자",,"DtFmt=1"))</f>
        <v>45121</v>
      </c>
      <c r="I53" s="43">
        <f>IF($I$9="현지시간",_xll.IMDP("FRN",$G53,"시간",,"TmFmt=1"),_xll.IMDP("FRN",$G53,"한국시간",,"TmFmt=1"))</f>
        <v>0.97211805555555553</v>
      </c>
      <c r="J53" s="63">
        <f>_xll.IMDP("FRN",$G53,"현재가")</f>
        <v>3063.75</v>
      </c>
      <c r="K53" s="63">
        <f>_xll.IMDP("FRN",$G53,"시가")</f>
        <v>3063.75</v>
      </c>
      <c r="L53" s="63" t="str">
        <f>_xll.IMDP("FRN",$G53,"고가")</f>
        <v xml:space="preserve">          nan</v>
      </c>
      <c r="M53" s="64" t="str">
        <f>_xll.IMDP("FRN",$G53,"저가")</f>
        <v xml:space="preserve">          nan</v>
      </c>
      <c r="N53" s="32" t="str">
        <f>_xll.IMDP("FRN",$G53,"전일대비부호")</f>
        <v>▲</v>
      </c>
      <c r="O53" s="75">
        <f>_xll.IMDP("FRN",$G53,"전일대비")</f>
        <v>349.5</v>
      </c>
      <c r="P53" s="76">
        <f>_xll.IMDP("FRN",$G53,"등락률")</f>
        <v>12.88</v>
      </c>
      <c r="Q53" s="1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</row>
    <row r="57" spans="5:72" ht="18" customHeight="1" x14ac:dyDescent="0.25"/>
    <row r="58" spans="5:72" hidden="1" x14ac:dyDescent="0.25">
      <c r="E58" t="s">
        <v>91</v>
      </c>
    </row>
    <row r="59" spans="5:72" hidden="1" x14ac:dyDescent="0.25"/>
    <row r="60" spans="5:72" hidden="1" x14ac:dyDescent="0.25">
      <c r="F60" t="s">
        <v>57</v>
      </c>
      <c r="G60" s="4">
        <f ca="1">EDATE(I60,-12)</f>
        <v>44756</v>
      </c>
      <c r="H60" t="s">
        <v>58</v>
      </c>
      <c r="I60" s="44">
        <f ca="1">TODAY()</f>
        <v>45121</v>
      </c>
      <c r="J60" t="s">
        <v>59</v>
      </c>
      <c r="K60">
        <v>366</v>
      </c>
      <c r="L60" t="s">
        <v>60</v>
      </c>
      <c r="M60" t="s">
        <v>61</v>
      </c>
      <c r="N60" t="s">
        <v>62</v>
      </c>
      <c r="O60" t="s">
        <v>63</v>
      </c>
      <c r="P60" t="s">
        <v>64</v>
      </c>
      <c r="Q60">
        <v>2</v>
      </c>
      <c r="R60" t="s">
        <v>65</v>
      </c>
      <c r="S60" t="s">
        <v>66</v>
      </c>
    </row>
    <row r="61" spans="5:72" hidden="1" x14ac:dyDescent="0.25">
      <c r="F61" t="str">
        <f>$B$67</f>
        <v>LME:ADY</v>
      </c>
      <c r="G61" t="str">
        <f>$B$68</f>
        <v>LME:AAY</v>
      </c>
      <c r="H61" t="str">
        <f>$B$69</f>
        <v>LME:NAY</v>
      </c>
      <c r="I61" s="17" t="str">
        <f>$B$70</f>
        <v>LME:CDY</v>
      </c>
      <c r="J61" t="str">
        <f>$B$71</f>
        <v>LME:NDY</v>
      </c>
      <c r="K61" t="str">
        <f>$B$72</f>
        <v>LME:PDY</v>
      </c>
      <c r="L61" t="str">
        <f>$B$73</f>
        <v>LME:SDY</v>
      </c>
      <c r="M61" t="str">
        <f>$B$74</f>
        <v>LME:ZDY</v>
      </c>
    </row>
    <row r="62" spans="5:72" hidden="1" x14ac:dyDescent="0.25">
      <c r="E62" t="str">
        <f ca="1">_xll.IMDH("FRN",$F$61,E63:F63,$G$60,$I$60,$K$60,"Per="&amp;$M$60&amp;",sort="&amp;$O$60&amp;",real=true,Bizday="&amp;$Q$60&amp;",Quote="&amp;$S$60&amp;",Pos=40,Orient=V,Title="&amp;$F$64&amp;",DtFmt=1,TmFmt=1,unit=true")</f>
        <v>ALUMINIUM</v>
      </c>
      <c r="G62" t="str">
        <f ca="1">_xll.IMDH("FRN",$G$61,F63,$G$60,$I$60,$K$60,"Per="&amp;$M$60&amp;",sort="&amp;$O$60&amp;",real=true,Bizday="&amp;$Q$60&amp;",Quote="&amp;$S$60&amp;",Pos=40,Orient=V,Title="&amp;$G$64&amp;",DtFmt=1,TmFmt=1,unit=true")</f>
        <v>ALUMINIUM ALLOY</v>
      </c>
      <c r="H62" t="str">
        <f ca="1">_xll.IMDH("FRN",$H$61,$F$63,$G$60,$I$60,$K$60,"Per="&amp;$M$60&amp;",sort="&amp;$O$60&amp;",real=true,Bizday="&amp;$Q$60&amp;",Quote="&amp;$S$60&amp;",Pos=40,Orient=V,Title="&amp;$H$64&amp;",DtFmt=1,TmFmt=1,unit=true")</f>
        <v>NA ALUMINIUM</v>
      </c>
      <c r="I62" s="17" t="str">
        <f ca="1">_xll.IMDH("FRN",$I$61,$F$63,$G$60,$I$60,$K$60,"Per="&amp;$M$60&amp;",sort="&amp;$O$60&amp;",real=true,Bizday="&amp;$Q$60&amp;",Quote="&amp;$S$60&amp;",Pos=40,Orient=V,Title="&amp;$I$64&amp;",DtFmt=1,TmFmt=1,unit=true")</f>
        <v>COPPER(R)</v>
      </c>
      <c r="J62" t="str">
        <f ca="1">_xll.IMDH("FRN",$J$61,$F$63,$G$60,$I$60,$K$60,"Per="&amp;$M$60&amp;",sort="&amp;$O$60&amp;",real=true,Bizday="&amp;$Q$60&amp;",Quote="&amp;$S$60&amp;",Pos=40,Orient=V,Title="&amp;$J$64&amp;",DtFmt=1,TmFmt=1,unit=true")</f>
        <v>NIKEL(R)</v>
      </c>
      <c r="K62" t="str">
        <f ca="1">_xll.IMDH("FRN",$K$61,$F$63,$G$60,$I$60,$K$60,"Per="&amp;$M$60&amp;",sort="&amp;$O$60&amp;",real=true,Bizday="&amp;$Q$60&amp;",Quote="&amp;$S$60&amp;",Pos=40,Orient=V,Title="&amp;$K$64&amp;",DtFmt=1,TmFmt=1,unit=true")</f>
        <v>LEAD</v>
      </c>
      <c r="L62" t="str">
        <f ca="1">_xll.IMDH("FRN",$L$61,$F$63,$G$60,$I$60,$K$60,"Per="&amp;$M$60&amp;",sort="&amp;$O$60&amp;",real=true,Bizday="&amp;$Q$60&amp;",Quote="&amp;$S$60&amp;",Pos=40,Orient=V,Title="&amp;$L$64&amp;",DtFmt=1,TmFmt=1,unit=true")</f>
        <v>TIN(R)</v>
      </c>
      <c r="M62" t="str">
        <f ca="1">_xll.IMDH("FRN",$M$61,$F$63,$G$60,$I$60,$K$60,"Per="&amp;$M$60&amp;",sort="&amp;$O$60&amp;",real=true,Bizday="&amp;$Q$60&amp;",Quote="&amp;$S$60&amp;",Pos=40,Orient=V,Title="&amp;$M$64&amp;",DtFmt=1,TmFmt=1,unit=true")</f>
        <v>ZINC</v>
      </c>
    </row>
    <row r="63" spans="5:72" hidden="1" x14ac:dyDescent="0.25">
      <c r="E63" t="s">
        <v>92</v>
      </c>
      <c r="F63" t="s">
        <v>93</v>
      </c>
    </row>
    <row r="64" spans="5:72" hidden="1" x14ac:dyDescent="0.25">
      <c r="E64" t="s">
        <v>94</v>
      </c>
      <c r="F64" t="s">
        <v>95</v>
      </c>
      <c r="G64" t="s">
        <v>96</v>
      </c>
      <c r="H64" t="s">
        <v>97</v>
      </c>
      <c r="I64" s="17" t="s">
        <v>98</v>
      </c>
      <c r="J64" t="s">
        <v>99</v>
      </c>
      <c r="K64" t="s">
        <v>100</v>
      </c>
      <c r="L64" t="s">
        <v>101</v>
      </c>
      <c r="M64" t="s">
        <v>102</v>
      </c>
    </row>
    <row r="65" spans="1:13" hidden="1" x14ac:dyDescent="0.25">
      <c r="F65" t="str">
        <f>S10</f>
        <v>CASH</v>
      </c>
      <c r="G65" t="str">
        <f>T10</f>
        <v>CASH</v>
      </c>
      <c r="H65" t="str">
        <f t="shared" ref="H65:M65" si="0">U10</f>
        <v>CASH</v>
      </c>
      <c r="I65" s="17" t="str">
        <f t="shared" si="0"/>
        <v>CASH</v>
      </c>
      <c r="J65" t="str">
        <f t="shared" si="0"/>
        <v>CASH</v>
      </c>
      <c r="K65" t="str">
        <f t="shared" si="0"/>
        <v>CASH</v>
      </c>
      <c r="L65" t="str">
        <f t="shared" si="0"/>
        <v>CASH</v>
      </c>
      <c r="M65" t="str">
        <f t="shared" si="0"/>
        <v>CASH</v>
      </c>
    </row>
    <row r="66" spans="1:13" hidden="1" x14ac:dyDescent="0.25">
      <c r="E66" s="4">
        <v>45121</v>
      </c>
    </row>
    <row r="67" spans="1:13" hidden="1" x14ac:dyDescent="0.25">
      <c r="A67">
        <f>MATCH($S$10,$F$11:$F$16,0)</f>
        <v>1</v>
      </c>
      <c r="B67" t="str">
        <f>INDEX($F$11:$G$16,$A$67,2)</f>
        <v>LME:ADY</v>
      </c>
      <c r="E67" s="4">
        <v>45120</v>
      </c>
      <c r="F67">
        <v>2237.25</v>
      </c>
      <c r="G67">
        <v>1798</v>
      </c>
      <c r="H67">
        <v>2411.75</v>
      </c>
      <c r="I67" s="17">
        <v>8687</v>
      </c>
      <c r="J67">
        <v>21082</v>
      </c>
      <c r="K67">
        <v>2126.5</v>
      </c>
      <c r="L67">
        <v>29104</v>
      </c>
      <c r="M67">
        <v>2460.25</v>
      </c>
    </row>
    <row r="68" spans="1:13" hidden="1" x14ac:dyDescent="0.25">
      <c r="A68">
        <f>MATCH($T$10,$F$17:$F$21,0)</f>
        <v>1</v>
      </c>
      <c r="B68" t="str">
        <f>INDEX($F$17:$G$21,$A$68,2)</f>
        <v>LME:AAY</v>
      </c>
      <c r="E68" s="4">
        <v>45119</v>
      </c>
      <c r="F68">
        <v>2195</v>
      </c>
      <c r="G68">
        <v>1796.25</v>
      </c>
      <c r="H68">
        <v>2411.5</v>
      </c>
      <c r="I68" s="17">
        <v>8488.75</v>
      </c>
      <c r="J68">
        <v>21464.5</v>
      </c>
      <c r="K68">
        <v>2091.2600000000002</v>
      </c>
      <c r="L68">
        <v>29379</v>
      </c>
      <c r="M68">
        <v>2411</v>
      </c>
    </row>
    <row r="69" spans="1:13" hidden="1" x14ac:dyDescent="0.25">
      <c r="A69">
        <f>MATCH($U$10,$F$22:$F$24,0)</f>
        <v>1</v>
      </c>
      <c r="B69" t="str">
        <f>INDEX($F$22:$G$24,$A$69,2)</f>
        <v>LME:NAY</v>
      </c>
      <c r="E69" s="4">
        <v>45118</v>
      </c>
      <c r="F69">
        <v>2123.4699999999998</v>
      </c>
      <c r="G69">
        <v>1846</v>
      </c>
      <c r="H69">
        <v>2411.75</v>
      </c>
      <c r="I69" s="17">
        <v>8305</v>
      </c>
      <c r="J69">
        <v>20501</v>
      </c>
      <c r="K69">
        <v>2056.75</v>
      </c>
      <c r="L69">
        <v>28316</v>
      </c>
      <c r="M69">
        <v>2340.89</v>
      </c>
    </row>
    <row r="70" spans="1:13" hidden="1" x14ac:dyDescent="0.25">
      <c r="A70">
        <f>MATCH($V$10,$F$25:$F$30,0)</f>
        <v>1</v>
      </c>
      <c r="B70" t="str">
        <f>INDEX($F$25:$G$30,$A$70,2)</f>
        <v>LME:CDY</v>
      </c>
      <c r="E70" s="4">
        <v>45117</v>
      </c>
      <c r="F70">
        <v>2098.09</v>
      </c>
      <c r="G70">
        <v>1896</v>
      </c>
      <c r="H70">
        <v>2411.75</v>
      </c>
      <c r="I70" s="17">
        <v>8356.49</v>
      </c>
      <c r="J70">
        <v>20816</v>
      </c>
      <c r="K70">
        <v>2061.75</v>
      </c>
      <c r="L70">
        <v>28435</v>
      </c>
      <c r="M70">
        <v>2335</v>
      </c>
    </row>
    <row r="71" spans="1:13" hidden="1" x14ac:dyDescent="0.25">
      <c r="A71">
        <f>MATCH($W$10,$F$31:$F$36,0)</f>
        <v>1</v>
      </c>
      <c r="B71" t="str">
        <f>INDEX($F$31:$G$36,$A$71,2)</f>
        <v>LME:NDY</v>
      </c>
      <c r="E71" s="4">
        <v>45116</v>
      </c>
      <c r="F71">
        <v>2100</v>
      </c>
      <c r="G71">
        <v>1898</v>
      </c>
      <c r="H71">
        <v>2413</v>
      </c>
      <c r="I71" s="17">
        <v>8360.5</v>
      </c>
      <c r="J71">
        <v>20606</v>
      </c>
      <c r="K71">
        <v>2058.5500000000002</v>
      </c>
      <c r="L71">
        <v>28887</v>
      </c>
      <c r="M71">
        <v>2352.75</v>
      </c>
    </row>
    <row r="72" spans="1:13" hidden="1" x14ac:dyDescent="0.25">
      <c r="A72">
        <f>MATCH($X$10,$F$37:$F$42,0)</f>
        <v>1</v>
      </c>
      <c r="B72" t="str">
        <f>INDEX($F$37:$G$42,$A$72,2)</f>
        <v>LME:PDY</v>
      </c>
      <c r="E72" s="4">
        <v>45115</v>
      </c>
      <c r="F72">
        <v>2100</v>
      </c>
      <c r="G72">
        <v>1898</v>
      </c>
      <c r="H72">
        <v>2413</v>
      </c>
      <c r="I72" s="17">
        <v>8360.5</v>
      </c>
      <c r="J72">
        <v>20606</v>
      </c>
      <c r="K72">
        <v>2058.5500000000002</v>
      </c>
      <c r="L72">
        <v>28887</v>
      </c>
      <c r="M72">
        <v>2352.75</v>
      </c>
    </row>
    <row r="73" spans="1:13" hidden="1" x14ac:dyDescent="0.25">
      <c r="A73">
        <f>MATCH($Y$10,$F$43:$F$47,0)</f>
        <v>1</v>
      </c>
      <c r="B73" t="str">
        <f>INDEX($F$43:$G$47,$A$73,2)</f>
        <v>LME:SDY</v>
      </c>
      <c r="E73" s="4">
        <v>45114</v>
      </c>
      <c r="F73">
        <v>2100</v>
      </c>
      <c r="G73">
        <v>1898</v>
      </c>
      <c r="H73">
        <v>2413</v>
      </c>
      <c r="I73" s="17">
        <v>8360.5</v>
      </c>
      <c r="J73">
        <v>20606</v>
      </c>
      <c r="K73">
        <v>2058.5500000000002</v>
      </c>
      <c r="L73">
        <v>28887</v>
      </c>
      <c r="M73">
        <v>2352.75</v>
      </c>
    </row>
    <row r="74" spans="1:13" hidden="1" x14ac:dyDescent="0.25">
      <c r="A74">
        <f>MATCH($Z$10,$F$48:$F$53,0)</f>
        <v>1</v>
      </c>
      <c r="B74" t="str">
        <f>INDEX($F$48:$G$53,$A$74,2)</f>
        <v>LME:ZDY</v>
      </c>
      <c r="E74" s="4">
        <v>45113</v>
      </c>
      <c r="F74">
        <v>2084.0500000000002</v>
      </c>
      <c r="G74">
        <v>1954.25</v>
      </c>
      <c r="H74">
        <v>2412.75</v>
      </c>
      <c r="I74" s="17">
        <v>8246</v>
      </c>
      <c r="J74">
        <v>21023.5</v>
      </c>
      <c r="K74">
        <v>2058.25</v>
      </c>
      <c r="L74">
        <v>29246</v>
      </c>
      <c r="M74">
        <v>2356.75</v>
      </c>
    </row>
    <row r="75" spans="1:13" hidden="1" x14ac:dyDescent="0.25">
      <c r="E75" s="4">
        <v>45112</v>
      </c>
      <c r="F75">
        <v>2097.25</v>
      </c>
      <c r="G75">
        <v>1952.5</v>
      </c>
      <c r="H75">
        <v>2412.25</v>
      </c>
      <c r="I75" s="17">
        <v>8304</v>
      </c>
      <c r="J75">
        <v>21030.5</v>
      </c>
      <c r="K75">
        <v>2060.75</v>
      </c>
      <c r="L75">
        <v>28352</v>
      </c>
      <c r="M75">
        <v>2351</v>
      </c>
    </row>
    <row r="76" spans="1:13" hidden="1" x14ac:dyDescent="0.25">
      <c r="E76" s="4">
        <v>45111</v>
      </c>
      <c r="F76">
        <v>2123.2399999999998</v>
      </c>
      <c r="G76">
        <v>1952.5</v>
      </c>
      <c r="H76">
        <v>2412.25</v>
      </c>
      <c r="I76" s="17">
        <v>8346</v>
      </c>
      <c r="J76">
        <v>20334</v>
      </c>
      <c r="K76">
        <v>2111.25</v>
      </c>
      <c r="L76">
        <v>28100</v>
      </c>
      <c r="M76">
        <v>2403</v>
      </c>
    </row>
    <row r="77" spans="1:13" hidden="1" x14ac:dyDescent="0.25">
      <c r="E77" s="4">
        <v>45110</v>
      </c>
      <c r="F77">
        <v>2112.5</v>
      </c>
      <c r="G77">
        <v>1952.5</v>
      </c>
      <c r="H77">
        <v>2412.25</v>
      </c>
      <c r="I77" s="17">
        <v>8397</v>
      </c>
      <c r="J77">
        <v>20406</v>
      </c>
      <c r="K77">
        <v>2125.5</v>
      </c>
      <c r="L77">
        <v>28097</v>
      </c>
      <c r="M77">
        <v>2355.25</v>
      </c>
    </row>
    <row r="78" spans="1:13" hidden="1" x14ac:dyDescent="0.25">
      <c r="E78" s="4">
        <v>45109</v>
      </c>
      <c r="F78">
        <v>2110.5</v>
      </c>
      <c r="G78">
        <v>1955</v>
      </c>
      <c r="H78">
        <v>2413.75</v>
      </c>
      <c r="I78" s="17">
        <v>8322.0499999999993</v>
      </c>
      <c r="J78">
        <v>20346.13</v>
      </c>
      <c r="K78">
        <v>2143.5</v>
      </c>
      <c r="L78">
        <v>27462</v>
      </c>
      <c r="M78">
        <v>2382.25</v>
      </c>
    </row>
    <row r="79" spans="1:13" hidden="1" x14ac:dyDescent="0.25">
      <c r="E79" s="4">
        <v>45108</v>
      </c>
      <c r="F79">
        <v>2110.5</v>
      </c>
      <c r="G79">
        <v>1955</v>
      </c>
      <c r="H79">
        <v>2413.75</v>
      </c>
      <c r="I79" s="17">
        <v>8322.0499999999993</v>
      </c>
      <c r="J79">
        <v>20346.13</v>
      </c>
      <c r="K79">
        <v>2143.5</v>
      </c>
      <c r="L79">
        <v>27462</v>
      </c>
      <c r="M79">
        <v>2382.25</v>
      </c>
    </row>
    <row r="80" spans="1:13" hidden="1" x14ac:dyDescent="0.25">
      <c r="E80" s="4">
        <v>45107</v>
      </c>
      <c r="F80">
        <v>2110.5</v>
      </c>
      <c r="G80">
        <v>1955</v>
      </c>
      <c r="H80">
        <v>2413.75</v>
      </c>
      <c r="I80" s="17">
        <v>8322.0499999999993</v>
      </c>
      <c r="J80">
        <v>20346.13</v>
      </c>
      <c r="K80">
        <v>2143.5</v>
      </c>
      <c r="L80">
        <v>27462</v>
      </c>
      <c r="M80">
        <v>2382.25</v>
      </c>
    </row>
    <row r="81" spans="5:13" hidden="1" x14ac:dyDescent="0.25">
      <c r="E81" s="4">
        <v>45106</v>
      </c>
      <c r="F81">
        <v>2119.59</v>
      </c>
      <c r="G81">
        <v>1953.5</v>
      </c>
      <c r="H81">
        <v>2413.25</v>
      </c>
      <c r="I81" s="17">
        <v>8177</v>
      </c>
      <c r="J81">
        <v>20458</v>
      </c>
      <c r="K81">
        <v>2094.5</v>
      </c>
      <c r="L81">
        <v>26766</v>
      </c>
      <c r="M81">
        <v>2336</v>
      </c>
    </row>
    <row r="82" spans="5:13" hidden="1" x14ac:dyDescent="0.25">
      <c r="E82" s="4">
        <v>45105</v>
      </c>
      <c r="F82">
        <v>2132.1999999999998</v>
      </c>
      <c r="G82">
        <v>1951.75</v>
      </c>
      <c r="H82">
        <v>2413.25</v>
      </c>
      <c r="I82" s="17">
        <v>8259.5</v>
      </c>
      <c r="J82">
        <v>19856</v>
      </c>
      <c r="K82">
        <v>2120.5</v>
      </c>
      <c r="L82">
        <v>27231</v>
      </c>
      <c r="M82">
        <v>2340.5100000000002</v>
      </c>
    </row>
    <row r="83" spans="5:13" hidden="1" x14ac:dyDescent="0.25">
      <c r="E83" s="4">
        <v>45104</v>
      </c>
      <c r="F83">
        <v>2157.5</v>
      </c>
      <c r="G83">
        <v>1951.5</v>
      </c>
      <c r="H83">
        <v>2413.75</v>
      </c>
      <c r="I83" s="17">
        <v>8382</v>
      </c>
      <c r="J83">
        <v>20581</v>
      </c>
      <c r="K83">
        <v>2161.25</v>
      </c>
      <c r="L83">
        <v>27683</v>
      </c>
      <c r="M83">
        <v>2378.25</v>
      </c>
    </row>
    <row r="84" spans="5:13" hidden="1" x14ac:dyDescent="0.25">
      <c r="E84" s="4">
        <v>45103</v>
      </c>
      <c r="F84">
        <v>2110.5</v>
      </c>
      <c r="G84">
        <v>1951.25</v>
      </c>
      <c r="H84">
        <v>2414.25</v>
      </c>
      <c r="I84" s="17">
        <v>8422</v>
      </c>
      <c r="J84">
        <v>20090.5</v>
      </c>
      <c r="K84">
        <v>2124.5</v>
      </c>
      <c r="L84">
        <v>27059</v>
      </c>
      <c r="M84">
        <v>2318.25</v>
      </c>
    </row>
    <row r="85" spans="5:13" hidden="1" x14ac:dyDescent="0.25">
      <c r="E85" s="4">
        <v>45102</v>
      </c>
      <c r="F85">
        <v>2135.4</v>
      </c>
      <c r="G85">
        <v>1953</v>
      </c>
      <c r="H85">
        <v>2415.5</v>
      </c>
      <c r="I85" s="17">
        <v>8409.24</v>
      </c>
      <c r="J85">
        <v>21117</v>
      </c>
      <c r="K85">
        <v>2176.25</v>
      </c>
      <c r="L85">
        <v>28034</v>
      </c>
      <c r="M85">
        <v>2351.25</v>
      </c>
    </row>
    <row r="86" spans="5:13" hidden="1" x14ac:dyDescent="0.25">
      <c r="E86" s="4">
        <v>45101</v>
      </c>
      <c r="F86">
        <v>2135.4</v>
      </c>
      <c r="G86">
        <v>1953</v>
      </c>
      <c r="H86">
        <v>2415.5</v>
      </c>
      <c r="I86" s="17">
        <v>8409.24</v>
      </c>
      <c r="J86">
        <v>21117</v>
      </c>
      <c r="K86">
        <v>2176.25</v>
      </c>
      <c r="L86">
        <v>28034</v>
      </c>
      <c r="M86">
        <v>2351.25</v>
      </c>
    </row>
    <row r="87" spans="5:13" hidden="1" x14ac:dyDescent="0.25">
      <c r="E87" s="4">
        <v>45100</v>
      </c>
      <c r="F87">
        <v>2135.4</v>
      </c>
      <c r="G87">
        <v>1953</v>
      </c>
      <c r="H87">
        <v>2415.5</v>
      </c>
      <c r="I87" s="17">
        <v>8409.24</v>
      </c>
      <c r="J87">
        <v>21117</v>
      </c>
      <c r="K87">
        <v>2176.25</v>
      </c>
      <c r="L87">
        <v>28034</v>
      </c>
      <c r="M87">
        <v>2351.25</v>
      </c>
    </row>
    <row r="88" spans="5:13" hidden="1" x14ac:dyDescent="0.25">
      <c r="E88" s="4">
        <v>45099</v>
      </c>
      <c r="F88">
        <v>2160.25</v>
      </c>
      <c r="G88">
        <v>1952.5</v>
      </c>
      <c r="H88">
        <v>2415.5</v>
      </c>
      <c r="I88" s="17">
        <v>8579.25</v>
      </c>
      <c r="J88">
        <v>21017.5</v>
      </c>
      <c r="K88">
        <v>2231</v>
      </c>
      <c r="L88">
        <v>28574</v>
      </c>
      <c r="M88">
        <v>2445</v>
      </c>
    </row>
    <row r="89" spans="5:13" hidden="1" x14ac:dyDescent="0.25">
      <c r="E89" s="4">
        <v>45098</v>
      </c>
      <c r="F89">
        <v>2181.75</v>
      </c>
      <c r="G89">
        <v>1951</v>
      </c>
      <c r="H89">
        <v>2415.5</v>
      </c>
      <c r="I89" s="17">
        <v>8606.25</v>
      </c>
      <c r="J89">
        <v>21066</v>
      </c>
      <c r="K89">
        <v>2272.5</v>
      </c>
      <c r="L89">
        <v>29015</v>
      </c>
      <c r="M89">
        <v>2406.4899999999998</v>
      </c>
    </row>
    <row r="90" spans="5:13" hidden="1" x14ac:dyDescent="0.25">
      <c r="E90" s="4">
        <v>45097</v>
      </c>
      <c r="F90">
        <v>2187.25</v>
      </c>
      <c r="G90">
        <v>1951</v>
      </c>
      <c r="H90">
        <v>2415.5</v>
      </c>
      <c r="I90" s="17">
        <v>8552.25</v>
      </c>
      <c r="J90">
        <v>21919</v>
      </c>
      <c r="K90">
        <v>2209</v>
      </c>
      <c r="L90">
        <v>28247</v>
      </c>
      <c r="M90">
        <v>2342.5</v>
      </c>
    </row>
    <row r="91" spans="5:13" hidden="1" x14ac:dyDescent="0.25">
      <c r="E91" s="4">
        <v>45096</v>
      </c>
      <c r="F91">
        <v>2196.75</v>
      </c>
      <c r="G91">
        <v>1951</v>
      </c>
      <c r="H91">
        <v>2415.5</v>
      </c>
      <c r="I91" s="17">
        <v>8546</v>
      </c>
      <c r="J91">
        <v>22401.99</v>
      </c>
      <c r="K91">
        <v>2186.25</v>
      </c>
      <c r="L91">
        <v>28260</v>
      </c>
      <c r="M91">
        <v>2421.5</v>
      </c>
    </row>
    <row r="92" spans="5:13" hidden="1" x14ac:dyDescent="0.25">
      <c r="E92" s="4">
        <v>45095</v>
      </c>
      <c r="F92">
        <v>2230.6999999999998</v>
      </c>
      <c r="G92">
        <v>1953</v>
      </c>
      <c r="H92">
        <v>2415</v>
      </c>
      <c r="I92" s="17">
        <v>8555</v>
      </c>
      <c r="J92">
        <v>22955.75</v>
      </c>
      <c r="K92">
        <v>2188.5</v>
      </c>
      <c r="L92">
        <v>28243.5</v>
      </c>
      <c r="M92">
        <v>2477.3000000000002</v>
      </c>
    </row>
    <row r="93" spans="5:13" hidden="1" x14ac:dyDescent="0.25">
      <c r="E93" s="4">
        <v>45094</v>
      </c>
      <c r="F93">
        <v>2230.6999999999998</v>
      </c>
      <c r="G93">
        <v>1953</v>
      </c>
      <c r="H93">
        <v>2415</v>
      </c>
      <c r="I93" s="17">
        <v>8555</v>
      </c>
      <c r="J93">
        <v>22955.75</v>
      </c>
      <c r="K93">
        <v>2188.5</v>
      </c>
      <c r="L93">
        <v>28243.5</v>
      </c>
      <c r="M93">
        <v>2477.3000000000002</v>
      </c>
    </row>
    <row r="94" spans="5:13" hidden="1" x14ac:dyDescent="0.25">
      <c r="E94" s="4">
        <v>45093</v>
      </c>
      <c r="F94">
        <v>2230.6999999999998</v>
      </c>
      <c r="G94">
        <v>1953</v>
      </c>
      <c r="H94">
        <v>2415</v>
      </c>
      <c r="I94" s="17">
        <v>8555</v>
      </c>
      <c r="J94">
        <v>22955.75</v>
      </c>
      <c r="K94">
        <v>2188.5</v>
      </c>
      <c r="L94">
        <v>28243.5</v>
      </c>
      <c r="M94">
        <v>2477.3000000000002</v>
      </c>
    </row>
    <row r="95" spans="5:13" hidden="1" x14ac:dyDescent="0.25">
      <c r="E95" s="4">
        <v>45092</v>
      </c>
      <c r="F95">
        <v>2212.75</v>
      </c>
      <c r="G95">
        <v>1953</v>
      </c>
      <c r="H95">
        <v>2415</v>
      </c>
      <c r="I95" s="17">
        <v>8555.99</v>
      </c>
      <c r="J95">
        <v>22901</v>
      </c>
      <c r="K95">
        <v>2161.5</v>
      </c>
      <c r="L95">
        <v>28659.5</v>
      </c>
      <c r="M95">
        <v>2480.5</v>
      </c>
    </row>
    <row r="96" spans="5:13" hidden="1" x14ac:dyDescent="0.25">
      <c r="E96" s="4">
        <v>45091</v>
      </c>
      <c r="F96">
        <v>2214.25</v>
      </c>
      <c r="G96">
        <v>1951</v>
      </c>
      <c r="H96">
        <v>2409</v>
      </c>
      <c r="I96" s="17">
        <v>8509.25</v>
      </c>
      <c r="J96">
        <v>22637.25</v>
      </c>
      <c r="K96">
        <v>2148</v>
      </c>
      <c r="L96">
        <v>27837</v>
      </c>
      <c r="M96">
        <v>2488</v>
      </c>
    </row>
    <row r="97" spans="5:13" hidden="1" x14ac:dyDescent="0.25">
      <c r="E97" s="4">
        <v>45090</v>
      </c>
      <c r="F97">
        <v>2194.25</v>
      </c>
      <c r="G97">
        <v>1950.5</v>
      </c>
      <c r="H97">
        <v>2407.75</v>
      </c>
      <c r="I97" s="17">
        <v>8450</v>
      </c>
      <c r="J97">
        <v>21880</v>
      </c>
      <c r="K97">
        <v>2111.5</v>
      </c>
      <c r="L97">
        <v>26521</v>
      </c>
      <c r="M97">
        <v>2383.5</v>
      </c>
    </row>
    <row r="98" spans="5:13" hidden="1" x14ac:dyDescent="0.25">
      <c r="E98" s="4">
        <v>45089</v>
      </c>
      <c r="F98">
        <v>2186.29</v>
      </c>
      <c r="G98">
        <v>1950.5</v>
      </c>
      <c r="H98">
        <v>2416.5</v>
      </c>
      <c r="I98" s="17">
        <v>8282</v>
      </c>
      <c r="J98">
        <v>20662</v>
      </c>
      <c r="K98">
        <v>2095</v>
      </c>
      <c r="L98">
        <v>26341</v>
      </c>
      <c r="M98">
        <v>2347.25</v>
      </c>
    </row>
    <row r="99" spans="5:13" hidden="1" x14ac:dyDescent="0.25">
      <c r="E99" s="4">
        <v>45088</v>
      </c>
      <c r="F99">
        <v>2229.0100000000002</v>
      </c>
      <c r="G99">
        <v>1952</v>
      </c>
      <c r="H99">
        <v>2416.25</v>
      </c>
      <c r="I99" s="17">
        <v>8349</v>
      </c>
      <c r="J99">
        <v>21031</v>
      </c>
      <c r="K99">
        <v>2074</v>
      </c>
      <c r="L99">
        <v>26977</v>
      </c>
      <c r="M99">
        <v>2401</v>
      </c>
    </row>
    <row r="100" spans="5:13" hidden="1" x14ac:dyDescent="0.25">
      <c r="E100" s="4">
        <v>45087</v>
      </c>
      <c r="F100">
        <v>2229.0100000000002</v>
      </c>
      <c r="G100">
        <v>1952</v>
      </c>
      <c r="H100">
        <v>2416.25</v>
      </c>
      <c r="I100" s="17">
        <v>8349</v>
      </c>
      <c r="J100">
        <v>21031</v>
      </c>
      <c r="K100">
        <v>2074</v>
      </c>
      <c r="L100">
        <v>26977</v>
      </c>
      <c r="M100">
        <v>2401</v>
      </c>
    </row>
    <row r="101" spans="5:13" hidden="1" x14ac:dyDescent="0.25">
      <c r="E101" s="4">
        <v>45086</v>
      </c>
      <c r="F101">
        <v>2229.0100000000002</v>
      </c>
      <c r="G101">
        <v>1952</v>
      </c>
      <c r="H101">
        <v>2416.25</v>
      </c>
      <c r="I101" s="17">
        <v>8349</v>
      </c>
      <c r="J101">
        <v>21031</v>
      </c>
      <c r="K101">
        <v>2074</v>
      </c>
      <c r="L101">
        <v>26977</v>
      </c>
      <c r="M101">
        <v>2401</v>
      </c>
    </row>
    <row r="102" spans="5:13" hidden="1" x14ac:dyDescent="0.25">
      <c r="E102" s="4">
        <v>45085</v>
      </c>
      <c r="F102">
        <v>2215.5</v>
      </c>
      <c r="G102">
        <v>1951.5</v>
      </c>
      <c r="H102">
        <v>2414.5</v>
      </c>
      <c r="I102" s="17">
        <v>8336</v>
      </c>
      <c r="J102">
        <v>21011</v>
      </c>
      <c r="K102">
        <v>2052</v>
      </c>
      <c r="L102">
        <v>26244</v>
      </c>
      <c r="M102">
        <v>2407</v>
      </c>
    </row>
    <row r="103" spans="5:13" hidden="1" x14ac:dyDescent="0.25">
      <c r="E103" s="4">
        <v>45084</v>
      </c>
      <c r="F103">
        <v>2174.25</v>
      </c>
      <c r="G103">
        <v>1950</v>
      </c>
      <c r="H103">
        <v>2409.75</v>
      </c>
      <c r="I103" s="17">
        <v>8292.1</v>
      </c>
      <c r="J103">
        <v>21309</v>
      </c>
      <c r="K103">
        <v>2049.75</v>
      </c>
      <c r="L103">
        <v>26092</v>
      </c>
      <c r="M103">
        <v>2399.1</v>
      </c>
    </row>
    <row r="104" spans="5:13" hidden="1" x14ac:dyDescent="0.25">
      <c r="E104" s="4">
        <v>45083</v>
      </c>
      <c r="F104">
        <v>2165.4299999999998</v>
      </c>
      <c r="G104">
        <v>1950</v>
      </c>
      <c r="H104">
        <v>2407.75</v>
      </c>
      <c r="I104" s="17">
        <v>8334</v>
      </c>
      <c r="J104">
        <v>20846</v>
      </c>
      <c r="K104">
        <v>2034.5</v>
      </c>
      <c r="L104">
        <v>26063</v>
      </c>
      <c r="M104">
        <v>2322.5</v>
      </c>
    </row>
    <row r="105" spans="5:13" hidden="1" x14ac:dyDescent="0.25">
      <c r="E105" s="4">
        <v>45082</v>
      </c>
      <c r="F105">
        <v>2202</v>
      </c>
      <c r="G105">
        <v>1950</v>
      </c>
      <c r="H105">
        <v>2406.25</v>
      </c>
      <c r="I105" s="17">
        <v>8331.01</v>
      </c>
      <c r="J105">
        <v>20770</v>
      </c>
      <c r="K105">
        <v>2035.5</v>
      </c>
      <c r="L105">
        <v>25896</v>
      </c>
      <c r="M105">
        <v>2280.5</v>
      </c>
    </row>
    <row r="106" spans="5:13" hidden="1" x14ac:dyDescent="0.25">
      <c r="E106" s="4">
        <v>45081</v>
      </c>
      <c r="F106">
        <v>2234.21</v>
      </c>
      <c r="G106">
        <v>1951.5</v>
      </c>
      <c r="H106">
        <v>2406</v>
      </c>
      <c r="I106" s="17">
        <v>8233.5</v>
      </c>
      <c r="J106">
        <v>21091</v>
      </c>
      <c r="K106">
        <v>2038.5</v>
      </c>
      <c r="L106">
        <v>25889.99</v>
      </c>
      <c r="M106">
        <v>2301</v>
      </c>
    </row>
    <row r="107" spans="5:13" hidden="1" x14ac:dyDescent="0.25">
      <c r="E107" s="4">
        <v>45080</v>
      </c>
      <c r="F107">
        <v>2234.21</v>
      </c>
      <c r="G107">
        <v>1951.5</v>
      </c>
      <c r="H107">
        <v>2406</v>
      </c>
      <c r="I107" s="17">
        <v>8233.5</v>
      </c>
      <c r="J107">
        <v>21091</v>
      </c>
      <c r="K107">
        <v>2038.5</v>
      </c>
      <c r="L107">
        <v>25889.99</v>
      </c>
      <c r="M107">
        <v>2301</v>
      </c>
    </row>
    <row r="108" spans="5:13" hidden="1" x14ac:dyDescent="0.25">
      <c r="E108" s="4">
        <v>45079</v>
      </c>
      <c r="F108">
        <v>2234.21</v>
      </c>
      <c r="G108">
        <v>1951.5</v>
      </c>
      <c r="H108">
        <v>2406</v>
      </c>
      <c r="I108" s="17">
        <v>8233.5</v>
      </c>
      <c r="J108">
        <v>21091</v>
      </c>
      <c r="K108">
        <v>2038.5</v>
      </c>
      <c r="L108">
        <v>25889.99</v>
      </c>
      <c r="M108">
        <v>2301</v>
      </c>
    </row>
    <row r="109" spans="5:13" hidden="1" x14ac:dyDescent="0.25">
      <c r="E109" s="4">
        <v>45078</v>
      </c>
      <c r="F109">
        <v>2314.25</v>
      </c>
      <c r="G109">
        <v>1951</v>
      </c>
      <c r="H109">
        <v>2454.5</v>
      </c>
      <c r="I109" s="17">
        <v>8240</v>
      </c>
      <c r="J109">
        <v>21185</v>
      </c>
      <c r="K109">
        <v>1995.5</v>
      </c>
      <c r="L109">
        <v>25672</v>
      </c>
      <c r="M109">
        <v>2250.25</v>
      </c>
    </row>
    <row r="110" spans="5:13" hidden="1" x14ac:dyDescent="0.25">
      <c r="E110" s="4">
        <v>45077</v>
      </c>
      <c r="F110">
        <v>2286.5</v>
      </c>
      <c r="G110">
        <v>1950</v>
      </c>
      <c r="H110">
        <v>2450</v>
      </c>
      <c r="I110" s="17">
        <v>8070</v>
      </c>
      <c r="J110">
        <v>20433</v>
      </c>
      <c r="K110">
        <v>2011.53</v>
      </c>
      <c r="L110">
        <v>25700.91</v>
      </c>
      <c r="M110">
        <v>2229.75</v>
      </c>
    </row>
    <row r="111" spans="5:13" hidden="1" x14ac:dyDescent="0.25">
      <c r="E111" s="4">
        <v>45076</v>
      </c>
      <c r="F111">
        <v>2251.5100000000002</v>
      </c>
      <c r="G111">
        <v>1950</v>
      </c>
      <c r="H111">
        <v>2498.75</v>
      </c>
      <c r="I111" s="17">
        <v>8103</v>
      </c>
      <c r="J111">
        <v>20865.5</v>
      </c>
      <c r="K111">
        <v>2064.75</v>
      </c>
      <c r="L111">
        <v>25867</v>
      </c>
      <c r="M111">
        <v>2287.77</v>
      </c>
    </row>
    <row r="112" spans="5:13" hidden="1" x14ac:dyDescent="0.25">
      <c r="E112" s="4">
        <v>45075</v>
      </c>
      <c r="F112">
        <v>2245.5</v>
      </c>
      <c r="G112">
        <v>1952</v>
      </c>
      <c r="H112">
        <v>2548.5</v>
      </c>
      <c r="I112" s="17">
        <v>8106</v>
      </c>
      <c r="J112">
        <v>21034.5</v>
      </c>
      <c r="K112">
        <v>2078.25</v>
      </c>
      <c r="L112">
        <v>25214</v>
      </c>
      <c r="M112">
        <v>2329.25</v>
      </c>
    </row>
    <row r="113" spans="5:13" hidden="1" x14ac:dyDescent="0.25">
      <c r="E113" s="4">
        <v>45074</v>
      </c>
      <c r="F113">
        <v>2245.5</v>
      </c>
      <c r="G113">
        <v>1952</v>
      </c>
      <c r="H113">
        <v>2548.5</v>
      </c>
      <c r="I113" s="17">
        <v>8106</v>
      </c>
      <c r="J113">
        <v>21034.5</v>
      </c>
      <c r="K113">
        <v>2078.25</v>
      </c>
      <c r="L113">
        <v>25214</v>
      </c>
      <c r="M113">
        <v>2329.25</v>
      </c>
    </row>
    <row r="114" spans="5:13" hidden="1" x14ac:dyDescent="0.25">
      <c r="E114" s="4">
        <v>45073</v>
      </c>
      <c r="F114">
        <v>2245.5</v>
      </c>
      <c r="G114">
        <v>1952</v>
      </c>
      <c r="H114">
        <v>2548.5</v>
      </c>
      <c r="I114" s="17">
        <v>8106</v>
      </c>
      <c r="J114">
        <v>21034.5</v>
      </c>
      <c r="K114">
        <v>2078.25</v>
      </c>
      <c r="L114">
        <v>25214</v>
      </c>
      <c r="M114">
        <v>2329.25</v>
      </c>
    </row>
    <row r="115" spans="5:13" hidden="1" x14ac:dyDescent="0.25">
      <c r="E115" s="4">
        <v>45072</v>
      </c>
      <c r="F115">
        <v>2245.5</v>
      </c>
      <c r="G115">
        <v>1952</v>
      </c>
      <c r="H115">
        <v>2548.5</v>
      </c>
      <c r="I115" s="17">
        <v>8106</v>
      </c>
      <c r="J115">
        <v>21034.5</v>
      </c>
      <c r="K115">
        <v>2078.25</v>
      </c>
      <c r="L115">
        <v>25214</v>
      </c>
      <c r="M115">
        <v>2329.25</v>
      </c>
    </row>
    <row r="116" spans="5:13" hidden="1" x14ac:dyDescent="0.25">
      <c r="E116" s="4">
        <v>45071</v>
      </c>
      <c r="F116">
        <v>2244.75</v>
      </c>
      <c r="G116">
        <v>1951.5</v>
      </c>
      <c r="H116">
        <v>2546.75</v>
      </c>
      <c r="I116" s="17">
        <v>7914.75</v>
      </c>
      <c r="J116">
        <v>21053.5</v>
      </c>
      <c r="K116">
        <v>2073</v>
      </c>
      <c r="L116">
        <v>24803</v>
      </c>
      <c r="M116">
        <v>2259</v>
      </c>
    </row>
    <row r="117" spans="5:13" hidden="1" x14ac:dyDescent="0.25">
      <c r="E117" s="4">
        <v>45070</v>
      </c>
      <c r="F117">
        <v>2211.1799999999998</v>
      </c>
      <c r="G117">
        <v>1949.5</v>
      </c>
      <c r="H117">
        <v>2540.5</v>
      </c>
      <c r="I117" s="17">
        <v>7851.75</v>
      </c>
      <c r="J117">
        <v>20522</v>
      </c>
      <c r="K117">
        <v>2046.75</v>
      </c>
      <c r="L117">
        <v>24127.01</v>
      </c>
      <c r="M117">
        <v>2305.25</v>
      </c>
    </row>
    <row r="118" spans="5:13" hidden="1" x14ac:dyDescent="0.25">
      <c r="E118" s="4">
        <v>45069</v>
      </c>
      <c r="F118">
        <v>2202.6</v>
      </c>
      <c r="G118">
        <v>1949.5</v>
      </c>
      <c r="H118">
        <v>2539</v>
      </c>
      <c r="I118" s="17">
        <v>8035.74</v>
      </c>
      <c r="J118">
        <v>20838</v>
      </c>
      <c r="K118">
        <v>2071.5</v>
      </c>
      <c r="L118">
        <v>24454.99</v>
      </c>
      <c r="M118">
        <v>2367.5</v>
      </c>
    </row>
    <row r="119" spans="5:13" hidden="1" x14ac:dyDescent="0.25">
      <c r="E119" s="4">
        <v>45068</v>
      </c>
      <c r="F119">
        <v>2253.25</v>
      </c>
      <c r="G119">
        <v>1949.5</v>
      </c>
      <c r="H119">
        <v>2537.75</v>
      </c>
      <c r="I119" s="17">
        <v>8061.53</v>
      </c>
      <c r="J119">
        <v>21273</v>
      </c>
      <c r="K119">
        <v>2092</v>
      </c>
      <c r="L119">
        <v>25115</v>
      </c>
      <c r="M119">
        <v>2426</v>
      </c>
    </row>
    <row r="120" spans="5:13" hidden="1" x14ac:dyDescent="0.25">
      <c r="E120" s="4">
        <v>45067</v>
      </c>
      <c r="F120">
        <v>2290</v>
      </c>
      <c r="G120">
        <v>1951</v>
      </c>
      <c r="H120">
        <v>2537</v>
      </c>
      <c r="I120" s="17">
        <v>8201</v>
      </c>
      <c r="J120">
        <v>21171</v>
      </c>
      <c r="K120">
        <v>2104.61</v>
      </c>
      <c r="L120">
        <v>25651</v>
      </c>
      <c r="M120">
        <v>2476.5</v>
      </c>
    </row>
    <row r="121" spans="5:13" hidden="1" x14ac:dyDescent="0.25">
      <c r="E121" s="4">
        <v>45066</v>
      </c>
      <c r="F121">
        <v>2290</v>
      </c>
      <c r="G121">
        <v>1951</v>
      </c>
      <c r="H121">
        <v>2537</v>
      </c>
      <c r="I121" s="17">
        <v>8201</v>
      </c>
      <c r="J121">
        <v>21171</v>
      </c>
      <c r="K121">
        <v>2104.61</v>
      </c>
      <c r="L121">
        <v>25651</v>
      </c>
      <c r="M121">
        <v>2476.5</v>
      </c>
    </row>
    <row r="122" spans="5:13" hidden="1" x14ac:dyDescent="0.25">
      <c r="E122" s="4">
        <v>45065</v>
      </c>
      <c r="F122">
        <v>2290</v>
      </c>
      <c r="G122">
        <v>1951</v>
      </c>
      <c r="H122">
        <v>2537</v>
      </c>
      <c r="I122" s="17">
        <v>8201</v>
      </c>
      <c r="J122">
        <v>21171</v>
      </c>
      <c r="K122">
        <v>2104.61</v>
      </c>
      <c r="L122">
        <v>25651</v>
      </c>
      <c r="M122">
        <v>2476.5</v>
      </c>
    </row>
    <row r="123" spans="5:13" hidden="1" x14ac:dyDescent="0.25">
      <c r="E123" s="4">
        <v>45064</v>
      </c>
      <c r="F123">
        <v>2291.75</v>
      </c>
      <c r="G123">
        <v>1950.5</v>
      </c>
      <c r="H123">
        <v>2534.75</v>
      </c>
      <c r="I123" s="17">
        <v>8128.48</v>
      </c>
      <c r="J123">
        <v>20812.25</v>
      </c>
      <c r="K123">
        <v>2061.25</v>
      </c>
      <c r="L123">
        <v>25247</v>
      </c>
      <c r="M123">
        <v>2450</v>
      </c>
    </row>
    <row r="124" spans="5:13" hidden="1" x14ac:dyDescent="0.25">
      <c r="E124" s="4">
        <v>45063</v>
      </c>
      <c r="F124">
        <v>2308.5500000000002</v>
      </c>
      <c r="G124">
        <v>1949</v>
      </c>
      <c r="H124">
        <v>2530</v>
      </c>
      <c r="I124" s="17">
        <v>8262.75</v>
      </c>
      <c r="J124">
        <v>21215</v>
      </c>
      <c r="K124">
        <v>2051.1999999999998</v>
      </c>
      <c r="L124">
        <v>25077</v>
      </c>
      <c r="M124">
        <v>2518.75</v>
      </c>
    </row>
    <row r="125" spans="5:13" hidden="1" x14ac:dyDescent="0.25">
      <c r="E125" s="4">
        <v>45062</v>
      </c>
      <c r="F125">
        <v>2254.5</v>
      </c>
      <c r="G125">
        <v>1949</v>
      </c>
      <c r="H125">
        <v>2528.5</v>
      </c>
      <c r="I125" s="17">
        <v>8074.24</v>
      </c>
      <c r="J125">
        <v>20986</v>
      </c>
      <c r="K125">
        <v>2031.25</v>
      </c>
      <c r="L125">
        <v>24814</v>
      </c>
      <c r="M125">
        <v>2479.5</v>
      </c>
    </row>
    <row r="126" spans="5:13" hidden="1" x14ac:dyDescent="0.25">
      <c r="E126" s="4">
        <v>45061</v>
      </c>
      <c r="F126">
        <v>2263</v>
      </c>
      <c r="G126">
        <v>1949</v>
      </c>
      <c r="H126">
        <v>2527</v>
      </c>
      <c r="I126" s="17">
        <v>8218.25</v>
      </c>
      <c r="J126">
        <v>21484.75</v>
      </c>
      <c r="K126">
        <v>2057.5</v>
      </c>
      <c r="L126">
        <v>25314</v>
      </c>
      <c r="M126">
        <v>2517.5</v>
      </c>
    </row>
    <row r="127" spans="5:13" hidden="1" x14ac:dyDescent="0.25">
      <c r="E127" s="4">
        <v>45060</v>
      </c>
      <c r="F127">
        <v>2221.5</v>
      </c>
      <c r="G127">
        <v>1951.25</v>
      </c>
      <c r="H127">
        <v>2526.75</v>
      </c>
      <c r="I127" s="17">
        <v>8222.75</v>
      </c>
      <c r="J127">
        <v>22110</v>
      </c>
      <c r="K127">
        <v>2067.75</v>
      </c>
      <c r="L127">
        <v>25104</v>
      </c>
      <c r="M127">
        <v>2532.98</v>
      </c>
    </row>
    <row r="128" spans="5:13" hidden="1" x14ac:dyDescent="0.25">
      <c r="E128" s="4">
        <v>45059</v>
      </c>
      <c r="F128">
        <v>2221.5</v>
      </c>
      <c r="G128">
        <v>1951.25</v>
      </c>
      <c r="H128">
        <v>2526.75</v>
      </c>
      <c r="I128" s="17">
        <v>8222.75</v>
      </c>
      <c r="J128">
        <v>22110</v>
      </c>
      <c r="K128">
        <v>2067.75</v>
      </c>
      <c r="L128">
        <v>25104</v>
      </c>
      <c r="M128">
        <v>2532.98</v>
      </c>
    </row>
    <row r="129" spans="5:13" hidden="1" x14ac:dyDescent="0.25">
      <c r="E129" s="4">
        <v>45058</v>
      </c>
      <c r="F129">
        <v>2221.5</v>
      </c>
      <c r="G129">
        <v>1951.25</v>
      </c>
      <c r="H129">
        <v>2526.75</v>
      </c>
      <c r="I129" s="17">
        <v>8222.75</v>
      </c>
      <c r="J129">
        <v>22110</v>
      </c>
      <c r="K129">
        <v>2067.75</v>
      </c>
      <c r="L129">
        <v>25104</v>
      </c>
      <c r="M129">
        <v>2532.98</v>
      </c>
    </row>
    <row r="130" spans="5:13" hidden="1" x14ac:dyDescent="0.25">
      <c r="E130" s="4">
        <v>45057</v>
      </c>
      <c r="F130">
        <v>2196.6999999999998</v>
      </c>
      <c r="G130">
        <v>1950.5</v>
      </c>
      <c r="H130">
        <v>2525</v>
      </c>
      <c r="I130" s="17">
        <v>8133.2</v>
      </c>
      <c r="J130">
        <v>21703</v>
      </c>
      <c r="K130">
        <v>2100.1</v>
      </c>
      <c r="L130">
        <v>25616</v>
      </c>
      <c r="M130">
        <v>2532.2600000000002</v>
      </c>
    </row>
    <row r="131" spans="5:13" hidden="1" x14ac:dyDescent="0.25">
      <c r="E131" s="4">
        <v>45056</v>
      </c>
      <c r="F131">
        <v>2259.75</v>
      </c>
      <c r="G131">
        <v>1949</v>
      </c>
      <c r="H131">
        <v>2520.5</v>
      </c>
      <c r="I131" s="17">
        <v>8436.25</v>
      </c>
      <c r="J131">
        <v>22449</v>
      </c>
      <c r="K131">
        <v>2129.6999999999998</v>
      </c>
      <c r="L131">
        <v>26164</v>
      </c>
      <c r="M131">
        <v>2609.4</v>
      </c>
    </row>
    <row r="132" spans="5:13" hidden="1" x14ac:dyDescent="0.25">
      <c r="E132" s="4">
        <v>45055</v>
      </c>
      <c r="F132">
        <v>2315.5</v>
      </c>
      <c r="G132">
        <v>1949</v>
      </c>
      <c r="H132">
        <v>2519</v>
      </c>
      <c r="I132" s="17">
        <v>8562.25</v>
      </c>
      <c r="J132">
        <v>23409.5</v>
      </c>
      <c r="K132">
        <v>2132.14</v>
      </c>
      <c r="L132">
        <v>26310</v>
      </c>
      <c r="M132">
        <v>2664.3</v>
      </c>
    </row>
    <row r="133" spans="5:13" hidden="1" x14ac:dyDescent="0.25">
      <c r="E133" s="4">
        <v>45054</v>
      </c>
      <c r="F133">
        <v>2316.75</v>
      </c>
      <c r="G133">
        <v>1951.5</v>
      </c>
      <c r="H133">
        <v>2518.5</v>
      </c>
      <c r="I133" s="17">
        <v>8560.25</v>
      </c>
      <c r="J133">
        <v>24447.25</v>
      </c>
      <c r="K133">
        <v>2106.5</v>
      </c>
      <c r="L133">
        <v>26379</v>
      </c>
      <c r="M133">
        <v>2679.25</v>
      </c>
    </row>
    <row r="134" spans="5:13" hidden="1" x14ac:dyDescent="0.25">
      <c r="E134" s="4">
        <v>45053</v>
      </c>
      <c r="F134">
        <v>2316.75</v>
      </c>
      <c r="G134">
        <v>1951.5</v>
      </c>
      <c r="H134">
        <v>2518.5</v>
      </c>
      <c r="I134" s="17">
        <v>8560.25</v>
      </c>
      <c r="J134">
        <v>24447.25</v>
      </c>
      <c r="K134">
        <v>2106.5</v>
      </c>
      <c r="L134">
        <v>26379</v>
      </c>
      <c r="M134">
        <v>2679.25</v>
      </c>
    </row>
    <row r="135" spans="5:13" hidden="1" x14ac:dyDescent="0.25">
      <c r="E135" s="4">
        <v>45052</v>
      </c>
      <c r="F135">
        <v>2316.75</v>
      </c>
      <c r="G135">
        <v>1951.5</v>
      </c>
      <c r="H135">
        <v>2518.5</v>
      </c>
      <c r="I135" s="17">
        <v>8560.25</v>
      </c>
      <c r="J135">
        <v>24447.25</v>
      </c>
      <c r="K135">
        <v>2106.5</v>
      </c>
      <c r="L135">
        <v>26379</v>
      </c>
      <c r="M135">
        <v>2679.25</v>
      </c>
    </row>
    <row r="136" spans="5:13" hidden="1" x14ac:dyDescent="0.25">
      <c r="E136" s="4">
        <v>45051</v>
      </c>
      <c r="F136">
        <v>2316.75</v>
      </c>
      <c r="G136">
        <v>1951.5</v>
      </c>
      <c r="H136">
        <v>2518.5</v>
      </c>
      <c r="I136" s="17">
        <v>8560.25</v>
      </c>
      <c r="J136">
        <v>24447.25</v>
      </c>
      <c r="K136">
        <v>2106.5</v>
      </c>
      <c r="L136">
        <v>26379</v>
      </c>
      <c r="M136">
        <v>2679.25</v>
      </c>
    </row>
    <row r="137" spans="5:13" hidden="1" x14ac:dyDescent="0.25">
      <c r="E137" s="4">
        <v>45050</v>
      </c>
      <c r="F137">
        <v>2278.25</v>
      </c>
      <c r="G137">
        <v>1950.5</v>
      </c>
      <c r="H137">
        <v>2517</v>
      </c>
      <c r="I137" s="17">
        <v>8474.4</v>
      </c>
      <c r="J137">
        <v>23962</v>
      </c>
      <c r="K137">
        <v>2088</v>
      </c>
      <c r="L137">
        <v>25885</v>
      </c>
      <c r="M137">
        <v>2614.75</v>
      </c>
    </row>
    <row r="138" spans="5:13" hidden="1" x14ac:dyDescent="0.25">
      <c r="E138" s="4">
        <v>45049</v>
      </c>
      <c r="F138">
        <v>2312.9899999999998</v>
      </c>
      <c r="G138">
        <v>1948</v>
      </c>
      <c r="H138">
        <v>2511</v>
      </c>
      <c r="I138" s="17">
        <v>8442.75</v>
      </c>
      <c r="J138">
        <v>24689</v>
      </c>
      <c r="K138">
        <v>2127.75</v>
      </c>
      <c r="L138">
        <v>27062</v>
      </c>
      <c r="M138">
        <v>2623.25</v>
      </c>
    </row>
    <row r="139" spans="5:13" hidden="1" x14ac:dyDescent="0.25">
      <c r="E139" s="4">
        <v>45048</v>
      </c>
      <c r="F139">
        <v>2367.5100000000002</v>
      </c>
      <c r="G139">
        <v>1947.5</v>
      </c>
      <c r="H139">
        <v>2510</v>
      </c>
      <c r="I139" s="17">
        <v>8490</v>
      </c>
      <c r="J139">
        <v>24949.5</v>
      </c>
      <c r="K139">
        <v>2176.5</v>
      </c>
      <c r="L139">
        <v>26771</v>
      </c>
      <c r="M139">
        <v>2611</v>
      </c>
    </row>
    <row r="140" spans="5:13" hidden="1" x14ac:dyDescent="0.25">
      <c r="E140" s="4">
        <v>45047</v>
      </c>
      <c r="F140">
        <v>2368</v>
      </c>
      <c r="G140">
        <v>1950</v>
      </c>
      <c r="H140">
        <v>2510</v>
      </c>
      <c r="I140" s="17">
        <v>8577</v>
      </c>
      <c r="J140">
        <v>24210.5</v>
      </c>
      <c r="K140">
        <v>2173.5</v>
      </c>
      <c r="L140">
        <v>26398</v>
      </c>
      <c r="M140">
        <v>2650.5</v>
      </c>
    </row>
    <row r="141" spans="5:13" hidden="1" x14ac:dyDescent="0.25">
      <c r="E141" s="4">
        <v>45046</v>
      </c>
      <c r="F141">
        <v>2368</v>
      </c>
      <c r="G141">
        <v>1950</v>
      </c>
      <c r="H141">
        <v>2510</v>
      </c>
      <c r="I141" s="17">
        <v>8577</v>
      </c>
      <c r="J141">
        <v>24210.5</v>
      </c>
      <c r="K141">
        <v>2173.5</v>
      </c>
      <c r="L141">
        <v>26398</v>
      </c>
      <c r="M141">
        <v>2650.5</v>
      </c>
    </row>
    <row r="142" spans="5:13" hidden="1" x14ac:dyDescent="0.25">
      <c r="E142" s="4">
        <v>45045</v>
      </c>
      <c r="F142">
        <v>2368</v>
      </c>
      <c r="G142">
        <v>1950</v>
      </c>
      <c r="H142">
        <v>2510</v>
      </c>
      <c r="I142" s="17">
        <v>8577</v>
      </c>
      <c r="J142">
        <v>24210.5</v>
      </c>
      <c r="K142">
        <v>2173.5</v>
      </c>
      <c r="L142">
        <v>26398</v>
      </c>
      <c r="M142">
        <v>2650.5</v>
      </c>
    </row>
    <row r="143" spans="5:13" hidden="1" x14ac:dyDescent="0.25">
      <c r="E143" s="4">
        <v>45044</v>
      </c>
      <c r="F143">
        <v>2368</v>
      </c>
      <c r="G143">
        <v>1950</v>
      </c>
      <c r="H143">
        <v>2510</v>
      </c>
      <c r="I143" s="17">
        <v>8577</v>
      </c>
      <c r="J143">
        <v>24210.5</v>
      </c>
      <c r="K143">
        <v>2173.5</v>
      </c>
      <c r="L143">
        <v>26398</v>
      </c>
      <c r="M143">
        <v>2650.5</v>
      </c>
    </row>
    <row r="144" spans="5:13" hidden="1" x14ac:dyDescent="0.25">
      <c r="E144" s="4">
        <v>45043</v>
      </c>
      <c r="F144">
        <v>2308.5</v>
      </c>
      <c r="G144">
        <v>1950</v>
      </c>
      <c r="H144">
        <v>2509</v>
      </c>
      <c r="I144" s="17">
        <v>8569.5</v>
      </c>
      <c r="J144">
        <v>24062</v>
      </c>
      <c r="K144">
        <v>2121.85</v>
      </c>
      <c r="L144">
        <v>25935</v>
      </c>
      <c r="M144">
        <v>2621.25</v>
      </c>
    </row>
    <row r="145" spans="5:13" hidden="1" x14ac:dyDescent="0.25">
      <c r="E145" s="4">
        <v>45042</v>
      </c>
      <c r="F145">
        <v>2313.25</v>
      </c>
      <c r="G145">
        <v>1947.5</v>
      </c>
      <c r="H145">
        <v>2503</v>
      </c>
      <c r="I145" s="17">
        <v>8535.25</v>
      </c>
      <c r="J145">
        <v>23634</v>
      </c>
      <c r="K145">
        <v>2121.75</v>
      </c>
      <c r="L145">
        <v>25871</v>
      </c>
      <c r="M145">
        <v>2644.25</v>
      </c>
    </row>
    <row r="146" spans="5:13" hidden="1" x14ac:dyDescent="0.25">
      <c r="E146" s="4">
        <v>45041</v>
      </c>
      <c r="F146">
        <v>2323.4899999999998</v>
      </c>
      <c r="G146">
        <v>1947.5</v>
      </c>
      <c r="H146">
        <v>2502</v>
      </c>
      <c r="I146" s="17">
        <v>8506</v>
      </c>
      <c r="J146">
        <v>23266.99</v>
      </c>
      <c r="K146">
        <v>2130.7600000000002</v>
      </c>
      <c r="L146">
        <v>25717</v>
      </c>
      <c r="M146">
        <v>2592.75</v>
      </c>
    </row>
    <row r="147" spans="5:13" hidden="1" x14ac:dyDescent="0.25">
      <c r="E147" s="4">
        <v>45040</v>
      </c>
      <c r="F147">
        <v>2360.5</v>
      </c>
      <c r="G147">
        <v>1947</v>
      </c>
      <c r="H147">
        <v>2501</v>
      </c>
      <c r="I147" s="17">
        <v>8710</v>
      </c>
      <c r="J147">
        <v>24502.5</v>
      </c>
      <c r="K147">
        <v>2176.5</v>
      </c>
      <c r="L147">
        <v>26822.5</v>
      </c>
      <c r="M147">
        <v>2657.25</v>
      </c>
    </row>
    <row r="148" spans="5:13" hidden="1" x14ac:dyDescent="0.25">
      <c r="E148" s="4">
        <v>45039</v>
      </c>
      <c r="F148">
        <v>2385.5</v>
      </c>
      <c r="G148">
        <v>1948.5</v>
      </c>
      <c r="H148">
        <v>2500.5</v>
      </c>
      <c r="I148" s="17">
        <v>8778.5</v>
      </c>
      <c r="J148">
        <v>24394.5</v>
      </c>
      <c r="K148">
        <v>2196.25</v>
      </c>
      <c r="L148">
        <v>26779</v>
      </c>
      <c r="M148">
        <v>2704.75</v>
      </c>
    </row>
    <row r="149" spans="5:13" hidden="1" x14ac:dyDescent="0.25">
      <c r="E149" s="4">
        <v>45038</v>
      </c>
      <c r="F149">
        <v>2385.5</v>
      </c>
      <c r="G149">
        <v>1948.5</v>
      </c>
      <c r="H149">
        <v>2500.5</v>
      </c>
      <c r="I149" s="17">
        <v>8778.5</v>
      </c>
      <c r="J149">
        <v>24394.5</v>
      </c>
      <c r="K149">
        <v>2196.25</v>
      </c>
      <c r="L149">
        <v>26779</v>
      </c>
      <c r="M149">
        <v>2704.75</v>
      </c>
    </row>
    <row r="150" spans="5:13" hidden="1" x14ac:dyDescent="0.25">
      <c r="E150" s="4">
        <v>45037</v>
      </c>
      <c r="F150">
        <v>2385.5</v>
      </c>
      <c r="G150">
        <v>1948.5</v>
      </c>
      <c r="H150">
        <v>2500.5</v>
      </c>
      <c r="I150" s="17">
        <v>8778.5</v>
      </c>
      <c r="J150">
        <v>24394.5</v>
      </c>
      <c r="K150">
        <v>2196.25</v>
      </c>
      <c r="L150">
        <v>26779</v>
      </c>
      <c r="M150">
        <v>2704.75</v>
      </c>
    </row>
    <row r="151" spans="5:13" hidden="1" x14ac:dyDescent="0.25">
      <c r="E151" s="4">
        <v>45036</v>
      </c>
      <c r="F151">
        <v>2408.5</v>
      </c>
      <c r="G151">
        <v>1948.5</v>
      </c>
      <c r="H151">
        <v>2499.5</v>
      </c>
      <c r="I151" s="17">
        <v>8865.25</v>
      </c>
      <c r="J151">
        <v>24923</v>
      </c>
      <c r="K151">
        <v>2184</v>
      </c>
      <c r="L151">
        <v>27120</v>
      </c>
      <c r="M151">
        <v>2757.5</v>
      </c>
    </row>
    <row r="152" spans="5:13" hidden="1" x14ac:dyDescent="0.25">
      <c r="E152" s="4">
        <v>45035</v>
      </c>
      <c r="F152">
        <v>2427.4</v>
      </c>
      <c r="G152">
        <v>1947</v>
      </c>
      <c r="H152">
        <v>2495</v>
      </c>
      <c r="I152" s="17">
        <v>8947.75</v>
      </c>
      <c r="J152">
        <v>25420</v>
      </c>
      <c r="K152">
        <v>2178.5</v>
      </c>
      <c r="L152">
        <v>27275</v>
      </c>
      <c r="M152">
        <v>2782.25</v>
      </c>
    </row>
    <row r="153" spans="5:13" hidden="1" x14ac:dyDescent="0.25">
      <c r="E153" s="4">
        <v>45034</v>
      </c>
      <c r="F153">
        <v>2421</v>
      </c>
      <c r="G153">
        <v>1947</v>
      </c>
      <c r="H153">
        <v>2493.5</v>
      </c>
      <c r="I153" s="17">
        <v>9004.4</v>
      </c>
      <c r="J153">
        <v>25593</v>
      </c>
      <c r="K153">
        <v>2178</v>
      </c>
      <c r="L153">
        <v>28108</v>
      </c>
      <c r="M153">
        <v>2880</v>
      </c>
    </row>
    <row r="154" spans="5:13" hidden="1" x14ac:dyDescent="0.25">
      <c r="E154" s="4">
        <v>45033</v>
      </c>
      <c r="F154">
        <v>2366.75</v>
      </c>
      <c r="G154">
        <v>1947</v>
      </c>
      <c r="H154">
        <v>2492.5</v>
      </c>
      <c r="I154" s="17">
        <v>8962.9500000000007</v>
      </c>
      <c r="J154">
        <v>24635</v>
      </c>
      <c r="K154">
        <v>2138.25</v>
      </c>
      <c r="L154">
        <v>27586</v>
      </c>
      <c r="M154">
        <v>2848</v>
      </c>
    </row>
    <row r="155" spans="5:13" hidden="1" x14ac:dyDescent="0.25">
      <c r="E155" s="4">
        <v>45032</v>
      </c>
      <c r="F155">
        <v>2360.7600000000002</v>
      </c>
      <c r="G155">
        <v>1948.75</v>
      </c>
      <c r="H155">
        <v>2492.25</v>
      </c>
      <c r="I155" s="17">
        <v>9030.25</v>
      </c>
      <c r="J155">
        <v>24025</v>
      </c>
      <c r="K155">
        <v>2198</v>
      </c>
      <c r="L155">
        <v>24878</v>
      </c>
      <c r="M155">
        <v>2873.75</v>
      </c>
    </row>
    <row r="156" spans="5:13" hidden="1" x14ac:dyDescent="0.25">
      <c r="E156" s="4">
        <v>45031</v>
      </c>
      <c r="F156">
        <v>2360.7600000000002</v>
      </c>
      <c r="G156">
        <v>1948.75</v>
      </c>
      <c r="H156">
        <v>2492.25</v>
      </c>
      <c r="I156" s="17">
        <v>9030.25</v>
      </c>
      <c r="J156">
        <v>24025</v>
      </c>
      <c r="K156">
        <v>2198</v>
      </c>
      <c r="L156">
        <v>24878</v>
      </c>
      <c r="M156">
        <v>2873.75</v>
      </c>
    </row>
    <row r="157" spans="5:13" hidden="1" x14ac:dyDescent="0.25">
      <c r="E157" s="4">
        <v>45030</v>
      </c>
      <c r="F157">
        <v>2360.7600000000002</v>
      </c>
      <c r="G157">
        <v>1948.75</v>
      </c>
      <c r="H157">
        <v>2492.25</v>
      </c>
      <c r="I157" s="17">
        <v>9030.25</v>
      </c>
      <c r="J157">
        <v>24025</v>
      </c>
      <c r="K157">
        <v>2198</v>
      </c>
      <c r="L157">
        <v>24878</v>
      </c>
      <c r="M157">
        <v>2873.75</v>
      </c>
    </row>
    <row r="158" spans="5:13" hidden="1" x14ac:dyDescent="0.25">
      <c r="E158" s="4">
        <v>45029</v>
      </c>
      <c r="F158">
        <v>2331.5</v>
      </c>
      <c r="G158">
        <v>1949</v>
      </c>
      <c r="H158">
        <v>2465</v>
      </c>
      <c r="I158" s="17">
        <v>9065.75</v>
      </c>
      <c r="J158">
        <v>23549</v>
      </c>
      <c r="K158">
        <v>2178.5</v>
      </c>
      <c r="L158">
        <v>24462</v>
      </c>
      <c r="M158">
        <v>2854.5</v>
      </c>
    </row>
    <row r="159" spans="5:13" hidden="1" x14ac:dyDescent="0.25">
      <c r="E159" s="4">
        <v>45028</v>
      </c>
      <c r="F159">
        <v>2285.9499999999998</v>
      </c>
      <c r="G159">
        <v>1948</v>
      </c>
      <c r="H159">
        <v>2346</v>
      </c>
      <c r="I159" s="17">
        <v>8916.7999999999993</v>
      </c>
      <c r="J159">
        <v>23384</v>
      </c>
      <c r="K159">
        <v>2154.9</v>
      </c>
      <c r="L159">
        <v>23979</v>
      </c>
      <c r="M159">
        <v>2799.25</v>
      </c>
    </row>
    <row r="160" spans="5:13" hidden="1" x14ac:dyDescent="0.25">
      <c r="E160" s="4">
        <v>45027</v>
      </c>
      <c r="F160">
        <v>2257.75</v>
      </c>
      <c r="G160">
        <v>1948</v>
      </c>
      <c r="H160">
        <v>2345</v>
      </c>
      <c r="I160" s="17">
        <v>8851.5</v>
      </c>
      <c r="J160">
        <v>23264</v>
      </c>
      <c r="K160">
        <v>2104.5</v>
      </c>
      <c r="L160">
        <v>23687</v>
      </c>
      <c r="M160">
        <v>2770.5</v>
      </c>
    </row>
    <row r="161" spans="5:13" hidden="1" x14ac:dyDescent="0.25">
      <c r="E161" s="4">
        <v>45026</v>
      </c>
      <c r="F161">
        <v>2292.25</v>
      </c>
      <c r="G161">
        <v>1951.5</v>
      </c>
      <c r="H161">
        <v>2345</v>
      </c>
      <c r="I161" s="17">
        <v>8806.75</v>
      </c>
      <c r="J161">
        <v>22657</v>
      </c>
      <c r="K161">
        <v>2103.7399999999998</v>
      </c>
      <c r="L161">
        <v>24295</v>
      </c>
      <c r="M161">
        <v>2795.49</v>
      </c>
    </row>
    <row r="162" spans="5:13" hidden="1" x14ac:dyDescent="0.25">
      <c r="E162" s="4">
        <v>45025</v>
      </c>
      <c r="F162">
        <v>2292.25</v>
      </c>
      <c r="G162">
        <v>1951.5</v>
      </c>
      <c r="H162">
        <v>2345</v>
      </c>
      <c r="I162" s="17">
        <v>8806.75</v>
      </c>
      <c r="J162">
        <v>22657</v>
      </c>
      <c r="K162">
        <v>2103.7399999999998</v>
      </c>
      <c r="L162">
        <v>24295</v>
      </c>
      <c r="M162">
        <v>2795.49</v>
      </c>
    </row>
    <row r="163" spans="5:13" hidden="1" x14ac:dyDescent="0.25">
      <c r="E163" s="4">
        <v>45024</v>
      </c>
      <c r="F163">
        <v>2292.25</v>
      </c>
      <c r="G163">
        <v>1951.5</v>
      </c>
      <c r="H163">
        <v>2345</v>
      </c>
      <c r="I163" s="17">
        <v>8806.75</v>
      </c>
      <c r="J163">
        <v>22657</v>
      </c>
      <c r="K163">
        <v>2103.7399999999998</v>
      </c>
      <c r="L163">
        <v>24295</v>
      </c>
      <c r="M163">
        <v>2795.49</v>
      </c>
    </row>
    <row r="164" spans="5:13" hidden="1" x14ac:dyDescent="0.25">
      <c r="E164" s="4">
        <v>45023</v>
      </c>
      <c r="F164">
        <v>2292.25</v>
      </c>
      <c r="G164">
        <v>1951.5</v>
      </c>
      <c r="H164">
        <v>2345</v>
      </c>
      <c r="I164" s="17">
        <v>8806.75</v>
      </c>
      <c r="J164">
        <v>22657</v>
      </c>
      <c r="K164">
        <v>2103.7399999999998</v>
      </c>
      <c r="L164">
        <v>24295</v>
      </c>
      <c r="M164">
        <v>2795.49</v>
      </c>
    </row>
    <row r="165" spans="5:13" hidden="1" x14ac:dyDescent="0.25">
      <c r="E165" s="4">
        <v>45022</v>
      </c>
      <c r="F165">
        <v>2292.25</v>
      </c>
      <c r="G165">
        <v>1951.5</v>
      </c>
      <c r="H165">
        <v>2345</v>
      </c>
      <c r="I165" s="17">
        <v>8806.75</v>
      </c>
      <c r="J165">
        <v>22657</v>
      </c>
      <c r="K165">
        <v>2103.7399999999998</v>
      </c>
      <c r="L165">
        <v>24295</v>
      </c>
      <c r="M165">
        <v>2795.49</v>
      </c>
    </row>
    <row r="166" spans="5:13" hidden="1" x14ac:dyDescent="0.25">
      <c r="E166" s="4">
        <v>45021</v>
      </c>
      <c r="F166">
        <v>2290.75</v>
      </c>
      <c r="G166">
        <v>1952</v>
      </c>
      <c r="H166">
        <v>2344</v>
      </c>
      <c r="I166" s="17">
        <v>8784.75</v>
      </c>
      <c r="J166">
        <v>22493</v>
      </c>
      <c r="K166">
        <v>2115.5</v>
      </c>
      <c r="L166">
        <v>24232</v>
      </c>
      <c r="M166">
        <v>2808</v>
      </c>
    </row>
    <row r="167" spans="5:13" hidden="1" x14ac:dyDescent="0.25">
      <c r="E167" s="4">
        <v>45020</v>
      </c>
      <c r="F167">
        <v>2323.27</v>
      </c>
      <c r="G167">
        <v>1949</v>
      </c>
      <c r="H167">
        <v>2336.5</v>
      </c>
      <c r="I167" s="17">
        <v>8740.25</v>
      </c>
      <c r="J167">
        <v>22910</v>
      </c>
      <c r="K167">
        <v>2116.75</v>
      </c>
      <c r="L167">
        <v>25043</v>
      </c>
      <c r="M167">
        <v>2852.5</v>
      </c>
    </row>
    <row r="168" spans="5:13" hidden="1" x14ac:dyDescent="0.25">
      <c r="E168" s="4">
        <v>45019</v>
      </c>
      <c r="F168">
        <v>2353</v>
      </c>
      <c r="G168">
        <v>1950</v>
      </c>
      <c r="H168">
        <v>2336</v>
      </c>
      <c r="I168" s="17">
        <v>8917</v>
      </c>
      <c r="J168">
        <v>23178.5</v>
      </c>
      <c r="K168">
        <v>2118.5</v>
      </c>
      <c r="L168">
        <v>26100</v>
      </c>
      <c r="M168">
        <v>2923.67</v>
      </c>
    </row>
    <row r="169" spans="5:13" hidden="1" x14ac:dyDescent="0.25">
      <c r="E169" s="4">
        <v>45018</v>
      </c>
      <c r="F169">
        <v>2376.75</v>
      </c>
      <c r="G169">
        <v>1951.5</v>
      </c>
      <c r="H169">
        <v>2335.5</v>
      </c>
      <c r="I169" s="17">
        <v>9003.5</v>
      </c>
      <c r="J169">
        <v>23651</v>
      </c>
      <c r="K169">
        <v>2123.25</v>
      </c>
      <c r="L169">
        <v>25925</v>
      </c>
      <c r="M169">
        <v>2947.25</v>
      </c>
    </row>
    <row r="170" spans="5:13" hidden="1" x14ac:dyDescent="0.25">
      <c r="E170" s="4">
        <v>45017</v>
      </c>
      <c r="F170">
        <v>2376.75</v>
      </c>
      <c r="G170">
        <v>1951.5</v>
      </c>
      <c r="H170">
        <v>2335.5</v>
      </c>
      <c r="I170" s="17">
        <v>9003.5</v>
      </c>
      <c r="J170">
        <v>23651</v>
      </c>
      <c r="K170">
        <v>2123.25</v>
      </c>
      <c r="L170">
        <v>25925</v>
      </c>
      <c r="M170">
        <v>2947.25</v>
      </c>
    </row>
    <row r="171" spans="5:13" hidden="1" x14ac:dyDescent="0.25">
      <c r="E171" s="4">
        <v>45016</v>
      </c>
      <c r="F171">
        <v>2376.75</v>
      </c>
      <c r="G171">
        <v>1951.5</v>
      </c>
      <c r="H171">
        <v>2335.5</v>
      </c>
      <c r="I171" s="17">
        <v>9003.5</v>
      </c>
      <c r="J171">
        <v>23651</v>
      </c>
      <c r="K171">
        <v>2123.25</v>
      </c>
      <c r="L171">
        <v>25925</v>
      </c>
      <c r="M171">
        <v>2947.25</v>
      </c>
    </row>
    <row r="172" spans="5:13" hidden="1" x14ac:dyDescent="0.25">
      <c r="E172" s="4">
        <v>45015</v>
      </c>
      <c r="F172">
        <v>2344.25</v>
      </c>
      <c r="G172">
        <v>1954</v>
      </c>
      <c r="H172">
        <v>2334</v>
      </c>
      <c r="I172" s="17">
        <v>9003.25</v>
      </c>
      <c r="J172">
        <v>23006.52</v>
      </c>
      <c r="K172">
        <v>2161.5</v>
      </c>
      <c r="L172">
        <v>26036</v>
      </c>
      <c r="M172">
        <v>2963.5</v>
      </c>
    </row>
    <row r="173" spans="5:13" hidden="1" x14ac:dyDescent="0.25">
      <c r="E173" s="4">
        <v>45014</v>
      </c>
      <c r="F173">
        <v>2337.5</v>
      </c>
      <c r="G173">
        <v>1957</v>
      </c>
      <c r="H173">
        <v>2330</v>
      </c>
      <c r="I173" s="17">
        <v>9008.75</v>
      </c>
      <c r="J173">
        <v>23567</v>
      </c>
      <c r="K173">
        <v>2168.25</v>
      </c>
      <c r="L173">
        <v>25964</v>
      </c>
      <c r="M173">
        <v>3003.25</v>
      </c>
    </row>
    <row r="174" spans="5:13" hidden="1" x14ac:dyDescent="0.25">
      <c r="E174" s="4">
        <v>45013</v>
      </c>
      <c r="F174">
        <v>2345.5</v>
      </c>
      <c r="G174">
        <v>1960</v>
      </c>
      <c r="H174">
        <v>2320</v>
      </c>
      <c r="I174" s="17">
        <v>8968.25</v>
      </c>
      <c r="J174">
        <v>23902</v>
      </c>
      <c r="K174">
        <v>2156.25</v>
      </c>
      <c r="L174">
        <v>25917</v>
      </c>
      <c r="M174">
        <v>2971.7</v>
      </c>
    </row>
    <row r="175" spans="5:13" hidden="1" x14ac:dyDescent="0.25">
      <c r="E175" s="4">
        <v>45012</v>
      </c>
      <c r="F175">
        <v>2320.25</v>
      </c>
      <c r="G175">
        <v>1963</v>
      </c>
      <c r="H175">
        <v>2275.5</v>
      </c>
      <c r="I175" s="17">
        <v>8951.25</v>
      </c>
      <c r="J175">
        <v>23664</v>
      </c>
      <c r="K175">
        <v>2154.25</v>
      </c>
      <c r="L175">
        <v>25567</v>
      </c>
      <c r="M175">
        <v>2943.99</v>
      </c>
    </row>
    <row r="176" spans="5:13" hidden="1" x14ac:dyDescent="0.25">
      <c r="E176" s="4">
        <v>45011</v>
      </c>
      <c r="F176">
        <v>2296.81</v>
      </c>
      <c r="G176">
        <v>1955.75</v>
      </c>
      <c r="H176">
        <v>2275</v>
      </c>
      <c r="I176" s="17">
        <v>8911.75</v>
      </c>
      <c r="J176">
        <v>23268</v>
      </c>
      <c r="K176">
        <v>2149.5</v>
      </c>
      <c r="L176">
        <v>24945</v>
      </c>
      <c r="M176">
        <v>2923.25</v>
      </c>
    </row>
    <row r="177" spans="5:13" hidden="1" x14ac:dyDescent="0.25">
      <c r="E177" s="4">
        <v>45010</v>
      </c>
      <c r="F177">
        <v>2296.81</v>
      </c>
      <c r="G177">
        <v>1955.75</v>
      </c>
      <c r="H177">
        <v>2275</v>
      </c>
      <c r="I177" s="17">
        <v>8911.75</v>
      </c>
      <c r="J177">
        <v>23268</v>
      </c>
      <c r="K177">
        <v>2149.5</v>
      </c>
      <c r="L177">
        <v>24945</v>
      </c>
      <c r="M177">
        <v>2923.25</v>
      </c>
    </row>
    <row r="178" spans="5:13" hidden="1" x14ac:dyDescent="0.25">
      <c r="E178" s="4">
        <v>45009</v>
      </c>
      <c r="F178">
        <v>2296.81</v>
      </c>
      <c r="G178">
        <v>1955.75</v>
      </c>
      <c r="H178">
        <v>2275</v>
      </c>
      <c r="I178" s="17">
        <v>8911.75</v>
      </c>
      <c r="J178">
        <v>23268</v>
      </c>
      <c r="K178">
        <v>2149.5</v>
      </c>
      <c r="L178">
        <v>24945</v>
      </c>
      <c r="M178">
        <v>2923.25</v>
      </c>
    </row>
    <row r="179" spans="5:13" hidden="1" x14ac:dyDescent="0.25">
      <c r="E179" s="4">
        <v>45008</v>
      </c>
      <c r="F179">
        <v>2278.75</v>
      </c>
      <c r="G179">
        <v>1955</v>
      </c>
      <c r="H179">
        <v>2275</v>
      </c>
      <c r="I179" s="17">
        <v>9033</v>
      </c>
      <c r="J179">
        <v>22267</v>
      </c>
      <c r="K179">
        <v>2144.5</v>
      </c>
      <c r="L179">
        <v>24370</v>
      </c>
      <c r="M179">
        <v>2936</v>
      </c>
    </row>
    <row r="180" spans="5:13" hidden="1" x14ac:dyDescent="0.25">
      <c r="E180" s="4">
        <v>45007</v>
      </c>
      <c r="F180">
        <v>2236.5</v>
      </c>
      <c r="G180">
        <v>1954</v>
      </c>
      <c r="H180">
        <v>2200</v>
      </c>
      <c r="I180" s="17">
        <v>8900.5</v>
      </c>
      <c r="J180">
        <v>22128</v>
      </c>
      <c r="K180">
        <v>2147.75</v>
      </c>
      <c r="L180">
        <v>23291</v>
      </c>
      <c r="M180">
        <v>2892.25</v>
      </c>
    </row>
    <row r="181" spans="5:13" hidden="1" x14ac:dyDescent="0.25">
      <c r="E181" s="4">
        <v>45006</v>
      </c>
      <c r="F181">
        <v>2217.5</v>
      </c>
      <c r="G181">
        <v>1954.5</v>
      </c>
      <c r="H181">
        <v>2210</v>
      </c>
      <c r="I181" s="17">
        <v>8761</v>
      </c>
      <c r="J181">
        <v>22258.5</v>
      </c>
      <c r="K181">
        <v>2119</v>
      </c>
      <c r="L181">
        <v>22911</v>
      </c>
      <c r="M181">
        <v>2888</v>
      </c>
    </row>
    <row r="182" spans="5:13" hidden="1" x14ac:dyDescent="0.25">
      <c r="E182" s="4">
        <v>45005</v>
      </c>
      <c r="F182">
        <v>2225.17</v>
      </c>
      <c r="G182">
        <v>1954.5</v>
      </c>
      <c r="H182">
        <v>2250</v>
      </c>
      <c r="I182" s="17">
        <v>8701.25</v>
      </c>
      <c r="J182">
        <v>22555.5</v>
      </c>
      <c r="K182">
        <v>2134</v>
      </c>
      <c r="L182">
        <v>22612.77</v>
      </c>
      <c r="M182">
        <v>2912.5</v>
      </c>
    </row>
    <row r="183" spans="5:13" hidden="1" x14ac:dyDescent="0.25">
      <c r="E183" s="4">
        <v>45004</v>
      </c>
      <c r="F183">
        <v>2226.5</v>
      </c>
      <c r="G183">
        <v>1956</v>
      </c>
      <c r="H183">
        <v>2251</v>
      </c>
      <c r="I183" s="17">
        <v>8573.25</v>
      </c>
      <c r="J183">
        <v>23147</v>
      </c>
      <c r="K183">
        <v>2090.25</v>
      </c>
      <c r="L183">
        <v>22400</v>
      </c>
      <c r="M183">
        <v>2931</v>
      </c>
    </row>
    <row r="184" spans="5:13" hidden="1" x14ac:dyDescent="0.25">
      <c r="E184" s="4">
        <v>45003</v>
      </c>
      <c r="F184">
        <v>2226.5</v>
      </c>
      <c r="G184">
        <v>1956</v>
      </c>
      <c r="H184">
        <v>2251</v>
      </c>
      <c r="I184" s="17">
        <v>8573.25</v>
      </c>
      <c r="J184">
        <v>23147</v>
      </c>
      <c r="K184">
        <v>2090.25</v>
      </c>
      <c r="L184">
        <v>22400</v>
      </c>
      <c r="M184">
        <v>2931</v>
      </c>
    </row>
    <row r="185" spans="5:13" hidden="1" x14ac:dyDescent="0.25">
      <c r="E185" s="4">
        <v>45002</v>
      </c>
      <c r="F185">
        <v>2226.5</v>
      </c>
      <c r="G185">
        <v>1956</v>
      </c>
      <c r="H185">
        <v>2251</v>
      </c>
      <c r="I185" s="17">
        <v>8573.25</v>
      </c>
      <c r="J185">
        <v>23147</v>
      </c>
      <c r="K185">
        <v>2090.25</v>
      </c>
      <c r="L185">
        <v>22400</v>
      </c>
      <c r="M185">
        <v>2931</v>
      </c>
    </row>
    <row r="186" spans="5:13" hidden="1" x14ac:dyDescent="0.25">
      <c r="E186" s="4">
        <v>45001</v>
      </c>
      <c r="F186">
        <v>2216.5</v>
      </c>
      <c r="G186">
        <v>1955.5</v>
      </c>
      <c r="H186">
        <v>2250</v>
      </c>
      <c r="I186" s="17">
        <v>8508.75</v>
      </c>
      <c r="J186">
        <v>23018</v>
      </c>
      <c r="K186">
        <v>2058</v>
      </c>
      <c r="L186">
        <v>22118</v>
      </c>
      <c r="M186">
        <v>2871</v>
      </c>
    </row>
    <row r="187" spans="5:13" hidden="1" x14ac:dyDescent="0.25">
      <c r="E187" s="4">
        <v>45000</v>
      </c>
      <c r="F187">
        <v>2224.25</v>
      </c>
      <c r="G187">
        <v>1950</v>
      </c>
      <c r="H187">
        <v>2300</v>
      </c>
      <c r="I187" s="17">
        <v>8480.75</v>
      </c>
      <c r="J187">
        <v>22788</v>
      </c>
      <c r="K187">
        <v>2062.75</v>
      </c>
      <c r="L187">
        <v>22278.16</v>
      </c>
      <c r="M187">
        <v>2876</v>
      </c>
    </row>
    <row r="188" spans="5:13" hidden="1" x14ac:dyDescent="0.25">
      <c r="E188" s="4">
        <v>44999</v>
      </c>
      <c r="F188">
        <v>2302</v>
      </c>
      <c r="G188">
        <v>2093</v>
      </c>
      <c r="H188">
        <v>2340.5</v>
      </c>
      <c r="I188" s="17">
        <v>8809</v>
      </c>
      <c r="J188">
        <v>22830.799999999999</v>
      </c>
      <c r="K188">
        <v>2079.5500000000002</v>
      </c>
      <c r="L188">
        <v>22744</v>
      </c>
      <c r="M188">
        <v>2925</v>
      </c>
    </row>
    <row r="189" spans="5:13" hidden="1" x14ac:dyDescent="0.25">
      <c r="E189" s="4">
        <v>44998</v>
      </c>
      <c r="F189">
        <v>2283</v>
      </c>
      <c r="G189">
        <v>2093</v>
      </c>
      <c r="H189">
        <v>2340</v>
      </c>
      <c r="I189" s="17">
        <v>8918.25</v>
      </c>
      <c r="J189">
        <v>22927</v>
      </c>
      <c r="K189">
        <v>2077.4</v>
      </c>
      <c r="L189">
        <v>22943</v>
      </c>
      <c r="M189">
        <v>2969</v>
      </c>
    </row>
    <row r="190" spans="5:13" hidden="1" x14ac:dyDescent="0.25">
      <c r="E190" s="4">
        <v>44997</v>
      </c>
      <c r="F190">
        <v>2263.25</v>
      </c>
      <c r="G190">
        <v>2095</v>
      </c>
      <c r="H190">
        <v>2339</v>
      </c>
      <c r="I190" s="17">
        <v>8847</v>
      </c>
      <c r="J190">
        <v>22490</v>
      </c>
      <c r="K190">
        <v>2075.5</v>
      </c>
      <c r="L190">
        <v>22732</v>
      </c>
      <c r="M190">
        <v>2954.75</v>
      </c>
    </row>
    <row r="191" spans="5:13" hidden="1" x14ac:dyDescent="0.25">
      <c r="E191" s="4">
        <v>44996</v>
      </c>
      <c r="F191">
        <v>2263.25</v>
      </c>
      <c r="G191">
        <v>2095</v>
      </c>
      <c r="H191">
        <v>2339</v>
      </c>
      <c r="I191" s="17">
        <v>8847</v>
      </c>
      <c r="J191">
        <v>22490</v>
      </c>
      <c r="K191">
        <v>2075.5</v>
      </c>
      <c r="L191">
        <v>22732</v>
      </c>
      <c r="M191">
        <v>2954.75</v>
      </c>
    </row>
    <row r="192" spans="5:13" hidden="1" x14ac:dyDescent="0.25">
      <c r="E192" s="4">
        <v>44995</v>
      </c>
      <c r="F192">
        <v>2263.25</v>
      </c>
      <c r="G192">
        <v>2095</v>
      </c>
      <c r="H192">
        <v>2339</v>
      </c>
      <c r="I192" s="17">
        <v>8847</v>
      </c>
      <c r="J192">
        <v>22490</v>
      </c>
      <c r="K192">
        <v>2075.5</v>
      </c>
      <c r="L192">
        <v>22732</v>
      </c>
      <c r="M192">
        <v>2954.75</v>
      </c>
    </row>
    <row r="193" spans="5:13" hidden="1" x14ac:dyDescent="0.25">
      <c r="E193" s="4">
        <v>44994</v>
      </c>
      <c r="F193">
        <v>2281.4</v>
      </c>
      <c r="G193">
        <v>2094</v>
      </c>
      <c r="H193">
        <v>2337.5</v>
      </c>
      <c r="I193" s="17">
        <v>8832.2999999999993</v>
      </c>
      <c r="J193">
        <v>23056</v>
      </c>
      <c r="K193">
        <v>2082.25</v>
      </c>
      <c r="L193">
        <v>23148</v>
      </c>
      <c r="M193">
        <v>2994.5</v>
      </c>
    </row>
    <row r="194" spans="5:13" hidden="1" x14ac:dyDescent="0.25">
      <c r="E194" s="4">
        <v>44993</v>
      </c>
      <c r="F194">
        <v>2305.69</v>
      </c>
      <c r="G194">
        <v>2092.25</v>
      </c>
      <c r="H194">
        <v>2333.75</v>
      </c>
      <c r="I194" s="17">
        <v>8886</v>
      </c>
      <c r="J194">
        <v>23750.25</v>
      </c>
      <c r="K194">
        <v>2086.5</v>
      </c>
      <c r="L194">
        <v>23572.74</v>
      </c>
      <c r="M194">
        <v>3004</v>
      </c>
    </row>
    <row r="195" spans="5:13" hidden="1" x14ac:dyDescent="0.25">
      <c r="E195" s="4">
        <v>44992</v>
      </c>
      <c r="F195">
        <v>2300.75</v>
      </c>
      <c r="G195">
        <v>2092</v>
      </c>
      <c r="H195">
        <v>2332.5</v>
      </c>
      <c r="I195" s="17">
        <v>8737.5</v>
      </c>
      <c r="J195">
        <v>23921</v>
      </c>
      <c r="K195">
        <v>2082</v>
      </c>
      <c r="L195">
        <v>23991.66</v>
      </c>
      <c r="M195">
        <v>2980.75</v>
      </c>
    </row>
    <row r="196" spans="5:13" hidden="1" x14ac:dyDescent="0.25">
      <c r="E196" s="4">
        <v>44991</v>
      </c>
      <c r="F196">
        <v>2334</v>
      </c>
      <c r="G196">
        <v>2091.5</v>
      </c>
      <c r="H196">
        <v>2331</v>
      </c>
      <c r="I196" s="17">
        <v>8893.25</v>
      </c>
      <c r="J196">
        <v>24204</v>
      </c>
      <c r="K196">
        <v>2115.65</v>
      </c>
      <c r="L196">
        <v>24396.83</v>
      </c>
      <c r="M196">
        <v>3054</v>
      </c>
    </row>
    <row r="197" spans="5:13" hidden="1" x14ac:dyDescent="0.25">
      <c r="E197" s="4">
        <v>44990</v>
      </c>
      <c r="F197">
        <v>2361</v>
      </c>
      <c r="G197">
        <v>2093.25</v>
      </c>
      <c r="H197">
        <v>2330</v>
      </c>
      <c r="I197" s="17">
        <v>8954.5</v>
      </c>
      <c r="J197">
        <v>24384.92</v>
      </c>
      <c r="K197">
        <v>2117.5</v>
      </c>
      <c r="L197">
        <v>24620</v>
      </c>
      <c r="M197">
        <v>3100.5</v>
      </c>
    </row>
    <row r="198" spans="5:13" hidden="1" x14ac:dyDescent="0.25">
      <c r="E198" s="4">
        <v>44989</v>
      </c>
      <c r="F198">
        <v>2361</v>
      </c>
      <c r="G198">
        <v>2093.25</v>
      </c>
      <c r="H198">
        <v>2330</v>
      </c>
      <c r="I198" s="17">
        <v>8954.5</v>
      </c>
      <c r="J198">
        <v>24384.92</v>
      </c>
      <c r="K198">
        <v>2117.5</v>
      </c>
      <c r="L198">
        <v>24620</v>
      </c>
      <c r="M198">
        <v>3100.5</v>
      </c>
    </row>
    <row r="199" spans="5:13" hidden="1" x14ac:dyDescent="0.25">
      <c r="E199" s="4">
        <v>44988</v>
      </c>
      <c r="F199">
        <v>2361</v>
      </c>
      <c r="G199">
        <v>2093.25</v>
      </c>
      <c r="H199">
        <v>2330</v>
      </c>
      <c r="I199" s="17">
        <v>8954.5</v>
      </c>
      <c r="J199">
        <v>24384.92</v>
      </c>
      <c r="K199">
        <v>2117.5</v>
      </c>
      <c r="L199">
        <v>24620</v>
      </c>
      <c r="M199">
        <v>3100.5</v>
      </c>
    </row>
    <row r="200" spans="5:13" hidden="1" x14ac:dyDescent="0.25">
      <c r="E200" s="4">
        <v>44987</v>
      </c>
      <c r="F200">
        <v>2355.25</v>
      </c>
      <c r="G200">
        <v>2092.5</v>
      </c>
      <c r="H200">
        <v>2329</v>
      </c>
      <c r="I200" s="17">
        <v>8928.1</v>
      </c>
      <c r="J200">
        <v>24177.5</v>
      </c>
      <c r="K200">
        <v>2123</v>
      </c>
      <c r="L200">
        <v>24377</v>
      </c>
      <c r="M200">
        <v>3067</v>
      </c>
    </row>
    <row r="201" spans="5:13" hidden="1" x14ac:dyDescent="0.25">
      <c r="E201" s="4">
        <v>44986</v>
      </c>
      <c r="F201">
        <v>2385.02</v>
      </c>
      <c r="G201">
        <v>2091</v>
      </c>
      <c r="H201">
        <v>2325</v>
      </c>
      <c r="I201" s="17">
        <v>9084</v>
      </c>
      <c r="J201">
        <v>24676</v>
      </c>
      <c r="K201">
        <v>2140.5</v>
      </c>
      <c r="L201">
        <v>25139</v>
      </c>
      <c r="M201">
        <v>3142.5</v>
      </c>
    </row>
    <row r="202" spans="5:13" hidden="1" x14ac:dyDescent="0.25">
      <c r="E202" s="4">
        <v>44985</v>
      </c>
      <c r="F202">
        <v>2327.63</v>
      </c>
      <c r="G202">
        <v>2091.75</v>
      </c>
      <c r="H202">
        <v>2345</v>
      </c>
      <c r="I202" s="17">
        <v>8951</v>
      </c>
      <c r="J202">
        <v>24591</v>
      </c>
      <c r="K202">
        <v>2103</v>
      </c>
      <c r="L202">
        <v>24741</v>
      </c>
      <c r="M202">
        <v>3030.5</v>
      </c>
    </row>
    <row r="203" spans="5:13" hidden="1" x14ac:dyDescent="0.25">
      <c r="E203" s="4">
        <v>44984</v>
      </c>
      <c r="F203">
        <v>2316.25</v>
      </c>
      <c r="G203">
        <v>2093.5</v>
      </c>
      <c r="H203">
        <v>2356.5</v>
      </c>
      <c r="I203" s="17">
        <v>8783</v>
      </c>
      <c r="J203">
        <v>25303</v>
      </c>
      <c r="K203">
        <v>2117.25</v>
      </c>
      <c r="L203">
        <v>25294</v>
      </c>
      <c r="M203">
        <v>3016</v>
      </c>
    </row>
    <row r="204" spans="5:13" hidden="1" x14ac:dyDescent="0.25">
      <c r="E204" s="4">
        <v>44983</v>
      </c>
      <c r="F204">
        <v>2285.0100000000002</v>
      </c>
      <c r="G204">
        <v>2093.75</v>
      </c>
      <c r="H204">
        <v>2355.25</v>
      </c>
      <c r="I204" s="17">
        <v>8689</v>
      </c>
      <c r="J204">
        <v>24340.5</v>
      </c>
      <c r="K204">
        <v>2077.75</v>
      </c>
      <c r="L204">
        <v>25478</v>
      </c>
      <c r="M204">
        <v>2988.25</v>
      </c>
    </row>
    <row r="205" spans="5:13" hidden="1" x14ac:dyDescent="0.25">
      <c r="E205" s="4">
        <v>44982</v>
      </c>
      <c r="F205">
        <v>2285.0100000000002</v>
      </c>
      <c r="G205">
        <v>2093.75</v>
      </c>
      <c r="H205">
        <v>2355.25</v>
      </c>
      <c r="I205" s="17">
        <v>8689</v>
      </c>
      <c r="J205">
        <v>24340.5</v>
      </c>
      <c r="K205">
        <v>2077.75</v>
      </c>
      <c r="L205">
        <v>25478</v>
      </c>
      <c r="M205">
        <v>2988.25</v>
      </c>
    </row>
    <row r="206" spans="5:13" hidden="1" x14ac:dyDescent="0.25">
      <c r="E206" s="4">
        <v>44981</v>
      </c>
      <c r="F206">
        <v>2285.0100000000002</v>
      </c>
      <c r="G206">
        <v>2093.75</v>
      </c>
      <c r="H206">
        <v>2355.25</v>
      </c>
      <c r="I206" s="17">
        <v>8689</v>
      </c>
      <c r="J206">
        <v>24340.5</v>
      </c>
      <c r="K206">
        <v>2077.75</v>
      </c>
      <c r="L206">
        <v>25478</v>
      </c>
      <c r="M206">
        <v>2988.25</v>
      </c>
    </row>
    <row r="207" spans="5:13" hidden="1" x14ac:dyDescent="0.25">
      <c r="E207" s="4">
        <v>44980</v>
      </c>
      <c r="F207">
        <v>2352.75</v>
      </c>
      <c r="G207">
        <v>2093.5</v>
      </c>
      <c r="H207">
        <v>2354</v>
      </c>
      <c r="I207" s="17">
        <v>8884.99</v>
      </c>
      <c r="J207">
        <v>25176</v>
      </c>
      <c r="K207">
        <v>2050.25</v>
      </c>
      <c r="L207">
        <v>26016</v>
      </c>
      <c r="M207">
        <v>3059.75</v>
      </c>
    </row>
    <row r="208" spans="5:13" hidden="1" x14ac:dyDescent="0.25">
      <c r="E208" s="4">
        <v>44979</v>
      </c>
      <c r="F208">
        <v>2375.5</v>
      </c>
      <c r="G208">
        <v>2091.75</v>
      </c>
      <c r="H208">
        <v>2350.25</v>
      </c>
      <c r="I208" s="17">
        <v>9103</v>
      </c>
      <c r="J208">
        <v>26219</v>
      </c>
      <c r="K208">
        <v>2097.5</v>
      </c>
      <c r="L208">
        <v>26688</v>
      </c>
      <c r="M208">
        <v>3088.75</v>
      </c>
    </row>
    <row r="209" spans="5:13" hidden="1" x14ac:dyDescent="0.25">
      <c r="E209" s="4">
        <v>44978</v>
      </c>
      <c r="F209">
        <v>2426.23</v>
      </c>
      <c r="G209">
        <v>2091</v>
      </c>
      <c r="H209">
        <v>2349</v>
      </c>
      <c r="I209" s="17">
        <v>9183.5</v>
      </c>
      <c r="J209">
        <v>26880</v>
      </c>
      <c r="K209">
        <v>2141.9899999999998</v>
      </c>
      <c r="L209">
        <v>27341</v>
      </c>
      <c r="M209">
        <v>3171.5</v>
      </c>
    </row>
    <row r="210" spans="5:13" hidden="1" x14ac:dyDescent="0.25">
      <c r="E210" s="4">
        <v>44977</v>
      </c>
      <c r="F210">
        <v>2419.5</v>
      </c>
      <c r="G210">
        <v>2092.25</v>
      </c>
      <c r="H210">
        <v>2347.75</v>
      </c>
      <c r="I210" s="17">
        <v>9115.5</v>
      </c>
      <c r="J210">
        <v>26722</v>
      </c>
      <c r="K210">
        <v>2151.5100000000002</v>
      </c>
      <c r="L210">
        <v>26490</v>
      </c>
      <c r="M210">
        <v>3164.5</v>
      </c>
    </row>
    <row r="211" spans="5:13" hidden="1" x14ac:dyDescent="0.25">
      <c r="E211" s="4">
        <v>44976</v>
      </c>
      <c r="F211">
        <v>2346.5</v>
      </c>
      <c r="G211">
        <v>2092.5</v>
      </c>
      <c r="H211">
        <v>2346.5</v>
      </c>
      <c r="I211" s="17">
        <v>8950.25</v>
      </c>
      <c r="J211">
        <v>25571</v>
      </c>
      <c r="K211">
        <v>2056.25</v>
      </c>
      <c r="L211">
        <v>25659</v>
      </c>
      <c r="M211">
        <v>3085.75</v>
      </c>
    </row>
    <row r="212" spans="5:13" hidden="1" x14ac:dyDescent="0.25">
      <c r="E212" s="4">
        <v>44975</v>
      </c>
      <c r="F212">
        <v>2346.5</v>
      </c>
      <c r="G212">
        <v>2092.5</v>
      </c>
      <c r="H212">
        <v>2346.5</v>
      </c>
      <c r="I212" s="17">
        <v>8950.25</v>
      </c>
      <c r="J212">
        <v>25571</v>
      </c>
      <c r="K212">
        <v>2056.25</v>
      </c>
      <c r="L212">
        <v>25659</v>
      </c>
      <c r="M212">
        <v>3085.75</v>
      </c>
    </row>
    <row r="213" spans="5:13" hidden="1" x14ac:dyDescent="0.25">
      <c r="E213" s="4">
        <v>44974</v>
      </c>
      <c r="F213">
        <v>2346.5</v>
      </c>
      <c r="G213">
        <v>2092.5</v>
      </c>
      <c r="H213">
        <v>2346.5</v>
      </c>
      <c r="I213" s="17">
        <v>8950.25</v>
      </c>
      <c r="J213">
        <v>25571</v>
      </c>
      <c r="K213">
        <v>2056.25</v>
      </c>
      <c r="L213">
        <v>25659</v>
      </c>
      <c r="M213">
        <v>3085.75</v>
      </c>
    </row>
    <row r="214" spans="5:13" hidden="1" x14ac:dyDescent="0.25">
      <c r="E214" s="4">
        <v>44973</v>
      </c>
      <c r="F214">
        <v>2354.25</v>
      </c>
      <c r="G214">
        <v>2093</v>
      </c>
      <c r="H214">
        <v>2346.5</v>
      </c>
      <c r="I214" s="17">
        <v>8991.5</v>
      </c>
      <c r="J214">
        <v>26268</v>
      </c>
      <c r="K214">
        <v>2016.75</v>
      </c>
      <c r="L214">
        <v>26806</v>
      </c>
      <c r="M214">
        <v>3030.75</v>
      </c>
    </row>
    <row r="215" spans="5:13" hidden="1" x14ac:dyDescent="0.25">
      <c r="E215" s="4">
        <v>44972</v>
      </c>
      <c r="F215">
        <v>2348</v>
      </c>
      <c r="G215">
        <v>2091</v>
      </c>
      <c r="H215">
        <v>2341.5</v>
      </c>
      <c r="I215" s="17">
        <v>8826.75</v>
      </c>
      <c r="J215">
        <v>25908</v>
      </c>
      <c r="K215">
        <v>2039.75</v>
      </c>
      <c r="L215">
        <v>26451</v>
      </c>
      <c r="M215">
        <v>3037</v>
      </c>
    </row>
    <row r="216" spans="5:13" hidden="1" x14ac:dyDescent="0.25">
      <c r="E216" s="4">
        <v>44971</v>
      </c>
      <c r="F216">
        <v>2384.75</v>
      </c>
      <c r="G216">
        <v>2090</v>
      </c>
      <c r="H216">
        <v>2340.25</v>
      </c>
      <c r="I216" s="17">
        <v>8921</v>
      </c>
      <c r="J216">
        <v>26227</v>
      </c>
      <c r="K216">
        <v>2086</v>
      </c>
      <c r="L216">
        <v>26598</v>
      </c>
      <c r="M216">
        <v>3108.25</v>
      </c>
    </row>
    <row r="217" spans="5:13" hidden="1" x14ac:dyDescent="0.25">
      <c r="E217" s="4">
        <v>44970</v>
      </c>
      <c r="F217">
        <v>2378.75</v>
      </c>
      <c r="G217">
        <v>2091.5</v>
      </c>
      <c r="H217">
        <v>2339</v>
      </c>
      <c r="I217" s="17">
        <v>8916.5</v>
      </c>
      <c r="J217">
        <v>26409</v>
      </c>
      <c r="K217">
        <v>2087.5</v>
      </c>
      <c r="L217">
        <v>27368</v>
      </c>
      <c r="M217">
        <v>3127</v>
      </c>
    </row>
    <row r="218" spans="5:13" hidden="1" x14ac:dyDescent="0.25">
      <c r="E218" s="4">
        <v>44969</v>
      </c>
      <c r="F218">
        <v>2404.7399999999998</v>
      </c>
      <c r="G218">
        <v>2092.5</v>
      </c>
      <c r="H218">
        <v>2337.75</v>
      </c>
      <c r="I218" s="17">
        <v>8828.76</v>
      </c>
      <c r="J218">
        <v>27575.5</v>
      </c>
      <c r="K218">
        <v>2068.75</v>
      </c>
      <c r="L218">
        <v>27155.5</v>
      </c>
      <c r="M218">
        <v>3059.75</v>
      </c>
    </row>
    <row r="219" spans="5:13" hidden="1" x14ac:dyDescent="0.25">
      <c r="E219" s="4">
        <v>44968</v>
      </c>
      <c r="F219">
        <v>2404.7399999999998</v>
      </c>
      <c r="G219">
        <v>2092.5</v>
      </c>
      <c r="H219">
        <v>2337.75</v>
      </c>
      <c r="I219" s="17">
        <v>8828.76</v>
      </c>
      <c r="J219">
        <v>27575.5</v>
      </c>
      <c r="K219">
        <v>2068.75</v>
      </c>
      <c r="L219">
        <v>27155.5</v>
      </c>
      <c r="M219">
        <v>3059.75</v>
      </c>
    </row>
    <row r="220" spans="5:13" hidden="1" x14ac:dyDescent="0.25">
      <c r="E220" s="4">
        <v>44967</v>
      </c>
      <c r="F220">
        <v>2404.7399999999998</v>
      </c>
      <c r="G220">
        <v>2092.5</v>
      </c>
      <c r="H220">
        <v>2337.75</v>
      </c>
      <c r="I220" s="17">
        <v>8828.76</v>
      </c>
      <c r="J220">
        <v>27575.5</v>
      </c>
      <c r="K220">
        <v>2068.75</v>
      </c>
      <c r="L220">
        <v>27155.5</v>
      </c>
      <c r="M220">
        <v>3059.75</v>
      </c>
    </row>
    <row r="221" spans="5:13" hidden="1" x14ac:dyDescent="0.25">
      <c r="E221" s="4">
        <v>44966</v>
      </c>
      <c r="F221">
        <v>2462.85</v>
      </c>
      <c r="G221">
        <v>2092.5</v>
      </c>
      <c r="H221">
        <v>2336.5</v>
      </c>
      <c r="I221" s="17">
        <v>8952.24</v>
      </c>
      <c r="J221">
        <v>28952</v>
      </c>
      <c r="K221">
        <v>2126.25</v>
      </c>
      <c r="L221">
        <v>27578</v>
      </c>
      <c r="M221">
        <v>3152</v>
      </c>
    </row>
    <row r="222" spans="5:13" hidden="1" x14ac:dyDescent="0.25">
      <c r="E222" s="4">
        <v>44965</v>
      </c>
      <c r="F222">
        <v>2442.15</v>
      </c>
      <c r="G222">
        <v>2090.25</v>
      </c>
      <c r="H222">
        <v>2332.75</v>
      </c>
      <c r="I222" s="17">
        <v>8863.75</v>
      </c>
      <c r="J222">
        <v>27192</v>
      </c>
      <c r="K222">
        <v>2135</v>
      </c>
      <c r="L222">
        <v>27526</v>
      </c>
      <c r="M222">
        <v>3167.01</v>
      </c>
    </row>
    <row r="223" spans="5:13" hidden="1" x14ac:dyDescent="0.25">
      <c r="E223" s="4">
        <v>44964</v>
      </c>
      <c r="F223">
        <v>2486</v>
      </c>
      <c r="G223">
        <v>2089.5</v>
      </c>
      <c r="H223">
        <v>2331.5</v>
      </c>
      <c r="I223" s="17">
        <v>8893</v>
      </c>
      <c r="J223">
        <v>27043</v>
      </c>
      <c r="K223">
        <v>2086</v>
      </c>
      <c r="L223">
        <v>26952</v>
      </c>
      <c r="M223">
        <v>3169.75</v>
      </c>
    </row>
    <row r="224" spans="5:13" hidden="1" x14ac:dyDescent="0.25">
      <c r="E224" s="4">
        <v>44963</v>
      </c>
      <c r="F224">
        <v>2498.0100000000002</v>
      </c>
      <c r="G224">
        <v>2091.75</v>
      </c>
      <c r="H224">
        <v>2330.25</v>
      </c>
      <c r="I224" s="17">
        <v>8838</v>
      </c>
      <c r="J224">
        <v>27053</v>
      </c>
      <c r="K224">
        <v>2087.75</v>
      </c>
      <c r="L224">
        <v>26786</v>
      </c>
      <c r="M224">
        <v>3164</v>
      </c>
    </row>
    <row r="225" spans="5:13" hidden="1" x14ac:dyDescent="0.25">
      <c r="E225" s="4">
        <v>44962</v>
      </c>
      <c r="F225">
        <v>2534.5</v>
      </c>
      <c r="G225">
        <v>2092.5</v>
      </c>
      <c r="H225">
        <v>2329</v>
      </c>
      <c r="I225" s="17">
        <v>8951.25</v>
      </c>
      <c r="J225">
        <v>28427</v>
      </c>
      <c r="K225">
        <v>2084.25</v>
      </c>
      <c r="L225">
        <v>28308</v>
      </c>
      <c r="M225">
        <v>3269.5</v>
      </c>
    </row>
    <row r="226" spans="5:13" hidden="1" x14ac:dyDescent="0.25">
      <c r="E226" s="4">
        <v>44961</v>
      </c>
      <c r="F226">
        <v>2534.5</v>
      </c>
      <c r="G226">
        <v>2092.5</v>
      </c>
      <c r="H226">
        <v>2329</v>
      </c>
      <c r="I226" s="17">
        <v>8951.25</v>
      </c>
      <c r="J226">
        <v>28427</v>
      </c>
      <c r="K226">
        <v>2084.25</v>
      </c>
      <c r="L226">
        <v>28308</v>
      </c>
      <c r="M226">
        <v>3269.5</v>
      </c>
    </row>
    <row r="227" spans="5:13" hidden="1" x14ac:dyDescent="0.25">
      <c r="E227" s="4">
        <v>44960</v>
      </c>
      <c r="F227">
        <v>2534.5</v>
      </c>
      <c r="G227">
        <v>2092.5</v>
      </c>
      <c r="H227">
        <v>2329</v>
      </c>
      <c r="I227" s="17">
        <v>8951.25</v>
      </c>
      <c r="J227">
        <v>28427</v>
      </c>
      <c r="K227">
        <v>2084.25</v>
      </c>
      <c r="L227">
        <v>28308</v>
      </c>
      <c r="M227">
        <v>3269.5</v>
      </c>
    </row>
    <row r="228" spans="5:13" hidden="1" x14ac:dyDescent="0.25">
      <c r="E228" s="4">
        <v>44959</v>
      </c>
      <c r="F228">
        <v>2583.0100000000002</v>
      </c>
      <c r="G228">
        <v>2092.75</v>
      </c>
      <c r="H228">
        <v>2327.75</v>
      </c>
      <c r="I228" s="17">
        <v>9028.25</v>
      </c>
      <c r="J228">
        <v>29610</v>
      </c>
      <c r="K228">
        <v>2120.75</v>
      </c>
      <c r="L228">
        <v>29288.15</v>
      </c>
      <c r="M228">
        <v>3411.5</v>
      </c>
    </row>
    <row r="229" spans="5:13" hidden="1" x14ac:dyDescent="0.25">
      <c r="E229" s="4">
        <v>44958</v>
      </c>
      <c r="F229">
        <v>2597.25</v>
      </c>
      <c r="G229">
        <v>2090.5</v>
      </c>
      <c r="H229">
        <v>2324</v>
      </c>
      <c r="I229" s="17">
        <v>9060.5</v>
      </c>
      <c r="J229">
        <v>29092</v>
      </c>
      <c r="K229">
        <v>2127</v>
      </c>
      <c r="L229">
        <v>28734.43</v>
      </c>
      <c r="M229">
        <v>3375.25</v>
      </c>
    </row>
    <row r="230" spans="5:13" hidden="1" x14ac:dyDescent="0.25">
      <c r="E230" s="4">
        <v>44957</v>
      </c>
      <c r="F230">
        <v>2613</v>
      </c>
      <c r="G230">
        <v>2092.75</v>
      </c>
      <c r="H230">
        <v>2322.75</v>
      </c>
      <c r="I230" s="17">
        <v>9199.5499999999993</v>
      </c>
      <c r="J230">
        <v>30153</v>
      </c>
      <c r="K230">
        <v>2128.5</v>
      </c>
      <c r="L230">
        <v>29431</v>
      </c>
      <c r="M230">
        <v>3418.76</v>
      </c>
    </row>
    <row r="231" spans="5:13" hidden="1" x14ac:dyDescent="0.25">
      <c r="E231" s="4">
        <v>44956</v>
      </c>
      <c r="F231">
        <v>2553</v>
      </c>
      <c r="G231">
        <v>2092</v>
      </c>
      <c r="H231">
        <v>2321.5</v>
      </c>
      <c r="I231" s="17">
        <v>9188.35</v>
      </c>
      <c r="J231">
        <v>29017.3</v>
      </c>
      <c r="K231">
        <v>2151.5</v>
      </c>
      <c r="L231">
        <v>29777</v>
      </c>
      <c r="M231">
        <v>3475.75</v>
      </c>
    </row>
    <row r="232" spans="5:13" hidden="1" x14ac:dyDescent="0.25">
      <c r="E232" s="4">
        <v>44955</v>
      </c>
      <c r="F232">
        <v>2591.5</v>
      </c>
      <c r="G232">
        <v>2092</v>
      </c>
      <c r="H232">
        <v>2320</v>
      </c>
      <c r="I232" s="17">
        <v>9242.24</v>
      </c>
      <c r="J232">
        <v>28673.5</v>
      </c>
      <c r="K232">
        <v>2182.25</v>
      </c>
      <c r="L232">
        <v>30808</v>
      </c>
      <c r="M232">
        <v>3438.75</v>
      </c>
    </row>
    <row r="233" spans="5:13" hidden="1" x14ac:dyDescent="0.25">
      <c r="E233" s="4">
        <v>44954</v>
      </c>
      <c r="F233">
        <v>2591.5</v>
      </c>
      <c r="G233">
        <v>2092</v>
      </c>
      <c r="H233">
        <v>2320</v>
      </c>
      <c r="I233" s="17">
        <v>9242.24</v>
      </c>
      <c r="J233">
        <v>28673.5</v>
      </c>
      <c r="K233">
        <v>2182.25</v>
      </c>
      <c r="L233">
        <v>30808</v>
      </c>
      <c r="M233">
        <v>3438.75</v>
      </c>
    </row>
    <row r="234" spans="5:13" hidden="1" x14ac:dyDescent="0.25">
      <c r="E234" s="4">
        <v>44953</v>
      </c>
      <c r="F234">
        <v>2591.5</v>
      </c>
      <c r="G234">
        <v>2092</v>
      </c>
      <c r="H234">
        <v>2320</v>
      </c>
      <c r="I234" s="17">
        <v>9242.24</v>
      </c>
      <c r="J234">
        <v>28673.5</v>
      </c>
      <c r="K234">
        <v>2182.25</v>
      </c>
      <c r="L234">
        <v>30808</v>
      </c>
      <c r="M234">
        <v>3438.75</v>
      </c>
    </row>
    <row r="235" spans="5:13" hidden="1" x14ac:dyDescent="0.25">
      <c r="E235" s="4">
        <v>44952</v>
      </c>
      <c r="F235">
        <v>2601.75</v>
      </c>
      <c r="G235">
        <v>2092</v>
      </c>
      <c r="H235">
        <v>2319</v>
      </c>
      <c r="I235" s="17">
        <v>9306.5</v>
      </c>
      <c r="J235">
        <v>29194</v>
      </c>
      <c r="K235">
        <v>2205.5</v>
      </c>
      <c r="L235">
        <v>32267</v>
      </c>
      <c r="M235">
        <v>3508.25</v>
      </c>
    </row>
    <row r="236" spans="5:13" hidden="1" x14ac:dyDescent="0.25">
      <c r="E236" s="4">
        <v>44951</v>
      </c>
      <c r="F236">
        <v>2624.25</v>
      </c>
      <c r="G236">
        <v>2090.5</v>
      </c>
      <c r="H236">
        <v>2315</v>
      </c>
      <c r="I236" s="17">
        <v>9289.5</v>
      </c>
      <c r="J236">
        <v>28953</v>
      </c>
      <c r="K236">
        <v>2158.25</v>
      </c>
      <c r="L236">
        <v>30815</v>
      </c>
      <c r="M236">
        <v>3467</v>
      </c>
    </row>
    <row r="237" spans="5:13" hidden="1" x14ac:dyDescent="0.25">
      <c r="E237" s="4">
        <v>44950</v>
      </c>
      <c r="F237">
        <v>2619.75</v>
      </c>
      <c r="G237">
        <v>2090.5</v>
      </c>
      <c r="H237">
        <v>2314</v>
      </c>
      <c r="I237" s="17">
        <v>9291.01</v>
      </c>
      <c r="J237">
        <v>28561</v>
      </c>
      <c r="K237">
        <v>2120.6</v>
      </c>
      <c r="L237">
        <v>29900</v>
      </c>
      <c r="M237">
        <v>3447.25</v>
      </c>
    </row>
    <row r="238" spans="5:13" hidden="1" x14ac:dyDescent="0.25">
      <c r="E238" s="4">
        <v>44949</v>
      </c>
      <c r="F238">
        <v>2605.3000000000002</v>
      </c>
      <c r="G238">
        <v>2089.75</v>
      </c>
      <c r="H238">
        <v>2312.5</v>
      </c>
      <c r="I238" s="17">
        <v>9330.77</v>
      </c>
      <c r="J238">
        <v>27895</v>
      </c>
      <c r="K238">
        <v>2049</v>
      </c>
      <c r="L238">
        <v>29475</v>
      </c>
      <c r="M238">
        <v>3439.75</v>
      </c>
    </row>
    <row r="239" spans="5:13" hidden="1" x14ac:dyDescent="0.25">
      <c r="E239" s="4">
        <v>44948</v>
      </c>
      <c r="F239">
        <v>2582.25</v>
      </c>
      <c r="G239">
        <v>2092</v>
      </c>
      <c r="H239">
        <v>2311.5</v>
      </c>
      <c r="I239" s="17">
        <v>9307.76</v>
      </c>
      <c r="J239">
        <v>28541</v>
      </c>
      <c r="K239">
        <v>2086.25</v>
      </c>
      <c r="L239">
        <v>29493</v>
      </c>
      <c r="M239">
        <v>3435.5</v>
      </c>
    </row>
    <row r="240" spans="5:13" hidden="1" x14ac:dyDescent="0.25">
      <c r="E240" s="4">
        <v>44947</v>
      </c>
      <c r="F240">
        <v>2582.25</v>
      </c>
      <c r="G240">
        <v>2092</v>
      </c>
      <c r="H240">
        <v>2311.5</v>
      </c>
      <c r="I240" s="17">
        <v>9307.76</v>
      </c>
      <c r="J240">
        <v>28541</v>
      </c>
      <c r="K240">
        <v>2086.25</v>
      </c>
      <c r="L240">
        <v>29493</v>
      </c>
      <c r="M240">
        <v>3435.5</v>
      </c>
    </row>
    <row r="241" spans="5:13" hidden="1" x14ac:dyDescent="0.25">
      <c r="E241" s="4">
        <v>44946</v>
      </c>
      <c r="F241">
        <v>2582.25</v>
      </c>
      <c r="G241">
        <v>2092</v>
      </c>
      <c r="H241">
        <v>2311.5</v>
      </c>
      <c r="I241" s="17">
        <v>9307.76</v>
      </c>
      <c r="J241">
        <v>28541</v>
      </c>
      <c r="K241">
        <v>2086.25</v>
      </c>
      <c r="L241">
        <v>29493</v>
      </c>
      <c r="M241">
        <v>3435.5</v>
      </c>
    </row>
    <row r="242" spans="5:13" hidden="1" x14ac:dyDescent="0.25">
      <c r="E242" s="4">
        <v>44945</v>
      </c>
      <c r="F242">
        <v>2558.25</v>
      </c>
      <c r="G242">
        <v>2091.5</v>
      </c>
      <c r="H242">
        <v>2310</v>
      </c>
      <c r="I242" s="17">
        <v>9301</v>
      </c>
      <c r="J242">
        <v>29150</v>
      </c>
      <c r="K242">
        <v>2144</v>
      </c>
      <c r="L242">
        <v>28703</v>
      </c>
      <c r="M242">
        <v>3474</v>
      </c>
    </row>
    <row r="243" spans="5:13" hidden="1" x14ac:dyDescent="0.25">
      <c r="E243" s="4">
        <v>44944</v>
      </c>
      <c r="F243">
        <v>2611.6999999999998</v>
      </c>
      <c r="G243">
        <v>2089.5</v>
      </c>
      <c r="H243">
        <v>2065</v>
      </c>
      <c r="I243" s="17">
        <v>9326</v>
      </c>
      <c r="J243">
        <v>27651</v>
      </c>
      <c r="K243">
        <v>2188.2600000000002</v>
      </c>
      <c r="L243">
        <v>29016</v>
      </c>
      <c r="M243">
        <v>3422.96</v>
      </c>
    </row>
    <row r="244" spans="5:13" hidden="1" x14ac:dyDescent="0.25">
      <c r="E244" s="4">
        <v>44943</v>
      </c>
      <c r="F244">
        <v>2593.75</v>
      </c>
      <c r="G244">
        <v>2089</v>
      </c>
      <c r="H244">
        <v>2065</v>
      </c>
      <c r="I244" s="17">
        <v>9282.99</v>
      </c>
      <c r="J244">
        <v>26485</v>
      </c>
      <c r="K244">
        <v>2239</v>
      </c>
      <c r="L244">
        <v>28331</v>
      </c>
      <c r="M244">
        <v>3312.75</v>
      </c>
    </row>
    <row r="245" spans="5:13" hidden="1" x14ac:dyDescent="0.25">
      <c r="E245" s="4">
        <v>44942</v>
      </c>
      <c r="F245">
        <v>2595.25</v>
      </c>
      <c r="G245">
        <v>2088</v>
      </c>
      <c r="H245">
        <v>2061</v>
      </c>
      <c r="I245" s="17">
        <v>9088.19</v>
      </c>
      <c r="J245">
        <v>27027</v>
      </c>
      <c r="K245">
        <v>2249</v>
      </c>
      <c r="L245">
        <v>28413</v>
      </c>
      <c r="M245">
        <v>3323.5</v>
      </c>
    </row>
    <row r="246" spans="5:13" hidden="1" x14ac:dyDescent="0.25">
      <c r="E246" s="4">
        <v>44941</v>
      </c>
      <c r="F246">
        <v>2566.35</v>
      </c>
      <c r="G246">
        <v>2090.5</v>
      </c>
      <c r="H246">
        <v>2060</v>
      </c>
      <c r="I246" s="17">
        <v>9168.5499999999993</v>
      </c>
      <c r="J246">
        <v>26599</v>
      </c>
      <c r="K246">
        <v>2271</v>
      </c>
      <c r="L246">
        <v>28677</v>
      </c>
      <c r="M246">
        <v>3348.25</v>
      </c>
    </row>
    <row r="247" spans="5:13" hidden="1" x14ac:dyDescent="0.25">
      <c r="E247" s="4">
        <v>44940</v>
      </c>
      <c r="F247">
        <v>2566.35</v>
      </c>
      <c r="G247">
        <v>2090.5</v>
      </c>
      <c r="H247">
        <v>2060</v>
      </c>
      <c r="I247" s="17">
        <v>9168.5499999999993</v>
      </c>
      <c r="J247">
        <v>26599</v>
      </c>
      <c r="K247">
        <v>2271</v>
      </c>
      <c r="L247">
        <v>28677</v>
      </c>
      <c r="M247">
        <v>3348.25</v>
      </c>
    </row>
    <row r="248" spans="5:13" hidden="1" x14ac:dyDescent="0.25">
      <c r="E248" s="4">
        <v>44939</v>
      </c>
      <c r="F248">
        <v>2566.35</v>
      </c>
      <c r="G248">
        <v>2090.5</v>
      </c>
      <c r="H248">
        <v>2060</v>
      </c>
      <c r="I248" s="17">
        <v>9168.5499999999993</v>
      </c>
      <c r="J248">
        <v>26599</v>
      </c>
      <c r="K248">
        <v>2271</v>
      </c>
      <c r="L248">
        <v>28677</v>
      </c>
      <c r="M248">
        <v>3348.25</v>
      </c>
    </row>
    <row r="249" spans="5:13" hidden="1" x14ac:dyDescent="0.25">
      <c r="E249" s="4">
        <v>44938</v>
      </c>
      <c r="F249">
        <v>2516.25</v>
      </c>
      <c r="G249">
        <v>2091</v>
      </c>
      <c r="H249">
        <v>2060</v>
      </c>
      <c r="I249" s="17">
        <v>9169.0499999999993</v>
      </c>
      <c r="J249">
        <v>26827</v>
      </c>
      <c r="K249">
        <v>2212</v>
      </c>
      <c r="L249">
        <v>27321</v>
      </c>
      <c r="M249">
        <v>3257</v>
      </c>
    </row>
    <row r="250" spans="5:13" hidden="1" x14ac:dyDescent="0.25">
      <c r="E250" s="4">
        <v>44937</v>
      </c>
      <c r="F250">
        <v>2477.75</v>
      </c>
      <c r="G250">
        <v>2091.5</v>
      </c>
      <c r="H250">
        <v>2055</v>
      </c>
      <c r="I250" s="17">
        <v>9107.5</v>
      </c>
      <c r="J250">
        <v>26836</v>
      </c>
      <c r="K250">
        <v>2204</v>
      </c>
      <c r="L250">
        <v>26721</v>
      </c>
      <c r="M250">
        <v>3226.25</v>
      </c>
    </row>
    <row r="251" spans="5:13" hidden="1" x14ac:dyDescent="0.25">
      <c r="E251" s="4">
        <v>44936</v>
      </c>
      <c r="F251">
        <v>2429</v>
      </c>
      <c r="G251">
        <v>2091.5</v>
      </c>
      <c r="H251">
        <v>2030</v>
      </c>
      <c r="I251" s="17">
        <v>8890.5</v>
      </c>
      <c r="J251">
        <v>27234</v>
      </c>
      <c r="K251">
        <v>2213.25</v>
      </c>
      <c r="L251">
        <v>25765</v>
      </c>
      <c r="M251">
        <v>3174.1</v>
      </c>
    </row>
    <row r="252" spans="5:13" hidden="1" x14ac:dyDescent="0.25">
      <c r="E252" s="4">
        <v>44935</v>
      </c>
      <c r="F252">
        <v>2404.75</v>
      </c>
      <c r="G252">
        <v>2091.5</v>
      </c>
      <c r="H252">
        <v>2017</v>
      </c>
      <c r="I252" s="17">
        <v>8833</v>
      </c>
      <c r="J252">
        <v>27213</v>
      </c>
      <c r="K252">
        <v>2264</v>
      </c>
      <c r="L252">
        <v>25801</v>
      </c>
      <c r="M252">
        <v>3223.25</v>
      </c>
    </row>
    <row r="253" spans="5:13" hidden="1" x14ac:dyDescent="0.25">
      <c r="E253" s="4">
        <v>44934</v>
      </c>
      <c r="F253">
        <v>2264.2600000000002</v>
      </c>
      <c r="G253">
        <v>2094.5</v>
      </c>
      <c r="H253">
        <v>2016</v>
      </c>
      <c r="I253" s="17">
        <v>8569.9</v>
      </c>
      <c r="J253">
        <v>27904</v>
      </c>
      <c r="K253">
        <v>2231.2600000000002</v>
      </c>
      <c r="L253">
        <v>25210</v>
      </c>
      <c r="M253">
        <v>3041.75</v>
      </c>
    </row>
    <row r="254" spans="5:13" hidden="1" x14ac:dyDescent="0.25">
      <c r="E254" s="4">
        <v>44933</v>
      </c>
      <c r="F254">
        <v>2264.2600000000002</v>
      </c>
      <c r="G254">
        <v>2094.5</v>
      </c>
      <c r="H254">
        <v>2016</v>
      </c>
      <c r="I254" s="17">
        <v>8569.9</v>
      </c>
      <c r="J254">
        <v>27904</v>
      </c>
      <c r="K254">
        <v>2231.2600000000002</v>
      </c>
      <c r="L254">
        <v>25210</v>
      </c>
      <c r="M254">
        <v>3041.75</v>
      </c>
    </row>
    <row r="255" spans="5:13" hidden="1" x14ac:dyDescent="0.25">
      <c r="E255" s="4">
        <v>44932</v>
      </c>
      <c r="F255">
        <v>2264.2600000000002</v>
      </c>
      <c r="G255">
        <v>2094.5</v>
      </c>
      <c r="H255">
        <v>2016</v>
      </c>
      <c r="I255" s="17">
        <v>8569.9</v>
      </c>
      <c r="J255">
        <v>27904</v>
      </c>
      <c r="K255">
        <v>2231.2600000000002</v>
      </c>
      <c r="L255">
        <v>25210</v>
      </c>
      <c r="M255">
        <v>3041.75</v>
      </c>
    </row>
    <row r="256" spans="5:13" hidden="1" x14ac:dyDescent="0.25">
      <c r="E256" s="4">
        <v>44931</v>
      </c>
      <c r="F256">
        <v>2222.9499999999998</v>
      </c>
      <c r="G256">
        <v>2095</v>
      </c>
      <c r="H256">
        <v>2015</v>
      </c>
      <c r="I256" s="17">
        <v>8361.5</v>
      </c>
      <c r="J256">
        <v>27599</v>
      </c>
      <c r="K256">
        <v>2264.75</v>
      </c>
      <c r="L256">
        <v>24814</v>
      </c>
      <c r="M256">
        <v>3028.25</v>
      </c>
    </row>
    <row r="257" spans="5:13" hidden="1" x14ac:dyDescent="0.25">
      <c r="E257" s="4">
        <v>44930</v>
      </c>
      <c r="F257">
        <v>2231.75</v>
      </c>
      <c r="G257">
        <v>2095.5</v>
      </c>
      <c r="H257">
        <v>2012</v>
      </c>
      <c r="I257" s="17">
        <v>8236</v>
      </c>
      <c r="J257">
        <v>29616</v>
      </c>
      <c r="K257">
        <v>2331</v>
      </c>
      <c r="L257">
        <v>25062</v>
      </c>
      <c r="M257">
        <v>3019.25</v>
      </c>
    </row>
    <row r="258" spans="5:13" hidden="1" x14ac:dyDescent="0.25">
      <c r="E258" s="4">
        <v>44929</v>
      </c>
      <c r="F258">
        <v>2275.5</v>
      </c>
      <c r="G258">
        <v>2171</v>
      </c>
      <c r="H258">
        <v>2001</v>
      </c>
      <c r="I258" s="17">
        <v>8307</v>
      </c>
      <c r="J258">
        <v>30958</v>
      </c>
      <c r="K258">
        <v>2333</v>
      </c>
      <c r="L258">
        <v>25437</v>
      </c>
      <c r="M258">
        <v>3023.75</v>
      </c>
    </row>
    <row r="259" spans="5:13" hidden="1" x14ac:dyDescent="0.25">
      <c r="E259" s="4">
        <v>44928</v>
      </c>
      <c r="F259">
        <v>2349.5100000000002</v>
      </c>
      <c r="G259">
        <v>2173.5</v>
      </c>
      <c r="H259">
        <v>2000</v>
      </c>
      <c r="I259" s="17">
        <v>8364.76</v>
      </c>
      <c r="J259">
        <v>29886</v>
      </c>
      <c r="K259">
        <v>2336.5</v>
      </c>
      <c r="L259">
        <v>24754.25</v>
      </c>
      <c r="M259">
        <v>3003.25</v>
      </c>
    </row>
    <row r="260" spans="5:13" hidden="1" x14ac:dyDescent="0.25">
      <c r="E260" s="4">
        <v>44927</v>
      </c>
      <c r="F260">
        <v>2349.5100000000002</v>
      </c>
      <c r="G260">
        <v>2173.5</v>
      </c>
      <c r="H260">
        <v>2000</v>
      </c>
      <c r="I260" s="17">
        <v>8364.76</v>
      </c>
      <c r="J260">
        <v>29886</v>
      </c>
      <c r="K260">
        <v>2336.5</v>
      </c>
      <c r="L260">
        <v>24754.25</v>
      </c>
      <c r="M260">
        <v>3003.25</v>
      </c>
    </row>
    <row r="261" spans="5:13" hidden="1" x14ac:dyDescent="0.25">
      <c r="E261" s="4">
        <v>44926</v>
      </c>
      <c r="F261">
        <v>2349.5100000000002</v>
      </c>
      <c r="G261">
        <v>2173.5</v>
      </c>
      <c r="H261">
        <v>2000</v>
      </c>
      <c r="I261" s="17">
        <v>8364.76</v>
      </c>
      <c r="J261">
        <v>29886</v>
      </c>
      <c r="K261">
        <v>2336.5</v>
      </c>
      <c r="L261">
        <v>24754.25</v>
      </c>
      <c r="M261">
        <v>3003.25</v>
      </c>
    </row>
    <row r="262" spans="5:13" hidden="1" x14ac:dyDescent="0.25">
      <c r="E262" s="4">
        <v>44925</v>
      </c>
      <c r="F262">
        <v>2349.5100000000002</v>
      </c>
      <c r="G262">
        <v>2173.5</v>
      </c>
      <c r="H262">
        <v>2000</v>
      </c>
      <c r="I262" s="17">
        <v>8364.76</v>
      </c>
      <c r="J262">
        <v>29886</v>
      </c>
      <c r="K262">
        <v>2336.5</v>
      </c>
      <c r="L262">
        <v>24754.25</v>
      </c>
      <c r="M262">
        <v>3003.25</v>
      </c>
    </row>
    <row r="263" spans="5:13" hidden="1" x14ac:dyDescent="0.25">
      <c r="E263" s="4">
        <v>44924</v>
      </c>
      <c r="F263">
        <v>2375.25</v>
      </c>
      <c r="G263">
        <v>2124</v>
      </c>
      <c r="H263">
        <v>2100</v>
      </c>
      <c r="I263" s="17">
        <v>8409.5</v>
      </c>
      <c r="J263">
        <v>30077</v>
      </c>
      <c r="K263">
        <v>2315.5</v>
      </c>
      <c r="L263">
        <v>24930</v>
      </c>
      <c r="M263">
        <v>3012.75</v>
      </c>
    </row>
    <row r="264" spans="5:13" hidden="1" x14ac:dyDescent="0.25">
      <c r="E264" s="4">
        <v>44923</v>
      </c>
      <c r="F264">
        <v>2350.2600000000002</v>
      </c>
      <c r="G264">
        <v>2114</v>
      </c>
      <c r="H264">
        <v>2200</v>
      </c>
      <c r="I264" s="17">
        <v>8426</v>
      </c>
      <c r="J264">
        <v>30234</v>
      </c>
      <c r="K264">
        <v>2264.75</v>
      </c>
      <c r="L264">
        <v>24745</v>
      </c>
      <c r="M264">
        <v>3025</v>
      </c>
    </row>
    <row r="265" spans="5:13" hidden="1" x14ac:dyDescent="0.25">
      <c r="E265" s="4">
        <v>44922</v>
      </c>
      <c r="F265">
        <v>2363.41</v>
      </c>
      <c r="G265">
        <v>2066</v>
      </c>
      <c r="H265">
        <v>2300</v>
      </c>
      <c r="I265" s="17">
        <v>8328</v>
      </c>
      <c r="J265">
        <v>29377</v>
      </c>
      <c r="K265">
        <v>2322.5</v>
      </c>
      <c r="L265">
        <v>23919</v>
      </c>
      <c r="M265">
        <v>2987</v>
      </c>
    </row>
    <row r="266" spans="5:13" hidden="1" x14ac:dyDescent="0.25">
      <c r="E266" s="4">
        <v>44921</v>
      </c>
      <c r="F266">
        <v>2363.41</v>
      </c>
      <c r="G266">
        <v>2066</v>
      </c>
      <c r="H266">
        <v>2300</v>
      </c>
      <c r="I266" s="17">
        <v>8328</v>
      </c>
      <c r="J266">
        <v>29377</v>
      </c>
      <c r="K266">
        <v>2322.5</v>
      </c>
      <c r="L266">
        <v>23919</v>
      </c>
      <c r="M266">
        <v>2987</v>
      </c>
    </row>
    <row r="267" spans="5:13" hidden="1" x14ac:dyDescent="0.25">
      <c r="E267" s="4">
        <v>44920</v>
      </c>
      <c r="F267">
        <v>2363.41</v>
      </c>
      <c r="G267">
        <v>2066</v>
      </c>
      <c r="H267">
        <v>2300</v>
      </c>
      <c r="I267" s="17">
        <v>8328</v>
      </c>
      <c r="J267">
        <v>29377</v>
      </c>
      <c r="K267">
        <v>2322.5</v>
      </c>
      <c r="L267">
        <v>23919</v>
      </c>
      <c r="M267">
        <v>2987</v>
      </c>
    </row>
    <row r="268" spans="5:13" hidden="1" x14ac:dyDescent="0.25">
      <c r="E268" s="4">
        <v>44919</v>
      </c>
      <c r="F268">
        <v>2363.41</v>
      </c>
      <c r="G268">
        <v>2066</v>
      </c>
      <c r="H268">
        <v>2300</v>
      </c>
      <c r="I268" s="17">
        <v>8328</v>
      </c>
      <c r="J268">
        <v>29377</v>
      </c>
      <c r="K268">
        <v>2322.5</v>
      </c>
      <c r="L268">
        <v>23919</v>
      </c>
      <c r="M268">
        <v>2987</v>
      </c>
    </row>
    <row r="269" spans="5:13" hidden="1" x14ac:dyDescent="0.25">
      <c r="E269" s="4">
        <v>44918</v>
      </c>
      <c r="F269">
        <v>2363.41</v>
      </c>
      <c r="G269">
        <v>2066</v>
      </c>
      <c r="H269">
        <v>2300</v>
      </c>
      <c r="I269" s="17">
        <v>8328</v>
      </c>
      <c r="J269">
        <v>29377</v>
      </c>
      <c r="K269">
        <v>2322.5</v>
      </c>
      <c r="L269">
        <v>23919</v>
      </c>
      <c r="M269">
        <v>2987</v>
      </c>
    </row>
    <row r="270" spans="5:13" hidden="1" x14ac:dyDescent="0.25">
      <c r="E270" s="4">
        <v>44917</v>
      </c>
      <c r="F270">
        <v>2376.75</v>
      </c>
      <c r="G270">
        <v>1966.5</v>
      </c>
      <c r="H270">
        <v>2390</v>
      </c>
      <c r="I270" s="17">
        <v>8290.5</v>
      </c>
      <c r="J270">
        <v>29075</v>
      </c>
      <c r="K270">
        <v>2253.75</v>
      </c>
      <c r="L270">
        <v>23885</v>
      </c>
      <c r="M270">
        <v>2965</v>
      </c>
    </row>
    <row r="271" spans="5:13" hidden="1" x14ac:dyDescent="0.25">
      <c r="E271" s="4">
        <v>44916</v>
      </c>
      <c r="F271">
        <v>2363.25</v>
      </c>
      <c r="G271">
        <v>1967</v>
      </c>
      <c r="H271">
        <v>2390</v>
      </c>
      <c r="I271" s="17">
        <v>8369.5</v>
      </c>
      <c r="J271">
        <v>29431.5</v>
      </c>
      <c r="K271">
        <v>2252.25</v>
      </c>
      <c r="L271">
        <v>24048</v>
      </c>
      <c r="M271">
        <v>3031</v>
      </c>
    </row>
    <row r="272" spans="5:13" hidden="1" x14ac:dyDescent="0.25">
      <c r="E272" s="4">
        <v>44915</v>
      </c>
      <c r="F272">
        <v>2339</v>
      </c>
      <c r="G272">
        <v>1827</v>
      </c>
      <c r="H272">
        <v>2390</v>
      </c>
      <c r="I272" s="17">
        <v>8333.75</v>
      </c>
      <c r="J272">
        <v>28199</v>
      </c>
      <c r="K272">
        <v>2194</v>
      </c>
      <c r="L272">
        <v>23909</v>
      </c>
      <c r="M272">
        <v>3120.5</v>
      </c>
    </row>
    <row r="273" spans="5:13" hidden="1" x14ac:dyDescent="0.25">
      <c r="E273" s="4">
        <v>44914</v>
      </c>
      <c r="F273">
        <v>2323.5</v>
      </c>
      <c r="G273">
        <v>1832</v>
      </c>
      <c r="H273">
        <v>2390</v>
      </c>
      <c r="I273" s="17">
        <v>8303.25</v>
      </c>
      <c r="J273">
        <v>27073</v>
      </c>
      <c r="K273">
        <v>2173</v>
      </c>
      <c r="L273">
        <v>23288.18</v>
      </c>
      <c r="M273">
        <v>3052</v>
      </c>
    </row>
    <row r="274" spans="5:13" hidden="1" x14ac:dyDescent="0.25">
      <c r="E274" s="4">
        <v>44913</v>
      </c>
      <c r="F274">
        <v>2337.1</v>
      </c>
      <c r="G274">
        <v>1860</v>
      </c>
      <c r="H274">
        <v>2390</v>
      </c>
      <c r="I274" s="17">
        <v>8234</v>
      </c>
      <c r="J274">
        <v>28132.75</v>
      </c>
      <c r="K274">
        <v>2155.25</v>
      </c>
      <c r="L274">
        <v>23560</v>
      </c>
      <c r="M274">
        <v>3048.5</v>
      </c>
    </row>
    <row r="275" spans="5:13" hidden="1" x14ac:dyDescent="0.25">
      <c r="E275" s="4">
        <v>44912</v>
      </c>
      <c r="F275">
        <v>2337.1</v>
      </c>
      <c r="G275">
        <v>1860</v>
      </c>
      <c r="H275">
        <v>2390</v>
      </c>
      <c r="I275" s="17">
        <v>8234</v>
      </c>
      <c r="J275">
        <v>28132.75</v>
      </c>
      <c r="K275">
        <v>2155.25</v>
      </c>
      <c r="L275">
        <v>23560</v>
      </c>
      <c r="M275">
        <v>3048.5</v>
      </c>
    </row>
    <row r="276" spans="5:13" hidden="1" x14ac:dyDescent="0.25">
      <c r="E276" s="4">
        <v>44911</v>
      </c>
      <c r="F276">
        <v>2337.1</v>
      </c>
      <c r="G276">
        <v>1860</v>
      </c>
      <c r="H276">
        <v>2390</v>
      </c>
      <c r="I276" s="17">
        <v>8234</v>
      </c>
      <c r="J276">
        <v>28132.75</v>
      </c>
      <c r="K276">
        <v>2155.25</v>
      </c>
      <c r="L276">
        <v>23560</v>
      </c>
      <c r="M276">
        <v>3048.5</v>
      </c>
    </row>
    <row r="277" spans="5:13" hidden="1" x14ac:dyDescent="0.25">
      <c r="E277" s="4">
        <v>44910</v>
      </c>
      <c r="F277">
        <v>2344.75</v>
      </c>
      <c r="G277">
        <v>1860</v>
      </c>
      <c r="H277">
        <v>2390</v>
      </c>
      <c r="I277" s="17">
        <v>8253</v>
      </c>
      <c r="J277">
        <v>28103</v>
      </c>
      <c r="K277">
        <v>2146.5</v>
      </c>
      <c r="L277">
        <v>23636</v>
      </c>
      <c r="M277">
        <v>3180.75</v>
      </c>
    </row>
    <row r="278" spans="5:13" hidden="1" x14ac:dyDescent="0.25">
      <c r="E278" s="4">
        <v>44909</v>
      </c>
      <c r="F278">
        <v>2402</v>
      </c>
      <c r="G278">
        <v>1860</v>
      </c>
      <c r="H278">
        <v>2389</v>
      </c>
      <c r="I278" s="17">
        <v>8478.25</v>
      </c>
      <c r="J278">
        <v>28143</v>
      </c>
      <c r="K278">
        <v>2171.5</v>
      </c>
      <c r="L278">
        <v>24323.5</v>
      </c>
      <c r="M278">
        <v>3261.5</v>
      </c>
    </row>
    <row r="279" spans="5:13" hidden="1" x14ac:dyDescent="0.25">
      <c r="E279" s="4">
        <v>44908</v>
      </c>
      <c r="F279">
        <v>2419.75</v>
      </c>
      <c r="G279">
        <v>1860</v>
      </c>
      <c r="H279">
        <v>2388.5</v>
      </c>
      <c r="I279" s="17">
        <v>8449.25</v>
      </c>
      <c r="J279">
        <v>28007</v>
      </c>
      <c r="K279">
        <v>2197.25</v>
      </c>
      <c r="L279">
        <v>24689</v>
      </c>
      <c r="M279">
        <v>3346.25</v>
      </c>
    </row>
    <row r="280" spans="5:13" hidden="1" x14ac:dyDescent="0.25">
      <c r="E280" s="4">
        <v>44907</v>
      </c>
      <c r="F280">
        <v>2375.9899999999998</v>
      </c>
      <c r="G280">
        <v>1860</v>
      </c>
      <c r="H280">
        <v>2388</v>
      </c>
      <c r="I280" s="17">
        <v>8329.25</v>
      </c>
      <c r="J280">
        <v>29225</v>
      </c>
      <c r="K280">
        <v>2177.5</v>
      </c>
      <c r="L280">
        <v>23970</v>
      </c>
      <c r="M280">
        <v>3300</v>
      </c>
    </row>
    <row r="281" spans="5:13" hidden="1" x14ac:dyDescent="0.25">
      <c r="E281" s="4">
        <v>44906</v>
      </c>
      <c r="F281">
        <v>2447.25</v>
      </c>
      <c r="G281">
        <v>1860</v>
      </c>
      <c r="H281">
        <v>2388</v>
      </c>
      <c r="I281" s="17">
        <v>8507</v>
      </c>
      <c r="J281">
        <v>29210</v>
      </c>
      <c r="K281">
        <v>2192</v>
      </c>
      <c r="L281">
        <v>24328</v>
      </c>
      <c r="M281">
        <v>3286</v>
      </c>
    </row>
    <row r="282" spans="5:13" hidden="1" x14ac:dyDescent="0.25">
      <c r="E282" s="4">
        <v>44905</v>
      </c>
      <c r="F282">
        <v>2447.25</v>
      </c>
      <c r="G282">
        <v>1860</v>
      </c>
      <c r="H282">
        <v>2388</v>
      </c>
      <c r="I282" s="17">
        <v>8507</v>
      </c>
      <c r="J282">
        <v>29210</v>
      </c>
      <c r="K282">
        <v>2192</v>
      </c>
      <c r="L282">
        <v>24328</v>
      </c>
      <c r="M282">
        <v>3286</v>
      </c>
    </row>
    <row r="283" spans="5:13" hidden="1" x14ac:dyDescent="0.25">
      <c r="E283" s="4">
        <v>44904</v>
      </c>
      <c r="F283">
        <v>2447.25</v>
      </c>
      <c r="G283">
        <v>1860</v>
      </c>
      <c r="H283">
        <v>2388</v>
      </c>
      <c r="I283" s="17">
        <v>8507</v>
      </c>
      <c r="J283">
        <v>29210</v>
      </c>
      <c r="K283">
        <v>2192</v>
      </c>
      <c r="L283">
        <v>24328</v>
      </c>
      <c r="M283">
        <v>3286</v>
      </c>
    </row>
    <row r="284" spans="5:13" hidden="1" x14ac:dyDescent="0.25">
      <c r="E284" s="4">
        <v>44903</v>
      </c>
      <c r="F284">
        <v>2470.2600000000002</v>
      </c>
      <c r="G284">
        <v>1860</v>
      </c>
      <c r="H284">
        <v>2388</v>
      </c>
      <c r="I284" s="17">
        <v>8524.75</v>
      </c>
      <c r="J284">
        <v>29538</v>
      </c>
      <c r="K284">
        <v>2198.75</v>
      </c>
      <c r="L284">
        <v>24687</v>
      </c>
      <c r="M284">
        <v>3269</v>
      </c>
    </row>
    <row r="285" spans="5:13" hidden="1" x14ac:dyDescent="0.25">
      <c r="E285" s="4">
        <v>44902</v>
      </c>
      <c r="F285">
        <v>2452.5</v>
      </c>
      <c r="G285">
        <v>1860</v>
      </c>
      <c r="H285">
        <v>2387</v>
      </c>
      <c r="I285" s="17">
        <v>8430</v>
      </c>
      <c r="J285">
        <v>31281</v>
      </c>
      <c r="K285">
        <v>2196.25</v>
      </c>
      <c r="L285">
        <v>24387</v>
      </c>
      <c r="M285">
        <v>3207</v>
      </c>
    </row>
    <row r="286" spans="5:13" hidden="1" x14ac:dyDescent="0.25">
      <c r="E286" s="4">
        <v>44901</v>
      </c>
      <c r="F286">
        <v>2477.2600000000002</v>
      </c>
      <c r="G286">
        <v>1860</v>
      </c>
      <c r="H286">
        <v>2386.5</v>
      </c>
      <c r="I286" s="17">
        <v>8384.75</v>
      </c>
      <c r="J286">
        <v>29142</v>
      </c>
      <c r="K286">
        <v>2206.5</v>
      </c>
      <c r="L286">
        <v>24946.5</v>
      </c>
      <c r="M286">
        <v>3179</v>
      </c>
    </row>
    <row r="287" spans="5:13" hidden="1" x14ac:dyDescent="0.25">
      <c r="E287" s="4">
        <v>44900</v>
      </c>
      <c r="F287">
        <v>2491.5</v>
      </c>
      <c r="G287">
        <v>1860</v>
      </c>
      <c r="H287">
        <v>2386.5</v>
      </c>
      <c r="I287" s="17">
        <v>8348.5</v>
      </c>
      <c r="J287">
        <v>28556</v>
      </c>
      <c r="K287">
        <v>2225</v>
      </c>
      <c r="L287">
        <v>24571</v>
      </c>
      <c r="M287">
        <v>3139.5</v>
      </c>
    </row>
    <row r="288" spans="5:13" hidden="1" x14ac:dyDescent="0.25">
      <c r="E288" s="4">
        <v>44899</v>
      </c>
      <c r="F288">
        <v>2517.4499999999998</v>
      </c>
      <c r="G288">
        <v>1860</v>
      </c>
      <c r="H288">
        <v>2386</v>
      </c>
      <c r="I288" s="17">
        <v>8432.5</v>
      </c>
      <c r="J288">
        <v>28750</v>
      </c>
      <c r="K288">
        <v>2189.75</v>
      </c>
      <c r="L288">
        <v>23380</v>
      </c>
      <c r="M288">
        <v>3085.25</v>
      </c>
    </row>
    <row r="289" spans="5:13" hidden="1" x14ac:dyDescent="0.25">
      <c r="E289" s="4">
        <v>44898</v>
      </c>
      <c r="F289">
        <v>2517.4499999999998</v>
      </c>
      <c r="G289">
        <v>1860</v>
      </c>
      <c r="H289">
        <v>2386</v>
      </c>
      <c r="I289" s="17">
        <v>8432.5</v>
      </c>
      <c r="J289">
        <v>28750</v>
      </c>
      <c r="K289">
        <v>2189.75</v>
      </c>
      <c r="L289">
        <v>23380</v>
      </c>
      <c r="M289">
        <v>3085.25</v>
      </c>
    </row>
    <row r="290" spans="5:13" hidden="1" x14ac:dyDescent="0.25">
      <c r="E290" s="4">
        <v>44897</v>
      </c>
      <c r="F290">
        <v>2517.4499999999998</v>
      </c>
      <c r="G290">
        <v>1860</v>
      </c>
      <c r="H290">
        <v>2386</v>
      </c>
      <c r="I290" s="17">
        <v>8432.5</v>
      </c>
      <c r="J290">
        <v>28750</v>
      </c>
      <c r="K290">
        <v>2189.75</v>
      </c>
      <c r="L290">
        <v>23380</v>
      </c>
      <c r="M290">
        <v>3085.25</v>
      </c>
    </row>
    <row r="291" spans="5:13" hidden="1" x14ac:dyDescent="0.25">
      <c r="E291" s="4">
        <v>44896</v>
      </c>
      <c r="F291">
        <v>2456.9899999999998</v>
      </c>
      <c r="G291">
        <v>1860</v>
      </c>
      <c r="H291">
        <v>2386</v>
      </c>
      <c r="I291" s="17">
        <v>8311.5</v>
      </c>
      <c r="J291">
        <v>27496</v>
      </c>
      <c r="K291">
        <v>2161</v>
      </c>
      <c r="L291">
        <v>23491</v>
      </c>
      <c r="M291">
        <v>3090.25</v>
      </c>
    </row>
    <row r="292" spans="5:13" hidden="1" x14ac:dyDescent="0.25">
      <c r="E292" s="4">
        <v>44895</v>
      </c>
      <c r="F292">
        <v>2447.5</v>
      </c>
      <c r="G292">
        <v>1860</v>
      </c>
      <c r="H292">
        <v>2385.5</v>
      </c>
      <c r="I292" s="17">
        <v>8226.75</v>
      </c>
      <c r="J292">
        <v>26892</v>
      </c>
      <c r="K292">
        <v>2181.75</v>
      </c>
      <c r="L292">
        <v>23045</v>
      </c>
      <c r="M292">
        <v>3050.25</v>
      </c>
    </row>
    <row r="293" spans="5:13" hidden="1" x14ac:dyDescent="0.25">
      <c r="E293" s="4">
        <v>44894</v>
      </c>
      <c r="F293">
        <v>2344.9899999999998</v>
      </c>
      <c r="G293">
        <v>1860</v>
      </c>
      <c r="H293">
        <v>2385.5</v>
      </c>
      <c r="I293" s="17">
        <v>8036</v>
      </c>
      <c r="J293">
        <v>26744</v>
      </c>
      <c r="K293">
        <v>2123</v>
      </c>
      <c r="L293">
        <v>22918</v>
      </c>
      <c r="M293">
        <v>2949.5</v>
      </c>
    </row>
    <row r="294" spans="5:13" hidden="1" x14ac:dyDescent="0.25">
      <c r="E294" s="4">
        <v>44893</v>
      </c>
      <c r="F294">
        <v>2327.7600000000002</v>
      </c>
      <c r="G294">
        <v>1860</v>
      </c>
      <c r="H294">
        <v>2385.5</v>
      </c>
      <c r="I294" s="17">
        <v>7935.25</v>
      </c>
      <c r="J294">
        <v>25512</v>
      </c>
      <c r="K294">
        <v>2103.5</v>
      </c>
      <c r="L294">
        <v>22458</v>
      </c>
      <c r="M294">
        <v>2947.5</v>
      </c>
    </row>
    <row r="295" spans="5:13" hidden="1" x14ac:dyDescent="0.25">
      <c r="E295" s="4">
        <v>44892</v>
      </c>
      <c r="F295">
        <v>2329.5500000000002</v>
      </c>
      <c r="G295">
        <v>1860</v>
      </c>
      <c r="H295">
        <v>2385.5</v>
      </c>
      <c r="I295" s="17">
        <v>7975</v>
      </c>
      <c r="J295">
        <v>25304</v>
      </c>
      <c r="K295">
        <v>2105.5</v>
      </c>
      <c r="L295">
        <v>22288</v>
      </c>
      <c r="M295">
        <v>2920.75</v>
      </c>
    </row>
    <row r="296" spans="5:13" hidden="1" x14ac:dyDescent="0.25">
      <c r="E296" s="4">
        <v>44891</v>
      </c>
      <c r="F296">
        <v>2329.5500000000002</v>
      </c>
      <c r="G296">
        <v>1860</v>
      </c>
      <c r="H296">
        <v>2385.5</v>
      </c>
      <c r="I296" s="17">
        <v>7975</v>
      </c>
      <c r="J296">
        <v>25304</v>
      </c>
      <c r="K296">
        <v>2105.5</v>
      </c>
      <c r="L296">
        <v>22288</v>
      </c>
      <c r="M296">
        <v>2920.75</v>
      </c>
    </row>
    <row r="297" spans="5:13" hidden="1" x14ac:dyDescent="0.25">
      <c r="E297" s="4">
        <v>44890</v>
      </c>
      <c r="F297">
        <v>2329.5500000000002</v>
      </c>
      <c r="G297">
        <v>1860</v>
      </c>
      <c r="H297">
        <v>2385.5</v>
      </c>
      <c r="I297" s="17">
        <v>7975</v>
      </c>
      <c r="J297">
        <v>25304</v>
      </c>
      <c r="K297">
        <v>2105.5</v>
      </c>
      <c r="L297">
        <v>22288</v>
      </c>
      <c r="M297">
        <v>2920.75</v>
      </c>
    </row>
    <row r="298" spans="5:13" hidden="1" x14ac:dyDescent="0.25">
      <c r="E298" s="4">
        <v>44889</v>
      </c>
      <c r="F298">
        <v>2337.7600000000002</v>
      </c>
      <c r="G298">
        <v>1860</v>
      </c>
      <c r="H298">
        <v>2385.5</v>
      </c>
      <c r="I298" s="17">
        <v>8003</v>
      </c>
      <c r="J298">
        <v>25986</v>
      </c>
      <c r="K298">
        <v>2119.25</v>
      </c>
      <c r="L298">
        <v>22282</v>
      </c>
      <c r="M298">
        <v>2910.75</v>
      </c>
    </row>
    <row r="299" spans="5:13" hidden="1" x14ac:dyDescent="0.25">
      <c r="E299" s="4">
        <v>44888</v>
      </c>
      <c r="F299">
        <v>2369.4</v>
      </c>
      <c r="G299">
        <v>1860</v>
      </c>
      <c r="H299">
        <v>2385</v>
      </c>
      <c r="I299" s="17">
        <v>7962.25</v>
      </c>
      <c r="J299">
        <v>26154.25</v>
      </c>
      <c r="K299">
        <v>2094.5</v>
      </c>
      <c r="L299">
        <v>22055</v>
      </c>
      <c r="M299">
        <v>2900.25</v>
      </c>
    </row>
    <row r="300" spans="5:13" hidden="1" x14ac:dyDescent="0.25">
      <c r="E300" s="4">
        <v>44887</v>
      </c>
      <c r="F300">
        <v>2406.0300000000002</v>
      </c>
      <c r="G300">
        <v>1860</v>
      </c>
      <c r="H300">
        <v>2385</v>
      </c>
      <c r="I300" s="17">
        <v>7975.25</v>
      </c>
      <c r="J300">
        <v>25895</v>
      </c>
      <c r="K300">
        <v>2077</v>
      </c>
      <c r="L300">
        <v>22219</v>
      </c>
      <c r="M300">
        <v>2906</v>
      </c>
    </row>
    <row r="301" spans="5:13" hidden="1" x14ac:dyDescent="0.25">
      <c r="E301" s="4">
        <v>44886</v>
      </c>
      <c r="F301">
        <v>2355.5500000000002</v>
      </c>
      <c r="G301">
        <v>1860</v>
      </c>
      <c r="H301">
        <v>2384.5</v>
      </c>
      <c r="I301" s="17">
        <v>7840.5</v>
      </c>
      <c r="J301">
        <v>24828</v>
      </c>
      <c r="K301">
        <v>2082.25</v>
      </c>
      <c r="L301">
        <v>21243</v>
      </c>
      <c r="M301">
        <v>2890.25</v>
      </c>
    </row>
    <row r="302" spans="5:13" hidden="1" x14ac:dyDescent="0.25">
      <c r="E302" s="4">
        <v>44885</v>
      </c>
      <c r="F302">
        <v>2405.5100000000002</v>
      </c>
      <c r="G302">
        <v>1860</v>
      </c>
      <c r="H302">
        <v>2384.5</v>
      </c>
      <c r="I302" s="17">
        <v>8042.5</v>
      </c>
      <c r="J302">
        <v>25251</v>
      </c>
      <c r="K302">
        <v>2141.0500000000002</v>
      </c>
      <c r="L302">
        <v>22809</v>
      </c>
      <c r="M302">
        <v>3023</v>
      </c>
    </row>
    <row r="303" spans="5:13" hidden="1" x14ac:dyDescent="0.25">
      <c r="E303" s="4">
        <v>44884</v>
      </c>
      <c r="F303">
        <v>2405.5100000000002</v>
      </c>
      <c r="G303">
        <v>1860</v>
      </c>
      <c r="H303">
        <v>2384.5</v>
      </c>
      <c r="I303" s="17">
        <v>8042.5</v>
      </c>
      <c r="J303">
        <v>25251</v>
      </c>
      <c r="K303">
        <v>2141.0500000000002</v>
      </c>
      <c r="L303">
        <v>22809</v>
      </c>
      <c r="M303">
        <v>3023</v>
      </c>
    </row>
    <row r="304" spans="5:13" hidden="1" x14ac:dyDescent="0.25">
      <c r="E304" s="4">
        <v>44883</v>
      </c>
      <c r="F304">
        <v>2405.5100000000002</v>
      </c>
      <c r="G304">
        <v>1860</v>
      </c>
      <c r="H304">
        <v>2384.5</v>
      </c>
      <c r="I304" s="17">
        <v>8042.5</v>
      </c>
      <c r="J304">
        <v>25251</v>
      </c>
      <c r="K304">
        <v>2141.0500000000002</v>
      </c>
      <c r="L304">
        <v>22809</v>
      </c>
      <c r="M304">
        <v>3023</v>
      </c>
    </row>
    <row r="305" spans="5:13" hidden="1" x14ac:dyDescent="0.25">
      <c r="E305" s="4">
        <v>44882</v>
      </c>
      <c r="F305">
        <v>2365</v>
      </c>
      <c r="G305">
        <v>1860</v>
      </c>
      <c r="H305">
        <v>2384.5</v>
      </c>
      <c r="I305" s="17">
        <v>8072.25</v>
      </c>
      <c r="J305">
        <v>27438</v>
      </c>
      <c r="K305">
        <v>2139</v>
      </c>
      <c r="L305">
        <v>22726</v>
      </c>
      <c r="M305">
        <v>2984</v>
      </c>
    </row>
    <row r="306" spans="5:13" hidden="1" x14ac:dyDescent="0.25">
      <c r="E306" s="4">
        <v>44881</v>
      </c>
      <c r="F306">
        <v>2387</v>
      </c>
      <c r="G306">
        <v>1860</v>
      </c>
      <c r="H306">
        <v>2384</v>
      </c>
      <c r="I306" s="17">
        <v>8260.75</v>
      </c>
      <c r="J306">
        <v>27438</v>
      </c>
      <c r="K306">
        <v>2166.75</v>
      </c>
      <c r="L306">
        <v>23822</v>
      </c>
      <c r="M306">
        <v>3061.5</v>
      </c>
    </row>
    <row r="307" spans="5:13" hidden="1" x14ac:dyDescent="0.25">
      <c r="E307" s="4">
        <v>44880</v>
      </c>
      <c r="F307">
        <v>2407.25</v>
      </c>
      <c r="G307">
        <v>1860</v>
      </c>
      <c r="H307">
        <v>2384</v>
      </c>
      <c r="I307" s="17">
        <v>8348.25</v>
      </c>
      <c r="J307">
        <v>30178.5</v>
      </c>
      <c r="K307">
        <v>2220.75</v>
      </c>
      <c r="L307">
        <v>23592</v>
      </c>
      <c r="M307">
        <v>3128.5</v>
      </c>
    </row>
    <row r="308" spans="5:13" hidden="1" x14ac:dyDescent="0.25">
      <c r="E308" s="4">
        <v>44879</v>
      </c>
      <c r="F308">
        <v>2427.5</v>
      </c>
      <c r="G308">
        <v>1860</v>
      </c>
      <c r="H308">
        <v>2384</v>
      </c>
      <c r="I308" s="17">
        <v>8356</v>
      </c>
      <c r="J308">
        <v>28767</v>
      </c>
      <c r="K308">
        <v>2194.5</v>
      </c>
      <c r="L308">
        <v>22275</v>
      </c>
      <c r="M308">
        <v>3154</v>
      </c>
    </row>
    <row r="309" spans="5:13" hidden="1" x14ac:dyDescent="0.25">
      <c r="E309" s="4">
        <v>44878</v>
      </c>
      <c r="F309">
        <v>2445.75</v>
      </c>
      <c r="G309">
        <v>1860</v>
      </c>
      <c r="H309">
        <v>2383.5</v>
      </c>
      <c r="I309" s="17">
        <v>8501.9</v>
      </c>
      <c r="J309">
        <v>26856</v>
      </c>
      <c r="K309">
        <v>2165.5</v>
      </c>
      <c r="L309">
        <v>21497</v>
      </c>
      <c r="M309">
        <v>3044.25</v>
      </c>
    </row>
    <row r="310" spans="5:13" hidden="1" x14ac:dyDescent="0.25">
      <c r="E310" s="4">
        <v>44877</v>
      </c>
      <c r="F310">
        <v>2445.75</v>
      </c>
      <c r="G310">
        <v>1860</v>
      </c>
      <c r="H310">
        <v>2383.5</v>
      </c>
      <c r="I310" s="17">
        <v>8501.9</v>
      </c>
      <c r="J310">
        <v>26856</v>
      </c>
      <c r="K310">
        <v>2165.5</v>
      </c>
      <c r="L310">
        <v>21497</v>
      </c>
      <c r="M310">
        <v>3044.25</v>
      </c>
    </row>
    <row r="311" spans="5:13" hidden="1" x14ac:dyDescent="0.25">
      <c r="E311" s="4">
        <v>44876</v>
      </c>
      <c r="F311">
        <v>2445.75</v>
      </c>
      <c r="G311">
        <v>1860</v>
      </c>
      <c r="H311">
        <v>2383.5</v>
      </c>
      <c r="I311" s="17">
        <v>8501.9</v>
      </c>
      <c r="J311">
        <v>26856</v>
      </c>
      <c r="K311">
        <v>2165.5</v>
      </c>
      <c r="L311">
        <v>21497</v>
      </c>
      <c r="M311">
        <v>3044.25</v>
      </c>
    </row>
    <row r="312" spans="5:13" hidden="1" x14ac:dyDescent="0.25">
      <c r="E312" s="4">
        <v>44875</v>
      </c>
      <c r="F312">
        <v>2309.75</v>
      </c>
      <c r="G312">
        <v>1830</v>
      </c>
      <c r="H312">
        <v>2383.5</v>
      </c>
      <c r="I312" s="17">
        <v>8282.5</v>
      </c>
      <c r="J312">
        <v>25853</v>
      </c>
      <c r="K312">
        <v>2099.5</v>
      </c>
      <c r="L312">
        <v>20550</v>
      </c>
      <c r="M312">
        <v>2899.5</v>
      </c>
    </row>
    <row r="313" spans="5:13" hidden="1" x14ac:dyDescent="0.25">
      <c r="E313" s="4">
        <v>44874</v>
      </c>
      <c r="F313">
        <v>2303.89</v>
      </c>
      <c r="G313">
        <v>1750</v>
      </c>
      <c r="H313">
        <v>2383.5</v>
      </c>
      <c r="I313" s="17">
        <v>8114.25</v>
      </c>
      <c r="J313">
        <v>24595</v>
      </c>
      <c r="K313">
        <v>2085</v>
      </c>
      <c r="L313">
        <v>19997</v>
      </c>
      <c r="M313">
        <v>2867</v>
      </c>
    </row>
    <row r="314" spans="5:13" hidden="1" x14ac:dyDescent="0.25">
      <c r="E314" s="4">
        <v>44873</v>
      </c>
      <c r="F314">
        <v>2356.56</v>
      </c>
      <c r="G314">
        <v>1700</v>
      </c>
      <c r="H314">
        <v>2392.5</v>
      </c>
      <c r="I314" s="17">
        <v>8127.5</v>
      </c>
      <c r="J314">
        <v>23906.5</v>
      </c>
      <c r="K314">
        <v>2060.5</v>
      </c>
      <c r="L314">
        <v>19724</v>
      </c>
      <c r="M314">
        <v>2946.5</v>
      </c>
    </row>
    <row r="315" spans="5:13" hidden="1" x14ac:dyDescent="0.25">
      <c r="E315" s="4">
        <v>44872</v>
      </c>
      <c r="F315">
        <v>2322.59</v>
      </c>
      <c r="G315">
        <v>1660</v>
      </c>
      <c r="H315">
        <v>2392</v>
      </c>
      <c r="I315" s="17">
        <v>7924.75</v>
      </c>
      <c r="J315">
        <v>23290</v>
      </c>
      <c r="K315">
        <v>2041.75</v>
      </c>
      <c r="L315">
        <v>18997</v>
      </c>
      <c r="M315">
        <v>2907.5</v>
      </c>
    </row>
    <row r="316" spans="5:13" hidden="1" x14ac:dyDescent="0.25">
      <c r="E316" s="4">
        <v>44871</v>
      </c>
      <c r="F316">
        <v>2344.5</v>
      </c>
      <c r="G316">
        <v>1660</v>
      </c>
      <c r="H316">
        <v>2392</v>
      </c>
      <c r="I316" s="17">
        <v>8136</v>
      </c>
      <c r="J316">
        <v>23721</v>
      </c>
      <c r="K316">
        <v>2005.55</v>
      </c>
      <c r="L316">
        <v>18992</v>
      </c>
      <c r="M316">
        <v>2893</v>
      </c>
    </row>
    <row r="317" spans="5:13" hidden="1" x14ac:dyDescent="0.25">
      <c r="E317" s="4">
        <v>44870</v>
      </c>
      <c r="F317">
        <v>2344.5</v>
      </c>
      <c r="G317">
        <v>1660</v>
      </c>
      <c r="H317">
        <v>2392</v>
      </c>
      <c r="I317" s="17">
        <v>8136</v>
      </c>
      <c r="J317">
        <v>23721</v>
      </c>
      <c r="K317">
        <v>2005.55</v>
      </c>
      <c r="L317">
        <v>18992</v>
      </c>
      <c r="M317">
        <v>2893</v>
      </c>
    </row>
    <row r="318" spans="5:13" hidden="1" x14ac:dyDescent="0.25">
      <c r="E318" s="4">
        <v>44869</v>
      </c>
      <c r="F318">
        <v>2344.5</v>
      </c>
      <c r="G318">
        <v>1660</v>
      </c>
      <c r="H318">
        <v>2392</v>
      </c>
      <c r="I318" s="17">
        <v>8136</v>
      </c>
      <c r="J318">
        <v>23721</v>
      </c>
      <c r="K318">
        <v>2005.55</v>
      </c>
      <c r="L318">
        <v>18992</v>
      </c>
      <c r="M318">
        <v>2893</v>
      </c>
    </row>
    <row r="319" spans="5:13" hidden="1" x14ac:dyDescent="0.25">
      <c r="E319" s="4">
        <v>44868</v>
      </c>
      <c r="F319">
        <v>2251</v>
      </c>
      <c r="G319">
        <v>1660</v>
      </c>
      <c r="H319">
        <v>2391.5</v>
      </c>
      <c r="I319" s="17">
        <v>7596</v>
      </c>
      <c r="J319">
        <v>22703</v>
      </c>
      <c r="K319">
        <v>2005.5</v>
      </c>
      <c r="L319">
        <v>17907</v>
      </c>
      <c r="M319">
        <v>2737.25</v>
      </c>
    </row>
    <row r="320" spans="5:13" hidden="1" x14ac:dyDescent="0.25">
      <c r="E320" s="4">
        <v>44867</v>
      </c>
      <c r="F320">
        <v>2238.4499999999998</v>
      </c>
      <c r="G320">
        <v>1600</v>
      </c>
      <c r="H320">
        <v>2390.5</v>
      </c>
      <c r="I320" s="17">
        <v>7663.25</v>
      </c>
      <c r="J320">
        <v>24063</v>
      </c>
      <c r="K320">
        <v>2000.99</v>
      </c>
      <c r="L320">
        <v>18098</v>
      </c>
      <c r="M320">
        <v>2765</v>
      </c>
    </row>
    <row r="321" spans="5:13" hidden="1" x14ac:dyDescent="0.25">
      <c r="E321" s="4">
        <v>44866</v>
      </c>
      <c r="F321">
        <v>2232.5</v>
      </c>
      <c r="G321">
        <v>1600</v>
      </c>
      <c r="H321">
        <v>2390</v>
      </c>
      <c r="I321" s="17">
        <v>7717</v>
      </c>
      <c r="J321">
        <v>23513.1</v>
      </c>
      <c r="K321">
        <v>1986.75</v>
      </c>
      <c r="L321">
        <v>17995</v>
      </c>
      <c r="M321">
        <v>2770</v>
      </c>
    </row>
    <row r="322" spans="5:13" hidden="1" x14ac:dyDescent="0.25">
      <c r="E322" s="4">
        <v>44865</v>
      </c>
      <c r="F322">
        <v>2216.75</v>
      </c>
      <c r="G322">
        <v>1600</v>
      </c>
      <c r="H322">
        <v>2389.5</v>
      </c>
      <c r="I322" s="17">
        <v>7522</v>
      </c>
      <c r="J322">
        <v>21705</v>
      </c>
      <c r="K322">
        <v>1977.58</v>
      </c>
      <c r="L322">
        <v>17652.990000000002</v>
      </c>
      <c r="M322">
        <v>2735.5</v>
      </c>
    </row>
    <row r="323" spans="5:13" hidden="1" x14ac:dyDescent="0.25">
      <c r="E323" s="4">
        <v>44864</v>
      </c>
      <c r="F323">
        <v>2200.7399999999998</v>
      </c>
      <c r="G323">
        <v>1600</v>
      </c>
      <c r="H323">
        <v>2389</v>
      </c>
      <c r="I323" s="17">
        <v>7619</v>
      </c>
      <c r="J323">
        <v>22020.5</v>
      </c>
      <c r="K323">
        <v>1870.5</v>
      </c>
      <c r="L323">
        <v>18130</v>
      </c>
      <c r="M323">
        <v>2855.9</v>
      </c>
    </row>
    <row r="324" spans="5:13" hidden="1" x14ac:dyDescent="0.25">
      <c r="E324" s="4">
        <v>44863</v>
      </c>
      <c r="F324">
        <v>2200.7399999999998</v>
      </c>
      <c r="G324">
        <v>1600</v>
      </c>
      <c r="H324">
        <v>2389</v>
      </c>
      <c r="I324" s="17">
        <v>7619</v>
      </c>
      <c r="J324">
        <v>22020.5</v>
      </c>
      <c r="K324">
        <v>1870.5</v>
      </c>
      <c r="L324">
        <v>18130</v>
      </c>
      <c r="M324">
        <v>2855.9</v>
      </c>
    </row>
    <row r="325" spans="5:13" hidden="1" x14ac:dyDescent="0.25">
      <c r="E325" s="4">
        <v>44862</v>
      </c>
      <c r="F325">
        <v>2200.7399999999998</v>
      </c>
      <c r="G325">
        <v>1600</v>
      </c>
      <c r="H325">
        <v>2389</v>
      </c>
      <c r="I325" s="17">
        <v>7619</v>
      </c>
      <c r="J325">
        <v>22020.5</v>
      </c>
      <c r="K325">
        <v>1870.5</v>
      </c>
      <c r="L325">
        <v>18130</v>
      </c>
      <c r="M325">
        <v>2855.9</v>
      </c>
    </row>
    <row r="326" spans="5:13" hidden="1" x14ac:dyDescent="0.25">
      <c r="E326" s="4">
        <v>44861</v>
      </c>
      <c r="F326">
        <v>2279.02</v>
      </c>
      <c r="G326">
        <v>1600</v>
      </c>
      <c r="H326">
        <v>2388.5</v>
      </c>
      <c r="I326" s="17">
        <v>7838.25</v>
      </c>
      <c r="J326">
        <v>22273.5</v>
      </c>
      <c r="K326">
        <v>1870.5</v>
      </c>
      <c r="L326">
        <v>18729</v>
      </c>
      <c r="M326">
        <v>2983</v>
      </c>
    </row>
    <row r="327" spans="5:13" hidden="1" x14ac:dyDescent="0.25">
      <c r="E327" s="4">
        <v>44860</v>
      </c>
      <c r="F327">
        <v>2331</v>
      </c>
      <c r="G327">
        <v>1650</v>
      </c>
      <c r="H327">
        <v>2387.5</v>
      </c>
      <c r="I327" s="17">
        <v>7886</v>
      </c>
      <c r="J327">
        <v>22559</v>
      </c>
      <c r="K327">
        <v>1899.25</v>
      </c>
      <c r="L327">
        <v>18711</v>
      </c>
      <c r="M327">
        <v>2988.5</v>
      </c>
    </row>
    <row r="328" spans="5:13" hidden="1" x14ac:dyDescent="0.25">
      <c r="E328" s="4">
        <v>44859</v>
      </c>
      <c r="F328">
        <v>2212.3000000000002</v>
      </c>
      <c r="G328">
        <v>1650</v>
      </c>
      <c r="H328">
        <v>2387</v>
      </c>
      <c r="I328" s="17">
        <v>7634</v>
      </c>
      <c r="J328">
        <v>22200.5</v>
      </c>
      <c r="K328">
        <v>1880</v>
      </c>
      <c r="L328">
        <v>18477</v>
      </c>
      <c r="M328">
        <v>2944.5</v>
      </c>
    </row>
    <row r="329" spans="5:13" hidden="1" x14ac:dyDescent="0.25">
      <c r="E329" s="4">
        <v>44858</v>
      </c>
      <c r="F329">
        <v>2157.2600000000002</v>
      </c>
      <c r="G329">
        <v>1700</v>
      </c>
      <c r="H329">
        <v>2386.5</v>
      </c>
      <c r="I329" s="17">
        <v>7689</v>
      </c>
      <c r="J329">
        <v>22151</v>
      </c>
      <c r="K329">
        <v>1904</v>
      </c>
      <c r="L329">
        <v>18456</v>
      </c>
      <c r="M329">
        <v>3011.25</v>
      </c>
    </row>
    <row r="330" spans="5:13" hidden="1" x14ac:dyDescent="0.25">
      <c r="E330" s="4">
        <v>44857</v>
      </c>
      <c r="F330">
        <v>2188.5</v>
      </c>
      <c r="G330">
        <v>1760</v>
      </c>
      <c r="H330">
        <v>2388</v>
      </c>
      <c r="I330" s="17">
        <v>7719.24</v>
      </c>
      <c r="J330">
        <v>21849</v>
      </c>
      <c r="K330">
        <v>1911.5</v>
      </c>
      <c r="L330">
        <v>18436</v>
      </c>
      <c r="M330">
        <v>2980</v>
      </c>
    </row>
    <row r="331" spans="5:13" hidden="1" x14ac:dyDescent="0.25">
      <c r="E331" s="4">
        <v>44856</v>
      </c>
      <c r="F331">
        <v>2188.5</v>
      </c>
      <c r="G331">
        <v>1760</v>
      </c>
      <c r="H331">
        <v>2388</v>
      </c>
      <c r="I331" s="17">
        <v>7719.24</v>
      </c>
      <c r="J331">
        <v>21849</v>
      </c>
      <c r="K331">
        <v>1911.5</v>
      </c>
      <c r="L331">
        <v>18436</v>
      </c>
      <c r="M331">
        <v>2980</v>
      </c>
    </row>
    <row r="332" spans="5:13" hidden="1" x14ac:dyDescent="0.25">
      <c r="E332" s="4">
        <v>44855</v>
      </c>
      <c r="F332">
        <v>2188.5</v>
      </c>
      <c r="G332">
        <v>1760</v>
      </c>
      <c r="H332">
        <v>2388</v>
      </c>
      <c r="I332" s="17">
        <v>7719.24</v>
      </c>
      <c r="J332">
        <v>21849</v>
      </c>
      <c r="K332">
        <v>1911.5</v>
      </c>
      <c r="L332">
        <v>18436</v>
      </c>
      <c r="M332">
        <v>2980</v>
      </c>
    </row>
    <row r="333" spans="5:13" hidden="1" x14ac:dyDescent="0.25">
      <c r="E333" s="4">
        <v>44854</v>
      </c>
      <c r="F333">
        <v>2194.25</v>
      </c>
      <c r="G333">
        <v>1760</v>
      </c>
      <c r="H333">
        <v>2415</v>
      </c>
      <c r="I333" s="17">
        <v>7645.5</v>
      </c>
      <c r="J333">
        <v>22085</v>
      </c>
      <c r="K333">
        <v>2000.5</v>
      </c>
      <c r="L333">
        <v>19320</v>
      </c>
      <c r="M333">
        <v>3011</v>
      </c>
    </row>
    <row r="334" spans="5:13" hidden="1" x14ac:dyDescent="0.25">
      <c r="E334" s="4">
        <v>44853</v>
      </c>
      <c r="F334">
        <v>2154.5</v>
      </c>
      <c r="G334">
        <v>1760</v>
      </c>
      <c r="H334">
        <v>2451.5</v>
      </c>
      <c r="I334" s="17">
        <v>7455.75</v>
      </c>
      <c r="J334">
        <v>21818</v>
      </c>
      <c r="K334">
        <v>2018.25</v>
      </c>
      <c r="L334">
        <v>19243</v>
      </c>
      <c r="M334">
        <v>2924.26</v>
      </c>
    </row>
    <row r="335" spans="5:13" hidden="1" x14ac:dyDescent="0.25">
      <c r="E335" s="4">
        <v>44852</v>
      </c>
      <c r="F335">
        <v>2181.5100000000002</v>
      </c>
      <c r="G335">
        <v>1760</v>
      </c>
      <c r="H335">
        <v>2450.5</v>
      </c>
      <c r="I335" s="17">
        <v>7483</v>
      </c>
      <c r="J335">
        <v>21739</v>
      </c>
      <c r="K335">
        <v>2049.5</v>
      </c>
      <c r="L335">
        <v>19415</v>
      </c>
      <c r="M335">
        <v>2879.25</v>
      </c>
    </row>
    <row r="336" spans="5:13" hidden="1" x14ac:dyDescent="0.25">
      <c r="E336" s="4">
        <v>44851</v>
      </c>
      <c r="F336">
        <v>2228.06</v>
      </c>
      <c r="G336">
        <v>1760</v>
      </c>
      <c r="H336">
        <v>2450</v>
      </c>
      <c r="I336" s="17">
        <v>7642.5</v>
      </c>
      <c r="J336">
        <v>21411</v>
      </c>
      <c r="K336">
        <v>2062.5</v>
      </c>
      <c r="L336">
        <v>19643</v>
      </c>
      <c r="M336">
        <v>2980.5</v>
      </c>
    </row>
    <row r="337" spans="5:13" hidden="1" x14ac:dyDescent="0.25">
      <c r="E337" s="4">
        <v>44850</v>
      </c>
      <c r="F337">
        <v>2306</v>
      </c>
      <c r="G337">
        <v>1760</v>
      </c>
      <c r="H337">
        <v>2450</v>
      </c>
      <c r="I337" s="17">
        <v>7652.75</v>
      </c>
      <c r="J337">
        <v>21660.75</v>
      </c>
      <c r="K337">
        <v>2075.5</v>
      </c>
      <c r="L337">
        <v>19993</v>
      </c>
      <c r="M337">
        <v>2980.5</v>
      </c>
    </row>
    <row r="338" spans="5:13" hidden="1" x14ac:dyDescent="0.25">
      <c r="E338" s="4">
        <v>44849</v>
      </c>
      <c r="F338">
        <v>2306</v>
      </c>
      <c r="G338">
        <v>1760</v>
      </c>
      <c r="H338">
        <v>2450</v>
      </c>
      <c r="I338" s="17">
        <v>7652.75</v>
      </c>
      <c r="J338">
        <v>21660.75</v>
      </c>
      <c r="K338">
        <v>2075.5</v>
      </c>
      <c r="L338">
        <v>19993</v>
      </c>
      <c r="M338">
        <v>2980.5</v>
      </c>
    </row>
    <row r="339" spans="5:13" hidden="1" x14ac:dyDescent="0.25">
      <c r="E339" s="4">
        <v>44848</v>
      </c>
      <c r="F339">
        <v>2306</v>
      </c>
      <c r="G339">
        <v>1760</v>
      </c>
      <c r="H339">
        <v>2450</v>
      </c>
      <c r="I339" s="17">
        <v>7652.75</v>
      </c>
      <c r="J339">
        <v>21660.75</v>
      </c>
      <c r="K339">
        <v>2075.5</v>
      </c>
      <c r="L339">
        <v>19993</v>
      </c>
      <c r="M339">
        <v>2980.5</v>
      </c>
    </row>
    <row r="340" spans="5:13" hidden="1" x14ac:dyDescent="0.25">
      <c r="E340" s="4">
        <v>44847</v>
      </c>
      <c r="F340">
        <v>2359.15</v>
      </c>
      <c r="G340">
        <v>1760</v>
      </c>
      <c r="H340">
        <v>2479</v>
      </c>
      <c r="I340" s="17">
        <v>7665.5</v>
      </c>
      <c r="J340">
        <v>22299</v>
      </c>
      <c r="K340">
        <v>2092</v>
      </c>
      <c r="L340">
        <v>20173.75</v>
      </c>
      <c r="M340">
        <v>2952.25</v>
      </c>
    </row>
    <row r="341" spans="5:13" hidden="1" x14ac:dyDescent="0.25">
      <c r="E341" s="4">
        <v>44846</v>
      </c>
      <c r="F341">
        <v>2259.8000000000002</v>
      </c>
      <c r="G341">
        <v>1760</v>
      </c>
      <c r="H341">
        <v>2479</v>
      </c>
      <c r="I341" s="17">
        <v>7636</v>
      </c>
      <c r="J341">
        <v>22142</v>
      </c>
      <c r="K341">
        <v>2076.25</v>
      </c>
      <c r="L341">
        <v>19900</v>
      </c>
      <c r="M341">
        <v>2939.75</v>
      </c>
    </row>
    <row r="342" spans="5:13" hidden="1" x14ac:dyDescent="0.25">
      <c r="E342" s="4">
        <v>44845</v>
      </c>
      <c r="F342">
        <v>2259.8000000000002</v>
      </c>
      <c r="G342">
        <v>1760</v>
      </c>
      <c r="H342">
        <v>2484</v>
      </c>
      <c r="I342" s="17">
        <v>7661.25</v>
      </c>
      <c r="J342">
        <v>21915</v>
      </c>
      <c r="K342">
        <v>2057.4899999999998</v>
      </c>
      <c r="L342">
        <v>20325</v>
      </c>
      <c r="M342">
        <v>2945.75</v>
      </c>
    </row>
    <row r="343" spans="5:13" hidden="1" x14ac:dyDescent="0.25">
      <c r="E343" s="4">
        <v>44844</v>
      </c>
      <c r="F343">
        <v>2259.8000000000002</v>
      </c>
      <c r="G343">
        <v>1760</v>
      </c>
      <c r="H343">
        <v>2485</v>
      </c>
      <c r="I343" s="17">
        <v>7637.75</v>
      </c>
      <c r="J343">
        <v>22282</v>
      </c>
      <c r="K343">
        <v>2116</v>
      </c>
      <c r="L343">
        <v>20188</v>
      </c>
      <c r="M343">
        <v>2978.75</v>
      </c>
    </row>
    <row r="344" spans="5:13" hidden="1" x14ac:dyDescent="0.25">
      <c r="E344" s="4">
        <v>44843</v>
      </c>
      <c r="F344">
        <v>2300.5</v>
      </c>
      <c r="G344">
        <v>1760</v>
      </c>
      <c r="H344">
        <v>2477.25</v>
      </c>
      <c r="I344" s="17">
        <v>7507.75</v>
      </c>
      <c r="J344">
        <v>22366</v>
      </c>
      <c r="K344">
        <v>2116</v>
      </c>
      <c r="L344">
        <v>20209.75</v>
      </c>
      <c r="M344">
        <v>3011.5</v>
      </c>
    </row>
    <row r="345" spans="5:13" hidden="1" x14ac:dyDescent="0.25">
      <c r="E345" s="4">
        <v>44842</v>
      </c>
      <c r="F345">
        <v>2300.5</v>
      </c>
      <c r="G345">
        <v>1760</v>
      </c>
      <c r="H345">
        <v>2477.25</v>
      </c>
      <c r="I345" s="17">
        <v>7507.75</v>
      </c>
      <c r="J345">
        <v>22366</v>
      </c>
      <c r="K345">
        <v>2116</v>
      </c>
      <c r="L345">
        <v>20209.75</v>
      </c>
      <c r="M345">
        <v>3011.5</v>
      </c>
    </row>
    <row r="346" spans="5:13" hidden="1" x14ac:dyDescent="0.25">
      <c r="E346" s="4">
        <v>44841</v>
      </c>
      <c r="F346">
        <v>2300.5</v>
      </c>
      <c r="G346">
        <v>1760</v>
      </c>
      <c r="H346">
        <v>2477.25</v>
      </c>
      <c r="I346" s="17">
        <v>7507.75</v>
      </c>
      <c r="J346">
        <v>22366</v>
      </c>
      <c r="K346">
        <v>2116</v>
      </c>
      <c r="L346">
        <v>20209.75</v>
      </c>
      <c r="M346">
        <v>3011.5</v>
      </c>
    </row>
    <row r="347" spans="5:13" hidden="1" x14ac:dyDescent="0.25">
      <c r="E347" s="4">
        <v>44840</v>
      </c>
      <c r="F347">
        <v>2343</v>
      </c>
      <c r="G347">
        <v>1760</v>
      </c>
      <c r="H347">
        <v>2477.25</v>
      </c>
      <c r="I347" s="17">
        <v>7649.75</v>
      </c>
      <c r="J347">
        <v>22666.5</v>
      </c>
      <c r="K347">
        <v>2081.25</v>
      </c>
      <c r="L347">
        <v>20209.75</v>
      </c>
      <c r="M347">
        <v>3143.25</v>
      </c>
    </row>
    <row r="348" spans="5:13" hidden="1" x14ac:dyDescent="0.25">
      <c r="E348" s="4">
        <v>44839</v>
      </c>
      <c r="F348">
        <v>2345.25</v>
      </c>
      <c r="G348">
        <v>1760</v>
      </c>
      <c r="H348">
        <v>2476</v>
      </c>
      <c r="I348" s="17">
        <v>7725.25</v>
      </c>
      <c r="J348">
        <v>22472.5</v>
      </c>
      <c r="K348">
        <v>2075.25</v>
      </c>
      <c r="L348">
        <v>20370</v>
      </c>
      <c r="M348">
        <v>3082.75</v>
      </c>
    </row>
    <row r="349" spans="5:13" hidden="1" x14ac:dyDescent="0.25">
      <c r="E349" s="4">
        <v>44838</v>
      </c>
      <c r="F349">
        <v>2343.4</v>
      </c>
      <c r="G349">
        <v>1760</v>
      </c>
      <c r="H349">
        <v>2475.75</v>
      </c>
      <c r="I349" s="17">
        <v>7800</v>
      </c>
      <c r="J349">
        <v>21934</v>
      </c>
      <c r="K349">
        <v>1958.5</v>
      </c>
      <c r="L349">
        <v>20254</v>
      </c>
      <c r="M349">
        <v>3076.51</v>
      </c>
    </row>
    <row r="350" spans="5:13" hidden="1" x14ac:dyDescent="0.25">
      <c r="E350" s="4">
        <v>44837</v>
      </c>
      <c r="F350">
        <v>2210.75</v>
      </c>
      <c r="G350">
        <v>1760</v>
      </c>
      <c r="H350">
        <v>2475.5</v>
      </c>
      <c r="I350" s="17">
        <v>7602.5</v>
      </c>
      <c r="J350">
        <v>21141.5</v>
      </c>
      <c r="K350">
        <v>1863.25</v>
      </c>
      <c r="L350">
        <v>20103</v>
      </c>
      <c r="M350">
        <v>2998.25</v>
      </c>
    </row>
    <row r="351" spans="5:13" hidden="1" x14ac:dyDescent="0.25">
      <c r="E351" s="4">
        <v>44836</v>
      </c>
      <c r="F351">
        <v>2154.75</v>
      </c>
      <c r="G351">
        <v>1760</v>
      </c>
      <c r="H351">
        <v>2475</v>
      </c>
      <c r="I351" s="17">
        <v>7683.25</v>
      </c>
      <c r="J351">
        <v>21012</v>
      </c>
      <c r="K351">
        <v>1912.15</v>
      </c>
      <c r="L351">
        <v>20674</v>
      </c>
      <c r="M351">
        <v>3014.25</v>
      </c>
    </row>
    <row r="352" spans="5:13" hidden="1" x14ac:dyDescent="0.25">
      <c r="E352" s="4">
        <v>44835</v>
      </c>
      <c r="F352">
        <v>2154.75</v>
      </c>
      <c r="G352">
        <v>1760</v>
      </c>
      <c r="H352">
        <v>2475</v>
      </c>
      <c r="I352" s="17">
        <v>7683.25</v>
      </c>
      <c r="J352">
        <v>21012</v>
      </c>
      <c r="K352">
        <v>1912.15</v>
      </c>
      <c r="L352">
        <v>20674</v>
      </c>
      <c r="M352">
        <v>3014.25</v>
      </c>
    </row>
    <row r="353" spans="5:13" hidden="1" x14ac:dyDescent="0.25">
      <c r="E353" s="4">
        <v>44834</v>
      </c>
      <c r="F353">
        <v>2154.75</v>
      </c>
      <c r="G353">
        <v>1760</v>
      </c>
      <c r="H353">
        <v>2475</v>
      </c>
      <c r="I353" s="17">
        <v>7683.25</v>
      </c>
      <c r="J353">
        <v>21012</v>
      </c>
      <c r="K353">
        <v>1912.15</v>
      </c>
      <c r="L353">
        <v>20674</v>
      </c>
      <c r="M353">
        <v>3014.25</v>
      </c>
    </row>
    <row r="354" spans="5:13" hidden="1" x14ac:dyDescent="0.25">
      <c r="E354" s="4">
        <v>44833</v>
      </c>
      <c r="F354">
        <v>2185.25</v>
      </c>
      <c r="G354">
        <v>1760</v>
      </c>
      <c r="H354">
        <v>2475</v>
      </c>
      <c r="I354" s="17">
        <v>7647</v>
      </c>
      <c r="J354">
        <v>22250</v>
      </c>
      <c r="K354">
        <v>1877</v>
      </c>
      <c r="L354">
        <v>20542.740000000002</v>
      </c>
      <c r="M354">
        <v>2957.25</v>
      </c>
    </row>
    <row r="355" spans="5:13" hidden="1" x14ac:dyDescent="0.25">
      <c r="E355" s="4">
        <v>44832</v>
      </c>
      <c r="F355">
        <v>2102.75</v>
      </c>
      <c r="G355">
        <v>1760</v>
      </c>
      <c r="H355">
        <v>2474</v>
      </c>
      <c r="I355" s="17">
        <v>7520</v>
      </c>
      <c r="J355">
        <v>21692.5</v>
      </c>
      <c r="K355">
        <v>1830.5</v>
      </c>
      <c r="L355">
        <v>20748</v>
      </c>
      <c r="M355">
        <v>2868.75</v>
      </c>
    </row>
    <row r="356" spans="5:13" hidden="1" x14ac:dyDescent="0.25">
      <c r="E356" s="4">
        <v>44831</v>
      </c>
      <c r="F356">
        <v>2092.25</v>
      </c>
      <c r="G356">
        <v>1760</v>
      </c>
      <c r="H356">
        <v>2474</v>
      </c>
      <c r="I356" s="17">
        <v>7422</v>
      </c>
      <c r="J356">
        <v>21723</v>
      </c>
      <c r="K356">
        <v>1737.5</v>
      </c>
      <c r="L356">
        <v>20682</v>
      </c>
      <c r="M356">
        <v>2875</v>
      </c>
    </row>
    <row r="357" spans="5:13" hidden="1" x14ac:dyDescent="0.25">
      <c r="E357" s="4">
        <v>44830</v>
      </c>
      <c r="F357">
        <v>2119.75</v>
      </c>
      <c r="G357">
        <v>1760</v>
      </c>
      <c r="H357">
        <v>2479</v>
      </c>
      <c r="I357" s="17">
        <v>7430</v>
      </c>
      <c r="J357">
        <v>22039</v>
      </c>
      <c r="K357">
        <v>1739</v>
      </c>
      <c r="L357">
        <v>20646</v>
      </c>
      <c r="M357">
        <v>2936</v>
      </c>
    </row>
    <row r="358" spans="5:13" hidden="1" x14ac:dyDescent="0.25">
      <c r="E358" s="4">
        <v>44829</v>
      </c>
      <c r="F358">
        <v>2148.12</v>
      </c>
      <c r="G358">
        <v>1760</v>
      </c>
      <c r="H358">
        <v>2478.5</v>
      </c>
      <c r="I358" s="17">
        <v>7518</v>
      </c>
      <c r="J358">
        <v>23297.5</v>
      </c>
      <c r="K358">
        <v>1787.5</v>
      </c>
      <c r="L358">
        <v>20261</v>
      </c>
      <c r="M358">
        <v>3020.25</v>
      </c>
    </row>
    <row r="359" spans="5:13" hidden="1" x14ac:dyDescent="0.25">
      <c r="E359" s="4">
        <v>44828</v>
      </c>
      <c r="F359">
        <v>2148.12</v>
      </c>
      <c r="G359">
        <v>1760</v>
      </c>
      <c r="H359">
        <v>2478.5</v>
      </c>
      <c r="I359" s="17">
        <v>7518</v>
      </c>
      <c r="J359">
        <v>23297.5</v>
      </c>
      <c r="K359">
        <v>1787.5</v>
      </c>
      <c r="L359">
        <v>20261</v>
      </c>
      <c r="M359">
        <v>3020.25</v>
      </c>
    </row>
    <row r="360" spans="5:13" hidden="1" x14ac:dyDescent="0.25">
      <c r="E360" s="4">
        <v>44827</v>
      </c>
      <c r="F360">
        <v>2148.12</v>
      </c>
      <c r="G360">
        <v>1760</v>
      </c>
      <c r="H360">
        <v>2478.5</v>
      </c>
      <c r="I360" s="17">
        <v>7518</v>
      </c>
      <c r="J360">
        <v>23297.5</v>
      </c>
      <c r="K360">
        <v>1787.5</v>
      </c>
      <c r="L360">
        <v>20261</v>
      </c>
      <c r="M360">
        <v>3020.25</v>
      </c>
    </row>
    <row r="361" spans="5:13" hidden="1" x14ac:dyDescent="0.25">
      <c r="E361" s="4">
        <v>44826</v>
      </c>
      <c r="F361">
        <v>2213.35</v>
      </c>
      <c r="G361">
        <v>1760</v>
      </c>
      <c r="H361">
        <v>2478</v>
      </c>
      <c r="I361" s="17">
        <v>7739</v>
      </c>
      <c r="J361">
        <v>24482</v>
      </c>
      <c r="K361">
        <v>1837.26</v>
      </c>
      <c r="L361">
        <v>21715</v>
      </c>
      <c r="M361">
        <v>3122.25</v>
      </c>
    </row>
    <row r="362" spans="5:13" hidden="1" x14ac:dyDescent="0.25">
      <c r="E362" s="4">
        <v>44825</v>
      </c>
      <c r="F362">
        <v>2177.5</v>
      </c>
      <c r="G362">
        <v>1760</v>
      </c>
      <c r="H362">
        <v>2477</v>
      </c>
      <c r="I362" s="17">
        <v>7749</v>
      </c>
      <c r="J362">
        <v>24882</v>
      </c>
      <c r="K362">
        <v>1820</v>
      </c>
      <c r="L362">
        <v>21225</v>
      </c>
      <c r="M362">
        <v>3112</v>
      </c>
    </row>
    <row r="363" spans="5:13" hidden="1" x14ac:dyDescent="0.25">
      <c r="E363" s="4">
        <v>44824</v>
      </c>
      <c r="F363">
        <v>2225.75</v>
      </c>
      <c r="G363">
        <v>1760</v>
      </c>
      <c r="H363">
        <v>2476.5</v>
      </c>
      <c r="I363" s="17">
        <v>7826</v>
      </c>
      <c r="J363">
        <v>24913</v>
      </c>
      <c r="K363">
        <v>1862.25</v>
      </c>
      <c r="L363">
        <v>21251</v>
      </c>
      <c r="M363">
        <v>3144.25</v>
      </c>
    </row>
    <row r="364" spans="5:13" hidden="1" x14ac:dyDescent="0.25">
      <c r="E364" s="4">
        <v>44823</v>
      </c>
      <c r="F364">
        <v>2238</v>
      </c>
      <c r="G364">
        <v>1760</v>
      </c>
      <c r="H364">
        <v>2281</v>
      </c>
      <c r="I364" s="17">
        <v>7826.5</v>
      </c>
      <c r="J364">
        <v>24556</v>
      </c>
      <c r="K364">
        <v>1865.5</v>
      </c>
      <c r="L364">
        <v>21026</v>
      </c>
      <c r="M364">
        <v>3165.75</v>
      </c>
    </row>
    <row r="365" spans="5:13" hidden="1" x14ac:dyDescent="0.25">
      <c r="E365" s="4">
        <v>44822</v>
      </c>
      <c r="F365">
        <v>2268.15</v>
      </c>
      <c r="G365">
        <v>1760</v>
      </c>
      <c r="H365">
        <v>2280.5</v>
      </c>
      <c r="I365" s="17">
        <v>7869</v>
      </c>
      <c r="J365">
        <v>24229</v>
      </c>
      <c r="K365">
        <v>1874</v>
      </c>
      <c r="L365">
        <v>21238</v>
      </c>
      <c r="M365">
        <v>3184.05</v>
      </c>
    </row>
    <row r="366" spans="5:13" hidden="1" x14ac:dyDescent="0.25">
      <c r="E366" s="4">
        <v>44821</v>
      </c>
      <c r="F366">
        <v>2268.15</v>
      </c>
      <c r="G366">
        <v>1760</v>
      </c>
      <c r="H366">
        <v>2280.5</v>
      </c>
      <c r="I366" s="17">
        <v>7869</v>
      </c>
      <c r="J366">
        <v>24229</v>
      </c>
      <c r="K366">
        <v>1874</v>
      </c>
      <c r="L366">
        <v>21238</v>
      </c>
      <c r="M366">
        <v>3184.05</v>
      </c>
    </row>
    <row r="367" spans="5:13" hidden="1" x14ac:dyDescent="0.25">
      <c r="E367" s="4">
        <v>44820</v>
      </c>
      <c r="F367">
        <v>2268.15</v>
      </c>
      <c r="G367">
        <v>1760</v>
      </c>
      <c r="H367">
        <v>2280.5</v>
      </c>
      <c r="I367" s="17">
        <v>7869</v>
      </c>
      <c r="J367">
        <v>24229</v>
      </c>
      <c r="K367">
        <v>1874</v>
      </c>
      <c r="L367">
        <v>21238</v>
      </c>
      <c r="M367">
        <v>3184.05</v>
      </c>
    </row>
    <row r="368" spans="5:13" hidden="1" x14ac:dyDescent="0.25">
      <c r="E368" s="4">
        <v>44819</v>
      </c>
      <c r="F368">
        <v>2298.25</v>
      </c>
      <c r="G368">
        <v>1760</v>
      </c>
      <c r="H368">
        <v>2280</v>
      </c>
      <c r="I368" s="17">
        <v>7848.75</v>
      </c>
      <c r="J368">
        <v>23096.25</v>
      </c>
      <c r="K368">
        <v>1906.25</v>
      </c>
      <c r="L368">
        <v>20933</v>
      </c>
      <c r="M368">
        <v>3214</v>
      </c>
    </row>
    <row r="369" spans="5:13" hidden="1" x14ac:dyDescent="0.25">
      <c r="E369" s="4">
        <v>44818</v>
      </c>
      <c r="F369">
        <v>2256</v>
      </c>
      <c r="G369">
        <v>1760</v>
      </c>
      <c r="H369">
        <v>2270</v>
      </c>
      <c r="I369" s="17">
        <v>7893.5</v>
      </c>
      <c r="J369">
        <v>24184</v>
      </c>
      <c r="K369">
        <v>1954.75</v>
      </c>
      <c r="L369">
        <v>21318</v>
      </c>
      <c r="M369">
        <v>3253.75</v>
      </c>
    </row>
    <row r="370" spans="5:13" hidden="1" x14ac:dyDescent="0.25">
      <c r="E370" s="4">
        <v>44817</v>
      </c>
      <c r="F370">
        <v>2298.25</v>
      </c>
      <c r="G370">
        <v>1760</v>
      </c>
      <c r="H370">
        <v>2209</v>
      </c>
      <c r="I370" s="17">
        <v>7994.25</v>
      </c>
      <c r="J370">
        <v>24257</v>
      </c>
      <c r="K370">
        <v>1948</v>
      </c>
      <c r="L370">
        <v>21505</v>
      </c>
      <c r="M370">
        <v>3250</v>
      </c>
    </row>
    <row r="371" spans="5:13" hidden="1" x14ac:dyDescent="0.25">
      <c r="E371" s="4">
        <v>44816</v>
      </c>
      <c r="F371">
        <v>2267.75</v>
      </c>
      <c r="G371">
        <v>1760</v>
      </c>
      <c r="H371">
        <v>2209</v>
      </c>
      <c r="I371" s="17">
        <v>8079.5</v>
      </c>
      <c r="J371">
        <v>24536.5</v>
      </c>
      <c r="K371">
        <v>1944.12</v>
      </c>
      <c r="L371">
        <v>21591</v>
      </c>
      <c r="M371">
        <v>3209.75</v>
      </c>
    </row>
    <row r="372" spans="5:13" hidden="1" x14ac:dyDescent="0.25">
      <c r="E372" s="4">
        <v>44815</v>
      </c>
      <c r="F372">
        <v>2274</v>
      </c>
      <c r="G372">
        <v>1760</v>
      </c>
      <c r="H372">
        <v>2208.5</v>
      </c>
      <c r="I372" s="17">
        <v>7924</v>
      </c>
      <c r="J372">
        <v>22959</v>
      </c>
      <c r="K372">
        <v>1915.25</v>
      </c>
      <c r="L372">
        <v>21305</v>
      </c>
      <c r="M372">
        <v>3183</v>
      </c>
    </row>
    <row r="373" spans="5:13" hidden="1" x14ac:dyDescent="0.25">
      <c r="E373" s="4">
        <v>44814</v>
      </c>
      <c r="F373">
        <v>2274</v>
      </c>
      <c r="G373">
        <v>1760</v>
      </c>
      <c r="H373">
        <v>2208.5</v>
      </c>
      <c r="I373" s="17">
        <v>7924</v>
      </c>
      <c r="J373">
        <v>22959</v>
      </c>
      <c r="K373">
        <v>1915.25</v>
      </c>
      <c r="L373">
        <v>21305</v>
      </c>
      <c r="M373">
        <v>3183</v>
      </c>
    </row>
    <row r="374" spans="5:13" hidden="1" x14ac:dyDescent="0.25">
      <c r="E374" s="4">
        <v>44813</v>
      </c>
      <c r="F374">
        <v>2274</v>
      </c>
      <c r="G374">
        <v>1760</v>
      </c>
      <c r="H374">
        <v>2208.5</v>
      </c>
      <c r="I374" s="17">
        <v>7924</v>
      </c>
      <c r="J374">
        <v>22959</v>
      </c>
      <c r="K374">
        <v>1915.25</v>
      </c>
      <c r="L374">
        <v>21305</v>
      </c>
      <c r="M374">
        <v>3183</v>
      </c>
    </row>
    <row r="375" spans="5:13" hidden="1" x14ac:dyDescent="0.25">
      <c r="E375" s="4">
        <v>44812</v>
      </c>
      <c r="F375">
        <v>2256.0100000000002</v>
      </c>
      <c r="G375">
        <v>1760</v>
      </c>
      <c r="H375">
        <v>2223</v>
      </c>
      <c r="I375" s="17">
        <v>7919</v>
      </c>
      <c r="J375">
        <v>21716</v>
      </c>
      <c r="K375">
        <v>1880.75</v>
      </c>
      <c r="L375">
        <v>21486</v>
      </c>
      <c r="M375">
        <v>3150.5</v>
      </c>
    </row>
    <row r="376" spans="5:13" hidden="1" x14ac:dyDescent="0.25">
      <c r="E376" s="4">
        <v>44811</v>
      </c>
      <c r="F376">
        <v>2224.5</v>
      </c>
      <c r="G376">
        <v>1760</v>
      </c>
      <c r="H376">
        <v>2222</v>
      </c>
      <c r="I376" s="17">
        <v>7698.5</v>
      </c>
      <c r="J376">
        <v>21522</v>
      </c>
      <c r="K376">
        <v>1901</v>
      </c>
      <c r="L376">
        <v>21008.45</v>
      </c>
      <c r="M376">
        <v>3150.5</v>
      </c>
    </row>
    <row r="377" spans="5:13" hidden="1" x14ac:dyDescent="0.25">
      <c r="E377" s="4">
        <v>44810</v>
      </c>
      <c r="F377">
        <v>2254.25</v>
      </c>
      <c r="G377">
        <v>1760</v>
      </c>
      <c r="H377">
        <v>2247</v>
      </c>
      <c r="I377" s="17">
        <v>7751</v>
      </c>
      <c r="J377">
        <v>21532</v>
      </c>
      <c r="K377">
        <v>1891.7</v>
      </c>
      <c r="L377">
        <v>21346</v>
      </c>
      <c r="M377">
        <v>3203.5</v>
      </c>
    </row>
    <row r="378" spans="5:13" hidden="1" x14ac:dyDescent="0.25">
      <c r="E378" s="4">
        <v>44809</v>
      </c>
      <c r="F378">
        <v>2290.75</v>
      </c>
      <c r="G378">
        <v>1760</v>
      </c>
      <c r="H378">
        <v>2267.5</v>
      </c>
      <c r="I378" s="17">
        <v>7731</v>
      </c>
      <c r="J378">
        <v>21424.01</v>
      </c>
      <c r="K378">
        <v>1873.25</v>
      </c>
      <c r="L378">
        <v>21752.62</v>
      </c>
      <c r="M378">
        <v>3241.5</v>
      </c>
    </row>
    <row r="379" spans="5:13" hidden="1" x14ac:dyDescent="0.25">
      <c r="E379" s="4">
        <v>44808</v>
      </c>
      <c r="F379">
        <v>2297.75</v>
      </c>
      <c r="G379">
        <v>1760</v>
      </c>
      <c r="H379">
        <v>2270</v>
      </c>
      <c r="I379" s="17">
        <v>7691</v>
      </c>
      <c r="J379">
        <v>20476</v>
      </c>
      <c r="K379">
        <v>1885.25</v>
      </c>
      <c r="L379">
        <v>21290</v>
      </c>
      <c r="M379">
        <v>3172.5</v>
      </c>
    </row>
    <row r="380" spans="5:13" hidden="1" x14ac:dyDescent="0.25">
      <c r="E380" s="4">
        <v>44807</v>
      </c>
      <c r="F380">
        <v>2297.75</v>
      </c>
      <c r="G380">
        <v>1760</v>
      </c>
      <c r="H380">
        <v>2270</v>
      </c>
      <c r="I380" s="17">
        <v>7691</v>
      </c>
      <c r="J380">
        <v>20476</v>
      </c>
      <c r="K380">
        <v>1885.25</v>
      </c>
      <c r="L380">
        <v>21290</v>
      </c>
      <c r="M380">
        <v>3172.5</v>
      </c>
    </row>
    <row r="381" spans="5:13" hidden="1" x14ac:dyDescent="0.25">
      <c r="E381" s="4">
        <v>44806</v>
      </c>
      <c r="F381">
        <v>2297.75</v>
      </c>
      <c r="G381">
        <v>1760</v>
      </c>
      <c r="H381">
        <v>2270</v>
      </c>
      <c r="I381" s="17">
        <v>7691</v>
      </c>
      <c r="J381">
        <v>20476</v>
      </c>
      <c r="K381">
        <v>1885.25</v>
      </c>
      <c r="L381">
        <v>21290</v>
      </c>
      <c r="M381">
        <v>3172.5</v>
      </c>
    </row>
    <row r="382" spans="5:13" hidden="1" x14ac:dyDescent="0.25">
      <c r="E382" s="4">
        <v>44805</v>
      </c>
      <c r="F382">
        <v>2301.5</v>
      </c>
      <c r="G382">
        <v>1760</v>
      </c>
      <c r="H382">
        <v>2282</v>
      </c>
      <c r="I382" s="17">
        <v>7652</v>
      </c>
      <c r="J382">
        <v>20248.5</v>
      </c>
      <c r="K382">
        <v>1899.25</v>
      </c>
      <c r="L382">
        <v>21185</v>
      </c>
      <c r="M382">
        <v>3320.5</v>
      </c>
    </row>
    <row r="383" spans="5:13" hidden="1" x14ac:dyDescent="0.25">
      <c r="E383" s="4">
        <v>44804</v>
      </c>
      <c r="F383">
        <v>2369.25</v>
      </c>
      <c r="G383">
        <v>1760</v>
      </c>
      <c r="H383">
        <v>2284.5</v>
      </c>
      <c r="I383" s="17">
        <v>7845.5</v>
      </c>
      <c r="J383">
        <v>21323</v>
      </c>
      <c r="K383">
        <v>1946.25</v>
      </c>
      <c r="L383">
        <v>22924.5</v>
      </c>
      <c r="M383">
        <v>3531.5</v>
      </c>
    </row>
    <row r="384" spans="5:13" hidden="1" x14ac:dyDescent="0.25">
      <c r="E384" s="4">
        <v>44803</v>
      </c>
      <c r="F384">
        <v>2400</v>
      </c>
      <c r="G384">
        <v>1760</v>
      </c>
      <c r="H384">
        <v>2325</v>
      </c>
      <c r="I384" s="17">
        <v>7893</v>
      </c>
      <c r="J384">
        <v>21273</v>
      </c>
      <c r="K384">
        <v>1983.5</v>
      </c>
      <c r="L384">
        <v>24939</v>
      </c>
      <c r="M384">
        <v>3646.5</v>
      </c>
    </row>
    <row r="385" spans="5:13" hidden="1" x14ac:dyDescent="0.25">
      <c r="E385" s="4">
        <v>44802</v>
      </c>
      <c r="F385">
        <v>2502.75</v>
      </c>
      <c r="G385">
        <v>1760</v>
      </c>
      <c r="H385">
        <v>2325</v>
      </c>
      <c r="I385" s="17">
        <v>8188.25</v>
      </c>
      <c r="J385">
        <v>21540</v>
      </c>
      <c r="K385">
        <v>1983.61</v>
      </c>
      <c r="L385">
        <v>24939</v>
      </c>
      <c r="M385">
        <v>3646.5</v>
      </c>
    </row>
    <row r="386" spans="5:13" hidden="1" x14ac:dyDescent="0.25">
      <c r="E386" s="4">
        <v>44801</v>
      </c>
      <c r="F386">
        <v>2502.75</v>
      </c>
      <c r="G386">
        <v>1760</v>
      </c>
      <c r="H386">
        <v>2325</v>
      </c>
      <c r="I386" s="17">
        <v>8188.25</v>
      </c>
      <c r="J386">
        <v>21540</v>
      </c>
      <c r="K386">
        <v>1983.61</v>
      </c>
      <c r="L386">
        <v>24939</v>
      </c>
      <c r="M386">
        <v>3646.5</v>
      </c>
    </row>
    <row r="387" spans="5:13" hidden="1" x14ac:dyDescent="0.25">
      <c r="E387" s="4">
        <v>44800</v>
      </c>
      <c r="F387">
        <v>2502.75</v>
      </c>
      <c r="G387">
        <v>1760</v>
      </c>
      <c r="H387">
        <v>2325</v>
      </c>
      <c r="I387" s="17">
        <v>8188.25</v>
      </c>
      <c r="J387">
        <v>21540</v>
      </c>
      <c r="K387">
        <v>1983.61</v>
      </c>
      <c r="L387">
        <v>24939</v>
      </c>
      <c r="M387">
        <v>3646.5</v>
      </c>
    </row>
    <row r="388" spans="5:13" hidden="1" x14ac:dyDescent="0.25">
      <c r="E388" s="4">
        <v>44799</v>
      </c>
      <c r="F388">
        <v>2502.75</v>
      </c>
      <c r="G388">
        <v>1760</v>
      </c>
      <c r="H388">
        <v>2325</v>
      </c>
      <c r="I388" s="17">
        <v>8188.25</v>
      </c>
      <c r="J388">
        <v>21540</v>
      </c>
      <c r="K388">
        <v>1983.61</v>
      </c>
      <c r="L388">
        <v>24939</v>
      </c>
      <c r="M388">
        <v>3646.5</v>
      </c>
    </row>
    <row r="389" spans="5:13" hidden="1" x14ac:dyDescent="0.25">
      <c r="E389" s="4">
        <v>44798</v>
      </c>
      <c r="F389">
        <v>2443.75</v>
      </c>
      <c r="G389">
        <v>1760</v>
      </c>
      <c r="H389">
        <v>2325</v>
      </c>
      <c r="I389" s="17">
        <v>8167</v>
      </c>
      <c r="J389">
        <v>21578</v>
      </c>
      <c r="K389">
        <v>1972.44</v>
      </c>
      <c r="L389">
        <v>24485</v>
      </c>
      <c r="M389">
        <v>3624.75</v>
      </c>
    </row>
    <row r="390" spans="5:13" hidden="1" x14ac:dyDescent="0.25">
      <c r="E390" s="4">
        <v>44797</v>
      </c>
      <c r="F390">
        <v>2439.9899999999998</v>
      </c>
      <c r="G390">
        <v>1760</v>
      </c>
      <c r="H390">
        <v>2325</v>
      </c>
      <c r="I390" s="17">
        <v>8058.25</v>
      </c>
      <c r="J390">
        <v>21262.5</v>
      </c>
      <c r="K390">
        <v>1967.5</v>
      </c>
      <c r="L390">
        <v>24445.5</v>
      </c>
      <c r="M390">
        <v>3587.5</v>
      </c>
    </row>
    <row r="391" spans="5:13" hidden="1" x14ac:dyDescent="0.25">
      <c r="E391" s="4">
        <v>44796</v>
      </c>
      <c r="F391">
        <v>2441</v>
      </c>
      <c r="G391">
        <v>1760</v>
      </c>
      <c r="H391">
        <v>2325</v>
      </c>
      <c r="I391" s="17">
        <v>8170.75</v>
      </c>
      <c r="J391">
        <v>22253</v>
      </c>
      <c r="K391">
        <v>1969.75</v>
      </c>
      <c r="L391">
        <v>24670</v>
      </c>
      <c r="M391">
        <v>3548.5</v>
      </c>
    </row>
    <row r="392" spans="5:13" hidden="1" x14ac:dyDescent="0.25">
      <c r="E392" s="4">
        <v>44795</v>
      </c>
      <c r="F392">
        <v>2405.75</v>
      </c>
      <c r="G392">
        <v>1760</v>
      </c>
      <c r="H392">
        <v>2325</v>
      </c>
      <c r="I392" s="17">
        <v>8076.1</v>
      </c>
      <c r="J392">
        <v>22253</v>
      </c>
      <c r="K392">
        <v>2008.75</v>
      </c>
      <c r="L392">
        <v>24640</v>
      </c>
      <c r="M392">
        <v>3559.77</v>
      </c>
    </row>
    <row r="393" spans="5:13" hidden="1" x14ac:dyDescent="0.25">
      <c r="E393" s="4">
        <v>44794</v>
      </c>
      <c r="F393">
        <v>2393.75</v>
      </c>
      <c r="G393">
        <v>1760</v>
      </c>
      <c r="H393">
        <v>2325</v>
      </c>
      <c r="I393" s="17">
        <v>8100.85</v>
      </c>
      <c r="J393">
        <v>22176.5</v>
      </c>
      <c r="K393">
        <v>2038</v>
      </c>
      <c r="L393">
        <v>25005</v>
      </c>
      <c r="M393">
        <v>3548</v>
      </c>
    </row>
    <row r="394" spans="5:13" hidden="1" x14ac:dyDescent="0.25">
      <c r="E394" s="4">
        <v>44793</v>
      </c>
      <c r="F394">
        <v>2393.75</v>
      </c>
      <c r="G394">
        <v>1760</v>
      </c>
      <c r="H394">
        <v>2325</v>
      </c>
      <c r="I394" s="17">
        <v>8100.85</v>
      </c>
      <c r="J394">
        <v>22176.5</v>
      </c>
      <c r="K394">
        <v>2038</v>
      </c>
      <c r="L394">
        <v>25005</v>
      </c>
      <c r="M394">
        <v>3548</v>
      </c>
    </row>
    <row r="395" spans="5:13" hidden="1" x14ac:dyDescent="0.25">
      <c r="E395" s="4">
        <v>44792</v>
      </c>
      <c r="F395">
        <v>2393.75</v>
      </c>
      <c r="G395">
        <v>1760</v>
      </c>
      <c r="H395">
        <v>2325</v>
      </c>
      <c r="I395" s="17">
        <v>8100.85</v>
      </c>
      <c r="J395">
        <v>22176.5</v>
      </c>
      <c r="K395">
        <v>2038</v>
      </c>
      <c r="L395">
        <v>25005</v>
      </c>
      <c r="M395">
        <v>3548</v>
      </c>
    </row>
    <row r="396" spans="5:13" hidden="1" x14ac:dyDescent="0.25">
      <c r="E396" s="4">
        <v>44791</v>
      </c>
      <c r="F396">
        <v>2404</v>
      </c>
      <c r="G396">
        <v>1760</v>
      </c>
      <c r="H396">
        <v>2365</v>
      </c>
      <c r="I396" s="17">
        <v>8045.25</v>
      </c>
      <c r="J396">
        <v>21704</v>
      </c>
      <c r="K396">
        <v>2068</v>
      </c>
      <c r="L396">
        <v>24795</v>
      </c>
      <c r="M396">
        <v>3533</v>
      </c>
    </row>
    <row r="397" spans="5:13" hidden="1" x14ac:dyDescent="0.25">
      <c r="E397" s="4">
        <v>44790</v>
      </c>
      <c r="F397">
        <v>2409</v>
      </c>
      <c r="G397">
        <v>1760</v>
      </c>
      <c r="H397">
        <v>2365</v>
      </c>
      <c r="I397" s="17">
        <v>7925.25</v>
      </c>
      <c r="J397">
        <v>21807</v>
      </c>
      <c r="K397">
        <v>2112.75</v>
      </c>
      <c r="L397">
        <v>24855</v>
      </c>
      <c r="M397">
        <v>3578.5</v>
      </c>
    </row>
    <row r="398" spans="5:13" hidden="1" x14ac:dyDescent="0.25">
      <c r="E398" s="4">
        <v>44789</v>
      </c>
      <c r="F398">
        <v>2388.25</v>
      </c>
      <c r="G398">
        <v>1760</v>
      </c>
      <c r="H398">
        <v>2365</v>
      </c>
      <c r="I398" s="17">
        <v>7975</v>
      </c>
      <c r="J398">
        <v>22157.75</v>
      </c>
      <c r="K398">
        <v>2157.5</v>
      </c>
      <c r="L398">
        <v>24812.5</v>
      </c>
      <c r="M398">
        <v>3755</v>
      </c>
    </row>
    <row r="399" spans="5:13" hidden="1" x14ac:dyDescent="0.25">
      <c r="E399" s="4">
        <v>44788</v>
      </c>
      <c r="F399">
        <v>2390.5</v>
      </c>
      <c r="G399">
        <v>1760</v>
      </c>
      <c r="H399">
        <v>2365</v>
      </c>
      <c r="I399" s="17">
        <v>7972</v>
      </c>
      <c r="J399">
        <v>21937.75</v>
      </c>
      <c r="K399">
        <v>2173.5</v>
      </c>
      <c r="L399">
        <v>24911</v>
      </c>
      <c r="M399">
        <v>3643.5</v>
      </c>
    </row>
    <row r="400" spans="5:13" hidden="1" x14ac:dyDescent="0.25">
      <c r="E400" s="4">
        <v>44787</v>
      </c>
      <c r="F400">
        <v>2437.75</v>
      </c>
      <c r="G400">
        <v>1760</v>
      </c>
      <c r="H400">
        <v>2375</v>
      </c>
      <c r="I400" s="17">
        <v>8085</v>
      </c>
      <c r="J400">
        <v>22963.5</v>
      </c>
      <c r="K400">
        <v>2189.75</v>
      </c>
      <c r="L400">
        <v>25367</v>
      </c>
      <c r="M400">
        <v>3687.75</v>
      </c>
    </row>
    <row r="401" spans="5:13" hidden="1" x14ac:dyDescent="0.25">
      <c r="E401" s="4">
        <v>44786</v>
      </c>
      <c r="F401">
        <v>2437.75</v>
      </c>
      <c r="G401">
        <v>1760</v>
      </c>
      <c r="H401">
        <v>2375</v>
      </c>
      <c r="I401" s="17">
        <v>8085</v>
      </c>
      <c r="J401">
        <v>22963.5</v>
      </c>
      <c r="K401">
        <v>2189.75</v>
      </c>
      <c r="L401">
        <v>25367</v>
      </c>
      <c r="M401">
        <v>3687.75</v>
      </c>
    </row>
    <row r="402" spans="5:13" hidden="1" x14ac:dyDescent="0.25">
      <c r="E402" s="4">
        <v>44785</v>
      </c>
      <c r="F402">
        <v>2437.75</v>
      </c>
      <c r="G402">
        <v>1760</v>
      </c>
      <c r="H402">
        <v>2375</v>
      </c>
      <c r="I402" s="17">
        <v>8085</v>
      </c>
      <c r="J402">
        <v>22963.5</v>
      </c>
      <c r="K402">
        <v>2189.75</v>
      </c>
      <c r="L402">
        <v>25367</v>
      </c>
      <c r="M402">
        <v>3687.75</v>
      </c>
    </row>
    <row r="403" spans="5:13" hidden="1" x14ac:dyDescent="0.25">
      <c r="E403" s="4">
        <v>44784</v>
      </c>
      <c r="F403">
        <v>2524.4499999999998</v>
      </c>
      <c r="G403">
        <v>1760</v>
      </c>
      <c r="H403">
        <v>2395</v>
      </c>
      <c r="I403" s="17">
        <v>8165.5</v>
      </c>
      <c r="J403">
        <v>23584.5</v>
      </c>
      <c r="K403">
        <v>2208.5</v>
      </c>
      <c r="L403">
        <v>25535</v>
      </c>
      <c r="M403">
        <v>3782.25</v>
      </c>
    </row>
    <row r="404" spans="5:13" hidden="1" x14ac:dyDescent="0.25">
      <c r="E404" s="4">
        <v>44783</v>
      </c>
      <c r="F404">
        <v>2495.7600000000002</v>
      </c>
      <c r="G404">
        <v>1760</v>
      </c>
      <c r="H404">
        <v>2395</v>
      </c>
      <c r="I404" s="17">
        <v>8080.98</v>
      </c>
      <c r="J404">
        <v>22422</v>
      </c>
      <c r="K404">
        <v>2188</v>
      </c>
      <c r="L404">
        <v>24706</v>
      </c>
      <c r="M404">
        <v>3706.25</v>
      </c>
    </row>
    <row r="405" spans="5:13" hidden="1" x14ac:dyDescent="0.25">
      <c r="E405" s="4">
        <v>44782</v>
      </c>
      <c r="F405">
        <v>2500.25</v>
      </c>
      <c r="G405">
        <v>1760</v>
      </c>
      <c r="H405">
        <v>2395</v>
      </c>
      <c r="I405" s="17">
        <v>7980.5</v>
      </c>
      <c r="J405">
        <v>21490</v>
      </c>
      <c r="K405">
        <v>2178.5</v>
      </c>
      <c r="L405">
        <v>24551</v>
      </c>
      <c r="M405">
        <v>3663.5</v>
      </c>
    </row>
    <row r="406" spans="5:13" hidden="1" x14ac:dyDescent="0.25">
      <c r="E406" s="4">
        <v>44781</v>
      </c>
      <c r="F406">
        <v>2454.25</v>
      </c>
      <c r="G406">
        <v>1760</v>
      </c>
      <c r="H406">
        <v>2395</v>
      </c>
      <c r="I406" s="17">
        <v>7986.75</v>
      </c>
      <c r="J406">
        <v>21614</v>
      </c>
      <c r="K406">
        <v>2187</v>
      </c>
      <c r="L406">
        <v>24432</v>
      </c>
      <c r="M406">
        <v>3552.75</v>
      </c>
    </row>
    <row r="407" spans="5:13" hidden="1" x14ac:dyDescent="0.25">
      <c r="E407" s="4">
        <v>44780</v>
      </c>
      <c r="F407">
        <v>2423.75</v>
      </c>
      <c r="G407">
        <v>1760</v>
      </c>
      <c r="H407">
        <v>2395</v>
      </c>
      <c r="I407" s="17">
        <v>7720.2</v>
      </c>
      <c r="J407">
        <v>22151</v>
      </c>
      <c r="K407">
        <v>2094.75</v>
      </c>
      <c r="L407">
        <v>24615.75</v>
      </c>
      <c r="M407">
        <v>3594.5</v>
      </c>
    </row>
    <row r="408" spans="5:13" hidden="1" x14ac:dyDescent="0.25">
      <c r="E408" s="4">
        <v>44779</v>
      </c>
      <c r="F408">
        <v>2423.75</v>
      </c>
      <c r="G408">
        <v>1760</v>
      </c>
      <c r="H408">
        <v>2395</v>
      </c>
      <c r="I408" s="17">
        <v>7720.2</v>
      </c>
      <c r="J408">
        <v>22151</v>
      </c>
      <c r="K408">
        <v>2094.75</v>
      </c>
      <c r="L408">
        <v>24615.75</v>
      </c>
      <c r="M408">
        <v>3594.5</v>
      </c>
    </row>
    <row r="409" spans="5:13" hidden="1" x14ac:dyDescent="0.25">
      <c r="E409" s="4">
        <v>44778</v>
      </c>
      <c r="F409">
        <v>2423.75</v>
      </c>
      <c r="G409">
        <v>1760</v>
      </c>
      <c r="H409">
        <v>2395</v>
      </c>
      <c r="I409" s="17">
        <v>7720.2</v>
      </c>
      <c r="J409">
        <v>22151</v>
      </c>
      <c r="K409">
        <v>2094.75</v>
      </c>
      <c r="L409">
        <v>24615.75</v>
      </c>
      <c r="M409">
        <v>3594.5</v>
      </c>
    </row>
    <row r="410" spans="5:13" hidden="1" x14ac:dyDescent="0.25">
      <c r="E410" s="4">
        <v>44777</v>
      </c>
      <c r="F410">
        <v>2408.2600000000002</v>
      </c>
      <c r="G410">
        <v>1760</v>
      </c>
      <c r="H410">
        <v>2395</v>
      </c>
      <c r="I410" s="17">
        <v>7720.2</v>
      </c>
      <c r="J410">
        <v>22137</v>
      </c>
      <c r="K410">
        <v>2022.5</v>
      </c>
      <c r="L410">
        <v>24760.25</v>
      </c>
      <c r="M410">
        <v>3576.5</v>
      </c>
    </row>
    <row r="411" spans="5:13" hidden="1" x14ac:dyDescent="0.25">
      <c r="E411" s="4">
        <v>44776</v>
      </c>
      <c r="F411">
        <v>2379.85</v>
      </c>
      <c r="G411">
        <v>1760</v>
      </c>
      <c r="H411">
        <v>2395</v>
      </c>
      <c r="I411" s="17">
        <v>7671.75</v>
      </c>
      <c r="J411">
        <v>22274.75</v>
      </c>
      <c r="K411">
        <v>2022.5</v>
      </c>
      <c r="L411">
        <v>24455</v>
      </c>
      <c r="M411">
        <v>3389</v>
      </c>
    </row>
    <row r="412" spans="5:13" hidden="1" x14ac:dyDescent="0.25">
      <c r="E412" s="4">
        <v>44775</v>
      </c>
      <c r="F412">
        <v>2420.25</v>
      </c>
      <c r="G412">
        <v>1760</v>
      </c>
      <c r="H412">
        <v>2395</v>
      </c>
      <c r="I412" s="17">
        <v>7808.75</v>
      </c>
      <c r="J412">
        <v>22435</v>
      </c>
      <c r="K412">
        <v>2049</v>
      </c>
      <c r="L412">
        <v>24437</v>
      </c>
      <c r="M412">
        <v>3412</v>
      </c>
    </row>
    <row r="413" spans="5:13" hidden="1" x14ac:dyDescent="0.25">
      <c r="E413" s="4">
        <v>44774</v>
      </c>
      <c r="F413">
        <v>2444.71</v>
      </c>
      <c r="G413">
        <v>1760</v>
      </c>
      <c r="H413">
        <v>2395</v>
      </c>
      <c r="I413" s="17">
        <v>7821.25</v>
      </c>
      <c r="J413">
        <v>23522</v>
      </c>
      <c r="K413">
        <v>2057.75</v>
      </c>
      <c r="L413">
        <v>25089</v>
      </c>
      <c r="M413">
        <v>3441</v>
      </c>
    </row>
    <row r="414" spans="5:13" hidden="1" x14ac:dyDescent="0.25">
      <c r="E414" s="4">
        <v>44773</v>
      </c>
      <c r="F414">
        <v>2504.2399999999998</v>
      </c>
      <c r="G414">
        <v>1760</v>
      </c>
      <c r="H414">
        <v>2396</v>
      </c>
      <c r="I414" s="17">
        <v>7931.25</v>
      </c>
      <c r="J414">
        <v>21883</v>
      </c>
      <c r="K414">
        <v>2037.25</v>
      </c>
      <c r="L414">
        <v>25212</v>
      </c>
      <c r="M414">
        <v>3412.26</v>
      </c>
    </row>
    <row r="415" spans="5:13" hidden="1" x14ac:dyDescent="0.25">
      <c r="E415" s="4">
        <v>44772</v>
      </c>
      <c r="F415">
        <v>2504.2399999999998</v>
      </c>
      <c r="G415">
        <v>1760</v>
      </c>
      <c r="H415">
        <v>2396</v>
      </c>
      <c r="I415" s="17">
        <v>7931.25</v>
      </c>
      <c r="J415">
        <v>21883</v>
      </c>
      <c r="K415">
        <v>2037.25</v>
      </c>
      <c r="L415">
        <v>25212</v>
      </c>
      <c r="M415">
        <v>3412.26</v>
      </c>
    </row>
    <row r="416" spans="5:13" hidden="1" x14ac:dyDescent="0.25">
      <c r="E416" s="4">
        <v>44771</v>
      </c>
      <c r="F416">
        <v>2504.2399999999998</v>
      </c>
      <c r="G416">
        <v>1760</v>
      </c>
      <c r="H416">
        <v>2396</v>
      </c>
      <c r="I416" s="17">
        <v>7931.25</v>
      </c>
      <c r="J416">
        <v>21883</v>
      </c>
      <c r="K416">
        <v>2037.25</v>
      </c>
      <c r="L416">
        <v>25212</v>
      </c>
      <c r="M416">
        <v>3412.26</v>
      </c>
    </row>
    <row r="417" spans="5:13" hidden="1" x14ac:dyDescent="0.25">
      <c r="E417" s="4">
        <v>44770</v>
      </c>
      <c r="F417">
        <v>2464.75</v>
      </c>
      <c r="G417">
        <v>1760</v>
      </c>
      <c r="H417">
        <v>2397</v>
      </c>
      <c r="I417" s="17">
        <v>7765.75</v>
      </c>
      <c r="J417">
        <v>21883</v>
      </c>
      <c r="K417">
        <v>2001.48</v>
      </c>
      <c r="L417">
        <v>24465.5</v>
      </c>
      <c r="M417">
        <v>3265</v>
      </c>
    </row>
    <row r="418" spans="5:13" hidden="1" x14ac:dyDescent="0.25">
      <c r="E418" s="4">
        <v>44769</v>
      </c>
      <c r="F418">
        <v>2429</v>
      </c>
      <c r="G418">
        <v>1760</v>
      </c>
      <c r="H418">
        <v>2398</v>
      </c>
      <c r="I418" s="17">
        <v>7627.25</v>
      </c>
      <c r="J418">
        <v>21754</v>
      </c>
      <c r="K418">
        <v>2020</v>
      </c>
      <c r="L418">
        <v>24529</v>
      </c>
      <c r="M418">
        <v>3148</v>
      </c>
    </row>
    <row r="419" spans="5:13" hidden="1" x14ac:dyDescent="0.25">
      <c r="E419" s="4">
        <v>44768</v>
      </c>
      <c r="F419">
        <v>2430.75</v>
      </c>
      <c r="G419">
        <v>1760</v>
      </c>
      <c r="H419">
        <v>2399</v>
      </c>
      <c r="I419" s="17">
        <v>7520.25</v>
      </c>
      <c r="J419">
        <v>21513</v>
      </c>
      <c r="K419">
        <v>2034</v>
      </c>
      <c r="L419">
        <v>24630</v>
      </c>
      <c r="M419">
        <v>3142</v>
      </c>
    </row>
    <row r="420" spans="5:13" hidden="1" x14ac:dyDescent="0.25">
      <c r="E420" s="4">
        <v>44767</v>
      </c>
      <c r="F420">
        <v>2408.5</v>
      </c>
      <c r="G420">
        <v>1760</v>
      </c>
      <c r="H420">
        <v>2400</v>
      </c>
      <c r="I420" s="17">
        <v>7463.75</v>
      </c>
      <c r="J420">
        <v>22172</v>
      </c>
      <c r="K420">
        <v>2014.5</v>
      </c>
      <c r="L420">
        <v>24930</v>
      </c>
      <c r="M420">
        <v>3059.25</v>
      </c>
    </row>
    <row r="421" spans="5:13" hidden="1" x14ac:dyDescent="0.25">
      <c r="E421" s="4">
        <v>44766</v>
      </c>
      <c r="F421">
        <v>2480.5</v>
      </c>
      <c r="G421">
        <v>1710</v>
      </c>
      <c r="H421">
        <v>2323.5</v>
      </c>
      <c r="I421" s="17">
        <v>7433</v>
      </c>
      <c r="J421">
        <v>22080</v>
      </c>
      <c r="K421">
        <v>2023.75</v>
      </c>
      <c r="L421">
        <v>25265</v>
      </c>
      <c r="M421">
        <v>3069.5</v>
      </c>
    </row>
    <row r="422" spans="5:13" hidden="1" x14ac:dyDescent="0.25">
      <c r="E422" s="4">
        <v>44765</v>
      </c>
      <c r="F422">
        <v>2480.5</v>
      </c>
      <c r="G422">
        <v>1710</v>
      </c>
      <c r="H422">
        <v>2323.5</v>
      </c>
      <c r="I422" s="17">
        <v>7433</v>
      </c>
      <c r="J422">
        <v>22080</v>
      </c>
      <c r="K422">
        <v>2023.75</v>
      </c>
      <c r="L422">
        <v>25265</v>
      </c>
      <c r="M422">
        <v>3069.5</v>
      </c>
    </row>
    <row r="423" spans="5:13" hidden="1" x14ac:dyDescent="0.25">
      <c r="E423" s="4">
        <v>44764</v>
      </c>
      <c r="F423">
        <v>2480.5</v>
      </c>
      <c r="G423">
        <v>1710</v>
      </c>
      <c r="H423">
        <v>2323.5</v>
      </c>
      <c r="I423" s="17">
        <v>7433</v>
      </c>
      <c r="J423">
        <v>22080</v>
      </c>
      <c r="K423">
        <v>2023.75</v>
      </c>
      <c r="L423">
        <v>25265</v>
      </c>
      <c r="M423">
        <v>3069.5</v>
      </c>
    </row>
    <row r="424" spans="5:13" hidden="1" x14ac:dyDescent="0.25">
      <c r="E424" s="4">
        <v>44763</v>
      </c>
      <c r="F424">
        <v>2421.25</v>
      </c>
      <c r="G424">
        <v>1710</v>
      </c>
      <c r="H424">
        <v>2323</v>
      </c>
      <c r="I424" s="17">
        <v>7304</v>
      </c>
      <c r="J424">
        <v>21431</v>
      </c>
      <c r="K424">
        <v>2024.24</v>
      </c>
      <c r="L424">
        <v>25189</v>
      </c>
      <c r="M424">
        <v>2997.25</v>
      </c>
    </row>
    <row r="425" spans="5:13" hidden="1" x14ac:dyDescent="0.25">
      <c r="E425" s="4">
        <v>44762</v>
      </c>
      <c r="F425">
        <v>2434.75</v>
      </c>
      <c r="G425">
        <v>1710</v>
      </c>
      <c r="H425">
        <v>2322.5</v>
      </c>
      <c r="I425" s="17">
        <v>7358</v>
      </c>
      <c r="J425">
        <v>21129.25</v>
      </c>
      <c r="K425">
        <v>2045.25</v>
      </c>
      <c r="L425">
        <v>25046</v>
      </c>
      <c r="M425">
        <v>3084</v>
      </c>
    </row>
    <row r="426" spans="5:13" hidden="1" x14ac:dyDescent="0.25">
      <c r="E426" s="4">
        <v>44761</v>
      </c>
      <c r="F426">
        <v>2379.5</v>
      </c>
      <c r="G426">
        <v>1710</v>
      </c>
      <c r="H426">
        <v>2322.5</v>
      </c>
      <c r="I426" s="17">
        <v>7254.5</v>
      </c>
      <c r="J426">
        <v>20542.5</v>
      </c>
      <c r="K426">
        <v>1993.25</v>
      </c>
      <c r="L426">
        <v>25090</v>
      </c>
      <c r="M426">
        <v>3033</v>
      </c>
    </row>
    <row r="427" spans="5:13" hidden="1" x14ac:dyDescent="0.25">
      <c r="E427" s="4">
        <v>44760</v>
      </c>
      <c r="F427">
        <v>2410.19</v>
      </c>
      <c r="G427">
        <v>1710</v>
      </c>
      <c r="H427">
        <v>2322</v>
      </c>
      <c r="I427" s="17">
        <v>7411</v>
      </c>
      <c r="J427">
        <v>20604.5</v>
      </c>
      <c r="K427">
        <v>2015</v>
      </c>
      <c r="L427">
        <v>24926</v>
      </c>
      <c r="M427">
        <v>3091.5</v>
      </c>
    </row>
    <row r="428" spans="5:13" hidden="1" x14ac:dyDescent="0.25">
      <c r="E428" s="4">
        <v>44759</v>
      </c>
      <c r="F428">
        <v>2326.15</v>
      </c>
      <c r="G428">
        <v>1710</v>
      </c>
      <c r="H428">
        <v>2323</v>
      </c>
      <c r="I428" s="17">
        <v>7178.25</v>
      </c>
      <c r="J428">
        <v>19333</v>
      </c>
      <c r="K428">
        <v>1966.15</v>
      </c>
      <c r="L428">
        <v>25080</v>
      </c>
      <c r="M428">
        <v>2978.75</v>
      </c>
    </row>
    <row r="429" spans="5:13" hidden="1" x14ac:dyDescent="0.25">
      <c r="E429" s="4">
        <v>44758</v>
      </c>
      <c r="F429">
        <v>2326.15</v>
      </c>
      <c r="G429">
        <v>1710</v>
      </c>
      <c r="H429">
        <v>2323</v>
      </c>
      <c r="I429" s="17">
        <v>7178.25</v>
      </c>
      <c r="J429">
        <v>19333</v>
      </c>
      <c r="K429">
        <v>1966.15</v>
      </c>
      <c r="L429">
        <v>25080</v>
      </c>
      <c r="M429">
        <v>2978.75</v>
      </c>
    </row>
    <row r="430" spans="5:13" hidden="1" x14ac:dyDescent="0.25">
      <c r="E430" s="4">
        <v>44757</v>
      </c>
      <c r="F430">
        <v>2326.15</v>
      </c>
      <c r="G430">
        <v>1710</v>
      </c>
      <c r="H430">
        <v>2323</v>
      </c>
      <c r="I430" s="17">
        <v>7178.25</v>
      </c>
      <c r="J430">
        <v>19333</v>
      </c>
      <c r="K430">
        <v>1966.15</v>
      </c>
      <c r="L430">
        <v>25080</v>
      </c>
      <c r="M430">
        <v>2978.75</v>
      </c>
    </row>
    <row r="431" spans="5:13" hidden="1" x14ac:dyDescent="0.25">
      <c r="E431" s="4">
        <v>44756</v>
      </c>
      <c r="F431">
        <v>2324</v>
      </c>
      <c r="G431">
        <v>1710</v>
      </c>
      <c r="H431">
        <v>2324</v>
      </c>
      <c r="I431" s="17">
        <v>7160</v>
      </c>
      <c r="J431">
        <v>19346.5</v>
      </c>
      <c r="K431">
        <v>1855</v>
      </c>
      <c r="L431">
        <v>24518</v>
      </c>
      <c r="M431">
        <v>2951.5</v>
      </c>
    </row>
  </sheetData>
  <mergeCells count="19">
    <mergeCell ref="E9:F10"/>
    <mergeCell ref="H9:H10"/>
    <mergeCell ref="I9:I10"/>
    <mergeCell ref="J9:J10"/>
    <mergeCell ref="K9:K10"/>
    <mergeCell ref="E37:E42"/>
    <mergeCell ref="E43:E47"/>
    <mergeCell ref="E48:E53"/>
    <mergeCell ref="E11:E16"/>
    <mergeCell ref="E17:E21"/>
    <mergeCell ref="E22:E24"/>
    <mergeCell ref="E31:E36"/>
    <mergeCell ref="E25:E30"/>
    <mergeCell ref="R9:R10"/>
    <mergeCell ref="M9:M10"/>
    <mergeCell ref="N9:O10"/>
    <mergeCell ref="P9:P10"/>
    <mergeCell ref="G9:G10"/>
    <mergeCell ref="L9:L10"/>
  </mergeCells>
  <phoneticPr fontId="2" type="noConversion"/>
  <conditionalFormatting sqref="N11:N53">
    <cfRule type="expression" dxfId="1" priority="1">
      <formula>$O11&lt;0</formula>
    </cfRule>
    <cfRule type="expression" dxfId="0" priority="2">
      <formula>$O11&gt;0</formula>
    </cfRule>
  </conditionalFormatting>
  <dataValidations count="10">
    <dataValidation type="list" allowBlank="1" showInputMessage="1" showErrorMessage="1" sqref="S10">
      <formula1>$F$11:$F$16</formula1>
    </dataValidation>
    <dataValidation type="list" allowBlank="1" showInputMessage="1" showErrorMessage="1" sqref="T10">
      <formula1>$F$17:$F$21</formula1>
    </dataValidation>
    <dataValidation type="list" allowBlank="1" showInputMessage="1" showErrorMessage="1" sqref="U10">
      <formula1>$F$22:$F$24</formula1>
    </dataValidation>
    <dataValidation type="list" allowBlank="1" showInputMessage="1" showErrorMessage="1" sqref="V10">
      <formula1>$F$25:$F$30</formula1>
    </dataValidation>
    <dataValidation type="list" allowBlank="1" showInputMessage="1" showErrorMessage="1" sqref="W10">
      <formula1>$F$31:$F$36</formula1>
    </dataValidation>
    <dataValidation type="list" allowBlank="1" showInputMessage="1" showErrorMessage="1" sqref="X10">
      <formula1>$F$37:$F$42</formula1>
    </dataValidation>
    <dataValidation type="list" allowBlank="1" showInputMessage="1" showErrorMessage="1" sqref="Y10">
      <formula1>$F$43:$F$47</formula1>
    </dataValidation>
    <dataValidation type="list" allowBlank="1" showInputMessage="1" showErrorMessage="1" sqref="Z10">
      <formula1>$F$48:$F$53</formula1>
    </dataValidation>
    <dataValidation type="list" allowBlank="1" showInputMessage="1" showErrorMessage="1" sqref="H9">
      <formula1>$O$3:$O$4</formula1>
    </dataValidation>
    <dataValidation type="list" allowBlank="1" showInputMessage="1" showErrorMessage="1" sqref="I9">
      <formula1>$P$3:$P$4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3.5" x14ac:dyDescent="0.2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LME Price</vt:lpstr>
      <vt:lpstr>도움말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2015-06-16T06:23:17Z</cp:lastPrinted>
  <dcterms:created xsi:type="dcterms:W3CDTF">2015-05-20T07:20:33Z</dcterms:created>
  <dcterms:modified xsi:type="dcterms:W3CDTF">2023-07-14T06:01:56Z</dcterms:modified>
</cp:coreProperties>
</file>