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현재_통합_문서" defaultThemeVersion="124226"/>
  <bookViews>
    <workbookView xWindow="480" yWindow="120" windowWidth="24000" windowHeight="11430"/>
  </bookViews>
  <sheets>
    <sheet name="Comdty Correlation Matrix" sheetId="5" r:id="rId1"/>
    <sheet name="raw" sheetId="4" state="hidden" r:id="rId2"/>
  </sheets>
  <calcPr calcId="145621"/>
</workbook>
</file>

<file path=xl/calcChain.xml><?xml version="1.0" encoding="utf-8"?>
<calcChain xmlns="http://schemas.openxmlformats.org/spreadsheetml/2006/main">
  <c r="H3" i="5" l="1"/>
  <c r="D22" i="4" s="1"/>
  <c r="F3" i="5"/>
  <c r="B22" i="4" s="1"/>
  <c r="B18" i="4"/>
  <c r="C18" i="4"/>
  <c r="D18" i="4"/>
  <c r="E18" i="4"/>
  <c r="F18" i="4"/>
  <c r="J22" i="5" s="1"/>
  <c r="G18" i="4"/>
  <c r="H18" i="4"/>
  <c r="I18" i="4"/>
  <c r="J18" i="4"/>
  <c r="K18" i="4"/>
  <c r="L18" i="4"/>
  <c r="P22" i="5" s="1"/>
  <c r="M18" i="4"/>
  <c r="N18" i="4"/>
  <c r="R22" i="5" s="1"/>
  <c r="O18" i="4"/>
  <c r="P18" i="4"/>
  <c r="Q18" i="4"/>
  <c r="R18" i="4"/>
  <c r="V22" i="5" s="1"/>
  <c r="R17" i="4"/>
  <c r="V21" i="5" s="1"/>
  <c r="Q17" i="4"/>
  <c r="B17" i="4"/>
  <c r="C17" i="4"/>
  <c r="D17" i="4"/>
  <c r="E17" i="4"/>
  <c r="F17" i="4"/>
  <c r="G17" i="4"/>
  <c r="H17" i="4"/>
  <c r="I17" i="4"/>
  <c r="J17" i="4"/>
  <c r="N21" i="5" s="1"/>
  <c r="K17" i="4"/>
  <c r="L17" i="4"/>
  <c r="P21" i="5" s="1"/>
  <c r="M17" i="4"/>
  <c r="N17" i="4"/>
  <c r="R21" i="5" s="1"/>
  <c r="O17" i="4"/>
  <c r="P17" i="4"/>
  <c r="T21" i="5" s="1"/>
  <c r="U21" i="5"/>
  <c r="B16" i="4"/>
  <c r="F20" i="5" s="1"/>
  <c r="C16" i="4"/>
  <c r="D16" i="4"/>
  <c r="H20" i="5" s="1"/>
  <c r="E16" i="4"/>
  <c r="F16" i="4"/>
  <c r="J20" i="5" s="1"/>
  <c r="G16" i="4"/>
  <c r="H16" i="4"/>
  <c r="I16" i="4"/>
  <c r="M20" i="5" s="1"/>
  <c r="J16" i="4"/>
  <c r="N20" i="5" s="1"/>
  <c r="K16" i="4"/>
  <c r="O20" i="5" s="1"/>
  <c r="L16" i="4"/>
  <c r="P20" i="5" s="1"/>
  <c r="M16" i="4"/>
  <c r="N16" i="4"/>
  <c r="R20" i="5" s="1"/>
  <c r="O16" i="4"/>
  <c r="S20" i="5" s="1"/>
  <c r="Q16" i="4"/>
  <c r="R16" i="4"/>
  <c r="V20" i="5" s="1"/>
  <c r="P16" i="4"/>
  <c r="T20" i="5" s="1"/>
  <c r="P15" i="4"/>
  <c r="T19" i="5" s="1"/>
  <c r="Q15" i="4"/>
  <c r="U19" i="5" s="1"/>
  <c r="R15" i="4"/>
  <c r="V19" i="5" s="1"/>
  <c r="P6" i="4"/>
  <c r="T10" i="5" s="1"/>
  <c r="Q6" i="4"/>
  <c r="U10" i="5" s="1"/>
  <c r="R6" i="4"/>
  <c r="V10" i="5" s="1"/>
  <c r="P7" i="4"/>
  <c r="T11" i="5" s="1"/>
  <c r="Q7" i="4"/>
  <c r="R7" i="4"/>
  <c r="V11" i="5" s="1"/>
  <c r="P8" i="4"/>
  <c r="T12" i="5" s="1"/>
  <c r="Q8" i="4"/>
  <c r="R8" i="4"/>
  <c r="V12" i="5" s="1"/>
  <c r="P9" i="4"/>
  <c r="T13" i="5" s="1"/>
  <c r="Q9" i="4"/>
  <c r="U13" i="5" s="1"/>
  <c r="R9" i="4"/>
  <c r="V13" i="5" s="1"/>
  <c r="P10" i="4"/>
  <c r="T14" i="5" s="1"/>
  <c r="Q10" i="4"/>
  <c r="U14" i="5" s="1"/>
  <c r="R10" i="4"/>
  <c r="V14" i="5" s="1"/>
  <c r="P11" i="4"/>
  <c r="T15" i="5" s="1"/>
  <c r="Q11" i="4"/>
  <c r="U15" i="5" s="1"/>
  <c r="R11" i="4"/>
  <c r="V15" i="5" s="1"/>
  <c r="P12" i="4"/>
  <c r="T16" i="5" s="1"/>
  <c r="Q12" i="4"/>
  <c r="R12" i="4"/>
  <c r="V16" i="5" s="1"/>
  <c r="P13" i="4"/>
  <c r="T17" i="5" s="1"/>
  <c r="Q13" i="4"/>
  <c r="U17" i="5" s="1"/>
  <c r="R13" i="4"/>
  <c r="V17" i="5" s="1"/>
  <c r="P14" i="4"/>
  <c r="T18" i="5" s="1"/>
  <c r="Q14" i="4"/>
  <c r="U18" i="5" s="1"/>
  <c r="R14" i="4"/>
  <c r="V18" i="5" s="1"/>
  <c r="T22" i="5"/>
  <c r="P5" i="4"/>
  <c r="T9" i="5" s="1"/>
  <c r="Q5" i="4"/>
  <c r="U9" i="5" s="1"/>
  <c r="R5" i="4"/>
  <c r="V9" i="5" s="1"/>
  <c r="P4" i="4"/>
  <c r="T8" i="5" s="1"/>
  <c r="Q4" i="4"/>
  <c r="U8" i="5" s="1"/>
  <c r="R4" i="4"/>
  <c r="V8" i="5" s="1"/>
  <c r="P3" i="4"/>
  <c r="T7" i="5" s="1"/>
  <c r="Q3" i="4"/>
  <c r="U7" i="5" s="1"/>
  <c r="R3" i="4"/>
  <c r="V7" i="5" s="1"/>
  <c r="P2" i="4"/>
  <c r="T6" i="5" s="1"/>
  <c r="Q2" i="4"/>
  <c r="U6" i="5" s="1"/>
  <c r="R2" i="4"/>
  <c r="V6" i="5" s="1"/>
  <c r="L22" i="5"/>
  <c r="K22" i="5"/>
  <c r="L21" i="5"/>
  <c r="K21" i="5"/>
  <c r="G20" i="5"/>
  <c r="U22" i="5"/>
  <c r="S22" i="5"/>
  <c r="Q22" i="5"/>
  <c r="O22" i="5"/>
  <c r="N22" i="5"/>
  <c r="M22" i="5"/>
  <c r="I22" i="5"/>
  <c r="H22" i="5"/>
  <c r="G22" i="5"/>
  <c r="F22" i="5"/>
  <c r="D22" i="5"/>
  <c r="R23" i="4" s="1"/>
  <c r="C22" i="5"/>
  <c r="A18" i="4" s="1"/>
  <c r="R1" i="4" s="1"/>
  <c r="S21" i="5"/>
  <c r="Q21" i="5"/>
  <c r="O21" i="5"/>
  <c r="M21" i="5"/>
  <c r="J21" i="5"/>
  <c r="I21" i="5"/>
  <c r="H21" i="5"/>
  <c r="G21" i="5"/>
  <c r="F21" i="5"/>
  <c r="D21" i="5"/>
  <c r="Q23" i="4" s="1"/>
  <c r="C21" i="5"/>
  <c r="A17" i="4" s="1"/>
  <c r="Q1" i="4" s="1"/>
  <c r="U20" i="5"/>
  <c r="Q20" i="5"/>
  <c r="L20" i="5"/>
  <c r="K20" i="5"/>
  <c r="I20" i="5"/>
  <c r="D20" i="5"/>
  <c r="P23" i="4" s="1"/>
  <c r="C20" i="5"/>
  <c r="A16" i="4" s="1"/>
  <c r="P1" i="4" s="1"/>
  <c r="U16" i="5"/>
  <c r="U12" i="5"/>
  <c r="U11" i="5"/>
  <c r="D7" i="5"/>
  <c r="D8" i="5"/>
  <c r="D23" i="4" s="1"/>
  <c r="D9" i="5"/>
  <c r="D10" i="5"/>
  <c r="F23" i="4" s="1"/>
  <c r="D11" i="5"/>
  <c r="D12" i="5"/>
  <c r="H23" i="4" s="1"/>
  <c r="D13" i="5"/>
  <c r="D14" i="5"/>
  <c r="J23" i="4" s="1"/>
  <c r="D15" i="5"/>
  <c r="D16" i="5"/>
  <c r="L23" i="4" s="1"/>
  <c r="D17" i="5"/>
  <c r="D18" i="5"/>
  <c r="N23" i="4" s="1"/>
  <c r="D19" i="5"/>
  <c r="D6" i="5"/>
  <c r="B15" i="4"/>
  <c r="F19" i="5" s="1"/>
  <c r="C15" i="4"/>
  <c r="D15" i="4"/>
  <c r="E15" i="4"/>
  <c r="F15" i="4"/>
  <c r="G15" i="4"/>
  <c r="H15" i="4"/>
  <c r="I15" i="4"/>
  <c r="J15" i="4"/>
  <c r="K15" i="4"/>
  <c r="L15" i="4"/>
  <c r="M15" i="4"/>
  <c r="Q19" i="5" s="1"/>
  <c r="N15" i="4"/>
  <c r="R19" i="5" s="1"/>
  <c r="O15" i="4"/>
  <c r="S19" i="5" s="1"/>
  <c r="M14" i="4"/>
  <c r="B14" i="4"/>
  <c r="C14" i="4"/>
  <c r="D14" i="4"/>
  <c r="E14" i="4"/>
  <c r="I18" i="5" s="1"/>
  <c r="F14" i="4"/>
  <c r="G14" i="4"/>
  <c r="K18" i="5" s="1"/>
  <c r="H14" i="4"/>
  <c r="I14" i="4"/>
  <c r="M18" i="5" s="1"/>
  <c r="J14" i="4"/>
  <c r="K14" i="4"/>
  <c r="O18" i="5" s="1"/>
  <c r="L14" i="4"/>
  <c r="Q18" i="5"/>
  <c r="O14" i="4"/>
  <c r="S18" i="5" s="1"/>
  <c r="N14" i="4"/>
  <c r="R18" i="5" s="1"/>
  <c r="N13" i="4"/>
  <c r="B13" i="4"/>
  <c r="F17" i="5" s="1"/>
  <c r="C13" i="4"/>
  <c r="D13" i="4"/>
  <c r="H17" i="5" s="1"/>
  <c r="E13" i="4"/>
  <c r="F13" i="4"/>
  <c r="J17" i="5" s="1"/>
  <c r="G13" i="4"/>
  <c r="H13" i="4"/>
  <c r="L17" i="5" s="1"/>
  <c r="I13" i="4"/>
  <c r="J13" i="4"/>
  <c r="N17" i="5" s="1"/>
  <c r="K13" i="4"/>
  <c r="L13" i="4"/>
  <c r="P17" i="5" s="1"/>
  <c r="O13" i="4"/>
  <c r="S17" i="5" s="1"/>
  <c r="M13" i="4"/>
  <c r="Q17" i="5" s="1"/>
  <c r="B12" i="4"/>
  <c r="F16" i="5" s="1"/>
  <c r="C12" i="4"/>
  <c r="D12" i="4"/>
  <c r="E12" i="4"/>
  <c r="F12" i="4"/>
  <c r="J16" i="5" s="1"/>
  <c r="G12" i="4"/>
  <c r="H12" i="4"/>
  <c r="I12" i="4"/>
  <c r="J12" i="4"/>
  <c r="N16" i="5" s="1"/>
  <c r="K12" i="4"/>
  <c r="O16" i="5" s="1"/>
  <c r="M12" i="4"/>
  <c r="N12" i="4"/>
  <c r="R16" i="5" s="1"/>
  <c r="O12" i="4"/>
  <c r="S16" i="5" s="1"/>
  <c r="L12" i="4"/>
  <c r="P16" i="5" s="1"/>
  <c r="B11" i="4"/>
  <c r="C11" i="4"/>
  <c r="D11" i="4"/>
  <c r="E11" i="4"/>
  <c r="F11" i="4"/>
  <c r="G11" i="4"/>
  <c r="H11" i="4"/>
  <c r="I11" i="4"/>
  <c r="J11" i="4"/>
  <c r="N15" i="5" s="1"/>
  <c r="L11" i="4"/>
  <c r="P15" i="5" s="1"/>
  <c r="M11" i="4"/>
  <c r="N11" i="4"/>
  <c r="R15" i="5" s="1"/>
  <c r="O11" i="4"/>
  <c r="S15" i="5" s="1"/>
  <c r="K11" i="4"/>
  <c r="O15" i="5" s="1"/>
  <c r="B10" i="4"/>
  <c r="F14" i="5" s="1"/>
  <c r="C10" i="4"/>
  <c r="D10" i="4"/>
  <c r="E10" i="4"/>
  <c r="F10" i="4"/>
  <c r="G10" i="4"/>
  <c r="H10" i="4"/>
  <c r="I10" i="4"/>
  <c r="J10" i="4"/>
  <c r="N14" i="5" s="1"/>
  <c r="L10" i="4"/>
  <c r="P14" i="5" s="1"/>
  <c r="M10" i="4"/>
  <c r="Q14" i="5" s="1"/>
  <c r="N10" i="4"/>
  <c r="R14" i="5" s="1"/>
  <c r="O10" i="4"/>
  <c r="S14" i="5" s="1"/>
  <c r="B8" i="4"/>
  <c r="F12" i="5" s="1"/>
  <c r="B7" i="4"/>
  <c r="F11" i="5" s="1"/>
  <c r="B6" i="4"/>
  <c r="F10" i="5" s="1"/>
  <c r="B4" i="4"/>
  <c r="F8" i="5" s="1"/>
  <c r="B5" i="4"/>
  <c r="F9" i="5" s="1"/>
  <c r="B9" i="4"/>
  <c r="F13" i="5" s="1"/>
  <c r="M14" i="5"/>
  <c r="K10" i="4"/>
  <c r="C9" i="4"/>
  <c r="D9" i="4"/>
  <c r="E9" i="4"/>
  <c r="F9" i="4"/>
  <c r="G9" i="4"/>
  <c r="H9" i="4"/>
  <c r="L13" i="5" s="1"/>
  <c r="J9" i="4"/>
  <c r="K9" i="4"/>
  <c r="O13" i="5" s="1"/>
  <c r="L9" i="4"/>
  <c r="P13" i="5" s="1"/>
  <c r="M9" i="4"/>
  <c r="Q13" i="5" s="1"/>
  <c r="N9" i="4"/>
  <c r="R13" i="5" s="1"/>
  <c r="O9" i="4"/>
  <c r="S13" i="5" s="1"/>
  <c r="I9" i="4"/>
  <c r="M13" i="5" s="1"/>
  <c r="C8" i="4"/>
  <c r="D8" i="4"/>
  <c r="E8" i="4"/>
  <c r="F8" i="4"/>
  <c r="G8" i="4"/>
  <c r="K12" i="5" s="1"/>
  <c r="I8" i="4"/>
  <c r="M12" i="5" s="1"/>
  <c r="J8" i="4"/>
  <c r="N12" i="5" s="1"/>
  <c r="K8" i="4"/>
  <c r="L8" i="4"/>
  <c r="P12" i="5" s="1"/>
  <c r="M8" i="4"/>
  <c r="Q12" i="5" s="1"/>
  <c r="N8" i="4"/>
  <c r="R12" i="5" s="1"/>
  <c r="O8" i="4"/>
  <c r="S12" i="5" s="1"/>
  <c r="H8" i="4"/>
  <c r="L12" i="5" s="1"/>
  <c r="C7" i="4"/>
  <c r="G11" i="5" s="1"/>
  <c r="D7" i="4"/>
  <c r="E7" i="4"/>
  <c r="F7" i="4"/>
  <c r="H7" i="4"/>
  <c r="L11" i="5" s="1"/>
  <c r="I7" i="4"/>
  <c r="J7" i="4"/>
  <c r="N11" i="5" s="1"/>
  <c r="K7" i="4"/>
  <c r="O11" i="5" s="1"/>
  <c r="L7" i="4"/>
  <c r="P11" i="5" s="1"/>
  <c r="M7" i="4"/>
  <c r="Q11" i="5" s="1"/>
  <c r="N7" i="4"/>
  <c r="R11" i="5" s="1"/>
  <c r="O7" i="4"/>
  <c r="S11" i="5" s="1"/>
  <c r="G7" i="4"/>
  <c r="K11" i="5" s="1"/>
  <c r="C6" i="4"/>
  <c r="D6" i="4"/>
  <c r="E6" i="4"/>
  <c r="I10" i="5" s="1"/>
  <c r="G6" i="4"/>
  <c r="K10" i="5" s="1"/>
  <c r="H6" i="4"/>
  <c r="L10" i="5" s="1"/>
  <c r="I6" i="4"/>
  <c r="M10" i="5" s="1"/>
  <c r="J6" i="4"/>
  <c r="N10" i="5" s="1"/>
  <c r="K6" i="4"/>
  <c r="L6" i="4"/>
  <c r="P10" i="5" s="1"/>
  <c r="M6" i="4"/>
  <c r="Q10" i="5" s="1"/>
  <c r="N6" i="4"/>
  <c r="O6" i="4"/>
  <c r="S10" i="5" s="1"/>
  <c r="F6" i="4"/>
  <c r="J10" i="5" s="1"/>
  <c r="C5" i="4"/>
  <c r="D5" i="4"/>
  <c r="H9" i="5" s="1"/>
  <c r="F5" i="4"/>
  <c r="J9" i="5" s="1"/>
  <c r="G5" i="4"/>
  <c r="H5" i="4"/>
  <c r="L9" i="5" s="1"/>
  <c r="I5" i="4"/>
  <c r="M9" i="5" s="1"/>
  <c r="J5" i="4"/>
  <c r="N9" i="5" s="1"/>
  <c r="K5" i="4"/>
  <c r="L5" i="4"/>
  <c r="P9" i="5" s="1"/>
  <c r="M5" i="4"/>
  <c r="Q9" i="5" s="1"/>
  <c r="N5" i="4"/>
  <c r="R9" i="5" s="1"/>
  <c r="O5" i="4"/>
  <c r="S9" i="5" s="1"/>
  <c r="E5" i="4"/>
  <c r="I9" i="5" s="1"/>
  <c r="E4" i="4"/>
  <c r="I8" i="5" s="1"/>
  <c r="F4" i="4"/>
  <c r="J8" i="5" s="1"/>
  <c r="G4" i="4"/>
  <c r="K8" i="5" s="1"/>
  <c r="H4" i="4"/>
  <c r="L8" i="5" s="1"/>
  <c r="I4" i="4"/>
  <c r="M8" i="5" s="1"/>
  <c r="J4" i="4"/>
  <c r="N8" i="5" s="1"/>
  <c r="K4" i="4"/>
  <c r="O8" i="5" s="1"/>
  <c r="L4" i="4"/>
  <c r="P8" i="5" s="1"/>
  <c r="M4" i="4"/>
  <c r="Q8" i="5" s="1"/>
  <c r="N4" i="4"/>
  <c r="R8" i="5" s="1"/>
  <c r="O4" i="4"/>
  <c r="S8" i="5" s="1"/>
  <c r="C4" i="4"/>
  <c r="G8" i="5" s="1"/>
  <c r="D4" i="4"/>
  <c r="H8" i="5" s="1"/>
  <c r="B3" i="4"/>
  <c r="F7" i="5" s="1"/>
  <c r="D3" i="4"/>
  <c r="H7" i="5" s="1"/>
  <c r="E3" i="4"/>
  <c r="I7" i="5" s="1"/>
  <c r="F3" i="4"/>
  <c r="J7" i="5" s="1"/>
  <c r="G3" i="4"/>
  <c r="K7" i="5" s="1"/>
  <c r="H3" i="4"/>
  <c r="L7" i="5" s="1"/>
  <c r="I3" i="4"/>
  <c r="M7" i="5" s="1"/>
  <c r="J3" i="4"/>
  <c r="N7" i="5" s="1"/>
  <c r="K3" i="4"/>
  <c r="O7" i="5" s="1"/>
  <c r="L3" i="4"/>
  <c r="P7" i="5" s="1"/>
  <c r="M3" i="4"/>
  <c r="Q7" i="5" s="1"/>
  <c r="N3" i="4"/>
  <c r="R7" i="5" s="1"/>
  <c r="O3" i="4"/>
  <c r="S7" i="5" s="1"/>
  <c r="C3" i="4"/>
  <c r="G7" i="5" s="1"/>
  <c r="C2" i="4"/>
  <c r="G6" i="5" s="1"/>
  <c r="D2" i="4"/>
  <c r="H6" i="5" s="1"/>
  <c r="E2" i="4"/>
  <c r="I6" i="5" s="1"/>
  <c r="F2" i="4"/>
  <c r="J6" i="5" s="1"/>
  <c r="G2" i="4"/>
  <c r="K6" i="5" s="1"/>
  <c r="H2" i="4"/>
  <c r="L6" i="5" s="1"/>
  <c r="I2" i="4"/>
  <c r="M6" i="5" s="1"/>
  <c r="J2" i="4"/>
  <c r="N6" i="5" s="1"/>
  <c r="K2" i="4"/>
  <c r="O6" i="5" s="1"/>
  <c r="L2" i="4"/>
  <c r="P6" i="5" s="1"/>
  <c r="M2" i="4"/>
  <c r="Q6" i="5" s="1"/>
  <c r="N2" i="4"/>
  <c r="R6" i="5" s="1"/>
  <c r="O2" i="4"/>
  <c r="S6" i="5" s="1"/>
  <c r="B2" i="4"/>
  <c r="F6" i="5" s="1"/>
  <c r="G19" i="5"/>
  <c r="O23" i="4"/>
  <c r="M23" i="4"/>
  <c r="K23" i="4"/>
  <c r="G23" i="4"/>
  <c r="E23" i="4"/>
  <c r="F15" i="5"/>
  <c r="F18" i="5"/>
  <c r="G18" i="5"/>
  <c r="H18" i="5"/>
  <c r="J18" i="5"/>
  <c r="L18" i="5"/>
  <c r="N18" i="5"/>
  <c r="P18" i="5"/>
  <c r="H19" i="5"/>
  <c r="I19" i="5"/>
  <c r="J19" i="5"/>
  <c r="K19" i="5"/>
  <c r="L19" i="5"/>
  <c r="M19" i="5"/>
  <c r="N19" i="5"/>
  <c r="O19" i="5"/>
  <c r="P19" i="5"/>
  <c r="G17" i="5"/>
  <c r="I17" i="5"/>
  <c r="K17" i="5"/>
  <c r="M17" i="5"/>
  <c r="O17" i="5"/>
  <c r="R17" i="5"/>
  <c r="G16" i="5"/>
  <c r="H16" i="5"/>
  <c r="I16" i="5"/>
  <c r="K16" i="5"/>
  <c r="L16" i="5"/>
  <c r="M16" i="5"/>
  <c r="Q16" i="5"/>
  <c r="G15" i="5"/>
  <c r="H15" i="5"/>
  <c r="I15" i="5"/>
  <c r="J15" i="5"/>
  <c r="K15" i="5"/>
  <c r="L15" i="5"/>
  <c r="M15" i="5"/>
  <c r="Q15" i="5"/>
  <c r="G14" i="5"/>
  <c r="H14" i="5"/>
  <c r="I14" i="5"/>
  <c r="J14" i="5"/>
  <c r="K14" i="5"/>
  <c r="L14" i="5"/>
  <c r="O14" i="5"/>
  <c r="N13" i="5"/>
  <c r="G13" i="5"/>
  <c r="H13" i="5"/>
  <c r="I13" i="5"/>
  <c r="J13" i="5"/>
  <c r="K13" i="5"/>
  <c r="G12" i="5"/>
  <c r="H12" i="5"/>
  <c r="I12" i="5"/>
  <c r="J12" i="5"/>
  <c r="O12" i="5"/>
  <c r="H11" i="5"/>
  <c r="I11" i="5"/>
  <c r="J11" i="5"/>
  <c r="M11" i="5"/>
  <c r="O10" i="5"/>
  <c r="R10" i="5"/>
  <c r="G10" i="5"/>
  <c r="H10" i="5"/>
  <c r="G9" i="5"/>
  <c r="K9" i="5"/>
  <c r="O9" i="5"/>
  <c r="C7" i="5"/>
  <c r="A3" i="4" s="1"/>
  <c r="C1" i="4" s="1"/>
  <c r="C8" i="5"/>
  <c r="A4" i="4" s="1"/>
  <c r="D1" i="4" s="1"/>
  <c r="C9" i="5"/>
  <c r="A5" i="4" s="1"/>
  <c r="E1" i="4" s="1"/>
  <c r="C10" i="5"/>
  <c r="A6" i="4" s="1"/>
  <c r="F1" i="4" s="1"/>
  <c r="C11" i="5"/>
  <c r="A7" i="4" s="1"/>
  <c r="G1" i="4" s="1"/>
  <c r="C12" i="5"/>
  <c r="A8" i="4" s="1"/>
  <c r="H1" i="4" s="1"/>
  <c r="C13" i="5"/>
  <c r="A9" i="4" s="1"/>
  <c r="I1" i="4" s="1"/>
  <c r="I23" i="4"/>
  <c r="C14" i="5"/>
  <c r="A10" i="4" s="1"/>
  <c r="J1" i="4" s="1"/>
  <c r="C15" i="5"/>
  <c r="A11" i="4" s="1"/>
  <c r="K1" i="4" s="1"/>
  <c r="C16" i="5"/>
  <c r="A12" i="4" s="1"/>
  <c r="L1" i="4" s="1"/>
  <c r="C17" i="5"/>
  <c r="A13" i="4" s="1"/>
  <c r="M1" i="4" s="1"/>
  <c r="C18" i="5"/>
  <c r="A14" i="4" s="1"/>
  <c r="N1" i="4" s="1"/>
  <c r="C19" i="5"/>
  <c r="A15" i="4" s="1"/>
  <c r="O1" i="4" s="1"/>
  <c r="C6" i="5"/>
  <c r="A2" i="4" s="1"/>
  <c r="B1" i="4" s="1"/>
  <c r="J24" i="4"/>
  <c r="H24" i="4"/>
  <c r="R24" i="4"/>
  <c r="G24" i="4"/>
  <c r="I24" i="4"/>
  <c r="O24" i="4"/>
  <c r="Q24" i="4"/>
  <c r="K24" i="4"/>
  <c r="L24" i="4"/>
  <c r="P24" i="4"/>
  <c r="D24" i="4"/>
  <c r="E24" i="4"/>
  <c r="U5" i="5" l="1"/>
  <c r="T5" i="5"/>
  <c r="V5" i="5"/>
  <c r="H5" i="5"/>
  <c r="J5" i="5"/>
  <c r="N5" i="5"/>
  <c r="P5" i="5"/>
  <c r="R5" i="5"/>
  <c r="G5" i="5"/>
  <c r="I5" i="5"/>
  <c r="K5" i="5"/>
  <c r="O5" i="5"/>
  <c r="Q5" i="5"/>
  <c r="S5" i="5"/>
  <c r="F5" i="5"/>
  <c r="M5" i="5"/>
  <c r="L5" i="5"/>
  <c r="C23" i="4"/>
  <c r="A23" i="4"/>
  <c r="C24" i="4"/>
  <c r="A24" i="4"/>
  <c r="F24" i="4"/>
  <c r="N24" i="4"/>
  <c r="M24" i="4"/>
</calcChain>
</file>

<file path=xl/sharedStrings.xml><?xml version="1.0" encoding="utf-8"?>
<sst xmlns="http://schemas.openxmlformats.org/spreadsheetml/2006/main" count="104" uniqueCount="87">
  <si>
    <t>현재가</t>
  </si>
  <si>
    <t>CME$CB</t>
  </si>
  <si>
    <t>CME$CSC</t>
  </si>
  <si>
    <t>CME$DC</t>
  </si>
  <si>
    <t>CME$GDK</t>
  </si>
  <si>
    <t>CME$GF</t>
  </si>
  <si>
    <t>CME$GNF</t>
  </si>
  <si>
    <t>CME$HE</t>
  </si>
  <si>
    <t>CME$LE</t>
  </si>
  <si>
    <t>CBT$ZC</t>
  </si>
  <si>
    <t>CBT$ZL</t>
  </si>
  <si>
    <t>CBT$ZM</t>
  </si>
  <si>
    <t>CBT$ZO</t>
  </si>
  <si>
    <t>CBT$ZR</t>
  </si>
  <si>
    <t>CBT$ZS</t>
  </si>
  <si>
    <t>CBT$ZW</t>
  </si>
  <si>
    <t>COM:GC</t>
  </si>
  <si>
    <t>COM:HG</t>
  </si>
  <si>
    <t>COM:SI</t>
  </si>
  <si>
    <t>IPE:EB</t>
  </si>
  <si>
    <t>IPE:EP</t>
  </si>
  <si>
    <t>IPE:MN</t>
  </si>
  <si>
    <t>NYB:CC</t>
  </si>
  <si>
    <t>NYB:CT</t>
  </si>
  <si>
    <t>NYB:DX</t>
  </si>
  <si>
    <t>NYB:KC</t>
  </si>
  <si>
    <t>NYB:OJ</t>
  </si>
  <si>
    <t>NYB:SB</t>
  </si>
  <si>
    <t>NYM:CL</t>
  </si>
  <si>
    <t>NYM:DCB</t>
  </si>
  <si>
    <t>NYM:HO</t>
  </si>
  <si>
    <t>NYM:NG</t>
  </si>
  <si>
    <t>NYM:PA</t>
  </si>
  <si>
    <t>NYM:QLD</t>
  </si>
  <si>
    <t>NYM:SE</t>
  </si>
  <si>
    <t>NYM:UA</t>
  </si>
  <si>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</si>
  <si>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</si>
  <si>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</si>
  <si>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</si>
  <si>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</si>
  <si>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</si>
  <si>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</si>
  <si>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</si>
  <si>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</si>
  <si>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</si>
  <si>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일자</t>
  </si>
  <si>
    <t>Dubai</t>
    <phoneticPr fontId="1" type="noConversion"/>
  </si>
  <si>
    <t>Brent</t>
    <phoneticPr fontId="1" type="noConversion"/>
  </si>
  <si>
    <t>Gas Oil</t>
    <phoneticPr fontId="1" type="noConversion"/>
  </si>
  <si>
    <t>Coal</t>
    <phoneticPr fontId="1" type="noConversion"/>
  </si>
  <si>
    <t>Silver</t>
    <phoneticPr fontId="1" type="noConversion"/>
  </si>
  <si>
    <t>Oats</t>
    <phoneticPr fontId="1" type="noConversion"/>
  </si>
  <si>
    <t>Soybean</t>
    <phoneticPr fontId="1" type="noConversion"/>
  </si>
  <si>
    <t>Wheat</t>
    <phoneticPr fontId="1" type="noConversion"/>
  </si>
  <si>
    <t>Cocoa</t>
    <phoneticPr fontId="1" type="noConversion"/>
  </si>
  <si>
    <t>Cotton</t>
    <phoneticPr fontId="1" type="noConversion"/>
  </si>
  <si>
    <t>Coffee</t>
    <phoneticPr fontId="1" type="noConversion"/>
  </si>
  <si>
    <t>Sugar</t>
    <phoneticPr fontId="1" type="noConversion"/>
  </si>
  <si>
    <t>WTI</t>
    <phoneticPr fontId="1" type="noConversion"/>
  </si>
  <si>
    <t>Gold</t>
    <phoneticPr fontId="1" type="noConversion"/>
  </si>
  <si>
    <t>Copper</t>
    <phoneticPr fontId="1" type="noConversion"/>
  </si>
  <si>
    <t>Palladium</t>
    <phoneticPr fontId="1" type="noConversion"/>
  </si>
  <si>
    <t>Heating Oil</t>
    <phoneticPr fontId="1" type="noConversion"/>
  </si>
  <si>
    <t>Natural Gas</t>
    <phoneticPr fontId="1" type="noConversion"/>
  </si>
  <si>
    <t>UK Natural Gas</t>
    <phoneticPr fontId="1" type="noConversion"/>
  </si>
  <si>
    <t>Fuel Oil 380cts</t>
    <phoneticPr fontId="1" type="noConversion"/>
  </si>
  <si>
    <t>Fuel Oil 180cts</t>
    <phoneticPr fontId="1" type="noConversion"/>
  </si>
  <si>
    <t>Feeder Cattle</t>
    <phoneticPr fontId="1" type="noConversion"/>
  </si>
  <si>
    <t>Nonfat Dry Milk</t>
    <phoneticPr fontId="1" type="noConversion"/>
  </si>
  <si>
    <t>Live Cattle</t>
    <phoneticPr fontId="1" type="noConversion"/>
  </si>
  <si>
    <t>Soybean Oil</t>
    <phoneticPr fontId="1" type="noConversion"/>
  </si>
  <si>
    <t>US Dollar Index</t>
    <phoneticPr fontId="1" type="noConversion"/>
  </si>
  <si>
    <t>Orange Juice</t>
    <phoneticPr fontId="1" type="noConversion"/>
  </si>
  <si>
    <t>Milk Class Ⅲ</t>
    <phoneticPr fontId="1" type="noConversion"/>
  </si>
  <si>
    <t>Milk Class Ⅳ</t>
    <phoneticPr fontId="1" type="noConversion"/>
  </si>
  <si>
    <t>Lean Hogs</t>
    <phoneticPr fontId="1" type="noConversion"/>
  </si>
  <si>
    <t>Corn</t>
    <phoneticPr fontId="1" type="noConversion"/>
  </si>
  <si>
    <t>soybean Meal</t>
    <phoneticPr fontId="1" type="noConversion"/>
  </si>
  <si>
    <t>Raugh Rice</t>
    <phoneticPr fontId="1" type="noConversion"/>
  </si>
  <si>
    <t>End Date</t>
    <phoneticPr fontId="1" type="noConversion"/>
  </si>
  <si>
    <t>Correlation
Matrix</t>
    <phoneticPr fontId="1" type="noConversion"/>
  </si>
  <si>
    <t>Commodity Futures Correlation Matrix</t>
    <phoneticPr fontId="1" type="noConversion"/>
  </si>
  <si>
    <t>Platinum</t>
    <phoneticPr fontId="1" type="noConversion"/>
  </si>
  <si>
    <t>Butter</t>
    <phoneticPr fontId="1" type="noConversion"/>
  </si>
  <si>
    <t>Cheese</t>
    <phoneticPr fontId="1" type="noConversion"/>
  </si>
  <si>
    <t>Start 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</si>
</sst>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_ "/>
  </numFmts>
  <fonts count="13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0"/>
      <name val="맑은 고딕"/>
      <family val="2"/>
      <charset val="129"/>
      <scheme val="minor"/>
    </font>
    <font>
      <sz val="8"/>
      <color theme="1" tint="0.249977111117893"/>
      <name val="맑은 고딕"/>
      <family val="2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b/>
      <sz val="12"/>
      <color theme="1" tint="0.249977111117893"/>
      <name val="맑은 고딕"/>
      <family val="3"/>
      <charset val="129"/>
      <scheme val="minor"/>
    </font>
    <font>
      <sz val="8"/>
      <color theme="1" tint="0.249977111117893"/>
      <name val="맑은 고딕"/>
      <family val="3"/>
      <charset val="129"/>
      <scheme val="minor"/>
    </font>
    <font>
      <b/>
      <sz val="9"/>
      <color theme="1" tint="0.14999847407452621"/>
      <name val="맑은 고딕"/>
      <family val="3"/>
      <charset val="129"/>
      <scheme val="minor"/>
    </font>
    <font>
      <b/>
      <sz val="9"/>
      <color theme="1" tint="0.249977111117893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49" fontId="0" fillId="0" borderId="1" xfId="0" applyNumberFormat="1" applyFill="1" applyBorder="1">
      <alignment vertical="center"/>
    </xf>
    <xf numFmtId="49" fontId="0" fillId="0" borderId="0" xfId="0" applyNumberForma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10" fillId="0" borderId="1" xfId="0" applyNumberFormat="1" applyFont="1" applyFill="1" applyBorder="1">
      <alignment vertical="center"/>
    </xf>
    <xf numFmtId="0" fontId="7" fillId="0" borderId="0" xfId="0" applyFont="1" applyBorder="1">
      <alignment vertical="center"/>
    </xf>
    <xf numFmtId="14" fontId="11" fillId="4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49" fontId="0" fillId="0" borderId="1" xfId="0" applyNumberFormat="1" applyFill="1" applyBorder="1">
      <alignment vertical="center"/>
    </xf>
    <xf numFmtId="0" fontId="0" fillId="0" borderId="0" xfId="0">
      <alignment vertical="center"/>
    </xf>
    <xf numFmtId="49" fontId="0" fillId="0" borderId="1" xfId="0" applyNumberFormat="1" applyFill="1" applyBorder="1">
      <alignment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 wrapText="1"/>
    </xf>
    <xf numFmtId="0" fontId="12" fillId="0" borderId="14" xfId="0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center" vertical="center" wrapText="1"/>
    </xf>
    <xf numFmtId="0" fontId="0" fillId="0" borderId="1" xfId="0" applyNumberFormat="1" applyFill="1" applyBorder="1">
      <alignment vertical="center"/>
    </xf>
    <xf numFmtId="49" fontId="0" fillId="5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FF7C80"/>
      <color rgb="FF5A8AC6"/>
      <color rgb="FFDDFFF6"/>
      <color rgb="FF00CC99"/>
      <color rgb="FFFFFFE5"/>
      <color rgb="FFF8696B"/>
      <color rgb="FFFF5050"/>
      <color rgb="FFFFFFCC"/>
      <color rgb="FFFFFF99"/>
      <color rgb="FF1ABF0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x2.6PMF</stp>
        <stp>9</stp>
        <stp>661534</stp>
        <tr r="H24" s="4"/>
      </tp>
      <tp>
        <v>0</v>
        <stp/>
        <stp>H</stp>
        <stp>x1.6PMF</stp>
        <stp>8</stp>
        <stp>661534</stp>
        <tr r="J24" s="4"/>
      </tp>
      <tp>
        <v>0</v>
        <stp/>
        <stp>H</stp>
        <stp>x3.6PMF</stp>
        <stp>10</stp>
        <stp>661534</stp>
        <tr r="R24" s="4"/>
      </tp>
      <tp>
        <v>0</v>
        <stp/>
        <stp>H</stp>
        <stp>x7.6PMF</stp>
        <stp>14</stp>
        <stp>661534</stp>
        <tr r="Q24" s="4"/>
      </tp>
      <tp>
        <v>0</v>
        <stp/>
        <stp>H</stp>
        <stp>x4.6PMF</stp>
        <stp>11</stp>
        <stp>661534</stp>
        <tr r="G24" s="4"/>
      </tp>
      <tp>
        <v>0</v>
        <stp/>
        <stp>H</stp>
        <stp>x6.6PMF</stp>
        <stp>13</stp>
        <stp>661534</stp>
        <tr r="O24" s="4"/>
      </tp>
      <tp>
        <v>0</v>
        <stp/>
        <stp>H</stp>
        <stp>x5.6PMF</stp>
        <stp>12</stp>
        <stp>661534</stp>
        <tr r="I24" s="4"/>
      </tp>
      <tp>
        <v>0</v>
        <stp/>
        <stp>H</stp>
        <stp>x8.6PMF</stp>
        <stp>15</stp>
        <stp>661534</stp>
        <tr r="K24" s="4"/>
      </tp>
      <tp>
        <v>0</v>
        <stp/>
        <stp>H</stp>
        <stp>x9.6PMF</stp>
        <stp>16</stp>
        <stp>661534</stp>
        <tr r="L24" s="4"/>
      </tp>
      <tp>
        <v>0</v>
        <stp/>
        <stp>H</stp>
        <stp>x14.6PMF</stp>
        <stp>21</stp>
        <stp>661534</stp>
        <tr r="A24" s="4"/>
      </tp>
      <tp>
        <v>0</v>
        <stp/>
        <stp>H</stp>
        <stp>x16.6PMF</stp>
        <stp>23</stp>
        <stp>661534</stp>
        <tr r="N24" s="4"/>
      </tp>
      <tp>
        <v>0</v>
        <stp/>
        <stp>H</stp>
        <stp>x15.6PMF</stp>
        <stp>22</stp>
        <stp>661534</stp>
        <tr r="F24" s="4"/>
      </tp>
      <tp>
        <v>0</v>
        <stp/>
        <stp>H</stp>
        <stp>x13.6PMF</stp>
        <stp>20</stp>
        <stp>661534</stp>
        <tr r="C24" s="4"/>
      </tp>
      <tp>
        <v>0</v>
        <stp/>
        <stp>H</stp>
        <stp>x17.6PMF</stp>
        <stp>24</stp>
        <stp>661534</stp>
        <tr r="M24" s="4"/>
      </tp>
      <tp>
        <v>0</v>
        <stp/>
        <stp>H</stp>
        <stp>x11.6PMF</stp>
        <stp>18</stp>
        <stp>661534</stp>
        <tr r="D24" s="4"/>
      </tp>
      <tp>
        <v>0</v>
        <stp/>
        <stp>H</stp>
        <stp>x12.6PMF</stp>
        <stp>19</stp>
        <stp>661534</stp>
        <tr r="E24" s="4"/>
      </tp>
      <tp>
        <v>0</v>
        <stp/>
        <stp>H</stp>
        <stp>x10.6PMF</stp>
        <stp>17</stp>
        <stp>661534</stp>
        <tr r="P24" s="4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Lines="10" dropStyle="combo" dx="16" fmlaLink="$B$6" fmlaRange="$AK$6:$AK$41" val="0"/>
</file>

<file path=xl/ctrlProps/ctrlProp2.xml><?xml version="1.0" encoding="utf-8"?>
<formControlPr xmlns="http://schemas.microsoft.com/office/spreadsheetml/2009/9/main" objectType="Drop" dropLines="10" dropStyle="combo" dx="16" fmlaLink="$B$7" fmlaRange="$AK$6:$AK$41" sel="3" val="0"/>
</file>

<file path=xl/ctrlProps/ctrlProp3.xml><?xml version="1.0" encoding="utf-8"?>
<formControlPr xmlns="http://schemas.microsoft.com/office/spreadsheetml/2009/9/main" objectType="Drop" dropLines="10" dropStyle="combo" dx="16" fmlaLink="$B$8" fmlaRange="$AK$6:$AK$41" sel="5" val="4"/>
</file>

<file path=xl/ctrlProps/ctrlProp4.xml><?xml version="1.0" encoding="utf-8"?>
<formControlPr xmlns="http://schemas.microsoft.com/office/spreadsheetml/2009/9/main" objectType="Drop" dropLines="10" dropStyle="combo" dx="16" fmlaLink="$B$9" fmlaRange="$AK$6:$AK$41" sel="4" val="3"/>
</file>

<file path=xl/ctrlProps/ctrlProp5.xml><?xml version="1.0" encoding="utf-8"?>
<formControlPr xmlns="http://schemas.microsoft.com/office/spreadsheetml/2009/9/main" objectType="Drop" dropLines="10" dropStyle="combo" dx="16" fmlaLink="$B$10" fmlaRange="$AK$6:$AK$41" sel="6" val="3"/>
</file>

<file path=xl/ctrlProps/ctrlProp6.xml><?xml version="1.0" encoding="utf-8"?>
<formControlPr xmlns="http://schemas.microsoft.com/office/spreadsheetml/2009/9/main" objectType="Drop" dropLines="10" dropStyle="combo" dx="16" fmlaLink="$B$11" fmlaRange="$AK$6:$AK$41" sel="11" val="7"/>
</file>

<file path=xl/ctrlProps/ctrlProp7.xml><?xml version="1.0" encoding="utf-8"?>
<formControlPr xmlns="http://schemas.microsoft.com/office/spreadsheetml/2009/9/main" objectType="Drop" dropLines="10" dropStyle="combo" dx="16" fmlaLink="$B$12" fmlaRange="$AK$6:$AK$41" sel="12" val="6"/>
</file>

<file path=xl/ctrlProps/ctrlProp8.xml><?xml version="1.0" encoding="utf-8"?>
<formControlPr xmlns="http://schemas.microsoft.com/office/spreadsheetml/2009/9/main" objectType="Drop" dropLines="10" dropStyle="combo" dx="16" fmlaLink="$B$13" fmlaRange="$AK$6:$AK$41" sel="13" val="0"/>
</file>

<file path=xl/ctrlProps/ctrlProp9.xml><?xml version="1.0" encoding="utf-8"?>
<formControlPr xmlns="http://schemas.microsoft.com/office/spreadsheetml/2009/9/main" objectType="Drop" dropLines="10" dropStyle="combo" dx="16" fmlaLink="$B$14" fmlaRange="$AK$6:$AK$41" sel="16" val="8"/>
</file>

<file path=xl/ctrlProps/ctrlProp10.xml><?xml version="1.0" encoding="utf-8"?>
<formControlPr xmlns="http://schemas.microsoft.com/office/spreadsheetml/2009/9/main" objectType="Drop" dropLines="10" dropStyle="combo" dx="16" fmlaLink="$B$15" fmlaRange="$AK$6:$AK$41" sel="17" val="3"/>
</file>

<file path=xl/ctrlProps/ctrlProp11.xml><?xml version="1.0" encoding="utf-8"?>
<formControlPr xmlns="http://schemas.microsoft.com/office/spreadsheetml/2009/9/main" objectType="Drop" dropLines="10" dropStyle="combo" dx="16" fmlaLink="$B$16" fmlaRange="$AK$6:$AK$41" sel="24" val="12"/>
</file>

<file path=xl/ctrlProps/ctrlProp12.xml><?xml version="1.0" encoding="utf-8"?>
<formControlPr xmlns="http://schemas.microsoft.com/office/spreadsheetml/2009/9/main" objectType="Drop" dropLines="10" dropStyle="combo" dx="16" fmlaLink="$B$17" fmlaRange="$AK$6:$AK$41" sel="26" val="25"/>
</file>

<file path=xl/ctrlProps/ctrlProp13.xml><?xml version="1.0" encoding="utf-8"?>
<formControlPr xmlns="http://schemas.microsoft.com/office/spreadsheetml/2009/9/main" objectType="Drop" dropLines="10" dropStyle="combo" dx="16" fmlaLink="$B$18" fmlaRange="$AK$6:$AK$41" sel="27" val="22"/>
</file>

<file path=xl/ctrlProps/ctrlProp14.xml><?xml version="1.0" encoding="utf-8"?>
<formControlPr xmlns="http://schemas.microsoft.com/office/spreadsheetml/2009/9/main" objectType="Drop" dropLines="10" dropStyle="combo" dx="16" fmlaLink="$B$19" fmlaRange="$AK$6:$AK$41" sel="33" val="26"/>
</file>

<file path=xl/ctrlProps/ctrlProp15.xml><?xml version="1.0" encoding="utf-8"?>
<formControlPr xmlns="http://schemas.microsoft.com/office/spreadsheetml/2009/9/main" objectType="Drop" dropLines="10" dropStyle="combo" dx="16" fmlaLink="$B$20" fmlaRange="$AK$6:$AK$41" sel="34" val="26"/>
</file>

<file path=xl/ctrlProps/ctrlProp16.xml><?xml version="1.0" encoding="utf-8"?>
<formControlPr xmlns="http://schemas.microsoft.com/office/spreadsheetml/2009/9/main" objectType="Drop" dropLines="10" dropStyle="combo" dx="16" fmlaLink="$B$21" fmlaRange="$AK$6:$AK$41" sel="35" val="26"/>
</file>

<file path=xl/ctrlProps/ctrlProp17.xml><?xml version="1.0" encoding="utf-8"?>
<formControlPr xmlns="http://schemas.microsoft.com/office/spreadsheetml/2009/9/main" objectType="Drop" dropLines="10" dropStyle="combo" dx="16" fmlaLink="$B$22" fmlaRange="$AK$6:$AK$41" sel="36" val="26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276225</xdr:colOff>
      <xdr:row>22</xdr:row>
      <xdr:rowOff>133350</xdr:rowOff>
    </xdr:from>
    <xdr:to>
      <xdr:col>22</xdr:col>
      <xdr:colOff>285750</xdr:colOff>
      <xdr:row>24</xdr:row>
      <xdr:rowOff>31361</xdr:rowOff>
    </xdr:to>
    <xdr:pic>
      <xdr:nvPicPr>
        <xdr:cNvPr id="2" name="그림 1" descr="yonhapinfomax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20775" y="6562725"/>
          <a:ext cx="1438275" cy="24091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5</xdr:row>
          <xdr:rowOff>57150</xdr:rowOff>
        </xdr:from>
        <xdr:to>
          <xdr:col>4</xdr:col>
          <xdr:colOff>942975</xdr:colOff>
          <xdr:row>5</xdr:row>
          <xdr:rowOff>276225</xdr:rowOff>
        </xdr:to>
        <xdr:sp macro="" textlink="">
          <xdr:nvSpPr>
            <xdr:cNvPr id="1043" name="Drop Down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6</xdr:row>
          <xdr:rowOff>57150</xdr:rowOff>
        </xdr:from>
        <xdr:to>
          <xdr:col>4</xdr:col>
          <xdr:colOff>933450</xdr:colOff>
          <xdr:row>6</xdr:row>
          <xdr:rowOff>276225</xdr:rowOff>
        </xdr:to>
        <xdr:sp macro="" textlink="">
          <xdr:nvSpPr>
            <xdr:cNvPr id="1044" name="Drop Down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7</xdr:row>
          <xdr:rowOff>57150</xdr:rowOff>
        </xdr:from>
        <xdr:to>
          <xdr:col>4</xdr:col>
          <xdr:colOff>933450</xdr:colOff>
          <xdr:row>7</xdr:row>
          <xdr:rowOff>276225</xdr:rowOff>
        </xdr:to>
        <xdr:sp macro="" textlink="">
          <xdr:nvSpPr>
            <xdr:cNvPr id="1045" name="Drop Down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8</xdr:row>
          <xdr:rowOff>47625</xdr:rowOff>
        </xdr:from>
        <xdr:to>
          <xdr:col>4</xdr:col>
          <xdr:colOff>933450</xdr:colOff>
          <xdr:row>8</xdr:row>
          <xdr:rowOff>266700</xdr:rowOff>
        </xdr:to>
        <xdr:sp macro="" textlink="">
          <xdr:nvSpPr>
            <xdr:cNvPr id="1046" name="Drop Down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9</xdr:row>
          <xdr:rowOff>57150</xdr:rowOff>
        </xdr:from>
        <xdr:to>
          <xdr:col>4</xdr:col>
          <xdr:colOff>942975</xdr:colOff>
          <xdr:row>9</xdr:row>
          <xdr:rowOff>276225</xdr:rowOff>
        </xdr:to>
        <xdr:sp macro="" textlink="">
          <xdr:nvSpPr>
            <xdr:cNvPr id="1047" name="Drop Down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10</xdr:row>
          <xdr:rowOff>47625</xdr:rowOff>
        </xdr:from>
        <xdr:to>
          <xdr:col>4</xdr:col>
          <xdr:colOff>942975</xdr:colOff>
          <xdr:row>10</xdr:row>
          <xdr:rowOff>266700</xdr:rowOff>
        </xdr:to>
        <xdr:sp macro="" textlink="">
          <xdr:nvSpPr>
            <xdr:cNvPr id="1048" name="Drop Down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11</xdr:row>
          <xdr:rowOff>57150</xdr:rowOff>
        </xdr:from>
        <xdr:to>
          <xdr:col>4</xdr:col>
          <xdr:colOff>942975</xdr:colOff>
          <xdr:row>11</xdr:row>
          <xdr:rowOff>276225</xdr:rowOff>
        </xdr:to>
        <xdr:sp macro="" textlink="">
          <xdr:nvSpPr>
            <xdr:cNvPr id="1049" name="Drop Down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12</xdr:row>
          <xdr:rowOff>57150</xdr:rowOff>
        </xdr:from>
        <xdr:to>
          <xdr:col>4</xdr:col>
          <xdr:colOff>942975</xdr:colOff>
          <xdr:row>12</xdr:row>
          <xdr:rowOff>276225</xdr:rowOff>
        </xdr:to>
        <xdr:sp macro="" textlink="">
          <xdr:nvSpPr>
            <xdr:cNvPr id="1050" name="Drop Down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13</xdr:row>
          <xdr:rowOff>57150</xdr:rowOff>
        </xdr:from>
        <xdr:to>
          <xdr:col>4</xdr:col>
          <xdr:colOff>942975</xdr:colOff>
          <xdr:row>13</xdr:row>
          <xdr:rowOff>276225</xdr:rowOff>
        </xdr:to>
        <xdr:sp macro="" textlink="">
          <xdr:nvSpPr>
            <xdr:cNvPr id="1051" name="Drop Down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14</xdr:row>
          <xdr:rowOff>57150</xdr:rowOff>
        </xdr:from>
        <xdr:to>
          <xdr:col>4</xdr:col>
          <xdr:colOff>942975</xdr:colOff>
          <xdr:row>14</xdr:row>
          <xdr:rowOff>276225</xdr:rowOff>
        </xdr:to>
        <xdr:sp macro="" textlink="">
          <xdr:nvSpPr>
            <xdr:cNvPr id="1052" name="Drop Down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15</xdr:row>
          <xdr:rowOff>57150</xdr:rowOff>
        </xdr:from>
        <xdr:to>
          <xdr:col>4</xdr:col>
          <xdr:colOff>942975</xdr:colOff>
          <xdr:row>15</xdr:row>
          <xdr:rowOff>276225</xdr:rowOff>
        </xdr:to>
        <xdr:sp macro="" textlink="">
          <xdr:nvSpPr>
            <xdr:cNvPr id="1053" name="Drop Down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16</xdr:row>
          <xdr:rowOff>57150</xdr:rowOff>
        </xdr:from>
        <xdr:to>
          <xdr:col>4</xdr:col>
          <xdr:colOff>942975</xdr:colOff>
          <xdr:row>16</xdr:row>
          <xdr:rowOff>276225</xdr:rowOff>
        </xdr:to>
        <xdr:sp macro="" textlink="">
          <xdr:nvSpPr>
            <xdr:cNvPr id="1054" name="Drop Down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17</xdr:row>
          <xdr:rowOff>57150</xdr:rowOff>
        </xdr:from>
        <xdr:to>
          <xdr:col>4</xdr:col>
          <xdr:colOff>942975</xdr:colOff>
          <xdr:row>17</xdr:row>
          <xdr:rowOff>276225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18</xdr:row>
          <xdr:rowOff>57150</xdr:rowOff>
        </xdr:from>
        <xdr:to>
          <xdr:col>4</xdr:col>
          <xdr:colOff>942975</xdr:colOff>
          <xdr:row>18</xdr:row>
          <xdr:rowOff>276225</xdr:rowOff>
        </xdr:to>
        <xdr:sp macro="" textlink="">
          <xdr:nvSpPr>
            <xdr:cNvPr id="1056" name="Drop Down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19</xdr:row>
          <xdr:rowOff>57150</xdr:rowOff>
        </xdr:from>
        <xdr:to>
          <xdr:col>4</xdr:col>
          <xdr:colOff>942975</xdr:colOff>
          <xdr:row>19</xdr:row>
          <xdr:rowOff>276225</xdr:rowOff>
        </xdr:to>
        <xdr:sp macro="" textlink="">
          <xdr:nvSpPr>
            <xdr:cNvPr id="1060" name="Drop Down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20</xdr:row>
          <xdr:rowOff>57150</xdr:rowOff>
        </xdr:from>
        <xdr:to>
          <xdr:col>4</xdr:col>
          <xdr:colOff>942975</xdr:colOff>
          <xdr:row>20</xdr:row>
          <xdr:rowOff>276225</xdr:rowOff>
        </xdr:to>
        <xdr:sp macro="" textlink="">
          <xdr:nvSpPr>
            <xdr:cNvPr id="1061" name="Drop Down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21</xdr:row>
          <xdr:rowOff>57150</xdr:rowOff>
        </xdr:from>
        <xdr:to>
          <xdr:col>4</xdr:col>
          <xdr:colOff>942975</xdr:colOff>
          <xdr:row>21</xdr:row>
          <xdr:rowOff>276225</xdr:rowOff>
        </xdr:to>
        <xdr:sp macro="" textlink="">
          <xdr:nvSpPr>
            <xdr:cNvPr id="1062" name="Drop Down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L16313"/>
  <sheetViews>
    <sheetView showGridLines="0" tabSelected="1" workbookViewId="0">
      <selection activeCell="E2" sqref="E2"/>
    </sheetView>
  </sheetViews>
  <sheetFormatPr defaultRowHeight="13.5" x14ac:dyDescent="0.25"/>
  <cols>
    <col min="1" max="1" width="1.85546875" style="10" customWidth="1"/>
    <col min="2" max="2" width="3.7109375" style="16" hidden="1" customWidth="1"/>
    <col min="3" max="3" width="13.5703125" style="16" hidden="1" customWidth="1"/>
    <col min="4" max="4" width="8.5703125" style="16" hidden="1" customWidth="1"/>
    <col min="5" max="5" width="14.7109375" style="6" customWidth="1"/>
    <col min="6" max="19" width="10.7109375" customWidth="1"/>
    <col min="20" max="22" width="10.7109375" style="10" customWidth="1"/>
    <col min="24" max="24" width="13" customWidth="1"/>
    <col min="25" max="25" width="13.28515625" customWidth="1"/>
    <col min="26" max="26" width="9.140625" customWidth="1"/>
    <col min="36" max="36" width="3.7109375" hidden="1" customWidth="1"/>
    <col min="37" max="37" width="16" style="8" hidden="1" customWidth="1"/>
    <col min="38" max="38" width="9.140625" hidden="1" customWidth="1"/>
  </cols>
  <sheetData>
    <row r="1" spans="1:38" s="10" customFormat="1" ht="8.25" customHeight="1" x14ac:dyDescent="0.25">
      <c r="B1" s="16"/>
      <c r="C1" s="16"/>
      <c r="D1" s="16"/>
      <c r="AK1" s="8"/>
    </row>
    <row r="2" spans="1:38" s="10" customFormat="1" ht="22.5" customHeight="1" x14ac:dyDescent="0.25">
      <c r="B2" s="16"/>
      <c r="C2" s="16"/>
      <c r="D2" s="16"/>
      <c r="E2" s="24" t="s">
        <v>82</v>
      </c>
      <c r="F2" s="23"/>
      <c r="AK2" s="8"/>
    </row>
    <row r="3" spans="1:38" s="6" customFormat="1" ht="18.75" customHeight="1" x14ac:dyDescent="0.25">
      <c r="A3" s="10"/>
      <c r="B3" s="16"/>
      <c r="C3" s="16"/>
      <c r="D3" s="16"/>
      <c r="E3" s="18" t="s">
        <v>86</v>
      </c>
      <c r="F3" s="31">
        <f ca="1">TODAY()-365</f>
        <v>44586</v>
      </c>
      <c r="G3" s="18" t="s">
        <v>80</v>
      </c>
      <c r="H3" s="31">
        <f ca="1">WORKDAY(TODAY(),-1)</f>
        <v>44950</v>
      </c>
      <c r="T3" s="10"/>
      <c r="U3" s="10"/>
      <c r="V3" s="10"/>
      <c r="AK3" s="8"/>
    </row>
    <row r="4" spans="1:38" s="25" customFormat="1" ht="7.5" customHeight="1" thickBot="1" x14ac:dyDescent="0.3">
      <c r="B4" s="16"/>
      <c r="C4" s="16"/>
      <c r="D4" s="16"/>
      <c r="AK4" s="30"/>
    </row>
    <row r="5" spans="1:38" s="26" customFormat="1" ht="27" customHeight="1" thickBot="1" x14ac:dyDescent="0.3">
      <c r="B5" s="17"/>
      <c r="C5" s="17"/>
      <c r="D5" s="17"/>
      <c r="E5" s="44" t="s">
        <v>81</v>
      </c>
      <c r="F5" s="45" t="str">
        <f>$C$6</f>
        <v>WTI</v>
      </c>
      <c r="G5" s="45" t="str">
        <f>$C$7</f>
        <v>Brent</v>
      </c>
      <c r="H5" s="45" t="str">
        <f>$C$8</f>
        <v>Natural Gas</v>
      </c>
      <c r="I5" s="45" t="str">
        <f>$C$9</f>
        <v>Heating Oil</v>
      </c>
      <c r="J5" s="45" t="str">
        <f>$C$10</f>
        <v>Gas Oil</v>
      </c>
      <c r="K5" s="45" t="str">
        <f>$C$11</f>
        <v>Gold</v>
      </c>
      <c r="L5" s="45" t="str">
        <f>$C$12</f>
        <v>Silver</v>
      </c>
      <c r="M5" s="45" t="str">
        <f>$C$13</f>
        <v>Copper</v>
      </c>
      <c r="N5" s="45" t="str">
        <f>$C$14</f>
        <v>Butter</v>
      </c>
      <c r="O5" s="45" t="str">
        <f>$C$15</f>
        <v>Cheese</v>
      </c>
      <c r="P5" s="45" t="str">
        <f>$C$16</f>
        <v>Soybean</v>
      </c>
      <c r="Q5" s="45" t="str">
        <f>$C$17</f>
        <v>Soybean Oil</v>
      </c>
      <c r="R5" s="45" t="str">
        <f>$C$18</f>
        <v>Corn</v>
      </c>
      <c r="S5" s="46" t="str">
        <f>$C$19</f>
        <v>Coffee</v>
      </c>
      <c r="T5" s="46" t="str">
        <f>$C$20</f>
        <v>Orange Juice</v>
      </c>
      <c r="U5" s="46" t="str">
        <f>$C$21</f>
        <v>Sugar</v>
      </c>
      <c r="V5" s="46" t="str">
        <f>$C$22</f>
        <v>US Dollar Index</v>
      </c>
      <c r="AK5" s="27"/>
    </row>
    <row r="6" spans="1:38" s="26" customFormat="1" ht="27.75" customHeight="1" x14ac:dyDescent="0.25">
      <c r="A6" s="17"/>
      <c r="B6" s="16">
        <v>1</v>
      </c>
      <c r="C6" s="16" t="str">
        <f t="shared" ref="C6:C22" si="0">VLOOKUP($B6,$AJ$6:$AL$41,2,0)</f>
        <v>WTI</v>
      </c>
      <c r="D6" s="17" t="str">
        <f t="shared" ref="D6:D22" si="1">VLOOKUP($B6,$AJ$6:$AL$41,3,0)</f>
        <v>NYM:CL</v>
      </c>
      <c r="E6" s="19"/>
      <c r="F6" s="36">
        <f>raw!B2</f>
        <v>1</v>
      </c>
      <c r="G6" s="40">
        <f>raw!C2</f>
        <v>0.98607576749185855</v>
      </c>
      <c r="H6" s="40">
        <f>raw!D2</f>
        <v>0.30055940186830776</v>
      </c>
      <c r="I6" s="40">
        <f>raw!E2</f>
        <v>0.62867585195352338</v>
      </c>
      <c r="J6" s="40">
        <f>raw!F2</f>
        <v>0.72726660418667377</v>
      </c>
      <c r="K6" s="40">
        <f>raw!G2</f>
        <v>0.44131295472783422</v>
      </c>
      <c r="L6" s="40">
        <f>raw!H2</f>
        <v>0.18077004745717068</v>
      </c>
      <c r="M6" s="40">
        <f>raw!I2</f>
        <v>0.49054317912895601</v>
      </c>
      <c r="N6" s="40">
        <f>raw!J2</f>
        <v>-0.10731054304199375</v>
      </c>
      <c r="O6" s="40">
        <f>raw!K2</f>
        <v>0.63766744949882603</v>
      </c>
      <c r="P6" s="40">
        <f>raw!L2</f>
        <v>0.79990282768898613</v>
      </c>
      <c r="Q6" s="40">
        <f>raw!M2</f>
        <v>0.61672212286968209</v>
      </c>
      <c r="R6" s="40">
        <f>raw!N2</f>
        <v>0.68859331587729589</v>
      </c>
      <c r="S6" s="40">
        <f>raw!O2</f>
        <v>0.60763532619319727</v>
      </c>
      <c r="T6" s="40">
        <f>raw!P2</f>
        <v>-0.5183685854312039</v>
      </c>
      <c r="U6" s="40">
        <f>raw!Q2</f>
        <v>-1.953280645638867E-2</v>
      </c>
      <c r="V6" s="41">
        <f>raw!R2</f>
        <v>-0.34379467851714052</v>
      </c>
      <c r="AJ6" s="28">
        <v>1</v>
      </c>
      <c r="AK6" s="28" t="s">
        <v>59</v>
      </c>
      <c r="AL6" s="29" t="s">
        <v>28</v>
      </c>
    </row>
    <row r="7" spans="1:38" s="17" customFormat="1" ht="24.95" customHeight="1" x14ac:dyDescent="0.25">
      <c r="A7" s="7"/>
      <c r="B7" s="16">
        <v>3</v>
      </c>
      <c r="C7" s="16" t="str">
        <f t="shared" si="0"/>
        <v>Brent</v>
      </c>
      <c r="D7" s="17" t="str">
        <f t="shared" si="1"/>
        <v>IPE:EB</v>
      </c>
      <c r="E7" s="19"/>
      <c r="F7" s="42">
        <f>raw!B3</f>
        <v>0.98607576749185855</v>
      </c>
      <c r="G7" s="32">
        <f>raw!C3</f>
        <v>0.99999999999999978</v>
      </c>
      <c r="H7" s="32">
        <f>raw!D3</f>
        <v>0.34048834317749405</v>
      </c>
      <c r="I7" s="32">
        <f>raw!E3</f>
        <v>0.67926495314604118</v>
      </c>
      <c r="J7" s="32">
        <f>raw!F3</f>
        <v>0.77144616855962278</v>
      </c>
      <c r="K7" s="32">
        <f>raw!G3</f>
        <v>0.39399531276654437</v>
      </c>
      <c r="L7" s="32">
        <f>raw!H3</f>
        <v>0.12326717869673258</v>
      </c>
      <c r="M7" s="32">
        <f>raw!I3</f>
        <v>0.42467061535811906</v>
      </c>
      <c r="N7" s="32">
        <f>raw!J3</f>
        <v>-2.544171492203948E-2</v>
      </c>
      <c r="O7" s="32">
        <f>raw!K3</f>
        <v>0.63825333057922351</v>
      </c>
      <c r="P7" s="32">
        <f>raw!L3</f>
        <v>0.761848979970843</v>
      </c>
      <c r="Q7" s="32">
        <f>raw!M3</f>
        <v>0.60190655230085433</v>
      </c>
      <c r="R7" s="32">
        <f>raw!N3</f>
        <v>0.66086123338969216</v>
      </c>
      <c r="S7" s="32">
        <f>raw!O3</f>
        <v>0.58372649560580503</v>
      </c>
      <c r="T7" s="32">
        <f>raw!P3</f>
        <v>-0.48251993342418698</v>
      </c>
      <c r="U7" s="32">
        <f>raw!Q3</f>
        <v>-5.5625932521391003E-2</v>
      </c>
      <c r="V7" s="33">
        <f>raw!R3</f>
        <v>-0.26770122063157792</v>
      </c>
      <c r="AJ7" s="14">
        <v>2</v>
      </c>
      <c r="AK7" s="13" t="s">
        <v>47</v>
      </c>
      <c r="AL7" s="11" t="s">
        <v>29</v>
      </c>
    </row>
    <row r="8" spans="1:38" s="7" customFormat="1" ht="24.95" customHeight="1" x14ac:dyDescent="0.25">
      <c r="A8" s="10"/>
      <c r="B8" s="16">
        <v>5</v>
      </c>
      <c r="C8" s="16" t="str">
        <f t="shared" si="0"/>
        <v>Natural Gas</v>
      </c>
      <c r="D8" s="17" t="str">
        <f t="shared" si="1"/>
        <v>NYM:NG</v>
      </c>
      <c r="E8" s="21"/>
      <c r="F8" s="42">
        <f>raw!B4</f>
        <v>0.30055940186830776</v>
      </c>
      <c r="G8" s="32">
        <f>raw!C4</f>
        <v>0.34048834317749405</v>
      </c>
      <c r="H8" s="32">
        <f>raw!D4</f>
        <v>1</v>
      </c>
      <c r="I8" s="32">
        <f>raw!E4</f>
        <v>0.45280399267082755</v>
      </c>
      <c r="J8" s="32">
        <f>raw!F4</f>
        <v>0.42497202034600989</v>
      </c>
      <c r="K8" s="32">
        <f>raw!G4</f>
        <v>-0.32442329530777647</v>
      </c>
      <c r="L8" s="32">
        <f>raw!H4</f>
        <v>-0.55730327449574479</v>
      </c>
      <c r="M8" s="32">
        <f>raw!I4</f>
        <v>-0.33959903886795778</v>
      </c>
      <c r="N8" s="32">
        <f>raw!J4</f>
        <v>0.51743715539443502</v>
      </c>
      <c r="O8" s="32">
        <f>raw!K4</f>
        <v>0.39771092463994162</v>
      </c>
      <c r="P8" s="32">
        <f>raw!L4</f>
        <v>0.14475210646437614</v>
      </c>
      <c r="Q8" s="32">
        <f>raw!M4</f>
        <v>0.31109318325551605</v>
      </c>
      <c r="R8" s="32">
        <f>raw!N4</f>
        <v>9.034650866859649E-2</v>
      </c>
      <c r="S8" s="32">
        <f>raw!O4</f>
        <v>0.29354975697867985</v>
      </c>
      <c r="T8" s="32">
        <f>raw!P4</f>
        <v>5.780858023545471E-2</v>
      </c>
      <c r="U8" s="32">
        <f>raw!Q4</f>
        <v>-0.23529166685512001</v>
      </c>
      <c r="V8" s="33">
        <f>raw!R4</f>
        <v>0.43978279223358335</v>
      </c>
      <c r="AJ8" s="13">
        <v>3</v>
      </c>
      <c r="AK8" s="13" t="s">
        <v>48</v>
      </c>
      <c r="AL8" s="11" t="s">
        <v>19</v>
      </c>
    </row>
    <row r="9" spans="1:38" ht="24.95" customHeight="1" x14ac:dyDescent="0.25">
      <c r="B9" s="16">
        <v>4</v>
      </c>
      <c r="C9" s="16" t="str">
        <f t="shared" si="0"/>
        <v>Heating Oil</v>
      </c>
      <c r="D9" s="17" t="str">
        <f t="shared" si="1"/>
        <v>NYM:HO</v>
      </c>
      <c r="E9" s="21"/>
      <c r="F9" s="42">
        <f>raw!B5</f>
        <v>0.62867585195352338</v>
      </c>
      <c r="G9" s="32">
        <f>raw!C5</f>
        <v>0.67926495314604118</v>
      </c>
      <c r="H9" s="32">
        <f>raw!D5</f>
        <v>0.45280399267082755</v>
      </c>
      <c r="I9" s="32">
        <f>raw!E5</f>
        <v>1.0000000000000002</v>
      </c>
      <c r="J9" s="32">
        <f>raw!F5</f>
        <v>0.86529395063071679</v>
      </c>
      <c r="K9" s="32">
        <f>raw!G5</f>
        <v>-2.6525528978701231E-2</v>
      </c>
      <c r="L9" s="32">
        <f>raw!H5</f>
        <v>-0.22400889343640445</v>
      </c>
      <c r="M9" s="32">
        <f>raw!I5</f>
        <v>-3.3267398048657047E-2</v>
      </c>
      <c r="N9" s="32">
        <f>raw!J5</f>
        <v>0.35386789380970168</v>
      </c>
      <c r="O9" s="32">
        <f>raw!K5</f>
        <v>0.69721445110083502</v>
      </c>
      <c r="P9" s="32">
        <f>raw!L5</f>
        <v>0.33298959284536345</v>
      </c>
      <c r="Q9" s="32">
        <f>raw!M5</f>
        <v>0.58794333623631856</v>
      </c>
      <c r="R9" s="32">
        <f>raw!N5</f>
        <v>0.60094901635976794</v>
      </c>
      <c r="S9" s="32">
        <f>raw!O5</f>
        <v>0.15218417802391693</v>
      </c>
      <c r="T9" s="32">
        <f>raw!P5</f>
        <v>0.10923031168884362</v>
      </c>
      <c r="U9" s="32">
        <f>raw!Q5</f>
        <v>-1.3431420456984361E-2</v>
      </c>
      <c r="V9" s="33">
        <f>raw!R5</f>
        <v>0.30201824017287343</v>
      </c>
      <c r="AJ9" s="14">
        <v>4</v>
      </c>
      <c r="AK9" s="15" t="s">
        <v>63</v>
      </c>
      <c r="AL9" s="11" t="s">
        <v>30</v>
      </c>
    </row>
    <row r="10" spans="1:38" ht="24.95" customHeight="1" x14ac:dyDescent="0.25">
      <c r="B10" s="16">
        <v>6</v>
      </c>
      <c r="C10" s="16" t="str">
        <f t="shared" si="0"/>
        <v>Gas Oil</v>
      </c>
      <c r="D10" s="17" t="str">
        <f t="shared" si="1"/>
        <v>IPE:EP</v>
      </c>
      <c r="E10" s="20"/>
      <c r="F10" s="42">
        <f>raw!B6</f>
        <v>0.72726660418667377</v>
      </c>
      <c r="G10" s="32">
        <f>raw!C6</f>
        <v>0.77144616855962278</v>
      </c>
      <c r="H10" s="32">
        <f>raw!D6</f>
        <v>0.42497202034600989</v>
      </c>
      <c r="I10" s="32">
        <f>raw!E6</f>
        <v>0.86529395063071679</v>
      </c>
      <c r="J10" s="32">
        <f>raw!F6</f>
        <v>1</v>
      </c>
      <c r="K10" s="32">
        <f>raw!G6</f>
        <v>8.4966632904566505E-2</v>
      </c>
      <c r="L10" s="32">
        <f>raw!H6</f>
        <v>-0.15362848287910408</v>
      </c>
      <c r="M10" s="32">
        <f>raw!I6</f>
        <v>3.2906979378293198E-2</v>
      </c>
      <c r="N10" s="32">
        <f>raw!J6</f>
        <v>0.31241777106493934</v>
      </c>
      <c r="O10" s="32">
        <f>raw!K6</f>
        <v>0.62478588817393343</v>
      </c>
      <c r="P10" s="32">
        <f>raw!L6</f>
        <v>0.42276399812206944</v>
      </c>
      <c r="Q10" s="32">
        <f>raw!M6</f>
        <v>0.51116694910351401</v>
      </c>
      <c r="R10" s="32">
        <f>raw!N6</f>
        <v>0.58463477901788508</v>
      </c>
      <c r="S10" s="32">
        <f>raw!O6</f>
        <v>0.3177575019215948</v>
      </c>
      <c r="T10" s="32">
        <f>raw!P6</f>
        <v>-7.9286930258323646E-2</v>
      </c>
      <c r="U10" s="32">
        <f>raw!Q6</f>
        <v>-7.2578104617464709E-2</v>
      </c>
      <c r="V10" s="33">
        <f>raw!R6</f>
        <v>0.20468089489101857</v>
      </c>
      <c r="AJ10" s="13">
        <v>5</v>
      </c>
      <c r="AK10" s="15" t="s">
        <v>64</v>
      </c>
      <c r="AL10" s="11" t="s">
        <v>31</v>
      </c>
    </row>
    <row r="11" spans="1:38" ht="24.95" customHeight="1" x14ac:dyDescent="0.25">
      <c r="B11" s="16">
        <v>11</v>
      </c>
      <c r="C11" s="16" t="str">
        <f t="shared" si="0"/>
        <v>Gold</v>
      </c>
      <c r="D11" s="17" t="str">
        <f t="shared" si="1"/>
        <v>COM:GC</v>
      </c>
      <c r="E11" s="20"/>
      <c r="F11" s="42">
        <f>raw!B7</f>
        <v>0.44131295472783422</v>
      </c>
      <c r="G11" s="32">
        <f>raw!C7</f>
        <v>0.39399531276654437</v>
      </c>
      <c r="H11" s="32">
        <f>raw!D7</f>
        <v>-0.32442329530777647</v>
      </c>
      <c r="I11" s="32">
        <f>raw!E7</f>
        <v>-2.6525528978701231E-2</v>
      </c>
      <c r="J11" s="32">
        <f>raw!F7</f>
        <v>8.4966632904566505E-2</v>
      </c>
      <c r="K11" s="32">
        <f>raw!G7</f>
        <v>1</v>
      </c>
      <c r="L11" s="32">
        <f>raw!H7</f>
        <v>0.89084688668978329</v>
      </c>
      <c r="M11" s="32">
        <f>raw!I7</f>
        <v>0.89440896722287011</v>
      </c>
      <c r="N11" s="32">
        <f>raw!J7</f>
        <v>-0.74592319584203537</v>
      </c>
      <c r="O11" s="32">
        <f>raw!K7</f>
        <v>0.12615114741277728</v>
      </c>
      <c r="P11" s="32">
        <f>raw!L7</f>
        <v>0.73522191164117667</v>
      </c>
      <c r="Q11" s="32">
        <f>raw!M7</f>
        <v>0.35030780572136183</v>
      </c>
      <c r="R11" s="32">
        <f>raw!N7</f>
        <v>0.46634560893951005</v>
      </c>
      <c r="S11" s="32">
        <f>raw!O7</f>
        <v>0.18631751846315511</v>
      </c>
      <c r="T11" s="32">
        <f>raw!P7</f>
        <v>-0.4277079443012215</v>
      </c>
      <c r="U11" s="32">
        <f>raw!Q7</f>
        <v>0.44236076837375432</v>
      </c>
      <c r="V11" s="33">
        <f>raw!R7</f>
        <v>-0.84629678574397349</v>
      </c>
      <c r="AJ11" s="14">
        <v>6</v>
      </c>
      <c r="AK11" s="13" t="s">
        <v>49</v>
      </c>
      <c r="AL11" s="11" t="s">
        <v>20</v>
      </c>
    </row>
    <row r="12" spans="1:38" ht="24.95" customHeight="1" x14ac:dyDescent="0.25">
      <c r="B12" s="16">
        <v>12</v>
      </c>
      <c r="C12" s="16" t="str">
        <f t="shared" si="0"/>
        <v>Silver</v>
      </c>
      <c r="D12" s="17" t="str">
        <f t="shared" si="1"/>
        <v>COM:SI</v>
      </c>
      <c r="E12" s="21"/>
      <c r="F12" s="42">
        <f>raw!B8</f>
        <v>0.18077004745717068</v>
      </c>
      <c r="G12" s="32">
        <f>raw!C8</f>
        <v>0.12326717869673258</v>
      </c>
      <c r="H12" s="32">
        <f>raw!D8</f>
        <v>-0.55730327449574479</v>
      </c>
      <c r="I12" s="32">
        <f>raw!E8</f>
        <v>-0.22400889343640445</v>
      </c>
      <c r="J12" s="32">
        <f>raw!F8</f>
        <v>-0.15362848287910408</v>
      </c>
      <c r="K12" s="32">
        <f>raw!G8</f>
        <v>0.89084688668978329</v>
      </c>
      <c r="L12" s="32">
        <f>raw!H8</f>
        <v>0.99999999999999989</v>
      </c>
      <c r="M12" s="32">
        <f>raw!I8</f>
        <v>0.86289718809302896</v>
      </c>
      <c r="N12" s="32">
        <f>raw!J8</f>
        <v>-0.74102697622613456</v>
      </c>
      <c r="O12" s="32">
        <f>raw!K8</f>
        <v>-3.7094254997151251E-2</v>
      </c>
      <c r="P12" s="32">
        <f>raw!L8</f>
        <v>0.47632576009211897</v>
      </c>
      <c r="Q12" s="32">
        <f>raw!M8</f>
        <v>0.24801313358471805</v>
      </c>
      <c r="R12" s="32">
        <f>raw!N8</f>
        <v>0.3327539346775254</v>
      </c>
      <c r="S12" s="32">
        <f>raw!O8</f>
        <v>-4.3355760894192553E-2</v>
      </c>
      <c r="T12" s="32">
        <f>raw!P8</f>
        <v>-0.25161866606179339</v>
      </c>
      <c r="U12" s="32">
        <f>raw!Q8</f>
        <v>0.57006647848077319</v>
      </c>
      <c r="V12" s="33">
        <f>raw!R8</f>
        <v>-0.81783953714515567</v>
      </c>
      <c r="AJ12" s="13">
        <v>7</v>
      </c>
      <c r="AK12" s="15" t="s">
        <v>65</v>
      </c>
      <c r="AL12" s="11" t="s">
        <v>21</v>
      </c>
    </row>
    <row r="13" spans="1:38" ht="24.95" customHeight="1" x14ac:dyDescent="0.25">
      <c r="B13" s="16">
        <v>13</v>
      </c>
      <c r="C13" s="16" t="str">
        <f t="shared" si="0"/>
        <v>Copper</v>
      </c>
      <c r="D13" s="17" t="str">
        <f t="shared" si="1"/>
        <v>COM:HG</v>
      </c>
      <c r="E13" s="20"/>
      <c r="F13" s="42">
        <f>raw!B9</f>
        <v>0.49054317912895601</v>
      </c>
      <c r="G13" s="32">
        <f>raw!C9</f>
        <v>0.42467061535811906</v>
      </c>
      <c r="H13" s="32">
        <f>raw!D9</f>
        <v>-0.33959903886795778</v>
      </c>
      <c r="I13" s="32">
        <f>raw!E9</f>
        <v>-3.3267398048657047E-2</v>
      </c>
      <c r="J13" s="32">
        <f>raw!F9</f>
        <v>3.2906979378293198E-2</v>
      </c>
      <c r="K13" s="32">
        <f>raw!G9</f>
        <v>0.89440896722287011</v>
      </c>
      <c r="L13" s="32">
        <f>raw!H9</f>
        <v>0.86289718809302896</v>
      </c>
      <c r="M13" s="32">
        <f>raw!I9</f>
        <v>1.0000000000000002</v>
      </c>
      <c r="N13" s="32">
        <f>raw!J9</f>
        <v>-0.72355427681231466</v>
      </c>
      <c r="O13" s="32">
        <f>raw!K9</f>
        <v>0.10698548013467223</v>
      </c>
      <c r="P13" s="32">
        <f>raw!L9</f>
        <v>0.68569563052574378</v>
      </c>
      <c r="Q13" s="32">
        <f>raw!M9</f>
        <v>0.44908273429163226</v>
      </c>
      <c r="R13" s="32">
        <f>raw!N9</f>
        <v>0.5050292672694231</v>
      </c>
      <c r="S13" s="32">
        <f>raw!O9</f>
        <v>0.32174196641363034</v>
      </c>
      <c r="T13" s="32">
        <f>raw!P9</f>
        <v>-0.49691459536218374</v>
      </c>
      <c r="U13" s="32">
        <f>raw!Q9</f>
        <v>0.36531281915930575</v>
      </c>
      <c r="V13" s="33">
        <f>raw!R9</f>
        <v>-0.8867325829949031</v>
      </c>
      <c r="AJ13" s="14">
        <v>8</v>
      </c>
      <c r="AK13" s="13" t="s">
        <v>50</v>
      </c>
      <c r="AL13" s="11" t="s">
        <v>33</v>
      </c>
    </row>
    <row r="14" spans="1:38" ht="24.95" customHeight="1" x14ac:dyDescent="0.25">
      <c r="B14" s="16">
        <v>16</v>
      </c>
      <c r="C14" s="16" t="str">
        <f t="shared" si="0"/>
        <v>Butter</v>
      </c>
      <c r="D14" s="17" t="str">
        <f t="shared" si="1"/>
        <v>CME$CB</v>
      </c>
      <c r="E14" s="21"/>
      <c r="F14" s="42">
        <f>raw!B10</f>
        <v>-0.10731054304199375</v>
      </c>
      <c r="G14" s="32">
        <f>raw!C10</f>
        <v>-2.544171492203948E-2</v>
      </c>
      <c r="H14" s="32">
        <f>raw!D10</f>
        <v>0.51743715539443502</v>
      </c>
      <c r="I14" s="32">
        <f>raw!E10</f>
        <v>0.35386789380970168</v>
      </c>
      <c r="J14" s="32">
        <f>raw!F10</f>
        <v>0.31241777106493934</v>
      </c>
      <c r="K14" s="32">
        <f>raw!G10</f>
        <v>-0.74592319584203537</v>
      </c>
      <c r="L14" s="32">
        <f>raw!H10</f>
        <v>-0.74102697622613456</v>
      </c>
      <c r="M14" s="32">
        <f>raw!I10</f>
        <v>-0.72355427681231466</v>
      </c>
      <c r="N14" s="32">
        <f>raw!J10</f>
        <v>1</v>
      </c>
      <c r="O14" s="32">
        <f>raw!K10</f>
        <v>8.6919414438677955E-2</v>
      </c>
      <c r="P14" s="32">
        <f>raw!L10</f>
        <v>-0.42768731583574293</v>
      </c>
      <c r="Q14" s="32">
        <f>raw!M10</f>
        <v>-4.3793708591042271E-2</v>
      </c>
      <c r="R14" s="32">
        <f>raw!N10</f>
        <v>-0.12729575174343144</v>
      </c>
      <c r="S14" s="32">
        <f>raw!O10</f>
        <v>4.4325450493031951E-2</v>
      </c>
      <c r="T14" s="32">
        <f>raw!P10</f>
        <v>0.28173545871225719</v>
      </c>
      <c r="U14" s="32">
        <f>raw!Q10</f>
        <v>-0.3829512691022402</v>
      </c>
      <c r="V14" s="33">
        <f>raw!R10</f>
        <v>0.81637168202211519</v>
      </c>
      <c r="AJ14" s="13">
        <v>9</v>
      </c>
      <c r="AK14" s="15" t="s">
        <v>66</v>
      </c>
      <c r="AL14" s="11" t="s">
        <v>34</v>
      </c>
    </row>
    <row r="15" spans="1:38" ht="24.95" customHeight="1" x14ac:dyDescent="0.25">
      <c r="B15" s="16">
        <v>17</v>
      </c>
      <c r="C15" s="16" t="str">
        <f t="shared" si="0"/>
        <v>Cheese</v>
      </c>
      <c r="D15" s="17" t="str">
        <f t="shared" si="1"/>
        <v>CME$CSC</v>
      </c>
      <c r="E15" s="21"/>
      <c r="F15" s="42">
        <f>raw!B11</f>
        <v>0.63766744949882603</v>
      </c>
      <c r="G15" s="32">
        <f>raw!C11</f>
        <v>0.63825333057922351</v>
      </c>
      <c r="H15" s="32">
        <f>raw!D11</f>
        <v>0.39771092463994162</v>
      </c>
      <c r="I15" s="32">
        <f>raw!E11</f>
        <v>0.69721445110083502</v>
      </c>
      <c r="J15" s="32">
        <f>raw!F11</f>
        <v>0.62478588817393343</v>
      </c>
      <c r="K15" s="32">
        <f>raw!G11</f>
        <v>0.12615114741277728</v>
      </c>
      <c r="L15" s="32">
        <f>raw!H11</f>
        <v>-3.7094254997151251E-2</v>
      </c>
      <c r="M15" s="32">
        <f>raw!I11</f>
        <v>0.10698548013467223</v>
      </c>
      <c r="N15" s="32">
        <f>raw!J11</f>
        <v>8.6919414438677955E-2</v>
      </c>
      <c r="O15" s="32">
        <f>raw!K11</f>
        <v>0.99999999999999989</v>
      </c>
      <c r="P15" s="32">
        <f>raw!L11</f>
        <v>0.45066322029058603</v>
      </c>
      <c r="Q15" s="32">
        <f>raw!M11</f>
        <v>0.56774244234041693</v>
      </c>
      <c r="R15" s="32">
        <f>raw!N11</f>
        <v>0.64797375777380972</v>
      </c>
      <c r="S15" s="32">
        <f>raw!O11</f>
        <v>6.6695422731581772E-2</v>
      </c>
      <c r="T15" s="32">
        <f>raw!P11</f>
        <v>8.675265203640567E-2</v>
      </c>
      <c r="U15" s="32">
        <f>raw!Q11</f>
        <v>0.26722001063428952</v>
      </c>
      <c r="V15" s="33">
        <f>raw!R11</f>
        <v>6.8554876277017021E-2</v>
      </c>
      <c r="AJ15" s="14">
        <v>10</v>
      </c>
      <c r="AK15" s="15" t="s">
        <v>67</v>
      </c>
      <c r="AL15" s="11" t="s">
        <v>35</v>
      </c>
    </row>
    <row r="16" spans="1:38" ht="24.95" customHeight="1" x14ac:dyDescent="0.25">
      <c r="B16" s="16">
        <v>24</v>
      </c>
      <c r="C16" s="16" t="str">
        <f t="shared" si="0"/>
        <v>Soybean</v>
      </c>
      <c r="D16" s="17" t="str">
        <f t="shared" si="1"/>
        <v>CBT$ZS</v>
      </c>
      <c r="E16" s="20"/>
      <c r="F16" s="42">
        <f>raw!B12</f>
        <v>0.79990282768898613</v>
      </c>
      <c r="G16" s="32">
        <f>raw!C12</f>
        <v>0.761848979970843</v>
      </c>
      <c r="H16" s="32">
        <f>raw!D12</f>
        <v>0.14475210646437614</v>
      </c>
      <c r="I16" s="32">
        <f>raw!E12</f>
        <v>0.33298959284536345</v>
      </c>
      <c r="J16" s="32">
        <f>raw!F12</f>
        <v>0.42276399812206944</v>
      </c>
      <c r="K16" s="32">
        <f>raw!G12</f>
        <v>0.73522191164117667</v>
      </c>
      <c r="L16" s="32">
        <f>raw!H12</f>
        <v>0.47632576009211897</v>
      </c>
      <c r="M16" s="32">
        <f>raw!I12</f>
        <v>0.68569563052574378</v>
      </c>
      <c r="N16" s="32">
        <f>raw!J12</f>
        <v>-0.42768731583574293</v>
      </c>
      <c r="O16" s="32">
        <f>raw!K12</f>
        <v>0.45066322029058603</v>
      </c>
      <c r="P16" s="32">
        <f>raw!L12</f>
        <v>1</v>
      </c>
      <c r="Q16" s="32">
        <f>raw!M12</f>
        <v>0.56300645358584556</v>
      </c>
      <c r="R16" s="32">
        <f>raw!N12</f>
        <v>0.66651304864314131</v>
      </c>
      <c r="S16" s="32">
        <f>raw!O12</f>
        <v>0.50440868454290633</v>
      </c>
      <c r="T16" s="32">
        <f>raw!P12</f>
        <v>-0.52269405825157533</v>
      </c>
      <c r="U16" s="32">
        <f>raw!Q12</f>
        <v>0.15059905223816672</v>
      </c>
      <c r="V16" s="33">
        <f>raw!R12</f>
        <v>-0.60851906133685985</v>
      </c>
      <c r="AJ16" s="13">
        <v>11</v>
      </c>
      <c r="AK16" s="13" t="s">
        <v>60</v>
      </c>
      <c r="AL16" s="11" t="s">
        <v>16</v>
      </c>
    </row>
    <row r="17" spans="2:38" ht="24.95" customHeight="1" x14ac:dyDescent="0.25">
      <c r="B17" s="16">
        <v>26</v>
      </c>
      <c r="C17" s="16" t="str">
        <f t="shared" si="0"/>
        <v>Soybean Oil</v>
      </c>
      <c r="D17" s="17" t="str">
        <f t="shared" si="1"/>
        <v>CBT$ZL</v>
      </c>
      <c r="E17" s="20"/>
      <c r="F17" s="42">
        <f>raw!B13</f>
        <v>0.61672212286968209</v>
      </c>
      <c r="G17" s="32">
        <f>raw!C13</f>
        <v>0.60190655230085433</v>
      </c>
      <c r="H17" s="32">
        <f>raw!D13</f>
        <v>0.31109318325551605</v>
      </c>
      <c r="I17" s="32">
        <f>raw!E13</f>
        <v>0.58794333623631856</v>
      </c>
      <c r="J17" s="32">
        <f>raw!F13</f>
        <v>0.51116694910351401</v>
      </c>
      <c r="K17" s="32">
        <f>raw!G13</f>
        <v>0.35030780572136183</v>
      </c>
      <c r="L17" s="32">
        <f>raw!H13</f>
        <v>0.24801313358471805</v>
      </c>
      <c r="M17" s="32">
        <f>raw!I13</f>
        <v>0.44908273429163226</v>
      </c>
      <c r="N17" s="32">
        <f>raw!J13</f>
        <v>-4.3793708591042271E-2</v>
      </c>
      <c r="O17" s="32">
        <f>raw!K13</f>
        <v>0.56774244234041693</v>
      </c>
      <c r="P17" s="32">
        <f>raw!L13</f>
        <v>0.56300645358584556</v>
      </c>
      <c r="Q17" s="32">
        <f>raw!M13</f>
        <v>0.99999999999999989</v>
      </c>
      <c r="R17" s="32">
        <f>raw!N13</f>
        <v>0.75299515151295204</v>
      </c>
      <c r="S17" s="32">
        <f>raw!O13</f>
        <v>0.20434536660356145</v>
      </c>
      <c r="T17" s="32">
        <f>raw!P13</f>
        <v>-4.4612176702831102E-2</v>
      </c>
      <c r="U17" s="32">
        <f>raw!Q13</f>
        <v>0.20939246289835114</v>
      </c>
      <c r="V17" s="33">
        <f>raw!R13</f>
        <v>-0.13981837309545517</v>
      </c>
      <c r="AJ17" s="14">
        <v>12</v>
      </c>
      <c r="AK17" s="13" t="s">
        <v>51</v>
      </c>
      <c r="AL17" s="11" t="s">
        <v>18</v>
      </c>
    </row>
    <row r="18" spans="2:38" ht="24.95" customHeight="1" x14ac:dyDescent="0.25">
      <c r="B18" s="16">
        <v>27</v>
      </c>
      <c r="C18" s="16" t="str">
        <f t="shared" si="0"/>
        <v>Corn</v>
      </c>
      <c r="D18" s="17" t="str">
        <f t="shared" si="1"/>
        <v>CBT$ZC</v>
      </c>
      <c r="E18" s="20"/>
      <c r="F18" s="42">
        <f>raw!B14</f>
        <v>0.68859331587729589</v>
      </c>
      <c r="G18" s="32">
        <f>raw!C14</f>
        <v>0.66086123338969216</v>
      </c>
      <c r="H18" s="32">
        <f>raw!D14</f>
        <v>9.034650866859649E-2</v>
      </c>
      <c r="I18" s="32">
        <f>raw!E14</f>
        <v>0.60094901635976794</v>
      </c>
      <c r="J18" s="32">
        <f>raw!F14</f>
        <v>0.58463477901788508</v>
      </c>
      <c r="K18" s="32">
        <f>raw!G14</f>
        <v>0.46634560893951005</v>
      </c>
      <c r="L18" s="32">
        <f>raw!H14</f>
        <v>0.3327539346775254</v>
      </c>
      <c r="M18" s="32">
        <f>raw!I14</f>
        <v>0.5050292672694231</v>
      </c>
      <c r="N18" s="32">
        <f>raw!J14</f>
        <v>-0.12729575174343144</v>
      </c>
      <c r="O18" s="32">
        <f>raw!K14</f>
        <v>0.64797375777380972</v>
      </c>
      <c r="P18" s="32">
        <f>raw!L14</f>
        <v>0.66651304864314131</v>
      </c>
      <c r="Q18" s="32">
        <f>raw!M14</f>
        <v>0.75299515151295204</v>
      </c>
      <c r="R18" s="32">
        <f>raw!N14</f>
        <v>1</v>
      </c>
      <c r="S18" s="32">
        <f>raw!O14</f>
        <v>0.27942264061276939</v>
      </c>
      <c r="T18" s="32">
        <f>raw!P14</f>
        <v>-0.14699011704887038</v>
      </c>
      <c r="U18" s="32">
        <f>raw!Q14</f>
        <v>0.3048242533256415</v>
      </c>
      <c r="V18" s="33">
        <f>raw!R14</f>
        <v>-0.21162405389659861</v>
      </c>
      <c r="AJ18" s="13">
        <v>13</v>
      </c>
      <c r="AK18" s="13" t="s">
        <v>61</v>
      </c>
      <c r="AL18" s="11" t="s">
        <v>17</v>
      </c>
    </row>
    <row r="19" spans="2:38" ht="24.95" customHeight="1" thickBot="1" x14ac:dyDescent="0.3">
      <c r="B19" s="16">
        <v>33</v>
      </c>
      <c r="C19" s="16" t="str">
        <f t="shared" si="0"/>
        <v>Coffee</v>
      </c>
      <c r="D19" s="17" t="str">
        <f t="shared" si="1"/>
        <v>NYB:KC</v>
      </c>
      <c r="E19" s="22"/>
      <c r="F19" s="42">
        <f>raw!B15</f>
        <v>0.60763532619319727</v>
      </c>
      <c r="G19" s="32">
        <f>raw!C15</f>
        <v>0.58372649560580503</v>
      </c>
      <c r="H19" s="32">
        <f>raw!D15</f>
        <v>0.29354975697867985</v>
      </c>
      <c r="I19" s="32">
        <f>raw!E15</f>
        <v>0.15218417802391693</v>
      </c>
      <c r="J19" s="32">
        <f>raw!F15</f>
        <v>0.3177575019215948</v>
      </c>
      <c r="K19" s="32">
        <f>raw!G15</f>
        <v>0.18631751846315511</v>
      </c>
      <c r="L19" s="32">
        <f>raw!H15</f>
        <v>-4.3355760894192553E-2</v>
      </c>
      <c r="M19" s="32">
        <f>raw!I15</f>
        <v>0.32174196641363034</v>
      </c>
      <c r="N19" s="32">
        <f>raw!J15</f>
        <v>4.4325450493031951E-2</v>
      </c>
      <c r="O19" s="32">
        <f>raw!K15</f>
        <v>6.6695422731581772E-2</v>
      </c>
      <c r="P19" s="32">
        <f>raw!L15</f>
        <v>0.50440868454290633</v>
      </c>
      <c r="Q19" s="32">
        <f>raw!M15</f>
        <v>0.20434536660356145</v>
      </c>
      <c r="R19" s="32">
        <f>raw!N15</f>
        <v>0.27942264061276939</v>
      </c>
      <c r="S19" s="32">
        <f>raw!O15</f>
        <v>1</v>
      </c>
      <c r="T19" s="32">
        <f>raw!P15</f>
        <v>-0.77599149750258589</v>
      </c>
      <c r="U19" s="32">
        <f>raw!Q15</f>
        <v>-0.4809466409085173</v>
      </c>
      <c r="V19" s="33">
        <f>raw!R15</f>
        <v>-0.30887194035068033</v>
      </c>
      <c r="AJ19" s="14">
        <v>14</v>
      </c>
      <c r="AK19" s="13" t="s">
        <v>62</v>
      </c>
      <c r="AL19" s="11" t="s">
        <v>32</v>
      </c>
    </row>
    <row r="20" spans="2:38" s="10" customFormat="1" ht="24.95" customHeight="1" thickBot="1" x14ac:dyDescent="0.3">
      <c r="B20" s="16">
        <v>34</v>
      </c>
      <c r="C20" s="16" t="str">
        <f t="shared" si="0"/>
        <v>Orange Juice</v>
      </c>
      <c r="D20" s="17" t="str">
        <f t="shared" si="1"/>
        <v>NYB:OJ</v>
      </c>
      <c r="E20" s="22"/>
      <c r="F20" s="42">
        <f>raw!B16</f>
        <v>-0.5183685854312039</v>
      </c>
      <c r="G20" s="32">
        <f>raw!C16</f>
        <v>-0.48251993342418698</v>
      </c>
      <c r="H20" s="32">
        <f>raw!D16</f>
        <v>5.780858023545471E-2</v>
      </c>
      <c r="I20" s="32">
        <f>raw!E16</f>
        <v>0.10923031168884362</v>
      </c>
      <c r="J20" s="32">
        <f>raw!F16</f>
        <v>-7.9286930258323646E-2</v>
      </c>
      <c r="K20" s="32">
        <f>raw!G16</f>
        <v>-0.4277079443012215</v>
      </c>
      <c r="L20" s="32">
        <f>raw!H16</f>
        <v>-0.25161866606179339</v>
      </c>
      <c r="M20" s="32">
        <f>raw!I16</f>
        <v>-0.49691459536218374</v>
      </c>
      <c r="N20" s="32">
        <f>raw!J16</f>
        <v>0.28173545871225719</v>
      </c>
      <c r="O20" s="32">
        <f>raw!K16</f>
        <v>8.675265203640567E-2</v>
      </c>
      <c r="P20" s="32">
        <f>raw!L16</f>
        <v>-0.52269405825157533</v>
      </c>
      <c r="Q20" s="32">
        <f>raw!M16</f>
        <v>-4.4612176702831102E-2</v>
      </c>
      <c r="R20" s="32">
        <f>raw!N16</f>
        <v>-0.14699011704887038</v>
      </c>
      <c r="S20" s="32">
        <f>raw!O16</f>
        <v>-0.77599149750258589</v>
      </c>
      <c r="T20" s="32">
        <f>raw!P16</f>
        <v>1</v>
      </c>
      <c r="U20" s="32">
        <f>raw!Q16</f>
        <v>0.31220700924501904</v>
      </c>
      <c r="V20" s="33">
        <f>raw!R16</f>
        <v>0.60855965987634164</v>
      </c>
      <c r="AJ20" s="13">
        <v>15</v>
      </c>
      <c r="AK20" s="13" t="s">
        <v>83</v>
      </c>
      <c r="AL20" s="11" t="s">
        <v>32</v>
      </c>
    </row>
    <row r="21" spans="2:38" s="10" customFormat="1" ht="24.95" customHeight="1" thickBot="1" x14ac:dyDescent="0.3">
      <c r="B21" s="16">
        <v>35</v>
      </c>
      <c r="C21" s="16" t="str">
        <f t="shared" si="0"/>
        <v>Sugar</v>
      </c>
      <c r="D21" s="17" t="str">
        <f t="shared" si="1"/>
        <v>NYB:SB</v>
      </c>
      <c r="E21" s="22"/>
      <c r="F21" s="42">
        <f>raw!B17</f>
        <v>-1.953280645638867E-2</v>
      </c>
      <c r="G21" s="32">
        <f>raw!C17</f>
        <v>-5.5625932521391003E-2</v>
      </c>
      <c r="H21" s="32">
        <f>raw!D17</f>
        <v>-0.23529166685512001</v>
      </c>
      <c r="I21" s="32">
        <f>raw!E17</f>
        <v>-1.3431420456984361E-2</v>
      </c>
      <c r="J21" s="32">
        <f>raw!F17</f>
        <v>-7.2578104617464709E-2</v>
      </c>
      <c r="K21" s="32">
        <f>raw!G17</f>
        <v>0.44236076837375432</v>
      </c>
      <c r="L21" s="32">
        <f>raw!H17</f>
        <v>0.57006647848077319</v>
      </c>
      <c r="M21" s="32">
        <f>raw!I17</f>
        <v>0.36531281915930575</v>
      </c>
      <c r="N21" s="32">
        <f>raw!J17</f>
        <v>-0.3829512691022402</v>
      </c>
      <c r="O21" s="32">
        <f>raw!K17</f>
        <v>0.26722001063428952</v>
      </c>
      <c r="P21" s="32">
        <f>raw!L17</f>
        <v>0.15059905223816672</v>
      </c>
      <c r="Q21" s="32">
        <f>raw!M17</f>
        <v>0.20939246289835114</v>
      </c>
      <c r="R21" s="32">
        <f>raw!N17</f>
        <v>0.3048242533256415</v>
      </c>
      <c r="S21" s="32">
        <f>raw!O17</f>
        <v>-0.4809466409085173</v>
      </c>
      <c r="T21" s="32">
        <f>raw!P17</f>
        <v>0.31220700924501904</v>
      </c>
      <c r="U21" s="32">
        <f>raw!Q17</f>
        <v>0.99999999999999978</v>
      </c>
      <c r="V21" s="33">
        <f>raw!R17</f>
        <v>-0.25597443346357307</v>
      </c>
      <c r="AJ21" s="14">
        <v>16</v>
      </c>
      <c r="AK21" s="13" t="s">
        <v>84</v>
      </c>
      <c r="AL21" s="37" t="s">
        <v>1</v>
      </c>
    </row>
    <row r="22" spans="2:38" s="10" customFormat="1" ht="24.95" customHeight="1" thickBot="1" x14ac:dyDescent="0.3">
      <c r="B22" s="16">
        <v>36</v>
      </c>
      <c r="C22" s="16" t="str">
        <f t="shared" si="0"/>
        <v>US Dollar Index</v>
      </c>
      <c r="D22" s="17" t="str">
        <f t="shared" si="1"/>
        <v>NYB:DX</v>
      </c>
      <c r="E22" s="22"/>
      <c r="F22" s="43">
        <f>raw!B18</f>
        <v>-0.34379467851714052</v>
      </c>
      <c r="G22" s="34">
        <f>raw!C18</f>
        <v>-0.26770122063157792</v>
      </c>
      <c r="H22" s="34">
        <f>raw!D18</f>
        <v>0.43978279223358335</v>
      </c>
      <c r="I22" s="34">
        <f>raw!E18</f>
        <v>0.30201824017287343</v>
      </c>
      <c r="J22" s="34">
        <f>raw!F18</f>
        <v>0.20468089489101857</v>
      </c>
      <c r="K22" s="34">
        <f>raw!G18</f>
        <v>-0.84629678574397349</v>
      </c>
      <c r="L22" s="34">
        <f>raw!H18</f>
        <v>-0.81783953714515567</v>
      </c>
      <c r="M22" s="34">
        <f>raw!I18</f>
        <v>-0.8867325829949031</v>
      </c>
      <c r="N22" s="34">
        <f>raw!J18</f>
        <v>0.81637168202211519</v>
      </c>
      <c r="O22" s="34">
        <f>raw!K18</f>
        <v>6.8554876277017021E-2</v>
      </c>
      <c r="P22" s="34">
        <f>raw!L18</f>
        <v>-0.60851906133685985</v>
      </c>
      <c r="Q22" s="34">
        <f>raw!M18</f>
        <v>-0.13981837309545517</v>
      </c>
      <c r="R22" s="34">
        <f>raw!N18</f>
        <v>-0.21162405389659861</v>
      </c>
      <c r="S22" s="34">
        <f>raw!O18</f>
        <v>-0.30887194035068033</v>
      </c>
      <c r="T22" s="34">
        <f>raw!P18</f>
        <v>0.60855965987634164</v>
      </c>
      <c r="U22" s="34">
        <f>raw!Q18</f>
        <v>-0.25597443346357307</v>
      </c>
      <c r="V22" s="35">
        <f>raw!R18</f>
        <v>0.99999999999999989</v>
      </c>
      <c r="AJ22" s="13">
        <v>17</v>
      </c>
      <c r="AK22" s="13" t="s">
        <v>85</v>
      </c>
      <c r="AL22" s="39" t="s">
        <v>2</v>
      </c>
    </row>
    <row r="23" spans="2:38" ht="13.5" customHeight="1" x14ac:dyDescent="0.25">
      <c r="AJ23" s="14">
        <v>18</v>
      </c>
      <c r="AK23" s="11" t="s">
        <v>74</v>
      </c>
      <c r="AL23" s="11" t="s">
        <v>3</v>
      </c>
    </row>
    <row r="24" spans="2:38" x14ac:dyDescent="0.25">
      <c r="E24" s="55"/>
      <c r="AJ24" s="13">
        <v>19</v>
      </c>
      <c r="AK24" s="11" t="s">
        <v>75</v>
      </c>
      <c r="AL24" s="11" t="s">
        <v>4</v>
      </c>
    </row>
    <row r="25" spans="2:38" x14ac:dyDescent="0.25">
      <c r="AJ25" s="14">
        <v>20</v>
      </c>
      <c r="AK25" s="11" t="s">
        <v>69</v>
      </c>
      <c r="AL25" s="11" t="s">
        <v>6</v>
      </c>
    </row>
    <row r="26" spans="2:38" x14ac:dyDescent="0.25">
      <c r="AJ26" s="13">
        <v>21</v>
      </c>
      <c r="AK26" s="11" t="s">
        <v>68</v>
      </c>
      <c r="AL26" s="11" t="s">
        <v>5</v>
      </c>
    </row>
    <row r="27" spans="2:38" x14ac:dyDescent="0.25">
      <c r="AJ27" s="14">
        <v>22</v>
      </c>
      <c r="AK27" s="11" t="s">
        <v>70</v>
      </c>
      <c r="AL27" s="11" t="s">
        <v>8</v>
      </c>
    </row>
    <row r="28" spans="2:38" x14ac:dyDescent="0.25">
      <c r="AJ28" s="13">
        <v>23</v>
      </c>
      <c r="AK28" s="11" t="s">
        <v>76</v>
      </c>
      <c r="AL28" s="11" t="s">
        <v>7</v>
      </c>
    </row>
    <row r="29" spans="2:38" x14ac:dyDescent="0.25">
      <c r="AJ29" s="14">
        <v>24</v>
      </c>
      <c r="AK29" s="11" t="s">
        <v>53</v>
      </c>
      <c r="AL29" s="11" t="s">
        <v>14</v>
      </c>
    </row>
    <row r="30" spans="2:38" x14ac:dyDescent="0.25">
      <c r="AJ30" s="13">
        <v>25</v>
      </c>
      <c r="AK30" s="11" t="s">
        <v>78</v>
      </c>
      <c r="AL30" s="11" t="s">
        <v>11</v>
      </c>
    </row>
    <row r="31" spans="2:38" x14ac:dyDescent="0.25">
      <c r="AJ31" s="14">
        <v>26</v>
      </c>
      <c r="AK31" s="11" t="s">
        <v>71</v>
      </c>
      <c r="AL31" s="11" t="s">
        <v>10</v>
      </c>
    </row>
    <row r="32" spans="2:38" x14ac:dyDescent="0.25">
      <c r="AJ32" s="13">
        <v>27</v>
      </c>
      <c r="AK32" s="11" t="s">
        <v>77</v>
      </c>
      <c r="AL32" s="11" t="s">
        <v>9</v>
      </c>
    </row>
    <row r="33" spans="36:38" x14ac:dyDescent="0.25">
      <c r="AJ33" s="14">
        <v>28</v>
      </c>
      <c r="AK33" s="11" t="s">
        <v>52</v>
      </c>
      <c r="AL33" s="11" t="s">
        <v>12</v>
      </c>
    </row>
    <row r="34" spans="36:38" x14ac:dyDescent="0.25">
      <c r="AJ34" s="13">
        <v>29</v>
      </c>
      <c r="AK34" s="11" t="s">
        <v>79</v>
      </c>
      <c r="AL34" s="11" t="s">
        <v>13</v>
      </c>
    </row>
    <row r="35" spans="36:38" x14ac:dyDescent="0.25">
      <c r="AJ35" s="14">
        <v>30</v>
      </c>
      <c r="AK35" s="11" t="s">
        <v>54</v>
      </c>
      <c r="AL35" s="11" t="s">
        <v>15</v>
      </c>
    </row>
    <row r="36" spans="36:38" x14ac:dyDescent="0.25">
      <c r="AJ36" s="13">
        <v>31</v>
      </c>
      <c r="AK36" s="11" t="s">
        <v>55</v>
      </c>
      <c r="AL36" s="11" t="s">
        <v>22</v>
      </c>
    </row>
    <row r="37" spans="36:38" x14ac:dyDescent="0.25">
      <c r="AJ37" s="14">
        <v>32</v>
      </c>
      <c r="AK37" s="11" t="s">
        <v>56</v>
      </c>
      <c r="AL37" s="11" t="s">
        <v>23</v>
      </c>
    </row>
    <row r="38" spans="36:38" x14ac:dyDescent="0.25">
      <c r="AJ38" s="13">
        <v>33</v>
      </c>
      <c r="AK38" s="11" t="s">
        <v>57</v>
      </c>
      <c r="AL38" s="11" t="s">
        <v>25</v>
      </c>
    </row>
    <row r="39" spans="36:38" x14ac:dyDescent="0.25">
      <c r="AJ39" s="14">
        <v>34</v>
      </c>
      <c r="AK39" s="11" t="s">
        <v>73</v>
      </c>
      <c r="AL39" s="11" t="s">
        <v>26</v>
      </c>
    </row>
    <row r="40" spans="36:38" x14ac:dyDescent="0.25">
      <c r="AJ40" s="13">
        <v>35</v>
      </c>
      <c r="AK40" s="11" t="s">
        <v>58</v>
      </c>
      <c r="AL40" s="11" t="s">
        <v>27</v>
      </c>
    </row>
    <row r="41" spans="36:38" x14ac:dyDescent="0.25">
      <c r="AJ41" s="14">
        <v>36</v>
      </c>
      <c r="AK41" s="11" t="s">
        <v>72</v>
      </c>
      <c r="AL41" s="11" t="s">
        <v>24</v>
      </c>
    </row>
    <row r="42" spans="36:38" x14ac:dyDescent="0.25">
      <c r="AL42" s="6"/>
    </row>
    <row r="43" spans="36:38" x14ac:dyDescent="0.25">
      <c r="AL43" s="6"/>
    </row>
    <row r="44" spans="36:38" x14ac:dyDescent="0.25">
      <c r="AL44" s="6"/>
    </row>
    <row r="45" spans="36:38" x14ac:dyDescent="0.25">
      <c r="AL45" s="6"/>
    </row>
    <row r="46" spans="36:38" x14ac:dyDescent="0.25">
      <c r="AL46" s="6"/>
    </row>
    <row r="47" spans="36:38" x14ac:dyDescent="0.25">
      <c r="AL47" s="6"/>
    </row>
    <row r="48" spans="36:38" x14ac:dyDescent="0.25">
      <c r="AL48" s="6"/>
    </row>
    <row r="49" spans="38:38" x14ac:dyDescent="0.25">
      <c r="AL49" s="6"/>
    </row>
    <row r="50" spans="38:38" x14ac:dyDescent="0.25">
      <c r="AL50" s="6"/>
    </row>
    <row r="51" spans="38:38" x14ac:dyDescent="0.25">
      <c r="AL51" s="6"/>
    </row>
    <row r="52" spans="38:38" x14ac:dyDescent="0.25">
      <c r="AL52" s="6"/>
    </row>
    <row r="53" spans="38:38" x14ac:dyDescent="0.25">
      <c r="AL53" s="6"/>
    </row>
    <row r="54" spans="38:38" x14ac:dyDescent="0.25">
      <c r="AL54" s="6"/>
    </row>
    <row r="55" spans="38:38" x14ac:dyDescent="0.25">
      <c r="AL55" s="6"/>
    </row>
    <row r="56" spans="38:38" x14ac:dyDescent="0.25">
      <c r="AL56" s="6"/>
    </row>
    <row r="57" spans="38:38" x14ac:dyDescent="0.25">
      <c r="AL57" s="6"/>
    </row>
    <row r="58" spans="38:38" x14ac:dyDescent="0.25">
      <c r="AL58" s="6"/>
    </row>
    <row r="59" spans="38:38" x14ac:dyDescent="0.25">
      <c r="AL59" s="6"/>
    </row>
    <row r="60" spans="38:38" x14ac:dyDescent="0.25">
      <c r="AL60" s="6"/>
    </row>
    <row r="61" spans="38:38" x14ac:dyDescent="0.25">
      <c r="AL61" s="6"/>
    </row>
    <row r="62" spans="38:38" x14ac:dyDescent="0.25">
      <c r="AL62" s="6"/>
    </row>
    <row r="63" spans="38:38" x14ac:dyDescent="0.25">
      <c r="AL63" s="6"/>
    </row>
    <row r="64" spans="38:38" x14ac:dyDescent="0.25">
      <c r="AL64" s="6"/>
    </row>
    <row r="65" spans="38:38" x14ac:dyDescent="0.25">
      <c r="AL65" s="6"/>
    </row>
    <row r="66" spans="38:38" x14ac:dyDescent="0.25">
      <c r="AL66" s="6"/>
    </row>
    <row r="67" spans="38:38" x14ac:dyDescent="0.25">
      <c r="AL67" s="6"/>
    </row>
    <row r="68" spans="38:38" x14ac:dyDescent="0.25">
      <c r="AL68" s="6"/>
    </row>
    <row r="69" spans="38:38" x14ac:dyDescent="0.25">
      <c r="AL69" s="6"/>
    </row>
    <row r="70" spans="38:38" x14ac:dyDescent="0.25">
      <c r="AL70" s="6"/>
    </row>
    <row r="71" spans="38:38" x14ac:dyDescent="0.25">
      <c r="AL71" s="6"/>
    </row>
    <row r="72" spans="38:38" x14ac:dyDescent="0.25">
      <c r="AL72" s="6"/>
    </row>
    <row r="73" spans="38:38" x14ac:dyDescent="0.25">
      <c r="AL73" s="6"/>
    </row>
    <row r="74" spans="38:38" x14ac:dyDescent="0.25">
      <c r="AL74" s="6"/>
    </row>
    <row r="75" spans="38:38" x14ac:dyDescent="0.25">
      <c r="AL75" s="6"/>
    </row>
    <row r="76" spans="38:38" x14ac:dyDescent="0.25">
      <c r="AL76" s="6"/>
    </row>
    <row r="77" spans="38:38" x14ac:dyDescent="0.25">
      <c r="AL77" s="6"/>
    </row>
    <row r="78" spans="38:38" x14ac:dyDescent="0.25">
      <c r="AL78" s="6"/>
    </row>
    <row r="79" spans="38:38" x14ac:dyDescent="0.25">
      <c r="AL79" s="6"/>
    </row>
    <row r="80" spans="38:38" x14ac:dyDescent="0.25">
      <c r="AL80" s="6"/>
    </row>
    <row r="81" spans="38:38" x14ac:dyDescent="0.25">
      <c r="AL81" s="6"/>
    </row>
    <row r="82" spans="38:38" x14ac:dyDescent="0.25">
      <c r="AL82" s="6"/>
    </row>
    <row r="83" spans="38:38" x14ac:dyDescent="0.25">
      <c r="AL83" s="6"/>
    </row>
    <row r="84" spans="38:38" x14ac:dyDescent="0.25">
      <c r="AL84" s="6"/>
    </row>
    <row r="85" spans="38:38" x14ac:dyDescent="0.25">
      <c r="AL85" s="6"/>
    </row>
    <row r="86" spans="38:38" x14ac:dyDescent="0.25">
      <c r="AL86" s="6"/>
    </row>
    <row r="87" spans="38:38" x14ac:dyDescent="0.25">
      <c r="AL87" s="6"/>
    </row>
    <row r="88" spans="38:38" x14ac:dyDescent="0.25">
      <c r="AL88" s="6"/>
    </row>
    <row r="89" spans="38:38" x14ac:dyDescent="0.25">
      <c r="AL89" s="6"/>
    </row>
    <row r="90" spans="38:38" x14ac:dyDescent="0.25">
      <c r="AL90" s="6"/>
    </row>
    <row r="91" spans="38:38" x14ac:dyDescent="0.25">
      <c r="AL91" s="6"/>
    </row>
    <row r="92" spans="38:38" x14ac:dyDescent="0.25">
      <c r="AL92" s="6"/>
    </row>
    <row r="93" spans="38:38" x14ac:dyDescent="0.25">
      <c r="AL93" s="6"/>
    </row>
    <row r="94" spans="38:38" x14ac:dyDescent="0.25">
      <c r="AL94" s="6"/>
    </row>
    <row r="95" spans="38:38" x14ac:dyDescent="0.25">
      <c r="AL95" s="6"/>
    </row>
    <row r="96" spans="38:38" x14ac:dyDescent="0.25">
      <c r="AL96" s="6"/>
    </row>
    <row r="97" spans="38:38" x14ac:dyDescent="0.25">
      <c r="AL97" s="6"/>
    </row>
    <row r="98" spans="38:38" x14ac:dyDescent="0.25">
      <c r="AL98" s="6"/>
    </row>
    <row r="99" spans="38:38" x14ac:dyDescent="0.25">
      <c r="AL99" s="6"/>
    </row>
    <row r="100" spans="38:38" x14ac:dyDescent="0.25">
      <c r="AL100" s="6"/>
    </row>
    <row r="101" spans="38:38" x14ac:dyDescent="0.25">
      <c r="AL101" s="6"/>
    </row>
    <row r="102" spans="38:38" x14ac:dyDescent="0.25">
      <c r="AL102" s="6"/>
    </row>
    <row r="103" spans="38:38" x14ac:dyDescent="0.25">
      <c r="AL103" s="6"/>
    </row>
    <row r="104" spans="38:38" x14ac:dyDescent="0.25">
      <c r="AL104" s="6"/>
    </row>
    <row r="105" spans="38:38" x14ac:dyDescent="0.25">
      <c r="AL105" s="6"/>
    </row>
    <row r="106" spans="38:38" x14ac:dyDescent="0.25">
      <c r="AL106" s="6"/>
    </row>
    <row r="107" spans="38:38" x14ac:dyDescent="0.25">
      <c r="AL107" s="6"/>
    </row>
    <row r="108" spans="38:38" x14ac:dyDescent="0.25">
      <c r="AL108" s="6"/>
    </row>
    <row r="109" spans="38:38" x14ac:dyDescent="0.25">
      <c r="AL109" s="6"/>
    </row>
    <row r="110" spans="38:38" x14ac:dyDescent="0.25">
      <c r="AL110" s="6"/>
    </row>
    <row r="111" spans="38:38" x14ac:dyDescent="0.25">
      <c r="AL111" s="6"/>
    </row>
    <row r="112" spans="38:38" x14ac:dyDescent="0.25">
      <c r="AL112" s="6"/>
    </row>
    <row r="113" spans="38:38" x14ac:dyDescent="0.25">
      <c r="AL113" s="6"/>
    </row>
    <row r="114" spans="38:38" x14ac:dyDescent="0.25">
      <c r="AL114" s="6"/>
    </row>
    <row r="115" spans="38:38" x14ac:dyDescent="0.25">
      <c r="AL115" s="6"/>
    </row>
    <row r="116" spans="38:38" x14ac:dyDescent="0.25">
      <c r="AL116" s="6"/>
    </row>
    <row r="117" spans="38:38" x14ac:dyDescent="0.25">
      <c r="AL117" s="6"/>
    </row>
    <row r="118" spans="38:38" x14ac:dyDescent="0.25">
      <c r="AL118" s="6"/>
    </row>
    <row r="119" spans="38:38" x14ac:dyDescent="0.25">
      <c r="AL119" s="6"/>
    </row>
    <row r="120" spans="38:38" x14ac:dyDescent="0.25">
      <c r="AL120" s="6"/>
    </row>
    <row r="121" spans="38:38" x14ac:dyDescent="0.25">
      <c r="AL121" s="6"/>
    </row>
    <row r="122" spans="38:38" x14ac:dyDescent="0.25">
      <c r="AL122" s="6"/>
    </row>
    <row r="123" spans="38:38" x14ac:dyDescent="0.25">
      <c r="AL123" s="6"/>
    </row>
    <row r="124" spans="38:38" x14ac:dyDescent="0.25">
      <c r="AL124" s="6"/>
    </row>
    <row r="125" spans="38:38" x14ac:dyDescent="0.25">
      <c r="AL125" s="6"/>
    </row>
    <row r="126" spans="38:38" x14ac:dyDescent="0.25">
      <c r="AL126" s="6"/>
    </row>
    <row r="127" spans="38:38" x14ac:dyDescent="0.25">
      <c r="AL127" s="6"/>
    </row>
    <row r="128" spans="38:38" x14ac:dyDescent="0.25">
      <c r="AL128" s="6"/>
    </row>
    <row r="129" spans="38:38" x14ac:dyDescent="0.25">
      <c r="AL129" s="6"/>
    </row>
    <row r="130" spans="38:38" x14ac:dyDescent="0.25">
      <c r="AL130" s="6"/>
    </row>
    <row r="131" spans="38:38" x14ac:dyDescent="0.25">
      <c r="AL131" s="6"/>
    </row>
    <row r="132" spans="38:38" x14ac:dyDescent="0.25">
      <c r="AL132" s="6"/>
    </row>
    <row r="133" spans="38:38" x14ac:dyDescent="0.25">
      <c r="AL133" s="6"/>
    </row>
    <row r="134" spans="38:38" x14ac:dyDescent="0.25">
      <c r="AL134" s="6"/>
    </row>
    <row r="135" spans="38:38" x14ac:dyDescent="0.25">
      <c r="AL135" s="6"/>
    </row>
    <row r="136" spans="38:38" x14ac:dyDescent="0.25">
      <c r="AL136" s="6"/>
    </row>
    <row r="137" spans="38:38" x14ac:dyDescent="0.25">
      <c r="AL137" s="6"/>
    </row>
    <row r="138" spans="38:38" x14ac:dyDescent="0.25">
      <c r="AL138" s="6"/>
    </row>
    <row r="139" spans="38:38" x14ac:dyDescent="0.25">
      <c r="AL139" s="6"/>
    </row>
    <row r="140" spans="38:38" x14ac:dyDescent="0.25">
      <c r="AL140" s="6"/>
    </row>
    <row r="141" spans="38:38" x14ac:dyDescent="0.25">
      <c r="AL141" s="6"/>
    </row>
    <row r="142" spans="38:38" x14ac:dyDescent="0.25">
      <c r="AL142" s="6"/>
    </row>
    <row r="143" spans="38:38" x14ac:dyDescent="0.25">
      <c r="AL143" s="6"/>
    </row>
    <row r="144" spans="38:38" x14ac:dyDescent="0.25">
      <c r="AL144" s="6"/>
    </row>
    <row r="145" spans="38:38" x14ac:dyDescent="0.25">
      <c r="AL145" s="6"/>
    </row>
    <row r="146" spans="38:38" x14ac:dyDescent="0.25">
      <c r="AL146" s="6"/>
    </row>
    <row r="147" spans="38:38" x14ac:dyDescent="0.25">
      <c r="AL147" s="6"/>
    </row>
    <row r="148" spans="38:38" x14ac:dyDescent="0.25">
      <c r="AL148" s="6"/>
    </row>
    <row r="149" spans="38:38" x14ac:dyDescent="0.25">
      <c r="AL149" s="6"/>
    </row>
    <row r="150" spans="38:38" x14ac:dyDescent="0.25">
      <c r="AL150" s="6"/>
    </row>
    <row r="151" spans="38:38" x14ac:dyDescent="0.25">
      <c r="AL151" s="6"/>
    </row>
    <row r="152" spans="38:38" x14ac:dyDescent="0.25">
      <c r="AL152" s="6"/>
    </row>
    <row r="153" spans="38:38" x14ac:dyDescent="0.25">
      <c r="AL153" s="6"/>
    </row>
    <row r="154" spans="38:38" x14ac:dyDescent="0.25">
      <c r="AL154" s="6"/>
    </row>
    <row r="155" spans="38:38" x14ac:dyDescent="0.25">
      <c r="AL155" s="6"/>
    </row>
    <row r="156" spans="38:38" x14ac:dyDescent="0.25">
      <c r="AL156" s="6"/>
    </row>
    <row r="157" spans="38:38" x14ac:dyDescent="0.25">
      <c r="AL157" s="6"/>
    </row>
    <row r="158" spans="38:38" x14ac:dyDescent="0.25">
      <c r="AL158" s="6"/>
    </row>
    <row r="159" spans="38:38" x14ac:dyDescent="0.25">
      <c r="AL159" s="6"/>
    </row>
    <row r="160" spans="38:38" x14ac:dyDescent="0.25">
      <c r="AL160" s="6"/>
    </row>
    <row r="161" spans="38:38" x14ac:dyDescent="0.25">
      <c r="AL161" s="6"/>
    </row>
    <row r="162" spans="38:38" x14ac:dyDescent="0.25">
      <c r="AL162" s="6"/>
    </row>
    <row r="163" spans="38:38" x14ac:dyDescent="0.25">
      <c r="AL163" s="6"/>
    </row>
    <row r="164" spans="38:38" x14ac:dyDescent="0.25">
      <c r="AL164" s="6"/>
    </row>
    <row r="165" spans="38:38" x14ac:dyDescent="0.25">
      <c r="AL165" s="6"/>
    </row>
    <row r="166" spans="38:38" x14ac:dyDescent="0.25">
      <c r="AL166" s="6"/>
    </row>
    <row r="167" spans="38:38" x14ac:dyDescent="0.25">
      <c r="AL167" s="6"/>
    </row>
    <row r="168" spans="38:38" x14ac:dyDescent="0.25">
      <c r="AL168" s="6"/>
    </row>
    <row r="169" spans="38:38" x14ac:dyDescent="0.25">
      <c r="AL169" s="6"/>
    </row>
    <row r="170" spans="38:38" x14ac:dyDescent="0.25">
      <c r="AL170" s="6"/>
    </row>
    <row r="171" spans="38:38" x14ac:dyDescent="0.25">
      <c r="AL171" s="6"/>
    </row>
    <row r="172" spans="38:38" x14ac:dyDescent="0.25">
      <c r="AL172" s="6"/>
    </row>
    <row r="173" spans="38:38" x14ac:dyDescent="0.25">
      <c r="AL173" s="6"/>
    </row>
    <row r="174" spans="38:38" x14ac:dyDescent="0.25">
      <c r="AL174" s="6"/>
    </row>
    <row r="175" spans="38:38" x14ac:dyDescent="0.25">
      <c r="AL175" s="6"/>
    </row>
    <row r="176" spans="38:38" x14ac:dyDescent="0.25">
      <c r="AL176" s="6"/>
    </row>
    <row r="177" spans="38:38" x14ac:dyDescent="0.25">
      <c r="AL177" s="6"/>
    </row>
    <row r="178" spans="38:38" x14ac:dyDescent="0.25">
      <c r="AL178" s="6"/>
    </row>
    <row r="179" spans="38:38" x14ac:dyDescent="0.25">
      <c r="AL179" s="6"/>
    </row>
    <row r="180" spans="38:38" x14ac:dyDescent="0.25">
      <c r="AL180" s="6"/>
    </row>
    <row r="181" spans="38:38" x14ac:dyDescent="0.25">
      <c r="AL181" s="6"/>
    </row>
    <row r="182" spans="38:38" x14ac:dyDescent="0.25">
      <c r="AL182" s="6"/>
    </row>
    <row r="183" spans="38:38" x14ac:dyDescent="0.25">
      <c r="AL183" s="6"/>
    </row>
    <row r="184" spans="38:38" x14ac:dyDescent="0.25">
      <c r="AL184" s="6"/>
    </row>
    <row r="185" spans="38:38" x14ac:dyDescent="0.25">
      <c r="AL185" s="6"/>
    </row>
    <row r="186" spans="38:38" x14ac:dyDescent="0.25">
      <c r="AL186" s="6"/>
    </row>
    <row r="187" spans="38:38" x14ac:dyDescent="0.25">
      <c r="AL187" s="6"/>
    </row>
    <row r="188" spans="38:38" x14ac:dyDescent="0.25">
      <c r="AL188" s="6"/>
    </row>
    <row r="189" spans="38:38" x14ac:dyDescent="0.25">
      <c r="AL189" s="6"/>
    </row>
    <row r="190" spans="38:38" x14ac:dyDescent="0.25">
      <c r="AL190" s="6"/>
    </row>
    <row r="191" spans="38:38" x14ac:dyDescent="0.25">
      <c r="AL191" s="6"/>
    </row>
    <row r="192" spans="38:38" x14ac:dyDescent="0.25">
      <c r="AL192" s="6"/>
    </row>
    <row r="193" spans="38:38" x14ac:dyDescent="0.25">
      <c r="AL193" s="6"/>
    </row>
    <row r="194" spans="38:38" x14ac:dyDescent="0.25">
      <c r="AL194" s="6"/>
    </row>
    <row r="195" spans="38:38" x14ac:dyDescent="0.25">
      <c r="AL195" s="6"/>
    </row>
    <row r="196" spans="38:38" x14ac:dyDescent="0.25">
      <c r="AL196" s="6"/>
    </row>
    <row r="197" spans="38:38" x14ac:dyDescent="0.25">
      <c r="AL197" s="6"/>
    </row>
    <row r="198" spans="38:38" x14ac:dyDescent="0.25">
      <c r="AL198" s="6"/>
    </row>
    <row r="199" spans="38:38" x14ac:dyDescent="0.25">
      <c r="AL199" s="6"/>
    </row>
    <row r="200" spans="38:38" x14ac:dyDescent="0.25">
      <c r="AL200" s="6"/>
    </row>
    <row r="201" spans="38:38" x14ac:dyDescent="0.25">
      <c r="AL201" s="6"/>
    </row>
    <row r="202" spans="38:38" x14ac:dyDescent="0.25">
      <c r="AL202" s="6"/>
    </row>
    <row r="203" spans="38:38" x14ac:dyDescent="0.25">
      <c r="AL203" s="6"/>
    </row>
    <row r="204" spans="38:38" x14ac:dyDescent="0.25">
      <c r="AL204" s="6"/>
    </row>
    <row r="205" spans="38:38" x14ac:dyDescent="0.25">
      <c r="AL205" s="6"/>
    </row>
    <row r="206" spans="38:38" x14ac:dyDescent="0.25">
      <c r="AL206" s="6"/>
    </row>
    <row r="207" spans="38:38" x14ac:dyDescent="0.25">
      <c r="AL207" s="6"/>
    </row>
    <row r="208" spans="38:38" x14ac:dyDescent="0.25">
      <c r="AL208" s="6"/>
    </row>
    <row r="209" spans="38:38" x14ac:dyDescent="0.25">
      <c r="AL209" s="6"/>
    </row>
    <row r="210" spans="38:38" x14ac:dyDescent="0.25">
      <c r="AL210" s="6"/>
    </row>
    <row r="211" spans="38:38" x14ac:dyDescent="0.25">
      <c r="AL211" s="6"/>
    </row>
    <row r="212" spans="38:38" x14ac:dyDescent="0.25">
      <c r="AL212" s="6"/>
    </row>
    <row r="213" spans="38:38" x14ac:dyDescent="0.25">
      <c r="AL213" s="6"/>
    </row>
    <row r="214" spans="38:38" x14ac:dyDescent="0.25">
      <c r="AL214" s="6"/>
    </row>
    <row r="215" spans="38:38" x14ac:dyDescent="0.25">
      <c r="AL215" s="6"/>
    </row>
    <row r="216" spans="38:38" x14ac:dyDescent="0.25">
      <c r="AL216" s="6"/>
    </row>
    <row r="217" spans="38:38" x14ac:dyDescent="0.25">
      <c r="AL217" s="6"/>
    </row>
    <row r="218" spans="38:38" x14ac:dyDescent="0.25">
      <c r="AL218" s="6"/>
    </row>
    <row r="219" spans="38:38" x14ac:dyDescent="0.25">
      <c r="AL219" s="6"/>
    </row>
    <row r="220" spans="38:38" x14ac:dyDescent="0.25">
      <c r="AL220" s="6"/>
    </row>
    <row r="221" spans="38:38" x14ac:dyDescent="0.25">
      <c r="AL221" s="6"/>
    </row>
    <row r="222" spans="38:38" x14ac:dyDescent="0.25">
      <c r="AL222" s="6"/>
    </row>
    <row r="223" spans="38:38" x14ac:dyDescent="0.25">
      <c r="AL223" s="6"/>
    </row>
    <row r="224" spans="38:38" x14ac:dyDescent="0.25">
      <c r="AL224" s="6"/>
    </row>
    <row r="225" spans="38:38" x14ac:dyDescent="0.25">
      <c r="AL225" s="6"/>
    </row>
    <row r="226" spans="38:38" x14ac:dyDescent="0.25">
      <c r="AL226" s="6"/>
    </row>
    <row r="227" spans="38:38" x14ac:dyDescent="0.25">
      <c r="AL227" s="6"/>
    </row>
    <row r="228" spans="38:38" x14ac:dyDescent="0.25">
      <c r="AL228" s="6"/>
    </row>
    <row r="229" spans="38:38" x14ac:dyDescent="0.25">
      <c r="AL229" s="6"/>
    </row>
    <row r="230" spans="38:38" x14ac:dyDescent="0.25">
      <c r="AL230" s="6"/>
    </row>
    <row r="231" spans="38:38" x14ac:dyDescent="0.25">
      <c r="AL231" s="6"/>
    </row>
    <row r="232" spans="38:38" x14ac:dyDescent="0.25">
      <c r="AL232" s="6"/>
    </row>
    <row r="233" spans="38:38" x14ac:dyDescent="0.25">
      <c r="AL233" s="6"/>
    </row>
    <row r="234" spans="38:38" x14ac:dyDescent="0.25">
      <c r="AL234" s="6"/>
    </row>
    <row r="235" spans="38:38" x14ac:dyDescent="0.25">
      <c r="AL235" s="6"/>
    </row>
    <row r="236" spans="38:38" x14ac:dyDescent="0.25">
      <c r="AL236" s="6"/>
    </row>
    <row r="237" spans="38:38" x14ac:dyDescent="0.25">
      <c r="AL237" s="6"/>
    </row>
    <row r="238" spans="38:38" x14ac:dyDescent="0.25">
      <c r="AL238" s="6"/>
    </row>
    <row r="239" spans="38:38" x14ac:dyDescent="0.25">
      <c r="AL239" s="6"/>
    </row>
    <row r="240" spans="38:38" x14ac:dyDescent="0.25">
      <c r="AL240" s="6"/>
    </row>
    <row r="241" spans="38:38" x14ac:dyDescent="0.25">
      <c r="AL241" s="6"/>
    </row>
    <row r="242" spans="38:38" x14ac:dyDescent="0.25">
      <c r="AL242" s="6"/>
    </row>
    <row r="243" spans="38:38" x14ac:dyDescent="0.25">
      <c r="AL243" s="6"/>
    </row>
    <row r="244" spans="38:38" x14ac:dyDescent="0.25">
      <c r="AL244" s="6"/>
    </row>
    <row r="245" spans="38:38" x14ac:dyDescent="0.25">
      <c r="AL245" s="6"/>
    </row>
    <row r="246" spans="38:38" x14ac:dyDescent="0.25">
      <c r="AL246" s="6"/>
    </row>
    <row r="247" spans="38:38" x14ac:dyDescent="0.25">
      <c r="AL247" s="6"/>
    </row>
    <row r="248" spans="38:38" x14ac:dyDescent="0.25">
      <c r="AL248" s="6"/>
    </row>
    <row r="249" spans="38:38" x14ac:dyDescent="0.25">
      <c r="AL249" s="6"/>
    </row>
    <row r="250" spans="38:38" x14ac:dyDescent="0.25">
      <c r="AL250" s="6"/>
    </row>
    <row r="251" spans="38:38" x14ac:dyDescent="0.25">
      <c r="AL251" s="6"/>
    </row>
    <row r="252" spans="38:38" x14ac:dyDescent="0.25">
      <c r="AL252" s="6"/>
    </row>
    <row r="253" spans="38:38" x14ac:dyDescent="0.25">
      <c r="AL253" s="6"/>
    </row>
    <row r="254" spans="38:38" x14ac:dyDescent="0.25">
      <c r="AL254" s="6"/>
    </row>
    <row r="255" spans="38:38" x14ac:dyDescent="0.25">
      <c r="AL255" s="6"/>
    </row>
    <row r="256" spans="38:38" x14ac:dyDescent="0.25">
      <c r="AL256" s="6"/>
    </row>
    <row r="257" spans="38:38" x14ac:dyDescent="0.25">
      <c r="AL257" s="6"/>
    </row>
    <row r="258" spans="38:38" x14ac:dyDescent="0.25">
      <c r="AL258" s="6"/>
    </row>
    <row r="259" spans="38:38" x14ac:dyDescent="0.25">
      <c r="AL259" s="6"/>
    </row>
    <row r="260" spans="38:38" x14ac:dyDescent="0.25">
      <c r="AL260" s="6"/>
    </row>
    <row r="261" spans="38:38" x14ac:dyDescent="0.25">
      <c r="AL261" s="6"/>
    </row>
    <row r="262" spans="38:38" x14ac:dyDescent="0.25">
      <c r="AL262" s="6"/>
    </row>
    <row r="263" spans="38:38" x14ac:dyDescent="0.25">
      <c r="AL263" s="6"/>
    </row>
    <row r="264" spans="38:38" x14ac:dyDescent="0.25">
      <c r="AL264" s="6"/>
    </row>
    <row r="265" spans="38:38" x14ac:dyDescent="0.25">
      <c r="AL265" s="6"/>
    </row>
    <row r="266" spans="38:38" x14ac:dyDescent="0.25">
      <c r="AL266" s="6"/>
    </row>
    <row r="267" spans="38:38" x14ac:dyDescent="0.25">
      <c r="AL267" s="6"/>
    </row>
    <row r="268" spans="38:38" x14ac:dyDescent="0.25">
      <c r="AL268" s="6"/>
    </row>
    <row r="269" spans="38:38" x14ac:dyDescent="0.25">
      <c r="AL269" s="6"/>
    </row>
    <row r="270" spans="38:38" x14ac:dyDescent="0.25">
      <c r="AL270" s="6"/>
    </row>
    <row r="271" spans="38:38" x14ac:dyDescent="0.25">
      <c r="AL271" s="6"/>
    </row>
    <row r="272" spans="38:38" x14ac:dyDescent="0.25">
      <c r="AL272" s="6"/>
    </row>
    <row r="273" spans="38:38" x14ac:dyDescent="0.25">
      <c r="AL273" s="6"/>
    </row>
    <row r="274" spans="38:38" x14ac:dyDescent="0.25">
      <c r="AL274" s="6"/>
    </row>
    <row r="275" spans="38:38" x14ac:dyDescent="0.25">
      <c r="AL275" s="6"/>
    </row>
    <row r="276" spans="38:38" x14ac:dyDescent="0.25">
      <c r="AL276" s="6"/>
    </row>
    <row r="277" spans="38:38" x14ac:dyDescent="0.25">
      <c r="AL277" s="6"/>
    </row>
    <row r="278" spans="38:38" x14ac:dyDescent="0.25">
      <c r="AL278" s="6"/>
    </row>
    <row r="279" spans="38:38" x14ac:dyDescent="0.25">
      <c r="AL279" s="6"/>
    </row>
    <row r="280" spans="38:38" x14ac:dyDescent="0.25">
      <c r="AL280" s="6"/>
    </row>
    <row r="281" spans="38:38" x14ac:dyDescent="0.25">
      <c r="AL281" s="6"/>
    </row>
    <row r="282" spans="38:38" x14ac:dyDescent="0.25">
      <c r="AL282" s="6"/>
    </row>
    <row r="283" spans="38:38" x14ac:dyDescent="0.25">
      <c r="AL283" s="6"/>
    </row>
    <row r="284" spans="38:38" x14ac:dyDescent="0.25">
      <c r="AL284" s="6"/>
    </row>
    <row r="285" spans="38:38" x14ac:dyDescent="0.25">
      <c r="AL285" s="6"/>
    </row>
    <row r="286" spans="38:38" x14ac:dyDescent="0.25">
      <c r="AL286" s="6"/>
    </row>
    <row r="287" spans="38:38" x14ac:dyDescent="0.25">
      <c r="AL287" s="6"/>
    </row>
    <row r="288" spans="38:38" x14ac:dyDescent="0.25">
      <c r="AL288" s="6"/>
    </row>
    <row r="289" spans="38:38" x14ac:dyDescent="0.25">
      <c r="AL289" s="6"/>
    </row>
    <row r="290" spans="38:38" x14ac:dyDescent="0.25">
      <c r="AL290" s="6"/>
    </row>
    <row r="291" spans="38:38" x14ac:dyDescent="0.25">
      <c r="AL291" s="6"/>
    </row>
    <row r="292" spans="38:38" x14ac:dyDescent="0.25">
      <c r="AL292" s="6"/>
    </row>
    <row r="293" spans="38:38" x14ac:dyDescent="0.25">
      <c r="AL293" s="6"/>
    </row>
    <row r="294" spans="38:38" x14ac:dyDescent="0.25">
      <c r="AL294" s="6"/>
    </row>
    <row r="295" spans="38:38" x14ac:dyDescent="0.25">
      <c r="AL295" s="6"/>
    </row>
    <row r="296" spans="38:38" x14ac:dyDescent="0.25">
      <c r="AL296" s="6"/>
    </row>
    <row r="297" spans="38:38" x14ac:dyDescent="0.25">
      <c r="AL297" s="6"/>
    </row>
    <row r="298" spans="38:38" x14ac:dyDescent="0.25">
      <c r="AL298" s="6"/>
    </row>
    <row r="299" spans="38:38" x14ac:dyDescent="0.25">
      <c r="AL299" s="6"/>
    </row>
    <row r="300" spans="38:38" x14ac:dyDescent="0.25">
      <c r="AL300" s="6"/>
    </row>
    <row r="301" spans="38:38" x14ac:dyDescent="0.25">
      <c r="AL301" s="6"/>
    </row>
    <row r="302" spans="38:38" x14ac:dyDescent="0.25">
      <c r="AL302" s="6"/>
    </row>
    <row r="303" spans="38:38" x14ac:dyDescent="0.25">
      <c r="AL303" s="6"/>
    </row>
    <row r="304" spans="38:38" x14ac:dyDescent="0.25">
      <c r="AL304" s="6"/>
    </row>
    <row r="305" spans="38:38" x14ac:dyDescent="0.25">
      <c r="AL305" s="6"/>
    </row>
    <row r="306" spans="38:38" x14ac:dyDescent="0.25">
      <c r="AL306" s="6"/>
    </row>
    <row r="307" spans="38:38" x14ac:dyDescent="0.25">
      <c r="AL307" s="6"/>
    </row>
    <row r="308" spans="38:38" x14ac:dyDescent="0.25">
      <c r="AL308" s="6"/>
    </row>
    <row r="309" spans="38:38" x14ac:dyDescent="0.25">
      <c r="AL309" s="6"/>
    </row>
    <row r="310" spans="38:38" x14ac:dyDescent="0.25">
      <c r="AL310" s="6"/>
    </row>
    <row r="311" spans="38:38" x14ac:dyDescent="0.25">
      <c r="AL311" s="6"/>
    </row>
    <row r="312" spans="38:38" x14ac:dyDescent="0.25">
      <c r="AL312" s="6"/>
    </row>
    <row r="313" spans="38:38" x14ac:dyDescent="0.25">
      <c r="AL313" s="6"/>
    </row>
    <row r="314" spans="38:38" x14ac:dyDescent="0.25">
      <c r="AL314" s="6"/>
    </row>
    <row r="315" spans="38:38" x14ac:dyDescent="0.25">
      <c r="AL315" s="6"/>
    </row>
    <row r="316" spans="38:38" x14ac:dyDescent="0.25">
      <c r="AL316" s="6"/>
    </row>
    <row r="317" spans="38:38" x14ac:dyDescent="0.25">
      <c r="AL317" s="6"/>
    </row>
    <row r="318" spans="38:38" x14ac:dyDescent="0.25">
      <c r="AL318" s="6"/>
    </row>
    <row r="319" spans="38:38" x14ac:dyDescent="0.25">
      <c r="AL319" s="6"/>
    </row>
    <row r="320" spans="38:38" x14ac:dyDescent="0.25">
      <c r="AL320" s="6"/>
    </row>
    <row r="321" spans="38:38" x14ac:dyDescent="0.25">
      <c r="AL321" s="6"/>
    </row>
    <row r="322" spans="38:38" x14ac:dyDescent="0.25">
      <c r="AL322" s="6"/>
    </row>
    <row r="323" spans="38:38" x14ac:dyDescent="0.25">
      <c r="AL323" s="6"/>
    </row>
    <row r="324" spans="38:38" x14ac:dyDescent="0.25">
      <c r="AL324" s="6"/>
    </row>
    <row r="325" spans="38:38" x14ac:dyDescent="0.25">
      <c r="AL325" s="6"/>
    </row>
    <row r="326" spans="38:38" x14ac:dyDescent="0.25">
      <c r="AL326" s="6"/>
    </row>
    <row r="327" spans="38:38" x14ac:dyDescent="0.25">
      <c r="AL327" s="6"/>
    </row>
    <row r="328" spans="38:38" x14ac:dyDescent="0.25">
      <c r="AL328" s="6"/>
    </row>
    <row r="329" spans="38:38" x14ac:dyDescent="0.25">
      <c r="AL329" s="6"/>
    </row>
    <row r="330" spans="38:38" x14ac:dyDescent="0.25">
      <c r="AL330" s="6"/>
    </row>
    <row r="331" spans="38:38" x14ac:dyDescent="0.25">
      <c r="AL331" s="6"/>
    </row>
    <row r="332" spans="38:38" x14ac:dyDescent="0.25">
      <c r="AL332" s="6"/>
    </row>
    <row r="333" spans="38:38" x14ac:dyDescent="0.25">
      <c r="AL333" s="6"/>
    </row>
    <row r="334" spans="38:38" x14ac:dyDescent="0.25">
      <c r="AL334" s="6"/>
    </row>
    <row r="335" spans="38:38" x14ac:dyDescent="0.25">
      <c r="AL335" s="6"/>
    </row>
    <row r="336" spans="38:38" x14ac:dyDescent="0.25">
      <c r="AL336" s="6"/>
    </row>
    <row r="337" spans="38:38" x14ac:dyDescent="0.25">
      <c r="AL337" s="6"/>
    </row>
    <row r="338" spans="38:38" x14ac:dyDescent="0.25">
      <c r="AL338" s="6"/>
    </row>
    <row r="339" spans="38:38" x14ac:dyDescent="0.25">
      <c r="AL339" s="6"/>
    </row>
    <row r="340" spans="38:38" x14ac:dyDescent="0.25">
      <c r="AL340" s="6"/>
    </row>
    <row r="341" spans="38:38" x14ac:dyDescent="0.25">
      <c r="AL341" s="6"/>
    </row>
    <row r="342" spans="38:38" x14ac:dyDescent="0.25">
      <c r="AL342" s="6"/>
    </row>
    <row r="343" spans="38:38" x14ac:dyDescent="0.25">
      <c r="AL343" s="6"/>
    </row>
    <row r="344" spans="38:38" x14ac:dyDescent="0.25">
      <c r="AL344" s="6"/>
    </row>
    <row r="345" spans="38:38" x14ac:dyDescent="0.25">
      <c r="AL345" s="6"/>
    </row>
    <row r="346" spans="38:38" x14ac:dyDescent="0.25">
      <c r="AL346" s="6"/>
    </row>
    <row r="347" spans="38:38" x14ac:dyDescent="0.25">
      <c r="AL347" s="6"/>
    </row>
    <row r="348" spans="38:38" x14ac:dyDescent="0.25">
      <c r="AL348" s="6"/>
    </row>
    <row r="349" spans="38:38" x14ac:dyDescent="0.25">
      <c r="AL349" s="6"/>
    </row>
    <row r="350" spans="38:38" x14ac:dyDescent="0.25">
      <c r="AL350" s="6"/>
    </row>
    <row r="351" spans="38:38" x14ac:dyDescent="0.25">
      <c r="AL351" s="6"/>
    </row>
    <row r="352" spans="38:38" x14ac:dyDescent="0.25">
      <c r="AL352" s="6"/>
    </row>
    <row r="353" spans="38:38" x14ac:dyDescent="0.25">
      <c r="AL353" s="6"/>
    </row>
    <row r="354" spans="38:38" x14ac:dyDescent="0.25">
      <c r="AL354" s="6"/>
    </row>
    <row r="355" spans="38:38" x14ac:dyDescent="0.25">
      <c r="AL355" s="6"/>
    </row>
    <row r="356" spans="38:38" x14ac:dyDescent="0.25">
      <c r="AL356" s="6"/>
    </row>
    <row r="357" spans="38:38" x14ac:dyDescent="0.25">
      <c r="AL357" s="6"/>
    </row>
    <row r="358" spans="38:38" x14ac:dyDescent="0.25">
      <c r="AL358" s="6"/>
    </row>
    <row r="359" spans="38:38" x14ac:dyDescent="0.25">
      <c r="AL359" s="6"/>
    </row>
    <row r="360" spans="38:38" x14ac:dyDescent="0.25">
      <c r="AL360" s="6"/>
    </row>
    <row r="361" spans="38:38" x14ac:dyDescent="0.25">
      <c r="AL361" s="6"/>
    </row>
    <row r="362" spans="38:38" x14ac:dyDescent="0.25">
      <c r="AL362" s="6"/>
    </row>
    <row r="363" spans="38:38" x14ac:dyDescent="0.25">
      <c r="AL363" s="6"/>
    </row>
    <row r="364" spans="38:38" x14ac:dyDescent="0.25">
      <c r="AL364" s="6"/>
    </row>
    <row r="365" spans="38:38" x14ac:dyDescent="0.25">
      <c r="AL365" s="6"/>
    </row>
    <row r="366" spans="38:38" x14ac:dyDescent="0.25">
      <c r="AL366" s="6"/>
    </row>
    <row r="367" spans="38:38" x14ac:dyDescent="0.25">
      <c r="AL367" s="6"/>
    </row>
    <row r="368" spans="38:38" x14ac:dyDescent="0.25">
      <c r="AL368" s="6"/>
    </row>
    <row r="369" spans="38:38" x14ac:dyDescent="0.25">
      <c r="AL369" s="6"/>
    </row>
    <row r="370" spans="38:38" x14ac:dyDescent="0.25">
      <c r="AL370" s="6"/>
    </row>
    <row r="371" spans="38:38" x14ac:dyDescent="0.25">
      <c r="AL371" s="6"/>
    </row>
    <row r="372" spans="38:38" x14ac:dyDescent="0.25">
      <c r="AL372" s="6"/>
    </row>
    <row r="373" spans="38:38" x14ac:dyDescent="0.25">
      <c r="AL373" s="6"/>
    </row>
    <row r="374" spans="38:38" x14ac:dyDescent="0.25">
      <c r="AL374" s="6"/>
    </row>
    <row r="375" spans="38:38" x14ac:dyDescent="0.25">
      <c r="AL375" s="6"/>
    </row>
    <row r="376" spans="38:38" x14ac:dyDescent="0.25">
      <c r="AL376" s="6"/>
    </row>
    <row r="377" spans="38:38" x14ac:dyDescent="0.25">
      <c r="AL377" s="6"/>
    </row>
    <row r="378" spans="38:38" x14ac:dyDescent="0.25">
      <c r="AL378" s="6"/>
    </row>
    <row r="379" spans="38:38" x14ac:dyDescent="0.25">
      <c r="AL379" s="6"/>
    </row>
    <row r="380" spans="38:38" x14ac:dyDescent="0.25">
      <c r="AL380" s="6"/>
    </row>
    <row r="381" spans="38:38" x14ac:dyDescent="0.25">
      <c r="AL381" s="6"/>
    </row>
    <row r="382" spans="38:38" x14ac:dyDescent="0.25">
      <c r="AL382" s="6"/>
    </row>
    <row r="383" spans="38:38" x14ac:dyDescent="0.25">
      <c r="AL383" s="6"/>
    </row>
    <row r="384" spans="38:38" x14ac:dyDescent="0.25">
      <c r="AL384" s="6"/>
    </row>
    <row r="385" spans="38:38" x14ac:dyDescent="0.25">
      <c r="AL385" s="6"/>
    </row>
    <row r="386" spans="38:38" x14ac:dyDescent="0.25">
      <c r="AL386" s="6"/>
    </row>
    <row r="387" spans="38:38" x14ac:dyDescent="0.25">
      <c r="AL387" s="6"/>
    </row>
    <row r="388" spans="38:38" x14ac:dyDescent="0.25">
      <c r="AL388" s="6"/>
    </row>
    <row r="389" spans="38:38" x14ac:dyDescent="0.25">
      <c r="AL389" s="6"/>
    </row>
    <row r="390" spans="38:38" x14ac:dyDescent="0.25">
      <c r="AL390" s="6"/>
    </row>
    <row r="391" spans="38:38" x14ac:dyDescent="0.25">
      <c r="AL391" s="6"/>
    </row>
    <row r="392" spans="38:38" x14ac:dyDescent="0.25">
      <c r="AL392" s="6"/>
    </row>
    <row r="393" spans="38:38" x14ac:dyDescent="0.25">
      <c r="AL393" s="6"/>
    </row>
    <row r="394" spans="38:38" x14ac:dyDescent="0.25">
      <c r="AL394" s="6"/>
    </row>
    <row r="395" spans="38:38" x14ac:dyDescent="0.25">
      <c r="AL395" s="6"/>
    </row>
    <row r="396" spans="38:38" x14ac:dyDescent="0.25">
      <c r="AL396" s="6"/>
    </row>
    <row r="397" spans="38:38" x14ac:dyDescent="0.25">
      <c r="AL397" s="6"/>
    </row>
    <row r="398" spans="38:38" x14ac:dyDescent="0.25">
      <c r="AL398" s="6"/>
    </row>
    <row r="399" spans="38:38" x14ac:dyDescent="0.25">
      <c r="AL399" s="6"/>
    </row>
    <row r="400" spans="38:38" x14ac:dyDescent="0.25">
      <c r="AL400" s="6"/>
    </row>
    <row r="401" spans="38:38" x14ac:dyDescent="0.25">
      <c r="AL401" s="6"/>
    </row>
    <row r="402" spans="38:38" x14ac:dyDescent="0.25">
      <c r="AL402" s="6"/>
    </row>
    <row r="403" spans="38:38" x14ac:dyDescent="0.25">
      <c r="AL403" s="6"/>
    </row>
    <row r="404" spans="38:38" x14ac:dyDescent="0.25">
      <c r="AL404" s="6"/>
    </row>
    <row r="405" spans="38:38" x14ac:dyDescent="0.25">
      <c r="AL405" s="6"/>
    </row>
    <row r="406" spans="38:38" x14ac:dyDescent="0.25">
      <c r="AL406" s="6"/>
    </row>
    <row r="407" spans="38:38" x14ac:dyDescent="0.25">
      <c r="AL407" s="6"/>
    </row>
    <row r="408" spans="38:38" x14ac:dyDescent="0.25">
      <c r="AL408" s="6"/>
    </row>
    <row r="409" spans="38:38" x14ac:dyDescent="0.25">
      <c r="AL409" s="6"/>
    </row>
    <row r="410" spans="38:38" x14ac:dyDescent="0.25">
      <c r="AL410" s="6"/>
    </row>
    <row r="411" spans="38:38" x14ac:dyDescent="0.25">
      <c r="AL411" s="6"/>
    </row>
    <row r="412" spans="38:38" x14ac:dyDescent="0.25">
      <c r="AL412" s="6"/>
    </row>
    <row r="413" spans="38:38" x14ac:dyDescent="0.25">
      <c r="AL413" s="6"/>
    </row>
    <row r="414" spans="38:38" x14ac:dyDescent="0.25">
      <c r="AL414" s="6"/>
    </row>
    <row r="415" spans="38:38" x14ac:dyDescent="0.25">
      <c r="AL415" s="6"/>
    </row>
    <row r="416" spans="38:38" x14ac:dyDescent="0.25">
      <c r="AL416" s="6"/>
    </row>
    <row r="417" spans="38:38" x14ac:dyDescent="0.25">
      <c r="AL417" s="6"/>
    </row>
    <row r="418" spans="38:38" x14ac:dyDescent="0.25">
      <c r="AL418" s="6"/>
    </row>
    <row r="419" spans="38:38" x14ac:dyDescent="0.25">
      <c r="AL419" s="6"/>
    </row>
    <row r="420" spans="38:38" x14ac:dyDescent="0.25">
      <c r="AL420" s="6"/>
    </row>
    <row r="421" spans="38:38" x14ac:dyDescent="0.25">
      <c r="AL421" s="6"/>
    </row>
    <row r="422" spans="38:38" x14ac:dyDescent="0.25">
      <c r="AL422" s="6"/>
    </row>
    <row r="423" spans="38:38" x14ac:dyDescent="0.25">
      <c r="AL423" s="6"/>
    </row>
    <row r="424" spans="38:38" x14ac:dyDescent="0.25">
      <c r="AL424" s="6"/>
    </row>
    <row r="425" spans="38:38" x14ac:dyDescent="0.25">
      <c r="AL425" s="6"/>
    </row>
    <row r="426" spans="38:38" x14ac:dyDescent="0.25">
      <c r="AL426" s="6"/>
    </row>
    <row r="427" spans="38:38" x14ac:dyDescent="0.25">
      <c r="AL427" s="6"/>
    </row>
    <row r="428" spans="38:38" x14ac:dyDescent="0.25">
      <c r="AL428" s="6"/>
    </row>
    <row r="429" spans="38:38" x14ac:dyDescent="0.25">
      <c r="AL429" s="6"/>
    </row>
    <row r="430" spans="38:38" x14ac:dyDescent="0.25">
      <c r="AL430" s="6"/>
    </row>
    <row r="431" spans="38:38" x14ac:dyDescent="0.25">
      <c r="AL431" s="6"/>
    </row>
    <row r="432" spans="38:38" x14ac:dyDescent="0.25">
      <c r="AL432" s="6"/>
    </row>
    <row r="433" spans="38:38" x14ac:dyDescent="0.25">
      <c r="AL433" s="6"/>
    </row>
    <row r="434" spans="38:38" x14ac:dyDescent="0.25">
      <c r="AL434" s="6"/>
    </row>
    <row r="435" spans="38:38" x14ac:dyDescent="0.25">
      <c r="AL435" s="6"/>
    </row>
    <row r="436" spans="38:38" x14ac:dyDescent="0.25">
      <c r="AL436" s="6"/>
    </row>
    <row r="437" spans="38:38" x14ac:dyDescent="0.25">
      <c r="AL437" s="6"/>
    </row>
    <row r="438" spans="38:38" x14ac:dyDescent="0.25">
      <c r="AL438" s="6"/>
    </row>
    <row r="439" spans="38:38" x14ac:dyDescent="0.25">
      <c r="AL439" s="6"/>
    </row>
    <row r="440" spans="38:38" x14ac:dyDescent="0.25">
      <c r="AL440" s="6"/>
    </row>
    <row r="441" spans="38:38" x14ac:dyDescent="0.25">
      <c r="AL441" s="6"/>
    </row>
    <row r="442" spans="38:38" x14ac:dyDescent="0.25">
      <c r="AL442" s="6"/>
    </row>
    <row r="443" spans="38:38" x14ac:dyDescent="0.25">
      <c r="AL443" s="6"/>
    </row>
    <row r="444" spans="38:38" x14ac:dyDescent="0.25">
      <c r="AL444" s="6"/>
    </row>
    <row r="445" spans="38:38" x14ac:dyDescent="0.25">
      <c r="AL445" s="6"/>
    </row>
    <row r="446" spans="38:38" x14ac:dyDescent="0.25">
      <c r="AL446" s="6"/>
    </row>
    <row r="447" spans="38:38" x14ac:dyDescent="0.25">
      <c r="AL447" s="6"/>
    </row>
    <row r="448" spans="38:38" x14ac:dyDescent="0.25">
      <c r="AL448" s="6"/>
    </row>
    <row r="449" spans="38:38" x14ac:dyDescent="0.25">
      <c r="AL449" s="6"/>
    </row>
    <row r="450" spans="38:38" x14ac:dyDescent="0.25">
      <c r="AL450" s="6"/>
    </row>
    <row r="451" spans="38:38" x14ac:dyDescent="0.25">
      <c r="AL451" s="6"/>
    </row>
    <row r="452" spans="38:38" x14ac:dyDescent="0.25">
      <c r="AL452" s="6"/>
    </row>
    <row r="453" spans="38:38" x14ac:dyDescent="0.25">
      <c r="AL453" s="6"/>
    </row>
    <row r="454" spans="38:38" x14ac:dyDescent="0.25">
      <c r="AL454" s="6"/>
    </row>
    <row r="455" spans="38:38" x14ac:dyDescent="0.25">
      <c r="AL455" s="6"/>
    </row>
    <row r="456" spans="38:38" x14ac:dyDescent="0.25">
      <c r="AL456" s="6"/>
    </row>
    <row r="457" spans="38:38" x14ac:dyDescent="0.25">
      <c r="AL457" s="6"/>
    </row>
    <row r="458" spans="38:38" x14ac:dyDescent="0.25">
      <c r="AL458" s="6"/>
    </row>
    <row r="459" spans="38:38" x14ac:dyDescent="0.25">
      <c r="AL459" s="6"/>
    </row>
    <row r="460" spans="38:38" x14ac:dyDescent="0.25">
      <c r="AL460" s="6"/>
    </row>
    <row r="461" spans="38:38" x14ac:dyDescent="0.25">
      <c r="AL461" s="6"/>
    </row>
    <row r="462" spans="38:38" x14ac:dyDescent="0.25">
      <c r="AL462" s="6"/>
    </row>
    <row r="463" spans="38:38" x14ac:dyDescent="0.25">
      <c r="AL463" s="6"/>
    </row>
    <row r="464" spans="38:38" x14ac:dyDescent="0.25">
      <c r="AL464" s="6"/>
    </row>
    <row r="465" spans="38:38" x14ac:dyDescent="0.25">
      <c r="AL465" s="6"/>
    </row>
    <row r="466" spans="38:38" x14ac:dyDescent="0.25">
      <c r="AL466" s="6"/>
    </row>
    <row r="467" spans="38:38" x14ac:dyDescent="0.25">
      <c r="AL467" s="6"/>
    </row>
    <row r="468" spans="38:38" x14ac:dyDescent="0.25">
      <c r="AL468" s="6"/>
    </row>
    <row r="469" spans="38:38" x14ac:dyDescent="0.25">
      <c r="AL469" s="6"/>
    </row>
    <row r="470" spans="38:38" x14ac:dyDescent="0.25">
      <c r="AL470" s="6"/>
    </row>
    <row r="471" spans="38:38" x14ac:dyDescent="0.25">
      <c r="AL471" s="6"/>
    </row>
    <row r="472" spans="38:38" x14ac:dyDescent="0.25">
      <c r="AL472" s="6"/>
    </row>
    <row r="473" spans="38:38" x14ac:dyDescent="0.25">
      <c r="AL473" s="6"/>
    </row>
    <row r="474" spans="38:38" x14ac:dyDescent="0.25">
      <c r="AL474" s="6"/>
    </row>
    <row r="475" spans="38:38" x14ac:dyDescent="0.25">
      <c r="AL475" s="6"/>
    </row>
    <row r="476" spans="38:38" x14ac:dyDescent="0.25">
      <c r="AL476" s="6"/>
    </row>
    <row r="477" spans="38:38" x14ac:dyDescent="0.25">
      <c r="AL477" s="6"/>
    </row>
    <row r="478" spans="38:38" x14ac:dyDescent="0.25">
      <c r="AL478" s="6"/>
    </row>
    <row r="479" spans="38:38" x14ac:dyDescent="0.25">
      <c r="AL479" s="6"/>
    </row>
    <row r="480" spans="38:38" x14ac:dyDescent="0.25">
      <c r="AL480" s="6"/>
    </row>
    <row r="481" spans="38:38" x14ac:dyDescent="0.25">
      <c r="AL481" s="6"/>
    </row>
    <row r="482" spans="38:38" x14ac:dyDescent="0.25">
      <c r="AL482" s="6"/>
    </row>
    <row r="483" spans="38:38" x14ac:dyDescent="0.25">
      <c r="AL483" s="6"/>
    </row>
    <row r="484" spans="38:38" x14ac:dyDescent="0.25">
      <c r="AL484" s="6"/>
    </row>
    <row r="485" spans="38:38" x14ac:dyDescent="0.25">
      <c r="AL485" s="6"/>
    </row>
    <row r="486" spans="38:38" x14ac:dyDescent="0.25">
      <c r="AL486" s="6"/>
    </row>
    <row r="487" spans="38:38" x14ac:dyDescent="0.25">
      <c r="AL487" s="6"/>
    </row>
    <row r="488" spans="38:38" x14ac:dyDescent="0.25">
      <c r="AL488" s="6"/>
    </row>
    <row r="489" spans="38:38" x14ac:dyDescent="0.25">
      <c r="AL489" s="6"/>
    </row>
    <row r="490" spans="38:38" x14ac:dyDescent="0.25">
      <c r="AL490" s="6"/>
    </row>
    <row r="491" spans="38:38" x14ac:dyDescent="0.25">
      <c r="AL491" s="6"/>
    </row>
    <row r="492" spans="38:38" x14ac:dyDescent="0.25">
      <c r="AL492" s="6"/>
    </row>
    <row r="493" spans="38:38" x14ac:dyDescent="0.25">
      <c r="AL493" s="6"/>
    </row>
    <row r="494" spans="38:38" x14ac:dyDescent="0.25">
      <c r="AL494" s="6"/>
    </row>
    <row r="495" spans="38:38" x14ac:dyDescent="0.25">
      <c r="AL495" s="6"/>
    </row>
    <row r="496" spans="38:38" x14ac:dyDescent="0.25">
      <c r="AL496" s="6"/>
    </row>
    <row r="497" spans="38:38" x14ac:dyDescent="0.25">
      <c r="AL497" s="6"/>
    </row>
    <row r="498" spans="38:38" x14ac:dyDescent="0.25">
      <c r="AL498" s="6"/>
    </row>
    <row r="499" spans="38:38" x14ac:dyDescent="0.25">
      <c r="AL499" s="6"/>
    </row>
    <row r="500" spans="38:38" x14ac:dyDescent="0.25">
      <c r="AL500" s="6"/>
    </row>
    <row r="501" spans="38:38" x14ac:dyDescent="0.25">
      <c r="AL501" s="6"/>
    </row>
    <row r="502" spans="38:38" x14ac:dyDescent="0.25">
      <c r="AL502" s="6"/>
    </row>
    <row r="503" spans="38:38" x14ac:dyDescent="0.25">
      <c r="AL503" s="6"/>
    </row>
    <row r="504" spans="38:38" x14ac:dyDescent="0.25">
      <c r="AL504" s="6"/>
    </row>
    <row r="505" spans="38:38" x14ac:dyDescent="0.25">
      <c r="AL505" s="6"/>
    </row>
    <row r="506" spans="38:38" x14ac:dyDescent="0.25">
      <c r="AL506" s="6"/>
    </row>
    <row r="507" spans="38:38" x14ac:dyDescent="0.25">
      <c r="AL507" s="6"/>
    </row>
    <row r="508" spans="38:38" x14ac:dyDescent="0.25">
      <c r="AL508" s="6"/>
    </row>
    <row r="509" spans="38:38" x14ac:dyDescent="0.25">
      <c r="AL509" s="6"/>
    </row>
    <row r="510" spans="38:38" x14ac:dyDescent="0.25">
      <c r="AL510" s="6"/>
    </row>
    <row r="511" spans="38:38" x14ac:dyDescent="0.25">
      <c r="AL511" s="6"/>
    </row>
    <row r="512" spans="38:38" x14ac:dyDescent="0.25">
      <c r="AL512" s="6"/>
    </row>
    <row r="513" spans="38:38" x14ac:dyDescent="0.25">
      <c r="AL513" s="6"/>
    </row>
    <row r="514" spans="38:38" x14ac:dyDescent="0.25">
      <c r="AL514" s="6"/>
    </row>
    <row r="515" spans="38:38" x14ac:dyDescent="0.25">
      <c r="AL515" s="6"/>
    </row>
    <row r="516" spans="38:38" x14ac:dyDescent="0.25">
      <c r="AL516" s="6"/>
    </row>
    <row r="517" spans="38:38" x14ac:dyDescent="0.25">
      <c r="AL517" s="6"/>
    </row>
    <row r="518" spans="38:38" x14ac:dyDescent="0.25">
      <c r="AL518" s="6"/>
    </row>
    <row r="519" spans="38:38" x14ac:dyDescent="0.25">
      <c r="AL519" s="6"/>
    </row>
    <row r="520" spans="38:38" x14ac:dyDescent="0.25">
      <c r="AL520" s="6"/>
    </row>
    <row r="521" spans="38:38" x14ac:dyDescent="0.25">
      <c r="AL521" s="6"/>
    </row>
    <row r="522" spans="38:38" x14ac:dyDescent="0.25">
      <c r="AL522" s="6"/>
    </row>
    <row r="523" spans="38:38" x14ac:dyDescent="0.25">
      <c r="AL523" s="6"/>
    </row>
    <row r="524" spans="38:38" x14ac:dyDescent="0.25">
      <c r="AL524" s="6"/>
    </row>
    <row r="525" spans="38:38" x14ac:dyDescent="0.25">
      <c r="AL525" s="6"/>
    </row>
    <row r="526" spans="38:38" x14ac:dyDescent="0.25">
      <c r="AL526" s="6"/>
    </row>
    <row r="527" spans="38:38" x14ac:dyDescent="0.25">
      <c r="AL527" s="6"/>
    </row>
    <row r="528" spans="38:38" x14ac:dyDescent="0.25">
      <c r="AL528" s="6"/>
    </row>
    <row r="529" spans="38:38" x14ac:dyDescent="0.25">
      <c r="AL529" s="6"/>
    </row>
    <row r="530" spans="38:38" x14ac:dyDescent="0.25">
      <c r="AL530" s="6"/>
    </row>
    <row r="531" spans="38:38" x14ac:dyDescent="0.25">
      <c r="AL531" s="6"/>
    </row>
    <row r="532" spans="38:38" x14ac:dyDescent="0.25">
      <c r="AL532" s="6"/>
    </row>
    <row r="533" spans="38:38" x14ac:dyDescent="0.25">
      <c r="AL533" s="6"/>
    </row>
    <row r="534" spans="38:38" x14ac:dyDescent="0.25">
      <c r="AL534" s="6"/>
    </row>
    <row r="535" spans="38:38" x14ac:dyDescent="0.25">
      <c r="AL535" s="6"/>
    </row>
    <row r="536" spans="38:38" x14ac:dyDescent="0.25">
      <c r="AL536" s="6"/>
    </row>
    <row r="537" spans="38:38" x14ac:dyDescent="0.25">
      <c r="AL537" s="6"/>
    </row>
    <row r="538" spans="38:38" x14ac:dyDescent="0.25">
      <c r="AL538" s="6"/>
    </row>
    <row r="539" spans="38:38" x14ac:dyDescent="0.25">
      <c r="AL539" s="6"/>
    </row>
    <row r="540" spans="38:38" x14ac:dyDescent="0.25">
      <c r="AL540" s="6"/>
    </row>
    <row r="541" spans="38:38" x14ac:dyDescent="0.25">
      <c r="AL541" s="6"/>
    </row>
    <row r="542" spans="38:38" x14ac:dyDescent="0.25">
      <c r="AL542" s="6"/>
    </row>
    <row r="543" spans="38:38" x14ac:dyDescent="0.25">
      <c r="AL543" s="6"/>
    </row>
    <row r="544" spans="38:38" x14ac:dyDescent="0.25">
      <c r="AL544" s="6"/>
    </row>
    <row r="545" spans="38:38" x14ac:dyDescent="0.25">
      <c r="AL545" s="6"/>
    </row>
    <row r="546" spans="38:38" x14ac:dyDescent="0.25">
      <c r="AL546" s="6"/>
    </row>
    <row r="547" spans="38:38" x14ac:dyDescent="0.25">
      <c r="AL547" s="6"/>
    </row>
    <row r="548" spans="38:38" x14ac:dyDescent="0.25">
      <c r="AL548" s="6"/>
    </row>
    <row r="549" spans="38:38" x14ac:dyDescent="0.25">
      <c r="AL549" s="6"/>
    </row>
    <row r="550" spans="38:38" x14ac:dyDescent="0.25">
      <c r="AL550" s="6"/>
    </row>
    <row r="551" spans="38:38" x14ac:dyDescent="0.25">
      <c r="AL551" s="6"/>
    </row>
    <row r="552" spans="38:38" x14ac:dyDescent="0.25">
      <c r="AL552" s="6"/>
    </row>
    <row r="553" spans="38:38" x14ac:dyDescent="0.25">
      <c r="AL553" s="6"/>
    </row>
    <row r="554" spans="38:38" x14ac:dyDescent="0.25">
      <c r="AL554" s="6"/>
    </row>
    <row r="555" spans="38:38" x14ac:dyDescent="0.25">
      <c r="AL555" s="6"/>
    </row>
    <row r="556" spans="38:38" x14ac:dyDescent="0.25">
      <c r="AL556" s="6"/>
    </row>
    <row r="557" spans="38:38" x14ac:dyDescent="0.25">
      <c r="AL557" s="6"/>
    </row>
    <row r="558" spans="38:38" x14ac:dyDescent="0.25">
      <c r="AL558" s="6"/>
    </row>
    <row r="559" spans="38:38" x14ac:dyDescent="0.25">
      <c r="AL559" s="6"/>
    </row>
    <row r="560" spans="38:38" x14ac:dyDescent="0.25">
      <c r="AL560" s="6"/>
    </row>
    <row r="561" spans="38:38" x14ac:dyDescent="0.25">
      <c r="AL561" s="6"/>
    </row>
    <row r="562" spans="38:38" x14ac:dyDescent="0.25">
      <c r="AL562" s="6"/>
    </row>
    <row r="563" spans="38:38" x14ac:dyDescent="0.25">
      <c r="AL563" s="6"/>
    </row>
    <row r="564" spans="38:38" x14ac:dyDescent="0.25">
      <c r="AL564" s="6"/>
    </row>
    <row r="565" spans="38:38" x14ac:dyDescent="0.25">
      <c r="AL565" s="6"/>
    </row>
    <row r="566" spans="38:38" x14ac:dyDescent="0.25">
      <c r="AL566" s="6"/>
    </row>
    <row r="567" spans="38:38" x14ac:dyDescent="0.25">
      <c r="AL567" s="6"/>
    </row>
    <row r="568" spans="38:38" x14ac:dyDescent="0.25">
      <c r="AL568" s="6"/>
    </row>
    <row r="569" spans="38:38" x14ac:dyDescent="0.25">
      <c r="AL569" s="6"/>
    </row>
    <row r="570" spans="38:38" x14ac:dyDescent="0.25">
      <c r="AL570" s="6"/>
    </row>
    <row r="571" spans="38:38" x14ac:dyDescent="0.25">
      <c r="AL571" s="6"/>
    </row>
    <row r="572" spans="38:38" x14ac:dyDescent="0.25">
      <c r="AL572" s="6"/>
    </row>
    <row r="573" spans="38:38" x14ac:dyDescent="0.25">
      <c r="AL573" s="6"/>
    </row>
    <row r="574" spans="38:38" x14ac:dyDescent="0.25">
      <c r="AL574" s="6"/>
    </row>
    <row r="575" spans="38:38" x14ac:dyDescent="0.25">
      <c r="AL575" s="6"/>
    </row>
    <row r="576" spans="38:38" x14ac:dyDescent="0.25">
      <c r="AL576" s="6"/>
    </row>
    <row r="577" spans="38:38" x14ac:dyDescent="0.25">
      <c r="AL577" s="6"/>
    </row>
    <row r="578" spans="38:38" x14ac:dyDescent="0.25">
      <c r="AL578" s="6"/>
    </row>
    <row r="579" spans="38:38" x14ac:dyDescent="0.25">
      <c r="AL579" s="6"/>
    </row>
    <row r="580" spans="38:38" x14ac:dyDescent="0.25">
      <c r="AL580" s="6"/>
    </row>
    <row r="581" spans="38:38" x14ac:dyDescent="0.25">
      <c r="AL581" s="6"/>
    </row>
    <row r="582" spans="38:38" x14ac:dyDescent="0.25">
      <c r="AL582" s="6"/>
    </row>
    <row r="583" spans="38:38" x14ac:dyDescent="0.25">
      <c r="AL583" s="6"/>
    </row>
    <row r="584" spans="38:38" x14ac:dyDescent="0.25">
      <c r="AL584" s="6"/>
    </row>
    <row r="585" spans="38:38" x14ac:dyDescent="0.25">
      <c r="AL585" s="6"/>
    </row>
    <row r="586" spans="38:38" x14ac:dyDescent="0.25">
      <c r="AL586" s="6"/>
    </row>
    <row r="587" spans="38:38" x14ac:dyDescent="0.25">
      <c r="AL587" s="6"/>
    </row>
    <row r="588" spans="38:38" x14ac:dyDescent="0.25">
      <c r="AL588" s="6"/>
    </row>
    <row r="589" spans="38:38" x14ac:dyDescent="0.25">
      <c r="AL589" s="6"/>
    </row>
    <row r="590" spans="38:38" x14ac:dyDescent="0.25">
      <c r="AL590" s="6"/>
    </row>
    <row r="591" spans="38:38" x14ac:dyDescent="0.25">
      <c r="AL591" s="6"/>
    </row>
    <row r="592" spans="38:38" x14ac:dyDescent="0.25">
      <c r="AL592" s="6"/>
    </row>
    <row r="593" spans="38:38" x14ac:dyDescent="0.25">
      <c r="AL593" s="6"/>
    </row>
    <row r="594" spans="38:38" x14ac:dyDescent="0.25">
      <c r="AL594" s="6"/>
    </row>
    <row r="595" spans="38:38" x14ac:dyDescent="0.25">
      <c r="AL595" s="6"/>
    </row>
    <row r="596" spans="38:38" x14ac:dyDescent="0.25">
      <c r="AL596" s="6"/>
    </row>
    <row r="597" spans="38:38" x14ac:dyDescent="0.25">
      <c r="AL597" s="6"/>
    </row>
    <row r="598" spans="38:38" x14ac:dyDescent="0.25">
      <c r="AL598" s="6"/>
    </row>
    <row r="599" spans="38:38" x14ac:dyDescent="0.25">
      <c r="AL599" s="6"/>
    </row>
    <row r="600" spans="38:38" x14ac:dyDescent="0.25">
      <c r="AL600" s="6"/>
    </row>
    <row r="601" spans="38:38" x14ac:dyDescent="0.25">
      <c r="AL601" s="6"/>
    </row>
    <row r="602" spans="38:38" x14ac:dyDescent="0.25">
      <c r="AL602" s="6"/>
    </row>
    <row r="603" spans="38:38" x14ac:dyDescent="0.25">
      <c r="AL603" s="6"/>
    </row>
    <row r="604" spans="38:38" x14ac:dyDescent="0.25">
      <c r="AL604" s="6"/>
    </row>
    <row r="605" spans="38:38" x14ac:dyDescent="0.25">
      <c r="AL605" s="6"/>
    </row>
    <row r="606" spans="38:38" x14ac:dyDescent="0.25">
      <c r="AL606" s="6"/>
    </row>
    <row r="607" spans="38:38" x14ac:dyDescent="0.25">
      <c r="AL607" s="6"/>
    </row>
    <row r="608" spans="38:38" x14ac:dyDescent="0.25">
      <c r="AL608" s="6"/>
    </row>
    <row r="609" spans="38:38" x14ac:dyDescent="0.25">
      <c r="AL609" s="6"/>
    </row>
    <row r="610" spans="38:38" x14ac:dyDescent="0.25">
      <c r="AL610" s="6"/>
    </row>
    <row r="611" spans="38:38" x14ac:dyDescent="0.25">
      <c r="AL611" s="6"/>
    </row>
    <row r="612" spans="38:38" x14ac:dyDescent="0.25">
      <c r="AL612" s="6"/>
    </row>
    <row r="613" spans="38:38" x14ac:dyDescent="0.25">
      <c r="AL613" s="6"/>
    </row>
    <row r="614" spans="38:38" x14ac:dyDescent="0.25">
      <c r="AL614" s="6"/>
    </row>
    <row r="615" spans="38:38" x14ac:dyDescent="0.25">
      <c r="AL615" s="6"/>
    </row>
    <row r="616" spans="38:38" x14ac:dyDescent="0.25">
      <c r="AL616" s="6"/>
    </row>
    <row r="617" spans="38:38" x14ac:dyDescent="0.25">
      <c r="AL617" s="6"/>
    </row>
    <row r="618" spans="38:38" x14ac:dyDescent="0.25">
      <c r="AL618" s="6"/>
    </row>
    <row r="619" spans="38:38" x14ac:dyDescent="0.25">
      <c r="AL619" s="6"/>
    </row>
    <row r="620" spans="38:38" x14ac:dyDescent="0.25">
      <c r="AL620" s="6"/>
    </row>
    <row r="621" spans="38:38" x14ac:dyDescent="0.25">
      <c r="AL621" s="6"/>
    </row>
    <row r="622" spans="38:38" x14ac:dyDescent="0.25">
      <c r="AL622" s="6"/>
    </row>
    <row r="623" spans="38:38" x14ac:dyDescent="0.25">
      <c r="AL623" s="6"/>
    </row>
    <row r="624" spans="38:38" x14ac:dyDescent="0.25">
      <c r="AL624" s="6"/>
    </row>
    <row r="625" spans="38:38" x14ac:dyDescent="0.25">
      <c r="AL625" s="6"/>
    </row>
    <row r="626" spans="38:38" x14ac:dyDescent="0.25">
      <c r="AL626" s="6"/>
    </row>
    <row r="627" spans="38:38" x14ac:dyDescent="0.25">
      <c r="AL627" s="6"/>
    </row>
    <row r="628" spans="38:38" x14ac:dyDescent="0.25">
      <c r="AL628" s="6"/>
    </row>
    <row r="629" spans="38:38" x14ac:dyDescent="0.25">
      <c r="AL629" s="6"/>
    </row>
    <row r="630" spans="38:38" x14ac:dyDescent="0.25">
      <c r="AL630" s="6"/>
    </row>
    <row r="631" spans="38:38" x14ac:dyDescent="0.25">
      <c r="AL631" s="6"/>
    </row>
    <row r="632" spans="38:38" x14ac:dyDescent="0.25">
      <c r="AL632" s="6"/>
    </row>
    <row r="633" spans="38:38" x14ac:dyDescent="0.25">
      <c r="AL633" s="6"/>
    </row>
    <row r="634" spans="38:38" x14ac:dyDescent="0.25">
      <c r="AL634" s="6"/>
    </row>
    <row r="635" spans="38:38" x14ac:dyDescent="0.25">
      <c r="AL635" s="6"/>
    </row>
    <row r="636" spans="38:38" x14ac:dyDescent="0.25">
      <c r="AL636" s="6"/>
    </row>
    <row r="637" spans="38:38" x14ac:dyDescent="0.25">
      <c r="AL637" s="6"/>
    </row>
    <row r="638" spans="38:38" x14ac:dyDescent="0.25">
      <c r="AL638" s="6"/>
    </row>
    <row r="639" spans="38:38" x14ac:dyDescent="0.25">
      <c r="AL639" s="6"/>
    </row>
    <row r="640" spans="38:38" x14ac:dyDescent="0.25">
      <c r="AL640" s="6"/>
    </row>
    <row r="641" spans="38:38" x14ac:dyDescent="0.25">
      <c r="AL641" s="6"/>
    </row>
    <row r="642" spans="38:38" x14ac:dyDescent="0.25">
      <c r="AL642" s="6"/>
    </row>
    <row r="643" spans="38:38" x14ac:dyDescent="0.25">
      <c r="AL643" s="6"/>
    </row>
    <row r="644" spans="38:38" x14ac:dyDescent="0.25">
      <c r="AL644" s="6"/>
    </row>
    <row r="645" spans="38:38" x14ac:dyDescent="0.25">
      <c r="AL645" s="6"/>
    </row>
    <row r="646" spans="38:38" x14ac:dyDescent="0.25">
      <c r="AL646" s="6"/>
    </row>
    <row r="647" spans="38:38" x14ac:dyDescent="0.25">
      <c r="AL647" s="6"/>
    </row>
    <row r="648" spans="38:38" x14ac:dyDescent="0.25">
      <c r="AL648" s="6"/>
    </row>
    <row r="649" spans="38:38" x14ac:dyDescent="0.25">
      <c r="AL649" s="6"/>
    </row>
    <row r="650" spans="38:38" x14ac:dyDescent="0.25">
      <c r="AL650" s="6"/>
    </row>
    <row r="651" spans="38:38" x14ac:dyDescent="0.25">
      <c r="AL651" s="6"/>
    </row>
    <row r="652" spans="38:38" x14ac:dyDescent="0.25">
      <c r="AL652" s="6"/>
    </row>
    <row r="653" spans="38:38" x14ac:dyDescent="0.25">
      <c r="AL653" s="6"/>
    </row>
    <row r="654" spans="38:38" x14ac:dyDescent="0.25">
      <c r="AL654" s="6"/>
    </row>
    <row r="655" spans="38:38" x14ac:dyDescent="0.25">
      <c r="AL655" s="6"/>
    </row>
    <row r="656" spans="38:38" x14ac:dyDescent="0.25">
      <c r="AL656" s="6"/>
    </row>
    <row r="657" spans="38:38" x14ac:dyDescent="0.25">
      <c r="AL657" s="6"/>
    </row>
    <row r="658" spans="38:38" x14ac:dyDescent="0.25">
      <c r="AL658" s="6"/>
    </row>
    <row r="659" spans="38:38" x14ac:dyDescent="0.25">
      <c r="AL659" s="6"/>
    </row>
    <row r="660" spans="38:38" x14ac:dyDescent="0.25">
      <c r="AL660" s="6"/>
    </row>
    <row r="661" spans="38:38" x14ac:dyDescent="0.25">
      <c r="AL661" s="6"/>
    </row>
    <row r="662" spans="38:38" x14ac:dyDescent="0.25">
      <c r="AL662" s="6"/>
    </row>
    <row r="663" spans="38:38" x14ac:dyDescent="0.25">
      <c r="AL663" s="6"/>
    </row>
    <row r="664" spans="38:38" x14ac:dyDescent="0.25">
      <c r="AL664" s="6"/>
    </row>
    <row r="665" spans="38:38" x14ac:dyDescent="0.25">
      <c r="AL665" s="6"/>
    </row>
    <row r="666" spans="38:38" x14ac:dyDescent="0.25">
      <c r="AL666" s="6"/>
    </row>
    <row r="667" spans="38:38" x14ac:dyDescent="0.25">
      <c r="AL667" s="6"/>
    </row>
    <row r="668" spans="38:38" x14ac:dyDescent="0.25">
      <c r="AL668" s="6"/>
    </row>
    <row r="669" spans="38:38" x14ac:dyDescent="0.25">
      <c r="AL669" s="6"/>
    </row>
    <row r="670" spans="38:38" x14ac:dyDescent="0.25">
      <c r="AL670" s="6"/>
    </row>
    <row r="671" spans="38:38" x14ac:dyDescent="0.25">
      <c r="AL671" s="6"/>
    </row>
    <row r="672" spans="38:38" x14ac:dyDescent="0.25">
      <c r="AL672" s="6"/>
    </row>
    <row r="673" spans="38:38" x14ac:dyDescent="0.25">
      <c r="AL673" s="6"/>
    </row>
    <row r="674" spans="38:38" x14ac:dyDescent="0.25">
      <c r="AL674" s="6"/>
    </row>
    <row r="675" spans="38:38" x14ac:dyDescent="0.25">
      <c r="AL675" s="6"/>
    </row>
    <row r="676" spans="38:38" x14ac:dyDescent="0.25">
      <c r="AL676" s="6"/>
    </row>
    <row r="677" spans="38:38" x14ac:dyDescent="0.25">
      <c r="AL677" s="6"/>
    </row>
    <row r="678" spans="38:38" x14ac:dyDescent="0.25">
      <c r="AL678" s="6"/>
    </row>
    <row r="679" spans="38:38" x14ac:dyDescent="0.25">
      <c r="AL679" s="6"/>
    </row>
    <row r="680" spans="38:38" x14ac:dyDescent="0.25">
      <c r="AL680" s="6"/>
    </row>
    <row r="681" spans="38:38" x14ac:dyDescent="0.25">
      <c r="AL681" s="6"/>
    </row>
    <row r="682" spans="38:38" x14ac:dyDescent="0.25">
      <c r="AL682" s="6"/>
    </row>
    <row r="683" spans="38:38" x14ac:dyDescent="0.25">
      <c r="AL683" s="6"/>
    </row>
    <row r="684" spans="38:38" x14ac:dyDescent="0.25">
      <c r="AL684" s="6"/>
    </row>
    <row r="685" spans="38:38" x14ac:dyDescent="0.25">
      <c r="AL685" s="6"/>
    </row>
    <row r="686" spans="38:38" x14ac:dyDescent="0.25">
      <c r="AL686" s="6"/>
    </row>
    <row r="687" spans="38:38" x14ac:dyDescent="0.25">
      <c r="AL687" s="6"/>
    </row>
    <row r="688" spans="38:38" x14ac:dyDescent="0.25">
      <c r="AL688" s="6"/>
    </row>
    <row r="689" spans="38:38" x14ac:dyDescent="0.25">
      <c r="AL689" s="6"/>
    </row>
    <row r="690" spans="38:38" x14ac:dyDescent="0.25">
      <c r="AL690" s="6"/>
    </row>
    <row r="691" spans="38:38" x14ac:dyDescent="0.25">
      <c r="AL691" s="6"/>
    </row>
    <row r="692" spans="38:38" x14ac:dyDescent="0.25">
      <c r="AL692" s="6"/>
    </row>
    <row r="693" spans="38:38" x14ac:dyDescent="0.25">
      <c r="AL693" s="6"/>
    </row>
    <row r="694" spans="38:38" x14ac:dyDescent="0.25">
      <c r="AL694" s="6"/>
    </row>
    <row r="695" spans="38:38" x14ac:dyDescent="0.25">
      <c r="AL695" s="6"/>
    </row>
    <row r="696" spans="38:38" x14ac:dyDescent="0.25">
      <c r="AL696" s="6"/>
    </row>
    <row r="697" spans="38:38" x14ac:dyDescent="0.25">
      <c r="AL697" s="6"/>
    </row>
    <row r="698" spans="38:38" x14ac:dyDescent="0.25">
      <c r="AL698" s="6"/>
    </row>
    <row r="699" spans="38:38" x14ac:dyDescent="0.25">
      <c r="AL699" s="6"/>
    </row>
    <row r="700" spans="38:38" x14ac:dyDescent="0.25">
      <c r="AL700" s="6"/>
    </row>
    <row r="701" spans="38:38" x14ac:dyDescent="0.25">
      <c r="AL701" s="6"/>
    </row>
    <row r="702" spans="38:38" x14ac:dyDescent="0.25">
      <c r="AL702" s="6"/>
    </row>
    <row r="703" spans="38:38" x14ac:dyDescent="0.25">
      <c r="AL703" s="6"/>
    </row>
    <row r="704" spans="38:38" x14ac:dyDescent="0.25">
      <c r="AL704" s="6"/>
    </row>
    <row r="705" spans="38:38" x14ac:dyDescent="0.25">
      <c r="AL705" s="6"/>
    </row>
    <row r="706" spans="38:38" x14ac:dyDescent="0.25">
      <c r="AL706" s="6"/>
    </row>
    <row r="707" spans="38:38" x14ac:dyDescent="0.25">
      <c r="AL707" s="6"/>
    </row>
    <row r="708" spans="38:38" x14ac:dyDescent="0.25">
      <c r="AL708" s="6"/>
    </row>
    <row r="709" spans="38:38" x14ac:dyDescent="0.25">
      <c r="AL709" s="6"/>
    </row>
    <row r="710" spans="38:38" x14ac:dyDescent="0.25">
      <c r="AL710" s="6"/>
    </row>
    <row r="711" spans="38:38" x14ac:dyDescent="0.25">
      <c r="AL711" s="6"/>
    </row>
    <row r="712" spans="38:38" x14ac:dyDescent="0.25">
      <c r="AL712" s="6"/>
    </row>
    <row r="713" spans="38:38" x14ac:dyDescent="0.25">
      <c r="AL713" s="6"/>
    </row>
    <row r="714" spans="38:38" x14ac:dyDescent="0.25">
      <c r="AL714" s="6"/>
    </row>
    <row r="715" spans="38:38" x14ac:dyDescent="0.25">
      <c r="AL715" s="6"/>
    </row>
    <row r="716" spans="38:38" x14ac:dyDescent="0.25">
      <c r="AL716" s="6"/>
    </row>
    <row r="717" spans="38:38" x14ac:dyDescent="0.25">
      <c r="AL717" s="6"/>
    </row>
    <row r="718" spans="38:38" x14ac:dyDescent="0.25">
      <c r="AL718" s="6"/>
    </row>
    <row r="719" spans="38:38" x14ac:dyDescent="0.25">
      <c r="AL719" s="6"/>
    </row>
    <row r="720" spans="38:38" x14ac:dyDescent="0.25">
      <c r="AL720" s="6"/>
    </row>
    <row r="721" spans="38:38" x14ac:dyDescent="0.25">
      <c r="AL721" s="6"/>
    </row>
    <row r="722" spans="38:38" x14ac:dyDescent="0.25">
      <c r="AL722" s="6"/>
    </row>
    <row r="723" spans="38:38" x14ac:dyDescent="0.25">
      <c r="AL723" s="6"/>
    </row>
    <row r="724" spans="38:38" x14ac:dyDescent="0.25">
      <c r="AL724" s="6"/>
    </row>
    <row r="725" spans="38:38" x14ac:dyDescent="0.25">
      <c r="AL725" s="6"/>
    </row>
    <row r="726" spans="38:38" x14ac:dyDescent="0.25">
      <c r="AL726" s="6"/>
    </row>
    <row r="727" spans="38:38" x14ac:dyDescent="0.25">
      <c r="AL727" s="6"/>
    </row>
    <row r="728" spans="38:38" x14ac:dyDescent="0.25">
      <c r="AL728" s="6"/>
    </row>
    <row r="729" spans="38:38" x14ac:dyDescent="0.25">
      <c r="AL729" s="6"/>
    </row>
    <row r="730" spans="38:38" x14ac:dyDescent="0.25">
      <c r="AL730" s="6"/>
    </row>
    <row r="731" spans="38:38" x14ac:dyDescent="0.25">
      <c r="AL731" s="6"/>
    </row>
    <row r="732" spans="38:38" x14ac:dyDescent="0.25">
      <c r="AL732" s="6"/>
    </row>
    <row r="733" spans="38:38" x14ac:dyDescent="0.25">
      <c r="AL733" s="6"/>
    </row>
    <row r="734" spans="38:38" x14ac:dyDescent="0.25">
      <c r="AL734" s="6"/>
    </row>
    <row r="735" spans="38:38" x14ac:dyDescent="0.25">
      <c r="AL735" s="6"/>
    </row>
    <row r="736" spans="38:38" x14ac:dyDescent="0.25">
      <c r="AL736" s="6"/>
    </row>
    <row r="737" spans="38:38" x14ac:dyDescent="0.25">
      <c r="AL737" s="6"/>
    </row>
    <row r="738" spans="38:38" x14ac:dyDescent="0.25">
      <c r="AL738" s="6"/>
    </row>
    <row r="739" spans="38:38" x14ac:dyDescent="0.25">
      <c r="AL739" s="6"/>
    </row>
    <row r="740" spans="38:38" x14ac:dyDescent="0.25">
      <c r="AL740" s="6"/>
    </row>
    <row r="741" spans="38:38" x14ac:dyDescent="0.25">
      <c r="AL741" s="6"/>
    </row>
    <row r="742" spans="38:38" x14ac:dyDescent="0.25">
      <c r="AL742" s="6"/>
    </row>
    <row r="743" spans="38:38" x14ac:dyDescent="0.25">
      <c r="AL743" s="6"/>
    </row>
    <row r="744" spans="38:38" x14ac:dyDescent="0.25">
      <c r="AL744" s="6"/>
    </row>
    <row r="745" spans="38:38" x14ac:dyDescent="0.25">
      <c r="AL745" s="6"/>
    </row>
    <row r="746" spans="38:38" x14ac:dyDescent="0.25">
      <c r="AL746" s="6"/>
    </row>
    <row r="747" spans="38:38" x14ac:dyDescent="0.25">
      <c r="AL747" s="6"/>
    </row>
    <row r="748" spans="38:38" x14ac:dyDescent="0.25">
      <c r="AL748" s="6"/>
    </row>
    <row r="749" spans="38:38" x14ac:dyDescent="0.25">
      <c r="AL749" s="6"/>
    </row>
    <row r="750" spans="38:38" x14ac:dyDescent="0.25">
      <c r="AL750" s="6"/>
    </row>
    <row r="751" spans="38:38" x14ac:dyDescent="0.25">
      <c r="AL751" s="6"/>
    </row>
    <row r="752" spans="38:38" x14ac:dyDescent="0.25">
      <c r="AL752" s="6"/>
    </row>
    <row r="753" spans="38:38" x14ac:dyDescent="0.25">
      <c r="AL753" s="6"/>
    </row>
    <row r="754" spans="38:38" x14ac:dyDescent="0.25">
      <c r="AL754" s="6"/>
    </row>
    <row r="755" spans="38:38" x14ac:dyDescent="0.25">
      <c r="AL755" s="6"/>
    </row>
    <row r="756" spans="38:38" x14ac:dyDescent="0.25">
      <c r="AL756" s="6"/>
    </row>
    <row r="757" spans="38:38" x14ac:dyDescent="0.25">
      <c r="AL757" s="6"/>
    </row>
    <row r="758" spans="38:38" x14ac:dyDescent="0.25">
      <c r="AL758" s="6"/>
    </row>
    <row r="759" spans="38:38" x14ac:dyDescent="0.25">
      <c r="AL759" s="6"/>
    </row>
    <row r="760" spans="38:38" x14ac:dyDescent="0.25">
      <c r="AL760" s="6"/>
    </row>
    <row r="761" spans="38:38" x14ac:dyDescent="0.25">
      <c r="AL761" s="6"/>
    </row>
    <row r="762" spans="38:38" x14ac:dyDescent="0.25">
      <c r="AL762" s="6"/>
    </row>
    <row r="763" spans="38:38" x14ac:dyDescent="0.25">
      <c r="AL763" s="6"/>
    </row>
    <row r="764" spans="38:38" x14ac:dyDescent="0.25">
      <c r="AL764" s="6"/>
    </row>
    <row r="765" spans="38:38" x14ac:dyDescent="0.25">
      <c r="AL765" s="6"/>
    </row>
    <row r="766" spans="38:38" x14ac:dyDescent="0.25">
      <c r="AL766" s="6"/>
    </row>
    <row r="767" spans="38:38" x14ac:dyDescent="0.25">
      <c r="AL767" s="6"/>
    </row>
    <row r="768" spans="38:38" x14ac:dyDescent="0.25">
      <c r="AL768" s="6"/>
    </row>
    <row r="769" spans="38:38" x14ac:dyDescent="0.25">
      <c r="AL769" s="6"/>
    </row>
    <row r="770" spans="38:38" x14ac:dyDescent="0.25">
      <c r="AL770" s="6"/>
    </row>
    <row r="771" spans="38:38" x14ac:dyDescent="0.25">
      <c r="AL771" s="6"/>
    </row>
    <row r="772" spans="38:38" x14ac:dyDescent="0.25">
      <c r="AL772" s="6"/>
    </row>
    <row r="773" spans="38:38" x14ac:dyDescent="0.25">
      <c r="AL773" s="6"/>
    </row>
    <row r="774" spans="38:38" x14ac:dyDescent="0.25">
      <c r="AL774" s="6"/>
    </row>
    <row r="775" spans="38:38" x14ac:dyDescent="0.25">
      <c r="AL775" s="6"/>
    </row>
    <row r="776" spans="38:38" x14ac:dyDescent="0.25">
      <c r="AL776" s="6"/>
    </row>
    <row r="777" spans="38:38" x14ac:dyDescent="0.25">
      <c r="AL777" s="6"/>
    </row>
    <row r="778" spans="38:38" x14ac:dyDescent="0.25">
      <c r="AL778" s="6"/>
    </row>
    <row r="779" spans="38:38" x14ac:dyDescent="0.25">
      <c r="AL779" s="6"/>
    </row>
    <row r="780" spans="38:38" x14ac:dyDescent="0.25">
      <c r="AL780" s="6"/>
    </row>
    <row r="781" spans="38:38" x14ac:dyDescent="0.25">
      <c r="AL781" s="6"/>
    </row>
    <row r="782" spans="38:38" x14ac:dyDescent="0.25">
      <c r="AL782" s="6"/>
    </row>
    <row r="783" spans="38:38" x14ac:dyDescent="0.25">
      <c r="AL783" s="6"/>
    </row>
    <row r="784" spans="38:38" x14ac:dyDescent="0.25">
      <c r="AL784" s="6"/>
    </row>
    <row r="785" spans="38:38" x14ac:dyDescent="0.25">
      <c r="AL785" s="6"/>
    </row>
    <row r="786" spans="38:38" x14ac:dyDescent="0.25">
      <c r="AL786" s="6"/>
    </row>
    <row r="787" spans="38:38" x14ac:dyDescent="0.25">
      <c r="AL787" s="6"/>
    </row>
    <row r="788" spans="38:38" x14ac:dyDescent="0.25">
      <c r="AL788" s="6"/>
    </row>
    <row r="789" spans="38:38" x14ac:dyDescent="0.25">
      <c r="AL789" s="6"/>
    </row>
    <row r="790" spans="38:38" x14ac:dyDescent="0.25">
      <c r="AL790" s="6"/>
    </row>
    <row r="791" spans="38:38" x14ac:dyDescent="0.25">
      <c r="AL791" s="6"/>
    </row>
    <row r="792" spans="38:38" x14ac:dyDescent="0.25">
      <c r="AL792" s="6"/>
    </row>
    <row r="793" spans="38:38" x14ac:dyDescent="0.25">
      <c r="AL793" s="6"/>
    </row>
    <row r="794" spans="38:38" x14ac:dyDescent="0.25">
      <c r="AL794" s="6"/>
    </row>
    <row r="795" spans="38:38" x14ac:dyDescent="0.25">
      <c r="AL795" s="6"/>
    </row>
    <row r="796" spans="38:38" x14ac:dyDescent="0.25">
      <c r="AL796" s="6"/>
    </row>
    <row r="797" spans="38:38" x14ac:dyDescent="0.25">
      <c r="AL797" s="6"/>
    </row>
    <row r="798" spans="38:38" x14ac:dyDescent="0.25">
      <c r="AL798" s="6"/>
    </row>
    <row r="799" spans="38:38" x14ac:dyDescent="0.25">
      <c r="AL799" s="6"/>
    </row>
    <row r="800" spans="38:38" x14ac:dyDescent="0.25">
      <c r="AL800" s="6"/>
    </row>
    <row r="801" spans="38:38" x14ac:dyDescent="0.25">
      <c r="AL801" s="6"/>
    </row>
    <row r="802" spans="38:38" x14ac:dyDescent="0.25">
      <c r="AL802" s="6"/>
    </row>
    <row r="803" spans="38:38" x14ac:dyDescent="0.25">
      <c r="AL803" s="6"/>
    </row>
    <row r="804" spans="38:38" x14ac:dyDescent="0.25">
      <c r="AL804" s="6"/>
    </row>
    <row r="805" spans="38:38" x14ac:dyDescent="0.25">
      <c r="AL805" s="6"/>
    </row>
    <row r="806" spans="38:38" x14ac:dyDescent="0.25">
      <c r="AL806" s="6"/>
    </row>
    <row r="807" spans="38:38" x14ac:dyDescent="0.25">
      <c r="AL807" s="6"/>
    </row>
    <row r="808" spans="38:38" x14ac:dyDescent="0.25">
      <c r="AL808" s="6"/>
    </row>
    <row r="809" spans="38:38" x14ac:dyDescent="0.25">
      <c r="AL809" s="6"/>
    </row>
    <row r="810" spans="38:38" x14ac:dyDescent="0.25">
      <c r="AL810" s="6"/>
    </row>
    <row r="811" spans="38:38" x14ac:dyDescent="0.25">
      <c r="AL811" s="6"/>
    </row>
    <row r="812" spans="38:38" x14ac:dyDescent="0.25">
      <c r="AL812" s="6"/>
    </row>
    <row r="813" spans="38:38" x14ac:dyDescent="0.25">
      <c r="AL813" s="6"/>
    </row>
    <row r="814" spans="38:38" x14ac:dyDescent="0.25">
      <c r="AL814" s="6"/>
    </row>
    <row r="815" spans="38:38" x14ac:dyDescent="0.25">
      <c r="AL815" s="6"/>
    </row>
    <row r="816" spans="38:38" x14ac:dyDescent="0.25">
      <c r="AL816" s="6"/>
    </row>
    <row r="817" spans="38:38" x14ac:dyDescent="0.25">
      <c r="AL817" s="6"/>
    </row>
    <row r="818" spans="38:38" x14ac:dyDescent="0.25">
      <c r="AL818" s="6"/>
    </row>
    <row r="819" spans="38:38" x14ac:dyDescent="0.25">
      <c r="AL819" s="6"/>
    </row>
    <row r="820" spans="38:38" x14ac:dyDescent="0.25">
      <c r="AL820" s="6"/>
    </row>
    <row r="821" spans="38:38" x14ac:dyDescent="0.25">
      <c r="AL821" s="6"/>
    </row>
    <row r="822" spans="38:38" x14ac:dyDescent="0.25">
      <c r="AL822" s="6"/>
    </row>
    <row r="823" spans="38:38" x14ac:dyDescent="0.25">
      <c r="AL823" s="6"/>
    </row>
    <row r="824" spans="38:38" x14ac:dyDescent="0.25">
      <c r="AL824" s="6"/>
    </row>
    <row r="825" spans="38:38" x14ac:dyDescent="0.25">
      <c r="AL825" s="6"/>
    </row>
    <row r="826" spans="38:38" x14ac:dyDescent="0.25">
      <c r="AL826" s="6"/>
    </row>
    <row r="827" spans="38:38" x14ac:dyDescent="0.25">
      <c r="AL827" s="6"/>
    </row>
    <row r="828" spans="38:38" x14ac:dyDescent="0.25">
      <c r="AL828" s="6"/>
    </row>
    <row r="829" spans="38:38" x14ac:dyDescent="0.25">
      <c r="AL829" s="6"/>
    </row>
    <row r="830" spans="38:38" x14ac:dyDescent="0.25">
      <c r="AL830" s="6"/>
    </row>
    <row r="831" spans="38:38" x14ac:dyDescent="0.25">
      <c r="AL831" s="6"/>
    </row>
    <row r="832" spans="38:38" x14ac:dyDescent="0.25">
      <c r="AL832" s="6"/>
    </row>
    <row r="833" spans="38:38" x14ac:dyDescent="0.25">
      <c r="AL833" s="6"/>
    </row>
    <row r="834" spans="38:38" x14ac:dyDescent="0.25">
      <c r="AL834" s="6"/>
    </row>
    <row r="835" spans="38:38" x14ac:dyDescent="0.25">
      <c r="AL835" s="6"/>
    </row>
    <row r="836" spans="38:38" x14ac:dyDescent="0.25">
      <c r="AL836" s="6"/>
    </row>
    <row r="837" spans="38:38" x14ac:dyDescent="0.25">
      <c r="AL837" s="6"/>
    </row>
    <row r="838" spans="38:38" x14ac:dyDescent="0.25">
      <c r="AL838" s="6"/>
    </row>
    <row r="839" spans="38:38" x14ac:dyDescent="0.25">
      <c r="AL839" s="6"/>
    </row>
    <row r="840" spans="38:38" x14ac:dyDescent="0.25">
      <c r="AL840" s="6"/>
    </row>
    <row r="841" spans="38:38" x14ac:dyDescent="0.25">
      <c r="AL841" s="6"/>
    </row>
    <row r="842" spans="38:38" x14ac:dyDescent="0.25">
      <c r="AL842" s="6"/>
    </row>
    <row r="843" spans="38:38" x14ac:dyDescent="0.25">
      <c r="AL843" s="6"/>
    </row>
    <row r="844" spans="38:38" x14ac:dyDescent="0.25">
      <c r="AL844" s="6"/>
    </row>
    <row r="845" spans="38:38" x14ac:dyDescent="0.25">
      <c r="AL845" s="6"/>
    </row>
    <row r="846" spans="38:38" x14ac:dyDescent="0.25">
      <c r="AL846" s="6"/>
    </row>
    <row r="847" spans="38:38" x14ac:dyDescent="0.25">
      <c r="AL847" s="6"/>
    </row>
    <row r="848" spans="38:38" x14ac:dyDescent="0.25">
      <c r="AL848" s="6"/>
    </row>
    <row r="849" spans="38:38" x14ac:dyDescent="0.25">
      <c r="AL849" s="6"/>
    </row>
    <row r="850" spans="38:38" x14ac:dyDescent="0.25">
      <c r="AL850" s="6"/>
    </row>
    <row r="851" spans="38:38" x14ac:dyDescent="0.25">
      <c r="AL851" s="6"/>
    </row>
    <row r="852" spans="38:38" x14ac:dyDescent="0.25">
      <c r="AL852" s="6"/>
    </row>
    <row r="853" spans="38:38" x14ac:dyDescent="0.25">
      <c r="AL853" s="6"/>
    </row>
    <row r="854" spans="38:38" x14ac:dyDescent="0.25">
      <c r="AL854" s="6"/>
    </row>
    <row r="855" spans="38:38" x14ac:dyDescent="0.25">
      <c r="AL855" s="6"/>
    </row>
    <row r="856" spans="38:38" x14ac:dyDescent="0.25">
      <c r="AL856" s="6"/>
    </row>
    <row r="857" spans="38:38" x14ac:dyDescent="0.25">
      <c r="AL857" s="6"/>
    </row>
    <row r="858" spans="38:38" x14ac:dyDescent="0.25">
      <c r="AL858" s="6"/>
    </row>
    <row r="859" spans="38:38" x14ac:dyDescent="0.25">
      <c r="AL859" s="6"/>
    </row>
    <row r="860" spans="38:38" x14ac:dyDescent="0.25">
      <c r="AL860" s="6"/>
    </row>
    <row r="861" spans="38:38" x14ac:dyDescent="0.25">
      <c r="AL861" s="6"/>
    </row>
    <row r="862" spans="38:38" x14ac:dyDescent="0.25">
      <c r="AL862" s="6"/>
    </row>
    <row r="863" spans="38:38" x14ac:dyDescent="0.25">
      <c r="AL863" s="6"/>
    </row>
    <row r="864" spans="38:38" x14ac:dyDescent="0.25">
      <c r="AL864" s="6"/>
    </row>
    <row r="865" spans="38:38" x14ac:dyDescent="0.25">
      <c r="AL865" s="6"/>
    </row>
    <row r="866" spans="38:38" x14ac:dyDescent="0.25">
      <c r="AL866" s="6"/>
    </row>
    <row r="867" spans="38:38" x14ac:dyDescent="0.25">
      <c r="AL867" s="6"/>
    </row>
    <row r="868" spans="38:38" x14ac:dyDescent="0.25">
      <c r="AL868" s="6"/>
    </row>
    <row r="869" spans="38:38" x14ac:dyDescent="0.25">
      <c r="AL869" s="6"/>
    </row>
    <row r="870" spans="38:38" x14ac:dyDescent="0.25">
      <c r="AL870" s="6"/>
    </row>
    <row r="871" spans="38:38" x14ac:dyDescent="0.25">
      <c r="AL871" s="6"/>
    </row>
    <row r="872" spans="38:38" x14ac:dyDescent="0.25">
      <c r="AL872" s="6"/>
    </row>
    <row r="873" spans="38:38" x14ac:dyDescent="0.25">
      <c r="AL873" s="6"/>
    </row>
    <row r="874" spans="38:38" x14ac:dyDescent="0.25">
      <c r="AL874" s="6"/>
    </row>
    <row r="875" spans="38:38" x14ac:dyDescent="0.25">
      <c r="AL875" s="6"/>
    </row>
    <row r="876" spans="38:38" x14ac:dyDescent="0.25">
      <c r="AL876" s="6"/>
    </row>
    <row r="877" spans="38:38" x14ac:dyDescent="0.25">
      <c r="AL877" s="6"/>
    </row>
    <row r="878" spans="38:38" x14ac:dyDescent="0.25">
      <c r="AL878" s="6"/>
    </row>
    <row r="879" spans="38:38" x14ac:dyDescent="0.25">
      <c r="AL879" s="6"/>
    </row>
    <row r="880" spans="38:38" x14ac:dyDescent="0.25">
      <c r="AL880" s="6"/>
    </row>
    <row r="881" spans="38:38" x14ac:dyDescent="0.25">
      <c r="AL881" s="6"/>
    </row>
    <row r="882" spans="38:38" x14ac:dyDescent="0.25">
      <c r="AL882" s="6"/>
    </row>
    <row r="883" spans="38:38" x14ac:dyDescent="0.25">
      <c r="AL883" s="6"/>
    </row>
    <row r="884" spans="38:38" x14ac:dyDescent="0.25">
      <c r="AL884" s="6"/>
    </row>
    <row r="885" spans="38:38" x14ac:dyDescent="0.25">
      <c r="AL885" s="6"/>
    </row>
    <row r="886" spans="38:38" x14ac:dyDescent="0.25">
      <c r="AL886" s="6"/>
    </row>
    <row r="887" spans="38:38" x14ac:dyDescent="0.25">
      <c r="AL887" s="6"/>
    </row>
    <row r="888" spans="38:38" x14ac:dyDescent="0.25">
      <c r="AL888" s="6"/>
    </row>
    <row r="889" spans="38:38" x14ac:dyDescent="0.25">
      <c r="AL889" s="6"/>
    </row>
    <row r="890" spans="38:38" x14ac:dyDescent="0.25">
      <c r="AL890" s="6"/>
    </row>
    <row r="891" spans="38:38" x14ac:dyDescent="0.25">
      <c r="AL891" s="6"/>
    </row>
    <row r="892" spans="38:38" x14ac:dyDescent="0.25">
      <c r="AL892" s="6"/>
    </row>
    <row r="893" spans="38:38" x14ac:dyDescent="0.25">
      <c r="AL893" s="6"/>
    </row>
    <row r="894" spans="38:38" x14ac:dyDescent="0.25">
      <c r="AL894" s="6"/>
    </row>
    <row r="895" spans="38:38" x14ac:dyDescent="0.25">
      <c r="AL895" s="6"/>
    </row>
    <row r="896" spans="38:38" x14ac:dyDescent="0.25">
      <c r="AL896" s="6"/>
    </row>
    <row r="897" spans="38:38" x14ac:dyDescent="0.25">
      <c r="AL897" s="6"/>
    </row>
    <row r="898" spans="38:38" x14ac:dyDescent="0.25">
      <c r="AL898" s="6"/>
    </row>
    <row r="899" spans="38:38" x14ac:dyDescent="0.25">
      <c r="AL899" s="6"/>
    </row>
    <row r="900" spans="38:38" x14ac:dyDescent="0.25">
      <c r="AL900" s="6"/>
    </row>
    <row r="901" spans="38:38" x14ac:dyDescent="0.25">
      <c r="AL901" s="6"/>
    </row>
    <row r="902" spans="38:38" x14ac:dyDescent="0.25">
      <c r="AL902" s="6"/>
    </row>
    <row r="903" spans="38:38" x14ac:dyDescent="0.25">
      <c r="AL903" s="6"/>
    </row>
    <row r="904" spans="38:38" x14ac:dyDescent="0.25">
      <c r="AL904" s="6"/>
    </row>
    <row r="905" spans="38:38" x14ac:dyDescent="0.25">
      <c r="AL905" s="6"/>
    </row>
    <row r="906" spans="38:38" x14ac:dyDescent="0.25">
      <c r="AL906" s="6"/>
    </row>
    <row r="907" spans="38:38" x14ac:dyDescent="0.25">
      <c r="AL907" s="6"/>
    </row>
    <row r="908" spans="38:38" x14ac:dyDescent="0.25">
      <c r="AL908" s="6"/>
    </row>
    <row r="909" spans="38:38" x14ac:dyDescent="0.25">
      <c r="AL909" s="6"/>
    </row>
    <row r="910" spans="38:38" x14ac:dyDescent="0.25">
      <c r="AL910" s="6"/>
    </row>
    <row r="911" spans="38:38" x14ac:dyDescent="0.25">
      <c r="AL911" s="6"/>
    </row>
    <row r="912" spans="38:38" x14ac:dyDescent="0.25">
      <c r="AL912" s="6"/>
    </row>
    <row r="913" spans="38:38" x14ac:dyDescent="0.25">
      <c r="AL913" s="6"/>
    </row>
    <row r="914" spans="38:38" x14ac:dyDescent="0.25">
      <c r="AL914" s="6"/>
    </row>
    <row r="915" spans="38:38" x14ac:dyDescent="0.25">
      <c r="AL915" s="6"/>
    </row>
    <row r="916" spans="38:38" x14ac:dyDescent="0.25">
      <c r="AL916" s="6"/>
    </row>
    <row r="917" spans="38:38" x14ac:dyDescent="0.25">
      <c r="AL917" s="6"/>
    </row>
    <row r="918" spans="38:38" x14ac:dyDescent="0.25">
      <c r="AL918" s="6"/>
    </row>
    <row r="919" spans="38:38" x14ac:dyDescent="0.25">
      <c r="AL919" s="6"/>
    </row>
    <row r="920" spans="38:38" x14ac:dyDescent="0.25">
      <c r="AL920" s="6"/>
    </row>
    <row r="921" spans="38:38" x14ac:dyDescent="0.25">
      <c r="AL921" s="6"/>
    </row>
    <row r="922" spans="38:38" x14ac:dyDescent="0.25">
      <c r="AL922" s="6"/>
    </row>
    <row r="923" spans="38:38" x14ac:dyDescent="0.25">
      <c r="AL923" s="6"/>
    </row>
    <row r="924" spans="38:38" x14ac:dyDescent="0.25">
      <c r="AL924" s="6"/>
    </row>
    <row r="925" spans="38:38" x14ac:dyDescent="0.25">
      <c r="AL925" s="6"/>
    </row>
    <row r="926" spans="38:38" x14ac:dyDescent="0.25">
      <c r="AL926" s="6"/>
    </row>
    <row r="927" spans="38:38" x14ac:dyDescent="0.25">
      <c r="AL927" s="6"/>
    </row>
    <row r="928" spans="38:38" x14ac:dyDescent="0.25">
      <c r="AL928" s="6"/>
    </row>
    <row r="929" spans="38:38" x14ac:dyDescent="0.25">
      <c r="AL929" s="6"/>
    </row>
    <row r="930" spans="38:38" x14ac:dyDescent="0.25">
      <c r="AL930" s="6"/>
    </row>
    <row r="931" spans="38:38" x14ac:dyDescent="0.25">
      <c r="AL931" s="6"/>
    </row>
    <row r="932" spans="38:38" x14ac:dyDescent="0.25">
      <c r="AL932" s="6"/>
    </row>
    <row r="933" spans="38:38" x14ac:dyDescent="0.25">
      <c r="AL933" s="6"/>
    </row>
    <row r="934" spans="38:38" x14ac:dyDescent="0.25">
      <c r="AL934" s="6"/>
    </row>
    <row r="935" spans="38:38" x14ac:dyDescent="0.25">
      <c r="AL935" s="6"/>
    </row>
    <row r="936" spans="38:38" x14ac:dyDescent="0.25">
      <c r="AL936" s="6"/>
    </row>
    <row r="937" spans="38:38" x14ac:dyDescent="0.25">
      <c r="AL937" s="6"/>
    </row>
    <row r="938" spans="38:38" x14ac:dyDescent="0.25">
      <c r="AL938" s="6"/>
    </row>
    <row r="939" spans="38:38" x14ac:dyDescent="0.25">
      <c r="AL939" s="6"/>
    </row>
    <row r="940" spans="38:38" x14ac:dyDescent="0.25">
      <c r="AL940" s="6"/>
    </row>
    <row r="941" spans="38:38" x14ac:dyDescent="0.25">
      <c r="AL941" s="6"/>
    </row>
    <row r="942" spans="38:38" x14ac:dyDescent="0.25">
      <c r="AL942" s="6"/>
    </row>
    <row r="943" spans="38:38" x14ac:dyDescent="0.25">
      <c r="AL943" s="6"/>
    </row>
    <row r="944" spans="38:38" x14ac:dyDescent="0.25">
      <c r="AL944" s="6"/>
    </row>
    <row r="945" spans="38:38" x14ac:dyDescent="0.25">
      <c r="AL945" s="6"/>
    </row>
    <row r="946" spans="38:38" x14ac:dyDescent="0.25">
      <c r="AL946" s="6"/>
    </row>
    <row r="947" spans="38:38" x14ac:dyDescent="0.25">
      <c r="AL947" s="6"/>
    </row>
    <row r="948" spans="38:38" x14ac:dyDescent="0.25">
      <c r="AL948" s="6"/>
    </row>
    <row r="949" spans="38:38" x14ac:dyDescent="0.25">
      <c r="AL949" s="6"/>
    </row>
    <row r="950" spans="38:38" x14ac:dyDescent="0.25">
      <c r="AL950" s="6"/>
    </row>
    <row r="951" spans="38:38" x14ac:dyDescent="0.25">
      <c r="AL951" s="6"/>
    </row>
    <row r="952" spans="38:38" x14ac:dyDescent="0.25">
      <c r="AL952" s="6"/>
    </row>
    <row r="953" spans="38:38" x14ac:dyDescent="0.25">
      <c r="AL953" s="6"/>
    </row>
    <row r="954" spans="38:38" x14ac:dyDescent="0.25">
      <c r="AL954" s="6"/>
    </row>
    <row r="955" spans="38:38" x14ac:dyDescent="0.25">
      <c r="AL955" s="6"/>
    </row>
    <row r="956" spans="38:38" x14ac:dyDescent="0.25">
      <c r="AL956" s="6"/>
    </row>
    <row r="957" spans="38:38" x14ac:dyDescent="0.25">
      <c r="AL957" s="6"/>
    </row>
    <row r="958" spans="38:38" x14ac:dyDescent="0.25">
      <c r="AL958" s="6"/>
    </row>
    <row r="959" spans="38:38" x14ac:dyDescent="0.25">
      <c r="AL959" s="6"/>
    </row>
    <row r="960" spans="38:38" x14ac:dyDescent="0.25">
      <c r="AL960" s="6"/>
    </row>
    <row r="961" spans="38:38" x14ac:dyDescent="0.25">
      <c r="AL961" s="6"/>
    </row>
    <row r="962" spans="38:38" x14ac:dyDescent="0.25">
      <c r="AL962" s="6"/>
    </row>
    <row r="963" spans="38:38" x14ac:dyDescent="0.25">
      <c r="AL963" s="6"/>
    </row>
    <row r="964" spans="38:38" x14ac:dyDescent="0.25">
      <c r="AL964" s="6"/>
    </row>
    <row r="965" spans="38:38" x14ac:dyDescent="0.25">
      <c r="AL965" s="6"/>
    </row>
    <row r="966" spans="38:38" x14ac:dyDescent="0.25">
      <c r="AL966" s="6"/>
    </row>
    <row r="967" spans="38:38" x14ac:dyDescent="0.25">
      <c r="AL967" s="6"/>
    </row>
    <row r="968" spans="38:38" x14ac:dyDescent="0.25">
      <c r="AL968" s="6"/>
    </row>
    <row r="969" spans="38:38" x14ac:dyDescent="0.25">
      <c r="AL969" s="6"/>
    </row>
    <row r="970" spans="38:38" x14ac:dyDescent="0.25">
      <c r="AL970" s="6"/>
    </row>
    <row r="971" spans="38:38" x14ac:dyDescent="0.25">
      <c r="AL971" s="6"/>
    </row>
    <row r="972" spans="38:38" x14ac:dyDescent="0.25">
      <c r="AL972" s="6"/>
    </row>
    <row r="973" spans="38:38" x14ac:dyDescent="0.25">
      <c r="AL973" s="6"/>
    </row>
    <row r="974" spans="38:38" x14ac:dyDescent="0.25">
      <c r="AL974" s="6"/>
    </row>
    <row r="975" spans="38:38" x14ac:dyDescent="0.25">
      <c r="AL975" s="6"/>
    </row>
    <row r="976" spans="38:38" x14ac:dyDescent="0.25">
      <c r="AL976" s="6"/>
    </row>
    <row r="977" spans="38:38" x14ac:dyDescent="0.25">
      <c r="AL977" s="6"/>
    </row>
    <row r="978" spans="38:38" x14ac:dyDescent="0.25">
      <c r="AL978" s="6"/>
    </row>
    <row r="979" spans="38:38" x14ac:dyDescent="0.25">
      <c r="AL979" s="6"/>
    </row>
    <row r="980" spans="38:38" x14ac:dyDescent="0.25">
      <c r="AL980" s="6"/>
    </row>
    <row r="981" spans="38:38" x14ac:dyDescent="0.25">
      <c r="AL981" s="6"/>
    </row>
    <row r="982" spans="38:38" x14ac:dyDescent="0.25">
      <c r="AL982" s="6"/>
    </row>
    <row r="983" spans="38:38" x14ac:dyDescent="0.25">
      <c r="AL983" s="6"/>
    </row>
    <row r="984" spans="38:38" x14ac:dyDescent="0.25">
      <c r="AL984" s="6"/>
    </row>
    <row r="985" spans="38:38" x14ac:dyDescent="0.25">
      <c r="AL985" s="6"/>
    </row>
    <row r="986" spans="38:38" x14ac:dyDescent="0.25">
      <c r="AL986" s="6"/>
    </row>
    <row r="987" spans="38:38" x14ac:dyDescent="0.25">
      <c r="AL987" s="6"/>
    </row>
    <row r="988" spans="38:38" x14ac:dyDescent="0.25">
      <c r="AL988" s="6"/>
    </row>
    <row r="989" spans="38:38" x14ac:dyDescent="0.25">
      <c r="AL989" s="6"/>
    </row>
    <row r="990" spans="38:38" x14ac:dyDescent="0.25">
      <c r="AL990" s="6"/>
    </row>
    <row r="991" spans="38:38" x14ac:dyDescent="0.25">
      <c r="AL991" s="6"/>
    </row>
    <row r="992" spans="38:38" x14ac:dyDescent="0.25">
      <c r="AL992" s="6"/>
    </row>
    <row r="993" spans="38:38" x14ac:dyDescent="0.25">
      <c r="AL993" s="6"/>
    </row>
    <row r="994" spans="38:38" x14ac:dyDescent="0.25">
      <c r="AL994" s="6"/>
    </row>
    <row r="995" spans="38:38" x14ac:dyDescent="0.25">
      <c r="AL995" s="6"/>
    </row>
    <row r="996" spans="38:38" x14ac:dyDescent="0.25">
      <c r="AL996" s="6"/>
    </row>
    <row r="997" spans="38:38" x14ac:dyDescent="0.25">
      <c r="AL997" s="6"/>
    </row>
    <row r="998" spans="38:38" x14ac:dyDescent="0.25">
      <c r="AL998" s="6"/>
    </row>
    <row r="999" spans="38:38" x14ac:dyDescent="0.25">
      <c r="AL999" s="6"/>
    </row>
    <row r="1000" spans="38:38" x14ac:dyDescent="0.25">
      <c r="AL1000" s="6"/>
    </row>
    <row r="1001" spans="38:38" x14ac:dyDescent="0.25">
      <c r="AL1001" s="6"/>
    </row>
    <row r="1002" spans="38:38" x14ac:dyDescent="0.25">
      <c r="AL1002" s="6"/>
    </row>
    <row r="1003" spans="38:38" x14ac:dyDescent="0.25">
      <c r="AL1003" s="6"/>
    </row>
    <row r="1004" spans="38:38" x14ac:dyDescent="0.25">
      <c r="AL1004" s="6"/>
    </row>
    <row r="1005" spans="38:38" x14ac:dyDescent="0.25">
      <c r="AL1005" s="6"/>
    </row>
    <row r="1006" spans="38:38" x14ac:dyDescent="0.25">
      <c r="AL1006" s="6"/>
    </row>
    <row r="1007" spans="38:38" x14ac:dyDescent="0.25">
      <c r="AL1007" s="6"/>
    </row>
    <row r="1008" spans="38:38" x14ac:dyDescent="0.25">
      <c r="AL1008" s="6"/>
    </row>
    <row r="1009" spans="38:38" x14ac:dyDescent="0.25">
      <c r="AL1009" s="6"/>
    </row>
    <row r="1010" spans="38:38" x14ac:dyDescent="0.25">
      <c r="AL1010" s="6"/>
    </row>
    <row r="1011" spans="38:38" x14ac:dyDescent="0.25">
      <c r="AL1011" s="6"/>
    </row>
    <row r="1012" spans="38:38" x14ac:dyDescent="0.25">
      <c r="AL1012" s="6"/>
    </row>
    <row r="1013" spans="38:38" x14ac:dyDescent="0.25">
      <c r="AL1013" s="6"/>
    </row>
    <row r="1014" spans="38:38" x14ac:dyDescent="0.25">
      <c r="AL1014" s="6"/>
    </row>
    <row r="1015" spans="38:38" x14ac:dyDescent="0.25">
      <c r="AL1015" s="6"/>
    </row>
    <row r="1016" spans="38:38" x14ac:dyDescent="0.25">
      <c r="AL1016" s="6"/>
    </row>
    <row r="1017" spans="38:38" x14ac:dyDescent="0.25">
      <c r="AL1017" s="6"/>
    </row>
    <row r="1018" spans="38:38" x14ac:dyDescent="0.25">
      <c r="AL1018" s="6"/>
    </row>
    <row r="1019" spans="38:38" x14ac:dyDescent="0.25">
      <c r="AL1019" s="6"/>
    </row>
    <row r="1020" spans="38:38" x14ac:dyDescent="0.25">
      <c r="AL1020" s="6"/>
    </row>
    <row r="1021" spans="38:38" x14ac:dyDescent="0.25">
      <c r="AL1021" s="6"/>
    </row>
    <row r="1022" spans="38:38" x14ac:dyDescent="0.25">
      <c r="AL1022" s="6"/>
    </row>
    <row r="1023" spans="38:38" x14ac:dyDescent="0.25">
      <c r="AL1023" s="6"/>
    </row>
    <row r="1024" spans="38:38" x14ac:dyDescent="0.25">
      <c r="AL1024" s="6"/>
    </row>
    <row r="1025" spans="38:38" x14ac:dyDescent="0.25">
      <c r="AL1025" s="6"/>
    </row>
    <row r="1026" spans="38:38" x14ac:dyDescent="0.25">
      <c r="AL1026" s="6"/>
    </row>
    <row r="1027" spans="38:38" x14ac:dyDescent="0.25">
      <c r="AL1027" s="6"/>
    </row>
    <row r="1028" spans="38:38" x14ac:dyDescent="0.25">
      <c r="AL1028" s="6"/>
    </row>
    <row r="1029" spans="38:38" x14ac:dyDescent="0.25">
      <c r="AL1029" s="6"/>
    </row>
    <row r="1030" spans="38:38" x14ac:dyDescent="0.25">
      <c r="AL1030" s="6"/>
    </row>
    <row r="1031" spans="38:38" x14ac:dyDescent="0.25">
      <c r="AL1031" s="6"/>
    </row>
    <row r="1032" spans="38:38" x14ac:dyDescent="0.25">
      <c r="AL1032" s="6"/>
    </row>
    <row r="1033" spans="38:38" x14ac:dyDescent="0.25">
      <c r="AL1033" s="6"/>
    </row>
    <row r="1034" spans="38:38" x14ac:dyDescent="0.25">
      <c r="AL1034" s="6"/>
    </row>
    <row r="1035" spans="38:38" x14ac:dyDescent="0.25">
      <c r="AL1035" s="6"/>
    </row>
    <row r="1036" spans="38:38" x14ac:dyDescent="0.25">
      <c r="AL1036" s="6"/>
    </row>
    <row r="1037" spans="38:38" x14ac:dyDescent="0.25">
      <c r="AL1037" s="6"/>
    </row>
    <row r="1038" spans="38:38" x14ac:dyDescent="0.25">
      <c r="AL1038" s="6"/>
    </row>
    <row r="1039" spans="38:38" x14ac:dyDescent="0.25">
      <c r="AL1039" s="6"/>
    </row>
    <row r="1040" spans="38:38" x14ac:dyDescent="0.25">
      <c r="AL1040" s="6"/>
    </row>
    <row r="1041" spans="38:38" x14ac:dyDescent="0.25">
      <c r="AL1041" s="6"/>
    </row>
    <row r="1042" spans="38:38" x14ac:dyDescent="0.25">
      <c r="AL1042" s="6"/>
    </row>
    <row r="1043" spans="38:38" x14ac:dyDescent="0.25">
      <c r="AL1043" s="6"/>
    </row>
    <row r="1044" spans="38:38" x14ac:dyDescent="0.25">
      <c r="AL1044" s="6"/>
    </row>
    <row r="1045" spans="38:38" x14ac:dyDescent="0.25">
      <c r="AL1045" s="6"/>
    </row>
    <row r="1046" spans="38:38" x14ac:dyDescent="0.25">
      <c r="AL1046" s="6"/>
    </row>
    <row r="1047" spans="38:38" x14ac:dyDescent="0.25">
      <c r="AL1047" s="6"/>
    </row>
    <row r="1048" spans="38:38" x14ac:dyDescent="0.25">
      <c r="AL1048" s="6"/>
    </row>
    <row r="1049" spans="38:38" x14ac:dyDescent="0.25">
      <c r="AL1049" s="6"/>
    </row>
    <row r="1050" spans="38:38" x14ac:dyDescent="0.25">
      <c r="AL1050" s="6"/>
    </row>
    <row r="1051" spans="38:38" x14ac:dyDescent="0.25">
      <c r="AL1051" s="6"/>
    </row>
    <row r="1052" spans="38:38" x14ac:dyDescent="0.25">
      <c r="AL1052" s="6"/>
    </row>
    <row r="1053" spans="38:38" x14ac:dyDescent="0.25">
      <c r="AL1053" s="6"/>
    </row>
    <row r="1054" spans="38:38" x14ac:dyDescent="0.25">
      <c r="AL1054" s="6"/>
    </row>
    <row r="1055" spans="38:38" x14ac:dyDescent="0.25">
      <c r="AL1055" s="6"/>
    </row>
    <row r="1056" spans="38:38" x14ac:dyDescent="0.25">
      <c r="AL1056" s="6"/>
    </row>
    <row r="1057" spans="38:38" x14ac:dyDescent="0.25">
      <c r="AL1057" s="6"/>
    </row>
    <row r="1058" spans="38:38" x14ac:dyDescent="0.25">
      <c r="AL1058" s="6"/>
    </row>
    <row r="1059" spans="38:38" x14ac:dyDescent="0.25">
      <c r="AL1059" s="6"/>
    </row>
    <row r="1060" spans="38:38" x14ac:dyDescent="0.25">
      <c r="AL1060" s="6"/>
    </row>
    <row r="1061" spans="38:38" x14ac:dyDescent="0.25">
      <c r="AL1061" s="6"/>
    </row>
    <row r="1062" spans="38:38" x14ac:dyDescent="0.25">
      <c r="AL1062" s="6"/>
    </row>
    <row r="1063" spans="38:38" x14ac:dyDescent="0.25">
      <c r="AL1063" s="6"/>
    </row>
    <row r="1064" spans="38:38" x14ac:dyDescent="0.25">
      <c r="AL1064" s="6"/>
    </row>
    <row r="1065" spans="38:38" x14ac:dyDescent="0.25">
      <c r="AL1065" s="6"/>
    </row>
    <row r="1066" spans="38:38" x14ac:dyDescent="0.25">
      <c r="AL1066" s="6"/>
    </row>
    <row r="1067" spans="38:38" x14ac:dyDescent="0.25">
      <c r="AL1067" s="6"/>
    </row>
    <row r="1068" spans="38:38" x14ac:dyDescent="0.25">
      <c r="AL1068" s="6"/>
    </row>
    <row r="1069" spans="38:38" x14ac:dyDescent="0.25">
      <c r="AL1069" s="6"/>
    </row>
    <row r="1070" spans="38:38" x14ac:dyDescent="0.25">
      <c r="AL1070" s="6"/>
    </row>
    <row r="1071" spans="38:38" x14ac:dyDescent="0.25">
      <c r="AL1071" s="6"/>
    </row>
    <row r="1072" spans="38:38" x14ac:dyDescent="0.25">
      <c r="AL1072" s="6"/>
    </row>
    <row r="1073" spans="38:38" x14ac:dyDescent="0.25">
      <c r="AL1073" s="6"/>
    </row>
    <row r="1074" spans="38:38" x14ac:dyDescent="0.25">
      <c r="AL1074" s="6"/>
    </row>
    <row r="1075" spans="38:38" x14ac:dyDescent="0.25">
      <c r="AL1075" s="6"/>
    </row>
    <row r="1076" spans="38:38" x14ac:dyDescent="0.25">
      <c r="AL1076" s="6"/>
    </row>
    <row r="1077" spans="38:38" x14ac:dyDescent="0.25">
      <c r="AL1077" s="6"/>
    </row>
    <row r="1078" spans="38:38" x14ac:dyDescent="0.25">
      <c r="AL1078" s="6"/>
    </row>
    <row r="1079" spans="38:38" x14ac:dyDescent="0.25">
      <c r="AL1079" s="6"/>
    </row>
    <row r="1080" spans="38:38" x14ac:dyDescent="0.25">
      <c r="AL1080" s="6"/>
    </row>
    <row r="1081" spans="38:38" x14ac:dyDescent="0.25">
      <c r="AL1081" s="6"/>
    </row>
    <row r="1082" spans="38:38" x14ac:dyDescent="0.25">
      <c r="AL1082" s="6"/>
    </row>
    <row r="1083" spans="38:38" x14ac:dyDescent="0.25">
      <c r="AL1083" s="6"/>
    </row>
    <row r="1084" spans="38:38" x14ac:dyDescent="0.25">
      <c r="AL1084" s="6"/>
    </row>
    <row r="1085" spans="38:38" x14ac:dyDescent="0.25">
      <c r="AL1085" s="6"/>
    </row>
    <row r="1086" spans="38:38" x14ac:dyDescent="0.25">
      <c r="AL1086" s="6"/>
    </row>
    <row r="1087" spans="38:38" x14ac:dyDescent="0.25">
      <c r="AL1087" s="6"/>
    </row>
    <row r="1088" spans="38:38" x14ac:dyDescent="0.25">
      <c r="AL1088" s="6"/>
    </row>
    <row r="1089" spans="38:38" x14ac:dyDescent="0.25">
      <c r="AL1089" s="6"/>
    </row>
    <row r="1090" spans="38:38" x14ac:dyDescent="0.25">
      <c r="AL1090" s="6"/>
    </row>
    <row r="1091" spans="38:38" x14ac:dyDescent="0.25">
      <c r="AL1091" s="6"/>
    </row>
    <row r="1092" spans="38:38" x14ac:dyDescent="0.25">
      <c r="AL1092" s="6"/>
    </row>
    <row r="1093" spans="38:38" x14ac:dyDescent="0.25">
      <c r="AL1093" s="6"/>
    </row>
    <row r="1094" spans="38:38" x14ac:dyDescent="0.25">
      <c r="AL1094" s="6"/>
    </row>
    <row r="1095" spans="38:38" x14ac:dyDescent="0.25">
      <c r="AL1095" s="6"/>
    </row>
    <row r="1096" spans="38:38" x14ac:dyDescent="0.25">
      <c r="AL1096" s="6"/>
    </row>
    <row r="1097" spans="38:38" x14ac:dyDescent="0.25">
      <c r="AL1097" s="6"/>
    </row>
    <row r="1098" spans="38:38" x14ac:dyDescent="0.25">
      <c r="AL1098" s="6"/>
    </row>
    <row r="1099" spans="38:38" x14ac:dyDescent="0.25">
      <c r="AL1099" s="6"/>
    </row>
    <row r="1100" spans="38:38" x14ac:dyDescent="0.25">
      <c r="AL1100" s="6"/>
    </row>
    <row r="1101" spans="38:38" x14ac:dyDescent="0.25">
      <c r="AL1101" s="6"/>
    </row>
    <row r="1102" spans="38:38" x14ac:dyDescent="0.25">
      <c r="AL1102" s="6"/>
    </row>
    <row r="1103" spans="38:38" x14ac:dyDescent="0.25">
      <c r="AL1103" s="6"/>
    </row>
    <row r="1104" spans="38:38" x14ac:dyDescent="0.25">
      <c r="AL1104" s="6"/>
    </row>
    <row r="1105" spans="38:38" x14ac:dyDescent="0.25">
      <c r="AL1105" s="6"/>
    </row>
    <row r="1106" spans="38:38" x14ac:dyDescent="0.25">
      <c r="AL1106" s="6"/>
    </row>
    <row r="1107" spans="38:38" x14ac:dyDescent="0.25">
      <c r="AL1107" s="6"/>
    </row>
    <row r="1108" spans="38:38" x14ac:dyDescent="0.25">
      <c r="AL1108" s="6"/>
    </row>
    <row r="1109" spans="38:38" x14ac:dyDescent="0.25">
      <c r="AL1109" s="6"/>
    </row>
    <row r="1110" spans="38:38" x14ac:dyDescent="0.25">
      <c r="AL1110" s="6"/>
    </row>
    <row r="1111" spans="38:38" x14ac:dyDescent="0.25">
      <c r="AL1111" s="6"/>
    </row>
    <row r="1112" spans="38:38" x14ac:dyDescent="0.25">
      <c r="AL1112" s="6"/>
    </row>
    <row r="1113" spans="38:38" x14ac:dyDescent="0.25">
      <c r="AL1113" s="6"/>
    </row>
    <row r="1114" spans="38:38" x14ac:dyDescent="0.25">
      <c r="AL1114" s="6"/>
    </row>
    <row r="1115" spans="38:38" x14ac:dyDescent="0.25">
      <c r="AL1115" s="6"/>
    </row>
    <row r="1116" spans="38:38" x14ac:dyDescent="0.25">
      <c r="AL1116" s="6"/>
    </row>
    <row r="1117" spans="38:38" x14ac:dyDescent="0.25">
      <c r="AL1117" s="6"/>
    </row>
    <row r="1118" spans="38:38" x14ac:dyDescent="0.25">
      <c r="AL1118" s="6"/>
    </row>
    <row r="1119" spans="38:38" x14ac:dyDescent="0.25">
      <c r="AL1119" s="6"/>
    </row>
    <row r="1120" spans="38:38" x14ac:dyDescent="0.25">
      <c r="AL1120" s="6"/>
    </row>
    <row r="1121" spans="38:38" x14ac:dyDescent="0.25">
      <c r="AL1121" s="6"/>
    </row>
    <row r="1122" spans="38:38" x14ac:dyDescent="0.25">
      <c r="AL1122" s="6"/>
    </row>
    <row r="1123" spans="38:38" x14ac:dyDescent="0.25">
      <c r="AL1123" s="6"/>
    </row>
    <row r="1124" spans="38:38" x14ac:dyDescent="0.25">
      <c r="AL1124" s="6"/>
    </row>
    <row r="1125" spans="38:38" x14ac:dyDescent="0.25">
      <c r="AL1125" s="6"/>
    </row>
    <row r="1126" spans="38:38" x14ac:dyDescent="0.25">
      <c r="AL1126" s="6"/>
    </row>
    <row r="1127" spans="38:38" x14ac:dyDescent="0.25">
      <c r="AL1127" s="6"/>
    </row>
    <row r="1128" spans="38:38" x14ac:dyDescent="0.25">
      <c r="AL1128" s="6"/>
    </row>
    <row r="1129" spans="38:38" x14ac:dyDescent="0.25">
      <c r="AL1129" s="6"/>
    </row>
    <row r="1130" spans="38:38" x14ac:dyDescent="0.25">
      <c r="AL1130" s="6"/>
    </row>
    <row r="1131" spans="38:38" x14ac:dyDescent="0.25">
      <c r="AL1131" s="6"/>
    </row>
    <row r="1132" spans="38:38" x14ac:dyDescent="0.25">
      <c r="AL1132" s="6"/>
    </row>
    <row r="1133" spans="38:38" x14ac:dyDescent="0.25">
      <c r="AL1133" s="6"/>
    </row>
    <row r="1134" spans="38:38" x14ac:dyDescent="0.25">
      <c r="AL1134" s="6"/>
    </row>
    <row r="1135" spans="38:38" x14ac:dyDescent="0.25">
      <c r="AL1135" s="6"/>
    </row>
    <row r="1136" spans="38:38" x14ac:dyDescent="0.25">
      <c r="AL1136" s="6"/>
    </row>
    <row r="1137" spans="38:38" x14ac:dyDescent="0.25">
      <c r="AL1137" s="6"/>
    </row>
    <row r="1138" spans="38:38" x14ac:dyDescent="0.25">
      <c r="AL1138" s="6"/>
    </row>
    <row r="1139" spans="38:38" x14ac:dyDescent="0.25">
      <c r="AL1139" s="6"/>
    </row>
    <row r="1140" spans="38:38" x14ac:dyDescent="0.25">
      <c r="AL1140" s="6"/>
    </row>
    <row r="1141" spans="38:38" x14ac:dyDescent="0.25">
      <c r="AL1141" s="6"/>
    </row>
    <row r="1142" spans="38:38" x14ac:dyDescent="0.25">
      <c r="AL1142" s="6"/>
    </row>
    <row r="1143" spans="38:38" x14ac:dyDescent="0.25">
      <c r="AL1143" s="6"/>
    </row>
    <row r="1144" spans="38:38" x14ac:dyDescent="0.25">
      <c r="AL1144" s="6"/>
    </row>
    <row r="1145" spans="38:38" x14ac:dyDescent="0.25">
      <c r="AL1145" s="6"/>
    </row>
    <row r="1146" spans="38:38" x14ac:dyDescent="0.25">
      <c r="AL1146" s="6"/>
    </row>
    <row r="1147" spans="38:38" x14ac:dyDescent="0.25">
      <c r="AL1147" s="6"/>
    </row>
    <row r="1148" spans="38:38" x14ac:dyDescent="0.25">
      <c r="AL1148" s="6"/>
    </row>
    <row r="1149" spans="38:38" x14ac:dyDescent="0.25">
      <c r="AL1149" s="6"/>
    </row>
    <row r="1150" spans="38:38" x14ac:dyDescent="0.25">
      <c r="AL1150" s="6"/>
    </row>
    <row r="1151" spans="38:38" x14ac:dyDescent="0.25">
      <c r="AL1151" s="6"/>
    </row>
    <row r="1152" spans="38:38" x14ac:dyDescent="0.25">
      <c r="AL1152" s="6"/>
    </row>
    <row r="1153" spans="38:38" x14ac:dyDescent="0.25">
      <c r="AL1153" s="6"/>
    </row>
    <row r="1154" spans="38:38" x14ac:dyDescent="0.25">
      <c r="AL1154" s="6"/>
    </row>
    <row r="1155" spans="38:38" x14ac:dyDescent="0.25">
      <c r="AL1155" s="6"/>
    </row>
    <row r="1156" spans="38:38" x14ac:dyDescent="0.25">
      <c r="AL1156" s="6"/>
    </row>
    <row r="1157" spans="38:38" x14ac:dyDescent="0.25">
      <c r="AL1157" s="6"/>
    </row>
    <row r="1158" spans="38:38" x14ac:dyDescent="0.25">
      <c r="AL1158" s="6"/>
    </row>
    <row r="1159" spans="38:38" x14ac:dyDescent="0.25">
      <c r="AL1159" s="6"/>
    </row>
    <row r="1160" spans="38:38" x14ac:dyDescent="0.25">
      <c r="AL1160" s="6"/>
    </row>
    <row r="1161" spans="38:38" x14ac:dyDescent="0.25">
      <c r="AL1161" s="6"/>
    </row>
    <row r="1162" spans="38:38" x14ac:dyDescent="0.25">
      <c r="AL1162" s="6"/>
    </row>
    <row r="1163" spans="38:38" x14ac:dyDescent="0.25">
      <c r="AL1163" s="6"/>
    </row>
    <row r="1164" spans="38:38" x14ac:dyDescent="0.25">
      <c r="AL1164" s="6"/>
    </row>
    <row r="1165" spans="38:38" x14ac:dyDescent="0.25">
      <c r="AL1165" s="6"/>
    </row>
    <row r="1166" spans="38:38" x14ac:dyDescent="0.25">
      <c r="AL1166" s="6"/>
    </row>
    <row r="1167" spans="38:38" x14ac:dyDescent="0.25">
      <c r="AL1167" s="6"/>
    </row>
    <row r="1168" spans="38:38" x14ac:dyDescent="0.25">
      <c r="AL1168" s="6"/>
    </row>
    <row r="1169" spans="38:38" x14ac:dyDescent="0.25">
      <c r="AL1169" s="6"/>
    </row>
    <row r="1170" spans="38:38" x14ac:dyDescent="0.25">
      <c r="AL1170" s="6"/>
    </row>
    <row r="1171" spans="38:38" x14ac:dyDescent="0.25">
      <c r="AL1171" s="6"/>
    </row>
    <row r="1172" spans="38:38" x14ac:dyDescent="0.25">
      <c r="AL1172" s="6"/>
    </row>
    <row r="1173" spans="38:38" x14ac:dyDescent="0.25">
      <c r="AL1173" s="6"/>
    </row>
    <row r="1174" spans="38:38" x14ac:dyDescent="0.25">
      <c r="AL1174" s="6"/>
    </row>
    <row r="1175" spans="38:38" x14ac:dyDescent="0.25">
      <c r="AL1175" s="6"/>
    </row>
    <row r="1176" spans="38:38" x14ac:dyDescent="0.25">
      <c r="AL1176" s="6"/>
    </row>
    <row r="1177" spans="38:38" x14ac:dyDescent="0.25">
      <c r="AL1177" s="6"/>
    </row>
    <row r="1178" spans="38:38" x14ac:dyDescent="0.25">
      <c r="AL1178" s="6"/>
    </row>
    <row r="1179" spans="38:38" x14ac:dyDescent="0.25">
      <c r="AL1179" s="6"/>
    </row>
    <row r="1180" spans="38:38" x14ac:dyDescent="0.25">
      <c r="AL1180" s="6"/>
    </row>
    <row r="1181" spans="38:38" x14ac:dyDescent="0.25">
      <c r="AL1181" s="6"/>
    </row>
    <row r="1182" spans="38:38" x14ac:dyDescent="0.25">
      <c r="AL1182" s="6"/>
    </row>
    <row r="1183" spans="38:38" x14ac:dyDescent="0.25">
      <c r="AL1183" s="6"/>
    </row>
    <row r="1184" spans="38:38" x14ac:dyDescent="0.25">
      <c r="AL1184" s="6"/>
    </row>
    <row r="1185" spans="38:38" x14ac:dyDescent="0.25">
      <c r="AL1185" s="6"/>
    </row>
    <row r="1186" spans="38:38" x14ac:dyDescent="0.25">
      <c r="AL1186" s="6"/>
    </row>
    <row r="1187" spans="38:38" x14ac:dyDescent="0.25">
      <c r="AL1187" s="6"/>
    </row>
    <row r="1188" spans="38:38" x14ac:dyDescent="0.25">
      <c r="AL1188" s="6"/>
    </row>
    <row r="1189" spans="38:38" x14ac:dyDescent="0.25">
      <c r="AL1189" s="6"/>
    </row>
    <row r="1190" spans="38:38" x14ac:dyDescent="0.25">
      <c r="AL1190" s="6"/>
    </row>
    <row r="1191" spans="38:38" x14ac:dyDescent="0.25">
      <c r="AL1191" s="6"/>
    </row>
    <row r="1192" spans="38:38" x14ac:dyDescent="0.25">
      <c r="AL1192" s="6"/>
    </row>
    <row r="1193" spans="38:38" x14ac:dyDescent="0.25">
      <c r="AL1193" s="6"/>
    </row>
    <row r="1194" spans="38:38" x14ac:dyDescent="0.25">
      <c r="AL1194" s="6"/>
    </row>
    <row r="1195" spans="38:38" x14ac:dyDescent="0.25">
      <c r="AL1195" s="6"/>
    </row>
    <row r="1196" spans="38:38" x14ac:dyDescent="0.25">
      <c r="AL1196" s="6"/>
    </row>
    <row r="1197" spans="38:38" x14ac:dyDescent="0.25">
      <c r="AL1197" s="6"/>
    </row>
    <row r="1198" spans="38:38" x14ac:dyDescent="0.25">
      <c r="AL1198" s="6"/>
    </row>
    <row r="1199" spans="38:38" x14ac:dyDescent="0.25">
      <c r="AL1199" s="6"/>
    </row>
    <row r="1200" spans="38:38" x14ac:dyDescent="0.25">
      <c r="AL1200" s="6"/>
    </row>
    <row r="1201" spans="38:38" x14ac:dyDescent="0.25">
      <c r="AL1201" s="6"/>
    </row>
    <row r="1202" spans="38:38" x14ac:dyDescent="0.25">
      <c r="AL1202" s="6"/>
    </row>
    <row r="1203" spans="38:38" x14ac:dyDescent="0.25">
      <c r="AL1203" s="6"/>
    </row>
    <row r="1204" spans="38:38" x14ac:dyDescent="0.25">
      <c r="AL1204" s="6"/>
    </row>
    <row r="1205" spans="38:38" x14ac:dyDescent="0.25">
      <c r="AL1205" s="6"/>
    </row>
    <row r="1206" spans="38:38" x14ac:dyDescent="0.25">
      <c r="AL1206" s="6"/>
    </row>
    <row r="1207" spans="38:38" x14ac:dyDescent="0.25">
      <c r="AL1207" s="6"/>
    </row>
    <row r="1208" spans="38:38" x14ac:dyDescent="0.25">
      <c r="AL1208" s="6"/>
    </row>
    <row r="1209" spans="38:38" x14ac:dyDescent="0.25">
      <c r="AL1209" s="6"/>
    </row>
    <row r="1210" spans="38:38" x14ac:dyDescent="0.25">
      <c r="AL1210" s="6"/>
    </row>
    <row r="1211" spans="38:38" x14ac:dyDescent="0.25">
      <c r="AL1211" s="6"/>
    </row>
    <row r="1212" spans="38:38" x14ac:dyDescent="0.25">
      <c r="AL1212" s="6"/>
    </row>
    <row r="1213" spans="38:38" x14ac:dyDescent="0.25">
      <c r="AL1213" s="6"/>
    </row>
    <row r="1214" spans="38:38" x14ac:dyDescent="0.25">
      <c r="AL1214" s="6"/>
    </row>
    <row r="1215" spans="38:38" x14ac:dyDescent="0.25">
      <c r="AL1215" s="6"/>
    </row>
    <row r="1216" spans="38:38" x14ac:dyDescent="0.25">
      <c r="AL1216" s="6"/>
    </row>
    <row r="1217" spans="38:38" x14ac:dyDescent="0.25">
      <c r="AL1217" s="6"/>
    </row>
    <row r="1218" spans="38:38" x14ac:dyDescent="0.25">
      <c r="AL1218" s="6"/>
    </row>
    <row r="1219" spans="38:38" x14ac:dyDescent="0.25">
      <c r="AL1219" s="6"/>
    </row>
    <row r="1220" spans="38:38" x14ac:dyDescent="0.25">
      <c r="AL1220" s="6"/>
    </row>
    <row r="1221" spans="38:38" x14ac:dyDescent="0.25">
      <c r="AL1221" s="6"/>
    </row>
    <row r="1222" spans="38:38" x14ac:dyDescent="0.25">
      <c r="AL1222" s="6"/>
    </row>
    <row r="1223" spans="38:38" x14ac:dyDescent="0.25">
      <c r="AL1223" s="6"/>
    </row>
    <row r="1224" spans="38:38" x14ac:dyDescent="0.25">
      <c r="AL1224" s="6"/>
    </row>
    <row r="1225" spans="38:38" x14ac:dyDescent="0.25">
      <c r="AL1225" s="6"/>
    </row>
    <row r="1226" spans="38:38" x14ac:dyDescent="0.25">
      <c r="AL1226" s="6"/>
    </row>
    <row r="1227" spans="38:38" x14ac:dyDescent="0.25">
      <c r="AL1227" s="6"/>
    </row>
    <row r="1228" spans="38:38" x14ac:dyDescent="0.25">
      <c r="AL1228" s="6"/>
    </row>
    <row r="1229" spans="38:38" x14ac:dyDescent="0.25">
      <c r="AL1229" s="6"/>
    </row>
    <row r="1230" spans="38:38" x14ac:dyDescent="0.25">
      <c r="AL1230" s="6"/>
    </row>
    <row r="1231" spans="38:38" x14ac:dyDescent="0.25">
      <c r="AL1231" s="6"/>
    </row>
    <row r="1232" spans="38:38" x14ac:dyDescent="0.25">
      <c r="AL1232" s="6"/>
    </row>
    <row r="1233" spans="38:38" x14ac:dyDescent="0.25">
      <c r="AL1233" s="6"/>
    </row>
    <row r="1234" spans="38:38" x14ac:dyDescent="0.25">
      <c r="AL1234" s="6"/>
    </row>
    <row r="1235" spans="38:38" x14ac:dyDescent="0.25">
      <c r="AL1235" s="6"/>
    </row>
    <row r="1236" spans="38:38" x14ac:dyDescent="0.25">
      <c r="AL1236" s="6"/>
    </row>
    <row r="1237" spans="38:38" x14ac:dyDescent="0.25">
      <c r="AL1237" s="6"/>
    </row>
    <row r="1238" spans="38:38" x14ac:dyDescent="0.25">
      <c r="AL1238" s="6"/>
    </row>
    <row r="1239" spans="38:38" x14ac:dyDescent="0.25">
      <c r="AL1239" s="6"/>
    </row>
    <row r="1240" spans="38:38" x14ac:dyDescent="0.25">
      <c r="AL1240" s="6"/>
    </row>
    <row r="1241" spans="38:38" x14ac:dyDescent="0.25">
      <c r="AL1241" s="6"/>
    </row>
    <row r="1242" spans="38:38" x14ac:dyDescent="0.25">
      <c r="AL1242" s="6"/>
    </row>
    <row r="1243" spans="38:38" x14ac:dyDescent="0.25">
      <c r="AL1243" s="6"/>
    </row>
    <row r="1244" spans="38:38" x14ac:dyDescent="0.25">
      <c r="AL1244" s="6"/>
    </row>
    <row r="1245" spans="38:38" x14ac:dyDescent="0.25">
      <c r="AL1245" s="6"/>
    </row>
    <row r="1246" spans="38:38" x14ac:dyDescent="0.25">
      <c r="AL1246" s="6"/>
    </row>
    <row r="1247" spans="38:38" x14ac:dyDescent="0.25">
      <c r="AL1247" s="6"/>
    </row>
    <row r="1248" spans="38:38" x14ac:dyDescent="0.25">
      <c r="AL1248" s="6"/>
    </row>
    <row r="1249" spans="38:38" x14ac:dyDescent="0.25">
      <c r="AL1249" s="6"/>
    </row>
    <row r="1250" spans="38:38" x14ac:dyDescent="0.25">
      <c r="AL1250" s="6"/>
    </row>
    <row r="1251" spans="38:38" x14ac:dyDescent="0.25">
      <c r="AL1251" s="6"/>
    </row>
    <row r="1252" spans="38:38" x14ac:dyDescent="0.25">
      <c r="AL1252" s="6"/>
    </row>
    <row r="1253" spans="38:38" x14ac:dyDescent="0.25">
      <c r="AL1253" s="6"/>
    </row>
    <row r="1254" spans="38:38" x14ac:dyDescent="0.25">
      <c r="AL1254" s="6"/>
    </row>
    <row r="1255" spans="38:38" x14ac:dyDescent="0.25">
      <c r="AL1255" s="6"/>
    </row>
    <row r="1256" spans="38:38" x14ac:dyDescent="0.25">
      <c r="AL1256" s="6"/>
    </row>
    <row r="1257" spans="38:38" x14ac:dyDescent="0.25">
      <c r="AL1257" s="6"/>
    </row>
    <row r="1258" spans="38:38" x14ac:dyDescent="0.25">
      <c r="AL1258" s="6"/>
    </row>
    <row r="1259" spans="38:38" x14ac:dyDescent="0.25">
      <c r="AL1259" s="6"/>
    </row>
    <row r="1260" spans="38:38" x14ac:dyDescent="0.25">
      <c r="AL1260" s="6"/>
    </row>
    <row r="1261" spans="38:38" x14ac:dyDescent="0.25">
      <c r="AL1261" s="6"/>
    </row>
    <row r="1262" spans="38:38" x14ac:dyDescent="0.25">
      <c r="AL1262" s="6"/>
    </row>
    <row r="1263" spans="38:38" x14ac:dyDescent="0.25">
      <c r="AL1263" s="6"/>
    </row>
    <row r="1264" spans="38:38" x14ac:dyDescent="0.25">
      <c r="AL1264" s="6"/>
    </row>
    <row r="1265" spans="38:38" x14ac:dyDescent="0.25">
      <c r="AL1265" s="6"/>
    </row>
    <row r="1266" spans="38:38" x14ac:dyDescent="0.25">
      <c r="AL1266" s="6"/>
    </row>
    <row r="1267" spans="38:38" x14ac:dyDescent="0.25">
      <c r="AL1267" s="6"/>
    </row>
    <row r="1268" spans="38:38" x14ac:dyDescent="0.25">
      <c r="AL1268" s="6"/>
    </row>
    <row r="1269" spans="38:38" x14ac:dyDescent="0.25">
      <c r="AL1269" s="6"/>
    </row>
    <row r="1270" spans="38:38" x14ac:dyDescent="0.25">
      <c r="AL1270" s="6"/>
    </row>
    <row r="1271" spans="38:38" x14ac:dyDescent="0.25">
      <c r="AL1271" s="6"/>
    </row>
    <row r="1272" spans="38:38" x14ac:dyDescent="0.25">
      <c r="AL1272" s="6"/>
    </row>
    <row r="1273" spans="38:38" x14ac:dyDescent="0.25">
      <c r="AL1273" s="6"/>
    </row>
    <row r="1274" spans="38:38" x14ac:dyDescent="0.25">
      <c r="AL1274" s="6"/>
    </row>
    <row r="1275" spans="38:38" x14ac:dyDescent="0.25">
      <c r="AL1275" s="6"/>
    </row>
    <row r="1276" spans="38:38" x14ac:dyDescent="0.25">
      <c r="AL1276" s="6"/>
    </row>
    <row r="1277" spans="38:38" x14ac:dyDescent="0.25">
      <c r="AL1277" s="6"/>
    </row>
    <row r="1278" spans="38:38" x14ac:dyDescent="0.25">
      <c r="AL1278" s="6"/>
    </row>
    <row r="1279" spans="38:38" x14ac:dyDescent="0.25">
      <c r="AL1279" s="6"/>
    </row>
    <row r="1280" spans="38:38" x14ac:dyDescent="0.25">
      <c r="AL1280" s="6"/>
    </row>
    <row r="1281" spans="38:38" x14ac:dyDescent="0.25">
      <c r="AL1281" s="6"/>
    </row>
    <row r="1282" spans="38:38" x14ac:dyDescent="0.25">
      <c r="AL1282" s="6"/>
    </row>
    <row r="1283" spans="38:38" x14ac:dyDescent="0.25">
      <c r="AL1283" s="6"/>
    </row>
    <row r="1284" spans="38:38" x14ac:dyDescent="0.25">
      <c r="AL1284" s="6"/>
    </row>
    <row r="1285" spans="38:38" x14ac:dyDescent="0.25">
      <c r="AL1285" s="6"/>
    </row>
    <row r="1286" spans="38:38" x14ac:dyDescent="0.25">
      <c r="AL1286" s="6"/>
    </row>
    <row r="1287" spans="38:38" x14ac:dyDescent="0.25">
      <c r="AL1287" s="6"/>
    </row>
    <row r="1288" spans="38:38" x14ac:dyDescent="0.25">
      <c r="AL1288" s="6"/>
    </row>
    <row r="1289" spans="38:38" x14ac:dyDescent="0.25">
      <c r="AL1289" s="6"/>
    </row>
    <row r="1290" spans="38:38" x14ac:dyDescent="0.25">
      <c r="AL1290" s="6"/>
    </row>
    <row r="1291" spans="38:38" x14ac:dyDescent="0.25">
      <c r="AL1291" s="6"/>
    </row>
    <row r="1292" spans="38:38" x14ac:dyDescent="0.25">
      <c r="AL1292" s="6"/>
    </row>
    <row r="1293" spans="38:38" x14ac:dyDescent="0.25">
      <c r="AL1293" s="6"/>
    </row>
    <row r="1294" spans="38:38" x14ac:dyDescent="0.25">
      <c r="AL1294" s="6"/>
    </row>
    <row r="1295" spans="38:38" x14ac:dyDescent="0.25">
      <c r="AL1295" s="6"/>
    </row>
    <row r="1296" spans="38:38" x14ac:dyDescent="0.25">
      <c r="AL1296" s="6"/>
    </row>
    <row r="1297" spans="38:38" x14ac:dyDescent="0.25">
      <c r="AL1297" s="6"/>
    </row>
    <row r="1298" spans="38:38" x14ac:dyDescent="0.25">
      <c r="AL1298" s="6"/>
    </row>
    <row r="1299" spans="38:38" x14ac:dyDescent="0.25">
      <c r="AL1299" s="6"/>
    </row>
    <row r="1300" spans="38:38" x14ac:dyDescent="0.25">
      <c r="AL1300" s="6"/>
    </row>
    <row r="1301" spans="38:38" x14ac:dyDescent="0.25">
      <c r="AL1301" s="6"/>
    </row>
    <row r="1302" spans="38:38" x14ac:dyDescent="0.25">
      <c r="AL1302" s="6"/>
    </row>
    <row r="1303" spans="38:38" x14ac:dyDescent="0.25">
      <c r="AL1303" s="6"/>
    </row>
    <row r="1304" spans="38:38" x14ac:dyDescent="0.25">
      <c r="AL1304" s="6"/>
    </row>
    <row r="1305" spans="38:38" x14ac:dyDescent="0.25">
      <c r="AL1305" s="6"/>
    </row>
    <row r="1306" spans="38:38" x14ac:dyDescent="0.25">
      <c r="AL1306" s="6"/>
    </row>
    <row r="1307" spans="38:38" x14ac:dyDescent="0.25">
      <c r="AL1307" s="6"/>
    </row>
    <row r="1308" spans="38:38" x14ac:dyDescent="0.25">
      <c r="AL1308" s="6"/>
    </row>
    <row r="1309" spans="38:38" x14ac:dyDescent="0.25">
      <c r="AL1309" s="6"/>
    </row>
    <row r="1310" spans="38:38" x14ac:dyDescent="0.25">
      <c r="AL1310" s="6"/>
    </row>
    <row r="1311" spans="38:38" x14ac:dyDescent="0.25">
      <c r="AL1311" s="6"/>
    </row>
    <row r="1312" spans="38:38" x14ac:dyDescent="0.25">
      <c r="AL1312" s="6"/>
    </row>
    <row r="1313" spans="38:38" x14ac:dyDescent="0.25">
      <c r="AL1313" s="6"/>
    </row>
    <row r="1314" spans="38:38" x14ac:dyDescent="0.25">
      <c r="AL1314" s="6"/>
    </row>
    <row r="1315" spans="38:38" x14ac:dyDescent="0.25">
      <c r="AL1315" s="6"/>
    </row>
    <row r="1316" spans="38:38" x14ac:dyDescent="0.25">
      <c r="AL1316" s="6"/>
    </row>
    <row r="1317" spans="38:38" x14ac:dyDescent="0.25">
      <c r="AL1317" s="6"/>
    </row>
    <row r="1318" spans="38:38" x14ac:dyDescent="0.25">
      <c r="AL1318" s="6"/>
    </row>
    <row r="1319" spans="38:38" x14ac:dyDescent="0.25">
      <c r="AL1319" s="6"/>
    </row>
    <row r="1320" spans="38:38" x14ac:dyDescent="0.25">
      <c r="AL1320" s="6"/>
    </row>
    <row r="1321" spans="38:38" x14ac:dyDescent="0.25">
      <c r="AL1321" s="6"/>
    </row>
    <row r="1322" spans="38:38" x14ac:dyDescent="0.25">
      <c r="AL1322" s="6"/>
    </row>
    <row r="1323" spans="38:38" x14ac:dyDescent="0.25">
      <c r="AL1323" s="6"/>
    </row>
    <row r="1324" spans="38:38" x14ac:dyDescent="0.25">
      <c r="AL1324" s="6"/>
    </row>
    <row r="1325" spans="38:38" x14ac:dyDescent="0.25">
      <c r="AL1325" s="6"/>
    </row>
    <row r="1326" spans="38:38" x14ac:dyDescent="0.25">
      <c r="AL1326" s="6"/>
    </row>
    <row r="1327" spans="38:38" x14ac:dyDescent="0.25">
      <c r="AL1327" s="6"/>
    </row>
    <row r="1328" spans="38:38" x14ac:dyDescent="0.25">
      <c r="AL1328" s="6"/>
    </row>
    <row r="1329" spans="38:38" x14ac:dyDescent="0.25">
      <c r="AL1329" s="6"/>
    </row>
    <row r="1330" spans="38:38" x14ac:dyDescent="0.25">
      <c r="AL1330" s="6"/>
    </row>
    <row r="1331" spans="38:38" x14ac:dyDescent="0.25">
      <c r="AL1331" s="6"/>
    </row>
    <row r="1332" spans="38:38" x14ac:dyDescent="0.25">
      <c r="AL1332" s="6"/>
    </row>
    <row r="1333" spans="38:38" x14ac:dyDescent="0.25">
      <c r="AL1333" s="6"/>
    </row>
    <row r="1334" spans="38:38" x14ac:dyDescent="0.25">
      <c r="AL1334" s="6"/>
    </row>
    <row r="1335" spans="38:38" x14ac:dyDescent="0.25">
      <c r="AL1335" s="6"/>
    </row>
    <row r="1336" spans="38:38" x14ac:dyDescent="0.25">
      <c r="AL1336" s="6"/>
    </row>
    <row r="1337" spans="38:38" x14ac:dyDescent="0.25">
      <c r="AL1337" s="6"/>
    </row>
    <row r="1338" spans="38:38" x14ac:dyDescent="0.25">
      <c r="AL1338" s="6"/>
    </row>
    <row r="1339" spans="38:38" x14ac:dyDescent="0.25">
      <c r="AL1339" s="6"/>
    </row>
    <row r="1340" spans="38:38" x14ac:dyDescent="0.25">
      <c r="AL1340" s="6"/>
    </row>
    <row r="1341" spans="38:38" x14ac:dyDescent="0.25">
      <c r="AL1341" s="6"/>
    </row>
    <row r="1342" spans="38:38" x14ac:dyDescent="0.25">
      <c r="AL1342" s="6"/>
    </row>
    <row r="1343" spans="38:38" x14ac:dyDescent="0.25">
      <c r="AL1343" s="6"/>
    </row>
    <row r="1344" spans="38:38" x14ac:dyDescent="0.25">
      <c r="AL1344" s="6"/>
    </row>
    <row r="1345" spans="38:38" x14ac:dyDescent="0.25">
      <c r="AL1345" s="6"/>
    </row>
    <row r="1346" spans="38:38" x14ac:dyDescent="0.25">
      <c r="AL1346" s="6"/>
    </row>
    <row r="1347" spans="38:38" x14ac:dyDescent="0.25">
      <c r="AL1347" s="6"/>
    </row>
    <row r="1348" spans="38:38" x14ac:dyDescent="0.25">
      <c r="AL1348" s="6"/>
    </row>
    <row r="1349" spans="38:38" x14ac:dyDescent="0.25">
      <c r="AL1349" s="6"/>
    </row>
    <row r="1350" spans="38:38" x14ac:dyDescent="0.25">
      <c r="AL1350" s="6"/>
    </row>
    <row r="1351" spans="38:38" x14ac:dyDescent="0.25">
      <c r="AL1351" s="6"/>
    </row>
    <row r="1352" spans="38:38" x14ac:dyDescent="0.25">
      <c r="AL1352" s="6"/>
    </row>
    <row r="1353" spans="38:38" x14ac:dyDescent="0.25">
      <c r="AL1353" s="6"/>
    </row>
    <row r="1354" spans="38:38" x14ac:dyDescent="0.25">
      <c r="AL1354" s="6"/>
    </row>
    <row r="1355" spans="38:38" x14ac:dyDescent="0.25">
      <c r="AL1355" s="6"/>
    </row>
    <row r="1356" spans="38:38" x14ac:dyDescent="0.25">
      <c r="AL1356" s="6"/>
    </row>
    <row r="1357" spans="38:38" x14ac:dyDescent="0.25">
      <c r="AL1357" s="6"/>
    </row>
    <row r="1358" spans="38:38" x14ac:dyDescent="0.25">
      <c r="AL1358" s="6"/>
    </row>
    <row r="1359" spans="38:38" x14ac:dyDescent="0.25">
      <c r="AL1359" s="6"/>
    </row>
    <row r="1360" spans="38:38" x14ac:dyDescent="0.25">
      <c r="AL1360" s="6"/>
    </row>
    <row r="1361" spans="38:38" x14ac:dyDescent="0.25">
      <c r="AL1361" s="6"/>
    </row>
    <row r="1362" spans="38:38" x14ac:dyDescent="0.25">
      <c r="AL1362" s="6"/>
    </row>
    <row r="1363" spans="38:38" x14ac:dyDescent="0.25">
      <c r="AL1363" s="6"/>
    </row>
    <row r="1364" spans="38:38" x14ac:dyDescent="0.25">
      <c r="AL1364" s="6"/>
    </row>
    <row r="1365" spans="38:38" x14ac:dyDescent="0.25">
      <c r="AL1365" s="6"/>
    </row>
    <row r="1366" spans="38:38" x14ac:dyDescent="0.25">
      <c r="AL1366" s="6"/>
    </row>
    <row r="1367" spans="38:38" x14ac:dyDescent="0.25">
      <c r="AL1367" s="6"/>
    </row>
    <row r="1368" spans="38:38" x14ac:dyDescent="0.25">
      <c r="AL1368" s="6"/>
    </row>
    <row r="1369" spans="38:38" x14ac:dyDescent="0.25">
      <c r="AL1369" s="6"/>
    </row>
    <row r="1370" spans="38:38" x14ac:dyDescent="0.25">
      <c r="AL1370" s="6"/>
    </row>
    <row r="1371" spans="38:38" x14ac:dyDescent="0.25">
      <c r="AL1371" s="6"/>
    </row>
    <row r="1372" spans="38:38" x14ac:dyDescent="0.25">
      <c r="AL1372" s="6"/>
    </row>
    <row r="1373" spans="38:38" x14ac:dyDescent="0.25">
      <c r="AL1373" s="6"/>
    </row>
    <row r="1374" spans="38:38" x14ac:dyDescent="0.25">
      <c r="AL1374" s="6"/>
    </row>
    <row r="1375" spans="38:38" x14ac:dyDescent="0.25">
      <c r="AL1375" s="6"/>
    </row>
    <row r="1376" spans="38:38" x14ac:dyDescent="0.25">
      <c r="AL1376" s="6"/>
    </row>
    <row r="1377" spans="38:38" x14ac:dyDescent="0.25">
      <c r="AL1377" s="6"/>
    </row>
    <row r="1378" spans="38:38" x14ac:dyDescent="0.25">
      <c r="AL1378" s="6"/>
    </row>
    <row r="1379" spans="38:38" x14ac:dyDescent="0.25">
      <c r="AL1379" s="6"/>
    </row>
    <row r="1380" spans="38:38" x14ac:dyDescent="0.25">
      <c r="AL1380" s="6"/>
    </row>
    <row r="1381" spans="38:38" x14ac:dyDescent="0.25">
      <c r="AL1381" s="6"/>
    </row>
    <row r="1382" spans="38:38" x14ac:dyDescent="0.25">
      <c r="AL1382" s="6"/>
    </row>
    <row r="1383" spans="38:38" x14ac:dyDescent="0.25">
      <c r="AL1383" s="6"/>
    </row>
    <row r="1384" spans="38:38" x14ac:dyDescent="0.25">
      <c r="AL1384" s="6"/>
    </row>
    <row r="1385" spans="38:38" x14ac:dyDescent="0.25">
      <c r="AL1385" s="6"/>
    </row>
    <row r="1386" spans="38:38" x14ac:dyDescent="0.25">
      <c r="AL1386" s="6"/>
    </row>
    <row r="1387" spans="38:38" x14ac:dyDescent="0.25">
      <c r="AL1387" s="6"/>
    </row>
    <row r="1388" spans="38:38" x14ac:dyDescent="0.25">
      <c r="AL1388" s="6"/>
    </row>
    <row r="1389" spans="38:38" x14ac:dyDescent="0.25">
      <c r="AL1389" s="6"/>
    </row>
    <row r="1390" spans="38:38" x14ac:dyDescent="0.25">
      <c r="AL1390" s="6"/>
    </row>
    <row r="1391" spans="38:38" x14ac:dyDescent="0.25">
      <c r="AL1391" s="6"/>
    </row>
    <row r="1392" spans="38:38" x14ac:dyDescent="0.25">
      <c r="AL1392" s="6"/>
    </row>
    <row r="1393" spans="38:38" x14ac:dyDescent="0.25">
      <c r="AL1393" s="6"/>
    </row>
    <row r="1394" spans="38:38" x14ac:dyDescent="0.25">
      <c r="AL1394" s="6"/>
    </row>
    <row r="1395" spans="38:38" x14ac:dyDescent="0.25">
      <c r="AL1395" s="6"/>
    </row>
    <row r="1396" spans="38:38" x14ac:dyDescent="0.25">
      <c r="AL1396" s="6"/>
    </row>
    <row r="1397" spans="38:38" x14ac:dyDescent="0.25">
      <c r="AL1397" s="6"/>
    </row>
    <row r="1398" spans="38:38" x14ac:dyDescent="0.25">
      <c r="AL1398" s="6"/>
    </row>
    <row r="1399" spans="38:38" x14ac:dyDescent="0.25">
      <c r="AL1399" s="6"/>
    </row>
    <row r="1400" spans="38:38" x14ac:dyDescent="0.25">
      <c r="AL1400" s="6"/>
    </row>
    <row r="1401" spans="38:38" x14ac:dyDescent="0.25">
      <c r="AL1401" s="6"/>
    </row>
    <row r="1402" spans="38:38" x14ac:dyDescent="0.25">
      <c r="AL1402" s="6"/>
    </row>
    <row r="1403" spans="38:38" x14ac:dyDescent="0.25">
      <c r="AL1403" s="6"/>
    </row>
    <row r="1404" spans="38:38" x14ac:dyDescent="0.25">
      <c r="AL1404" s="6"/>
    </row>
    <row r="1405" spans="38:38" x14ac:dyDescent="0.25">
      <c r="AL1405" s="6"/>
    </row>
    <row r="1406" spans="38:38" x14ac:dyDescent="0.25">
      <c r="AL1406" s="6"/>
    </row>
    <row r="1407" spans="38:38" x14ac:dyDescent="0.25">
      <c r="AL1407" s="6"/>
    </row>
    <row r="1408" spans="38:38" x14ac:dyDescent="0.25">
      <c r="AL1408" s="6"/>
    </row>
    <row r="1409" spans="38:38" x14ac:dyDescent="0.25">
      <c r="AL1409" s="6"/>
    </row>
    <row r="1410" spans="38:38" x14ac:dyDescent="0.25">
      <c r="AL1410" s="6"/>
    </row>
    <row r="1411" spans="38:38" x14ac:dyDescent="0.25">
      <c r="AL1411" s="6"/>
    </row>
    <row r="1412" spans="38:38" x14ac:dyDescent="0.25">
      <c r="AL1412" s="6"/>
    </row>
    <row r="1413" spans="38:38" x14ac:dyDescent="0.25">
      <c r="AL1413" s="6"/>
    </row>
    <row r="1414" spans="38:38" x14ac:dyDescent="0.25">
      <c r="AL1414" s="6"/>
    </row>
    <row r="1415" spans="38:38" x14ac:dyDescent="0.25">
      <c r="AL1415" s="6"/>
    </row>
    <row r="1416" spans="38:38" x14ac:dyDescent="0.25">
      <c r="AL1416" s="6"/>
    </row>
    <row r="1417" spans="38:38" x14ac:dyDescent="0.25">
      <c r="AL1417" s="6"/>
    </row>
    <row r="1418" spans="38:38" x14ac:dyDescent="0.25">
      <c r="AL1418" s="6"/>
    </row>
    <row r="1419" spans="38:38" x14ac:dyDescent="0.25">
      <c r="AL1419" s="6"/>
    </row>
    <row r="1420" spans="38:38" x14ac:dyDescent="0.25">
      <c r="AL1420" s="6"/>
    </row>
    <row r="1421" spans="38:38" x14ac:dyDescent="0.25">
      <c r="AL1421" s="6"/>
    </row>
    <row r="1422" spans="38:38" x14ac:dyDescent="0.25">
      <c r="AL1422" s="6"/>
    </row>
    <row r="1423" spans="38:38" x14ac:dyDescent="0.25">
      <c r="AL1423" s="6"/>
    </row>
    <row r="1424" spans="38:38" x14ac:dyDescent="0.25">
      <c r="AL1424" s="6"/>
    </row>
    <row r="1425" spans="38:38" x14ac:dyDescent="0.25">
      <c r="AL1425" s="6"/>
    </row>
    <row r="1426" spans="38:38" x14ac:dyDescent="0.25">
      <c r="AL1426" s="6"/>
    </row>
    <row r="1427" spans="38:38" x14ac:dyDescent="0.25">
      <c r="AL1427" s="6"/>
    </row>
    <row r="1428" spans="38:38" x14ac:dyDescent="0.25">
      <c r="AL1428" s="6"/>
    </row>
    <row r="1429" spans="38:38" x14ac:dyDescent="0.25">
      <c r="AL1429" s="6"/>
    </row>
    <row r="1430" spans="38:38" x14ac:dyDescent="0.25">
      <c r="AL1430" s="6"/>
    </row>
    <row r="1431" spans="38:38" x14ac:dyDescent="0.25">
      <c r="AL1431" s="6"/>
    </row>
    <row r="1432" spans="38:38" x14ac:dyDescent="0.25">
      <c r="AL1432" s="6"/>
    </row>
    <row r="1433" spans="38:38" x14ac:dyDescent="0.25">
      <c r="AL1433" s="6"/>
    </row>
    <row r="1434" spans="38:38" x14ac:dyDescent="0.25">
      <c r="AL1434" s="6"/>
    </row>
    <row r="1435" spans="38:38" x14ac:dyDescent="0.25">
      <c r="AL1435" s="6"/>
    </row>
    <row r="1436" spans="38:38" x14ac:dyDescent="0.25">
      <c r="AL1436" s="6"/>
    </row>
    <row r="1437" spans="38:38" x14ac:dyDescent="0.25">
      <c r="AL1437" s="6"/>
    </row>
    <row r="1438" spans="38:38" x14ac:dyDescent="0.25">
      <c r="AL1438" s="6"/>
    </row>
    <row r="1439" spans="38:38" x14ac:dyDescent="0.25">
      <c r="AL1439" s="6"/>
    </row>
    <row r="1440" spans="38:38" x14ac:dyDescent="0.25">
      <c r="AL1440" s="6"/>
    </row>
    <row r="1441" spans="38:38" x14ac:dyDescent="0.25">
      <c r="AL1441" s="6"/>
    </row>
    <row r="1442" spans="38:38" x14ac:dyDescent="0.25">
      <c r="AL1442" s="6"/>
    </row>
    <row r="1443" spans="38:38" x14ac:dyDescent="0.25">
      <c r="AL1443" s="6"/>
    </row>
    <row r="1444" spans="38:38" x14ac:dyDescent="0.25">
      <c r="AL1444" s="6"/>
    </row>
    <row r="1445" spans="38:38" x14ac:dyDescent="0.25">
      <c r="AL1445" s="6"/>
    </row>
    <row r="1446" spans="38:38" x14ac:dyDescent="0.25">
      <c r="AL1446" s="6"/>
    </row>
    <row r="1447" spans="38:38" x14ac:dyDescent="0.25">
      <c r="AL1447" s="6"/>
    </row>
    <row r="1448" spans="38:38" x14ac:dyDescent="0.25">
      <c r="AL1448" s="6"/>
    </row>
    <row r="1449" spans="38:38" x14ac:dyDescent="0.25">
      <c r="AL1449" s="6"/>
    </row>
    <row r="1450" spans="38:38" x14ac:dyDescent="0.25">
      <c r="AL1450" s="6"/>
    </row>
    <row r="1451" spans="38:38" x14ac:dyDescent="0.25">
      <c r="AL1451" s="6"/>
    </row>
    <row r="1452" spans="38:38" x14ac:dyDescent="0.25">
      <c r="AL1452" s="6"/>
    </row>
    <row r="1453" spans="38:38" x14ac:dyDescent="0.25">
      <c r="AL1453" s="6"/>
    </row>
    <row r="1454" spans="38:38" x14ac:dyDescent="0.25">
      <c r="AL1454" s="6"/>
    </row>
    <row r="1455" spans="38:38" x14ac:dyDescent="0.25">
      <c r="AL1455" s="6"/>
    </row>
    <row r="1456" spans="38:38" x14ac:dyDescent="0.25">
      <c r="AL1456" s="6"/>
    </row>
    <row r="1457" spans="38:38" x14ac:dyDescent="0.25">
      <c r="AL1457" s="6"/>
    </row>
    <row r="1458" spans="38:38" x14ac:dyDescent="0.25">
      <c r="AL1458" s="6"/>
    </row>
    <row r="1459" spans="38:38" x14ac:dyDescent="0.25">
      <c r="AL1459" s="6"/>
    </row>
    <row r="1460" spans="38:38" x14ac:dyDescent="0.25">
      <c r="AL1460" s="6"/>
    </row>
    <row r="1461" spans="38:38" x14ac:dyDescent="0.25">
      <c r="AL1461" s="6"/>
    </row>
    <row r="1462" spans="38:38" x14ac:dyDescent="0.25">
      <c r="AL1462" s="6"/>
    </row>
    <row r="1463" spans="38:38" x14ac:dyDescent="0.25">
      <c r="AL1463" s="6"/>
    </row>
    <row r="1464" spans="38:38" x14ac:dyDescent="0.25">
      <c r="AL1464" s="6"/>
    </row>
    <row r="1465" spans="38:38" x14ac:dyDescent="0.25">
      <c r="AL1465" s="6"/>
    </row>
    <row r="1466" spans="38:38" x14ac:dyDescent="0.25">
      <c r="AL1466" s="6"/>
    </row>
    <row r="1467" spans="38:38" x14ac:dyDescent="0.25">
      <c r="AL1467" s="6"/>
    </row>
    <row r="1468" spans="38:38" x14ac:dyDescent="0.25">
      <c r="AL1468" s="6"/>
    </row>
    <row r="1469" spans="38:38" x14ac:dyDescent="0.25">
      <c r="AL1469" s="6"/>
    </row>
    <row r="1470" spans="38:38" x14ac:dyDescent="0.25">
      <c r="AL1470" s="6"/>
    </row>
    <row r="1471" spans="38:38" x14ac:dyDescent="0.25">
      <c r="AL1471" s="6"/>
    </row>
    <row r="1472" spans="38:38" x14ac:dyDescent="0.25">
      <c r="AL1472" s="6"/>
    </row>
    <row r="1473" spans="38:38" x14ac:dyDescent="0.25">
      <c r="AL1473" s="6"/>
    </row>
    <row r="1474" spans="38:38" x14ac:dyDescent="0.25">
      <c r="AL1474" s="6"/>
    </row>
    <row r="1475" spans="38:38" x14ac:dyDescent="0.25">
      <c r="AL1475" s="6"/>
    </row>
    <row r="1476" spans="38:38" x14ac:dyDescent="0.25">
      <c r="AL1476" s="6"/>
    </row>
    <row r="1477" spans="38:38" x14ac:dyDescent="0.25">
      <c r="AL1477" s="6"/>
    </row>
    <row r="1478" spans="38:38" x14ac:dyDescent="0.25">
      <c r="AL1478" s="6"/>
    </row>
    <row r="1479" spans="38:38" x14ac:dyDescent="0.25">
      <c r="AL1479" s="6"/>
    </row>
    <row r="1480" spans="38:38" x14ac:dyDescent="0.25">
      <c r="AL1480" s="6"/>
    </row>
    <row r="1481" spans="38:38" x14ac:dyDescent="0.25">
      <c r="AL1481" s="6"/>
    </row>
    <row r="1482" spans="38:38" x14ac:dyDescent="0.25">
      <c r="AL1482" s="6"/>
    </row>
    <row r="1483" spans="38:38" x14ac:dyDescent="0.25">
      <c r="AL1483" s="6"/>
    </row>
    <row r="1484" spans="38:38" x14ac:dyDescent="0.25">
      <c r="AL1484" s="6"/>
    </row>
    <row r="1485" spans="38:38" x14ac:dyDescent="0.25">
      <c r="AL1485" s="6"/>
    </row>
    <row r="1486" spans="38:38" x14ac:dyDescent="0.25">
      <c r="AL1486" s="6"/>
    </row>
    <row r="1487" spans="38:38" x14ac:dyDescent="0.25">
      <c r="AL1487" s="6"/>
    </row>
    <row r="1488" spans="38:38" x14ac:dyDescent="0.25">
      <c r="AL1488" s="6"/>
    </row>
    <row r="1489" spans="38:38" x14ac:dyDescent="0.25">
      <c r="AL1489" s="6"/>
    </row>
    <row r="1490" spans="38:38" x14ac:dyDescent="0.25">
      <c r="AL1490" s="6"/>
    </row>
    <row r="1491" spans="38:38" x14ac:dyDescent="0.25">
      <c r="AL1491" s="6"/>
    </row>
    <row r="1492" spans="38:38" x14ac:dyDescent="0.25">
      <c r="AL1492" s="6"/>
    </row>
    <row r="1493" spans="38:38" x14ac:dyDescent="0.25">
      <c r="AL1493" s="6"/>
    </row>
    <row r="1494" spans="38:38" x14ac:dyDescent="0.25">
      <c r="AL1494" s="6"/>
    </row>
    <row r="1495" spans="38:38" x14ac:dyDescent="0.25">
      <c r="AL1495" s="6"/>
    </row>
    <row r="1496" spans="38:38" x14ac:dyDescent="0.25">
      <c r="AL1496" s="6"/>
    </row>
    <row r="1497" spans="38:38" x14ac:dyDescent="0.25">
      <c r="AL1497" s="6"/>
    </row>
    <row r="1498" spans="38:38" x14ac:dyDescent="0.25">
      <c r="AL1498" s="6"/>
    </row>
    <row r="1499" spans="38:38" x14ac:dyDescent="0.25">
      <c r="AL1499" s="6"/>
    </row>
    <row r="1500" spans="38:38" x14ac:dyDescent="0.25">
      <c r="AL1500" s="6"/>
    </row>
    <row r="1501" spans="38:38" x14ac:dyDescent="0.25">
      <c r="AL1501" s="6"/>
    </row>
    <row r="1502" spans="38:38" x14ac:dyDescent="0.25">
      <c r="AL1502" s="6"/>
    </row>
    <row r="1503" spans="38:38" x14ac:dyDescent="0.25">
      <c r="AL1503" s="6"/>
    </row>
    <row r="1504" spans="38:38" x14ac:dyDescent="0.25">
      <c r="AL1504" s="6"/>
    </row>
    <row r="1505" spans="38:38" x14ac:dyDescent="0.25">
      <c r="AL1505" s="6"/>
    </row>
    <row r="1506" spans="38:38" x14ac:dyDescent="0.25">
      <c r="AL1506" s="6"/>
    </row>
    <row r="1507" spans="38:38" x14ac:dyDescent="0.25">
      <c r="AL1507" s="6"/>
    </row>
    <row r="1508" spans="38:38" x14ac:dyDescent="0.25">
      <c r="AL1508" s="6"/>
    </row>
    <row r="1509" spans="38:38" x14ac:dyDescent="0.25">
      <c r="AL1509" s="6"/>
    </row>
    <row r="1510" spans="38:38" x14ac:dyDescent="0.25">
      <c r="AL1510" s="6"/>
    </row>
    <row r="1511" spans="38:38" x14ac:dyDescent="0.25">
      <c r="AL1511" s="6"/>
    </row>
    <row r="1512" spans="38:38" x14ac:dyDescent="0.25">
      <c r="AL1512" s="6"/>
    </row>
    <row r="1513" spans="38:38" x14ac:dyDescent="0.25">
      <c r="AL1513" s="6"/>
    </row>
    <row r="1514" spans="38:38" x14ac:dyDescent="0.25">
      <c r="AL1514" s="6"/>
    </row>
    <row r="1515" spans="38:38" x14ac:dyDescent="0.25">
      <c r="AL1515" s="6"/>
    </row>
    <row r="1516" spans="38:38" x14ac:dyDescent="0.25">
      <c r="AL1516" s="6"/>
    </row>
    <row r="1517" spans="38:38" x14ac:dyDescent="0.25">
      <c r="AL1517" s="6"/>
    </row>
    <row r="1518" spans="38:38" x14ac:dyDescent="0.25">
      <c r="AL1518" s="6"/>
    </row>
    <row r="1519" spans="38:38" x14ac:dyDescent="0.25">
      <c r="AL1519" s="6"/>
    </row>
    <row r="1520" spans="38:38" x14ac:dyDescent="0.25">
      <c r="AL1520" s="6"/>
    </row>
    <row r="1521" spans="38:38" x14ac:dyDescent="0.25">
      <c r="AL1521" s="6"/>
    </row>
    <row r="1522" spans="38:38" x14ac:dyDescent="0.25">
      <c r="AL1522" s="6"/>
    </row>
    <row r="1523" spans="38:38" x14ac:dyDescent="0.25">
      <c r="AL1523" s="6"/>
    </row>
    <row r="1524" spans="38:38" x14ac:dyDescent="0.25">
      <c r="AL1524" s="6"/>
    </row>
    <row r="1525" spans="38:38" x14ac:dyDescent="0.25">
      <c r="AL1525" s="6"/>
    </row>
    <row r="1526" spans="38:38" x14ac:dyDescent="0.25">
      <c r="AL1526" s="6"/>
    </row>
    <row r="1527" spans="38:38" x14ac:dyDescent="0.25">
      <c r="AL1527" s="6"/>
    </row>
    <row r="1528" spans="38:38" x14ac:dyDescent="0.25">
      <c r="AL1528" s="6"/>
    </row>
    <row r="1529" spans="38:38" x14ac:dyDescent="0.25">
      <c r="AL1529" s="6"/>
    </row>
    <row r="1530" spans="38:38" x14ac:dyDescent="0.25">
      <c r="AL1530" s="6"/>
    </row>
    <row r="1531" spans="38:38" x14ac:dyDescent="0.25">
      <c r="AL1531" s="6"/>
    </row>
    <row r="1532" spans="38:38" x14ac:dyDescent="0.25">
      <c r="AL1532" s="6"/>
    </row>
    <row r="1533" spans="38:38" x14ac:dyDescent="0.25">
      <c r="AL1533" s="6"/>
    </row>
    <row r="1534" spans="38:38" x14ac:dyDescent="0.25">
      <c r="AL1534" s="6"/>
    </row>
    <row r="1535" spans="38:38" x14ac:dyDescent="0.25">
      <c r="AL1535" s="6"/>
    </row>
    <row r="1536" spans="38:38" x14ac:dyDescent="0.25">
      <c r="AL1536" s="6"/>
    </row>
    <row r="1537" spans="38:38" x14ac:dyDescent="0.25">
      <c r="AL1537" s="6"/>
    </row>
    <row r="1538" spans="38:38" x14ac:dyDescent="0.25">
      <c r="AL1538" s="6"/>
    </row>
    <row r="1539" spans="38:38" x14ac:dyDescent="0.25">
      <c r="AL1539" s="6"/>
    </row>
    <row r="1540" spans="38:38" x14ac:dyDescent="0.25">
      <c r="AL1540" s="6"/>
    </row>
    <row r="1541" spans="38:38" x14ac:dyDescent="0.25">
      <c r="AL1541" s="6"/>
    </row>
    <row r="1542" spans="38:38" x14ac:dyDescent="0.25">
      <c r="AL1542" s="6"/>
    </row>
    <row r="1543" spans="38:38" x14ac:dyDescent="0.25">
      <c r="AL1543" s="6"/>
    </row>
    <row r="1544" spans="38:38" x14ac:dyDescent="0.25">
      <c r="AL1544" s="6"/>
    </row>
    <row r="1545" spans="38:38" x14ac:dyDescent="0.25">
      <c r="AL1545" s="6"/>
    </row>
    <row r="1546" spans="38:38" x14ac:dyDescent="0.25">
      <c r="AL1546" s="6"/>
    </row>
    <row r="1547" spans="38:38" x14ac:dyDescent="0.25">
      <c r="AL1547" s="6"/>
    </row>
    <row r="1548" spans="38:38" x14ac:dyDescent="0.25">
      <c r="AL1548" s="6"/>
    </row>
    <row r="1549" spans="38:38" x14ac:dyDescent="0.25">
      <c r="AL1549" s="6"/>
    </row>
    <row r="1550" spans="38:38" x14ac:dyDescent="0.25">
      <c r="AL1550" s="6"/>
    </row>
    <row r="1551" spans="38:38" x14ac:dyDescent="0.25">
      <c r="AL1551" s="6"/>
    </row>
    <row r="1552" spans="38:38" x14ac:dyDescent="0.25">
      <c r="AL1552" s="6"/>
    </row>
    <row r="1553" spans="38:38" x14ac:dyDescent="0.25">
      <c r="AL1553" s="6"/>
    </row>
    <row r="1554" spans="38:38" x14ac:dyDescent="0.25">
      <c r="AL1554" s="6"/>
    </row>
    <row r="1555" spans="38:38" x14ac:dyDescent="0.25">
      <c r="AL1555" s="6"/>
    </row>
    <row r="1556" spans="38:38" x14ac:dyDescent="0.25">
      <c r="AL1556" s="6"/>
    </row>
    <row r="1557" spans="38:38" x14ac:dyDescent="0.25">
      <c r="AL1557" s="6"/>
    </row>
    <row r="1558" spans="38:38" x14ac:dyDescent="0.25">
      <c r="AL1558" s="6"/>
    </row>
    <row r="1559" spans="38:38" x14ac:dyDescent="0.25">
      <c r="AL1559" s="6"/>
    </row>
    <row r="1560" spans="38:38" x14ac:dyDescent="0.25">
      <c r="AL1560" s="6"/>
    </row>
    <row r="1561" spans="38:38" x14ac:dyDescent="0.25">
      <c r="AL1561" s="6"/>
    </row>
    <row r="1562" spans="38:38" x14ac:dyDescent="0.25">
      <c r="AL1562" s="6"/>
    </row>
    <row r="1563" spans="38:38" x14ac:dyDescent="0.25">
      <c r="AL1563" s="6"/>
    </row>
    <row r="1564" spans="38:38" x14ac:dyDescent="0.25">
      <c r="AL1564" s="6"/>
    </row>
    <row r="1565" spans="38:38" x14ac:dyDescent="0.25">
      <c r="AL1565" s="6"/>
    </row>
    <row r="1566" spans="38:38" x14ac:dyDescent="0.25">
      <c r="AL1566" s="6"/>
    </row>
    <row r="1567" spans="38:38" x14ac:dyDescent="0.25">
      <c r="AL1567" s="6"/>
    </row>
    <row r="1568" spans="38:38" x14ac:dyDescent="0.25">
      <c r="AL1568" s="6"/>
    </row>
    <row r="1569" spans="38:38" x14ac:dyDescent="0.25">
      <c r="AL1569" s="6"/>
    </row>
    <row r="1570" spans="38:38" x14ac:dyDescent="0.25">
      <c r="AL1570" s="6"/>
    </row>
    <row r="1571" spans="38:38" x14ac:dyDescent="0.25">
      <c r="AL1571" s="6"/>
    </row>
    <row r="1572" spans="38:38" x14ac:dyDescent="0.25">
      <c r="AL1572" s="6"/>
    </row>
    <row r="1573" spans="38:38" x14ac:dyDescent="0.25">
      <c r="AL1573" s="6"/>
    </row>
    <row r="1574" spans="38:38" x14ac:dyDescent="0.25">
      <c r="AL1574" s="6"/>
    </row>
    <row r="1575" spans="38:38" x14ac:dyDescent="0.25">
      <c r="AL1575" s="6"/>
    </row>
    <row r="1576" spans="38:38" x14ac:dyDescent="0.25">
      <c r="AL1576" s="6"/>
    </row>
    <row r="1577" spans="38:38" x14ac:dyDescent="0.25">
      <c r="AL1577" s="6"/>
    </row>
    <row r="1578" spans="38:38" x14ac:dyDescent="0.25">
      <c r="AL1578" s="6"/>
    </row>
    <row r="1579" spans="38:38" x14ac:dyDescent="0.25">
      <c r="AL1579" s="6"/>
    </row>
    <row r="1580" spans="38:38" x14ac:dyDescent="0.25">
      <c r="AL1580" s="6"/>
    </row>
    <row r="1581" spans="38:38" x14ac:dyDescent="0.25">
      <c r="AL1581" s="6"/>
    </row>
    <row r="1582" spans="38:38" x14ac:dyDescent="0.25">
      <c r="AL1582" s="6"/>
    </row>
    <row r="1583" spans="38:38" x14ac:dyDescent="0.25">
      <c r="AL1583" s="6"/>
    </row>
    <row r="1584" spans="38:38" x14ac:dyDescent="0.25">
      <c r="AL1584" s="6"/>
    </row>
    <row r="1585" spans="38:38" x14ac:dyDescent="0.25">
      <c r="AL1585" s="6"/>
    </row>
    <row r="1586" spans="38:38" x14ac:dyDescent="0.25">
      <c r="AL1586" s="6"/>
    </row>
    <row r="1587" spans="38:38" x14ac:dyDescent="0.25">
      <c r="AL1587" s="6"/>
    </row>
    <row r="1588" spans="38:38" x14ac:dyDescent="0.25">
      <c r="AL1588" s="6"/>
    </row>
    <row r="1589" spans="38:38" x14ac:dyDescent="0.25">
      <c r="AL1589" s="6"/>
    </row>
    <row r="1590" spans="38:38" x14ac:dyDescent="0.25">
      <c r="AL1590" s="6"/>
    </row>
    <row r="1591" spans="38:38" x14ac:dyDescent="0.25">
      <c r="AL1591" s="6"/>
    </row>
    <row r="1592" spans="38:38" x14ac:dyDescent="0.25">
      <c r="AL1592" s="6"/>
    </row>
    <row r="1593" spans="38:38" x14ac:dyDescent="0.25">
      <c r="AL1593" s="6"/>
    </row>
    <row r="1594" spans="38:38" x14ac:dyDescent="0.25">
      <c r="AL1594" s="6"/>
    </row>
    <row r="1595" spans="38:38" x14ac:dyDescent="0.25">
      <c r="AL1595" s="6"/>
    </row>
    <row r="1596" spans="38:38" x14ac:dyDescent="0.25">
      <c r="AL1596" s="6"/>
    </row>
    <row r="1597" spans="38:38" x14ac:dyDescent="0.25">
      <c r="AL1597" s="6"/>
    </row>
    <row r="1598" spans="38:38" x14ac:dyDescent="0.25">
      <c r="AL1598" s="6"/>
    </row>
    <row r="1599" spans="38:38" x14ac:dyDescent="0.25">
      <c r="AL1599" s="6"/>
    </row>
    <row r="1600" spans="38:38" x14ac:dyDescent="0.25">
      <c r="AL1600" s="6"/>
    </row>
    <row r="1601" spans="38:38" x14ac:dyDescent="0.25">
      <c r="AL1601" s="6"/>
    </row>
    <row r="1602" spans="38:38" x14ac:dyDescent="0.25">
      <c r="AL1602" s="6"/>
    </row>
    <row r="1603" spans="38:38" x14ac:dyDescent="0.25">
      <c r="AL1603" s="6"/>
    </row>
    <row r="1604" spans="38:38" x14ac:dyDescent="0.25">
      <c r="AL1604" s="6"/>
    </row>
    <row r="1605" spans="38:38" x14ac:dyDescent="0.25">
      <c r="AL1605" s="6"/>
    </row>
    <row r="1606" spans="38:38" x14ac:dyDescent="0.25">
      <c r="AL1606" s="6"/>
    </row>
    <row r="1607" spans="38:38" x14ac:dyDescent="0.25">
      <c r="AL1607" s="6"/>
    </row>
    <row r="1608" spans="38:38" x14ac:dyDescent="0.25">
      <c r="AL1608" s="6"/>
    </row>
    <row r="1609" spans="38:38" x14ac:dyDescent="0.25">
      <c r="AL1609" s="6"/>
    </row>
    <row r="1610" spans="38:38" x14ac:dyDescent="0.25">
      <c r="AL1610" s="6"/>
    </row>
    <row r="1611" spans="38:38" x14ac:dyDescent="0.25">
      <c r="AL1611" s="6"/>
    </row>
    <row r="1612" spans="38:38" x14ac:dyDescent="0.25">
      <c r="AL1612" s="6"/>
    </row>
    <row r="1613" spans="38:38" x14ac:dyDescent="0.25">
      <c r="AL1613" s="6"/>
    </row>
    <row r="1614" spans="38:38" x14ac:dyDescent="0.25">
      <c r="AL1614" s="6"/>
    </row>
    <row r="1615" spans="38:38" x14ac:dyDescent="0.25">
      <c r="AL1615" s="6"/>
    </row>
    <row r="1616" spans="38:38" x14ac:dyDescent="0.25">
      <c r="AL1616" s="6"/>
    </row>
    <row r="1617" spans="38:38" x14ac:dyDescent="0.25">
      <c r="AL1617" s="6"/>
    </row>
    <row r="1618" spans="38:38" x14ac:dyDescent="0.25">
      <c r="AL1618" s="6"/>
    </row>
    <row r="1619" spans="38:38" x14ac:dyDescent="0.25">
      <c r="AL1619" s="6"/>
    </row>
    <row r="1620" spans="38:38" x14ac:dyDescent="0.25">
      <c r="AL1620" s="6"/>
    </row>
    <row r="1621" spans="38:38" x14ac:dyDescent="0.25">
      <c r="AL1621" s="6"/>
    </row>
    <row r="1622" spans="38:38" x14ac:dyDescent="0.25">
      <c r="AL1622" s="6"/>
    </row>
    <row r="1623" spans="38:38" x14ac:dyDescent="0.25">
      <c r="AL1623" s="6"/>
    </row>
    <row r="1624" spans="38:38" x14ac:dyDescent="0.25">
      <c r="AL1624" s="6"/>
    </row>
    <row r="1625" spans="38:38" x14ac:dyDescent="0.25">
      <c r="AL1625" s="6"/>
    </row>
    <row r="1626" spans="38:38" x14ac:dyDescent="0.25">
      <c r="AL1626" s="6"/>
    </row>
    <row r="1627" spans="38:38" x14ac:dyDescent="0.25">
      <c r="AL1627" s="6"/>
    </row>
    <row r="1628" spans="38:38" x14ac:dyDescent="0.25">
      <c r="AL1628" s="6"/>
    </row>
    <row r="1629" spans="38:38" x14ac:dyDescent="0.25">
      <c r="AL1629" s="6"/>
    </row>
    <row r="1630" spans="38:38" x14ac:dyDescent="0.25">
      <c r="AL1630" s="6"/>
    </row>
    <row r="1631" spans="38:38" x14ac:dyDescent="0.25">
      <c r="AL1631" s="6"/>
    </row>
    <row r="1632" spans="38:38" x14ac:dyDescent="0.25">
      <c r="AL1632" s="6"/>
    </row>
    <row r="1633" spans="38:38" x14ac:dyDescent="0.25">
      <c r="AL1633" s="6"/>
    </row>
    <row r="1634" spans="38:38" x14ac:dyDescent="0.25">
      <c r="AL1634" s="6"/>
    </row>
    <row r="1635" spans="38:38" x14ac:dyDescent="0.25">
      <c r="AL1635" s="6"/>
    </row>
    <row r="1636" spans="38:38" x14ac:dyDescent="0.25">
      <c r="AL1636" s="6"/>
    </row>
    <row r="1637" spans="38:38" x14ac:dyDescent="0.25">
      <c r="AL1637" s="6"/>
    </row>
    <row r="1638" spans="38:38" x14ac:dyDescent="0.25">
      <c r="AL1638" s="6"/>
    </row>
    <row r="1639" spans="38:38" x14ac:dyDescent="0.25">
      <c r="AL1639" s="6"/>
    </row>
    <row r="1640" spans="38:38" x14ac:dyDescent="0.25">
      <c r="AL1640" s="6"/>
    </row>
    <row r="1641" spans="38:38" x14ac:dyDescent="0.25">
      <c r="AL1641" s="6"/>
    </row>
    <row r="1642" spans="38:38" x14ac:dyDescent="0.25">
      <c r="AL1642" s="6"/>
    </row>
    <row r="1643" spans="38:38" x14ac:dyDescent="0.25">
      <c r="AL1643" s="6"/>
    </row>
    <row r="1644" spans="38:38" x14ac:dyDescent="0.25">
      <c r="AL1644" s="6"/>
    </row>
    <row r="1645" spans="38:38" x14ac:dyDescent="0.25">
      <c r="AL1645" s="6"/>
    </row>
    <row r="1646" spans="38:38" x14ac:dyDescent="0.25">
      <c r="AL1646" s="6"/>
    </row>
    <row r="1647" spans="38:38" x14ac:dyDescent="0.25">
      <c r="AL1647" s="6"/>
    </row>
    <row r="1648" spans="38:38" x14ac:dyDescent="0.25">
      <c r="AL1648" s="6"/>
    </row>
    <row r="1649" spans="38:38" x14ac:dyDescent="0.25">
      <c r="AL1649" s="6"/>
    </row>
    <row r="1650" spans="38:38" x14ac:dyDescent="0.25">
      <c r="AL1650" s="6"/>
    </row>
    <row r="1651" spans="38:38" x14ac:dyDescent="0.25">
      <c r="AL1651" s="6"/>
    </row>
    <row r="1652" spans="38:38" x14ac:dyDescent="0.25">
      <c r="AL1652" s="6"/>
    </row>
    <row r="1653" spans="38:38" x14ac:dyDescent="0.25">
      <c r="AL1653" s="6"/>
    </row>
    <row r="1654" spans="38:38" x14ac:dyDescent="0.25">
      <c r="AL1654" s="6"/>
    </row>
    <row r="1655" spans="38:38" x14ac:dyDescent="0.25">
      <c r="AL1655" s="6"/>
    </row>
    <row r="1656" spans="38:38" x14ac:dyDescent="0.25">
      <c r="AL1656" s="6"/>
    </row>
    <row r="1657" spans="38:38" x14ac:dyDescent="0.25">
      <c r="AL1657" s="6"/>
    </row>
    <row r="1658" spans="38:38" x14ac:dyDescent="0.25">
      <c r="AL1658" s="6"/>
    </row>
    <row r="1659" spans="38:38" x14ac:dyDescent="0.25">
      <c r="AL1659" s="6"/>
    </row>
    <row r="1660" spans="38:38" x14ac:dyDescent="0.25">
      <c r="AL1660" s="6"/>
    </row>
    <row r="1661" spans="38:38" x14ac:dyDescent="0.25">
      <c r="AL1661" s="6"/>
    </row>
    <row r="1662" spans="38:38" x14ac:dyDescent="0.25">
      <c r="AL1662" s="6"/>
    </row>
    <row r="1663" spans="38:38" x14ac:dyDescent="0.25">
      <c r="AL1663" s="6"/>
    </row>
    <row r="1664" spans="38:38" x14ac:dyDescent="0.25">
      <c r="AL1664" s="6"/>
    </row>
    <row r="1665" spans="38:38" x14ac:dyDescent="0.25">
      <c r="AL1665" s="6"/>
    </row>
    <row r="1666" spans="38:38" x14ac:dyDescent="0.25">
      <c r="AL1666" s="6"/>
    </row>
    <row r="1667" spans="38:38" x14ac:dyDescent="0.25">
      <c r="AL1667" s="6"/>
    </row>
    <row r="1668" spans="38:38" x14ac:dyDescent="0.25">
      <c r="AL1668" s="6"/>
    </row>
    <row r="1669" spans="38:38" x14ac:dyDescent="0.25">
      <c r="AL1669" s="6"/>
    </row>
    <row r="1670" spans="38:38" x14ac:dyDescent="0.25">
      <c r="AL1670" s="6"/>
    </row>
    <row r="1671" spans="38:38" x14ac:dyDescent="0.25">
      <c r="AL1671" s="6"/>
    </row>
    <row r="1672" spans="38:38" x14ac:dyDescent="0.25">
      <c r="AL1672" s="6"/>
    </row>
    <row r="1673" spans="38:38" x14ac:dyDescent="0.25">
      <c r="AL1673" s="6"/>
    </row>
    <row r="1674" spans="38:38" x14ac:dyDescent="0.25">
      <c r="AL1674" s="6"/>
    </row>
    <row r="1675" spans="38:38" x14ac:dyDescent="0.25">
      <c r="AL1675" s="6"/>
    </row>
    <row r="1676" spans="38:38" x14ac:dyDescent="0.25">
      <c r="AL1676" s="6"/>
    </row>
    <row r="1677" spans="38:38" x14ac:dyDescent="0.25">
      <c r="AL1677" s="6"/>
    </row>
    <row r="1678" spans="38:38" x14ac:dyDescent="0.25">
      <c r="AL1678" s="6"/>
    </row>
    <row r="1679" spans="38:38" x14ac:dyDescent="0.25">
      <c r="AL1679" s="6"/>
    </row>
    <row r="1680" spans="38:38" x14ac:dyDescent="0.25">
      <c r="AL1680" s="6"/>
    </row>
    <row r="1681" spans="38:38" x14ac:dyDescent="0.25">
      <c r="AL1681" s="6"/>
    </row>
    <row r="1682" spans="38:38" x14ac:dyDescent="0.25">
      <c r="AL1682" s="6"/>
    </row>
    <row r="1683" spans="38:38" x14ac:dyDescent="0.25">
      <c r="AL1683" s="6"/>
    </row>
    <row r="1684" spans="38:38" x14ac:dyDescent="0.25">
      <c r="AL1684" s="6"/>
    </row>
    <row r="1685" spans="38:38" x14ac:dyDescent="0.25">
      <c r="AL1685" s="6"/>
    </row>
    <row r="1686" spans="38:38" x14ac:dyDescent="0.25">
      <c r="AL1686" s="6"/>
    </row>
    <row r="1687" spans="38:38" x14ac:dyDescent="0.25">
      <c r="AL1687" s="6"/>
    </row>
    <row r="1688" spans="38:38" x14ac:dyDescent="0.25">
      <c r="AL1688" s="6"/>
    </row>
    <row r="1689" spans="38:38" x14ac:dyDescent="0.25">
      <c r="AL1689" s="6"/>
    </row>
    <row r="1690" spans="38:38" x14ac:dyDescent="0.25">
      <c r="AL1690" s="6"/>
    </row>
    <row r="1691" spans="38:38" x14ac:dyDescent="0.25">
      <c r="AL1691" s="6"/>
    </row>
    <row r="1692" spans="38:38" x14ac:dyDescent="0.25">
      <c r="AL1692" s="6"/>
    </row>
    <row r="1693" spans="38:38" x14ac:dyDescent="0.25">
      <c r="AL1693" s="6"/>
    </row>
    <row r="1694" spans="38:38" x14ac:dyDescent="0.25">
      <c r="AL1694" s="6"/>
    </row>
    <row r="1695" spans="38:38" x14ac:dyDescent="0.25">
      <c r="AL1695" s="6"/>
    </row>
    <row r="1696" spans="38:38" x14ac:dyDescent="0.25">
      <c r="AL1696" s="6"/>
    </row>
    <row r="1697" spans="38:38" x14ac:dyDescent="0.25">
      <c r="AL1697" s="6"/>
    </row>
    <row r="1698" spans="38:38" x14ac:dyDescent="0.25">
      <c r="AL1698" s="6"/>
    </row>
    <row r="1699" spans="38:38" x14ac:dyDescent="0.25">
      <c r="AL1699" s="6"/>
    </row>
    <row r="1700" spans="38:38" x14ac:dyDescent="0.25">
      <c r="AL1700" s="6"/>
    </row>
    <row r="1701" spans="38:38" x14ac:dyDescent="0.25">
      <c r="AL1701" s="6"/>
    </row>
    <row r="1702" spans="38:38" x14ac:dyDescent="0.25">
      <c r="AL1702" s="6"/>
    </row>
    <row r="1703" spans="38:38" x14ac:dyDescent="0.25">
      <c r="AL1703" s="6"/>
    </row>
    <row r="1704" spans="38:38" x14ac:dyDescent="0.25">
      <c r="AL1704" s="6"/>
    </row>
    <row r="1705" spans="38:38" x14ac:dyDescent="0.25">
      <c r="AL1705" s="6"/>
    </row>
    <row r="1706" spans="38:38" x14ac:dyDescent="0.25">
      <c r="AL1706" s="6"/>
    </row>
    <row r="1707" spans="38:38" x14ac:dyDescent="0.25">
      <c r="AL1707" s="6"/>
    </row>
    <row r="1708" spans="38:38" x14ac:dyDescent="0.25">
      <c r="AL1708" s="6"/>
    </row>
    <row r="1709" spans="38:38" x14ac:dyDescent="0.25">
      <c r="AL1709" s="6"/>
    </row>
    <row r="1710" spans="38:38" x14ac:dyDescent="0.25">
      <c r="AL1710" s="6"/>
    </row>
    <row r="1711" spans="38:38" x14ac:dyDescent="0.25">
      <c r="AL1711" s="6"/>
    </row>
    <row r="1712" spans="38:38" x14ac:dyDescent="0.25">
      <c r="AL1712" s="6"/>
    </row>
    <row r="1713" spans="38:38" x14ac:dyDescent="0.25">
      <c r="AL1713" s="6"/>
    </row>
    <row r="1714" spans="38:38" x14ac:dyDescent="0.25">
      <c r="AL1714" s="6"/>
    </row>
    <row r="1715" spans="38:38" x14ac:dyDescent="0.25">
      <c r="AL1715" s="6"/>
    </row>
    <row r="1716" spans="38:38" x14ac:dyDescent="0.25">
      <c r="AL1716" s="6"/>
    </row>
    <row r="1717" spans="38:38" x14ac:dyDescent="0.25">
      <c r="AL1717" s="6"/>
    </row>
    <row r="1718" spans="38:38" x14ac:dyDescent="0.25">
      <c r="AL1718" s="6"/>
    </row>
    <row r="1719" spans="38:38" x14ac:dyDescent="0.25">
      <c r="AL1719" s="6"/>
    </row>
    <row r="1720" spans="38:38" x14ac:dyDescent="0.25">
      <c r="AL1720" s="6"/>
    </row>
    <row r="1721" spans="38:38" x14ac:dyDescent="0.25">
      <c r="AL1721" s="6"/>
    </row>
    <row r="1722" spans="38:38" x14ac:dyDescent="0.25">
      <c r="AL1722" s="6"/>
    </row>
    <row r="1723" spans="38:38" x14ac:dyDescent="0.25">
      <c r="AL1723" s="6"/>
    </row>
    <row r="1724" spans="38:38" x14ac:dyDescent="0.25">
      <c r="AL1724" s="6"/>
    </row>
    <row r="1725" spans="38:38" x14ac:dyDescent="0.25">
      <c r="AL1725" s="6"/>
    </row>
    <row r="1726" spans="38:38" x14ac:dyDescent="0.25">
      <c r="AL1726" s="6"/>
    </row>
    <row r="1727" spans="38:38" x14ac:dyDescent="0.25">
      <c r="AL1727" s="6"/>
    </row>
    <row r="1728" spans="38:38" x14ac:dyDescent="0.25">
      <c r="AL1728" s="6"/>
    </row>
    <row r="1729" spans="38:38" x14ac:dyDescent="0.25">
      <c r="AL1729" s="6"/>
    </row>
    <row r="1730" spans="38:38" x14ac:dyDescent="0.25">
      <c r="AL1730" s="6"/>
    </row>
    <row r="1731" spans="38:38" x14ac:dyDescent="0.25">
      <c r="AL1731" s="6"/>
    </row>
    <row r="1732" spans="38:38" x14ac:dyDescent="0.25">
      <c r="AL1732" s="6"/>
    </row>
    <row r="1733" spans="38:38" x14ac:dyDescent="0.25">
      <c r="AL1733" s="6"/>
    </row>
    <row r="1734" spans="38:38" x14ac:dyDescent="0.25">
      <c r="AL1734" s="6"/>
    </row>
    <row r="1735" spans="38:38" x14ac:dyDescent="0.25">
      <c r="AL1735" s="6"/>
    </row>
    <row r="1736" spans="38:38" x14ac:dyDescent="0.25">
      <c r="AL1736" s="6"/>
    </row>
    <row r="1737" spans="38:38" x14ac:dyDescent="0.25">
      <c r="AL1737" s="6"/>
    </row>
    <row r="1738" spans="38:38" x14ac:dyDescent="0.25">
      <c r="AL1738" s="6"/>
    </row>
    <row r="1739" spans="38:38" x14ac:dyDescent="0.25">
      <c r="AL1739" s="6"/>
    </row>
    <row r="1740" spans="38:38" x14ac:dyDescent="0.25">
      <c r="AL1740" s="6"/>
    </row>
    <row r="1741" spans="38:38" x14ac:dyDescent="0.25">
      <c r="AL1741" s="6"/>
    </row>
    <row r="1742" spans="38:38" x14ac:dyDescent="0.25">
      <c r="AL1742" s="6"/>
    </row>
    <row r="1743" spans="38:38" x14ac:dyDescent="0.25">
      <c r="AL1743" s="6"/>
    </row>
    <row r="1744" spans="38:38" x14ac:dyDescent="0.25">
      <c r="AL1744" s="6"/>
    </row>
    <row r="1745" spans="38:38" x14ac:dyDescent="0.25">
      <c r="AL1745" s="6"/>
    </row>
    <row r="1746" spans="38:38" x14ac:dyDescent="0.25">
      <c r="AL1746" s="6"/>
    </row>
    <row r="1747" spans="38:38" x14ac:dyDescent="0.25">
      <c r="AL1747" s="6"/>
    </row>
    <row r="1748" spans="38:38" x14ac:dyDescent="0.25">
      <c r="AL1748" s="6"/>
    </row>
    <row r="1749" spans="38:38" x14ac:dyDescent="0.25">
      <c r="AL1749" s="6"/>
    </row>
    <row r="1750" spans="38:38" x14ac:dyDescent="0.25">
      <c r="AL1750" s="6"/>
    </row>
    <row r="1751" spans="38:38" x14ac:dyDescent="0.25">
      <c r="AL1751" s="6"/>
    </row>
    <row r="1752" spans="38:38" x14ac:dyDescent="0.25">
      <c r="AL1752" s="6"/>
    </row>
    <row r="1753" spans="38:38" x14ac:dyDescent="0.25">
      <c r="AL1753" s="6"/>
    </row>
    <row r="1754" spans="38:38" x14ac:dyDescent="0.25">
      <c r="AL1754" s="6"/>
    </row>
    <row r="1755" spans="38:38" x14ac:dyDescent="0.25">
      <c r="AL1755" s="6"/>
    </row>
    <row r="1756" spans="38:38" x14ac:dyDescent="0.25">
      <c r="AL1756" s="6"/>
    </row>
    <row r="1757" spans="38:38" x14ac:dyDescent="0.25">
      <c r="AL1757" s="6"/>
    </row>
    <row r="1758" spans="38:38" x14ac:dyDescent="0.25">
      <c r="AL1758" s="6"/>
    </row>
    <row r="1759" spans="38:38" x14ac:dyDescent="0.25">
      <c r="AL1759" s="6"/>
    </row>
    <row r="1760" spans="38:38" x14ac:dyDescent="0.25">
      <c r="AL1760" s="6"/>
    </row>
    <row r="1761" spans="38:38" x14ac:dyDescent="0.25">
      <c r="AL1761" s="6"/>
    </row>
    <row r="1762" spans="38:38" x14ac:dyDescent="0.25">
      <c r="AL1762" s="6"/>
    </row>
    <row r="1763" spans="38:38" x14ac:dyDescent="0.25">
      <c r="AL1763" s="6"/>
    </row>
    <row r="1764" spans="38:38" x14ac:dyDescent="0.25">
      <c r="AL1764" s="6"/>
    </row>
    <row r="1765" spans="38:38" x14ac:dyDescent="0.25">
      <c r="AL1765" s="6"/>
    </row>
    <row r="1766" spans="38:38" x14ac:dyDescent="0.25">
      <c r="AL1766" s="6"/>
    </row>
    <row r="1767" spans="38:38" x14ac:dyDescent="0.25">
      <c r="AL1767" s="6"/>
    </row>
    <row r="1768" spans="38:38" x14ac:dyDescent="0.25">
      <c r="AL1768" s="6"/>
    </row>
    <row r="1769" spans="38:38" x14ac:dyDescent="0.25">
      <c r="AL1769" s="6"/>
    </row>
    <row r="1770" spans="38:38" x14ac:dyDescent="0.25">
      <c r="AL1770" s="6"/>
    </row>
    <row r="1771" spans="38:38" x14ac:dyDescent="0.25">
      <c r="AL1771" s="6"/>
    </row>
    <row r="1772" spans="38:38" x14ac:dyDescent="0.25">
      <c r="AL1772" s="6"/>
    </row>
    <row r="1773" spans="38:38" x14ac:dyDescent="0.25">
      <c r="AL1773" s="6"/>
    </row>
    <row r="1774" spans="38:38" x14ac:dyDescent="0.25">
      <c r="AL1774" s="6"/>
    </row>
    <row r="1775" spans="38:38" x14ac:dyDescent="0.25">
      <c r="AL1775" s="6"/>
    </row>
    <row r="1776" spans="38:38" x14ac:dyDescent="0.25">
      <c r="AL1776" s="6"/>
    </row>
    <row r="1777" spans="38:38" x14ac:dyDescent="0.25">
      <c r="AL1777" s="6"/>
    </row>
    <row r="1778" spans="38:38" x14ac:dyDescent="0.25">
      <c r="AL1778" s="6"/>
    </row>
    <row r="1779" spans="38:38" x14ac:dyDescent="0.25">
      <c r="AL1779" s="6"/>
    </row>
    <row r="1780" spans="38:38" x14ac:dyDescent="0.25">
      <c r="AL1780" s="6"/>
    </row>
    <row r="1781" spans="38:38" x14ac:dyDescent="0.25">
      <c r="AL1781" s="6"/>
    </row>
    <row r="1782" spans="38:38" x14ac:dyDescent="0.25">
      <c r="AL1782" s="6"/>
    </row>
    <row r="1783" spans="38:38" x14ac:dyDescent="0.25">
      <c r="AL1783" s="6"/>
    </row>
    <row r="1784" spans="38:38" x14ac:dyDescent="0.25">
      <c r="AL1784" s="6"/>
    </row>
    <row r="1785" spans="38:38" x14ac:dyDescent="0.25">
      <c r="AL1785" s="6"/>
    </row>
    <row r="1786" spans="38:38" x14ac:dyDescent="0.25">
      <c r="AL1786" s="6"/>
    </row>
    <row r="1787" spans="38:38" x14ac:dyDescent="0.25">
      <c r="AL1787" s="6"/>
    </row>
    <row r="1788" spans="38:38" x14ac:dyDescent="0.25">
      <c r="AL1788" s="6"/>
    </row>
    <row r="1789" spans="38:38" x14ac:dyDescent="0.25">
      <c r="AL1789" s="6"/>
    </row>
    <row r="1790" spans="38:38" x14ac:dyDescent="0.25">
      <c r="AL1790" s="6"/>
    </row>
    <row r="1791" spans="38:38" x14ac:dyDescent="0.25">
      <c r="AL1791" s="6"/>
    </row>
    <row r="1792" spans="38:38" x14ac:dyDescent="0.25">
      <c r="AL1792" s="6"/>
    </row>
    <row r="1793" spans="38:38" x14ac:dyDescent="0.25">
      <c r="AL1793" s="6"/>
    </row>
    <row r="1794" spans="38:38" x14ac:dyDescent="0.25">
      <c r="AL1794" s="6"/>
    </row>
    <row r="1795" spans="38:38" x14ac:dyDescent="0.25">
      <c r="AL1795" s="6"/>
    </row>
    <row r="1796" spans="38:38" x14ac:dyDescent="0.25">
      <c r="AL1796" s="6"/>
    </row>
    <row r="1797" spans="38:38" x14ac:dyDescent="0.25">
      <c r="AL1797" s="6"/>
    </row>
    <row r="1798" spans="38:38" x14ac:dyDescent="0.25">
      <c r="AL1798" s="6"/>
    </row>
    <row r="1799" spans="38:38" x14ac:dyDescent="0.25">
      <c r="AL1799" s="6"/>
    </row>
    <row r="1800" spans="38:38" x14ac:dyDescent="0.25">
      <c r="AL1800" s="6"/>
    </row>
    <row r="1801" spans="38:38" x14ac:dyDescent="0.25">
      <c r="AL1801" s="6"/>
    </row>
    <row r="1802" spans="38:38" x14ac:dyDescent="0.25">
      <c r="AL1802" s="6"/>
    </row>
    <row r="1803" spans="38:38" x14ac:dyDescent="0.25">
      <c r="AL1803" s="6"/>
    </row>
    <row r="1804" spans="38:38" x14ac:dyDescent="0.25">
      <c r="AL1804" s="6"/>
    </row>
    <row r="1805" spans="38:38" x14ac:dyDescent="0.25">
      <c r="AL1805" s="6"/>
    </row>
    <row r="1806" spans="38:38" x14ac:dyDescent="0.25">
      <c r="AL1806" s="6"/>
    </row>
    <row r="1807" spans="38:38" x14ac:dyDescent="0.25">
      <c r="AL1807" s="6"/>
    </row>
    <row r="1808" spans="38:38" x14ac:dyDescent="0.25">
      <c r="AL1808" s="6"/>
    </row>
    <row r="1809" spans="38:38" x14ac:dyDescent="0.25">
      <c r="AL1809" s="6"/>
    </row>
    <row r="1810" spans="38:38" x14ac:dyDescent="0.25">
      <c r="AL1810" s="6"/>
    </row>
    <row r="1811" spans="38:38" x14ac:dyDescent="0.25">
      <c r="AL1811" s="6"/>
    </row>
    <row r="1812" spans="38:38" x14ac:dyDescent="0.25">
      <c r="AL1812" s="6"/>
    </row>
    <row r="1813" spans="38:38" x14ac:dyDescent="0.25">
      <c r="AL1813" s="6"/>
    </row>
    <row r="1814" spans="38:38" x14ac:dyDescent="0.25">
      <c r="AL1814" s="6"/>
    </row>
    <row r="1815" spans="38:38" x14ac:dyDescent="0.25">
      <c r="AL1815" s="6"/>
    </row>
    <row r="1816" spans="38:38" x14ac:dyDescent="0.25">
      <c r="AL1816" s="6"/>
    </row>
    <row r="1817" spans="38:38" x14ac:dyDescent="0.25">
      <c r="AL1817" s="6"/>
    </row>
    <row r="1818" spans="38:38" x14ac:dyDescent="0.25">
      <c r="AL1818" s="6"/>
    </row>
    <row r="1819" spans="38:38" x14ac:dyDescent="0.25">
      <c r="AL1819" s="6"/>
    </row>
    <row r="1820" spans="38:38" x14ac:dyDescent="0.25">
      <c r="AL1820" s="6"/>
    </row>
    <row r="1821" spans="38:38" x14ac:dyDescent="0.25">
      <c r="AL1821" s="6"/>
    </row>
    <row r="1822" spans="38:38" x14ac:dyDescent="0.25">
      <c r="AL1822" s="6"/>
    </row>
    <row r="1823" spans="38:38" x14ac:dyDescent="0.25">
      <c r="AL1823" s="6"/>
    </row>
    <row r="1824" spans="38:38" x14ac:dyDescent="0.25">
      <c r="AL1824" s="6"/>
    </row>
    <row r="1825" spans="38:38" x14ac:dyDescent="0.25">
      <c r="AL1825" s="6"/>
    </row>
    <row r="1826" spans="38:38" x14ac:dyDescent="0.25">
      <c r="AL1826" s="6"/>
    </row>
    <row r="1827" spans="38:38" x14ac:dyDescent="0.25">
      <c r="AL1827" s="6"/>
    </row>
    <row r="1828" spans="38:38" x14ac:dyDescent="0.25">
      <c r="AL1828" s="6"/>
    </row>
    <row r="1829" spans="38:38" x14ac:dyDescent="0.25">
      <c r="AL1829" s="6"/>
    </row>
    <row r="1830" spans="38:38" x14ac:dyDescent="0.25">
      <c r="AL1830" s="6"/>
    </row>
    <row r="1831" spans="38:38" x14ac:dyDescent="0.25">
      <c r="AL1831" s="6"/>
    </row>
    <row r="1832" spans="38:38" x14ac:dyDescent="0.25">
      <c r="AL1832" s="6"/>
    </row>
    <row r="1833" spans="38:38" x14ac:dyDescent="0.25">
      <c r="AL1833" s="6"/>
    </row>
    <row r="1834" spans="38:38" x14ac:dyDescent="0.25">
      <c r="AL1834" s="6"/>
    </row>
    <row r="1835" spans="38:38" x14ac:dyDescent="0.25">
      <c r="AL1835" s="6"/>
    </row>
    <row r="1836" spans="38:38" x14ac:dyDescent="0.25">
      <c r="AL1836" s="6"/>
    </row>
    <row r="1837" spans="38:38" x14ac:dyDescent="0.25">
      <c r="AL1837" s="6"/>
    </row>
    <row r="1838" spans="38:38" x14ac:dyDescent="0.25">
      <c r="AL1838" s="6"/>
    </row>
    <row r="1839" spans="38:38" x14ac:dyDescent="0.25">
      <c r="AL1839" s="6"/>
    </row>
    <row r="1840" spans="38:38" x14ac:dyDescent="0.25">
      <c r="AL1840" s="6"/>
    </row>
    <row r="1841" spans="38:38" x14ac:dyDescent="0.25">
      <c r="AL1841" s="6"/>
    </row>
    <row r="1842" spans="38:38" x14ac:dyDescent="0.25">
      <c r="AL1842" s="6"/>
    </row>
    <row r="1843" spans="38:38" x14ac:dyDescent="0.25">
      <c r="AL1843" s="6"/>
    </row>
    <row r="1844" spans="38:38" x14ac:dyDescent="0.25">
      <c r="AL1844" s="6"/>
    </row>
    <row r="1845" spans="38:38" x14ac:dyDescent="0.25">
      <c r="AL1845" s="6"/>
    </row>
    <row r="1846" spans="38:38" x14ac:dyDescent="0.25">
      <c r="AL1846" s="6"/>
    </row>
    <row r="1847" spans="38:38" x14ac:dyDescent="0.25">
      <c r="AL1847" s="6"/>
    </row>
    <row r="1848" spans="38:38" x14ac:dyDescent="0.25">
      <c r="AL1848" s="6"/>
    </row>
    <row r="1849" spans="38:38" x14ac:dyDescent="0.25">
      <c r="AL1849" s="6"/>
    </row>
    <row r="1850" spans="38:38" x14ac:dyDescent="0.25">
      <c r="AL1850" s="6"/>
    </row>
    <row r="1851" spans="38:38" x14ac:dyDescent="0.25">
      <c r="AL1851" s="6"/>
    </row>
    <row r="1852" spans="38:38" x14ac:dyDescent="0.25">
      <c r="AL1852" s="6"/>
    </row>
    <row r="1853" spans="38:38" x14ac:dyDescent="0.25">
      <c r="AL1853" s="6"/>
    </row>
    <row r="1854" spans="38:38" x14ac:dyDescent="0.25">
      <c r="AL1854" s="6"/>
    </row>
    <row r="1855" spans="38:38" x14ac:dyDescent="0.25">
      <c r="AL1855" s="6"/>
    </row>
    <row r="1856" spans="38:38" x14ac:dyDescent="0.25">
      <c r="AL1856" s="6"/>
    </row>
    <row r="1857" spans="38:38" x14ac:dyDescent="0.25">
      <c r="AL1857" s="6"/>
    </row>
    <row r="1858" spans="38:38" x14ac:dyDescent="0.25">
      <c r="AL1858" s="6"/>
    </row>
    <row r="1859" spans="38:38" x14ac:dyDescent="0.25">
      <c r="AL1859" s="6"/>
    </row>
    <row r="1860" spans="38:38" x14ac:dyDescent="0.25">
      <c r="AL1860" s="6"/>
    </row>
    <row r="1861" spans="38:38" x14ac:dyDescent="0.25">
      <c r="AL1861" s="6"/>
    </row>
    <row r="1862" spans="38:38" x14ac:dyDescent="0.25">
      <c r="AL1862" s="6"/>
    </row>
    <row r="1863" spans="38:38" x14ac:dyDescent="0.25">
      <c r="AL1863" s="6"/>
    </row>
    <row r="1864" spans="38:38" x14ac:dyDescent="0.25">
      <c r="AL1864" s="6"/>
    </row>
    <row r="1865" spans="38:38" x14ac:dyDescent="0.25">
      <c r="AL1865" s="6"/>
    </row>
    <row r="1866" spans="38:38" x14ac:dyDescent="0.25">
      <c r="AL1866" s="6"/>
    </row>
    <row r="1867" spans="38:38" x14ac:dyDescent="0.25">
      <c r="AL1867" s="6"/>
    </row>
    <row r="1868" spans="38:38" x14ac:dyDescent="0.25">
      <c r="AL1868" s="6"/>
    </row>
    <row r="1869" spans="38:38" x14ac:dyDescent="0.25">
      <c r="AL1869" s="6"/>
    </row>
    <row r="1870" spans="38:38" x14ac:dyDescent="0.25">
      <c r="AL1870" s="6"/>
    </row>
    <row r="1871" spans="38:38" x14ac:dyDescent="0.25">
      <c r="AL1871" s="6"/>
    </row>
    <row r="1872" spans="38:38" x14ac:dyDescent="0.25">
      <c r="AL1872" s="6"/>
    </row>
    <row r="1873" spans="38:38" x14ac:dyDescent="0.25">
      <c r="AL1873" s="6"/>
    </row>
    <row r="1874" spans="38:38" x14ac:dyDescent="0.25">
      <c r="AL1874" s="6"/>
    </row>
    <row r="1875" spans="38:38" x14ac:dyDescent="0.25">
      <c r="AL1875" s="6"/>
    </row>
    <row r="1876" spans="38:38" x14ac:dyDescent="0.25">
      <c r="AL1876" s="6"/>
    </row>
    <row r="1877" spans="38:38" x14ac:dyDescent="0.25">
      <c r="AL1877" s="6"/>
    </row>
    <row r="1878" spans="38:38" x14ac:dyDescent="0.25">
      <c r="AL1878" s="6"/>
    </row>
    <row r="1879" spans="38:38" x14ac:dyDescent="0.25">
      <c r="AL1879" s="6"/>
    </row>
    <row r="1880" spans="38:38" x14ac:dyDescent="0.25">
      <c r="AL1880" s="6"/>
    </row>
    <row r="1881" spans="38:38" x14ac:dyDescent="0.25">
      <c r="AL1881" s="6"/>
    </row>
    <row r="1882" spans="38:38" x14ac:dyDescent="0.25">
      <c r="AL1882" s="6"/>
    </row>
    <row r="1883" spans="38:38" x14ac:dyDescent="0.25">
      <c r="AL1883" s="6"/>
    </row>
    <row r="1884" spans="38:38" x14ac:dyDescent="0.25">
      <c r="AL1884" s="6"/>
    </row>
    <row r="1885" spans="38:38" x14ac:dyDescent="0.25">
      <c r="AL1885" s="6"/>
    </row>
    <row r="1886" spans="38:38" x14ac:dyDescent="0.25">
      <c r="AL1886" s="6"/>
    </row>
    <row r="1887" spans="38:38" x14ac:dyDescent="0.25">
      <c r="AL1887" s="6"/>
    </row>
    <row r="1888" spans="38:38" x14ac:dyDescent="0.25">
      <c r="AL1888" s="6"/>
    </row>
    <row r="1889" spans="38:38" x14ac:dyDescent="0.25">
      <c r="AL1889" s="6"/>
    </row>
    <row r="1890" spans="38:38" x14ac:dyDescent="0.25">
      <c r="AL1890" s="6"/>
    </row>
    <row r="1891" spans="38:38" x14ac:dyDescent="0.25">
      <c r="AL1891" s="6"/>
    </row>
    <row r="1892" spans="38:38" x14ac:dyDescent="0.25">
      <c r="AL1892" s="6"/>
    </row>
    <row r="1893" spans="38:38" x14ac:dyDescent="0.25">
      <c r="AL1893" s="6"/>
    </row>
    <row r="1894" spans="38:38" x14ac:dyDescent="0.25">
      <c r="AL1894" s="6"/>
    </row>
    <row r="1895" spans="38:38" x14ac:dyDescent="0.25">
      <c r="AL1895" s="6"/>
    </row>
    <row r="1896" spans="38:38" x14ac:dyDescent="0.25">
      <c r="AL1896" s="6"/>
    </row>
    <row r="1897" spans="38:38" x14ac:dyDescent="0.25">
      <c r="AL1897" s="6"/>
    </row>
    <row r="1898" spans="38:38" x14ac:dyDescent="0.25">
      <c r="AL1898" s="6"/>
    </row>
    <row r="1899" spans="38:38" x14ac:dyDescent="0.25">
      <c r="AL1899" s="6"/>
    </row>
    <row r="1900" spans="38:38" x14ac:dyDescent="0.25">
      <c r="AL1900" s="6"/>
    </row>
    <row r="1901" spans="38:38" x14ac:dyDescent="0.25">
      <c r="AL1901" s="6"/>
    </row>
    <row r="1902" spans="38:38" x14ac:dyDescent="0.25">
      <c r="AL1902" s="6"/>
    </row>
    <row r="1903" spans="38:38" x14ac:dyDescent="0.25">
      <c r="AL1903" s="6"/>
    </row>
    <row r="1904" spans="38:38" x14ac:dyDescent="0.25">
      <c r="AL1904" s="6"/>
    </row>
    <row r="1905" spans="38:38" x14ac:dyDescent="0.25">
      <c r="AL1905" s="6"/>
    </row>
    <row r="1906" spans="38:38" x14ac:dyDescent="0.25">
      <c r="AL1906" s="6"/>
    </row>
    <row r="1907" spans="38:38" x14ac:dyDescent="0.25">
      <c r="AL1907" s="6"/>
    </row>
    <row r="1908" spans="38:38" x14ac:dyDescent="0.25">
      <c r="AL1908" s="6"/>
    </row>
    <row r="1909" spans="38:38" x14ac:dyDescent="0.25">
      <c r="AL1909" s="6"/>
    </row>
    <row r="1910" spans="38:38" x14ac:dyDescent="0.25">
      <c r="AL1910" s="6"/>
    </row>
    <row r="1911" spans="38:38" x14ac:dyDescent="0.25">
      <c r="AL1911" s="6"/>
    </row>
    <row r="1912" spans="38:38" x14ac:dyDescent="0.25">
      <c r="AL1912" s="6"/>
    </row>
    <row r="1913" spans="38:38" x14ac:dyDescent="0.25">
      <c r="AL1913" s="6"/>
    </row>
    <row r="1914" spans="38:38" x14ac:dyDescent="0.25">
      <c r="AL1914" s="6"/>
    </row>
    <row r="1915" spans="38:38" x14ac:dyDescent="0.25">
      <c r="AL1915" s="6"/>
    </row>
    <row r="1916" spans="38:38" x14ac:dyDescent="0.25">
      <c r="AL1916" s="6"/>
    </row>
    <row r="1917" spans="38:38" x14ac:dyDescent="0.25">
      <c r="AL1917" s="6"/>
    </row>
    <row r="1918" spans="38:38" x14ac:dyDescent="0.25">
      <c r="AL1918" s="6"/>
    </row>
    <row r="1919" spans="38:38" x14ac:dyDescent="0.25">
      <c r="AL1919" s="6"/>
    </row>
    <row r="1920" spans="38:38" x14ac:dyDescent="0.25">
      <c r="AL1920" s="6"/>
    </row>
    <row r="1921" spans="38:38" x14ac:dyDescent="0.25">
      <c r="AL1921" s="6"/>
    </row>
    <row r="1922" spans="38:38" x14ac:dyDescent="0.25">
      <c r="AL1922" s="6"/>
    </row>
    <row r="1923" spans="38:38" x14ac:dyDescent="0.25">
      <c r="AL1923" s="6"/>
    </row>
    <row r="1924" spans="38:38" x14ac:dyDescent="0.25">
      <c r="AL1924" s="6"/>
    </row>
    <row r="1925" spans="38:38" x14ac:dyDescent="0.25">
      <c r="AL1925" s="6"/>
    </row>
    <row r="1926" spans="38:38" x14ac:dyDescent="0.25">
      <c r="AL1926" s="6"/>
    </row>
    <row r="1927" spans="38:38" x14ac:dyDescent="0.25">
      <c r="AL1927" s="6"/>
    </row>
    <row r="1928" spans="38:38" x14ac:dyDescent="0.25">
      <c r="AL1928" s="6"/>
    </row>
    <row r="1929" spans="38:38" x14ac:dyDescent="0.25">
      <c r="AL1929" s="6"/>
    </row>
    <row r="1930" spans="38:38" x14ac:dyDescent="0.25">
      <c r="AL1930" s="6"/>
    </row>
    <row r="1931" spans="38:38" x14ac:dyDescent="0.25">
      <c r="AL1931" s="6"/>
    </row>
    <row r="1932" spans="38:38" x14ac:dyDescent="0.25">
      <c r="AL1932" s="6"/>
    </row>
    <row r="1933" spans="38:38" x14ac:dyDescent="0.25">
      <c r="AL1933" s="6"/>
    </row>
    <row r="1934" spans="38:38" x14ac:dyDescent="0.25">
      <c r="AL1934" s="6"/>
    </row>
    <row r="1935" spans="38:38" x14ac:dyDescent="0.25">
      <c r="AL1935" s="6"/>
    </row>
    <row r="1936" spans="38:38" x14ac:dyDescent="0.25">
      <c r="AL1936" s="6"/>
    </row>
    <row r="1937" spans="38:38" x14ac:dyDescent="0.25">
      <c r="AL1937" s="6"/>
    </row>
    <row r="1938" spans="38:38" x14ac:dyDescent="0.25">
      <c r="AL1938" s="6"/>
    </row>
    <row r="1939" spans="38:38" x14ac:dyDescent="0.25">
      <c r="AL1939" s="6"/>
    </row>
    <row r="1940" spans="38:38" x14ac:dyDescent="0.25">
      <c r="AL1940" s="6"/>
    </row>
    <row r="1941" spans="38:38" x14ac:dyDescent="0.25">
      <c r="AL1941" s="6"/>
    </row>
    <row r="1942" spans="38:38" x14ac:dyDescent="0.25">
      <c r="AL1942" s="6"/>
    </row>
    <row r="1943" spans="38:38" x14ac:dyDescent="0.25">
      <c r="AL1943" s="6"/>
    </row>
    <row r="1944" spans="38:38" x14ac:dyDescent="0.25">
      <c r="AL1944" s="6"/>
    </row>
    <row r="1945" spans="38:38" x14ac:dyDescent="0.25">
      <c r="AL1945" s="6"/>
    </row>
    <row r="1946" spans="38:38" x14ac:dyDescent="0.25">
      <c r="AL1946" s="6"/>
    </row>
    <row r="1947" spans="38:38" x14ac:dyDescent="0.25">
      <c r="AL1947" s="6"/>
    </row>
    <row r="1948" spans="38:38" x14ac:dyDescent="0.25">
      <c r="AL1948" s="6"/>
    </row>
    <row r="1949" spans="38:38" x14ac:dyDescent="0.25">
      <c r="AL1949" s="6"/>
    </row>
    <row r="1950" spans="38:38" x14ac:dyDescent="0.25">
      <c r="AL1950" s="6"/>
    </row>
    <row r="1951" spans="38:38" x14ac:dyDescent="0.25">
      <c r="AL1951" s="6"/>
    </row>
    <row r="1952" spans="38:38" x14ac:dyDescent="0.25">
      <c r="AL1952" s="6"/>
    </row>
    <row r="1953" spans="38:38" x14ac:dyDescent="0.25">
      <c r="AL1953" s="6"/>
    </row>
    <row r="1954" spans="38:38" x14ac:dyDescent="0.25">
      <c r="AL1954" s="6"/>
    </row>
    <row r="1955" spans="38:38" x14ac:dyDescent="0.25">
      <c r="AL1955" s="6"/>
    </row>
    <row r="1956" spans="38:38" x14ac:dyDescent="0.25">
      <c r="AL1956" s="6"/>
    </row>
    <row r="1957" spans="38:38" x14ac:dyDescent="0.25">
      <c r="AL1957" s="6"/>
    </row>
    <row r="1958" spans="38:38" x14ac:dyDescent="0.25">
      <c r="AL1958" s="6"/>
    </row>
    <row r="1959" spans="38:38" x14ac:dyDescent="0.25">
      <c r="AL1959" s="6"/>
    </row>
    <row r="1960" spans="38:38" x14ac:dyDescent="0.25">
      <c r="AL1960" s="6"/>
    </row>
    <row r="1961" spans="38:38" x14ac:dyDescent="0.25">
      <c r="AL1961" s="6"/>
    </row>
    <row r="1962" spans="38:38" x14ac:dyDescent="0.25">
      <c r="AL1962" s="6"/>
    </row>
    <row r="1963" spans="38:38" x14ac:dyDescent="0.25">
      <c r="AL1963" s="6"/>
    </row>
    <row r="1964" spans="38:38" x14ac:dyDescent="0.25">
      <c r="AL1964" s="6"/>
    </row>
    <row r="1965" spans="38:38" x14ac:dyDescent="0.25">
      <c r="AL1965" s="6"/>
    </row>
    <row r="1966" spans="38:38" x14ac:dyDescent="0.25">
      <c r="AL1966" s="6"/>
    </row>
    <row r="1967" spans="38:38" x14ac:dyDescent="0.25">
      <c r="AL1967" s="6"/>
    </row>
    <row r="1968" spans="38:38" x14ac:dyDescent="0.25">
      <c r="AL1968" s="6"/>
    </row>
    <row r="1969" spans="38:38" x14ac:dyDescent="0.25">
      <c r="AL1969" s="6"/>
    </row>
    <row r="1970" spans="38:38" x14ac:dyDescent="0.25">
      <c r="AL1970" s="6"/>
    </row>
    <row r="1971" spans="38:38" x14ac:dyDescent="0.25">
      <c r="AL1971" s="6"/>
    </row>
    <row r="1972" spans="38:38" x14ac:dyDescent="0.25">
      <c r="AL1972" s="6"/>
    </row>
    <row r="1973" spans="38:38" x14ac:dyDescent="0.25">
      <c r="AL1973" s="6"/>
    </row>
    <row r="1974" spans="38:38" x14ac:dyDescent="0.25">
      <c r="AL1974" s="6"/>
    </row>
    <row r="1975" spans="38:38" x14ac:dyDescent="0.25">
      <c r="AL1975" s="6"/>
    </row>
    <row r="1976" spans="38:38" x14ac:dyDescent="0.25">
      <c r="AL1976" s="6"/>
    </row>
    <row r="1977" spans="38:38" x14ac:dyDescent="0.25">
      <c r="AL1977" s="6"/>
    </row>
    <row r="1978" spans="38:38" x14ac:dyDescent="0.25">
      <c r="AL1978" s="6"/>
    </row>
    <row r="1979" spans="38:38" x14ac:dyDescent="0.25">
      <c r="AL1979" s="6"/>
    </row>
    <row r="1980" spans="38:38" x14ac:dyDescent="0.25">
      <c r="AL1980" s="6"/>
    </row>
    <row r="1981" spans="38:38" x14ac:dyDescent="0.25">
      <c r="AL1981" s="6"/>
    </row>
    <row r="1982" spans="38:38" x14ac:dyDescent="0.25">
      <c r="AL1982" s="6"/>
    </row>
    <row r="1983" spans="38:38" x14ac:dyDescent="0.25">
      <c r="AL1983" s="6"/>
    </row>
    <row r="1984" spans="38:38" x14ac:dyDescent="0.25">
      <c r="AL1984" s="6"/>
    </row>
    <row r="1985" spans="38:38" x14ac:dyDescent="0.25">
      <c r="AL1985" s="6"/>
    </row>
    <row r="1986" spans="38:38" x14ac:dyDescent="0.25">
      <c r="AL1986" s="6"/>
    </row>
    <row r="1987" spans="38:38" x14ac:dyDescent="0.25">
      <c r="AL1987" s="6"/>
    </row>
    <row r="1988" spans="38:38" x14ac:dyDescent="0.25">
      <c r="AL1988" s="6"/>
    </row>
    <row r="1989" spans="38:38" x14ac:dyDescent="0.25">
      <c r="AL1989" s="6"/>
    </row>
    <row r="1990" spans="38:38" x14ac:dyDescent="0.25">
      <c r="AL1990" s="6"/>
    </row>
    <row r="1991" spans="38:38" x14ac:dyDescent="0.25">
      <c r="AL1991" s="6"/>
    </row>
    <row r="1992" spans="38:38" x14ac:dyDescent="0.25">
      <c r="AL1992" s="6"/>
    </row>
    <row r="1993" spans="38:38" x14ac:dyDescent="0.25">
      <c r="AL1993" s="6"/>
    </row>
    <row r="1994" spans="38:38" x14ac:dyDescent="0.25">
      <c r="AL1994" s="6"/>
    </row>
    <row r="1995" spans="38:38" x14ac:dyDescent="0.25">
      <c r="AL1995" s="6"/>
    </row>
    <row r="1996" spans="38:38" x14ac:dyDescent="0.25">
      <c r="AL1996" s="6"/>
    </row>
    <row r="1997" spans="38:38" x14ac:dyDescent="0.25">
      <c r="AL1997" s="6"/>
    </row>
    <row r="1998" spans="38:38" x14ac:dyDescent="0.25">
      <c r="AL1998" s="6"/>
    </row>
    <row r="1999" spans="38:38" x14ac:dyDescent="0.25">
      <c r="AL1999" s="6"/>
    </row>
    <row r="2000" spans="38:38" x14ac:dyDescent="0.25">
      <c r="AL2000" s="6"/>
    </row>
    <row r="2001" spans="38:38" x14ac:dyDescent="0.25">
      <c r="AL2001" s="6"/>
    </row>
    <row r="2002" spans="38:38" x14ac:dyDescent="0.25">
      <c r="AL2002" s="6"/>
    </row>
    <row r="2003" spans="38:38" x14ac:dyDescent="0.25">
      <c r="AL2003" s="6"/>
    </row>
    <row r="2004" spans="38:38" x14ac:dyDescent="0.25">
      <c r="AL2004" s="6"/>
    </row>
    <row r="2005" spans="38:38" x14ac:dyDescent="0.25">
      <c r="AL2005" s="6"/>
    </row>
    <row r="2006" spans="38:38" x14ac:dyDescent="0.25">
      <c r="AL2006" s="6"/>
    </row>
    <row r="2007" spans="38:38" x14ac:dyDescent="0.25">
      <c r="AL2007" s="6"/>
    </row>
    <row r="2008" spans="38:38" x14ac:dyDescent="0.25">
      <c r="AL2008" s="6"/>
    </row>
    <row r="2009" spans="38:38" x14ac:dyDescent="0.25">
      <c r="AL2009" s="6"/>
    </row>
    <row r="2010" spans="38:38" x14ac:dyDescent="0.25">
      <c r="AL2010" s="6"/>
    </row>
    <row r="2011" spans="38:38" x14ac:dyDescent="0.25">
      <c r="AL2011" s="6"/>
    </row>
    <row r="2012" spans="38:38" x14ac:dyDescent="0.25">
      <c r="AL2012" s="6"/>
    </row>
    <row r="2013" spans="38:38" x14ac:dyDescent="0.25">
      <c r="AL2013" s="6"/>
    </row>
    <row r="2014" spans="38:38" x14ac:dyDescent="0.25">
      <c r="AL2014" s="6"/>
    </row>
    <row r="2015" spans="38:38" x14ac:dyDescent="0.25">
      <c r="AL2015" s="6"/>
    </row>
    <row r="2016" spans="38:38" x14ac:dyDescent="0.25">
      <c r="AL2016" s="6"/>
    </row>
    <row r="2017" spans="38:38" x14ac:dyDescent="0.25">
      <c r="AL2017" s="6"/>
    </row>
    <row r="2018" spans="38:38" x14ac:dyDescent="0.25">
      <c r="AL2018" s="6"/>
    </row>
    <row r="2019" spans="38:38" x14ac:dyDescent="0.25">
      <c r="AL2019" s="6"/>
    </row>
    <row r="2020" spans="38:38" x14ac:dyDescent="0.25">
      <c r="AL2020" s="6"/>
    </row>
    <row r="2021" spans="38:38" x14ac:dyDescent="0.25">
      <c r="AL2021" s="6"/>
    </row>
    <row r="2022" spans="38:38" x14ac:dyDescent="0.25">
      <c r="AL2022" s="6"/>
    </row>
    <row r="2023" spans="38:38" x14ac:dyDescent="0.25">
      <c r="AL2023" s="6"/>
    </row>
    <row r="2024" spans="38:38" x14ac:dyDescent="0.25">
      <c r="AL2024" s="6"/>
    </row>
    <row r="2025" spans="38:38" x14ac:dyDescent="0.25">
      <c r="AL2025" s="6"/>
    </row>
    <row r="2026" spans="38:38" x14ac:dyDescent="0.25">
      <c r="AL2026" s="6"/>
    </row>
    <row r="2027" spans="38:38" x14ac:dyDescent="0.25">
      <c r="AL2027" s="6"/>
    </row>
    <row r="2028" spans="38:38" x14ac:dyDescent="0.25">
      <c r="AL2028" s="6"/>
    </row>
    <row r="2029" spans="38:38" x14ac:dyDescent="0.25">
      <c r="AL2029" s="6"/>
    </row>
    <row r="2030" spans="38:38" x14ac:dyDescent="0.25">
      <c r="AL2030" s="6"/>
    </row>
    <row r="2031" spans="38:38" x14ac:dyDescent="0.25">
      <c r="AL2031" s="6"/>
    </row>
    <row r="2032" spans="38:38" x14ac:dyDescent="0.25">
      <c r="AL2032" s="6"/>
    </row>
    <row r="2033" spans="38:38" x14ac:dyDescent="0.25">
      <c r="AL2033" s="6"/>
    </row>
    <row r="2034" spans="38:38" x14ac:dyDescent="0.25">
      <c r="AL2034" s="6"/>
    </row>
    <row r="2035" spans="38:38" x14ac:dyDescent="0.25">
      <c r="AL2035" s="6"/>
    </row>
    <row r="2036" spans="38:38" x14ac:dyDescent="0.25">
      <c r="AL2036" s="6"/>
    </row>
    <row r="2037" spans="38:38" x14ac:dyDescent="0.25">
      <c r="AL2037" s="6"/>
    </row>
    <row r="2038" spans="38:38" x14ac:dyDescent="0.25">
      <c r="AL2038" s="6"/>
    </row>
    <row r="2039" spans="38:38" x14ac:dyDescent="0.25">
      <c r="AL2039" s="6"/>
    </row>
    <row r="2040" spans="38:38" x14ac:dyDescent="0.25">
      <c r="AL2040" s="6"/>
    </row>
    <row r="2041" spans="38:38" x14ac:dyDescent="0.25">
      <c r="AL2041" s="6"/>
    </row>
    <row r="2042" spans="38:38" x14ac:dyDescent="0.25">
      <c r="AL2042" s="6"/>
    </row>
    <row r="2043" spans="38:38" x14ac:dyDescent="0.25">
      <c r="AL2043" s="6"/>
    </row>
    <row r="2044" spans="38:38" x14ac:dyDescent="0.25">
      <c r="AL2044" s="6"/>
    </row>
    <row r="2045" spans="38:38" x14ac:dyDescent="0.25">
      <c r="AL2045" s="6"/>
    </row>
    <row r="2046" spans="38:38" x14ac:dyDescent="0.25">
      <c r="AL2046" s="6"/>
    </row>
    <row r="2047" spans="38:38" x14ac:dyDescent="0.25">
      <c r="AL2047" s="6"/>
    </row>
    <row r="2048" spans="38:38" x14ac:dyDescent="0.25">
      <c r="AL2048" s="6"/>
    </row>
    <row r="2049" spans="38:38" x14ac:dyDescent="0.25">
      <c r="AL2049" s="6"/>
    </row>
    <row r="2050" spans="38:38" x14ac:dyDescent="0.25">
      <c r="AL2050" s="6"/>
    </row>
    <row r="2051" spans="38:38" x14ac:dyDescent="0.25">
      <c r="AL2051" s="6"/>
    </row>
    <row r="2052" spans="38:38" x14ac:dyDescent="0.25">
      <c r="AL2052" s="6"/>
    </row>
    <row r="2053" spans="38:38" x14ac:dyDescent="0.25">
      <c r="AL2053" s="6"/>
    </row>
    <row r="2054" spans="38:38" x14ac:dyDescent="0.25">
      <c r="AL2054" s="6"/>
    </row>
    <row r="2055" spans="38:38" x14ac:dyDescent="0.25">
      <c r="AL2055" s="6"/>
    </row>
    <row r="2056" spans="38:38" x14ac:dyDescent="0.25">
      <c r="AL2056" s="6"/>
    </row>
    <row r="2057" spans="38:38" x14ac:dyDescent="0.25">
      <c r="AL2057" s="6"/>
    </row>
    <row r="2058" spans="38:38" x14ac:dyDescent="0.25">
      <c r="AL2058" s="6"/>
    </row>
    <row r="2059" spans="38:38" x14ac:dyDescent="0.25">
      <c r="AL2059" s="6"/>
    </row>
    <row r="2060" spans="38:38" x14ac:dyDescent="0.25">
      <c r="AL2060" s="6"/>
    </row>
    <row r="2061" spans="38:38" x14ac:dyDescent="0.25">
      <c r="AL2061" s="6"/>
    </row>
    <row r="2062" spans="38:38" x14ac:dyDescent="0.25">
      <c r="AL2062" s="6"/>
    </row>
    <row r="2063" spans="38:38" x14ac:dyDescent="0.25">
      <c r="AL2063" s="6"/>
    </row>
    <row r="2064" spans="38:38" x14ac:dyDescent="0.25">
      <c r="AL2064" s="6"/>
    </row>
    <row r="2065" spans="38:38" x14ac:dyDescent="0.25">
      <c r="AL2065" s="6"/>
    </row>
    <row r="2066" spans="38:38" x14ac:dyDescent="0.25">
      <c r="AL2066" s="6"/>
    </row>
    <row r="2067" spans="38:38" x14ac:dyDescent="0.25">
      <c r="AL2067" s="6"/>
    </row>
    <row r="2068" spans="38:38" x14ac:dyDescent="0.25">
      <c r="AL2068" s="6"/>
    </row>
    <row r="2069" spans="38:38" x14ac:dyDescent="0.25">
      <c r="AL2069" s="6"/>
    </row>
    <row r="2070" spans="38:38" x14ac:dyDescent="0.25">
      <c r="AL2070" s="6"/>
    </row>
    <row r="2071" spans="38:38" x14ac:dyDescent="0.25">
      <c r="AL2071" s="6"/>
    </row>
    <row r="2072" spans="38:38" x14ac:dyDescent="0.25">
      <c r="AL2072" s="6"/>
    </row>
    <row r="2073" spans="38:38" x14ac:dyDescent="0.25">
      <c r="AL2073" s="6"/>
    </row>
    <row r="2074" spans="38:38" x14ac:dyDescent="0.25">
      <c r="AL2074" s="6"/>
    </row>
    <row r="2075" spans="38:38" x14ac:dyDescent="0.25">
      <c r="AL2075" s="6"/>
    </row>
    <row r="2076" spans="38:38" x14ac:dyDescent="0.25">
      <c r="AL2076" s="6"/>
    </row>
    <row r="2077" spans="38:38" x14ac:dyDescent="0.25">
      <c r="AL2077" s="6"/>
    </row>
    <row r="2078" spans="38:38" x14ac:dyDescent="0.25">
      <c r="AL2078" s="6"/>
    </row>
    <row r="2079" spans="38:38" x14ac:dyDescent="0.25">
      <c r="AL2079" s="6"/>
    </row>
    <row r="2080" spans="38:38" x14ac:dyDescent="0.25">
      <c r="AL2080" s="6"/>
    </row>
    <row r="2081" spans="38:38" x14ac:dyDescent="0.25">
      <c r="AL2081" s="6"/>
    </row>
    <row r="2082" spans="38:38" x14ac:dyDescent="0.25">
      <c r="AL2082" s="6"/>
    </row>
    <row r="2083" spans="38:38" x14ac:dyDescent="0.25">
      <c r="AL2083" s="6"/>
    </row>
    <row r="2084" spans="38:38" x14ac:dyDescent="0.25">
      <c r="AL2084" s="6"/>
    </row>
    <row r="2085" spans="38:38" x14ac:dyDescent="0.25">
      <c r="AL2085" s="6"/>
    </row>
    <row r="2086" spans="38:38" x14ac:dyDescent="0.25">
      <c r="AL2086" s="6"/>
    </row>
    <row r="2087" spans="38:38" x14ac:dyDescent="0.25">
      <c r="AL2087" s="6"/>
    </row>
    <row r="2088" spans="38:38" x14ac:dyDescent="0.25">
      <c r="AL2088" s="6"/>
    </row>
    <row r="2089" spans="38:38" x14ac:dyDescent="0.25">
      <c r="AL2089" s="6"/>
    </row>
    <row r="2090" spans="38:38" x14ac:dyDescent="0.25">
      <c r="AL2090" s="6"/>
    </row>
    <row r="2091" spans="38:38" x14ac:dyDescent="0.25">
      <c r="AL2091" s="6"/>
    </row>
    <row r="2092" spans="38:38" x14ac:dyDescent="0.25">
      <c r="AL2092" s="6"/>
    </row>
    <row r="2093" spans="38:38" x14ac:dyDescent="0.25">
      <c r="AL2093" s="6"/>
    </row>
    <row r="2094" spans="38:38" x14ac:dyDescent="0.25">
      <c r="AL2094" s="6"/>
    </row>
    <row r="2095" spans="38:38" x14ac:dyDescent="0.25">
      <c r="AL2095" s="6"/>
    </row>
    <row r="2096" spans="38:38" x14ac:dyDescent="0.25">
      <c r="AL2096" s="6"/>
    </row>
    <row r="2097" spans="38:38" x14ac:dyDescent="0.25">
      <c r="AL2097" s="6"/>
    </row>
    <row r="2098" spans="38:38" x14ac:dyDescent="0.25">
      <c r="AL2098" s="6"/>
    </row>
    <row r="2099" spans="38:38" x14ac:dyDescent="0.25">
      <c r="AL2099" s="6"/>
    </row>
    <row r="2100" spans="38:38" x14ac:dyDescent="0.25">
      <c r="AL2100" s="6"/>
    </row>
    <row r="2101" spans="38:38" x14ac:dyDescent="0.25">
      <c r="AL2101" s="6"/>
    </row>
    <row r="2102" spans="38:38" x14ac:dyDescent="0.25">
      <c r="AL2102" s="6"/>
    </row>
    <row r="2103" spans="38:38" x14ac:dyDescent="0.25">
      <c r="AL2103" s="6"/>
    </row>
    <row r="2104" spans="38:38" x14ac:dyDescent="0.25">
      <c r="AL2104" s="6"/>
    </row>
    <row r="2105" spans="38:38" x14ac:dyDescent="0.25">
      <c r="AL2105" s="6"/>
    </row>
    <row r="2106" spans="38:38" x14ac:dyDescent="0.25">
      <c r="AL2106" s="6"/>
    </row>
    <row r="2107" spans="38:38" x14ac:dyDescent="0.25">
      <c r="AL2107" s="6"/>
    </row>
    <row r="2108" spans="38:38" x14ac:dyDescent="0.25">
      <c r="AL2108" s="6"/>
    </row>
    <row r="2109" spans="38:38" x14ac:dyDescent="0.25">
      <c r="AL2109" s="6"/>
    </row>
    <row r="2110" spans="38:38" x14ac:dyDescent="0.25">
      <c r="AL2110" s="6"/>
    </row>
    <row r="2111" spans="38:38" x14ac:dyDescent="0.25">
      <c r="AL2111" s="6"/>
    </row>
    <row r="2112" spans="38:38" x14ac:dyDescent="0.25">
      <c r="AL2112" s="6"/>
    </row>
    <row r="2113" spans="38:38" x14ac:dyDescent="0.25">
      <c r="AL2113" s="6"/>
    </row>
    <row r="2114" spans="38:38" x14ac:dyDescent="0.25">
      <c r="AL2114" s="6"/>
    </row>
    <row r="2115" spans="38:38" x14ac:dyDescent="0.25">
      <c r="AL2115" s="6"/>
    </row>
    <row r="2116" spans="38:38" x14ac:dyDescent="0.25">
      <c r="AL2116" s="6"/>
    </row>
    <row r="2117" spans="38:38" x14ac:dyDescent="0.25">
      <c r="AL2117" s="6"/>
    </row>
    <row r="2118" spans="38:38" x14ac:dyDescent="0.25">
      <c r="AL2118" s="6"/>
    </row>
    <row r="2119" spans="38:38" x14ac:dyDescent="0.25">
      <c r="AL2119" s="6"/>
    </row>
    <row r="2120" spans="38:38" x14ac:dyDescent="0.25">
      <c r="AL2120" s="6"/>
    </row>
    <row r="2121" spans="38:38" x14ac:dyDescent="0.25">
      <c r="AL2121" s="6"/>
    </row>
    <row r="2122" spans="38:38" x14ac:dyDescent="0.25">
      <c r="AL2122" s="6"/>
    </row>
    <row r="2123" spans="38:38" x14ac:dyDescent="0.25">
      <c r="AL2123" s="6"/>
    </row>
    <row r="2124" spans="38:38" x14ac:dyDescent="0.25">
      <c r="AL2124" s="6"/>
    </row>
    <row r="2125" spans="38:38" x14ac:dyDescent="0.25">
      <c r="AL2125" s="6"/>
    </row>
    <row r="2126" spans="38:38" x14ac:dyDescent="0.25">
      <c r="AL2126" s="6"/>
    </row>
    <row r="2127" spans="38:38" x14ac:dyDescent="0.25">
      <c r="AL2127" s="6"/>
    </row>
    <row r="2128" spans="38:38" x14ac:dyDescent="0.25">
      <c r="AL2128" s="6"/>
    </row>
    <row r="2129" spans="38:38" x14ac:dyDescent="0.25">
      <c r="AL2129" s="6"/>
    </row>
    <row r="2130" spans="38:38" x14ac:dyDescent="0.25">
      <c r="AL2130" s="6"/>
    </row>
    <row r="2131" spans="38:38" x14ac:dyDescent="0.25">
      <c r="AL2131" s="6"/>
    </row>
    <row r="2132" spans="38:38" x14ac:dyDescent="0.25">
      <c r="AL2132" s="6"/>
    </row>
    <row r="2133" spans="38:38" x14ac:dyDescent="0.25">
      <c r="AL2133" s="6"/>
    </row>
    <row r="2134" spans="38:38" x14ac:dyDescent="0.25">
      <c r="AL2134" s="6"/>
    </row>
    <row r="2135" spans="38:38" x14ac:dyDescent="0.25">
      <c r="AL2135" s="6"/>
    </row>
    <row r="2136" spans="38:38" x14ac:dyDescent="0.25">
      <c r="AL2136" s="6"/>
    </row>
    <row r="2137" spans="38:38" x14ac:dyDescent="0.25">
      <c r="AL2137" s="6"/>
    </row>
    <row r="2138" spans="38:38" x14ac:dyDescent="0.25">
      <c r="AL2138" s="6"/>
    </row>
    <row r="2139" spans="38:38" x14ac:dyDescent="0.25">
      <c r="AL2139" s="6"/>
    </row>
    <row r="2140" spans="38:38" x14ac:dyDescent="0.25">
      <c r="AL2140" s="6"/>
    </row>
    <row r="2141" spans="38:38" x14ac:dyDescent="0.25">
      <c r="AL2141" s="6"/>
    </row>
    <row r="2142" spans="38:38" x14ac:dyDescent="0.25">
      <c r="AL2142" s="6"/>
    </row>
    <row r="2143" spans="38:38" x14ac:dyDescent="0.25">
      <c r="AL2143" s="6"/>
    </row>
    <row r="2144" spans="38:38" x14ac:dyDescent="0.25">
      <c r="AL2144" s="6"/>
    </row>
    <row r="2145" spans="38:38" x14ac:dyDescent="0.25">
      <c r="AL2145" s="6"/>
    </row>
    <row r="2146" spans="38:38" x14ac:dyDescent="0.25">
      <c r="AL2146" s="6"/>
    </row>
    <row r="2147" spans="38:38" x14ac:dyDescent="0.25">
      <c r="AL2147" s="6"/>
    </row>
    <row r="2148" spans="38:38" x14ac:dyDescent="0.25">
      <c r="AL2148" s="6"/>
    </row>
    <row r="2149" spans="38:38" x14ac:dyDescent="0.25">
      <c r="AL2149" s="6"/>
    </row>
    <row r="2150" spans="38:38" x14ac:dyDescent="0.25">
      <c r="AL2150" s="6"/>
    </row>
    <row r="2151" spans="38:38" x14ac:dyDescent="0.25">
      <c r="AL2151" s="6"/>
    </row>
    <row r="2152" spans="38:38" x14ac:dyDescent="0.25">
      <c r="AL2152" s="6"/>
    </row>
    <row r="2153" spans="38:38" x14ac:dyDescent="0.25">
      <c r="AL2153" s="6"/>
    </row>
    <row r="2154" spans="38:38" x14ac:dyDescent="0.25">
      <c r="AL2154" s="6"/>
    </row>
    <row r="2155" spans="38:38" x14ac:dyDescent="0.25">
      <c r="AL2155" s="6"/>
    </row>
    <row r="2156" spans="38:38" x14ac:dyDescent="0.25">
      <c r="AL2156" s="6"/>
    </row>
    <row r="2157" spans="38:38" x14ac:dyDescent="0.25">
      <c r="AL2157" s="6"/>
    </row>
    <row r="2158" spans="38:38" x14ac:dyDescent="0.25">
      <c r="AL2158" s="6"/>
    </row>
    <row r="2159" spans="38:38" x14ac:dyDescent="0.25">
      <c r="AL2159" s="6"/>
    </row>
    <row r="2160" spans="38:38" x14ac:dyDescent="0.25">
      <c r="AL2160" s="6"/>
    </row>
    <row r="2161" spans="38:38" x14ac:dyDescent="0.25">
      <c r="AL2161" s="6"/>
    </row>
    <row r="2162" spans="38:38" x14ac:dyDescent="0.25">
      <c r="AL2162" s="6"/>
    </row>
    <row r="2163" spans="38:38" x14ac:dyDescent="0.25">
      <c r="AL2163" s="6"/>
    </row>
    <row r="2164" spans="38:38" x14ac:dyDescent="0.25">
      <c r="AL2164" s="6"/>
    </row>
    <row r="2165" spans="38:38" x14ac:dyDescent="0.25">
      <c r="AL2165" s="6"/>
    </row>
    <row r="2166" spans="38:38" x14ac:dyDescent="0.25">
      <c r="AL2166" s="6"/>
    </row>
    <row r="2167" spans="38:38" x14ac:dyDescent="0.25">
      <c r="AL2167" s="6"/>
    </row>
    <row r="2168" spans="38:38" x14ac:dyDescent="0.25">
      <c r="AL2168" s="6"/>
    </row>
    <row r="2169" spans="38:38" x14ac:dyDescent="0.25">
      <c r="AL2169" s="6"/>
    </row>
    <row r="2170" spans="38:38" x14ac:dyDescent="0.25">
      <c r="AL2170" s="6"/>
    </row>
    <row r="2171" spans="38:38" x14ac:dyDescent="0.25">
      <c r="AL2171" s="6"/>
    </row>
    <row r="2172" spans="38:38" x14ac:dyDescent="0.25">
      <c r="AL2172" s="6"/>
    </row>
    <row r="2173" spans="38:38" x14ac:dyDescent="0.25">
      <c r="AL2173" s="6"/>
    </row>
    <row r="2174" spans="38:38" x14ac:dyDescent="0.25">
      <c r="AL2174" s="6"/>
    </row>
    <row r="2175" spans="38:38" x14ac:dyDescent="0.25">
      <c r="AL2175" s="6"/>
    </row>
    <row r="2176" spans="38:38" x14ac:dyDescent="0.25">
      <c r="AL2176" s="6"/>
    </row>
    <row r="2177" spans="38:38" x14ac:dyDescent="0.25">
      <c r="AL2177" s="6"/>
    </row>
    <row r="2178" spans="38:38" x14ac:dyDescent="0.25">
      <c r="AL2178" s="6"/>
    </row>
    <row r="2179" spans="38:38" x14ac:dyDescent="0.25">
      <c r="AL2179" s="6"/>
    </row>
    <row r="2180" spans="38:38" x14ac:dyDescent="0.25">
      <c r="AL2180" s="6"/>
    </row>
    <row r="2181" spans="38:38" x14ac:dyDescent="0.25">
      <c r="AL2181" s="6"/>
    </row>
    <row r="2182" spans="38:38" x14ac:dyDescent="0.25">
      <c r="AL2182" s="6"/>
    </row>
    <row r="2183" spans="38:38" x14ac:dyDescent="0.25">
      <c r="AL2183" s="6"/>
    </row>
    <row r="2184" spans="38:38" x14ac:dyDescent="0.25">
      <c r="AL2184" s="6"/>
    </row>
    <row r="2185" spans="38:38" x14ac:dyDescent="0.25">
      <c r="AL2185" s="6"/>
    </row>
    <row r="2186" spans="38:38" x14ac:dyDescent="0.25">
      <c r="AL2186" s="6"/>
    </row>
    <row r="2187" spans="38:38" x14ac:dyDescent="0.25">
      <c r="AL2187" s="6"/>
    </row>
    <row r="2188" spans="38:38" x14ac:dyDescent="0.25">
      <c r="AL2188" s="6"/>
    </row>
    <row r="2189" spans="38:38" x14ac:dyDescent="0.25">
      <c r="AL2189" s="6"/>
    </row>
    <row r="2190" spans="38:38" x14ac:dyDescent="0.25">
      <c r="AL2190" s="6"/>
    </row>
    <row r="2191" spans="38:38" x14ac:dyDescent="0.25">
      <c r="AL2191" s="6"/>
    </row>
    <row r="2192" spans="38:38" x14ac:dyDescent="0.25">
      <c r="AL2192" s="6"/>
    </row>
    <row r="2193" spans="38:38" x14ac:dyDescent="0.25">
      <c r="AL2193" s="6"/>
    </row>
    <row r="2194" spans="38:38" x14ac:dyDescent="0.25">
      <c r="AL2194" s="6"/>
    </row>
    <row r="2195" spans="38:38" x14ac:dyDescent="0.25">
      <c r="AL2195" s="6"/>
    </row>
    <row r="2196" spans="38:38" x14ac:dyDescent="0.25">
      <c r="AL2196" s="6"/>
    </row>
    <row r="2197" spans="38:38" x14ac:dyDescent="0.25">
      <c r="AL2197" s="6"/>
    </row>
    <row r="2198" spans="38:38" x14ac:dyDescent="0.25">
      <c r="AL2198" s="6"/>
    </row>
    <row r="2199" spans="38:38" x14ac:dyDescent="0.25">
      <c r="AL2199" s="6"/>
    </row>
    <row r="2200" spans="38:38" x14ac:dyDescent="0.25">
      <c r="AL2200" s="6"/>
    </row>
    <row r="2201" spans="38:38" x14ac:dyDescent="0.25">
      <c r="AL2201" s="6"/>
    </row>
    <row r="2202" spans="38:38" x14ac:dyDescent="0.25">
      <c r="AL2202" s="6"/>
    </row>
    <row r="2203" spans="38:38" x14ac:dyDescent="0.25">
      <c r="AL2203" s="6"/>
    </row>
    <row r="2204" spans="38:38" x14ac:dyDescent="0.25">
      <c r="AL2204" s="6"/>
    </row>
    <row r="2205" spans="38:38" x14ac:dyDescent="0.25">
      <c r="AL2205" s="6"/>
    </row>
    <row r="2206" spans="38:38" x14ac:dyDescent="0.25">
      <c r="AL2206" s="6"/>
    </row>
    <row r="2207" spans="38:38" x14ac:dyDescent="0.25">
      <c r="AL2207" s="6"/>
    </row>
    <row r="2208" spans="38:38" x14ac:dyDescent="0.25">
      <c r="AL2208" s="6"/>
    </row>
    <row r="2209" spans="38:38" x14ac:dyDescent="0.25">
      <c r="AL2209" s="6"/>
    </row>
    <row r="2210" spans="38:38" x14ac:dyDescent="0.25">
      <c r="AL2210" s="6"/>
    </row>
    <row r="2211" spans="38:38" x14ac:dyDescent="0.25">
      <c r="AL2211" s="6"/>
    </row>
    <row r="2212" spans="38:38" x14ac:dyDescent="0.25">
      <c r="AL2212" s="6"/>
    </row>
    <row r="2213" spans="38:38" x14ac:dyDescent="0.25">
      <c r="AL2213" s="6"/>
    </row>
    <row r="2214" spans="38:38" x14ac:dyDescent="0.25">
      <c r="AL2214" s="6"/>
    </row>
    <row r="2215" spans="38:38" x14ac:dyDescent="0.25">
      <c r="AL2215" s="6"/>
    </row>
    <row r="2216" spans="38:38" x14ac:dyDescent="0.25">
      <c r="AL2216" s="6"/>
    </row>
    <row r="2217" spans="38:38" x14ac:dyDescent="0.25">
      <c r="AL2217" s="6"/>
    </row>
    <row r="2218" spans="38:38" x14ac:dyDescent="0.25">
      <c r="AL2218" s="6"/>
    </row>
    <row r="2219" spans="38:38" x14ac:dyDescent="0.25">
      <c r="AL2219" s="6"/>
    </row>
    <row r="2220" spans="38:38" x14ac:dyDescent="0.25">
      <c r="AL2220" s="6"/>
    </row>
    <row r="2221" spans="38:38" x14ac:dyDescent="0.25">
      <c r="AL2221" s="6"/>
    </row>
    <row r="2222" spans="38:38" x14ac:dyDescent="0.25">
      <c r="AL2222" s="6"/>
    </row>
    <row r="2223" spans="38:38" x14ac:dyDescent="0.25">
      <c r="AL2223" s="6"/>
    </row>
    <row r="2224" spans="38:38" x14ac:dyDescent="0.25">
      <c r="AL2224" s="6"/>
    </row>
    <row r="2225" spans="38:38" x14ac:dyDescent="0.25">
      <c r="AL2225" s="6"/>
    </row>
    <row r="2226" spans="38:38" x14ac:dyDescent="0.25">
      <c r="AL2226" s="6"/>
    </row>
    <row r="2227" spans="38:38" x14ac:dyDescent="0.25">
      <c r="AL2227" s="6"/>
    </row>
    <row r="2228" spans="38:38" x14ac:dyDescent="0.25">
      <c r="AL2228" s="6"/>
    </row>
    <row r="2229" spans="38:38" x14ac:dyDescent="0.25">
      <c r="AL2229" s="6"/>
    </row>
    <row r="2230" spans="38:38" x14ac:dyDescent="0.25">
      <c r="AL2230" s="6"/>
    </row>
    <row r="2231" spans="38:38" x14ac:dyDescent="0.25">
      <c r="AL2231" s="6"/>
    </row>
    <row r="2232" spans="38:38" x14ac:dyDescent="0.25">
      <c r="AL2232" s="6"/>
    </row>
    <row r="2233" spans="38:38" x14ac:dyDescent="0.25">
      <c r="AL2233" s="6"/>
    </row>
    <row r="2234" spans="38:38" x14ac:dyDescent="0.25">
      <c r="AL2234" s="6"/>
    </row>
    <row r="2235" spans="38:38" x14ac:dyDescent="0.25">
      <c r="AL2235" s="6"/>
    </row>
    <row r="2236" spans="38:38" x14ac:dyDescent="0.25">
      <c r="AL2236" s="6"/>
    </row>
    <row r="2237" spans="38:38" x14ac:dyDescent="0.25">
      <c r="AL2237" s="6"/>
    </row>
    <row r="2238" spans="38:38" x14ac:dyDescent="0.25">
      <c r="AL2238" s="6"/>
    </row>
    <row r="2239" spans="38:38" x14ac:dyDescent="0.25">
      <c r="AL2239" s="6"/>
    </row>
    <row r="2240" spans="38:38" x14ac:dyDescent="0.25">
      <c r="AL2240" s="6"/>
    </row>
    <row r="2241" spans="38:38" x14ac:dyDescent="0.25">
      <c r="AL2241" s="6"/>
    </row>
    <row r="2242" spans="38:38" x14ac:dyDescent="0.25">
      <c r="AL2242" s="6"/>
    </row>
    <row r="2243" spans="38:38" x14ac:dyDescent="0.25">
      <c r="AL2243" s="6"/>
    </row>
    <row r="2244" spans="38:38" x14ac:dyDescent="0.25">
      <c r="AL2244" s="6"/>
    </row>
    <row r="2245" spans="38:38" x14ac:dyDescent="0.25">
      <c r="AL2245" s="6"/>
    </row>
    <row r="2246" spans="38:38" x14ac:dyDescent="0.25">
      <c r="AL2246" s="6"/>
    </row>
    <row r="2247" spans="38:38" x14ac:dyDescent="0.25">
      <c r="AL2247" s="6"/>
    </row>
    <row r="2248" spans="38:38" x14ac:dyDescent="0.25">
      <c r="AL2248" s="6"/>
    </row>
    <row r="2249" spans="38:38" x14ac:dyDescent="0.25">
      <c r="AL2249" s="6"/>
    </row>
    <row r="2250" spans="38:38" x14ac:dyDescent="0.25">
      <c r="AL2250" s="6"/>
    </row>
    <row r="2251" spans="38:38" x14ac:dyDescent="0.25">
      <c r="AL2251" s="6"/>
    </row>
    <row r="2252" spans="38:38" x14ac:dyDescent="0.25">
      <c r="AL2252" s="6"/>
    </row>
    <row r="2253" spans="38:38" x14ac:dyDescent="0.25">
      <c r="AL2253" s="6"/>
    </row>
    <row r="2254" spans="38:38" x14ac:dyDescent="0.25">
      <c r="AL2254" s="6"/>
    </row>
    <row r="2255" spans="38:38" x14ac:dyDescent="0.25">
      <c r="AL2255" s="6"/>
    </row>
    <row r="2256" spans="38:38" x14ac:dyDescent="0.25">
      <c r="AL2256" s="6"/>
    </row>
    <row r="2257" spans="38:38" x14ac:dyDescent="0.25">
      <c r="AL2257" s="6"/>
    </row>
    <row r="2258" spans="38:38" x14ac:dyDescent="0.25">
      <c r="AL2258" s="6"/>
    </row>
    <row r="2259" spans="38:38" x14ac:dyDescent="0.25">
      <c r="AL2259" s="6"/>
    </row>
    <row r="2260" spans="38:38" x14ac:dyDescent="0.25">
      <c r="AL2260" s="6"/>
    </row>
    <row r="2261" spans="38:38" x14ac:dyDescent="0.25">
      <c r="AL2261" s="6"/>
    </row>
    <row r="2262" spans="38:38" x14ac:dyDescent="0.25">
      <c r="AL2262" s="6"/>
    </row>
    <row r="2263" spans="38:38" x14ac:dyDescent="0.25">
      <c r="AL2263" s="6"/>
    </row>
    <row r="2264" spans="38:38" x14ac:dyDescent="0.25">
      <c r="AL2264" s="6"/>
    </row>
    <row r="2265" spans="38:38" x14ac:dyDescent="0.25">
      <c r="AL2265" s="6"/>
    </row>
    <row r="2266" spans="38:38" x14ac:dyDescent="0.25">
      <c r="AL2266" s="6"/>
    </row>
    <row r="2267" spans="38:38" x14ac:dyDescent="0.25">
      <c r="AL2267" s="6"/>
    </row>
    <row r="2268" spans="38:38" x14ac:dyDescent="0.25">
      <c r="AL2268" s="6"/>
    </row>
    <row r="2269" spans="38:38" x14ac:dyDescent="0.25">
      <c r="AL2269" s="6"/>
    </row>
    <row r="2270" spans="38:38" x14ac:dyDescent="0.25">
      <c r="AL2270" s="6"/>
    </row>
    <row r="2271" spans="38:38" x14ac:dyDescent="0.25">
      <c r="AL2271" s="6"/>
    </row>
    <row r="2272" spans="38:38" x14ac:dyDescent="0.25">
      <c r="AL2272" s="6"/>
    </row>
    <row r="2273" spans="38:38" x14ac:dyDescent="0.25">
      <c r="AL2273" s="6"/>
    </row>
    <row r="2274" spans="38:38" x14ac:dyDescent="0.25">
      <c r="AL2274" s="6"/>
    </row>
    <row r="2275" spans="38:38" x14ac:dyDescent="0.25">
      <c r="AL2275" s="6"/>
    </row>
    <row r="2276" spans="38:38" x14ac:dyDescent="0.25">
      <c r="AL2276" s="6"/>
    </row>
    <row r="2277" spans="38:38" x14ac:dyDescent="0.25">
      <c r="AL2277" s="6"/>
    </row>
    <row r="2278" spans="38:38" x14ac:dyDescent="0.25">
      <c r="AL2278" s="6"/>
    </row>
    <row r="2279" spans="38:38" x14ac:dyDescent="0.25">
      <c r="AL2279" s="6"/>
    </row>
    <row r="2280" spans="38:38" x14ac:dyDescent="0.25">
      <c r="AL2280" s="6"/>
    </row>
    <row r="2281" spans="38:38" x14ac:dyDescent="0.25">
      <c r="AL2281" s="6"/>
    </row>
    <row r="2282" spans="38:38" x14ac:dyDescent="0.25">
      <c r="AL2282" s="6"/>
    </row>
    <row r="2283" spans="38:38" x14ac:dyDescent="0.25">
      <c r="AL2283" s="6"/>
    </row>
    <row r="2284" spans="38:38" x14ac:dyDescent="0.25">
      <c r="AL2284" s="6"/>
    </row>
    <row r="2285" spans="38:38" x14ac:dyDescent="0.25">
      <c r="AL2285" s="6"/>
    </row>
    <row r="2286" spans="38:38" x14ac:dyDescent="0.25">
      <c r="AL2286" s="6"/>
    </row>
    <row r="2287" spans="38:38" x14ac:dyDescent="0.25">
      <c r="AL2287" s="6"/>
    </row>
    <row r="2288" spans="38:38" x14ac:dyDescent="0.25">
      <c r="AL2288" s="6"/>
    </row>
    <row r="2289" spans="38:38" x14ac:dyDescent="0.25">
      <c r="AL2289" s="6"/>
    </row>
    <row r="2290" spans="38:38" x14ac:dyDescent="0.25">
      <c r="AL2290" s="6"/>
    </row>
    <row r="2291" spans="38:38" x14ac:dyDescent="0.25">
      <c r="AL2291" s="6"/>
    </row>
    <row r="2292" spans="38:38" x14ac:dyDescent="0.25">
      <c r="AL2292" s="6"/>
    </row>
    <row r="2293" spans="38:38" x14ac:dyDescent="0.25">
      <c r="AL2293" s="6"/>
    </row>
    <row r="2294" spans="38:38" x14ac:dyDescent="0.25">
      <c r="AL2294" s="6"/>
    </row>
    <row r="2295" spans="38:38" x14ac:dyDescent="0.25">
      <c r="AL2295" s="6"/>
    </row>
    <row r="2296" spans="38:38" x14ac:dyDescent="0.25">
      <c r="AL2296" s="6"/>
    </row>
    <row r="2297" spans="38:38" x14ac:dyDescent="0.25">
      <c r="AL2297" s="6"/>
    </row>
    <row r="2298" spans="38:38" x14ac:dyDescent="0.25">
      <c r="AL2298" s="6"/>
    </row>
    <row r="2299" spans="38:38" x14ac:dyDescent="0.25">
      <c r="AL2299" s="6"/>
    </row>
    <row r="2300" spans="38:38" x14ac:dyDescent="0.25">
      <c r="AL2300" s="6"/>
    </row>
    <row r="2301" spans="38:38" x14ac:dyDescent="0.25">
      <c r="AL2301" s="6"/>
    </row>
    <row r="2302" spans="38:38" x14ac:dyDescent="0.25">
      <c r="AL2302" s="6"/>
    </row>
    <row r="2303" spans="38:38" x14ac:dyDescent="0.25">
      <c r="AL2303" s="6"/>
    </row>
    <row r="2304" spans="38:38" x14ac:dyDescent="0.25">
      <c r="AL2304" s="6"/>
    </row>
    <row r="2305" spans="38:38" x14ac:dyDescent="0.25">
      <c r="AL2305" s="6"/>
    </row>
    <row r="2306" spans="38:38" x14ac:dyDescent="0.25">
      <c r="AL2306" s="6"/>
    </row>
    <row r="2307" spans="38:38" x14ac:dyDescent="0.25">
      <c r="AL2307" s="6"/>
    </row>
    <row r="2308" spans="38:38" x14ac:dyDescent="0.25">
      <c r="AL2308" s="6"/>
    </row>
    <row r="2309" spans="38:38" x14ac:dyDescent="0.25">
      <c r="AL2309" s="6"/>
    </row>
    <row r="2310" spans="38:38" x14ac:dyDescent="0.25">
      <c r="AL2310" s="6"/>
    </row>
    <row r="2311" spans="38:38" x14ac:dyDescent="0.25">
      <c r="AL2311" s="6"/>
    </row>
    <row r="2312" spans="38:38" x14ac:dyDescent="0.25">
      <c r="AL2312" s="6"/>
    </row>
    <row r="2313" spans="38:38" x14ac:dyDescent="0.25">
      <c r="AL2313" s="6"/>
    </row>
    <row r="2314" spans="38:38" x14ac:dyDescent="0.25">
      <c r="AL2314" s="6"/>
    </row>
    <row r="2315" spans="38:38" x14ac:dyDescent="0.25">
      <c r="AL2315" s="6"/>
    </row>
    <row r="2316" spans="38:38" x14ac:dyDescent="0.25">
      <c r="AL2316" s="6"/>
    </row>
    <row r="2317" spans="38:38" x14ac:dyDescent="0.25">
      <c r="AL2317" s="6"/>
    </row>
    <row r="2318" spans="38:38" x14ac:dyDescent="0.25">
      <c r="AL2318" s="6"/>
    </row>
    <row r="2319" spans="38:38" x14ac:dyDescent="0.25">
      <c r="AL2319" s="6"/>
    </row>
    <row r="2320" spans="38:38" x14ac:dyDescent="0.25">
      <c r="AL2320" s="6"/>
    </row>
    <row r="2321" spans="38:38" x14ac:dyDescent="0.25">
      <c r="AL2321" s="6"/>
    </row>
    <row r="2322" spans="38:38" x14ac:dyDescent="0.25">
      <c r="AL2322" s="6"/>
    </row>
    <row r="2323" spans="38:38" x14ac:dyDescent="0.25">
      <c r="AL2323" s="6"/>
    </row>
    <row r="2324" spans="38:38" x14ac:dyDescent="0.25">
      <c r="AL2324" s="6"/>
    </row>
    <row r="2325" spans="38:38" x14ac:dyDescent="0.25">
      <c r="AL2325" s="6"/>
    </row>
    <row r="2326" spans="38:38" x14ac:dyDescent="0.25">
      <c r="AL2326" s="6"/>
    </row>
    <row r="2327" spans="38:38" x14ac:dyDescent="0.25">
      <c r="AL2327" s="6"/>
    </row>
    <row r="2328" spans="38:38" x14ac:dyDescent="0.25">
      <c r="AL2328" s="6"/>
    </row>
    <row r="2329" spans="38:38" x14ac:dyDescent="0.25">
      <c r="AL2329" s="6"/>
    </row>
    <row r="2330" spans="38:38" x14ac:dyDescent="0.25">
      <c r="AL2330" s="6"/>
    </row>
    <row r="2331" spans="38:38" x14ac:dyDescent="0.25">
      <c r="AL2331" s="6"/>
    </row>
    <row r="2332" spans="38:38" x14ac:dyDescent="0.25">
      <c r="AL2332" s="6"/>
    </row>
    <row r="2333" spans="38:38" x14ac:dyDescent="0.25">
      <c r="AL2333" s="6"/>
    </row>
    <row r="2334" spans="38:38" x14ac:dyDescent="0.25">
      <c r="AL2334" s="6"/>
    </row>
    <row r="2335" spans="38:38" x14ac:dyDescent="0.25">
      <c r="AL2335" s="6"/>
    </row>
    <row r="2336" spans="38:38" x14ac:dyDescent="0.25">
      <c r="AL2336" s="6"/>
    </row>
    <row r="2337" spans="38:38" x14ac:dyDescent="0.25">
      <c r="AL2337" s="6"/>
    </row>
    <row r="2338" spans="38:38" x14ac:dyDescent="0.25">
      <c r="AL2338" s="6"/>
    </row>
    <row r="2339" spans="38:38" x14ac:dyDescent="0.25">
      <c r="AL2339" s="6"/>
    </row>
    <row r="2340" spans="38:38" x14ac:dyDescent="0.25">
      <c r="AL2340" s="6"/>
    </row>
    <row r="2341" spans="38:38" x14ac:dyDescent="0.25">
      <c r="AL2341" s="6"/>
    </row>
    <row r="2342" spans="38:38" x14ac:dyDescent="0.25">
      <c r="AL2342" s="6"/>
    </row>
    <row r="2343" spans="38:38" x14ac:dyDescent="0.25">
      <c r="AL2343" s="6"/>
    </row>
    <row r="2344" spans="38:38" x14ac:dyDescent="0.25">
      <c r="AL2344" s="6"/>
    </row>
    <row r="2345" spans="38:38" x14ac:dyDescent="0.25">
      <c r="AL2345" s="6"/>
    </row>
    <row r="2346" spans="38:38" x14ac:dyDescent="0.25">
      <c r="AL2346" s="6"/>
    </row>
    <row r="2347" spans="38:38" x14ac:dyDescent="0.25">
      <c r="AL2347" s="6"/>
    </row>
    <row r="2348" spans="38:38" x14ac:dyDescent="0.25">
      <c r="AL2348" s="6"/>
    </row>
    <row r="2349" spans="38:38" x14ac:dyDescent="0.25">
      <c r="AL2349" s="6"/>
    </row>
    <row r="2350" spans="38:38" x14ac:dyDescent="0.25">
      <c r="AL2350" s="6"/>
    </row>
    <row r="2351" spans="38:38" x14ac:dyDescent="0.25">
      <c r="AL2351" s="6"/>
    </row>
    <row r="2352" spans="38:38" x14ac:dyDescent="0.25">
      <c r="AL2352" s="6"/>
    </row>
    <row r="2353" spans="38:38" x14ac:dyDescent="0.25">
      <c r="AL2353" s="6"/>
    </row>
    <row r="2354" spans="38:38" x14ac:dyDescent="0.25">
      <c r="AL2354" s="6"/>
    </row>
    <row r="2355" spans="38:38" x14ac:dyDescent="0.25">
      <c r="AL2355" s="6"/>
    </row>
    <row r="2356" spans="38:38" x14ac:dyDescent="0.25">
      <c r="AL2356" s="6"/>
    </row>
    <row r="2357" spans="38:38" x14ac:dyDescent="0.25">
      <c r="AL2357" s="6"/>
    </row>
    <row r="2358" spans="38:38" x14ac:dyDescent="0.25">
      <c r="AL2358" s="6"/>
    </row>
    <row r="2359" spans="38:38" x14ac:dyDescent="0.25">
      <c r="AL2359" s="6"/>
    </row>
    <row r="2360" spans="38:38" x14ac:dyDescent="0.25">
      <c r="AL2360" s="6"/>
    </row>
    <row r="2361" spans="38:38" x14ac:dyDescent="0.25">
      <c r="AL2361" s="6"/>
    </row>
    <row r="2362" spans="38:38" x14ac:dyDescent="0.25">
      <c r="AL2362" s="6"/>
    </row>
    <row r="2363" spans="38:38" x14ac:dyDescent="0.25">
      <c r="AL2363" s="6"/>
    </row>
    <row r="2364" spans="38:38" x14ac:dyDescent="0.25">
      <c r="AL2364" s="6"/>
    </row>
    <row r="2365" spans="38:38" x14ac:dyDescent="0.25">
      <c r="AL2365" s="6"/>
    </row>
    <row r="2366" spans="38:38" x14ac:dyDescent="0.25">
      <c r="AL2366" s="6"/>
    </row>
    <row r="2367" spans="38:38" x14ac:dyDescent="0.25">
      <c r="AL2367" s="6"/>
    </row>
    <row r="2368" spans="38:38" x14ac:dyDescent="0.25">
      <c r="AL2368" s="6"/>
    </row>
    <row r="2369" spans="38:38" x14ac:dyDescent="0.25">
      <c r="AL2369" s="6"/>
    </row>
    <row r="2370" spans="38:38" x14ac:dyDescent="0.25">
      <c r="AL2370" s="6"/>
    </row>
    <row r="2371" spans="38:38" x14ac:dyDescent="0.25">
      <c r="AL2371" s="6"/>
    </row>
    <row r="2372" spans="38:38" x14ac:dyDescent="0.25">
      <c r="AL2372" s="6"/>
    </row>
    <row r="2373" spans="38:38" x14ac:dyDescent="0.25">
      <c r="AL2373" s="6"/>
    </row>
    <row r="2374" spans="38:38" x14ac:dyDescent="0.25">
      <c r="AL2374" s="6"/>
    </row>
    <row r="2375" spans="38:38" x14ac:dyDescent="0.25">
      <c r="AL2375" s="6"/>
    </row>
    <row r="2376" spans="38:38" x14ac:dyDescent="0.25">
      <c r="AL2376" s="6"/>
    </row>
    <row r="2377" spans="38:38" x14ac:dyDescent="0.25">
      <c r="AL2377" s="6"/>
    </row>
    <row r="2378" spans="38:38" x14ac:dyDescent="0.25">
      <c r="AL2378" s="6"/>
    </row>
    <row r="2379" spans="38:38" x14ac:dyDescent="0.25">
      <c r="AL2379" s="6"/>
    </row>
    <row r="2380" spans="38:38" x14ac:dyDescent="0.25">
      <c r="AL2380" s="6"/>
    </row>
    <row r="2381" spans="38:38" x14ac:dyDescent="0.25">
      <c r="AL2381" s="6"/>
    </row>
    <row r="2382" spans="38:38" x14ac:dyDescent="0.25">
      <c r="AL2382" s="6"/>
    </row>
    <row r="2383" spans="38:38" x14ac:dyDescent="0.25">
      <c r="AL2383" s="6"/>
    </row>
    <row r="2384" spans="38:38" x14ac:dyDescent="0.25">
      <c r="AL2384" s="6"/>
    </row>
    <row r="2385" spans="38:38" x14ac:dyDescent="0.25">
      <c r="AL2385" s="6"/>
    </row>
    <row r="2386" spans="38:38" x14ac:dyDescent="0.25">
      <c r="AL2386" s="6"/>
    </row>
    <row r="2387" spans="38:38" x14ac:dyDescent="0.25">
      <c r="AL2387" s="6"/>
    </row>
    <row r="2388" spans="38:38" x14ac:dyDescent="0.25">
      <c r="AL2388" s="6"/>
    </row>
    <row r="2389" spans="38:38" x14ac:dyDescent="0.25">
      <c r="AL2389" s="6"/>
    </row>
    <row r="2390" spans="38:38" x14ac:dyDescent="0.25">
      <c r="AL2390" s="6"/>
    </row>
    <row r="2391" spans="38:38" x14ac:dyDescent="0.25">
      <c r="AL2391" s="6"/>
    </row>
    <row r="2392" spans="38:38" x14ac:dyDescent="0.25">
      <c r="AL2392" s="6"/>
    </row>
    <row r="2393" spans="38:38" x14ac:dyDescent="0.25">
      <c r="AL2393" s="6"/>
    </row>
    <row r="2394" spans="38:38" x14ac:dyDescent="0.25">
      <c r="AL2394" s="6"/>
    </row>
    <row r="2395" spans="38:38" x14ac:dyDescent="0.25">
      <c r="AL2395" s="6"/>
    </row>
    <row r="2396" spans="38:38" x14ac:dyDescent="0.25">
      <c r="AL2396" s="6"/>
    </row>
    <row r="2397" spans="38:38" x14ac:dyDescent="0.25">
      <c r="AL2397" s="6"/>
    </row>
    <row r="2398" spans="38:38" x14ac:dyDescent="0.25">
      <c r="AL2398" s="6"/>
    </row>
    <row r="2399" spans="38:38" x14ac:dyDescent="0.25">
      <c r="AL2399" s="6"/>
    </row>
    <row r="2400" spans="38:38" x14ac:dyDescent="0.25">
      <c r="AL2400" s="6"/>
    </row>
    <row r="2401" spans="38:38" x14ac:dyDescent="0.25">
      <c r="AL2401" s="6"/>
    </row>
    <row r="2402" spans="38:38" x14ac:dyDescent="0.25">
      <c r="AL2402" s="6"/>
    </row>
    <row r="2403" spans="38:38" x14ac:dyDescent="0.25">
      <c r="AL2403" s="6"/>
    </row>
    <row r="2404" spans="38:38" x14ac:dyDescent="0.25">
      <c r="AL2404" s="6"/>
    </row>
    <row r="2405" spans="38:38" x14ac:dyDescent="0.25">
      <c r="AL2405" s="6"/>
    </row>
    <row r="2406" spans="38:38" x14ac:dyDescent="0.25">
      <c r="AL2406" s="6"/>
    </row>
    <row r="2407" spans="38:38" x14ac:dyDescent="0.25">
      <c r="AL2407" s="6"/>
    </row>
    <row r="2408" spans="38:38" x14ac:dyDescent="0.25">
      <c r="AL2408" s="6"/>
    </row>
    <row r="2409" spans="38:38" x14ac:dyDescent="0.25">
      <c r="AL2409" s="6"/>
    </row>
    <row r="2410" spans="38:38" x14ac:dyDescent="0.25">
      <c r="AL2410" s="6"/>
    </row>
    <row r="2411" spans="38:38" x14ac:dyDescent="0.25">
      <c r="AL2411" s="6"/>
    </row>
    <row r="2412" spans="38:38" x14ac:dyDescent="0.25">
      <c r="AL2412" s="6"/>
    </row>
    <row r="2413" spans="38:38" x14ac:dyDescent="0.25">
      <c r="AL2413" s="6"/>
    </row>
    <row r="2414" spans="38:38" x14ac:dyDescent="0.25">
      <c r="AL2414" s="6"/>
    </row>
    <row r="2415" spans="38:38" x14ac:dyDescent="0.25">
      <c r="AL2415" s="6"/>
    </row>
    <row r="2416" spans="38:38" x14ac:dyDescent="0.25">
      <c r="AL2416" s="6"/>
    </row>
    <row r="2417" spans="38:38" x14ac:dyDescent="0.25">
      <c r="AL2417" s="6"/>
    </row>
    <row r="2418" spans="38:38" x14ac:dyDescent="0.25">
      <c r="AL2418" s="6"/>
    </row>
    <row r="2419" spans="38:38" x14ac:dyDescent="0.25">
      <c r="AL2419" s="6"/>
    </row>
    <row r="2420" spans="38:38" x14ac:dyDescent="0.25">
      <c r="AL2420" s="6"/>
    </row>
    <row r="2421" spans="38:38" x14ac:dyDescent="0.25">
      <c r="AL2421" s="6"/>
    </row>
    <row r="2422" spans="38:38" x14ac:dyDescent="0.25">
      <c r="AL2422" s="6"/>
    </row>
    <row r="2423" spans="38:38" x14ac:dyDescent="0.25">
      <c r="AL2423" s="6"/>
    </row>
    <row r="2424" spans="38:38" x14ac:dyDescent="0.25">
      <c r="AL2424" s="6"/>
    </row>
    <row r="2425" spans="38:38" x14ac:dyDescent="0.25">
      <c r="AL2425" s="6"/>
    </row>
    <row r="2426" spans="38:38" x14ac:dyDescent="0.25">
      <c r="AL2426" s="6"/>
    </row>
    <row r="2427" spans="38:38" x14ac:dyDescent="0.25">
      <c r="AL2427" s="6"/>
    </row>
    <row r="2428" spans="38:38" x14ac:dyDescent="0.25">
      <c r="AL2428" s="6"/>
    </row>
    <row r="2429" spans="38:38" x14ac:dyDescent="0.25">
      <c r="AL2429" s="6"/>
    </row>
    <row r="2430" spans="38:38" x14ac:dyDescent="0.25">
      <c r="AL2430" s="6"/>
    </row>
    <row r="2431" spans="38:38" x14ac:dyDescent="0.25">
      <c r="AL2431" s="6"/>
    </row>
    <row r="2432" spans="38:38" x14ac:dyDescent="0.25">
      <c r="AL2432" s="6"/>
    </row>
    <row r="2433" spans="38:38" x14ac:dyDescent="0.25">
      <c r="AL2433" s="6"/>
    </row>
    <row r="2434" spans="38:38" x14ac:dyDescent="0.25">
      <c r="AL2434" s="6"/>
    </row>
    <row r="2435" spans="38:38" x14ac:dyDescent="0.25">
      <c r="AL2435" s="6"/>
    </row>
    <row r="2436" spans="38:38" x14ac:dyDescent="0.25">
      <c r="AL2436" s="6"/>
    </row>
    <row r="2437" spans="38:38" x14ac:dyDescent="0.25">
      <c r="AL2437" s="6"/>
    </row>
    <row r="2438" spans="38:38" x14ac:dyDescent="0.25">
      <c r="AL2438" s="6"/>
    </row>
    <row r="2439" spans="38:38" x14ac:dyDescent="0.25">
      <c r="AL2439" s="6"/>
    </row>
    <row r="2440" spans="38:38" x14ac:dyDescent="0.25">
      <c r="AL2440" s="6"/>
    </row>
    <row r="2441" spans="38:38" x14ac:dyDescent="0.25">
      <c r="AL2441" s="6"/>
    </row>
    <row r="2442" spans="38:38" x14ac:dyDescent="0.25">
      <c r="AL2442" s="6"/>
    </row>
    <row r="2443" spans="38:38" x14ac:dyDescent="0.25">
      <c r="AL2443" s="6"/>
    </row>
    <row r="2444" spans="38:38" x14ac:dyDescent="0.25">
      <c r="AL2444" s="6"/>
    </row>
    <row r="2445" spans="38:38" x14ac:dyDescent="0.25">
      <c r="AL2445" s="6"/>
    </row>
    <row r="2446" spans="38:38" x14ac:dyDescent="0.25">
      <c r="AL2446" s="6"/>
    </row>
    <row r="2447" spans="38:38" x14ac:dyDescent="0.25">
      <c r="AL2447" s="6"/>
    </row>
    <row r="2448" spans="38:38" x14ac:dyDescent="0.25">
      <c r="AL2448" s="6"/>
    </row>
    <row r="2449" spans="38:38" x14ac:dyDescent="0.25">
      <c r="AL2449" s="6"/>
    </row>
    <row r="2450" spans="38:38" x14ac:dyDescent="0.25">
      <c r="AL2450" s="6"/>
    </row>
    <row r="2451" spans="38:38" x14ac:dyDescent="0.25">
      <c r="AL2451" s="6"/>
    </row>
    <row r="2452" spans="38:38" x14ac:dyDescent="0.25">
      <c r="AL2452" s="6"/>
    </row>
    <row r="2453" spans="38:38" x14ac:dyDescent="0.25">
      <c r="AL2453" s="6"/>
    </row>
    <row r="2454" spans="38:38" x14ac:dyDescent="0.25">
      <c r="AL2454" s="6"/>
    </row>
    <row r="2455" spans="38:38" x14ac:dyDescent="0.25">
      <c r="AL2455" s="6"/>
    </row>
    <row r="2456" spans="38:38" x14ac:dyDescent="0.25">
      <c r="AL2456" s="6"/>
    </row>
    <row r="2457" spans="38:38" x14ac:dyDescent="0.25">
      <c r="AL2457" s="6"/>
    </row>
    <row r="2458" spans="38:38" x14ac:dyDescent="0.25">
      <c r="AL2458" s="6"/>
    </row>
    <row r="2459" spans="38:38" x14ac:dyDescent="0.25">
      <c r="AL2459" s="6"/>
    </row>
    <row r="2460" spans="38:38" x14ac:dyDescent="0.25">
      <c r="AL2460" s="6"/>
    </row>
    <row r="2461" spans="38:38" x14ac:dyDescent="0.25">
      <c r="AL2461" s="6"/>
    </row>
    <row r="2462" spans="38:38" x14ac:dyDescent="0.25">
      <c r="AL2462" s="6"/>
    </row>
    <row r="2463" spans="38:38" x14ac:dyDescent="0.25">
      <c r="AL2463" s="6"/>
    </row>
    <row r="2464" spans="38:38" x14ac:dyDescent="0.25">
      <c r="AL2464" s="6"/>
    </row>
    <row r="2465" spans="38:38" x14ac:dyDescent="0.25">
      <c r="AL2465" s="6"/>
    </row>
    <row r="2466" spans="38:38" x14ac:dyDescent="0.25">
      <c r="AL2466" s="6"/>
    </row>
    <row r="2467" spans="38:38" x14ac:dyDescent="0.25">
      <c r="AL2467" s="6"/>
    </row>
    <row r="2468" spans="38:38" x14ac:dyDescent="0.25">
      <c r="AL2468" s="6"/>
    </row>
    <row r="2469" spans="38:38" x14ac:dyDescent="0.25">
      <c r="AL2469" s="6"/>
    </row>
    <row r="2470" spans="38:38" x14ac:dyDescent="0.25">
      <c r="AL2470" s="6"/>
    </row>
    <row r="2471" spans="38:38" x14ac:dyDescent="0.25">
      <c r="AL2471" s="6"/>
    </row>
    <row r="2472" spans="38:38" x14ac:dyDescent="0.25">
      <c r="AL2472" s="6"/>
    </row>
    <row r="2473" spans="38:38" x14ac:dyDescent="0.25">
      <c r="AL2473" s="6"/>
    </row>
    <row r="2474" spans="38:38" x14ac:dyDescent="0.25">
      <c r="AL2474" s="6"/>
    </row>
    <row r="2475" spans="38:38" x14ac:dyDescent="0.25">
      <c r="AL2475" s="6"/>
    </row>
    <row r="2476" spans="38:38" x14ac:dyDescent="0.25">
      <c r="AL2476" s="6"/>
    </row>
    <row r="2477" spans="38:38" x14ac:dyDescent="0.25">
      <c r="AL2477" s="6"/>
    </row>
    <row r="2478" spans="38:38" x14ac:dyDescent="0.25">
      <c r="AL2478" s="6"/>
    </row>
    <row r="2479" spans="38:38" x14ac:dyDescent="0.25">
      <c r="AL2479" s="6"/>
    </row>
    <row r="2480" spans="38:38" x14ac:dyDescent="0.25">
      <c r="AL2480" s="6"/>
    </row>
    <row r="2481" spans="38:38" x14ac:dyDescent="0.25">
      <c r="AL2481" s="6"/>
    </row>
    <row r="2482" spans="38:38" x14ac:dyDescent="0.25">
      <c r="AL2482" s="6"/>
    </row>
    <row r="2483" spans="38:38" x14ac:dyDescent="0.25">
      <c r="AL2483" s="6"/>
    </row>
    <row r="2484" spans="38:38" x14ac:dyDescent="0.25">
      <c r="AL2484" s="6"/>
    </row>
    <row r="2485" spans="38:38" x14ac:dyDescent="0.25">
      <c r="AL2485" s="6"/>
    </row>
    <row r="2486" spans="38:38" x14ac:dyDescent="0.25">
      <c r="AL2486" s="6"/>
    </row>
    <row r="2487" spans="38:38" x14ac:dyDescent="0.25">
      <c r="AL2487" s="6"/>
    </row>
    <row r="2488" spans="38:38" x14ac:dyDescent="0.25">
      <c r="AL2488" s="6"/>
    </row>
    <row r="2489" spans="38:38" x14ac:dyDescent="0.25">
      <c r="AL2489" s="6"/>
    </row>
    <row r="2490" spans="38:38" x14ac:dyDescent="0.25">
      <c r="AL2490" s="6"/>
    </row>
    <row r="2491" spans="38:38" x14ac:dyDescent="0.25">
      <c r="AL2491" s="6"/>
    </row>
    <row r="2492" spans="38:38" x14ac:dyDescent="0.25">
      <c r="AL2492" s="6"/>
    </row>
    <row r="2493" spans="38:38" x14ac:dyDescent="0.25">
      <c r="AL2493" s="6"/>
    </row>
    <row r="2494" spans="38:38" x14ac:dyDescent="0.25">
      <c r="AL2494" s="6"/>
    </row>
    <row r="2495" spans="38:38" x14ac:dyDescent="0.25">
      <c r="AL2495" s="6"/>
    </row>
    <row r="2496" spans="38:38" x14ac:dyDescent="0.25">
      <c r="AL2496" s="6"/>
    </row>
    <row r="2497" spans="38:38" x14ac:dyDescent="0.25">
      <c r="AL2497" s="6"/>
    </row>
    <row r="2498" spans="38:38" x14ac:dyDescent="0.25">
      <c r="AL2498" s="6"/>
    </row>
    <row r="2499" spans="38:38" x14ac:dyDescent="0.25">
      <c r="AL2499" s="6"/>
    </row>
    <row r="2500" spans="38:38" x14ac:dyDescent="0.25">
      <c r="AL2500" s="6"/>
    </row>
    <row r="2501" spans="38:38" x14ac:dyDescent="0.25">
      <c r="AL2501" s="6"/>
    </row>
    <row r="2502" spans="38:38" x14ac:dyDescent="0.25">
      <c r="AL2502" s="6"/>
    </row>
    <row r="2503" spans="38:38" x14ac:dyDescent="0.25">
      <c r="AL2503" s="6"/>
    </row>
    <row r="2504" spans="38:38" x14ac:dyDescent="0.25">
      <c r="AL2504" s="6"/>
    </row>
    <row r="2505" spans="38:38" x14ac:dyDescent="0.25">
      <c r="AL2505" s="6"/>
    </row>
    <row r="2506" spans="38:38" x14ac:dyDescent="0.25">
      <c r="AL2506" s="6"/>
    </row>
    <row r="2507" spans="38:38" x14ac:dyDescent="0.25">
      <c r="AL2507" s="6"/>
    </row>
    <row r="2508" spans="38:38" x14ac:dyDescent="0.25">
      <c r="AL2508" s="6"/>
    </row>
    <row r="2509" spans="38:38" x14ac:dyDescent="0.25">
      <c r="AL2509" s="6"/>
    </row>
    <row r="2510" spans="38:38" x14ac:dyDescent="0.25">
      <c r="AL2510" s="6"/>
    </row>
    <row r="2511" spans="38:38" x14ac:dyDescent="0.25">
      <c r="AL2511" s="6"/>
    </row>
    <row r="2512" spans="38:38" x14ac:dyDescent="0.25">
      <c r="AL2512" s="6"/>
    </row>
    <row r="2513" spans="38:38" x14ac:dyDescent="0.25">
      <c r="AL2513" s="6"/>
    </row>
    <row r="2514" spans="38:38" x14ac:dyDescent="0.25">
      <c r="AL2514" s="6"/>
    </row>
    <row r="2515" spans="38:38" x14ac:dyDescent="0.25">
      <c r="AL2515" s="6"/>
    </row>
    <row r="2516" spans="38:38" x14ac:dyDescent="0.25">
      <c r="AL2516" s="6"/>
    </row>
    <row r="2517" spans="38:38" x14ac:dyDescent="0.25">
      <c r="AL2517" s="6"/>
    </row>
    <row r="2518" spans="38:38" x14ac:dyDescent="0.25">
      <c r="AL2518" s="6"/>
    </row>
    <row r="2519" spans="38:38" x14ac:dyDescent="0.25">
      <c r="AL2519" s="6"/>
    </row>
    <row r="2520" spans="38:38" x14ac:dyDescent="0.25">
      <c r="AL2520" s="6"/>
    </row>
    <row r="2521" spans="38:38" x14ac:dyDescent="0.25">
      <c r="AL2521" s="6"/>
    </row>
    <row r="2522" spans="38:38" x14ac:dyDescent="0.25">
      <c r="AL2522" s="6"/>
    </row>
    <row r="2523" spans="38:38" x14ac:dyDescent="0.25">
      <c r="AL2523" s="6"/>
    </row>
    <row r="2524" spans="38:38" x14ac:dyDescent="0.25">
      <c r="AL2524" s="6"/>
    </row>
    <row r="2525" spans="38:38" x14ac:dyDescent="0.25">
      <c r="AL2525" s="6"/>
    </row>
    <row r="2526" spans="38:38" x14ac:dyDescent="0.25">
      <c r="AL2526" s="6"/>
    </row>
    <row r="2527" spans="38:38" x14ac:dyDescent="0.25">
      <c r="AL2527" s="6"/>
    </row>
    <row r="2528" spans="38:38" x14ac:dyDescent="0.25">
      <c r="AL2528" s="6"/>
    </row>
    <row r="2529" spans="38:38" x14ac:dyDescent="0.25">
      <c r="AL2529" s="6"/>
    </row>
    <row r="2530" spans="38:38" x14ac:dyDescent="0.25">
      <c r="AL2530" s="6"/>
    </row>
    <row r="2531" spans="38:38" x14ac:dyDescent="0.25">
      <c r="AL2531" s="6"/>
    </row>
    <row r="2532" spans="38:38" x14ac:dyDescent="0.25">
      <c r="AL2532" s="6"/>
    </row>
    <row r="2533" spans="38:38" x14ac:dyDescent="0.25">
      <c r="AL2533" s="6"/>
    </row>
    <row r="2534" spans="38:38" x14ac:dyDescent="0.25">
      <c r="AL2534" s="6"/>
    </row>
    <row r="2535" spans="38:38" x14ac:dyDescent="0.25">
      <c r="AL2535" s="6"/>
    </row>
    <row r="2536" spans="38:38" x14ac:dyDescent="0.25">
      <c r="AL2536" s="6"/>
    </row>
    <row r="2537" spans="38:38" x14ac:dyDescent="0.25">
      <c r="AL2537" s="6"/>
    </row>
    <row r="2538" spans="38:38" x14ac:dyDescent="0.25">
      <c r="AL2538" s="6"/>
    </row>
    <row r="2539" spans="38:38" x14ac:dyDescent="0.25">
      <c r="AL2539" s="6"/>
    </row>
    <row r="2540" spans="38:38" x14ac:dyDescent="0.25">
      <c r="AL2540" s="6"/>
    </row>
    <row r="2541" spans="38:38" x14ac:dyDescent="0.25">
      <c r="AL2541" s="6"/>
    </row>
    <row r="2542" spans="38:38" x14ac:dyDescent="0.25">
      <c r="AL2542" s="6"/>
    </row>
    <row r="2543" spans="38:38" x14ac:dyDescent="0.25">
      <c r="AL2543" s="6"/>
    </row>
    <row r="2544" spans="38:38" x14ac:dyDescent="0.25">
      <c r="AL2544" s="6"/>
    </row>
    <row r="2545" spans="38:38" x14ac:dyDescent="0.25">
      <c r="AL2545" s="6"/>
    </row>
    <row r="2546" spans="38:38" x14ac:dyDescent="0.25">
      <c r="AL2546" s="6"/>
    </row>
    <row r="2547" spans="38:38" x14ac:dyDescent="0.25">
      <c r="AL2547" s="6"/>
    </row>
    <row r="2548" spans="38:38" x14ac:dyDescent="0.25">
      <c r="AL2548" s="6"/>
    </row>
    <row r="2549" spans="38:38" x14ac:dyDescent="0.25">
      <c r="AL2549" s="6"/>
    </row>
    <row r="2550" spans="38:38" x14ac:dyDescent="0.25">
      <c r="AL2550" s="6"/>
    </row>
    <row r="2551" spans="38:38" x14ac:dyDescent="0.25">
      <c r="AL2551" s="6"/>
    </row>
    <row r="2552" spans="38:38" x14ac:dyDescent="0.25">
      <c r="AL2552" s="6"/>
    </row>
    <row r="2553" spans="38:38" x14ac:dyDescent="0.25">
      <c r="AL2553" s="6"/>
    </row>
    <row r="2554" spans="38:38" x14ac:dyDescent="0.25">
      <c r="AL2554" s="6"/>
    </row>
    <row r="2555" spans="38:38" x14ac:dyDescent="0.25">
      <c r="AL2555" s="6"/>
    </row>
    <row r="2556" spans="38:38" x14ac:dyDescent="0.25">
      <c r="AL2556" s="6"/>
    </row>
    <row r="2557" spans="38:38" x14ac:dyDescent="0.25">
      <c r="AL2557" s="6"/>
    </row>
    <row r="2558" spans="38:38" x14ac:dyDescent="0.25">
      <c r="AL2558" s="6"/>
    </row>
    <row r="2559" spans="38:38" x14ac:dyDescent="0.25">
      <c r="AL2559" s="6"/>
    </row>
    <row r="2560" spans="38:38" x14ac:dyDescent="0.25">
      <c r="AL2560" s="6"/>
    </row>
    <row r="2561" spans="38:38" x14ac:dyDescent="0.25">
      <c r="AL2561" s="6"/>
    </row>
    <row r="2562" spans="38:38" x14ac:dyDescent="0.25">
      <c r="AL2562" s="6"/>
    </row>
    <row r="2563" spans="38:38" x14ac:dyDescent="0.25">
      <c r="AL2563" s="6"/>
    </row>
    <row r="2564" spans="38:38" x14ac:dyDescent="0.25">
      <c r="AL2564" s="6"/>
    </row>
    <row r="2565" spans="38:38" x14ac:dyDescent="0.25">
      <c r="AL2565" s="6"/>
    </row>
    <row r="2566" spans="38:38" x14ac:dyDescent="0.25">
      <c r="AL2566" s="6"/>
    </row>
    <row r="2567" spans="38:38" x14ac:dyDescent="0.25">
      <c r="AL2567" s="6"/>
    </row>
    <row r="2568" spans="38:38" x14ac:dyDescent="0.25">
      <c r="AL2568" s="6"/>
    </row>
    <row r="2569" spans="38:38" x14ac:dyDescent="0.25">
      <c r="AL2569" s="6"/>
    </row>
    <row r="2570" spans="38:38" x14ac:dyDescent="0.25">
      <c r="AL2570" s="6"/>
    </row>
    <row r="2571" spans="38:38" x14ac:dyDescent="0.25">
      <c r="AL2571" s="6"/>
    </row>
    <row r="2572" spans="38:38" x14ac:dyDescent="0.25">
      <c r="AL2572" s="6"/>
    </row>
    <row r="2573" spans="38:38" x14ac:dyDescent="0.25">
      <c r="AL2573" s="6"/>
    </row>
    <row r="2574" spans="38:38" x14ac:dyDescent="0.25">
      <c r="AL2574" s="6"/>
    </row>
    <row r="2575" spans="38:38" x14ac:dyDescent="0.25">
      <c r="AL2575" s="6"/>
    </row>
    <row r="2576" spans="38:38" x14ac:dyDescent="0.25">
      <c r="AL2576" s="6"/>
    </row>
    <row r="2577" spans="38:38" x14ac:dyDescent="0.25">
      <c r="AL2577" s="6"/>
    </row>
    <row r="2578" spans="38:38" x14ac:dyDescent="0.25">
      <c r="AL2578" s="6"/>
    </row>
    <row r="2579" spans="38:38" x14ac:dyDescent="0.25">
      <c r="AL2579" s="6"/>
    </row>
    <row r="2580" spans="38:38" x14ac:dyDescent="0.25">
      <c r="AL2580" s="6"/>
    </row>
    <row r="2581" spans="38:38" x14ac:dyDescent="0.25">
      <c r="AL2581" s="6"/>
    </row>
    <row r="2582" spans="38:38" x14ac:dyDescent="0.25">
      <c r="AL2582" s="6"/>
    </row>
    <row r="2583" spans="38:38" x14ac:dyDescent="0.25">
      <c r="AL2583" s="6"/>
    </row>
    <row r="2584" spans="38:38" x14ac:dyDescent="0.25">
      <c r="AL2584" s="6"/>
    </row>
    <row r="2585" spans="38:38" x14ac:dyDescent="0.25">
      <c r="AL2585" s="6"/>
    </row>
    <row r="2586" spans="38:38" x14ac:dyDescent="0.25">
      <c r="AL2586" s="6"/>
    </row>
    <row r="2587" spans="38:38" x14ac:dyDescent="0.25">
      <c r="AL2587" s="6"/>
    </row>
    <row r="2588" spans="38:38" x14ac:dyDescent="0.25">
      <c r="AL2588" s="6"/>
    </row>
    <row r="2589" spans="38:38" x14ac:dyDescent="0.25">
      <c r="AL2589" s="6"/>
    </row>
    <row r="2590" spans="38:38" x14ac:dyDescent="0.25">
      <c r="AL2590" s="6"/>
    </row>
    <row r="2591" spans="38:38" x14ac:dyDescent="0.25">
      <c r="AL2591" s="6"/>
    </row>
    <row r="2592" spans="38:38" x14ac:dyDescent="0.25">
      <c r="AL2592" s="6"/>
    </row>
    <row r="2593" spans="38:38" x14ac:dyDescent="0.25">
      <c r="AL2593" s="6"/>
    </row>
    <row r="2594" spans="38:38" x14ac:dyDescent="0.25">
      <c r="AL2594" s="6"/>
    </row>
    <row r="2595" spans="38:38" x14ac:dyDescent="0.25">
      <c r="AL2595" s="6"/>
    </row>
    <row r="2596" spans="38:38" x14ac:dyDescent="0.25">
      <c r="AL2596" s="6"/>
    </row>
    <row r="2597" spans="38:38" x14ac:dyDescent="0.25">
      <c r="AL2597" s="6"/>
    </row>
    <row r="2598" spans="38:38" x14ac:dyDescent="0.25">
      <c r="AL2598" s="6"/>
    </row>
    <row r="2599" spans="38:38" x14ac:dyDescent="0.25">
      <c r="AL2599" s="6"/>
    </row>
    <row r="2600" spans="38:38" x14ac:dyDescent="0.25">
      <c r="AL2600" s="6"/>
    </row>
    <row r="2601" spans="38:38" x14ac:dyDescent="0.25">
      <c r="AL2601" s="6"/>
    </row>
    <row r="2602" spans="38:38" x14ac:dyDescent="0.25">
      <c r="AL2602" s="6"/>
    </row>
    <row r="2603" spans="38:38" x14ac:dyDescent="0.25">
      <c r="AL2603" s="6"/>
    </row>
    <row r="2604" spans="38:38" x14ac:dyDescent="0.25">
      <c r="AL2604" s="6"/>
    </row>
    <row r="2605" spans="38:38" x14ac:dyDescent="0.25">
      <c r="AL2605" s="6"/>
    </row>
    <row r="2606" spans="38:38" x14ac:dyDescent="0.25">
      <c r="AL2606" s="6"/>
    </row>
    <row r="2607" spans="38:38" x14ac:dyDescent="0.25">
      <c r="AL2607" s="6"/>
    </row>
    <row r="2608" spans="38:38" x14ac:dyDescent="0.25">
      <c r="AL2608" s="6"/>
    </row>
    <row r="2609" spans="38:38" x14ac:dyDescent="0.25">
      <c r="AL2609" s="6"/>
    </row>
    <row r="2610" spans="38:38" x14ac:dyDescent="0.25">
      <c r="AL2610" s="6"/>
    </row>
    <row r="2611" spans="38:38" x14ac:dyDescent="0.25">
      <c r="AL2611" s="6"/>
    </row>
    <row r="2612" spans="38:38" x14ac:dyDescent="0.25">
      <c r="AL2612" s="6"/>
    </row>
    <row r="2613" spans="38:38" x14ac:dyDescent="0.25">
      <c r="AL2613" s="6"/>
    </row>
    <row r="2614" spans="38:38" x14ac:dyDescent="0.25">
      <c r="AL2614" s="6"/>
    </row>
    <row r="2615" spans="38:38" x14ac:dyDescent="0.25">
      <c r="AL2615" s="6"/>
    </row>
    <row r="2616" spans="38:38" x14ac:dyDescent="0.25">
      <c r="AL2616" s="6"/>
    </row>
    <row r="2617" spans="38:38" x14ac:dyDescent="0.25">
      <c r="AL2617" s="6"/>
    </row>
    <row r="2618" spans="38:38" x14ac:dyDescent="0.25">
      <c r="AL2618" s="6"/>
    </row>
    <row r="2619" spans="38:38" x14ac:dyDescent="0.25">
      <c r="AL2619" s="6"/>
    </row>
    <row r="2620" spans="38:38" x14ac:dyDescent="0.25">
      <c r="AL2620" s="6"/>
    </row>
    <row r="2621" spans="38:38" x14ac:dyDescent="0.25">
      <c r="AL2621" s="6"/>
    </row>
    <row r="2622" spans="38:38" x14ac:dyDescent="0.25">
      <c r="AL2622" s="6"/>
    </row>
    <row r="2623" spans="38:38" x14ac:dyDescent="0.25">
      <c r="AL2623" s="6"/>
    </row>
    <row r="2624" spans="38:38" x14ac:dyDescent="0.25">
      <c r="AL2624" s="6"/>
    </row>
    <row r="2625" spans="38:38" x14ac:dyDescent="0.25">
      <c r="AL2625" s="6"/>
    </row>
    <row r="2626" spans="38:38" x14ac:dyDescent="0.25">
      <c r="AL2626" s="6"/>
    </row>
    <row r="2627" spans="38:38" x14ac:dyDescent="0.25">
      <c r="AL2627" s="6"/>
    </row>
    <row r="2628" spans="38:38" x14ac:dyDescent="0.25">
      <c r="AL2628" s="6"/>
    </row>
    <row r="2629" spans="38:38" x14ac:dyDescent="0.25">
      <c r="AL2629" s="6"/>
    </row>
    <row r="2630" spans="38:38" x14ac:dyDescent="0.25">
      <c r="AL2630" s="6"/>
    </row>
    <row r="2631" spans="38:38" x14ac:dyDescent="0.25">
      <c r="AL2631" s="6"/>
    </row>
    <row r="2632" spans="38:38" x14ac:dyDescent="0.25">
      <c r="AL2632" s="6"/>
    </row>
    <row r="2633" spans="38:38" x14ac:dyDescent="0.25">
      <c r="AL2633" s="6"/>
    </row>
    <row r="2634" spans="38:38" x14ac:dyDescent="0.25">
      <c r="AL2634" s="6"/>
    </row>
    <row r="2635" spans="38:38" x14ac:dyDescent="0.25">
      <c r="AL2635" s="6"/>
    </row>
    <row r="2636" spans="38:38" x14ac:dyDescent="0.25">
      <c r="AL2636" s="6"/>
    </row>
    <row r="2637" spans="38:38" x14ac:dyDescent="0.25">
      <c r="AL2637" s="6"/>
    </row>
    <row r="2638" spans="38:38" x14ac:dyDescent="0.25">
      <c r="AL2638" s="6"/>
    </row>
    <row r="2639" spans="38:38" x14ac:dyDescent="0.25">
      <c r="AL2639" s="6"/>
    </row>
    <row r="2640" spans="38:38" x14ac:dyDescent="0.25">
      <c r="AL2640" s="6"/>
    </row>
    <row r="2641" spans="38:38" x14ac:dyDescent="0.25">
      <c r="AL2641" s="6"/>
    </row>
    <row r="2642" spans="38:38" x14ac:dyDescent="0.25">
      <c r="AL2642" s="6"/>
    </row>
    <row r="2643" spans="38:38" x14ac:dyDescent="0.25">
      <c r="AL2643" s="6"/>
    </row>
    <row r="2644" spans="38:38" x14ac:dyDescent="0.25">
      <c r="AL2644" s="6"/>
    </row>
    <row r="2645" spans="38:38" x14ac:dyDescent="0.25">
      <c r="AL2645" s="6"/>
    </row>
    <row r="2646" spans="38:38" x14ac:dyDescent="0.25">
      <c r="AL2646" s="6"/>
    </row>
    <row r="2647" spans="38:38" x14ac:dyDescent="0.25">
      <c r="AL2647" s="6"/>
    </row>
    <row r="2648" spans="38:38" x14ac:dyDescent="0.25">
      <c r="AL2648" s="6"/>
    </row>
    <row r="2649" spans="38:38" x14ac:dyDescent="0.25">
      <c r="AL2649" s="6"/>
    </row>
    <row r="2650" spans="38:38" x14ac:dyDescent="0.25">
      <c r="AL2650" s="6"/>
    </row>
    <row r="2651" spans="38:38" x14ac:dyDescent="0.25">
      <c r="AL2651" s="6"/>
    </row>
    <row r="2652" spans="38:38" x14ac:dyDescent="0.25">
      <c r="AL2652" s="6"/>
    </row>
    <row r="2653" spans="38:38" x14ac:dyDescent="0.25">
      <c r="AL2653" s="6"/>
    </row>
    <row r="2654" spans="38:38" x14ac:dyDescent="0.25">
      <c r="AL2654" s="6"/>
    </row>
    <row r="2655" spans="38:38" x14ac:dyDescent="0.25">
      <c r="AL2655" s="6"/>
    </row>
    <row r="2656" spans="38:38" x14ac:dyDescent="0.25">
      <c r="AL2656" s="6"/>
    </row>
    <row r="2657" spans="38:38" x14ac:dyDescent="0.25">
      <c r="AL2657" s="6"/>
    </row>
    <row r="2658" spans="38:38" x14ac:dyDescent="0.25">
      <c r="AL2658" s="6"/>
    </row>
    <row r="2659" spans="38:38" x14ac:dyDescent="0.25">
      <c r="AL2659" s="6"/>
    </row>
    <row r="2660" spans="38:38" x14ac:dyDescent="0.25">
      <c r="AL2660" s="6"/>
    </row>
    <row r="2661" spans="38:38" x14ac:dyDescent="0.25">
      <c r="AL2661" s="6"/>
    </row>
    <row r="2662" spans="38:38" x14ac:dyDescent="0.25">
      <c r="AL2662" s="6"/>
    </row>
    <row r="2663" spans="38:38" x14ac:dyDescent="0.25">
      <c r="AL2663" s="6"/>
    </row>
    <row r="2664" spans="38:38" x14ac:dyDescent="0.25">
      <c r="AL2664" s="6"/>
    </row>
    <row r="2665" spans="38:38" x14ac:dyDescent="0.25">
      <c r="AL2665" s="6"/>
    </row>
    <row r="2666" spans="38:38" x14ac:dyDescent="0.25">
      <c r="AL2666" s="6"/>
    </row>
    <row r="2667" spans="38:38" x14ac:dyDescent="0.25">
      <c r="AL2667" s="6"/>
    </row>
    <row r="2668" spans="38:38" x14ac:dyDescent="0.25">
      <c r="AL2668" s="6"/>
    </row>
    <row r="2669" spans="38:38" x14ac:dyDescent="0.25">
      <c r="AL2669" s="6"/>
    </row>
    <row r="2670" spans="38:38" x14ac:dyDescent="0.25">
      <c r="AL2670" s="6"/>
    </row>
    <row r="2671" spans="38:38" x14ac:dyDescent="0.25">
      <c r="AL2671" s="6"/>
    </row>
    <row r="2672" spans="38:38" x14ac:dyDescent="0.25">
      <c r="AL2672" s="6"/>
    </row>
    <row r="2673" spans="38:38" x14ac:dyDescent="0.25">
      <c r="AL2673" s="6"/>
    </row>
    <row r="2674" spans="38:38" x14ac:dyDescent="0.25">
      <c r="AL2674" s="6"/>
    </row>
    <row r="2675" spans="38:38" x14ac:dyDescent="0.25">
      <c r="AL2675" s="6"/>
    </row>
    <row r="2676" spans="38:38" x14ac:dyDescent="0.25">
      <c r="AL2676" s="6"/>
    </row>
    <row r="2677" spans="38:38" x14ac:dyDescent="0.25">
      <c r="AL2677" s="6"/>
    </row>
    <row r="2678" spans="38:38" x14ac:dyDescent="0.25">
      <c r="AL2678" s="6"/>
    </row>
    <row r="2679" spans="38:38" x14ac:dyDescent="0.25">
      <c r="AL2679" s="6"/>
    </row>
    <row r="2680" spans="38:38" x14ac:dyDescent="0.25">
      <c r="AL2680" s="6"/>
    </row>
    <row r="2681" spans="38:38" x14ac:dyDescent="0.25">
      <c r="AL2681" s="6"/>
    </row>
    <row r="2682" spans="38:38" x14ac:dyDescent="0.25">
      <c r="AL2682" s="6"/>
    </row>
    <row r="2683" spans="38:38" x14ac:dyDescent="0.25">
      <c r="AL2683" s="6"/>
    </row>
    <row r="2684" spans="38:38" x14ac:dyDescent="0.25">
      <c r="AL2684" s="6"/>
    </row>
    <row r="2685" spans="38:38" x14ac:dyDescent="0.25">
      <c r="AL2685" s="6"/>
    </row>
    <row r="2686" spans="38:38" x14ac:dyDescent="0.25">
      <c r="AL2686" s="6"/>
    </row>
    <row r="2687" spans="38:38" x14ac:dyDescent="0.25">
      <c r="AL2687" s="6"/>
    </row>
    <row r="2688" spans="38:38" x14ac:dyDescent="0.25">
      <c r="AL2688" s="6"/>
    </row>
    <row r="2689" spans="38:38" x14ac:dyDescent="0.25">
      <c r="AL2689" s="6"/>
    </row>
    <row r="2690" spans="38:38" x14ac:dyDescent="0.25">
      <c r="AL2690" s="6"/>
    </row>
    <row r="2691" spans="38:38" x14ac:dyDescent="0.25">
      <c r="AL2691" s="6"/>
    </row>
    <row r="2692" spans="38:38" x14ac:dyDescent="0.25">
      <c r="AL2692" s="6"/>
    </row>
    <row r="2693" spans="38:38" x14ac:dyDescent="0.25">
      <c r="AL2693" s="6"/>
    </row>
    <row r="2694" spans="38:38" x14ac:dyDescent="0.25">
      <c r="AL2694" s="6"/>
    </row>
    <row r="2695" spans="38:38" x14ac:dyDescent="0.25">
      <c r="AL2695" s="6"/>
    </row>
    <row r="2696" spans="38:38" x14ac:dyDescent="0.25">
      <c r="AL2696" s="6"/>
    </row>
    <row r="2697" spans="38:38" x14ac:dyDescent="0.25">
      <c r="AL2697" s="6"/>
    </row>
    <row r="2698" spans="38:38" x14ac:dyDescent="0.25">
      <c r="AL2698" s="6"/>
    </row>
    <row r="2699" spans="38:38" x14ac:dyDescent="0.25">
      <c r="AL2699" s="6"/>
    </row>
    <row r="2700" spans="38:38" x14ac:dyDescent="0.25">
      <c r="AL2700" s="6"/>
    </row>
    <row r="2701" spans="38:38" x14ac:dyDescent="0.25">
      <c r="AL2701" s="6"/>
    </row>
    <row r="2702" spans="38:38" x14ac:dyDescent="0.25">
      <c r="AL2702" s="6"/>
    </row>
    <row r="2703" spans="38:38" x14ac:dyDescent="0.25">
      <c r="AL2703" s="6"/>
    </row>
    <row r="2704" spans="38:38" x14ac:dyDescent="0.25">
      <c r="AL2704" s="6"/>
    </row>
    <row r="2705" spans="38:38" x14ac:dyDescent="0.25">
      <c r="AL2705" s="6"/>
    </row>
    <row r="2706" spans="38:38" x14ac:dyDescent="0.25">
      <c r="AL2706" s="6"/>
    </row>
    <row r="2707" spans="38:38" x14ac:dyDescent="0.25">
      <c r="AL2707" s="6"/>
    </row>
    <row r="2708" spans="38:38" x14ac:dyDescent="0.25">
      <c r="AL2708" s="6"/>
    </row>
    <row r="2709" spans="38:38" x14ac:dyDescent="0.25">
      <c r="AL2709" s="6"/>
    </row>
    <row r="2710" spans="38:38" x14ac:dyDescent="0.25">
      <c r="AL2710" s="6"/>
    </row>
    <row r="2711" spans="38:38" x14ac:dyDescent="0.25">
      <c r="AL2711" s="6"/>
    </row>
    <row r="2712" spans="38:38" x14ac:dyDescent="0.25">
      <c r="AL2712" s="6"/>
    </row>
    <row r="2713" spans="38:38" x14ac:dyDescent="0.25">
      <c r="AL2713" s="6"/>
    </row>
    <row r="2714" spans="38:38" x14ac:dyDescent="0.25">
      <c r="AL2714" s="6"/>
    </row>
    <row r="2715" spans="38:38" x14ac:dyDescent="0.25">
      <c r="AL2715" s="6"/>
    </row>
    <row r="2716" spans="38:38" x14ac:dyDescent="0.25">
      <c r="AL2716" s="6"/>
    </row>
    <row r="2717" spans="38:38" x14ac:dyDescent="0.25">
      <c r="AL2717" s="6"/>
    </row>
    <row r="2718" spans="38:38" x14ac:dyDescent="0.25">
      <c r="AL2718" s="6"/>
    </row>
    <row r="2719" spans="38:38" x14ac:dyDescent="0.25">
      <c r="AL2719" s="6"/>
    </row>
    <row r="2720" spans="38:38" x14ac:dyDescent="0.25">
      <c r="AL2720" s="6"/>
    </row>
    <row r="2721" spans="38:38" x14ac:dyDescent="0.25">
      <c r="AL2721" s="6"/>
    </row>
    <row r="2722" spans="38:38" x14ac:dyDescent="0.25">
      <c r="AL2722" s="6"/>
    </row>
    <row r="2723" spans="38:38" x14ac:dyDescent="0.25">
      <c r="AL2723" s="6"/>
    </row>
    <row r="2724" spans="38:38" x14ac:dyDescent="0.25">
      <c r="AL2724" s="6"/>
    </row>
    <row r="2725" spans="38:38" x14ac:dyDescent="0.25">
      <c r="AL2725" s="6"/>
    </row>
    <row r="2726" spans="38:38" x14ac:dyDescent="0.25">
      <c r="AL2726" s="6"/>
    </row>
    <row r="2727" spans="38:38" x14ac:dyDescent="0.25">
      <c r="AL2727" s="6"/>
    </row>
    <row r="2728" spans="38:38" x14ac:dyDescent="0.25">
      <c r="AL2728" s="6"/>
    </row>
    <row r="2729" spans="38:38" x14ac:dyDescent="0.25">
      <c r="AL2729" s="6"/>
    </row>
    <row r="2730" spans="38:38" x14ac:dyDescent="0.25">
      <c r="AL2730" s="6"/>
    </row>
    <row r="2731" spans="38:38" x14ac:dyDescent="0.25">
      <c r="AL2731" s="6"/>
    </row>
    <row r="2732" spans="38:38" x14ac:dyDescent="0.25">
      <c r="AL2732" s="6"/>
    </row>
    <row r="2733" spans="38:38" x14ac:dyDescent="0.25">
      <c r="AL2733" s="6"/>
    </row>
    <row r="2734" spans="38:38" x14ac:dyDescent="0.25">
      <c r="AL2734" s="6"/>
    </row>
    <row r="2735" spans="38:38" x14ac:dyDescent="0.25">
      <c r="AL2735" s="6"/>
    </row>
    <row r="2736" spans="38:38" x14ac:dyDescent="0.25">
      <c r="AL2736" s="6"/>
    </row>
    <row r="2737" spans="38:38" x14ac:dyDescent="0.25">
      <c r="AL2737" s="6"/>
    </row>
    <row r="2738" spans="38:38" x14ac:dyDescent="0.25">
      <c r="AL2738" s="6"/>
    </row>
    <row r="2739" spans="38:38" x14ac:dyDescent="0.25">
      <c r="AL2739" s="6"/>
    </row>
    <row r="2740" spans="38:38" x14ac:dyDescent="0.25">
      <c r="AL2740" s="6"/>
    </row>
    <row r="2741" spans="38:38" x14ac:dyDescent="0.25">
      <c r="AL2741" s="6"/>
    </row>
    <row r="2742" spans="38:38" x14ac:dyDescent="0.25">
      <c r="AL2742" s="6"/>
    </row>
    <row r="2743" spans="38:38" x14ac:dyDescent="0.25">
      <c r="AL2743" s="6"/>
    </row>
    <row r="2744" spans="38:38" x14ac:dyDescent="0.25">
      <c r="AL2744" s="6"/>
    </row>
    <row r="2745" spans="38:38" x14ac:dyDescent="0.25">
      <c r="AL2745" s="6"/>
    </row>
    <row r="2746" spans="38:38" x14ac:dyDescent="0.25">
      <c r="AL2746" s="6"/>
    </row>
    <row r="2747" spans="38:38" x14ac:dyDescent="0.25">
      <c r="AL2747" s="6"/>
    </row>
    <row r="2748" spans="38:38" x14ac:dyDescent="0.25">
      <c r="AL2748" s="6"/>
    </row>
    <row r="2749" spans="38:38" x14ac:dyDescent="0.25">
      <c r="AL2749" s="6"/>
    </row>
    <row r="2750" spans="38:38" x14ac:dyDescent="0.25">
      <c r="AL2750" s="6"/>
    </row>
    <row r="2751" spans="38:38" x14ac:dyDescent="0.25">
      <c r="AL2751" s="6"/>
    </row>
    <row r="2752" spans="38:38" x14ac:dyDescent="0.25">
      <c r="AL2752" s="6"/>
    </row>
    <row r="2753" spans="38:38" x14ac:dyDescent="0.25">
      <c r="AL2753" s="6"/>
    </row>
    <row r="2754" spans="38:38" x14ac:dyDescent="0.25">
      <c r="AL2754" s="6"/>
    </row>
    <row r="2755" spans="38:38" x14ac:dyDescent="0.25">
      <c r="AL2755" s="6"/>
    </row>
    <row r="2756" spans="38:38" x14ac:dyDescent="0.25">
      <c r="AL2756" s="6"/>
    </row>
    <row r="2757" spans="38:38" x14ac:dyDescent="0.25">
      <c r="AL2757" s="6"/>
    </row>
    <row r="2758" spans="38:38" x14ac:dyDescent="0.25">
      <c r="AL2758" s="6"/>
    </row>
    <row r="2759" spans="38:38" x14ac:dyDescent="0.25">
      <c r="AL2759" s="6"/>
    </row>
    <row r="2760" spans="38:38" x14ac:dyDescent="0.25">
      <c r="AL2760" s="6"/>
    </row>
    <row r="2761" spans="38:38" x14ac:dyDescent="0.25">
      <c r="AL2761" s="6"/>
    </row>
    <row r="2762" spans="38:38" x14ac:dyDescent="0.25">
      <c r="AL2762" s="6"/>
    </row>
    <row r="2763" spans="38:38" x14ac:dyDescent="0.25">
      <c r="AL2763" s="6"/>
    </row>
    <row r="2764" spans="38:38" x14ac:dyDescent="0.25">
      <c r="AL2764" s="6"/>
    </row>
    <row r="2765" spans="38:38" x14ac:dyDescent="0.25">
      <c r="AL2765" s="6"/>
    </row>
    <row r="2766" spans="38:38" x14ac:dyDescent="0.25">
      <c r="AL2766" s="6"/>
    </row>
    <row r="2767" spans="38:38" x14ac:dyDescent="0.25">
      <c r="AL2767" s="6"/>
    </row>
    <row r="2768" spans="38:38" x14ac:dyDescent="0.25">
      <c r="AL2768" s="6"/>
    </row>
    <row r="2769" spans="38:38" x14ac:dyDescent="0.25">
      <c r="AL2769" s="6"/>
    </row>
    <row r="2770" spans="38:38" x14ac:dyDescent="0.25">
      <c r="AL2770" s="6"/>
    </row>
    <row r="2771" spans="38:38" x14ac:dyDescent="0.25">
      <c r="AL2771" s="6"/>
    </row>
    <row r="2772" spans="38:38" x14ac:dyDescent="0.25">
      <c r="AL2772" s="6"/>
    </row>
    <row r="2773" spans="38:38" x14ac:dyDescent="0.25">
      <c r="AL2773" s="6"/>
    </row>
    <row r="2774" spans="38:38" x14ac:dyDescent="0.25">
      <c r="AL2774" s="6"/>
    </row>
    <row r="2775" spans="38:38" x14ac:dyDescent="0.25">
      <c r="AL2775" s="6"/>
    </row>
    <row r="2776" spans="38:38" x14ac:dyDescent="0.25">
      <c r="AL2776" s="6"/>
    </row>
    <row r="2777" spans="38:38" x14ac:dyDescent="0.25">
      <c r="AL2777" s="6"/>
    </row>
    <row r="2778" spans="38:38" x14ac:dyDescent="0.25">
      <c r="AL2778" s="6"/>
    </row>
    <row r="2779" spans="38:38" x14ac:dyDescent="0.25">
      <c r="AL2779" s="6"/>
    </row>
    <row r="2780" spans="38:38" x14ac:dyDescent="0.25">
      <c r="AL2780" s="6"/>
    </row>
    <row r="2781" spans="38:38" x14ac:dyDescent="0.25">
      <c r="AL2781" s="6"/>
    </row>
    <row r="2782" spans="38:38" x14ac:dyDescent="0.25">
      <c r="AL2782" s="6"/>
    </row>
    <row r="2783" spans="38:38" x14ac:dyDescent="0.25">
      <c r="AL2783" s="6"/>
    </row>
    <row r="2784" spans="38:38" x14ac:dyDescent="0.25">
      <c r="AL2784" s="6"/>
    </row>
    <row r="2785" spans="38:38" x14ac:dyDescent="0.25">
      <c r="AL2785" s="6"/>
    </row>
    <row r="2786" spans="38:38" x14ac:dyDescent="0.25">
      <c r="AL2786" s="6"/>
    </row>
    <row r="2787" spans="38:38" x14ac:dyDescent="0.25">
      <c r="AL2787" s="6"/>
    </row>
    <row r="2788" spans="38:38" x14ac:dyDescent="0.25">
      <c r="AL2788" s="6"/>
    </row>
    <row r="2789" spans="38:38" x14ac:dyDescent="0.25">
      <c r="AL2789" s="6"/>
    </row>
    <row r="2790" spans="38:38" x14ac:dyDescent="0.25">
      <c r="AL2790" s="6"/>
    </row>
    <row r="2791" spans="38:38" x14ac:dyDescent="0.25">
      <c r="AL2791" s="6"/>
    </row>
    <row r="2792" spans="38:38" x14ac:dyDescent="0.25">
      <c r="AL2792" s="6"/>
    </row>
    <row r="2793" spans="38:38" x14ac:dyDescent="0.25">
      <c r="AL2793" s="6"/>
    </row>
    <row r="2794" spans="38:38" x14ac:dyDescent="0.25">
      <c r="AL2794" s="6"/>
    </row>
    <row r="2795" spans="38:38" x14ac:dyDescent="0.25">
      <c r="AL2795" s="6"/>
    </row>
    <row r="2796" spans="38:38" x14ac:dyDescent="0.25">
      <c r="AL2796" s="6"/>
    </row>
    <row r="2797" spans="38:38" x14ac:dyDescent="0.25">
      <c r="AL2797" s="6"/>
    </row>
    <row r="2798" spans="38:38" x14ac:dyDescent="0.25">
      <c r="AL2798" s="6"/>
    </row>
    <row r="2799" spans="38:38" x14ac:dyDescent="0.25">
      <c r="AL2799" s="6"/>
    </row>
    <row r="2800" spans="38:38" x14ac:dyDescent="0.25">
      <c r="AL2800" s="6"/>
    </row>
    <row r="2801" spans="38:38" x14ac:dyDescent="0.25">
      <c r="AL2801" s="6"/>
    </row>
    <row r="2802" spans="38:38" x14ac:dyDescent="0.25">
      <c r="AL2802" s="6"/>
    </row>
    <row r="2803" spans="38:38" x14ac:dyDescent="0.25">
      <c r="AL2803" s="6"/>
    </row>
    <row r="2804" spans="38:38" x14ac:dyDescent="0.25">
      <c r="AL2804" s="6"/>
    </row>
    <row r="2805" spans="38:38" x14ac:dyDescent="0.25">
      <c r="AL2805" s="6"/>
    </row>
    <row r="2806" spans="38:38" x14ac:dyDescent="0.25">
      <c r="AL2806" s="6"/>
    </row>
    <row r="2807" spans="38:38" x14ac:dyDescent="0.25">
      <c r="AL2807" s="6"/>
    </row>
    <row r="2808" spans="38:38" x14ac:dyDescent="0.25">
      <c r="AL2808" s="6"/>
    </row>
    <row r="2809" spans="38:38" x14ac:dyDescent="0.25">
      <c r="AL2809" s="6"/>
    </row>
    <row r="2810" spans="38:38" x14ac:dyDescent="0.25">
      <c r="AL2810" s="6"/>
    </row>
    <row r="2811" spans="38:38" x14ac:dyDescent="0.25">
      <c r="AL2811" s="6"/>
    </row>
    <row r="2812" spans="38:38" x14ac:dyDescent="0.25">
      <c r="AL2812" s="6"/>
    </row>
    <row r="2813" spans="38:38" x14ac:dyDescent="0.25">
      <c r="AL2813" s="6"/>
    </row>
    <row r="2814" spans="38:38" x14ac:dyDescent="0.25">
      <c r="AL2814" s="6"/>
    </row>
    <row r="2815" spans="38:38" x14ac:dyDescent="0.25">
      <c r="AL2815" s="6"/>
    </row>
    <row r="2816" spans="38:38" x14ac:dyDescent="0.25">
      <c r="AL2816" s="6"/>
    </row>
    <row r="2817" spans="38:38" x14ac:dyDescent="0.25">
      <c r="AL2817" s="6"/>
    </row>
    <row r="2818" spans="38:38" x14ac:dyDescent="0.25">
      <c r="AL2818" s="6"/>
    </row>
    <row r="2819" spans="38:38" x14ac:dyDescent="0.25">
      <c r="AL2819" s="6"/>
    </row>
    <row r="2820" spans="38:38" x14ac:dyDescent="0.25">
      <c r="AL2820" s="6"/>
    </row>
    <row r="2821" spans="38:38" x14ac:dyDescent="0.25">
      <c r="AL2821" s="6"/>
    </row>
    <row r="2822" spans="38:38" x14ac:dyDescent="0.25">
      <c r="AL2822" s="6"/>
    </row>
    <row r="2823" spans="38:38" x14ac:dyDescent="0.25">
      <c r="AL2823" s="6"/>
    </row>
    <row r="2824" spans="38:38" x14ac:dyDescent="0.25">
      <c r="AL2824" s="6"/>
    </row>
    <row r="2825" spans="38:38" x14ac:dyDescent="0.25">
      <c r="AL2825" s="6"/>
    </row>
    <row r="2826" spans="38:38" x14ac:dyDescent="0.25">
      <c r="AL2826" s="6"/>
    </row>
    <row r="2827" spans="38:38" x14ac:dyDescent="0.25">
      <c r="AL2827" s="6"/>
    </row>
    <row r="2828" spans="38:38" x14ac:dyDescent="0.25">
      <c r="AL2828" s="6"/>
    </row>
    <row r="2829" spans="38:38" x14ac:dyDescent="0.25">
      <c r="AL2829" s="6"/>
    </row>
    <row r="2830" spans="38:38" x14ac:dyDescent="0.25">
      <c r="AL2830" s="6"/>
    </row>
    <row r="2831" spans="38:38" x14ac:dyDescent="0.25">
      <c r="AL2831" s="6"/>
    </row>
    <row r="2832" spans="38:38" x14ac:dyDescent="0.25">
      <c r="AL2832" s="6"/>
    </row>
    <row r="2833" spans="38:38" x14ac:dyDescent="0.25">
      <c r="AL2833" s="6"/>
    </row>
    <row r="2834" spans="38:38" x14ac:dyDescent="0.25">
      <c r="AL2834" s="6"/>
    </row>
    <row r="2835" spans="38:38" x14ac:dyDescent="0.25">
      <c r="AL2835" s="6"/>
    </row>
    <row r="2836" spans="38:38" x14ac:dyDescent="0.25">
      <c r="AL2836" s="6"/>
    </row>
    <row r="2837" spans="38:38" x14ac:dyDescent="0.25">
      <c r="AL2837" s="6"/>
    </row>
    <row r="2838" spans="38:38" x14ac:dyDescent="0.25">
      <c r="AL2838" s="6"/>
    </row>
    <row r="2839" spans="38:38" x14ac:dyDescent="0.25">
      <c r="AL2839" s="6"/>
    </row>
    <row r="2840" spans="38:38" x14ac:dyDescent="0.25">
      <c r="AL2840" s="6"/>
    </row>
    <row r="2841" spans="38:38" x14ac:dyDescent="0.25">
      <c r="AL2841" s="6"/>
    </row>
    <row r="2842" spans="38:38" x14ac:dyDescent="0.25">
      <c r="AL2842" s="6"/>
    </row>
    <row r="2843" spans="38:38" x14ac:dyDescent="0.25">
      <c r="AL2843" s="6"/>
    </row>
    <row r="2844" spans="38:38" x14ac:dyDescent="0.25">
      <c r="AL2844" s="6"/>
    </row>
    <row r="2845" spans="38:38" x14ac:dyDescent="0.25">
      <c r="AL2845" s="6"/>
    </row>
    <row r="2846" spans="38:38" x14ac:dyDescent="0.25">
      <c r="AL2846" s="6"/>
    </row>
    <row r="2847" spans="38:38" x14ac:dyDescent="0.25">
      <c r="AL2847" s="6"/>
    </row>
    <row r="2848" spans="38:38" x14ac:dyDescent="0.25">
      <c r="AL2848" s="6"/>
    </row>
    <row r="2849" spans="38:38" x14ac:dyDescent="0.25">
      <c r="AL2849" s="6"/>
    </row>
    <row r="2850" spans="38:38" x14ac:dyDescent="0.25">
      <c r="AL2850" s="6"/>
    </row>
    <row r="2851" spans="38:38" x14ac:dyDescent="0.25">
      <c r="AL2851" s="6"/>
    </row>
    <row r="2852" spans="38:38" x14ac:dyDescent="0.25">
      <c r="AL2852" s="6"/>
    </row>
    <row r="2853" spans="38:38" x14ac:dyDescent="0.25">
      <c r="AL2853" s="6"/>
    </row>
    <row r="2854" spans="38:38" x14ac:dyDescent="0.25">
      <c r="AL2854" s="6"/>
    </row>
    <row r="2855" spans="38:38" x14ac:dyDescent="0.25">
      <c r="AL2855" s="6"/>
    </row>
    <row r="2856" spans="38:38" x14ac:dyDescent="0.25">
      <c r="AL2856" s="6"/>
    </row>
    <row r="2857" spans="38:38" x14ac:dyDescent="0.25">
      <c r="AL2857" s="6"/>
    </row>
    <row r="2858" spans="38:38" x14ac:dyDescent="0.25">
      <c r="AL2858" s="6"/>
    </row>
    <row r="2859" spans="38:38" x14ac:dyDescent="0.25">
      <c r="AL2859" s="6"/>
    </row>
    <row r="2860" spans="38:38" x14ac:dyDescent="0.25">
      <c r="AL2860" s="6"/>
    </row>
    <row r="2861" spans="38:38" x14ac:dyDescent="0.25">
      <c r="AL2861" s="6"/>
    </row>
    <row r="2862" spans="38:38" x14ac:dyDescent="0.25">
      <c r="AL2862" s="6"/>
    </row>
    <row r="2863" spans="38:38" x14ac:dyDescent="0.25">
      <c r="AL2863" s="6"/>
    </row>
    <row r="2864" spans="38:38" x14ac:dyDescent="0.25">
      <c r="AL2864" s="6"/>
    </row>
    <row r="2865" spans="38:38" x14ac:dyDescent="0.25">
      <c r="AL2865" s="6"/>
    </row>
    <row r="2866" spans="38:38" x14ac:dyDescent="0.25">
      <c r="AL2866" s="6"/>
    </row>
    <row r="2867" spans="38:38" x14ac:dyDescent="0.25">
      <c r="AL2867" s="6"/>
    </row>
    <row r="2868" spans="38:38" x14ac:dyDescent="0.25">
      <c r="AL2868" s="6"/>
    </row>
    <row r="2869" spans="38:38" x14ac:dyDescent="0.25">
      <c r="AL2869" s="6"/>
    </row>
    <row r="2870" spans="38:38" x14ac:dyDescent="0.25">
      <c r="AL2870" s="6"/>
    </row>
    <row r="2871" spans="38:38" x14ac:dyDescent="0.25">
      <c r="AL2871" s="6"/>
    </row>
    <row r="2872" spans="38:38" x14ac:dyDescent="0.25">
      <c r="AL2872" s="6"/>
    </row>
    <row r="2873" spans="38:38" x14ac:dyDescent="0.25">
      <c r="AL2873" s="6"/>
    </row>
    <row r="2874" spans="38:38" x14ac:dyDescent="0.25">
      <c r="AL2874" s="6"/>
    </row>
    <row r="2875" spans="38:38" x14ac:dyDescent="0.25">
      <c r="AL2875" s="6"/>
    </row>
    <row r="2876" spans="38:38" x14ac:dyDescent="0.25">
      <c r="AL2876" s="6"/>
    </row>
    <row r="2877" spans="38:38" x14ac:dyDescent="0.25">
      <c r="AL2877" s="6"/>
    </row>
    <row r="2878" spans="38:38" x14ac:dyDescent="0.25">
      <c r="AL2878" s="6"/>
    </row>
    <row r="2879" spans="38:38" x14ac:dyDescent="0.25">
      <c r="AL2879" s="6"/>
    </row>
    <row r="2880" spans="38:38" x14ac:dyDescent="0.25">
      <c r="AL2880" s="6"/>
    </row>
    <row r="2881" spans="38:38" x14ac:dyDescent="0.25">
      <c r="AL2881" s="6"/>
    </row>
    <row r="2882" spans="38:38" x14ac:dyDescent="0.25">
      <c r="AL2882" s="6"/>
    </row>
    <row r="2883" spans="38:38" x14ac:dyDescent="0.25">
      <c r="AL2883" s="6"/>
    </row>
    <row r="2884" spans="38:38" x14ac:dyDescent="0.25">
      <c r="AL2884" s="6"/>
    </row>
    <row r="2885" spans="38:38" x14ac:dyDescent="0.25">
      <c r="AL2885" s="6"/>
    </row>
    <row r="2886" spans="38:38" x14ac:dyDescent="0.25">
      <c r="AL2886" s="6"/>
    </row>
    <row r="2887" spans="38:38" x14ac:dyDescent="0.25">
      <c r="AL2887" s="6"/>
    </row>
    <row r="2888" spans="38:38" x14ac:dyDescent="0.25">
      <c r="AL2888" s="6"/>
    </row>
    <row r="2889" spans="38:38" x14ac:dyDescent="0.25">
      <c r="AL2889" s="6"/>
    </row>
    <row r="2890" spans="38:38" x14ac:dyDescent="0.25">
      <c r="AL2890" s="6"/>
    </row>
    <row r="2891" spans="38:38" x14ac:dyDescent="0.25">
      <c r="AL2891" s="6"/>
    </row>
    <row r="2892" spans="38:38" x14ac:dyDescent="0.25">
      <c r="AL2892" s="6"/>
    </row>
    <row r="2893" spans="38:38" x14ac:dyDescent="0.25">
      <c r="AL2893" s="6"/>
    </row>
    <row r="2894" spans="38:38" x14ac:dyDescent="0.25">
      <c r="AL2894" s="6"/>
    </row>
    <row r="2895" spans="38:38" x14ac:dyDescent="0.25">
      <c r="AL2895" s="6"/>
    </row>
    <row r="2896" spans="38:38" x14ac:dyDescent="0.25">
      <c r="AL2896" s="6"/>
    </row>
    <row r="2897" spans="38:38" x14ac:dyDescent="0.25">
      <c r="AL2897" s="6"/>
    </row>
    <row r="2898" spans="38:38" x14ac:dyDescent="0.25">
      <c r="AL2898" s="6"/>
    </row>
    <row r="2899" spans="38:38" x14ac:dyDescent="0.25">
      <c r="AL2899" s="6"/>
    </row>
    <row r="2900" spans="38:38" x14ac:dyDescent="0.25">
      <c r="AL2900" s="6"/>
    </row>
    <row r="2901" spans="38:38" x14ac:dyDescent="0.25">
      <c r="AL2901" s="6"/>
    </row>
    <row r="2902" spans="38:38" x14ac:dyDescent="0.25">
      <c r="AL2902" s="6"/>
    </row>
    <row r="2903" spans="38:38" x14ac:dyDescent="0.25">
      <c r="AL2903" s="6"/>
    </row>
    <row r="2904" spans="38:38" x14ac:dyDescent="0.25">
      <c r="AL2904" s="6"/>
    </row>
    <row r="2905" spans="38:38" x14ac:dyDescent="0.25">
      <c r="AL2905" s="6"/>
    </row>
    <row r="2906" spans="38:38" x14ac:dyDescent="0.25">
      <c r="AL2906" s="6"/>
    </row>
    <row r="2907" spans="38:38" x14ac:dyDescent="0.25">
      <c r="AL2907" s="6"/>
    </row>
    <row r="2908" spans="38:38" x14ac:dyDescent="0.25">
      <c r="AL2908" s="6"/>
    </row>
    <row r="2909" spans="38:38" x14ac:dyDescent="0.25">
      <c r="AL2909" s="6"/>
    </row>
    <row r="2910" spans="38:38" x14ac:dyDescent="0.25">
      <c r="AL2910" s="6"/>
    </row>
    <row r="2911" spans="38:38" x14ac:dyDescent="0.25">
      <c r="AL2911" s="6"/>
    </row>
    <row r="2912" spans="38:38" x14ac:dyDescent="0.25">
      <c r="AL2912" s="6"/>
    </row>
    <row r="2913" spans="38:38" x14ac:dyDescent="0.25">
      <c r="AL2913" s="6"/>
    </row>
    <row r="2914" spans="38:38" x14ac:dyDescent="0.25">
      <c r="AL2914" s="6"/>
    </row>
    <row r="2915" spans="38:38" x14ac:dyDescent="0.25">
      <c r="AL2915" s="6"/>
    </row>
    <row r="2916" spans="38:38" x14ac:dyDescent="0.25">
      <c r="AL2916" s="6"/>
    </row>
    <row r="2917" spans="38:38" x14ac:dyDescent="0.25">
      <c r="AL2917" s="6"/>
    </row>
    <row r="2918" spans="38:38" x14ac:dyDescent="0.25">
      <c r="AL2918" s="6"/>
    </row>
    <row r="2919" spans="38:38" x14ac:dyDescent="0.25">
      <c r="AL2919" s="6"/>
    </row>
    <row r="2920" spans="38:38" x14ac:dyDescent="0.25">
      <c r="AL2920" s="6"/>
    </row>
    <row r="2921" spans="38:38" x14ac:dyDescent="0.25">
      <c r="AL2921" s="6"/>
    </row>
    <row r="2922" spans="38:38" x14ac:dyDescent="0.25">
      <c r="AL2922" s="6"/>
    </row>
    <row r="2923" spans="38:38" x14ac:dyDescent="0.25">
      <c r="AL2923" s="6"/>
    </row>
    <row r="2924" spans="38:38" x14ac:dyDescent="0.25">
      <c r="AL2924" s="6"/>
    </row>
    <row r="2925" spans="38:38" x14ac:dyDescent="0.25">
      <c r="AL2925" s="6"/>
    </row>
    <row r="2926" spans="38:38" x14ac:dyDescent="0.25">
      <c r="AL2926" s="6"/>
    </row>
    <row r="2927" spans="38:38" x14ac:dyDescent="0.25">
      <c r="AL2927" s="6"/>
    </row>
    <row r="2928" spans="38:38" x14ac:dyDescent="0.25">
      <c r="AL2928" s="6"/>
    </row>
    <row r="2929" spans="38:38" x14ac:dyDescent="0.25">
      <c r="AL2929" s="6"/>
    </row>
    <row r="2930" spans="38:38" x14ac:dyDescent="0.25">
      <c r="AL2930" s="6"/>
    </row>
    <row r="2931" spans="38:38" x14ac:dyDescent="0.25">
      <c r="AL2931" s="6"/>
    </row>
    <row r="2932" spans="38:38" x14ac:dyDescent="0.25">
      <c r="AL2932" s="6"/>
    </row>
    <row r="2933" spans="38:38" x14ac:dyDescent="0.25">
      <c r="AL2933" s="6"/>
    </row>
    <row r="2934" spans="38:38" x14ac:dyDescent="0.25">
      <c r="AL2934" s="6"/>
    </row>
    <row r="2935" spans="38:38" x14ac:dyDescent="0.25">
      <c r="AL2935" s="6"/>
    </row>
    <row r="2936" spans="38:38" x14ac:dyDescent="0.25">
      <c r="AL2936" s="6"/>
    </row>
    <row r="2937" spans="38:38" x14ac:dyDescent="0.25">
      <c r="AL2937" s="6"/>
    </row>
    <row r="2938" spans="38:38" x14ac:dyDescent="0.25">
      <c r="AL2938" s="6"/>
    </row>
    <row r="2939" spans="38:38" x14ac:dyDescent="0.25">
      <c r="AL2939" s="6"/>
    </row>
    <row r="2940" spans="38:38" x14ac:dyDescent="0.25">
      <c r="AL2940" s="6"/>
    </row>
    <row r="2941" spans="38:38" x14ac:dyDescent="0.25">
      <c r="AL2941" s="6"/>
    </row>
    <row r="2942" spans="38:38" x14ac:dyDescent="0.25">
      <c r="AL2942" s="6"/>
    </row>
    <row r="2943" spans="38:38" x14ac:dyDescent="0.25">
      <c r="AL2943" s="6"/>
    </row>
    <row r="2944" spans="38:38" x14ac:dyDescent="0.25">
      <c r="AL2944" s="6"/>
    </row>
    <row r="2945" spans="38:38" x14ac:dyDescent="0.25">
      <c r="AL2945" s="6"/>
    </row>
    <row r="2946" spans="38:38" x14ac:dyDescent="0.25">
      <c r="AL2946" s="6"/>
    </row>
    <row r="2947" spans="38:38" x14ac:dyDescent="0.25">
      <c r="AL2947" s="6"/>
    </row>
    <row r="2948" spans="38:38" x14ac:dyDescent="0.25">
      <c r="AL2948" s="6"/>
    </row>
    <row r="2949" spans="38:38" x14ac:dyDescent="0.25">
      <c r="AL2949" s="6"/>
    </row>
    <row r="2950" spans="38:38" x14ac:dyDescent="0.25">
      <c r="AL2950" s="6"/>
    </row>
    <row r="2951" spans="38:38" x14ac:dyDescent="0.25">
      <c r="AL2951" s="6"/>
    </row>
    <row r="2952" spans="38:38" x14ac:dyDescent="0.25">
      <c r="AL2952" s="6"/>
    </row>
    <row r="2953" spans="38:38" x14ac:dyDescent="0.25">
      <c r="AL2953" s="6"/>
    </row>
    <row r="2954" spans="38:38" x14ac:dyDescent="0.25">
      <c r="AL2954" s="6"/>
    </row>
    <row r="2955" spans="38:38" x14ac:dyDescent="0.25">
      <c r="AL2955" s="6"/>
    </row>
    <row r="2956" spans="38:38" x14ac:dyDescent="0.25">
      <c r="AL2956" s="6"/>
    </row>
    <row r="2957" spans="38:38" x14ac:dyDescent="0.25">
      <c r="AL2957" s="6"/>
    </row>
    <row r="2958" spans="38:38" x14ac:dyDescent="0.25">
      <c r="AL2958" s="6"/>
    </row>
    <row r="2959" spans="38:38" x14ac:dyDescent="0.25">
      <c r="AL2959" s="6"/>
    </row>
    <row r="2960" spans="38:38" x14ac:dyDescent="0.25">
      <c r="AL2960" s="6"/>
    </row>
    <row r="2961" spans="38:38" x14ac:dyDescent="0.25">
      <c r="AL2961" s="6"/>
    </row>
    <row r="2962" spans="38:38" x14ac:dyDescent="0.25">
      <c r="AL2962" s="6"/>
    </row>
    <row r="2963" spans="38:38" x14ac:dyDescent="0.25">
      <c r="AL2963" s="6"/>
    </row>
    <row r="2964" spans="38:38" x14ac:dyDescent="0.25">
      <c r="AL2964" s="6"/>
    </row>
    <row r="2965" spans="38:38" x14ac:dyDescent="0.25">
      <c r="AL2965" s="6"/>
    </row>
    <row r="2966" spans="38:38" x14ac:dyDescent="0.25">
      <c r="AL2966" s="6"/>
    </row>
    <row r="2967" spans="38:38" x14ac:dyDescent="0.25">
      <c r="AL2967" s="6"/>
    </row>
    <row r="2968" spans="38:38" x14ac:dyDescent="0.25">
      <c r="AL2968" s="6"/>
    </row>
    <row r="2969" spans="38:38" x14ac:dyDescent="0.25">
      <c r="AL2969" s="6"/>
    </row>
    <row r="2970" spans="38:38" x14ac:dyDescent="0.25">
      <c r="AL2970" s="6"/>
    </row>
    <row r="2971" spans="38:38" x14ac:dyDescent="0.25">
      <c r="AL2971" s="6"/>
    </row>
    <row r="2972" spans="38:38" x14ac:dyDescent="0.25">
      <c r="AL2972" s="6"/>
    </row>
    <row r="2973" spans="38:38" x14ac:dyDescent="0.25">
      <c r="AL2973" s="6"/>
    </row>
    <row r="2974" spans="38:38" x14ac:dyDescent="0.25">
      <c r="AL2974" s="6"/>
    </row>
    <row r="2975" spans="38:38" x14ac:dyDescent="0.25">
      <c r="AL2975" s="6"/>
    </row>
    <row r="2976" spans="38:38" x14ac:dyDescent="0.25">
      <c r="AL2976" s="6"/>
    </row>
    <row r="2977" spans="38:38" x14ac:dyDescent="0.25">
      <c r="AL2977" s="6"/>
    </row>
    <row r="2978" spans="38:38" x14ac:dyDescent="0.25">
      <c r="AL2978" s="6"/>
    </row>
    <row r="2979" spans="38:38" x14ac:dyDescent="0.25">
      <c r="AL2979" s="6"/>
    </row>
    <row r="2980" spans="38:38" x14ac:dyDescent="0.25">
      <c r="AL2980" s="6"/>
    </row>
    <row r="2981" spans="38:38" x14ac:dyDescent="0.25">
      <c r="AL2981" s="6"/>
    </row>
    <row r="2982" spans="38:38" x14ac:dyDescent="0.25">
      <c r="AL2982" s="6"/>
    </row>
    <row r="2983" spans="38:38" x14ac:dyDescent="0.25">
      <c r="AL2983" s="6"/>
    </row>
    <row r="2984" spans="38:38" x14ac:dyDescent="0.25">
      <c r="AL2984" s="6"/>
    </row>
    <row r="2985" spans="38:38" x14ac:dyDescent="0.25">
      <c r="AL2985" s="6"/>
    </row>
    <row r="2986" spans="38:38" x14ac:dyDescent="0.25">
      <c r="AL2986" s="6"/>
    </row>
    <row r="2987" spans="38:38" x14ac:dyDescent="0.25">
      <c r="AL2987" s="6"/>
    </row>
    <row r="2988" spans="38:38" x14ac:dyDescent="0.25">
      <c r="AL2988" s="6"/>
    </row>
    <row r="2989" spans="38:38" x14ac:dyDescent="0.25">
      <c r="AL2989" s="6"/>
    </row>
    <row r="2990" spans="38:38" x14ac:dyDescent="0.25">
      <c r="AL2990" s="6"/>
    </row>
    <row r="2991" spans="38:38" x14ac:dyDescent="0.25">
      <c r="AL2991" s="6"/>
    </row>
    <row r="2992" spans="38:38" x14ac:dyDescent="0.25">
      <c r="AL2992" s="6"/>
    </row>
    <row r="2993" spans="38:38" x14ac:dyDescent="0.25">
      <c r="AL2993" s="6"/>
    </row>
    <row r="2994" spans="38:38" x14ac:dyDescent="0.25">
      <c r="AL2994" s="6"/>
    </row>
    <row r="2995" spans="38:38" x14ac:dyDescent="0.25">
      <c r="AL2995" s="6"/>
    </row>
    <row r="2996" spans="38:38" x14ac:dyDescent="0.25">
      <c r="AL2996" s="6"/>
    </row>
    <row r="2997" spans="38:38" x14ac:dyDescent="0.25">
      <c r="AL2997" s="6"/>
    </row>
    <row r="2998" spans="38:38" x14ac:dyDescent="0.25">
      <c r="AL2998" s="6"/>
    </row>
    <row r="2999" spans="38:38" x14ac:dyDescent="0.25">
      <c r="AL2999" s="6"/>
    </row>
    <row r="3000" spans="38:38" x14ac:dyDescent="0.25">
      <c r="AL3000" s="6"/>
    </row>
    <row r="3001" spans="38:38" x14ac:dyDescent="0.25">
      <c r="AL3001" s="6"/>
    </row>
    <row r="3002" spans="38:38" x14ac:dyDescent="0.25">
      <c r="AL3002" s="6"/>
    </row>
    <row r="3003" spans="38:38" x14ac:dyDescent="0.25">
      <c r="AL3003" s="6"/>
    </row>
    <row r="3004" spans="38:38" x14ac:dyDescent="0.25">
      <c r="AL3004" s="6"/>
    </row>
    <row r="3005" spans="38:38" x14ac:dyDescent="0.25">
      <c r="AL3005" s="6"/>
    </row>
    <row r="3006" spans="38:38" x14ac:dyDescent="0.25">
      <c r="AL3006" s="6"/>
    </row>
    <row r="3007" spans="38:38" x14ac:dyDescent="0.25">
      <c r="AL3007" s="6"/>
    </row>
    <row r="3008" spans="38:38" x14ac:dyDescent="0.25">
      <c r="AL3008" s="6"/>
    </row>
    <row r="3009" spans="38:38" x14ac:dyDescent="0.25">
      <c r="AL3009" s="6"/>
    </row>
    <row r="3010" spans="38:38" x14ac:dyDescent="0.25">
      <c r="AL3010" s="6"/>
    </row>
    <row r="3011" spans="38:38" x14ac:dyDescent="0.25">
      <c r="AL3011" s="6"/>
    </row>
    <row r="3012" spans="38:38" x14ac:dyDescent="0.25">
      <c r="AL3012" s="6"/>
    </row>
    <row r="3013" spans="38:38" x14ac:dyDescent="0.25">
      <c r="AL3013" s="6"/>
    </row>
    <row r="3014" spans="38:38" x14ac:dyDescent="0.25">
      <c r="AL3014" s="6"/>
    </row>
    <row r="3015" spans="38:38" x14ac:dyDescent="0.25">
      <c r="AL3015" s="6"/>
    </row>
    <row r="3016" spans="38:38" x14ac:dyDescent="0.25">
      <c r="AL3016" s="6"/>
    </row>
    <row r="3017" spans="38:38" x14ac:dyDescent="0.25">
      <c r="AL3017" s="6"/>
    </row>
    <row r="3018" spans="38:38" x14ac:dyDescent="0.25">
      <c r="AL3018" s="6"/>
    </row>
    <row r="3019" spans="38:38" x14ac:dyDescent="0.25">
      <c r="AL3019" s="6"/>
    </row>
    <row r="3020" spans="38:38" x14ac:dyDescent="0.25">
      <c r="AL3020" s="6"/>
    </row>
    <row r="3021" spans="38:38" x14ac:dyDescent="0.25">
      <c r="AL3021" s="6"/>
    </row>
    <row r="3022" spans="38:38" x14ac:dyDescent="0.25">
      <c r="AL3022" s="6"/>
    </row>
    <row r="3023" spans="38:38" x14ac:dyDescent="0.25">
      <c r="AL3023" s="6"/>
    </row>
    <row r="3024" spans="38:38" x14ac:dyDescent="0.25">
      <c r="AL3024" s="6"/>
    </row>
    <row r="3025" spans="38:38" x14ac:dyDescent="0.25">
      <c r="AL3025" s="6"/>
    </row>
    <row r="3026" spans="38:38" x14ac:dyDescent="0.25">
      <c r="AL3026" s="6"/>
    </row>
    <row r="3027" spans="38:38" x14ac:dyDescent="0.25">
      <c r="AL3027" s="6"/>
    </row>
    <row r="3028" spans="38:38" x14ac:dyDescent="0.25">
      <c r="AL3028" s="6"/>
    </row>
    <row r="3029" spans="38:38" x14ac:dyDescent="0.25">
      <c r="AL3029" s="6"/>
    </row>
    <row r="3030" spans="38:38" x14ac:dyDescent="0.25">
      <c r="AL3030" s="6"/>
    </row>
    <row r="3031" spans="38:38" x14ac:dyDescent="0.25">
      <c r="AL3031" s="6"/>
    </row>
    <row r="3032" spans="38:38" x14ac:dyDescent="0.25">
      <c r="AL3032" s="6"/>
    </row>
    <row r="3033" spans="38:38" x14ac:dyDescent="0.25">
      <c r="AL3033" s="6"/>
    </row>
    <row r="3034" spans="38:38" x14ac:dyDescent="0.25">
      <c r="AL3034" s="6"/>
    </row>
    <row r="3035" spans="38:38" x14ac:dyDescent="0.25">
      <c r="AL3035" s="6"/>
    </row>
    <row r="3036" spans="38:38" x14ac:dyDescent="0.25">
      <c r="AL3036" s="6"/>
    </row>
    <row r="3037" spans="38:38" x14ac:dyDescent="0.25">
      <c r="AL3037" s="6"/>
    </row>
    <row r="3038" spans="38:38" x14ac:dyDescent="0.25">
      <c r="AL3038" s="6"/>
    </row>
    <row r="3039" spans="38:38" x14ac:dyDescent="0.25">
      <c r="AL3039" s="6"/>
    </row>
    <row r="3040" spans="38:38" x14ac:dyDescent="0.25">
      <c r="AL3040" s="6"/>
    </row>
    <row r="3041" spans="38:38" x14ac:dyDescent="0.25">
      <c r="AL3041" s="6"/>
    </row>
    <row r="3042" spans="38:38" x14ac:dyDescent="0.25">
      <c r="AL3042" s="6"/>
    </row>
    <row r="3043" spans="38:38" x14ac:dyDescent="0.25">
      <c r="AL3043" s="6"/>
    </row>
    <row r="3044" spans="38:38" x14ac:dyDescent="0.25">
      <c r="AL3044" s="6"/>
    </row>
    <row r="3045" spans="38:38" x14ac:dyDescent="0.25">
      <c r="AL3045" s="6"/>
    </row>
    <row r="3046" spans="38:38" x14ac:dyDescent="0.25">
      <c r="AL3046" s="6"/>
    </row>
    <row r="3047" spans="38:38" x14ac:dyDescent="0.25">
      <c r="AL3047" s="6"/>
    </row>
    <row r="3048" spans="38:38" x14ac:dyDescent="0.25">
      <c r="AL3048" s="6"/>
    </row>
    <row r="3049" spans="38:38" x14ac:dyDescent="0.25">
      <c r="AL3049" s="6"/>
    </row>
    <row r="3050" spans="38:38" x14ac:dyDescent="0.25">
      <c r="AL3050" s="6"/>
    </row>
    <row r="3051" spans="38:38" x14ac:dyDescent="0.25">
      <c r="AL3051" s="6"/>
    </row>
    <row r="3052" spans="38:38" x14ac:dyDescent="0.25">
      <c r="AL3052" s="6"/>
    </row>
    <row r="3053" spans="38:38" x14ac:dyDescent="0.25">
      <c r="AL3053" s="6"/>
    </row>
    <row r="3054" spans="38:38" x14ac:dyDescent="0.25">
      <c r="AL3054" s="6"/>
    </row>
    <row r="3055" spans="38:38" x14ac:dyDescent="0.25">
      <c r="AL3055" s="6"/>
    </row>
    <row r="3056" spans="38:38" x14ac:dyDescent="0.25">
      <c r="AL3056" s="6"/>
    </row>
    <row r="3057" spans="38:38" x14ac:dyDescent="0.25">
      <c r="AL3057" s="6"/>
    </row>
    <row r="3058" spans="38:38" x14ac:dyDescent="0.25">
      <c r="AL3058" s="6"/>
    </row>
    <row r="3059" spans="38:38" x14ac:dyDescent="0.25">
      <c r="AL3059" s="6"/>
    </row>
    <row r="3060" spans="38:38" x14ac:dyDescent="0.25">
      <c r="AL3060" s="6"/>
    </row>
    <row r="3061" spans="38:38" x14ac:dyDescent="0.25">
      <c r="AL3061" s="6"/>
    </row>
    <row r="3062" spans="38:38" x14ac:dyDescent="0.25">
      <c r="AL3062" s="6"/>
    </row>
    <row r="3063" spans="38:38" x14ac:dyDescent="0.25">
      <c r="AL3063" s="6"/>
    </row>
    <row r="3064" spans="38:38" x14ac:dyDescent="0.25">
      <c r="AL3064" s="6"/>
    </row>
    <row r="3065" spans="38:38" x14ac:dyDescent="0.25">
      <c r="AL3065" s="6"/>
    </row>
    <row r="3066" spans="38:38" x14ac:dyDescent="0.25">
      <c r="AL3066" s="6"/>
    </row>
    <row r="3067" spans="38:38" x14ac:dyDescent="0.25">
      <c r="AL3067" s="6"/>
    </row>
    <row r="3068" spans="38:38" x14ac:dyDescent="0.25">
      <c r="AL3068" s="6"/>
    </row>
    <row r="3069" spans="38:38" x14ac:dyDescent="0.25">
      <c r="AL3069" s="6"/>
    </row>
    <row r="3070" spans="38:38" x14ac:dyDescent="0.25">
      <c r="AL3070" s="6"/>
    </row>
    <row r="3071" spans="38:38" x14ac:dyDescent="0.25">
      <c r="AL3071" s="6"/>
    </row>
    <row r="3072" spans="38:38" x14ac:dyDescent="0.25">
      <c r="AL3072" s="6"/>
    </row>
    <row r="3073" spans="38:38" x14ac:dyDescent="0.25">
      <c r="AL3073" s="6"/>
    </row>
    <row r="3074" spans="38:38" x14ac:dyDescent="0.25">
      <c r="AL3074" s="6"/>
    </row>
    <row r="3075" spans="38:38" x14ac:dyDescent="0.25">
      <c r="AL3075" s="6"/>
    </row>
    <row r="3076" spans="38:38" x14ac:dyDescent="0.25">
      <c r="AL3076" s="6"/>
    </row>
    <row r="3077" spans="38:38" x14ac:dyDescent="0.25">
      <c r="AL3077" s="6"/>
    </row>
    <row r="3078" spans="38:38" x14ac:dyDescent="0.25">
      <c r="AL3078" s="6"/>
    </row>
    <row r="3079" spans="38:38" x14ac:dyDescent="0.25">
      <c r="AL3079" s="6"/>
    </row>
    <row r="3080" spans="38:38" x14ac:dyDescent="0.25">
      <c r="AL3080" s="6"/>
    </row>
    <row r="3081" spans="38:38" x14ac:dyDescent="0.25">
      <c r="AL3081" s="6"/>
    </row>
    <row r="3082" spans="38:38" x14ac:dyDescent="0.25">
      <c r="AL3082" s="6"/>
    </row>
    <row r="3083" spans="38:38" x14ac:dyDescent="0.25">
      <c r="AL3083" s="6"/>
    </row>
    <row r="3084" spans="38:38" x14ac:dyDescent="0.25">
      <c r="AL3084" s="6"/>
    </row>
    <row r="3085" spans="38:38" x14ac:dyDescent="0.25">
      <c r="AL3085" s="6"/>
    </row>
    <row r="3086" spans="38:38" x14ac:dyDescent="0.25">
      <c r="AL3086" s="6"/>
    </row>
    <row r="3087" spans="38:38" x14ac:dyDescent="0.25">
      <c r="AL3087" s="6"/>
    </row>
    <row r="3088" spans="38:38" x14ac:dyDescent="0.25">
      <c r="AL3088" s="6"/>
    </row>
    <row r="3089" spans="38:38" x14ac:dyDescent="0.25">
      <c r="AL3089" s="6"/>
    </row>
    <row r="3090" spans="38:38" x14ac:dyDescent="0.25">
      <c r="AL3090" s="6"/>
    </row>
    <row r="3091" spans="38:38" x14ac:dyDescent="0.25">
      <c r="AL3091" s="6"/>
    </row>
    <row r="3092" spans="38:38" x14ac:dyDescent="0.25">
      <c r="AL3092" s="6"/>
    </row>
    <row r="3093" spans="38:38" x14ac:dyDescent="0.25">
      <c r="AL3093" s="6"/>
    </row>
    <row r="3094" spans="38:38" x14ac:dyDescent="0.25">
      <c r="AL3094" s="6"/>
    </row>
    <row r="3095" spans="38:38" x14ac:dyDescent="0.25">
      <c r="AL3095" s="6"/>
    </row>
    <row r="3096" spans="38:38" x14ac:dyDescent="0.25">
      <c r="AL3096" s="6"/>
    </row>
    <row r="3097" spans="38:38" x14ac:dyDescent="0.25">
      <c r="AL3097" s="6"/>
    </row>
    <row r="3098" spans="38:38" x14ac:dyDescent="0.25">
      <c r="AL3098" s="6"/>
    </row>
    <row r="3099" spans="38:38" x14ac:dyDescent="0.25">
      <c r="AL3099" s="6"/>
    </row>
    <row r="3100" spans="38:38" x14ac:dyDescent="0.25">
      <c r="AL3100" s="6"/>
    </row>
    <row r="3101" spans="38:38" x14ac:dyDescent="0.25">
      <c r="AL3101" s="6"/>
    </row>
    <row r="3102" spans="38:38" x14ac:dyDescent="0.25">
      <c r="AL3102" s="6"/>
    </row>
    <row r="3103" spans="38:38" x14ac:dyDescent="0.25">
      <c r="AL3103" s="6"/>
    </row>
    <row r="3104" spans="38:38" x14ac:dyDescent="0.25">
      <c r="AL3104" s="6"/>
    </row>
    <row r="3105" spans="38:38" x14ac:dyDescent="0.25">
      <c r="AL3105" s="6"/>
    </row>
    <row r="3106" spans="38:38" x14ac:dyDescent="0.25">
      <c r="AL3106" s="6"/>
    </row>
    <row r="3107" spans="38:38" x14ac:dyDescent="0.25">
      <c r="AL3107" s="6"/>
    </row>
    <row r="3108" spans="38:38" x14ac:dyDescent="0.25">
      <c r="AL3108" s="6"/>
    </row>
    <row r="3109" spans="38:38" x14ac:dyDescent="0.25">
      <c r="AL3109" s="6"/>
    </row>
    <row r="3110" spans="38:38" x14ac:dyDescent="0.25">
      <c r="AL3110" s="6"/>
    </row>
    <row r="3111" spans="38:38" x14ac:dyDescent="0.25">
      <c r="AL3111" s="6"/>
    </row>
    <row r="3112" spans="38:38" x14ac:dyDescent="0.25">
      <c r="AL3112" s="6"/>
    </row>
    <row r="3113" spans="38:38" x14ac:dyDescent="0.25">
      <c r="AL3113" s="6"/>
    </row>
    <row r="3114" spans="38:38" x14ac:dyDescent="0.25">
      <c r="AL3114" s="6"/>
    </row>
    <row r="3115" spans="38:38" x14ac:dyDescent="0.25">
      <c r="AL3115" s="6"/>
    </row>
    <row r="3116" spans="38:38" x14ac:dyDescent="0.25">
      <c r="AL3116" s="6"/>
    </row>
    <row r="3117" spans="38:38" x14ac:dyDescent="0.25">
      <c r="AL3117" s="6"/>
    </row>
    <row r="3118" spans="38:38" x14ac:dyDescent="0.25">
      <c r="AL3118" s="6"/>
    </row>
    <row r="3119" spans="38:38" x14ac:dyDescent="0.25">
      <c r="AL3119" s="6"/>
    </row>
    <row r="3120" spans="38:38" x14ac:dyDescent="0.25">
      <c r="AL3120" s="6"/>
    </row>
    <row r="3121" spans="38:38" x14ac:dyDescent="0.25">
      <c r="AL3121" s="6"/>
    </row>
    <row r="3122" spans="38:38" x14ac:dyDescent="0.25">
      <c r="AL3122" s="6"/>
    </row>
    <row r="3123" spans="38:38" x14ac:dyDescent="0.25">
      <c r="AL3123" s="6"/>
    </row>
    <row r="3124" spans="38:38" x14ac:dyDescent="0.25">
      <c r="AL3124" s="6"/>
    </row>
    <row r="3125" spans="38:38" x14ac:dyDescent="0.25">
      <c r="AL3125" s="6"/>
    </row>
    <row r="3126" spans="38:38" x14ac:dyDescent="0.25">
      <c r="AL3126" s="6"/>
    </row>
    <row r="3127" spans="38:38" x14ac:dyDescent="0.25">
      <c r="AL3127" s="6"/>
    </row>
    <row r="3128" spans="38:38" x14ac:dyDescent="0.25">
      <c r="AL3128" s="6"/>
    </row>
    <row r="3129" spans="38:38" x14ac:dyDescent="0.25">
      <c r="AL3129" s="6"/>
    </row>
    <row r="3130" spans="38:38" x14ac:dyDescent="0.25">
      <c r="AL3130" s="6"/>
    </row>
    <row r="3131" spans="38:38" x14ac:dyDescent="0.25">
      <c r="AL3131" s="6"/>
    </row>
    <row r="3132" spans="38:38" x14ac:dyDescent="0.25">
      <c r="AL3132" s="6"/>
    </row>
    <row r="3133" spans="38:38" x14ac:dyDescent="0.25">
      <c r="AL3133" s="6"/>
    </row>
    <row r="3134" spans="38:38" x14ac:dyDescent="0.25">
      <c r="AL3134" s="6"/>
    </row>
    <row r="3135" spans="38:38" x14ac:dyDescent="0.25">
      <c r="AL3135" s="6"/>
    </row>
    <row r="3136" spans="38:38" x14ac:dyDescent="0.25">
      <c r="AL3136" s="6"/>
    </row>
    <row r="3137" spans="38:38" x14ac:dyDescent="0.25">
      <c r="AL3137" s="6"/>
    </row>
    <row r="3138" spans="38:38" x14ac:dyDescent="0.25">
      <c r="AL3138" s="6"/>
    </row>
    <row r="3139" spans="38:38" x14ac:dyDescent="0.25">
      <c r="AL3139" s="6"/>
    </row>
    <row r="3140" spans="38:38" x14ac:dyDescent="0.25">
      <c r="AL3140" s="6"/>
    </row>
    <row r="3141" spans="38:38" x14ac:dyDescent="0.25">
      <c r="AL3141" s="6"/>
    </row>
    <row r="3142" spans="38:38" x14ac:dyDescent="0.25">
      <c r="AL3142" s="6"/>
    </row>
    <row r="3143" spans="38:38" x14ac:dyDescent="0.25">
      <c r="AL3143" s="6"/>
    </row>
    <row r="3144" spans="38:38" x14ac:dyDescent="0.25">
      <c r="AL3144" s="6"/>
    </row>
    <row r="3145" spans="38:38" x14ac:dyDescent="0.25">
      <c r="AL3145" s="6"/>
    </row>
    <row r="3146" spans="38:38" x14ac:dyDescent="0.25">
      <c r="AL3146" s="6"/>
    </row>
    <row r="3147" spans="38:38" x14ac:dyDescent="0.25">
      <c r="AL3147" s="6"/>
    </row>
    <row r="3148" spans="38:38" x14ac:dyDescent="0.25">
      <c r="AL3148" s="6"/>
    </row>
    <row r="3149" spans="38:38" x14ac:dyDescent="0.25">
      <c r="AL3149" s="6"/>
    </row>
    <row r="3150" spans="38:38" x14ac:dyDescent="0.25">
      <c r="AL3150" s="6"/>
    </row>
    <row r="3151" spans="38:38" x14ac:dyDescent="0.25">
      <c r="AL3151" s="6"/>
    </row>
    <row r="3152" spans="38:38" x14ac:dyDescent="0.25">
      <c r="AL3152" s="6"/>
    </row>
    <row r="3153" spans="38:38" x14ac:dyDescent="0.25">
      <c r="AL3153" s="6"/>
    </row>
    <row r="3154" spans="38:38" x14ac:dyDescent="0.25">
      <c r="AL3154" s="6"/>
    </row>
    <row r="3155" spans="38:38" x14ac:dyDescent="0.25">
      <c r="AL3155" s="6"/>
    </row>
    <row r="3156" spans="38:38" x14ac:dyDescent="0.25">
      <c r="AL3156" s="6"/>
    </row>
    <row r="3157" spans="38:38" x14ac:dyDescent="0.25">
      <c r="AL3157" s="6"/>
    </row>
    <row r="3158" spans="38:38" x14ac:dyDescent="0.25">
      <c r="AL3158" s="6"/>
    </row>
    <row r="3159" spans="38:38" x14ac:dyDescent="0.25">
      <c r="AL3159" s="6"/>
    </row>
    <row r="3160" spans="38:38" x14ac:dyDescent="0.25">
      <c r="AL3160" s="6"/>
    </row>
    <row r="3161" spans="38:38" x14ac:dyDescent="0.25">
      <c r="AL3161" s="6"/>
    </row>
    <row r="3162" spans="38:38" x14ac:dyDescent="0.25">
      <c r="AL3162" s="6"/>
    </row>
    <row r="3163" spans="38:38" x14ac:dyDescent="0.25">
      <c r="AL3163" s="6"/>
    </row>
    <row r="3164" spans="38:38" x14ac:dyDescent="0.25">
      <c r="AL3164" s="6"/>
    </row>
    <row r="3165" spans="38:38" x14ac:dyDescent="0.25">
      <c r="AL3165" s="6"/>
    </row>
    <row r="3166" spans="38:38" x14ac:dyDescent="0.25">
      <c r="AL3166" s="6"/>
    </row>
    <row r="3167" spans="38:38" x14ac:dyDescent="0.25">
      <c r="AL3167" s="6"/>
    </row>
    <row r="3168" spans="38:38" x14ac:dyDescent="0.25">
      <c r="AL3168" s="6"/>
    </row>
    <row r="3169" spans="38:38" x14ac:dyDescent="0.25">
      <c r="AL3169" s="6"/>
    </row>
    <row r="3170" spans="38:38" x14ac:dyDescent="0.25">
      <c r="AL3170" s="6"/>
    </row>
    <row r="3171" spans="38:38" x14ac:dyDescent="0.25">
      <c r="AL3171" s="6"/>
    </row>
    <row r="3172" spans="38:38" x14ac:dyDescent="0.25">
      <c r="AL3172" s="6"/>
    </row>
    <row r="3173" spans="38:38" x14ac:dyDescent="0.25">
      <c r="AL3173" s="6"/>
    </row>
    <row r="3174" spans="38:38" x14ac:dyDescent="0.25">
      <c r="AL3174" s="6"/>
    </row>
    <row r="3175" spans="38:38" x14ac:dyDescent="0.25">
      <c r="AL3175" s="6"/>
    </row>
    <row r="3176" spans="38:38" x14ac:dyDescent="0.25">
      <c r="AL3176" s="6"/>
    </row>
    <row r="3177" spans="38:38" x14ac:dyDescent="0.25">
      <c r="AL3177" s="6"/>
    </row>
    <row r="3178" spans="38:38" x14ac:dyDescent="0.25">
      <c r="AL3178" s="6"/>
    </row>
    <row r="3179" spans="38:38" x14ac:dyDescent="0.25">
      <c r="AL3179" s="6"/>
    </row>
    <row r="3180" spans="38:38" x14ac:dyDescent="0.25">
      <c r="AL3180" s="6"/>
    </row>
    <row r="3181" spans="38:38" x14ac:dyDescent="0.25">
      <c r="AL3181" s="6"/>
    </row>
    <row r="3182" spans="38:38" x14ac:dyDescent="0.25">
      <c r="AL3182" s="6"/>
    </row>
    <row r="3183" spans="38:38" x14ac:dyDescent="0.25">
      <c r="AL3183" s="6"/>
    </row>
    <row r="3184" spans="38:38" x14ac:dyDescent="0.25">
      <c r="AL3184" s="6"/>
    </row>
    <row r="3185" spans="38:38" x14ac:dyDescent="0.25">
      <c r="AL3185" s="6"/>
    </row>
    <row r="3186" spans="38:38" x14ac:dyDescent="0.25">
      <c r="AL3186" s="6"/>
    </row>
    <row r="3187" spans="38:38" x14ac:dyDescent="0.25">
      <c r="AL3187" s="6"/>
    </row>
    <row r="3188" spans="38:38" x14ac:dyDescent="0.25">
      <c r="AL3188" s="6"/>
    </row>
    <row r="3189" spans="38:38" x14ac:dyDescent="0.25">
      <c r="AL3189" s="6"/>
    </row>
    <row r="3190" spans="38:38" x14ac:dyDescent="0.25">
      <c r="AL3190" s="6"/>
    </row>
    <row r="3191" spans="38:38" x14ac:dyDescent="0.25">
      <c r="AL3191" s="6"/>
    </row>
    <row r="3192" spans="38:38" x14ac:dyDescent="0.25">
      <c r="AL3192" s="6"/>
    </row>
    <row r="3193" spans="38:38" x14ac:dyDescent="0.25">
      <c r="AL3193" s="6"/>
    </row>
    <row r="3194" spans="38:38" x14ac:dyDescent="0.25">
      <c r="AL3194" s="6"/>
    </row>
    <row r="3195" spans="38:38" x14ac:dyDescent="0.25">
      <c r="AL3195" s="6"/>
    </row>
    <row r="3196" spans="38:38" x14ac:dyDescent="0.25">
      <c r="AL3196" s="6"/>
    </row>
    <row r="3197" spans="38:38" x14ac:dyDescent="0.25">
      <c r="AL3197" s="6"/>
    </row>
    <row r="3198" spans="38:38" x14ac:dyDescent="0.25">
      <c r="AL3198" s="6"/>
    </row>
    <row r="3199" spans="38:38" x14ac:dyDescent="0.25">
      <c r="AL3199" s="6"/>
    </row>
    <row r="3200" spans="38:38" x14ac:dyDescent="0.25">
      <c r="AL3200" s="6"/>
    </row>
    <row r="3201" spans="38:38" x14ac:dyDescent="0.25">
      <c r="AL3201" s="6"/>
    </row>
    <row r="3202" spans="38:38" x14ac:dyDescent="0.25">
      <c r="AL3202" s="6"/>
    </row>
    <row r="3203" spans="38:38" x14ac:dyDescent="0.25">
      <c r="AL3203" s="6"/>
    </row>
    <row r="3204" spans="38:38" x14ac:dyDescent="0.25">
      <c r="AL3204" s="6"/>
    </row>
    <row r="3205" spans="38:38" x14ac:dyDescent="0.25">
      <c r="AL3205" s="6"/>
    </row>
    <row r="3206" spans="38:38" x14ac:dyDescent="0.25">
      <c r="AL3206" s="6"/>
    </row>
    <row r="3207" spans="38:38" x14ac:dyDescent="0.25">
      <c r="AL3207" s="6"/>
    </row>
    <row r="3208" spans="38:38" x14ac:dyDescent="0.25">
      <c r="AL3208" s="6"/>
    </row>
    <row r="3209" spans="38:38" x14ac:dyDescent="0.25">
      <c r="AL3209" s="6"/>
    </row>
    <row r="3210" spans="38:38" x14ac:dyDescent="0.25">
      <c r="AL3210" s="6"/>
    </row>
    <row r="3211" spans="38:38" x14ac:dyDescent="0.25">
      <c r="AL3211" s="6"/>
    </row>
    <row r="3212" spans="38:38" x14ac:dyDescent="0.25">
      <c r="AL3212" s="6"/>
    </row>
    <row r="3213" spans="38:38" x14ac:dyDescent="0.25">
      <c r="AL3213" s="6"/>
    </row>
    <row r="3214" spans="38:38" x14ac:dyDescent="0.25">
      <c r="AL3214" s="6"/>
    </row>
    <row r="3215" spans="38:38" x14ac:dyDescent="0.25">
      <c r="AL3215" s="6"/>
    </row>
    <row r="3216" spans="38:38" x14ac:dyDescent="0.25">
      <c r="AL3216" s="6"/>
    </row>
    <row r="3217" spans="38:38" x14ac:dyDescent="0.25">
      <c r="AL3217" s="6"/>
    </row>
    <row r="3218" spans="38:38" x14ac:dyDescent="0.25">
      <c r="AL3218" s="6"/>
    </row>
    <row r="3219" spans="38:38" x14ac:dyDescent="0.25">
      <c r="AL3219" s="6"/>
    </row>
    <row r="3220" spans="38:38" x14ac:dyDescent="0.25">
      <c r="AL3220" s="6"/>
    </row>
    <row r="3221" spans="38:38" x14ac:dyDescent="0.25">
      <c r="AL3221" s="6"/>
    </row>
    <row r="3222" spans="38:38" x14ac:dyDescent="0.25">
      <c r="AL3222" s="6"/>
    </row>
    <row r="3223" spans="38:38" x14ac:dyDescent="0.25">
      <c r="AL3223" s="6"/>
    </row>
    <row r="3224" spans="38:38" x14ac:dyDescent="0.25">
      <c r="AL3224" s="6"/>
    </row>
    <row r="3225" spans="38:38" x14ac:dyDescent="0.25">
      <c r="AL3225" s="6"/>
    </row>
    <row r="3226" spans="38:38" x14ac:dyDescent="0.25">
      <c r="AL3226" s="6"/>
    </row>
    <row r="3227" spans="38:38" x14ac:dyDescent="0.25">
      <c r="AL3227" s="6"/>
    </row>
    <row r="3228" spans="38:38" x14ac:dyDescent="0.25">
      <c r="AL3228" s="6"/>
    </row>
    <row r="3229" spans="38:38" x14ac:dyDescent="0.25">
      <c r="AL3229" s="6"/>
    </row>
    <row r="3230" spans="38:38" x14ac:dyDescent="0.25">
      <c r="AL3230" s="6"/>
    </row>
    <row r="3231" spans="38:38" x14ac:dyDescent="0.25">
      <c r="AL3231" s="6"/>
    </row>
    <row r="3232" spans="38:38" x14ac:dyDescent="0.25">
      <c r="AL3232" s="6"/>
    </row>
    <row r="3233" spans="38:38" x14ac:dyDescent="0.25">
      <c r="AL3233" s="6"/>
    </row>
    <row r="3234" spans="38:38" x14ac:dyDescent="0.25">
      <c r="AL3234" s="6"/>
    </row>
    <row r="3235" spans="38:38" x14ac:dyDescent="0.25">
      <c r="AL3235" s="6"/>
    </row>
    <row r="3236" spans="38:38" x14ac:dyDescent="0.25">
      <c r="AL3236" s="6"/>
    </row>
    <row r="3237" spans="38:38" x14ac:dyDescent="0.25">
      <c r="AL3237" s="6"/>
    </row>
    <row r="3238" spans="38:38" x14ac:dyDescent="0.25">
      <c r="AL3238" s="6"/>
    </row>
    <row r="3239" spans="38:38" x14ac:dyDescent="0.25">
      <c r="AL3239" s="6"/>
    </row>
    <row r="3240" spans="38:38" x14ac:dyDescent="0.25">
      <c r="AL3240" s="6"/>
    </row>
    <row r="3241" spans="38:38" x14ac:dyDescent="0.25">
      <c r="AL3241" s="6"/>
    </row>
    <row r="3242" spans="38:38" x14ac:dyDescent="0.25">
      <c r="AL3242" s="6"/>
    </row>
    <row r="3243" spans="38:38" x14ac:dyDescent="0.25">
      <c r="AL3243" s="6"/>
    </row>
    <row r="3244" spans="38:38" x14ac:dyDescent="0.25">
      <c r="AL3244" s="6"/>
    </row>
    <row r="3245" spans="38:38" x14ac:dyDescent="0.25">
      <c r="AL3245" s="6"/>
    </row>
    <row r="3246" spans="38:38" x14ac:dyDescent="0.25">
      <c r="AL3246" s="6"/>
    </row>
    <row r="3247" spans="38:38" x14ac:dyDescent="0.25">
      <c r="AL3247" s="6"/>
    </row>
    <row r="3248" spans="38:38" x14ac:dyDescent="0.25">
      <c r="AL3248" s="6"/>
    </row>
    <row r="3249" spans="38:38" x14ac:dyDescent="0.25">
      <c r="AL3249" s="6"/>
    </row>
    <row r="3250" spans="38:38" x14ac:dyDescent="0.25">
      <c r="AL3250" s="6"/>
    </row>
    <row r="3251" spans="38:38" x14ac:dyDescent="0.25">
      <c r="AL3251" s="6"/>
    </row>
    <row r="3252" spans="38:38" x14ac:dyDescent="0.25">
      <c r="AL3252" s="6"/>
    </row>
    <row r="3253" spans="38:38" x14ac:dyDescent="0.25">
      <c r="AL3253" s="6"/>
    </row>
    <row r="3254" spans="38:38" x14ac:dyDescent="0.25">
      <c r="AL3254" s="6"/>
    </row>
    <row r="3255" spans="38:38" x14ac:dyDescent="0.25">
      <c r="AL3255" s="6"/>
    </row>
    <row r="3256" spans="38:38" x14ac:dyDescent="0.25">
      <c r="AL3256" s="6"/>
    </row>
    <row r="3257" spans="38:38" x14ac:dyDescent="0.25">
      <c r="AL3257" s="6"/>
    </row>
    <row r="3258" spans="38:38" x14ac:dyDescent="0.25">
      <c r="AL3258" s="6"/>
    </row>
    <row r="3259" spans="38:38" x14ac:dyDescent="0.25">
      <c r="AL3259" s="6"/>
    </row>
    <row r="3260" spans="38:38" x14ac:dyDescent="0.25">
      <c r="AL3260" s="6"/>
    </row>
    <row r="3261" spans="38:38" x14ac:dyDescent="0.25">
      <c r="AL3261" s="6"/>
    </row>
    <row r="3262" spans="38:38" x14ac:dyDescent="0.25">
      <c r="AL3262" s="6"/>
    </row>
    <row r="3263" spans="38:38" x14ac:dyDescent="0.25">
      <c r="AL3263" s="6"/>
    </row>
    <row r="3264" spans="38:38" x14ac:dyDescent="0.25">
      <c r="AL3264" s="6"/>
    </row>
    <row r="3265" spans="38:38" x14ac:dyDescent="0.25">
      <c r="AL3265" s="6"/>
    </row>
    <row r="3266" spans="38:38" x14ac:dyDescent="0.25">
      <c r="AL3266" s="6"/>
    </row>
    <row r="3267" spans="38:38" x14ac:dyDescent="0.25">
      <c r="AL3267" s="6"/>
    </row>
    <row r="3268" spans="38:38" x14ac:dyDescent="0.25">
      <c r="AL3268" s="6"/>
    </row>
    <row r="3269" spans="38:38" x14ac:dyDescent="0.25">
      <c r="AL3269" s="6"/>
    </row>
    <row r="3270" spans="38:38" x14ac:dyDescent="0.25">
      <c r="AL3270" s="6"/>
    </row>
    <row r="3271" spans="38:38" x14ac:dyDescent="0.25">
      <c r="AL3271" s="6"/>
    </row>
    <row r="3272" spans="38:38" x14ac:dyDescent="0.25">
      <c r="AL3272" s="6"/>
    </row>
    <row r="3273" spans="38:38" x14ac:dyDescent="0.25">
      <c r="AL3273" s="6"/>
    </row>
    <row r="3274" spans="38:38" x14ac:dyDescent="0.25">
      <c r="AL3274" s="6"/>
    </row>
    <row r="3275" spans="38:38" x14ac:dyDescent="0.25">
      <c r="AL3275" s="6"/>
    </row>
    <row r="3276" spans="38:38" x14ac:dyDescent="0.25">
      <c r="AL3276" s="6"/>
    </row>
    <row r="3277" spans="38:38" x14ac:dyDescent="0.25">
      <c r="AL3277" s="6"/>
    </row>
    <row r="3278" spans="38:38" x14ac:dyDescent="0.25">
      <c r="AL3278" s="6"/>
    </row>
    <row r="3279" spans="38:38" x14ac:dyDescent="0.25">
      <c r="AL3279" s="6"/>
    </row>
    <row r="3280" spans="38:38" x14ac:dyDescent="0.25">
      <c r="AL3280" s="6"/>
    </row>
    <row r="3281" spans="38:38" x14ac:dyDescent="0.25">
      <c r="AL3281" s="6"/>
    </row>
    <row r="3282" spans="38:38" x14ac:dyDescent="0.25">
      <c r="AL3282" s="6"/>
    </row>
    <row r="3283" spans="38:38" x14ac:dyDescent="0.25">
      <c r="AL3283" s="6"/>
    </row>
    <row r="3284" spans="38:38" x14ac:dyDescent="0.25">
      <c r="AL3284" s="6"/>
    </row>
    <row r="3285" spans="38:38" x14ac:dyDescent="0.25">
      <c r="AL3285" s="6"/>
    </row>
    <row r="3286" spans="38:38" x14ac:dyDescent="0.25">
      <c r="AL3286" s="6"/>
    </row>
    <row r="3287" spans="38:38" x14ac:dyDescent="0.25">
      <c r="AL3287" s="6"/>
    </row>
    <row r="3288" spans="38:38" x14ac:dyDescent="0.25">
      <c r="AL3288" s="6"/>
    </row>
    <row r="3289" spans="38:38" x14ac:dyDescent="0.25">
      <c r="AL3289" s="6"/>
    </row>
    <row r="3290" spans="38:38" x14ac:dyDescent="0.25">
      <c r="AL3290" s="6"/>
    </row>
    <row r="3291" spans="38:38" x14ac:dyDescent="0.25">
      <c r="AL3291" s="6"/>
    </row>
    <row r="3292" spans="38:38" x14ac:dyDescent="0.25">
      <c r="AL3292" s="6"/>
    </row>
    <row r="3293" spans="38:38" x14ac:dyDescent="0.25">
      <c r="AL3293" s="6"/>
    </row>
    <row r="3294" spans="38:38" x14ac:dyDescent="0.25">
      <c r="AL3294" s="6"/>
    </row>
    <row r="3295" spans="38:38" x14ac:dyDescent="0.25">
      <c r="AL3295" s="6"/>
    </row>
    <row r="3296" spans="38:38" x14ac:dyDescent="0.25">
      <c r="AL3296" s="6"/>
    </row>
    <row r="3297" spans="38:38" x14ac:dyDescent="0.25">
      <c r="AL3297" s="6"/>
    </row>
    <row r="3298" spans="38:38" x14ac:dyDescent="0.25">
      <c r="AL3298" s="6"/>
    </row>
    <row r="3299" spans="38:38" x14ac:dyDescent="0.25">
      <c r="AL3299" s="6"/>
    </row>
    <row r="3300" spans="38:38" x14ac:dyDescent="0.25">
      <c r="AL3300" s="6"/>
    </row>
    <row r="3301" spans="38:38" x14ac:dyDescent="0.25">
      <c r="AL3301" s="6"/>
    </row>
    <row r="3302" spans="38:38" x14ac:dyDescent="0.25">
      <c r="AL3302" s="6"/>
    </row>
    <row r="3303" spans="38:38" x14ac:dyDescent="0.25">
      <c r="AL3303" s="6"/>
    </row>
    <row r="3304" spans="38:38" x14ac:dyDescent="0.25">
      <c r="AL3304" s="6"/>
    </row>
    <row r="3305" spans="38:38" x14ac:dyDescent="0.25">
      <c r="AL3305" s="6"/>
    </row>
    <row r="3306" spans="38:38" x14ac:dyDescent="0.25">
      <c r="AL3306" s="6"/>
    </row>
    <row r="3307" spans="38:38" x14ac:dyDescent="0.25">
      <c r="AL3307" s="6"/>
    </row>
    <row r="3308" spans="38:38" x14ac:dyDescent="0.25">
      <c r="AL3308" s="6"/>
    </row>
    <row r="3309" spans="38:38" x14ac:dyDescent="0.25">
      <c r="AL3309" s="6"/>
    </row>
    <row r="3310" spans="38:38" x14ac:dyDescent="0.25">
      <c r="AL3310" s="6"/>
    </row>
    <row r="3311" spans="38:38" x14ac:dyDescent="0.25">
      <c r="AL3311" s="6"/>
    </row>
    <row r="3312" spans="38:38" x14ac:dyDescent="0.25">
      <c r="AL3312" s="6"/>
    </row>
    <row r="3313" spans="38:38" x14ac:dyDescent="0.25">
      <c r="AL3313" s="6"/>
    </row>
    <row r="3314" spans="38:38" x14ac:dyDescent="0.25">
      <c r="AL3314" s="6"/>
    </row>
    <row r="3315" spans="38:38" x14ac:dyDescent="0.25">
      <c r="AL3315" s="6"/>
    </row>
    <row r="3316" spans="38:38" x14ac:dyDescent="0.25">
      <c r="AL3316" s="6"/>
    </row>
    <row r="3317" spans="38:38" x14ac:dyDescent="0.25">
      <c r="AL3317" s="6"/>
    </row>
    <row r="3318" spans="38:38" x14ac:dyDescent="0.25">
      <c r="AL3318" s="6"/>
    </row>
    <row r="3319" spans="38:38" x14ac:dyDescent="0.25">
      <c r="AL3319" s="6"/>
    </row>
    <row r="3320" spans="38:38" x14ac:dyDescent="0.25">
      <c r="AL3320" s="6"/>
    </row>
    <row r="3321" spans="38:38" x14ac:dyDescent="0.25">
      <c r="AL3321" s="6"/>
    </row>
    <row r="3322" spans="38:38" x14ac:dyDescent="0.25">
      <c r="AL3322" s="6"/>
    </row>
    <row r="3323" spans="38:38" x14ac:dyDescent="0.25">
      <c r="AL3323" s="6"/>
    </row>
    <row r="3324" spans="38:38" x14ac:dyDescent="0.25">
      <c r="AL3324" s="6"/>
    </row>
    <row r="3325" spans="38:38" x14ac:dyDescent="0.25">
      <c r="AL3325" s="6"/>
    </row>
    <row r="3326" spans="38:38" x14ac:dyDescent="0.25">
      <c r="AL3326" s="6"/>
    </row>
    <row r="3327" spans="38:38" x14ac:dyDescent="0.25">
      <c r="AL3327" s="6"/>
    </row>
    <row r="3328" spans="38:38" x14ac:dyDescent="0.25">
      <c r="AL3328" s="6"/>
    </row>
    <row r="3329" spans="38:38" x14ac:dyDescent="0.25">
      <c r="AL3329" s="6"/>
    </row>
    <row r="3330" spans="38:38" x14ac:dyDescent="0.25">
      <c r="AL3330" s="6"/>
    </row>
    <row r="3331" spans="38:38" x14ac:dyDescent="0.25">
      <c r="AL3331" s="6"/>
    </row>
    <row r="3332" spans="38:38" x14ac:dyDescent="0.25">
      <c r="AL3332" s="6"/>
    </row>
    <row r="3333" spans="38:38" x14ac:dyDescent="0.25">
      <c r="AL3333" s="6"/>
    </row>
    <row r="3334" spans="38:38" x14ac:dyDescent="0.25">
      <c r="AL3334" s="6"/>
    </row>
    <row r="3335" spans="38:38" x14ac:dyDescent="0.25">
      <c r="AL3335" s="6"/>
    </row>
    <row r="3336" spans="38:38" x14ac:dyDescent="0.25">
      <c r="AL3336" s="6"/>
    </row>
    <row r="3337" spans="38:38" x14ac:dyDescent="0.25">
      <c r="AL3337" s="6"/>
    </row>
    <row r="3338" spans="38:38" x14ac:dyDescent="0.25">
      <c r="AL3338" s="6"/>
    </row>
    <row r="3339" spans="38:38" x14ac:dyDescent="0.25">
      <c r="AL3339" s="6"/>
    </row>
    <row r="3340" spans="38:38" x14ac:dyDescent="0.25">
      <c r="AL3340" s="6"/>
    </row>
    <row r="3341" spans="38:38" x14ac:dyDescent="0.25">
      <c r="AL3341" s="6"/>
    </row>
    <row r="3342" spans="38:38" x14ac:dyDescent="0.25">
      <c r="AL3342" s="6"/>
    </row>
    <row r="3343" spans="38:38" x14ac:dyDescent="0.25">
      <c r="AL3343" s="6"/>
    </row>
    <row r="3344" spans="38:38" x14ac:dyDescent="0.25">
      <c r="AL3344" s="6"/>
    </row>
    <row r="3345" spans="38:38" x14ac:dyDescent="0.25">
      <c r="AL3345" s="6"/>
    </row>
    <row r="3346" spans="38:38" x14ac:dyDescent="0.25">
      <c r="AL3346" s="6"/>
    </row>
    <row r="3347" spans="38:38" x14ac:dyDescent="0.25">
      <c r="AL3347" s="6"/>
    </row>
    <row r="3348" spans="38:38" x14ac:dyDescent="0.25">
      <c r="AL3348" s="6"/>
    </row>
    <row r="3349" spans="38:38" x14ac:dyDescent="0.25">
      <c r="AL3349" s="6"/>
    </row>
    <row r="3350" spans="38:38" x14ac:dyDescent="0.25">
      <c r="AL3350" s="6"/>
    </row>
    <row r="3351" spans="38:38" x14ac:dyDescent="0.25">
      <c r="AL3351" s="6"/>
    </row>
    <row r="3352" spans="38:38" x14ac:dyDescent="0.25">
      <c r="AL3352" s="6"/>
    </row>
    <row r="3353" spans="38:38" x14ac:dyDescent="0.25">
      <c r="AL3353" s="6"/>
    </row>
    <row r="3354" spans="38:38" x14ac:dyDescent="0.25">
      <c r="AL3354" s="6"/>
    </row>
    <row r="3355" spans="38:38" x14ac:dyDescent="0.25">
      <c r="AL3355" s="6"/>
    </row>
    <row r="3356" spans="38:38" x14ac:dyDescent="0.25">
      <c r="AL3356" s="6"/>
    </row>
    <row r="3357" spans="38:38" x14ac:dyDescent="0.25">
      <c r="AL3357" s="6"/>
    </row>
    <row r="3358" spans="38:38" x14ac:dyDescent="0.25">
      <c r="AL3358" s="6"/>
    </row>
    <row r="3359" spans="38:38" x14ac:dyDescent="0.25">
      <c r="AL3359" s="6"/>
    </row>
    <row r="3360" spans="38:38" x14ac:dyDescent="0.25">
      <c r="AL3360" s="6"/>
    </row>
    <row r="3361" spans="38:38" x14ac:dyDescent="0.25">
      <c r="AL3361" s="6"/>
    </row>
    <row r="3362" spans="38:38" x14ac:dyDescent="0.25">
      <c r="AL3362" s="6"/>
    </row>
    <row r="3363" spans="38:38" x14ac:dyDescent="0.25">
      <c r="AL3363" s="6"/>
    </row>
    <row r="3364" spans="38:38" x14ac:dyDescent="0.25">
      <c r="AL3364" s="6"/>
    </row>
    <row r="3365" spans="38:38" x14ac:dyDescent="0.25">
      <c r="AL3365" s="6"/>
    </row>
    <row r="3366" spans="38:38" x14ac:dyDescent="0.25">
      <c r="AL3366" s="6"/>
    </row>
    <row r="3367" spans="38:38" x14ac:dyDescent="0.25">
      <c r="AL3367" s="6"/>
    </row>
    <row r="3368" spans="38:38" x14ac:dyDescent="0.25">
      <c r="AL3368" s="6"/>
    </row>
    <row r="3369" spans="38:38" x14ac:dyDescent="0.25">
      <c r="AL3369" s="6"/>
    </row>
    <row r="3370" spans="38:38" x14ac:dyDescent="0.25">
      <c r="AL3370" s="6"/>
    </row>
    <row r="3371" spans="38:38" x14ac:dyDescent="0.25">
      <c r="AL3371" s="6"/>
    </row>
    <row r="3372" spans="38:38" x14ac:dyDescent="0.25">
      <c r="AL3372" s="6"/>
    </row>
    <row r="3373" spans="38:38" x14ac:dyDescent="0.25">
      <c r="AL3373" s="6"/>
    </row>
    <row r="3374" spans="38:38" x14ac:dyDescent="0.25">
      <c r="AL3374" s="6"/>
    </row>
    <row r="3375" spans="38:38" x14ac:dyDescent="0.25">
      <c r="AL3375" s="6"/>
    </row>
    <row r="3376" spans="38:38" x14ac:dyDescent="0.25">
      <c r="AL3376" s="6"/>
    </row>
    <row r="3377" spans="38:38" x14ac:dyDescent="0.25">
      <c r="AL3377" s="6"/>
    </row>
    <row r="3378" spans="38:38" x14ac:dyDescent="0.25">
      <c r="AL3378" s="6"/>
    </row>
    <row r="3379" spans="38:38" x14ac:dyDescent="0.25">
      <c r="AL3379" s="6"/>
    </row>
    <row r="3380" spans="38:38" x14ac:dyDescent="0.25">
      <c r="AL3380" s="6"/>
    </row>
    <row r="3381" spans="38:38" x14ac:dyDescent="0.25">
      <c r="AL3381" s="6"/>
    </row>
    <row r="3382" spans="38:38" x14ac:dyDescent="0.25">
      <c r="AL3382" s="6"/>
    </row>
    <row r="3383" spans="38:38" x14ac:dyDescent="0.25">
      <c r="AL3383" s="6"/>
    </row>
    <row r="3384" spans="38:38" x14ac:dyDescent="0.25">
      <c r="AL3384" s="6"/>
    </row>
    <row r="3385" spans="38:38" x14ac:dyDescent="0.25">
      <c r="AL3385" s="6"/>
    </row>
    <row r="3386" spans="38:38" x14ac:dyDescent="0.25">
      <c r="AL3386" s="6"/>
    </row>
    <row r="3387" spans="38:38" x14ac:dyDescent="0.25">
      <c r="AL3387" s="6"/>
    </row>
    <row r="3388" spans="38:38" x14ac:dyDescent="0.25">
      <c r="AL3388" s="6"/>
    </row>
    <row r="3389" spans="38:38" x14ac:dyDescent="0.25">
      <c r="AL3389" s="6"/>
    </row>
    <row r="3390" spans="38:38" x14ac:dyDescent="0.25">
      <c r="AL3390" s="6"/>
    </row>
    <row r="3391" spans="38:38" x14ac:dyDescent="0.25">
      <c r="AL3391" s="6"/>
    </row>
    <row r="3392" spans="38:38" x14ac:dyDescent="0.25">
      <c r="AL3392" s="6"/>
    </row>
    <row r="3393" spans="38:38" x14ac:dyDescent="0.25">
      <c r="AL3393" s="6"/>
    </row>
    <row r="3394" spans="38:38" x14ac:dyDescent="0.25">
      <c r="AL3394" s="6"/>
    </row>
    <row r="3395" spans="38:38" x14ac:dyDescent="0.25">
      <c r="AL3395" s="6"/>
    </row>
    <row r="3396" spans="38:38" x14ac:dyDescent="0.25">
      <c r="AL3396" s="6"/>
    </row>
    <row r="3397" spans="38:38" x14ac:dyDescent="0.25">
      <c r="AL3397" s="6"/>
    </row>
    <row r="3398" spans="38:38" x14ac:dyDescent="0.25">
      <c r="AL3398" s="6"/>
    </row>
    <row r="3399" spans="38:38" x14ac:dyDescent="0.25">
      <c r="AL3399" s="6"/>
    </row>
    <row r="3400" spans="38:38" x14ac:dyDescent="0.25">
      <c r="AL3400" s="6"/>
    </row>
    <row r="3401" spans="38:38" x14ac:dyDescent="0.25">
      <c r="AL3401" s="6"/>
    </row>
    <row r="3402" spans="38:38" x14ac:dyDescent="0.25">
      <c r="AL3402" s="6"/>
    </row>
    <row r="3403" spans="38:38" x14ac:dyDescent="0.25">
      <c r="AL3403" s="6"/>
    </row>
    <row r="3404" spans="38:38" x14ac:dyDescent="0.25">
      <c r="AL3404" s="6"/>
    </row>
    <row r="3405" spans="38:38" x14ac:dyDescent="0.25">
      <c r="AL3405" s="6"/>
    </row>
    <row r="3406" spans="38:38" x14ac:dyDescent="0.25">
      <c r="AL3406" s="6"/>
    </row>
    <row r="3407" spans="38:38" x14ac:dyDescent="0.25">
      <c r="AL3407" s="6"/>
    </row>
    <row r="3408" spans="38:38" x14ac:dyDescent="0.25">
      <c r="AL3408" s="6"/>
    </row>
    <row r="3409" spans="38:38" x14ac:dyDescent="0.25">
      <c r="AL3409" s="6"/>
    </row>
    <row r="3410" spans="38:38" x14ac:dyDescent="0.25">
      <c r="AL3410" s="6"/>
    </row>
    <row r="3411" spans="38:38" x14ac:dyDescent="0.25">
      <c r="AL3411" s="6"/>
    </row>
    <row r="3412" spans="38:38" x14ac:dyDescent="0.25">
      <c r="AL3412" s="6"/>
    </row>
    <row r="3413" spans="38:38" x14ac:dyDescent="0.25">
      <c r="AL3413" s="6"/>
    </row>
    <row r="3414" spans="38:38" x14ac:dyDescent="0.25">
      <c r="AL3414" s="6"/>
    </row>
    <row r="3415" spans="38:38" x14ac:dyDescent="0.25">
      <c r="AL3415" s="6"/>
    </row>
    <row r="3416" spans="38:38" x14ac:dyDescent="0.25">
      <c r="AL3416" s="6"/>
    </row>
    <row r="3417" spans="38:38" x14ac:dyDescent="0.25">
      <c r="AL3417" s="6"/>
    </row>
    <row r="3418" spans="38:38" x14ac:dyDescent="0.25">
      <c r="AL3418" s="6"/>
    </row>
    <row r="3419" spans="38:38" x14ac:dyDescent="0.25">
      <c r="AL3419" s="6"/>
    </row>
    <row r="3420" spans="38:38" x14ac:dyDescent="0.25">
      <c r="AL3420" s="6"/>
    </row>
    <row r="3421" spans="38:38" x14ac:dyDescent="0.25">
      <c r="AL3421" s="6"/>
    </row>
    <row r="3422" spans="38:38" x14ac:dyDescent="0.25">
      <c r="AL3422" s="6"/>
    </row>
    <row r="3423" spans="38:38" x14ac:dyDescent="0.25">
      <c r="AL3423" s="6"/>
    </row>
    <row r="3424" spans="38:38" x14ac:dyDescent="0.25">
      <c r="AL3424" s="6"/>
    </row>
    <row r="3425" spans="38:38" x14ac:dyDescent="0.25">
      <c r="AL3425" s="6"/>
    </row>
    <row r="3426" spans="38:38" x14ac:dyDescent="0.25">
      <c r="AL3426" s="6"/>
    </row>
    <row r="3427" spans="38:38" x14ac:dyDescent="0.25">
      <c r="AL3427" s="6"/>
    </row>
    <row r="3428" spans="38:38" x14ac:dyDescent="0.25">
      <c r="AL3428" s="6"/>
    </row>
    <row r="3429" spans="38:38" x14ac:dyDescent="0.25">
      <c r="AL3429" s="6"/>
    </row>
    <row r="3430" spans="38:38" x14ac:dyDescent="0.25">
      <c r="AL3430" s="6"/>
    </row>
    <row r="3431" spans="38:38" x14ac:dyDescent="0.25">
      <c r="AL3431" s="6"/>
    </row>
    <row r="3432" spans="38:38" x14ac:dyDescent="0.25">
      <c r="AL3432" s="6"/>
    </row>
    <row r="3433" spans="38:38" x14ac:dyDescent="0.25">
      <c r="AL3433" s="6"/>
    </row>
    <row r="3434" spans="38:38" x14ac:dyDescent="0.25">
      <c r="AL3434" s="6"/>
    </row>
    <row r="3435" spans="38:38" x14ac:dyDescent="0.25">
      <c r="AL3435" s="6"/>
    </row>
    <row r="3436" spans="38:38" x14ac:dyDescent="0.25">
      <c r="AL3436" s="6"/>
    </row>
    <row r="3437" spans="38:38" x14ac:dyDescent="0.25">
      <c r="AL3437" s="6"/>
    </row>
    <row r="3438" spans="38:38" x14ac:dyDescent="0.25">
      <c r="AL3438" s="6"/>
    </row>
    <row r="3439" spans="38:38" x14ac:dyDescent="0.25">
      <c r="AL3439" s="6"/>
    </row>
    <row r="3440" spans="38:38" x14ac:dyDescent="0.25">
      <c r="AL3440" s="6"/>
    </row>
    <row r="3441" spans="38:38" x14ac:dyDescent="0.25">
      <c r="AL3441" s="6"/>
    </row>
    <row r="3442" spans="38:38" x14ac:dyDescent="0.25">
      <c r="AL3442" s="6"/>
    </row>
    <row r="3443" spans="38:38" x14ac:dyDescent="0.25">
      <c r="AL3443" s="6"/>
    </row>
    <row r="3444" spans="38:38" x14ac:dyDescent="0.25">
      <c r="AL3444" s="6"/>
    </row>
    <row r="3445" spans="38:38" x14ac:dyDescent="0.25">
      <c r="AL3445" s="6"/>
    </row>
    <row r="3446" spans="38:38" x14ac:dyDescent="0.25">
      <c r="AL3446" s="6"/>
    </row>
    <row r="3447" spans="38:38" x14ac:dyDescent="0.25">
      <c r="AL3447" s="6"/>
    </row>
    <row r="3448" spans="38:38" x14ac:dyDescent="0.25">
      <c r="AL3448" s="6"/>
    </row>
    <row r="3449" spans="38:38" x14ac:dyDescent="0.25">
      <c r="AL3449" s="6"/>
    </row>
    <row r="3450" spans="38:38" x14ac:dyDescent="0.25">
      <c r="AL3450" s="6"/>
    </row>
    <row r="3451" spans="38:38" x14ac:dyDescent="0.25">
      <c r="AL3451" s="6"/>
    </row>
    <row r="3452" spans="38:38" x14ac:dyDescent="0.25">
      <c r="AL3452" s="6"/>
    </row>
    <row r="3453" spans="38:38" x14ac:dyDescent="0.25">
      <c r="AL3453" s="6"/>
    </row>
    <row r="3454" spans="38:38" x14ac:dyDescent="0.25">
      <c r="AL3454" s="6"/>
    </row>
    <row r="3455" spans="38:38" x14ac:dyDescent="0.25">
      <c r="AL3455" s="6"/>
    </row>
    <row r="3456" spans="38:38" x14ac:dyDescent="0.25">
      <c r="AL3456" s="6"/>
    </row>
    <row r="3457" spans="38:38" x14ac:dyDescent="0.25">
      <c r="AL3457" s="6"/>
    </row>
    <row r="3458" spans="38:38" x14ac:dyDescent="0.25">
      <c r="AL3458" s="6"/>
    </row>
    <row r="3459" spans="38:38" x14ac:dyDescent="0.25">
      <c r="AL3459" s="6"/>
    </row>
    <row r="3460" spans="38:38" x14ac:dyDescent="0.25">
      <c r="AL3460" s="6"/>
    </row>
    <row r="3461" spans="38:38" x14ac:dyDescent="0.25">
      <c r="AL3461" s="6"/>
    </row>
    <row r="3462" spans="38:38" x14ac:dyDescent="0.25">
      <c r="AL3462" s="6"/>
    </row>
    <row r="3463" spans="38:38" x14ac:dyDescent="0.25">
      <c r="AL3463" s="6"/>
    </row>
    <row r="3464" spans="38:38" x14ac:dyDescent="0.25">
      <c r="AL3464" s="6"/>
    </row>
    <row r="3465" spans="38:38" x14ac:dyDescent="0.25">
      <c r="AL3465" s="6"/>
    </row>
    <row r="3466" spans="38:38" x14ac:dyDescent="0.25">
      <c r="AL3466" s="6"/>
    </row>
    <row r="3467" spans="38:38" x14ac:dyDescent="0.25">
      <c r="AL3467" s="6"/>
    </row>
    <row r="3468" spans="38:38" x14ac:dyDescent="0.25">
      <c r="AL3468" s="6"/>
    </row>
    <row r="3469" spans="38:38" x14ac:dyDescent="0.25">
      <c r="AL3469" s="6"/>
    </row>
    <row r="3470" spans="38:38" x14ac:dyDescent="0.25">
      <c r="AL3470" s="6"/>
    </row>
    <row r="3471" spans="38:38" x14ac:dyDescent="0.25">
      <c r="AL3471" s="6"/>
    </row>
    <row r="3472" spans="38:38" x14ac:dyDescent="0.25">
      <c r="AL3472" s="6"/>
    </row>
    <row r="3473" spans="38:38" x14ac:dyDescent="0.25">
      <c r="AL3473" s="6"/>
    </row>
    <row r="3474" spans="38:38" x14ac:dyDescent="0.25">
      <c r="AL3474" s="6"/>
    </row>
    <row r="3475" spans="38:38" x14ac:dyDescent="0.25">
      <c r="AL3475" s="6"/>
    </row>
    <row r="3476" spans="38:38" x14ac:dyDescent="0.25">
      <c r="AL3476" s="6"/>
    </row>
    <row r="3477" spans="38:38" x14ac:dyDescent="0.25">
      <c r="AL3477" s="6"/>
    </row>
    <row r="3478" spans="38:38" x14ac:dyDescent="0.25">
      <c r="AL3478" s="6"/>
    </row>
    <row r="3479" spans="38:38" x14ac:dyDescent="0.25">
      <c r="AL3479" s="6"/>
    </row>
    <row r="3480" spans="38:38" x14ac:dyDescent="0.25">
      <c r="AL3480" s="6"/>
    </row>
    <row r="3481" spans="38:38" x14ac:dyDescent="0.25">
      <c r="AL3481" s="6"/>
    </row>
    <row r="3482" spans="38:38" x14ac:dyDescent="0.25">
      <c r="AL3482" s="6"/>
    </row>
    <row r="3483" spans="38:38" x14ac:dyDescent="0.25">
      <c r="AL3483" s="6"/>
    </row>
    <row r="3484" spans="38:38" x14ac:dyDescent="0.25">
      <c r="AL3484" s="6"/>
    </row>
    <row r="3485" spans="38:38" x14ac:dyDescent="0.25">
      <c r="AL3485" s="6"/>
    </row>
    <row r="3486" spans="38:38" x14ac:dyDescent="0.25">
      <c r="AL3486" s="6"/>
    </row>
    <row r="3487" spans="38:38" x14ac:dyDescent="0.25">
      <c r="AL3487" s="6"/>
    </row>
    <row r="3488" spans="38:38" x14ac:dyDescent="0.25">
      <c r="AL3488" s="6"/>
    </row>
    <row r="3489" spans="38:38" x14ac:dyDescent="0.25">
      <c r="AL3489" s="6"/>
    </row>
    <row r="3490" spans="38:38" x14ac:dyDescent="0.25">
      <c r="AL3490" s="6"/>
    </row>
    <row r="3491" spans="38:38" x14ac:dyDescent="0.25">
      <c r="AL3491" s="6"/>
    </row>
    <row r="3492" spans="38:38" x14ac:dyDescent="0.25">
      <c r="AL3492" s="6"/>
    </row>
    <row r="3493" spans="38:38" x14ac:dyDescent="0.25">
      <c r="AL3493" s="6"/>
    </row>
    <row r="3494" spans="38:38" x14ac:dyDescent="0.25">
      <c r="AL3494" s="6"/>
    </row>
    <row r="3495" spans="38:38" x14ac:dyDescent="0.25">
      <c r="AL3495" s="6"/>
    </row>
    <row r="3496" spans="38:38" x14ac:dyDescent="0.25">
      <c r="AL3496" s="6"/>
    </row>
    <row r="3497" spans="38:38" x14ac:dyDescent="0.25">
      <c r="AL3497" s="6"/>
    </row>
    <row r="3498" spans="38:38" x14ac:dyDescent="0.25">
      <c r="AL3498" s="6"/>
    </row>
    <row r="3499" spans="38:38" x14ac:dyDescent="0.25">
      <c r="AL3499" s="6"/>
    </row>
    <row r="3500" spans="38:38" x14ac:dyDescent="0.25">
      <c r="AL3500" s="6"/>
    </row>
    <row r="3501" spans="38:38" x14ac:dyDescent="0.25">
      <c r="AL3501" s="6"/>
    </row>
    <row r="3502" spans="38:38" x14ac:dyDescent="0.25">
      <c r="AL3502" s="6"/>
    </row>
    <row r="3503" spans="38:38" x14ac:dyDescent="0.25">
      <c r="AL3503" s="6"/>
    </row>
    <row r="3504" spans="38:38" x14ac:dyDescent="0.25">
      <c r="AL3504" s="6"/>
    </row>
    <row r="3505" spans="38:38" x14ac:dyDescent="0.25">
      <c r="AL3505" s="6"/>
    </row>
    <row r="3506" spans="38:38" x14ac:dyDescent="0.25">
      <c r="AL3506" s="6"/>
    </row>
    <row r="3507" spans="38:38" x14ac:dyDescent="0.25">
      <c r="AL3507" s="6"/>
    </row>
    <row r="3508" spans="38:38" x14ac:dyDescent="0.25">
      <c r="AL3508" s="6"/>
    </row>
    <row r="3509" spans="38:38" x14ac:dyDescent="0.25">
      <c r="AL3509" s="6"/>
    </row>
    <row r="3510" spans="38:38" x14ac:dyDescent="0.25">
      <c r="AL3510" s="6"/>
    </row>
    <row r="3511" spans="38:38" x14ac:dyDescent="0.25">
      <c r="AL3511" s="6"/>
    </row>
    <row r="3512" spans="38:38" x14ac:dyDescent="0.25">
      <c r="AL3512" s="6"/>
    </row>
    <row r="3513" spans="38:38" x14ac:dyDescent="0.25">
      <c r="AL3513" s="6"/>
    </row>
    <row r="3514" spans="38:38" x14ac:dyDescent="0.25">
      <c r="AL3514" s="6"/>
    </row>
    <row r="3515" spans="38:38" x14ac:dyDescent="0.25">
      <c r="AL3515" s="6"/>
    </row>
    <row r="3516" spans="38:38" x14ac:dyDescent="0.25">
      <c r="AL3516" s="6"/>
    </row>
    <row r="3517" spans="38:38" x14ac:dyDescent="0.25">
      <c r="AL3517" s="6"/>
    </row>
    <row r="3518" spans="38:38" x14ac:dyDescent="0.25">
      <c r="AL3518" s="6"/>
    </row>
    <row r="3519" spans="38:38" x14ac:dyDescent="0.25">
      <c r="AL3519" s="6"/>
    </row>
    <row r="3520" spans="38:38" x14ac:dyDescent="0.25">
      <c r="AL3520" s="6"/>
    </row>
    <row r="3521" spans="38:38" x14ac:dyDescent="0.25">
      <c r="AL3521" s="6"/>
    </row>
    <row r="3522" spans="38:38" x14ac:dyDescent="0.25">
      <c r="AL3522" s="6"/>
    </row>
    <row r="3523" spans="38:38" x14ac:dyDescent="0.25">
      <c r="AL3523" s="6"/>
    </row>
    <row r="3524" spans="38:38" x14ac:dyDescent="0.25">
      <c r="AL3524" s="6"/>
    </row>
    <row r="3525" spans="38:38" x14ac:dyDescent="0.25">
      <c r="AL3525" s="6"/>
    </row>
    <row r="3526" spans="38:38" x14ac:dyDescent="0.25">
      <c r="AL3526" s="6"/>
    </row>
    <row r="3527" spans="38:38" x14ac:dyDescent="0.25">
      <c r="AL3527" s="6"/>
    </row>
    <row r="3528" spans="38:38" x14ac:dyDescent="0.25">
      <c r="AL3528" s="6"/>
    </row>
    <row r="3529" spans="38:38" x14ac:dyDescent="0.25">
      <c r="AL3529" s="6"/>
    </row>
    <row r="3530" spans="38:38" x14ac:dyDescent="0.25">
      <c r="AL3530" s="6"/>
    </row>
    <row r="3531" spans="38:38" x14ac:dyDescent="0.25">
      <c r="AL3531" s="6"/>
    </row>
    <row r="3532" spans="38:38" x14ac:dyDescent="0.25">
      <c r="AL3532" s="6"/>
    </row>
    <row r="3533" spans="38:38" x14ac:dyDescent="0.25">
      <c r="AL3533" s="6"/>
    </row>
    <row r="3534" spans="38:38" x14ac:dyDescent="0.25">
      <c r="AL3534" s="6"/>
    </row>
    <row r="3535" spans="38:38" x14ac:dyDescent="0.25">
      <c r="AL3535" s="6"/>
    </row>
    <row r="3536" spans="38:38" x14ac:dyDescent="0.25">
      <c r="AL3536" s="6"/>
    </row>
    <row r="3537" spans="38:38" x14ac:dyDescent="0.25">
      <c r="AL3537" s="6"/>
    </row>
    <row r="3538" spans="38:38" x14ac:dyDescent="0.25">
      <c r="AL3538" s="6"/>
    </row>
    <row r="3539" spans="38:38" x14ac:dyDescent="0.25">
      <c r="AL3539" s="6"/>
    </row>
    <row r="3540" spans="38:38" x14ac:dyDescent="0.25">
      <c r="AL3540" s="6"/>
    </row>
    <row r="3541" spans="38:38" x14ac:dyDescent="0.25">
      <c r="AL3541" s="6"/>
    </row>
    <row r="3542" spans="38:38" x14ac:dyDescent="0.25">
      <c r="AL3542" s="6"/>
    </row>
    <row r="3543" spans="38:38" x14ac:dyDescent="0.25">
      <c r="AL3543" s="6"/>
    </row>
    <row r="3544" spans="38:38" x14ac:dyDescent="0.25">
      <c r="AL3544" s="6"/>
    </row>
    <row r="3545" spans="38:38" x14ac:dyDescent="0.25">
      <c r="AL3545" s="6"/>
    </row>
    <row r="3546" spans="38:38" x14ac:dyDescent="0.25">
      <c r="AL3546" s="6"/>
    </row>
    <row r="3547" spans="38:38" x14ac:dyDescent="0.25">
      <c r="AL3547" s="6"/>
    </row>
    <row r="3548" spans="38:38" x14ac:dyDescent="0.25">
      <c r="AL3548" s="6"/>
    </row>
    <row r="3549" spans="38:38" x14ac:dyDescent="0.25">
      <c r="AL3549" s="6"/>
    </row>
    <row r="3550" spans="38:38" x14ac:dyDescent="0.25">
      <c r="AL3550" s="6"/>
    </row>
    <row r="3551" spans="38:38" x14ac:dyDescent="0.25">
      <c r="AL3551" s="6"/>
    </row>
    <row r="3552" spans="38:38" x14ac:dyDescent="0.25">
      <c r="AL3552" s="6"/>
    </row>
    <row r="3553" spans="38:38" x14ac:dyDescent="0.25">
      <c r="AL3553" s="6"/>
    </row>
    <row r="3554" spans="38:38" x14ac:dyDescent="0.25">
      <c r="AL3554" s="6"/>
    </row>
    <row r="3555" spans="38:38" x14ac:dyDescent="0.25">
      <c r="AL3555" s="6"/>
    </row>
    <row r="3556" spans="38:38" x14ac:dyDescent="0.25">
      <c r="AL3556" s="6"/>
    </row>
    <row r="3557" spans="38:38" x14ac:dyDescent="0.25">
      <c r="AL3557" s="6"/>
    </row>
    <row r="3558" spans="38:38" x14ac:dyDescent="0.25">
      <c r="AL3558" s="6"/>
    </row>
    <row r="3559" spans="38:38" x14ac:dyDescent="0.25">
      <c r="AL3559" s="6"/>
    </row>
    <row r="3560" spans="38:38" x14ac:dyDescent="0.25">
      <c r="AL3560" s="6"/>
    </row>
    <row r="3561" spans="38:38" x14ac:dyDescent="0.25">
      <c r="AL3561" s="6"/>
    </row>
    <row r="3562" spans="38:38" x14ac:dyDescent="0.25">
      <c r="AL3562" s="6"/>
    </row>
    <row r="3563" spans="38:38" x14ac:dyDescent="0.25">
      <c r="AL3563" s="6"/>
    </row>
    <row r="3564" spans="38:38" x14ac:dyDescent="0.25">
      <c r="AL3564" s="6"/>
    </row>
    <row r="3565" spans="38:38" x14ac:dyDescent="0.25">
      <c r="AL3565" s="6"/>
    </row>
    <row r="3566" spans="38:38" x14ac:dyDescent="0.25">
      <c r="AL3566" s="6"/>
    </row>
    <row r="3567" spans="38:38" x14ac:dyDescent="0.25">
      <c r="AL3567" s="6"/>
    </row>
    <row r="3568" spans="38:38" x14ac:dyDescent="0.25">
      <c r="AL3568" s="6"/>
    </row>
    <row r="3569" spans="38:38" x14ac:dyDescent="0.25">
      <c r="AL3569" s="6"/>
    </row>
    <row r="3570" spans="38:38" x14ac:dyDescent="0.25">
      <c r="AL3570" s="6"/>
    </row>
    <row r="3571" spans="38:38" x14ac:dyDescent="0.25">
      <c r="AL3571" s="6"/>
    </row>
    <row r="3572" spans="38:38" x14ac:dyDescent="0.25">
      <c r="AL3572" s="6"/>
    </row>
    <row r="3573" spans="38:38" x14ac:dyDescent="0.25">
      <c r="AL3573" s="6"/>
    </row>
    <row r="3574" spans="38:38" x14ac:dyDescent="0.25">
      <c r="AL3574" s="6"/>
    </row>
    <row r="3575" spans="38:38" x14ac:dyDescent="0.25">
      <c r="AL3575" s="6"/>
    </row>
    <row r="3576" spans="38:38" x14ac:dyDescent="0.25">
      <c r="AL3576" s="6"/>
    </row>
    <row r="3577" spans="38:38" x14ac:dyDescent="0.25">
      <c r="AL3577" s="6"/>
    </row>
    <row r="3578" spans="38:38" x14ac:dyDescent="0.25">
      <c r="AL3578" s="6"/>
    </row>
    <row r="3579" spans="38:38" x14ac:dyDescent="0.25">
      <c r="AL3579" s="6"/>
    </row>
    <row r="3580" spans="38:38" x14ac:dyDescent="0.25">
      <c r="AL3580" s="6"/>
    </row>
    <row r="3581" spans="38:38" x14ac:dyDescent="0.25">
      <c r="AL3581" s="6"/>
    </row>
    <row r="3582" spans="38:38" x14ac:dyDescent="0.25">
      <c r="AL3582" s="6"/>
    </row>
    <row r="3583" spans="38:38" x14ac:dyDescent="0.25">
      <c r="AL3583" s="6"/>
    </row>
    <row r="3584" spans="38:38" x14ac:dyDescent="0.25">
      <c r="AL3584" s="6"/>
    </row>
    <row r="3585" spans="38:38" x14ac:dyDescent="0.25">
      <c r="AL3585" s="6"/>
    </row>
    <row r="3586" spans="38:38" x14ac:dyDescent="0.25">
      <c r="AL3586" s="6"/>
    </row>
    <row r="3587" spans="38:38" x14ac:dyDescent="0.25">
      <c r="AL3587" s="6"/>
    </row>
    <row r="3588" spans="38:38" x14ac:dyDescent="0.25">
      <c r="AL3588" s="6"/>
    </row>
    <row r="3589" spans="38:38" x14ac:dyDescent="0.25">
      <c r="AL3589" s="6"/>
    </row>
    <row r="3590" spans="38:38" x14ac:dyDescent="0.25">
      <c r="AL3590" s="6"/>
    </row>
    <row r="3591" spans="38:38" x14ac:dyDescent="0.25">
      <c r="AL3591" s="6"/>
    </row>
    <row r="3592" spans="38:38" x14ac:dyDescent="0.25">
      <c r="AL3592" s="6"/>
    </row>
    <row r="3593" spans="38:38" x14ac:dyDescent="0.25">
      <c r="AL3593" s="6"/>
    </row>
    <row r="3594" spans="38:38" x14ac:dyDescent="0.25">
      <c r="AL3594" s="6"/>
    </row>
    <row r="3595" spans="38:38" x14ac:dyDescent="0.25">
      <c r="AL3595" s="6"/>
    </row>
    <row r="3596" spans="38:38" x14ac:dyDescent="0.25">
      <c r="AL3596" s="6"/>
    </row>
    <row r="3597" spans="38:38" x14ac:dyDescent="0.25">
      <c r="AL3597" s="6"/>
    </row>
    <row r="3598" spans="38:38" x14ac:dyDescent="0.25">
      <c r="AL3598" s="6"/>
    </row>
    <row r="3599" spans="38:38" x14ac:dyDescent="0.25">
      <c r="AL3599" s="6"/>
    </row>
    <row r="3600" spans="38:38" x14ac:dyDescent="0.25">
      <c r="AL3600" s="6"/>
    </row>
    <row r="3601" spans="38:38" x14ac:dyDescent="0.25">
      <c r="AL3601" s="6"/>
    </row>
    <row r="3602" spans="38:38" x14ac:dyDescent="0.25">
      <c r="AL3602" s="6"/>
    </row>
    <row r="3603" spans="38:38" x14ac:dyDescent="0.25">
      <c r="AL3603" s="6"/>
    </row>
    <row r="3604" spans="38:38" x14ac:dyDescent="0.25">
      <c r="AL3604" s="6"/>
    </row>
    <row r="3605" spans="38:38" x14ac:dyDescent="0.25">
      <c r="AL3605" s="6"/>
    </row>
    <row r="3606" spans="38:38" x14ac:dyDescent="0.25">
      <c r="AL3606" s="6"/>
    </row>
    <row r="3607" spans="38:38" x14ac:dyDescent="0.25">
      <c r="AL3607" s="6"/>
    </row>
    <row r="3608" spans="38:38" x14ac:dyDescent="0.25">
      <c r="AL3608" s="6"/>
    </row>
    <row r="3609" spans="38:38" x14ac:dyDescent="0.25">
      <c r="AL3609" s="6"/>
    </row>
    <row r="3610" spans="38:38" x14ac:dyDescent="0.25">
      <c r="AL3610" s="6"/>
    </row>
    <row r="3611" spans="38:38" x14ac:dyDescent="0.25">
      <c r="AL3611" s="6"/>
    </row>
    <row r="3612" spans="38:38" x14ac:dyDescent="0.25">
      <c r="AL3612" s="6"/>
    </row>
    <row r="3613" spans="38:38" x14ac:dyDescent="0.25">
      <c r="AL3613" s="6"/>
    </row>
    <row r="3614" spans="38:38" x14ac:dyDescent="0.25">
      <c r="AL3614" s="6"/>
    </row>
    <row r="3615" spans="38:38" x14ac:dyDescent="0.25">
      <c r="AL3615" s="6"/>
    </row>
    <row r="3616" spans="38:38" x14ac:dyDescent="0.25">
      <c r="AL3616" s="6"/>
    </row>
    <row r="3617" spans="38:38" x14ac:dyDescent="0.25">
      <c r="AL3617" s="6"/>
    </row>
    <row r="3618" spans="38:38" x14ac:dyDescent="0.25">
      <c r="AL3618" s="6"/>
    </row>
    <row r="3619" spans="38:38" x14ac:dyDescent="0.25">
      <c r="AL3619" s="6"/>
    </row>
    <row r="3620" spans="38:38" x14ac:dyDescent="0.25">
      <c r="AL3620" s="6"/>
    </row>
    <row r="3621" spans="38:38" x14ac:dyDescent="0.25">
      <c r="AL3621" s="6"/>
    </row>
    <row r="3622" spans="38:38" x14ac:dyDescent="0.25">
      <c r="AL3622" s="6"/>
    </row>
    <row r="3623" spans="38:38" x14ac:dyDescent="0.25">
      <c r="AL3623" s="6"/>
    </row>
    <row r="3624" spans="38:38" x14ac:dyDescent="0.25">
      <c r="AL3624" s="6"/>
    </row>
    <row r="3625" spans="38:38" x14ac:dyDescent="0.25">
      <c r="AL3625" s="6"/>
    </row>
    <row r="3626" spans="38:38" x14ac:dyDescent="0.25">
      <c r="AL3626" s="6"/>
    </row>
    <row r="3627" spans="38:38" x14ac:dyDescent="0.25">
      <c r="AL3627" s="6"/>
    </row>
    <row r="3628" spans="38:38" x14ac:dyDescent="0.25">
      <c r="AL3628" s="6"/>
    </row>
    <row r="3629" spans="38:38" x14ac:dyDescent="0.25">
      <c r="AL3629" s="6"/>
    </row>
    <row r="3630" spans="38:38" x14ac:dyDescent="0.25">
      <c r="AL3630" s="6"/>
    </row>
    <row r="3631" spans="38:38" x14ac:dyDescent="0.25">
      <c r="AL3631" s="6"/>
    </row>
    <row r="3632" spans="38:38" x14ac:dyDescent="0.25">
      <c r="AL3632" s="6"/>
    </row>
    <row r="3633" spans="38:38" x14ac:dyDescent="0.25">
      <c r="AL3633" s="6"/>
    </row>
    <row r="3634" spans="38:38" x14ac:dyDescent="0.25">
      <c r="AL3634" s="6"/>
    </row>
    <row r="3635" spans="38:38" x14ac:dyDescent="0.25">
      <c r="AL3635" s="6"/>
    </row>
    <row r="3636" spans="38:38" x14ac:dyDescent="0.25">
      <c r="AL3636" s="6"/>
    </row>
    <row r="3637" spans="38:38" x14ac:dyDescent="0.25">
      <c r="AL3637" s="6"/>
    </row>
    <row r="3638" spans="38:38" x14ac:dyDescent="0.25">
      <c r="AL3638" s="6"/>
    </row>
    <row r="3639" spans="38:38" x14ac:dyDescent="0.25">
      <c r="AL3639" s="6"/>
    </row>
    <row r="3640" spans="38:38" x14ac:dyDescent="0.25">
      <c r="AL3640" s="6"/>
    </row>
    <row r="3641" spans="38:38" x14ac:dyDescent="0.25">
      <c r="AL3641" s="6"/>
    </row>
    <row r="3642" spans="38:38" x14ac:dyDescent="0.25">
      <c r="AL3642" s="6"/>
    </row>
    <row r="3643" spans="38:38" x14ac:dyDescent="0.25">
      <c r="AL3643" s="6"/>
    </row>
    <row r="3644" spans="38:38" x14ac:dyDescent="0.25">
      <c r="AL3644" s="6"/>
    </row>
    <row r="3645" spans="38:38" x14ac:dyDescent="0.25">
      <c r="AL3645" s="6"/>
    </row>
    <row r="3646" spans="38:38" x14ac:dyDescent="0.25">
      <c r="AL3646" s="6"/>
    </row>
    <row r="3647" spans="38:38" x14ac:dyDescent="0.25">
      <c r="AL3647" s="6"/>
    </row>
    <row r="3648" spans="38:38" x14ac:dyDescent="0.25">
      <c r="AL3648" s="6"/>
    </row>
    <row r="3649" spans="38:38" x14ac:dyDescent="0.25">
      <c r="AL3649" s="6"/>
    </row>
    <row r="3650" spans="38:38" x14ac:dyDescent="0.25">
      <c r="AL3650" s="6"/>
    </row>
    <row r="3651" spans="38:38" x14ac:dyDescent="0.25">
      <c r="AL3651" s="6"/>
    </row>
    <row r="3652" spans="38:38" x14ac:dyDescent="0.25">
      <c r="AL3652" s="6"/>
    </row>
    <row r="3653" spans="38:38" x14ac:dyDescent="0.25">
      <c r="AL3653" s="6"/>
    </row>
    <row r="3654" spans="38:38" x14ac:dyDescent="0.25">
      <c r="AL3654" s="6"/>
    </row>
    <row r="3655" spans="38:38" x14ac:dyDescent="0.25">
      <c r="AL3655" s="6"/>
    </row>
    <row r="3656" spans="38:38" x14ac:dyDescent="0.25">
      <c r="AL3656" s="6"/>
    </row>
    <row r="3657" spans="38:38" x14ac:dyDescent="0.25">
      <c r="AL3657" s="6"/>
    </row>
    <row r="3658" spans="38:38" x14ac:dyDescent="0.25">
      <c r="AL3658" s="6"/>
    </row>
    <row r="3659" spans="38:38" x14ac:dyDescent="0.25">
      <c r="AL3659" s="6"/>
    </row>
    <row r="3660" spans="38:38" x14ac:dyDescent="0.25">
      <c r="AL3660" s="6"/>
    </row>
    <row r="3661" spans="38:38" x14ac:dyDescent="0.25">
      <c r="AL3661" s="6"/>
    </row>
    <row r="3662" spans="38:38" x14ac:dyDescent="0.25">
      <c r="AL3662" s="6"/>
    </row>
    <row r="3663" spans="38:38" x14ac:dyDescent="0.25">
      <c r="AL3663" s="6"/>
    </row>
    <row r="3664" spans="38:38" x14ac:dyDescent="0.25">
      <c r="AL3664" s="6"/>
    </row>
    <row r="3665" spans="38:38" x14ac:dyDescent="0.25">
      <c r="AL3665" s="6"/>
    </row>
    <row r="3666" spans="38:38" x14ac:dyDescent="0.25">
      <c r="AL3666" s="6"/>
    </row>
    <row r="3667" spans="38:38" x14ac:dyDescent="0.25">
      <c r="AL3667" s="6"/>
    </row>
    <row r="3668" spans="38:38" x14ac:dyDescent="0.25">
      <c r="AL3668" s="6"/>
    </row>
    <row r="3669" spans="38:38" x14ac:dyDescent="0.25">
      <c r="AL3669" s="6"/>
    </row>
    <row r="3670" spans="38:38" x14ac:dyDescent="0.25">
      <c r="AL3670" s="6"/>
    </row>
    <row r="3671" spans="38:38" x14ac:dyDescent="0.25">
      <c r="AL3671" s="6"/>
    </row>
    <row r="3672" spans="38:38" x14ac:dyDescent="0.25">
      <c r="AL3672" s="6"/>
    </row>
    <row r="3673" spans="38:38" x14ac:dyDescent="0.25">
      <c r="AL3673" s="6"/>
    </row>
    <row r="3674" spans="38:38" x14ac:dyDescent="0.25">
      <c r="AL3674" s="6"/>
    </row>
    <row r="3675" spans="38:38" x14ac:dyDescent="0.25">
      <c r="AL3675" s="6"/>
    </row>
    <row r="3676" spans="38:38" x14ac:dyDescent="0.25">
      <c r="AL3676" s="6"/>
    </row>
    <row r="3677" spans="38:38" x14ac:dyDescent="0.25">
      <c r="AL3677" s="6"/>
    </row>
    <row r="3678" spans="38:38" x14ac:dyDescent="0.25">
      <c r="AL3678" s="6"/>
    </row>
    <row r="3679" spans="38:38" x14ac:dyDescent="0.25">
      <c r="AL3679" s="6"/>
    </row>
    <row r="3680" spans="38:38" x14ac:dyDescent="0.25">
      <c r="AL3680" s="6"/>
    </row>
    <row r="3681" spans="38:38" x14ac:dyDescent="0.25">
      <c r="AL3681" s="6"/>
    </row>
    <row r="3682" spans="38:38" x14ac:dyDescent="0.25">
      <c r="AL3682" s="6"/>
    </row>
    <row r="3683" spans="38:38" x14ac:dyDescent="0.25">
      <c r="AL3683" s="6"/>
    </row>
    <row r="3684" spans="38:38" x14ac:dyDescent="0.25">
      <c r="AL3684" s="6"/>
    </row>
    <row r="3685" spans="38:38" x14ac:dyDescent="0.25">
      <c r="AL3685" s="6"/>
    </row>
    <row r="3686" spans="38:38" x14ac:dyDescent="0.25">
      <c r="AL3686" s="6"/>
    </row>
    <row r="3687" spans="38:38" x14ac:dyDescent="0.25">
      <c r="AL3687" s="6"/>
    </row>
    <row r="3688" spans="38:38" x14ac:dyDescent="0.25">
      <c r="AL3688" s="6"/>
    </row>
    <row r="3689" spans="38:38" x14ac:dyDescent="0.25">
      <c r="AL3689" s="6"/>
    </row>
    <row r="3690" spans="38:38" x14ac:dyDescent="0.25">
      <c r="AL3690" s="6"/>
    </row>
    <row r="3691" spans="38:38" x14ac:dyDescent="0.25">
      <c r="AL3691" s="6"/>
    </row>
    <row r="3692" spans="38:38" x14ac:dyDescent="0.25">
      <c r="AL3692" s="6"/>
    </row>
    <row r="3693" spans="38:38" x14ac:dyDescent="0.25">
      <c r="AL3693" s="6"/>
    </row>
    <row r="3694" spans="38:38" x14ac:dyDescent="0.25">
      <c r="AL3694" s="6"/>
    </row>
    <row r="3695" spans="38:38" x14ac:dyDescent="0.25">
      <c r="AL3695" s="6"/>
    </row>
    <row r="3696" spans="38:38" x14ac:dyDescent="0.25">
      <c r="AL3696" s="6"/>
    </row>
    <row r="3697" spans="38:38" x14ac:dyDescent="0.25">
      <c r="AL3697" s="6"/>
    </row>
    <row r="3698" spans="38:38" x14ac:dyDescent="0.25">
      <c r="AL3698" s="6"/>
    </row>
    <row r="3699" spans="38:38" x14ac:dyDescent="0.25">
      <c r="AL3699" s="6"/>
    </row>
    <row r="3700" spans="38:38" x14ac:dyDescent="0.25">
      <c r="AL3700" s="6"/>
    </row>
    <row r="3701" spans="38:38" x14ac:dyDescent="0.25">
      <c r="AL3701" s="6"/>
    </row>
    <row r="3702" spans="38:38" x14ac:dyDescent="0.25">
      <c r="AL3702" s="6"/>
    </row>
    <row r="3703" spans="38:38" x14ac:dyDescent="0.25">
      <c r="AL3703" s="6"/>
    </row>
    <row r="3704" spans="38:38" x14ac:dyDescent="0.25">
      <c r="AL3704" s="6"/>
    </row>
    <row r="3705" spans="38:38" x14ac:dyDescent="0.25">
      <c r="AL3705" s="6"/>
    </row>
    <row r="3706" spans="38:38" x14ac:dyDescent="0.25">
      <c r="AL3706" s="6"/>
    </row>
    <row r="3707" spans="38:38" x14ac:dyDescent="0.25">
      <c r="AL3707" s="6"/>
    </row>
    <row r="3708" spans="38:38" x14ac:dyDescent="0.25">
      <c r="AL3708" s="6"/>
    </row>
    <row r="3709" spans="38:38" x14ac:dyDescent="0.25">
      <c r="AL3709" s="6"/>
    </row>
    <row r="3710" spans="38:38" x14ac:dyDescent="0.25">
      <c r="AL3710" s="6"/>
    </row>
    <row r="3711" spans="38:38" x14ac:dyDescent="0.25">
      <c r="AL3711" s="6"/>
    </row>
    <row r="3712" spans="38:38" x14ac:dyDescent="0.25">
      <c r="AL3712" s="6"/>
    </row>
    <row r="3713" spans="38:38" x14ac:dyDescent="0.25">
      <c r="AL3713" s="6"/>
    </row>
    <row r="3714" spans="38:38" x14ac:dyDescent="0.25">
      <c r="AL3714" s="6"/>
    </row>
    <row r="3715" spans="38:38" x14ac:dyDescent="0.25">
      <c r="AL3715" s="6"/>
    </row>
    <row r="3716" spans="38:38" x14ac:dyDescent="0.25">
      <c r="AL3716" s="6"/>
    </row>
    <row r="3717" spans="38:38" x14ac:dyDescent="0.25">
      <c r="AL3717" s="6"/>
    </row>
    <row r="3718" spans="38:38" x14ac:dyDescent="0.25">
      <c r="AL3718" s="6"/>
    </row>
    <row r="3719" spans="38:38" x14ac:dyDescent="0.25">
      <c r="AL3719" s="6"/>
    </row>
    <row r="3720" spans="38:38" x14ac:dyDescent="0.25">
      <c r="AL3720" s="6"/>
    </row>
    <row r="3721" spans="38:38" x14ac:dyDescent="0.25">
      <c r="AL3721" s="6"/>
    </row>
    <row r="3722" spans="38:38" x14ac:dyDescent="0.25">
      <c r="AL3722" s="6"/>
    </row>
    <row r="3723" spans="38:38" x14ac:dyDescent="0.25">
      <c r="AL3723" s="6"/>
    </row>
    <row r="3724" spans="38:38" x14ac:dyDescent="0.25">
      <c r="AL3724" s="6"/>
    </row>
    <row r="3725" spans="38:38" x14ac:dyDescent="0.25">
      <c r="AL3725" s="6"/>
    </row>
    <row r="3726" spans="38:38" x14ac:dyDescent="0.25">
      <c r="AL3726" s="6"/>
    </row>
    <row r="3727" spans="38:38" x14ac:dyDescent="0.25">
      <c r="AL3727" s="6"/>
    </row>
    <row r="3728" spans="38:38" x14ac:dyDescent="0.25">
      <c r="AL3728" s="6"/>
    </row>
    <row r="3729" spans="38:38" x14ac:dyDescent="0.25">
      <c r="AL3729" s="6"/>
    </row>
    <row r="3730" spans="38:38" x14ac:dyDescent="0.25">
      <c r="AL3730" s="6"/>
    </row>
    <row r="3731" spans="38:38" x14ac:dyDescent="0.25">
      <c r="AL3731" s="6"/>
    </row>
    <row r="3732" spans="38:38" x14ac:dyDescent="0.25">
      <c r="AL3732" s="6"/>
    </row>
    <row r="3733" spans="38:38" x14ac:dyDescent="0.25">
      <c r="AL3733" s="6"/>
    </row>
    <row r="3734" spans="38:38" x14ac:dyDescent="0.25">
      <c r="AL3734" s="6"/>
    </row>
    <row r="3735" spans="38:38" x14ac:dyDescent="0.25">
      <c r="AL3735" s="6"/>
    </row>
    <row r="3736" spans="38:38" x14ac:dyDescent="0.25">
      <c r="AL3736" s="6"/>
    </row>
    <row r="3737" spans="38:38" x14ac:dyDescent="0.25">
      <c r="AL3737" s="6"/>
    </row>
    <row r="3738" spans="38:38" x14ac:dyDescent="0.25">
      <c r="AL3738" s="6"/>
    </row>
    <row r="3739" spans="38:38" x14ac:dyDescent="0.25">
      <c r="AL3739" s="6"/>
    </row>
    <row r="3740" spans="38:38" x14ac:dyDescent="0.25">
      <c r="AL3740" s="6"/>
    </row>
    <row r="3741" spans="38:38" x14ac:dyDescent="0.25">
      <c r="AL3741" s="6"/>
    </row>
    <row r="3742" spans="38:38" x14ac:dyDescent="0.25">
      <c r="AL3742" s="6"/>
    </row>
    <row r="3743" spans="38:38" x14ac:dyDescent="0.25">
      <c r="AL3743" s="6"/>
    </row>
    <row r="3744" spans="38:38" x14ac:dyDescent="0.25">
      <c r="AL3744" s="6"/>
    </row>
    <row r="3745" spans="38:38" x14ac:dyDescent="0.25">
      <c r="AL3745" s="6"/>
    </row>
    <row r="3746" spans="38:38" x14ac:dyDescent="0.25">
      <c r="AL3746" s="6"/>
    </row>
    <row r="3747" spans="38:38" x14ac:dyDescent="0.25">
      <c r="AL3747" s="6"/>
    </row>
    <row r="3748" spans="38:38" x14ac:dyDescent="0.25">
      <c r="AL3748" s="6"/>
    </row>
    <row r="3749" spans="38:38" x14ac:dyDescent="0.25">
      <c r="AL3749" s="6"/>
    </row>
    <row r="3750" spans="38:38" x14ac:dyDescent="0.25">
      <c r="AL3750" s="6"/>
    </row>
    <row r="3751" spans="38:38" x14ac:dyDescent="0.25">
      <c r="AL3751" s="6"/>
    </row>
    <row r="3752" spans="38:38" x14ac:dyDescent="0.25">
      <c r="AL3752" s="6"/>
    </row>
    <row r="3753" spans="38:38" x14ac:dyDescent="0.25">
      <c r="AL3753" s="6"/>
    </row>
    <row r="3754" spans="38:38" x14ac:dyDescent="0.25">
      <c r="AL3754" s="6"/>
    </row>
    <row r="3755" spans="38:38" x14ac:dyDescent="0.25">
      <c r="AL3755" s="6"/>
    </row>
    <row r="3756" spans="38:38" x14ac:dyDescent="0.25">
      <c r="AL3756" s="6"/>
    </row>
    <row r="3757" spans="38:38" x14ac:dyDescent="0.25">
      <c r="AL3757" s="6"/>
    </row>
    <row r="3758" spans="38:38" x14ac:dyDescent="0.25">
      <c r="AL3758" s="6"/>
    </row>
    <row r="3759" spans="38:38" x14ac:dyDescent="0.25">
      <c r="AL3759" s="6"/>
    </row>
    <row r="3760" spans="38:38" x14ac:dyDescent="0.25">
      <c r="AL3760" s="6"/>
    </row>
    <row r="3761" spans="38:38" x14ac:dyDescent="0.25">
      <c r="AL3761" s="6"/>
    </row>
    <row r="3762" spans="38:38" x14ac:dyDescent="0.25">
      <c r="AL3762" s="6"/>
    </row>
    <row r="3763" spans="38:38" x14ac:dyDescent="0.25">
      <c r="AL3763" s="6"/>
    </row>
    <row r="3764" spans="38:38" x14ac:dyDescent="0.25">
      <c r="AL3764" s="6"/>
    </row>
    <row r="3765" spans="38:38" x14ac:dyDescent="0.25">
      <c r="AL3765" s="6"/>
    </row>
    <row r="3766" spans="38:38" x14ac:dyDescent="0.25">
      <c r="AL3766" s="6"/>
    </row>
    <row r="3767" spans="38:38" x14ac:dyDescent="0.25">
      <c r="AL3767" s="6"/>
    </row>
    <row r="3768" spans="38:38" x14ac:dyDescent="0.25">
      <c r="AL3768" s="6"/>
    </row>
    <row r="3769" spans="38:38" x14ac:dyDescent="0.25">
      <c r="AL3769" s="6"/>
    </row>
    <row r="3770" spans="38:38" x14ac:dyDescent="0.25">
      <c r="AL3770" s="6"/>
    </row>
    <row r="3771" spans="38:38" x14ac:dyDescent="0.25">
      <c r="AL3771" s="6"/>
    </row>
    <row r="3772" spans="38:38" x14ac:dyDescent="0.25">
      <c r="AL3772" s="6"/>
    </row>
    <row r="3773" spans="38:38" x14ac:dyDescent="0.25">
      <c r="AL3773" s="6"/>
    </row>
    <row r="3774" spans="38:38" x14ac:dyDescent="0.25">
      <c r="AL3774" s="6"/>
    </row>
    <row r="3775" spans="38:38" x14ac:dyDescent="0.25">
      <c r="AL3775" s="6"/>
    </row>
    <row r="3776" spans="38:38" x14ac:dyDescent="0.25">
      <c r="AL3776" s="6"/>
    </row>
    <row r="3777" spans="38:38" x14ac:dyDescent="0.25">
      <c r="AL3777" s="6"/>
    </row>
    <row r="3778" spans="38:38" x14ac:dyDescent="0.25">
      <c r="AL3778" s="6"/>
    </row>
    <row r="3779" spans="38:38" x14ac:dyDescent="0.25">
      <c r="AL3779" s="6"/>
    </row>
    <row r="3780" spans="38:38" x14ac:dyDescent="0.25">
      <c r="AL3780" s="6"/>
    </row>
    <row r="3781" spans="38:38" x14ac:dyDescent="0.25">
      <c r="AL3781" s="6"/>
    </row>
    <row r="3782" spans="38:38" x14ac:dyDescent="0.25">
      <c r="AL3782" s="6"/>
    </row>
    <row r="3783" spans="38:38" x14ac:dyDescent="0.25">
      <c r="AL3783" s="6"/>
    </row>
    <row r="3784" spans="38:38" x14ac:dyDescent="0.25">
      <c r="AL3784" s="6"/>
    </row>
    <row r="3785" spans="38:38" x14ac:dyDescent="0.25">
      <c r="AL3785" s="6"/>
    </row>
    <row r="3786" spans="38:38" x14ac:dyDescent="0.25">
      <c r="AL3786" s="6"/>
    </row>
    <row r="3787" spans="38:38" x14ac:dyDescent="0.25">
      <c r="AL3787" s="6"/>
    </row>
    <row r="3788" spans="38:38" x14ac:dyDescent="0.25">
      <c r="AL3788" s="6"/>
    </row>
    <row r="3789" spans="38:38" x14ac:dyDescent="0.25">
      <c r="AL3789" s="6"/>
    </row>
    <row r="3790" spans="38:38" x14ac:dyDescent="0.25">
      <c r="AL3790" s="6"/>
    </row>
    <row r="3791" spans="38:38" x14ac:dyDescent="0.25">
      <c r="AL3791" s="6"/>
    </row>
    <row r="3792" spans="38:38" x14ac:dyDescent="0.25">
      <c r="AL3792" s="6"/>
    </row>
    <row r="3793" spans="38:38" x14ac:dyDescent="0.25">
      <c r="AL3793" s="6"/>
    </row>
    <row r="3794" spans="38:38" x14ac:dyDescent="0.25">
      <c r="AL3794" s="6"/>
    </row>
    <row r="3795" spans="38:38" x14ac:dyDescent="0.25">
      <c r="AL3795" s="6"/>
    </row>
    <row r="3796" spans="38:38" x14ac:dyDescent="0.25">
      <c r="AL3796" s="6"/>
    </row>
    <row r="3797" spans="38:38" x14ac:dyDescent="0.25">
      <c r="AL3797" s="6"/>
    </row>
    <row r="3798" spans="38:38" x14ac:dyDescent="0.25">
      <c r="AL3798" s="6"/>
    </row>
    <row r="3799" spans="38:38" x14ac:dyDescent="0.25">
      <c r="AL3799" s="6"/>
    </row>
    <row r="3800" spans="38:38" x14ac:dyDescent="0.25">
      <c r="AL3800" s="6"/>
    </row>
    <row r="3801" spans="38:38" x14ac:dyDescent="0.25">
      <c r="AL3801" s="6"/>
    </row>
    <row r="3802" spans="38:38" x14ac:dyDescent="0.25">
      <c r="AL3802" s="6"/>
    </row>
    <row r="3803" spans="38:38" x14ac:dyDescent="0.25">
      <c r="AL3803" s="6"/>
    </row>
    <row r="3804" spans="38:38" x14ac:dyDescent="0.25">
      <c r="AL3804" s="6"/>
    </row>
    <row r="3805" spans="38:38" x14ac:dyDescent="0.25">
      <c r="AL3805" s="6"/>
    </row>
    <row r="3806" spans="38:38" x14ac:dyDescent="0.25">
      <c r="AL3806" s="6"/>
    </row>
    <row r="3807" spans="38:38" x14ac:dyDescent="0.25">
      <c r="AL3807" s="6"/>
    </row>
    <row r="3808" spans="38:38" x14ac:dyDescent="0.25">
      <c r="AL3808" s="6"/>
    </row>
    <row r="3809" spans="38:38" x14ac:dyDescent="0.25">
      <c r="AL3809" s="6"/>
    </row>
    <row r="3810" spans="38:38" x14ac:dyDescent="0.25">
      <c r="AL3810" s="6"/>
    </row>
    <row r="3811" spans="38:38" x14ac:dyDescent="0.25">
      <c r="AL3811" s="6"/>
    </row>
    <row r="3812" spans="38:38" x14ac:dyDescent="0.25">
      <c r="AL3812" s="6"/>
    </row>
    <row r="3813" spans="38:38" x14ac:dyDescent="0.25">
      <c r="AL3813" s="6"/>
    </row>
    <row r="3814" spans="38:38" x14ac:dyDescent="0.25">
      <c r="AL3814" s="6"/>
    </row>
    <row r="3815" spans="38:38" x14ac:dyDescent="0.25">
      <c r="AL3815" s="6"/>
    </row>
    <row r="3816" spans="38:38" x14ac:dyDescent="0.25">
      <c r="AL3816" s="6"/>
    </row>
    <row r="3817" spans="38:38" x14ac:dyDescent="0.25">
      <c r="AL3817" s="6"/>
    </row>
    <row r="3818" spans="38:38" x14ac:dyDescent="0.25">
      <c r="AL3818" s="6"/>
    </row>
    <row r="3819" spans="38:38" x14ac:dyDescent="0.25">
      <c r="AL3819" s="6"/>
    </row>
    <row r="3820" spans="38:38" x14ac:dyDescent="0.25">
      <c r="AL3820" s="6"/>
    </row>
    <row r="3821" spans="38:38" x14ac:dyDescent="0.25">
      <c r="AL3821" s="6"/>
    </row>
    <row r="3822" spans="38:38" x14ac:dyDescent="0.25">
      <c r="AL3822" s="6"/>
    </row>
    <row r="3823" spans="38:38" x14ac:dyDescent="0.25">
      <c r="AL3823" s="6"/>
    </row>
    <row r="3824" spans="38:38" x14ac:dyDescent="0.25">
      <c r="AL3824" s="6"/>
    </row>
    <row r="3825" spans="38:38" x14ac:dyDescent="0.25">
      <c r="AL3825" s="6"/>
    </row>
    <row r="3826" spans="38:38" x14ac:dyDescent="0.25">
      <c r="AL3826" s="6"/>
    </row>
    <row r="3827" spans="38:38" x14ac:dyDescent="0.25">
      <c r="AL3827" s="6"/>
    </row>
    <row r="3828" spans="38:38" x14ac:dyDescent="0.25">
      <c r="AL3828" s="6"/>
    </row>
    <row r="3829" spans="38:38" x14ac:dyDescent="0.25">
      <c r="AL3829" s="6"/>
    </row>
    <row r="3830" spans="38:38" x14ac:dyDescent="0.25">
      <c r="AL3830" s="6"/>
    </row>
    <row r="3831" spans="38:38" x14ac:dyDescent="0.25">
      <c r="AL3831" s="6"/>
    </row>
    <row r="3832" spans="38:38" x14ac:dyDescent="0.25">
      <c r="AL3832" s="6"/>
    </row>
    <row r="3833" spans="38:38" x14ac:dyDescent="0.25">
      <c r="AL3833" s="6"/>
    </row>
    <row r="3834" spans="38:38" x14ac:dyDescent="0.25">
      <c r="AL3834" s="6"/>
    </row>
    <row r="3835" spans="38:38" x14ac:dyDescent="0.25">
      <c r="AL3835" s="6"/>
    </row>
    <row r="3836" spans="38:38" x14ac:dyDescent="0.25">
      <c r="AL3836" s="6"/>
    </row>
    <row r="3837" spans="38:38" x14ac:dyDescent="0.25">
      <c r="AL3837" s="6"/>
    </row>
    <row r="3838" spans="38:38" x14ac:dyDescent="0.25">
      <c r="AL3838" s="6"/>
    </row>
    <row r="3839" spans="38:38" x14ac:dyDescent="0.25">
      <c r="AL3839" s="6"/>
    </row>
    <row r="3840" spans="38:38" x14ac:dyDescent="0.25">
      <c r="AL3840" s="6"/>
    </row>
    <row r="3841" spans="38:38" x14ac:dyDescent="0.25">
      <c r="AL3841" s="6"/>
    </row>
    <row r="3842" spans="38:38" x14ac:dyDescent="0.25">
      <c r="AL3842" s="6"/>
    </row>
    <row r="3843" spans="38:38" x14ac:dyDescent="0.25">
      <c r="AL3843" s="6"/>
    </row>
    <row r="3844" spans="38:38" x14ac:dyDescent="0.25">
      <c r="AL3844" s="6"/>
    </row>
    <row r="3845" spans="38:38" x14ac:dyDescent="0.25">
      <c r="AL3845" s="6"/>
    </row>
    <row r="3846" spans="38:38" x14ac:dyDescent="0.25">
      <c r="AL3846" s="6"/>
    </row>
    <row r="3847" spans="38:38" x14ac:dyDescent="0.25">
      <c r="AL3847" s="6"/>
    </row>
    <row r="3848" spans="38:38" x14ac:dyDescent="0.25">
      <c r="AL3848" s="6"/>
    </row>
    <row r="3849" spans="38:38" x14ac:dyDescent="0.25">
      <c r="AL3849" s="6"/>
    </row>
    <row r="3850" spans="38:38" x14ac:dyDescent="0.25">
      <c r="AL3850" s="6"/>
    </row>
    <row r="3851" spans="38:38" x14ac:dyDescent="0.25">
      <c r="AL3851" s="6"/>
    </row>
    <row r="3852" spans="38:38" x14ac:dyDescent="0.25">
      <c r="AL3852" s="6"/>
    </row>
    <row r="3853" spans="38:38" x14ac:dyDescent="0.25">
      <c r="AL3853" s="6"/>
    </row>
    <row r="3854" spans="38:38" x14ac:dyDescent="0.25">
      <c r="AL3854" s="6"/>
    </row>
    <row r="3855" spans="38:38" x14ac:dyDescent="0.25">
      <c r="AL3855" s="6"/>
    </row>
    <row r="3856" spans="38:38" x14ac:dyDescent="0.25">
      <c r="AL3856" s="6"/>
    </row>
    <row r="3857" spans="38:38" x14ac:dyDescent="0.25">
      <c r="AL3857" s="6"/>
    </row>
    <row r="3858" spans="38:38" x14ac:dyDescent="0.25">
      <c r="AL3858" s="6"/>
    </row>
    <row r="3859" spans="38:38" x14ac:dyDescent="0.25">
      <c r="AL3859" s="6"/>
    </row>
    <row r="3860" spans="38:38" x14ac:dyDescent="0.25">
      <c r="AL3860" s="6"/>
    </row>
    <row r="3861" spans="38:38" x14ac:dyDescent="0.25">
      <c r="AL3861" s="6"/>
    </row>
    <row r="3862" spans="38:38" x14ac:dyDescent="0.25">
      <c r="AL3862" s="6"/>
    </row>
    <row r="3863" spans="38:38" x14ac:dyDescent="0.25">
      <c r="AL3863" s="6"/>
    </row>
    <row r="3864" spans="38:38" x14ac:dyDescent="0.25">
      <c r="AL3864" s="6"/>
    </row>
    <row r="3865" spans="38:38" x14ac:dyDescent="0.25">
      <c r="AL3865" s="6"/>
    </row>
    <row r="3866" spans="38:38" x14ac:dyDescent="0.25">
      <c r="AL3866" s="6"/>
    </row>
    <row r="3867" spans="38:38" x14ac:dyDescent="0.25">
      <c r="AL3867" s="6"/>
    </row>
    <row r="3868" spans="38:38" x14ac:dyDescent="0.25">
      <c r="AL3868" s="6"/>
    </row>
    <row r="3869" spans="38:38" x14ac:dyDescent="0.25">
      <c r="AL3869" s="6"/>
    </row>
    <row r="3870" spans="38:38" x14ac:dyDescent="0.25">
      <c r="AL3870" s="6"/>
    </row>
    <row r="3871" spans="38:38" x14ac:dyDescent="0.25">
      <c r="AL3871" s="6"/>
    </row>
    <row r="3872" spans="38:38" x14ac:dyDescent="0.25">
      <c r="AL3872" s="6"/>
    </row>
    <row r="3873" spans="38:38" x14ac:dyDescent="0.25">
      <c r="AL3873" s="6"/>
    </row>
    <row r="3874" spans="38:38" x14ac:dyDescent="0.25">
      <c r="AL3874" s="6"/>
    </row>
    <row r="3875" spans="38:38" x14ac:dyDescent="0.25">
      <c r="AL3875" s="6"/>
    </row>
    <row r="3876" spans="38:38" x14ac:dyDescent="0.25">
      <c r="AL3876" s="6"/>
    </row>
    <row r="3877" spans="38:38" x14ac:dyDescent="0.25">
      <c r="AL3877" s="6"/>
    </row>
    <row r="3878" spans="38:38" x14ac:dyDescent="0.25">
      <c r="AL3878" s="6"/>
    </row>
    <row r="3879" spans="38:38" x14ac:dyDescent="0.25">
      <c r="AL3879" s="6"/>
    </row>
    <row r="3880" spans="38:38" x14ac:dyDescent="0.25">
      <c r="AL3880" s="6"/>
    </row>
    <row r="3881" spans="38:38" x14ac:dyDescent="0.25">
      <c r="AL3881" s="6"/>
    </row>
    <row r="3882" spans="38:38" x14ac:dyDescent="0.25">
      <c r="AL3882" s="6"/>
    </row>
    <row r="3883" spans="38:38" x14ac:dyDescent="0.25">
      <c r="AL3883" s="6"/>
    </row>
    <row r="3884" spans="38:38" x14ac:dyDescent="0.25">
      <c r="AL3884" s="6"/>
    </row>
    <row r="3885" spans="38:38" x14ac:dyDescent="0.25">
      <c r="AL3885" s="6"/>
    </row>
    <row r="3886" spans="38:38" x14ac:dyDescent="0.25">
      <c r="AL3886" s="6"/>
    </row>
    <row r="3887" spans="38:38" x14ac:dyDescent="0.25">
      <c r="AL3887" s="6"/>
    </row>
    <row r="3888" spans="38:38" x14ac:dyDescent="0.25">
      <c r="AL3888" s="6"/>
    </row>
    <row r="3889" spans="38:38" x14ac:dyDescent="0.25">
      <c r="AL3889" s="6"/>
    </row>
    <row r="3890" spans="38:38" x14ac:dyDescent="0.25">
      <c r="AL3890" s="6"/>
    </row>
    <row r="3891" spans="38:38" x14ac:dyDescent="0.25">
      <c r="AL3891" s="6"/>
    </row>
    <row r="3892" spans="38:38" x14ac:dyDescent="0.25">
      <c r="AL3892" s="6"/>
    </row>
    <row r="3893" spans="38:38" x14ac:dyDescent="0.25">
      <c r="AL3893" s="6"/>
    </row>
    <row r="3894" spans="38:38" x14ac:dyDescent="0.25">
      <c r="AL3894" s="6"/>
    </row>
    <row r="3895" spans="38:38" x14ac:dyDescent="0.25">
      <c r="AL3895" s="6"/>
    </row>
    <row r="3896" spans="38:38" x14ac:dyDescent="0.25">
      <c r="AL3896" s="6"/>
    </row>
    <row r="3897" spans="38:38" x14ac:dyDescent="0.25">
      <c r="AL3897" s="6"/>
    </row>
    <row r="3898" spans="38:38" x14ac:dyDescent="0.25">
      <c r="AL3898" s="6"/>
    </row>
    <row r="3899" spans="38:38" x14ac:dyDescent="0.25">
      <c r="AL3899" s="6"/>
    </row>
    <row r="3900" spans="38:38" x14ac:dyDescent="0.25">
      <c r="AL3900" s="6"/>
    </row>
    <row r="3901" spans="38:38" x14ac:dyDescent="0.25">
      <c r="AL3901" s="6"/>
    </row>
    <row r="3902" spans="38:38" x14ac:dyDescent="0.25">
      <c r="AL3902" s="6"/>
    </row>
    <row r="3903" spans="38:38" x14ac:dyDescent="0.25">
      <c r="AL3903" s="6"/>
    </row>
    <row r="3904" spans="38:38" x14ac:dyDescent="0.25">
      <c r="AL3904" s="6"/>
    </row>
    <row r="3905" spans="38:38" x14ac:dyDescent="0.25">
      <c r="AL3905" s="6"/>
    </row>
    <row r="3906" spans="38:38" x14ac:dyDescent="0.25">
      <c r="AL3906" s="6"/>
    </row>
    <row r="3907" spans="38:38" x14ac:dyDescent="0.25">
      <c r="AL3907" s="6"/>
    </row>
    <row r="3908" spans="38:38" x14ac:dyDescent="0.25">
      <c r="AL3908" s="6"/>
    </row>
    <row r="3909" spans="38:38" x14ac:dyDescent="0.25">
      <c r="AL3909" s="6"/>
    </row>
    <row r="3910" spans="38:38" x14ac:dyDescent="0.25">
      <c r="AL3910" s="6"/>
    </row>
    <row r="3911" spans="38:38" x14ac:dyDescent="0.25">
      <c r="AL3911" s="6"/>
    </row>
    <row r="3912" spans="38:38" x14ac:dyDescent="0.25">
      <c r="AL3912" s="6"/>
    </row>
    <row r="3913" spans="38:38" x14ac:dyDescent="0.25">
      <c r="AL3913" s="6"/>
    </row>
    <row r="3914" spans="38:38" x14ac:dyDescent="0.25">
      <c r="AL3914" s="6"/>
    </row>
    <row r="3915" spans="38:38" x14ac:dyDescent="0.25">
      <c r="AL3915" s="6"/>
    </row>
    <row r="3916" spans="38:38" x14ac:dyDescent="0.25">
      <c r="AL3916" s="6"/>
    </row>
    <row r="3917" spans="38:38" x14ac:dyDescent="0.25">
      <c r="AL3917" s="6"/>
    </row>
    <row r="3918" spans="38:38" x14ac:dyDescent="0.25">
      <c r="AL3918" s="6"/>
    </row>
    <row r="3919" spans="38:38" x14ac:dyDescent="0.25">
      <c r="AL3919" s="6"/>
    </row>
    <row r="3920" spans="38:38" x14ac:dyDescent="0.25">
      <c r="AL3920" s="6"/>
    </row>
    <row r="3921" spans="38:38" x14ac:dyDescent="0.25">
      <c r="AL3921" s="6"/>
    </row>
    <row r="3922" spans="38:38" x14ac:dyDescent="0.25">
      <c r="AL3922" s="6"/>
    </row>
    <row r="3923" spans="38:38" x14ac:dyDescent="0.25">
      <c r="AL3923" s="6"/>
    </row>
    <row r="3924" spans="38:38" x14ac:dyDescent="0.25">
      <c r="AL3924" s="6"/>
    </row>
    <row r="3925" spans="38:38" x14ac:dyDescent="0.25">
      <c r="AL3925" s="6"/>
    </row>
    <row r="3926" spans="38:38" x14ac:dyDescent="0.25">
      <c r="AL3926" s="6"/>
    </row>
    <row r="3927" spans="38:38" x14ac:dyDescent="0.25">
      <c r="AL3927" s="6"/>
    </row>
    <row r="3928" spans="38:38" x14ac:dyDescent="0.25">
      <c r="AL3928" s="6"/>
    </row>
    <row r="3929" spans="38:38" x14ac:dyDescent="0.25">
      <c r="AL3929" s="6"/>
    </row>
    <row r="3930" spans="38:38" x14ac:dyDescent="0.25">
      <c r="AL3930" s="6"/>
    </row>
    <row r="3931" spans="38:38" x14ac:dyDescent="0.25">
      <c r="AL3931" s="6"/>
    </row>
    <row r="3932" spans="38:38" x14ac:dyDescent="0.25">
      <c r="AL3932" s="6"/>
    </row>
    <row r="3933" spans="38:38" x14ac:dyDescent="0.25">
      <c r="AL3933" s="6"/>
    </row>
    <row r="3934" spans="38:38" x14ac:dyDescent="0.25">
      <c r="AL3934" s="6"/>
    </row>
    <row r="3935" spans="38:38" x14ac:dyDescent="0.25">
      <c r="AL3935" s="6"/>
    </row>
    <row r="3936" spans="38:38" x14ac:dyDescent="0.25">
      <c r="AL3936" s="6"/>
    </row>
    <row r="3937" spans="38:38" x14ac:dyDescent="0.25">
      <c r="AL3937" s="6"/>
    </row>
    <row r="3938" spans="38:38" x14ac:dyDescent="0.25">
      <c r="AL3938" s="6"/>
    </row>
    <row r="3939" spans="38:38" x14ac:dyDescent="0.25">
      <c r="AL3939" s="6"/>
    </row>
    <row r="3940" spans="38:38" x14ac:dyDescent="0.25">
      <c r="AL3940" s="6"/>
    </row>
    <row r="3941" spans="38:38" x14ac:dyDescent="0.25">
      <c r="AL3941" s="6"/>
    </row>
    <row r="3942" spans="38:38" x14ac:dyDescent="0.25">
      <c r="AL3942" s="6"/>
    </row>
    <row r="3943" spans="38:38" x14ac:dyDescent="0.25">
      <c r="AL3943" s="6"/>
    </row>
    <row r="3944" spans="38:38" x14ac:dyDescent="0.25">
      <c r="AL3944" s="6"/>
    </row>
    <row r="3945" spans="38:38" x14ac:dyDescent="0.25">
      <c r="AL3945" s="6"/>
    </row>
    <row r="3946" spans="38:38" x14ac:dyDescent="0.25">
      <c r="AL3946" s="6"/>
    </row>
    <row r="3947" spans="38:38" x14ac:dyDescent="0.25">
      <c r="AL3947" s="6"/>
    </row>
    <row r="3948" spans="38:38" x14ac:dyDescent="0.25">
      <c r="AL3948" s="6"/>
    </row>
    <row r="3949" spans="38:38" x14ac:dyDescent="0.25">
      <c r="AL3949" s="6"/>
    </row>
    <row r="3950" spans="38:38" x14ac:dyDescent="0.25">
      <c r="AL3950" s="6"/>
    </row>
    <row r="3951" spans="38:38" x14ac:dyDescent="0.25">
      <c r="AL3951" s="6"/>
    </row>
    <row r="3952" spans="38:38" x14ac:dyDescent="0.25">
      <c r="AL3952" s="6"/>
    </row>
    <row r="3953" spans="38:38" x14ac:dyDescent="0.25">
      <c r="AL3953" s="6"/>
    </row>
    <row r="3954" spans="38:38" x14ac:dyDescent="0.25">
      <c r="AL3954" s="6"/>
    </row>
    <row r="3955" spans="38:38" x14ac:dyDescent="0.25">
      <c r="AL3955" s="6"/>
    </row>
    <row r="3956" spans="38:38" x14ac:dyDescent="0.25">
      <c r="AL3956" s="6"/>
    </row>
    <row r="3957" spans="38:38" x14ac:dyDescent="0.25">
      <c r="AL3957" s="6"/>
    </row>
    <row r="3958" spans="38:38" x14ac:dyDescent="0.25">
      <c r="AL3958" s="6"/>
    </row>
    <row r="3959" spans="38:38" x14ac:dyDescent="0.25">
      <c r="AL3959" s="6"/>
    </row>
    <row r="3960" spans="38:38" x14ac:dyDescent="0.25">
      <c r="AL3960" s="6"/>
    </row>
    <row r="3961" spans="38:38" x14ac:dyDescent="0.25">
      <c r="AL3961" s="6"/>
    </row>
    <row r="3962" spans="38:38" x14ac:dyDescent="0.25">
      <c r="AL3962" s="6"/>
    </row>
    <row r="3963" spans="38:38" x14ac:dyDescent="0.25">
      <c r="AL3963" s="6"/>
    </row>
    <row r="3964" spans="38:38" x14ac:dyDescent="0.25">
      <c r="AL3964" s="6"/>
    </row>
    <row r="3965" spans="38:38" x14ac:dyDescent="0.25">
      <c r="AL3965" s="6"/>
    </row>
    <row r="3966" spans="38:38" x14ac:dyDescent="0.25">
      <c r="AL3966" s="6"/>
    </row>
    <row r="3967" spans="38:38" x14ac:dyDescent="0.25">
      <c r="AL3967" s="6"/>
    </row>
    <row r="3968" spans="38:38" x14ac:dyDescent="0.25">
      <c r="AL3968" s="6"/>
    </row>
    <row r="3969" spans="38:38" x14ac:dyDescent="0.25">
      <c r="AL3969" s="6"/>
    </row>
    <row r="3970" spans="38:38" x14ac:dyDescent="0.25">
      <c r="AL3970" s="6"/>
    </row>
    <row r="3971" spans="38:38" x14ac:dyDescent="0.25">
      <c r="AL3971" s="6"/>
    </row>
    <row r="3972" spans="38:38" x14ac:dyDescent="0.25">
      <c r="AL3972" s="6"/>
    </row>
    <row r="3973" spans="38:38" x14ac:dyDescent="0.25">
      <c r="AL3973" s="6"/>
    </row>
    <row r="3974" spans="38:38" x14ac:dyDescent="0.25">
      <c r="AL3974" s="6"/>
    </row>
    <row r="3975" spans="38:38" x14ac:dyDescent="0.25">
      <c r="AL3975" s="6"/>
    </row>
    <row r="3976" spans="38:38" x14ac:dyDescent="0.25">
      <c r="AL3976" s="6"/>
    </row>
    <row r="3977" spans="38:38" x14ac:dyDescent="0.25">
      <c r="AL3977" s="6"/>
    </row>
    <row r="3978" spans="38:38" x14ac:dyDescent="0.25">
      <c r="AL3978" s="6"/>
    </row>
    <row r="3979" spans="38:38" x14ac:dyDescent="0.25">
      <c r="AL3979" s="6"/>
    </row>
    <row r="3980" spans="38:38" x14ac:dyDescent="0.25">
      <c r="AL3980" s="6"/>
    </row>
    <row r="3981" spans="38:38" x14ac:dyDescent="0.25">
      <c r="AL3981" s="6"/>
    </row>
    <row r="3982" spans="38:38" x14ac:dyDescent="0.25">
      <c r="AL3982" s="6"/>
    </row>
    <row r="3983" spans="38:38" x14ac:dyDescent="0.25">
      <c r="AL3983" s="6"/>
    </row>
    <row r="3984" spans="38:38" x14ac:dyDescent="0.25">
      <c r="AL3984" s="6"/>
    </row>
    <row r="3985" spans="38:38" x14ac:dyDescent="0.25">
      <c r="AL3985" s="6"/>
    </row>
    <row r="3986" spans="38:38" x14ac:dyDescent="0.25">
      <c r="AL3986" s="6"/>
    </row>
    <row r="3987" spans="38:38" x14ac:dyDescent="0.25">
      <c r="AL3987" s="6"/>
    </row>
    <row r="3988" spans="38:38" x14ac:dyDescent="0.25">
      <c r="AL3988" s="6"/>
    </row>
    <row r="3989" spans="38:38" x14ac:dyDescent="0.25">
      <c r="AL3989" s="6"/>
    </row>
    <row r="3990" spans="38:38" x14ac:dyDescent="0.25">
      <c r="AL3990" s="6"/>
    </row>
    <row r="3991" spans="38:38" x14ac:dyDescent="0.25">
      <c r="AL3991" s="6"/>
    </row>
    <row r="3992" spans="38:38" x14ac:dyDescent="0.25">
      <c r="AL3992" s="6"/>
    </row>
    <row r="3993" spans="38:38" x14ac:dyDescent="0.25">
      <c r="AL3993" s="6"/>
    </row>
    <row r="3994" spans="38:38" x14ac:dyDescent="0.25">
      <c r="AL3994" s="6"/>
    </row>
    <row r="3995" spans="38:38" x14ac:dyDescent="0.25">
      <c r="AL3995" s="6"/>
    </row>
    <row r="3996" spans="38:38" x14ac:dyDescent="0.25">
      <c r="AL3996" s="6"/>
    </row>
    <row r="3997" spans="38:38" x14ac:dyDescent="0.25">
      <c r="AL3997" s="6"/>
    </row>
    <row r="3998" spans="38:38" x14ac:dyDescent="0.25">
      <c r="AL3998" s="6"/>
    </row>
    <row r="3999" spans="38:38" x14ac:dyDescent="0.25">
      <c r="AL3999" s="6"/>
    </row>
    <row r="4000" spans="38:38" x14ac:dyDescent="0.25">
      <c r="AL4000" s="6"/>
    </row>
    <row r="4001" spans="38:38" x14ac:dyDescent="0.25">
      <c r="AL4001" s="6"/>
    </row>
    <row r="4002" spans="38:38" x14ac:dyDescent="0.25">
      <c r="AL4002" s="6"/>
    </row>
    <row r="4003" spans="38:38" x14ac:dyDescent="0.25">
      <c r="AL4003" s="6"/>
    </row>
    <row r="4004" spans="38:38" x14ac:dyDescent="0.25">
      <c r="AL4004" s="6"/>
    </row>
    <row r="4005" spans="38:38" x14ac:dyDescent="0.25">
      <c r="AL4005" s="6"/>
    </row>
    <row r="4006" spans="38:38" x14ac:dyDescent="0.25">
      <c r="AL4006" s="6"/>
    </row>
    <row r="4007" spans="38:38" x14ac:dyDescent="0.25">
      <c r="AL4007" s="6"/>
    </row>
    <row r="4008" spans="38:38" x14ac:dyDescent="0.25">
      <c r="AL4008" s="6"/>
    </row>
    <row r="4009" spans="38:38" x14ac:dyDescent="0.25">
      <c r="AL4009" s="6"/>
    </row>
    <row r="4010" spans="38:38" x14ac:dyDescent="0.25">
      <c r="AL4010" s="6"/>
    </row>
    <row r="4011" spans="38:38" x14ac:dyDescent="0.25">
      <c r="AL4011" s="6"/>
    </row>
    <row r="4012" spans="38:38" x14ac:dyDescent="0.25">
      <c r="AL4012" s="6"/>
    </row>
    <row r="4013" spans="38:38" x14ac:dyDescent="0.25">
      <c r="AL4013" s="6"/>
    </row>
    <row r="4014" spans="38:38" x14ac:dyDescent="0.25">
      <c r="AL4014" s="6"/>
    </row>
    <row r="4015" spans="38:38" x14ac:dyDescent="0.25">
      <c r="AL4015" s="6"/>
    </row>
    <row r="4016" spans="38:38" x14ac:dyDescent="0.25">
      <c r="AL4016" s="6"/>
    </row>
    <row r="4017" spans="38:38" x14ac:dyDescent="0.25">
      <c r="AL4017" s="6"/>
    </row>
    <row r="4018" spans="38:38" x14ac:dyDescent="0.25">
      <c r="AL4018" s="6"/>
    </row>
    <row r="4019" spans="38:38" x14ac:dyDescent="0.25">
      <c r="AL4019" s="6"/>
    </row>
    <row r="4020" spans="38:38" x14ac:dyDescent="0.25">
      <c r="AL4020" s="6"/>
    </row>
    <row r="4021" spans="38:38" x14ac:dyDescent="0.25">
      <c r="AL4021" s="6"/>
    </row>
    <row r="4022" spans="38:38" x14ac:dyDescent="0.25">
      <c r="AL4022" s="6"/>
    </row>
    <row r="4023" spans="38:38" x14ac:dyDescent="0.25">
      <c r="AL4023" s="6"/>
    </row>
    <row r="4024" spans="38:38" x14ac:dyDescent="0.25">
      <c r="AL4024" s="6"/>
    </row>
    <row r="4025" spans="38:38" x14ac:dyDescent="0.25">
      <c r="AL4025" s="6"/>
    </row>
    <row r="4026" spans="38:38" x14ac:dyDescent="0.25">
      <c r="AL4026" s="6"/>
    </row>
    <row r="4027" spans="38:38" x14ac:dyDescent="0.25">
      <c r="AL4027" s="6"/>
    </row>
    <row r="4028" spans="38:38" x14ac:dyDescent="0.25">
      <c r="AL4028" s="6"/>
    </row>
    <row r="4029" spans="38:38" x14ac:dyDescent="0.25">
      <c r="AL4029" s="6"/>
    </row>
    <row r="4030" spans="38:38" x14ac:dyDescent="0.25">
      <c r="AL4030" s="6"/>
    </row>
    <row r="4031" spans="38:38" x14ac:dyDescent="0.25">
      <c r="AL4031" s="6"/>
    </row>
    <row r="4032" spans="38:38" x14ac:dyDescent="0.25">
      <c r="AL4032" s="6"/>
    </row>
    <row r="4033" spans="38:38" x14ac:dyDescent="0.25">
      <c r="AL4033" s="6"/>
    </row>
    <row r="4034" spans="38:38" x14ac:dyDescent="0.25">
      <c r="AL4034" s="6"/>
    </row>
    <row r="4035" spans="38:38" x14ac:dyDescent="0.25">
      <c r="AL4035" s="6"/>
    </row>
    <row r="4036" spans="38:38" x14ac:dyDescent="0.25">
      <c r="AL4036" s="6"/>
    </row>
    <row r="4037" spans="38:38" x14ac:dyDescent="0.25">
      <c r="AL4037" s="6"/>
    </row>
    <row r="4038" spans="38:38" x14ac:dyDescent="0.25">
      <c r="AL4038" s="6"/>
    </row>
    <row r="4039" spans="38:38" x14ac:dyDescent="0.25">
      <c r="AL4039" s="6"/>
    </row>
    <row r="4040" spans="38:38" x14ac:dyDescent="0.25">
      <c r="AL4040" s="6"/>
    </row>
    <row r="4041" spans="38:38" x14ac:dyDescent="0.25">
      <c r="AL4041" s="6"/>
    </row>
    <row r="4042" spans="38:38" x14ac:dyDescent="0.25">
      <c r="AL4042" s="6"/>
    </row>
    <row r="4043" spans="38:38" x14ac:dyDescent="0.25">
      <c r="AL4043" s="6"/>
    </row>
    <row r="4044" spans="38:38" x14ac:dyDescent="0.25">
      <c r="AL4044" s="6"/>
    </row>
    <row r="4045" spans="38:38" x14ac:dyDescent="0.25">
      <c r="AL4045" s="6"/>
    </row>
    <row r="4046" spans="38:38" x14ac:dyDescent="0.25">
      <c r="AL4046" s="6"/>
    </row>
    <row r="4047" spans="38:38" x14ac:dyDescent="0.25">
      <c r="AL4047" s="6"/>
    </row>
    <row r="4048" spans="38:38" x14ac:dyDescent="0.25">
      <c r="AL4048" s="6"/>
    </row>
    <row r="4049" spans="38:38" x14ac:dyDescent="0.25">
      <c r="AL4049" s="6"/>
    </row>
    <row r="4050" spans="38:38" x14ac:dyDescent="0.25">
      <c r="AL4050" s="6"/>
    </row>
    <row r="4051" spans="38:38" x14ac:dyDescent="0.25">
      <c r="AL4051" s="6"/>
    </row>
    <row r="4052" spans="38:38" x14ac:dyDescent="0.25">
      <c r="AL4052" s="6"/>
    </row>
    <row r="4053" spans="38:38" x14ac:dyDescent="0.25">
      <c r="AL4053" s="6"/>
    </row>
    <row r="4054" spans="38:38" x14ac:dyDescent="0.25">
      <c r="AL4054" s="6"/>
    </row>
    <row r="4055" spans="38:38" x14ac:dyDescent="0.25">
      <c r="AL4055" s="6"/>
    </row>
    <row r="4056" spans="38:38" x14ac:dyDescent="0.25">
      <c r="AL4056" s="6"/>
    </row>
    <row r="4057" spans="38:38" x14ac:dyDescent="0.25">
      <c r="AL4057" s="6"/>
    </row>
    <row r="4058" spans="38:38" x14ac:dyDescent="0.25">
      <c r="AL4058" s="6"/>
    </row>
    <row r="4059" spans="38:38" x14ac:dyDescent="0.25">
      <c r="AL4059" s="6"/>
    </row>
    <row r="4060" spans="38:38" x14ac:dyDescent="0.25">
      <c r="AL4060" s="6"/>
    </row>
    <row r="4061" spans="38:38" x14ac:dyDescent="0.25">
      <c r="AL4061" s="6"/>
    </row>
    <row r="4062" spans="38:38" x14ac:dyDescent="0.25">
      <c r="AL4062" s="6"/>
    </row>
    <row r="4063" spans="38:38" x14ac:dyDescent="0.25">
      <c r="AL4063" s="6"/>
    </row>
    <row r="4064" spans="38:38" x14ac:dyDescent="0.25">
      <c r="AL4064" s="6"/>
    </row>
    <row r="4065" spans="38:38" x14ac:dyDescent="0.25">
      <c r="AL4065" s="6"/>
    </row>
    <row r="4066" spans="38:38" x14ac:dyDescent="0.25">
      <c r="AL4066" s="6"/>
    </row>
    <row r="4067" spans="38:38" x14ac:dyDescent="0.25">
      <c r="AL4067" s="6"/>
    </row>
    <row r="4068" spans="38:38" x14ac:dyDescent="0.25">
      <c r="AL4068" s="6"/>
    </row>
    <row r="4069" spans="38:38" x14ac:dyDescent="0.25">
      <c r="AL4069" s="6"/>
    </row>
    <row r="4070" spans="38:38" x14ac:dyDescent="0.25">
      <c r="AL4070" s="6"/>
    </row>
    <row r="4071" spans="38:38" x14ac:dyDescent="0.25">
      <c r="AL4071" s="6"/>
    </row>
    <row r="4072" spans="38:38" x14ac:dyDescent="0.25">
      <c r="AL4072" s="6"/>
    </row>
    <row r="4073" spans="38:38" x14ac:dyDescent="0.25">
      <c r="AL4073" s="6"/>
    </row>
    <row r="4074" spans="38:38" x14ac:dyDescent="0.25">
      <c r="AL4074" s="6"/>
    </row>
    <row r="4075" spans="38:38" x14ac:dyDescent="0.25">
      <c r="AL4075" s="6"/>
    </row>
    <row r="4076" spans="38:38" x14ac:dyDescent="0.25">
      <c r="AL4076" s="6"/>
    </row>
    <row r="4077" spans="38:38" x14ac:dyDescent="0.25">
      <c r="AL4077" s="6"/>
    </row>
    <row r="4078" spans="38:38" x14ac:dyDescent="0.25">
      <c r="AL4078" s="6"/>
    </row>
    <row r="4079" spans="38:38" x14ac:dyDescent="0.25">
      <c r="AL4079" s="6"/>
    </row>
    <row r="4080" spans="38:38" x14ac:dyDescent="0.25">
      <c r="AL4080" s="6"/>
    </row>
    <row r="4081" spans="38:38" x14ac:dyDescent="0.25">
      <c r="AL4081" s="6"/>
    </row>
    <row r="4082" spans="38:38" x14ac:dyDescent="0.25">
      <c r="AL4082" s="6"/>
    </row>
    <row r="4083" spans="38:38" x14ac:dyDescent="0.25">
      <c r="AL4083" s="6"/>
    </row>
    <row r="4084" spans="38:38" x14ac:dyDescent="0.25">
      <c r="AL4084" s="6"/>
    </row>
    <row r="4085" spans="38:38" x14ac:dyDescent="0.25">
      <c r="AL4085" s="6"/>
    </row>
    <row r="4086" spans="38:38" x14ac:dyDescent="0.25">
      <c r="AL4086" s="6"/>
    </row>
    <row r="4087" spans="38:38" x14ac:dyDescent="0.25">
      <c r="AL4087" s="6"/>
    </row>
    <row r="4088" spans="38:38" x14ac:dyDescent="0.25">
      <c r="AL4088" s="6"/>
    </row>
    <row r="4089" spans="38:38" x14ac:dyDescent="0.25">
      <c r="AL4089" s="6"/>
    </row>
    <row r="4090" spans="38:38" x14ac:dyDescent="0.25">
      <c r="AL4090" s="6"/>
    </row>
    <row r="4091" spans="38:38" x14ac:dyDescent="0.25">
      <c r="AL4091" s="6"/>
    </row>
    <row r="4092" spans="38:38" x14ac:dyDescent="0.25">
      <c r="AL4092" s="6"/>
    </row>
    <row r="4093" spans="38:38" x14ac:dyDescent="0.25">
      <c r="AL4093" s="6"/>
    </row>
    <row r="4094" spans="38:38" x14ac:dyDescent="0.25">
      <c r="AL4094" s="6"/>
    </row>
    <row r="4095" spans="38:38" x14ac:dyDescent="0.25">
      <c r="AL4095" s="6"/>
    </row>
    <row r="4096" spans="38:38" x14ac:dyDescent="0.25">
      <c r="AL4096" s="6"/>
    </row>
    <row r="4097" spans="38:38" x14ac:dyDescent="0.25">
      <c r="AL4097" s="6"/>
    </row>
    <row r="4098" spans="38:38" x14ac:dyDescent="0.25">
      <c r="AL4098" s="6"/>
    </row>
    <row r="4099" spans="38:38" x14ac:dyDescent="0.25">
      <c r="AL4099" s="6"/>
    </row>
    <row r="4100" spans="38:38" x14ac:dyDescent="0.25">
      <c r="AL4100" s="6"/>
    </row>
    <row r="4101" spans="38:38" x14ac:dyDescent="0.25">
      <c r="AL4101" s="6"/>
    </row>
    <row r="4102" spans="38:38" x14ac:dyDescent="0.25">
      <c r="AL4102" s="6"/>
    </row>
    <row r="4103" spans="38:38" x14ac:dyDescent="0.25">
      <c r="AL4103" s="6"/>
    </row>
    <row r="4104" spans="38:38" x14ac:dyDescent="0.25">
      <c r="AL4104" s="6"/>
    </row>
    <row r="4105" spans="38:38" x14ac:dyDescent="0.25">
      <c r="AL4105" s="6"/>
    </row>
    <row r="4106" spans="38:38" x14ac:dyDescent="0.25">
      <c r="AL4106" s="6"/>
    </row>
    <row r="4107" spans="38:38" x14ac:dyDescent="0.25">
      <c r="AL4107" s="6"/>
    </row>
    <row r="4108" spans="38:38" x14ac:dyDescent="0.25">
      <c r="AL4108" s="6"/>
    </row>
    <row r="4109" spans="38:38" x14ac:dyDescent="0.25">
      <c r="AL4109" s="6"/>
    </row>
    <row r="4110" spans="38:38" x14ac:dyDescent="0.25">
      <c r="AL4110" s="6"/>
    </row>
    <row r="4111" spans="38:38" x14ac:dyDescent="0.25">
      <c r="AL4111" s="6"/>
    </row>
    <row r="4112" spans="38:38" x14ac:dyDescent="0.25">
      <c r="AL4112" s="6"/>
    </row>
    <row r="4113" spans="38:38" x14ac:dyDescent="0.25">
      <c r="AL4113" s="6"/>
    </row>
    <row r="4114" spans="38:38" x14ac:dyDescent="0.25">
      <c r="AL4114" s="6"/>
    </row>
    <row r="4115" spans="38:38" x14ac:dyDescent="0.25">
      <c r="AL4115" s="6"/>
    </row>
    <row r="4116" spans="38:38" x14ac:dyDescent="0.25">
      <c r="AL4116" s="6"/>
    </row>
    <row r="4117" spans="38:38" x14ac:dyDescent="0.25">
      <c r="AL4117" s="6"/>
    </row>
    <row r="4118" spans="38:38" x14ac:dyDescent="0.25">
      <c r="AL4118" s="6"/>
    </row>
    <row r="4119" spans="38:38" x14ac:dyDescent="0.25">
      <c r="AL4119" s="6"/>
    </row>
    <row r="4120" spans="38:38" x14ac:dyDescent="0.25">
      <c r="AL4120" s="6"/>
    </row>
    <row r="4121" spans="38:38" x14ac:dyDescent="0.25">
      <c r="AL4121" s="6"/>
    </row>
    <row r="4122" spans="38:38" x14ac:dyDescent="0.25">
      <c r="AL4122" s="6"/>
    </row>
    <row r="4123" spans="38:38" x14ac:dyDescent="0.25">
      <c r="AL4123" s="6"/>
    </row>
    <row r="4124" spans="38:38" x14ac:dyDescent="0.25">
      <c r="AL4124" s="6"/>
    </row>
    <row r="4125" spans="38:38" x14ac:dyDescent="0.25">
      <c r="AL4125" s="6"/>
    </row>
    <row r="4126" spans="38:38" x14ac:dyDescent="0.25">
      <c r="AL4126" s="6"/>
    </row>
    <row r="4127" spans="38:38" x14ac:dyDescent="0.25">
      <c r="AL4127" s="6"/>
    </row>
    <row r="4128" spans="38:38" x14ac:dyDescent="0.25">
      <c r="AL4128" s="6"/>
    </row>
    <row r="4129" spans="38:38" x14ac:dyDescent="0.25">
      <c r="AL4129" s="6"/>
    </row>
    <row r="4130" spans="38:38" x14ac:dyDescent="0.25">
      <c r="AL4130" s="6"/>
    </row>
    <row r="4131" spans="38:38" x14ac:dyDescent="0.25">
      <c r="AL4131" s="6"/>
    </row>
    <row r="4132" spans="38:38" x14ac:dyDescent="0.25">
      <c r="AL4132" s="6"/>
    </row>
    <row r="4133" spans="38:38" x14ac:dyDescent="0.25">
      <c r="AL4133" s="6"/>
    </row>
    <row r="4134" spans="38:38" x14ac:dyDescent="0.25">
      <c r="AL4134" s="6"/>
    </row>
    <row r="4135" spans="38:38" x14ac:dyDescent="0.25">
      <c r="AL4135" s="6"/>
    </row>
    <row r="4136" spans="38:38" x14ac:dyDescent="0.25">
      <c r="AL4136" s="6"/>
    </row>
    <row r="4137" spans="38:38" x14ac:dyDescent="0.25">
      <c r="AL4137" s="6"/>
    </row>
    <row r="4138" spans="38:38" x14ac:dyDescent="0.25">
      <c r="AL4138" s="6"/>
    </row>
    <row r="4139" spans="38:38" x14ac:dyDescent="0.25">
      <c r="AL4139" s="6"/>
    </row>
    <row r="4140" spans="38:38" x14ac:dyDescent="0.25">
      <c r="AL4140" s="6"/>
    </row>
    <row r="4141" spans="38:38" x14ac:dyDescent="0.25">
      <c r="AL4141" s="6"/>
    </row>
    <row r="4142" spans="38:38" x14ac:dyDescent="0.25">
      <c r="AL4142" s="6"/>
    </row>
    <row r="4143" spans="38:38" x14ac:dyDescent="0.25">
      <c r="AL4143" s="6"/>
    </row>
    <row r="4144" spans="38:38" x14ac:dyDescent="0.25">
      <c r="AL4144" s="6"/>
    </row>
    <row r="4145" spans="38:38" x14ac:dyDescent="0.25">
      <c r="AL4145" s="6"/>
    </row>
    <row r="4146" spans="38:38" x14ac:dyDescent="0.25">
      <c r="AL4146" s="6"/>
    </row>
    <row r="4147" spans="38:38" x14ac:dyDescent="0.25">
      <c r="AL4147" s="6"/>
    </row>
    <row r="4148" spans="38:38" x14ac:dyDescent="0.25">
      <c r="AL4148" s="6"/>
    </row>
    <row r="4149" spans="38:38" x14ac:dyDescent="0.25">
      <c r="AL4149" s="6"/>
    </row>
    <row r="4150" spans="38:38" x14ac:dyDescent="0.25">
      <c r="AL4150" s="6"/>
    </row>
    <row r="4151" spans="38:38" x14ac:dyDescent="0.25">
      <c r="AL4151" s="6"/>
    </row>
    <row r="4152" spans="38:38" x14ac:dyDescent="0.25">
      <c r="AL4152" s="6"/>
    </row>
    <row r="4153" spans="38:38" x14ac:dyDescent="0.25">
      <c r="AL4153" s="6"/>
    </row>
    <row r="4154" spans="38:38" x14ac:dyDescent="0.25">
      <c r="AL4154" s="6"/>
    </row>
    <row r="4155" spans="38:38" x14ac:dyDescent="0.25">
      <c r="AL4155" s="6"/>
    </row>
    <row r="4156" spans="38:38" x14ac:dyDescent="0.25">
      <c r="AL4156" s="6"/>
    </row>
    <row r="4157" spans="38:38" x14ac:dyDescent="0.25">
      <c r="AL4157" s="6"/>
    </row>
    <row r="4158" spans="38:38" x14ac:dyDescent="0.25">
      <c r="AL4158" s="6"/>
    </row>
    <row r="4159" spans="38:38" x14ac:dyDescent="0.25">
      <c r="AL4159" s="6"/>
    </row>
    <row r="4160" spans="38:38" x14ac:dyDescent="0.25">
      <c r="AL4160" s="6"/>
    </row>
    <row r="4161" spans="38:38" x14ac:dyDescent="0.25">
      <c r="AL4161" s="6"/>
    </row>
    <row r="4162" spans="38:38" x14ac:dyDescent="0.25">
      <c r="AL4162" s="6"/>
    </row>
    <row r="4163" spans="38:38" x14ac:dyDescent="0.25">
      <c r="AL4163" s="6"/>
    </row>
    <row r="4164" spans="38:38" x14ac:dyDescent="0.25">
      <c r="AL4164" s="6"/>
    </row>
    <row r="4165" spans="38:38" x14ac:dyDescent="0.25">
      <c r="AL4165" s="6"/>
    </row>
    <row r="4166" spans="38:38" x14ac:dyDescent="0.25">
      <c r="AL4166" s="6"/>
    </row>
    <row r="4167" spans="38:38" x14ac:dyDescent="0.25">
      <c r="AL4167" s="6"/>
    </row>
    <row r="4168" spans="38:38" x14ac:dyDescent="0.25">
      <c r="AL4168" s="6"/>
    </row>
    <row r="4169" spans="38:38" x14ac:dyDescent="0.25">
      <c r="AL4169" s="6"/>
    </row>
    <row r="4170" spans="38:38" x14ac:dyDescent="0.25">
      <c r="AL4170" s="6"/>
    </row>
    <row r="4171" spans="38:38" x14ac:dyDescent="0.25">
      <c r="AL4171" s="6"/>
    </row>
    <row r="4172" spans="38:38" x14ac:dyDescent="0.25">
      <c r="AL4172" s="6"/>
    </row>
    <row r="4173" spans="38:38" x14ac:dyDescent="0.25">
      <c r="AL4173" s="6"/>
    </row>
    <row r="4174" spans="38:38" x14ac:dyDescent="0.25">
      <c r="AL4174" s="6"/>
    </row>
    <row r="4175" spans="38:38" x14ac:dyDescent="0.25">
      <c r="AL4175" s="6"/>
    </row>
    <row r="4176" spans="38:38" x14ac:dyDescent="0.25">
      <c r="AL4176" s="6"/>
    </row>
    <row r="4177" spans="38:38" x14ac:dyDescent="0.25">
      <c r="AL4177" s="6"/>
    </row>
    <row r="4178" spans="38:38" x14ac:dyDescent="0.25">
      <c r="AL4178" s="6"/>
    </row>
    <row r="4179" spans="38:38" x14ac:dyDescent="0.25">
      <c r="AL4179" s="6"/>
    </row>
    <row r="4180" spans="38:38" x14ac:dyDescent="0.25">
      <c r="AL4180" s="6"/>
    </row>
    <row r="4181" spans="38:38" x14ac:dyDescent="0.25">
      <c r="AL4181" s="6"/>
    </row>
    <row r="4182" spans="38:38" x14ac:dyDescent="0.25">
      <c r="AL4182" s="6"/>
    </row>
    <row r="4183" spans="38:38" x14ac:dyDescent="0.25">
      <c r="AL4183" s="6"/>
    </row>
    <row r="4184" spans="38:38" x14ac:dyDescent="0.25">
      <c r="AL4184" s="6"/>
    </row>
    <row r="4185" spans="38:38" x14ac:dyDescent="0.25">
      <c r="AL4185" s="6"/>
    </row>
    <row r="4186" spans="38:38" x14ac:dyDescent="0.25">
      <c r="AL4186" s="6"/>
    </row>
    <row r="4187" spans="38:38" x14ac:dyDescent="0.25">
      <c r="AL4187" s="6"/>
    </row>
    <row r="4188" spans="38:38" x14ac:dyDescent="0.25">
      <c r="AL4188" s="6"/>
    </row>
    <row r="4189" spans="38:38" x14ac:dyDescent="0.25">
      <c r="AL4189" s="6"/>
    </row>
    <row r="4190" spans="38:38" x14ac:dyDescent="0.25">
      <c r="AL4190" s="6"/>
    </row>
    <row r="4191" spans="38:38" x14ac:dyDescent="0.25">
      <c r="AL4191" s="6"/>
    </row>
    <row r="4192" spans="38:38" x14ac:dyDescent="0.25">
      <c r="AL4192" s="6"/>
    </row>
    <row r="4193" spans="38:38" x14ac:dyDescent="0.25">
      <c r="AL4193" s="6"/>
    </row>
    <row r="4194" spans="38:38" x14ac:dyDescent="0.25">
      <c r="AL4194" s="6"/>
    </row>
    <row r="4195" spans="38:38" x14ac:dyDescent="0.25">
      <c r="AL4195" s="6"/>
    </row>
    <row r="4196" spans="38:38" x14ac:dyDescent="0.25">
      <c r="AL4196" s="6"/>
    </row>
    <row r="4197" spans="38:38" x14ac:dyDescent="0.25">
      <c r="AL4197" s="6"/>
    </row>
    <row r="4198" spans="38:38" x14ac:dyDescent="0.25">
      <c r="AL4198" s="6"/>
    </row>
    <row r="4199" spans="38:38" x14ac:dyDescent="0.25">
      <c r="AL4199" s="6"/>
    </row>
    <row r="4200" spans="38:38" x14ac:dyDescent="0.25">
      <c r="AL4200" s="6"/>
    </row>
    <row r="4201" spans="38:38" x14ac:dyDescent="0.25">
      <c r="AL4201" s="6"/>
    </row>
    <row r="4202" spans="38:38" x14ac:dyDescent="0.25">
      <c r="AL4202" s="6"/>
    </row>
    <row r="4203" spans="38:38" x14ac:dyDescent="0.25">
      <c r="AL4203" s="6"/>
    </row>
    <row r="4204" spans="38:38" x14ac:dyDescent="0.25">
      <c r="AL4204" s="6"/>
    </row>
    <row r="4205" spans="38:38" x14ac:dyDescent="0.25">
      <c r="AL4205" s="6"/>
    </row>
    <row r="4206" spans="38:38" x14ac:dyDescent="0.25">
      <c r="AL4206" s="6"/>
    </row>
    <row r="4207" spans="38:38" x14ac:dyDescent="0.25">
      <c r="AL4207" s="6"/>
    </row>
    <row r="4208" spans="38:38" x14ac:dyDescent="0.25">
      <c r="AL4208" s="6"/>
    </row>
    <row r="4209" spans="38:38" x14ac:dyDescent="0.25">
      <c r="AL4209" s="6"/>
    </row>
    <row r="4210" spans="38:38" x14ac:dyDescent="0.25">
      <c r="AL4210" s="6"/>
    </row>
    <row r="4211" spans="38:38" x14ac:dyDescent="0.25">
      <c r="AL4211" s="6"/>
    </row>
    <row r="4212" spans="38:38" x14ac:dyDescent="0.25">
      <c r="AL4212" s="6"/>
    </row>
    <row r="4213" spans="38:38" x14ac:dyDescent="0.25">
      <c r="AL4213" s="6"/>
    </row>
    <row r="4214" spans="38:38" x14ac:dyDescent="0.25">
      <c r="AL4214" s="6"/>
    </row>
    <row r="4215" spans="38:38" x14ac:dyDescent="0.25">
      <c r="AL4215" s="6"/>
    </row>
    <row r="4216" spans="38:38" x14ac:dyDescent="0.25">
      <c r="AL4216" s="6"/>
    </row>
    <row r="4217" spans="38:38" x14ac:dyDescent="0.25">
      <c r="AL4217" s="6"/>
    </row>
    <row r="4218" spans="38:38" x14ac:dyDescent="0.25">
      <c r="AL4218" s="6"/>
    </row>
    <row r="4219" spans="38:38" x14ac:dyDescent="0.25">
      <c r="AL4219" s="6"/>
    </row>
    <row r="4220" spans="38:38" x14ac:dyDescent="0.25">
      <c r="AL4220" s="6"/>
    </row>
    <row r="4221" spans="38:38" x14ac:dyDescent="0.25">
      <c r="AL4221" s="6"/>
    </row>
    <row r="4222" spans="38:38" x14ac:dyDescent="0.25">
      <c r="AL4222" s="6"/>
    </row>
    <row r="4223" spans="38:38" x14ac:dyDescent="0.25">
      <c r="AL4223" s="6"/>
    </row>
    <row r="4224" spans="38:38" x14ac:dyDescent="0.25">
      <c r="AL4224" s="6"/>
    </row>
    <row r="4225" spans="38:38" x14ac:dyDescent="0.25">
      <c r="AL4225" s="6"/>
    </row>
    <row r="4226" spans="38:38" x14ac:dyDescent="0.25">
      <c r="AL4226" s="6"/>
    </row>
    <row r="4227" spans="38:38" x14ac:dyDescent="0.25">
      <c r="AL4227" s="6"/>
    </row>
    <row r="4228" spans="38:38" x14ac:dyDescent="0.25">
      <c r="AL4228" s="6"/>
    </row>
    <row r="4229" spans="38:38" x14ac:dyDescent="0.25">
      <c r="AL4229" s="6"/>
    </row>
    <row r="4230" spans="38:38" x14ac:dyDescent="0.25">
      <c r="AL4230" s="6"/>
    </row>
    <row r="4231" spans="38:38" x14ac:dyDescent="0.25">
      <c r="AL4231" s="6"/>
    </row>
    <row r="4232" spans="38:38" x14ac:dyDescent="0.25">
      <c r="AL4232" s="6"/>
    </row>
    <row r="4233" spans="38:38" x14ac:dyDescent="0.25">
      <c r="AL4233" s="6"/>
    </row>
    <row r="4234" spans="38:38" x14ac:dyDescent="0.25">
      <c r="AL4234" s="6"/>
    </row>
    <row r="4235" spans="38:38" x14ac:dyDescent="0.25">
      <c r="AL4235" s="6"/>
    </row>
    <row r="4236" spans="38:38" x14ac:dyDescent="0.25">
      <c r="AL4236" s="6"/>
    </row>
    <row r="4237" spans="38:38" x14ac:dyDescent="0.25">
      <c r="AL4237" s="6"/>
    </row>
    <row r="4238" spans="38:38" x14ac:dyDescent="0.25">
      <c r="AL4238" s="6"/>
    </row>
    <row r="4239" spans="38:38" x14ac:dyDescent="0.25">
      <c r="AL4239" s="6"/>
    </row>
    <row r="4240" spans="38:38" x14ac:dyDescent="0.25">
      <c r="AL4240" s="6"/>
    </row>
    <row r="4241" spans="38:38" x14ac:dyDescent="0.25">
      <c r="AL4241" s="6"/>
    </row>
    <row r="4242" spans="38:38" x14ac:dyDescent="0.25">
      <c r="AL4242" s="6"/>
    </row>
    <row r="4243" spans="38:38" x14ac:dyDescent="0.25">
      <c r="AL4243" s="6"/>
    </row>
    <row r="4244" spans="38:38" x14ac:dyDescent="0.25">
      <c r="AL4244" s="6"/>
    </row>
    <row r="4245" spans="38:38" x14ac:dyDescent="0.25">
      <c r="AL4245" s="6"/>
    </row>
    <row r="4246" spans="38:38" x14ac:dyDescent="0.25">
      <c r="AL4246" s="6"/>
    </row>
    <row r="4247" spans="38:38" x14ac:dyDescent="0.25">
      <c r="AL4247" s="6"/>
    </row>
    <row r="4248" spans="38:38" x14ac:dyDescent="0.25">
      <c r="AL4248" s="6"/>
    </row>
    <row r="4249" spans="38:38" x14ac:dyDescent="0.25">
      <c r="AL4249" s="6"/>
    </row>
    <row r="4250" spans="38:38" x14ac:dyDescent="0.25">
      <c r="AL4250" s="6"/>
    </row>
    <row r="4251" spans="38:38" x14ac:dyDescent="0.25">
      <c r="AL4251" s="6"/>
    </row>
    <row r="4252" spans="38:38" x14ac:dyDescent="0.25">
      <c r="AL4252" s="6"/>
    </row>
    <row r="4253" spans="38:38" x14ac:dyDescent="0.25">
      <c r="AL4253" s="6"/>
    </row>
    <row r="4254" spans="38:38" x14ac:dyDescent="0.25">
      <c r="AL4254" s="6"/>
    </row>
    <row r="4255" spans="38:38" x14ac:dyDescent="0.25">
      <c r="AL4255" s="6"/>
    </row>
    <row r="4256" spans="38:38" x14ac:dyDescent="0.25">
      <c r="AL4256" s="6"/>
    </row>
    <row r="4257" spans="38:38" x14ac:dyDescent="0.25">
      <c r="AL4257" s="6"/>
    </row>
    <row r="4258" spans="38:38" x14ac:dyDescent="0.25">
      <c r="AL4258" s="6"/>
    </row>
    <row r="4259" spans="38:38" x14ac:dyDescent="0.25">
      <c r="AL4259" s="6"/>
    </row>
    <row r="4260" spans="38:38" x14ac:dyDescent="0.25">
      <c r="AL4260" s="6"/>
    </row>
    <row r="4261" spans="38:38" x14ac:dyDescent="0.25">
      <c r="AL4261" s="6"/>
    </row>
    <row r="4262" spans="38:38" x14ac:dyDescent="0.25">
      <c r="AL4262" s="6"/>
    </row>
    <row r="4263" spans="38:38" x14ac:dyDescent="0.25">
      <c r="AL4263" s="6"/>
    </row>
    <row r="4264" spans="38:38" x14ac:dyDescent="0.25">
      <c r="AL4264" s="6"/>
    </row>
    <row r="4265" spans="38:38" x14ac:dyDescent="0.25">
      <c r="AL4265" s="6"/>
    </row>
    <row r="4266" spans="38:38" x14ac:dyDescent="0.25">
      <c r="AL4266" s="6"/>
    </row>
    <row r="4267" spans="38:38" x14ac:dyDescent="0.25">
      <c r="AL4267" s="6"/>
    </row>
    <row r="4268" spans="38:38" x14ac:dyDescent="0.25">
      <c r="AL4268" s="6"/>
    </row>
    <row r="4269" spans="38:38" x14ac:dyDescent="0.25">
      <c r="AL4269" s="6"/>
    </row>
    <row r="4270" spans="38:38" x14ac:dyDescent="0.25">
      <c r="AL4270" s="6"/>
    </row>
    <row r="4271" spans="38:38" x14ac:dyDescent="0.25">
      <c r="AL4271" s="6"/>
    </row>
    <row r="4272" spans="38:38" x14ac:dyDescent="0.25">
      <c r="AL4272" s="6"/>
    </row>
    <row r="4273" spans="38:38" x14ac:dyDescent="0.25">
      <c r="AL4273" s="6"/>
    </row>
    <row r="4274" spans="38:38" x14ac:dyDescent="0.25">
      <c r="AL4274" s="6"/>
    </row>
    <row r="4275" spans="38:38" x14ac:dyDescent="0.25">
      <c r="AL4275" s="6"/>
    </row>
    <row r="4276" spans="38:38" x14ac:dyDescent="0.25">
      <c r="AL4276" s="6"/>
    </row>
    <row r="4277" spans="38:38" x14ac:dyDescent="0.25">
      <c r="AL4277" s="6"/>
    </row>
    <row r="4278" spans="38:38" x14ac:dyDescent="0.25">
      <c r="AL4278" s="6"/>
    </row>
    <row r="4279" spans="38:38" x14ac:dyDescent="0.25">
      <c r="AL4279" s="6"/>
    </row>
    <row r="4280" spans="38:38" x14ac:dyDescent="0.25">
      <c r="AL4280" s="6"/>
    </row>
    <row r="4281" spans="38:38" x14ac:dyDescent="0.25">
      <c r="AL4281" s="6"/>
    </row>
    <row r="4282" spans="38:38" x14ac:dyDescent="0.25">
      <c r="AL4282" s="6"/>
    </row>
    <row r="4283" spans="38:38" x14ac:dyDescent="0.25">
      <c r="AL4283" s="6"/>
    </row>
    <row r="4284" spans="38:38" x14ac:dyDescent="0.25">
      <c r="AL4284" s="6"/>
    </row>
    <row r="4285" spans="38:38" x14ac:dyDescent="0.25">
      <c r="AL4285" s="6"/>
    </row>
    <row r="4286" spans="38:38" x14ac:dyDescent="0.25">
      <c r="AL4286" s="6"/>
    </row>
    <row r="4287" spans="38:38" x14ac:dyDescent="0.25">
      <c r="AL4287" s="6"/>
    </row>
    <row r="4288" spans="38:38" x14ac:dyDescent="0.25">
      <c r="AL4288" s="6"/>
    </row>
    <row r="4289" spans="38:38" x14ac:dyDescent="0.25">
      <c r="AL4289" s="6"/>
    </row>
    <row r="4290" spans="38:38" x14ac:dyDescent="0.25">
      <c r="AL4290" s="6"/>
    </row>
    <row r="4291" spans="38:38" x14ac:dyDescent="0.25">
      <c r="AL4291" s="6"/>
    </row>
    <row r="4292" spans="38:38" x14ac:dyDescent="0.25">
      <c r="AL4292" s="6"/>
    </row>
    <row r="4293" spans="38:38" x14ac:dyDescent="0.25">
      <c r="AL4293" s="6"/>
    </row>
    <row r="4294" spans="38:38" x14ac:dyDescent="0.25">
      <c r="AL4294" s="6"/>
    </row>
    <row r="4295" spans="38:38" x14ac:dyDescent="0.25">
      <c r="AL4295" s="6"/>
    </row>
    <row r="4296" spans="38:38" x14ac:dyDescent="0.25">
      <c r="AL4296" s="6"/>
    </row>
    <row r="4297" spans="38:38" x14ac:dyDescent="0.25">
      <c r="AL4297" s="6"/>
    </row>
    <row r="4298" spans="38:38" x14ac:dyDescent="0.25">
      <c r="AL4298" s="6"/>
    </row>
    <row r="4299" spans="38:38" x14ac:dyDescent="0.25">
      <c r="AL4299" s="6"/>
    </row>
    <row r="4300" spans="38:38" x14ac:dyDescent="0.25">
      <c r="AL4300" s="6"/>
    </row>
    <row r="4301" spans="38:38" x14ac:dyDescent="0.25">
      <c r="AL4301" s="6"/>
    </row>
    <row r="4302" spans="38:38" x14ac:dyDescent="0.25">
      <c r="AL4302" s="6"/>
    </row>
    <row r="4303" spans="38:38" x14ac:dyDescent="0.25">
      <c r="AL4303" s="6"/>
    </row>
    <row r="4304" spans="38:38" x14ac:dyDescent="0.25">
      <c r="AL4304" s="6"/>
    </row>
    <row r="4305" spans="38:38" x14ac:dyDescent="0.25">
      <c r="AL4305" s="6"/>
    </row>
    <row r="4306" spans="38:38" x14ac:dyDescent="0.25">
      <c r="AL4306" s="6"/>
    </row>
    <row r="4307" spans="38:38" x14ac:dyDescent="0.25">
      <c r="AL4307" s="6"/>
    </row>
    <row r="4308" spans="38:38" x14ac:dyDescent="0.25">
      <c r="AL4308" s="6"/>
    </row>
    <row r="4309" spans="38:38" x14ac:dyDescent="0.25">
      <c r="AL4309" s="6"/>
    </row>
    <row r="4310" spans="38:38" x14ac:dyDescent="0.25">
      <c r="AL4310" s="6"/>
    </row>
    <row r="4311" spans="38:38" x14ac:dyDescent="0.25">
      <c r="AL4311" s="6"/>
    </row>
    <row r="4312" spans="38:38" x14ac:dyDescent="0.25">
      <c r="AL4312" s="6"/>
    </row>
    <row r="4313" spans="38:38" x14ac:dyDescent="0.25">
      <c r="AL4313" s="6"/>
    </row>
    <row r="4314" spans="38:38" x14ac:dyDescent="0.25">
      <c r="AL4314" s="6"/>
    </row>
    <row r="4315" spans="38:38" x14ac:dyDescent="0.25">
      <c r="AL4315" s="6"/>
    </row>
    <row r="4316" spans="38:38" x14ac:dyDescent="0.25">
      <c r="AL4316" s="6"/>
    </row>
    <row r="4317" spans="38:38" x14ac:dyDescent="0.25">
      <c r="AL4317" s="6"/>
    </row>
    <row r="4318" spans="38:38" x14ac:dyDescent="0.25">
      <c r="AL4318" s="6"/>
    </row>
    <row r="4319" spans="38:38" x14ac:dyDescent="0.25">
      <c r="AL4319" s="6"/>
    </row>
    <row r="4320" spans="38:38" x14ac:dyDescent="0.25">
      <c r="AL4320" s="6"/>
    </row>
    <row r="4321" spans="38:38" x14ac:dyDescent="0.25">
      <c r="AL4321" s="6"/>
    </row>
    <row r="4322" spans="38:38" x14ac:dyDescent="0.25">
      <c r="AL4322" s="6"/>
    </row>
    <row r="4323" spans="38:38" x14ac:dyDescent="0.25">
      <c r="AL4323" s="6"/>
    </row>
    <row r="4324" spans="38:38" x14ac:dyDescent="0.25">
      <c r="AL4324" s="6"/>
    </row>
    <row r="4325" spans="38:38" x14ac:dyDescent="0.25">
      <c r="AL4325" s="6"/>
    </row>
    <row r="4326" spans="38:38" x14ac:dyDescent="0.25">
      <c r="AL4326" s="6"/>
    </row>
    <row r="4327" spans="38:38" x14ac:dyDescent="0.25">
      <c r="AL4327" s="6"/>
    </row>
    <row r="4328" spans="38:38" x14ac:dyDescent="0.25">
      <c r="AL4328" s="6"/>
    </row>
    <row r="4329" spans="38:38" x14ac:dyDescent="0.25">
      <c r="AL4329" s="6"/>
    </row>
    <row r="4330" spans="38:38" x14ac:dyDescent="0.25">
      <c r="AL4330" s="6"/>
    </row>
    <row r="4331" spans="38:38" x14ac:dyDescent="0.25">
      <c r="AL4331" s="6"/>
    </row>
    <row r="4332" spans="38:38" x14ac:dyDescent="0.25">
      <c r="AL4332" s="6"/>
    </row>
    <row r="4333" spans="38:38" x14ac:dyDescent="0.25">
      <c r="AL4333" s="6"/>
    </row>
    <row r="4334" spans="38:38" x14ac:dyDescent="0.25">
      <c r="AL4334" s="6"/>
    </row>
    <row r="4335" spans="38:38" x14ac:dyDescent="0.25">
      <c r="AL4335" s="6"/>
    </row>
    <row r="4336" spans="38:38" x14ac:dyDescent="0.25">
      <c r="AL4336" s="6"/>
    </row>
    <row r="4337" spans="38:38" x14ac:dyDescent="0.25">
      <c r="AL4337" s="6"/>
    </row>
    <row r="4338" spans="38:38" x14ac:dyDescent="0.25">
      <c r="AL4338" s="6"/>
    </row>
    <row r="4339" spans="38:38" x14ac:dyDescent="0.25">
      <c r="AL4339" s="6"/>
    </row>
    <row r="4340" spans="38:38" x14ac:dyDescent="0.25">
      <c r="AL4340" s="6"/>
    </row>
    <row r="4341" spans="38:38" x14ac:dyDescent="0.25">
      <c r="AL4341" s="6"/>
    </row>
    <row r="4342" spans="38:38" x14ac:dyDescent="0.25">
      <c r="AL4342" s="6"/>
    </row>
    <row r="4343" spans="38:38" x14ac:dyDescent="0.25">
      <c r="AL4343" s="6"/>
    </row>
    <row r="4344" spans="38:38" x14ac:dyDescent="0.25">
      <c r="AL4344" s="6"/>
    </row>
    <row r="4345" spans="38:38" x14ac:dyDescent="0.25">
      <c r="AL4345" s="6"/>
    </row>
    <row r="4346" spans="38:38" x14ac:dyDescent="0.25">
      <c r="AL4346" s="6"/>
    </row>
    <row r="4347" spans="38:38" x14ac:dyDescent="0.25">
      <c r="AL4347" s="6"/>
    </row>
    <row r="4348" spans="38:38" x14ac:dyDescent="0.25">
      <c r="AL4348" s="6"/>
    </row>
    <row r="4349" spans="38:38" x14ac:dyDescent="0.25">
      <c r="AL4349" s="6"/>
    </row>
    <row r="4350" spans="38:38" x14ac:dyDescent="0.25">
      <c r="AL4350" s="6"/>
    </row>
    <row r="4351" spans="38:38" x14ac:dyDescent="0.25">
      <c r="AL4351" s="6"/>
    </row>
    <row r="4352" spans="38:38" x14ac:dyDescent="0.25">
      <c r="AL4352" s="6"/>
    </row>
    <row r="4353" spans="38:38" x14ac:dyDescent="0.25">
      <c r="AL4353" s="6"/>
    </row>
    <row r="4354" spans="38:38" x14ac:dyDescent="0.25">
      <c r="AL4354" s="6"/>
    </row>
    <row r="4355" spans="38:38" x14ac:dyDescent="0.25">
      <c r="AL4355" s="6"/>
    </row>
    <row r="4356" spans="38:38" x14ac:dyDescent="0.25">
      <c r="AL4356" s="6"/>
    </row>
    <row r="4357" spans="38:38" x14ac:dyDescent="0.25">
      <c r="AL4357" s="6"/>
    </row>
    <row r="4358" spans="38:38" x14ac:dyDescent="0.25">
      <c r="AL4358" s="6"/>
    </row>
    <row r="4359" spans="38:38" x14ac:dyDescent="0.25">
      <c r="AL4359" s="6"/>
    </row>
    <row r="4360" spans="38:38" x14ac:dyDescent="0.25">
      <c r="AL4360" s="6"/>
    </row>
    <row r="4361" spans="38:38" x14ac:dyDescent="0.25">
      <c r="AL4361" s="6"/>
    </row>
    <row r="4362" spans="38:38" x14ac:dyDescent="0.25">
      <c r="AL4362" s="6"/>
    </row>
    <row r="4363" spans="38:38" x14ac:dyDescent="0.25">
      <c r="AL4363" s="6"/>
    </row>
    <row r="4364" spans="38:38" x14ac:dyDescent="0.25">
      <c r="AL4364" s="6"/>
    </row>
    <row r="4365" spans="38:38" x14ac:dyDescent="0.25">
      <c r="AL4365" s="6"/>
    </row>
    <row r="4366" spans="38:38" x14ac:dyDescent="0.25">
      <c r="AL4366" s="6"/>
    </row>
    <row r="4367" spans="38:38" x14ac:dyDescent="0.25">
      <c r="AL4367" s="6"/>
    </row>
    <row r="4368" spans="38:38" x14ac:dyDescent="0.25">
      <c r="AL4368" s="6"/>
    </row>
    <row r="4369" spans="38:38" x14ac:dyDescent="0.25">
      <c r="AL4369" s="6"/>
    </row>
    <row r="4370" spans="38:38" x14ac:dyDescent="0.25">
      <c r="AL4370" s="6"/>
    </row>
    <row r="4371" spans="38:38" x14ac:dyDescent="0.25">
      <c r="AL4371" s="6"/>
    </row>
    <row r="4372" spans="38:38" x14ac:dyDescent="0.25">
      <c r="AL4372" s="6"/>
    </row>
    <row r="4373" spans="38:38" x14ac:dyDescent="0.25">
      <c r="AL4373" s="6"/>
    </row>
    <row r="4374" spans="38:38" x14ac:dyDescent="0.25">
      <c r="AL4374" s="6"/>
    </row>
    <row r="4375" spans="38:38" x14ac:dyDescent="0.25">
      <c r="AL4375" s="6"/>
    </row>
    <row r="4376" spans="38:38" x14ac:dyDescent="0.25">
      <c r="AL4376" s="6"/>
    </row>
    <row r="4377" spans="38:38" x14ac:dyDescent="0.25">
      <c r="AL4377" s="6"/>
    </row>
    <row r="4378" spans="38:38" x14ac:dyDescent="0.25">
      <c r="AL4378" s="6"/>
    </row>
    <row r="4379" spans="38:38" x14ac:dyDescent="0.25">
      <c r="AL4379" s="6"/>
    </row>
    <row r="4380" spans="38:38" x14ac:dyDescent="0.25">
      <c r="AL4380" s="6"/>
    </row>
    <row r="4381" spans="38:38" x14ac:dyDescent="0.25">
      <c r="AL4381" s="6"/>
    </row>
    <row r="4382" spans="38:38" x14ac:dyDescent="0.25">
      <c r="AL4382" s="6"/>
    </row>
    <row r="4383" spans="38:38" x14ac:dyDescent="0.25">
      <c r="AL4383" s="6"/>
    </row>
    <row r="4384" spans="38:38" x14ac:dyDescent="0.25">
      <c r="AL4384" s="6"/>
    </row>
    <row r="4385" spans="38:38" x14ac:dyDescent="0.25">
      <c r="AL4385" s="6"/>
    </row>
    <row r="4386" spans="38:38" x14ac:dyDescent="0.25">
      <c r="AL4386" s="6"/>
    </row>
    <row r="4387" spans="38:38" x14ac:dyDescent="0.25">
      <c r="AL4387" s="6"/>
    </row>
    <row r="4388" spans="38:38" x14ac:dyDescent="0.25">
      <c r="AL4388" s="6"/>
    </row>
    <row r="4389" spans="38:38" x14ac:dyDescent="0.25">
      <c r="AL4389" s="6"/>
    </row>
    <row r="4390" spans="38:38" x14ac:dyDescent="0.25">
      <c r="AL4390" s="6"/>
    </row>
    <row r="4391" spans="38:38" x14ac:dyDescent="0.25">
      <c r="AL4391" s="6"/>
    </row>
    <row r="4392" spans="38:38" x14ac:dyDescent="0.25">
      <c r="AL4392" s="6"/>
    </row>
    <row r="4393" spans="38:38" x14ac:dyDescent="0.25">
      <c r="AL4393" s="6"/>
    </row>
    <row r="4394" spans="38:38" x14ac:dyDescent="0.25">
      <c r="AL4394" s="6"/>
    </row>
    <row r="4395" spans="38:38" x14ac:dyDescent="0.25">
      <c r="AL4395" s="6"/>
    </row>
    <row r="4396" spans="38:38" x14ac:dyDescent="0.25">
      <c r="AL4396" s="6"/>
    </row>
    <row r="4397" spans="38:38" x14ac:dyDescent="0.25">
      <c r="AL4397" s="6"/>
    </row>
    <row r="4398" spans="38:38" x14ac:dyDescent="0.25">
      <c r="AL4398" s="6"/>
    </row>
    <row r="4399" spans="38:38" x14ac:dyDescent="0.25">
      <c r="AL4399" s="6"/>
    </row>
    <row r="4400" spans="38:38" x14ac:dyDescent="0.25">
      <c r="AL4400" s="6"/>
    </row>
    <row r="4401" spans="38:38" x14ac:dyDescent="0.25">
      <c r="AL4401" s="6"/>
    </row>
    <row r="4402" spans="38:38" x14ac:dyDescent="0.25">
      <c r="AL4402" s="6"/>
    </row>
    <row r="4403" spans="38:38" x14ac:dyDescent="0.25">
      <c r="AL4403" s="6"/>
    </row>
    <row r="4404" spans="38:38" x14ac:dyDescent="0.25">
      <c r="AL4404" s="6"/>
    </row>
    <row r="4405" spans="38:38" x14ac:dyDescent="0.25">
      <c r="AL4405" s="6"/>
    </row>
    <row r="4406" spans="38:38" x14ac:dyDescent="0.25">
      <c r="AL4406" s="6"/>
    </row>
    <row r="4407" spans="38:38" x14ac:dyDescent="0.25">
      <c r="AL4407" s="6"/>
    </row>
    <row r="4408" spans="38:38" x14ac:dyDescent="0.25">
      <c r="AL4408" s="6"/>
    </row>
    <row r="4409" spans="38:38" x14ac:dyDescent="0.25">
      <c r="AL4409" s="6"/>
    </row>
    <row r="4410" spans="38:38" x14ac:dyDescent="0.25">
      <c r="AL4410" s="6"/>
    </row>
    <row r="4411" spans="38:38" x14ac:dyDescent="0.25">
      <c r="AL4411" s="6"/>
    </row>
    <row r="4412" spans="38:38" x14ac:dyDescent="0.25">
      <c r="AL4412" s="6"/>
    </row>
    <row r="4413" spans="38:38" x14ac:dyDescent="0.25">
      <c r="AL4413" s="6"/>
    </row>
    <row r="4414" spans="38:38" x14ac:dyDescent="0.25">
      <c r="AL4414" s="6"/>
    </row>
    <row r="4415" spans="38:38" x14ac:dyDescent="0.25">
      <c r="AL4415" s="6"/>
    </row>
    <row r="4416" spans="38:38" x14ac:dyDescent="0.25">
      <c r="AL4416" s="6"/>
    </row>
    <row r="4417" spans="38:38" x14ac:dyDescent="0.25">
      <c r="AL4417" s="6"/>
    </row>
    <row r="4418" spans="38:38" x14ac:dyDescent="0.25">
      <c r="AL4418" s="6"/>
    </row>
    <row r="4419" spans="38:38" x14ac:dyDescent="0.25">
      <c r="AL4419" s="6"/>
    </row>
    <row r="4420" spans="38:38" x14ac:dyDescent="0.25">
      <c r="AL4420" s="6"/>
    </row>
    <row r="4421" spans="38:38" x14ac:dyDescent="0.25">
      <c r="AL4421" s="6"/>
    </row>
    <row r="4422" spans="38:38" x14ac:dyDescent="0.25">
      <c r="AL4422" s="6"/>
    </row>
    <row r="4423" spans="38:38" x14ac:dyDescent="0.25">
      <c r="AL4423" s="6"/>
    </row>
    <row r="4424" spans="38:38" x14ac:dyDescent="0.25">
      <c r="AL4424" s="6"/>
    </row>
    <row r="4425" spans="38:38" x14ac:dyDescent="0.25">
      <c r="AL4425" s="6"/>
    </row>
    <row r="4426" spans="38:38" x14ac:dyDescent="0.25">
      <c r="AL4426" s="6"/>
    </row>
    <row r="4427" spans="38:38" x14ac:dyDescent="0.25">
      <c r="AL4427" s="6"/>
    </row>
    <row r="4428" spans="38:38" x14ac:dyDescent="0.25">
      <c r="AL4428" s="6"/>
    </row>
    <row r="4429" spans="38:38" x14ac:dyDescent="0.25">
      <c r="AL4429" s="6"/>
    </row>
    <row r="4430" spans="38:38" x14ac:dyDescent="0.25">
      <c r="AL4430" s="6"/>
    </row>
    <row r="4431" spans="38:38" x14ac:dyDescent="0.25">
      <c r="AL4431" s="6"/>
    </row>
    <row r="4432" spans="38:38" x14ac:dyDescent="0.25">
      <c r="AL4432" s="6"/>
    </row>
    <row r="4433" spans="38:38" x14ac:dyDescent="0.25">
      <c r="AL4433" s="6"/>
    </row>
    <row r="4434" spans="38:38" x14ac:dyDescent="0.25">
      <c r="AL4434" s="6"/>
    </row>
    <row r="4435" spans="38:38" x14ac:dyDescent="0.25">
      <c r="AL4435" s="6"/>
    </row>
    <row r="4436" spans="38:38" x14ac:dyDescent="0.25">
      <c r="AL4436" s="6"/>
    </row>
    <row r="4437" spans="38:38" x14ac:dyDescent="0.25">
      <c r="AL4437" s="6"/>
    </row>
    <row r="4438" spans="38:38" x14ac:dyDescent="0.25">
      <c r="AL4438" s="6"/>
    </row>
    <row r="4439" spans="38:38" x14ac:dyDescent="0.25">
      <c r="AL4439" s="6"/>
    </row>
    <row r="4440" spans="38:38" x14ac:dyDescent="0.25">
      <c r="AL4440" s="6"/>
    </row>
    <row r="4441" spans="38:38" x14ac:dyDescent="0.25">
      <c r="AL4441" s="6"/>
    </row>
    <row r="4442" spans="38:38" x14ac:dyDescent="0.25">
      <c r="AL4442" s="6"/>
    </row>
    <row r="4443" spans="38:38" x14ac:dyDescent="0.25">
      <c r="AL4443" s="6"/>
    </row>
    <row r="4444" spans="38:38" x14ac:dyDescent="0.25">
      <c r="AL4444" s="6"/>
    </row>
    <row r="4445" spans="38:38" x14ac:dyDescent="0.25">
      <c r="AL4445" s="6"/>
    </row>
    <row r="4446" spans="38:38" x14ac:dyDescent="0.25">
      <c r="AL4446" s="6"/>
    </row>
    <row r="4447" spans="38:38" x14ac:dyDescent="0.25">
      <c r="AL4447" s="6"/>
    </row>
    <row r="4448" spans="38:38" x14ac:dyDescent="0.25">
      <c r="AL4448" s="6"/>
    </row>
    <row r="4449" spans="38:38" x14ac:dyDescent="0.25">
      <c r="AL4449" s="6"/>
    </row>
    <row r="4450" spans="38:38" x14ac:dyDescent="0.25">
      <c r="AL4450" s="6"/>
    </row>
    <row r="4451" spans="38:38" x14ac:dyDescent="0.25">
      <c r="AL4451" s="6"/>
    </row>
    <row r="4452" spans="38:38" x14ac:dyDescent="0.25">
      <c r="AL4452" s="6"/>
    </row>
    <row r="4453" spans="38:38" x14ac:dyDescent="0.25">
      <c r="AL4453" s="6"/>
    </row>
    <row r="4454" spans="38:38" x14ac:dyDescent="0.25">
      <c r="AL4454" s="6"/>
    </row>
    <row r="4455" spans="38:38" x14ac:dyDescent="0.25">
      <c r="AL4455" s="6"/>
    </row>
    <row r="4456" spans="38:38" x14ac:dyDescent="0.25">
      <c r="AL4456" s="6"/>
    </row>
    <row r="4457" spans="38:38" x14ac:dyDescent="0.25">
      <c r="AL4457" s="6"/>
    </row>
    <row r="4458" spans="38:38" x14ac:dyDescent="0.25">
      <c r="AL4458" s="6"/>
    </row>
    <row r="4459" spans="38:38" x14ac:dyDescent="0.25">
      <c r="AL4459" s="6"/>
    </row>
    <row r="4460" spans="38:38" x14ac:dyDescent="0.25">
      <c r="AL4460" s="6"/>
    </row>
    <row r="4461" spans="38:38" x14ac:dyDescent="0.25">
      <c r="AL4461" s="6"/>
    </row>
    <row r="4462" spans="38:38" x14ac:dyDescent="0.25">
      <c r="AL4462" s="6"/>
    </row>
    <row r="4463" spans="38:38" x14ac:dyDescent="0.25">
      <c r="AL4463" s="6"/>
    </row>
    <row r="4464" spans="38:38" x14ac:dyDescent="0.25">
      <c r="AL4464" s="6"/>
    </row>
    <row r="4465" spans="38:38" x14ac:dyDescent="0.25">
      <c r="AL4465" s="6"/>
    </row>
    <row r="4466" spans="38:38" x14ac:dyDescent="0.25">
      <c r="AL4466" s="6"/>
    </row>
    <row r="4467" spans="38:38" x14ac:dyDescent="0.25">
      <c r="AL4467" s="6"/>
    </row>
    <row r="4468" spans="38:38" x14ac:dyDescent="0.25">
      <c r="AL4468" s="6"/>
    </row>
    <row r="4469" spans="38:38" x14ac:dyDescent="0.25">
      <c r="AL4469" s="6"/>
    </row>
    <row r="4470" spans="38:38" x14ac:dyDescent="0.25">
      <c r="AL4470" s="6"/>
    </row>
    <row r="4471" spans="38:38" x14ac:dyDescent="0.25">
      <c r="AL4471" s="6"/>
    </row>
    <row r="4472" spans="38:38" x14ac:dyDescent="0.25">
      <c r="AL4472" s="6"/>
    </row>
    <row r="4473" spans="38:38" x14ac:dyDescent="0.25">
      <c r="AL4473" s="6"/>
    </row>
    <row r="4474" spans="38:38" x14ac:dyDescent="0.25">
      <c r="AL4474" s="6"/>
    </row>
    <row r="4475" spans="38:38" x14ac:dyDescent="0.25">
      <c r="AL4475" s="6"/>
    </row>
    <row r="4476" spans="38:38" x14ac:dyDescent="0.25">
      <c r="AL4476" s="6"/>
    </row>
    <row r="4477" spans="38:38" x14ac:dyDescent="0.25">
      <c r="AL4477" s="6"/>
    </row>
    <row r="4478" spans="38:38" x14ac:dyDescent="0.25">
      <c r="AL4478" s="6"/>
    </row>
    <row r="4479" spans="38:38" x14ac:dyDescent="0.25">
      <c r="AL4479" s="6"/>
    </row>
    <row r="4480" spans="38:38" x14ac:dyDescent="0.25">
      <c r="AL4480" s="6"/>
    </row>
    <row r="4481" spans="38:38" x14ac:dyDescent="0.25">
      <c r="AL4481" s="6"/>
    </row>
    <row r="4482" spans="38:38" x14ac:dyDescent="0.25">
      <c r="AL4482" s="6"/>
    </row>
    <row r="4483" spans="38:38" x14ac:dyDescent="0.25">
      <c r="AL4483" s="6"/>
    </row>
    <row r="4484" spans="38:38" x14ac:dyDescent="0.25">
      <c r="AL4484" s="6"/>
    </row>
    <row r="4485" spans="38:38" x14ac:dyDescent="0.25">
      <c r="AL4485" s="6"/>
    </row>
    <row r="4486" spans="38:38" x14ac:dyDescent="0.25">
      <c r="AL4486" s="6"/>
    </row>
    <row r="4487" spans="38:38" x14ac:dyDescent="0.25">
      <c r="AL4487" s="6"/>
    </row>
    <row r="4488" spans="38:38" x14ac:dyDescent="0.25">
      <c r="AL4488" s="6"/>
    </row>
    <row r="4489" spans="38:38" x14ac:dyDescent="0.25">
      <c r="AL4489" s="6"/>
    </row>
    <row r="4490" spans="38:38" x14ac:dyDescent="0.25">
      <c r="AL4490" s="6"/>
    </row>
    <row r="4491" spans="38:38" x14ac:dyDescent="0.25">
      <c r="AL4491" s="6"/>
    </row>
    <row r="4492" spans="38:38" x14ac:dyDescent="0.25">
      <c r="AL4492" s="6"/>
    </row>
    <row r="4493" spans="38:38" x14ac:dyDescent="0.25">
      <c r="AL4493" s="6"/>
    </row>
    <row r="4494" spans="38:38" x14ac:dyDescent="0.25">
      <c r="AL4494" s="6"/>
    </row>
    <row r="4495" spans="38:38" x14ac:dyDescent="0.25">
      <c r="AL4495" s="6"/>
    </row>
    <row r="4496" spans="38:38" x14ac:dyDescent="0.25">
      <c r="AL4496" s="6"/>
    </row>
    <row r="4497" spans="38:38" x14ac:dyDescent="0.25">
      <c r="AL4497" s="6"/>
    </row>
    <row r="4498" spans="38:38" x14ac:dyDescent="0.25">
      <c r="AL4498" s="6"/>
    </row>
    <row r="4499" spans="38:38" x14ac:dyDescent="0.25">
      <c r="AL4499" s="6"/>
    </row>
    <row r="4500" spans="38:38" x14ac:dyDescent="0.25">
      <c r="AL4500" s="6"/>
    </row>
    <row r="4501" spans="38:38" x14ac:dyDescent="0.25">
      <c r="AL4501" s="6"/>
    </row>
    <row r="4502" spans="38:38" x14ac:dyDescent="0.25">
      <c r="AL4502" s="6"/>
    </row>
    <row r="4503" spans="38:38" x14ac:dyDescent="0.25">
      <c r="AL4503" s="6"/>
    </row>
    <row r="4504" spans="38:38" x14ac:dyDescent="0.25">
      <c r="AL4504" s="6"/>
    </row>
    <row r="4505" spans="38:38" x14ac:dyDescent="0.25">
      <c r="AL4505" s="6"/>
    </row>
    <row r="4506" spans="38:38" x14ac:dyDescent="0.25">
      <c r="AL4506" s="6"/>
    </row>
    <row r="4507" spans="38:38" x14ac:dyDescent="0.25">
      <c r="AL4507" s="6"/>
    </row>
    <row r="4508" spans="38:38" x14ac:dyDescent="0.25">
      <c r="AL4508" s="6"/>
    </row>
    <row r="4509" spans="38:38" x14ac:dyDescent="0.25">
      <c r="AL4509" s="6"/>
    </row>
    <row r="4510" spans="38:38" x14ac:dyDescent="0.25">
      <c r="AL4510" s="6"/>
    </row>
    <row r="4511" spans="38:38" x14ac:dyDescent="0.25">
      <c r="AL4511" s="6"/>
    </row>
    <row r="4512" spans="38:38" x14ac:dyDescent="0.25">
      <c r="AL4512" s="6"/>
    </row>
    <row r="4513" spans="38:38" x14ac:dyDescent="0.25">
      <c r="AL4513" s="6"/>
    </row>
    <row r="4514" spans="38:38" x14ac:dyDescent="0.25">
      <c r="AL4514" s="6"/>
    </row>
    <row r="4515" spans="38:38" x14ac:dyDescent="0.25">
      <c r="AL4515" s="6"/>
    </row>
    <row r="4516" spans="38:38" x14ac:dyDescent="0.25">
      <c r="AL4516" s="6"/>
    </row>
    <row r="4517" spans="38:38" x14ac:dyDescent="0.25">
      <c r="AL4517" s="6"/>
    </row>
    <row r="4518" spans="38:38" x14ac:dyDescent="0.25">
      <c r="AL4518" s="6"/>
    </row>
    <row r="4519" spans="38:38" x14ac:dyDescent="0.25">
      <c r="AL4519" s="6"/>
    </row>
    <row r="4520" spans="38:38" x14ac:dyDescent="0.25">
      <c r="AL4520" s="6"/>
    </row>
    <row r="4521" spans="38:38" x14ac:dyDescent="0.25">
      <c r="AL4521" s="6"/>
    </row>
    <row r="4522" spans="38:38" x14ac:dyDescent="0.25">
      <c r="AL4522" s="6"/>
    </row>
    <row r="4523" spans="38:38" x14ac:dyDescent="0.25">
      <c r="AL4523" s="6"/>
    </row>
    <row r="4524" spans="38:38" x14ac:dyDescent="0.25">
      <c r="AL4524" s="6"/>
    </row>
    <row r="4525" spans="38:38" x14ac:dyDescent="0.25">
      <c r="AL4525" s="6"/>
    </row>
    <row r="4526" spans="38:38" x14ac:dyDescent="0.25">
      <c r="AL4526" s="6"/>
    </row>
    <row r="4527" spans="38:38" x14ac:dyDescent="0.25">
      <c r="AL4527" s="6"/>
    </row>
    <row r="4528" spans="38:38" x14ac:dyDescent="0.25">
      <c r="AL4528" s="6"/>
    </row>
    <row r="4529" spans="38:38" x14ac:dyDescent="0.25">
      <c r="AL4529" s="6"/>
    </row>
    <row r="4530" spans="38:38" x14ac:dyDescent="0.25">
      <c r="AL4530" s="6"/>
    </row>
    <row r="4531" spans="38:38" x14ac:dyDescent="0.25">
      <c r="AL4531" s="6"/>
    </row>
    <row r="4532" spans="38:38" x14ac:dyDescent="0.25">
      <c r="AL4532" s="6"/>
    </row>
    <row r="4533" spans="38:38" x14ac:dyDescent="0.25">
      <c r="AL4533" s="6"/>
    </row>
    <row r="4534" spans="38:38" x14ac:dyDescent="0.25">
      <c r="AL4534" s="6"/>
    </row>
    <row r="4535" spans="38:38" x14ac:dyDescent="0.25">
      <c r="AL4535" s="6"/>
    </row>
    <row r="4536" spans="38:38" x14ac:dyDescent="0.25">
      <c r="AL4536" s="6"/>
    </row>
    <row r="4537" spans="38:38" x14ac:dyDescent="0.25">
      <c r="AL4537" s="6"/>
    </row>
    <row r="4538" spans="38:38" x14ac:dyDescent="0.25">
      <c r="AL4538" s="6"/>
    </row>
    <row r="4539" spans="38:38" x14ac:dyDescent="0.25">
      <c r="AL4539" s="6"/>
    </row>
    <row r="4540" spans="38:38" x14ac:dyDescent="0.25">
      <c r="AL4540" s="6"/>
    </row>
    <row r="4541" spans="38:38" x14ac:dyDescent="0.25">
      <c r="AL4541" s="6"/>
    </row>
    <row r="4542" spans="38:38" x14ac:dyDescent="0.25">
      <c r="AL4542" s="6"/>
    </row>
    <row r="4543" spans="38:38" x14ac:dyDescent="0.25">
      <c r="AL4543" s="6"/>
    </row>
    <row r="4544" spans="38:38" x14ac:dyDescent="0.25">
      <c r="AL4544" s="6"/>
    </row>
    <row r="4545" spans="38:38" x14ac:dyDescent="0.25">
      <c r="AL4545" s="6"/>
    </row>
    <row r="4546" spans="38:38" x14ac:dyDescent="0.25">
      <c r="AL4546" s="6"/>
    </row>
    <row r="4547" spans="38:38" x14ac:dyDescent="0.25">
      <c r="AL4547" s="6"/>
    </row>
    <row r="4548" spans="38:38" x14ac:dyDescent="0.25">
      <c r="AL4548" s="6"/>
    </row>
    <row r="4549" spans="38:38" x14ac:dyDescent="0.25">
      <c r="AL4549" s="6"/>
    </row>
    <row r="4550" spans="38:38" x14ac:dyDescent="0.25">
      <c r="AL4550" s="6"/>
    </row>
    <row r="4551" spans="38:38" x14ac:dyDescent="0.25">
      <c r="AL4551" s="6"/>
    </row>
    <row r="4552" spans="38:38" x14ac:dyDescent="0.25">
      <c r="AL4552" s="6"/>
    </row>
    <row r="4553" spans="38:38" x14ac:dyDescent="0.25">
      <c r="AL4553" s="6"/>
    </row>
    <row r="4554" spans="38:38" x14ac:dyDescent="0.25">
      <c r="AL4554" s="6"/>
    </row>
    <row r="4555" spans="38:38" x14ac:dyDescent="0.25">
      <c r="AL4555" s="6"/>
    </row>
    <row r="4556" spans="38:38" x14ac:dyDescent="0.25">
      <c r="AL4556" s="6"/>
    </row>
    <row r="4557" spans="38:38" x14ac:dyDescent="0.25">
      <c r="AL4557" s="6"/>
    </row>
    <row r="4558" spans="38:38" x14ac:dyDescent="0.25">
      <c r="AL4558" s="6"/>
    </row>
    <row r="4559" spans="38:38" x14ac:dyDescent="0.25">
      <c r="AL4559" s="6"/>
    </row>
    <row r="4560" spans="38:38" x14ac:dyDescent="0.25">
      <c r="AL4560" s="6"/>
    </row>
    <row r="4561" spans="38:38" x14ac:dyDescent="0.25">
      <c r="AL4561" s="6"/>
    </row>
    <row r="4562" spans="38:38" x14ac:dyDescent="0.25">
      <c r="AL4562" s="6"/>
    </row>
    <row r="4563" spans="38:38" x14ac:dyDescent="0.25">
      <c r="AL4563" s="6"/>
    </row>
    <row r="4564" spans="38:38" x14ac:dyDescent="0.25">
      <c r="AL4564" s="6"/>
    </row>
    <row r="4565" spans="38:38" x14ac:dyDescent="0.25">
      <c r="AL4565" s="6"/>
    </row>
    <row r="4566" spans="38:38" x14ac:dyDescent="0.25">
      <c r="AL4566" s="6"/>
    </row>
    <row r="4567" spans="38:38" x14ac:dyDescent="0.25">
      <c r="AL4567" s="6"/>
    </row>
    <row r="4568" spans="38:38" x14ac:dyDescent="0.25">
      <c r="AL4568" s="6"/>
    </row>
    <row r="4569" spans="38:38" x14ac:dyDescent="0.25">
      <c r="AL4569" s="6"/>
    </row>
    <row r="4570" spans="38:38" x14ac:dyDescent="0.25">
      <c r="AL4570" s="6"/>
    </row>
    <row r="4571" spans="38:38" x14ac:dyDescent="0.25">
      <c r="AL4571" s="6"/>
    </row>
    <row r="4572" spans="38:38" x14ac:dyDescent="0.25">
      <c r="AL4572" s="6"/>
    </row>
    <row r="4573" spans="38:38" x14ac:dyDescent="0.25">
      <c r="AL4573" s="6"/>
    </row>
    <row r="4574" spans="38:38" x14ac:dyDescent="0.25">
      <c r="AL4574" s="6"/>
    </row>
    <row r="4575" spans="38:38" x14ac:dyDescent="0.25">
      <c r="AL4575" s="6"/>
    </row>
    <row r="4576" spans="38:38" x14ac:dyDescent="0.25">
      <c r="AL4576" s="6"/>
    </row>
    <row r="4577" spans="38:38" x14ac:dyDescent="0.25">
      <c r="AL4577" s="6"/>
    </row>
    <row r="4578" spans="38:38" x14ac:dyDescent="0.25">
      <c r="AL4578" s="6"/>
    </row>
    <row r="4579" spans="38:38" x14ac:dyDescent="0.25">
      <c r="AL4579" s="6"/>
    </row>
    <row r="4580" spans="38:38" x14ac:dyDescent="0.25">
      <c r="AL4580" s="6"/>
    </row>
    <row r="4581" spans="38:38" x14ac:dyDescent="0.25">
      <c r="AL4581" s="6"/>
    </row>
    <row r="4582" spans="38:38" x14ac:dyDescent="0.25">
      <c r="AL4582" s="6"/>
    </row>
    <row r="4583" spans="38:38" x14ac:dyDescent="0.25">
      <c r="AL4583" s="6"/>
    </row>
    <row r="4584" spans="38:38" x14ac:dyDescent="0.25">
      <c r="AL4584" s="6"/>
    </row>
    <row r="4585" spans="38:38" x14ac:dyDescent="0.25">
      <c r="AL4585" s="6"/>
    </row>
    <row r="4586" spans="38:38" x14ac:dyDescent="0.25">
      <c r="AL4586" s="6"/>
    </row>
    <row r="4587" spans="38:38" x14ac:dyDescent="0.25">
      <c r="AL4587" s="6"/>
    </row>
    <row r="4588" spans="38:38" x14ac:dyDescent="0.25">
      <c r="AL4588" s="6"/>
    </row>
    <row r="4589" spans="38:38" x14ac:dyDescent="0.25">
      <c r="AL4589" s="6"/>
    </row>
    <row r="4590" spans="38:38" x14ac:dyDescent="0.25">
      <c r="AL4590" s="6"/>
    </row>
    <row r="4591" spans="38:38" x14ac:dyDescent="0.25">
      <c r="AL4591" s="6"/>
    </row>
    <row r="4592" spans="38:38" x14ac:dyDescent="0.25">
      <c r="AL4592" s="6"/>
    </row>
    <row r="4593" spans="38:38" x14ac:dyDescent="0.25">
      <c r="AL4593" s="6"/>
    </row>
    <row r="4594" spans="38:38" x14ac:dyDescent="0.25">
      <c r="AL4594" s="6"/>
    </row>
    <row r="4595" spans="38:38" x14ac:dyDescent="0.25">
      <c r="AL4595" s="6"/>
    </row>
    <row r="4596" spans="38:38" x14ac:dyDescent="0.25">
      <c r="AL4596" s="6"/>
    </row>
    <row r="4597" spans="38:38" x14ac:dyDescent="0.25">
      <c r="AL4597" s="6"/>
    </row>
    <row r="4598" spans="38:38" x14ac:dyDescent="0.25">
      <c r="AL4598" s="6"/>
    </row>
    <row r="4599" spans="38:38" x14ac:dyDescent="0.25">
      <c r="AL4599" s="6"/>
    </row>
    <row r="4600" spans="38:38" x14ac:dyDescent="0.25">
      <c r="AL4600" s="6"/>
    </row>
    <row r="4601" spans="38:38" x14ac:dyDescent="0.25">
      <c r="AL4601" s="6"/>
    </row>
    <row r="4602" spans="38:38" x14ac:dyDescent="0.25">
      <c r="AL4602" s="6"/>
    </row>
    <row r="4603" spans="38:38" x14ac:dyDescent="0.25">
      <c r="AL4603" s="6"/>
    </row>
    <row r="4604" spans="38:38" x14ac:dyDescent="0.25">
      <c r="AL4604" s="6"/>
    </row>
    <row r="4605" spans="38:38" x14ac:dyDescent="0.25">
      <c r="AL4605" s="6"/>
    </row>
    <row r="4606" spans="38:38" x14ac:dyDescent="0.25">
      <c r="AL4606" s="6"/>
    </row>
    <row r="4607" spans="38:38" x14ac:dyDescent="0.25">
      <c r="AL4607" s="6"/>
    </row>
    <row r="4608" spans="38:38" x14ac:dyDescent="0.25">
      <c r="AL4608" s="6"/>
    </row>
    <row r="4609" spans="38:38" x14ac:dyDescent="0.25">
      <c r="AL4609" s="6"/>
    </row>
    <row r="4610" spans="38:38" x14ac:dyDescent="0.25">
      <c r="AL4610" s="6"/>
    </row>
    <row r="4611" spans="38:38" x14ac:dyDescent="0.25">
      <c r="AL4611" s="6"/>
    </row>
    <row r="4612" spans="38:38" x14ac:dyDescent="0.25">
      <c r="AL4612" s="6"/>
    </row>
    <row r="4613" spans="38:38" x14ac:dyDescent="0.25">
      <c r="AL4613" s="6"/>
    </row>
    <row r="4614" spans="38:38" x14ac:dyDescent="0.25">
      <c r="AL4614" s="6"/>
    </row>
    <row r="4615" spans="38:38" x14ac:dyDescent="0.25">
      <c r="AL4615" s="6"/>
    </row>
    <row r="4616" spans="38:38" x14ac:dyDescent="0.25">
      <c r="AL4616" s="6"/>
    </row>
    <row r="4617" spans="38:38" x14ac:dyDescent="0.25">
      <c r="AL4617" s="6"/>
    </row>
    <row r="4618" spans="38:38" x14ac:dyDescent="0.25">
      <c r="AL4618" s="6"/>
    </row>
    <row r="4619" spans="38:38" x14ac:dyDescent="0.25">
      <c r="AL4619" s="6"/>
    </row>
    <row r="4620" spans="38:38" x14ac:dyDescent="0.25">
      <c r="AL4620" s="6"/>
    </row>
    <row r="4621" spans="38:38" x14ac:dyDescent="0.25">
      <c r="AL4621" s="6"/>
    </row>
    <row r="4622" spans="38:38" x14ac:dyDescent="0.25">
      <c r="AL4622" s="6"/>
    </row>
    <row r="4623" spans="38:38" x14ac:dyDescent="0.25">
      <c r="AL4623" s="6"/>
    </row>
    <row r="4624" spans="38:38" x14ac:dyDescent="0.25">
      <c r="AL4624" s="6"/>
    </row>
    <row r="4625" spans="38:38" x14ac:dyDescent="0.25">
      <c r="AL4625" s="6"/>
    </row>
    <row r="4626" spans="38:38" x14ac:dyDescent="0.25">
      <c r="AL4626" s="6"/>
    </row>
    <row r="4627" spans="38:38" x14ac:dyDescent="0.25">
      <c r="AL4627" s="6"/>
    </row>
    <row r="4628" spans="38:38" x14ac:dyDescent="0.25">
      <c r="AL4628" s="6"/>
    </row>
    <row r="4629" spans="38:38" x14ac:dyDescent="0.25">
      <c r="AL4629" s="6"/>
    </row>
    <row r="4630" spans="38:38" x14ac:dyDescent="0.25">
      <c r="AL4630" s="6"/>
    </row>
    <row r="4631" spans="38:38" x14ac:dyDescent="0.25">
      <c r="AL4631" s="6"/>
    </row>
    <row r="4632" spans="38:38" x14ac:dyDescent="0.25">
      <c r="AL4632" s="6"/>
    </row>
    <row r="4633" spans="38:38" x14ac:dyDescent="0.25">
      <c r="AL4633" s="6"/>
    </row>
    <row r="4634" spans="38:38" x14ac:dyDescent="0.25">
      <c r="AL4634" s="6"/>
    </row>
    <row r="4635" spans="38:38" x14ac:dyDescent="0.25">
      <c r="AL4635" s="6"/>
    </row>
    <row r="4636" spans="38:38" x14ac:dyDescent="0.25">
      <c r="AL4636" s="6"/>
    </row>
    <row r="4637" spans="38:38" x14ac:dyDescent="0.25">
      <c r="AL4637" s="6"/>
    </row>
    <row r="4638" spans="38:38" x14ac:dyDescent="0.25">
      <c r="AL4638" s="6"/>
    </row>
    <row r="4639" spans="38:38" x14ac:dyDescent="0.25">
      <c r="AL4639" s="6"/>
    </row>
    <row r="4640" spans="38:38" x14ac:dyDescent="0.25">
      <c r="AL4640" s="6"/>
    </row>
    <row r="4641" spans="38:38" x14ac:dyDescent="0.25">
      <c r="AL4641" s="6"/>
    </row>
    <row r="4642" spans="38:38" x14ac:dyDescent="0.25">
      <c r="AL4642" s="6"/>
    </row>
    <row r="4643" spans="38:38" x14ac:dyDescent="0.25">
      <c r="AL4643" s="6"/>
    </row>
    <row r="4644" spans="38:38" x14ac:dyDescent="0.25">
      <c r="AL4644" s="6"/>
    </row>
    <row r="4645" spans="38:38" x14ac:dyDescent="0.25">
      <c r="AL4645" s="6"/>
    </row>
    <row r="4646" spans="38:38" x14ac:dyDescent="0.25">
      <c r="AL4646" s="6"/>
    </row>
    <row r="4647" spans="38:38" x14ac:dyDescent="0.25">
      <c r="AL4647" s="6"/>
    </row>
    <row r="4648" spans="38:38" x14ac:dyDescent="0.25">
      <c r="AL4648" s="6"/>
    </row>
    <row r="4649" spans="38:38" x14ac:dyDescent="0.25">
      <c r="AL4649" s="6"/>
    </row>
    <row r="4650" spans="38:38" x14ac:dyDescent="0.25">
      <c r="AL4650" s="6"/>
    </row>
    <row r="4651" spans="38:38" x14ac:dyDescent="0.25">
      <c r="AL4651" s="6"/>
    </row>
    <row r="4652" spans="38:38" x14ac:dyDescent="0.25">
      <c r="AL4652" s="6"/>
    </row>
    <row r="4653" spans="38:38" x14ac:dyDescent="0.25">
      <c r="AL4653" s="6"/>
    </row>
    <row r="4654" spans="38:38" x14ac:dyDescent="0.25">
      <c r="AL4654" s="6"/>
    </row>
    <row r="4655" spans="38:38" x14ac:dyDescent="0.25">
      <c r="AL4655" s="6"/>
    </row>
    <row r="4656" spans="38:38" x14ac:dyDescent="0.25">
      <c r="AL4656" s="6"/>
    </row>
    <row r="4657" spans="38:38" x14ac:dyDescent="0.25">
      <c r="AL4657" s="6"/>
    </row>
    <row r="4658" spans="38:38" x14ac:dyDescent="0.25">
      <c r="AL4658" s="6"/>
    </row>
    <row r="4659" spans="38:38" x14ac:dyDescent="0.25">
      <c r="AL4659" s="6"/>
    </row>
    <row r="4660" spans="38:38" x14ac:dyDescent="0.25">
      <c r="AL4660" s="6"/>
    </row>
    <row r="4661" spans="38:38" x14ac:dyDescent="0.25">
      <c r="AL4661" s="6"/>
    </row>
    <row r="4662" spans="38:38" x14ac:dyDescent="0.25">
      <c r="AL4662" s="6"/>
    </row>
    <row r="4663" spans="38:38" x14ac:dyDescent="0.25">
      <c r="AL4663" s="6"/>
    </row>
    <row r="4664" spans="38:38" x14ac:dyDescent="0.25">
      <c r="AL4664" s="6"/>
    </row>
    <row r="4665" spans="38:38" x14ac:dyDescent="0.25">
      <c r="AL4665" s="6"/>
    </row>
    <row r="4666" spans="38:38" x14ac:dyDescent="0.25">
      <c r="AL4666" s="6"/>
    </row>
    <row r="4667" spans="38:38" x14ac:dyDescent="0.25">
      <c r="AL4667" s="6"/>
    </row>
    <row r="4668" spans="38:38" x14ac:dyDescent="0.25">
      <c r="AL4668" s="6"/>
    </row>
    <row r="4669" spans="38:38" x14ac:dyDescent="0.25">
      <c r="AL4669" s="6"/>
    </row>
    <row r="4670" spans="38:38" x14ac:dyDescent="0.25">
      <c r="AL4670" s="6"/>
    </row>
    <row r="4671" spans="38:38" x14ac:dyDescent="0.25">
      <c r="AL4671" s="6"/>
    </row>
    <row r="4672" spans="38:38" x14ac:dyDescent="0.25">
      <c r="AL4672" s="6"/>
    </row>
    <row r="4673" spans="38:38" x14ac:dyDescent="0.25">
      <c r="AL4673" s="6"/>
    </row>
    <row r="4674" spans="38:38" x14ac:dyDescent="0.25">
      <c r="AL4674" s="6"/>
    </row>
    <row r="4675" spans="38:38" x14ac:dyDescent="0.25">
      <c r="AL4675" s="6"/>
    </row>
    <row r="4676" spans="38:38" x14ac:dyDescent="0.25">
      <c r="AL4676" s="6"/>
    </row>
    <row r="4677" spans="38:38" x14ac:dyDescent="0.25">
      <c r="AL4677" s="6"/>
    </row>
    <row r="4678" spans="38:38" x14ac:dyDescent="0.25">
      <c r="AL4678" s="6"/>
    </row>
    <row r="4679" spans="38:38" x14ac:dyDescent="0.25">
      <c r="AL4679" s="6"/>
    </row>
    <row r="4680" spans="38:38" x14ac:dyDescent="0.25">
      <c r="AL4680" s="6"/>
    </row>
    <row r="4681" spans="38:38" x14ac:dyDescent="0.25">
      <c r="AL4681" s="6"/>
    </row>
    <row r="4682" spans="38:38" x14ac:dyDescent="0.25">
      <c r="AL4682" s="6"/>
    </row>
    <row r="4683" spans="38:38" x14ac:dyDescent="0.25">
      <c r="AL4683" s="6"/>
    </row>
    <row r="4684" spans="38:38" x14ac:dyDescent="0.25">
      <c r="AL4684" s="6"/>
    </row>
    <row r="4685" spans="38:38" x14ac:dyDescent="0.25">
      <c r="AL4685" s="6"/>
    </row>
    <row r="4686" spans="38:38" x14ac:dyDescent="0.25">
      <c r="AL4686" s="6"/>
    </row>
    <row r="4687" spans="38:38" x14ac:dyDescent="0.25">
      <c r="AL4687" s="6"/>
    </row>
    <row r="4688" spans="38:38" x14ac:dyDescent="0.25">
      <c r="AL4688" s="6"/>
    </row>
    <row r="4689" spans="38:38" x14ac:dyDescent="0.25">
      <c r="AL4689" s="6"/>
    </row>
    <row r="4690" spans="38:38" x14ac:dyDescent="0.25">
      <c r="AL4690" s="6"/>
    </row>
    <row r="4691" spans="38:38" x14ac:dyDescent="0.25">
      <c r="AL4691" s="6"/>
    </row>
    <row r="4692" spans="38:38" x14ac:dyDescent="0.25">
      <c r="AL4692" s="6"/>
    </row>
    <row r="4693" spans="38:38" x14ac:dyDescent="0.25">
      <c r="AL4693" s="6"/>
    </row>
    <row r="4694" spans="38:38" x14ac:dyDescent="0.25">
      <c r="AL4694" s="6"/>
    </row>
    <row r="4695" spans="38:38" x14ac:dyDescent="0.25">
      <c r="AL4695" s="6"/>
    </row>
    <row r="4696" spans="38:38" x14ac:dyDescent="0.25">
      <c r="AL4696" s="6"/>
    </row>
    <row r="4697" spans="38:38" x14ac:dyDescent="0.25">
      <c r="AL4697" s="6"/>
    </row>
    <row r="4698" spans="38:38" x14ac:dyDescent="0.25">
      <c r="AL4698" s="6"/>
    </row>
    <row r="4699" spans="38:38" x14ac:dyDescent="0.25">
      <c r="AL4699" s="6"/>
    </row>
    <row r="4700" spans="38:38" x14ac:dyDescent="0.25">
      <c r="AL4700" s="6"/>
    </row>
    <row r="4701" spans="38:38" x14ac:dyDescent="0.25">
      <c r="AL4701" s="6"/>
    </row>
    <row r="4702" spans="38:38" x14ac:dyDescent="0.25">
      <c r="AL4702" s="6"/>
    </row>
    <row r="4703" spans="38:38" x14ac:dyDescent="0.25">
      <c r="AL4703" s="6"/>
    </row>
    <row r="4704" spans="38:38" x14ac:dyDescent="0.25">
      <c r="AL4704" s="6"/>
    </row>
    <row r="4705" spans="38:38" x14ac:dyDescent="0.25">
      <c r="AL4705" s="6"/>
    </row>
    <row r="4706" spans="38:38" x14ac:dyDescent="0.25">
      <c r="AL4706" s="6"/>
    </row>
    <row r="4707" spans="38:38" x14ac:dyDescent="0.25">
      <c r="AL4707" s="6"/>
    </row>
    <row r="4708" spans="38:38" x14ac:dyDescent="0.25">
      <c r="AL4708" s="6"/>
    </row>
    <row r="4709" spans="38:38" x14ac:dyDescent="0.25">
      <c r="AL4709" s="6"/>
    </row>
    <row r="4710" spans="38:38" x14ac:dyDescent="0.25">
      <c r="AL4710" s="6"/>
    </row>
    <row r="4711" spans="38:38" x14ac:dyDescent="0.25">
      <c r="AL4711" s="6"/>
    </row>
    <row r="4712" spans="38:38" x14ac:dyDescent="0.25">
      <c r="AL4712" s="6"/>
    </row>
    <row r="4713" spans="38:38" x14ac:dyDescent="0.25">
      <c r="AL4713" s="6"/>
    </row>
    <row r="4714" spans="38:38" x14ac:dyDescent="0.25">
      <c r="AL4714" s="6"/>
    </row>
    <row r="4715" spans="38:38" x14ac:dyDescent="0.25">
      <c r="AL4715" s="6"/>
    </row>
    <row r="4716" spans="38:38" x14ac:dyDescent="0.25">
      <c r="AL4716" s="6"/>
    </row>
    <row r="4717" spans="38:38" x14ac:dyDescent="0.25">
      <c r="AL4717" s="6"/>
    </row>
    <row r="4718" spans="38:38" x14ac:dyDescent="0.25">
      <c r="AL4718" s="6"/>
    </row>
    <row r="4719" spans="38:38" x14ac:dyDescent="0.25">
      <c r="AL4719" s="6"/>
    </row>
    <row r="4720" spans="38:38" x14ac:dyDescent="0.25">
      <c r="AL4720" s="6"/>
    </row>
    <row r="4721" spans="38:38" x14ac:dyDescent="0.25">
      <c r="AL4721" s="6"/>
    </row>
    <row r="4722" spans="38:38" x14ac:dyDescent="0.25">
      <c r="AL4722" s="6"/>
    </row>
    <row r="4723" spans="38:38" x14ac:dyDescent="0.25">
      <c r="AL4723" s="6"/>
    </row>
    <row r="4724" spans="38:38" x14ac:dyDescent="0.25">
      <c r="AL4724" s="6"/>
    </row>
    <row r="4725" spans="38:38" x14ac:dyDescent="0.25">
      <c r="AL4725" s="6"/>
    </row>
    <row r="4726" spans="38:38" x14ac:dyDescent="0.25">
      <c r="AL4726" s="6"/>
    </row>
    <row r="4727" spans="38:38" x14ac:dyDescent="0.25">
      <c r="AL4727" s="6"/>
    </row>
    <row r="4728" spans="38:38" x14ac:dyDescent="0.25">
      <c r="AL4728" s="6"/>
    </row>
    <row r="4729" spans="38:38" x14ac:dyDescent="0.25">
      <c r="AL4729" s="6"/>
    </row>
    <row r="4730" spans="38:38" x14ac:dyDescent="0.25">
      <c r="AL4730" s="6"/>
    </row>
    <row r="4731" spans="38:38" x14ac:dyDescent="0.25">
      <c r="AL4731" s="6"/>
    </row>
    <row r="4732" spans="38:38" x14ac:dyDescent="0.25">
      <c r="AL4732" s="6"/>
    </row>
    <row r="4733" spans="38:38" x14ac:dyDescent="0.25">
      <c r="AL4733" s="6"/>
    </row>
    <row r="4734" spans="38:38" x14ac:dyDescent="0.25">
      <c r="AL4734" s="6"/>
    </row>
    <row r="4735" spans="38:38" x14ac:dyDescent="0.25">
      <c r="AL4735" s="6"/>
    </row>
    <row r="4736" spans="38:38" x14ac:dyDescent="0.25">
      <c r="AL4736" s="6"/>
    </row>
    <row r="4737" spans="38:38" x14ac:dyDescent="0.25">
      <c r="AL4737" s="6"/>
    </row>
    <row r="4738" spans="38:38" x14ac:dyDescent="0.25">
      <c r="AL4738" s="6"/>
    </row>
    <row r="4739" spans="38:38" x14ac:dyDescent="0.25">
      <c r="AL4739" s="6"/>
    </row>
    <row r="4740" spans="38:38" x14ac:dyDescent="0.25">
      <c r="AL4740" s="6"/>
    </row>
    <row r="4741" spans="38:38" x14ac:dyDescent="0.25">
      <c r="AL4741" s="6"/>
    </row>
    <row r="4742" spans="38:38" x14ac:dyDescent="0.25">
      <c r="AL4742" s="6"/>
    </row>
    <row r="4743" spans="38:38" x14ac:dyDescent="0.25">
      <c r="AL4743" s="6"/>
    </row>
    <row r="4744" spans="38:38" x14ac:dyDescent="0.25">
      <c r="AL4744" s="6"/>
    </row>
    <row r="4745" spans="38:38" x14ac:dyDescent="0.25">
      <c r="AL4745" s="6"/>
    </row>
    <row r="4746" spans="38:38" x14ac:dyDescent="0.25">
      <c r="AL4746" s="6"/>
    </row>
    <row r="4747" spans="38:38" x14ac:dyDescent="0.25">
      <c r="AL4747" s="6"/>
    </row>
    <row r="4748" spans="38:38" x14ac:dyDescent="0.25">
      <c r="AL4748" s="6"/>
    </row>
    <row r="4749" spans="38:38" x14ac:dyDescent="0.25">
      <c r="AL4749" s="6"/>
    </row>
    <row r="4750" spans="38:38" x14ac:dyDescent="0.25">
      <c r="AL4750" s="6"/>
    </row>
    <row r="4751" spans="38:38" x14ac:dyDescent="0.25">
      <c r="AL4751" s="6"/>
    </row>
    <row r="4752" spans="38:38" x14ac:dyDescent="0.25">
      <c r="AL4752" s="6"/>
    </row>
    <row r="4753" spans="38:38" x14ac:dyDescent="0.25">
      <c r="AL4753" s="6"/>
    </row>
    <row r="4754" spans="38:38" x14ac:dyDescent="0.25">
      <c r="AL4754" s="6"/>
    </row>
    <row r="4755" spans="38:38" x14ac:dyDescent="0.25">
      <c r="AL4755" s="6"/>
    </row>
    <row r="4756" spans="38:38" x14ac:dyDescent="0.25">
      <c r="AL4756" s="6"/>
    </row>
    <row r="4757" spans="38:38" x14ac:dyDescent="0.25">
      <c r="AL4757" s="6"/>
    </row>
    <row r="4758" spans="38:38" x14ac:dyDescent="0.25">
      <c r="AL4758" s="6"/>
    </row>
    <row r="4759" spans="38:38" x14ac:dyDescent="0.25">
      <c r="AL4759" s="6"/>
    </row>
    <row r="4760" spans="38:38" x14ac:dyDescent="0.25">
      <c r="AL4760" s="6"/>
    </row>
    <row r="4761" spans="38:38" x14ac:dyDescent="0.25">
      <c r="AL4761" s="6"/>
    </row>
    <row r="4762" spans="38:38" x14ac:dyDescent="0.25">
      <c r="AL4762" s="6"/>
    </row>
    <row r="4763" spans="38:38" x14ac:dyDescent="0.25">
      <c r="AL4763" s="6"/>
    </row>
    <row r="4764" spans="38:38" x14ac:dyDescent="0.25">
      <c r="AL4764" s="6"/>
    </row>
    <row r="4765" spans="38:38" x14ac:dyDescent="0.25">
      <c r="AL4765" s="6"/>
    </row>
    <row r="4766" spans="38:38" x14ac:dyDescent="0.25">
      <c r="AL4766" s="6"/>
    </row>
    <row r="4767" spans="38:38" x14ac:dyDescent="0.25">
      <c r="AL4767" s="6"/>
    </row>
    <row r="4768" spans="38:38" x14ac:dyDescent="0.25">
      <c r="AL4768" s="6"/>
    </row>
    <row r="4769" spans="38:38" x14ac:dyDescent="0.25">
      <c r="AL4769" s="6"/>
    </row>
    <row r="4770" spans="38:38" x14ac:dyDescent="0.25">
      <c r="AL4770" s="6"/>
    </row>
    <row r="4771" spans="38:38" x14ac:dyDescent="0.25">
      <c r="AL4771" s="6"/>
    </row>
    <row r="4772" spans="38:38" x14ac:dyDescent="0.25">
      <c r="AL4772" s="6"/>
    </row>
    <row r="4773" spans="38:38" x14ac:dyDescent="0.25">
      <c r="AL4773" s="6"/>
    </row>
    <row r="4774" spans="38:38" x14ac:dyDescent="0.25">
      <c r="AL4774" s="6"/>
    </row>
    <row r="4775" spans="38:38" x14ac:dyDescent="0.25">
      <c r="AL4775" s="6"/>
    </row>
    <row r="4776" spans="38:38" x14ac:dyDescent="0.25">
      <c r="AL4776" s="6"/>
    </row>
    <row r="4777" spans="38:38" x14ac:dyDescent="0.25">
      <c r="AL4777" s="6"/>
    </row>
    <row r="4778" spans="38:38" x14ac:dyDescent="0.25">
      <c r="AL4778" s="6"/>
    </row>
    <row r="4779" spans="38:38" x14ac:dyDescent="0.25">
      <c r="AL4779" s="6"/>
    </row>
    <row r="4780" spans="38:38" x14ac:dyDescent="0.25">
      <c r="AL4780" s="6"/>
    </row>
    <row r="4781" spans="38:38" x14ac:dyDescent="0.25">
      <c r="AL4781" s="6"/>
    </row>
    <row r="4782" spans="38:38" x14ac:dyDescent="0.25">
      <c r="AL4782" s="6"/>
    </row>
    <row r="4783" spans="38:38" x14ac:dyDescent="0.25">
      <c r="AL4783" s="6"/>
    </row>
    <row r="4784" spans="38:38" x14ac:dyDescent="0.25">
      <c r="AL4784" s="6"/>
    </row>
    <row r="4785" spans="38:38" x14ac:dyDescent="0.25">
      <c r="AL4785" s="6"/>
    </row>
    <row r="4786" spans="38:38" x14ac:dyDescent="0.25">
      <c r="AL4786" s="6"/>
    </row>
    <row r="4787" spans="38:38" x14ac:dyDescent="0.25">
      <c r="AL4787" s="6"/>
    </row>
    <row r="4788" spans="38:38" x14ac:dyDescent="0.25">
      <c r="AL4788" s="6"/>
    </row>
    <row r="4789" spans="38:38" x14ac:dyDescent="0.25">
      <c r="AL4789" s="6"/>
    </row>
    <row r="4790" spans="38:38" x14ac:dyDescent="0.25">
      <c r="AL4790" s="6"/>
    </row>
    <row r="4791" spans="38:38" x14ac:dyDescent="0.25">
      <c r="AL4791" s="6"/>
    </row>
    <row r="4792" spans="38:38" x14ac:dyDescent="0.25">
      <c r="AL4792" s="6"/>
    </row>
    <row r="4793" spans="38:38" x14ac:dyDescent="0.25">
      <c r="AL4793" s="6"/>
    </row>
    <row r="4794" spans="38:38" x14ac:dyDescent="0.25">
      <c r="AL4794" s="6"/>
    </row>
    <row r="4795" spans="38:38" x14ac:dyDescent="0.25">
      <c r="AL4795" s="6"/>
    </row>
    <row r="4796" spans="38:38" x14ac:dyDescent="0.25">
      <c r="AL4796" s="6"/>
    </row>
    <row r="4797" spans="38:38" x14ac:dyDescent="0.25">
      <c r="AL4797" s="6"/>
    </row>
    <row r="4798" spans="38:38" x14ac:dyDescent="0.25">
      <c r="AL4798" s="6"/>
    </row>
    <row r="4799" spans="38:38" x14ac:dyDescent="0.25">
      <c r="AL4799" s="6"/>
    </row>
    <row r="4800" spans="38:38" x14ac:dyDescent="0.25">
      <c r="AL4800" s="6"/>
    </row>
    <row r="4801" spans="38:38" x14ac:dyDescent="0.25">
      <c r="AL4801" s="6"/>
    </row>
    <row r="4802" spans="38:38" x14ac:dyDescent="0.25">
      <c r="AL4802" s="6"/>
    </row>
    <row r="4803" spans="38:38" x14ac:dyDescent="0.25">
      <c r="AL4803" s="6"/>
    </row>
    <row r="4804" spans="38:38" x14ac:dyDescent="0.25">
      <c r="AL4804" s="6"/>
    </row>
    <row r="4805" spans="38:38" x14ac:dyDescent="0.25">
      <c r="AL4805" s="6"/>
    </row>
    <row r="4806" spans="38:38" x14ac:dyDescent="0.25">
      <c r="AL4806" s="6"/>
    </row>
    <row r="4807" spans="38:38" x14ac:dyDescent="0.25">
      <c r="AL4807" s="6"/>
    </row>
    <row r="4808" spans="38:38" x14ac:dyDescent="0.25">
      <c r="AL4808" s="6"/>
    </row>
    <row r="4809" spans="38:38" x14ac:dyDescent="0.25">
      <c r="AL4809" s="6"/>
    </row>
    <row r="4810" spans="38:38" x14ac:dyDescent="0.25">
      <c r="AL4810" s="6"/>
    </row>
    <row r="4811" spans="38:38" x14ac:dyDescent="0.25">
      <c r="AL4811" s="6"/>
    </row>
    <row r="4812" spans="38:38" x14ac:dyDescent="0.25">
      <c r="AL4812" s="6"/>
    </row>
    <row r="4813" spans="38:38" x14ac:dyDescent="0.25">
      <c r="AL4813" s="6"/>
    </row>
    <row r="4814" spans="38:38" x14ac:dyDescent="0.25">
      <c r="AL4814" s="6"/>
    </row>
    <row r="4815" spans="38:38" x14ac:dyDescent="0.25">
      <c r="AL4815" s="6"/>
    </row>
    <row r="4816" spans="38:38" x14ac:dyDescent="0.25">
      <c r="AL4816" s="6"/>
    </row>
    <row r="4817" spans="38:38" x14ac:dyDescent="0.25">
      <c r="AL4817" s="6"/>
    </row>
    <row r="4818" spans="38:38" x14ac:dyDescent="0.25">
      <c r="AL4818" s="6"/>
    </row>
    <row r="4819" spans="38:38" x14ac:dyDescent="0.25">
      <c r="AL4819" s="6"/>
    </row>
    <row r="4820" spans="38:38" x14ac:dyDescent="0.25">
      <c r="AL4820" s="6"/>
    </row>
    <row r="4821" spans="38:38" x14ac:dyDescent="0.25">
      <c r="AL4821" s="6"/>
    </row>
    <row r="4822" spans="38:38" x14ac:dyDescent="0.25">
      <c r="AL4822" s="6"/>
    </row>
    <row r="4823" spans="38:38" x14ac:dyDescent="0.25">
      <c r="AL4823" s="6"/>
    </row>
    <row r="4824" spans="38:38" x14ac:dyDescent="0.25">
      <c r="AL4824" s="6"/>
    </row>
    <row r="4825" spans="38:38" x14ac:dyDescent="0.25">
      <c r="AL4825" s="6"/>
    </row>
    <row r="4826" spans="38:38" x14ac:dyDescent="0.25">
      <c r="AL4826" s="6"/>
    </row>
    <row r="4827" spans="38:38" x14ac:dyDescent="0.25">
      <c r="AL4827" s="6"/>
    </row>
    <row r="4828" spans="38:38" x14ac:dyDescent="0.25">
      <c r="AL4828" s="6"/>
    </row>
    <row r="4829" spans="38:38" x14ac:dyDescent="0.25">
      <c r="AL4829" s="6"/>
    </row>
    <row r="4830" spans="38:38" x14ac:dyDescent="0.25">
      <c r="AL4830" s="6"/>
    </row>
    <row r="4831" spans="38:38" x14ac:dyDescent="0.25">
      <c r="AL4831" s="6"/>
    </row>
    <row r="4832" spans="38:38" x14ac:dyDescent="0.25">
      <c r="AL4832" s="6"/>
    </row>
    <row r="4833" spans="38:38" x14ac:dyDescent="0.25">
      <c r="AL4833" s="6"/>
    </row>
    <row r="4834" spans="38:38" x14ac:dyDescent="0.25">
      <c r="AL4834" s="6"/>
    </row>
    <row r="4835" spans="38:38" x14ac:dyDescent="0.25">
      <c r="AL4835" s="6"/>
    </row>
    <row r="4836" spans="38:38" x14ac:dyDescent="0.25">
      <c r="AL4836" s="6"/>
    </row>
    <row r="4837" spans="38:38" x14ac:dyDescent="0.25">
      <c r="AL4837" s="6"/>
    </row>
    <row r="4838" spans="38:38" x14ac:dyDescent="0.25">
      <c r="AL4838" s="6"/>
    </row>
    <row r="4839" spans="38:38" x14ac:dyDescent="0.25">
      <c r="AL4839" s="6"/>
    </row>
    <row r="4840" spans="38:38" x14ac:dyDescent="0.25">
      <c r="AL4840" s="6"/>
    </row>
    <row r="4841" spans="38:38" x14ac:dyDescent="0.25">
      <c r="AL4841" s="6"/>
    </row>
    <row r="4842" spans="38:38" x14ac:dyDescent="0.25">
      <c r="AL4842" s="6"/>
    </row>
    <row r="4843" spans="38:38" x14ac:dyDescent="0.25">
      <c r="AL4843" s="6"/>
    </row>
    <row r="4844" spans="38:38" x14ac:dyDescent="0.25">
      <c r="AL4844" s="6"/>
    </row>
    <row r="4845" spans="38:38" x14ac:dyDescent="0.25">
      <c r="AL4845" s="6"/>
    </row>
    <row r="4846" spans="38:38" x14ac:dyDescent="0.25">
      <c r="AL4846" s="6"/>
    </row>
    <row r="4847" spans="38:38" x14ac:dyDescent="0.25">
      <c r="AL4847" s="6"/>
    </row>
    <row r="4848" spans="38:38" x14ac:dyDescent="0.25">
      <c r="AL4848" s="6"/>
    </row>
    <row r="4849" spans="38:38" x14ac:dyDescent="0.25">
      <c r="AL4849" s="6"/>
    </row>
    <row r="4850" spans="38:38" x14ac:dyDescent="0.25">
      <c r="AL4850" s="6"/>
    </row>
    <row r="4851" spans="38:38" x14ac:dyDescent="0.25">
      <c r="AL4851" s="6"/>
    </row>
    <row r="4852" spans="38:38" x14ac:dyDescent="0.25">
      <c r="AL4852" s="6"/>
    </row>
    <row r="4853" spans="38:38" x14ac:dyDescent="0.25">
      <c r="AL4853" s="6"/>
    </row>
    <row r="4854" spans="38:38" x14ac:dyDescent="0.25">
      <c r="AL4854" s="6"/>
    </row>
    <row r="4855" spans="38:38" x14ac:dyDescent="0.25">
      <c r="AL4855" s="6"/>
    </row>
    <row r="4856" spans="38:38" x14ac:dyDescent="0.25">
      <c r="AL4856" s="6"/>
    </row>
    <row r="4857" spans="38:38" x14ac:dyDescent="0.25">
      <c r="AL4857" s="6"/>
    </row>
    <row r="4858" spans="38:38" x14ac:dyDescent="0.25">
      <c r="AL4858" s="6"/>
    </row>
    <row r="4859" spans="38:38" x14ac:dyDescent="0.25">
      <c r="AL4859" s="6"/>
    </row>
    <row r="4860" spans="38:38" x14ac:dyDescent="0.25">
      <c r="AL4860" s="6"/>
    </row>
    <row r="4861" spans="38:38" x14ac:dyDescent="0.25">
      <c r="AL4861" s="6"/>
    </row>
    <row r="4862" spans="38:38" x14ac:dyDescent="0.25">
      <c r="AL4862" s="6"/>
    </row>
    <row r="4863" spans="38:38" x14ac:dyDescent="0.25">
      <c r="AL4863" s="6"/>
    </row>
    <row r="4864" spans="38:38" x14ac:dyDescent="0.25">
      <c r="AL4864" s="6"/>
    </row>
    <row r="4865" spans="38:38" x14ac:dyDescent="0.25">
      <c r="AL4865" s="6"/>
    </row>
    <row r="4866" spans="38:38" x14ac:dyDescent="0.25">
      <c r="AL4866" s="6"/>
    </row>
    <row r="4867" spans="38:38" x14ac:dyDescent="0.25">
      <c r="AL4867" s="6"/>
    </row>
    <row r="4868" spans="38:38" x14ac:dyDescent="0.25">
      <c r="AL4868" s="6"/>
    </row>
    <row r="4869" spans="38:38" x14ac:dyDescent="0.25">
      <c r="AL4869" s="6"/>
    </row>
    <row r="4870" spans="38:38" x14ac:dyDescent="0.25">
      <c r="AL4870" s="6"/>
    </row>
    <row r="4871" spans="38:38" x14ac:dyDescent="0.25">
      <c r="AL4871" s="6"/>
    </row>
    <row r="4872" spans="38:38" x14ac:dyDescent="0.25">
      <c r="AL4872" s="6"/>
    </row>
    <row r="4873" spans="38:38" x14ac:dyDescent="0.25">
      <c r="AL4873" s="6"/>
    </row>
    <row r="4874" spans="38:38" x14ac:dyDescent="0.25">
      <c r="AL4874" s="6"/>
    </row>
    <row r="4875" spans="38:38" x14ac:dyDescent="0.25">
      <c r="AL4875" s="6"/>
    </row>
    <row r="4876" spans="38:38" x14ac:dyDescent="0.25">
      <c r="AL4876" s="6"/>
    </row>
    <row r="4877" spans="38:38" x14ac:dyDescent="0.25">
      <c r="AL4877" s="6"/>
    </row>
    <row r="4878" spans="38:38" x14ac:dyDescent="0.25">
      <c r="AL4878" s="6"/>
    </row>
    <row r="4879" spans="38:38" x14ac:dyDescent="0.25">
      <c r="AL4879" s="6"/>
    </row>
    <row r="4880" spans="38:38" x14ac:dyDescent="0.25">
      <c r="AL4880" s="6"/>
    </row>
    <row r="4881" spans="38:38" x14ac:dyDescent="0.25">
      <c r="AL4881" s="6"/>
    </row>
    <row r="4882" spans="38:38" x14ac:dyDescent="0.25">
      <c r="AL4882" s="6"/>
    </row>
    <row r="4883" spans="38:38" x14ac:dyDescent="0.25">
      <c r="AL4883" s="6"/>
    </row>
    <row r="4884" spans="38:38" x14ac:dyDescent="0.25">
      <c r="AL4884" s="6"/>
    </row>
    <row r="4885" spans="38:38" x14ac:dyDescent="0.25">
      <c r="AL4885" s="6"/>
    </row>
    <row r="4886" spans="38:38" x14ac:dyDescent="0.25">
      <c r="AL4886" s="6"/>
    </row>
    <row r="4887" spans="38:38" x14ac:dyDescent="0.25">
      <c r="AL4887" s="6"/>
    </row>
    <row r="4888" spans="38:38" x14ac:dyDescent="0.25">
      <c r="AL4888" s="6"/>
    </row>
    <row r="4889" spans="38:38" x14ac:dyDescent="0.25">
      <c r="AL4889" s="6"/>
    </row>
    <row r="4890" spans="38:38" x14ac:dyDescent="0.25">
      <c r="AL4890" s="6"/>
    </row>
    <row r="4891" spans="38:38" x14ac:dyDescent="0.25">
      <c r="AL4891" s="6"/>
    </row>
    <row r="4892" spans="38:38" x14ac:dyDescent="0.25">
      <c r="AL4892" s="6"/>
    </row>
    <row r="4893" spans="38:38" x14ac:dyDescent="0.25">
      <c r="AL4893" s="6"/>
    </row>
    <row r="4894" spans="38:38" x14ac:dyDescent="0.25">
      <c r="AL4894" s="6"/>
    </row>
    <row r="4895" spans="38:38" x14ac:dyDescent="0.25">
      <c r="AL4895" s="6"/>
    </row>
    <row r="4896" spans="38:38" x14ac:dyDescent="0.25">
      <c r="AL4896" s="6"/>
    </row>
    <row r="4897" spans="38:38" x14ac:dyDescent="0.25">
      <c r="AL4897" s="6"/>
    </row>
    <row r="4898" spans="38:38" x14ac:dyDescent="0.25">
      <c r="AL4898" s="6"/>
    </row>
    <row r="4899" spans="38:38" x14ac:dyDescent="0.25">
      <c r="AL4899" s="6"/>
    </row>
    <row r="4900" spans="38:38" x14ac:dyDescent="0.25">
      <c r="AL4900" s="6"/>
    </row>
    <row r="4901" spans="38:38" x14ac:dyDescent="0.25">
      <c r="AL4901" s="6"/>
    </row>
    <row r="4902" spans="38:38" x14ac:dyDescent="0.25">
      <c r="AL4902" s="6"/>
    </row>
    <row r="4903" spans="38:38" x14ac:dyDescent="0.25">
      <c r="AL4903" s="6"/>
    </row>
    <row r="4904" spans="38:38" x14ac:dyDescent="0.25">
      <c r="AL4904" s="6"/>
    </row>
    <row r="4905" spans="38:38" x14ac:dyDescent="0.25">
      <c r="AL4905" s="6"/>
    </row>
    <row r="4906" spans="38:38" x14ac:dyDescent="0.25">
      <c r="AL4906" s="6"/>
    </row>
    <row r="4907" spans="38:38" x14ac:dyDescent="0.25">
      <c r="AL4907" s="6"/>
    </row>
    <row r="4908" spans="38:38" x14ac:dyDescent="0.25">
      <c r="AL4908" s="6"/>
    </row>
    <row r="4909" spans="38:38" x14ac:dyDescent="0.25">
      <c r="AL4909" s="6"/>
    </row>
    <row r="4910" spans="38:38" x14ac:dyDescent="0.25">
      <c r="AL4910" s="6"/>
    </row>
    <row r="4911" spans="38:38" x14ac:dyDescent="0.25">
      <c r="AL4911" s="6"/>
    </row>
    <row r="4912" spans="38:38" x14ac:dyDescent="0.25">
      <c r="AL4912" s="6"/>
    </row>
    <row r="4913" spans="38:38" x14ac:dyDescent="0.25">
      <c r="AL4913" s="6"/>
    </row>
    <row r="4914" spans="38:38" x14ac:dyDescent="0.25">
      <c r="AL4914" s="6"/>
    </row>
    <row r="4915" spans="38:38" x14ac:dyDescent="0.25">
      <c r="AL4915" s="6"/>
    </row>
    <row r="4916" spans="38:38" x14ac:dyDescent="0.25">
      <c r="AL4916" s="6"/>
    </row>
    <row r="4917" spans="38:38" x14ac:dyDescent="0.25">
      <c r="AL4917" s="6"/>
    </row>
    <row r="4918" spans="38:38" x14ac:dyDescent="0.25">
      <c r="AL4918" s="6"/>
    </row>
    <row r="4919" spans="38:38" x14ac:dyDescent="0.25">
      <c r="AL4919" s="6"/>
    </row>
    <row r="4920" spans="38:38" x14ac:dyDescent="0.25">
      <c r="AL4920" s="6"/>
    </row>
    <row r="4921" spans="38:38" x14ac:dyDescent="0.25">
      <c r="AL4921" s="6"/>
    </row>
    <row r="4922" spans="38:38" x14ac:dyDescent="0.25">
      <c r="AL4922" s="6"/>
    </row>
    <row r="4923" spans="38:38" x14ac:dyDescent="0.25">
      <c r="AL4923" s="6"/>
    </row>
    <row r="4924" spans="38:38" x14ac:dyDescent="0.25">
      <c r="AL4924" s="6"/>
    </row>
    <row r="4925" spans="38:38" x14ac:dyDescent="0.25">
      <c r="AL4925" s="6"/>
    </row>
    <row r="4926" spans="38:38" x14ac:dyDescent="0.25">
      <c r="AL4926" s="6"/>
    </row>
    <row r="4927" spans="38:38" x14ac:dyDescent="0.25">
      <c r="AL4927" s="6"/>
    </row>
    <row r="4928" spans="38:38" x14ac:dyDescent="0.25">
      <c r="AL4928" s="6"/>
    </row>
    <row r="4929" spans="38:38" x14ac:dyDescent="0.25">
      <c r="AL4929" s="6"/>
    </row>
    <row r="4930" spans="38:38" x14ac:dyDescent="0.25">
      <c r="AL4930" s="6"/>
    </row>
    <row r="4931" spans="38:38" x14ac:dyDescent="0.25">
      <c r="AL4931" s="6"/>
    </row>
    <row r="4932" spans="38:38" x14ac:dyDescent="0.25">
      <c r="AL4932" s="6"/>
    </row>
    <row r="4933" spans="38:38" x14ac:dyDescent="0.25">
      <c r="AL4933" s="6"/>
    </row>
    <row r="4934" spans="38:38" x14ac:dyDescent="0.25">
      <c r="AL4934" s="6"/>
    </row>
    <row r="4935" spans="38:38" x14ac:dyDescent="0.25">
      <c r="AL4935" s="6"/>
    </row>
    <row r="4936" spans="38:38" x14ac:dyDescent="0.25">
      <c r="AL4936" s="6"/>
    </row>
    <row r="4937" spans="38:38" x14ac:dyDescent="0.25">
      <c r="AL4937" s="6"/>
    </row>
    <row r="4938" spans="38:38" x14ac:dyDescent="0.25">
      <c r="AL4938" s="6"/>
    </row>
    <row r="4939" spans="38:38" x14ac:dyDescent="0.25">
      <c r="AL4939" s="6"/>
    </row>
    <row r="4940" spans="38:38" x14ac:dyDescent="0.25">
      <c r="AL4940" s="6"/>
    </row>
    <row r="4941" spans="38:38" x14ac:dyDescent="0.25">
      <c r="AL4941" s="6"/>
    </row>
    <row r="4942" spans="38:38" x14ac:dyDescent="0.25">
      <c r="AL4942" s="6"/>
    </row>
    <row r="4943" spans="38:38" x14ac:dyDescent="0.25">
      <c r="AL4943" s="6"/>
    </row>
    <row r="4944" spans="38:38" x14ac:dyDescent="0.25">
      <c r="AL4944" s="6"/>
    </row>
    <row r="4945" spans="38:38" x14ac:dyDescent="0.25">
      <c r="AL4945" s="6"/>
    </row>
    <row r="4946" spans="38:38" x14ac:dyDescent="0.25">
      <c r="AL4946" s="6"/>
    </row>
    <row r="4947" spans="38:38" x14ac:dyDescent="0.25">
      <c r="AL4947" s="6"/>
    </row>
    <row r="4948" spans="38:38" x14ac:dyDescent="0.25">
      <c r="AL4948" s="6"/>
    </row>
    <row r="4949" spans="38:38" x14ac:dyDescent="0.25">
      <c r="AL4949" s="6"/>
    </row>
    <row r="4950" spans="38:38" x14ac:dyDescent="0.25">
      <c r="AL4950" s="6"/>
    </row>
    <row r="4951" spans="38:38" x14ac:dyDescent="0.25">
      <c r="AL4951" s="6"/>
    </row>
    <row r="4952" spans="38:38" x14ac:dyDescent="0.25">
      <c r="AL4952" s="6"/>
    </row>
    <row r="4953" spans="38:38" x14ac:dyDescent="0.25">
      <c r="AL4953" s="6"/>
    </row>
    <row r="4954" spans="38:38" x14ac:dyDescent="0.25">
      <c r="AL4954" s="6"/>
    </row>
    <row r="4955" spans="38:38" x14ac:dyDescent="0.25">
      <c r="AL4955" s="6"/>
    </row>
    <row r="4956" spans="38:38" x14ac:dyDescent="0.25">
      <c r="AL4956" s="6"/>
    </row>
    <row r="4957" spans="38:38" x14ac:dyDescent="0.25">
      <c r="AL4957" s="6"/>
    </row>
    <row r="4958" spans="38:38" x14ac:dyDescent="0.25">
      <c r="AL4958" s="6"/>
    </row>
    <row r="4959" spans="38:38" x14ac:dyDescent="0.25">
      <c r="AL4959" s="6"/>
    </row>
    <row r="4960" spans="38:38" x14ac:dyDescent="0.25">
      <c r="AL4960" s="6"/>
    </row>
    <row r="4961" spans="38:38" x14ac:dyDescent="0.25">
      <c r="AL4961" s="6"/>
    </row>
    <row r="4962" spans="38:38" x14ac:dyDescent="0.25">
      <c r="AL4962" s="6"/>
    </row>
    <row r="4963" spans="38:38" x14ac:dyDescent="0.25">
      <c r="AL4963" s="6"/>
    </row>
    <row r="4964" spans="38:38" x14ac:dyDescent="0.25">
      <c r="AL4964" s="6"/>
    </row>
    <row r="4965" spans="38:38" x14ac:dyDescent="0.25">
      <c r="AL4965" s="6"/>
    </row>
    <row r="4966" spans="38:38" x14ac:dyDescent="0.25">
      <c r="AL4966" s="6"/>
    </row>
    <row r="4967" spans="38:38" x14ac:dyDescent="0.25">
      <c r="AL4967" s="6"/>
    </row>
    <row r="4968" spans="38:38" x14ac:dyDescent="0.25">
      <c r="AL4968" s="6"/>
    </row>
    <row r="4969" spans="38:38" x14ac:dyDescent="0.25">
      <c r="AL4969" s="6"/>
    </row>
    <row r="4970" spans="38:38" x14ac:dyDescent="0.25">
      <c r="AL4970" s="6"/>
    </row>
    <row r="4971" spans="38:38" x14ac:dyDescent="0.25">
      <c r="AL4971" s="6"/>
    </row>
    <row r="4972" spans="38:38" x14ac:dyDescent="0.25">
      <c r="AL4972" s="6"/>
    </row>
    <row r="4973" spans="38:38" x14ac:dyDescent="0.25">
      <c r="AL4973" s="6"/>
    </row>
    <row r="4974" spans="38:38" x14ac:dyDescent="0.25">
      <c r="AL4974" s="6"/>
    </row>
    <row r="4975" spans="38:38" x14ac:dyDescent="0.25">
      <c r="AL4975" s="6"/>
    </row>
    <row r="4976" spans="38:38" x14ac:dyDescent="0.25">
      <c r="AL4976" s="6"/>
    </row>
    <row r="4977" spans="38:38" x14ac:dyDescent="0.25">
      <c r="AL4977" s="6"/>
    </row>
    <row r="4978" spans="38:38" x14ac:dyDescent="0.25">
      <c r="AL4978" s="6"/>
    </row>
    <row r="4979" spans="38:38" x14ac:dyDescent="0.25">
      <c r="AL4979" s="6"/>
    </row>
    <row r="4980" spans="38:38" x14ac:dyDescent="0.25">
      <c r="AL4980" s="6"/>
    </row>
    <row r="4981" spans="38:38" x14ac:dyDescent="0.25">
      <c r="AL4981" s="6"/>
    </row>
    <row r="4982" spans="38:38" x14ac:dyDescent="0.25">
      <c r="AL4982" s="6"/>
    </row>
    <row r="4983" spans="38:38" x14ac:dyDescent="0.25">
      <c r="AL4983" s="6"/>
    </row>
    <row r="4984" spans="38:38" x14ac:dyDescent="0.25">
      <c r="AL4984" s="6"/>
    </row>
    <row r="4985" spans="38:38" x14ac:dyDescent="0.25">
      <c r="AL4985" s="6"/>
    </row>
    <row r="4986" spans="38:38" x14ac:dyDescent="0.25">
      <c r="AL4986" s="6"/>
    </row>
    <row r="4987" spans="38:38" x14ac:dyDescent="0.25">
      <c r="AL4987" s="6"/>
    </row>
    <row r="4988" spans="38:38" x14ac:dyDescent="0.25">
      <c r="AL4988" s="6"/>
    </row>
    <row r="4989" spans="38:38" x14ac:dyDescent="0.25">
      <c r="AL4989" s="6"/>
    </row>
    <row r="4990" spans="38:38" x14ac:dyDescent="0.25">
      <c r="AL4990" s="6"/>
    </row>
    <row r="4991" spans="38:38" x14ac:dyDescent="0.25">
      <c r="AL4991" s="6"/>
    </row>
    <row r="4992" spans="38:38" x14ac:dyDescent="0.25">
      <c r="AL4992" s="6"/>
    </row>
    <row r="4993" spans="38:38" x14ac:dyDescent="0.25">
      <c r="AL4993" s="6"/>
    </row>
    <row r="4994" spans="38:38" x14ac:dyDescent="0.25">
      <c r="AL4994" s="6"/>
    </row>
    <row r="4995" spans="38:38" x14ac:dyDescent="0.25">
      <c r="AL4995" s="6"/>
    </row>
    <row r="4996" spans="38:38" x14ac:dyDescent="0.25">
      <c r="AL4996" s="6"/>
    </row>
    <row r="4997" spans="38:38" x14ac:dyDescent="0.25">
      <c r="AL4997" s="6"/>
    </row>
    <row r="4998" spans="38:38" x14ac:dyDescent="0.25">
      <c r="AL4998" s="6"/>
    </row>
    <row r="4999" spans="38:38" x14ac:dyDescent="0.25">
      <c r="AL4999" s="6"/>
    </row>
    <row r="5000" spans="38:38" x14ac:dyDescent="0.25">
      <c r="AL5000" s="6"/>
    </row>
    <row r="5001" spans="38:38" x14ac:dyDescent="0.25">
      <c r="AL5001" s="6"/>
    </row>
    <row r="5002" spans="38:38" x14ac:dyDescent="0.25">
      <c r="AL5002" s="6"/>
    </row>
    <row r="5003" spans="38:38" x14ac:dyDescent="0.25">
      <c r="AL5003" s="6"/>
    </row>
    <row r="5004" spans="38:38" x14ac:dyDescent="0.25">
      <c r="AL5004" s="6"/>
    </row>
    <row r="5005" spans="38:38" x14ac:dyDescent="0.25">
      <c r="AL5005" s="6"/>
    </row>
    <row r="5006" spans="38:38" x14ac:dyDescent="0.25">
      <c r="AL5006" s="6"/>
    </row>
    <row r="5007" spans="38:38" x14ac:dyDescent="0.25">
      <c r="AL5007" s="6"/>
    </row>
    <row r="5008" spans="38:38" x14ac:dyDescent="0.25">
      <c r="AL5008" s="6"/>
    </row>
    <row r="5009" spans="38:38" x14ac:dyDescent="0.25">
      <c r="AL5009" s="6"/>
    </row>
    <row r="5010" spans="38:38" x14ac:dyDescent="0.25">
      <c r="AL5010" s="6"/>
    </row>
    <row r="5011" spans="38:38" x14ac:dyDescent="0.25">
      <c r="AL5011" s="6"/>
    </row>
    <row r="5012" spans="38:38" x14ac:dyDescent="0.25">
      <c r="AL5012" s="6"/>
    </row>
    <row r="5013" spans="38:38" x14ac:dyDescent="0.25">
      <c r="AL5013" s="6"/>
    </row>
    <row r="5014" spans="38:38" x14ac:dyDescent="0.25">
      <c r="AL5014" s="6"/>
    </row>
    <row r="5015" spans="38:38" x14ac:dyDescent="0.25">
      <c r="AL5015" s="6"/>
    </row>
    <row r="5016" spans="38:38" x14ac:dyDescent="0.25">
      <c r="AL5016" s="6"/>
    </row>
    <row r="5017" spans="38:38" x14ac:dyDescent="0.25">
      <c r="AL5017" s="6"/>
    </row>
    <row r="5018" spans="38:38" x14ac:dyDescent="0.25">
      <c r="AL5018" s="6"/>
    </row>
    <row r="5019" spans="38:38" x14ac:dyDescent="0.25">
      <c r="AL5019" s="6"/>
    </row>
    <row r="5020" spans="38:38" x14ac:dyDescent="0.25">
      <c r="AL5020" s="6"/>
    </row>
    <row r="5021" spans="38:38" x14ac:dyDescent="0.25">
      <c r="AL5021" s="6"/>
    </row>
    <row r="5022" spans="38:38" x14ac:dyDescent="0.25">
      <c r="AL5022" s="6"/>
    </row>
    <row r="5023" spans="38:38" x14ac:dyDescent="0.25">
      <c r="AL5023" s="6"/>
    </row>
    <row r="5024" spans="38:38" x14ac:dyDescent="0.25">
      <c r="AL5024" s="6"/>
    </row>
    <row r="5025" spans="38:38" x14ac:dyDescent="0.25">
      <c r="AL5025" s="6"/>
    </row>
    <row r="5026" spans="38:38" x14ac:dyDescent="0.25">
      <c r="AL5026" s="6"/>
    </row>
    <row r="5027" spans="38:38" x14ac:dyDescent="0.25">
      <c r="AL5027" s="6"/>
    </row>
    <row r="5028" spans="38:38" x14ac:dyDescent="0.25">
      <c r="AL5028" s="6"/>
    </row>
    <row r="5029" spans="38:38" x14ac:dyDescent="0.25">
      <c r="AL5029" s="6"/>
    </row>
    <row r="5030" spans="38:38" x14ac:dyDescent="0.25">
      <c r="AL5030" s="6"/>
    </row>
    <row r="5031" spans="38:38" x14ac:dyDescent="0.25">
      <c r="AL5031" s="6"/>
    </row>
    <row r="5032" spans="38:38" x14ac:dyDescent="0.25">
      <c r="AL5032" s="6"/>
    </row>
    <row r="5033" spans="38:38" x14ac:dyDescent="0.25">
      <c r="AL5033" s="6"/>
    </row>
    <row r="5034" spans="38:38" x14ac:dyDescent="0.25">
      <c r="AL5034" s="6"/>
    </row>
    <row r="5035" spans="38:38" x14ac:dyDescent="0.25">
      <c r="AL5035" s="6"/>
    </row>
    <row r="5036" spans="38:38" x14ac:dyDescent="0.25">
      <c r="AL5036" s="6"/>
    </row>
    <row r="5037" spans="38:38" x14ac:dyDescent="0.25">
      <c r="AL5037" s="6"/>
    </row>
    <row r="5038" spans="38:38" x14ac:dyDescent="0.25">
      <c r="AL5038" s="6"/>
    </row>
    <row r="5039" spans="38:38" x14ac:dyDescent="0.25">
      <c r="AL5039" s="6"/>
    </row>
    <row r="5040" spans="38:38" x14ac:dyDescent="0.25">
      <c r="AL5040" s="6"/>
    </row>
    <row r="5041" spans="38:38" x14ac:dyDescent="0.25">
      <c r="AL5041" s="6"/>
    </row>
    <row r="5042" spans="38:38" x14ac:dyDescent="0.25">
      <c r="AL5042" s="6"/>
    </row>
    <row r="5043" spans="38:38" x14ac:dyDescent="0.25">
      <c r="AL5043" s="6"/>
    </row>
    <row r="5044" spans="38:38" x14ac:dyDescent="0.25">
      <c r="AL5044" s="6"/>
    </row>
    <row r="5045" spans="38:38" x14ac:dyDescent="0.25">
      <c r="AL5045" s="6"/>
    </row>
    <row r="5046" spans="38:38" x14ac:dyDescent="0.25">
      <c r="AL5046" s="6"/>
    </row>
    <row r="5047" spans="38:38" x14ac:dyDescent="0.25">
      <c r="AL5047" s="6"/>
    </row>
    <row r="5048" spans="38:38" x14ac:dyDescent="0.25">
      <c r="AL5048" s="6"/>
    </row>
    <row r="5049" spans="38:38" x14ac:dyDescent="0.25">
      <c r="AL5049" s="6"/>
    </row>
    <row r="5050" spans="38:38" x14ac:dyDescent="0.25">
      <c r="AL5050" s="6"/>
    </row>
    <row r="5051" spans="38:38" x14ac:dyDescent="0.25">
      <c r="AL5051" s="6"/>
    </row>
    <row r="5052" spans="38:38" x14ac:dyDescent="0.25">
      <c r="AL5052" s="6"/>
    </row>
    <row r="5053" spans="38:38" x14ac:dyDescent="0.25">
      <c r="AL5053" s="6"/>
    </row>
    <row r="5054" spans="38:38" x14ac:dyDescent="0.25">
      <c r="AL5054" s="6"/>
    </row>
    <row r="5055" spans="38:38" x14ac:dyDescent="0.25">
      <c r="AL5055" s="6"/>
    </row>
    <row r="5056" spans="38:38" x14ac:dyDescent="0.25">
      <c r="AL5056" s="6"/>
    </row>
    <row r="5057" spans="38:38" x14ac:dyDescent="0.25">
      <c r="AL5057" s="6"/>
    </row>
    <row r="5058" spans="38:38" x14ac:dyDescent="0.25">
      <c r="AL5058" s="6"/>
    </row>
    <row r="5059" spans="38:38" x14ac:dyDescent="0.25">
      <c r="AL5059" s="6"/>
    </row>
    <row r="5060" spans="38:38" x14ac:dyDescent="0.25">
      <c r="AL5060" s="6"/>
    </row>
    <row r="5061" spans="38:38" x14ac:dyDescent="0.25">
      <c r="AL5061" s="6"/>
    </row>
    <row r="5062" spans="38:38" x14ac:dyDescent="0.25">
      <c r="AL5062" s="6"/>
    </row>
    <row r="5063" spans="38:38" x14ac:dyDescent="0.25">
      <c r="AL5063" s="6"/>
    </row>
    <row r="5064" spans="38:38" x14ac:dyDescent="0.25">
      <c r="AL5064" s="6"/>
    </row>
    <row r="5065" spans="38:38" x14ac:dyDescent="0.25">
      <c r="AL5065" s="6"/>
    </row>
    <row r="5066" spans="38:38" x14ac:dyDescent="0.25">
      <c r="AL5066" s="6"/>
    </row>
    <row r="5067" spans="38:38" x14ac:dyDescent="0.25">
      <c r="AL5067" s="6"/>
    </row>
    <row r="5068" spans="38:38" x14ac:dyDescent="0.25">
      <c r="AL5068" s="6"/>
    </row>
    <row r="5069" spans="38:38" x14ac:dyDescent="0.25">
      <c r="AL5069" s="6"/>
    </row>
    <row r="5070" spans="38:38" x14ac:dyDescent="0.25">
      <c r="AL5070" s="6"/>
    </row>
    <row r="5071" spans="38:38" x14ac:dyDescent="0.25">
      <c r="AL5071" s="6"/>
    </row>
    <row r="5072" spans="38:38" x14ac:dyDescent="0.25">
      <c r="AL5072" s="6"/>
    </row>
    <row r="5073" spans="38:38" x14ac:dyDescent="0.25">
      <c r="AL5073" s="6"/>
    </row>
    <row r="5074" spans="38:38" x14ac:dyDescent="0.25">
      <c r="AL5074" s="6"/>
    </row>
    <row r="5075" spans="38:38" x14ac:dyDescent="0.25">
      <c r="AL5075" s="6"/>
    </row>
    <row r="5076" spans="38:38" x14ac:dyDescent="0.25">
      <c r="AL5076" s="6"/>
    </row>
    <row r="5077" spans="38:38" x14ac:dyDescent="0.25">
      <c r="AL5077" s="6"/>
    </row>
    <row r="5078" spans="38:38" x14ac:dyDescent="0.25">
      <c r="AL5078" s="6"/>
    </row>
    <row r="5079" spans="38:38" x14ac:dyDescent="0.25">
      <c r="AL5079" s="6"/>
    </row>
    <row r="5080" spans="38:38" x14ac:dyDescent="0.25">
      <c r="AL5080" s="6"/>
    </row>
    <row r="5081" spans="38:38" x14ac:dyDescent="0.25">
      <c r="AL5081" s="6"/>
    </row>
    <row r="5082" spans="38:38" x14ac:dyDescent="0.25">
      <c r="AL5082" s="6"/>
    </row>
    <row r="5083" spans="38:38" x14ac:dyDescent="0.25">
      <c r="AL5083" s="6"/>
    </row>
    <row r="5084" spans="38:38" x14ac:dyDescent="0.25">
      <c r="AL5084" s="6"/>
    </row>
    <row r="5085" spans="38:38" x14ac:dyDescent="0.25">
      <c r="AL5085" s="6"/>
    </row>
    <row r="5086" spans="38:38" x14ac:dyDescent="0.25">
      <c r="AL5086" s="6"/>
    </row>
    <row r="5087" spans="38:38" x14ac:dyDescent="0.25">
      <c r="AL5087" s="6"/>
    </row>
    <row r="5088" spans="38:38" x14ac:dyDescent="0.25">
      <c r="AL5088" s="6"/>
    </row>
    <row r="5089" spans="38:38" x14ac:dyDescent="0.25">
      <c r="AL5089" s="6"/>
    </row>
    <row r="5090" spans="38:38" x14ac:dyDescent="0.25">
      <c r="AL5090" s="6"/>
    </row>
    <row r="5091" spans="38:38" x14ac:dyDescent="0.25">
      <c r="AL5091" s="6"/>
    </row>
    <row r="5092" spans="38:38" x14ac:dyDescent="0.25">
      <c r="AL5092" s="6"/>
    </row>
    <row r="5093" spans="38:38" x14ac:dyDescent="0.25">
      <c r="AL5093" s="6"/>
    </row>
    <row r="5094" spans="38:38" x14ac:dyDescent="0.25">
      <c r="AL5094" s="6"/>
    </row>
    <row r="5095" spans="38:38" x14ac:dyDescent="0.25">
      <c r="AL5095" s="6"/>
    </row>
    <row r="5096" spans="38:38" x14ac:dyDescent="0.25">
      <c r="AL5096" s="6"/>
    </row>
    <row r="5097" spans="38:38" x14ac:dyDescent="0.25">
      <c r="AL5097" s="6"/>
    </row>
    <row r="5098" spans="38:38" x14ac:dyDescent="0.25">
      <c r="AL5098" s="6"/>
    </row>
    <row r="5099" spans="38:38" x14ac:dyDescent="0.25">
      <c r="AL5099" s="6"/>
    </row>
    <row r="5100" spans="38:38" x14ac:dyDescent="0.25">
      <c r="AL5100" s="6"/>
    </row>
    <row r="5101" spans="38:38" x14ac:dyDescent="0.25">
      <c r="AL5101" s="6"/>
    </row>
    <row r="5102" spans="38:38" x14ac:dyDescent="0.25">
      <c r="AL5102" s="6"/>
    </row>
    <row r="5103" spans="38:38" x14ac:dyDescent="0.25">
      <c r="AL5103" s="6"/>
    </row>
    <row r="5104" spans="38:38" x14ac:dyDescent="0.25">
      <c r="AL5104" s="6"/>
    </row>
    <row r="5105" spans="38:38" x14ac:dyDescent="0.25">
      <c r="AL5105" s="6"/>
    </row>
    <row r="5106" spans="38:38" x14ac:dyDescent="0.25">
      <c r="AL5106" s="6"/>
    </row>
    <row r="5107" spans="38:38" x14ac:dyDescent="0.25">
      <c r="AL5107" s="6"/>
    </row>
    <row r="5108" spans="38:38" x14ac:dyDescent="0.25">
      <c r="AL5108" s="6"/>
    </row>
    <row r="5109" spans="38:38" x14ac:dyDescent="0.25">
      <c r="AL5109" s="6"/>
    </row>
    <row r="5110" spans="38:38" x14ac:dyDescent="0.25">
      <c r="AL5110" s="6"/>
    </row>
    <row r="5111" spans="38:38" x14ac:dyDescent="0.25">
      <c r="AL5111" s="6"/>
    </row>
    <row r="5112" spans="38:38" x14ac:dyDescent="0.25">
      <c r="AL5112" s="6"/>
    </row>
    <row r="5113" spans="38:38" x14ac:dyDescent="0.25">
      <c r="AL5113" s="6"/>
    </row>
    <row r="5114" spans="38:38" x14ac:dyDescent="0.25">
      <c r="AL5114" s="6"/>
    </row>
    <row r="5115" spans="38:38" x14ac:dyDescent="0.25">
      <c r="AL5115" s="6"/>
    </row>
    <row r="5116" spans="38:38" x14ac:dyDescent="0.25">
      <c r="AL5116" s="6"/>
    </row>
    <row r="5117" spans="38:38" x14ac:dyDescent="0.25">
      <c r="AL5117" s="6"/>
    </row>
    <row r="5118" spans="38:38" x14ac:dyDescent="0.25">
      <c r="AL5118" s="6"/>
    </row>
    <row r="5119" spans="38:38" x14ac:dyDescent="0.25">
      <c r="AL5119" s="6"/>
    </row>
    <row r="5120" spans="38:38" x14ac:dyDescent="0.25">
      <c r="AL5120" s="6"/>
    </row>
    <row r="5121" spans="38:38" x14ac:dyDescent="0.25">
      <c r="AL5121" s="6"/>
    </row>
    <row r="5122" spans="38:38" x14ac:dyDescent="0.25">
      <c r="AL5122" s="6"/>
    </row>
    <row r="5123" spans="38:38" x14ac:dyDescent="0.25">
      <c r="AL5123" s="6"/>
    </row>
    <row r="5124" spans="38:38" x14ac:dyDescent="0.25">
      <c r="AL5124" s="6"/>
    </row>
    <row r="5125" spans="38:38" x14ac:dyDescent="0.25">
      <c r="AL5125" s="6"/>
    </row>
    <row r="5126" spans="38:38" x14ac:dyDescent="0.25">
      <c r="AL5126" s="6"/>
    </row>
    <row r="5127" spans="38:38" x14ac:dyDescent="0.25">
      <c r="AL5127" s="6"/>
    </row>
    <row r="5128" spans="38:38" x14ac:dyDescent="0.25">
      <c r="AL5128" s="6"/>
    </row>
    <row r="5129" spans="38:38" x14ac:dyDescent="0.25">
      <c r="AL5129" s="6"/>
    </row>
    <row r="5130" spans="38:38" x14ac:dyDescent="0.25">
      <c r="AL5130" s="6"/>
    </row>
    <row r="5131" spans="38:38" x14ac:dyDescent="0.25">
      <c r="AL5131" s="6"/>
    </row>
    <row r="5132" spans="38:38" x14ac:dyDescent="0.25">
      <c r="AL5132" s="6"/>
    </row>
    <row r="5133" spans="38:38" x14ac:dyDescent="0.25">
      <c r="AL5133" s="6"/>
    </row>
    <row r="5134" spans="38:38" x14ac:dyDescent="0.25">
      <c r="AL5134" s="6"/>
    </row>
    <row r="5135" spans="38:38" x14ac:dyDescent="0.25">
      <c r="AL5135" s="6"/>
    </row>
    <row r="5136" spans="38:38" x14ac:dyDescent="0.25">
      <c r="AL5136" s="6"/>
    </row>
    <row r="5137" spans="38:38" x14ac:dyDescent="0.25">
      <c r="AL5137" s="6"/>
    </row>
    <row r="5138" spans="38:38" x14ac:dyDescent="0.25">
      <c r="AL5138" s="6"/>
    </row>
    <row r="5139" spans="38:38" x14ac:dyDescent="0.25">
      <c r="AL5139" s="6"/>
    </row>
    <row r="5140" spans="38:38" x14ac:dyDescent="0.25">
      <c r="AL5140" s="6"/>
    </row>
    <row r="5141" spans="38:38" x14ac:dyDescent="0.25">
      <c r="AL5141" s="6"/>
    </row>
    <row r="5142" spans="38:38" x14ac:dyDescent="0.25">
      <c r="AL5142" s="6"/>
    </row>
    <row r="5143" spans="38:38" x14ac:dyDescent="0.25">
      <c r="AL5143" s="6"/>
    </row>
    <row r="5144" spans="38:38" x14ac:dyDescent="0.25">
      <c r="AL5144" s="6"/>
    </row>
    <row r="5145" spans="38:38" x14ac:dyDescent="0.25">
      <c r="AL5145" s="6"/>
    </row>
    <row r="5146" spans="38:38" x14ac:dyDescent="0.25">
      <c r="AL5146" s="6"/>
    </row>
    <row r="5147" spans="38:38" x14ac:dyDescent="0.25">
      <c r="AL5147" s="6"/>
    </row>
    <row r="5148" spans="38:38" x14ac:dyDescent="0.25">
      <c r="AL5148" s="6"/>
    </row>
    <row r="5149" spans="38:38" x14ac:dyDescent="0.25">
      <c r="AL5149" s="6"/>
    </row>
    <row r="5150" spans="38:38" x14ac:dyDescent="0.25">
      <c r="AL5150" s="6"/>
    </row>
    <row r="5151" spans="38:38" x14ac:dyDescent="0.25">
      <c r="AL5151" s="6"/>
    </row>
    <row r="5152" spans="38:38" x14ac:dyDescent="0.25">
      <c r="AL5152" s="6"/>
    </row>
    <row r="5153" spans="38:38" x14ac:dyDescent="0.25">
      <c r="AL5153" s="6"/>
    </row>
    <row r="5154" spans="38:38" x14ac:dyDescent="0.25">
      <c r="AL5154" s="6"/>
    </row>
    <row r="5155" spans="38:38" x14ac:dyDescent="0.25">
      <c r="AL5155" s="6"/>
    </row>
    <row r="5156" spans="38:38" x14ac:dyDescent="0.25">
      <c r="AL5156" s="6"/>
    </row>
    <row r="5157" spans="38:38" x14ac:dyDescent="0.25">
      <c r="AL5157" s="6"/>
    </row>
    <row r="5158" spans="38:38" x14ac:dyDescent="0.25">
      <c r="AL5158" s="6"/>
    </row>
    <row r="5159" spans="38:38" x14ac:dyDescent="0.25">
      <c r="AL5159" s="6"/>
    </row>
    <row r="5160" spans="38:38" x14ac:dyDescent="0.25">
      <c r="AL5160" s="6"/>
    </row>
    <row r="5161" spans="38:38" x14ac:dyDescent="0.25">
      <c r="AL5161" s="6"/>
    </row>
    <row r="5162" spans="38:38" x14ac:dyDescent="0.25">
      <c r="AL5162" s="6"/>
    </row>
    <row r="5163" spans="38:38" x14ac:dyDescent="0.25">
      <c r="AL5163" s="6"/>
    </row>
    <row r="5164" spans="38:38" x14ac:dyDescent="0.25">
      <c r="AL5164" s="6"/>
    </row>
    <row r="5165" spans="38:38" x14ac:dyDescent="0.25">
      <c r="AL5165" s="6"/>
    </row>
    <row r="5166" spans="38:38" x14ac:dyDescent="0.25">
      <c r="AL5166" s="6"/>
    </row>
    <row r="5167" spans="38:38" x14ac:dyDescent="0.25">
      <c r="AL5167" s="6"/>
    </row>
    <row r="5168" spans="38:38" x14ac:dyDescent="0.25">
      <c r="AL5168" s="6"/>
    </row>
    <row r="5169" spans="38:38" x14ac:dyDescent="0.25">
      <c r="AL5169" s="6"/>
    </row>
    <row r="5170" spans="38:38" x14ac:dyDescent="0.25">
      <c r="AL5170" s="6"/>
    </row>
    <row r="5171" spans="38:38" x14ac:dyDescent="0.25">
      <c r="AL5171" s="6"/>
    </row>
    <row r="5172" spans="38:38" x14ac:dyDescent="0.25">
      <c r="AL5172" s="6"/>
    </row>
    <row r="5173" spans="38:38" x14ac:dyDescent="0.25">
      <c r="AL5173" s="6"/>
    </row>
    <row r="5174" spans="38:38" x14ac:dyDescent="0.25">
      <c r="AL5174" s="6"/>
    </row>
    <row r="5175" spans="38:38" x14ac:dyDescent="0.25">
      <c r="AL5175" s="6"/>
    </row>
    <row r="5176" spans="38:38" x14ac:dyDescent="0.25">
      <c r="AL5176" s="6"/>
    </row>
    <row r="5177" spans="38:38" x14ac:dyDescent="0.25">
      <c r="AL5177" s="6"/>
    </row>
    <row r="5178" spans="38:38" x14ac:dyDescent="0.25">
      <c r="AL5178" s="6"/>
    </row>
    <row r="5179" spans="38:38" x14ac:dyDescent="0.25">
      <c r="AL5179" s="6"/>
    </row>
    <row r="5180" spans="38:38" x14ac:dyDescent="0.25">
      <c r="AL5180" s="6"/>
    </row>
    <row r="5181" spans="38:38" x14ac:dyDescent="0.25">
      <c r="AL5181" s="6"/>
    </row>
    <row r="5182" spans="38:38" x14ac:dyDescent="0.25">
      <c r="AL5182" s="6"/>
    </row>
    <row r="5183" spans="38:38" x14ac:dyDescent="0.25">
      <c r="AL5183" s="6"/>
    </row>
    <row r="5184" spans="38:38" x14ac:dyDescent="0.25">
      <c r="AL5184" s="6"/>
    </row>
    <row r="5185" spans="38:38" x14ac:dyDescent="0.25">
      <c r="AL5185" s="6"/>
    </row>
    <row r="5186" spans="38:38" x14ac:dyDescent="0.25">
      <c r="AL5186" s="6"/>
    </row>
    <row r="5187" spans="38:38" x14ac:dyDescent="0.25">
      <c r="AL5187" s="6"/>
    </row>
    <row r="5188" spans="38:38" x14ac:dyDescent="0.25">
      <c r="AL5188" s="6"/>
    </row>
    <row r="5189" spans="38:38" x14ac:dyDescent="0.25">
      <c r="AL5189" s="6"/>
    </row>
    <row r="5190" spans="38:38" x14ac:dyDescent="0.25">
      <c r="AL5190" s="6"/>
    </row>
    <row r="5191" spans="38:38" x14ac:dyDescent="0.25">
      <c r="AL5191" s="6"/>
    </row>
    <row r="5192" spans="38:38" x14ac:dyDescent="0.25">
      <c r="AL5192" s="6"/>
    </row>
    <row r="5193" spans="38:38" x14ac:dyDescent="0.25">
      <c r="AL5193" s="6"/>
    </row>
    <row r="5194" spans="38:38" x14ac:dyDescent="0.25">
      <c r="AL5194" s="6"/>
    </row>
    <row r="5195" spans="38:38" x14ac:dyDescent="0.25">
      <c r="AL5195" s="6"/>
    </row>
    <row r="5196" spans="38:38" x14ac:dyDescent="0.25">
      <c r="AL5196" s="6"/>
    </row>
    <row r="5197" spans="38:38" x14ac:dyDescent="0.25">
      <c r="AL5197" s="6"/>
    </row>
    <row r="5198" spans="38:38" x14ac:dyDescent="0.25">
      <c r="AL5198" s="6"/>
    </row>
    <row r="5199" spans="38:38" x14ac:dyDescent="0.25">
      <c r="AL5199" s="6"/>
    </row>
    <row r="5200" spans="38:38" x14ac:dyDescent="0.25">
      <c r="AL5200" s="6"/>
    </row>
    <row r="5201" spans="38:38" x14ac:dyDescent="0.25">
      <c r="AL5201" s="6"/>
    </row>
    <row r="5202" spans="38:38" x14ac:dyDescent="0.25">
      <c r="AL5202" s="6"/>
    </row>
    <row r="5203" spans="38:38" x14ac:dyDescent="0.25">
      <c r="AL5203" s="6"/>
    </row>
    <row r="5204" spans="38:38" x14ac:dyDescent="0.25">
      <c r="AL5204" s="6"/>
    </row>
    <row r="5205" spans="38:38" x14ac:dyDescent="0.25">
      <c r="AL5205" s="6"/>
    </row>
    <row r="5206" spans="38:38" x14ac:dyDescent="0.25">
      <c r="AL5206" s="6"/>
    </row>
    <row r="5207" spans="38:38" x14ac:dyDescent="0.25">
      <c r="AL5207" s="6"/>
    </row>
    <row r="5208" spans="38:38" x14ac:dyDescent="0.25">
      <c r="AL5208" s="6"/>
    </row>
    <row r="5209" spans="38:38" x14ac:dyDescent="0.25">
      <c r="AL5209" s="6"/>
    </row>
    <row r="5210" spans="38:38" x14ac:dyDescent="0.25">
      <c r="AL5210" s="6"/>
    </row>
    <row r="5211" spans="38:38" x14ac:dyDescent="0.25">
      <c r="AL5211" s="6"/>
    </row>
    <row r="5212" spans="38:38" x14ac:dyDescent="0.25">
      <c r="AL5212" s="6"/>
    </row>
    <row r="5213" spans="38:38" x14ac:dyDescent="0.25">
      <c r="AL5213" s="6"/>
    </row>
    <row r="5214" spans="38:38" x14ac:dyDescent="0.25">
      <c r="AL5214" s="6"/>
    </row>
    <row r="5215" spans="38:38" x14ac:dyDescent="0.25">
      <c r="AL5215" s="6"/>
    </row>
    <row r="5216" spans="38:38" x14ac:dyDescent="0.25">
      <c r="AL5216" s="6"/>
    </row>
    <row r="5217" spans="38:38" x14ac:dyDescent="0.25">
      <c r="AL5217" s="6"/>
    </row>
    <row r="5218" spans="38:38" x14ac:dyDescent="0.25">
      <c r="AL5218" s="6"/>
    </row>
    <row r="5219" spans="38:38" x14ac:dyDescent="0.25">
      <c r="AL5219" s="6"/>
    </row>
    <row r="5220" spans="38:38" x14ac:dyDescent="0.25">
      <c r="AL5220" s="6"/>
    </row>
    <row r="5221" spans="38:38" x14ac:dyDescent="0.25">
      <c r="AL5221" s="6"/>
    </row>
    <row r="5222" spans="38:38" x14ac:dyDescent="0.25">
      <c r="AL5222" s="6"/>
    </row>
    <row r="5223" spans="38:38" x14ac:dyDescent="0.25">
      <c r="AL5223" s="6"/>
    </row>
    <row r="5224" spans="38:38" x14ac:dyDescent="0.25">
      <c r="AL5224" s="6"/>
    </row>
    <row r="5225" spans="38:38" x14ac:dyDescent="0.25">
      <c r="AL5225" s="6"/>
    </row>
    <row r="5226" spans="38:38" x14ac:dyDescent="0.25">
      <c r="AL5226" s="6"/>
    </row>
    <row r="5227" spans="38:38" x14ac:dyDescent="0.25">
      <c r="AL5227" s="6"/>
    </row>
    <row r="5228" spans="38:38" x14ac:dyDescent="0.25">
      <c r="AL5228" s="6"/>
    </row>
    <row r="5229" spans="38:38" x14ac:dyDescent="0.25">
      <c r="AL5229" s="6"/>
    </row>
    <row r="5230" spans="38:38" x14ac:dyDescent="0.25">
      <c r="AL5230" s="6"/>
    </row>
    <row r="5231" spans="38:38" x14ac:dyDescent="0.25">
      <c r="AL5231" s="6"/>
    </row>
    <row r="5232" spans="38:38" x14ac:dyDescent="0.25">
      <c r="AL5232" s="6"/>
    </row>
    <row r="5233" spans="38:38" x14ac:dyDescent="0.25">
      <c r="AL5233" s="6"/>
    </row>
    <row r="5234" spans="38:38" x14ac:dyDescent="0.25">
      <c r="AL5234" s="6"/>
    </row>
    <row r="5235" spans="38:38" x14ac:dyDescent="0.25">
      <c r="AL5235" s="6"/>
    </row>
    <row r="5236" spans="38:38" x14ac:dyDescent="0.25">
      <c r="AL5236" s="6"/>
    </row>
    <row r="5237" spans="38:38" x14ac:dyDescent="0.25">
      <c r="AL5237" s="6"/>
    </row>
    <row r="5238" spans="38:38" x14ac:dyDescent="0.25">
      <c r="AL5238" s="6"/>
    </row>
    <row r="5239" spans="38:38" x14ac:dyDescent="0.25">
      <c r="AL5239" s="6"/>
    </row>
    <row r="5240" spans="38:38" x14ac:dyDescent="0.25">
      <c r="AL5240" s="6"/>
    </row>
    <row r="5241" spans="38:38" x14ac:dyDescent="0.25">
      <c r="AL5241" s="6"/>
    </row>
    <row r="5242" spans="38:38" x14ac:dyDescent="0.25">
      <c r="AL5242" s="6"/>
    </row>
    <row r="5243" spans="38:38" x14ac:dyDescent="0.25">
      <c r="AL5243" s="6"/>
    </row>
    <row r="5244" spans="38:38" x14ac:dyDescent="0.25">
      <c r="AL5244" s="6"/>
    </row>
    <row r="5245" spans="38:38" x14ac:dyDescent="0.25">
      <c r="AL5245" s="6"/>
    </row>
    <row r="5246" spans="38:38" x14ac:dyDescent="0.25">
      <c r="AL5246" s="6"/>
    </row>
    <row r="5247" spans="38:38" x14ac:dyDescent="0.25">
      <c r="AL5247" s="6"/>
    </row>
    <row r="5248" spans="38:38" x14ac:dyDescent="0.25">
      <c r="AL5248" s="6"/>
    </row>
    <row r="5249" spans="38:38" x14ac:dyDescent="0.25">
      <c r="AL5249" s="6"/>
    </row>
    <row r="5250" spans="38:38" x14ac:dyDescent="0.25">
      <c r="AL5250" s="6"/>
    </row>
    <row r="5251" spans="38:38" x14ac:dyDescent="0.25">
      <c r="AL5251" s="6"/>
    </row>
    <row r="5252" spans="38:38" x14ac:dyDescent="0.25">
      <c r="AL5252" s="6"/>
    </row>
    <row r="5253" spans="38:38" x14ac:dyDescent="0.25">
      <c r="AL5253" s="6"/>
    </row>
    <row r="5254" spans="38:38" x14ac:dyDescent="0.25">
      <c r="AL5254" s="6"/>
    </row>
    <row r="5255" spans="38:38" x14ac:dyDescent="0.25">
      <c r="AL5255" s="6"/>
    </row>
    <row r="5256" spans="38:38" x14ac:dyDescent="0.25">
      <c r="AL5256" s="6"/>
    </row>
    <row r="5257" spans="38:38" x14ac:dyDescent="0.25">
      <c r="AL5257" s="6"/>
    </row>
    <row r="5258" spans="38:38" x14ac:dyDescent="0.25">
      <c r="AL5258" s="6"/>
    </row>
    <row r="5259" spans="38:38" x14ac:dyDescent="0.25">
      <c r="AL5259" s="6"/>
    </row>
    <row r="5260" spans="38:38" x14ac:dyDescent="0.25">
      <c r="AL5260" s="6"/>
    </row>
    <row r="5261" spans="38:38" x14ac:dyDescent="0.25">
      <c r="AL5261" s="6"/>
    </row>
    <row r="5262" spans="38:38" x14ac:dyDescent="0.25">
      <c r="AL5262" s="6"/>
    </row>
    <row r="5263" spans="38:38" x14ac:dyDescent="0.25">
      <c r="AL5263" s="6"/>
    </row>
    <row r="5264" spans="38:38" x14ac:dyDescent="0.25">
      <c r="AL5264" s="6"/>
    </row>
    <row r="5265" spans="38:38" x14ac:dyDescent="0.25">
      <c r="AL5265" s="6"/>
    </row>
    <row r="5266" spans="38:38" x14ac:dyDescent="0.25">
      <c r="AL5266" s="6"/>
    </row>
    <row r="5267" spans="38:38" x14ac:dyDescent="0.25">
      <c r="AL5267" s="6"/>
    </row>
    <row r="5268" spans="38:38" x14ac:dyDescent="0.25">
      <c r="AL5268" s="6"/>
    </row>
    <row r="5269" spans="38:38" x14ac:dyDescent="0.25">
      <c r="AL5269" s="6"/>
    </row>
    <row r="5270" spans="38:38" x14ac:dyDescent="0.25">
      <c r="AL5270" s="6"/>
    </row>
    <row r="5271" spans="38:38" x14ac:dyDescent="0.25">
      <c r="AL5271" s="6"/>
    </row>
    <row r="5272" spans="38:38" x14ac:dyDescent="0.25">
      <c r="AL5272" s="6"/>
    </row>
    <row r="5273" spans="38:38" x14ac:dyDescent="0.25">
      <c r="AL5273" s="6"/>
    </row>
    <row r="5274" spans="38:38" x14ac:dyDescent="0.25">
      <c r="AL5274" s="6"/>
    </row>
    <row r="5275" spans="38:38" x14ac:dyDescent="0.25">
      <c r="AL5275" s="6"/>
    </row>
    <row r="5276" spans="38:38" x14ac:dyDescent="0.25">
      <c r="AL5276" s="6"/>
    </row>
    <row r="5277" spans="38:38" x14ac:dyDescent="0.25">
      <c r="AL5277" s="6"/>
    </row>
    <row r="5278" spans="38:38" x14ac:dyDescent="0.25">
      <c r="AL5278" s="6"/>
    </row>
    <row r="5279" spans="38:38" x14ac:dyDescent="0.25">
      <c r="AL5279" s="6"/>
    </row>
    <row r="5280" spans="38:38" x14ac:dyDescent="0.25">
      <c r="AL5280" s="6"/>
    </row>
    <row r="5281" spans="38:38" x14ac:dyDescent="0.25">
      <c r="AL5281" s="6"/>
    </row>
    <row r="5282" spans="38:38" x14ac:dyDescent="0.25">
      <c r="AL5282" s="6"/>
    </row>
    <row r="5283" spans="38:38" x14ac:dyDescent="0.25">
      <c r="AL5283" s="6"/>
    </row>
    <row r="5284" spans="38:38" x14ac:dyDescent="0.25">
      <c r="AL5284" s="6"/>
    </row>
    <row r="5285" spans="38:38" x14ac:dyDescent="0.25">
      <c r="AL5285" s="6"/>
    </row>
    <row r="5286" spans="38:38" x14ac:dyDescent="0.25">
      <c r="AL5286" s="6"/>
    </row>
    <row r="5287" spans="38:38" x14ac:dyDescent="0.25">
      <c r="AL5287" s="6"/>
    </row>
    <row r="5288" spans="38:38" x14ac:dyDescent="0.25">
      <c r="AL5288" s="6"/>
    </row>
    <row r="5289" spans="38:38" x14ac:dyDescent="0.25">
      <c r="AL5289" s="6"/>
    </row>
    <row r="5290" spans="38:38" x14ac:dyDescent="0.25">
      <c r="AL5290" s="6"/>
    </row>
    <row r="5291" spans="38:38" x14ac:dyDescent="0.25">
      <c r="AL5291" s="6"/>
    </row>
    <row r="5292" spans="38:38" x14ac:dyDescent="0.25">
      <c r="AL5292" s="6"/>
    </row>
    <row r="5293" spans="38:38" x14ac:dyDescent="0.25">
      <c r="AL5293" s="6"/>
    </row>
    <row r="5294" spans="38:38" x14ac:dyDescent="0.25">
      <c r="AL5294" s="6"/>
    </row>
    <row r="5295" spans="38:38" x14ac:dyDescent="0.25">
      <c r="AL5295" s="6"/>
    </row>
    <row r="5296" spans="38:38" x14ac:dyDescent="0.25">
      <c r="AL5296" s="6"/>
    </row>
    <row r="5297" spans="38:38" x14ac:dyDescent="0.25">
      <c r="AL5297" s="6"/>
    </row>
    <row r="5298" spans="38:38" x14ac:dyDescent="0.25">
      <c r="AL5298" s="6"/>
    </row>
    <row r="5299" spans="38:38" x14ac:dyDescent="0.25">
      <c r="AL5299" s="6"/>
    </row>
    <row r="5300" spans="38:38" x14ac:dyDescent="0.25">
      <c r="AL5300" s="6"/>
    </row>
    <row r="5301" spans="38:38" x14ac:dyDescent="0.25">
      <c r="AL5301" s="6"/>
    </row>
    <row r="5302" spans="38:38" x14ac:dyDescent="0.25">
      <c r="AL5302" s="6"/>
    </row>
    <row r="5303" spans="38:38" x14ac:dyDescent="0.25">
      <c r="AL5303" s="6"/>
    </row>
    <row r="5304" spans="38:38" x14ac:dyDescent="0.25">
      <c r="AL5304" s="6"/>
    </row>
    <row r="5305" spans="38:38" x14ac:dyDescent="0.25">
      <c r="AL5305" s="6"/>
    </row>
    <row r="5306" spans="38:38" x14ac:dyDescent="0.25">
      <c r="AL5306" s="6"/>
    </row>
    <row r="5307" spans="38:38" x14ac:dyDescent="0.25">
      <c r="AL5307" s="6"/>
    </row>
    <row r="5308" spans="38:38" x14ac:dyDescent="0.25">
      <c r="AL5308" s="6"/>
    </row>
    <row r="5309" spans="38:38" x14ac:dyDescent="0.25">
      <c r="AL5309" s="6"/>
    </row>
    <row r="5310" spans="38:38" x14ac:dyDescent="0.25">
      <c r="AL5310" s="6"/>
    </row>
    <row r="5311" spans="38:38" x14ac:dyDescent="0.25">
      <c r="AL5311" s="6"/>
    </row>
    <row r="5312" spans="38:38" x14ac:dyDescent="0.25">
      <c r="AL5312" s="6"/>
    </row>
    <row r="5313" spans="38:38" x14ac:dyDescent="0.25">
      <c r="AL5313" s="6"/>
    </row>
    <row r="5314" spans="38:38" x14ac:dyDescent="0.25">
      <c r="AL5314" s="6"/>
    </row>
    <row r="5315" spans="38:38" x14ac:dyDescent="0.25">
      <c r="AL5315" s="6"/>
    </row>
    <row r="5316" spans="38:38" x14ac:dyDescent="0.25">
      <c r="AL5316" s="6"/>
    </row>
    <row r="5317" spans="38:38" x14ac:dyDescent="0.25">
      <c r="AL5317" s="6"/>
    </row>
    <row r="5318" spans="38:38" x14ac:dyDescent="0.25">
      <c r="AL5318" s="6"/>
    </row>
    <row r="5319" spans="38:38" x14ac:dyDescent="0.25">
      <c r="AL5319" s="6"/>
    </row>
    <row r="5320" spans="38:38" x14ac:dyDescent="0.25">
      <c r="AL5320" s="6"/>
    </row>
    <row r="5321" spans="38:38" x14ac:dyDescent="0.25">
      <c r="AL5321" s="6"/>
    </row>
    <row r="5322" spans="38:38" x14ac:dyDescent="0.25">
      <c r="AL5322" s="6"/>
    </row>
    <row r="5323" spans="38:38" x14ac:dyDescent="0.25">
      <c r="AL5323" s="6"/>
    </row>
    <row r="5324" spans="38:38" x14ac:dyDescent="0.25">
      <c r="AL5324" s="6"/>
    </row>
    <row r="5325" spans="38:38" x14ac:dyDescent="0.25">
      <c r="AL5325" s="6"/>
    </row>
    <row r="5326" spans="38:38" x14ac:dyDescent="0.25">
      <c r="AL5326" s="6"/>
    </row>
    <row r="5327" spans="38:38" x14ac:dyDescent="0.25">
      <c r="AL5327" s="6"/>
    </row>
    <row r="5328" spans="38:38" x14ac:dyDescent="0.25">
      <c r="AL5328" s="6"/>
    </row>
    <row r="5329" spans="38:38" x14ac:dyDescent="0.25">
      <c r="AL5329" s="6"/>
    </row>
    <row r="5330" spans="38:38" x14ac:dyDescent="0.25">
      <c r="AL5330" s="6"/>
    </row>
    <row r="5331" spans="38:38" x14ac:dyDescent="0.25">
      <c r="AL5331" s="6"/>
    </row>
    <row r="5332" spans="38:38" x14ac:dyDescent="0.25">
      <c r="AL5332" s="6"/>
    </row>
    <row r="5333" spans="38:38" x14ac:dyDescent="0.25">
      <c r="AL5333" s="6"/>
    </row>
    <row r="5334" spans="38:38" x14ac:dyDescent="0.25">
      <c r="AL5334" s="6"/>
    </row>
    <row r="5335" spans="38:38" x14ac:dyDescent="0.25">
      <c r="AL5335" s="6"/>
    </row>
    <row r="5336" spans="38:38" x14ac:dyDescent="0.25">
      <c r="AL5336" s="6"/>
    </row>
    <row r="5337" spans="38:38" x14ac:dyDescent="0.25">
      <c r="AL5337" s="6"/>
    </row>
    <row r="5338" spans="38:38" x14ac:dyDescent="0.25">
      <c r="AL5338" s="6"/>
    </row>
    <row r="5339" spans="38:38" x14ac:dyDescent="0.25">
      <c r="AL5339" s="6"/>
    </row>
    <row r="5340" spans="38:38" x14ac:dyDescent="0.25">
      <c r="AL5340" s="6"/>
    </row>
    <row r="5341" spans="38:38" x14ac:dyDescent="0.25">
      <c r="AL5341" s="6"/>
    </row>
    <row r="5342" spans="38:38" x14ac:dyDescent="0.25">
      <c r="AL5342" s="6"/>
    </row>
    <row r="5343" spans="38:38" x14ac:dyDescent="0.25">
      <c r="AL5343" s="6"/>
    </row>
    <row r="5344" spans="38:38" x14ac:dyDescent="0.25">
      <c r="AL5344" s="6"/>
    </row>
    <row r="5345" spans="38:38" x14ac:dyDescent="0.25">
      <c r="AL5345" s="6"/>
    </row>
    <row r="5346" spans="38:38" x14ac:dyDescent="0.25">
      <c r="AL5346" s="6"/>
    </row>
    <row r="5347" spans="38:38" x14ac:dyDescent="0.25">
      <c r="AL5347" s="6"/>
    </row>
    <row r="5348" spans="38:38" x14ac:dyDescent="0.25">
      <c r="AL5348" s="6"/>
    </row>
    <row r="5349" spans="38:38" x14ac:dyDescent="0.25">
      <c r="AL5349" s="6"/>
    </row>
    <row r="5350" spans="38:38" x14ac:dyDescent="0.25">
      <c r="AL5350" s="6"/>
    </row>
    <row r="5351" spans="38:38" x14ac:dyDescent="0.25">
      <c r="AL5351" s="6"/>
    </row>
    <row r="5352" spans="38:38" x14ac:dyDescent="0.25">
      <c r="AL5352" s="6"/>
    </row>
    <row r="5353" spans="38:38" x14ac:dyDescent="0.25">
      <c r="AL5353" s="6"/>
    </row>
    <row r="5354" spans="38:38" x14ac:dyDescent="0.25">
      <c r="AL5354" s="6"/>
    </row>
    <row r="5355" spans="38:38" x14ac:dyDescent="0.25">
      <c r="AL5355" s="6"/>
    </row>
    <row r="5356" spans="38:38" x14ac:dyDescent="0.25">
      <c r="AL5356" s="6"/>
    </row>
    <row r="5357" spans="38:38" x14ac:dyDescent="0.25">
      <c r="AL5357" s="6"/>
    </row>
    <row r="5358" spans="38:38" x14ac:dyDescent="0.25">
      <c r="AL5358" s="6"/>
    </row>
    <row r="5359" spans="38:38" x14ac:dyDescent="0.25">
      <c r="AL5359" s="6"/>
    </row>
    <row r="5360" spans="38:38" x14ac:dyDescent="0.25">
      <c r="AL5360" s="6"/>
    </row>
    <row r="5361" spans="38:38" x14ac:dyDescent="0.25">
      <c r="AL5361" s="6"/>
    </row>
    <row r="5362" spans="38:38" x14ac:dyDescent="0.25">
      <c r="AL5362" s="6"/>
    </row>
    <row r="5363" spans="38:38" x14ac:dyDescent="0.25">
      <c r="AL5363" s="6"/>
    </row>
    <row r="5364" spans="38:38" x14ac:dyDescent="0.25">
      <c r="AL5364" s="6"/>
    </row>
    <row r="5365" spans="38:38" x14ac:dyDescent="0.25">
      <c r="AL5365" s="6"/>
    </row>
    <row r="5366" spans="38:38" x14ac:dyDescent="0.25">
      <c r="AL5366" s="6"/>
    </row>
    <row r="5367" spans="38:38" x14ac:dyDescent="0.25">
      <c r="AL5367" s="6"/>
    </row>
    <row r="5368" spans="38:38" x14ac:dyDescent="0.25">
      <c r="AL5368" s="6"/>
    </row>
    <row r="5369" spans="38:38" x14ac:dyDescent="0.25">
      <c r="AL5369" s="6"/>
    </row>
    <row r="5370" spans="38:38" x14ac:dyDescent="0.25">
      <c r="AL5370" s="6"/>
    </row>
    <row r="5371" spans="38:38" x14ac:dyDescent="0.25">
      <c r="AL5371" s="6"/>
    </row>
    <row r="5372" spans="38:38" x14ac:dyDescent="0.25">
      <c r="AL5372" s="6"/>
    </row>
    <row r="5373" spans="38:38" x14ac:dyDescent="0.25">
      <c r="AL5373" s="6"/>
    </row>
    <row r="5374" spans="38:38" x14ac:dyDescent="0.25">
      <c r="AL5374" s="6"/>
    </row>
    <row r="5375" spans="38:38" x14ac:dyDescent="0.25">
      <c r="AL5375" s="6"/>
    </row>
    <row r="5376" spans="38:38" x14ac:dyDescent="0.25">
      <c r="AL5376" s="6"/>
    </row>
    <row r="5377" spans="38:38" x14ac:dyDescent="0.25">
      <c r="AL5377" s="6"/>
    </row>
    <row r="5378" spans="38:38" x14ac:dyDescent="0.25">
      <c r="AL5378" s="6"/>
    </row>
    <row r="5379" spans="38:38" x14ac:dyDescent="0.25">
      <c r="AL5379" s="6"/>
    </row>
    <row r="5380" spans="38:38" x14ac:dyDescent="0.25">
      <c r="AL5380" s="6"/>
    </row>
    <row r="5381" spans="38:38" x14ac:dyDescent="0.25">
      <c r="AL5381" s="6"/>
    </row>
    <row r="5382" spans="38:38" x14ac:dyDescent="0.25">
      <c r="AL5382" s="6"/>
    </row>
    <row r="5383" spans="38:38" x14ac:dyDescent="0.25">
      <c r="AL5383" s="6"/>
    </row>
    <row r="5384" spans="38:38" x14ac:dyDescent="0.25">
      <c r="AL5384" s="6"/>
    </row>
    <row r="5385" spans="38:38" x14ac:dyDescent="0.25">
      <c r="AL5385" s="6"/>
    </row>
    <row r="5386" spans="38:38" x14ac:dyDescent="0.25">
      <c r="AL5386" s="6"/>
    </row>
    <row r="5387" spans="38:38" x14ac:dyDescent="0.25">
      <c r="AL5387" s="6"/>
    </row>
    <row r="5388" spans="38:38" x14ac:dyDescent="0.25">
      <c r="AL5388" s="6"/>
    </row>
    <row r="5389" spans="38:38" x14ac:dyDescent="0.25">
      <c r="AL5389" s="6"/>
    </row>
    <row r="5390" spans="38:38" x14ac:dyDescent="0.25">
      <c r="AL5390" s="6"/>
    </row>
    <row r="5391" spans="38:38" x14ac:dyDescent="0.25">
      <c r="AL5391" s="6"/>
    </row>
    <row r="5392" spans="38:38" x14ac:dyDescent="0.25">
      <c r="AL5392" s="6"/>
    </row>
    <row r="5393" spans="38:38" x14ac:dyDescent="0.25">
      <c r="AL5393" s="6"/>
    </row>
    <row r="5394" spans="38:38" x14ac:dyDescent="0.25">
      <c r="AL5394" s="6"/>
    </row>
    <row r="5395" spans="38:38" x14ac:dyDescent="0.25">
      <c r="AL5395" s="6"/>
    </row>
    <row r="5396" spans="38:38" x14ac:dyDescent="0.25">
      <c r="AL5396" s="6"/>
    </row>
    <row r="5397" spans="38:38" x14ac:dyDescent="0.25">
      <c r="AL5397" s="6"/>
    </row>
    <row r="5398" spans="38:38" x14ac:dyDescent="0.25">
      <c r="AL5398" s="6"/>
    </row>
    <row r="5399" spans="38:38" x14ac:dyDescent="0.25">
      <c r="AL5399" s="6"/>
    </row>
    <row r="5400" spans="38:38" x14ac:dyDescent="0.25">
      <c r="AL5400" s="6"/>
    </row>
    <row r="5401" spans="38:38" x14ac:dyDescent="0.25">
      <c r="AL5401" s="6"/>
    </row>
    <row r="5402" spans="38:38" x14ac:dyDescent="0.25">
      <c r="AL5402" s="6"/>
    </row>
    <row r="5403" spans="38:38" x14ac:dyDescent="0.25">
      <c r="AL5403" s="6"/>
    </row>
    <row r="5404" spans="38:38" x14ac:dyDescent="0.25">
      <c r="AL5404" s="6"/>
    </row>
    <row r="5405" spans="38:38" x14ac:dyDescent="0.25">
      <c r="AL5405" s="6"/>
    </row>
    <row r="5406" spans="38:38" x14ac:dyDescent="0.25">
      <c r="AL5406" s="6"/>
    </row>
    <row r="5407" spans="38:38" x14ac:dyDescent="0.25">
      <c r="AL5407" s="6"/>
    </row>
    <row r="5408" spans="38:38" x14ac:dyDescent="0.25">
      <c r="AL5408" s="6"/>
    </row>
    <row r="5409" spans="38:38" x14ac:dyDescent="0.25">
      <c r="AL5409" s="6"/>
    </row>
    <row r="5410" spans="38:38" x14ac:dyDescent="0.25">
      <c r="AL5410" s="6"/>
    </row>
    <row r="5411" spans="38:38" x14ac:dyDescent="0.25">
      <c r="AL5411" s="6"/>
    </row>
    <row r="5412" spans="38:38" x14ac:dyDescent="0.25">
      <c r="AL5412" s="6"/>
    </row>
    <row r="5413" spans="38:38" x14ac:dyDescent="0.25">
      <c r="AL5413" s="6"/>
    </row>
    <row r="5414" spans="38:38" x14ac:dyDescent="0.25">
      <c r="AL5414" s="6"/>
    </row>
    <row r="5415" spans="38:38" x14ac:dyDescent="0.25">
      <c r="AL5415" s="6"/>
    </row>
    <row r="5416" spans="38:38" x14ac:dyDescent="0.25">
      <c r="AL5416" s="6"/>
    </row>
    <row r="5417" spans="38:38" x14ac:dyDescent="0.25">
      <c r="AL5417" s="6"/>
    </row>
    <row r="5418" spans="38:38" x14ac:dyDescent="0.25">
      <c r="AL5418" s="6"/>
    </row>
    <row r="5419" spans="38:38" x14ac:dyDescent="0.25">
      <c r="AL5419" s="6"/>
    </row>
    <row r="5420" spans="38:38" x14ac:dyDescent="0.25">
      <c r="AL5420" s="6"/>
    </row>
    <row r="5421" spans="38:38" x14ac:dyDescent="0.25">
      <c r="AL5421" s="6"/>
    </row>
    <row r="5422" spans="38:38" x14ac:dyDescent="0.25">
      <c r="AL5422" s="6"/>
    </row>
    <row r="5423" spans="38:38" x14ac:dyDescent="0.25">
      <c r="AL5423" s="6"/>
    </row>
    <row r="5424" spans="38:38" x14ac:dyDescent="0.25">
      <c r="AL5424" s="6"/>
    </row>
    <row r="5425" spans="38:38" x14ac:dyDescent="0.25">
      <c r="AL5425" s="6"/>
    </row>
    <row r="5426" spans="38:38" x14ac:dyDescent="0.25">
      <c r="AL5426" s="6"/>
    </row>
    <row r="5427" spans="38:38" x14ac:dyDescent="0.25">
      <c r="AL5427" s="6"/>
    </row>
    <row r="5428" spans="38:38" x14ac:dyDescent="0.25">
      <c r="AL5428" s="6"/>
    </row>
    <row r="5429" spans="38:38" x14ac:dyDescent="0.25">
      <c r="AL5429" s="6"/>
    </row>
    <row r="5430" spans="38:38" x14ac:dyDescent="0.25">
      <c r="AL5430" s="6"/>
    </row>
    <row r="5431" spans="38:38" x14ac:dyDescent="0.25">
      <c r="AL5431" s="6"/>
    </row>
    <row r="5432" spans="38:38" x14ac:dyDescent="0.25">
      <c r="AL5432" s="6"/>
    </row>
    <row r="5433" spans="38:38" x14ac:dyDescent="0.25">
      <c r="AL5433" s="6"/>
    </row>
    <row r="5434" spans="38:38" x14ac:dyDescent="0.25">
      <c r="AL5434" s="6"/>
    </row>
    <row r="5435" spans="38:38" x14ac:dyDescent="0.25">
      <c r="AL5435" s="6"/>
    </row>
    <row r="5436" spans="38:38" x14ac:dyDescent="0.25">
      <c r="AL5436" s="6"/>
    </row>
    <row r="5437" spans="38:38" x14ac:dyDescent="0.25">
      <c r="AL5437" s="6"/>
    </row>
    <row r="5438" spans="38:38" x14ac:dyDescent="0.25">
      <c r="AL5438" s="6"/>
    </row>
    <row r="5439" spans="38:38" x14ac:dyDescent="0.25">
      <c r="AL5439" s="6"/>
    </row>
    <row r="5440" spans="38:38" x14ac:dyDescent="0.25">
      <c r="AL5440" s="6"/>
    </row>
    <row r="5441" spans="38:38" x14ac:dyDescent="0.25">
      <c r="AL5441" s="6"/>
    </row>
    <row r="5442" spans="38:38" x14ac:dyDescent="0.25">
      <c r="AL5442" s="6"/>
    </row>
    <row r="5443" spans="38:38" x14ac:dyDescent="0.25">
      <c r="AL5443" s="6"/>
    </row>
    <row r="5444" spans="38:38" x14ac:dyDescent="0.25">
      <c r="AL5444" s="6"/>
    </row>
    <row r="5445" spans="38:38" x14ac:dyDescent="0.25">
      <c r="AL5445" s="6"/>
    </row>
    <row r="5446" spans="38:38" x14ac:dyDescent="0.25">
      <c r="AL5446" s="6"/>
    </row>
    <row r="5447" spans="38:38" x14ac:dyDescent="0.25">
      <c r="AL5447" s="6"/>
    </row>
    <row r="5448" spans="38:38" x14ac:dyDescent="0.25">
      <c r="AL5448" s="6"/>
    </row>
    <row r="5449" spans="38:38" x14ac:dyDescent="0.25">
      <c r="AL5449" s="6"/>
    </row>
    <row r="5450" spans="38:38" x14ac:dyDescent="0.25">
      <c r="AL5450" s="6"/>
    </row>
    <row r="5451" spans="38:38" x14ac:dyDescent="0.25">
      <c r="AL5451" s="6"/>
    </row>
    <row r="5452" spans="38:38" x14ac:dyDescent="0.25">
      <c r="AL5452" s="6"/>
    </row>
    <row r="5453" spans="38:38" x14ac:dyDescent="0.25">
      <c r="AL5453" s="6"/>
    </row>
    <row r="5454" spans="38:38" x14ac:dyDescent="0.25">
      <c r="AL5454" s="6"/>
    </row>
    <row r="5455" spans="38:38" x14ac:dyDescent="0.25">
      <c r="AL5455" s="6"/>
    </row>
    <row r="5456" spans="38:38" x14ac:dyDescent="0.25">
      <c r="AL5456" s="6"/>
    </row>
    <row r="5457" spans="38:38" x14ac:dyDescent="0.25">
      <c r="AL5457" s="6"/>
    </row>
    <row r="5458" spans="38:38" x14ac:dyDescent="0.25">
      <c r="AL5458" s="6"/>
    </row>
    <row r="5459" spans="38:38" x14ac:dyDescent="0.25">
      <c r="AL5459" s="6"/>
    </row>
    <row r="5460" spans="38:38" x14ac:dyDescent="0.25">
      <c r="AL5460" s="6"/>
    </row>
    <row r="5461" spans="38:38" x14ac:dyDescent="0.25">
      <c r="AL5461" s="6"/>
    </row>
    <row r="5462" spans="38:38" x14ac:dyDescent="0.25">
      <c r="AL5462" s="6"/>
    </row>
    <row r="5463" spans="38:38" x14ac:dyDescent="0.25">
      <c r="AL5463" s="6"/>
    </row>
    <row r="5464" spans="38:38" x14ac:dyDescent="0.25">
      <c r="AL5464" s="6"/>
    </row>
    <row r="5465" spans="38:38" x14ac:dyDescent="0.25">
      <c r="AL5465" s="6"/>
    </row>
    <row r="5466" spans="38:38" x14ac:dyDescent="0.25">
      <c r="AL5466" s="6"/>
    </row>
    <row r="5467" spans="38:38" x14ac:dyDescent="0.25">
      <c r="AL5467" s="6"/>
    </row>
    <row r="5468" spans="38:38" x14ac:dyDescent="0.25">
      <c r="AL5468" s="6"/>
    </row>
    <row r="5469" spans="38:38" x14ac:dyDescent="0.25">
      <c r="AL5469" s="6"/>
    </row>
    <row r="5470" spans="38:38" x14ac:dyDescent="0.25">
      <c r="AL5470" s="6"/>
    </row>
    <row r="5471" spans="38:38" x14ac:dyDescent="0.25">
      <c r="AL5471" s="6"/>
    </row>
    <row r="5472" spans="38:38" x14ac:dyDescent="0.25">
      <c r="AL5472" s="6"/>
    </row>
    <row r="5473" spans="38:38" x14ac:dyDescent="0.25">
      <c r="AL5473" s="6"/>
    </row>
    <row r="5474" spans="38:38" x14ac:dyDescent="0.25">
      <c r="AL5474" s="6"/>
    </row>
    <row r="5475" spans="38:38" x14ac:dyDescent="0.25">
      <c r="AL5475" s="6"/>
    </row>
    <row r="5476" spans="38:38" x14ac:dyDescent="0.25">
      <c r="AL5476" s="6"/>
    </row>
    <row r="5477" spans="38:38" x14ac:dyDescent="0.25">
      <c r="AL5477" s="6"/>
    </row>
    <row r="5478" spans="38:38" x14ac:dyDescent="0.25">
      <c r="AL5478" s="6"/>
    </row>
    <row r="5479" spans="38:38" x14ac:dyDescent="0.25">
      <c r="AL5479" s="6"/>
    </row>
    <row r="5480" spans="38:38" x14ac:dyDescent="0.25">
      <c r="AL5480" s="6"/>
    </row>
    <row r="5481" spans="38:38" x14ac:dyDescent="0.25">
      <c r="AL5481" s="6"/>
    </row>
    <row r="5482" spans="38:38" x14ac:dyDescent="0.25">
      <c r="AL5482" s="6"/>
    </row>
    <row r="5483" spans="38:38" x14ac:dyDescent="0.25">
      <c r="AL5483" s="6"/>
    </row>
    <row r="5484" spans="38:38" x14ac:dyDescent="0.25">
      <c r="AL5484" s="6"/>
    </row>
    <row r="5485" spans="38:38" x14ac:dyDescent="0.25">
      <c r="AL5485" s="6"/>
    </row>
    <row r="5486" spans="38:38" x14ac:dyDescent="0.25">
      <c r="AL5486" s="6"/>
    </row>
    <row r="5487" spans="38:38" x14ac:dyDescent="0.25">
      <c r="AL5487" s="6"/>
    </row>
    <row r="5488" spans="38:38" x14ac:dyDescent="0.25">
      <c r="AL5488" s="6"/>
    </row>
    <row r="5489" spans="38:38" x14ac:dyDescent="0.25">
      <c r="AL5489" s="6"/>
    </row>
    <row r="5490" spans="38:38" x14ac:dyDescent="0.25">
      <c r="AL5490" s="6"/>
    </row>
    <row r="5491" spans="38:38" x14ac:dyDescent="0.25">
      <c r="AL5491" s="6"/>
    </row>
    <row r="5492" spans="38:38" x14ac:dyDescent="0.25">
      <c r="AL5492" s="6"/>
    </row>
    <row r="5493" spans="38:38" x14ac:dyDescent="0.25">
      <c r="AL5493" s="6"/>
    </row>
    <row r="5494" spans="38:38" x14ac:dyDescent="0.25">
      <c r="AL5494" s="6"/>
    </row>
    <row r="5495" spans="38:38" x14ac:dyDescent="0.25">
      <c r="AL5495" s="6"/>
    </row>
    <row r="5496" spans="38:38" x14ac:dyDescent="0.25">
      <c r="AL5496" s="6"/>
    </row>
    <row r="5497" spans="38:38" x14ac:dyDescent="0.25">
      <c r="AL5497" s="6"/>
    </row>
    <row r="5498" spans="38:38" x14ac:dyDescent="0.25">
      <c r="AL5498" s="6"/>
    </row>
    <row r="5499" spans="38:38" x14ac:dyDescent="0.25">
      <c r="AL5499" s="6"/>
    </row>
    <row r="5500" spans="38:38" x14ac:dyDescent="0.25">
      <c r="AL5500" s="6"/>
    </row>
    <row r="5501" spans="38:38" x14ac:dyDescent="0.25">
      <c r="AL5501" s="6"/>
    </row>
    <row r="5502" spans="38:38" x14ac:dyDescent="0.25">
      <c r="AL5502" s="6"/>
    </row>
    <row r="5503" spans="38:38" x14ac:dyDescent="0.25">
      <c r="AL5503" s="6"/>
    </row>
    <row r="5504" spans="38:38" x14ac:dyDescent="0.25">
      <c r="AL5504" s="6"/>
    </row>
    <row r="5505" spans="38:38" x14ac:dyDescent="0.25">
      <c r="AL5505" s="6"/>
    </row>
    <row r="5506" spans="38:38" x14ac:dyDescent="0.25">
      <c r="AL5506" s="6"/>
    </row>
    <row r="5507" spans="38:38" x14ac:dyDescent="0.25">
      <c r="AL5507" s="6"/>
    </row>
    <row r="5508" spans="38:38" x14ac:dyDescent="0.25">
      <c r="AL5508" s="6"/>
    </row>
    <row r="5509" spans="38:38" x14ac:dyDescent="0.25">
      <c r="AL5509" s="6"/>
    </row>
    <row r="5510" spans="38:38" x14ac:dyDescent="0.25">
      <c r="AL5510" s="6"/>
    </row>
    <row r="5511" spans="38:38" x14ac:dyDescent="0.25">
      <c r="AL5511" s="6"/>
    </row>
    <row r="5512" spans="38:38" x14ac:dyDescent="0.25">
      <c r="AL5512" s="6"/>
    </row>
    <row r="5513" spans="38:38" x14ac:dyDescent="0.25">
      <c r="AL5513" s="6"/>
    </row>
    <row r="5514" spans="38:38" x14ac:dyDescent="0.25">
      <c r="AL5514" s="6"/>
    </row>
    <row r="5515" spans="38:38" x14ac:dyDescent="0.25">
      <c r="AL5515" s="6"/>
    </row>
    <row r="5516" spans="38:38" x14ac:dyDescent="0.25">
      <c r="AL5516" s="6"/>
    </row>
    <row r="5517" spans="38:38" x14ac:dyDescent="0.25">
      <c r="AL5517" s="6"/>
    </row>
    <row r="5518" spans="38:38" x14ac:dyDescent="0.25">
      <c r="AL5518" s="6"/>
    </row>
    <row r="5519" spans="38:38" x14ac:dyDescent="0.25">
      <c r="AL5519" s="6"/>
    </row>
    <row r="5520" spans="38:38" x14ac:dyDescent="0.25">
      <c r="AL5520" s="6"/>
    </row>
    <row r="5521" spans="38:38" x14ac:dyDescent="0.25">
      <c r="AL5521" s="6"/>
    </row>
    <row r="5522" spans="38:38" x14ac:dyDescent="0.25">
      <c r="AL5522" s="6"/>
    </row>
    <row r="5523" spans="38:38" x14ac:dyDescent="0.25">
      <c r="AL5523" s="6"/>
    </row>
    <row r="5524" spans="38:38" x14ac:dyDescent="0.25">
      <c r="AL5524" s="6"/>
    </row>
    <row r="5525" spans="38:38" x14ac:dyDescent="0.25">
      <c r="AL5525" s="6"/>
    </row>
    <row r="5526" spans="38:38" x14ac:dyDescent="0.25">
      <c r="AL5526" s="6"/>
    </row>
    <row r="5527" spans="38:38" x14ac:dyDescent="0.25">
      <c r="AL5527" s="6"/>
    </row>
    <row r="5528" spans="38:38" x14ac:dyDescent="0.25">
      <c r="AL5528" s="6"/>
    </row>
    <row r="5529" spans="38:38" x14ac:dyDescent="0.25">
      <c r="AL5529" s="6"/>
    </row>
    <row r="5530" spans="38:38" x14ac:dyDescent="0.25">
      <c r="AL5530" s="6"/>
    </row>
    <row r="5531" spans="38:38" x14ac:dyDescent="0.25">
      <c r="AL5531" s="6"/>
    </row>
    <row r="5532" spans="38:38" x14ac:dyDescent="0.25">
      <c r="AL5532" s="6"/>
    </row>
    <row r="5533" spans="38:38" x14ac:dyDescent="0.25">
      <c r="AL5533" s="6"/>
    </row>
    <row r="5534" spans="38:38" x14ac:dyDescent="0.25">
      <c r="AL5534" s="6"/>
    </row>
    <row r="5535" spans="38:38" x14ac:dyDescent="0.25">
      <c r="AL5535" s="6"/>
    </row>
    <row r="5536" spans="38:38" x14ac:dyDescent="0.25">
      <c r="AL5536" s="6"/>
    </row>
    <row r="5537" spans="38:38" x14ac:dyDescent="0.25">
      <c r="AL5537" s="6"/>
    </row>
    <row r="5538" spans="38:38" x14ac:dyDescent="0.25">
      <c r="AL5538" s="6"/>
    </row>
    <row r="5539" spans="38:38" x14ac:dyDescent="0.25">
      <c r="AL5539" s="6"/>
    </row>
    <row r="5540" spans="38:38" x14ac:dyDescent="0.25">
      <c r="AL5540" s="6"/>
    </row>
    <row r="5541" spans="38:38" x14ac:dyDescent="0.25">
      <c r="AL5541" s="6"/>
    </row>
    <row r="5542" spans="38:38" x14ac:dyDescent="0.25">
      <c r="AL5542" s="6"/>
    </row>
    <row r="5543" spans="38:38" x14ac:dyDescent="0.25">
      <c r="AL5543" s="6"/>
    </row>
    <row r="5544" spans="38:38" x14ac:dyDescent="0.25">
      <c r="AL5544" s="6"/>
    </row>
    <row r="5545" spans="38:38" x14ac:dyDescent="0.25">
      <c r="AL5545" s="6"/>
    </row>
    <row r="5546" spans="38:38" x14ac:dyDescent="0.25">
      <c r="AL5546" s="6"/>
    </row>
    <row r="5547" spans="38:38" x14ac:dyDescent="0.25">
      <c r="AL5547" s="6"/>
    </row>
    <row r="5548" spans="38:38" x14ac:dyDescent="0.25">
      <c r="AL5548" s="6"/>
    </row>
    <row r="5549" spans="38:38" x14ac:dyDescent="0.25">
      <c r="AL5549" s="6"/>
    </row>
    <row r="5550" spans="38:38" x14ac:dyDescent="0.25">
      <c r="AL5550" s="6"/>
    </row>
    <row r="5551" spans="38:38" x14ac:dyDescent="0.25">
      <c r="AL5551" s="6"/>
    </row>
    <row r="5552" spans="38:38" x14ac:dyDescent="0.25">
      <c r="AL5552" s="6"/>
    </row>
    <row r="5553" spans="38:38" x14ac:dyDescent="0.25">
      <c r="AL5553" s="6"/>
    </row>
    <row r="5554" spans="38:38" x14ac:dyDescent="0.25">
      <c r="AL5554" s="6"/>
    </row>
    <row r="5555" spans="38:38" x14ac:dyDescent="0.25">
      <c r="AL5555" s="6"/>
    </row>
    <row r="5556" spans="38:38" x14ac:dyDescent="0.25">
      <c r="AL5556" s="6"/>
    </row>
    <row r="5557" spans="38:38" x14ac:dyDescent="0.25">
      <c r="AL5557" s="6"/>
    </row>
    <row r="5558" spans="38:38" x14ac:dyDescent="0.25">
      <c r="AL5558" s="6"/>
    </row>
    <row r="5559" spans="38:38" x14ac:dyDescent="0.25">
      <c r="AL5559" s="6"/>
    </row>
    <row r="5560" spans="38:38" x14ac:dyDescent="0.25">
      <c r="AL5560" s="6"/>
    </row>
    <row r="5561" spans="38:38" x14ac:dyDescent="0.25">
      <c r="AL5561" s="6"/>
    </row>
    <row r="5562" spans="38:38" x14ac:dyDescent="0.25">
      <c r="AL5562" s="6"/>
    </row>
    <row r="5563" spans="38:38" x14ac:dyDescent="0.25">
      <c r="AL5563" s="6"/>
    </row>
    <row r="5564" spans="38:38" x14ac:dyDescent="0.25">
      <c r="AL5564" s="6"/>
    </row>
    <row r="5565" spans="38:38" x14ac:dyDescent="0.25">
      <c r="AL5565" s="6"/>
    </row>
    <row r="5566" spans="38:38" x14ac:dyDescent="0.25">
      <c r="AL5566" s="6"/>
    </row>
    <row r="5567" spans="38:38" x14ac:dyDescent="0.25">
      <c r="AL5567" s="6"/>
    </row>
    <row r="5568" spans="38:38" x14ac:dyDescent="0.25">
      <c r="AL5568" s="6"/>
    </row>
    <row r="5569" spans="38:38" x14ac:dyDescent="0.25">
      <c r="AL5569" s="6"/>
    </row>
    <row r="5570" spans="38:38" x14ac:dyDescent="0.25">
      <c r="AL5570" s="6"/>
    </row>
    <row r="5571" spans="38:38" x14ac:dyDescent="0.25">
      <c r="AL5571" s="6"/>
    </row>
    <row r="5572" spans="38:38" x14ac:dyDescent="0.25">
      <c r="AL5572" s="6"/>
    </row>
    <row r="5573" spans="38:38" x14ac:dyDescent="0.25">
      <c r="AL5573" s="6"/>
    </row>
    <row r="5574" spans="38:38" x14ac:dyDescent="0.25">
      <c r="AL5574" s="6"/>
    </row>
    <row r="5575" spans="38:38" x14ac:dyDescent="0.25">
      <c r="AL5575" s="6"/>
    </row>
    <row r="5576" spans="38:38" x14ac:dyDescent="0.25">
      <c r="AL5576" s="6"/>
    </row>
    <row r="5577" spans="38:38" x14ac:dyDescent="0.25">
      <c r="AL5577" s="6"/>
    </row>
    <row r="5578" spans="38:38" x14ac:dyDescent="0.25">
      <c r="AL5578" s="6"/>
    </row>
    <row r="5579" spans="38:38" x14ac:dyDescent="0.25">
      <c r="AL5579" s="6"/>
    </row>
    <row r="5580" spans="38:38" x14ac:dyDescent="0.25">
      <c r="AL5580" s="6"/>
    </row>
    <row r="5581" spans="38:38" x14ac:dyDescent="0.25">
      <c r="AL5581" s="6"/>
    </row>
    <row r="5582" spans="38:38" x14ac:dyDescent="0.25">
      <c r="AL5582" s="6"/>
    </row>
    <row r="5583" spans="38:38" x14ac:dyDescent="0.25">
      <c r="AL5583" s="6"/>
    </row>
    <row r="5584" spans="38:38" x14ac:dyDescent="0.25">
      <c r="AL5584" s="6"/>
    </row>
    <row r="5585" spans="38:38" x14ac:dyDescent="0.25">
      <c r="AL5585" s="6"/>
    </row>
    <row r="5586" spans="38:38" x14ac:dyDescent="0.25">
      <c r="AL5586" s="6"/>
    </row>
    <row r="5587" spans="38:38" x14ac:dyDescent="0.25">
      <c r="AL5587" s="6"/>
    </row>
    <row r="5588" spans="38:38" x14ac:dyDescent="0.25">
      <c r="AL5588" s="6"/>
    </row>
    <row r="5589" spans="38:38" x14ac:dyDescent="0.25">
      <c r="AL5589" s="6"/>
    </row>
    <row r="5590" spans="38:38" x14ac:dyDescent="0.25">
      <c r="AL5590" s="6"/>
    </row>
    <row r="5591" spans="38:38" x14ac:dyDescent="0.25">
      <c r="AL5591" s="6"/>
    </row>
    <row r="5592" spans="38:38" x14ac:dyDescent="0.25">
      <c r="AL5592" s="6"/>
    </row>
    <row r="5593" spans="38:38" x14ac:dyDescent="0.25">
      <c r="AL5593" s="6"/>
    </row>
    <row r="5594" spans="38:38" x14ac:dyDescent="0.25">
      <c r="AL5594" s="6"/>
    </row>
    <row r="5595" spans="38:38" x14ac:dyDescent="0.25">
      <c r="AL5595" s="6"/>
    </row>
    <row r="5596" spans="38:38" x14ac:dyDescent="0.25">
      <c r="AL5596" s="6"/>
    </row>
    <row r="5597" spans="38:38" x14ac:dyDescent="0.25">
      <c r="AL5597" s="6"/>
    </row>
    <row r="5598" spans="38:38" x14ac:dyDescent="0.25">
      <c r="AL5598" s="6"/>
    </row>
    <row r="5599" spans="38:38" x14ac:dyDescent="0.25">
      <c r="AL5599" s="6"/>
    </row>
    <row r="5600" spans="38:38" x14ac:dyDescent="0.25">
      <c r="AL5600" s="6"/>
    </row>
    <row r="5601" spans="38:38" x14ac:dyDescent="0.25">
      <c r="AL5601" s="6"/>
    </row>
    <row r="5602" spans="38:38" x14ac:dyDescent="0.25">
      <c r="AL5602" s="6"/>
    </row>
    <row r="5603" spans="38:38" x14ac:dyDescent="0.25">
      <c r="AL5603" s="6"/>
    </row>
    <row r="5604" spans="38:38" x14ac:dyDescent="0.25">
      <c r="AL5604" s="6"/>
    </row>
    <row r="5605" spans="38:38" x14ac:dyDescent="0.25">
      <c r="AL5605" s="6"/>
    </row>
    <row r="5606" spans="38:38" x14ac:dyDescent="0.25">
      <c r="AL5606" s="6"/>
    </row>
    <row r="5607" spans="38:38" x14ac:dyDescent="0.25">
      <c r="AL5607" s="6"/>
    </row>
    <row r="5608" spans="38:38" x14ac:dyDescent="0.25">
      <c r="AL5608" s="6"/>
    </row>
    <row r="5609" spans="38:38" x14ac:dyDescent="0.25">
      <c r="AL5609" s="6"/>
    </row>
    <row r="5610" spans="38:38" x14ac:dyDescent="0.25">
      <c r="AL5610" s="6"/>
    </row>
    <row r="5611" spans="38:38" x14ac:dyDescent="0.25">
      <c r="AL5611" s="6"/>
    </row>
    <row r="5612" spans="38:38" x14ac:dyDescent="0.25">
      <c r="AL5612" s="6"/>
    </row>
    <row r="5613" spans="38:38" x14ac:dyDescent="0.25">
      <c r="AL5613" s="6"/>
    </row>
    <row r="5614" spans="38:38" x14ac:dyDescent="0.25">
      <c r="AL5614" s="6"/>
    </row>
    <row r="5615" spans="38:38" x14ac:dyDescent="0.25">
      <c r="AL5615" s="6"/>
    </row>
    <row r="5616" spans="38:38" x14ac:dyDescent="0.25">
      <c r="AL5616" s="6"/>
    </row>
    <row r="5617" spans="38:38" x14ac:dyDescent="0.25">
      <c r="AL5617" s="6"/>
    </row>
    <row r="5618" spans="38:38" x14ac:dyDescent="0.25">
      <c r="AL5618" s="6"/>
    </row>
    <row r="5619" spans="38:38" x14ac:dyDescent="0.25">
      <c r="AL5619" s="6"/>
    </row>
    <row r="5620" spans="38:38" x14ac:dyDescent="0.25">
      <c r="AL5620" s="6"/>
    </row>
    <row r="5621" spans="38:38" x14ac:dyDescent="0.25">
      <c r="AL5621" s="6"/>
    </row>
    <row r="5622" spans="38:38" x14ac:dyDescent="0.25">
      <c r="AL5622" s="6"/>
    </row>
    <row r="5623" spans="38:38" x14ac:dyDescent="0.25">
      <c r="AL5623" s="6"/>
    </row>
    <row r="5624" spans="38:38" x14ac:dyDescent="0.25">
      <c r="AL5624" s="6"/>
    </row>
    <row r="5625" spans="38:38" x14ac:dyDescent="0.25">
      <c r="AL5625" s="6"/>
    </row>
    <row r="5626" spans="38:38" x14ac:dyDescent="0.25">
      <c r="AL5626" s="6"/>
    </row>
    <row r="5627" spans="38:38" x14ac:dyDescent="0.25">
      <c r="AL5627" s="6"/>
    </row>
    <row r="5628" spans="38:38" x14ac:dyDescent="0.25">
      <c r="AL5628" s="6"/>
    </row>
    <row r="5629" spans="38:38" x14ac:dyDescent="0.25">
      <c r="AL5629" s="6"/>
    </row>
    <row r="5630" spans="38:38" x14ac:dyDescent="0.25">
      <c r="AL5630" s="6"/>
    </row>
    <row r="5631" spans="38:38" x14ac:dyDescent="0.25">
      <c r="AL5631" s="6"/>
    </row>
    <row r="5632" spans="38:38" x14ac:dyDescent="0.25">
      <c r="AL5632" s="6"/>
    </row>
    <row r="5633" spans="38:38" x14ac:dyDescent="0.25">
      <c r="AL5633" s="6"/>
    </row>
    <row r="5634" spans="38:38" x14ac:dyDescent="0.25">
      <c r="AL5634" s="6"/>
    </row>
    <row r="5635" spans="38:38" x14ac:dyDescent="0.25">
      <c r="AL5635" s="6"/>
    </row>
    <row r="5636" spans="38:38" x14ac:dyDescent="0.25">
      <c r="AL5636" s="6"/>
    </row>
    <row r="5637" spans="38:38" x14ac:dyDescent="0.25">
      <c r="AL5637" s="6"/>
    </row>
    <row r="5638" spans="38:38" x14ac:dyDescent="0.25">
      <c r="AL5638" s="6"/>
    </row>
    <row r="5639" spans="38:38" x14ac:dyDescent="0.25">
      <c r="AL5639" s="6"/>
    </row>
    <row r="5640" spans="38:38" x14ac:dyDescent="0.25">
      <c r="AL5640" s="6"/>
    </row>
    <row r="5641" spans="38:38" x14ac:dyDescent="0.25">
      <c r="AL5641" s="6"/>
    </row>
    <row r="5642" spans="38:38" x14ac:dyDescent="0.25">
      <c r="AL5642" s="6"/>
    </row>
    <row r="5643" spans="38:38" x14ac:dyDescent="0.25">
      <c r="AL5643" s="6"/>
    </row>
    <row r="5644" spans="38:38" x14ac:dyDescent="0.25">
      <c r="AL5644" s="6"/>
    </row>
    <row r="5645" spans="38:38" x14ac:dyDescent="0.25">
      <c r="AL5645" s="6"/>
    </row>
    <row r="5646" spans="38:38" x14ac:dyDescent="0.25">
      <c r="AL5646" s="6"/>
    </row>
    <row r="5647" spans="38:38" x14ac:dyDescent="0.25">
      <c r="AL5647" s="6"/>
    </row>
    <row r="5648" spans="38:38" x14ac:dyDescent="0.25">
      <c r="AL5648" s="6"/>
    </row>
    <row r="5649" spans="38:38" x14ac:dyDescent="0.25">
      <c r="AL5649" s="6"/>
    </row>
    <row r="5650" spans="38:38" x14ac:dyDescent="0.25">
      <c r="AL5650" s="6"/>
    </row>
    <row r="5651" spans="38:38" x14ac:dyDescent="0.25">
      <c r="AL5651" s="6"/>
    </row>
    <row r="5652" spans="38:38" x14ac:dyDescent="0.25">
      <c r="AL5652" s="6"/>
    </row>
    <row r="5653" spans="38:38" x14ac:dyDescent="0.25">
      <c r="AL5653" s="6"/>
    </row>
    <row r="5654" spans="38:38" x14ac:dyDescent="0.25">
      <c r="AL5654" s="6"/>
    </row>
    <row r="5655" spans="38:38" x14ac:dyDescent="0.25">
      <c r="AL5655" s="6"/>
    </row>
    <row r="5656" spans="38:38" x14ac:dyDescent="0.25">
      <c r="AL5656" s="6"/>
    </row>
    <row r="5657" spans="38:38" x14ac:dyDescent="0.25">
      <c r="AL5657" s="6"/>
    </row>
    <row r="5658" spans="38:38" x14ac:dyDescent="0.25">
      <c r="AL5658" s="6"/>
    </row>
    <row r="5659" spans="38:38" x14ac:dyDescent="0.25">
      <c r="AL5659" s="6"/>
    </row>
    <row r="5660" spans="38:38" x14ac:dyDescent="0.25">
      <c r="AL5660" s="6"/>
    </row>
    <row r="5661" spans="38:38" x14ac:dyDescent="0.25">
      <c r="AL5661" s="6"/>
    </row>
    <row r="5662" spans="38:38" x14ac:dyDescent="0.25">
      <c r="AL5662" s="6"/>
    </row>
    <row r="5663" spans="38:38" x14ac:dyDescent="0.25">
      <c r="AL5663" s="6"/>
    </row>
    <row r="5664" spans="38:38" x14ac:dyDescent="0.25">
      <c r="AL5664" s="6"/>
    </row>
    <row r="5665" spans="38:38" x14ac:dyDescent="0.25">
      <c r="AL5665" s="6"/>
    </row>
    <row r="5666" spans="38:38" x14ac:dyDescent="0.25">
      <c r="AL5666" s="6"/>
    </row>
    <row r="5667" spans="38:38" x14ac:dyDescent="0.25">
      <c r="AL5667" s="6"/>
    </row>
    <row r="5668" spans="38:38" x14ac:dyDescent="0.25">
      <c r="AL5668" s="6"/>
    </row>
    <row r="5669" spans="38:38" x14ac:dyDescent="0.25">
      <c r="AL5669" s="6"/>
    </row>
    <row r="5670" spans="38:38" x14ac:dyDescent="0.25">
      <c r="AL5670" s="6"/>
    </row>
    <row r="5671" spans="38:38" x14ac:dyDescent="0.25">
      <c r="AL5671" s="6"/>
    </row>
    <row r="5672" spans="38:38" x14ac:dyDescent="0.25">
      <c r="AL5672" s="6"/>
    </row>
    <row r="5673" spans="38:38" x14ac:dyDescent="0.25">
      <c r="AL5673" s="6"/>
    </row>
    <row r="5674" spans="38:38" x14ac:dyDescent="0.25">
      <c r="AL5674" s="6"/>
    </row>
    <row r="5675" spans="38:38" x14ac:dyDescent="0.25">
      <c r="AL5675" s="6"/>
    </row>
    <row r="5676" spans="38:38" x14ac:dyDescent="0.25">
      <c r="AL5676" s="6"/>
    </row>
    <row r="5677" spans="38:38" x14ac:dyDescent="0.25">
      <c r="AL5677" s="6"/>
    </row>
    <row r="5678" spans="38:38" x14ac:dyDescent="0.25">
      <c r="AL5678" s="6"/>
    </row>
    <row r="5679" spans="38:38" x14ac:dyDescent="0.25">
      <c r="AL5679" s="6"/>
    </row>
    <row r="5680" spans="38:38" x14ac:dyDescent="0.25">
      <c r="AL5680" s="6"/>
    </row>
    <row r="5681" spans="38:38" x14ac:dyDescent="0.25">
      <c r="AL5681" s="6"/>
    </row>
    <row r="5682" spans="38:38" x14ac:dyDescent="0.25">
      <c r="AL5682" s="6"/>
    </row>
    <row r="5683" spans="38:38" x14ac:dyDescent="0.25">
      <c r="AL5683" s="6"/>
    </row>
    <row r="5684" spans="38:38" x14ac:dyDescent="0.25">
      <c r="AL5684" s="6"/>
    </row>
    <row r="5685" spans="38:38" x14ac:dyDescent="0.25">
      <c r="AL5685" s="6"/>
    </row>
    <row r="5686" spans="38:38" x14ac:dyDescent="0.25">
      <c r="AL5686" s="6"/>
    </row>
    <row r="5687" spans="38:38" x14ac:dyDescent="0.25">
      <c r="AL5687" s="6"/>
    </row>
    <row r="5688" spans="38:38" x14ac:dyDescent="0.25">
      <c r="AL5688" s="6"/>
    </row>
    <row r="5689" spans="38:38" x14ac:dyDescent="0.25">
      <c r="AL5689" s="6"/>
    </row>
    <row r="5690" spans="38:38" x14ac:dyDescent="0.25">
      <c r="AL5690" s="6"/>
    </row>
    <row r="5691" spans="38:38" x14ac:dyDescent="0.25">
      <c r="AL5691" s="6"/>
    </row>
    <row r="5692" spans="38:38" x14ac:dyDescent="0.25">
      <c r="AL5692" s="6"/>
    </row>
    <row r="5693" spans="38:38" x14ac:dyDescent="0.25">
      <c r="AL5693" s="6"/>
    </row>
    <row r="5694" spans="38:38" x14ac:dyDescent="0.25">
      <c r="AL5694" s="6"/>
    </row>
    <row r="5695" spans="38:38" x14ac:dyDescent="0.25">
      <c r="AL5695" s="6"/>
    </row>
    <row r="5696" spans="38:38" x14ac:dyDescent="0.25">
      <c r="AL5696" s="6"/>
    </row>
    <row r="5697" spans="38:38" x14ac:dyDescent="0.25">
      <c r="AL5697" s="6"/>
    </row>
    <row r="5698" spans="38:38" x14ac:dyDescent="0.25">
      <c r="AL5698" s="6"/>
    </row>
    <row r="5699" spans="38:38" x14ac:dyDescent="0.25">
      <c r="AL5699" s="6"/>
    </row>
    <row r="5700" spans="38:38" x14ac:dyDescent="0.25">
      <c r="AL5700" s="6"/>
    </row>
    <row r="5701" spans="38:38" x14ac:dyDescent="0.25">
      <c r="AL5701" s="6"/>
    </row>
    <row r="5702" spans="38:38" x14ac:dyDescent="0.25">
      <c r="AL5702" s="6"/>
    </row>
    <row r="5703" spans="38:38" x14ac:dyDescent="0.25">
      <c r="AL5703" s="6"/>
    </row>
    <row r="5704" spans="38:38" x14ac:dyDescent="0.25">
      <c r="AL5704" s="6"/>
    </row>
    <row r="5705" spans="38:38" x14ac:dyDescent="0.25">
      <c r="AL5705" s="6"/>
    </row>
    <row r="5706" spans="38:38" x14ac:dyDescent="0.25">
      <c r="AL5706" s="6"/>
    </row>
    <row r="5707" spans="38:38" x14ac:dyDescent="0.25">
      <c r="AL5707" s="6"/>
    </row>
    <row r="5708" spans="38:38" x14ac:dyDescent="0.25">
      <c r="AL5708" s="6"/>
    </row>
    <row r="5709" spans="38:38" x14ac:dyDescent="0.25">
      <c r="AL5709" s="6"/>
    </row>
    <row r="5710" spans="38:38" x14ac:dyDescent="0.25">
      <c r="AL5710" s="6"/>
    </row>
    <row r="5711" spans="38:38" x14ac:dyDescent="0.25">
      <c r="AL5711" s="6"/>
    </row>
    <row r="5712" spans="38:38" x14ac:dyDescent="0.25">
      <c r="AL5712" s="6"/>
    </row>
    <row r="5713" spans="38:38" x14ac:dyDescent="0.25">
      <c r="AL5713" s="6"/>
    </row>
    <row r="5714" spans="38:38" x14ac:dyDescent="0.25">
      <c r="AL5714" s="6"/>
    </row>
    <row r="5715" spans="38:38" x14ac:dyDescent="0.25">
      <c r="AL5715" s="6"/>
    </row>
    <row r="5716" spans="38:38" x14ac:dyDescent="0.25">
      <c r="AL5716" s="6"/>
    </row>
    <row r="5717" spans="38:38" x14ac:dyDescent="0.25">
      <c r="AL5717" s="6"/>
    </row>
    <row r="5718" spans="38:38" x14ac:dyDescent="0.25">
      <c r="AL5718" s="6"/>
    </row>
    <row r="5719" spans="38:38" x14ac:dyDescent="0.25">
      <c r="AL5719" s="6"/>
    </row>
    <row r="5720" spans="38:38" x14ac:dyDescent="0.25">
      <c r="AL5720" s="6"/>
    </row>
    <row r="5721" spans="38:38" x14ac:dyDescent="0.25">
      <c r="AL5721" s="6"/>
    </row>
    <row r="5722" spans="38:38" x14ac:dyDescent="0.25">
      <c r="AL5722" s="6"/>
    </row>
    <row r="5723" spans="38:38" x14ac:dyDescent="0.25">
      <c r="AL5723" s="6"/>
    </row>
    <row r="5724" spans="38:38" x14ac:dyDescent="0.25">
      <c r="AL5724" s="6"/>
    </row>
    <row r="5725" spans="38:38" x14ac:dyDescent="0.25">
      <c r="AL5725" s="6"/>
    </row>
    <row r="5726" spans="38:38" x14ac:dyDescent="0.25">
      <c r="AL5726" s="6"/>
    </row>
    <row r="5727" spans="38:38" x14ac:dyDescent="0.25">
      <c r="AL5727" s="6"/>
    </row>
    <row r="5728" spans="38:38" x14ac:dyDescent="0.25">
      <c r="AL5728" s="6"/>
    </row>
    <row r="5729" spans="38:38" x14ac:dyDescent="0.25">
      <c r="AL5729" s="6"/>
    </row>
    <row r="5730" spans="38:38" x14ac:dyDescent="0.25">
      <c r="AL5730" s="6"/>
    </row>
    <row r="5731" spans="38:38" x14ac:dyDescent="0.25">
      <c r="AL5731" s="6"/>
    </row>
    <row r="5732" spans="38:38" x14ac:dyDescent="0.25">
      <c r="AL5732" s="6"/>
    </row>
    <row r="5733" spans="38:38" x14ac:dyDescent="0.25">
      <c r="AL5733" s="6"/>
    </row>
    <row r="5734" spans="38:38" x14ac:dyDescent="0.25">
      <c r="AL5734" s="6"/>
    </row>
    <row r="5735" spans="38:38" x14ac:dyDescent="0.25">
      <c r="AL5735" s="6"/>
    </row>
    <row r="5736" spans="38:38" x14ac:dyDescent="0.25">
      <c r="AL5736" s="6"/>
    </row>
    <row r="5737" spans="38:38" x14ac:dyDescent="0.25">
      <c r="AL5737" s="6"/>
    </row>
    <row r="5738" spans="38:38" x14ac:dyDescent="0.25">
      <c r="AL5738" s="6"/>
    </row>
    <row r="5739" spans="38:38" x14ac:dyDescent="0.25">
      <c r="AL5739" s="6"/>
    </row>
    <row r="5740" spans="38:38" x14ac:dyDescent="0.25">
      <c r="AL5740" s="6"/>
    </row>
    <row r="5741" spans="38:38" x14ac:dyDescent="0.25">
      <c r="AL5741" s="6"/>
    </row>
    <row r="5742" spans="38:38" x14ac:dyDescent="0.25">
      <c r="AL5742" s="6"/>
    </row>
    <row r="5743" spans="38:38" x14ac:dyDescent="0.25">
      <c r="AL5743" s="6"/>
    </row>
    <row r="5744" spans="38:38" x14ac:dyDescent="0.25">
      <c r="AL5744" s="6"/>
    </row>
    <row r="5745" spans="38:38" x14ac:dyDescent="0.25">
      <c r="AL5745" s="6"/>
    </row>
    <row r="5746" spans="38:38" x14ac:dyDescent="0.25">
      <c r="AL5746" s="6"/>
    </row>
    <row r="5747" spans="38:38" x14ac:dyDescent="0.25">
      <c r="AL5747" s="6"/>
    </row>
    <row r="5748" spans="38:38" x14ac:dyDescent="0.25">
      <c r="AL5748" s="6"/>
    </row>
    <row r="5749" spans="38:38" x14ac:dyDescent="0.25">
      <c r="AL5749" s="6"/>
    </row>
    <row r="5750" spans="38:38" x14ac:dyDescent="0.25">
      <c r="AL5750" s="6"/>
    </row>
    <row r="5751" spans="38:38" x14ac:dyDescent="0.25">
      <c r="AL5751" s="6"/>
    </row>
    <row r="5752" spans="38:38" x14ac:dyDescent="0.25">
      <c r="AL5752" s="6"/>
    </row>
    <row r="5753" spans="38:38" x14ac:dyDescent="0.25">
      <c r="AL5753" s="6"/>
    </row>
    <row r="5754" spans="38:38" x14ac:dyDescent="0.25">
      <c r="AL5754" s="6"/>
    </row>
    <row r="5755" spans="38:38" x14ac:dyDescent="0.25">
      <c r="AL5755" s="6"/>
    </row>
    <row r="5756" spans="38:38" x14ac:dyDescent="0.25">
      <c r="AL5756" s="6"/>
    </row>
    <row r="5757" spans="38:38" x14ac:dyDescent="0.25">
      <c r="AL5757" s="6"/>
    </row>
    <row r="5758" spans="38:38" x14ac:dyDescent="0.25">
      <c r="AL5758" s="6"/>
    </row>
    <row r="5759" spans="38:38" x14ac:dyDescent="0.25">
      <c r="AL5759" s="6"/>
    </row>
    <row r="5760" spans="38:38" x14ac:dyDescent="0.25">
      <c r="AL5760" s="6"/>
    </row>
    <row r="5761" spans="38:38" x14ac:dyDescent="0.25">
      <c r="AL5761" s="6"/>
    </row>
    <row r="5762" spans="38:38" x14ac:dyDescent="0.25">
      <c r="AL5762" s="6"/>
    </row>
    <row r="5763" spans="38:38" x14ac:dyDescent="0.25">
      <c r="AL5763" s="6"/>
    </row>
    <row r="5764" spans="38:38" x14ac:dyDescent="0.25">
      <c r="AL5764" s="6"/>
    </row>
    <row r="5765" spans="38:38" x14ac:dyDescent="0.25">
      <c r="AL5765" s="6"/>
    </row>
    <row r="5766" spans="38:38" x14ac:dyDescent="0.25">
      <c r="AL5766" s="6"/>
    </row>
    <row r="5767" spans="38:38" x14ac:dyDescent="0.25">
      <c r="AL5767" s="6"/>
    </row>
    <row r="5768" spans="38:38" x14ac:dyDescent="0.25">
      <c r="AL5768" s="6"/>
    </row>
    <row r="5769" spans="38:38" x14ac:dyDescent="0.25">
      <c r="AL5769" s="6"/>
    </row>
    <row r="5770" spans="38:38" x14ac:dyDescent="0.25">
      <c r="AL5770" s="6"/>
    </row>
    <row r="5771" spans="38:38" x14ac:dyDescent="0.25">
      <c r="AL5771" s="6"/>
    </row>
    <row r="5772" spans="38:38" x14ac:dyDescent="0.25">
      <c r="AL5772" s="6"/>
    </row>
    <row r="5773" spans="38:38" x14ac:dyDescent="0.25">
      <c r="AL5773" s="6"/>
    </row>
    <row r="5774" spans="38:38" x14ac:dyDescent="0.25">
      <c r="AL5774" s="6"/>
    </row>
    <row r="5775" spans="38:38" x14ac:dyDescent="0.25">
      <c r="AL5775" s="6"/>
    </row>
    <row r="5776" spans="38:38" x14ac:dyDescent="0.25">
      <c r="AL5776" s="6"/>
    </row>
    <row r="5777" spans="38:38" x14ac:dyDescent="0.25">
      <c r="AL5777" s="6"/>
    </row>
    <row r="5778" spans="38:38" x14ac:dyDescent="0.25">
      <c r="AL5778" s="6"/>
    </row>
    <row r="5779" spans="38:38" x14ac:dyDescent="0.25">
      <c r="AL5779" s="6"/>
    </row>
    <row r="5780" spans="38:38" x14ac:dyDescent="0.25">
      <c r="AL5780" s="6"/>
    </row>
    <row r="5781" spans="38:38" x14ac:dyDescent="0.25">
      <c r="AL5781" s="6"/>
    </row>
    <row r="5782" spans="38:38" x14ac:dyDescent="0.25">
      <c r="AL5782" s="6"/>
    </row>
    <row r="5783" spans="38:38" x14ac:dyDescent="0.25">
      <c r="AL5783" s="6"/>
    </row>
    <row r="5784" spans="38:38" x14ac:dyDescent="0.25">
      <c r="AL5784" s="6"/>
    </row>
    <row r="5785" spans="38:38" x14ac:dyDescent="0.25">
      <c r="AL5785" s="6"/>
    </row>
    <row r="5786" spans="38:38" x14ac:dyDescent="0.25">
      <c r="AL5786" s="6"/>
    </row>
    <row r="5787" spans="38:38" x14ac:dyDescent="0.25">
      <c r="AL5787" s="6"/>
    </row>
    <row r="5788" spans="38:38" x14ac:dyDescent="0.25">
      <c r="AL5788" s="6"/>
    </row>
    <row r="5789" spans="38:38" x14ac:dyDescent="0.25">
      <c r="AL5789" s="6"/>
    </row>
    <row r="5790" spans="38:38" x14ac:dyDescent="0.25">
      <c r="AL5790" s="6"/>
    </row>
    <row r="5791" spans="38:38" x14ac:dyDescent="0.25">
      <c r="AL5791" s="6"/>
    </row>
    <row r="5792" spans="38:38" x14ac:dyDescent="0.25">
      <c r="AL5792" s="6"/>
    </row>
    <row r="5793" spans="38:38" x14ac:dyDescent="0.25">
      <c r="AL5793" s="6"/>
    </row>
    <row r="5794" spans="38:38" x14ac:dyDescent="0.25">
      <c r="AL5794" s="6"/>
    </row>
    <row r="5795" spans="38:38" x14ac:dyDescent="0.25">
      <c r="AL5795" s="6"/>
    </row>
    <row r="5796" spans="38:38" x14ac:dyDescent="0.25">
      <c r="AL5796" s="6"/>
    </row>
    <row r="5797" spans="38:38" x14ac:dyDescent="0.25">
      <c r="AL5797" s="6"/>
    </row>
    <row r="5798" spans="38:38" x14ac:dyDescent="0.25">
      <c r="AL5798" s="6"/>
    </row>
    <row r="5799" spans="38:38" x14ac:dyDescent="0.25">
      <c r="AL5799" s="6"/>
    </row>
    <row r="5800" spans="38:38" x14ac:dyDescent="0.25">
      <c r="AL5800" s="6"/>
    </row>
    <row r="5801" spans="38:38" x14ac:dyDescent="0.25">
      <c r="AL5801" s="6"/>
    </row>
    <row r="5802" spans="38:38" x14ac:dyDescent="0.25">
      <c r="AL5802" s="6"/>
    </row>
    <row r="5803" spans="38:38" x14ac:dyDescent="0.25">
      <c r="AL5803" s="6"/>
    </row>
    <row r="5804" spans="38:38" x14ac:dyDescent="0.25">
      <c r="AL5804" s="6"/>
    </row>
    <row r="5805" spans="38:38" x14ac:dyDescent="0.25">
      <c r="AL5805" s="6"/>
    </row>
    <row r="5806" spans="38:38" x14ac:dyDescent="0.25">
      <c r="AL5806" s="6"/>
    </row>
    <row r="5807" spans="38:38" x14ac:dyDescent="0.25">
      <c r="AL5807" s="6"/>
    </row>
    <row r="5808" spans="38:38" x14ac:dyDescent="0.25">
      <c r="AL5808" s="6"/>
    </row>
    <row r="5809" spans="38:38" x14ac:dyDescent="0.25">
      <c r="AL5809" s="6"/>
    </row>
    <row r="5810" spans="38:38" x14ac:dyDescent="0.25">
      <c r="AL5810" s="6"/>
    </row>
    <row r="5811" spans="38:38" x14ac:dyDescent="0.25">
      <c r="AL5811" s="6"/>
    </row>
    <row r="5812" spans="38:38" x14ac:dyDescent="0.25">
      <c r="AL5812" s="6"/>
    </row>
    <row r="5813" spans="38:38" x14ac:dyDescent="0.25">
      <c r="AL5813" s="6"/>
    </row>
    <row r="5814" spans="38:38" x14ac:dyDescent="0.25">
      <c r="AL5814" s="6"/>
    </row>
    <row r="5815" spans="38:38" x14ac:dyDescent="0.25">
      <c r="AL5815" s="6"/>
    </row>
    <row r="5816" spans="38:38" x14ac:dyDescent="0.25">
      <c r="AL5816" s="6"/>
    </row>
    <row r="5817" spans="38:38" x14ac:dyDescent="0.25">
      <c r="AL5817" s="6"/>
    </row>
    <row r="5818" spans="38:38" x14ac:dyDescent="0.25">
      <c r="AL5818" s="6"/>
    </row>
    <row r="5819" spans="38:38" x14ac:dyDescent="0.25">
      <c r="AL5819" s="6"/>
    </row>
    <row r="5820" spans="38:38" x14ac:dyDescent="0.25">
      <c r="AL5820" s="6"/>
    </row>
    <row r="5821" spans="38:38" x14ac:dyDescent="0.25">
      <c r="AL5821" s="6"/>
    </row>
    <row r="5822" spans="38:38" x14ac:dyDescent="0.25">
      <c r="AL5822" s="6"/>
    </row>
    <row r="5823" spans="38:38" x14ac:dyDescent="0.25">
      <c r="AL5823" s="6"/>
    </row>
    <row r="5824" spans="38:38" x14ac:dyDescent="0.25">
      <c r="AL5824" s="6"/>
    </row>
    <row r="5825" spans="38:38" x14ac:dyDescent="0.25">
      <c r="AL5825" s="6"/>
    </row>
    <row r="5826" spans="38:38" x14ac:dyDescent="0.25">
      <c r="AL5826" s="6"/>
    </row>
    <row r="5827" spans="38:38" x14ac:dyDescent="0.25">
      <c r="AL5827" s="6"/>
    </row>
    <row r="5828" spans="38:38" x14ac:dyDescent="0.25">
      <c r="AL5828" s="6"/>
    </row>
    <row r="5829" spans="38:38" x14ac:dyDescent="0.25">
      <c r="AL5829" s="6"/>
    </row>
    <row r="5830" spans="38:38" x14ac:dyDescent="0.25">
      <c r="AL5830" s="6"/>
    </row>
    <row r="5831" spans="38:38" x14ac:dyDescent="0.25">
      <c r="AL5831" s="6"/>
    </row>
    <row r="5832" spans="38:38" x14ac:dyDescent="0.25">
      <c r="AL5832" s="6"/>
    </row>
    <row r="5833" spans="38:38" x14ac:dyDescent="0.25">
      <c r="AL5833" s="6"/>
    </row>
    <row r="5834" spans="38:38" x14ac:dyDescent="0.25">
      <c r="AL5834" s="6"/>
    </row>
    <row r="5835" spans="38:38" x14ac:dyDescent="0.25">
      <c r="AL5835" s="6"/>
    </row>
    <row r="5836" spans="38:38" x14ac:dyDescent="0.25">
      <c r="AL5836" s="6"/>
    </row>
    <row r="5837" spans="38:38" x14ac:dyDescent="0.25">
      <c r="AL5837" s="6"/>
    </row>
    <row r="5838" spans="38:38" x14ac:dyDescent="0.25">
      <c r="AL5838" s="6"/>
    </row>
    <row r="5839" spans="38:38" x14ac:dyDescent="0.25">
      <c r="AL5839" s="6"/>
    </row>
    <row r="5840" spans="38:38" x14ac:dyDescent="0.25">
      <c r="AL5840" s="6"/>
    </row>
    <row r="5841" spans="38:38" x14ac:dyDescent="0.25">
      <c r="AL5841" s="6"/>
    </row>
    <row r="5842" spans="38:38" x14ac:dyDescent="0.25">
      <c r="AL5842" s="6"/>
    </row>
    <row r="5843" spans="38:38" x14ac:dyDescent="0.25">
      <c r="AL5843" s="6"/>
    </row>
    <row r="5844" spans="38:38" x14ac:dyDescent="0.25">
      <c r="AL5844" s="6"/>
    </row>
    <row r="5845" spans="38:38" x14ac:dyDescent="0.25">
      <c r="AL5845" s="6"/>
    </row>
    <row r="5846" spans="38:38" x14ac:dyDescent="0.25">
      <c r="AL5846" s="6"/>
    </row>
    <row r="5847" spans="38:38" x14ac:dyDescent="0.25">
      <c r="AL5847" s="6"/>
    </row>
    <row r="5848" spans="38:38" x14ac:dyDescent="0.25">
      <c r="AL5848" s="6"/>
    </row>
    <row r="5849" spans="38:38" x14ac:dyDescent="0.25">
      <c r="AL5849" s="6"/>
    </row>
    <row r="5850" spans="38:38" x14ac:dyDescent="0.25">
      <c r="AL5850" s="6"/>
    </row>
    <row r="5851" spans="38:38" x14ac:dyDescent="0.25">
      <c r="AL5851" s="6"/>
    </row>
    <row r="5852" spans="38:38" x14ac:dyDescent="0.25">
      <c r="AL5852" s="6"/>
    </row>
    <row r="5853" spans="38:38" x14ac:dyDescent="0.25">
      <c r="AL5853" s="6"/>
    </row>
    <row r="5854" spans="38:38" x14ac:dyDescent="0.25">
      <c r="AL5854" s="6"/>
    </row>
    <row r="5855" spans="38:38" x14ac:dyDescent="0.25">
      <c r="AL5855" s="6"/>
    </row>
    <row r="5856" spans="38:38" x14ac:dyDescent="0.25">
      <c r="AL5856" s="6"/>
    </row>
    <row r="5857" spans="38:38" x14ac:dyDescent="0.25">
      <c r="AL5857" s="6"/>
    </row>
    <row r="5858" spans="38:38" x14ac:dyDescent="0.25">
      <c r="AL5858" s="6"/>
    </row>
    <row r="5859" spans="38:38" x14ac:dyDescent="0.25">
      <c r="AL5859" s="6"/>
    </row>
    <row r="5860" spans="38:38" x14ac:dyDescent="0.25">
      <c r="AL5860" s="6"/>
    </row>
    <row r="5861" spans="38:38" x14ac:dyDescent="0.25">
      <c r="AL5861" s="6"/>
    </row>
    <row r="5862" spans="38:38" x14ac:dyDescent="0.25">
      <c r="AL5862" s="6"/>
    </row>
    <row r="5863" spans="38:38" x14ac:dyDescent="0.25">
      <c r="AL5863" s="6"/>
    </row>
    <row r="5864" spans="38:38" x14ac:dyDescent="0.25">
      <c r="AL5864" s="6"/>
    </row>
    <row r="5865" spans="38:38" x14ac:dyDescent="0.25">
      <c r="AL5865" s="6"/>
    </row>
    <row r="5866" spans="38:38" x14ac:dyDescent="0.25">
      <c r="AL5866" s="6"/>
    </row>
    <row r="5867" spans="38:38" x14ac:dyDescent="0.25">
      <c r="AL5867" s="6"/>
    </row>
    <row r="5868" spans="38:38" x14ac:dyDescent="0.25">
      <c r="AL5868" s="6"/>
    </row>
    <row r="5869" spans="38:38" x14ac:dyDescent="0.25">
      <c r="AL5869" s="6"/>
    </row>
    <row r="5870" spans="38:38" x14ac:dyDescent="0.25">
      <c r="AL5870" s="6"/>
    </row>
    <row r="5871" spans="38:38" x14ac:dyDescent="0.25">
      <c r="AL5871" s="6"/>
    </row>
    <row r="5872" spans="38:38" x14ac:dyDescent="0.25">
      <c r="AL5872" s="6"/>
    </row>
    <row r="5873" spans="38:38" x14ac:dyDescent="0.25">
      <c r="AL5873" s="6"/>
    </row>
    <row r="5874" spans="38:38" x14ac:dyDescent="0.25">
      <c r="AL5874" s="6"/>
    </row>
    <row r="5875" spans="38:38" x14ac:dyDescent="0.25">
      <c r="AL5875" s="6"/>
    </row>
    <row r="5876" spans="38:38" x14ac:dyDescent="0.25">
      <c r="AL5876" s="6"/>
    </row>
    <row r="5877" spans="38:38" x14ac:dyDescent="0.25">
      <c r="AL5877" s="6"/>
    </row>
    <row r="5878" spans="38:38" x14ac:dyDescent="0.25">
      <c r="AL5878" s="6"/>
    </row>
    <row r="5879" spans="38:38" x14ac:dyDescent="0.25">
      <c r="AL5879" s="6"/>
    </row>
    <row r="5880" spans="38:38" x14ac:dyDescent="0.25">
      <c r="AL5880" s="6"/>
    </row>
    <row r="5881" spans="38:38" x14ac:dyDescent="0.25">
      <c r="AL5881" s="6"/>
    </row>
    <row r="5882" spans="38:38" x14ac:dyDescent="0.25">
      <c r="AL5882" s="6"/>
    </row>
    <row r="5883" spans="38:38" x14ac:dyDescent="0.25">
      <c r="AL5883" s="6"/>
    </row>
    <row r="5884" spans="38:38" x14ac:dyDescent="0.25">
      <c r="AL5884" s="6"/>
    </row>
    <row r="5885" spans="38:38" x14ac:dyDescent="0.25">
      <c r="AL5885" s="6"/>
    </row>
    <row r="5886" spans="38:38" x14ac:dyDescent="0.25">
      <c r="AL5886" s="6"/>
    </row>
    <row r="5887" spans="38:38" x14ac:dyDescent="0.25">
      <c r="AL5887" s="6"/>
    </row>
    <row r="5888" spans="38:38" x14ac:dyDescent="0.25">
      <c r="AL5888" s="6"/>
    </row>
    <row r="5889" spans="38:38" x14ac:dyDescent="0.25">
      <c r="AL5889" s="6"/>
    </row>
    <row r="5890" spans="38:38" x14ac:dyDescent="0.25">
      <c r="AL5890" s="6"/>
    </row>
    <row r="5891" spans="38:38" x14ac:dyDescent="0.25">
      <c r="AL5891" s="6"/>
    </row>
    <row r="5892" spans="38:38" x14ac:dyDescent="0.25">
      <c r="AL5892" s="6"/>
    </row>
    <row r="5893" spans="38:38" x14ac:dyDescent="0.25">
      <c r="AL5893" s="6"/>
    </row>
    <row r="5894" spans="38:38" x14ac:dyDescent="0.25">
      <c r="AL5894" s="6"/>
    </row>
    <row r="5895" spans="38:38" x14ac:dyDescent="0.25">
      <c r="AL5895" s="6"/>
    </row>
    <row r="5896" spans="38:38" x14ac:dyDescent="0.25">
      <c r="AL5896" s="6"/>
    </row>
    <row r="5897" spans="38:38" x14ac:dyDescent="0.25">
      <c r="AL5897" s="6"/>
    </row>
    <row r="5898" spans="38:38" x14ac:dyDescent="0.25">
      <c r="AL5898" s="6"/>
    </row>
    <row r="5899" spans="38:38" x14ac:dyDescent="0.25">
      <c r="AL5899" s="6"/>
    </row>
    <row r="5900" spans="38:38" x14ac:dyDescent="0.25">
      <c r="AL5900" s="6"/>
    </row>
    <row r="5901" spans="38:38" x14ac:dyDescent="0.25">
      <c r="AL5901" s="6"/>
    </row>
    <row r="5902" spans="38:38" x14ac:dyDescent="0.25">
      <c r="AL5902" s="6"/>
    </row>
    <row r="5903" spans="38:38" x14ac:dyDescent="0.25">
      <c r="AL5903" s="6"/>
    </row>
    <row r="5904" spans="38:38" x14ac:dyDescent="0.25">
      <c r="AL5904" s="6"/>
    </row>
    <row r="5905" spans="38:38" x14ac:dyDescent="0.25">
      <c r="AL5905" s="6"/>
    </row>
    <row r="5906" spans="38:38" x14ac:dyDescent="0.25">
      <c r="AL5906" s="6"/>
    </row>
    <row r="5907" spans="38:38" x14ac:dyDescent="0.25">
      <c r="AL5907" s="6"/>
    </row>
    <row r="5908" spans="38:38" x14ac:dyDescent="0.25">
      <c r="AL5908" s="6"/>
    </row>
    <row r="5909" spans="38:38" x14ac:dyDescent="0.25">
      <c r="AL5909" s="6"/>
    </row>
    <row r="5910" spans="38:38" x14ac:dyDescent="0.25">
      <c r="AL5910" s="6"/>
    </row>
    <row r="5911" spans="38:38" x14ac:dyDescent="0.25">
      <c r="AL5911" s="6"/>
    </row>
    <row r="5912" spans="38:38" x14ac:dyDescent="0.25">
      <c r="AL5912" s="6"/>
    </row>
    <row r="5913" spans="38:38" x14ac:dyDescent="0.25">
      <c r="AL5913" s="6"/>
    </row>
    <row r="5914" spans="38:38" x14ac:dyDescent="0.25">
      <c r="AL5914" s="6"/>
    </row>
    <row r="5915" spans="38:38" x14ac:dyDescent="0.25">
      <c r="AL5915" s="6"/>
    </row>
    <row r="5916" spans="38:38" x14ac:dyDescent="0.25">
      <c r="AL5916" s="6"/>
    </row>
    <row r="5917" spans="38:38" x14ac:dyDescent="0.25">
      <c r="AL5917" s="6"/>
    </row>
    <row r="5918" spans="38:38" x14ac:dyDescent="0.25">
      <c r="AL5918" s="6"/>
    </row>
    <row r="5919" spans="38:38" x14ac:dyDescent="0.25">
      <c r="AL5919" s="6"/>
    </row>
    <row r="5920" spans="38:38" x14ac:dyDescent="0.25">
      <c r="AL5920" s="6"/>
    </row>
    <row r="5921" spans="38:38" x14ac:dyDescent="0.25">
      <c r="AL5921" s="6"/>
    </row>
    <row r="5922" spans="38:38" x14ac:dyDescent="0.25">
      <c r="AL5922" s="6"/>
    </row>
    <row r="5923" spans="38:38" x14ac:dyDescent="0.25">
      <c r="AL5923" s="6"/>
    </row>
    <row r="5924" spans="38:38" x14ac:dyDescent="0.25">
      <c r="AL5924" s="6"/>
    </row>
    <row r="5925" spans="38:38" x14ac:dyDescent="0.25">
      <c r="AL5925" s="6"/>
    </row>
    <row r="5926" spans="38:38" x14ac:dyDescent="0.25">
      <c r="AL5926" s="6"/>
    </row>
    <row r="5927" spans="38:38" x14ac:dyDescent="0.25">
      <c r="AL5927" s="6"/>
    </row>
    <row r="5928" spans="38:38" x14ac:dyDescent="0.25">
      <c r="AL5928" s="6"/>
    </row>
    <row r="5929" spans="38:38" x14ac:dyDescent="0.25">
      <c r="AL5929" s="6"/>
    </row>
    <row r="5930" spans="38:38" x14ac:dyDescent="0.25">
      <c r="AL5930" s="6"/>
    </row>
    <row r="5931" spans="38:38" x14ac:dyDescent="0.25">
      <c r="AL5931" s="6"/>
    </row>
    <row r="5932" spans="38:38" x14ac:dyDescent="0.25">
      <c r="AL5932" s="6"/>
    </row>
    <row r="5933" spans="38:38" x14ac:dyDescent="0.25">
      <c r="AL5933" s="6"/>
    </row>
    <row r="5934" spans="38:38" x14ac:dyDescent="0.25">
      <c r="AL5934" s="6"/>
    </row>
    <row r="5935" spans="38:38" x14ac:dyDescent="0.25">
      <c r="AL5935" s="6"/>
    </row>
    <row r="5936" spans="38:38" x14ac:dyDescent="0.25">
      <c r="AL5936" s="6"/>
    </row>
    <row r="5937" spans="38:38" x14ac:dyDescent="0.25">
      <c r="AL5937" s="6"/>
    </row>
    <row r="5938" spans="38:38" x14ac:dyDescent="0.25">
      <c r="AL5938" s="6"/>
    </row>
    <row r="5939" spans="38:38" x14ac:dyDescent="0.25">
      <c r="AL5939" s="6"/>
    </row>
    <row r="5940" spans="38:38" x14ac:dyDescent="0.25">
      <c r="AL5940" s="6"/>
    </row>
    <row r="5941" spans="38:38" x14ac:dyDescent="0.25">
      <c r="AL5941" s="6"/>
    </row>
    <row r="5942" spans="38:38" x14ac:dyDescent="0.25">
      <c r="AL5942" s="6"/>
    </row>
    <row r="5943" spans="38:38" x14ac:dyDescent="0.25">
      <c r="AL5943" s="6"/>
    </row>
    <row r="5944" spans="38:38" x14ac:dyDescent="0.25">
      <c r="AL5944" s="6"/>
    </row>
    <row r="5945" spans="38:38" x14ac:dyDescent="0.25">
      <c r="AL5945" s="6"/>
    </row>
    <row r="5946" spans="38:38" x14ac:dyDescent="0.25">
      <c r="AL5946" s="6"/>
    </row>
    <row r="5947" spans="38:38" x14ac:dyDescent="0.25">
      <c r="AL5947" s="6"/>
    </row>
    <row r="5948" spans="38:38" x14ac:dyDescent="0.25">
      <c r="AL5948" s="6"/>
    </row>
    <row r="5949" spans="38:38" x14ac:dyDescent="0.25">
      <c r="AL5949" s="6"/>
    </row>
    <row r="5950" spans="38:38" x14ac:dyDescent="0.25">
      <c r="AL5950" s="6"/>
    </row>
    <row r="5951" spans="38:38" x14ac:dyDescent="0.25">
      <c r="AL5951" s="6"/>
    </row>
    <row r="5952" spans="38:38" x14ac:dyDescent="0.25">
      <c r="AL5952" s="6"/>
    </row>
    <row r="5953" spans="38:38" x14ac:dyDescent="0.25">
      <c r="AL5953" s="6"/>
    </row>
    <row r="5954" spans="38:38" x14ac:dyDescent="0.25">
      <c r="AL5954" s="6"/>
    </row>
    <row r="5955" spans="38:38" x14ac:dyDescent="0.25">
      <c r="AL5955" s="6"/>
    </row>
    <row r="5956" spans="38:38" x14ac:dyDescent="0.25">
      <c r="AL5956" s="6"/>
    </row>
    <row r="5957" spans="38:38" x14ac:dyDescent="0.25">
      <c r="AL5957" s="6"/>
    </row>
    <row r="5958" spans="38:38" x14ac:dyDescent="0.25">
      <c r="AL5958" s="6"/>
    </row>
    <row r="5959" spans="38:38" x14ac:dyDescent="0.25">
      <c r="AL5959" s="6"/>
    </row>
    <row r="5960" spans="38:38" x14ac:dyDescent="0.25">
      <c r="AL5960" s="6"/>
    </row>
    <row r="5961" spans="38:38" x14ac:dyDescent="0.25">
      <c r="AL5961" s="6"/>
    </row>
    <row r="5962" spans="38:38" x14ac:dyDescent="0.25">
      <c r="AL5962" s="6"/>
    </row>
    <row r="5963" spans="38:38" x14ac:dyDescent="0.25">
      <c r="AL5963" s="6"/>
    </row>
    <row r="5964" spans="38:38" x14ac:dyDescent="0.25">
      <c r="AL5964" s="6"/>
    </row>
    <row r="5965" spans="38:38" x14ac:dyDescent="0.25">
      <c r="AL5965" s="6"/>
    </row>
    <row r="5966" spans="38:38" x14ac:dyDescent="0.25">
      <c r="AL5966" s="6"/>
    </row>
    <row r="5967" spans="38:38" x14ac:dyDescent="0.25">
      <c r="AL5967" s="6"/>
    </row>
    <row r="5968" spans="38:38" x14ac:dyDescent="0.25">
      <c r="AL5968" s="6"/>
    </row>
    <row r="5969" spans="38:38" x14ac:dyDescent="0.25">
      <c r="AL5969" s="6"/>
    </row>
    <row r="5970" spans="38:38" x14ac:dyDescent="0.25">
      <c r="AL5970" s="6"/>
    </row>
    <row r="5971" spans="38:38" x14ac:dyDescent="0.25">
      <c r="AL5971" s="6"/>
    </row>
    <row r="5972" spans="38:38" x14ac:dyDescent="0.25">
      <c r="AL5972" s="6"/>
    </row>
    <row r="5973" spans="38:38" x14ac:dyDescent="0.25">
      <c r="AL5973" s="6"/>
    </row>
    <row r="5974" spans="38:38" x14ac:dyDescent="0.25">
      <c r="AL5974" s="6"/>
    </row>
    <row r="5975" spans="38:38" x14ac:dyDescent="0.25">
      <c r="AL5975" s="6"/>
    </row>
    <row r="5976" spans="38:38" x14ac:dyDescent="0.25">
      <c r="AL5976" s="6"/>
    </row>
    <row r="5977" spans="38:38" x14ac:dyDescent="0.25">
      <c r="AL5977" s="6"/>
    </row>
    <row r="5978" spans="38:38" x14ac:dyDescent="0.25">
      <c r="AL5978" s="6"/>
    </row>
    <row r="5979" spans="38:38" x14ac:dyDescent="0.25">
      <c r="AL5979" s="6"/>
    </row>
    <row r="5980" spans="38:38" x14ac:dyDescent="0.25">
      <c r="AL5980" s="6"/>
    </row>
    <row r="5981" spans="38:38" x14ac:dyDescent="0.25">
      <c r="AL5981" s="6"/>
    </row>
    <row r="5982" spans="38:38" x14ac:dyDescent="0.25">
      <c r="AL5982" s="6"/>
    </row>
    <row r="5983" spans="38:38" x14ac:dyDescent="0.25">
      <c r="AL5983" s="6"/>
    </row>
    <row r="5984" spans="38:38" x14ac:dyDescent="0.25">
      <c r="AL5984" s="6"/>
    </row>
    <row r="5985" spans="38:38" x14ac:dyDescent="0.25">
      <c r="AL5985" s="6"/>
    </row>
    <row r="5986" spans="38:38" x14ac:dyDescent="0.25">
      <c r="AL5986" s="6"/>
    </row>
    <row r="5987" spans="38:38" x14ac:dyDescent="0.25">
      <c r="AL5987" s="6"/>
    </row>
    <row r="5988" spans="38:38" x14ac:dyDescent="0.25">
      <c r="AL5988" s="6"/>
    </row>
    <row r="5989" spans="38:38" x14ac:dyDescent="0.25">
      <c r="AL5989" s="6"/>
    </row>
    <row r="5990" spans="38:38" x14ac:dyDescent="0.25">
      <c r="AL5990" s="6"/>
    </row>
    <row r="5991" spans="38:38" x14ac:dyDescent="0.25">
      <c r="AL5991" s="6"/>
    </row>
    <row r="5992" spans="38:38" x14ac:dyDescent="0.25">
      <c r="AL5992" s="6"/>
    </row>
    <row r="5993" spans="38:38" x14ac:dyDescent="0.25">
      <c r="AL5993" s="6"/>
    </row>
    <row r="5994" spans="38:38" x14ac:dyDescent="0.25">
      <c r="AL5994" s="6"/>
    </row>
    <row r="5995" spans="38:38" x14ac:dyDescent="0.25">
      <c r="AL5995" s="6"/>
    </row>
    <row r="5996" spans="38:38" x14ac:dyDescent="0.25">
      <c r="AL5996" s="6"/>
    </row>
    <row r="5997" spans="38:38" x14ac:dyDescent="0.25">
      <c r="AL5997" s="6"/>
    </row>
    <row r="5998" spans="38:38" x14ac:dyDescent="0.25">
      <c r="AL5998" s="6"/>
    </row>
    <row r="5999" spans="38:38" x14ac:dyDescent="0.25">
      <c r="AL5999" s="6"/>
    </row>
    <row r="6000" spans="38:38" x14ac:dyDescent="0.25">
      <c r="AL6000" s="6"/>
    </row>
    <row r="6001" spans="38:38" x14ac:dyDescent="0.25">
      <c r="AL6001" s="6"/>
    </row>
    <row r="6002" spans="38:38" x14ac:dyDescent="0.25">
      <c r="AL6002" s="6"/>
    </row>
    <row r="6003" spans="38:38" x14ac:dyDescent="0.25">
      <c r="AL6003" s="6"/>
    </row>
    <row r="6004" spans="38:38" x14ac:dyDescent="0.25">
      <c r="AL6004" s="6"/>
    </row>
    <row r="6005" spans="38:38" x14ac:dyDescent="0.25">
      <c r="AL6005" s="6"/>
    </row>
    <row r="6006" spans="38:38" x14ac:dyDescent="0.25">
      <c r="AL6006" s="6"/>
    </row>
    <row r="6007" spans="38:38" x14ac:dyDescent="0.25">
      <c r="AL6007" s="6"/>
    </row>
    <row r="6008" spans="38:38" x14ac:dyDescent="0.25">
      <c r="AL6008" s="6"/>
    </row>
    <row r="6009" spans="38:38" x14ac:dyDescent="0.25">
      <c r="AL6009" s="6"/>
    </row>
    <row r="6010" spans="38:38" x14ac:dyDescent="0.25">
      <c r="AL6010" s="6"/>
    </row>
    <row r="6011" spans="38:38" x14ac:dyDescent="0.25">
      <c r="AL6011" s="6"/>
    </row>
    <row r="6012" spans="38:38" x14ac:dyDescent="0.25">
      <c r="AL6012" s="6"/>
    </row>
    <row r="6013" spans="38:38" x14ac:dyDescent="0.25">
      <c r="AL6013" s="6"/>
    </row>
    <row r="6014" spans="38:38" x14ac:dyDescent="0.25">
      <c r="AL6014" s="6"/>
    </row>
    <row r="6015" spans="38:38" x14ac:dyDescent="0.25">
      <c r="AL6015" s="6"/>
    </row>
    <row r="6016" spans="38:38" x14ac:dyDescent="0.25">
      <c r="AL6016" s="6"/>
    </row>
    <row r="6017" spans="38:38" x14ac:dyDescent="0.25">
      <c r="AL6017" s="6"/>
    </row>
    <row r="6018" spans="38:38" x14ac:dyDescent="0.25">
      <c r="AL6018" s="6"/>
    </row>
    <row r="6019" spans="38:38" x14ac:dyDescent="0.25">
      <c r="AL6019" s="6"/>
    </row>
    <row r="6020" spans="38:38" x14ac:dyDescent="0.25">
      <c r="AL6020" s="6"/>
    </row>
    <row r="6021" spans="38:38" x14ac:dyDescent="0.25">
      <c r="AL6021" s="6"/>
    </row>
    <row r="6022" spans="38:38" x14ac:dyDescent="0.25">
      <c r="AL6022" s="6"/>
    </row>
    <row r="6023" spans="38:38" x14ac:dyDescent="0.25">
      <c r="AL6023" s="6"/>
    </row>
    <row r="6024" spans="38:38" x14ac:dyDescent="0.25">
      <c r="AL6024" s="6"/>
    </row>
    <row r="6025" spans="38:38" x14ac:dyDescent="0.25">
      <c r="AL6025" s="6"/>
    </row>
    <row r="6026" spans="38:38" x14ac:dyDescent="0.25">
      <c r="AL6026" s="6"/>
    </row>
    <row r="6027" spans="38:38" x14ac:dyDescent="0.25">
      <c r="AL6027" s="6"/>
    </row>
    <row r="6028" spans="38:38" x14ac:dyDescent="0.25">
      <c r="AL6028" s="6"/>
    </row>
    <row r="6029" spans="38:38" x14ac:dyDescent="0.25">
      <c r="AL6029" s="6"/>
    </row>
    <row r="6030" spans="38:38" x14ac:dyDescent="0.25">
      <c r="AL6030" s="6"/>
    </row>
    <row r="6031" spans="38:38" x14ac:dyDescent="0.25">
      <c r="AL6031" s="6"/>
    </row>
    <row r="6032" spans="38:38" x14ac:dyDescent="0.25">
      <c r="AL6032" s="6"/>
    </row>
    <row r="6033" spans="38:38" x14ac:dyDescent="0.25">
      <c r="AL6033" s="6"/>
    </row>
    <row r="6034" spans="38:38" x14ac:dyDescent="0.25">
      <c r="AL6034" s="6"/>
    </row>
    <row r="6035" spans="38:38" x14ac:dyDescent="0.25">
      <c r="AL6035" s="6"/>
    </row>
    <row r="6036" spans="38:38" x14ac:dyDescent="0.25">
      <c r="AL6036" s="6"/>
    </row>
    <row r="6037" spans="38:38" x14ac:dyDescent="0.25">
      <c r="AL6037" s="6"/>
    </row>
    <row r="6038" spans="38:38" x14ac:dyDescent="0.25">
      <c r="AL6038" s="6"/>
    </row>
    <row r="6039" spans="38:38" x14ac:dyDescent="0.25">
      <c r="AL6039" s="6"/>
    </row>
    <row r="6040" spans="38:38" x14ac:dyDescent="0.25">
      <c r="AL6040" s="6"/>
    </row>
    <row r="6041" spans="38:38" x14ac:dyDescent="0.25">
      <c r="AL6041" s="6"/>
    </row>
    <row r="6042" spans="38:38" x14ac:dyDescent="0.25">
      <c r="AL6042" s="6"/>
    </row>
    <row r="6043" spans="38:38" x14ac:dyDescent="0.25">
      <c r="AL6043" s="6"/>
    </row>
    <row r="6044" spans="38:38" x14ac:dyDescent="0.25">
      <c r="AL6044" s="6"/>
    </row>
    <row r="6045" spans="38:38" x14ac:dyDescent="0.25">
      <c r="AL6045" s="6"/>
    </row>
    <row r="6046" spans="38:38" x14ac:dyDescent="0.25">
      <c r="AL6046" s="6"/>
    </row>
    <row r="6047" spans="38:38" x14ac:dyDescent="0.25">
      <c r="AL6047" s="6"/>
    </row>
    <row r="6048" spans="38:38" x14ac:dyDescent="0.25">
      <c r="AL6048" s="6"/>
    </row>
    <row r="6049" spans="38:38" x14ac:dyDescent="0.25">
      <c r="AL6049" s="6"/>
    </row>
    <row r="6050" spans="38:38" x14ac:dyDescent="0.25">
      <c r="AL6050" s="6"/>
    </row>
    <row r="6051" spans="38:38" x14ac:dyDescent="0.25">
      <c r="AL6051" s="6"/>
    </row>
    <row r="6052" spans="38:38" x14ac:dyDescent="0.25">
      <c r="AL6052" s="6"/>
    </row>
    <row r="6053" spans="38:38" x14ac:dyDescent="0.25">
      <c r="AL6053" s="6"/>
    </row>
    <row r="6054" spans="38:38" x14ac:dyDescent="0.25">
      <c r="AL6054" s="6"/>
    </row>
    <row r="6055" spans="38:38" x14ac:dyDescent="0.25">
      <c r="AL6055" s="6"/>
    </row>
    <row r="6056" spans="38:38" x14ac:dyDescent="0.25">
      <c r="AL6056" s="6"/>
    </row>
    <row r="6057" spans="38:38" x14ac:dyDescent="0.25">
      <c r="AL6057" s="6"/>
    </row>
    <row r="6058" spans="38:38" x14ac:dyDescent="0.25">
      <c r="AL6058" s="6"/>
    </row>
    <row r="6059" spans="38:38" x14ac:dyDescent="0.25">
      <c r="AL6059" s="6"/>
    </row>
    <row r="6060" spans="38:38" x14ac:dyDescent="0.25">
      <c r="AL6060" s="6"/>
    </row>
    <row r="6061" spans="38:38" x14ac:dyDescent="0.25">
      <c r="AL6061" s="6"/>
    </row>
    <row r="6062" spans="38:38" x14ac:dyDescent="0.25">
      <c r="AL6062" s="6"/>
    </row>
    <row r="6063" spans="38:38" x14ac:dyDescent="0.25">
      <c r="AL6063" s="6"/>
    </row>
    <row r="6064" spans="38:38" x14ac:dyDescent="0.25">
      <c r="AL6064" s="6"/>
    </row>
    <row r="6065" spans="38:38" x14ac:dyDescent="0.25">
      <c r="AL6065" s="6"/>
    </row>
    <row r="6066" spans="38:38" x14ac:dyDescent="0.25">
      <c r="AL6066" s="6"/>
    </row>
    <row r="6067" spans="38:38" x14ac:dyDescent="0.25">
      <c r="AL6067" s="6"/>
    </row>
    <row r="6068" spans="38:38" x14ac:dyDescent="0.25">
      <c r="AL6068" s="6"/>
    </row>
    <row r="6069" spans="38:38" x14ac:dyDescent="0.25">
      <c r="AL6069" s="6"/>
    </row>
    <row r="6070" spans="38:38" x14ac:dyDescent="0.25">
      <c r="AL6070" s="6"/>
    </row>
    <row r="6071" spans="38:38" x14ac:dyDescent="0.25">
      <c r="AL6071" s="6"/>
    </row>
    <row r="6072" spans="38:38" x14ac:dyDescent="0.25">
      <c r="AL6072" s="6"/>
    </row>
    <row r="6073" spans="38:38" x14ac:dyDescent="0.25">
      <c r="AL6073" s="6"/>
    </row>
    <row r="6074" spans="38:38" x14ac:dyDescent="0.25">
      <c r="AL6074" s="6"/>
    </row>
    <row r="6075" spans="38:38" x14ac:dyDescent="0.25">
      <c r="AL6075" s="6"/>
    </row>
    <row r="6076" spans="38:38" x14ac:dyDescent="0.25">
      <c r="AL6076" s="6"/>
    </row>
    <row r="6077" spans="38:38" x14ac:dyDescent="0.25">
      <c r="AL6077" s="6"/>
    </row>
    <row r="6078" spans="38:38" x14ac:dyDescent="0.25">
      <c r="AL6078" s="6"/>
    </row>
    <row r="6079" spans="38:38" x14ac:dyDescent="0.25">
      <c r="AL6079" s="6"/>
    </row>
    <row r="6080" spans="38:38" x14ac:dyDescent="0.25">
      <c r="AL6080" s="6"/>
    </row>
    <row r="6081" spans="38:38" x14ac:dyDescent="0.25">
      <c r="AL6081" s="6"/>
    </row>
    <row r="6082" spans="38:38" x14ac:dyDescent="0.25">
      <c r="AL6082" s="6"/>
    </row>
    <row r="6083" spans="38:38" x14ac:dyDescent="0.25">
      <c r="AL6083" s="6"/>
    </row>
    <row r="6084" spans="38:38" x14ac:dyDescent="0.25">
      <c r="AL6084" s="6"/>
    </row>
    <row r="6085" spans="38:38" x14ac:dyDescent="0.25">
      <c r="AL6085" s="6"/>
    </row>
    <row r="6086" spans="38:38" x14ac:dyDescent="0.25">
      <c r="AL6086" s="6"/>
    </row>
    <row r="6087" spans="38:38" x14ac:dyDescent="0.25">
      <c r="AL6087" s="6"/>
    </row>
    <row r="6088" spans="38:38" x14ac:dyDescent="0.25">
      <c r="AL6088" s="6"/>
    </row>
    <row r="6089" spans="38:38" x14ac:dyDescent="0.25">
      <c r="AL6089" s="6"/>
    </row>
    <row r="6090" spans="38:38" x14ac:dyDescent="0.25">
      <c r="AL6090" s="6"/>
    </row>
    <row r="6091" spans="38:38" x14ac:dyDescent="0.25">
      <c r="AL6091" s="6"/>
    </row>
    <row r="6092" spans="38:38" x14ac:dyDescent="0.25">
      <c r="AL6092" s="6"/>
    </row>
    <row r="6093" spans="38:38" x14ac:dyDescent="0.25">
      <c r="AL6093" s="6"/>
    </row>
    <row r="6094" spans="38:38" x14ac:dyDescent="0.25">
      <c r="AL6094" s="6"/>
    </row>
    <row r="6095" spans="38:38" x14ac:dyDescent="0.25">
      <c r="AL6095" s="6"/>
    </row>
    <row r="6096" spans="38:38" x14ac:dyDescent="0.25">
      <c r="AL6096" s="6"/>
    </row>
    <row r="6097" spans="38:38" x14ac:dyDescent="0.25">
      <c r="AL6097" s="6"/>
    </row>
    <row r="6098" spans="38:38" x14ac:dyDescent="0.25">
      <c r="AL6098" s="6"/>
    </row>
    <row r="6099" spans="38:38" x14ac:dyDescent="0.25">
      <c r="AL6099" s="6"/>
    </row>
    <row r="6100" spans="38:38" x14ac:dyDescent="0.25">
      <c r="AL6100" s="6"/>
    </row>
    <row r="6101" spans="38:38" x14ac:dyDescent="0.25">
      <c r="AL6101" s="6"/>
    </row>
    <row r="6102" spans="38:38" x14ac:dyDescent="0.25">
      <c r="AL6102" s="6"/>
    </row>
    <row r="6103" spans="38:38" x14ac:dyDescent="0.25">
      <c r="AL6103" s="6"/>
    </row>
    <row r="6104" spans="38:38" x14ac:dyDescent="0.25">
      <c r="AL6104" s="6"/>
    </row>
    <row r="6105" spans="38:38" x14ac:dyDescent="0.25">
      <c r="AL6105" s="6"/>
    </row>
    <row r="6106" spans="38:38" x14ac:dyDescent="0.25">
      <c r="AL6106" s="6"/>
    </row>
    <row r="6107" spans="38:38" x14ac:dyDescent="0.25">
      <c r="AL6107" s="6"/>
    </row>
    <row r="6108" spans="38:38" x14ac:dyDescent="0.25">
      <c r="AL6108" s="6"/>
    </row>
    <row r="6109" spans="38:38" x14ac:dyDescent="0.25">
      <c r="AL6109" s="6"/>
    </row>
    <row r="6110" spans="38:38" x14ac:dyDescent="0.25">
      <c r="AL6110" s="6"/>
    </row>
    <row r="6111" spans="38:38" x14ac:dyDescent="0.25">
      <c r="AL6111" s="6"/>
    </row>
    <row r="6112" spans="38:38" x14ac:dyDescent="0.25">
      <c r="AL6112" s="6"/>
    </row>
    <row r="6113" spans="38:38" x14ac:dyDescent="0.25">
      <c r="AL6113" s="6"/>
    </row>
    <row r="6114" spans="38:38" x14ac:dyDescent="0.25">
      <c r="AL6114" s="6"/>
    </row>
    <row r="6115" spans="38:38" x14ac:dyDescent="0.25">
      <c r="AL6115" s="6"/>
    </row>
    <row r="6116" spans="38:38" x14ac:dyDescent="0.25">
      <c r="AL6116" s="6"/>
    </row>
    <row r="6117" spans="38:38" x14ac:dyDescent="0.25">
      <c r="AL6117" s="6"/>
    </row>
    <row r="6118" spans="38:38" x14ac:dyDescent="0.25">
      <c r="AL6118" s="6"/>
    </row>
    <row r="6119" spans="38:38" x14ac:dyDescent="0.25">
      <c r="AL6119" s="6"/>
    </row>
    <row r="6120" spans="38:38" x14ac:dyDescent="0.25">
      <c r="AL6120" s="6"/>
    </row>
    <row r="6121" spans="38:38" x14ac:dyDescent="0.25">
      <c r="AL6121" s="6"/>
    </row>
    <row r="6122" spans="38:38" x14ac:dyDescent="0.25">
      <c r="AL6122" s="6"/>
    </row>
    <row r="6123" spans="38:38" x14ac:dyDescent="0.25">
      <c r="AL6123" s="6"/>
    </row>
    <row r="6124" spans="38:38" x14ac:dyDescent="0.25">
      <c r="AL6124" s="6"/>
    </row>
    <row r="6125" spans="38:38" x14ac:dyDescent="0.25">
      <c r="AL6125" s="6"/>
    </row>
    <row r="6126" spans="38:38" x14ac:dyDescent="0.25">
      <c r="AL6126" s="6"/>
    </row>
    <row r="6127" spans="38:38" x14ac:dyDescent="0.25">
      <c r="AL6127" s="6"/>
    </row>
    <row r="6128" spans="38:38" x14ac:dyDescent="0.25">
      <c r="AL6128" s="6"/>
    </row>
    <row r="6129" spans="38:38" x14ac:dyDescent="0.25">
      <c r="AL6129" s="6"/>
    </row>
    <row r="6130" spans="38:38" x14ac:dyDescent="0.25">
      <c r="AL6130" s="6"/>
    </row>
    <row r="6131" spans="38:38" x14ac:dyDescent="0.25">
      <c r="AL6131" s="6"/>
    </row>
    <row r="6132" spans="38:38" x14ac:dyDescent="0.25">
      <c r="AL6132" s="6"/>
    </row>
    <row r="6133" spans="38:38" x14ac:dyDescent="0.25">
      <c r="AL6133" s="6"/>
    </row>
    <row r="6134" spans="38:38" x14ac:dyDescent="0.25">
      <c r="AL6134" s="6"/>
    </row>
    <row r="6135" spans="38:38" x14ac:dyDescent="0.25">
      <c r="AL6135" s="6"/>
    </row>
    <row r="6136" spans="38:38" x14ac:dyDescent="0.25">
      <c r="AL6136" s="6"/>
    </row>
    <row r="6137" spans="38:38" x14ac:dyDescent="0.25">
      <c r="AL6137" s="6"/>
    </row>
    <row r="6138" spans="38:38" x14ac:dyDescent="0.25">
      <c r="AL6138" s="6"/>
    </row>
    <row r="6139" spans="38:38" x14ac:dyDescent="0.25">
      <c r="AL6139" s="6"/>
    </row>
    <row r="6140" spans="38:38" x14ac:dyDescent="0.25">
      <c r="AL6140" s="6"/>
    </row>
    <row r="6141" spans="38:38" x14ac:dyDescent="0.25">
      <c r="AL6141" s="6"/>
    </row>
    <row r="6142" spans="38:38" x14ac:dyDescent="0.25">
      <c r="AL6142" s="6"/>
    </row>
    <row r="6143" spans="38:38" x14ac:dyDescent="0.25">
      <c r="AL6143" s="6"/>
    </row>
    <row r="6144" spans="38:38" x14ac:dyDescent="0.25">
      <c r="AL6144" s="6"/>
    </row>
    <row r="6145" spans="38:38" x14ac:dyDescent="0.25">
      <c r="AL6145" s="6"/>
    </row>
    <row r="6146" spans="38:38" x14ac:dyDescent="0.25">
      <c r="AL6146" s="6"/>
    </row>
    <row r="6147" spans="38:38" x14ac:dyDescent="0.25">
      <c r="AL6147" s="6"/>
    </row>
    <row r="6148" spans="38:38" x14ac:dyDescent="0.25">
      <c r="AL6148" s="6"/>
    </row>
    <row r="6149" spans="38:38" x14ac:dyDescent="0.25">
      <c r="AL6149" s="6"/>
    </row>
    <row r="6150" spans="38:38" x14ac:dyDescent="0.25">
      <c r="AL6150" s="6"/>
    </row>
    <row r="6151" spans="38:38" x14ac:dyDescent="0.25">
      <c r="AL6151" s="6"/>
    </row>
    <row r="6152" spans="38:38" x14ac:dyDescent="0.25">
      <c r="AL6152" s="6"/>
    </row>
    <row r="6153" spans="38:38" x14ac:dyDescent="0.25">
      <c r="AL6153" s="6"/>
    </row>
    <row r="6154" spans="38:38" x14ac:dyDescent="0.25">
      <c r="AL6154" s="6"/>
    </row>
    <row r="6155" spans="38:38" x14ac:dyDescent="0.25">
      <c r="AL6155" s="6"/>
    </row>
    <row r="6156" spans="38:38" x14ac:dyDescent="0.25">
      <c r="AL6156" s="6"/>
    </row>
    <row r="6157" spans="38:38" x14ac:dyDescent="0.25">
      <c r="AL6157" s="6"/>
    </row>
    <row r="6158" spans="38:38" x14ac:dyDescent="0.25">
      <c r="AL6158" s="6"/>
    </row>
    <row r="6159" spans="38:38" x14ac:dyDescent="0.25">
      <c r="AL6159" s="6"/>
    </row>
    <row r="6160" spans="38:38" x14ac:dyDescent="0.25">
      <c r="AL6160" s="6"/>
    </row>
    <row r="6161" spans="38:38" x14ac:dyDescent="0.25">
      <c r="AL6161" s="6"/>
    </row>
    <row r="6162" spans="38:38" x14ac:dyDescent="0.25">
      <c r="AL6162" s="6"/>
    </row>
    <row r="6163" spans="38:38" x14ac:dyDescent="0.25">
      <c r="AL6163" s="6"/>
    </row>
    <row r="6164" spans="38:38" x14ac:dyDescent="0.25">
      <c r="AL6164" s="6"/>
    </row>
    <row r="6165" spans="38:38" x14ac:dyDescent="0.25">
      <c r="AL6165" s="6"/>
    </row>
    <row r="6166" spans="38:38" x14ac:dyDescent="0.25">
      <c r="AL6166" s="6"/>
    </row>
    <row r="6167" spans="38:38" x14ac:dyDescent="0.25">
      <c r="AL6167" s="6"/>
    </row>
    <row r="6168" spans="38:38" x14ac:dyDescent="0.25">
      <c r="AL6168" s="6"/>
    </row>
    <row r="6169" spans="38:38" x14ac:dyDescent="0.25">
      <c r="AL6169" s="6"/>
    </row>
    <row r="6170" spans="38:38" x14ac:dyDescent="0.25">
      <c r="AL6170" s="6"/>
    </row>
    <row r="6171" spans="38:38" x14ac:dyDescent="0.25">
      <c r="AL6171" s="6"/>
    </row>
    <row r="6172" spans="38:38" x14ac:dyDescent="0.25">
      <c r="AL6172" s="6"/>
    </row>
    <row r="6173" spans="38:38" x14ac:dyDescent="0.25">
      <c r="AL6173" s="6"/>
    </row>
    <row r="6174" spans="38:38" x14ac:dyDescent="0.25">
      <c r="AL6174" s="6"/>
    </row>
    <row r="6175" spans="38:38" x14ac:dyDescent="0.25">
      <c r="AL6175" s="6"/>
    </row>
    <row r="6176" spans="38:38" x14ac:dyDescent="0.25">
      <c r="AL6176" s="6"/>
    </row>
    <row r="6177" spans="38:38" x14ac:dyDescent="0.25">
      <c r="AL6177" s="6"/>
    </row>
    <row r="6178" spans="38:38" x14ac:dyDescent="0.25">
      <c r="AL6178" s="6"/>
    </row>
    <row r="6179" spans="38:38" x14ac:dyDescent="0.25">
      <c r="AL6179" s="6"/>
    </row>
    <row r="6180" spans="38:38" x14ac:dyDescent="0.25">
      <c r="AL6180" s="6"/>
    </row>
    <row r="6181" spans="38:38" x14ac:dyDescent="0.25">
      <c r="AL6181" s="6"/>
    </row>
    <row r="6182" spans="38:38" x14ac:dyDescent="0.25">
      <c r="AL6182" s="6"/>
    </row>
    <row r="6183" spans="38:38" x14ac:dyDescent="0.25">
      <c r="AL6183" s="6"/>
    </row>
    <row r="6184" spans="38:38" x14ac:dyDescent="0.25">
      <c r="AL6184" s="6"/>
    </row>
    <row r="6185" spans="38:38" x14ac:dyDescent="0.25">
      <c r="AL6185" s="6"/>
    </row>
    <row r="6186" spans="38:38" x14ac:dyDescent="0.25">
      <c r="AL6186" s="6"/>
    </row>
    <row r="6187" spans="38:38" x14ac:dyDescent="0.25">
      <c r="AL6187" s="6"/>
    </row>
    <row r="6188" spans="38:38" x14ac:dyDescent="0.25">
      <c r="AL6188" s="6"/>
    </row>
    <row r="6189" spans="38:38" x14ac:dyDescent="0.25">
      <c r="AL6189" s="6"/>
    </row>
    <row r="6190" spans="38:38" x14ac:dyDescent="0.25">
      <c r="AL6190" s="6"/>
    </row>
    <row r="6191" spans="38:38" x14ac:dyDescent="0.25">
      <c r="AL6191" s="6"/>
    </row>
    <row r="6192" spans="38:38" x14ac:dyDescent="0.25">
      <c r="AL6192" s="6"/>
    </row>
    <row r="6193" spans="38:38" x14ac:dyDescent="0.25">
      <c r="AL6193" s="6"/>
    </row>
    <row r="6194" spans="38:38" x14ac:dyDescent="0.25">
      <c r="AL6194" s="6"/>
    </row>
    <row r="6195" spans="38:38" x14ac:dyDescent="0.25">
      <c r="AL6195" s="6"/>
    </row>
    <row r="6196" spans="38:38" x14ac:dyDescent="0.25">
      <c r="AL6196" s="6"/>
    </row>
    <row r="6197" spans="38:38" x14ac:dyDescent="0.25">
      <c r="AL6197" s="6"/>
    </row>
    <row r="6198" spans="38:38" x14ac:dyDescent="0.25">
      <c r="AL6198" s="6"/>
    </row>
    <row r="6199" spans="38:38" x14ac:dyDescent="0.25">
      <c r="AL6199" s="6"/>
    </row>
    <row r="6200" spans="38:38" x14ac:dyDescent="0.25">
      <c r="AL6200" s="6"/>
    </row>
    <row r="6201" spans="38:38" x14ac:dyDescent="0.25">
      <c r="AL6201" s="6"/>
    </row>
    <row r="6202" spans="38:38" x14ac:dyDescent="0.25">
      <c r="AL6202" s="6"/>
    </row>
    <row r="6203" spans="38:38" x14ac:dyDescent="0.25">
      <c r="AL6203" s="6"/>
    </row>
    <row r="6204" spans="38:38" x14ac:dyDescent="0.25">
      <c r="AL6204" s="6"/>
    </row>
    <row r="6205" spans="38:38" x14ac:dyDescent="0.25">
      <c r="AL6205" s="6"/>
    </row>
    <row r="6206" spans="38:38" x14ac:dyDescent="0.25">
      <c r="AL6206" s="6"/>
    </row>
    <row r="6207" spans="38:38" x14ac:dyDescent="0.25">
      <c r="AL6207" s="6"/>
    </row>
    <row r="6208" spans="38:38" x14ac:dyDescent="0.25">
      <c r="AL6208" s="6"/>
    </row>
    <row r="6209" spans="38:38" x14ac:dyDescent="0.25">
      <c r="AL6209" s="6"/>
    </row>
    <row r="6210" spans="38:38" x14ac:dyDescent="0.25">
      <c r="AL6210" s="6"/>
    </row>
    <row r="6211" spans="38:38" x14ac:dyDescent="0.25">
      <c r="AL6211" s="6"/>
    </row>
    <row r="6212" spans="38:38" x14ac:dyDescent="0.25">
      <c r="AL6212" s="6"/>
    </row>
    <row r="6213" spans="38:38" x14ac:dyDescent="0.25">
      <c r="AL6213" s="6"/>
    </row>
    <row r="6214" spans="38:38" x14ac:dyDescent="0.25">
      <c r="AL6214" s="6"/>
    </row>
    <row r="6215" spans="38:38" x14ac:dyDescent="0.25">
      <c r="AL6215" s="6"/>
    </row>
    <row r="6216" spans="38:38" x14ac:dyDescent="0.25">
      <c r="AL6216" s="6"/>
    </row>
    <row r="6217" spans="38:38" x14ac:dyDescent="0.25">
      <c r="AL6217" s="6"/>
    </row>
    <row r="6218" spans="38:38" x14ac:dyDescent="0.25">
      <c r="AL6218" s="6"/>
    </row>
    <row r="6219" spans="38:38" x14ac:dyDescent="0.25">
      <c r="AL6219" s="6"/>
    </row>
    <row r="6220" spans="38:38" x14ac:dyDescent="0.25">
      <c r="AL6220" s="6"/>
    </row>
    <row r="6221" spans="38:38" x14ac:dyDescent="0.25">
      <c r="AL6221" s="6"/>
    </row>
    <row r="6222" spans="38:38" x14ac:dyDescent="0.25">
      <c r="AL6222" s="6"/>
    </row>
    <row r="6223" spans="38:38" x14ac:dyDescent="0.25">
      <c r="AL6223" s="6"/>
    </row>
    <row r="6224" spans="38:38" x14ac:dyDescent="0.25">
      <c r="AL6224" s="6"/>
    </row>
    <row r="6225" spans="38:38" x14ac:dyDescent="0.25">
      <c r="AL6225" s="6"/>
    </row>
    <row r="6226" spans="38:38" x14ac:dyDescent="0.25">
      <c r="AL6226" s="6"/>
    </row>
    <row r="6227" spans="38:38" x14ac:dyDescent="0.25">
      <c r="AL6227" s="6"/>
    </row>
    <row r="6228" spans="38:38" x14ac:dyDescent="0.25">
      <c r="AL6228" s="6"/>
    </row>
    <row r="6229" spans="38:38" x14ac:dyDescent="0.25">
      <c r="AL6229" s="6"/>
    </row>
    <row r="6230" spans="38:38" x14ac:dyDescent="0.25">
      <c r="AL6230" s="6"/>
    </row>
    <row r="6231" spans="38:38" x14ac:dyDescent="0.25">
      <c r="AL6231" s="6"/>
    </row>
    <row r="6232" spans="38:38" x14ac:dyDescent="0.25">
      <c r="AL6232" s="6"/>
    </row>
    <row r="6233" spans="38:38" x14ac:dyDescent="0.25">
      <c r="AL6233" s="6"/>
    </row>
    <row r="6234" spans="38:38" x14ac:dyDescent="0.25">
      <c r="AL6234" s="6"/>
    </row>
    <row r="6235" spans="38:38" x14ac:dyDescent="0.25">
      <c r="AL6235" s="6"/>
    </row>
    <row r="6236" spans="38:38" x14ac:dyDescent="0.25">
      <c r="AL6236" s="6"/>
    </row>
    <row r="6237" spans="38:38" x14ac:dyDescent="0.25">
      <c r="AL6237" s="6"/>
    </row>
    <row r="6238" spans="38:38" x14ac:dyDescent="0.25">
      <c r="AL6238" s="6"/>
    </row>
    <row r="6239" spans="38:38" x14ac:dyDescent="0.25">
      <c r="AL6239" s="6"/>
    </row>
    <row r="6240" spans="38:38" x14ac:dyDescent="0.25">
      <c r="AL6240" s="6"/>
    </row>
    <row r="6241" spans="38:38" x14ac:dyDescent="0.25">
      <c r="AL6241" s="6"/>
    </row>
    <row r="6242" spans="38:38" x14ac:dyDescent="0.25">
      <c r="AL6242" s="6"/>
    </row>
    <row r="6243" spans="38:38" x14ac:dyDescent="0.25">
      <c r="AL6243" s="6"/>
    </row>
    <row r="6244" spans="38:38" x14ac:dyDescent="0.25">
      <c r="AL6244" s="6"/>
    </row>
    <row r="6245" spans="38:38" x14ac:dyDescent="0.25">
      <c r="AL6245" s="6"/>
    </row>
    <row r="6246" spans="38:38" x14ac:dyDescent="0.25">
      <c r="AL6246" s="6"/>
    </row>
    <row r="6247" spans="38:38" x14ac:dyDescent="0.25">
      <c r="AL6247" s="6"/>
    </row>
    <row r="6248" spans="38:38" x14ac:dyDescent="0.25">
      <c r="AL6248" s="6"/>
    </row>
    <row r="6249" spans="38:38" x14ac:dyDescent="0.25">
      <c r="AL6249" s="6"/>
    </row>
    <row r="6250" spans="38:38" x14ac:dyDescent="0.25">
      <c r="AL6250" s="6"/>
    </row>
    <row r="6251" spans="38:38" x14ac:dyDescent="0.25">
      <c r="AL6251" s="6"/>
    </row>
    <row r="6252" spans="38:38" x14ac:dyDescent="0.25">
      <c r="AL6252" s="6"/>
    </row>
    <row r="6253" spans="38:38" x14ac:dyDescent="0.25">
      <c r="AL6253" s="6"/>
    </row>
    <row r="6254" spans="38:38" x14ac:dyDescent="0.25">
      <c r="AL6254" s="6"/>
    </row>
    <row r="6255" spans="38:38" x14ac:dyDescent="0.25">
      <c r="AL6255" s="6"/>
    </row>
    <row r="6256" spans="38:38" x14ac:dyDescent="0.25">
      <c r="AL6256" s="6"/>
    </row>
    <row r="6257" spans="38:38" x14ac:dyDescent="0.25">
      <c r="AL6257" s="6"/>
    </row>
    <row r="6258" spans="38:38" x14ac:dyDescent="0.25">
      <c r="AL6258" s="6"/>
    </row>
    <row r="6259" spans="38:38" x14ac:dyDescent="0.25">
      <c r="AL6259" s="6"/>
    </row>
    <row r="6260" spans="38:38" x14ac:dyDescent="0.25">
      <c r="AL6260" s="6"/>
    </row>
    <row r="6261" spans="38:38" x14ac:dyDescent="0.25">
      <c r="AL6261" s="6"/>
    </row>
    <row r="6262" spans="38:38" x14ac:dyDescent="0.25">
      <c r="AL6262" s="6"/>
    </row>
    <row r="6263" spans="38:38" x14ac:dyDescent="0.25">
      <c r="AL6263" s="6"/>
    </row>
    <row r="6264" spans="38:38" x14ac:dyDescent="0.25">
      <c r="AL6264" s="6"/>
    </row>
    <row r="6265" spans="38:38" x14ac:dyDescent="0.25">
      <c r="AL6265" s="6"/>
    </row>
    <row r="6266" spans="38:38" x14ac:dyDescent="0.25">
      <c r="AL6266" s="6"/>
    </row>
    <row r="6267" spans="38:38" x14ac:dyDescent="0.25">
      <c r="AL6267" s="6"/>
    </row>
    <row r="6268" spans="38:38" x14ac:dyDescent="0.25">
      <c r="AL6268" s="6"/>
    </row>
    <row r="6269" spans="38:38" x14ac:dyDescent="0.25">
      <c r="AL6269" s="6"/>
    </row>
    <row r="6270" spans="38:38" x14ac:dyDescent="0.25">
      <c r="AL6270" s="6"/>
    </row>
    <row r="6271" spans="38:38" x14ac:dyDescent="0.25">
      <c r="AL6271" s="6"/>
    </row>
    <row r="6272" spans="38:38" x14ac:dyDescent="0.25">
      <c r="AL6272" s="6"/>
    </row>
    <row r="6273" spans="38:38" x14ac:dyDescent="0.25">
      <c r="AL6273" s="6"/>
    </row>
    <row r="6274" spans="38:38" x14ac:dyDescent="0.25">
      <c r="AL6274" s="6"/>
    </row>
    <row r="6275" spans="38:38" x14ac:dyDescent="0.25">
      <c r="AL6275" s="6"/>
    </row>
    <row r="6276" spans="38:38" x14ac:dyDescent="0.25">
      <c r="AL6276" s="6"/>
    </row>
    <row r="6277" spans="38:38" x14ac:dyDescent="0.25">
      <c r="AL6277" s="6"/>
    </row>
    <row r="6278" spans="38:38" x14ac:dyDescent="0.25">
      <c r="AL6278" s="6"/>
    </row>
    <row r="6279" spans="38:38" x14ac:dyDescent="0.25">
      <c r="AL6279" s="6"/>
    </row>
    <row r="6280" spans="38:38" x14ac:dyDescent="0.25">
      <c r="AL6280" s="6"/>
    </row>
    <row r="6281" spans="38:38" x14ac:dyDescent="0.25">
      <c r="AL6281" s="6"/>
    </row>
    <row r="6282" spans="38:38" x14ac:dyDescent="0.25">
      <c r="AL6282" s="6"/>
    </row>
    <row r="6283" spans="38:38" x14ac:dyDescent="0.25">
      <c r="AL6283" s="6"/>
    </row>
    <row r="6284" spans="38:38" x14ac:dyDescent="0.25">
      <c r="AL6284" s="6"/>
    </row>
    <row r="6285" spans="38:38" x14ac:dyDescent="0.25">
      <c r="AL6285" s="6"/>
    </row>
    <row r="6286" spans="38:38" x14ac:dyDescent="0.25">
      <c r="AL6286" s="6"/>
    </row>
    <row r="6287" spans="38:38" x14ac:dyDescent="0.25">
      <c r="AL6287" s="6"/>
    </row>
    <row r="6288" spans="38:38" x14ac:dyDescent="0.25">
      <c r="AL6288" s="6"/>
    </row>
    <row r="6289" spans="38:38" x14ac:dyDescent="0.25">
      <c r="AL6289" s="6"/>
    </row>
    <row r="6290" spans="38:38" x14ac:dyDescent="0.25">
      <c r="AL6290" s="6"/>
    </row>
    <row r="6291" spans="38:38" x14ac:dyDescent="0.25">
      <c r="AL6291" s="6"/>
    </row>
    <row r="6292" spans="38:38" x14ac:dyDescent="0.25">
      <c r="AL6292" s="6"/>
    </row>
    <row r="6293" spans="38:38" x14ac:dyDescent="0.25">
      <c r="AL6293" s="6"/>
    </row>
    <row r="6294" spans="38:38" x14ac:dyDescent="0.25">
      <c r="AL6294" s="6"/>
    </row>
    <row r="6295" spans="38:38" x14ac:dyDescent="0.25">
      <c r="AL6295" s="6"/>
    </row>
    <row r="6296" spans="38:38" x14ac:dyDescent="0.25">
      <c r="AL6296" s="6"/>
    </row>
    <row r="6297" spans="38:38" x14ac:dyDescent="0.25">
      <c r="AL6297" s="6"/>
    </row>
    <row r="6298" spans="38:38" x14ac:dyDescent="0.25">
      <c r="AL6298" s="6"/>
    </row>
    <row r="6299" spans="38:38" x14ac:dyDescent="0.25">
      <c r="AL6299" s="6"/>
    </row>
    <row r="6300" spans="38:38" x14ac:dyDescent="0.25">
      <c r="AL6300" s="6"/>
    </row>
    <row r="6301" spans="38:38" x14ac:dyDescent="0.25">
      <c r="AL6301" s="6"/>
    </row>
    <row r="6302" spans="38:38" x14ac:dyDescent="0.25">
      <c r="AL6302" s="6"/>
    </row>
    <row r="6303" spans="38:38" x14ac:dyDescent="0.25">
      <c r="AL6303" s="6"/>
    </row>
    <row r="6304" spans="38:38" x14ac:dyDescent="0.25">
      <c r="AL6304" s="6"/>
    </row>
    <row r="6305" spans="38:38" x14ac:dyDescent="0.25">
      <c r="AL6305" s="6"/>
    </row>
    <row r="6306" spans="38:38" x14ac:dyDescent="0.25">
      <c r="AL6306" s="6"/>
    </row>
    <row r="6307" spans="38:38" x14ac:dyDescent="0.25">
      <c r="AL6307" s="6"/>
    </row>
    <row r="6308" spans="38:38" x14ac:dyDescent="0.25">
      <c r="AL6308" s="6"/>
    </row>
    <row r="6309" spans="38:38" x14ac:dyDescent="0.25">
      <c r="AL6309" s="6"/>
    </row>
    <row r="6310" spans="38:38" x14ac:dyDescent="0.25">
      <c r="AL6310" s="6"/>
    </row>
    <row r="6311" spans="38:38" x14ac:dyDescent="0.25">
      <c r="AL6311" s="6"/>
    </row>
    <row r="6312" spans="38:38" x14ac:dyDescent="0.25">
      <c r="AL6312" s="6"/>
    </row>
    <row r="6313" spans="38:38" x14ac:dyDescent="0.25">
      <c r="AL6313" s="6"/>
    </row>
    <row r="6314" spans="38:38" x14ac:dyDescent="0.25">
      <c r="AL6314" s="6"/>
    </row>
    <row r="6315" spans="38:38" x14ac:dyDescent="0.25">
      <c r="AL6315" s="6"/>
    </row>
    <row r="6316" spans="38:38" x14ac:dyDescent="0.25">
      <c r="AL6316" s="6"/>
    </row>
    <row r="6317" spans="38:38" x14ac:dyDescent="0.25">
      <c r="AL6317" s="6"/>
    </row>
    <row r="6318" spans="38:38" x14ac:dyDescent="0.25">
      <c r="AL6318" s="6"/>
    </row>
    <row r="6319" spans="38:38" x14ac:dyDescent="0.25">
      <c r="AL6319" s="6"/>
    </row>
    <row r="6320" spans="38:38" x14ac:dyDescent="0.25">
      <c r="AL6320" s="6"/>
    </row>
    <row r="6321" spans="38:38" x14ac:dyDescent="0.25">
      <c r="AL6321" s="6"/>
    </row>
    <row r="6322" spans="38:38" x14ac:dyDescent="0.25">
      <c r="AL6322" s="6"/>
    </row>
    <row r="6323" spans="38:38" x14ac:dyDescent="0.25">
      <c r="AL6323" s="6"/>
    </row>
    <row r="6324" spans="38:38" x14ac:dyDescent="0.25">
      <c r="AL6324" s="6"/>
    </row>
    <row r="6325" spans="38:38" x14ac:dyDescent="0.25">
      <c r="AL6325" s="6"/>
    </row>
    <row r="6326" spans="38:38" x14ac:dyDescent="0.25">
      <c r="AL6326" s="6"/>
    </row>
    <row r="6327" spans="38:38" x14ac:dyDescent="0.25">
      <c r="AL6327" s="6"/>
    </row>
    <row r="6328" spans="38:38" x14ac:dyDescent="0.25">
      <c r="AL6328" s="6"/>
    </row>
    <row r="6329" spans="38:38" x14ac:dyDescent="0.25">
      <c r="AL6329" s="6"/>
    </row>
    <row r="6330" spans="38:38" x14ac:dyDescent="0.25">
      <c r="AL6330" s="6"/>
    </row>
    <row r="6331" spans="38:38" x14ac:dyDescent="0.25">
      <c r="AL6331" s="6"/>
    </row>
    <row r="6332" spans="38:38" x14ac:dyDescent="0.25">
      <c r="AL6332" s="6"/>
    </row>
    <row r="6333" spans="38:38" x14ac:dyDescent="0.25">
      <c r="AL6333" s="6"/>
    </row>
    <row r="6334" spans="38:38" x14ac:dyDescent="0.25">
      <c r="AL6334" s="6"/>
    </row>
    <row r="6335" spans="38:38" x14ac:dyDescent="0.25">
      <c r="AL6335" s="6"/>
    </row>
    <row r="6336" spans="38:38" x14ac:dyDescent="0.25">
      <c r="AL6336" s="6"/>
    </row>
    <row r="6337" spans="38:38" x14ac:dyDescent="0.25">
      <c r="AL6337" s="6"/>
    </row>
    <row r="6338" spans="38:38" x14ac:dyDescent="0.25">
      <c r="AL6338" s="6"/>
    </row>
    <row r="6339" spans="38:38" x14ac:dyDescent="0.25">
      <c r="AL6339" s="6"/>
    </row>
    <row r="6340" spans="38:38" x14ac:dyDescent="0.25">
      <c r="AL6340" s="6"/>
    </row>
    <row r="6341" spans="38:38" x14ac:dyDescent="0.25">
      <c r="AL6341" s="6"/>
    </row>
    <row r="6342" spans="38:38" x14ac:dyDescent="0.25">
      <c r="AL6342" s="6"/>
    </row>
    <row r="6343" spans="38:38" x14ac:dyDescent="0.25">
      <c r="AL6343" s="6"/>
    </row>
    <row r="6344" spans="38:38" x14ac:dyDescent="0.25">
      <c r="AL6344" s="6"/>
    </row>
    <row r="6345" spans="38:38" x14ac:dyDescent="0.25">
      <c r="AL6345" s="6"/>
    </row>
    <row r="6346" spans="38:38" x14ac:dyDescent="0.25">
      <c r="AL6346" s="6"/>
    </row>
    <row r="6347" spans="38:38" x14ac:dyDescent="0.25">
      <c r="AL6347" s="6"/>
    </row>
    <row r="6348" spans="38:38" x14ac:dyDescent="0.25">
      <c r="AL6348" s="6"/>
    </row>
    <row r="6349" spans="38:38" x14ac:dyDescent="0.25">
      <c r="AL6349" s="6"/>
    </row>
    <row r="6350" spans="38:38" x14ac:dyDescent="0.25">
      <c r="AL6350" s="6"/>
    </row>
    <row r="6351" spans="38:38" x14ac:dyDescent="0.25">
      <c r="AL6351" s="6"/>
    </row>
    <row r="6352" spans="38:38" x14ac:dyDescent="0.25">
      <c r="AL6352" s="6"/>
    </row>
    <row r="6353" spans="38:38" x14ac:dyDescent="0.25">
      <c r="AL6353" s="6"/>
    </row>
    <row r="6354" spans="38:38" x14ac:dyDescent="0.25">
      <c r="AL6354" s="6"/>
    </row>
    <row r="6355" spans="38:38" x14ac:dyDescent="0.25">
      <c r="AL6355" s="6"/>
    </row>
    <row r="6356" spans="38:38" x14ac:dyDescent="0.25">
      <c r="AL6356" s="6"/>
    </row>
    <row r="6357" spans="38:38" x14ac:dyDescent="0.25">
      <c r="AL6357" s="6"/>
    </row>
    <row r="6358" spans="38:38" x14ac:dyDescent="0.25">
      <c r="AL6358" s="6"/>
    </row>
    <row r="6359" spans="38:38" x14ac:dyDescent="0.25">
      <c r="AL6359" s="6"/>
    </row>
    <row r="6360" spans="38:38" x14ac:dyDescent="0.25">
      <c r="AL6360" s="6"/>
    </row>
    <row r="6361" spans="38:38" x14ac:dyDescent="0.25">
      <c r="AL6361" s="6"/>
    </row>
    <row r="6362" spans="38:38" x14ac:dyDescent="0.25">
      <c r="AL6362" s="6"/>
    </row>
    <row r="6363" spans="38:38" x14ac:dyDescent="0.25">
      <c r="AL6363" s="6"/>
    </row>
    <row r="6364" spans="38:38" x14ac:dyDescent="0.25">
      <c r="AL6364" s="6"/>
    </row>
    <row r="6365" spans="38:38" x14ac:dyDescent="0.25">
      <c r="AL6365" s="6"/>
    </row>
    <row r="6366" spans="38:38" x14ac:dyDescent="0.25">
      <c r="AL6366" s="6"/>
    </row>
    <row r="6367" spans="38:38" x14ac:dyDescent="0.25">
      <c r="AL6367" s="6"/>
    </row>
    <row r="6368" spans="38:38" x14ac:dyDescent="0.25">
      <c r="AL6368" s="6"/>
    </row>
    <row r="6369" spans="38:38" x14ac:dyDescent="0.25">
      <c r="AL6369" s="6"/>
    </row>
    <row r="6370" spans="38:38" x14ac:dyDescent="0.25">
      <c r="AL6370" s="6"/>
    </row>
    <row r="6371" spans="38:38" x14ac:dyDescent="0.25">
      <c r="AL6371" s="6"/>
    </row>
    <row r="6372" spans="38:38" x14ac:dyDescent="0.25">
      <c r="AL6372" s="6"/>
    </row>
    <row r="6373" spans="38:38" x14ac:dyDescent="0.25">
      <c r="AL6373" s="6"/>
    </row>
    <row r="6374" spans="38:38" x14ac:dyDescent="0.25">
      <c r="AL6374" s="6"/>
    </row>
    <row r="6375" spans="38:38" x14ac:dyDescent="0.25">
      <c r="AL6375" s="6"/>
    </row>
    <row r="6376" spans="38:38" x14ac:dyDescent="0.25">
      <c r="AL6376" s="6"/>
    </row>
    <row r="6377" spans="38:38" x14ac:dyDescent="0.25">
      <c r="AL6377" s="6"/>
    </row>
    <row r="6378" spans="38:38" x14ac:dyDescent="0.25">
      <c r="AL6378" s="6"/>
    </row>
    <row r="6379" spans="38:38" x14ac:dyDescent="0.25">
      <c r="AL6379" s="6"/>
    </row>
    <row r="6380" spans="38:38" x14ac:dyDescent="0.25">
      <c r="AL6380" s="6"/>
    </row>
    <row r="6381" spans="38:38" x14ac:dyDescent="0.25">
      <c r="AL6381" s="6"/>
    </row>
    <row r="6382" spans="38:38" x14ac:dyDescent="0.25">
      <c r="AL6382" s="6"/>
    </row>
    <row r="6383" spans="38:38" x14ac:dyDescent="0.25">
      <c r="AL6383" s="6"/>
    </row>
    <row r="6384" spans="38:38" x14ac:dyDescent="0.25">
      <c r="AL6384" s="6"/>
    </row>
    <row r="6385" spans="38:38" x14ac:dyDescent="0.25">
      <c r="AL6385" s="6"/>
    </row>
    <row r="6386" spans="38:38" x14ac:dyDescent="0.25">
      <c r="AL6386" s="6"/>
    </row>
    <row r="6387" spans="38:38" x14ac:dyDescent="0.25">
      <c r="AL6387" s="6"/>
    </row>
    <row r="6388" spans="38:38" x14ac:dyDescent="0.25">
      <c r="AL6388" s="6"/>
    </row>
    <row r="6389" spans="38:38" x14ac:dyDescent="0.25">
      <c r="AL6389" s="6"/>
    </row>
    <row r="6390" spans="38:38" x14ac:dyDescent="0.25">
      <c r="AL6390" s="6"/>
    </row>
    <row r="6391" spans="38:38" x14ac:dyDescent="0.25">
      <c r="AL6391" s="6"/>
    </row>
    <row r="6392" spans="38:38" x14ac:dyDescent="0.25">
      <c r="AL6392" s="6"/>
    </row>
    <row r="6393" spans="38:38" x14ac:dyDescent="0.25">
      <c r="AL6393" s="6"/>
    </row>
    <row r="6394" spans="38:38" x14ac:dyDescent="0.25">
      <c r="AL6394" s="6"/>
    </row>
    <row r="6395" spans="38:38" x14ac:dyDescent="0.25">
      <c r="AL6395" s="6"/>
    </row>
    <row r="6396" spans="38:38" x14ac:dyDescent="0.25">
      <c r="AL6396" s="6"/>
    </row>
    <row r="6397" spans="38:38" x14ac:dyDescent="0.25">
      <c r="AL6397" s="6"/>
    </row>
    <row r="6398" spans="38:38" x14ac:dyDescent="0.25">
      <c r="AL6398" s="6"/>
    </row>
    <row r="6399" spans="38:38" x14ac:dyDescent="0.25">
      <c r="AL6399" s="6"/>
    </row>
    <row r="6400" spans="38:38" x14ac:dyDescent="0.25">
      <c r="AL6400" s="6"/>
    </row>
    <row r="6401" spans="38:38" x14ac:dyDescent="0.25">
      <c r="AL6401" s="6"/>
    </row>
    <row r="6402" spans="38:38" x14ac:dyDescent="0.25">
      <c r="AL6402" s="6"/>
    </row>
    <row r="6403" spans="38:38" x14ac:dyDescent="0.25">
      <c r="AL6403" s="6"/>
    </row>
    <row r="6404" spans="38:38" x14ac:dyDescent="0.25">
      <c r="AL6404" s="6"/>
    </row>
    <row r="6405" spans="38:38" x14ac:dyDescent="0.25">
      <c r="AL6405" s="6"/>
    </row>
    <row r="6406" spans="38:38" x14ac:dyDescent="0.25">
      <c r="AL6406" s="6"/>
    </row>
    <row r="6407" spans="38:38" x14ac:dyDescent="0.25">
      <c r="AL6407" s="6"/>
    </row>
    <row r="6408" spans="38:38" x14ac:dyDescent="0.25">
      <c r="AL6408" s="6"/>
    </row>
    <row r="6409" spans="38:38" x14ac:dyDescent="0.25">
      <c r="AL6409" s="6"/>
    </row>
    <row r="6410" spans="38:38" x14ac:dyDescent="0.25">
      <c r="AL6410" s="6"/>
    </row>
    <row r="6411" spans="38:38" x14ac:dyDescent="0.25">
      <c r="AL6411" s="6"/>
    </row>
    <row r="6412" spans="38:38" x14ac:dyDescent="0.25">
      <c r="AL6412" s="6"/>
    </row>
    <row r="6413" spans="38:38" x14ac:dyDescent="0.25">
      <c r="AL6413" s="6"/>
    </row>
    <row r="6414" spans="38:38" x14ac:dyDescent="0.25">
      <c r="AL6414" s="6"/>
    </row>
    <row r="6415" spans="38:38" x14ac:dyDescent="0.25">
      <c r="AL6415" s="6"/>
    </row>
    <row r="6416" spans="38:38" x14ac:dyDescent="0.25">
      <c r="AL6416" s="6"/>
    </row>
    <row r="6417" spans="38:38" x14ac:dyDescent="0.25">
      <c r="AL6417" s="6"/>
    </row>
    <row r="6418" spans="38:38" x14ac:dyDescent="0.25">
      <c r="AL6418" s="6"/>
    </row>
    <row r="6419" spans="38:38" x14ac:dyDescent="0.25">
      <c r="AL6419" s="6"/>
    </row>
    <row r="6420" spans="38:38" x14ac:dyDescent="0.25">
      <c r="AL6420" s="6"/>
    </row>
    <row r="6421" spans="38:38" x14ac:dyDescent="0.25">
      <c r="AL6421" s="6"/>
    </row>
    <row r="6422" spans="38:38" x14ac:dyDescent="0.25">
      <c r="AL6422" s="6"/>
    </row>
    <row r="6423" spans="38:38" x14ac:dyDescent="0.25">
      <c r="AL6423" s="6"/>
    </row>
    <row r="6424" spans="38:38" x14ac:dyDescent="0.25">
      <c r="AL6424" s="6"/>
    </row>
    <row r="6425" spans="38:38" x14ac:dyDescent="0.25">
      <c r="AL6425" s="6"/>
    </row>
    <row r="6426" spans="38:38" x14ac:dyDescent="0.25">
      <c r="AL6426" s="6"/>
    </row>
    <row r="6427" spans="38:38" x14ac:dyDescent="0.25">
      <c r="AL6427" s="6"/>
    </row>
    <row r="6428" spans="38:38" x14ac:dyDescent="0.25">
      <c r="AL6428" s="6"/>
    </row>
    <row r="6429" spans="38:38" x14ac:dyDescent="0.25">
      <c r="AL6429" s="6"/>
    </row>
    <row r="6430" spans="38:38" x14ac:dyDescent="0.25">
      <c r="AL6430" s="6"/>
    </row>
    <row r="6431" spans="38:38" x14ac:dyDescent="0.25">
      <c r="AL6431" s="6"/>
    </row>
    <row r="6432" spans="38:38" x14ac:dyDescent="0.25">
      <c r="AL6432" s="6"/>
    </row>
    <row r="6433" spans="38:38" x14ac:dyDescent="0.25">
      <c r="AL6433" s="6"/>
    </row>
    <row r="6434" spans="38:38" x14ac:dyDescent="0.25">
      <c r="AL6434" s="6"/>
    </row>
    <row r="6435" spans="38:38" x14ac:dyDescent="0.25">
      <c r="AL6435" s="6"/>
    </row>
    <row r="6436" spans="38:38" x14ac:dyDescent="0.25">
      <c r="AL6436" s="6"/>
    </row>
    <row r="6437" spans="38:38" x14ac:dyDescent="0.25">
      <c r="AL6437" s="6"/>
    </row>
    <row r="6438" spans="38:38" x14ac:dyDescent="0.25">
      <c r="AL6438" s="6"/>
    </row>
    <row r="6439" spans="38:38" x14ac:dyDescent="0.25">
      <c r="AL6439" s="6"/>
    </row>
    <row r="6440" spans="38:38" x14ac:dyDescent="0.25">
      <c r="AL6440" s="6"/>
    </row>
    <row r="6441" spans="38:38" x14ac:dyDescent="0.25">
      <c r="AL6441" s="6"/>
    </row>
    <row r="6442" spans="38:38" x14ac:dyDescent="0.25">
      <c r="AL6442" s="6"/>
    </row>
    <row r="6443" spans="38:38" x14ac:dyDescent="0.25">
      <c r="AL6443" s="6"/>
    </row>
    <row r="6444" spans="38:38" x14ac:dyDescent="0.25">
      <c r="AL6444" s="6"/>
    </row>
    <row r="6445" spans="38:38" x14ac:dyDescent="0.25">
      <c r="AL6445" s="6"/>
    </row>
    <row r="6446" spans="38:38" x14ac:dyDescent="0.25">
      <c r="AL6446" s="6"/>
    </row>
    <row r="6447" spans="38:38" x14ac:dyDescent="0.25">
      <c r="AL6447" s="6"/>
    </row>
    <row r="6448" spans="38:38" x14ac:dyDescent="0.25">
      <c r="AL6448" s="6"/>
    </row>
    <row r="6449" spans="38:38" x14ac:dyDescent="0.25">
      <c r="AL6449" s="6"/>
    </row>
    <row r="6450" spans="38:38" x14ac:dyDescent="0.25">
      <c r="AL6450" s="6"/>
    </row>
    <row r="6451" spans="38:38" x14ac:dyDescent="0.25">
      <c r="AL6451" s="6"/>
    </row>
    <row r="6452" spans="38:38" x14ac:dyDescent="0.25">
      <c r="AL6452" s="6"/>
    </row>
    <row r="6453" spans="38:38" x14ac:dyDescent="0.25">
      <c r="AL6453" s="6"/>
    </row>
    <row r="6454" spans="38:38" x14ac:dyDescent="0.25">
      <c r="AL6454" s="6"/>
    </row>
    <row r="6455" spans="38:38" x14ac:dyDescent="0.25">
      <c r="AL6455" s="6"/>
    </row>
    <row r="6456" spans="38:38" x14ac:dyDescent="0.25">
      <c r="AL6456" s="6"/>
    </row>
    <row r="6457" spans="38:38" x14ac:dyDescent="0.25">
      <c r="AL6457" s="6"/>
    </row>
    <row r="6458" spans="38:38" x14ac:dyDescent="0.25">
      <c r="AL6458" s="6"/>
    </row>
    <row r="6459" spans="38:38" x14ac:dyDescent="0.25">
      <c r="AL6459" s="6"/>
    </row>
    <row r="6460" spans="38:38" x14ac:dyDescent="0.25">
      <c r="AL6460" s="6"/>
    </row>
    <row r="6461" spans="38:38" x14ac:dyDescent="0.25">
      <c r="AL6461" s="6"/>
    </row>
    <row r="6462" spans="38:38" x14ac:dyDescent="0.25">
      <c r="AL6462" s="6"/>
    </row>
    <row r="6463" spans="38:38" x14ac:dyDescent="0.25">
      <c r="AL6463" s="6"/>
    </row>
    <row r="6464" spans="38:38" x14ac:dyDescent="0.25">
      <c r="AL6464" s="6"/>
    </row>
    <row r="6465" spans="38:38" x14ac:dyDescent="0.25">
      <c r="AL6465" s="6"/>
    </row>
    <row r="6466" spans="38:38" x14ac:dyDescent="0.25">
      <c r="AL6466" s="6"/>
    </row>
    <row r="6467" spans="38:38" x14ac:dyDescent="0.25">
      <c r="AL6467" s="6"/>
    </row>
    <row r="6468" spans="38:38" x14ac:dyDescent="0.25">
      <c r="AL6468" s="6"/>
    </row>
    <row r="6469" spans="38:38" x14ac:dyDescent="0.25">
      <c r="AL6469" s="6"/>
    </row>
    <row r="6470" spans="38:38" x14ac:dyDescent="0.25">
      <c r="AL6470" s="6"/>
    </row>
    <row r="6471" spans="38:38" x14ac:dyDescent="0.25">
      <c r="AL6471" s="6"/>
    </row>
    <row r="6472" spans="38:38" x14ac:dyDescent="0.25">
      <c r="AL6472" s="6"/>
    </row>
    <row r="6473" spans="38:38" x14ac:dyDescent="0.25">
      <c r="AL6473" s="6"/>
    </row>
    <row r="6474" spans="38:38" x14ac:dyDescent="0.25">
      <c r="AL6474" s="6"/>
    </row>
    <row r="6475" spans="38:38" x14ac:dyDescent="0.25">
      <c r="AL6475" s="6"/>
    </row>
    <row r="6476" spans="38:38" x14ac:dyDescent="0.25">
      <c r="AL6476" s="6"/>
    </row>
    <row r="6477" spans="38:38" x14ac:dyDescent="0.25">
      <c r="AL6477" s="6"/>
    </row>
    <row r="6478" spans="38:38" x14ac:dyDescent="0.25">
      <c r="AL6478" s="6"/>
    </row>
    <row r="6479" spans="38:38" x14ac:dyDescent="0.25">
      <c r="AL6479" s="6"/>
    </row>
    <row r="6480" spans="38:38" x14ac:dyDescent="0.25">
      <c r="AL6480" s="6"/>
    </row>
    <row r="6481" spans="38:38" x14ac:dyDescent="0.25">
      <c r="AL6481" s="6"/>
    </row>
    <row r="6482" spans="38:38" x14ac:dyDescent="0.25">
      <c r="AL6482" s="6"/>
    </row>
    <row r="6483" spans="38:38" x14ac:dyDescent="0.25">
      <c r="AL6483" s="6"/>
    </row>
    <row r="6484" spans="38:38" x14ac:dyDescent="0.25">
      <c r="AL6484" s="6"/>
    </row>
    <row r="6485" spans="38:38" x14ac:dyDescent="0.25">
      <c r="AL6485" s="6"/>
    </row>
    <row r="6486" spans="38:38" x14ac:dyDescent="0.25">
      <c r="AL6486" s="6"/>
    </row>
    <row r="6487" spans="38:38" x14ac:dyDescent="0.25">
      <c r="AL6487" s="6"/>
    </row>
    <row r="6488" spans="38:38" x14ac:dyDescent="0.25">
      <c r="AL6488" s="6"/>
    </row>
    <row r="6489" spans="38:38" x14ac:dyDescent="0.25">
      <c r="AL6489" s="6"/>
    </row>
    <row r="6490" spans="38:38" x14ac:dyDescent="0.25">
      <c r="AL6490" s="6"/>
    </row>
    <row r="6491" spans="38:38" x14ac:dyDescent="0.25">
      <c r="AL6491" s="6"/>
    </row>
    <row r="6492" spans="38:38" x14ac:dyDescent="0.25">
      <c r="AL6492" s="6"/>
    </row>
    <row r="6493" spans="38:38" x14ac:dyDescent="0.25">
      <c r="AL6493" s="6"/>
    </row>
    <row r="6494" spans="38:38" x14ac:dyDescent="0.25">
      <c r="AL6494" s="6"/>
    </row>
    <row r="6495" spans="38:38" x14ac:dyDescent="0.25">
      <c r="AL6495" s="6"/>
    </row>
    <row r="6496" spans="38:38" x14ac:dyDescent="0.25">
      <c r="AL6496" s="6"/>
    </row>
    <row r="6497" spans="38:38" x14ac:dyDescent="0.25">
      <c r="AL6497" s="6"/>
    </row>
    <row r="6498" spans="38:38" x14ac:dyDescent="0.25">
      <c r="AL6498" s="6"/>
    </row>
    <row r="6499" spans="38:38" x14ac:dyDescent="0.25">
      <c r="AL6499" s="6"/>
    </row>
    <row r="6500" spans="38:38" x14ac:dyDescent="0.25">
      <c r="AL6500" s="6"/>
    </row>
    <row r="6501" spans="38:38" x14ac:dyDescent="0.25">
      <c r="AL6501" s="6"/>
    </row>
    <row r="6502" spans="38:38" x14ac:dyDescent="0.25">
      <c r="AL6502" s="6"/>
    </row>
    <row r="6503" spans="38:38" x14ac:dyDescent="0.25">
      <c r="AL6503" s="6"/>
    </row>
    <row r="6504" spans="38:38" x14ac:dyDescent="0.25">
      <c r="AL6504" s="6"/>
    </row>
    <row r="6505" spans="38:38" x14ac:dyDescent="0.25">
      <c r="AL6505" s="6"/>
    </row>
    <row r="6506" spans="38:38" x14ac:dyDescent="0.25">
      <c r="AL6506" s="6"/>
    </row>
    <row r="6507" spans="38:38" x14ac:dyDescent="0.25">
      <c r="AL6507" s="6"/>
    </row>
    <row r="6508" spans="38:38" x14ac:dyDescent="0.25">
      <c r="AL6508" s="6"/>
    </row>
    <row r="6509" spans="38:38" x14ac:dyDescent="0.25">
      <c r="AL6509" s="6"/>
    </row>
    <row r="6510" spans="38:38" x14ac:dyDescent="0.25">
      <c r="AL6510" s="6"/>
    </row>
    <row r="6511" spans="38:38" x14ac:dyDescent="0.25">
      <c r="AL6511" s="6"/>
    </row>
    <row r="6512" spans="38:38" x14ac:dyDescent="0.25">
      <c r="AL6512" s="6"/>
    </row>
    <row r="6513" spans="38:38" x14ac:dyDescent="0.25">
      <c r="AL6513" s="6"/>
    </row>
    <row r="6514" spans="38:38" x14ac:dyDescent="0.25">
      <c r="AL6514" s="6"/>
    </row>
    <row r="6515" spans="38:38" x14ac:dyDescent="0.25">
      <c r="AL6515" s="6"/>
    </row>
    <row r="6516" spans="38:38" x14ac:dyDescent="0.25">
      <c r="AL6516" s="6"/>
    </row>
    <row r="6517" spans="38:38" x14ac:dyDescent="0.25">
      <c r="AL6517" s="6"/>
    </row>
    <row r="6518" spans="38:38" x14ac:dyDescent="0.25">
      <c r="AL6518" s="6"/>
    </row>
    <row r="6519" spans="38:38" x14ac:dyDescent="0.25">
      <c r="AL6519" s="6"/>
    </row>
    <row r="6520" spans="38:38" x14ac:dyDescent="0.25">
      <c r="AL6520" s="6"/>
    </row>
    <row r="6521" spans="38:38" x14ac:dyDescent="0.25">
      <c r="AL6521" s="6"/>
    </row>
    <row r="6522" spans="38:38" x14ac:dyDescent="0.25">
      <c r="AL6522" s="6"/>
    </row>
    <row r="6523" spans="38:38" x14ac:dyDescent="0.25">
      <c r="AL6523" s="6"/>
    </row>
    <row r="6524" spans="38:38" x14ac:dyDescent="0.25">
      <c r="AL6524" s="6"/>
    </row>
    <row r="6525" spans="38:38" x14ac:dyDescent="0.25">
      <c r="AL6525" s="6"/>
    </row>
    <row r="6526" spans="38:38" x14ac:dyDescent="0.25">
      <c r="AL6526" s="6"/>
    </row>
    <row r="6527" spans="38:38" x14ac:dyDescent="0.25">
      <c r="AL6527" s="6"/>
    </row>
    <row r="6528" spans="38:38" x14ac:dyDescent="0.25">
      <c r="AL6528" s="6"/>
    </row>
    <row r="6529" spans="38:38" x14ac:dyDescent="0.25">
      <c r="AL6529" s="6"/>
    </row>
    <row r="6530" spans="38:38" x14ac:dyDescent="0.25">
      <c r="AL6530" s="6"/>
    </row>
    <row r="6531" spans="38:38" x14ac:dyDescent="0.25">
      <c r="AL6531" s="6"/>
    </row>
    <row r="6532" spans="38:38" x14ac:dyDescent="0.25">
      <c r="AL6532" s="6"/>
    </row>
    <row r="6533" spans="38:38" x14ac:dyDescent="0.25">
      <c r="AL6533" s="6"/>
    </row>
    <row r="6534" spans="38:38" x14ac:dyDescent="0.25">
      <c r="AL6534" s="6"/>
    </row>
    <row r="6535" spans="38:38" x14ac:dyDescent="0.25">
      <c r="AL6535" s="6"/>
    </row>
    <row r="6536" spans="38:38" x14ac:dyDescent="0.25">
      <c r="AL6536" s="6"/>
    </row>
    <row r="6537" spans="38:38" x14ac:dyDescent="0.25">
      <c r="AL6537" s="6"/>
    </row>
    <row r="6538" spans="38:38" x14ac:dyDescent="0.25">
      <c r="AL6538" s="6"/>
    </row>
    <row r="6539" spans="38:38" x14ac:dyDescent="0.25">
      <c r="AL6539" s="6"/>
    </row>
    <row r="6540" spans="38:38" x14ac:dyDescent="0.25">
      <c r="AL6540" s="6"/>
    </row>
    <row r="6541" spans="38:38" x14ac:dyDescent="0.25">
      <c r="AL6541" s="6"/>
    </row>
    <row r="6542" spans="38:38" x14ac:dyDescent="0.25">
      <c r="AL6542" s="6"/>
    </row>
    <row r="6543" spans="38:38" x14ac:dyDescent="0.25">
      <c r="AL6543" s="6"/>
    </row>
    <row r="6544" spans="38:38" x14ac:dyDescent="0.25">
      <c r="AL6544" s="6"/>
    </row>
    <row r="6545" spans="38:38" x14ac:dyDescent="0.25">
      <c r="AL6545" s="6"/>
    </row>
    <row r="6546" spans="38:38" x14ac:dyDescent="0.25">
      <c r="AL6546" s="6"/>
    </row>
    <row r="6547" spans="38:38" x14ac:dyDescent="0.25">
      <c r="AL6547" s="6"/>
    </row>
    <row r="6548" spans="38:38" x14ac:dyDescent="0.25">
      <c r="AL6548" s="6"/>
    </row>
    <row r="6549" spans="38:38" x14ac:dyDescent="0.25">
      <c r="AL6549" s="6"/>
    </row>
    <row r="6550" spans="38:38" x14ac:dyDescent="0.25">
      <c r="AL6550" s="6"/>
    </row>
    <row r="6551" spans="38:38" x14ac:dyDescent="0.25">
      <c r="AL6551" s="6"/>
    </row>
    <row r="6552" spans="38:38" x14ac:dyDescent="0.25">
      <c r="AL6552" s="6"/>
    </row>
    <row r="6553" spans="38:38" x14ac:dyDescent="0.25">
      <c r="AL6553" s="6"/>
    </row>
    <row r="6554" spans="38:38" x14ac:dyDescent="0.25">
      <c r="AL6554" s="6"/>
    </row>
    <row r="6555" spans="38:38" x14ac:dyDescent="0.25">
      <c r="AL6555" s="6"/>
    </row>
    <row r="6556" spans="38:38" x14ac:dyDescent="0.25">
      <c r="AL6556" s="6"/>
    </row>
    <row r="6557" spans="38:38" x14ac:dyDescent="0.25">
      <c r="AL6557" s="6"/>
    </row>
    <row r="6558" spans="38:38" x14ac:dyDescent="0.25">
      <c r="AL6558" s="6"/>
    </row>
    <row r="6559" spans="38:38" x14ac:dyDescent="0.25">
      <c r="AL6559" s="6"/>
    </row>
    <row r="6560" spans="38:38" x14ac:dyDescent="0.25">
      <c r="AL6560" s="6"/>
    </row>
    <row r="6561" spans="38:38" x14ac:dyDescent="0.25">
      <c r="AL6561" s="6"/>
    </row>
    <row r="6562" spans="38:38" x14ac:dyDescent="0.25">
      <c r="AL6562" s="6"/>
    </row>
    <row r="6563" spans="38:38" x14ac:dyDescent="0.25">
      <c r="AL6563" s="6"/>
    </row>
    <row r="6564" spans="38:38" x14ac:dyDescent="0.25">
      <c r="AL6564" s="6"/>
    </row>
    <row r="6565" spans="38:38" x14ac:dyDescent="0.25">
      <c r="AL6565" s="6"/>
    </row>
    <row r="6566" spans="38:38" x14ac:dyDescent="0.25">
      <c r="AL6566" s="6"/>
    </row>
    <row r="6567" spans="38:38" x14ac:dyDescent="0.25">
      <c r="AL6567" s="6"/>
    </row>
    <row r="6568" spans="38:38" x14ac:dyDescent="0.25">
      <c r="AL6568" s="6"/>
    </row>
    <row r="6569" spans="38:38" x14ac:dyDescent="0.25">
      <c r="AL6569" s="6"/>
    </row>
    <row r="6570" spans="38:38" x14ac:dyDescent="0.25">
      <c r="AL6570" s="6"/>
    </row>
    <row r="6571" spans="38:38" x14ac:dyDescent="0.25">
      <c r="AL6571" s="6"/>
    </row>
    <row r="6572" spans="38:38" x14ac:dyDescent="0.25">
      <c r="AL6572" s="6"/>
    </row>
    <row r="6573" spans="38:38" x14ac:dyDescent="0.25">
      <c r="AL6573" s="6"/>
    </row>
    <row r="6574" spans="38:38" x14ac:dyDescent="0.25">
      <c r="AL6574" s="6"/>
    </row>
    <row r="6575" spans="38:38" x14ac:dyDescent="0.25">
      <c r="AL6575" s="6"/>
    </row>
    <row r="6576" spans="38:38" x14ac:dyDescent="0.25">
      <c r="AL6576" s="6"/>
    </row>
    <row r="6577" spans="38:38" x14ac:dyDescent="0.25">
      <c r="AL6577" s="6"/>
    </row>
    <row r="6578" spans="38:38" x14ac:dyDescent="0.25">
      <c r="AL6578" s="6"/>
    </row>
    <row r="6579" spans="38:38" x14ac:dyDescent="0.25">
      <c r="AL6579" s="6"/>
    </row>
    <row r="6580" spans="38:38" x14ac:dyDescent="0.25">
      <c r="AL6580" s="6"/>
    </row>
    <row r="6581" spans="38:38" x14ac:dyDescent="0.25">
      <c r="AL6581" s="6"/>
    </row>
    <row r="6582" spans="38:38" x14ac:dyDescent="0.25">
      <c r="AL6582" s="6"/>
    </row>
    <row r="6583" spans="38:38" x14ac:dyDescent="0.25">
      <c r="AL6583" s="6"/>
    </row>
    <row r="6584" spans="38:38" x14ac:dyDescent="0.25">
      <c r="AL6584" s="6"/>
    </row>
    <row r="6585" spans="38:38" x14ac:dyDescent="0.25">
      <c r="AL6585" s="6"/>
    </row>
    <row r="6586" spans="38:38" x14ac:dyDescent="0.25">
      <c r="AL6586" s="6"/>
    </row>
    <row r="6587" spans="38:38" x14ac:dyDescent="0.25">
      <c r="AL6587" s="6"/>
    </row>
    <row r="6588" spans="38:38" x14ac:dyDescent="0.25">
      <c r="AL6588" s="6"/>
    </row>
    <row r="6589" spans="38:38" x14ac:dyDescent="0.25">
      <c r="AL6589" s="6"/>
    </row>
    <row r="6590" spans="38:38" x14ac:dyDescent="0.25">
      <c r="AL6590" s="6"/>
    </row>
    <row r="6591" spans="38:38" x14ac:dyDescent="0.25">
      <c r="AL6591" s="6"/>
    </row>
    <row r="6592" spans="38:38" x14ac:dyDescent="0.25">
      <c r="AL6592" s="6"/>
    </row>
    <row r="6593" spans="38:38" x14ac:dyDescent="0.25">
      <c r="AL6593" s="6"/>
    </row>
    <row r="6594" spans="38:38" x14ac:dyDescent="0.25">
      <c r="AL6594" s="6"/>
    </row>
    <row r="6595" spans="38:38" x14ac:dyDescent="0.25">
      <c r="AL6595" s="6"/>
    </row>
    <row r="6596" spans="38:38" x14ac:dyDescent="0.25">
      <c r="AL6596" s="6"/>
    </row>
    <row r="6597" spans="38:38" x14ac:dyDescent="0.25">
      <c r="AL6597" s="6"/>
    </row>
    <row r="6598" spans="38:38" x14ac:dyDescent="0.25">
      <c r="AL6598" s="6"/>
    </row>
    <row r="6599" spans="38:38" x14ac:dyDescent="0.25">
      <c r="AL6599" s="6"/>
    </row>
    <row r="6600" spans="38:38" x14ac:dyDescent="0.25">
      <c r="AL6600" s="6"/>
    </row>
    <row r="6601" spans="38:38" x14ac:dyDescent="0.25">
      <c r="AL6601" s="6"/>
    </row>
    <row r="6602" spans="38:38" x14ac:dyDescent="0.25">
      <c r="AL6602" s="6"/>
    </row>
    <row r="6603" spans="38:38" x14ac:dyDescent="0.25">
      <c r="AL6603" s="6"/>
    </row>
    <row r="6604" spans="38:38" x14ac:dyDescent="0.25">
      <c r="AL6604" s="6"/>
    </row>
    <row r="6605" spans="38:38" x14ac:dyDescent="0.25">
      <c r="AL6605" s="6"/>
    </row>
    <row r="6606" spans="38:38" x14ac:dyDescent="0.25">
      <c r="AL6606" s="6"/>
    </row>
    <row r="6607" spans="38:38" x14ac:dyDescent="0.25">
      <c r="AL6607" s="6"/>
    </row>
    <row r="6608" spans="38:38" x14ac:dyDescent="0.25">
      <c r="AL6608" s="6"/>
    </row>
    <row r="6609" spans="38:38" x14ac:dyDescent="0.25">
      <c r="AL6609" s="6"/>
    </row>
    <row r="6610" spans="38:38" x14ac:dyDescent="0.25">
      <c r="AL6610" s="6"/>
    </row>
    <row r="6611" spans="38:38" x14ac:dyDescent="0.25">
      <c r="AL6611" s="6"/>
    </row>
    <row r="6612" spans="38:38" x14ac:dyDescent="0.25">
      <c r="AL6612" s="6"/>
    </row>
    <row r="6613" spans="38:38" x14ac:dyDescent="0.25">
      <c r="AL6613" s="6"/>
    </row>
    <row r="6614" spans="38:38" x14ac:dyDescent="0.25">
      <c r="AL6614" s="6"/>
    </row>
    <row r="6615" spans="38:38" x14ac:dyDescent="0.25">
      <c r="AL6615" s="6"/>
    </row>
    <row r="6616" spans="38:38" x14ac:dyDescent="0.25">
      <c r="AL6616" s="6"/>
    </row>
    <row r="6617" spans="38:38" x14ac:dyDescent="0.25">
      <c r="AL6617" s="6"/>
    </row>
    <row r="6618" spans="38:38" x14ac:dyDescent="0.25">
      <c r="AL6618" s="6"/>
    </row>
    <row r="6619" spans="38:38" x14ac:dyDescent="0.25">
      <c r="AL6619" s="6"/>
    </row>
    <row r="6620" spans="38:38" x14ac:dyDescent="0.25">
      <c r="AL6620" s="6"/>
    </row>
    <row r="6621" spans="38:38" x14ac:dyDescent="0.25">
      <c r="AL6621" s="6"/>
    </row>
    <row r="6622" spans="38:38" x14ac:dyDescent="0.25">
      <c r="AL6622" s="6"/>
    </row>
    <row r="6623" spans="38:38" x14ac:dyDescent="0.25">
      <c r="AL6623" s="6"/>
    </row>
    <row r="6624" spans="38:38" x14ac:dyDescent="0.25">
      <c r="AL6624" s="6"/>
    </row>
    <row r="6625" spans="38:38" x14ac:dyDescent="0.25">
      <c r="AL6625" s="6"/>
    </row>
    <row r="6626" spans="38:38" x14ac:dyDescent="0.25">
      <c r="AL6626" s="6"/>
    </row>
    <row r="6627" spans="38:38" x14ac:dyDescent="0.25">
      <c r="AL6627" s="6"/>
    </row>
    <row r="6628" spans="38:38" x14ac:dyDescent="0.25">
      <c r="AL6628" s="6"/>
    </row>
    <row r="6629" spans="38:38" x14ac:dyDescent="0.25">
      <c r="AL6629" s="6"/>
    </row>
    <row r="6630" spans="38:38" x14ac:dyDescent="0.25">
      <c r="AL6630" s="6"/>
    </row>
    <row r="6631" spans="38:38" x14ac:dyDescent="0.25">
      <c r="AL6631" s="6"/>
    </row>
    <row r="6632" spans="38:38" x14ac:dyDescent="0.25">
      <c r="AL6632" s="6"/>
    </row>
    <row r="6633" spans="38:38" x14ac:dyDescent="0.25">
      <c r="AL6633" s="6"/>
    </row>
    <row r="6634" spans="38:38" x14ac:dyDescent="0.25">
      <c r="AL6634" s="6"/>
    </row>
    <row r="6635" spans="38:38" x14ac:dyDescent="0.25">
      <c r="AL6635" s="6"/>
    </row>
    <row r="6636" spans="38:38" x14ac:dyDescent="0.25">
      <c r="AL6636" s="6"/>
    </row>
    <row r="6637" spans="38:38" x14ac:dyDescent="0.25">
      <c r="AL6637" s="6"/>
    </row>
    <row r="6638" spans="38:38" x14ac:dyDescent="0.25">
      <c r="AL6638" s="6"/>
    </row>
    <row r="6639" spans="38:38" x14ac:dyDescent="0.25">
      <c r="AL6639" s="6"/>
    </row>
    <row r="6640" spans="38:38" x14ac:dyDescent="0.25">
      <c r="AL6640" s="6"/>
    </row>
    <row r="6641" spans="38:38" x14ac:dyDescent="0.25">
      <c r="AL6641" s="6"/>
    </row>
    <row r="6642" spans="38:38" x14ac:dyDescent="0.25">
      <c r="AL6642" s="6"/>
    </row>
    <row r="6643" spans="38:38" x14ac:dyDescent="0.25">
      <c r="AL6643" s="6"/>
    </row>
    <row r="6644" spans="38:38" x14ac:dyDescent="0.25">
      <c r="AL6644" s="6"/>
    </row>
    <row r="6645" spans="38:38" x14ac:dyDescent="0.25">
      <c r="AL6645" s="6"/>
    </row>
    <row r="6646" spans="38:38" x14ac:dyDescent="0.25">
      <c r="AL6646" s="6"/>
    </row>
    <row r="6647" spans="38:38" x14ac:dyDescent="0.25">
      <c r="AL6647" s="6"/>
    </row>
    <row r="6648" spans="38:38" x14ac:dyDescent="0.25">
      <c r="AL6648" s="6"/>
    </row>
    <row r="6649" spans="38:38" x14ac:dyDescent="0.25">
      <c r="AL6649" s="6"/>
    </row>
    <row r="6650" spans="38:38" x14ac:dyDescent="0.25">
      <c r="AL6650" s="6"/>
    </row>
    <row r="6651" spans="38:38" x14ac:dyDescent="0.25">
      <c r="AL6651" s="6"/>
    </row>
    <row r="6652" spans="38:38" x14ac:dyDescent="0.25">
      <c r="AL6652" s="6"/>
    </row>
    <row r="6653" spans="38:38" x14ac:dyDescent="0.25">
      <c r="AL6653" s="6"/>
    </row>
    <row r="6654" spans="38:38" x14ac:dyDescent="0.25">
      <c r="AL6654" s="6"/>
    </row>
    <row r="6655" spans="38:38" x14ac:dyDescent="0.25">
      <c r="AL6655" s="6"/>
    </row>
    <row r="6656" spans="38:38" x14ac:dyDescent="0.25">
      <c r="AL6656" s="6"/>
    </row>
    <row r="6657" spans="38:38" x14ac:dyDescent="0.25">
      <c r="AL6657" s="6"/>
    </row>
    <row r="6658" spans="38:38" x14ac:dyDescent="0.25">
      <c r="AL6658" s="6"/>
    </row>
    <row r="6659" spans="38:38" x14ac:dyDescent="0.25">
      <c r="AL6659" s="6"/>
    </row>
    <row r="6660" spans="38:38" x14ac:dyDescent="0.25">
      <c r="AL6660" s="6"/>
    </row>
    <row r="6661" spans="38:38" x14ac:dyDescent="0.25">
      <c r="AL6661" s="6"/>
    </row>
    <row r="6662" spans="38:38" x14ac:dyDescent="0.25">
      <c r="AL6662" s="6"/>
    </row>
    <row r="6663" spans="38:38" x14ac:dyDescent="0.25">
      <c r="AL6663" s="6"/>
    </row>
    <row r="6664" spans="38:38" x14ac:dyDescent="0.25">
      <c r="AL6664" s="6"/>
    </row>
    <row r="6665" spans="38:38" x14ac:dyDescent="0.25">
      <c r="AL6665" s="6"/>
    </row>
    <row r="6666" spans="38:38" x14ac:dyDescent="0.25">
      <c r="AL6666" s="6"/>
    </row>
    <row r="6667" spans="38:38" x14ac:dyDescent="0.25">
      <c r="AL6667" s="6"/>
    </row>
    <row r="6668" spans="38:38" x14ac:dyDescent="0.25">
      <c r="AL6668" s="6"/>
    </row>
    <row r="6669" spans="38:38" x14ac:dyDescent="0.25">
      <c r="AL6669" s="6"/>
    </row>
    <row r="6670" spans="38:38" x14ac:dyDescent="0.25">
      <c r="AL6670" s="6"/>
    </row>
    <row r="6671" spans="38:38" x14ac:dyDescent="0.25">
      <c r="AL6671" s="6"/>
    </row>
    <row r="6672" spans="38:38" x14ac:dyDescent="0.25">
      <c r="AL6672" s="6"/>
    </row>
    <row r="6673" spans="38:38" x14ac:dyDescent="0.25">
      <c r="AL6673" s="6"/>
    </row>
    <row r="6674" spans="38:38" x14ac:dyDescent="0.25">
      <c r="AL6674" s="6"/>
    </row>
    <row r="6675" spans="38:38" x14ac:dyDescent="0.25">
      <c r="AL6675" s="6"/>
    </row>
    <row r="6676" spans="38:38" x14ac:dyDescent="0.25">
      <c r="AL6676" s="6"/>
    </row>
    <row r="6677" spans="38:38" x14ac:dyDescent="0.25">
      <c r="AL6677" s="6"/>
    </row>
    <row r="6678" spans="38:38" x14ac:dyDescent="0.25">
      <c r="AL6678" s="6"/>
    </row>
    <row r="6679" spans="38:38" x14ac:dyDescent="0.25">
      <c r="AL6679" s="6"/>
    </row>
    <row r="6680" spans="38:38" x14ac:dyDescent="0.25">
      <c r="AL6680" s="6"/>
    </row>
    <row r="6681" spans="38:38" x14ac:dyDescent="0.25">
      <c r="AL6681" s="6"/>
    </row>
    <row r="6682" spans="38:38" x14ac:dyDescent="0.25">
      <c r="AL6682" s="6"/>
    </row>
    <row r="6683" spans="38:38" x14ac:dyDescent="0.25">
      <c r="AL6683" s="6"/>
    </row>
    <row r="6684" spans="38:38" x14ac:dyDescent="0.25">
      <c r="AL6684" s="6"/>
    </row>
    <row r="6685" spans="38:38" x14ac:dyDescent="0.25">
      <c r="AL6685" s="6"/>
    </row>
    <row r="6686" spans="38:38" x14ac:dyDescent="0.25">
      <c r="AL6686" s="6"/>
    </row>
    <row r="6687" spans="38:38" x14ac:dyDescent="0.25">
      <c r="AL6687" s="6"/>
    </row>
    <row r="6688" spans="38:38" x14ac:dyDescent="0.25">
      <c r="AL6688" s="6"/>
    </row>
    <row r="6689" spans="38:38" x14ac:dyDescent="0.25">
      <c r="AL6689" s="6"/>
    </row>
    <row r="6690" spans="38:38" x14ac:dyDescent="0.25">
      <c r="AL6690" s="6"/>
    </row>
    <row r="6691" spans="38:38" x14ac:dyDescent="0.25">
      <c r="AL6691" s="6"/>
    </row>
    <row r="6692" spans="38:38" x14ac:dyDescent="0.25">
      <c r="AL6692" s="6"/>
    </row>
    <row r="6693" spans="38:38" x14ac:dyDescent="0.25">
      <c r="AL6693" s="6"/>
    </row>
    <row r="6694" spans="38:38" x14ac:dyDescent="0.25">
      <c r="AL6694" s="6"/>
    </row>
    <row r="6695" spans="38:38" x14ac:dyDescent="0.25">
      <c r="AL6695" s="6"/>
    </row>
    <row r="6696" spans="38:38" x14ac:dyDescent="0.25">
      <c r="AL6696" s="6"/>
    </row>
    <row r="6697" spans="38:38" x14ac:dyDescent="0.25">
      <c r="AL6697" s="6"/>
    </row>
    <row r="6698" spans="38:38" x14ac:dyDescent="0.25">
      <c r="AL6698" s="6"/>
    </row>
    <row r="6699" spans="38:38" x14ac:dyDescent="0.25">
      <c r="AL6699" s="6"/>
    </row>
    <row r="6700" spans="38:38" x14ac:dyDescent="0.25">
      <c r="AL6700" s="6"/>
    </row>
    <row r="6701" spans="38:38" x14ac:dyDescent="0.25">
      <c r="AL6701" s="6"/>
    </row>
    <row r="6702" spans="38:38" x14ac:dyDescent="0.25">
      <c r="AL6702" s="6"/>
    </row>
    <row r="6703" spans="38:38" x14ac:dyDescent="0.25">
      <c r="AL6703" s="6"/>
    </row>
    <row r="6704" spans="38:38" x14ac:dyDescent="0.25">
      <c r="AL6704" s="6"/>
    </row>
    <row r="6705" spans="38:38" x14ac:dyDescent="0.25">
      <c r="AL6705" s="6"/>
    </row>
    <row r="6706" spans="38:38" x14ac:dyDescent="0.25">
      <c r="AL6706" s="6"/>
    </row>
    <row r="6707" spans="38:38" x14ac:dyDescent="0.25">
      <c r="AL6707" s="6"/>
    </row>
    <row r="6708" spans="38:38" x14ac:dyDescent="0.25">
      <c r="AL6708" s="6"/>
    </row>
    <row r="6709" spans="38:38" x14ac:dyDescent="0.25">
      <c r="AL6709" s="6"/>
    </row>
    <row r="6710" spans="38:38" x14ac:dyDescent="0.25">
      <c r="AL6710" s="6"/>
    </row>
    <row r="6711" spans="38:38" x14ac:dyDescent="0.25">
      <c r="AL6711" s="6"/>
    </row>
    <row r="6712" spans="38:38" x14ac:dyDescent="0.25">
      <c r="AL6712" s="6"/>
    </row>
    <row r="6713" spans="38:38" x14ac:dyDescent="0.25">
      <c r="AL6713" s="6"/>
    </row>
    <row r="6714" spans="38:38" x14ac:dyDescent="0.25">
      <c r="AL6714" s="6"/>
    </row>
    <row r="6715" spans="38:38" x14ac:dyDescent="0.25">
      <c r="AL6715" s="6"/>
    </row>
    <row r="6716" spans="38:38" x14ac:dyDescent="0.25">
      <c r="AL6716" s="6"/>
    </row>
    <row r="6717" spans="38:38" x14ac:dyDescent="0.25">
      <c r="AL6717" s="6"/>
    </row>
    <row r="6718" spans="38:38" x14ac:dyDescent="0.25">
      <c r="AL6718" s="6"/>
    </row>
    <row r="6719" spans="38:38" x14ac:dyDescent="0.25">
      <c r="AL6719" s="6"/>
    </row>
    <row r="6720" spans="38:38" x14ac:dyDescent="0.25">
      <c r="AL6720" s="6"/>
    </row>
    <row r="6721" spans="38:38" x14ac:dyDescent="0.25">
      <c r="AL6721" s="6"/>
    </row>
    <row r="6722" spans="38:38" x14ac:dyDescent="0.25">
      <c r="AL6722" s="6"/>
    </row>
    <row r="6723" spans="38:38" x14ac:dyDescent="0.25">
      <c r="AL6723" s="6"/>
    </row>
    <row r="6724" spans="38:38" x14ac:dyDescent="0.25">
      <c r="AL6724" s="6"/>
    </row>
    <row r="6725" spans="38:38" x14ac:dyDescent="0.25">
      <c r="AL6725" s="6"/>
    </row>
    <row r="6726" spans="38:38" x14ac:dyDescent="0.25">
      <c r="AL6726" s="6"/>
    </row>
    <row r="6727" spans="38:38" x14ac:dyDescent="0.25">
      <c r="AL6727" s="6"/>
    </row>
    <row r="6728" spans="38:38" x14ac:dyDescent="0.25">
      <c r="AL6728" s="6"/>
    </row>
    <row r="6729" spans="38:38" x14ac:dyDescent="0.25">
      <c r="AL6729" s="6"/>
    </row>
    <row r="6730" spans="38:38" x14ac:dyDescent="0.25">
      <c r="AL6730" s="6"/>
    </row>
    <row r="6731" spans="38:38" x14ac:dyDescent="0.25">
      <c r="AL6731" s="6"/>
    </row>
    <row r="6732" spans="38:38" x14ac:dyDescent="0.25">
      <c r="AL6732" s="6"/>
    </row>
    <row r="6733" spans="38:38" x14ac:dyDescent="0.25">
      <c r="AL6733" s="6"/>
    </row>
    <row r="6734" spans="38:38" x14ac:dyDescent="0.25">
      <c r="AL6734" s="6"/>
    </row>
    <row r="6735" spans="38:38" x14ac:dyDescent="0.25">
      <c r="AL6735" s="6"/>
    </row>
    <row r="6736" spans="38:38" x14ac:dyDescent="0.25">
      <c r="AL6736" s="6"/>
    </row>
    <row r="6737" spans="38:38" x14ac:dyDescent="0.25">
      <c r="AL6737" s="6"/>
    </row>
    <row r="6738" spans="38:38" x14ac:dyDescent="0.25">
      <c r="AL6738" s="6"/>
    </row>
    <row r="6739" spans="38:38" x14ac:dyDescent="0.25">
      <c r="AL6739" s="6"/>
    </row>
    <row r="6740" spans="38:38" x14ac:dyDescent="0.25">
      <c r="AL6740" s="6"/>
    </row>
    <row r="6741" spans="38:38" x14ac:dyDescent="0.25">
      <c r="AL6741" s="6"/>
    </row>
    <row r="6742" spans="38:38" x14ac:dyDescent="0.25">
      <c r="AL6742" s="6"/>
    </row>
    <row r="6743" spans="38:38" x14ac:dyDescent="0.25">
      <c r="AL6743" s="6"/>
    </row>
    <row r="6744" spans="38:38" x14ac:dyDescent="0.25">
      <c r="AL6744" s="6"/>
    </row>
    <row r="6745" spans="38:38" x14ac:dyDescent="0.25">
      <c r="AL6745" s="6"/>
    </row>
    <row r="6746" spans="38:38" x14ac:dyDescent="0.25">
      <c r="AL6746" s="6"/>
    </row>
    <row r="6747" spans="38:38" x14ac:dyDescent="0.25">
      <c r="AL6747" s="6"/>
    </row>
    <row r="6748" spans="38:38" x14ac:dyDescent="0.25">
      <c r="AL6748" s="6"/>
    </row>
    <row r="6749" spans="38:38" x14ac:dyDescent="0.25">
      <c r="AL6749" s="6"/>
    </row>
    <row r="6750" spans="38:38" x14ac:dyDescent="0.25">
      <c r="AL6750" s="6"/>
    </row>
    <row r="6751" spans="38:38" x14ac:dyDescent="0.25">
      <c r="AL6751" s="6"/>
    </row>
    <row r="6752" spans="38:38" x14ac:dyDescent="0.25">
      <c r="AL6752" s="6"/>
    </row>
    <row r="6753" spans="38:38" x14ac:dyDescent="0.25">
      <c r="AL6753" s="6"/>
    </row>
    <row r="6754" spans="38:38" x14ac:dyDescent="0.25">
      <c r="AL6754" s="6"/>
    </row>
    <row r="6755" spans="38:38" x14ac:dyDescent="0.25">
      <c r="AL6755" s="6"/>
    </row>
    <row r="6756" spans="38:38" x14ac:dyDescent="0.25">
      <c r="AL6756" s="6"/>
    </row>
    <row r="6757" spans="38:38" x14ac:dyDescent="0.25">
      <c r="AL6757" s="6"/>
    </row>
    <row r="6758" spans="38:38" x14ac:dyDescent="0.25">
      <c r="AL6758" s="6"/>
    </row>
    <row r="6759" spans="38:38" x14ac:dyDescent="0.25">
      <c r="AL6759" s="6"/>
    </row>
    <row r="6760" spans="38:38" x14ac:dyDescent="0.25">
      <c r="AL6760" s="6"/>
    </row>
    <row r="6761" spans="38:38" x14ac:dyDescent="0.25">
      <c r="AL6761" s="6"/>
    </row>
    <row r="6762" spans="38:38" x14ac:dyDescent="0.25">
      <c r="AL6762" s="6"/>
    </row>
    <row r="6763" spans="38:38" x14ac:dyDescent="0.25">
      <c r="AL6763" s="6"/>
    </row>
    <row r="6764" spans="38:38" x14ac:dyDescent="0.25">
      <c r="AL6764" s="6"/>
    </row>
    <row r="6765" spans="38:38" x14ac:dyDescent="0.25">
      <c r="AL6765" s="6"/>
    </row>
    <row r="6766" spans="38:38" x14ac:dyDescent="0.25">
      <c r="AL6766" s="6"/>
    </row>
    <row r="6767" spans="38:38" x14ac:dyDescent="0.25">
      <c r="AL6767" s="6"/>
    </row>
    <row r="6768" spans="38:38" x14ac:dyDescent="0.25">
      <c r="AL6768" s="6"/>
    </row>
    <row r="6769" spans="38:38" x14ac:dyDescent="0.25">
      <c r="AL6769" s="6"/>
    </row>
    <row r="6770" spans="38:38" x14ac:dyDescent="0.25">
      <c r="AL6770" s="6"/>
    </row>
    <row r="6771" spans="38:38" x14ac:dyDescent="0.25">
      <c r="AL6771" s="6"/>
    </row>
    <row r="6772" spans="38:38" x14ac:dyDescent="0.25">
      <c r="AL6772" s="6"/>
    </row>
    <row r="6773" spans="38:38" x14ac:dyDescent="0.25">
      <c r="AL6773" s="6"/>
    </row>
    <row r="6774" spans="38:38" x14ac:dyDescent="0.25">
      <c r="AL6774" s="6"/>
    </row>
    <row r="6775" spans="38:38" x14ac:dyDescent="0.25">
      <c r="AL6775" s="6"/>
    </row>
    <row r="6776" spans="38:38" x14ac:dyDescent="0.25">
      <c r="AL6776" s="6"/>
    </row>
    <row r="6777" spans="38:38" x14ac:dyDescent="0.25">
      <c r="AL6777" s="6"/>
    </row>
    <row r="6778" spans="38:38" x14ac:dyDescent="0.25">
      <c r="AL6778" s="6"/>
    </row>
    <row r="6779" spans="38:38" x14ac:dyDescent="0.25">
      <c r="AL6779" s="6"/>
    </row>
    <row r="6780" spans="38:38" x14ac:dyDescent="0.25">
      <c r="AL6780" s="6"/>
    </row>
    <row r="6781" spans="38:38" x14ac:dyDescent="0.25">
      <c r="AL6781" s="6"/>
    </row>
    <row r="6782" spans="38:38" x14ac:dyDescent="0.25">
      <c r="AL6782" s="6"/>
    </row>
    <row r="6783" spans="38:38" x14ac:dyDescent="0.25">
      <c r="AL6783" s="6"/>
    </row>
    <row r="6784" spans="38:38" x14ac:dyDescent="0.25">
      <c r="AL6784" s="6"/>
    </row>
    <row r="6785" spans="38:38" x14ac:dyDescent="0.25">
      <c r="AL6785" s="6"/>
    </row>
    <row r="6786" spans="38:38" x14ac:dyDescent="0.25">
      <c r="AL6786" s="6"/>
    </row>
    <row r="6787" spans="38:38" x14ac:dyDescent="0.25">
      <c r="AL6787" s="6"/>
    </row>
    <row r="6788" spans="38:38" x14ac:dyDescent="0.25">
      <c r="AL6788" s="6"/>
    </row>
    <row r="6789" spans="38:38" x14ac:dyDescent="0.25">
      <c r="AL6789" s="6"/>
    </row>
    <row r="6790" spans="38:38" x14ac:dyDescent="0.25">
      <c r="AL6790" s="6"/>
    </row>
    <row r="6791" spans="38:38" x14ac:dyDescent="0.25">
      <c r="AL6791" s="6"/>
    </row>
    <row r="6792" spans="38:38" x14ac:dyDescent="0.25">
      <c r="AL6792" s="6"/>
    </row>
    <row r="6793" spans="38:38" x14ac:dyDescent="0.25">
      <c r="AL6793" s="6"/>
    </row>
    <row r="6794" spans="38:38" x14ac:dyDescent="0.25">
      <c r="AL6794" s="6"/>
    </row>
    <row r="6795" spans="38:38" x14ac:dyDescent="0.25">
      <c r="AL6795" s="6"/>
    </row>
    <row r="6796" spans="38:38" x14ac:dyDescent="0.25">
      <c r="AL6796" s="6"/>
    </row>
    <row r="6797" spans="38:38" x14ac:dyDescent="0.25">
      <c r="AL6797" s="6"/>
    </row>
    <row r="6798" spans="38:38" x14ac:dyDescent="0.25">
      <c r="AL6798" s="6"/>
    </row>
    <row r="6799" spans="38:38" x14ac:dyDescent="0.25">
      <c r="AL6799" s="6"/>
    </row>
    <row r="6800" spans="38:38" x14ac:dyDescent="0.25">
      <c r="AL6800" s="6"/>
    </row>
    <row r="6801" spans="38:38" x14ac:dyDescent="0.25">
      <c r="AL6801" s="6"/>
    </row>
    <row r="6802" spans="38:38" x14ac:dyDescent="0.25">
      <c r="AL6802" s="6"/>
    </row>
    <row r="6803" spans="38:38" x14ac:dyDescent="0.25">
      <c r="AL6803" s="6"/>
    </row>
    <row r="6804" spans="38:38" x14ac:dyDescent="0.25">
      <c r="AL6804" s="6"/>
    </row>
    <row r="6805" spans="38:38" x14ac:dyDescent="0.25">
      <c r="AL6805" s="6"/>
    </row>
    <row r="6806" spans="38:38" x14ac:dyDescent="0.25">
      <c r="AL6806" s="6"/>
    </row>
    <row r="6807" spans="38:38" x14ac:dyDescent="0.25">
      <c r="AL6807" s="6"/>
    </row>
    <row r="6808" spans="38:38" x14ac:dyDescent="0.25">
      <c r="AL6808" s="6"/>
    </row>
    <row r="6809" spans="38:38" x14ac:dyDescent="0.25">
      <c r="AL6809" s="6"/>
    </row>
    <row r="6810" spans="38:38" x14ac:dyDescent="0.25">
      <c r="AL6810" s="6"/>
    </row>
    <row r="6811" spans="38:38" x14ac:dyDescent="0.25">
      <c r="AL6811" s="6"/>
    </row>
    <row r="6812" spans="38:38" x14ac:dyDescent="0.25">
      <c r="AL6812" s="6"/>
    </row>
    <row r="6813" spans="38:38" x14ac:dyDescent="0.25">
      <c r="AL6813" s="6"/>
    </row>
    <row r="6814" spans="38:38" x14ac:dyDescent="0.25">
      <c r="AL6814" s="6"/>
    </row>
    <row r="6815" spans="38:38" x14ac:dyDescent="0.25">
      <c r="AL6815" s="6"/>
    </row>
    <row r="6816" spans="38:38" x14ac:dyDescent="0.25">
      <c r="AL6816" s="6"/>
    </row>
    <row r="6817" spans="38:38" x14ac:dyDescent="0.25">
      <c r="AL6817" s="6"/>
    </row>
    <row r="6818" spans="38:38" x14ac:dyDescent="0.25">
      <c r="AL6818" s="6"/>
    </row>
    <row r="6819" spans="38:38" x14ac:dyDescent="0.25">
      <c r="AL6819" s="6"/>
    </row>
    <row r="6820" spans="38:38" x14ac:dyDescent="0.25">
      <c r="AL6820" s="6"/>
    </row>
    <row r="6821" spans="38:38" x14ac:dyDescent="0.25">
      <c r="AL6821" s="6"/>
    </row>
    <row r="6822" spans="38:38" x14ac:dyDescent="0.25">
      <c r="AL6822" s="6"/>
    </row>
    <row r="6823" spans="38:38" x14ac:dyDescent="0.25">
      <c r="AL6823" s="6"/>
    </row>
    <row r="6824" spans="38:38" x14ac:dyDescent="0.25">
      <c r="AL6824" s="6"/>
    </row>
    <row r="6825" spans="38:38" x14ac:dyDescent="0.25">
      <c r="AL6825" s="6"/>
    </row>
    <row r="6826" spans="38:38" x14ac:dyDescent="0.25">
      <c r="AL6826" s="6"/>
    </row>
    <row r="6827" spans="38:38" x14ac:dyDescent="0.25">
      <c r="AL6827" s="6"/>
    </row>
    <row r="6828" spans="38:38" x14ac:dyDescent="0.25">
      <c r="AL6828" s="6"/>
    </row>
    <row r="6829" spans="38:38" x14ac:dyDescent="0.25">
      <c r="AL6829" s="6"/>
    </row>
    <row r="6830" spans="38:38" x14ac:dyDescent="0.25">
      <c r="AL6830" s="6"/>
    </row>
    <row r="6831" spans="38:38" x14ac:dyDescent="0.25">
      <c r="AL6831" s="6"/>
    </row>
    <row r="6832" spans="38:38" x14ac:dyDescent="0.25">
      <c r="AL6832" s="6"/>
    </row>
    <row r="6833" spans="38:38" x14ac:dyDescent="0.25">
      <c r="AL6833" s="6"/>
    </row>
    <row r="6834" spans="38:38" x14ac:dyDescent="0.25">
      <c r="AL6834" s="6"/>
    </row>
    <row r="6835" spans="38:38" x14ac:dyDescent="0.25">
      <c r="AL6835" s="6"/>
    </row>
    <row r="6836" spans="38:38" x14ac:dyDescent="0.25">
      <c r="AL6836" s="6"/>
    </row>
    <row r="6837" spans="38:38" x14ac:dyDescent="0.25">
      <c r="AL6837" s="6"/>
    </row>
    <row r="6838" spans="38:38" x14ac:dyDescent="0.25">
      <c r="AL6838" s="6"/>
    </row>
    <row r="6839" spans="38:38" x14ac:dyDescent="0.25">
      <c r="AL6839" s="6"/>
    </row>
    <row r="6840" spans="38:38" x14ac:dyDescent="0.25">
      <c r="AL6840" s="6"/>
    </row>
    <row r="6841" spans="38:38" x14ac:dyDescent="0.25">
      <c r="AL6841" s="6"/>
    </row>
    <row r="6842" spans="38:38" x14ac:dyDescent="0.25">
      <c r="AL6842" s="6"/>
    </row>
    <row r="6843" spans="38:38" x14ac:dyDescent="0.25">
      <c r="AL6843" s="6"/>
    </row>
    <row r="6844" spans="38:38" x14ac:dyDescent="0.25">
      <c r="AL6844" s="6"/>
    </row>
    <row r="6845" spans="38:38" x14ac:dyDescent="0.25">
      <c r="AL6845" s="6"/>
    </row>
    <row r="6846" spans="38:38" x14ac:dyDescent="0.25">
      <c r="AL6846" s="6"/>
    </row>
    <row r="6847" spans="38:38" x14ac:dyDescent="0.25">
      <c r="AL6847" s="6"/>
    </row>
    <row r="6848" spans="38:38" x14ac:dyDescent="0.25">
      <c r="AL6848" s="6"/>
    </row>
    <row r="6849" spans="38:38" x14ac:dyDescent="0.25">
      <c r="AL6849" s="6"/>
    </row>
    <row r="6850" spans="38:38" x14ac:dyDescent="0.25">
      <c r="AL6850" s="6"/>
    </row>
    <row r="6851" spans="38:38" x14ac:dyDescent="0.25">
      <c r="AL6851" s="6"/>
    </row>
    <row r="6852" spans="38:38" x14ac:dyDescent="0.25">
      <c r="AL6852" s="6"/>
    </row>
    <row r="6853" spans="38:38" x14ac:dyDescent="0.25">
      <c r="AL6853" s="6"/>
    </row>
    <row r="6854" spans="38:38" x14ac:dyDescent="0.25">
      <c r="AL6854" s="6"/>
    </row>
    <row r="6855" spans="38:38" x14ac:dyDescent="0.25">
      <c r="AL6855" s="6"/>
    </row>
    <row r="6856" spans="38:38" x14ac:dyDescent="0.25">
      <c r="AL6856" s="6"/>
    </row>
    <row r="6857" spans="38:38" x14ac:dyDescent="0.25">
      <c r="AL6857" s="6"/>
    </row>
    <row r="6858" spans="38:38" x14ac:dyDescent="0.25">
      <c r="AL6858" s="6"/>
    </row>
    <row r="6859" spans="38:38" x14ac:dyDescent="0.25">
      <c r="AL6859" s="6"/>
    </row>
    <row r="6860" spans="38:38" x14ac:dyDescent="0.25">
      <c r="AL6860" s="6"/>
    </row>
    <row r="6861" spans="38:38" x14ac:dyDescent="0.25">
      <c r="AL6861" s="6"/>
    </row>
    <row r="6862" spans="38:38" x14ac:dyDescent="0.25">
      <c r="AL6862" s="6"/>
    </row>
    <row r="6863" spans="38:38" x14ac:dyDescent="0.25">
      <c r="AL6863" s="6"/>
    </row>
    <row r="6864" spans="38:38" x14ac:dyDescent="0.25">
      <c r="AL6864" s="6"/>
    </row>
    <row r="6865" spans="38:38" x14ac:dyDescent="0.25">
      <c r="AL6865" s="6"/>
    </row>
    <row r="6866" spans="38:38" x14ac:dyDescent="0.25">
      <c r="AL6866" s="6"/>
    </row>
    <row r="6867" spans="38:38" x14ac:dyDescent="0.25">
      <c r="AL6867" s="6"/>
    </row>
    <row r="6868" spans="38:38" x14ac:dyDescent="0.25">
      <c r="AL6868" s="6"/>
    </row>
    <row r="6869" spans="38:38" x14ac:dyDescent="0.25">
      <c r="AL6869" s="6"/>
    </row>
    <row r="6870" spans="38:38" x14ac:dyDescent="0.25">
      <c r="AL6870" s="6"/>
    </row>
    <row r="6871" spans="38:38" x14ac:dyDescent="0.25">
      <c r="AL6871" s="6"/>
    </row>
    <row r="6872" spans="38:38" x14ac:dyDescent="0.25">
      <c r="AL6872" s="6"/>
    </row>
    <row r="6873" spans="38:38" x14ac:dyDescent="0.25">
      <c r="AL6873" s="6"/>
    </row>
    <row r="6874" spans="38:38" x14ac:dyDescent="0.25">
      <c r="AL6874" s="6"/>
    </row>
    <row r="6875" spans="38:38" x14ac:dyDescent="0.25">
      <c r="AL6875" s="6"/>
    </row>
    <row r="6876" spans="38:38" x14ac:dyDescent="0.25">
      <c r="AL6876" s="6"/>
    </row>
    <row r="6877" spans="38:38" x14ac:dyDescent="0.25">
      <c r="AL6877" s="6"/>
    </row>
    <row r="6878" spans="38:38" x14ac:dyDescent="0.25">
      <c r="AL6878" s="6"/>
    </row>
    <row r="6879" spans="38:38" x14ac:dyDescent="0.25">
      <c r="AL6879" s="6"/>
    </row>
    <row r="6880" spans="38:38" x14ac:dyDescent="0.25">
      <c r="AL6880" s="6"/>
    </row>
    <row r="6881" spans="38:38" x14ac:dyDescent="0.25">
      <c r="AL6881" s="6"/>
    </row>
    <row r="6882" spans="38:38" x14ac:dyDescent="0.25">
      <c r="AL6882" s="6"/>
    </row>
    <row r="6883" spans="38:38" x14ac:dyDescent="0.25">
      <c r="AL6883" s="6"/>
    </row>
    <row r="6884" spans="38:38" x14ac:dyDescent="0.25">
      <c r="AL6884" s="6"/>
    </row>
    <row r="6885" spans="38:38" x14ac:dyDescent="0.25">
      <c r="AL6885" s="6"/>
    </row>
    <row r="6886" spans="38:38" x14ac:dyDescent="0.25">
      <c r="AL6886" s="6"/>
    </row>
    <row r="6887" spans="38:38" x14ac:dyDescent="0.25">
      <c r="AL6887" s="6"/>
    </row>
    <row r="6888" spans="38:38" x14ac:dyDescent="0.25">
      <c r="AL6888" s="6"/>
    </row>
    <row r="6889" spans="38:38" x14ac:dyDescent="0.25">
      <c r="AL6889" s="6"/>
    </row>
    <row r="6890" spans="38:38" x14ac:dyDescent="0.25">
      <c r="AL6890" s="6"/>
    </row>
    <row r="6891" spans="38:38" x14ac:dyDescent="0.25">
      <c r="AL6891" s="6"/>
    </row>
    <row r="6892" spans="38:38" x14ac:dyDescent="0.25">
      <c r="AL6892" s="6"/>
    </row>
    <row r="6893" spans="38:38" x14ac:dyDescent="0.25">
      <c r="AL6893" s="6"/>
    </row>
    <row r="6894" spans="38:38" x14ac:dyDescent="0.25">
      <c r="AL6894" s="6"/>
    </row>
    <row r="6895" spans="38:38" x14ac:dyDescent="0.25">
      <c r="AL6895" s="6"/>
    </row>
    <row r="6896" spans="38:38" x14ac:dyDescent="0.25">
      <c r="AL6896" s="6"/>
    </row>
    <row r="6897" spans="38:38" x14ac:dyDescent="0.25">
      <c r="AL6897" s="6"/>
    </row>
    <row r="6898" spans="38:38" x14ac:dyDescent="0.25">
      <c r="AL6898" s="6"/>
    </row>
    <row r="6899" spans="38:38" x14ac:dyDescent="0.25">
      <c r="AL6899" s="6"/>
    </row>
    <row r="6900" spans="38:38" x14ac:dyDescent="0.25">
      <c r="AL6900" s="6"/>
    </row>
    <row r="6901" spans="38:38" x14ac:dyDescent="0.25">
      <c r="AL6901" s="6"/>
    </row>
    <row r="6902" spans="38:38" x14ac:dyDescent="0.25">
      <c r="AL6902" s="6"/>
    </row>
    <row r="6903" spans="38:38" x14ac:dyDescent="0.25">
      <c r="AL6903" s="6"/>
    </row>
    <row r="6904" spans="38:38" x14ac:dyDescent="0.25">
      <c r="AL6904" s="6"/>
    </row>
    <row r="6905" spans="38:38" x14ac:dyDescent="0.25">
      <c r="AL6905" s="6"/>
    </row>
    <row r="6906" spans="38:38" x14ac:dyDescent="0.25">
      <c r="AL6906" s="6"/>
    </row>
    <row r="6907" spans="38:38" x14ac:dyDescent="0.25">
      <c r="AL6907" s="6"/>
    </row>
    <row r="6908" spans="38:38" x14ac:dyDescent="0.25">
      <c r="AL6908" s="6"/>
    </row>
    <row r="6909" spans="38:38" x14ac:dyDescent="0.25">
      <c r="AL6909" s="6"/>
    </row>
    <row r="6910" spans="38:38" x14ac:dyDescent="0.25">
      <c r="AL6910" s="6"/>
    </row>
    <row r="6911" spans="38:38" x14ac:dyDescent="0.25">
      <c r="AL6911" s="6"/>
    </row>
    <row r="6912" spans="38:38" x14ac:dyDescent="0.25">
      <c r="AL6912" s="6"/>
    </row>
    <row r="6913" spans="38:38" x14ac:dyDescent="0.25">
      <c r="AL6913" s="6"/>
    </row>
    <row r="6914" spans="38:38" x14ac:dyDescent="0.25">
      <c r="AL6914" s="6"/>
    </row>
    <row r="6915" spans="38:38" x14ac:dyDescent="0.25">
      <c r="AL6915" s="6"/>
    </row>
    <row r="6916" spans="38:38" x14ac:dyDescent="0.25">
      <c r="AL6916" s="6"/>
    </row>
    <row r="6917" spans="38:38" x14ac:dyDescent="0.25">
      <c r="AL6917" s="6"/>
    </row>
    <row r="6918" spans="38:38" x14ac:dyDescent="0.25">
      <c r="AL6918" s="6"/>
    </row>
    <row r="6919" spans="38:38" x14ac:dyDescent="0.25">
      <c r="AL6919" s="6"/>
    </row>
    <row r="6920" spans="38:38" x14ac:dyDescent="0.25">
      <c r="AL6920" s="6"/>
    </row>
    <row r="6921" spans="38:38" x14ac:dyDescent="0.25">
      <c r="AL6921" s="6"/>
    </row>
    <row r="6922" spans="38:38" x14ac:dyDescent="0.25">
      <c r="AL6922" s="6"/>
    </row>
    <row r="6923" spans="38:38" x14ac:dyDescent="0.25">
      <c r="AL6923" s="6"/>
    </row>
    <row r="6924" spans="38:38" x14ac:dyDescent="0.25">
      <c r="AL6924" s="6"/>
    </row>
    <row r="6925" spans="38:38" x14ac:dyDescent="0.25">
      <c r="AL6925" s="6"/>
    </row>
    <row r="6926" spans="38:38" x14ac:dyDescent="0.25">
      <c r="AL6926" s="6"/>
    </row>
    <row r="6927" spans="38:38" x14ac:dyDescent="0.25">
      <c r="AL6927" s="6"/>
    </row>
    <row r="6928" spans="38:38" x14ac:dyDescent="0.25">
      <c r="AL6928" s="6"/>
    </row>
    <row r="6929" spans="38:38" x14ac:dyDescent="0.25">
      <c r="AL6929" s="6"/>
    </row>
    <row r="6930" spans="38:38" x14ac:dyDescent="0.25">
      <c r="AL6930" s="6"/>
    </row>
    <row r="6931" spans="38:38" x14ac:dyDescent="0.25">
      <c r="AL6931" s="6"/>
    </row>
    <row r="6932" spans="38:38" x14ac:dyDescent="0.25">
      <c r="AL6932" s="6"/>
    </row>
    <row r="6933" spans="38:38" x14ac:dyDescent="0.25">
      <c r="AL6933" s="6"/>
    </row>
    <row r="6934" spans="38:38" x14ac:dyDescent="0.25">
      <c r="AL6934" s="6"/>
    </row>
    <row r="6935" spans="38:38" x14ac:dyDescent="0.25">
      <c r="AL6935" s="6"/>
    </row>
    <row r="6936" spans="38:38" x14ac:dyDescent="0.25">
      <c r="AL6936" s="6"/>
    </row>
    <row r="6937" spans="38:38" x14ac:dyDescent="0.25">
      <c r="AL6937" s="6"/>
    </row>
    <row r="6938" spans="38:38" x14ac:dyDescent="0.25">
      <c r="AL6938" s="6"/>
    </row>
    <row r="6939" spans="38:38" x14ac:dyDescent="0.25">
      <c r="AL6939" s="6"/>
    </row>
    <row r="6940" spans="38:38" x14ac:dyDescent="0.25">
      <c r="AL6940" s="6"/>
    </row>
    <row r="6941" spans="38:38" x14ac:dyDescent="0.25">
      <c r="AL6941" s="6"/>
    </row>
    <row r="6942" spans="38:38" x14ac:dyDescent="0.25">
      <c r="AL6942" s="6"/>
    </row>
    <row r="6943" spans="38:38" x14ac:dyDescent="0.25">
      <c r="AL6943" s="6"/>
    </row>
    <row r="6944" spans="38:38" x14ac:dyDescent="0.25">
      <c r="AL6944" s="6"/>
    </row>
    <row r="6945" spans="38:38" x14ac:dyDescent="0.25">
      <c r="AL6945" s="6"/>
    </row>
    <row r="6946" spans="38:38" x14ac:dyDescent="0.25">
      <c r="AL6946" s="6"/>
    </row>
    <row r="6947" spans="38:38" x14ac:dyDescent="0.25">
      <c r="AL6947" s="6"/>
    </row>
    <row r="6948" spans="38:38" x14ac:dyDescent="0.25">
      <c r="AL6948" s="6"/>
    </row>
    <row r="6949" spans="38:38" x14ac:dyDescent="0.25">
      <c r="AL6949" s="6"/>
    </row>
    <row r="6950" spans="38:38" x14ac:dyDescent="0.25">
      <c r="AL6950" s="6"/>
    </row>
    <row r="6951" spans="38:38" x14ac:dyDescent="0.25">
      <c r="AL6951" s="6"/>
    </row>
    <row r="6952" spans="38:38" x14ac:dyDescent="0.25">
      <c r="AL6952" s="6"/>
    </row>
    <row r="6953" spans="38:38" x14ac:dyDescent="0.25">
      <c r="AL6953" s="6"/>
    </row>
    <row r="6954" spans="38:38" x14ac:dyDescent="0.25">
      <c r="AL6954" s="6"/>
    </row>
    <row r="6955" spans="38:38" x14ac:dyDescent="0.25">
      <c r="AL6955" s="6"/>
    </row>
    <row r="6956" spans="38:38" x14ac:dyDescent="0.25">
      <c r="AL6956" s="6"/>
    </row>
    <row r="6957" spans="38:38" x14ac:dyDescent="0.25">
      <c r="AL6957" s="6"/>
    </row>
    <row r="6958" spans="38:38" x14ac:dyDescent="0.25">
      <c r="AL6958" s="6"/>
    </row>
    <row r="6959" spans="38:38" x14ac:dyDescent="0.25">
      <c r="AL6959" s="6"/>
    </row>
    <row r="6960" spans="38:38" x14ac:dyDescent="0.25">
      <c r="AL6960" s="6"/>
    </row>
    <row r="6961" spans="38:38" x14ac:dyDescent="0.25">
      <c r="AL6961" s="6"/>
    </row>
    <row r="6962" spans="38:38" x14ac:dyDescent="0.25">
      <c r="AL6962" s="6"/>
    </row>
    <row r="6963" spans="38:38" x14ac:dyDescent="0.25">
      <c r="AL6963" s="6"/>
    </row>
    <row r="6964" spans="38:38" x14ac:dyDescent="0.25">
      <c r="AL6964" s="6"/>
    </row>
    <row r="6965" spans="38:38" x14ac:dyDescent="0.25">
      <c r="AL6965" s="6"/>
    </row>
    <row r="6966" spans="38:38" x14ac:dyDescent="0.25">
      <c r="AL6966" s="6"/>
    </row>
    <row r="6967" spans="38:38" x14ac:dyDescent="0.25">
      <c r="AL6967" s="6"/>
    </row>
    <row r="6968" spans="38:38" x14ac:dyDescent="0.25">
      <c r="AL6968" s="6"/>
    </row>
    <row r="6969" spans="38:38" x14ac:dyDescent="0.25">
      <c r="AL6969" s="6"/>
    </row>
    <row r="6970" spans="38:38" x14ac:dyDescent="0.25">
      <c r="AL6970" s="6"/>
    </row>
    <row r="6971" spans="38:38" x14ac:dyDescent="0.25">
      <c r="AL6971" s="6"/>
    </row>
    <row r="6972" spans="38:38" x14ac:dyDescent="0.25">
      <c r="AL6972" s="6"/>
    </row>
    <row r="6973" spans="38:38" x14ac:dyDescent="0.25">
      <c r="AL6973" s="6"/>
    </row>
    <row r="6974" spans="38:38" x14ac:dyDescent="0.25">
      <c r="AL6974" s="6"/>
    </row>
    <row r="6975" spans="38:38" x14ac:dyDescent="0.25">
      <c r="AL6975" s="6"/>
    </row>
    <row r="6976" spans="38:38" x14ac:dyDescent="0.25">
      <c r="AL6976" s="6"/>
    </row>
    <row r="6977" spans="38:38" x14ac:dyDescent="0.25">
      <c r="AL6977" s="6"/>
    </row>
    <row r="6978" spans="38:38" x14ac:dyDescent="0.25">
      <c r="AL6978" s="6"/>
    </row>
    <row r="6979" spans="38:38" x14ac:dyDescent="0.25">
      <c r="AL6979" s="6"/>
    </row>
    <row r="6980" spans="38:38" x14ac:dyDescent="0.25">
      <c r="AL6980" s="6"/>
    </row>
    <row r="6981" spans="38:38" x14ac:dyDescent="0.25">
      <c r="AL6981" s="6"/>
    </row>
    <row r="6982" spans="38:38" x14ac:dyDescent="0.25">
      <c r="AL6982" s="6"/>
    </row>
    <row r="6983" spans="38:38" x14ac:dyDescent="0.25">
      <c r="AL6983" s="6"/>
    </row>
    <row r="6984" spans="38:38" x14ac:dyDescent="0.25">
      <c r="AL6984" s="6"/>
    </row>
    <row r="6985" spans="38:38" x14ac:dyDescent="0.25">
      <c r="AL6985" s="6"/>
    </row>
    <row r="6986" spans="38:38" x14ac:dyDescent="0.25">
      <c r="AL6986" s="6"/>
    </row>
    <row r="6987" spans="38:38" x14ac:dyDescent="0.25">
      <c r="AL6987" s="6"/>
    </row>
    <row r="6988" spans="38:38" x14ac:dyDescent="0.25">
      <c r="AL6988" s="6"/>
    </row>
    <row r="6989" spans="38:38" x14ac:dyDescent="0.25">
      <c r="AL6989" s="6"/>
    </row>
    <row r="6990" spans="38:38" x14ac:dyDescent="0.25">
      <c r="AL6990" s="6"/>
    </row>
    <row r="6991" spans="38:38" x14ac:dyDescent="0.25">
      <c r="AL6991" s="6"/>
    </row>
    <row r="6992" spans="38:38" x14ac:dyDescent="0.25">
      <c r="AL6992" s="6"/>
    </row>
    <row r="6993" spans="38:38" x14ac:dyDescent="0.25">
      <c r="AL6993" s="6"/>
    </row>
    <row r="6994" spans="38:38" x14ac:dyDescent="0.25">
      <c r="AL6994" s="6"/>
    </row>
    <row r="6995" spans="38:38" x14ac:dyDescent="0.25">
      <c r="AL6995" s="6"/>
    </row>
    <row r="6996" spans="38:38" x14ac:dyDescent="0.25">
      <c r="AL6996" s="6"/>
    </row>
    <row r="6997" spans="38:38" x14ac:dyDescent="0.25">
      <c r="AL6997" s="6"/>
    </row>
    <row r="6998" spans="38:38" x14ac:dyDescent="0.25">
      <c r="AL6998" s="6"/>
    </row>
    <row r="6999" spans="38:38" x14ac:dyDescent="0.25">
      <c r="AL6999" s="6"/>
    </row>
    <row r="7000" spans="38:38" x14ac:dyDescent="0.25">
      <c r="AL7000" s="6"/>
    </row>
    <row r="7001" spans="38:38" x14ac:dyDescent="0.25">
      <c r="AL7001" s="6"/>
    </row>
    <row r="7002" spans="38:38" x14ac:dyDescent="0.25">
      <c r="AL7002" s="6"/>
    </row>
    <row r="7003" spans="38:38" x14ac:dyDescent="0.25">
      <c r="AL7003" s="6"/>
    </row>
    <row r="7004" spans="38:38" x14ac:dyDescent="0.25">
      <c r="AL7004" s="6"/>
    </row>
    <row r="7005" spans="38:38" x14ac:dyDescent="0.25">
      <c r="AL7005" s="6"/>
    </row>
    <row r="7006" spans="38:38" x14ac:dyDescent="0.25">
      <c r="AL7006" s="6"/>
    </row>
    <row r="7007" spans="38:38" x14ac:dyDescent="0.25">
      <c r="AL7007" s="6"/>
    </row>
    <row r="7008" spans="38:38" x14ac:dyDescent="0.25">
      <c r="AL7008" s="6"/>
    </row>
    <row r="7009" spans="38:38" x14ac:dyDescent="0.25">
      <c r="AL7009" s="6"/>
    </row>
    <row r="7010" spans="38:38" x14ac:dyDescent="0.25">
      <c r="AL7010" s="6"/>
    </row>
    <row r="7011" spans="38:38" x14ac:dyDescent="0.25">
      <c r="AL7011" s="6"/>
    </row>
    <row r="7012" spans="38:38" x14ac:dyDescent="0.25">
      <c r="AL7012" s="6"/>
    </row>
    <row r="7013" spans="38:38" x14ac:dyDescent="0.25">
      <c r="AL7013" s="6"/>
    </row>
    <row r="7014" spans="38:38" x14ac:dyDescent="0.25">
      <c r="AL7014" s="6"/>
    </row>
    <row r="7015" spans="38:38" x14ac:dyDescent="0.25">
      <c r="AL7015" s="6"/>
    </row>
    <row r="7016" spans="38:38" x14ac:dyDescent="0.25">
      <c r="AL7016" s="6"/>
    </row>
    <row r="7017" spans="38:38" x14ac:dyDescent="0.25">
      <c r="AL7017" s="6"/>
    </row>
    <row r="7018" spans="38:38" x14ac:dyDescent="0.25">
      <c r="AL7018" s="6"/>
    </row>
    <row r="7019" spans="38:38" x14ac:dyDescent="0.25">
      <c r="AL7019" s="6"/>
    </row>
    <row r="7020" spans="38:38" x14ac:dyDescent="0.25">
      <c r="AL7020" s="6"/>
    </row>
    <row r="7021" spans="38:38" x14ac:dyDescent="0.25">
      <c r="AL7021" s="6"/>
    </row>
    <row r="7022" spans="38:38" x14ac:dyDescent="0.25">
      <c r="AL7022" s="6"/>
    </row>
    <row r="7023" spans="38:38" x14ac:dyDescent="0.25">
      <c r="AL7023" s="6"/>
    </row>
    <row r="7024" spans="38:38" x14ac:dyDescent="0.25">
      <c r="AL7024" s="6"/>
    </row>
    <row r="7025" spans="38:38" x14ac:dyDescent="0.25">
      <c r="AL7025" s="6"/>
    </row>
    <row r="7026" spans="38:38" x14ac:dyDescent="0.25">
      <c r="AL7026" s="6"/>
    </row>
    <row r="7027" spans="38:38" x14ac:dyDescent="0.25">
      <c r="AL7027" s="6"/>
    </row>
    <row r="7028" spans="38:38" x14ac:dyDescent="0.25">
      <c r="AL7028" s="6"/>
    </row>
    <row r="7029" spans="38:38" x14ac:dyDescent="0.25">
      <c r="AL7029" s="6"/>
    </row>
    <row r="7030" spans="38:38" x14ac:dyDescent="0.25">
      <c r="AL7030" s="6"/>
    </row>
    <row r="7031" spans="38:38" x14ac:dyDescent="0.25">
      <c r="AL7031" s="6"/>
    </row>
    <row r="7032" spans="38:38" x14ac:dyDescent="0.25">
      <c r="AL7032" s="6"/>
    </row>
    <row r="7033" spans="38:38" x14ac:dyDescent="0.25">
      <c r="AL7033" s="6"/>
    </row>
    <row r="7034" spans="38:38" x14ac:dyDescent="0.25">
      <c r="AL7034" s="6"/>
    </row>
    <row r="7035" spans="38:38" x14ac:dyDescent="0.25">
      <c r="AL7035" s="6"/>
    </row>
    <row r="7036" spans="38:38" x14ac:dyDescent="0.25">
      <c r="AL7036" s="6"/>
    </row>
    <row r="7037" spans="38:38" x14ac:dyDescent="0.25">
      <c r="AL7037" s="6"/>
    </row>
    <row r="7038" spans="38:38" x14ac:dyDescent="0.25">
      <c r="AL7038" s="6"/>
    </row>
    <row r="7039" spans="38:38" x14ac:dyDescent="0.25">
      <c r="AL7039" s="6"/>
    </row>
    <row r="7040" spans="38:38" x14ac:dyDescent="0.25">
      <c r="AL7040" s="6"/>
    </row>
    <row r="7041" spans="38:38" x14ac:dyDescent="0.25">
      <c r="AL7041" s="6"/>
    </row>
    <row r="7042" spans="38:38" x14ac:dyDescent="0.25">
      <c r="AL7042" s="6"/>
    </row>
    <row r="7043" spans="38:38" x14ac:dyDescent="0.25">
      <c r="AL7043" s="6"/>
    </row>
    <row r="7044" spans="38:38" x14ac:dyDescent="0.25">
      <c r="AL7044" s="6"/>
    </row>
    <row r="7045" spans="38:38" x14ac:dyDescent="0.25">
      <c r="AL7045" s="6"/>
    </row>
    <row r="7046" spans="38:38" x14ac:dyDescent="0.25">
      <c r="AL7046" s="6"/>
    </row>
    <row r="7047" spans="38:38" x14ac:dyDescent="0.25">
      <c r="AL7047" s="6"/>
    </row>
    <row r="7048" spans="38:38" x14ac:dyDescent="0.25">
      <c r="AL7048" s="6"/>
    </row>
    <row r="7049" spans="38:38" x14ac:dyDescent="0.25">
      <c r="AL7049" s="6"/>
    </row>
    <row r="7050" spans="38:38" x14ac:dyDescent="0.25">
      <c r="AL7050" s="6"/>
    </row>
    <row r="7051" spans="38:38" x14ac:dyDescent="0.25">
      <c r="AL7051" s="6"/>
    </row>
    <row r="7052" spans="38:38" x14ac:dyDescent="0.25">
      <c r="AL7052" s="6"/>
    </row>
    <row r="7053" spans="38:38" x14ac:dyDescent="0.25">
      <c r="AL7053" s="6"/>
    </row>
    <row r="7054" spans="38:38" x14ac:dyDescent="0.25">
      <c r="AL7054" s="6"/>
    </row>
    <row r="7055" spans="38:38" x14ac:dyDescent="0.25">
      <c r="AL7055" s="6"/>
    </row>
    <row r="7056" spans="38:38" x14ac:dyDescent="0.25">
      <c r="AL7056" s="6"/>
    </row>
    <row r="7057" spans="38:38" x14ac:dyDescent="0.25">
      <c r="AL7057" s="6"/>
    </row>
    <row r="7058" spans="38:38" x14ac:dyDescent="0.25">
      <c r="AL7058" s="6"/>
    </row>
    <row r="7059" spans="38:38" x14ac:dyDescent="0.25">
      <c r="AL7059" s="6"/>
    </row>
    <row r="7060" spans="38:38" x14ac:dyDescent="0.25">
      <c r="AL7060" s="6"/>
    </row>
    <row r="7061" spans="38:38" x14ac:dyDescent="0.25">
      <c r="AL7061" s="6"/>
    </row>
    <row r="7062" spans="38:38" x14ac:dyDescent="0.25">
      <c r="AL7062" s="6"/>
    </row>
    <row r="7063" spans="38:38" x14ac:dyDescent="0.25">
      <c r="AL7063" s="6"/>
    </row>
    <row r="7064" spans="38:38" x14ac:dyDescent="0.25">
      <c r="AL7064" s="6"/>
    </row>
    <row r="7065" spans="38:38" x14ac:dyDescent="0.25">
      <c r="AL7065" s="6"/>
    </row>
    <row r="7066" spans="38:38" x14ac:dyDescent="0.25">
      <c r="AL7066" s="6"/>
    </row>
    <row r="7067" spans="38:38" x14ac:dyDescent="0.25">
      <c r="AL7067" s="6"/>
    </row>
    <row r="7068" spans="38:38" x14ac:dyDescent="0.25">
      <c r="AL7068" s="6"/>
    </row>
    <row r="7069" spans="38:38" x14ac:dyDescent="0.25">
      <c r="AL7069" s="6"/>
    </row>
    <row r="7070" spans="38:38" x14ac:dyDescent="0.25">
      <c r="AL7070" s="6"/>
    </row>
    <row r="7071" spans="38:38" x14ac:dyDescent="0.25">
      <c r="AL7071" s="6"/>
    </row>
    <row r="7072" spans="38:38" x14ac:dyDescent="0.25">
      <c r="AL7072" s="6"/>
    </row>
    <row r="7073" spans="38:38" x14ac:dyDescent="0.25">
      <c r="AL7073" s="6"/>
    </row>
    <row r="7074" spans="38:38" x14ac:dyDescent="0.25">
      <c r="AL7074" s="6"/>
    </row>
    <row r="7075" spans="38:38" x14ac:dyDescent="0.25">
      <c r="AL7075" s="6"/>
    </row>
    <row r="7076" spans="38:38" x14ac:dyDescent="0.25">
      <c r="AL7076" s="6"/>
    </row>
    <row r="7077" spans="38:38" x14ac:dyDescent="0.25">
      <c r="AL7077" s="6"/>
    </row>
    <row r="7078" spans="38:38" x14ac:dyDescent="0.25">
      <c r="AL7078" s="6"/>
    </row>
    <row r="7079" spans="38:38" x14ac:dyDescent="0.25">
      <c r="AL7079" s="6"/>
    </row>
    <row r="7080" spans="38:38" x14ac:dyDescent="0.25">
      <c r="AL7080" s="6"/>
    </row>
    <row r="7081" spans="38:38" x14ac:dyDescent="0.25">
      <c r="AL7081" s="6"/>
    </row>
    <row r="7082" spans="38:38" x14ac:dyDescent="0.25">
      <c r="AL7082" s="6"/>
    </row>
    <row r="7083" spans="38:38" x14ac:dyDescent="0.25">
      <c r="AL7083" s="6"/>
    </row>
    <row r="7084" spans="38:38" x14ac:dyDescent="0.25">
      <c r="AL7084" s="6"/>
    </row>
    <row r="7085" spans="38:38" x14ac:dyDescent="0.25">
      <c r="AL7085" s="6"/>
    </row>
    <row r="7086" spans="38:38" x14ac:dyDescent="0.25">
      <c r="AL7086" s="6"/>
    </row>
    <row r="7087" spans="38:38" x14ac:dyDescent="0.25">
      <c r="AL7087" s="6"/>
    </row>
    <row r="7088" spans="38:38" x14ac:dyDescent="0.25">
      <c r="AL7088" s="6"/>
    </row>
    <row r="7089" spans="38:38" x14ac:dyDescent="0.25">
      <c r="AL7089" s="6"/>
    </row>
    <row r="7090" spans="38:38" x14ac:dyDescent="0.25">
      <c r="AL7090" s="6"/>
    </row>
    <row r="7091" spans="38:38" x14ac:dyDescent="0.25">
      <c r="AL7091" s="6"/>
    </row>
    <row r="7092" spans="38:38" x14ac:dyDescent="0.25">
      <c r="AL7092" s="6"/>
    </row>
    <row r="7093" spans="38:38" x14ac:dyDescent="0.25">
      <c r="AL7093" s="6"/>
    </row>
    <row r="7094" spans="38:38" x14ac:dyDescent="0.25">
      <c r="AL7094" s="6"/>
    </row>
    <row r="7095" spans="38:38" x14ac:dyDescent="0.25">
      <c r="AL7095" s="6"/>
    </row>
    <row r="7096" spans="38:38" x14ac:dyDescent="0.25">
      <c r="AL7096" s="6"/>
    </row>
    <row r="7097" spans="38:38" x14ac:dyDescent="0.25">
      <c r="AL7097" s="6"/>
    </row>
    <row r="7098" spans="38:38" x14ac:dyDescent="0.25">
      <c r="AL7098" s="6"/>
    </row>
    <row r="7099" spans="38:38" x14ac:dyDescent="0.25">
      <c r="AL7099" s="6"/>
    </row>
    <row r="7100" spans="38:38" x14ac:dyDescent="0.25">
      <c r="AL7100" s="6"/>
    </row>
    <row r="7101" spans="38:38" x14ac:dyDescent="0.25">
      <c r="AL7101" s="6"/>
    </row>
    <row r="7102" spans="38:38" x14ac:dyDescent="0.25">
      <c r="AL7102" s="6"/>
    </row>
    <row r="7103" spans="38:38" x14ac:dyDescent="0.25">
      <c r="AL7103" s="6"/>
    </row>
    <row r="7104" spans="38:38" x14ac:dyDescent="0.25">
      <c r="AL7104" s="6"/>
    </row>
    <row r="7105" spans="38:38" x14ac:dyDescent="0.25">
      <c r="AL7105" s="6"/>
    </row>
    <row r="7106" spans="38:38" x14ac:dyDescent="0.25">
      <c r="AL7106" s="6"/>
    </row>
    <row r="7107" spans="38:38" x14ac:dyDescent="0.25">
      <c r="AL7107" s="6"/>
    </row>
    <row r="7108" spans="38:38" x14ac:dyDescent="0.25">
      <c r="AL7108" s="6"/>
    </row>
    <row r="7109" spans="38:38" x14ac:dyDescent="0.25">
      <c r="AL7109" s="6"/>
    </row>
    <row r="7110" spans="38:38" x14ac:dyDescent="0.25">
      <c r="AL7110" s="6"/>
    </row>
    <row r="7111" spans="38:38" x14ac:dyDescent="0.25">
      <c r="AL7111" s="6"/>
    </row>
    <row r="7112" spans="38:38" x14ac:dyDescent="0.25">
      <c r="AL7112" s="6"/>
    </row>
    <row r="7113" spans="38:38" x14ac:dyDescent="0.25">
      <c r="AL7113" s="6"/>
    </row>
    <row r="7114" spans="38:38" x14ac:dyDescent="0.25">
      <c r="AL7114" s="6"/>
    </row>
    <row r="7115" spans="38:38" x14ac:dyDescent="0.25">
      <c r="AL7115" s="6"/>
    </row>
    <row r="7116" spans="38:38" x14ac:dyDescent="0.25">
      <c r="AL7116" s="6"/>
    </row>
    <row r="7117" spans="38:38" x14ac:dyDescent="0.25">
      <c r="AL7117" s="6"/>
    </row>
    <row r="7118" spans="38:38" x14ac:dyDescent="0.25">
      <c r="AL7118" s="6"/>
    </row>
    <row r="7119" spans="38:38" x14ac:dyDescent="0.25">
      <c r="AL7119" s="6"/>
    </row>
    <row r="7120" spans="38:38" x14ac:dyDescent="0.25">
      <c r="AL7120" s="6"/>
    </row>
    <row r="7121" spans="38:38" x14ac:dyDescent="0.25">
      <c r="AL7121" s="6"/>
    </row>
    <row r="7122" spans="38:38" x14ac:dyDescent="0.25">
      <c r="AL7122" s="6"/>
    </row>
    <row r="7123" spans="38:38" x14ac:dyDescent="0.25">
      <c r="AL7123" s="6"/>
    </row>
    <row r="7124" spans="38:38" x14ac:dyDescent="0.25">
      <c r="AL7124" s="6"/>
    </row>
    <row r="7125" spans="38:38" x14ac:dyDescent="0.25">
      <c r="AL7125" s="6"/>
    </row>
    <row r="7126" spans="38:38" x14ac:dyDescent="0.25">
      <c r="AL7126" s="6"/>
    </row>
    <row r="7127" spans="38:38" x14ac:dyDescent="0.25">
      <c r="AL7127" s="6"/>
    </row>
    <row r="7128" spans="38:38" x14ac:dyDescent="0.25">
      <c r="AL7128" s="6"/>
    </row>
    <row r="7129" spans="38:38" x14ac:dyDescent="0.25">
      <c r="AL7129" s="6"/>
    </row>
    <row r="7130" spans="38:38" x14ac:dyDescent="0.25">
      <c r="AL7130" s="6"/>
    </row>
    <row r="7131" spans="38:38" x14ac:dyDescent="0.25">
      <c r="AL7131" s="6"/>
    </row>
    <row r="7132" spans="38:38" x14ac:dyDescent="0.25">
      <c r="AL7132" s="6"/>
    </row>
    <row r="7133" spans="38:38" x14ac:dyDescent="0.25">
      <c r="AL7133" s="6"/>
    </row>
    <row r="7134" spans="38:38" x14ac:dyDescent="0.25">
      <c r="AL7134" s="6"/>
    </row>
    <row r="7135" spans="38:38" x14ac:dyDescent="0.25">
      <c r="AL7135" s="6"/>
    </row>
    <row r="7136" spans="38:38" x14ac:dyDescent="0.25">
      <c r="AL7136" s="6"/>
    </row>
    <row r="7137" spans="38:38" x14ac:dyDescent="0.25">
      <c r="AL7137" s="6"/>
    </row>
    <row r="7138" spans="38:38" x14ac:dyDescent="0.25">
      <c r="AL7138" s="6"/>
    </row>
    <row r="7139" spans="38:38" x14ac:dyDescent="0.25">
      <c r="AL7139" s="6"/>
    </row>
    <row r="7140" spans="38:38" x14ac:dyDescent="0.25">
      <c r="AL7140" s="6"/>
    </row>
    <row r="7141" spans="38:38" x14ac:dyDescent="0.25">
      <c r="AL7141" s="6"/>
    </row>
    <row r="7142" spans="38:38" x14ac:dyDescent="0.25">
      <c r="AL7142" s="6"/>
    </row>
    <row r="7143" spans="38:38" x14ac:dyDescent="0.25">
      <c r="AL7143" s="6"/>
    </row>
    <row r="7144" spans="38:38" x14ac:dyDescent="0.25">
      <c r="AL7144" s="6"/>
    </row>
    <row r="7145" spans="38:38" x14ac:dyDescent="0.25">
      <c r="AL7145" s="6"/>
    </row>
    <row r="7146" spans="38:38" x14ac:dyDescent="0.25">
      <c r="AL7146" s="6"/>
    </row>
    <row r="7147" spans="38:38" x14ac:dyDescent="0.25">
      <c r="AL7147" s="6"/>
    </row>
    <row r="7148" spans="38:38" x14ac:dyDescent="0.25">
      <c r="AL7148" s="6"/>
    </row>
    <row r="7149" spans="38:38" x14ac:dyDescent="0.25">
      <c r="AL7149" s="6"/>
    </row>
    <row r="7150" spans="38:38" x14ac:dyDescent="0.25">
      <c r="AL7150" s="6"/>
    </row>
    <row r="7151" spans="38:38" x14ac:dyDescent="0.25">
      <c r="AL7151" s="6"/>
    </row>
    <row r="7152" spans="38:38" x14ac:dyDescent="0.25">
      <c r="AL7152" s="6"/>
    </row>
    <row r="7153" spans="38:38" x14ac:dyDescent="0.25">
      <c r="AL7153" s="6"/>
    </row>
    <row r="7154" spans="38:38" x14ac:dyDescent="0.25">
      <c r="AL7154" s="6"/>
    </row>
    <row r="7155" spans="38:38" x14ac:dyDescent="0.25">
      <c r="AL7155" s="6"/>
    </row>
    <row r="7156" spans="38:38" x14ac:dyDescent="0.25">
      <c r="AL7156" s="6"/>
    </row>
    <row r="7157" spans="38:38" x14ac:dyDescent="0.25">
      <c r="AL7157" s="6"/>
    </row>
    <row r="7158" spans="38:38" x14ac:dyDescent="0.25">
      <c r="AL7158" s="6"/>
    </row>
    <row r="7159" spans="38:38" x14ac:dyDescent="0.25">
      <c r="AL7159" s="6"/>
    </row>
    <row r="7160" spans="38:38" x14ac:dyDescent="0.25">
      <c r="AL7160" s="6"/>
    </row>
    <row r="7161" spans="38:38" x14ac:dyDescent="0.25">
      <c r="AL7161" s="6"/>
    </row>
    <row r="7162" spans="38:38" x14ac:dyDescent="0.25">
      <c r="AL7162" s="6"/>
    </row>
    <row r="7163" spans="38:38" x14ac:dyDescent="0.25">
      <c r="AL7163" s="6"/>
    </row>
    <row r="7164" spans="38:38" x14ac:dyDescent="0.25">
      <c r="AL7164" s="6"/>
    </row>
    <row r="7165" spans="38:38" x14ac:dyDescent="0.25">
      <c r="AL7165" s="6"/>
    </row>
    <row r="7166" spans="38:38" x14ac:dyDescent="0.25">
      <c r="AL7166" s="6"/>
    </row>
    <row r="7167" spans="38:38" x14ac:dyDescent="0.25">
      <c r="AL7167" s="6"/>
    </row>
    <row r="7168" spans="38:38" x14ac:dyDescent="0.25">
      <c r="AL7168" s="6"/>
    </row>
    <row r="7169" spans="38:38" x14ac:dyDescent="0.25">
      <c r="AL7169" s="6"/>
    </row>
    <row r="7170" spans="38:38" x14ac:dyDescent="0.25">
      <c r="AL7170" s="6"/>
    </row>
    <row r="7171" spans="38:38" x14ac:dyDescent="0.25">
      <c r="AL7171" s="6"/>
    </row>
    <row r="7172" spans="38:38" x14ac:dyDescent="0.25">
      <c r="AL7172" s="6"/>
    </row>
    <row r="7173" spans="38:38" x14ac:dyDescent="0.25">
      <c r="AL7173" s="6"/>
    </row>
    <row r="7174" spans="38:38" x14ac:dyDescent="0.25">
      <c r="AL7174" s="6"/>
    </row>
    <row r="7175" spans="38:38" x14ac:dyDescent="0.25">
      <c r="AL7175" s="6"/>
    </row>
    <row r="7176" spans="38:38" x14ac:dyDescent="0.25">
      <c r="AL7176" s="6"/>
    </row>
    <row r="7177" spans="38:38" x14ac:dyDescent="0.25">
      <c r="AL7177" s="6"/>
    </row>
    <row r="7178" spans="38:38" x14ac:dyDescent="0.25">
      <c r="AL7178" s="6"/>
    </row>
    <row r="7179" spans="38:38" x14ac:dyDescent="0.25">
      <c r="AL7179" s="6"/>
    </row>
    <row r="7180" spans="38:38" x14ac:dyDescent="0.25">
      <c r="AL7180" s="6"/>
    </row>
    <row r="7181" spans="38:38" x14ac:dyDescent="0.25">
      <c r="AL7181" s="6"/>
    </row>
    <row r="7182" spans="38:38" x14ac:dyDescent="0.25">
      <c r="AL7182" s="6"/>
    </row>
    <row r="7183" spans="38:38" x14ac:dyDescent="0.25">
      <c r="AL7183" s="6"/>
    </row>
    <row r="7184" spans="38:38" x14ac:dyDescent="0.25">
      <c r="AL7184" s="6"/>
    </row>
    <row r="7185" spans="38:38" x14ac:dyDescent="0.25">
      <c r="AL7185" s="6"/>
    </row>
    <row r="7186" spans="38:38" x14ac:dyDescent="0.25">
      <c r="AL7186" s="6"/>
    </row>
    <row r="7187" spans="38:38" x14ac:dyDescent="0.25">
      <c r="AL7187" s="6"/>
    </row>
    <row r="7188" spans="38:38" x14ac:dyDescent="0.25">
      <c r="AL7188" s="6"/>
    </row>
    <row r="7189" spans="38:38" x14ac:dyDescent="0.25">
      <c r="AL7189" s="6"/>
    </row>
    <row r="7190" spans="38:38" x14ac:dyDescent="0.25">
      <c r="AL7190" s="6"/>
    </row>
    <row r="7191" spans="38:38" x14ac:dyDescent="0.25">
      <c r="AL7191" s="6"/>
    </row>
    <row r="7192" spans="38:38" x14ac:dyDescent="0.25">
      <c r="AL7192" s="6"/>
    </row>
    <row r="7193" spans="38:38" x14ac:dyDescent="0.25">
      <c r="AL7193" s="6"/>
    </row>
    <row r="7194" spans="38:38" x14ac:dyDescent="0.25">
      <c r="AL7194" s="6"/>
    </row>
    <row r="7195" spans="38:38" x14ac:dyDescent="0.25">
      <c r="AL7195" s="6"/>
    </row>
    <row r="7196" spans="38:38" x14ac:dyDescent="0.25">
      <c r="AL7196" s="6"/>
    </row>
    <row r="7197" spans="38:38" x14ac:dyDescent="0.25">
      <c r="AL7197" s="6"/>
    </row>
    <row r="7198" spans="38:38" x14ac:dyDescent="0.25">
      <c r="AL7198" s="6"/>
    </row>
    <row r="7199" spans="38:38" x14ac:dyDescent="0.25">
      <c r="AL7199" s="6"/>
    </row>
    <row r="7200" spans="38:38" x14ac:dyDescent="0.25">
      <c r="AL7200" s="6"/>
    </row>
    <row r="7201" spans="38:38" x14ac:dyDescent="0.25">
      <c r="AL7201" s="6"/>
    </row>
    <row r="7202" spans="38:38" x14ac:dyDescent="0.25">
      <c r="AL7202" s="6"/>
    </row>
    <row r="7203" spans="38:38" x14ac:dyDescent="0.25">
      <c r="AL7203" s="6"/>
    </row>
    <row r="7204" spans="38:38" x14ac:dyDescent="0.25">
      <c r="AL7204" s="6"/>
    </row>
    <row r="7205" spans="38:38" x14ac:dyDescent="0.25">
      <c r="AL7205" s="6"/>
    </row>
    <row r="7206" spans="38:38" x14ac:dyDescent="0.25">
      <c r="AL7206" s="6"/>
    </row>
    <row r="7207" spans="38:38" x14ac:dyDescent="0.25">
      <c r="AL7207" s="6"/>
    </row>
    <row r="7208" spans="38:38" x14ac:dyDescent="0.25">
      <c r="AL7208" s="6"/>
    </row>
    <row r="7209" spans="38:38" x14ac:dyDescent="0.25">
      <c r="AL7209" s="6"/>
    </row>
    <row r="7210" spans="38:38" x14ac:dyDescent="0.25">
      <c r="AL7210" s="6"/>
    </row>
    <row r="7211" spans="38:38" x14ac:dyDescent="0.25">
      <c r="AL7211" s="6"/>
    </row>
    <row r="7212" spans="38:38" x14ac:dyDescent="0.25">
      <c r="AL7212" s="6"/>
    </row>
    <row r="7213" spans="38:38" x14ac:dyDescent="0.25">
      <c r="AL7213" s="6"/>
    </row>
    <row r="7214" spans="38:38" x14ac:dyDescent="0.25">
      <c r="AL7214" s="6"/>
    </row>
    <row r="7215" spans="38:38" x14ac:dyDescent="0.25">
      <c r="AL7215" s="6"/>
    </row>
    <row r="7216" spans="38:38" x14ac:dyDescent="0.25">
      <c r="AL7216" s="6"/>
    </row>
    <row r="7217" spans="38:38" x14ac:dyDescent="0.25">
      <c r="AL7217" s="6"/>
    </row>
    <row r="7218" spans="38:38" x14ac:dyDescent="0.25">
      <c r="AL7218" s="6"/>
    </row>
    <row r="7219" spans="38:38" x14ac:dyDescent="0.25">
      <c r="AL7219" s="6"/>
    </row>
    <row r="7220" spans="38:38" x14ac:dyDescent="0.25">
      <c r="AL7220" s="6"/>
    </row>
    <row r="7221" spans="38:38" x14ac:dyDescent="0.25">
      <c r="AL7221" s="6"/>
    </row>
    <row r="7222" spans="38:38" x14ac:dyDescent="0.25">
      <c r="AL7222" s="6"/>
    </row>
    <row r="7223" spans="38:38" x14ac:dyDescent="0.25">
      <c r="AL7223" s="6"/>
    </row>
    <row r="7224" spans="38:38" x14ac:dyDescent="0.25">
      <c r="AL7224" s="6"/>
    </row>
    <row r="7225" spans="38:38" x14ac:dyDescent="0.25">
      <c r="AL7225" s="6"/>
    </row>
    <row r="7226" spans="38:38" x14ac:dyDescent="0.25">
      <c r="AL7226" s="6"/>
    </row>
    <row r="7227" spans="38:38" x14ac:dyDescent="0.25">
      <c r="AL7227" s="6"/>
    </row>
    <row r="7228" spans="38:38" x14ac:dyDescent="0.25">
      <c r="AL7228" s="6"/>
    </row>
    <row r="7229" spans="38:38" x14ac:dyDescent="0.25">
      <c r="AL7229" s="6"/>
    </row>
    <row r="7230" spans="38:38" x14ac:dyDescent="0.25">
      <c r="AL7230" s="6"/>
    </row>
    <row r="7231" spans="38:38" x14ac:dyDescent="0.25">
      <c r="AL7231" s="6"/>
    </row>
    <row r="7232" spans="38:38" x14ac:dyDescent="0.25">
      <c r="AL7232" s="6"/>
    </row>
    <row r="7233" spans="38:38" x14ac:dyDescent="0.25">
      <c r="AL7233" s="6"/>
    </row>
    <row r="7234" spans="38:38" x14ac:dyDescent="0.25">
      <c r="AL7234" s="6"/>
    </row>
    <row r="7235" spans="38:38" x14ac:dyDescent="0.25">
      <c r="AL7235" s="6"/>
    </row>
    <row r="7236" spans="38:38" x14ac:dyDescent="0.25">
      <c r="AL7236" s="6"/>
    </row>
    <row r="7237" spans="38:38" x14ac:dyDescent="0.25">
      <c r="AL7237" s="6"/>
    </row>
    <row r="7238" spans="38:38" x14ac:dyDescent="0.25">
      <c r="AL7238" s="6"/>
    </row>
    <row r="7239" spans="38:38" x14ac:dyDescent="0.25">
      <c r="AL7239" s="6"/>
    </row>
    <row r="7240" spans="38:38" x14ac:dyDescent="0.25">
      <c r="AL7240" s="6"/>
    </row>
    <row r="7241" spans="38:38" x14ac:dyDescent="0.25">
      <c r="AL7241" s="6"/>
    </row>
    <row r="7242" spans="38:38" x14ac:dyDescent="0.25">
      <c r="AL7242" s="6"/>
    </row>
    <row r="7243" spans="38:38" x14ac:dyDescent="0.25">
      <c r="AL7243" s="6"/>
    </row>
    <row r="7244" spans="38:38" x14ac:dyDescent="0.25">
      <c r="AL7244" s="6"/>
    </row>
    <row r="7245" spans="38:38" x14ac:dyDescent="0.25">
      <c r="AL7245" s="6"/>
    </row>
    <row r="7246" spans="38:38" x14ac:dyDescent="0.25">
      <c r="AL7246" s="6"/>
    </row>
    <row r="7247" spans="38:38" x14ac:dyDescent="0.25">
      <c r="AL7247" s="6"/>
    </row>
    <row r="7248" spans="38:38" x14ac:dyDescent="0.25">
      <c r="AL7248" s="6"/>
    </row>
    <row r="7249" spans="38:38" x14ac:dyDescent="0.25">
      <c r="AL7249" s="6"/>
    </row>
    <row r="7250" spans="38:38" x14ac:dyDescent="0.25">
      <c r="AL7250" s="6"/>
    </row>
    <row r="7251" spans="38:38" x14ac:dyDescent="0.25">
      <c r="AL7251" s="6"/>
    </row>
    <row r="7252" spans="38:38" x14ac:dyDescent="0.25">
      <c r="AL7252" s="6"/>
    </row>
    <row r="7253" spans="38:38" x14ac:dyDescent="0.25">
      <c r="AL7253" s="6"/>
    </row>
    <row r="7254" spans="38:38" x14ac:dyDescent="0.25">
      <c r="AL7254" s="6"/>
    </row>
    <row r="7255" spans="38:38" x14ac:dyDescent="0.25">
      <c r="AL7255" s="6"/>
    </row>
    <row r="7256" spans="38:38" x14ac:dyDescent="0.25">
      <c r="AL7256" s="6"/>
    </row>
    <row r="7257" spans="38:38" x14ac:dyDescent="0.25">
      <c r="AL7257" s="6"/>
    </row>
    <row r="7258" spans="38:38" x14ac:dyDescent="0.25">
      <c r="AL7258" s="6"/>
    </row>
    <row r="7259" spans="38:38" x14ac:dyDescent="0.25">
      <c r="AL7259" s="6"/>
    </row>
    <row r="7260" spans="38:38" x14ac:dyDescent="0.25">
      <c r="AL7260" s="6"/>
    </row>
    <row r="7261" spans="38:38" x14ac:dyDescent="0.25">
      <c r="AL7261" s="6"/>
    </row>
    <row r="7262" spans="38:38" x14ac:dyDescent="0.25">
      <c r="AL7262" s="6"/>
    </row>
    <row r="7263" spans="38:38" x14ac:dyDescent="0.25">
      <c r="AL7263" s="6"/>
    </row>
    <row r="7264" spans="38:38" x14ac:dyDescent="0.25">
      <c r="AL7264" s="6"/>
    </row>
    <row r="7265" spans="38:38" x14ac:dyDescent="0.25">
      <c r="AL7265" s="6"/>
    </row>
    <row r="7266" spans="38:38" x14ac:dyDescent="0.25">
      <c r="AL7266" s="6"/>
    </row>
    <row r="7267" spans="38:38" x14ac:dyDescent="0.25">
      <c r="AL7267" s="6"/>
    </row>
    <row r="7268" spans="38:38" x14ac:dyDescent="0.25">
      <c r="AL7268" s="6"/>
    </row>
    <row r="7269" spans="38:38" x14ac:dyDescent="0.25">
      <c r="AL7269" s="6"/>
    </row>
    <row r="7270" spans="38:38" x14ac:dyDescent="0.25">
      <c r="AL7270" s="6"/>
    </row>
    <row r="7271" spans="38:38" x14ac:dyDescent="0.25">
      <c r="AL7271" s="6"/>
    </row>
    <row r="7272" spans="38:38" x14ac:dyDescent="0.25">
      <c r="AL7272" s="6"/>
    </row>
    <row r="7273" spans="38:38" x14ac:dyDescent="0.25">
      <c r="AL7273" s="6"/>
    </row>
    <row r="7274" spans="38:38" x14ac:dyDescent="0.25">
      <c r="AL7274" s="6"/>
    </row>
    <row r="7275" spans="38:38" x14ac:dyDescent="0.25">
      <c r="AL7275" s="6"/>
    </row>
    <row r="7276" spans="38:38" x14ac:dyDescent="0.25">
      <c r="AL7276" s="6"/>
    </row>
    <row r="7277" spans="38:38" x14ac:dyDescent="0.25">
      <c r="AL7277" s="6"/>
    </row>
    <row r="7278" spans="38:38" x14ac:dyDescent="0.25">
      <c r="AL7278" s="6"/>
    </row>
    <row r="7279" spans="38:38" x14ac:dyDescent="0.25">
      <c r="AL7279" s="6"/>
    </row>
    <row r="7280" spans="38:38" x14ac:dyDescent="0.25">
      <c r="AL7280" s="6"/>
    </row>
    <row r="7281" spans="38:38" x14ac:dyDescent="0.25">
      <c r="AL7281" s="6"/>
    </row>
    <row r="7282" spans="38:38" x14ac:dyDescent="0.25">
      <c r="AL7282" s="6"/>
    </row>
    <row r="7283" spans="38:38" x14ac:dyDescent="0.25">
      <c r="AL7283" s="6"/>
    </row>
    <row r="7284" spans="38:38" x14ac:dyDescent="0.25">
      <c r="AL7284" s="6"/>
    </row>
    <row r="7285" spans="38:38" x14ac:dyDescent="0.25">
      <c r="AL7285" s="6"/>
    </row>
    <row r="7286" spans="38:38" x14ac:dyDescent="0.25">
      <c r="AL7286" s="6"/>
    </row>
    <row r="7287" spans="38:38" x14ac:dyDescent="0.25">
      <c r="AL7287" s="6"/>
    </row>
    <row r="7288" spans="38:38" x14ac:dyDescent="0.25">
      <c r="AL7288" s="6"/>
    </row>
    <row r="7289" spans="38:38" x14ac:dyDescent="0.25">
      <c r="AL7289" s="6"/>
    </row>
    <row r="7290" spans="38:38" x14ac:dyDescent="0.25">
      <c r="AL7290" s="6"/>
    </row>
    <row r="7291" spans="38:38" x14ac:dyDescent="0.25">
      <c r="AL7291" s="6"/>
    </row>
    <row r="7292" spans="38:38" x14ac:dyDescent="0.25">
      <c r="AL7292" s="6"/>
    </row>
    <row r="7293" spans="38:38" x14ac:dyDescent="0.25">
      <c r="AL7293" s="6"/>
    </row>
    <row r="7294" spans="38:38" x14ac:dyDescent="0.25">
      <c r="AL7294" s="6"/>
    </row>
    <row r="7295" spans="38:38" x14ac:dyDescent="0.25">
      <c r="AL7295" s="6"/>
    </row>
    <row r="7296" spans="38:38" x14ac:dyDescent="0.25">
      <c r="AL7296" s="6"/>
    </row>
    <row r="7297" spans="38:38" x14ac:dyDescent="0.25">
      <c r="AL7297" s="6"/>
    </row>
    <row r="7298" spans="38:38" x14ac:dyDescent="0.25">
      <c r="AL7298" s="6"/>
    </row>
    <row r="7299" spans="38:38" x14ac:dyDescent="0.25">
      <c r="AL7299" s="6"/>
    </row>
    <row r="7300" spans="38:38" x14ac:dyDescent="0.25">
      <c r="AL7300" s="6"/>
    </row>
    <row r="7301" spans="38:38" x14ac:dyDescent="0.25">
      <c r="AL7301" s="6"/>
    </row>
    <row r="7302" spans="38:38" x14ac:dyDescent="0.25">
      <c r="AL7302" s="6"/>
    </row>
    <row r="7303" spans="38:38" x14ac:dyDescent="0.25">
      <c r="AL7303" s="6"/>
    </row>
    <row r="7304" spans="38:38" x14ac:dyDescent="0.25">
      <c r="AL7304" s="6"/>
    </row>
    <row r="7305" spans="38:38" x14ac:dyDescent="0.25">
      <c r="AL7305" s="6"/>
    </row>
    <row r="7306" spans="38:38" x14ac:dyDescent="0.25">
      <c r="AL7306" s="6"/>
    </row>
    <row r="7307" spans="38:38" x14ac:dyDescent="0.25">
      <c r="AL7307" s="6"/>
    </row>
    <row r="7308" spans="38:38" x14ac:dyDescent="0.25">
      <c r="AL7308" s="6"/>
    </row>
    <row r="7309" spans="38:38" x14ac:dyDescent="0.25">
      <c r="AL7309" s="6"/>
    </row>
    <row r="7310" spans="38:38" x14ac:dyDescent="0.25">
      <c r="AL7310" s="6"/>
    </row>
    <row r="7311" spans="38:38" x14ac:dyDescent="0.25">
      <c r="AL7311" s="6"/>
    </row>
    <row r="7312" spans="38:38" x14ac:dyDescent="0.25">
      <c r="AL7312" s="6"/>
    </row>
    <row r="7313" spans="38:38" x14ac:dyDescent="0.25">
      <c r="AL7313" s="6"/>
    </row>
    <row r="7314" spans="38:38" x14ac:dyDescent="0.25">
      <c r="AL7314" s="6"/>
    </row>
    <row r="7315" spans="38:38" x14ac:dyDescent="0.25">
      <c r="AL7315" s="6"/>
    </row>
    <row r="7316" spans="38:38" x14ac:dyDescent="0.25">
      <c r="AL7316" s="6"/>
    </row>
    <row r="7317" spans="38:38" x14ac:dyDescent="0.25">
      <c r="AL7317" s="6"/>
    </row>
    <row r="7318" spans="38:38" x14ac:dyDescent="0.25">
      <c r="AL7318" s="6"/>
    </row>
    <row r="7319" spans="38:38" x14ac:dyDescent="0.25">
      <c r="AL7319" s="6"/>
    </row>
    <row r="7320" spans="38:38" x14ac:dyDescent="0.25">
      <c r="AL7320" s="6"/>
    </row>
    <row r="7321" spans="38:38" x14ac:dyDescent="0.25">
      <c r="AL7321" s="6"/>
    </row>
    <row r="7322" spans="38:38" x14ac:dyDescent="0.25">
      <c r="AL7322" s="6"/>
    </row>
    <row r="7323" spans="38:38" x14ac:dyDescent="0.25">
      <c r="AL7323" s="6"/>
    </row>
    <row r="7324" spans="38:38" x14ac:dyDescent="0.25">
      <c r="AL7324" s="6"/>
    </row>
    <row r="7325" spans="38:38" x14ac:dyDescent="0.25">
      <c r="AL7325" s="6"/>
    </row>
    <row r="7326" spans="38:38" x14ac:dyDescent="0.25">
      <c r="AL7326" s="6"/>
    </row>
    <row r="7327" spans="38:38" x14ac:dyDescent="0.25">
      <c r="AL7327" s="6"/>
    </row>
    <row r="7328" spans="38:38" x14ac:dyDescent="0.25">
      <c r="AL7328" s="6"/>
    </row>
    <row r="7329" spans="38:38" x14ac:dyDescent="0.25">
      <c r="AL7329" s="6"/>
    </row>
    <row r="7330" spans="38:38" x14ac:dyDescent="0.25">
      <c r="AL7330" s="6"/>
    </row>
    <row r="7331" spans="38:38" x14ac:dyDescent="0.25">
      <c r="AL7331" s="6"/>
    </row>
    <row r="7332" spans="38:38" x14ac:dyDescent="0.25">
      <c r="AL7332" s="6"/>
    </row>
    <row r="7333" spans="38:38" x14ac:dyDescent="0.25">
      <c r="AL7333" s="6"/>
    </row>
    <row r="7334" spans="38:38" x14ac:dyDescent="0.25">
      <c r="AL7334" s="6"/>
    </row>
    <row r="7335" spans="38:38" x14ac:dyDescent="0.25">
      <c r="AL7335" s="6"/>
    </row>
    <row r="7336" spans="38:38" x14ac:dyDescent="0.25">
      <c r="AL7336" s="6"/>
    </row>
    <row r="7337" spans="38:38" x14ac:dyDescent="0.25">
      <c r="AL7337" s="6"/>
    </row>
    <row r="7338" spans="38:38" x14ac:dyDescent="0.25">
      <c r="AL7338" s="6"/>
    </row>
    <row r="7339" spans="38:38" x14ac:dyDescent="0.25">
      <c r="AL7339" s="6"/>
    </row>
    <row r="7340" spans="38:38" x14ac:dyDescent="0.25">
      <c r="AL7340" s="6"/>
    </row>
    <row r="7341" spans="38:38" x14ac:dyDescent="0.25">
      <c r="AL7341" s="6"/>
    </row>
    <row r="7342" spans="38:38" x14ac:dyDescent="0.25">
      <c r="AL7342" s="6"/>
    </row>
    <row r="7343" spans="38:38" x14ac:dyDescent="0.25">
      <c r="AL7343" s="6"/>
    </row>
    <row r="7344" spans="38:38" x14ac:dyDescent="0.25">
      <c r="AL7344" s="6"/>
    </row>
    <row r="7345" spans="38:38" x14ac:dyDescent="0.25">
      <c r="AL7345" s="6"/>
    </row>
    <row r="7346" spans="38:38" x14ac:dyDescent="0.25">
      <c r="AL7346" s="6"/>
    </row>
    <row r="7347" spans="38:38" x14ac:dyDescent="0.25">
      <c r="AL7347" s="6"/>
    </row>
    <row r="7348" spans="38:38" x14ac:dyDescent="0.25">
      <c r="AL7348" s="6"/>
    </row>
    <row r="7349" spans="38:38" x14ac:dyDescent="0.25">
      <c r="AL7349" s="6"/>
    </row>
    <row r="7350" spans="38:38" x14ac:dyDescent="0.25">
      <c r="AL7350" s="6"/>
    </row>
    <row r="7351" spans="38:38" x14ac:dyDescent="0.25">
      <c r="AL7351" s="6"/>
    </row>
    <row r="7352" spans="38:38" x14ac:dyDescent="0.25">
      <c r="AL7352" s="6"/>
    </row>
    <row r="7353" spans="38:38" x14ac:dyDescent="0.25">
      <c r="AL7353" s="6"/>
    </row>
    <row r="7354" spans="38:38" x14ac:dyDescent="0.25">
      <c r="AL7354" s="6"/>
    </row>
    <row r="7355" spans="38:38" x14ac:dyDescent="0.25">
      <c r="AL7355" s="6"/>
    </row>
    <row r="7356" spans="38:38" x14ac:dyDescent="0.25">
      <c r="AL7356" s="6"/>
    </row>
    <row r="7357" spans="38:38" x14ac:dyDescent="0.25">
      <c r="AL7357" s="6"/>
    </row>
    <row r="7358" spans="38:38" x14ac:dyDescent="0.25">
      <c r="AL7358" s="6"/>
    </row>
    <row r="7359" spans="38:38" x14ac:dyDescent="0.25">
      <c r="AL7359" s="6"/>
    </row>
    <row r="7360" spans="38:38" x14ac:dyDescent="0.25">
      <c r="AL7360" s="6"/>
    </row>
    <row r="7361" spans="38:38" x14ac:dyDescent="0.25">
      <c r="AL7361" s="6"/>
    </row>
    <row r="7362" spans="38:38" x14ac:dyDescent="0.25">
      <c r="AL7362" s="6"/>
    </row>
    <row r="7363" spans="38:38" x14ac:dyDescent="0.25">
      <c r="AL7363" s="6"/>
    </row>
    <row r="7364" spans="38:38" x14ac:dyDescent="0.25">
      <c r="AL7364" s="6"/>
    </row>
    <row r="7365" spans="38:38" x14ac:dyDescent="0.25">
      <c r="AL7365" s="6"/>
    </row>
    <row r="7366" spans="38:38" x14ac:dyDescent="0.25">
      <c r="AL7366" s="6"/>
    </row>
    <row r="7367" spans="38:38" x14ac:dyDescent="0.25">
      <c r="AL7367" s="6"/>
    </row>
    <row r="7368" spans="38:38" x14ac:dyDescent="0.25">
      <c r="AL7368" s="6"/>
    </row>
    <row r="7369" spans="38:38" x14ac:dyDescent="0.25">
      <c r="AL7369" s="6"/>
    </row>
    <row r="7370" spans="38:38" x14ac:dyDescent="0.25">
      <c r="AL7370" s="6"/>
    </row>
    <row r="7371" spans="38:38" x14ac:dyDescent="0.25">
      <c r="AL7371" s="6"/>
    </row>
    <row r="7372" spans="38:38" x14ac:dyDescent="0.25">
      <c r="AL7372" s="6"/>
    </row>
    <row r="7373" spans="38:38" x14ac:dyDescent="0.25">
      <c r="AL7373" s="6"/>
    </row>
    <row r="7374" spans="38:38" x14ac:dyDescent="0.25">
      <c r="AL7374" s="6"/>
    </row>
    <row r="7375" spans="38:38" x14ac:dyDescent="0.25">
      <c r="AL7375" s="6"/>
    </row>
    <row r="7376" spans="38:38" x14ac:dyDescent="0.25">
      <c r="AL7376" s="6"/>
    </row>
    <row r="7377" spans="38:38" x14ac:dyDescent="0.25">
      <c r="AL7377" s="6"/>
    </row>
    <row r="7378" spans="38:38" x14ac:dyDescent="0.25">
      <c r="AL7378" s="6"/>
    </row>
    <row r="7379" spans="38:38" x14ac:dyDescent="0.25">
      <c r="AL7379" s="6"/>
    </row>
    <row r="7380" spans="38:38" x14ac:dyDescent="0.25">
      <c r="AL7380" s="6"/>
    </row>
    <row r="7381" spans="38:38" x14ac:dyDescent="0.25">
      <c r="AL7381" s="6"/>
    </row>
    <row r="7382" spans="38:38" x14ac:dyDescent="0.25">
      <c r="AL7382" s="6"/>
    </row>
    <row r="7383" spans="38:38" x14ac:dyDescent="0.25">
      <c r="AL7383" s="6"/>
    </row>
    <row r="7384" spans="38:38" x14ac:dyDescent="0.25">
      <c r="AL7384" s="6"/>
    </row>
    <row r="7385" spans="38:38" x14ac:dyDescent="0.25">
      <c r="AL7385" s="6"/>
    </row>
    <row r="7386" spans="38:38" x14ac:dyDescent="0.25">
      <c r="AL7386" s="6"/>
    </row>
    <row r="7387" spans="38:38" x14ac:dyDescent="0.25">
      <c r="AL7387" s="6"/>
    </row>
    <row r="7388" spans="38:38" x14ac:dyDescent="0.25">
      <c r="AL7388" s="6"/>
    </row>
    <row r="7389" spans="38:38" x14ac:dyDescent="0.25">
      <c r="AL7389" s="6"/>
    </row>
    <row r="7390" spans="38:38" x14ac:dyDescent="0.25">
      <c r="AL7390" s="6"/>
    </row>
    <row r="7391" spans="38:38" x14ac:dyDescent="0.25">
      <c r="AL7391" s="6"/>
    </row>
    <row r="7392" spans="38:38" x14ac:dyDescent="0.25">
      <c r="AL7392" s="6"/>
    </row>
    <row r="7393" spans="38:38" x14ac:dyDescent="0.25">
      <c r="AL7393" s="6"/>
    </row>
    <row r="7394" spans="38:38" x14ac:dyDescent="0.25">
      <c r="AL7394" s="6"/>
    </row>
    <row r="7395" spans="38:38" x14ac:dyDescent="0.25">
      <c r="AL7395" s="6"/>
    </row>
    <row r="7396" spans="38:38" x14ac:dyDescent="0.25">
      <c r="AL7396" s="6"/>
    </row>
    <row r="7397" spans="38:38" x14ac:dyDescent="0.25">
      <c r="AL7397" s="6"/>
    </row>
    <row r="7398" spans="38:38" x14ac:dyDescent="0.25">
      <c r="AL7398" s="6"/>
    </row>
    <row r="7399" spans="38:38" x14ac:dyDescent="0.25">
      <c r="AL7399" s="6"/>
    </row>
    <row r="7400" spans="38:38" x14ac:dyDescent="0.25">
      <c r="AL7400" s="6"/>
    </row>
    <row r="7401" spans="38:38" x14ac:dyDescent="0.25">
      <c r="AL7401" s="6"/>
    </row>
    <row r="7402" spans="38:38" x14ac:dyDescent="0.25">
      <c r="AL7402" s="6"/>
    </row>
    <row r="7403" spans="38:38" x14ac:dyDescent="0.25">
      <c r="AL7403" s="6"/>
    </row>
    <row r="7404" spans="38:38" x14ac:dyDescent="0.25">
      <c r="AL7404" s="6"/>
    </row>
    <row r="7405" spans="38:38" x14ac:dyDescent="0.25">
      <c r="AL7405" s="6"/>
    </row>
    <row r="7406" spans="38:38" x14ac:dyDescent="0.25">
      <c r="AL7406" s="6"/>
    </row>
    <row r="7407" spans="38:38" x14ac:dyDescent="0.25">
      <c r="AL7407" s="6"/>
    </row>
    <row r="7408" spans="38:38" x14ac:dyDescent="0.25">
      <c r="AL7408" s="6"/>
    </row>
    <row r="7409" spans="38:38" x14ac:dyDescent="0.25">
      <c r="AL7409" s="6"/>
    </row>
    <row r="7410" spans="38:38" x14ac:dyDescent="0.25">
      <c r="AL7410" s="6"/>
    </row>
    <row r="7411" spans="38:38" x14ac:dyDescent="0.25">
      <c r="AL7411" s="6"/>
    </row>
    <row r="7412" spans="38:38" x14ac:dyDescent="0.25">
      <c r="AL7412" s="6"/>
    </row>
    <row r="7413" spans="38:38" x14ac:dyDescent="0.25">
      <c r="AL7413" s="6"/>
    </row>
    <row r="7414" spans="38:38" x14ac:dyDescent="0.25">
      <c r="AL7414" s="6"/>
    </row>
    <row r="7415" spans="38:38" x14ac:dyDescent="0.25">
      <c r="AL7415" s="6"/>
    </row>
    <row r="7416" spans="38:38" x14ac:dyDescent="0.25">
      <c r="AL7416" s="6"/>
    </row>
    <row r="7417" spans="38:38" x14ac:dyDescent="0.25">
      <c r="AL7417" s="6"/>
    </row>
    <row r="7418" spans="38:38" x14ac:dyDescent="0.25">
      <c r="AL7418" s="6"/>
    </row>
    <row r="7419" spans="38:38" x14ac:dyDescent="0.25">
      <c r="AL7419" s="6"/>
    </row>
    <row r="7420" spans="38:38" x14ac:dyDescent="0.25">
      <c r="AL7420" s="6"/>
    </row>
    <row r="7421" spans="38:38" x14ac:dyDescent="0.25">
      <c r="AL7421" s="6"/>
    </row>
    <row r="7422" spans="38:38" x14ac:dyDescent="0.25">
      <c r="AL7422" s="6"/>
    </row>
    <row r="7423" spans="38:38" x14ac:dyDescent="0.25">
      <c r="AL7423" s="6"/>
    </row>
    <row r="7424" spans="38:38" x14ac:dyDescent="0.25">
      <c r="AL7424" s="6"/>
    </row>
    <row r="7425" spans="38:38" x14ac:dyDescent="0.25">
      <c r="AL7425" s="6"/>
    </row>
    <row r="7426" spans="38:38" x14ac:dyDescent="0.25">
      <c r="AL7426" s="6"/>
    </row>
    <row r="7427" spans="38:38" x14ac:dyDescent="0.25">
      <c r="AL7427" s="6"/>
    </row>
    <row r="7428" spans="38:38" x14ac:dyDescent="0.25">
      <c r="AL7428" s="6"/>
    </row>
    <row r="7429" spans="38:38" x14ac:dyDescent="0.25">
      <c r="AL7429" s="6"/>
    </row>
    <row r="7430" spans="38:38" x14ac:dyDescent="0.25">
      <c r="AL7430" s="6"/>
    </row>
    <row r="7431" spans="38:38" x14ac:dyDescent="0.25">
      <c r="AL7431" s="6"/>
    </row>
    <row r="7432" spans="38:38" x14ac:dyDescent="0.25">
      <c r="AL7432" s="6"/>
    </row>
    <row r="7433" spans="38:38" x14ac:dyDescent="0.25">
      <c r="AL7433" s="6"/>
    </row>
    <row r="7434" spans="38:38" x14ac:dyDescent="0.25">
      <c r="AL7434" s="6"/>
    </row>
    <row r="7435" spans="38:38" x14ac:dyDescent="0.25">
      <c r="AL7435" s="6"/>
    </row>
    <row r="7436" spans="38:38" x14ac:dyDescent="0.25">
      <c r="AL7436" s="6"/>
    </row>
    <row r="7437" spans="38:38" x14ac:dyDescent="0.25">
      <c r="AL7437" s="6"/>
    </row>
    <row r="7438" spans="38:38" x14ac:dyDescent="0.25">
      <c r="AL7438" s="6"/>
    </row>
    <row r="7439" spans="38:38" x14ac:dyDescent="0.25">
      <c r="AL7439" s="6"/>
    </row>
    <row r="7440" spans="38:38" x14ac:dyDescent="0.25">
      <c r="AL7440" s="6"/>
    </row>
    <row r="7441" spans="38:38" x14ac:dyDescent="0.25">
      <c r="AL7441" s="6"/>
    </row>
    <row r="7442" spans="38:38" x14ac:dyDescent="0.25">
      <c r="AL7442" s="6"/>
    </row>
    <row r="7443" spans="38:38" x14ac:dyDescent="0.25">
      <c r="AL7443" s="6"/>
    </row>
    <row r="7444" spans="38:38" x14ac:dyDescent="0.25">
      <c r="AL7444" s="6"/>
    </row>
    <row r="7445" spans="38:38" x14ac:dyDescent="0.25">
      <c r="AL7445" s="6"/>
    </row>
    <row r="7446" spans="38:38" x14ac:dyDescent="0.25">
      <c r="AL7446" s="6"/>
    </row>
    <row r="7447" spans="38:38" x14ac:dyDescent="0.25">
      <c r="AL7447" s="6"/>
    </row>
    <row r="7448" spans="38:38" x14ac:dyDescent="0.25">
      <c r="AL7448" s="6"/>
    </row>
    <row r="7449" spans="38:38" x14ac:dyDescent="0.25">
      <c r="AL7449" s="6"/>
    </row>
    <row r="7450" spans="38:38" x14ac:dyDescent="0.25">
      <c r="AL7450" s="6"/>
    </row>
    <row r="7451" spans="38:38" x14ac:dyDescent="0.25">
      <c r="AL7451" s="6"/>
    </row>
    <row r="7452" spans="38:38" x14ac:dyDescent="0.25">
      <c r="AL7452" s="6"/>
    </row>
    <row r="7453" spans="38:38" x14ac:dyDescent="0.25">
      <c r="AL7453" s="6"/>
    </row>
    <row r="7454" spans="38:38" x14ac:dyDescent="0.25">
      <c r="AL7454" s="6"/>
    </row>
    <row r="7455" spans="38:38" x14ac:dyDescent="0.25">
      <c r="AL7455" s="6"/>
    </row>
    <row r="7456" spans="38:38" x14ac:dyDescent="0.25">
      <c r="AL7456" s="6"/>
    </row>
    <row r="7457" spans="38:38" x14ac:dyDescent="0.25">
      <c r="AL7457" s="6"/>
    </row>
    <row r="7458" spans="38:38" x14ac:dyDescent="0.25">
      <c r="AL7458" s="6"/>
    </row>
    <row r="7459" spans="38:38" x14ac:dyDescent="0.25">
      <c r="AL7459" s="6"/>
    </row>
    <row r="7460" spans="38:38" x14ac:dyDescent="0.25">
      <c r="AL7460" s="6"/>
    </row>
    <row r="7461" spans="38:38" x14ac:dyDescent="0.25">
      <c r="AL7461" s="6"/>
    </row>
    <row r="7462" spans="38:38" x14ac:dyDescent="0.25">
      <c r="AL7462" s="6"/>
    </row>
    <row r="7463" spans="38:38" x14ac:dyDescent="0.25">
      <c r="AL7463" s="6"/>
    </row>
    <row r="7464" spans="38:38" x14ac:dyDescent="0.25">
      <c r="AL7464" s="6"/>
    </row>
    <row r="7465" spans="38:38" x14ac:dyDescent="0.25">
      <c r="AL7465" s="6"/>
    </row>
    <row r="7466" spans="38:38" x14ac:dyDescent="0.25">
      <c r="AL7466" s="6"/>
    </row>
    <row r="7467" spans="38:38" x14ac:dyDescent="0.25">
      <c r="AL7467" s="6"/>
    </row>
    <row r="7468" spans="38:38" x14ac:dyDescent="0.25">
      <c r="AL7468" s="6"/>
    </row>
    <row r="7469" spans="38:38" x14ac:dyDescent="0.25">
      <c r="AL7469" s="6"/>
    </row>
    <row r="7470" spans="38:38" x14ac:dyDescent="0.25">
      <c r="AL7470" s="6"/>
    </row>
    <row r="7471" spans="38:38" x14ac:dyDescent="0.25">
      <c r="AL7471" s="6"/>
    </row>
    <row r="7472" spans="38:38" x14ac:dyDescent="0.25">
      <c r="AL7472" s="6"/>
    </row>
    <row r="7473" spans="38:38" x14ac:dyDescent="0.25">
      <c r="AL7473" s="6"/>
    </row>
    <row r="7474" spans="38:38" x14ac:dyDescent="0.25">
      <c r="AL7474" s="6"/>
    </row>
    <row r="7475" spans="38:38" x14ac:dyDescent="0.25">
      <c r="AL7475" s="6"/>
    </row>
    <row r="7476" spans="38:38" x14ac:dyDescent="0.25">
      <c r="AL7476" s="6"/>
    </row>
    <row r="7477" spans="38:38" x14ac:dyDescent="0.25">
      <c r="AL7477" s="6"/>
    </row>
    <row r="7478" spans="38:38" x14ac:dyDescent="0.25">
      <c r="AL7478" s="6"/>
    </row>
    <row r="7479" spans="38:38" x14ac:dyDescent="0.25">
      <c r="AL7479" s="6"/>
    </row>
    <row r="7480" spans="38:38" x14ac:dyDescent="0.25">
      <c r="AL7480" s="6"/>
    </row>
    <row r="7481" spans="38:38" x14ac:dyDescent="0.25">
      <c r="AL7481" s="6"/>
    </row>
    <row r="7482" spans="38:38" x14ac:dyDescent="0.25">
      <c r="AL7482" s="6"/>
    </row>
    <row r="7483" spans="38:38" x14ac:dyDescent="0.25">
      <c r="AL7483" s="6"/>
    </row>
    <row r="7484" spans="38:38" x14ac:dyDescent="0.25">
      <c r="AL7484" s="6"/>
    </row>
    <row r="7485" spans="38:38" x14ac:dyDescent="0.25">
      <c r="AL7485" s="6"/>
    </row>
    <row r="7486" spans="38:38" x14ac:dyDescent="0.25">
      <c r="AL7486" s="6"/>
    </row>
    <row r="7487" spans="38:38" x14ac:dyDescent="0.25">
      <c r="AL7487" s="6"/>
    </row>
    <row r="7488" spans="38:38" x14ac:dyDescent="0.25">
      <c r="AL7488" s="6"/>
    </row>
    <row r="7489" spans="38:38" x14ac:dyDescent="0.25">
      <c r="AL7489" s="6"/>
    </row>
    <row r="7490" spans="38:38" x14ac:dyDescent="0.25">
      <c r="AL7490" s="6"/>
    </row>
    <row r="7491" spans="38:38" x14ac:dyDescent="0.25">
      <c r="AL7491" s="6"/>
    </row>
    <row r="7492" spans="38:38" x14ac:dyDescent="0.25">
      <c r="AL7492" s="6"/>
    </row>
    <row r="7493" spans="38:38" x14ac:dyDescent="0.25">
      <c r="AL7493" s="6"/>
    </row>
    <row r="7494" spans="38:38" x14ac:dyDescent="0.25">
      <c r="AL7494" s="6"/>
    </row>
    <row r="7495" spans="38:38" x14ac:dyDescent="0.25">
      <c r="AL7495" s="6"/>
    </row>
    <row r="7496" spans="38:38" x14ac:dyDescent="0.25">
      <c r="AL7496" s="6"/>
    </row>
    <row r="7497" spans="38:38" x14ac:dyDescent="0.25">
      <c r="AL7497" s="6"/>
    </row>
    <row r="7498" spans="38:38" x14ac:dyDescent="0.25">
      <c r="AL7498" s="6"/>
    </row>
    <row r="7499" spans="38:38" x14ac:dyDescent="0.25">
      <c r="AL7499" s="6"/>
    </row>
    <row r="7500" spans="38:38" x14ac:dyDescent="0.25">
      <c r="AL7500" s="6"/>
    </row>
    <row r="7501" spans="38:38" x14ac:dyDescent="0.25">
      <c r="AL7501" s="6"/>
    </row>
    <row r="7502" spans="38:38" x14ac:dyDescent="0.25">
      <c r="AL7502" s="6"/>
    </row>
    <row r="7503" spans="38:38" x14ac:dyDescent="0.25">
      <c r="AL7503" s="6"/>
    </row>
    <row r="7504" spans="38:38" x14ac:dyDescent="0.25">
      <c r="AL7504" s="6"/>
    </row>
    <row r="7505" spans="38:38" x14ac:dyDescent="0.25">
      <c r="AL7505" s="6"/>
    </row>
    <row r="7506" spans="38:38" x14ac:dyDescent="0.25">
      <c r="AL7506" s="6"/>
    </row>
    <row r="7507" spans="38:38" x14ac:dyDescent="0.25">
      <c r="AL7507" s="6"/>
    </row>
    <row r="7508" spans="38:38" x14ac:dyDescent="0.25">
      <c r="AL7508" s="6"/>
    </row>
    <row r="7509" spans="38:38" x14ac:dyDescent="0.25">
      <c r="AL7509" s="6"/>
    </row>
    <row r="7510" spans="38:38" x14ac:dyDescent="0.25">
      <c r="AL7510" s="6"/>
    </row>
    <row r="7511" spans="38:38" x14ac:dyDescent="0.25">
      <c r="AL7511" s="6"/>
    </row>
    <row r="7512" spans="38:38" x14ac:dyDescent="0.25">
      <c r="AL7512" s="6"/>
    </row>
    <row r="7513" spans="38:38" x14ac:dyDescent="0.25">
      <c r="AL7513" s="6"/>
    </row>
    <row r="7514" spans="38:38" x14ac:dyDescent="0.25">
      <c r="AL7514" s="6"/>
    </row>
    <row r="7515" spans="38:38" x14ac:dyDescent="0.25">
      <c r="AL7515" s="6"/>
    </row>
    <row r="7516" spans="38:38" x14ac:dyDescent="0.25">
      <c r="AL7516" s="6"/>
    </row>
    <row r="7517" spans="38:38" x14ac:dyDescent="0.25">
      <c r="AL7517" s="6"/>
    </row>
    <row r="7518" spans="38:38" x14ac:dyDescent="0.25">
      <c r="AL7518" s="6"/>
    </row>
    <row r="7519" spans="38:38" x14ac:dyDescent="0.25">
      <c r="AL7519" s="6"/>
    </row>
    <row r="7520" spans="38:38" x14ac:dyDescent="0.25">
      <c r="AL7520" s="6"/>
    </row>
    <row r="7521" spans="38:38" x14ac:dyDescent="0.25">
      <c r="AL7521" s="6"/>
    </row>
    <row r="7522" spans="38:38" x14ac:dyDescent="0.25">
      <c r="AL7522" s="6"/>
    </row>
    <row r="7523" spans="38:38" x14ac:dyDescent="0.25">
      <c r="AL7523" s="6"/>
    </row>
    <row r="7524" spans="38:38" x14ac:dyDescent="0.25">
      <c r="AL7524" s="6"/>
    </row>
    <row r="7525" spans="38:38" x14ac:dyDescent="0.25">
      <c r="AL7525" s="6"/>
    </row>
    <row r="7526" spans="38:38" x14ac:dyDescent="0.25">
      <c r="AL7526" s="6"/>
    </row>
    <row r="7527" spans="38:38" x14ac:dyDescent="0.25">
      <c r="AL7527" s="6"/>
    </row>
    <row r="7528" spans="38:38" x14ac:dyDescent="0.25">
      <c r="AL7528" s="6"/>
    </row>
    <row r="7529" spans="38:38" x14ac:dyDescent="0.25">
      <c r="AL7529" s="6"/>
    </row>
    <row r="7530" spans="38:38" x14ac:dyDescent="0.25">
      <c r="AL7530" s="6"/>
    </row>
    <row r="7531" spans="38:38" x14ac:dyDescent="0.25">
      <c r="AL7531" s="6"/>
    </row>
    <row r="7532" spans="38:38" x14ac:dyDescent="0.25">
      <c r="AL7532" s="6"/>
    </row>
    <row r="7533" spans="38:38" x14ac:dyDescent="0.25">
      <c r="AL7533" s="6"/>
    </row>
    <row r="7534" spans="38:38" x14ac:dyDescent="0.25">
      <c r="AL7534" s="6"/>
    </row>
    <row r="7535" spans="38:38" x14ac:dyDescent="0.25">
      <c r="AL7535" s="6"/>
    </row>
    <row r="7536" spans="38:38" x14ac:dyDescent="0.25">
      <c r="AL7536" s="6"/>
    </row>
    <row r="7537" spans="38:38" x14ac:dyDescent="0.25">
      <c r="AL7537" s="6"/>
    </row>
    <row r="7538" spans="38:38" x14ac:dyDescent="0.25">
      <c r="AL7538" s="6"/>
    </row>
    <row r="7539" spans="38:38" x14ac:dyDescent="0.25">
      <c r="AL7539" s="6"/>
    </row>
    <row r="7540" spans="38:38" x14ac:dyDescent="0.25">
      <c r="AL7540" s="6"/>
    </row>
    <row r="7541" spans="38:38" x14ac:dyDescent="0.25">
      <c r="AL7541" s="6"/>
    </row>
    <row r="7542" spans="38:38" x14ac:dyDescent="0.25">
      <c r="AL7542" s="6"/>
    </row>
    <row r="7543" spans="38:38" x14ac:dyDescent="0.25">
      <c r="AL7543" s="6"/>
    </row>
    <row r="7544" spans="38:38" x14ac:dyDescent="0.25">
      <c r="AL7544" s="6"/>
    </row>
    <row r="7545" spans="38:38" x14ac:dyDescent="0.25">
      <c r="AL7545" s="6"/>
    </row>
    <row r="7546" spans="38:38" x14ac:dyDescent="0.25">
      <c r="AL7546" s="6"/>
    </row>
    <row r="7547" spans="38:38" x14ac:dyDescent="0.25">
      <c r="AL7547" s="6"/>
    </row>
    <row r="7548" spans="38:38" x14ac:dyDescent="0.25">
      <c r="AL7548" s="6"/>
    </row>
    <row r="7549" spans="38:38" x14ac:dyDescent="0.25">
      <c r="AL7549" s="6"/>
    </row>
    <row r="7550" spans="38:38" x14ac:dyDescent="0.25">
      <c r="AL7550" s="6"/>
    </row>
    <row r="7551" spans="38:38" x14ac:dyDescent="0.25">
      <c r="AL7551" s="6"/>
    </row>
    <row r="7552" spans="38:38" x14ac:dyDescent="0.25">
      <c r="AL7552" s="6"/>
    </row>
    <row r="7553" spans="38:38" x14ac:dyDescent="0.25">
      <c r="AL7553" s="6"/>
    </row>
    <row r="7554" spans="38:38" x14ac:dyDescent="0.25">
      <c r="AL7554" s="6"/>
    </row>
    <row r="7555" spans="38:38" x14ac:dyDescent="0.25">
      <c r="AL7555" s="6"/>
    </row>
    <row r="7556" spans="38:38" x14ac:dyDescent="0.25">
      <c r="AL7556" s="6"/>
    </row>
    <row r="7557" spans="38:38" x14ac:dyDescent="0.25">
      <c r="AL7557" s="6"/>
    </row>
    <row r="7558" spans="38:38" x14ac:dyDescent="0.25">
      <c r="AL7558" s="6"/>
    </row>
    <row r="7559" spans="38:38" x14ac:dyDescent="0.25">
      <c r="AL7559" s="6"/>
    </row>
    <row r="7560" spans="38:38" x14ac:dyDescent="0.25">
      <c r="AL7560" s="6"/>
    </row>
    <row r="7561" spans="38:38" x14ac:dyDescent="0.25">
      <c r="AL7561" s="6"/>
    </row>
    <row r="7562" spans="38:38" x14ac:dyDescent="0.25">
      <c r="AL7562" s="6"/>
    </row>
    <row r="7563" spans="38:38" x14ac:dyDescent="0.25">
      <c r="AL7563" s="6"/>
    </row>
    <row r="7564" spans="38:38" x14ac:dyDescent="0.25">
      <c r="AL7564" s="6"/>
    </row>
    <row r="7565" spans="38:38" x14ac:dyDescent="0.25">
      <c r="AL7565" s="6"/>
    </row>
    <row r="7566" spans="38:38" x14ac:dyDescent="0.25">
      <c r="AL7566" s="6"/>
    </row>
    <row r="7567" spans="38:38" x14ac:dyDescent="0.25">
      <c r="AL7567" s="6"/>
    </row>
    <row r="7568" spans="38:38" x14ac:dyDescent="0.25">
      <c r="AL7568" s="6"/>
    </row>
    <row r="7569" spans="38:38" x14ac:dyDescent="0.25">
      <c r="AL7569" s="6"/>
    </row>
    <row r="7570" spans="38:38" x14ac:dyDescent="0.25">
      <c r="AL7570" s="6"/>
    </row>
    <row r="7571" spans="38:38" x14ac:dyDescent="0.25">
      <c r="AL7571" s="6"/>
    </row>
    <row r="7572" spans="38:38" x14ac:dyDescent="0.25">
      <c r="AL7572" s="6"/>
    </row>
    <row r="7573" spans="38:38" x14ac:dyDescent="0.25">
      <c r="AL7573" s="6"/>
    </row>
    <row r="7574" spans="38:38" x14ac:dyDescent="0.25">
      <c r="AL7574" s="6"/>
    </row>
    <row r="7575" spans="38:38" x14ac:dyDescent="0.25">
      <c r="AL7575" s="6"/>
    </row>
    <row r="7576" spans="38:38" x14ac:dyDescent="0.25">
      <c r="AL7576" s="6"/>
    </row>
    <row r="7577" spans="38:38" x14ac:dyDescent="0.25">
      <c r="AL7577" s="6"/>
    </row>
    <row r="7578" spans="38:38" x14ac:dyDescent="0.25">
      <c r="AL7578" s="6"/>
    </row>
    <row r="7579" spans="38:38" x14ac:dyDescent="0.25">
      <c r="AL7579" s="6"/>
    </row>
    <row r="7580" spans="38:38" x14ac:dyDescent="0.25">
      <c r="AL7580" s="6"/>
    </row>
    <row r="7581" spans="38:38" x14ac:dyDescent="0.25">
      <c r="AL7581" s="6"/>
    </row>
    <row r="7582" spans="38:38" x14ac:dyDescent="0.25">
      <c r="AL7582" s="6"/>
    </row>
    <row r="7583" spans="38:38" x14ac:dyDescent="0.25">
      <c r="AL7583" s="6"/>
    </row>
    <row r="7584" spans="38:38" x14ac:dyDescent="0.25">
      <c r="AL7584" s="6"/>
    </row>
    <row r="7585" spans="38:38" x14ac:dyDescent="0.25">
      <c r="AL7585" s="6"/>
    </row>
    <row r="7586" spans="38:38" x14ac:dyDescent="0.25">
      <c r="AL7586" s="6"/>
    </row>
    <row r="7587" spans="38:38" x14ac:dyDescent="0.25">
      <c r="AL7587" s="6"/>
    </row>
    <row r="7588" spans="38:38" x14ac:dyDescent="0.25">
      <c r="AL7588" s="6"/>
    </row>
    <row r="7589" spans="38:38" x14ac:dyDescent="0.25">
      <c r="AL7589" s="6"/>
    </row>
    <row r="7590" spans="38:38" x14ac:dyDescent="0.25">
      <c r="AL7590" s="6"/>
    </row>
    <row r="7591" spans="38:38" x14ac:dyDescent="0.25">
      <c r="AL7591" s="6"/>
    </row>
    <row r="7592" spans="38:38" x14ac:dyDescent="0.25">
      <c r="AL7592" s="6"/>
    </row>
    <row r="7593" spans="38:38" x14ac:dyDescent="0.25">
      <c r="AL7593" s="6"/>
    </row>
    <row r="7594" spans="38:38" x14ac:dyDescent="0.25">
      <c r="AL7594" s="6"/>
    </row>
    <row r="7595" spans="38:38" x14ac:dyDescent="0.25">
      <c r="AL7595" s="6"/>
    </row>
    <row r="7596" spans="38:38" x14ac:dyDescent="0.25">
      <c r="AL7596" s="6"/>
    </row>
    <row r="7597" spans="38:38" x14ac:dyDescent="0.25">
      <c r="AL7597" s="6"/>
    </row>
    <row r="7598" spans="38:38" x14ac:dyDescent="0.25">
      <c r="AL7598" s="6"/>
    </row>
    <row r="7599" spans="38:38" x14ac:dyDescent="0.25">
      <c r="AL7599" s="6"/>
    </row>
    <row r="7600" spans="38:38" x14ac:dyDescent="0.25">
      <c r="AL7600" s="6"/>
    </row>
    <row r="7601" spans="38:38" x14ac:dyDescent="0.25">
      <c r="AL7601" s="6"/>
    </row>
    <row r="7602" spans="38:38" x14ac:dyDescent="0.25">
      <c r="AL7602" s="6"/>
    </row>
    <row r="7603" spans="38:38" x14ac:dyDescent="0.25">
      <c r="AL7603" s="6"/>
    </row>
    <row r="7604" spans="38:38" x14ac:dyDescent="0.25">
      <c r="AL7604" s="6"/>
    </row>
    <row r="7605" spans="38:38" x14ac:dyDescent="0.25">
      <c r="AL7605" s="6"/>
    </row>
    <row r="7606" spans="38:38" x14ac:dyDescent="0.25">
      <c r="AL7606" s="6"/>
    </row>
    <row r="7607" spans="38:38" x14ac:dyDescent="0.25">
      <c r="AL7607" s="6"/>
    </row>
    <row r="7608" spans="38:38" x14ac:dyDescent="0.25">
      <c r="AL7608" s="6"/>
    </row>
    <row r="7609" spans="38:38" x14ac:dyDescent="0.25">
      <c r="AL7609" s="6"/>
    </row>
    <row r="7610" spans="38:38" x14ac:dyDescent="0.25">
      <c r="AL7610" s="6"/>
    </row>
    <row r="7611" spans="38:38" x14ac:dyDescent="0.25">
      <c r="AL7611" s="6"/>
    </row>
    <row r="7612" spans="38:38" x14ac:dyDescent="0.25">
      <c r="AL7612" s="6"/>
    </row>
    <row r="7613" spans="38:38" x14ac:dyDescent="0.25">
      <c r="AL7613" s="6"/>
    </row>
    <row r="7614" spans="38:38" x14ac:dyDescent="0.25">
      <c r="AL7614" s="6"/>
    </row>
    <row r="7615" spans="38:38" x14ac:dyDescent="0.25">
      <c r="AL7615" s="6"/>
    </row>
    <row r="7616" spans="38:38" x14ac:dyDescent="0.25">
      <c r="AL7616" s="6"/>
    </row>
    <row r="7617" spans="38:38" x14ac:dyDescent="0.25">
      <c r="AL7617" s="6"/>
    </row>
    <row r="7618" spans="38:38" x14ac:dyDescent="0.25">
      <c r="AL7618" s="6"/>
    </row>
    <row r="7619" spans="38:38" x14ac:dyDescent="0.25">
      <c r="AL7619" s="6"/>
    </row>
    <row r="7620" spans="38:38" x14ac:dyDescent="0.25">
      <c r="AL7620" s="6"/>
    </row>
    <row r="7621" spans="38:38" x14ac:dyDescent="0.25">
      <c r="AL7621" s="6"/>
    </row>
    <row r="7622" spans="38:38" x14ac:dyDescent="0.25">
      <c r="AL7622" s="6"/>
    </row>
    <row r="7623" spans="38:38" x14ac:dyDescent="0.25">
      <c r="AL7623" s="6"/>
    </row>
    <row r="7624" spans="38:38" x14ac:dyDescent="0.25">
      <c r="AL7624" s="6"/>
    </row>
    <row r="7625" spans="38:38" x14ac:dyDescent="0.25">
      <c r="AL7625" s="6"/>
    </row>
    <row r="7626" spans="38:38" x14ac:dyDescent="0.25">
      <c r="AL7626" s="6"/>
    </row>
    <row r="7627" spans="38:38" x14ac:dyDescent="0.25">
      <c r="AL7627" s="6"/>
    </row>
    <row r="7628" spans="38:38" x14ac:dyDescent="0.25">
      <c r="AL7628" s="6"/>
    </row>
    <row r="7629" spans="38:38" x14ac:dyDescent="0.25">
      <c r="AL7629" s="6"/>
    </row>
    <row r="7630" spans="38:38" x14ac:dyDescent="0.25">
      <c r="AL7630" s="6"/>
    </row>
    <row r="7631" spans="38:38" x14ac:dyDescent="0.25">
      <c r="AL7631" s="6"/>
    </row>
    <row r="7632" spans="38:38" x14ac:dyDescent="0.25">
      <c r="AL7632" s="6"/>
    </row>
    <row r="7633" spans="38:38" x14ac:dyDescent="0.25">
      <c r="AL7633" s="6"/>
    </row>
    <row r="7634" spans="38:38" x14ac:dyDescent="0.25">
      <c r="AL7634" s="6"/>
    </row>
    <row r="7635" spans="38:38" x14ac:dyDescent="0.25">
      <c r="AL7635" s="6"/>
    </row>
    <row r="7636" spans="38:38" x14ac:dyDescent="0.25">
      <c r="AL7636" s="6"/>
    </row>
    <row r="7637" spans="38:38" x14ac:dyDescent="0.25">
      <c r="AL7637" s="6"/>
    </row>
    <row r="7638" spans="38:38" x14ac:dyDescent="0.25">
      <c r="AL7638" s="6"/>
    </row>
    <row r="7639" spans="38:38" x14ac:dyDescent="0.25">
      <c r="AL7639" s="6"/>
    </row>
    <row r="7640" spans="38:38" x14ac:dyDescent="0.25">
      <c r="AL7640" s="6"/>
    </row>
    <row r="7641" spans="38:38" x14ac:dyDescent="0.25">
      <c r="AL7641" s="6"/>
    </row>
    <row r="7642" spans="38:38" x14ac:dyDescent="0.25">
      <c r="AL7642" s="6"/>
    </row>
    <row r="7643" spans="38:38" x14ac:dyDescent="0.25">
      <c r="AL7643" s="6"/>
    </row>
    <row r="7644" spans="38:38" x14ac:dyDescent="0.25">
      <c r="AL7644" s="6"/>
    </row>
    <row r="7645" spans="38:38" x14ac:dyDescent="0.25">
      <c r="AL7645" s="6"/>
    </row>
    <row r="7646" spans="38:38" x14ac:dyDescent="0.25">
      <c r="AL7646" s="6"/>
    </row>
    <row r="7647" spans="38:38" x14ac:dyDescent="0.25">
      <c r="AL7647" s="6"/>
    </row>
    <row r="7648" spans="38:38" x14ac:dyDescent="0.25">
      <c r="AL7648" s="6"/>
    </row>
    <row r="7649" spans="38:38" x14ac:dyDescent="0.25">
      <c r="AL7649" s="6"/>
    </row>
    <row r="7650" spans="38:38" x14ac:dyDescent="0.25">
      <c r="AL7650" s="6"/>
    </row>
    <row r="7651" spans="38:38" x14ac:dyDescent="0.25">
      <c r="AL7651" s="6"/>
    </row>
    <row r="7652" spans="38:38" x14ac:dyDescent="0.25">
      <c r="AL7652" s="6"/>
    </row>
    <row r="7653" spans="38:38" x14ac:dyDescent="0.25">
      <c r="AL7653" s="6"/>
    </row>
    <row r="7654" spans="38:38" x14ac:dyDescent="0.25">
      <c r="AL7654" s="6"/>
    </row>
    <row r="7655" spans="38:38" x14ac:dyDescent="0.25">
      <c r="AL7655" s="6"/>
    </row>
    <row r="7656" spans="38:38" x14ac:dyDescent="0.25">
      <c r="AL7656" s="6"/>
    </row>
    <row r="7657" spans="38:38" x14ac:dyDescent="0.25">
      <c r="AL7657" s="6"/>
    </row>
    <row r="7658" spans="38:38" x14ac:dyDescent="0.25">
      <c r="AL7658" s="6"/>
    </row>
    <row r="7659" spans="38:38" x14ac:dyDescent="0.25">
      <c r="AL7659" s="6"/>
    </row>
    <row r="7660" spans="38:38" x14ac:dyDescent="0.25">
      <c r="AL7660" s="6"/>
    </row>
    <row r="7661" spans="38:38" x14ac:dyDescent="0.25">
      <c r="AL7661" s="6"/>
    </row>
    <row r="7662" spans="38:38" x14ac:dyDescent="0.25">
      <c r="AL7662" s="6"/>
    </row>
    <row r="7663" spans="38:38" x14ac:dyDescent="0.25">
      <c r="AL7663" s="6"/>
    </row>
    <row r="7664" spans="38:38" x14ac:dyDescent="0.25">
      <c r="AL7664" s="6"/>
    </row>
    <row r="7665" spans="38:38" x14ac:dyDescent="0.25">
      <c r="AL7665" s="6"/>
    </row>
    <row r="7666" spans="38:38" x14ac:dyDescent="0.25">
      <c r="AL7666" s="6"/>
    </row>
    <row r="7667" spans="38:38" x14ac:dyDescent="0.25">
      <c r="AL7667" s="6"/>
    </row>
    <row r="7668" spans="38:38" x14ac:dyDescent="0.25">
      <c r="AL7668" s="6"/>
    </row>
    <row r="7669" spans="38:38" x14ac:dyDescent="0.25">
      <c r="AL7669" s="6"/>
    </row>
    <row r="7670" spans="38:38" x14ac:dyDescent="0.25">
      <c r="AL7670" s="6"/>
    </row>
    <row r="7671" spans="38:38" x14ac:dyDescent="0.25">
      <c r="AL7671" s="6"/>
    </row>
    <row r="7672" spans="38:38" x14ac:dyDescent="0.25">
      <c r="AL7672" s="6"/>
    </row>
    <row r="7673" spans="38:38" x14ac:dyDescent="0.25">
      <c r="AL7673" s="6"/>
    </row>
    <row r="7674" spans="38:38" x14ac:dyDescent="0.25">
      <c r="AL7674" s="6"/>
    </row>
    <row r="7675" spans="38:38" x14ac:dyDescent="0.25">
      <c r="AL7675" s="6"/>
    </row>
    <row r="7676" spans="38:38" x14ac:dyDescent="0.25">
      <c r="AL7676" s="6"/>
    </row>
    <row r="7677" spans="38:38" x14ac:dyDescent="0.25">
      <c r="AL7677" s="6"/>
    </row>
    <row r="7678" spans="38:38" x14ac:dyDescent="0.25">
      <c r="AL7678" s="6"/>
    </row>
    <row r="7679" spans="38:38" x14ac:dyDescent="0.25">
      <c r="AL7679" s="6"/>
    </row>
    <row r="7680" spans="38:38" x14ac:dyDescent="0.25">
      <c r="AL7680" s="6"/>
    </row>
    <row r="7681" spans="38:38" x14ac:dyDescent="0.25">
      <c r="AL7681" s="6"/>
    </row>
    <row r="7682" spans="38:38" x14ac:dyDescent="0.25">
      <c r="AL7682" s="6"/>
    </row>
    <row r="7683" spans="38:38" x14ac:dyDescent="0.25">
      <c r="AL7683" s="6"/>
    </row>
    <row r="7684" spans="38:38" x14ac:dyDescent="0.25">
      <c r="AL7684" s="6"/>
    </row>
    <row r="7685" spans="38:38" x14ac:dyDescent="0.25">
      <c r="AL7685" s="6"/>
    </row>
    <row r="7686" spans="38:38" x14ac:dyDescent="0.25">
      <c r="AL7686" s="6"/>
    </row>
    <row r="7687" spans="38:38" x14ac:dyDescent="0.25">
      <c r="AL7687" s="6"/>
    </row>
    <row r="7688" spans="38:38" x14ac:dyDescent="0.25">
      <c r="AL7688" s="6"/>
    </row>
    <row r="7689" spans="38:38" x14ac:dyDescent="0.25">
      <c r="AL7689" s="6"/>
    </row>
    <row r="7690" spans="38:38" x14ac:dyDescent="0.25">
      <c r="AL7690" s="6"/>
    </row>
    <row r="7691" spans="38:38" x14ac:dyDescent="0.25">
      <c r="AL7691" s="6"/>
    </row>
    <row r="7692" spans="38:38" x14ac:dyDescent="0.25">
      <c r="AL7692" s="6"/>
    </row>
    <row r="7693" spans="38:38" x14ac:dyDescent="0.25">
      <c r="AL7693" s="6"/>
    </row>
    <row r="7694" spans="38:38" x14ac:dyDescent="0.25">
      <c r="AL7694" s="6"/>
    </row>
    <row r="7695" spans="38:38" x14ac:dyDescent="0.25">
      <c r="AL7695" s="6"/>
    </row>
    <row r="7696" spans="38:38" x14ac:dyDescent="0.25">
      <c r="AL7696" s="6"/>
    </row>
    <row r="7697" spans="38:38" x14ac:dyDescent="0.25">
      <c r="AL7697" s="6"/>
    </row>
    <row r="7698" spans="38:38" x14ac:dyDescent="0.25">
      <c r="AL7698" s="6"/>
    </row>
    <row r="7699" spans="38:38" x14ac:dyDescent="0.25">
      <c r="AL7699" s="6"/>
    </row>
    <row r="7700" spans="38:38" x14ac:dyDescent="0.25">
      <c r="AL7700" s="6"/>
    </row>
    <row r="7701" spans="38:38" x14ac:dyDescent="0.25">
      <c r="AL7701" s="6"/>
    </row>
    <row r="7702" spans="38:38" x14ac:dyDescent="0.25">
      <c r="AL7702" s="6"/>
    </row>
    <row r="7703" spans="38:38" x14ac:dyDescent="0.25">
      <c r="AL7703" s="6"/>
    </row>
    <row r="7704" spans="38:38" x14ac:dyDescent="0.25">
      <c r="AL7704" s="6"/>
    </row>
    <row r="7705" spans="38:38" x14ac:dyDescent="0.25">
      <c r="AL7705" s="6"/>
    </row>
    <row r="7706" spans="38:38" x14ac:dyDescent="0.25">
      <c r="AL7706" s="6"/>
    </row>
    <row r="7707" spans="38:38" x14ac:dyDescent="0.25">
      <c r="AL7707" s="6"/>
    </row>
    <row r="7708" spans="38:38" x14ac:dyDescent="0.25">
      <c r="AL7708" s="6"/>
    </row>
    <row r="7709" spans="38:38" x14ac:dyDescent="0.25">
      <c r="AL7709" s="6"/>
    </row>
    <row r="7710" spans="38:38" x14ac:dyDescent="0.25">
      <c r="AL7710" s="6"/>
    </row>
    <row r="7711" spans="38:38" x14ac:dyDescent="0.25">
      <c r="AL7711" s="6"/>
    </row>
    <row r="7712" spans="38:38" x14ac:dyDescent="0.25">
      <c r="AL7712" s="6"/>
    </row>
    <row r="7713" spans="38:38" x14ac:dyDescent="0.25">
      <c r="AL7713" s="6"/>
    </row>
    <row r="7714" spans="38:38" x14ac:dyDescent="0.25">
      <c r="AL7714" s="6"/>
    </row>
    <row r="7715" spans="38:38" x14ac:dyDescent="0.25">
      <c r="AL7715" s="6"/>
    </row>
    <row r="7716" spans="38:38" x14ac:dyDescent="0.25">
      <c r="AL7716" s="6"/>
    </row>
    <row r="7717" spans="38:38" x14ac:dyDescent="0.25">
      <c r="AL7717" s="6"/>
    </row>
    <row r="7718" spans="38:38" x14ac:dyDescent="0.25">
      <c r="AL7718" s="6"/>
    </row>
    <row r="7719" spans="38:38" x14ac:dyDescent="0.25">
      <c r="AL7719" s="6"/>
    </row>
    <row r="7720" spans="38:38" x14ac:dyDescent="0.25">
      <c r="AL7720" s="6"/>
    </row>
    <row r="7721" spans="38:38" x14ac:dyDescent="0.25">
      <c r="AL7721" s="6"/>
    </row>
    <row r="7722" spans="38:38" x14ac:dyDescent="0.25">
      <c r="AL7722" s="6"/>
    </row>
    <row r="7723" spans="38:38" x14ac:dyDescent="0.25">
      <c r="AL7723" s="6"/>
    </row>
    <row r="7724" spans="38:38" x14ac:dyDescent="0.25">
      <c r="AL7724" s="6"/>
    </row>
    <row r="7725" spans="38:38" x14ac:dyDescent="0.25">
      <c r="AL7725" s="6"/>
    </row>
    <row r="7726" spans="38:38" x14ac:dyDescent="0.25">
      <c r="AL7726" s="6"/>
    </row>
    <row r="7727" spans="38:38" x14ac:dyDescent="0.25">
      <c r="AL7727" s="6"/>
    </row>
    <row r="7728" spans="38:38" x14ac:dyDescent="0.25">
      <c r="AL7728" s="6"/>
    </row>
    <row r="7729" spans="38:38" x14ac:dyDescent="0.25">
      <c r="AL7729" s="6"/>
    </row>
    <row r="7730" spans="38:38" x14ac:dyDescent="0.25">
      <c r="AL7730" s="6"/>
    </row>
    <row r="7731" spans="38:38" x14ac:dyDescent="0.25">
      <c r="AL7731" s="6"/>
    </row>
    <row r="7732" spans="38:38" x14ac:dyDescent="0.25">
      <c r="AL7732" s="6"/>
    </row>
    <row r="7733" spans="38:38" x14ac:dyDescent="0.25">
      <c r="AL7733" s="6"/>
    </row>
    <row r="7734" spans="38:38" x14ac:dyDescent="0.25">
      <c r="AL7734" s="6"/>
    </row>
    <row r="7735" spans="38:38" x14ac:dyDescent="0.25">
      <c r="AL7735" s="6"/>
    </row>
    <row r="7736" spans="38:38" x14ac:dyDescent="0.25">
      <c r="AL7736" s="6"/>
    </row>
    <row r="7737" spans="38:38" x14ac:dyDescent="0.25">
      <c r="AL7737" s="6"/>
    </row>
    <row r="7738" spans="38:38" x14ac:dyDescent="0.25">
      <c r="AL7738" s="6"/>
    </row>
    <row r="7739" spans="38:38" x14ac:dyDescent="0.25">
      <c r="AL7739" s="6"/>
    </row>
    <row r="7740" spans="38:38" x14ac:dyDescent="0.25">
      <c r="AL7740" s="6"/>
    </row>
    <row r="7741" spans="38:38" x14ac:dyDescent="0.25">
      <c r="AL7741" s="6"/>
    </row>
    <row r="7742" spans="38:38" x14ac:dyDescent="0.25">
      <c r="AL7742" s="6"/>
    </row>
    <row r="7743" spans="38:38" x14ac:dyDescent="0.25">
      <c r="AL7743" s="6"/>
    </row>
    <row r="7744" spans="38:38" x14ac:dyDescent="0.25">
      <c r="AL7744" s="6"/>
    </row>
    <row r="7745" spans="38:38" x14ac:dyDescent="0.25">
      <c r="AL7745" s="6"/>
    </row>
    <row r="7746" spans="38:38" x14ac:dyDescent="0.25">
      <c r="AL7746" s="6"/>
    </row>
    <row r="7747" spans="38:38" x14ac:dyDescent="0.25">
      <c r="AL7747" s="6"/>
    </row>
    <row r="7748" spans="38:38" x14ac:dyDescent="0.25">
      <c r="AL7748" s="6"/>
    </row>
    <row r="7749" spans="38:38" x14ac:dyDescent="0.25">
      <c r="AL7749" s="6"/>
    </row>
    <row r="7750" spans="38:38" x14ac:dyDescent="0.25">
      <c r="AL7750" s="6"/>
    </row>
    <row r="7751" spans="38:38" x14ac:dyDescent="0.25">
      <c r="AL7751" s="6"/>
    </row>
    <row r="7752" spans="38:38" x14ac:dyDescent="0.25">
      <c r="AL7752" s="6"/>
    </row>
    <row r="7753" spans="38:38" x14ac:dyDescent="0.25">
      <c r="AL7753" s="6"/>
    </row>
    <row r="7754" spans="38:38" x14ac:dyDescent="0.25">
      <c r="AL7754" s="6"/>
    </row>
    <row r="7755" spans="38:38" x14ac:dyDescent="0.25">
      <c r="AL7755" s="6"/>
    </row>
    <row r="7756" spans="38:38" x14ac:dyDescent="0.25">
      <c r="AL7756" s="6"/>
    </row>
    <row r="7757" spans="38:38" x14ac:dyDescent="0.25">
      <c r="AL7757" s="6"/>
    </row>
    <row r="7758" spans="38:38" x14ac:dyDescent="0.25">
      <c r="AL7758" s="6"/>
    </row>
    <row r="7759" spans="38:38" x14ac:dyDescent="0.25">
      <c r="AL7759" s="6"/>
    </row>
    <row r="7760" spans="38:38" x14ac:dyDescent="0.25">
      <c r="AL7760" s="6"/>
    </row>
    <row r="7761" spans="38:38" x14ac:dyDescent="0.25">
      <c r="AL7761" s="6"/>
    </row>
    <row r="7762" spans="38:38" x14ac:dyDescent="0.25">
      <c r="AL7762" s="6"/>
    </row>
    <row r="7763" spans="38:38" x14ac:dyDescent="0.25">
      <c r="AL7763" s="6"/>
    </row>
    <row r="7764" spans="38:38" x14ac:dyDescent="0.25">
      <c r="AL7764" s="6"/>
    </row>
    <row r="7765" spans="38:38" x14ac:dyDescent="0.25">
      <c r="AL7765" s="6"/>
    </row>
    <row r="7766" spans="38:38" x14ac:dyDescent="0.25">
      <c r="AL7766" s="6"/>
    </row>
    <row r="7767" spans="38:38" x14ac:dyDescent="0.25">
      <c r="AL7767" s="6"/>
    </row>
    <row r="7768" spans="38:38" x14ac:dyDescent="0.25">
      <c r="AL7768" s="6"/>
    </row>
    <row r="7769" spans="38:38" x14ac:dyDescent="0.25">
      <c r="AL7769" s="6"/>
    </row>
    <row r="7770" spans="38:38" x14ac:dyDescent="0.25">
      <c r="AL7770" s="6"/>
    </row>
    <row r="7771" spans="38:38" x14ac:dyDescent="0.25">
      <c r="AL7771" s="6"/>
    </row>
    <row r="7772" spans="38:38" x14ac:dyDescent="0.25">
      <c r="AL7772" s="6"/>
    </row>
    <row r="7773" spans="38:38" x14ac:dyDescent="0.25">
      <c r="AL7773" s="6"/>
    </row>
    <row r="7774" spans="38:38" x14ac:dyDescent="0.25">
      <c r="AL7774" s="6"/>
    </row>
    <row r="7775" spans="38:38" x14ac:dyDescent="0.25">
      <c r="AL7775" s="6"/>
    </row>
    <row r="7776" spans="38:38" x14ac:dyDescent="0.25">
      <c r="AL7776" s="6"/>
    </row>
    <row r="7777" spans="38:38" x14ac:dyDescent="0.25">
      <c r="AL7777" s="6"/>
    </row>
    <row r="7778" spans="38:38" x14ac:dyDescent="0.25">
      <c r="AL7778" s="6"/>
    </row>
    <row r="7779" spans="38:38" x14ac:dyDescent="0.25">
      <c r="AL7779" s="6"/>
    </row>
    <row r="7780" spans="38:38" x14ac:dyDescent="0.25">
      <c r="AL7780" s="6"/>
    </row>
    <row r="7781" spans="38:38" x14ac:dyDescent="0.25">
      <c r="AL7781" s="6"/>
    </row>
    <row r="7782" spans="38:38" x14ac:dyDescent="0.25">
      <c r="AL7782" s="6"/>
    </row>
    <row r="7783" spans="38:38" x14ac:dyDescent="0.25">
      <c r="AL7783" s="6"/>
    </row>
    <row r="7784" spans="38:38" x14ac:dyDescent="0.25">
      <c r="AL7784" s="6"/>
    </row>
    <row r="7785" spans="38:38" x14ac:dyDescent="0.25">
      <c r="AL7785" s="6"/>
    </row>
    <row r="7786" spans="38:38" x14ac:dyDescent="0.25">
      <c r="AL7786" s="6"/>
    </row>
    <row r="7787" spans="38:38" x14ac:dyDescent="0.25">
      <c r="AL7787" s="6"/>
    </row>
    <row r="7788" spans="38:38" x14ac:dyDescent="0.25">
      <c r="AL7788" s="6"/>
    </row>
    <row r="7789" spans="38:38" x14ac:dyDescent="0.25">
      <c r="AL7789" s="6"/>
    </row>
    <row r="7790" spans="38:38" x14ac:dyDescent="0.25">
      <c r="AL7790" s="6"/>
    </row>
    <row r="7791" spans="38:38" x14ac:dyDescent="0.25">
      <c r="AL7791" s="6"/>
    </row>
    <row r="7792" spans="38:38" x14ac:dyDescent="0.25">
      <c r="AL7792" s="6"/>
    </row>
    <row r="7793" spans="38:38" x14ac:dyDescent="0.25">
      <c r="AL7793" s="6"/>
    </row>
    <row r="7794" spans="38:38" x14ac:dyDescent="0.25">
      <c r="AL7794" s="6"/>
    </row>
    <row r="7795" spans="38:38" x14ac:dyDescent="0.25">
      <c r="AL7795" s="6"/>
    </row>
    <row r="7796" spans="38:38" x14ac:dyDescent="0.25">
      <c r="AL7796" s="6"/>
    </row>
    <row r="7797" spans="38:38" x14ac:dyDescent="0.25">
      <c r="AL7797" s="6"/>
    </row>
    <row r="7798" spans="38:38" x14ac:dyDescent="0.25">
      <c r="AL7798" s="6"/>
    </row>
    <row r="7799" spans="38:38" x14ac:dyDescent="0.25">
      <c r="AL7799" s="6"/>
    </row>
    <row r="7800" spans="38:38" x14ac:dyDescent="0.25">
      <c r="AL7800" s="6"/>
    </row>
    <row r="7801" spans="38:38" x14ac:dyDescent="0.25">
      <c r="AL7801" s="6"/>
    </row>
    <row r="7802" spans="38:38" x14ac:dyDescent="0.25">
      <c r="AL7802" s="6"/>
    </row>
    <row r="7803" spans="38:38" x14ac:dyDescent="0.25">
      <c r="AL7803" s="6"/>
    </row>
    <row r="7804" spans="38:38" x14ac:dyDescent="0.25">
      <c r="AL7804" s="6"/>
    </row>
    <row r="7805" spans="38:38" x14ac:dyDescent="0.25">
      <c r="AL7805" s="6"/>
    </row>
    <row r="7806" spans="38:38" x14ac:dyDescent="0.25">
      <c r="AL7806" s="6"/>
    </row>
    <row r="7807" spans="38:38" x14ac:dyDescent="0.25">
      <c r="AL7807" s="6"/>
    </row>
    <row r="7808" spans="38:38" x14ac:dyDescent="0.25">
      <c r="AL7808" s="6"/>
    </row>
    <row r="7809" spans="38:38" x14ac:dyDescent="0.25">
      <c r="AL7809" s="6"/>
    </row>
    <row r="7810" spans="38:38" x14ac:dyDescent="0.25">
      <c r="AL7810" s="6"/>
    </row>
    <row r="7811" spans="38:38" x14ac:dyDescent="0.25">
      <c r="AL7811" s="6"/>
    </row>
    <row r="7812" spans="38:38" x14ac:dyDescent="0.25">
      <c r="AL7812" s="6"/>
    </row>
    <row r="7813" spans="38:38" x14ac:dyDescent="0.25">
      <c r="AL7813" s="6"/>
    </row>
    <row r="7814" spans="38:38" x14ac:dyDescent="0.25">
      <c r="AL7814" s="6"/>
    </row>
    <row r="7815" spans="38:38" x14ac:dyDescent="0.25">
      <c r="AL7815" s="6"/>
    </row>
    <row r="7816" spans="38:38" x14ac:dyDescent="0.25">
      <c r="AL7816" s="6"/>
    </row>
    <row r="7817" spans="38:38" x14ac:dyDescent="0.25">
      <c r="AL7817" s="6"/>
    </row>
    <row r="7818" spans="38:38" x14ac:dyDescent="0.25">
      <c r="AL7818" s="6"/>
    </row>
    <row r="7819" spans="38:38" x14ac:dyDescent="0.25">
      <c r="AL7819" s="6"/>
    </row>
    <row r="7820" spans="38:38" x14ac:dyDescent="0.25">
      <c r="AL7820" s="6"/>
    </row>
    <row r="7821" spans="38:38" x14ac:dyDescent="0.25">
      <c r="AL7821" s="6"/>
    </row>
    <row r="7822" spans="38:38" x14ac:dyDescent="0.25">
      <c r="AL7822" s="6"/>
    </row>
    <row r="7823" spans="38:38" x14ac:dyDescent="0.25">
      <c r="AL7823" s="6"/>
    </row>
    <row r="7824" spans="38:38" x14ac:dyDescent="0.25">
      <c r="AL7824" s="6"/>
    </row>
    <row r="7825" spans="38:38" x14ac:dyDescent="0.25">
      <c r="AL7825" s="6"/>
    </row>
    <row r="7826" spans="38:38" x14ac:dyDescent="0.25">
      <c r="AL7826" s="6"/>
    </row>
    <row r="7827" spans="38:38" x14ac:dyDescent="0.25">
      <c r="AL7827" s="6"/>
    </row>
    <row r="7828" spans="38:38" x14ac:dyDescent="0.25">
      <c r="AL7828" s="6"/>
    </row>
    <row r="7829" spans="38:38" x14ac:dyDescent="0.25">
      <c r="AL7829" s="6"/>
    </row>
    <row r="7830" spans="38:38" x14ac:dyDescent="0.25">
      <c r="AL7830" s="6"/>
    </row>
    <row r="7831" spans="38:38" x14ac:dyDescent="0.25">
      <c r="AL7831" s="6"/>
    </row>
    <row r="7832" spans="38:38" x14ac:dyDescent="0.25">
      <c r="AL7832" s="6"/>
    </row>
    <row r="7833" spans="38:38" x14ac:dyDescent="0.25">
      <c r="AL7833" s="6"/>
    </row>
    <row r="7834" spans="38:38" x14ac:dyDescent="0.25">
      <c r="AL7834" s="6"/>
    </row>
    <row r="7835" spans="38:38" x14ac:dyDescent="0.25">
      <c r="AL7835" s="6"/>
    </row>
    <row r="7836" spans="38:38" x14ac:dyDescent="0.25">
      <c r="AL7836" s="6"/>
    </row>
    <row r="7837" spans="38:38" x14ac:dyDescent="0.25">
      <c r="AL7837" s="6"/>
    </row>
    <row r="7838" spans="38:38" x14ac:dyDescent="0.25">
      <c r="AL7838" s="6"/>
    </row>
    <row r="7839" spans="38:38" x14ac:dyDescent="0.25">
      <c r="AL7839" s="6"/>
    </row>
    <row r="7840" spans="38:38" x14ac:dyDescent="0.25">
      <c r="AL7840" s="6"/>
    </row>
    <row r="7841" spans="38:38" x14ac:dyDescent="0.25">
      <c r="AL7841" s="6"/>
    </row>
    <row r="7842" spans="38:38" x14ac:dyDescent="0.25">
      <c r="AL7842" s="6"/>
    </row>
    <row r="7843" spans="38:38" x14ac:dyDescent="0.25">
      <c r="AL7843" s="6"/>
    </row>
    <row r="7844" spans="38:38" x14ac:dyDescent="0.25">
      <c r="AL7844" s="6"/>
    </row>
    <row r="7845" spans="38:38" x14ac:dyDescent="0.25">
      <c r="AL7845" s="6"/>
    </row>
    <row r="7846" spans="38:38" x14ac:dyDescent="0.25">
      <c r="AL7846" s="6"/>
    </row>
    <row r="7847" spans="38:38" x14ac:dyDescent="0.25">
      <c r="AL7847" s="6"/>
    </row>
    <row r="7848" spans="38:38" x14ac:dyDescent="0.25">
      <c r="AL7848" s="6"/>
    </row>
    <row r="7849" spans="38:38" x14ac:dyDescent="0.25">
      <c r="AL7849" s="6"/>
    </row>
    <row r="7850" spans="38:38" x14ac:dyDescent="0.25">
      <c r="AL7850" s="6"/>
    </row>
    <row r="7851" spans="38:38" x14ac:dyDescent="0.25">
      <c r="AL7851" s="6"/>
    </row>
    <row r="7852" spans="38:38" x14ac:dyDescent="0.25">
      <c r="AL7852" s="6"/>
    </row>
    <row r="7853" spans="38:38" x14ac:dyDescent="0.25">
      <c r="AL7853" s="6"/>
    </row>
    <row r="7854" spans="38:38" x14ac:dyDescent="0.25">
      <c r="AL7854" s="6"/>
    </row>
    <row r="7855" spans="38:38" x14ac:dyDescent="0.25">
      <c r="AL7855" s="6"/>
    </row>
    <row r="7856" spans="38:38" x14ac:dyDescent="0.25">
      <c r="AL7856" s="6"/>
    </row>
    <row r="7857" spans="38:38" x14ac:dyDescent="0.25">
      <c r="AL7857" s="6"/>
    </row>
    <row r="7858" spans="38:38" x14ac:dyDescent="0.25">
      <c r="AL7858" s="6"/>
    </row>
    <row r="7859" spans="38:38" x14ac:dyDescent="0.25">
      <c r="AL7859" s="6"/>
    </row>
    <row r="7860" spans="38:38" x14ac:dyDescent="0.25">
      <c r="AL7860" s="6"/>
    </row>
    <row r="7861" spans="38:38" x14ac:dyDescent="0.25">
      <c r="AL7861" s="6"/>
    </row>
    <row r="7862" spans="38:38" x14ac:dyDescent="0.25">
      <c r="AL7862" s="6"/>
    </row>
    <row r="7863" spans="38:38" x14ac:dyDescent="0.25">
      <c r="AL7863" s="6"/>
    </row>
    <row r="7864" spans="38:38" x14ac:dyDescent="0.25">
      <c r="AL7864" s="6"/>
    </row>
    <row r="7865" spans="38:38" x14ac:dyDescent="0.25">
      <c r="AL7865" s="6"/>
    </row>
    <row r="7866" spans="38:38" x14ac:dyDescent="0.25">
      <c r="AL7866" s="6"/>
    </row>
    <row r="7867" spans="38:38" x14ac:dyDescent="0.25">
      <c r="AL7867" s="6"/>
    </row>
    <row r="7868" spans="38:38" x14ac:dyDescent="0.25">
      <c r="AL7868" s="6"/>
    </row>
    <row r="7869" spans="38:38" x14ac:dyDescent="0.25">
      <c r="AL7869" s="6"/>
    </row>
    <row r="7870" spans="38:38" x14ac:dyDescent="0.25">
      <c r="AL7870" s="6"/>
    </row>
    <row r="7871" spans="38:38" x14ac:dyDescent="0.25">
      <c r="AL7871" s="6"/>
    </row>
    <row r="7872" spans="38:38" x14ac:dyDescent="0.25">
      <c r="AL7872" s="6"/>
    </row>
    <row r="7873" spans="38:38" x14ac:dyDescent="0.25">
      <c r="AL7873" s="6"/>
    </row>
    <row r="7874" spans="38:38" x14ac:dyDescent="0.25">
      <c r="AL7874" s="6"/>
    </row>
    <row r="7875" spans="38:38" x14ac:dyDescent="0.25">
      <c r="AL7875" s="6"/>
    </row>
    <row r="7876" spans="38:38" x14ac:dyDescent="0.25">
      <c r="AL7876" s="6"/>
    </row>
    <row r="7877" spans="38:38" x14ac:dyDescent="0.25">
      <c r="AL7877" s="6"/>
    </row>
    <row r="7878" spans="38:38" x14ac:dyDescent="0.25">
      <c r="AL7878" s="6"/>
    </row>
    <row r="7879" spans="38:38" x14ac:dyDescent="0.25">
      <c r="AL7879" s="6"/>
    </row>
    <row r="7880" spans="38:38" x14ac:dyDescent="0.25">
      <c r="AL7880" s="6"/>
    </row>
    <row r="7881" spans="38:38" x14ac:dyDescent="0.25">
      <c r="AL7881" s="6"/>
    </row>
    <row r="7882" spans="38:38" x14ac:dyDescent="0.25">
      <c r="AL7882" s="6"/>
    </row>
    <row r="7883" spans="38:38" x14ac:dyDescent="0.25">
      <c r="AL7883" s="6"/>
    </row>
    <row r="7884" spans="38:38" x14ac:dyDescent="0.25">
      <c r="AL7884" s="6"/>
    </row>
    <row r="7885" spans="38:38" x14ac:dyDescent="0.25">
      <c r="AL7885" s="6"/>
    </row>
    <row r="7886" spans="38:38" x14ac:dyDescent="0.25">
      <c r="AL7886" s="6"/>
    </row>
    <row r="7887" spans="38:38" x14ac:dyDescent="0.25">
      <c r="AL7887" s="6"/>
    </row>
    <row r="7888" spans="38:38" x14ac:dyDescent="0.25">
      <c r="AL7888" s="6"/>
    </row>
    <row r="7889" spans="38:38" x14ac:dyDescent="0.25">
      <c r="AL7889" s="6"/>
    </row>
    <row r="7890" spans="38:38" x14ac:dyDescent="0.25">
      <c r="AL7890" s="6"/>
    </row>
    <row r="7891" spans="38:38" x14ac:dyDescent="0.25">
      <c r="AL7891" s="6"/>
    </row>
    <row r="7892" spans="38:38" x14ac:dyDescent="0.25">
      <c r="AL7892" s="6"/>
    </row>
    <row r="7893" spans="38:38" x14ac:dyDescent="0.25">
      <c r="AL7893" s="6"/>
    </row>
    <row r="7894" spans="38:38" x14ac:dyDescent="0.25">
      <c r="AL7894" s="6"/>
    </row>
    <row r="7895" spans="38:38" x14ac:dyDescent="0.25">
      <c r="AL7895" s="6"/>
    </row>
    <row r="7896" spans="38:38" x14ac:dyDescent="0.25">
      <c r="AL7896" s="6"/>
    </row>
    <row r="7897" spans="38:38" x14ac:dyDescent="0.25">
      <c r="AL7897" s="6"/>
    </row>
    <row r="7898" spans="38:38" x14ac:dyDescent="0.25">
      <c r="AL7898" s="6"/>
    </row>
    <row r="7899" spans="38:38" x14ac:dyDescent="0.25">
      <c r="AL7899" s="6"/>
    </row>
    <row r="7900" spans="38:38" x14ac:dyDescent="0.25">
      <c r="AL7900" s="6"/>
    </row>
    <row r="7901" spans="38:38" x14ac:dyDescent="0.25">
      <c r="AL7901" s="6"/>
    </row>
    <row r="7902" spans="38:38" x14ac:dyDescent="0.25">
      <c r="AL7902" s="6"/>
    </row>
    <row r="7903" spans="38:38" x14ac:dyDescent="0.25">
      <c r="AL7903" s="6"/>
    </row>
    <row r="7904" spans="38:38" x14ac:dyDescent="0.25">
      <c r="AL7904" s="6"/>
    </row>
    <row r="7905" spans="38:38" x14ac:dyDescent="0.25">
      <c r="AL7905" s="6"/>
    </row>
    <row r="7906" spans="38:38" x14ac:dyDescent="0.25">
      <c r="AL7906" s="6"/>
    </row>
    <row r="7907" spans="38:38" x14ac:dyDescent="0.25">
      <c r="AL7907" s="6"/>
    </row>
    <row r="7908" spans="38:38" x14ac:dyDescent="0.25">
      <c r="AL7908" s="6"/>
    </row>
    <row r="7909" spans="38:38" x14ac:dyDescent="0.25">
      <c r="AL7909" s="6"/>
    </row>
    <row r="7910" spans="38:38" x14ac:dyDescent="0.25">
      <c r="AL7910" s="6"/>
    </row>
    <row r="7911" spans="38:38" x14ac:dyDescent="0.25">
      <c r="AL7911" s="6"/>
    </row>
    <row r="7912" spans="38:38" x14ac:dyDescent="0.25">
      <c r="AL7912" s="6"/>
    </row>
    <row r="7913" spans="38:38" x14ac:dyDescent="0.25">
      <c r="AL7913" s="6"/>
    </row>
    <row r="7914" spans="38:38" x14ac:dyDescent="0.25">
      <c r="AL7914" s="6"/>
    </row>
    <row r="7915" spans="38:38" x14ac:dyDescent="0.25">
      <c r="AL7915" s="6"/>
    </row>
    <row r="7916" spans="38:38" x14ac:dyDescent="0.25">
      <c r="AL7916" s="6"/>
    </row>
    <row r="7917" spans="38:38" x14ac:dyDescent="0.25">
      <c r="AL7917" s="6"/>
    </row>
    <row r="7918" spans="38:38" x14ac:dyDescent="0.25">
      <c r="AL7918" s="6"/>
    </row>
    <row r="7919" spans="38:38" x14ac:dyDescent="0.25">
      <c r="AL7919" s="6"/>
    </row>
    <row r="7920" spans="38:38" x14ac:dyDescent="0.25">
      <c r="AL7920" s="6"/>
    </row>
    <row r="7921" spans="38:38" x14ac:dyDescent="0.25">
      <c r="AL7921" s="6"/>
    </row>
    <row r="7922" spans="38:38" x14ac:dyDescent="0.25">
      <c r="AL7922" s="6"/>
    </row>
    <row r="7923" spans="38:38" x14ac:dyDescent="0.25">
      <c r="AL7923" s="6"/>
    </row>
    <row r="7924" spans="38:38" x14ac:dyDescent="0.25">
      <c r="AL7924" s="6"/>
    </row>
    <row r="7925" spans="38:38" x14ac:dyDescent="0.25">
      <c r="AL7925" s="6"/>
    </row>
    <row r="7926" spans="38:38" x14ac:dyDescent="0.25">
      <c r="AL7926" s="6"/>
    </row>
    <row r="7927" spans="38:38" x14ac:dyDescent="0.25">
      <c r="AL7927" s="6"/>
    </row>
    <row r="7928" spans="38:38" x14ac:dyDescent="0.25">
      <c r="AL7928" s="6"/>
    </row>
    <row r="7929" spans="38:38" x14ac:dyDescent="0.25">
      <c r="AL7929" s="6"/>
    </row>
    <row r="7930" spans="38:38" x14ac:dyDescent="0.25">
      <c r="AL7930" s="6"/>
    </row>
    <row r="7931" spans="38:38" x14ac:dyDescent="0.25">
      <c r="AL7931" s="6"/>
    </row>
    <row r="7932" spans="38:38" x14ac:dyDescent="0.25">
      <c r="AL7932" s="6"/>
    </row>
    <row r="7933" spans="38:38" x14ac:dyDescent="0.25">
      <c r="AL7933" s="6"/>
    </row>
    <row r="7934" spans="38:38" x14ac:dyDescent="0.25">
      <c r="AL7934" s="6"/>
    </row>
    <row r="7935" spans="38:38" x14ac:dyDescent="0.25">
      <c r="AL7935" s="6"/>
    </row>
    <row r="7936" spans="38:38" x14ac:dyDescent="0.25">
      <c r="AL7936" s="6"/>
    </row>
    <row r="7937" spans="38:38" x14ac:dyDescent="0.25">
      <c r="AL7937" s="6"/>
    </row>
    <row r="7938" spans="38:38" x14ac:dyDescent="0.25">
      <c r="AL7938" s="6"/>
    </row>
    <row r="7939" spans="38:38" x14ac:dyDescent="0.25">
      <c r="AL7939" s="6"/>
    </row>
    <row r="7940" spans="38:38" x14ac:dyDescent="0.25">
      <c r="AL7940" s="6"/>
    </row>
    <row r="7941" spans="38:38" x14ac:dyDescent="0.25">
      <c r="AL7941" s="6"/>
    </row>
    <row r="7942" spans="38:38" x14ac:dyDescent="0.25">
      <c r="AL7942" s="6"/>
    </row>
    <row r="7943" spans="38:38" x14ac:dyDescent="0.25">
      <c r="AL7943" s="6"/>
    </row>
    <row r="7944" spans="38:38" x14ac:dyDescent="0.25">
      <c r="AL7944" s="6"/>
    </row>
    <row r="7945" spans="38:38" x14ac:dyDescent="0.25">
      <c r="AL7945" s="6"/>
    </row>
    <row r="7946" spans="38:38" x14ac:dyDescent="0.25">
      <c r="AL7946" s="6"/>
    </row>
    <row r="7947" spans="38:38" x14ac:dyDescent="0.25">
      <c r="AL7947" s="6"/>
    </row>
    <row r="7948" spans="38:38" x14ac:dyDescent="0.25">
      <c r="AL7948" s="6"/>
    </row>
    <row r="7949" spans="38:38" x14ac:dyDescent="0.25">
      <c r="AL7949" s="6"/>
    </row>
    <row r="7950" spans="38:38" x14ac:dyDescent="0.25">
      <c r="AL7950" s="6"/>
    </row>
    <row r="7951" spans="38:38" x14ac:dyDescent="0.25">
      <c r="AL7951" s="6"/>
    </row>
    <row r="7952" spans="38:38" x14ac:dyDescent="0.25">
      <c r="AL7952" s="6"/>
    </row>
    <row r="7953" spans="38:38" x14ac:dyDescent="0.25">
      <c r="AL7953" s="6"/>
    </row>
    <row r="7954" spans="38:38" x14ac:dyDescent="0.25">
      <c r="AL7954" s="6"/>
    </row>
    <row r="7955" spans="38:38" x14ac:dyDescent="0.25">
      <c r="AL7955" s="6"/>
    </row>
    <row r="7956" spans="38:38" x14ac:dyDescent="0.25">
      <c r="AL7956" s="6"/>
    </row>
    <row r="7957" spans="38:38" x14ac:dyDescent="0.25">
      <c r="AL7957" s="6"/>
    </row>
    <row r="7958" spans="38:38" x14ac:dyDescent="0.25">
      <c r="AL7958" s="6"/>
    </row>
    <row r="7959" spans="38:38" x14ac:dyDescent="0.25">
      <c r="AL7959" s="6"/>
    </row>
    <row r="7960" spans="38:38" x14ac:dyDescent="0.25">
      <c r="AL7960" s="6"/>
    </row>
    <row r="7961" spans="38:38" x14ac:dyDescent="0.25">
      <c r="AL7961" s="6"/>
    </row>
    <row r="7962" spans="38:38" x14ac:dyDescent="0.25">
      <c r="AL7962" s="6"/>
    </row>
    <row r="7963" spans="38:38" x14ac:dyDescent="0.25">
      <c r="AL7963" s="6"/>
    </row>
    <row r="7964" spans="38:38" x14ac:dyDescent="0.25">
      <c r="AL7964" s="6"/>
    </row>
    <row r="7965" spans="38:38" x14ac:dyDescent="0.25">
      <c r="AL7965" s="6"/>
    </row>
    <row r="7966" spans="38:38" x14ac:dyDescent="0.25">
      <c r="AL7966" s="6"/>
    </row>
    <row r="7967" spans="38:38" x14ac:dyDescent="0.25">
      <c r="AL7967" s="6"/>
    </row>
    <row r="7968" spans="38:38" x14ac:dyDescent="0.25">
      <c r="AL7968" s="6"/>
    </row>
    <row r="7969" spans="38:38" x14ac:dyDescent="0.25">
      <c r="AL7969" s="6"/>
    </row>
    <row r="7970" spans="38:38" x14ac:dyDescent="0.25">
      <c r="AL7970" s="6"/>
    </row>
    <row r="7971" spans="38:38" x14ac:dyDescent="0.25">
      <c r="AL7971" s="6"/>
    </row>
    <row r="7972" spans="38:38" x14ac:dyDescent="0.25">
      <c r="AL7972" s="6"/>
    </row>
    <row r="7973" spans="38:38" x14ac:dyDescent="0.25">
      <c r="AL7973" s="6"/>
    </row>
    <row r="7974" spans="38:38" x14ac:dyDescent="0.25">
      <c r="AL7974" s="6"/>
    </row>
    <row r="7975" spans="38:38" x14ac:dyDescent="0.25">
      <c r="AL7975" s="6"/>
    </row>
    <row r="7976" spans="38:38" x14ac:dyDescent="0.25">
      <c r="AL7976" s="6"/>
    </row>
    <row r="7977" spans="38:38" x14ac:dyDescent="0.25">
      <c r="AL7977" s="6"/>
    </row>
    <row r="7978" spans="38:38" x14ac:dyDescent="0.25">
      <c r="AL7978" s="6"/>
    </row>
    <row r="7979" spans="38:38" x14ac:dyDescent="0.25">
      <c r="AL7979" s="6"/>
    </row>
    <row r="7980" spans="38:38" x14ac:dyDescent="0.25">
      <c r="AL7980" s="6"/>
    </row>
    <row r="7981" spans="38:38" x14ac:dyDescent="0.25">
      <c r="AL7981" s="6"/>
    </row>
    <row r="7982" spans="38:38" x14ac:dyDescent="0.25">
      <c r="AL7982" s="6"/>
    </row>
    <row r="7983" spans="38:38" x14ac:dyDescent="0.25">
      <c r="AL7983" s="6"/>
    </row>
    <row r="7984" spans="38:38" x14ac:dyDescent="0.25">
      <c r="AL7984" s="6"/>
    </row>
    <row r="7985" spans="38:38" x14ac:dyDescent="0.25">
      <c r="AL7985" s="6"/>
    </row>
    <row r="7986" spans="38:38" x14ac:dyDescent="0.25">
      <c r="AL7986" s="6"/>
    </row>
    <row r="7987" spans="38:38" x14ac:dyDescent="0.25">
      <c r="AL7987" s="6"/>
    </row>
    <row r="7988" spans="38:38" x14ac:dyDescent="0.25">
      <c r="AL7988" s="6"/>
    </row>
    <row r="7989" spans="38:38" x14ac:dyDescent="0.25">
      <c r="AL7989" s="6"/>
    </row>
    <row r="7990" spans="38:38" x14ac:dyDescent="0.25">
      <c r="AL7990" s="6"/>
    </row>
    <row r="7991" spans="38:38" x14ac:dyDescent="0.25">
      <c r="AL7991" s="6"/>
    </row>
    <row r="7992" spans="38:38" x14ac:dyDescent="0.25">
      <c r="AL7992" s="6"/>
    </row>
    <row r="7993" spans="38:38" x14ac:dyDescent="0.25">
      <c r="AL7993" s="6"/>
    </row>
    <row r="7994" spans="38:38" x14ac:dyDescent="0.25">
      <c r="AL7994" s="6"/>
    </row>
    <row r="7995" spans="38:38" x14ac:dyDescent="0.25">
      <c r="AL7995" s="6"/>
    </row>
    <row r="7996" spans="38:38" x14ac:dyDescent="0.25">
      <c r="AL7996" s="6"/>
    </row>
    <row r="7997" spans="38:38" x14ac:dyDescent="0.25">
      <c r="AL7997" s="6"/>
    </row>
    <row r="7998" spans="38:38" x14ac:dyDescent="0.25">
      <c r="AL7998" s="6"/>
    </row>
    <row r="7999" spans="38:38" x14ac:dyDescent="0.25">
      <c r="AL7999" s="6"/>
    </row>
    <row r="8000" spans="38:38" x14ac:dyDescent="0.25">
      <c r="AL8000" s="6"/>
    </row>
    <row r="8001" spans="38:38" x14ac:dyDescent="0.25">
      <c r="AL8001" s="6"/>
    </row>
    <row r="8002" spans="38:38" x14ac:dyDescent="0.25">
      <c r="AL8002" s="6"/>
    </row>
    <row r="8003" spans="38:38" x14ac:dyDescent="0.25">
      <c r="AL8003" s="6"/>
    </row>
    <row r="8004" spans="38:38" x14ac:dyDescent="0.25">
      <c r="AL8004" s="6"/>
    </row>
    <row r="8005" spans="38:38" x14ac:dyDescent="0.25">
      <c r="AL8005" s="6"/>
    </row>
    <row r="8006" spans="38:38" x14ac:dyDescent="0.25">
      <c r="AL8006" s="6"/>
    </row>
    <row r="8007" spans="38:38" x14ac:dyDescent="0.25">
      <c r="AL8007" s="6"/>
    </row>
    <row r="8008" spans="38:38" x14ac:dyDescent="0.25">
      <c r="AL8008" s="6"/>
    </row>
    <row r="8009" spans="38:38" x14ac:dyDescent="0.25">
      <c r="AL8009" s="6"/>
    </row>
    <row r="8010" spans="38:38" x14ac:dyDescent="0.25">
      <c r="AL8010" s="6"/>
    </row>
    <row r="8011" spans="38:38" x14ac:dyDescent="0.25">
      <c r="AL8011" s="6"/>
    </row>
    <row r="8012" spans="38:38" x14ac:dyDescent="0.25">
      <c r="AL8012" s="6"/>
    </row>
    <row r="8013" spans="38:38" x14ac:dyDescent="0.25">
      <c r="AL8013" s="6"/>
    </row>
    <row r="8014" spans="38:38" x14ac:dyDescent="0.25">
      <c r="AL8014" s="6"/>
    </row>
    <row r="8015" spans="38:38" x14ac:dyDescent="0.25">
      <c r="AL8015" s="6"/>
    </row>
    <row r="8016" spans="38:38" x14ac:dyDescent="0.25">
      <c r="AL8016" s="6"/>
    </row>
    <row r="8017" spans="38:38" x14ac:dyDescent="0.25">
      <c r="AL8017" s="6"/>
    </row>
    <row r="8018" spans="38:38" x14ac:dyDescent="0.25">
      <c r="AL8018" s="6"/>
    </row>
    <row r="8019" spans="38:38" x14ac:dyDescent="0.25">
      <c r="AL8019" s="6"/>
    </row>
    <row r="8020" spans="38:38" x14ac:dyDescent="0.25">
      <c r="AL8020" s="6"/>
    </row>
    <row r="8021" spans="38:38" x14ac:dyDescent="0.25">
      <c r="AL8021" s="6"/>
    </row>
    <row r="8022" spans="38:38" x14ac:dyDescent="0.25">
      <c r="AL8022" s="6"/>
    </row>
    <row r="8023" spans="38:38" x14ac:dyDescent="0.25">
      <c r="AL8023" s="6"/>
    </row>
    <row r="8024" spans="38:38" x14ac:dyDescent="0.25">
      <c r="AL8024" s="6"/>
    </row>
    <row r="8025" spans="38:38" x14ac:dyDescent="0.25">
      <c r="AL8025" s="6"/>
    </row>
    <row r="8026" spans="38:38" x14ac:dyDescent="0.25">
      <c r="AL8026" s="6"/>
    </row>
    <row r="8027" spans="38:38" x14ac:dyDescent="0.25">
      <c r="AL8027" s="6"/>
    </row>
    <row r="8028" spans="38:38" x14ac:dyDescent="0.25">
      <c r="AL8028" s="6"/>
    </row>
    <row r="8029" spans="38:38" x14ac:dyDescent="0.25">
      <c r="AL8029" s="6"/>
    </row>
    <row r="8030" spans="38:38" x14ac:dyDescent="0.25">
      <c r="AL8030" s="6"/>
    </row>
    <row r="8031" spans="38:38" x14ac:dyDescent="0.25">
      <c r="AL8031" s="6"/>
    </row>
    <row r="8032" spans="38:38" x14ac:dyDescent="0.25">
      <c r="AL8032" s="6"/>
    </row>
    <row r="8033" spans="38:38" x14ac:dyDescent="0.25">
      <c r="AL8033" s="6"/>
    </row>
    <row r="8034" spans="38:38" x14ac:dyDescent="0.25">
      <c r="AL8034" s="6"/>
    </row>
    <row r="8035" spans="38:38" x14ac:dyDescent="0.25">
      <c r="AL8035" s="6"/>
    </row>
    <row r="8036" spans="38:38" x14ac:dyDescent="0.25">
      <c r="AL8036" s="6"/>
    </row>
    <row r="8037" spans="38:38" x14ac:dyDescent="0.25">
      <c r="AL8037" s="6"/>
    </row>
    <row r="8038" spans="38:38" x14ac:dyDescent="0.25">
      <c r="AL8038" s="6"/>
    </row>
    <row r="8039" spans="38:38" x14ac:dyDescent="0.25">
      <c r="AL8039" s="6"/>
    </row>
    <row r="8040" spans="38:38" x14ac:dyDescent="0.25">
      <c r="AL8040" s="6"/>
    </row>
    <row r="8041" spans="38:38" x14ac:dyDescent="0.25">
      <c r="AL8041" s="6"/>
    </row>
    <row r="8042" spans="38:38" x14ac:dyDescent="0.25">
      <c r="AL8042" s="6"/>
    </row>
    <row r="8043" spans="38:38" x14ac:dyDescent="0.25">
      <c r="AL8043" s="6"/>
    </row>
    <row r="8044" spans="38:38" x14ac:dyDescent="0.25">
      <c r="AL8044" s="6"/>
    </row>
    <row r="8045" spans="38:38" x14ac:dyDescent="0.25">
      <c r="AL8045" s="6"/>
    </row>
    <row r="8046" spans="38:38" x14ac:dyDescent="0.25">
      <c r="AL8046" s="6"/>
    </row>
    <row r="8047" spans="38:38" x14ac:dyDescent="0.25">
      <c r="AL8047" s="6"/>
    </row>
    <row r="8048" spans="38:38" x14ac:dyDescent="0.25">
      <c r="AL8048" s="6"/>
    </row>
    <row r="8049" spans="38:38" x14ac:dyDescent="0.25">
      <c r="AL8049" s="6"/>
    </row>
    <row r="8050" spans="38:38" x14ac:dyDescent="0.25">
      <c r="AL8050" s="6"/>
    </row>
    <row r="8051" spans="38:38" x14ac:dyDescent="0.25">
      <c r="AL8051" s="6"/>
    </row>
    <row r="8052" spans="38:38" x14ac:dyDescent="0.25">
      <c r="AL8052" s="6"/>
    </row>
    <row r="8053" spans="38:38" x14ac:dyDescent="0.25">
      <c r="AL8053" s="6"/>
    </row>
    <row r="8054" spans="38:38" x14ac:dyDescent="0.25">
      <c r="AL8054" s="6"/>
    </row>
    <row r="8055" spans="38:38" x14ac:dyDescent="0.25">
      <c r="AL8055" s="6"/>
    </row>
    <row r="8056" spans="38:38" x14ac:dyDescent="0.25">
      <c r="AL8056" s="6"/>
    </row>
    <row r="8057" spans="38:38" x14ac:dyDescent="0.25">
      <c r="AL8057" s="6"/>
    </row>
    <row r="8058" spans="38:38" x14ac:dyDescent="0.25">
      <c r="AL8058" s="6"/>
    </row>
    <row r="8059" spans="38:38" x14ac:dyDescent="0.25">
      <c r="AL8059" s="6"/>
    </row>
    <row r="8060" spans="38:38" x14ac:dyDescent="0.25">
      <c r="AL8060" s="6"/>
    </row>
    <row r="8061" spans="38:38" x14ac:dyDescent="0.25">
      <c r="AL8061" s="6"/>
    </row>
    <row r="8062" spans="38:38" x14ac:dyDescent="0.25">
      <c r="AL8062" s="6"/>
    </row>
    <row r="8063" spans="38:38" x14ac:dyDescent="0.25">
      <c r="AL8063" s="6"/>
    </row>
    <row r="8064" spans="38:38" x14ac:dyDescent="0.25">
      <c r="AL8064" s="6"/>
    </row>
    <row r="8065" spans="38:38" x14ac:dyDescent="0.25">
      <c r="AL8065" s="6"/>
    </row>
    <row r="8066" spans="38:38" x14ac:dyDescent="0.25">
      <c r="AL8066" s="6"/>
    </row>
    <row r="8067" spans="38:38" x14ac:dyDescent="0.25">
      <c r="AL8067" s="6"/>
    </row>
    <row r="8068" spans="38:38" x14ac:dyDescent="0.25">
      <c r="AL8068" s="6"/>
    </row>
    <row r="8069" spans="38:38" x14ac:dyDescent="0.25">
      <c r="AL8069" s="6"/>
    </row>
    <row r="8070" spans="38:38" x14ac:dyDescent="0.25">
      <c r="AL8070" s="6"/>
    </row>
    <row r="8071" spans="38:38" x14ac:dyDescent="0.25">
      <c r="AL8071" s="6"/>
    </row>
    <row r="8072" spans="38:38" x14ac:dyDescent="0.25">
      <c r="AL8072" s="6"/>
    </row>
    <row r="8073" spans="38:38" x14ac:dyDescent="0.25">
      <c r="AL8073" s="6"/>
    </row>
    <row r="8074" spans="38:38" x14ac:dyDescent="0.25">
      <c r="AL8074" s="6"/>
    </row>
    <row r="8075" spans="38:38" x14ac:dyDescent="0.25">
      <c r="AL8075" s="6"/>
    </row>
    <row r="8076" spans="38:38" x14ac:dyDescent="0.25">
      <c r="AL8076" s="6"/>
    </row>
    <row r="8077" spans="38:38" x14ac:dyDescent="0.25">
      <c r="AL8077" s="6"/>
    </row>
    <row r="8078" spans="38:38" x14ac:dyDescent="0.25">
      <c r="AL8078" s="6"/>
    </row>
    <row r="8079" spans="38:38" x14ac:dyDescent="0.25">
      <c r="AL8079" s="6"/>
    </row>
    <row r="8080" spans="38:38" x14ac:dyDescent="0.25">
      <c r="AL8080" s="6"/>
    </row>
    <row r="8081" spans="38:38" x14ac:dyDescent="0.25">
      <c r="AL8081" s="6"/>
    </row>
    <row r="8082" spans="38:38" x14ac:dyDescent="0.25">
      <c r="AL8082" s="6"/>
    </row>
    <row r="8083" spans="38:38" x14ac:dyDescent="0.25">
      <c r="AL8083" s="6"/>
    </row>
    <row r="8084" spans="38:38" x14ac:dyDescent="0.25">
      <c r="AL8084" s="6"/>
    </row>
    <row r="8085" spans="38:38" x14ac:dyDescent="0.25">
      <c r="AL8085" s="6"/>
    </row>
    <row r="8086" spans="38:38" x14ac:dyDescent="0.25">
      <c r="AL8086" s="6"/>
    </row>
    <row r="8087" spans="38:38" x14ac:dyDescent="0.25">
      <c r="AL8087" s="6"/>
    </row>
    <row r="8088" spans="38:38" x14ac:dyDescent="0.25">
      <c r="AL8088" s="6"/>
    </row>
    <row r="8089" spans="38:38" x14ac:dyDescent="0.25">
      <c r="AL8089" s="6"/>
    </row>
    <row r="8090" spans="38:38" x14ac:dyDescent="0.25">
      <c r="AL8090" s="6"/>
    </row>
    <row r="8091" spans="38:38" x14ac:dyDescent="0.25">
      <c r="AL8091" s="6"/>
    </row>
    <row r="8092" spans="38:38" x14ac:dyDescent="0.25">
      <c r="AL8092" s="6"/>
    </row>
    <row r="8093" spans="38:38" x14ac:dyDescent="0.25">
      <c r="AL8093" s="6"/>
    </row>
    <row r="8094" spans="38:38" x14ac:dyDescent="0.25">
      <c r="AL8094" s="6"/>
    </row>
    <row r="8095" spans="38:38" x14ac:dyDescent="0.25">
      <c r="AL8095" s="6"/>
    </row>
    <row r="8096" spans="38:38" x14ac:dyDescent="0.25">
      <c r="AL8096" s="6"/>
    </row>
    <row r="8097" spans="38:38" x14ac:dyDescent="0.25">
      <c r="AL8097" s="6"/>
    </row>
    <row r="8098" spans="38:38" x14ac:dyDescent="0.25">
      <c r="AL8098" s="6"/>
    </row>
    <row r="8099" spans="38:38" x14ac:dyDescent="0.25">
      <c r="AL8099" s="6"/>
    </row>
    <row r="8100" spans="38:38" x14ac:dyDescent="0.25">
      <c r="AL8100" s="6"/>
    </row>
    <row r="8101" spans="38:38" x14ac:dyDescent="0.25">
      <c r="AL8101" s="6"/>
    </row>
    <row r="8102" spans="38:38" x14ac:dyDescent="0.25">
      <c r="AL8102" s="6"/>
    </row>
    <row r="8103" spans="38:38" x14ac:dyDescent="0.25">
      <c r="AL8103" s="6"/>
    </row>
    <row r="8104" spans="38:38" x14ac:dyDescent="0.25">
      <c r="AL8104" s="6"/>
    </row>
    <row r="8105" spans="38:38" x14ac:dyDescent="0.25">
      <c r="AL8105" s="6"/>
    </row>
    <row r="8106" spans="38:38" x14ac:dyDescent="0.25">
      <c r="AL8106" s="6"/>
    </row>
    <row r="8107" spans="38:38" x14ac:dyDescent="0.25">
      <c r="AL8107" s="6"/>
    </row>
    <row r="8108" spans="38:38" x14ac:dyDescent="0.25">
      <c r="AL8108" s="6"/>
    </row>
    <row r="8109" spans="38:38" x14ac:dyDescent="0.25">
      <c r="AL8109" s="6"/>
    </row>
    <row r="8110" spans="38:38" x14ac:dyDescent="0.25">
      <c r="AL8110" s="6"/>
    </row>
    <row r="8111" spans="38:38" x14ac:dyDescent="0.25">
      <c r="AL8111" s="6"/>
    </row>
    <row r="8112" spans="38:38" x14ac:dyDescent="0.25">
      <c r="AL8112" s="6"/>
    </row>
    <row r="8113" spans="38:38" x14ac:dyDescent="0.25">
      <c r="AL8113" s="6"/>
    </row>
    <row r="8114" spans="38:38" x14ac:dyDescent="0.25">
      <c r="AL8114" s="6"/>
    </row>
    <row r="8115" spans="38:38" x14ac:dyDescent="0.25">
      <c r="AL8115" s="6"/>
    </row>
    <row r="8116" spans="38:38" x14ac:dyDescent="0.25">
      <c r="AL8116" s="6"/>
    </row>
    <row r="8117" spans="38:38" x14ac:dyDescent="0.25">
      <c r="AL8117" s="6"/>
    </row>
    <row r="8118" spans="38:38" x14ac:dyDescent="0.25">
      <c r="AL8118" s="6"/>
    </row>
    <row r="8119" spans="38:38" x14ac:dyDescent="0.25">
      <c r="AL8119" s="6"/>
    </row>
    <row r="8120" spans="38:38" x14ac:dyDescent="0.25">
      <c r="AL8120" s="6"/>
    </row>
    <row r="8121" spans="38:38" x14ac:dyDescent="0.25">
      <c r="AL8121" s="6"/>
    </row>
    <row r="8122" spans="38:38" x14ac:dyDescent="0.25">
      <c r="AL8122" s="6"/>
    </row>
    <row r="8123" spans="38:38" x14ac:dyDescent="0.25">
      <c r="AL8123" s="6"/>
    </row>
    <row r="8124" spans="38:38" x14ac:dyDescent="0.25">
      <c r="AL8124" s="6"/>
    </row>
    <row r="8125" spans="38:38" x14ac:dyDescent="0.25">
      <c r="AL8125" s="6"/>
    </row>
    <row r="8126" spans="38:38" x14ac:dyDescent="0.25">
      <c r="AL8126" s="6"/>
    </row>
    <row r="8127" spans="38:38" x14ac:dyDescent="0.25">
      <c r="AL8127" s="6"/>
    </row>
    <row r="8128" spans="38:38" x14ac:dyDescent="0.25">
      <c r="AL8128" s="6"/>
    </row>
    <row r="8129" spans="38:38" x14ac:dyDescent="0.25">
      <c r="AL8129" s="6"/>
    </row>
    <row r="8130" spans="38:38" x14ac:dyDescent="0.25">
      <c r="AL8130" s="6"/>
    </row>
    <row r="8131" spans="38:38" x14ac:dyDescent="0.25">
      <c r="AL8131" s="6"/>
    </row>
    <row r="8132" spans="38:38" x14ac:dyDescent="0.25">
      <c r="AL8132" s="6"/>
    </row>
    <row r="8133" spans="38:38" x14ac:dyDescent="0.25">
      <c r="AL8133" s="6"/>
    </row>
    <row r="8134" spans="38:38" x14ac:dyDescent="0.25">
      <c r="AL8134" s="6"/>
    </row>
    <row r="8135" spans="38:38" x14ac:dyDescent="0.25">
      <c r="AL8135" s="6"/>
    </row>
    <row r="8136" spans="38:38" x14ac:dyDescent="0.25">
      <c r="AL8136" s="6"/>
    </row>
    <row r="8137" spans="38:38" x14ac:dyDescent="0.25">
      <c r="AL8137" s="6"/>
    </row>
    <row r="8138" spans="38:38" x14ac:dyDescent="0.25">
      <c r="AL8138" s="6"/>
    </row>
    <row r="8139" spans="38:38" x14ac:dyDescent="0.25">
      <c r="AL8139" s="6"/>
    </row>
    <row r="8140" spans="38:38" x14ac:dyDescent="0.25">
      <c r="AL8140" s="6"/>
    </row>
    <row r="8141" spans="38:38" x14ac:dyDescent="0.25">
      <c r="AL8141" s="6"/>
    </row>
    <row r="8142" spans="38:38" x14ac:dyDescent="0.25">
      <c r="AL8142" s="6"/>
    </row>
    <row r="8143" spans="38:38" x14ac:dyDescent="0.25">
      <c r="AL8143" s="6"/>
    </row>
    <row r="8144" spans="38:38" x14ac:dyDescent="0.25">
      <c r="AL8144" s="6"/>
    </row>
    <row r="8145" spans="38:38" x14ac:dyDescent="0.25">
      <c r="AL8145" s="6"/>
    </row>
    <row r="8146" spans="38:38" x14ac:dyDescent="0.25">
      <c r="AL8146" s="6"/>
    </row>
    <row r="8147" spans="38:38" x14ac:dyDescent="0.25">
      <c r="AL8147" s="6"/>
    </row>
    <row r="8148" spans="38:38" x14ac:dyDescent="0.25">
      <c r="AL8148" s="6"/>
    </row>
    <row r="8149" spans="38:38" x14ac:dyDescent="0.25">
      <c r="AL8149" s="6"/>
    </row>
    <row r="8150" spans="38:38" x14ac:dyDescent="0.25">
      <c r="AL8150" s="6"/>
    </row>
    <row r="8151" spans="38:38" x14ac:dyDescent="0.25">
      <c r="AL8151" s="6"/>
    </row>
    <row r="8152" spans="38:38" x14ac:dyDescent="0.25">
      <c r="AL8152" s="6"/>
    </row>
    <row r="8153" spans="38:38" x14ac:dyDescent="0.25">
      <c r="AL8153" s="6"/>
    </row>
    <row r="8154" spans="38:38" x14ac:dyDescent="0.25">
      <c r="AL8154" s="6"/>
    </row>
    <row r="8155" spans="38:38" x14ac:dyDescent="0.25">
      <c r="AL8155" s="6"/>
    </row>
    <row r="8156" spans="38:38" x14ac:dyDescent="0.25">
      <c r="AL8156" s="6"/>
    </row>
    <row r="8157" spans="38:38" x14ac:dyDescent="0.25">
      <c r="AL8157" s="6"/>
    </row>
    <row r="8158" spans="38:38" x14ac:dyDescent="0.25">
      <c r="AL8158" s="6"/>
    </row>
    <row r="8159" spans="38:38" x14ac:dyDescent="0.25">
      <c r="AL8159" s="6"/>
    </row>
    <row r="8160" spans="38:38" x14ac:dyDescent="0.25">
      <c r="AL8160" s="6"/>
    </row>
    <row r="8161" spans="38:38" x14ac:dyDescent="0.25">
      <c r="AL8161" s="6"/>
    </row>
    <row r="8162" spans="38:38" x14ac:dyDescent="0.25">
      <c r="AL8162" s="6"/>
    </row>
    <row r="8163" spans="38:38" x14ac:dyDescent="0.25">
      <c r="AL8163" s="6"/>
    </row>
    <row r="8164" spans="38:38" x14ac:dyDescent="0.25">
      <c r="AL8164" s="6"/>
    </row>
    <row r="8165" spans="38:38" x14ac:dyDescent="0.25">
      <c r="AL8165" s="6"/>
    </row>
    <row r="8166" spans="38:38" x14ac:dyDescent="0.25">
      <c r="AL8166" s="6"/>
    </row>
    <row r="8167" spans="38:38" x14ac:dyDescent="0.25">
      <c r="AL8167" s="6"/>
    </row>
    <row r="8168" spans="38:38" x14ac:dyDescent="0.25">
      <c r="AL8168" s="6"/>
    </row>
    <row r="8169" spans="38:38" x14ac:dyDescent="0.25">
      <c r="AL8169" s="6"/>
    </row>
    <row r="8170" spans="38:38" x14ac:dyDescent="0.25">
      <c r="AL8170" s="6"/>
    </row>
    <row r="8171" spans="38:38" x14ac:dyDescent="0.25">
      <c r="AL8171" s="6"/>
    </row>
    <row r="8172" spans="38:38" x14ac:dyDescent="0.25">
      <c r="AL8172" s="6"/>
    </row>
    <row r="8173" spans="38:38" x14ac:dyDescent="0.25">
      <c r="AL8173" s="6"/>
    </row>
    <row r="8174" spans="38:38" x14ac:dyDescent="0.25">
      <c r="AL8174" s="6"/>
    </row>
    <row r="8175" spans="38:38" x14ac:dyDescent="0.25">
      <c r="AL8175" s="6"/>
    </row>
    <row r="8176" spans="38:38" x14ac:dyDescent="0.25">
      <c r="AL8176" s="6"/>
    </row>
    <row r="8177" spans="38:38" x14ac:dyDescent="0.25">
      <c r="AL8177" s="6"/>
    </row>
    <row r="8178" spans="38:38" x14ac:dyDescent="0.25">
      <c r="AL8178" s="6"/>
    </row>
    <row r="8179" spans="38:38" x14ac:dyDescent="0.25">
      <c r="AL8179" s="6"/>
    </row>
    <row r="8180" spans="38:38" x14ac:dyDescent="0.25">
      <c r="AL8180" s="6"/>
    </row>
    <row r="8181" spans="38:38" x14ac:dyDescent="0.25">
      <c r="AL8181" s="6"/>
    </row>
    <row r="8182" spans="38:38" x14ac:dyDescent="0.25">
      <c r="AL8182" s="6"/>
    </row>
    <row r="8183" spans="38:38" x14ac:dyDescent="0.25">
      <c r="AL8183" s="6"/>
    </row>
    <row r="8184" spans="38:38" x14ac:dyDescent="0.25">
      <c r="AL8184" s="6"/>
    </row>
    <row r="8185" spans="38:38" x14ac:dyDescent="0.25">
      <c r="AL8185" s="6"/>
    </row>
    <row r="8186" spans="38:38" x14ac:dyDescent="0.25">
      <c r="AL8186" s="6"/>
    </row>
    <row r="8187" spans="38:38" x14ac:dyDescent="0.25">
      <c r="AL8187" s="6"/>
    </row>
    <row r="8188" spans="38:38" x14ac:dyDescent="0.25">
      <c r="AL8188" s="6"/>
    </row>
    <row r="8189" spans="38:38" x14ac:dyDescent="0.25">
      <c r="AL8189" s="6"/>
    </row>
    <row r="8190" spans="38:38" x14ac:dyDescent="0.25">
      <c r="AL8190" s="6"/>
    </row>
    <row r="8191" spans="38:38" x14ac:dyDescent="0.25">
      <c r="AL8191" s="6"/>
    </row>
    <row r="8192" spans="38:38" x14ac:dyDescent="0.25">
      <c r="AL8192" s="6"/>
    </row>
    <row r="8193" spans="38:38" x14ac:dyDescent="0.25">
      <c r="AL8193" s="6"/>
    </row>
    <row r="8194" spans="38:38" x14ac:dyDescent="0.25">
      <c r="AL8194" s="6"/>
    </row>
    <row r="8195" spans="38:38" x14ac:dyDescent="0.25">
      <c r="AL8195" s="6"/>
    </row>
    <row r="8196" spans="38:38" x14ac:dyDescent="0.25">
      <c r="AL8196" s="6"/>
    </row>
    <row r="8197" spans="38:38" x14ac:dyDescent="0.25">
      <c r="AL8197" s="6"/>
    </row>
    <row r="8198" spans="38:38" x14ac:dyDescent="0.25">
      <c r="AL8198" s="6"/>
    </row>
    <row r="8199" spans="38:38" x14ac:dyDescent="0.25">
      <c r="AL8199" s="6"/>
    </row>
    <row r="8200" spans="38:38" x14ac:dyDescent="0.25">
      <c r="AL8200" s="6"/>
    </row>
    <row r="8201" spans="38:38" x14ac:dyDescent="0.25">
      <c r="AL8201" s="6"/>
    </row>
    <row r="8202" spans="38:38" x14ac:dyDescent="0.25">
      <c r="AL8202" s="6"/>
    </row>
    <row r="8203" spans="38:38" x14ac:dyDescent="0.25">
      <c r="AL8203" s="6"/>
    </row>
    <row r="8204" spans="38:38" x14ac:dyDescent="0.25">
      <c r="AL8204" s="6"/>
    </row>
    <row r="8205" spans="38:38" x14ac:dyDescent="0.25">
      <c r="AL8205" s="6"/>
    </row>
    <row r="8206" spans="38:38" x14ac:dyDescent="0.25">
      <c r="AL8206" s="6"/>
    </row>
    <row r="8207" spans="38:38" x14ac:dyDescent="0.25">
      <c r="AL8207" s="6"/>
    </row>
    <row r="8208" spans="38:38" x14ac:dyDescent="0.25">
      <c r="AL8208" s="6"/>
    </row>
    <row r="8209" spans="38:38" x14ac:dyDescent="0.25">
      <c r="AL8209" s="6"/>
    </row>
    <row r="8210" spans="38:38" x14ac:dyDescent="0.25">
      <c r="AL8210" s="6"/>
    </row>
    <row r="8211" spans="38:38" x14ac:dyDescent="0.25">
      <c r="AL8211" s="6"/>
    </row>
    <row r="8212" spans="38:38" x14ac:dyDescent="0.25">
      <c r="AL8212" s="6"/>
    </row>
    <row r="8213" spans="38:38" x14ac:dyDescent="0.25">
      <c r="AL8213" s="6"/>
    </row>
    <row r="8214" spans="38:38" x14ac:dyDescent="0.25">
      <c r="AL8214" s="6"/>
    </row>
    <row r="8215" spans="38:38" x14ac:dyDescent="0.25">
      <c r="AL8215" s="6"/>
    </row>
    <row r="8216" spans="38:38" x14ac:dyDescent="0.25">
      <c r="AL8216" s="6"/>
    </row>
    <row r="8217" spans="38:38" x14ac:dyDescent="0.25">
      <c r="AL8217" s="6"/>
    </row>
    <row r="8218" spans="38:38" x14ac:dyDescent="0.25">
      <c r="AL8218" s="6"/>
    </row>
    <row r="8219" spans="38:38" x14ac:dyDescent="0.25">
      <c r="AL8219" s="6"/>
    </row>
    <row r="8220" spans="38:38" x14ac:dyDescent="0.25">
      <c r="AL8220" s="6"/>
    </row>
    <row r="8221" spans="38:38" x14ac:dyDescent="0.25">
      <c r="AL8221" s="6"/>
    </row>
    <row r="8222" spans="38:38" x14ac:dyDescent="0.25">
      <c r="AL8222" s="6"/>
    </row>
    <row r="8223" spans="38:38" x14ac:dyDescent="0.25">
      <c r="AL8223" s="6"/>
    </row>
    <row r="8224" spans="38:38" x14ac:dyDescent="0.25">
      <c r="AL8224" s="6"/>
    </row>
    <row r="8225" spans="38:38" x14ac:dyDescent="0.25">
      <c r="AL8225" s="6"/>
    </row>
    <row r="8226" spans="38:38" x14ac:dyDescent="0.25">
      <c r="AL8226" s="6"/>
    </row>
    <row r="8227" spans="38:38" x14ac:dyDescent="0.25">
      <c r="AL8227" s="6"/>
    </row>
    <row r="8228" spans="38:38" x14ac:dyDescent="0.25">
      <c r="AL8228" s="6"/>
    </row>
    <row r="8229" spans="38:38" x14ac:dyDescent="0.25">
      <c r="AL8229" s="6"/>
    </row>
    <row r="8230" spans="38:38" x14ac:dyDescent="0.25">
      <c r="AL8230" s="6"/>
    </row>
    <row r="8231" spans="38:38" x14ac:dyDescent="0.25">
      <c r="AL8231" s="6"/>
    </row>
    <row r="8232" spans="38:38" x14ac:dyDescent="0.25">
      <c r="AL8232" s="6"/>
    </row>
    <row r="8233" spans="38:38" x14ac:dyDescent="0.25">
      <c r="AL8233" s="6"/>
    </row>
    <row r="8234" spans="38:38" x14ac:dyDescent="0.25">
      <c r="AL8234" s="6"/>
    </row>
    <row r="8235" spans="38:38" x14ac:dyDescent="0.25">
      <c r="AL8235" s="6"/>
    </row>
    <row r="8236" spans="38:38" x14ac:dyDescent="0.25">
      <c r="AL8236" s="6"/>
    </row>
    <row r="8237" spans="38:38" x14ac:dyDescent="0.25">
      <c r="AL8237" s="6"/>
    </row>
    <row r="8238" spans="38:38" x14ac:dyDescent="0.25">
      <c r="AL8238" s="6"/>
    </row>
    <row r="8239" spans="38:38" x14ac:dyDescent="0.25">
      <c r="AL8239" s="6"/>
    </row>
    <row r="8240" spans="38:38" x14ac:dyDescent="0.25">
      <c r="AL8240" s="6"/>
    </row>
    <row r="8241" spans="38:38" x14ac:dyDescent="0.25">
      <c r="AL8241" s="6"/>
    </row>
    <row r="8242" spans="38:38" x14ac:dyDescent="0.25">
      <c r="AL8242" s="6"/>
    </row>
    <row r="8243" spans="38:38" x14ac:dyDescent="0.25">
      <c r="AL8243" s="6"/>
    </row>
    <row r="8244" spans="38:38" x14ac:dyDescent="0.25">
      <c r="AL8244" s="6"/>
    </row>
    <row r="8245" spans="38:38" x14ac:dyDescent="0.25">
      <c r="AL8245" s="6"/>
    </row>
    <row r="8246" spans="38:38" x14ac:dyDescent="0.25">
      <c r="AL8246" s="6"/>
    </row>
    <row r="8247" spans="38:38" x14ac:dyDescent="0.25">
      <c r="AL8247" s="6"/>
    </row>
    <row r="8248" spans="38:38" x14ac:dyDescent="0.25">
      <c r="AL8248" s="6"/>
    </row>
    <row r="8249" spans="38:38" x14ac:dyDescent="0.25">
      <c r="AL8249" s="6"/>
    </row>
    <row r="8250" spans="38:38" x14ac:dyDescent="0.25">
      <c r="AL8250" s="6"/>
    </row>
    <row r="8251" spans="38:38" x14ac:dyDescent="0.25">
      <c r="AL8251" s="6"/>
    </row>
    <row r="8252" spans="38:38" x14ac:dyDescent="0.25">
      <c r="AL8252" s="6"/>
    </row>
    <row r="8253" spans="38:38" x14ac:dyDescent="0.25">
      <c r="AL8253" s="6"/>
    </row>
    <row r="8254" spans="38:38" x14ac:dyDescent="0.25">
      <c r="AL8254" s="6"/>
    </row>
    <row r="8255" spans="38:38" x14ac:dyDescent="0.25">
      <c r="AL8255" s="6"/>
    </row>
    <row r="8256" spans="38:38" x14ac:dyDescent="0.25">
      <c r="AL8256" s="6"/>
    </row>
    <row r="8257" spans="38:38" x14ac:dyDescent="0.25">
      <c r="AL8257" s="6"/>
    </row>
    <row r="8258" spans="38:38" x14ac:dyDescent="0.25">
      <c r="AL8258" s="6"/>
    </row>
    <row r="8259" spans="38:38" x14ac:dyDescent="0.25">
      <c r="AL8259" s="6"/>
    </row>
    <row r="8260" spans="38:38" x14ac:dyDescent="0.25">
      <c r="AL8260" s="6"/>
    </row>
    <row r="8261" spans="38:38" x14ac:dyDescent="0.25">
      <c r="AL8261" s="6"/>
    </row>
    <row r="8262" spans="38:38" x14ac:dyDescent="0.25">
      <c r="AL8262" s="6"/>
    </row>
    <row r="8263" spans="38:38" x14ac:dyDescent="0.25">
      <c r="AL8263" s="6"/>
    </row>
    <row r="8264" spans="38:38" x14ac:dyDescent="0.25">
      <c r="AL8264" s="6"/>
    </row>
    <row r="8265" spans="38:38" x14ac:dyDescent="0.25">
      <c r="AL8265" s="6"/>
    </row>
    <row r="8266" spans="38:38" x14ac:dyDescent="0.25">
      <c r="AL8266" s="6"/>
    </row>
    <row r="8267" spans="38:38" x14ac:dyDescent="0.25">
      <c r="AL8267" s="6"/>
    </row>
    <row r="8268" spans="38:38" x14ac:dyDescent="0.25">
      <c r="AL8268" s="6"/>
    </row>
    <row r="8269" spans="38:38" x14ac:dyDescent="0.25">
      <c r="AL8269" s="6"/>
    </row>
    <row r="8270" spans="38:38" x14ac:dyDescent="0.25">
      <c r="AL8270" s="6"/>
    </row>
    <row r="8271" spans="38:38" x14ac:dyDescent="0.25">
      <c r="AL8271" s="6"/>
    </row>
    <row r="8272" spans="38:38" x14ac:dyDescent="0.25">
      <c r="AL8272" s="6"/>
    </row>
    <row r="8273" spans="38:38" x14ac:dyDescent="0.25">
      <c r="AL8273" s="6"/>
    </row>
    <row r="8274" spans="38:38" x14ac:dyDescent="0.25">
      <c r="AL8274" s="6"/>
    </row>
    <row r="8275" spans="38:38" x14ac:dyDescent="0.25">
      <c r="AL8275" s="6"/>
    </row>
    <row r="8276" spans="38:38" x14ac:dyDescent="0.25">
      <c r="AL8276" s="6"/>
    </row>
    <row r="8277" spans="38:38" x14ac:dyDescent="0.25">
      <c r="AL8277" s="6"/>
    </row>
    <row r="8278" spans="38:38" x14ac:dyDescent="0.25">
      <c r="AL8278" s="6"/>
    </row>
    <row r="8279" spans="38:38" x14ac:dyDescent="0.25">
      <c r="AL8279" s="6"/>
    </row>
    <row r="8280" spans="38:38" x14ac:dyDescent="0.25">
      <c r="AL8280" s="6"/>
    </row>
    <row r="8281" spans="38:38" x14ac:dyDescent="0.25">
      <c r="AL8281" s="6"/>
    </row>
    <row r="8282" spans="38:38" x14ac:dyDescent="0.25">
      <c r="AL8282" s="6"/>
    </row>
    <row r="8283" spans="38:38" x14ac:dyDescent="0.25">
      <c r="AL8283" s="6"/>
    </row>
    <row r="8284" spans="38:38" x14ac:dyDescent="0.25">
      <c r="AL8284" s="6"/>
    </row>
    <row r="8285" spans="38:38" x14ac:dyDescent="0.25">
      <c r="AL8285" s="6"/>
    </row>
    <row r="8286" spans="38:38" x14ac:dyDescent="0.25">
      <c r="AL8286" s="6"/>
    </row>
    <row r="8287" spans="38:38" x14ac:dyDescent="0.25">
      <c r="AL8287" s="6"/>
    </row>
    <row r="8288" spans="38:38" x14ac:dyDescent="0.25">
      <c r="AL8288" s="6"/>
    </row>
    <row r="8289" spans="38:38" x14ac:dyDescent="0.25">
      <c r="AL8289" s="6"/>
    </row>
    <row r="8290" spans="38:38" x14ac:dyDescent="0.25">
      <c r="AL8290" s="6"/>
    </row>
    <row r="8291" spans="38:38" x14ac:dyDescent="0.25">
      <c r="AL8291" s="6"/>
    </row>
    <row r="8292" spans="38:38" x14ac:dyDescent="0.25">
      <c r="AL8292" s="6"/>
    </row>
    <row r="8293" spans="38:38" x14ac:dyDescent="0.25">
      <c r="AL8293" s="6"/>
    </row>
    <row r="8294" spans="38:38" x14ac:dyDescent="0.25">
      <c r="AL8294" s="6"/>
    </row>
    <row r="8295" spans="38:38" x14ac:dyDescent="0.25">
      <c r="AL8295" s="6"/>
    </row>
    <row r="8296" spans="38:38" x14ac:dyDescent="0.25">
      <c r="AL8296" s="6"/>
    </row>
    <row r="8297" spans="38:38" x14ac:dyDescent="0.25">
      <c r="AL8297" s="6"/>
    </row>
    <row r="8298" spans="38:38" x14ac:dyDescent="0.25">
      <c r="AL8298" s="6"/>
    </row>
    <row r="8299" spans="38:38" x14ac:dyDescent="0.25">
      <c r="AL8299" s="6"/>
    </row>
    <row r="8300" spans="38:38" x14ac:dyDescent="0.25">
      <c r="AL8300" s="6"/>
    </row>
    <row r="8301" spans="38:38" x14ac:dyDescent="0.25">
      <c r="AL8301" s="6"/>
    </row>
    <row r="8302" spans="38:38" x14ac:dyDescent="0.25">
      <c r="AL8302" s="6"/>
    </row>
    <row r="8303" spans="38:38" x14ac:dyDescent="0.25">
      <c r="AL8303" s="6"/>
    </row>
    <row r="8304" spans="38:38" x14ac:dyDescent="0.25">
      <c r="AL8304" s="6"/>
    </row>
    <row r="8305" spans="38:38" x14ac:dyDescent="0.25">
      <c r="AL8305" s="6"/>
    </row>
    <row r="8306" spans="38:38" x14ac:dyDescent="0.25">
      <c r="AL8306" s="6"/>
    </row>
    <row r="8307" spans="38:38" x14ac:dyDescent="0.25">
      <c r="AL8307" s="6"/>
    </row>
    <row r="8308" spans="38:38" x14ac:dyDescent="0.25">
      <c r="AL8308" s="6"/>
    </row>
    <row r="8309" spans="38:38" x14ac:dyDescent="0.25">
      <c r="AL8309" s="6"/>
    </row>
    <row r="8310" spans="38:38" x14ac:dyDescent="0.25">
      <c r="AL8310" s="6"/>
    </row>
    <row r="8311" spans="38:38" x14ac:dyDescent="0.25">
      <c r="AL8311" s="6"/>
    </row>
    <row r="8312" spans="38:38" x14ac:dyDescent="0.25">
      <c r="AL8312" s="6"/>
    </row>
    <row r="8313" spans="38:38" x14ac:dyDescent="0.25">
      <c r="AL8313" s="6"/>
    </row>
    <row r="8314" spans="38:38" x14ac:dyDescent="0.25">
      <c r="AL8314" s="6"/>
    </row>
    <row r="8315" spans="38:38" x14ac:dyDescent="0.25">
      <c r="AL8315" s="6"/>
    </row>
    <row r="8316" spans="38:38" x14ac:dyDescent="0.25">
      <c r="AL8316" s="6"/>
    </row>
    <row r="8317" spans="38:38" x14ac:dyDescent="0.25">
      <c r="AL8317" s="6"/>
    </row>
    <row r="8318" spans="38:38" x14ac:dyDescent="0.25">
      <c r="AL8318" s="6"/>
    </row>
    <row r="8319" spans="38:38" x14ac:dyDescent="0.25">
      <c r="AL8319" s="6"/>
    </row>
    <row r="8320" spans="38:38" x14ac:dyDescent="0.25">
      <c r="AL8320" s="6"/>
    </row>
    <row r="8321" spans="38:38" x14ac:dyDescent="0.25">
      <c r="AL8321" s="6"/>
    </row>
    <row r="8322" spans="38:38" x14ac:dyDescent="0.25">
      <c r="AL8322" s="6"/>
    </row>
    <row r="8323" spans="38:38" x14ac:dyDescent="0.25">
      <c r="AL8323" s="6"/>
    </row>
    <row r="8324" spans="38:38" x14ac:dyDescent="0.25">
      <c r="AL8324" s="6"/>
    </row>
    <row r="8325" spans="38:38" x14ac:dyDescent="0.25">
      <c r="AL8325" s="6"/>
    </row>
    <row r="8326" spans="38:38" x14ac:dyDescent="0.25">
      <c r="AL8326" s="6"/>
    </row>
    <row r="8327" spans="38:38" x14ac:dyDescent="0.25">
      <c r="AL8327" s="6"/>
    </row>
    <row r="8328" spans="38:38" x14ac:dyDescent="0.25">
      <c r="AL8328" s="6"/>
    </row>
    <row r="8329" spans="38:38" x14ac:dyDescent="0.25">
      <c r="AL8329" s="6"/>
    </row>
    <row r="8330" spans="38:38" x14ac:dyDescent="0.25">
      <c r="AL8330" s="6"/>
    </row>
    <row r="8331" spans="38:38" x14ac:dyDescent="0.25">
      <c r="AL8331" s="6"/>
    </row>
    <row r="8332" spans="38:38" x14ac:dyDescent="0.25">
      <c r="AL8332" s="6"/>
    </row>
    <row r="8333" spans="38:38" x14ac:dyDescent="0.25">
      <c r="AL8333" s="6"/>
    </row>
    <row r="8334" spans="38:38" x14ac:dyDescent="0.25">
      <c r="AL8334" s="6"/>
    </row>
    <row r="8335" spans="38:38" x14ac:dyDescent="0.25">
      <c r="AL8335" s="6"/>
    </row>
    <row r="8336" spans="38:38" x14ac:dyDescent="0.25">
      <c r="AL8336" s="6"/>
    </row>
    <row r="8337" spans="38:38" x14ac:dyDescent="0.25">
      <c r="AL8337" s="6"/>
    </row>
    <row r="8338" spans="38:38" x14ac:dyDescent="0.25">
      <c r="AL8338" s="6"/>
    </row>
    <row r="8339" spans="38:38" x14ac:dyDescent="0.25">
      <c r="AL8339" s="6"/>
    </row>
    <row r="8340" spans="38:38" x14ac:dyDescent="0.25">
      <c r="AL8340" s="6"/>
    </row>
    <row r="8341" spans="38:38" x14ac:dyDescent="0.25">
      <c r="AL8341" s="6"/>
    </row>
    <row r="8342" spans="38:38" x14ac:dyDescent="0.25">
      <c r="AL8342" s="6"/>
    </row>
    <row r="8343" spans="38:38" x14ac:dyDescent="0.25">
      <c r="AL8343" s="6"/>
    </row>
    <row r="8344" spans="38:38" x14ac:dyDescent="0.25">
      <c r="AL8344" s="6"/>
    </row>
    <row r="8345" spans="38:38" x14ac:dyDescent="0.25">
      <c r="AL8345" s="6"/>
    </row>
    <row r="8346" spans="38:38" x14ac:dyDescent="0.25">
      <c r="AL8346" s="6"/>
    </row>
    <row r="8347" spans="38:38" x14ac:dyDescent="0.25">
      <c r="AL8347" s="6"/>
    </row>
    <row r="8348" spans="38:38" x14ac:dyDescent="0.25">
      <c r="AL8348" s="6"/>
    </row>
    <row r="8349" spans="38:38" x14ac:dyDescent="0.25">
      <c r="AL8349" s="6"/>
    </row>
    <row r="8350" spans="38:38" x14ac:dyDescent="0.25">
      <c r="AL8350" s="6"/>
    </row>
    <row r="8351" spans="38:38" x14ac:dyDescent="0.25">
      <c r="AL8351" s="6"/>
    </row>
    <row r="8352" spans="38:38" x14ac:dyDescent="0.25">
      <c r="AL8352" s="6"/>
    </row>
    <row r="8353" spans="38:38" x14ac:dyDescent="0.25">
      <c r="AL8353" s="6"/>
    </row>
    <row r="8354" spans="38:38" x14ac:dyDescent="0.25">
      <c r="AL8354" s="6"/>
    </row>
    <row r="8355" spans="38:38" x14ac:dyDescent="0.25">
      <c r="AL8355" s="6"/>
    </row>
    <row r="8356" spans="38:38" x14ac:dyDescent="0.25">
      <c r="AL8356" s="6"/>
    </row>
    <row r="8357" spans="38:38" x14ac:dyDescent="0.25">
      <c r="AL8357" s="6"/>
    </row>
    <row r="8358" spans="38:38" x14ac:dyDescent="0.25">
      <c r="AL8358" s="6"/>
    </row>
    <row r="8359" spans="38:38" x14ac:dyDescent="0.25">
      <c r="AL8359" s="6"/>
    </row>
    <row r="8360" spans="38:38" x14ac:dyDescent="0.25">
      <c r="AL8360" s="6"/>
    </row>
    <row r="8361" spans="38:38" x14ac:dyDescent="0.25">
      <c r="AL8361" s="6"/>
    </row>
    <row r="8362" spans="38:38" x14ac:dyDescent="0.25">
      <c r="AL8362" s="6"/>
    </row>
    <row r="8363" spans="38:38" x14ac:dyDescent="0.25">
      <c r="AL8363" s="6"/>
    </row>
    <row r="8364" spans="38:38" x14ac:dyDescent="0.25">
      <c r="AL8364" s="6"/>
    </row>
    <row r="8365" spans="38:38" x14ac:dyDescent="0.25">
      <c r="AL8365" s="6"/>
    </row>
    <row r="8366" spans="38:38" x14ac:dyDescent="0.25">
      <c r="AL8366" s="6"/>
    </row>
    <row r="8367" spans="38:38" x14ac:dyDescent="0.25">
      <c r="AL8367" s="6"/>
    </row>
    <row r="8368" spans="38:38" x14ac:dyDescent="0.25">
      <c r="AL8368" s="6"/>
    </row>
    <row r="8369" spans="38:38" x14ac:dyDescent="0.25">
      <c r="AL8369" s="6"/>
    </row>
    <row r="8370" spans="38:38" x14ac:dyDescent="0.25">
      <c r="AL8370" s="6"/>
    </row>
    <row r="8371" spans="38:38" x14ac:dyDescent="0.25">
      <c r="AL8371" s="6"/>
    </row>
    <row r="8372" spans="38:38" x14ac:dyDescent="0.25">
      <c r="AL8372" s="6"/>
    </row>
    <row r="8373" spans="38:38" x14ac:dyDescent="0.25">
      <c r="AL8373" s="6"/>
    </row>
    <row r="8374" spans="38:38" x14ac:dyDescent="0.25">
      <c r="AL8374" s="6"/>
    </row>
    <row r="8375" spans="38:38" x14ac:dyDescent="0.25">
      <c r="AL8375" s="6"/>
    </row>
    <row r="8376" spans="38:38" x14ac:dyDescent="0.25">
      <c r="AL8376" s="6"/>
    </row>
    <row r="8377" spans="38:38" x14ac:dyDescent="0.25">
      <c r="AL8377" s="6"/>
    </row>
    <row r="8378" spans="38:38" x14ac:dyDescent="0.25">
      <c r="AL8378" s="6"/>
    </row>
    <row r="8379" spans="38:38" x14ac:dyDescent="0.25">
      <c r="AL8379" s="6"/>
    </row>
    <row r="8380" spans="38:38" x14ac:dyDescent="0.25">
      <c r="AL8380" s="6"/>
    </row>
    <row r="8381" spans="38:38" x14ac:dyDescent="0.25">
      <c r="AL8381" s="6"/>
    </row>
    <row r="8382" spans="38:38" x14ac:dyDescent="0.25">
      <c r="AL8382" s="6"/>
    </row>
    <row r="8383" spans="38:38" x14ac:dyDescent="0.25">
      <c r="AL8383" s="6"/>
    </row>
    <row r="8384" spans="38:38" x14ac:dyDescent="0.25">
      <c r="AL8384" s="6"/>
    </row>
    <row r="8385" spans="38:38" x14ac:dyDescent="0.25">
      <c r="AL8385" s="6"/>
    </row>
    <row r="8386" spans="38:38" x14ac:dyDescent="0.25">
      <c r="AL8386" s="6"/>
    </row>
    <row r="8387" spans="38:38" x14ac:dyDescent="0.25">
      <c r="AL8387" s="6"/>
    </row>
    <row r="8388" spans="38:38" x14ac:dyDescent="0.25">
      <c r="AL8388" s="6"/>
    </row>
    <row r="8389" spans="38:38" x14ac:dyDescent="0.25">
      <c r="AL8389" s="6"/>
    </row>
    <row r="8390" spans="38:38" x14ac:dyDescent="0.25">
      <c r="AL8390" s="6"/>
    </row>
    <row r="8391" spans="38:38" x14ac:dyDescent="0.25">
      <c r="AL8391" s="6"/>
    </row>
    <row r="8392" spans="38:38" x14ac:dyDescent="0.25">
      <c r="AL8392" s="6"/>
    </row>
    <row r="8393" spans="38:38" x14ac:dyDescent="0.25">
      <c r="AL8393" s="6"/>
    </row>
    <row r="8394" spans="38:38" x14ac:dyDescent="0.25">
      <c r="AL8394" s="6"/>
    </row>
    <row r="8395" spans="38:38" x14ac:dyDescent="0.25">
      <c r="AL8395" s="6"/>
    </row>
    <row r="8396" spans="38:38" x14ac:dyDescent="0.25">
      <c r="AL8396" s="6"/>
    </row>
    <row r="8397" spans="38:38" x14ac:dyDescent="0.25">
      <c r="AL8397" s="6"/>
    </row>
    <row r="8398" spans="38:38" x14ac:dyDescent="0.25">
      <c r="AL8398" s="6"/>
    </row>
    <row r="8399" spans="38:38" x14ac:dyDescent="0.25">
      <c r="AL8399" s="6"/>
    </row>
    <row r="8400" spans="38:38" x14ac:dyDescent="0.25">
      <c r="AL8400" s="6"/>
    </row>
    <row r="8401" spans="38:38" x14ac:dyDescent="0.25">
      <c r="AL8401" s="6"/>
    </row>
    <row r="8402" spans="38:38" x14ac:dyDescent="0.25">
      <c r="AL8402" s="6"/>
    </row>
    <row r="8403" spans="38:38" x14ac:dyDescent="0.25">
      <c r="AL8403" s="6"/>
    </row>
    <row r="8404" spans="38:38" x14ac:dyDescent="0.25">
      <c r="AL8404" s="6"/>
    </row>
    <row r="8405" spans="38:38" x14ac:dyDescent="0.25">
      <c r="AL8405" s="6"/>
    </row>
    <row r="8406" spans="38:38" x14ac:dyDescent="0.25">
      <c r="AL8406" s="6"/>
    </row>
    <row r="8407" spans="38:38" x14ac:dyDescent="0.25">
      <c r="AL8407" s="6"/>
    </row>
    <row r="8408" spans="38:38" x14ac:dyDescent="0.25">
      <c r="AL8408" s="6"/>
    </row>
    <row r="8409" spans="38:38" x14ac:dyDescent="0.25">
      <c r="AL8409" s="6"/>
    </row>
    <row r="8410" spans="38:38" x14ac:dyDescent="0.25">
      <c r="AL8410" s="6"/>
    </row>
    <row r="8411" spans="38:38" x14ac:dyDescent="0.25">
      <c r="AL8411" s="6"/>
    </row>
    <row r="8412" spans="38:38" x14ac:dyDescent="0.25">
      <c r="AL8412" s="6"/>
    </row>
    <row r="8413" spans="38:38" x14ac:dyDescent="0.25">
      <c r="AL8413" s="6"/>
    </row>
    <row r="8414" spans="38:38" x14ac:dyDescent="0.25">
      <c r="AL8414" s="6"/>
    </row>
    <row r="8415" spans="38:38" x14ac:dyDescent="0.25">
      <c r="AL8415" s="6"/>
    </row>
    <row r="8416" spans="38:38" x14ac:dyDescent="0.25">
      <c r="AL8416" s="6"/>
    </row>
    <row r="8417" spans="38:38" x14ac:dyDescent="0.25">
      <c r="AL8417" s="6"/>
    </row>
    <row r="8418" spans="38:38" x14ac:dyDescent="0.25">
      <c r="AL8418" s="6"/>
    </row>
    <row r="8419" spans="38:38" x14ac:dyDescent="0.25">
      <c r="AL8419" s="6"/>
    </row>
    <row r="8420" spans="38:38" x14ac:dyDescent="0.25">
      <c r="AL8420" s="6"/>
    </row>
    <row r="8421" spans="38:38" x14ac:dyDescent="0.25">
      <c r="AL8421" s="6"/>
    </row>
    <row r="8422" spans="38:38" x14ac:dyDescent="0.25">
      <c r="AL8422" s="6"/>
    </row>
    <row r="8423" spans="38:38" x14ac:dyDescent="0.25">
      <c r="AL8423" s="6"/>
    </row>
    <row r="8424" spans="38:38" x14ac:dyDescent="0.25">
      <c r="AL8424" s="6"/>
    </row>
    <row r="8425" spans="38:38" x14ac:dyDescent="0.25">
      <c r="AL8425" s="6"/>
    </row>
    <row r="8426" spans="38:38" x14ac:dyDescent="0.25">
      <c r="AL8426" s="6"/>
    </row>
    <row r="8427" spans="38:38" x14ac:dyDescent="0.25">
      <c r="AL8427" s="6"/>
    </row>
    <row r="8428" spans="38:38" x14ac:dyDescent="0.25">
      <c r="AL8428" s="6"/>
    </row>
    <row r="8429" spans="38:38" x14ac:dyDescent="0.25">
      <c r="AL8429" s="6"/>
    </row>
    <row r="8430" spans="38:38" x14ac:dyDescent="0.25">
      <c r="AL8430" s="6"/>
    </row>
    <row r="8431" spans="38:38" x14ac:dyDescent="0.25">
      <c r="AL8431" s="6"/>
    </row>
    <row r="8432" spans="38:38" x14ac:dyDescent="0.25">
      <c r="AL8432" s="6"/>
    </row>
    <row r="8433" spans="38:38" x14ac:dyDescent="0.25">
      <c r="AL8433" s="6"/>
    </row>
    <row r="8434" spans="38:38" x14ac:dyDescent="0.25">
      <c r="AL8434" s="6"/>
    </row>
    <row r="8435" spans="38:38" x14ac:dyDescent="0.25">
      <c r="AL8435" s="6"/>
    </row>
    <row r="8436" spans="38:38" x14ac:dyDescent="0.25">
      <c r="AL8436" s="6"/>
    </row>
    <row r="8437" spans="38:38" x14ac:dyDescent="0.25">
      <c r="AL8437" s="6"/>
    </row>
    <row r="8438" spans="38:38" x14ac:dyDescent="0.25">
      <c r="AL8438" s="6"/>
    </row>
    <row r="8439" spans="38:38" x14ac:dyDescent="0.25">
      <c r="AL8439" s="6"/>
    </row>
    <row r="8440" spans="38:38" x14ac:dyDescent="0.25">
      <c r="AL8440" s="6"/>
    </row>
    <row r="8441" spans="38:38" x14ac:dyDescent="0.25">
      <c r="AL8441" s="6"/>
    </row>
    <row r="8442" spans="38:38" x14ac:dyDescent="0.25">
      <c r="AL8442" s="6"/>
    </row>
    <row r="8443" spans="38:38" x14ac:dyDescent="0.25">
      <c r="AL8443" s="6"/>
    </row>
    <row r="8444" spans="38:38" x14ac:dyDescent="0.25">
      <c r="AL8444" s="6"/>
    </row>
    <row r="8445" spans="38:38" x14ac:dyDescent="0.25">
      <c r="AL8445" s="6"/>
    </row>
    <row r="8446" spans="38:38" x14ac:dyDescent="0.25">
      <c r="AL8446" s="6"/>
    </row>
    <row r="8447" spans="38:38" x14ac:dyDescent="0.25">
      <c r="AL8447" s="6"/>
    </row>
    <row r="8448" spans="38:38" x14ac:dyDescent="0.25">
      <c r="AL8448" s="6"/>
    </row>
    <row r="8449" spans="38:38" x14ac:dyDescent="0.25">
      <c r="AL8449" s="6"/>
    </row>
    <row r="8450" spans="38:38" x14ac:dyDescent="0.25">
      <c r="AL8450" s="6"/>
    </row>
    <row r="8451" spans="38:38" x14ac:dyDescent="0.25">
      <c r="AL8451" s="6"/>
    </row>
    <row r="8452" spans="38:38" x14ac:dyDescent="0.25">
      <c r="AL8452" s="6"/>
    </row>
    <row r="8453" spans="38:38" x14ac:dyDescent="0.25">
      <c r="AL8453" s="6"/>
    </row>
    <row r="8454" spans="38:38" x14ac:dyDescent="0.25">
      <c r="AL8454" s="6"/>
    </row>
    <row r="8455" spans="38:38" x14ac:dyDescent="0.25">
      <c r="AL8455" s="6"/>
    </row>
    <row r="8456" spans="38:38" x14ac:dyDescent="0.25">
      <c r="AL8456" s="6"/>
    </row>
    <row r="8457" spans="38:38" x14ac:dyDescent="0.25">
      <c r="AL8457" s="6"/>
    </row>
    <row r="8458" spans="38:38" x14ac:dyDescent="0.25">
      <c r="AL8458" s="6"/>
    </row>
    <row r="8459" spans="38:38" x14ac:dyDescent="0.25">
      <c r="AL8459" s="6"/>
    </row>
    <row r="8460" spans="38:38" x14ac:dyDescent="0.25">
      <c r="AL8460" s="6"/>
    </row>
    <row r="8461" spans="38:38" x14ac:dyDescent="0.25">
      <c r="AL8461" s="6"/>
    </row>
    <row r="8462" spans="38:38" x14ac:dyDescent="0.25">
      <c r="AL8462" s="6"/>
    </row>
    <row r="8463" spans="38:38" x14ac:dyDescent="0.25">
      <c r="AL8463" s="6"/>
    </row>
    <row r="8464" spans="38:38" x14ac:dyDescent="0.25">
      <c r="AL8464" s="6"/>
    </row>
    <row r="8465" spans="38:38" x14ac:dyDescent="0.25">
      <c r="AL8465" s="6"/>
    </row>
    <row r="8466" spans="38:38" x14ac:dyDescent="0.25">
      <c r="AL8466" s="6"/>
    </row>
    <row r="8467" spans="38:38" x14ac:dyDescent="0.25">
      <c r="AL8467" s="6"/>
    </row>
    <row r="8468" spans="38:38" x14ac:dyDescent="0.25">
      <c r="AL8468" s="6"/>
    </row>
    <row r="8469" spans="38:38" x14ac:dyDescent="0.25">
      <c r="AL8469" s="6"/>
    </row>
    <row r="8470" spans="38:38" x14ac:dyDescent="0.25">
      <c r="AL8470" s="6"/>
    </row>
    <row r="8471" spans="38:38" x14ac:dyDescent="0.25">
      <c r="AL8471" s="6"/>
    </row>
    <row r="8472" spans="38:38" x14ac:dyDescent="0.25">
      <c r="AL8472" s="6"/>
    </row>
    <row r="8473" spans="38:38" x14ac:dyDescent="0.25">
      <c r="AL8473" s="6"/>
    </row>
    <row r="8474" spans="38:38" x14ac:dyDescent="0.25">
      <c r="AL8474" s="6"/>
    </row>
    <row r="8475" spans="38:38" x14ac:dyDescent="0.25">
      <c r="AL8475" s="6"/>
    </row>
    <row r="8476" spans="38:38" x14ac:dyDescent="0.25">
      <c r="AL8476" s="6"/>
    </row>
    <row r="8477" spans="38:38" x14ac:dyDescent="0.25">
      <c r="AL8477" s="6"/>
    </row>
    <row r="8478" spans="38:38" x14ac:dyDescent="0.25">
      <c r="AL8478" s="6"/>
    </row>
    <row r="8479" spans="38:38" x14ac:dyDescent="0.25">
      <c r="AL8479" s="6"/>
    </row>
    <row r="8480" spans="38:38" x14ac:dyDescent="0.25">
      <c r="AL8480" s="6"/>
    </row>
    <row r="8481" spans="38:38" x14ac:dyDescent="0.25">
      <c r="AL8481" s="6"/>
    </row>
    <row r="8482" spans="38:38" x14ac:dyDescent="0.25">
      <c r="AL8482" s="6"/>
    </row>
    <row r="8483" spans="38:38" x14ac:dyDescent="0.25">
      <c r="AL8483" s="6"/>
    </row>
    <row r="8484" spans="38:38" x14ac:dyDescent="0.25">
      <c r="AL8484" s="6"/>
    </row>
    <row r="8485" spans="38:38" x14ac:dyDescent="0.25">
      <c r="AL8485" s="6"/>
    </row>
    <row r="8486" spans="38:38" x14ac:dyDescent="0.25">
      <c r="AL8486" s="6"/>
    </row>
    <row r="8487" spans="38:38" x14ac:dyDescent="0.25">
      <c r="AL8487" s="6"/>
    </row>
    <row r="8488" spans="38:38" x14ac:dyDescent="0.25">
      <c r="AL8488" s="6"/>
    </row>
    <row r="8489" spans="38:38" x14ac:dyDescent="0.25">
      <c r="AL8489" s="6"/>
    </row>
    <row r="8490" spans="38:38" x14ac:dyDescent="0.25">
      <c r="AL8490" s="6"/>
    </row>
    <row r="8491" spans="38:38" x14ac:dyDescent="0.25">
      <c r="AL8491" s="6"/>
    </row>
    <row r="8492" spans="38:38" x14ac:dyDescent="0.25">
      <c r="AL8492" s="6"/>
    </row>
    <row r="8493" spans="38:38" x14ac:dyDescent="0.25">
      <c r="AL8493" s="6"/>
    </row>
    <row r="8494" spans="38:38" x14ac:dyDescent="0.25">
      <c r="AL8494" s="6"/>
    </row>
    <row r="8495" spans="38:38" x14ac:dyDescent="0.25">
      <c r="AL8495" s="6"/>
    </row>
    <row r="8496" spans="38:38" x14ac:dyDescent="0.25">
      <c r="AL8496" s="6"/>
    </row>
    <row r="8497" spans="38:38" x14ac:dyDescent="0.25">
      <c r="AL8497" s="6"/>
    </row>
    <row r="8498" spans="38:38" x14ac:dyDescent="0.25">
      <c r="AL8498" s="6"/>
    </row>
    <row r="8499" spans="38:38" x14ac:dyDescent="0.25">
      <c r="AL8499" s="6"/>
    </row>
    <row r="8500" spans="38:38" x14ac:dyDescent="0.25">
      <c r="AL8500" s="6"/>
    </row>
    <row r="8501" spans="38:38" x14ac:dyDescent="0.25">
      <c r="AL8501" s="6"/>
    </row>
    <row r="8502" spans="38:38" x14ac:dyDescent="0.25">
      <c r="AL8502" s="6"/>
    </row>
    <row r="8503" spans="38:38" x14ac:dyDescent="0.25">
      <c r="AL8503" s="6"/>
    </row>
    <row r="8504" spans="38:38" x14ac:dyDescent="0.25">
      <c r="AL8504" s="6"/>
    </row>
    <row r="8505" spans="38:38" x14ac:dyDescent="0.25">
      <c r="AL8505" s="6"/>
    </row>
    <row r="8506" spans="38:38" x14ac:dyDescent="0.25">
      <c r="AL8506" s="6"/>
    </row>
    <row r="8507" spans="38:38" x14ac:dyDescent="0.25">
      <c r="AL8507" s="6"/>
    </row>
    <row r="8508" spans="38:38" x14ac:dyDescent="0.25">
      <c r="AL8508" s="6"/>
    </row>
    <row r="8509" spans="38:38" x14ac:dyDescent="0.25">
      <c r="AL8509" s="6"/>
    </row>
    <row r="8510" spans="38:38" x14ac:dyDescent="0.25">
      <c r="AL8510" s="6"/>
    </row>
    <row r="8511" spans="38:38" x14ac:dyDescent="0.25">
      <c r="AL8511" s="6"/>
    </row>
    <row r="8512" spans="38:38" x14ac:dyDescent="0.25">
      <c r="AL8512" s="6"/>
    </row>
    <row r="8513" spans="38:38" x14ac:dyDescent="0.25">
      <c r="AL8513" s="6"/>
    </row>
    <row r="8514" spans="38:38" x14ac:dyDescent="0.25">
      <c r="AL8514" s="6"/>
    </row>
    <row r="8515" spans="38:38" x14ac:dyDescent="0.25">
      <c r="AL8515" s="6"/>
    </row>
    <row r="8516" spans="38:38" x14ac:dyDescent="0.25">
      <c r="AL8516" s="6"/>
    </row>
    <row r="8517" spans="38:38" x14ac:dyDescent="0.25">
      <c r="AL8517" s="6"/>
    </row>
    <row r="8518" spans="38:38" x14ac:dyDescent="0.25">
      <c r="AL8518" s="6"/>
    </row>
    <row r="8519" spans="38:38" x14ac:dyDescent="0.25">
      <c r="AL8519" s="6"/>
    </row>
    <row r="8520" spans="38:38" x14ac:dyDescent="0.25">
      <c r="AL8520" s="6"/>
    </row>
    <row r="8521" spans="38:38" x14ac:dyDescent="0.25">
      <c r="AL8521" s="6"/>
    </row>
    <row r="8522" spans="38:38" x14ac:dyDescent="0.25">
      <c r="AL8522" s="6"/>
    </row>
    <row r="8523" spans="38:38" x14ac:dyDescent="0.25">
      <c r="AL8523" s="6"/>
    </row>
    <row r="8524" spans="38:38" x14ac:dyDescent="0.25">
      <c r="AL8524" s="6"/>
    </row>
    <row r="8525" spans="38:38" x14ac:dyDescent="0.25">
      <c r="AL8525" s="6"/>
    </row>
    <row r="8526" spans="38:38" x14ac:dyDescent="0.25">
      <c r="AL8526" s="6"/>
    </row>
    <row r="8527" spans="38:38" x14ac:dyDescent="0.25">
      <c r="AL8527" s="6"/>
    </row>
    <row r="8528" spans="38:38" x14ac:dyDescent="0.25">
      <c r="AL8528" s="6"/>
    </row>
    <row r="8529" spans="38:38" x14ac:dyDescent="0.25">
      <c r="AL8529" s="6"/>
    </row>
    <row r="8530" spans="38:38" x14ac:dyDescent="0.25">
      <c r="AL8530" s="6"/>
    </row>
    <row r="8531" spans="38:38" x14ac:dyDescent="0.25">
      <c r="AL8531" s="6"/>
    </row>
    <row r="8532" spans="38:38" x14ac:dyDescent="0.25">
      <c r="AL8532" s="6"/>
    </row>
    <row r="8533" spans="38:38" x14ac:dyDescent="0.25">
      <c r="AL8533" s="6"/>
    </row>
    <row r="8534" spans="38:38" x14ac:dyDescent="0.25">
      <c r="AL8534" s="6"/>
    </row>
    <row r="8535" spans="38:38" x14ac:dyDescent="0.25">
      <c r="AL8535" s="6"/>
    </row>
    <row r="8536" spans="38:38" x14ac:dyDescent="0.25">
      <c r="AL8536" s="6"/>
    </row>
    <row r="8537" spans="38:38" x14ac:dyDescent="0.25">
      <c r="AL8537" s="6"/>
    </row>
    <row r="8538" spans="38:38" x14ac:dyDescent="0.25">
      <c r="AL8538" s="6"/>
    </row>
    <row r="8539" spans="38:38" x14ac:dyDescent="0.25">
      <c r="AL8539" s="6"/>
    </row>
    <row r="8540" spans="38:38" x14ac:dyDescent="0.25">
      <c r="AL8540" s="6"/>
    </row>
    <row r="8541" spans="38:38" x14ac:dyDescent="0.25">
      <c r="AL8541" s="6"/>
    </row>
    <row r="8542" spans="38:38" x14ac:dyDescent="0.25">
      <c r="AL8542" s="6"/>
    </row>
    <row r="8543" spans="38:38" x14ac:dyDescent="0.25">
      <c r="AL8543" s="6"/>
    </row>
    <row r="8544" spans="38:38" x14ac:dyDescent="0.25">
      <c r="AL8544" s="6"/>
    </row>
    <row r="8545" spans="38:38" x14ac:dyDescent="0.25">
      <c r="AL8545" s="6"/>
    </row>
    <row r="8546" spans="38:38" x14ac:dyDescent="0.25">
      <c r="AL8546" s="6"/>
    </row>
    <row r="8547" spans="38:38" x14ac:dyDescent="0.25">
      <c r="AL8547" s="6"/>
    </row>
    <row r="8548" spans="38:38" x14ac:dyDescent="0.25">
      <c r="AL8548" s="6"/>
    </row>
    <row r="8549" spans="38:38" x14ac:dyDescent="0.25">
      <c r="AL8549" s="6"/>
    </row>
    <row r="8550" spans="38:38" x14ac:dyDescent="0.25">
      <c r="AL8550" s="6"/>
    </row>
    <row r="8551" spans="38:38" x14ac:dyDescent="0.25">
      <c r="AL8551" s="6"/>
    </row>
    <row r="8552" spans="38:38" x14ac:dyDescent="0.25">
      <c r="AL8552" s="6"/>
    </row>
    <row r="8553" spans="38:38" x14ac:dyDescent="0.25">
      <c r="AL8553" s="6"/>
    </row>
    <row r="8554" spans="38:38" x14ac:dyDescent="0.25">
      <c r="AL8554" s="6"/>
    </row>
    <row r="8555" spans="38:38" x14ac:dyDescent="0.25">
      <c r="AL8555" s="6"/>
    </row>
    <row r="8556" spans="38:38" x14ac:dyDescent="0.25">
      <c r="AL8556" s="6"/>
    </row>
    <row r="8557" spans="38:38" x14ac:dyDescent="0.25">
      <c r="AL8557" s="6"/>
    </row>
    <row r="8558" spans="38:38" x14ac:dyDescent="0.25">
      <c r="AL8558" s="6"/>
    </row>
    <row r="8559" spans="38:38" x14ac:dyDescent="0.25">
      <c r="AL8559" s="6"/>
    </row>
    <row r="8560" spans="38:38" x14ac:dyDescent="0.25">
      <c r="AL8560" s="6"/>
    </row>
    <row r="8561" spans="38:38" x14ac:dyDescent="0.25">
      <c r="AL8561" s="6"/>
    </row>
    <row r="8562" spans="38:38" x14ac:dyDescent="0.25">
      <c r="AL8562" s="6"/>
    </row>
    <row r="8563" spans="38:38" x14ac:dyDescent="0.25">
      <c r="AL8563" s="6"/>
    </row>
    <row r="8564" spans="38:38" x14ac:dyDescent="0.25">
      <c r="AL8564" s="6"/>
    </row>
    <row r="8565" spans="38:38" x14ac:dyDescent="0.25">
      <c r="AL8565" s="6"/>
    </row>
    <row r="8566" spans="38:38" x14ac:dyDescent="0.25">
      <c r="AL8566" s="6"/>
    </row>
    <row r="8567" spans="38:38" x14ac:dyDescent="0.25">
      <c r="AL8567" s="6"/>
    </row>
    <row r="8568" spans="38:38" x14ac:dyDescent="0.25">
      <c r="AL8568" s="6"/>
    </row>
    <row r="8569" spans="38:38" x14ac:dyDescent="0.25">
      <c r="AL8569" s="6"/>
    </row>
    <row r="8570" spans="38:38" x14ac:dyDescent="0.25">
      <c r="AL8570" s="6"/>
    </row>
    <row r="8571" spans="38:38" x14ac:dyDescent="0.25">
      <c r="AL8571" s="6"/>
    </row>
    <row r="8572" spans="38:38" x14ac:dyDescent="0.25">
      <c r="AL8572" s="6"/>
    </row>
    <row r="8573" spans="38:38" x14ac:dyDescent="0.25">
      <c r="AL8573" s="6"/>
    </row>
    <row r="8574" spans="38:38" x14ac:dyDescent="0.25">
      <c r="AL8574" s="6"/>
    </row>
    <row r="8575" spans="38:38" x14ac:dyDescent="0.25">
      <c r="AL8575" s="6"/>
    </row>
    <row r="8576" spans="38:38" x14ac:dyDescent="0.25">
      <c r="AL8576" s="6"/>
    </row>
    <row r="8577" spans="38:38" x14ac:dyDescent="0.25">
      <c r="AL8577" s="6"/>
    </row>
    <row r="8578" spans="38:38" x14ac:dyDescent="0.25">
      <c r="AL8578" s="6"/>
    </row>
    <row r="8579" spans="38:38" x14ac:dyDescent="0.25">
      <c r="AL8579" s="6"/>
    </row>
    <row r="8580" spans="38:38" x14ac:dyDescent="0.25">
      <c r="AL8580" s="6"/>
    </row>
    <row r="8581" spans="38:38" x14ac:dyDescent="0.25">
      <c r="AL8581" s="6"/>
    </row>
    <row r="8582" spans="38:38" x14ac:dyDescent="0.25">
      <c r="AL8582" s="6"/>
    </row>
    <row r="8583" spans="38:38" x14ac:dyDescent="0.25">
      <c r="AL8583" s="6"/>
    </row>
    <row r="8584" spans="38:38" x14ac:dyDescent="0.25">
      <c r="AL8584" s="6"/>
    </row>
    <row r="8585" spans="38:38" x14ac:dyDescent="0.25">
      <c r="AL8585" s="6"/>
    </row>
    <row r="8586" spans="38:38" x14ac:dyDescent="0.25">
      <c r="AL8586" s="6"/>
    </row>
    <row r="8587" spans="38:38" x14ac:dyDescent="0.25">
      <c r="AL8587" s="6"/>
    </row>
    <row r="8588" spans="38:38" x14ac:dyDescent="0.25">
      <c r="AL8588" s="6"/>
    </row>
    <row r="8589" spans="38:38" x14ac:dyDescent="0.25">
      <c r="AL8589" s="6"/>
    </row>
    <row r="8590" spans="38:38" x14ac:dyDescent="0.25">
      <c r="AL8590" s="6"/>
    </row>
    <row r="8591" spans="38:38" x14ac:dyDescent="0.25">
      <c r="AL8591" s="6"/>
    </row>
    <row r="8592" spans="38:38" x14ac:dyDescent="0.25">
      <c r="AL8592" s="6"/>
    </row>
    <row r="8593" spans="38:38" x14ac:dyDescent="0.25">
      <c r="AL8593" s="6"/>
    </row>
    <row r="8594" spans="38:38" x14ac:dyDescent="0.25">
      <c r="AL8594" s="6"/>
    </row>
    <row r="8595" spans="38:38" x14ac:dyDescent="0.25">
      <c r="AL8595" s="6"/>
    </row>
    <row r="8596" spans="38:38" x14ac:dyDescent="0.25">
      <c r="AL8596" s="6"/>
    </row>
    <row r="8597" spans="38:38" x14ac:dyDescent="0.25">
      <c r="AL8597" s="6"/>
    </row>
    <row r="8598" spans="38:38" x14ac:dyDescent="0.25">
      <c r="AL8598" s="6"/>
    </row>
    <row r="8599" spans="38:38" x14ac:dyDescent="0.25">
      <c r="AL8599" s="6"/>
    </row>
    <row r="8600" spans="38:38" x14ac:dyDescent="0.25">
      <c r="AL8600" s="6"/>
    </row>
    <row r="8601" spans="38:38" x14ac:dyDescent="0.25">
      <c r="AL8601" s="6"/>
    </row>
    <row r="8602" spans="38:38" x14ac:dyDescent="0.25">
      <c r="AL8602" s="6"/>
    </row>
    <row r="8603" spans="38:38" x14ac:dyDescent="0.25">
      <c r="AL8603" s="6"/>
    </row>
    <row r="8604" spans="38:38" x14ac:dyDescent="0.25">
      <c r="AL8604" s="6"/>
    </row>
    <row r="8605" spans="38:38" x14ac:dyDescent="0.25">
      <c r="AL8605" s="6"/>
    </row>
    <row r="8606" spans="38:38" x14ac:dyDescent="0.25">
      <c r="AL8606" s="6"/>
    </row>
    <row r="8607" spans="38:38" x14ac:dyDescent="0.25">
      <c r="AL8607" s="6"/>
    </row>
    <row r="8608" spans="38:38" x14ac:dyDescent="0.25">
      <c r="AL8608" s="6"/>
    </row>
    <row r="8609" spans="38:38" x14ac:dyDescent="0.25">
      <c r="AL8609" s="6"/>
    </row>
    <row r="8610" spans="38:38" x14ac:dyDescent="0.25">
      <c r="AL8610" s="6"/>
    </row>
    <row r="8611" spans="38:38" x14ac:dyDescent="0.25">
      <c r="AL8611" s="6"/>
    </row>
    <row r="8612" spans="38:38" x14ac:dyDescent="0.25">
      <c r="AL8612" s="6"/>
    </row>
    <row r="8613" spans="38:38" x14ac:dyDescent="0.25">
      <c r="AL8613" s="6"/>
    </row>
    <row r="8614" spans="38:38" x14ac:dyDescent="0.25">
      <c r="AL8614" s="6"/>
    </row>
    <row r="8615" spans="38:38" x14ac:dyDescent="0.25">
      <c r="AL8615" s="6"/>
    </row>
    <row r="8616" spans="38:38" x14ac:dyDescent="0.25">
      <c r="AL8616" s="6"/>
    </row>
    <row r="8617" spans="38:38" x14ac:dyDescent="0.25">
      <c r="AL8617" s="6"/>
    </row>
    <row r="8618" spans="38:38" x14ac:dyDescent="0.25">
      <c r="AL8618" s="6"/>
    </row>
    <row r="8619" spans="38:38" x14ac:dyDescent="0.25">
      <c r="AL8619" s="6"/>
    </row>
    <row r="8620" spans="38:38" x14ac:dyDescent="0.25">
      <c r="AL8620" s="6"/>
    </row>
    <row r="8621" spans="38:38" x14ac:dyDescent="0.25">
      <c r="AL8621" s="6"/>
    </row>
    <row r="8622" spans="38:38" x14ac:dyDescent="0.25">
      <c r="AL8622" s="6"/>
    </row>
    <row r="8623" spans="38:38" x14ac:dyDescent="0.25">
      <c r="AL8623" s="6"/>
    </row>
    <row r="8624" spans="38:38" x14ac:dyDescent="0.25">
      <c r="AL8624" s="6"/>
    </row>
    <row r="8625" spans="38:38" x14ac:dyDescent="0.25">
      <c r="AL8625" s="6"/>
    </row>
    <row r="8626" spans="38:38" x14ac:dyDescent="0.25">
      <c r="AL8626" s="6"/>
    </row>
    <row r="8627" spans="38:38" x14ac:dyDescent="0.25">
      <c r="AL8627" s="6"/>
    </row>
    <row r="8628" spans="38:38" x14ac:dyDescent="0.25">
      <c r="AL8628" s="6"/>
    </row>
    <row r="8629" spans="38:38" x14ac:dyDescent="0.25">
      <c r="AL8629" s="6"/>
    </row>
    <row r="8630" spans="38:38" x14ac:dyDescent="0.25">
      <c r="AL8630" s="6"/>
    </row>
    <row r="8631" spans="38:38" x14ac:dyDescent="0.25">
      <c r="AL8631" s="6"/>
    </row>
    <row r="8632" spans="38:38" x14ac:dyDescent="0.25">
      <c r="AL8632" s="6"/>
    </row>
    <row r="8633" spans="38:38" x14ac:dyDescent="0.25">
      <c r="AL8633" s="6"/>
    </row>
    <row r="8634" spans="38:38" x14ac:dyDescent="0.25">
      <c r="AL8634" s="6"/>
    </row>
    <row r="8635" spans="38:38" x14ac:dyDescent="0.25">
      <c r="AL8635" s="6"/>
    </row>
    <row r="8636" spans="38:38" x14ac:dyDescent="0.25">
      <c r="AL8636" s="6"/>
    </row>
    <row r="8637" spans="38:38" x14ac:dyDescent="0.25">
      <c r="AL8637" s="6"/>
    </row>
    <row r="8638" spans="38:38" x14ac:dyDescent="0.25">
      <c r="AL8638" s="6"/>
    </row>
    <row r="8639" spans="38:38" x14ac:dyDescent="0.25">
      <c r="AL8639" s="6"/>
    </row>
    <row r="8640" spans="38:38" x14ac:dyDescent="0.25">
      <c r="AL8640" s="6"/>
    </row>
    <row r="8641" spans="38:38" x14ac:dyDescent="0.25">
      <c r="AL8641" s="6"/>
    </row>
    <row r="8642" spans="38:38" x14ac:dyDescent="0.25">
      <c r="AL8642" s="6"/>
    </row>
    <row r="8643" spans="38:38" x14ac:dyDescent="0.25">
      <c r="AL8643" s="6"/>
    </row>
    <row r="8644" spans="38:38" x14ac:dyDescent="0.25">
      <c r="AL8644" s="6"/>
    </row>
    <row r="8645" spans="38:38" x14ac:dyDescent="0.25">
      <c r="AL8645" s="6"/>
    </row>
    <row r="8646" spans="38:38" x14ac:dyDescent="0.25">
      <c r="AL8646" s="6"/>
    </row>
    <row r="8647" spans="38:38" x14ac:dyDescent="0.25">
      <c r="AL8647" s="6"/>
    </row>
    <row r="8648" spans="38:38" x14ac:dyDescent="0.25">
      <c r="AL8648" s="6"/>
    </row>
    <row r="8649" spans="38:38" x14ac:dyDescent="0.25">
      <c r="AL8649" s="6"/>
    </row>
    <row r="8650" spans="38:38" x14ac:dyDescent="0.25">
      <c r="AL8650" s="6"/>
    </row>
    <row r="8651" spans="38:38" x14ac:dyDescent="0.25">
      <c r="AL8651" s="6"/>
    </row>
    <row r="8652" spans="38:38" x14ac:dyDescent="0.25">
      <c r="AL8652" s="6"/>
    </row>
    <row r="8653" spans="38:38" x14ac:dyDescent="0.25">
      <c r="AL8653" s="6"/>
    </row>
    <row r="8654" spans="38:38" x14ac:dyDescent="0.25">
      <c r="AL8654" s="6"/>
    </row>
    <row r="8655" spans="38:38" x14ac:dyDescent="0.25">
      <c r="AL8655" s="6"/>
    </row>
    <row r="8656" spans="38:38" x14ac:dyDescent="0.25">
      <c r="AL8656" s="6"/>
    </row>
    <row r="8657" spans="38:38" x14ac:dyDescent="0.25">
      <c r="AL8657" s="6"/>
    </row>
    <row r="8658" spans="38:38" x14ac:dyDescent="0.25">
      <c r="AL8658" s="6"/>
    </row>
    <row r="8659" spans="38:38" x14ac:dyDescent="0.25">
      <c r="AL8659" s="6"/>
    </row>
    <row r="8660" spans="38:38" x14ac:dyDescent="0.25">
      <c r="AL8660" s="6"/>
    </row>
    <row r="8661" spans="38:38" x14ac:dyDescent="0.25">
      <c r="AL8661" s="6"/>
    </row>
    <row r="8662" spans="38:38" x14ac:dyDescent="0.25">
      <c r="AL8662" s="6"/>
    </row>
    <row r="8663" spans="38:38" x14ac:dyDescent="0.25">
      <c r="AL8663" s="6"/>
    </row>
    <row r="8664" spans="38:38" x14ac:dyDescent="0.25">
      <c r="AL8664" s="6"/>
    </row>
    <row r="8665" spans="38:38" x14ac:dyDescent="0.25">
      <c r="AL8665" s="6"/>
    </row>
    <row r="8666" spans="38:38" x14ac:dyDescent="0.25">
      <c r="AL8666" s="6"/>
    </row>
    <row r="8667" spans="38:38" x14ac:dyDescent="0.25">
      <c r="AL8667" s="6"/>
    </row>
    <row r="8668" spans="38:38" x14ac:dyDescent="0.25">
      <c r="AL8668" s="6"/>
    </row>
    <row r="8669" spans="38:38" x14ac:dyDescent="0.25">
      <c r="AL8669" s="6"/>
    </row>
    <row r="8670" spans="38:38" x14ac:dyDescent="0.25">
      <c r="AL8670" s="6"/>
    </row>
    <row r="8671" spans="38:38" x14ac:dyDescent="0.25">
      <c r="AL8671" s="6"/>
    </row>
    <row r="8672" spans="38:38" x14ac:dyDescent="0.25">
      <c r="AL8672" s="6"/>
    </row>
    <row r="8673" spans="38:38" x14ac:dyDescent="0.25">
      <c r="AL8673" s="6"/>
    </row>
    <row r="8674" spans="38:38" x14ac:dyDescent="0.25">
      <c r="AL8674" s="6"/>
    </row>
    <row r="8675" spans="38:38" x14ac:dyDescent="0.25">
      <c r="AL8675" s="6"/>
    </row>
    <row r="8676" spans="38:38" x14ac:dyDescent="0.25">
      <c r="AL8676" s="6"/>
    </row>
    <row r="8677" spans="38:38" x14ac:dyDescent="0.25">
      <c r="AL8677" s="6"/>
    </row>
    <row r="8678" spans="38:38" x14ac:dyDescent="0.25">
      <c r="AL8678" s="6"/>
    </row>
    <row r="8679" spans="38:38" x14ac:dyDescent="0.25">
      <c r="AL8679" s="6"/>
    </row>
    <row r="8680" spans="38:38" x14ac:dyDescent="0.25">
      <c r="AL8680" s="6"/>
    </row>
    <row r="8681" spans="38:38" x14ac:dyDescent="0.25">
      <c r="AL8681" s="6"/>
    </row>
    <row r="8682" spans="38:38" x14ac:dyDescent="0.25">
      <c r="AL8682" s="6"/>
    </row>
    <row r="8683" spans="38:38" x14ac:dyDescent="0.25">
      <c r="AL8683" s="6"/>
    </row>
    <row r="8684" spans="38:38" x14ac:dyDescent="0.25">
      <c r="AL8684" s="6"/>
    </row>
    <row r="8685" spans="38:38" x14ac:dyDescent="0.25">
      <c r="AL8685" s="6"/>
    </row>
    <row r="8686" spans="38:38" x14ac:dyDescent="0.25">
      <c r="AL8686" s="6"/>
    </row>
    <row r="8687" spans="38:38" x14ac:dyDescent="0.25">
      <c r="AL8687" s="6"/>
    </row>
    <row r="8688" spans="38:38" x14ac:dyDescent="0.25">
      <c r="AL8688" s="6"/>
    </row>
    <row r="8689" spans="38:38" x14ac:dyDescent="0.25">
      <c r="AL8689" s="6"/>
    </row>
    <row r="8690" spans="38:38" x14ac:dyDescent="0.25">
      <c r="AL8690" s="6"/>
    </row>
    <row r="8691" spans="38:38" x14ac:dyDescent="0.25">
      <c r="AL8691" s="6"/>
    </row>
    <row r="8692" spans="38:38" x14ac:dyDescent="0.25">
      <c r="AL8692" s="6"/>
    </row>
    <row r="8693" spans="38:38" x14ac:dyDescent="0.25">
      <c r="AL8693" s="6"/>
    </row>
    <row r="8694" spans="38:38" x14ac:dyDescent="0.25">
      <c r="AL8694" s="6"/>
    </row>
    <row r="8695" spans="38:38" x14ac:dyDescent="0.25">
      <c r="AL8695" s="6"/>
    </row>
    <row r="8696" spans="38:38" x14ac:dyDescent="0.25">
      <c r="AL8696" s="6"/>
    </row>
    <row r="8697" spans="38:38" x14ac:dyDescent="0.25">
      <c r="AL8697" s="6"/>
    </row>
    <row r="8698" spans="38:38" x14ac:dyDescent="0.25">
      <c r="AL8698" s="6"/>
    </row>
    <row r="8699" spans="38:38" x14ac:dyDescent="0.25">
      <c r="AL8699" s="6"/>
    </row>
    <row r="8700" spans="38:38" x14ac:dyDescent="0.25">
      <c r="AL8700" s="6"/>
    </row>
    <row r="8701" spans="38:38" x14ac:dyDescent="0.25">
      <c r="AL8701" s="6"/>
    </row>
    <row r="8702" spans="38:38" x14ac:dyDescent="0.25">
      <c r="AL8702" s="6"/>
    </row>
    <row r="8703" spans="38:38" x14ac:dyDescent="0.25">
      <c r="AL8703" s="6"/>
    </row>
    <row r="8704" spans="38:38" x14ac:dyDescent="0.25">
      <c r="AL8704" s="6"/>
    </row>
    <row r="8705" spans="38:38" x14ac:dyDescent="0.25">
      <c r="AL8705" s="6"/>
    </row>
    <row r="8706" spans="38:38" x14ac:dyDescent="0.25">
      <c r="AL8706" s="6"/>
    </row>
    <row r="8707" spans="38:38" x14ac:dyDescent="0.25">
      <c r="AL8707" s="6"/>
    </row>
    <row r="8708" spans="38:38" x14ac:dyDescent="0.25">
      <c r="AL8708" s="6"/>
    </row>
    <row r="8709" spans="38:38" x14ac:dyDescent="0.25">
      <c r="AL8709" s="6"/>
    </row>
    <row r="8710" spans="38:38" x14ac:dyDescent="0.25">
      <c r="AL8710" s="6"/>
    </row>
    <row r="8711" spans="38:38" x14ac:dyDescent="0.25">
      <c r="AL8711" s="6"/>
    </row>
    <row r="8712" spans="38:38" x14ac:dyDescent="0.25">
      <c r="AL8712" s="6"/>
    </row>
    <row r="8713" spans="38:38" x14ac:dyDescent="0.25">
      <c r="AL8713" s="6"/>
    </row>
    <row r="8714" spans="38:38" x14ac:dyDescent="0.25">
      <c r="AL8714" s="6"/>
    </row>
    <row r="8715" spans="38:38" x14ac:dyDescent="0.25">
      <c r="AL8715" s="6"/>
    </row>
    <row r="8716" spans="38:38" x14ac:dyDescent="0.25">
      <c r="AL8716" s="6"/>
    </row>
    <row r="8717" spans="38:38" x14ac:dyDescent="0.25">
      <c r="AL8717" s="6"/>
    </row>
    <row r="8718" spans="38:38" x14ac:dyDescent="0.25">
      <c r="AL8718" s="6"/>
    </row>
    <row r="8719" spans="38:38" x14ac:dyDescent="0.25">
      <c r="AL8719" s="6"/>
    </row>
    <row r="8720" spans="38:38" x14ac:dyDescent="0.25">
      <c r="AL8720" s="6"/>
    </row>
    <row r="8721" spans="38:38" x14ac:dyDescent="0.25">
      <c r="AL8721" s="6"/>
    </row>
    <row r="8722" spans="38:38" x14ac:dyDescent="0.25">
      <c r="AL8722" s="6"/>
    </row>
    <row r="8723" spans="38:38" x14ac:dyDescent="0.25">
      <c r="AL8723" s="6"/>
    </row>
    <row r="8724" spans="38:38" x14ac:dyDescent="0.25">
      <c r="AL8724" s="6"/>
    </row>
    <row r="8725" spans="38:38" x14ac:dyDescent="0.25">
      <c r="AL8725" s="6"/>
    </row>
    <row r="8726" spans="38:38" x14ac:dyDescent="0.25">
      <c r="AL8726" s="6"/>
    </row>
    <row r="8727" spans="38:38" x14ac:dyDescent="0.25">
      <c r="AL8727" s="6"/>
    </row>
    <row r="8728" spans="38:38" x14ac:dyDescent="0.25">
      <c r="AL8728" s="6"/>
    </row>
    <row r="8729" spans="38:38" x14ac:dyDescent="0.25">
      <c r="AL8729" s="6"/>
    </row>
    <row r="8730" spans="38:38" x14ac:dyDescent="0.25">
      <c r="AL8730" s="6"/>
    </row>
    <row r="8731" spans="38:38" x14ac:dyDescent="0.25">
      <c r="AL8731" s="6"/>
    </row>
    <row r="8732" spans="38:38" x14ac:dyDescent="0.25">
      <c r="AL8732" s="6"/>
    </row>
    <row r="8733" spans="38:38" x14ac:dyDescent="0.25">
      <c r="AL8733" s="6"/>
    </row>
    <row r="8734" spans="38:38" x14ac:dyDescent="0.25">
      <c r="AL8734" s="6"/>
    </row>
    <row r="8735" spans="38:38" x14ac:dyDescent="0.25">
      <c r="AL8735" s="6"/>
    </row>
    <row r="8736" spans="38:38" x14ac:dyDescent="0.25">
      <c r="AL8736" s="6"/>
    </row>
    <row r="8737" spans="38:38" x14ac:dyDescent="0.25">
      <c r="AL8737" s="6"/>
    </row>
    <row r="8738" spans="38:38" x14ac:dyDescent="0.25">
      <c r="AL8738" s="6"/>
    </row>
    <row r="8739" spans="38:38" x14ac:dyDescent="0.25">
      <c r="AL8739" s="6"/>
    </row>
    <row r="8740" spans="38:38" x14ac:dyDescent="0.25">
      <c r="AL8740" s="6"/>
    </row>
    <row r="8741" spans="38:38" x14ac:dyDescent="0.25">
      <c r="AL8741" s="6"/>
    </row>
    <row r="8742" spans="38:38" x14ac:dyDescent="0.25">
      <c r="AL8742" s="6"/>
    </row>
    <row r="8743" spans="38:38" x14ac:dyDescent="0.25">
      <c r="AL8743" s="6"/>
    </row>
    <row r="8744" spans="38:38" x14ac:dyDescent="0.25">
      <c r="AL8744" s="6"/>
    </row>
    <row r="8745" spans="38:38" x14ac:dyDescent="0.25">
      <c r="AL8745" s="6"/>
    </row>
    <row r="8746" spans="38:38" x14ac:dyDescent="0.25">
      <c r="AL8746" s="6"/>
    </row>
    <row r="8747" spans="38:38" x14ac:dyDescent="0.25">
      <c r="AL8747" s="6"/>
    </row>
    <row r="8748" spans="38:38" x14ac:dyDescent="0.25">
      <c r="AL8748" s="6"/>
    </row>
    <row r="8749" spans="38:38" x14ac:dyDescent="0.25">
      <c r="AL8749" s="6"/>
    </row>
    <row r="8750" spans="38:38" x14ac:dyDescent="0.25">
      <c r="AL8750" s="6"/>
    </row>
    <row r="8751" spans="38:38" x14ac:dyDescent="0.25">
      <c r="AL8751" s="6"/>
    </row>
    <row r="8752" spans="38:38" x14ac:dyDescent="0.25">
      <c r="AL8752" s="6"/>
    </row>
    <row r="8753" spans="38:38" x14ac:dyDescent="0.25">
      <c r="AL8753" s="6"/>
    </row>
    <row r="8754" spans="38:38" x14ac:dyDescent="0.25">
      <c r="AL8754" s="6"/>
    </row>
    <row r="8755" spans="38:38" x14ac:dyDescent="0.25">
      <c r="AL8755" s="6"/>
    </row>
    <row r="8756" spans="38:38" x14ac:dyDescent="0.25">
      <c r="AL8756" s="6"/>
    </row>
    <row r="8757" spans="38:38" x14ac:dyDescent="0.25">
      <c r="AL8757" s="6"/>
    </row>
    <row r="8758" spans="38:38" x14ac:dyDescent="0.25">
      <c r="AL8758" s="6"/>
    </row>
    <row r="8759" spans="38:38" x14ac:dyDescent="0.25">
      <c r="AL8759" s="6"/>
    </row>
    <row r="8760" spans="38:38" x14ac:dyDescent="0.25">
      <c r="AL8760" s="6"/>
    </row>
    <row r="8761" spans="38:38" x14ac:dyDescent="0.25">
      <c r="AL8761" s="6"/>
    </row>
    <row r="8762" spans="38:38" x14ac:dyDescent="0.25">
      <c r="AL8762" s="6"/>
    </row>
    <row r="8763" spans="38:38" x14ac:dyDescent="0.25">
      <c r="AL8763" s="6"/>
    </row>
    <row r="8764" spans="38:38" x14ac:dyDescent="0.25">
      <c r="AL8764" s="6"/>
    </row>
    <row r="8765" spans="38:38" x14ac:dyDescent="0.25">
      <c r="AL8765" s="6"/>
    </row>
    <row r="8766" spans="38:38" x14ac:dyDescent="0.25">
      <c r="AL8766" s="6"/>
    </row>
    <row r="8767" spans="38:38" x14ac:dyDescent="0.25">
      <c r="AL8767" s="6"/>
    </row>
    <row r="8768" spans="38:38" x14ac:dyDescent="0.25">
      <c r="AL8768" s="6"/>
    </row>
    <row r="8769" spans="38:38" x14ac:dyDescent="0.25">
      <c r="AL8769" s="6"/>
    </row>
    <row r="8770" spans="38:38" x14ac:dyDescent="0.25">
      <c r="AL8770" s="6"/>
    </row>
    <row r="8771" spans="38:38" x14ac:dyDescent="0.25">
      <c r="AL8771" s="6"/>
    </row>
    <row r="8772" spans="38:38" x14ac:dyDescent="0.25">
      <c r="AL8772" s="6"/>
    </row>
    <row r="8773" spans="38:38" x14ac:dyDescent="0.25">
      <c r="AL8773" s="6"/>
    </row>
    <row r="8774" spans="38:38" x14ac:dyDescent="0.25">
      <c r="AL8774" s="6"/>
    </row>
    <row r="8775" spans="38:38" x14ac:dyDescent="0.25">
      <c r="AL8775" s="6"/>
    </row>
    <row r="8776" spans="38:38" x14ac:dyDescent="0.25">
      <c r="AL8776" s="6"/>
    </row>
    <row r="8777" spans="38:38" x14ac:dyDescent="0.25">
      <c r="AL8777" s="6"/>
    </row>
    <row r="8778" spans="38:38" x14ac:dyDescent="0.25">
      <c r="AL8778" s="6"/>
    </row>
    <row r="8779" spans="38:38" x14ac:dyDescent="0.25">
      <c r="AL8779" s="6"/>
    </row>
    <row r="8780" spans="38:38" x14ac:dyDescent="0.25">
      <c r="AL8780" s="6"/>
    </row>
    <row r="8781" spans="38:38" x14ac:dyDescent="0.25">
      <c r="AL8781" s="6"/>
    </row>
    <row r="8782" spans="38:38" x14ac:dyDescent="0.25">
      <c r="AL8782" s="6"/>
    </row>
    <row r="8783" spans="38:38" x14ac:dyDescent="0.25">
      <c r="AL8783" s="6"/>
    </row>
    <row r="8784" spans="38:38" x14ac:dyDescent="0.25">
      <c r="AL8784" s="6"/>
    </row>
    <row r="8785" spans="38:38" x14ac:dyDescent="0.25">
      <c r="AL8785" s="6"/>
    </row>
    <row r="8786" spans="38:38" x14ac:dyDescent="0.25">
      <c r="AL8786" s="6"/>
    </row>
    <row r="8787" spans="38:38" x14ac:dyDescent="0.25">
      <c r="AL8787" s="6"/>
    </row>
    <row r="8788" spans="38:38" x14ac:dyDescent="0.25">
      <c r="AL8788" s="6"/>
    </row>
    <row r="8789" spans="38:38" x14ac:dyDescent="0.25">
      <c r="AL8789" s="6"/>
    </row>
    <row r="8790" spans="38:38" x14ac:dyDescent="0.25">
      <c r="AL8790" s="6"/>
    </row>
    <row r="8791" spans="38:38" x14ac:dyDescent="0.25">
      <c r="AL8791" s="6"/>
    </row>
    <row r="8792" spans="38:38" x14ac:dyDescent="0.25">
      <c r="AL8792" s="6"/>
    </row>
    <row r="8793" spans="38:38" x14ac:dyDescent="0.25">
      <c r="AL8793" s="6"/>
    </row>
    <row r="8794" spans="38:38" x14ac:dyDescent="0.25">
      <c r="AL8794" s="6"/>
    </row>
    <row r="8795" spans="38:38" x14ac:dyDescent="0.25">
      <c r="AL8795" s="6"/>
    </row>
    <row r="8796" spans="38:38" x14ac:dyDescent="0.25">
      <c r="AL8796" s="6"/>
    </row>
    <row r="8797" spans="38:38" x14ac:dyDescent="0.25">
      <c r="AL8797" s="6"/>
    </row>
    <row r="8798" spans="38:38" x14ac:dyDescent="0.25">
      <c r="AL8798" s="6"/>
    </row>
    <row r="8799" spans="38:38" x14ac:dyDescent="0.25">
      <c r="AL8799" s="6"/>
    </row>
    <row r="8800" spans="38:38" x14ac:dyDescent="0.25">
      <c r="AL8800" s="6"/>
    </row>
    <row r="8801" spans="38:38" x14ac:dyDescent="0.25">
      <c r="AL8801" s="6"/>
    </row>
    <row r="8802" spans="38:38" x14ac:dyDescent="0.25">
      <c r="AL8802" s="6"/>
    </row>
    <row r="8803" spans="38:38" x14ac:dyDescent="0.25">
      <c r="AL8803" s="6"/>
    </row>
    <row r="8804" spans="38:38" x14ac:dyDescent="0.25">
      <c r="AL8804" s="6"/>
    </row>
    <row r="8805" spans="38:38" x14ac:dyDescent="0.25">
      <c r="AL8805" s="6"/>
    </row>
    <row r="8806" spans="38:38" x14ac:dyDescent="0.25">
      <c r="AL8806" s="6"/>
    </row>
    <row r="8807" spans="38:38" x14ac:dyDescent="0.25">
      <c r="AL8807" s="6"/>
    </row>
    <row r="8808" spans="38:38" x14ac:dyDescent="0.25">
      <c r="AL8808" s="6"/>
    </row>
    <row r="8809" spans="38:38" x14ac:dyDescent="0.25">
      <c r="AL8809" s="6"/>
    </row>
    <row r="8810" spans="38:38" x14ac:dyDescent="0.25">
      <c r="AL8810" s="6"/>
    </row>
    <row r="8811" spans="38:38" x14ac:dyDescent="0.25">
      <c r="AL8811" s="6"/>
    </row>
    <row r="8812" spans="38:38" x14ac:dyDescent="0.25">
      <c r="AL8812" s="6"/>
    </row>
    <row r="8813" spans="38:38" x14ac:dyDescent="0.25">
      <c r="AL8813" s="6"/>
    </row>
    <row r="8814" spans="38:38" x14ac:dyDescent="0.25">
      <c r="AL8814" s="6"/>
    </row>
    <row r="8815" spans="38:38" x14ac:dyDescent="0.25">
      <c r="AL8815" s="6"/>
    </row>
    <row r="8816" spans="38:38" x14ac:dyDescent="0.25">
      <c r="AL8816" s="6"/>
    </row>
    <row r="8817" spans="38:38" x14ac:dyDescent="0.25">
      <c r="AL8817" s="6"/>
    </row>
    <row r="8818" spans="38:38" x14ac:dyDescent="0.25">
      <c r="AL8818" s="6"/>
    </row>
    <row r="8819" spans="38:38" x14ac:dyDescent="0.25">
      <c r="AL8819" s="6"/>
    </row>
    <row r="8820" spans="38:38" x14ac:dyDescent="0.25">
      <c r="AL8820" s="6"/>
    </row>
    <row r="8821" spans="38:38" x14ac:dyDescent="0.25">
      <c r="AL8821" s="6"/>
    </row>
    <row r="8822" spans="38:38" x14ac:dyDescent="0.25">
      <c r="AL8822" s="6"/>
    </row>
    <row r="8823" spans="38:38" x14ac:dyDescent="0.25">
      <c r="AL8823" s="6"/>
    </row>
    <row r="8824" spans="38:38" x14ac:dyDescent="0.25">
      <c r="AL8824" s="6"/>
    </row>
    <row r="8825" spans="38:38" x14ac:dyDescent="0.25">
      <c r="AL8825" s="6"/>
    </row>
    <row r="8826" spans="38:38" x14ac:dyDescent="0.25">
      <c r="AL8826" s="6"/>
    </row>
    <row r="8827" spans="38:38" x14ac:dyDescent="0.25">
      <c r="AL8827" s="6"/>
    </row>
    <row r="8828" spans="38:38" x14ac:dyDescent="0.25">
      <c r="AL8828" s="6"/>
    </row>
    <row r="8829" spans="38:38" x14ac:dyDescent="0.25">
      <c r="AL8829" s="6"/>
    </row>
    <row r="8830" spans="38:38" x14ac:dyDescent="0.25">
      <c r="AL8830" s="6"/>
    </row>
    <row r="8831" spans="38:38" x14ac:dyDescent="0.25">
      <c r="AL8831" s="6"/>
    </row>
    <row r="8832" spans="38:38" x14ac:dyDescent="0.25">
      <c r="AL8832" s="6"/>
    </row>
    <row r="8833" spans="38:38" x14ac:dyDescent="0.25">
      <c r="AL8833" s="6"/>
    </row>
    <row r="8834" spans="38:38" x14ac:dyDescent="0.25">
      <c r="AL8834" s="6"/>
    </row>
    <row r="8835" spans="38:38" x14ac:dyDescent="0.25">
      <c r="AL8835" s="6"/>
    </row>
    <row r="8836" spans="38:38" x14ac:dyDescent="0.25">
      <c r="AL8836" s="6"/>
    </row>
    <row r="8837" spans="38:38" x14ac:dyDescent="0.25">
      <c r="AL8837" s="6"/>
    </row>
    <row r="8838" spans="38:38" x14ac:dyDescent="0.25">
      <c r="AL8838" s="6"/>
    </row>
    <row r="8839" spans="38:38" x14ac:dyDescent="0.25">
      <c r="AL8839" s="6"/>
    </row>
    <row r="8840" spans="38:38" x14ac:dyDescent="0.25">
      <c r="AL8840" s="6"/>
    </row>
    <row r="8841" spans="38:38" x14ac:dyDescent="0.25">
      <c r="AL8841" s="6"/>
    </row>
    <row r="8842" spans="38:38" x14ac:dyDescent="0.25">
      <c r="AL8842" s="6"/>
    </row>
    <row r="8843" spans="38:38" x14ac:dyDescent="0.25">
      <c r="AL8843" s="6"/>
    </row>
    <row r="8844" spans="38:38" x14ac:dyDescent="0.25">
      <c r="AL8844" s="6"/>
    </row>
    <row r="8845" spans="38:38" x14ac:dyDescent="0.25">
      <c r="AL8845" s="6"/>
    </row>
    <row r="8846" spans="38:38" x14ac:dyDescent="0.25">
      <c r="AL8846" s="6"/>
    </row>
    <row r="8847" spans="38:38" x14ac:dyDescent="0.25">
      <c r="AL8847" s="6"/>
    </row>
    <row r="8848" spans="38:38" x14ac:dyDescent="0.25">
      <c r="AL8848" s="6"/>
    </row>
    <row r="8849" spans="38:38" x14ac:dyDescent="0.25">
      <c r="AL8849" s="6"/>
    </row>
    <row r="8850" spans="38:38" x14ac:dyDescent="0.25">
      <c r="AL8850" s="6"/>
    </row>
    <row r="8851" spans="38:38" x14ac:dyDescent="0.25">
      <c r="AL8851" s="6"/>
    </row>
    <row r="8852" spans="38:38" x14ac:dyDescent="0.25">
      <c r="AL8852" s="6"/>
    </row>
    <row r="8853" spans="38:38" x14ac:dyDescent="0.25">
      <c r="AL8853" s="6"/>
    </row>
    <row r="8854" spans="38:38" x14ac:dyDescent="0.25">
      <c r="AL8854" s="6"/>
    </row>
    <row r="8855" spans="38:38" x14ac:dyDescent="0.25">
      <c r="AL8855" s="6"/>
    </row>
    <row r="8856" spans="38:38" x14ac:dyDescent="0.25">
      <c r="AL8856" s="6"/>
    </row>
    <row r="8857" spans="38:38" x14ac:dyDescent="0.25">
      <c r="AL8857" s="6"/>
    </row>
    <row r="8858" spans="38:38" x14ac:dyDescent="0.25">
      <c r="AL8858" s="6"/>
    </row>
    <row r="8859" spans="38:38" x14ac:dyDescent="0.25">
      <c r="AL8859" s="6"/>
    </row>
    <row r="8860" spans="38:38" x14ac:dyDescent="0.25">
      <c r="AL8860" s="6"/>
    </row>
    <row r="8861" spans="38:38" x14ac:dyDescent="0.25">
      <c r="AL8861" s="6"/>
    </row>
    <row r="8862" spans="38:38" x14ac:dyDescent="0.25">
      <c r="AL8862" s="6"/>
    </row>
    <row r="8863" spans="38:38" x14ac:dyDescent="0.25">
      <c r="AL8863" s="6"/>
    </row>
    <row r="8864" spans="38:38" x14ac:dyDescent="0.25">
      <c r="AL8864" s="6"/>
    </row>
    <row r="8865" spans="38:38" x14ac:dyDescent="0.25">
      <c r="AL8865" s="6"/>
    </row>
    <row r="8866" spans="38:38" x14ac:dyDescent="0.25">
      <c r="AL8866" s="6"/>
    </row>
    <row r="8867" spans="38:38" x14ac:dyDescent="0.25">
      <c r="AL8867" s="6"/>
    </row>
    <row r="8868" spans="38:38" x14ac:dyDescent="0.25">
      <c r="AL8868" s="6"/>
    </row>
    <row r="8869" spans="38:38" x14ac:dyDescent="0.25">
      <c r="AL8869" s="6"/>
    </row>
    <row r="8870" spans="38:38" x14ac:dyDescent="0.25">
      <c r="AL8870" s="6"/>
    </row>
    <row r="8871" spans="38:38" x14ac:dyDescent="0.25">
      <c r="AL8871" s="6"/>
    </row>
    <row r="8872" spans="38:38" x14ac:dyDescent="0.25">
      <c r="AL8872" s="6"/>
    </row>
    <row r="8873" spans="38:38" x14ac:dyDescent="0.25">
      <c r="AL8873" s="6"/>
    </row>
    <row r="8874" spans="38:38" x14ac:dyDescent="0.25">
      <c r="AL8874" s="6"/>
    </row>
    <row r="8875" spans="38:38" x14ac:dyDescent="0.25">
      <c r="AL8875" s="6"/>
    </row>
    <row r="8876" spans="38:38" x14ac:dyDescent="0.25">
      <c r="AL8876" s="6"/>
    </row>
    <row r="8877" spans="38:38" x14ac:dyDescent="0.25">
      <c r="AL8877" s="6"/>
    </row>
    <row r="8878" spans="38:38" x14ac:dyDescent="0.25">
      <c r="AL8878" s="6"/>
    </row>
    <row r="8879" spans="38:38" x14ac:dyDescent="0.25">
      <c r="AL8879" s="6"/>
    </row>
    <row r="8880" spans="38:38" x14ac:dyDescent="0.25">
      <c r="AL8880" s="6"/>
    </row>
    <row r="8881" spans="38:38" x14ac:dyDescent="0.25">
      <c r="AL8881" s="6"/>
    </row>
    <row r="8882" spans="38:38" x14ac:dyDescent="0.25">
      <c r="AL8882" s="6"/>
    </row>
    <row r="8883" spans="38:38" x14ac:dyDescent="0.25">
      <c r="AL8883" s="6"/>
    </row>
    <row r="8884" spans="38:38" x14ac:dyDescent="0.25">
      <c r="AL8884" s="6"/>
    </row>
    <row r="8885" spans="38:38" x14ac:dyDescent="0.25">
      <c r="AL8885" s="6"/>
    </row>
    <row r="8886" spans="38:38" x14ac:dyDescent="0.25">
      <c r="AL8886" s="6"/>
    </row>
    <row r="8887" spans="38:38" x14ac:dyDescent="0.25">
      <c r="AL8887" s="6"/>
    </row>
    <row r="8888" spans="38:38" x14ac:dyDescent="0.25">
      <c r="AL8888" s="6"/>
    </row>
    <row r="8889" spans="38:38" x14ac:dyDescent="0.25">
      <c r="AL8889" s="6"/>
    </row>
    <row r="8890" spans="38:38" x14ac:dyDescent="0.25">
      <c r="AL8890" s="6"/>
    </row>
    <row r="8891" spans="38:38" x14ac:dyDescent="0.25">
      <c r="AL8891" s="6"/>
    </row>
    <row r="8892" spans="38:38" x14ac:dyDescent="0.25">
      <c r="AL8892" s="6"/>
    </row>
    <row r="8893" spans="38:38" x14ac:dyDescent="0.25">
      <c r="AL8893" s="6"/>
    </row>
    <row r="8894" spans="38:38" x14ac:dyDescent="0.25">
      <c r="AL8894" s="6"/>
    </row>
    <row r="8895" spans="38:38" x14ac:dyDescent="0.25">
      <c r="AL8895" s="6"/>
    </row>
    <row r="8896" spans="38:38" x14ac:dyDescent="0.25">
      <c r="AL8896" s="6"/>
    </row>
    <row r="8897" spans="38:38" x14ac:dyDescent="0.25">
      <c r="AL8897" s="6"/>
    </row>
    <row r="8898" spans="38:38" x14ac:dyDescent="0.25">
      <c r="AL8898" s="6"/>
    </row>
    <row r="8899" spans="38:38" x14ac:dyDescent="0.25">
      <c r="AL8899" s="6"/>
    </row>
    <row r="8900" spans="38:38" x14ac:dyDescent="0.25">
      <c r="AL8900" s="6"/>
    </row>
    <row r="8901" spans="38:38" x14ac:dyDescent="0.25">
      <c r="AL8901" s="6"/>
    </row>
    <row r="8902" spans="38:38" x14ac:dyDescent="0.25">
      <c r="AL8902" s="6"/>
    </row>
    <row r="8903" spans="38:38" x14ac:dyDescent="0.25">
      <c r="AL8903" s="6"/>
    </row>
    <row r="8904" spans="38:38" x14ac:dyDescent="0.25">
      <c r="AL8904" s="6"/>
    </row>
    <row r="8905" spans="38:38" x14ac:dyDescent="0.25">
      <c r="AL8905" s="6"/>
    </row>
    <row r="8906" spans="38:38" x14ac:dyDescent="0.25">
      <c r="AL8906" s="6"/>
    </row>
    <row r="8907" spans="38:38" x14ac:dyDescent="0.25">
      <c r="AL8907" s="6"/>
    </row>
    <row r="8908" spans="38:38" x14ac:dyDescent="0.25">
      <c r="AL8908" s="6"/>
    </row>
    <row r="8909" spans="38:38" x14ac:dyDescent="0.25">
      <c r="AL8909" s="6"/>
    </row>
    <row r="8910" spans="38:38" x14ac:dyDescent="0.25">
      <c r="AL8910" s="6"/>
    </row>
    <row r="8911" spans="38:38" x14ac:dyDescent="0.25">
      <c r="AL8911" s="6"/>
    </row>
    <row r="8912" spans="38:38" x14ac:dyDescent="0.25">
      <c r="AL8912" s="6"/>
    </row>
    <row r="8913" spans="38:38" x14ac:dyDescent="0.25">
      <c r="AL8913" s="6"/>
    </row>
    <row r="8914" spans="38:38" x14ac:dyDescent="0.25">
      <c r="AL8914" s="6"/>
    </row>
    <row r="8915" spans="38:38" x14ac:dyDescent="0.25">
      <c r="AL8915" s="6"/>
    </row>
    <row r="8916" spans="38:38" x14ac:dyDescent="0.25">
      <c r="AL8916" s="6"/>
    </row>
    <row r="8917" spans="38:38" x14ac:dyDescent="0.25">
      <c r="AL8917" s="6"/>
    </row>
    <row r="8918" spans="38:38" x14ac:dyDescent="0.25">
      <c r="AL8918" s="6"/>
    </row>
    <row r="8919" spans="38:38" x14ac:dyDescent="0.25">
      <c r="AL8919" s="6"/>
    </row>
    <row r="8920" spans="38:38" x14ac:dyDescent="0.25">
      <c r="AL8920" s="6"/>
    </row>
    <row r="8921" spans="38:38" x14ac:dyDescent="0.25">
      <c r="AL8921" s="6"/>
    </row>
    <row r="8922" spans="38:38" x14ac:dyDescent="0.25">
      <c r="AL8922" s="6"/>
    </row>
    <row r="8923" spans="38:38" x14ac:dyDescent="0.25">
      <c r="AL8923" s="6"/>
    </row>
    <row r="8924" spans="38:38" x14ac:dyDescent="0.25">
      <c r="AL8924" s="6"/>
    </row>
    <row r="8925" spans="38:38" x14ac:dyDescent="0.25">
      <c r="AL8925" s="6"/>
    </row>
    <row r="8926" spans="38:38" x14ac:dyDescent="0.25">
      <c r="AL8926" s="6"/>
    </row>
    <row r="8927" spans="38:38" x14ac:dyDescent="0.25">
      <c r="AL8927" s="6"/>
    </row>
    <row r="8928" spans="38:38" x14ac:dyDescent="0.25">
      <c r="AL8928" s="6"/>
    </row>
    <row r="8929" spans="38:38" x14ac:dyDescent="0.25">
      <c r="AL8929" s="6"/>
    </row>
    <row r="8930" spans="38:38" x14ac:dyDescent="0.25">
      <c r="AL8930" s="6"/>
    </row>
    <row r="8931" spans="38:38" x14ac:dyDescent="0.25">
      <c r="AL8931" s="6"/>
    </row>
    <row r="8932" spans="38:38" x14ac:dyDescent="0.25">
      <c r="AL8932" s="6"/>
    </row>
    <row r="8933" spans="38:38" x14ac:dyDescent="0.25">
      <c r="AL8933" s="6"/>
    </row>
    <row r="8934" spans="38:38" x14ac:dyDescent="0.25">
      <c r="AL8934" s="6"/>
    </row>
    <row r="8935" spans="38:38" x14ac:dyDescent="0.25">
      <c r="AL8935" s="6"/>
    </row>
    <row r="8936" spans="38:38" x14ac:dyDescent="0.25">
      <c r="AL8936" s="6"/>
    </row>
    <row r="8937" spans="38:38" x14ac:dyDescent="0.25">
      <c r="AL8937" s="6"/>
    </row>
    <row r="8938" spans="38:38" x14ac:dyDescent="0.25">
      <c r="AL8938" s="6"/>
    </row>
    <row r="8939" spans="38:38" x14ac:dyDescent="0.25">
      <c r="AL8939" s="6"/>
    </row>
    <row r="8940" spans="38:38" x14ac:dyDescent="0.25">
      <c r="AL8940" s="6"/>
    </row>
    <row r="8941" spans="38:38" x14ac:dyDescent="0.25">
      <c r="AL8941" s="6"/>
    </row>
    <row r="8942" spans="38:38" x14ac:dyDescent="0.25">
      <c r="AL8942" s="6"/>
    </row>
    <row r="8943" spans="38:38" x14ac:dyDescent="0.25">
      <c r="AL8943" s="6"/>
    </row>
    <row r="8944" spans="38:38" x14ac:dyDescent="0.25">
      <c r="AL8944" s="6"/>
    </row>
    <row r="8945" spans="38:38" x14ac:dyDescent="0.25">
      <c r="AL8945" s="6"/>
    </row>
    <row r="8946" spans="38:38" x14ac:dyDescent="0.25">
      <c r="AL8946" s="6"/>
    </row>
    <row r="8947" spans="38:38" x14ac:dyDescent="0.25">
      <c r="AL8947" s="6"/>
    </row>
    <row r="8948" spans="38:38" x14ac:dyDescent="0.25">
      <c r="AL8948" s="6"/>
    </row>
    <row r="8949" spans="38:38" x14ac:dyDescent="0.25">
      <c r="AL8949" s="6"/>
    </row>
    <row r="8950" spans="38:38" x14ac:dyDescent="0.25">
      <c r="AL8950" s="6"/>
    </row>
    <row r="8951" spans="38:38" x14ac:dyDescent="0.25">
      <c r="AL8951" s="6"/>
    </row>
    <row r="8952" spans="38:38" x14ac:dyDescent="0.25">
      <c r="AL8952" s="6"/>
    </row>
    <row r="8953" spans="38:38" x14ac:dyDescent="0.25">
      <c r="AL8953" s="6"/>
    </row>
    <row r="8954" spans="38:38" x14ac:dyDescent="0.25">
      <c r="AL8954" s="6"/>
    </row>
    <row r="8955" spans="38:38" x14ac:dyDescent="0.25">
      <c r="AL8955" s="6"/>
    </row>
    <row r="8956" spans="38:38" x14ac:dyDescent="0.25">
      <c r="AL8956" s="6"/>
    </row>
    <row r="8957" spans="38:38" x14ac:dyDescent="0.25">
      <c r="AL8957" s="6"/>
    </row>
    <row r="8958" spans="38:38" x14ac:dyDescent="0.25">
      <c r="AL8958" s="6"/>
    </row>
    <row r="8959" spans="38:38" x14ac:dyDescent="0.25">
      <c r="AL8959" s="6"/>
    </row>
    <row r="8960" spans="38:38" x14ac:dyDescent="0.25">
      <c r="AL8960" s="6"/>
    </row>
    <row r="8961" spans="38:38" x14ac:dyDescent="0.25">
      <c r="AL8961" s="6"/>
    </row>
    <row r="8962" spans="38:38" x14ac:dyDescent="0.25">
      <c r="AL8962" s="6"/>
    </row>
    <row r="8963" spans="38:38" x14ac:dyDescent="0.25">
      <c r="AL8963" s="6"/>
    </row>
    <row r="8964" spans="38:38" x14ac:dyDescent="0.25">
      <c r="AL8964" s="6"/>
    </row>
    <row r="8965" spans="38:38" x14ac:dyDescent="0.25">
      <c r="AL8965" s="6"/>
    </row>
    <row r="8966" spans="38:38" x14ac:dyDescent="0.25">
      <c r="AL8966" s="6"/>
    </row>
    <row r="8967" spans="38:38" x14ac:dyDescent="0.25">
      <c r="AL8967" s="6"/>
    </row>
    <row r="8968" spans="38:38" x14ac:dyDescent="0.25">
      <c r="AL8968" s="6"/>
    </row>
    <row r="8969" spans="38:38" x14ac:dyDescent="0.25">
      <c r="AL8969" s="6"/>
    </row>
    <row r="8970" spans="38:38" x14ac:dyDescent="0.25">
      <c r="AL8970" s="6"/>
    </row>
    <row r="8971" spans="38:38" x14ac:dyDescent="0.25">
      <c r="AL8971" s="6"/>
    </row>
    <row r="8972" spans="38:38" x14ac:dyDescent="0.25">
      <c r="AL8972" s="6"/>
    </row>
    <row r="8973" spans="38:38" x14ac:dyDescent="0.25">
      <c r="AL8973" s="6"/>
    </row>
    <row r="8974" spans="38:38" x14ac:dyDescent="0.25">
      <c r="AL8974" s="6"/>
    </row>
    <row r="8975" spans="38:38" x14ac:dyDescent="0.25">
      <c r="AL8975" s="6"/>
    </row>
    <row r="8976" spans="38:38" x14ac:dyDescent="0.25">
      <c r="AL8976" s="6"/>
    </row>
    <row r="8977" spans="38:38" x14ac:dyDescent="0.25">
      <c r="AL8977" s="6"/>
    </row>
    <row r="8978" spans="38:38" x14ac:dyDescent="0.25">
      <c r="AL8978" s="6"/>
    </row>
    <row r="8979" spans="38:38" x14ac:dyDescent="0.25">
      <c r="AL8979" s="6"/>
    </row>
    <row r="8980" spans="38:38" x14ac:dyDescent="0.25">
      <c r="AL8980" s="6"/>
    </row>
    <row r="8981" spans="38:38" x14ac:dyDescent="0.25">
      <c r="AL8981" s="6"/>
    </row>
    <row r="8982" spans="38:38" x14ac:dyDescent="0.25">
      <c r="AL8982" s="6"/>
    </row>
    <row r="8983" spans="38:38" x14ac:dyDescent="0.25">
      <c r="AL8983" s="6"/>
    </row>
    <row r="8984" spans="38:38" x14ac:dyDescent="0.25">
      <c r="AL8984" s="6"/>
    </row>
    <row r="8985" spans="38:38" x14ac:dyDescent="0.25">
      <c r="AL8985" s="6"/>
    </row>
    <row r="8986" spans="38:38" x14ac:dyDescent="0.25">
      <c r="AL8986" s="6"/>
    </row>
    <row r="8987" spans="38:38" x14ac:dyDescent="0.25">
      <c r="AL8987" s="6"/>
    </row>
    <row r="8988" spans="38:38" x14ac:dyDescent="0.25">
      <c r="AL8988" s="6"/>
    </row>
    <row r="8989" spans="38:38" x14ac:dyDescent="0.25">
      <c r="AL8989" s="6"/>
    </row>
    <row r="8990" spans="38:38" x14ac:dyDescent="0.25">
      <c r="AL8990" s="6"/>
    </row>
    <row r="8991" spans="38:38" x14ac:dyDescent="0.25">
      <c r="AL8991" s="6"/>
    </row>
    <row r="8992" spans="38:38" x14ac:dyDescent="0.25">
      <c r="AL8992" s="6"/>
    </row>
    <row r="8993" spans="38:38" x14ac:dyDescent="0.25">
      <c r="AL8993" s="6"/>
    </row>
    <row r="8994" spans="38:38" x14ac:dyDescent="0.25">
      <c r="AL8994" s="6"/>
    </row>
    <row r="8995" spans="38:38" x14ac:dyDescent="0.25">
      <c r="AL8995" s="6"/>
    </row>
    <row r="8996" spans="38:38" x14ac:dyDescent="0.25">
      <c r="AL8996" s="6"/>
    </row>
    <row r="8997" spans="38:38" x14ac:dyDescent="0.25">
      <c r="AL8997" s="6"/>
    </row>
    <row r="8998" spans="38:38" x14ac:dyDescent="0.25">
      <c r="AL8998" s="6"/>
    </row>
    <row r="8999" spans="38:38" x14ac:dyDescent="0.25">
      <c r="AL8999" s="6"/>
    </row>
    <row r="9000" spans="38:38" x14ac:dyDescent="0.25">
      <c r="AL9000" s="6"/>
    </row>
    <row r="9001" spans="38:38" x14ac:dyDescent="0.25">
      <c r="AL9001" s="6"/>
    </row>
    <row r="9002" spans="38:38" x14ac:dyDescent="0.25">
      <c r="AL9002" s="6"/>
    </row>
    <row r="9003" spans="38:38" x14ac:dyDescent="0.25">
      <c r="AL9003" s="6"/>
    </row>
    <row r="9004" spans="38:38" x14ac:dyDescent="0.25">
      <c r="AL9004" s="6"/>
    </row>
    <row r="9005" spans="38:38" x14ac:dyDescent="0.25">
      <c r="AL9005" s="6"/>
    </row>
    <row r="9006" spans="38:38" x14ac:dyDescent="0.25">
      <c r="AL9006" s="6"/>
    </row>
    <row r="9007" spans="38:38" x14ac:dyDescent="0.25">
      <c r="AL9007" s="6"/>
    </row>
    <row r="9008" spans="38:38" x14ac:dyDescent="0.25">
      <c r="AL9008" s="6"/>
    </row>
    <row r="9009" spans="38:38" x14ac:dyDescent="0.25">
      <c r="AL9009" s="6"/>
    </row>
    <row r="9010" spans="38:38" x14ac:dyDescent="0.25">
      <c r="AL9010" s="6"/>
    </row>
    <row r="9011" spans="38:38" x14ac:dyDescent="0.25">
      <c r="AL9011" s="6"/>
    </row>
    <row r="9012" spans="38:38" x14ac:dyDescent="0.25">
      <c r="AL9012" s="6"/>
    </row>
    <row r="9013" spans="38:38" x14ac:dyDescent="0.25">
      <c r="AL9013" s="6"/>
    </row>
    <row r="9014" spans="38:38" x14ac:dyDescent="0.25">
      <c r="AL9014" s="6"/>
    </row>
    <row r="9015" spans="38:38" x14ac:dyDescent="0.25">
      <c r="AL9015" s="6"/>
    </row>
    <row r="9016" spans="38:38" x14ac:dyDescent="0.25">
      <c r="AL9016" s="6"/>
    </row>
    <row r="9017" spans="38:38" x14ac:dyDescent="0.25">
      <c r="AL9017" s="6"/>
    </row>
    <row r="9018" spans="38:38" x14ac:dyDescent="0.25">
      <c r="AL9018" s="6"/>
    </row>
    <row r="9019" spans="38:38" x14ac:dyDescent="0.25">
      <c r="AL9019" s="6"/>
    </row>
    <row r="9020" spans="38:38" x14ac:dyDescent="0.25">
      <c r="AL9020" s="6"/>
    </row>
    <row r="9021" spans="38:38" x14ac:dyDescent="0.25">
      <c r="AL9021" s="6"/>
    </row>
    <row r="9022" spans="38:38" x14ac:dyDescent="0.25">
      <c r="AL9022" s="6"/>
    </row>
    <row r="9023" spans="38:38" x14ac:dyDescent="0.25">
      <c r="AL9023" s="6"/>
    </row>
    <row r="9024" spans="38:38" x14ac:dyDescent="0.25">
      <c r="AL9024" s="6"/>
    </row>
    <row r="9025" spans="38:38" x14ac:dyDescent="0.25">
      <c r="AL9025" s="6"/>
    </row>
    <row r="9026" spans="38:38" x14ac:dyDescent="0.25">
      <c r="AL9026" s="6"/>
    </row>
    <row r="9027" spans="38:38" x14ac:dyDescent="0.25">
      <c r="AL9027" s="6"/>
    </row>
    <row r="9028" spans="38:38" x14ac:dyDescent="0.25">
      <c r="AL9028" s="6"/>
    </row>
    <row r="9029" spans="38:38" x14ac:dyDescent="0.25">
      <c r="AL9029" s="6"/>
    </row>
    <row r="9030" spans="38:38" x14ac:dyDescent="0.25">
      <c r="AL9030" s="6"/>
    </row>
    <row r="9031" spans="38:38" x14ac:dyDescent="0.25">
      <c r="AL9031" s="6"/>
    </row>
    <row r="9032" spans="38:38" x14ac:dyDescent="0.25">
      <c r="AL9032" s="6"/>
    </row>
    <row r="9033" spans="38:38" x14ac:dyDescent="0.25">
      <c r="AL9033" s="6"/>
    </row>
    <row r="9034" spans="38:38" x14ac:dyDescent="0.25">
      <c r="AL9034" s="6"/>
    </row>
    <row r="9035" spans="38:38" x14ac:dyDescent="0.25">
      <c r="AL9035" s="6"/>
    </row>
    <row r="9036" spans="38:38" x14ac:dyDescent="0.25">
      <c r="AL9036" s="6"/>
    </row>
    <row r="9037" spans="38:38" x14ac:dyDescent="0.25">
      <c r="AL9037" s="6"/>
    </row>
    <row r="9038" spans="38:38" x14ac:dyDescent="0.25">
      <c r="AL9038" s="6"/>
    </row>
    <row r="9039" spans="38:38" x14ac:dyDescent="0.25">
      <c r="AL9039" s="6"/>
    </row>
    <row r="9040" spans="38:38" x14ac:dyDescent="0.25">
      <c r="AL9040" s="6"/>
    </row>
    <row r="9041" spans="38:38" x14ac:dyDescent="0.25">
      <c r="AL9041" s="6"/>
    </row>
    <row r="9042" spans="38:38" x14ac:dyDescent="0.25">
      <c r="AL9042" s="6"/>
    </row>
    <row r="9043" spans="38:38" x14ac:dyDescent="0.25">
      <c r="AL9043" s="6"/>
    </row>
    <row r="9044" spans="38:38" x14ac:dyDescent="0.25">
      <c r="AL9044" s="6"/>
    </row>
    <row r="9045" spans="38:38" x14ac:dyDescent="0.25">
      <c r="AL9045" s="6"/>
    </row>
    <row r="9046" spans="38:38" x14ac:dyDescent="0.25">
      <c r="AL9046" s="6"/>
    </row>
    <row r="9047" spans="38:38" x14ac:dyDescent="0.25">
      <c r="AL9047" s="6"/>
    </row>
    <row r="9048" spans="38:38" x14ac:dyDescent="0.25">
      <c r="AL9048" s="6"/>
    </row>
    <row r="9049" spans="38:38" x14ac:dyDescent="0.25">
      <c r="AL9049" s="6"/>
    </row>
    <row r="9050" spans="38:38" x14ac:dyDescent="0.25">
      <c r="AL9050" s="6"/>
    </row>
    <row r="9051" spans="38:38" x14ac:dyDescent="0.25">
      <c r="AL9051" s="6"/>
    </row>
    <row r="9052" spans="38:38" x14ac:dyDescent="0.25">
      <c r="AL9052" s="6"/>
    </row>
    <row r="9053" spans="38:38" x14ac:dyDescent="0.25">
      <c r="AL9053" s="6"/>
    </row>
    <row r="9054" spans="38:38" x14ac:dyDescent="0.25">
      <c r="AL9054" s="6"/>
    </row>
    <row r="9055" spans="38:38" x14ac:dyDescent="0.25">
      <c r="AL9055" s="6"/>
    </row>
    <row r="9056" spans="38:38" x14ac:dyDescent="0.25">
      <c r="AL9056" s="6"/>
    </row>
    <row r="9057" spans="38:38" x14ac:dyDescent="0.25">
      <c r="AL9057" s="6"/>
    </row>
    <row r="9058" spans="38:38" x14ac:dyDescent="0.25">
      <c r="AL9058" s="6"/>
    </row>
    <row r="9059" spans="38:38" x14ac:dyDescent="0.25">
      <c r="AL9059" s="6"/>
    </row>
    <row r="9060" spans="38:38" x14ac:dyDescent="0.25">
      <c r="AL9060" s="6"/>
    </row>
    <row r="9061" spans="38:38" x14ac:dyDescent="0.25">
      <c r="AL9061" s="6"/>
    </row>
    <row r="9062" spans="38:38" x14ac:dyDescent="0.25">
      <c r="AL9062" s="6"/>
    </row>
    <row r="9063" spans="38:38" x14ac:dyDescent="0.25">
      <c r="AL9063" s="6"/>
    </row>
    <row r="9064" spans="38:38" x14ac:dyDescent="0.25">
      <c r="AL9064" s="6"/>
    </row>
    <row r="9065" spans="38:38" x14ac:dyDescent="0.25">
      <c r="AL9065" s="6"/>
    </row>
    <row r="9066" spans="38:38" x14ac:dyDescent="0.25">
      <c r="AL9066" s="6"/>
    </row>
    <row r="9067" spans="38:38" x14ac:dyDescent="0.25">
      <c r="AL9067" s="6"/>
    </row>
    <row r="9068" spans="38:38" x14ac:dyDescent="0.25">
      <c r="AL9068" s="6"/>
    </row>
    <row r="9069" spans="38:38" x14ac:dyDescent="0.25">
      <c r="AL9069" s="6"/>
    </row>
    <row r="9070" spans="38:38" x14ac:dyDescent="0.25">
      <c r="AL9070" s="6"/>
    </row>
    <row r="9071" spans="38:38" x14ac:dyDescent="0.25">
      <c r="AL9071" s="6"/>
    </row>
    <row r="9072" spans="38:38" x14ac:dyDescent="0.25">
      <c r="AL9072" s="6"/>
    </row>
    <row r="9073" spans="38:38" x14ac:dyDescent="0.25">
      <c r="AL9073" s="6"/>
    </row>
    <row r="9074" spans="38:38" x14ac:dyDescent="0.25">
      <c r="AL9074" s="6"/>
    </row>
    <row r="9075" spans="38:38" x14ac:dyDescent="0.25">
      <c r="AL9075" s="6"/>
    </row>
    <row r="9076" spans="38:38" x14ac:dyDescent="0.25">
      <c r="AL9076" s="6"/>
    </row>
    <row r="9077" spans="38:38" x14ac:dyDescent="0.25">
      <c r="AL9077" s="6"/>
    </row>
    <row r="9078" spans="38:38" x14ac:dyDescent="0.25">
      <c r="AL9078" s="6"/>
    </row>
    <row r="9079" spans="38:38" x14ac:dyDescent="0.25">
      <c r="AL9079" s="6"/>
    </row>
    <row r="9080" spans="38:38" x14ac:dyDescent="0.25">
      <c r="AL9080" s="6"/>
    </row>
    <row r="9081" spans="38:38" x14ac:dyDescent="0.25">
      <c r="AL9081" s="6"/>
    </row>
    <row r="9082" spans="38:38" x14ac:dyDescent="0.25">
      <c r="AL9082" s="6"/>
    </row>
    <row r="9083" spans="38:38" x14ac:dyDescent="0.25">
      <c r="AL9083" s="6"/>
    </row>
    <row r="9084" spans="38:38" x14ac:dyDescent="0.25">
      <c r="AL9084" s="6"/>
    </row>
    <row r="9085" spans="38:38" x14ac:dyDescent="0.25">
      <c r="AL9085" s="6"/>
    </row>
    <row r="9086" spans="38:38" x14ac:dyDescent="0.25">
      <c r="AL9086" s="6"/>
    </row>
    <row r="9087" spans="38:38" x14ac:dyDescent="0.25">
      <c r="AL9087" s="6"/>
    </row>
    <row r="9088" spans="38:38" x14ac:dyDescent="0.25">
      <c r="AL9088" s="6"/>
    </row>
    <row r="9089" spans="38:38" x14ac:dyDescent="0.25">
      <c r="AL9089" s="6"/>
    </row>
    <row r="9090" spans="38:38" x14ac:dyDescent="0.25">
      <c r="AL9090" s="6"/>
    </row>
    <row r="9091" spans="38:38" x14ac:dyDescent="0.25">
      <c r="AL9091" s="6"/>
    </row>
    <row r="9092" spans="38:38" x14ac:dyDescent="0.25">
      <c r="AL9092" s="6"/>
    </row>
    <row r="9093" spans="38:38" x14ac:dyDescent="0.25">
      <c r="AL9093" s="6"/>
    </row>
    <row r="9094" spans="38:38" x14ac:dyDescent="0.25">
      <c r="AL9094" s="6"/>
    </row>
    <row r="9095" spans="38:38" x14ac:dyDescent="0.25">
      <c r="AL9095" s="6"/>
    </row>
    <row r="9096" spans="38:38" x14ac:dyDescent="0.25">
      <c r="AL9096" s="6"/>
    </row>
    <row r="9097" spans="38:38" x14ac:dyDescent="0.25">
      <c r="AL9097" s="6"/>
    </row>
    <row r="9098" spans="38:38" x14ac:dyDescent="0.25">
      <c r="AL9098" s="6"/>
    </row>
    <row r="9099" spans="38:38" x14ac:dyDescent="0.25">
      <c r="AL9099" s="6"/>
    </row>
    <row r="9100" spans="38:38" x14ac:dyDescent="0.25">
      <c r="AL9100" s="6"/>
    </row>
    <row r="9101" spans="38:38" x14ac:dyDescent="0.25">
      <c r="AL9101" s="6"/>
    </row>
    <row r="9102" spans="38:38" x14ac:dyDescent="0.25">
      <c r="AL9102" s="6"/>
    </row>
    <row r="9103" spans="38:38" x14ac:dyDescent="0.25">
      <c r="AL9103" s="6"/>
    </row>
    <row r="9104" spans="38:38" x14ac:dyDescent="0.25">
      <c r="AL9104" s="6"/>
    </row>
    <row r="9105" spans="38:38" x14ac:dyDescent="0.25">
      <c r="AL9105" s="6"/>
    </row>
    <row r="9106" spans="38:38" x14ac:dyDescent="0.25">
      <c r="AL9106" s="6"/>
    </row>
    <row r="9107" spans="38:38" x14ac:dyDescent="0.25">
      <c r="AL9107" s="6"/>
    </row>
    <row r="9108" spans="38:38" x14ac:dyDescent="0.25">
      <c r="AL9108" s="6"/>
    </row>
    <row r="9109" spans="38:38" x14ac:dyDescent="0.25">
      <c r="AL9109" s="6"/>
    </row>
    <row r="9110" spans="38:38" x14ac:dyDescent="0.25">
      <c r="AL9110" s="6"/>
    </row>
    <row r="9111" spans="38:38" x14ac:dyDescent="0.25">
      <c r="AL9111" s="6"/>
    </row>
    <row r="9112" spans="38:38" x14ac:dyDescent="0.25">
      <c r="AL9112" s="6"/>
    </row>
    <row r="9113" spans="38:38" x14ac:dyDescent="0.25">
      <c r="AL9113" s="6"/>
    </row>
    <row r="9114" spans="38:38" x14ac:dyDescent="0.25">
      <c r="AL9114" s="6"/>
    </row>
    <row r="9115" spans="38:38" x14ac:dyDescent="0.25">
      <c r="AL9115" s="6"/>
    </row>
    <row r="9116" spans="38:38" x14ac:dyDescent="0.25">
      <c r="AL9116" s="6"/>
    </row>
    <row r="9117" spans="38:38" x14ac:dyDescent="0.25">
      <c r="AL9117" s="6"/>
    </row>
    <row r="9118" spans="38:38" x14ac:dyDescent="0.25">
      <c r="AL9118" s="6"/>
    </row>
    <row r="9119" spans="38:38" x14ac:dyDescent="0.25">
      <c r="AL9119" s="6"/>
    </row>
    <row r="9120" spans="38:38" x14ac:dyDescent="0.25">
      <c r="AL9120" s="6"/>
    </row>
    <row r="9121" spans="38:38" x14ac:dyDescent="0.25">
      <c r="AL9121" s="6"/>
    </row>
    <row r="9122" spans="38:38" x14ac:dyDescent="0.25">
      <c r="AL9122" s="6"/>
    </row>
    <row r="9123" spans="38:38" x14ac:dyDescent="0.25">
      <c r="AL9123" s="6"/>
    </row>
    <row r="9124" spans="38:38" x14ac:dyDescent="0.25">
      <c r="AL9124" s="6"/>
    </row>
    <row r="9125" spans="38:38" x14ac:dyDescent="0.25">
      <c r="AL9125" s="6"/>
    </row>
    <row r="9126" spans="38:38" x14ac:dyDescent="0.25">
      <c r="AL9126" s="6"/>
    </row>
    <row r="9127" spans="38:38" x14ac:dyDescent="0.25">
      <c r="AL9127" s="6"/>
    </row>
    <row r="9128" spans="38:38" x14ac:dyDescent="0.25">
      <c r="AL9128" s="6"/>
    </row>
    <row r="9129" spans="38:38" x14ac:dyDescent="0.25">
      <c r="AL9129" s="6"/>
    </row>
    <row r="9130" spans="38:38" x14ac:dyDescent="0.25">
      <c r="AL9130" s="6"/>
    </row>
    <row r="9131" spans="38:38" x14ac:dyDescent="0.25">
      <c r="AL9131" s="6"/>
    </row>
    <row r="9132" spans="38:38" x14ac:dyDescent="0.25">
      <c r="AL9132" s="6"/>
    </row>
    <row r="9133" spans="38:38" x14ac:dyDescent="0.25">
      <c r="AL9133" s="6"/>
    </row>
    <row r="9134" spans="38:38" x14ac:dyDescent="0.25">
      <c r="AL9134" s="6"/>
    </row>
    <row r="9135" spans="38:38" x14ac:dyDescent="0.25">
      <c r="AL9135" s="6"/>
    </row>
    <row r="9136" spans="38:38" x14ac:dyDescent="0.25">
      <c r="AL9136" s="6"/>
    </row>
    <row r="9137" spans="38:38" x14ac:dyDescent="0.25">
      <c r="AL9137" s="6"/>
    </row>
    <row r="9138" spans="38:38" x14ac:dyDescent="0.25">
      <c r="AL9138" s="6"/>
    </row>
    <row r="9139" spans="38:38" x14ac:dyDescent="0.25">
      <c r="AL9139" s="6"/>
    </row>
    <row r="9140" spans="38:38" x14ac:dyDescent="0.25">
      <c r="AL9140" s="6"/>
    </row>
    <row r="9141" spans="38:38" x14ac:dyDescent="0.25">
      <c r="AL9141" s="6"/>
    </row>
    <row r="9142" spans="38:38" x14ac:dyDescent="0.25">
      <c r="AL9142" s="6"/>
    </row>
    <row r="9143" spans="38:38" x14ac:dyDescent="0.25">
      <c r="AL9143" s="6"/>
    </row>
    <row r="9144" spans="38:38" x14ac:dyDescent="0.25">
      <c r="AL9144" s="6"/>
    </row>
    <row r="9145" spans="38:38" x14ac:dyDescent="0.25">
      <c r="AL9145" s="6"/>
    </row>
    <row r="9146" spans="38:38" x14ac:dyDescent="0.25">
      <c r="AL9146" s="6"/>
    </row>
    <row r="9147" spans="38:38" x14ac:dyDescent="0.25">
      <c r="AL9147" s="6"/>
    </row>
    <row r="9148" spans="38:38" x14ac:dyDescent="0.25">
      <c r="AL9148" s="6"/>
    </row>
    <row r="9149" spans="38:38" x14ac:dyDescent="0.25">
      <c r="AL9149" s="6"/>
    </row>
    <row r="9150" spans="38:38" x14ac:dyDescent="0.25">
      <c r="AL9150" s="6"/>
    </row>
    <row r="9151" spans="38:38" x14ac:dyDescent="0.25">
      <c r="AL9151" s="6"/>
    </row>
    <row r="9152" spans="38:38" x14ac:dyDescent="0.25">
      <c r="AL9152" s="6"/>
    </row>
    <row r="9153" spans="38:38" x14ac:dyDescent="0.25">
      <c r="AL9153" s="6"/>
    </row>
    <row r="9154" spans="38:38" x14ac:dyDescent="0.25">
      <c r="AL9154" s="6"/>
    </row>
    <row r="9155" spans="38:38" x14ac:dyDescent="0.25">
      <c r="AL9155" s="6"/>
    </row>
    <row r="9156" spans="38:38" x14ac:dyDescent="0.25">
      <c r="AL9156" s="6"/>
    </row>
    <row r="9157" spans="38:38" x14ac:dyDescent="0.25">
      <c r="AL9157" s="6"/>
    </row>
    <row r="9158" spans="38:38" x14ac:dyDescent="0.25">
      <c r="AL9158" s="6"/>
    </row>
    <row r="9159" spans="38:38" x14ac:dyDescent="0.25">
      <c r="AL9159" s="6"/>
    </row>
    <row r="9160" spans="38:38" x14ac:dyDescent="0.25">
      <c r="AL9160" s="6"/>
    </row>
    <row r="9161" spans="38:38" x14ac:dyDescent="0.25">
      <c r="AL9161" s="6"/>
    </row>
    <row r="9162" spans="38:38" x14ac:dyDescent="0.25">
      <c r="AL9162" s="6"/>
    </row>
    <row r="9163" spans="38:38" x14ac:dyDescent="0.25">
      <c r="AL9163" s="6"/>
    </row>
    <row r="9164" spans="38:38" x14ac:dyDescent="0.25">
      <c r="AL9164" s="6"/>
    </row>
    <row r="9165" spans="38:38" x14ac:dyDescent="0.25">
      <c r="AL9165" s="6"/>
    </row>
    <row r="9166" spans="38:38" x14ac:dyDescent="0.25">
      <c r="AL9166" s="6"/>
    </row>
    <row r="9167" spans="38:38" x14ac:dyDescent="0.25">
      <c r="AL9167" s="6"/>
    </row>
    <row r="9168" spans="38:38" x14ac:dyDescent="0.25">
      <c r="AL9168" s="6"/>
    </row>
    <row r="9169" spans="38:38" x14ac:dyDescent="0.25">
      <c r="AL9169" s="6"/>
    </row>
    <row r="9170" spans="38:38" x14ac:dyDescent="0.25">
      <c r="AL9170" s="6"/>
    </row>
    <row r="9171" spans="38:38" x14ac:dyDescent="0.25">
      <c r="AL9171" s="6"/>
    </row>
    <row r="9172" spans="38:38" x14ac:dyDescent="0.25">
      <c r="AL9172" s="6"/>
    </row>
    <row r="9173" spans="38:38" x14ac:dyDescent="0.25">
      <c r="AL9173" s="6"/>
    </row>
    <row r="9174" spans="38:38" x14ac:dyDescent="0.25">
      <c r="AL9174" s="6"/>
    </row>
    <row r="9175" spans="38:38" x14ac:dyDescent="0.25">
      <c r="AL9175" s="6"/>
    </row>
    <row r="9176" spans="38:38" x14ac:dyDescent="0.25">
      <c r="AL9176" s="6"/>
    </row>
    <row r="9177" spans="38:38" x14ac:dyDescent="0.25">
      <c r="AL9177" s="6"/>
    </row>
    <row r="9178" spans="38:38" x14ac:dyDescent="0.25">
      <c r="AL9178" s="6"/>
    </row>
    <row r="9179" spans="38:38" x14ac:dyDescent="0.25">
      <c r="AL9179" s="6"/>
    </row>
    <row r="9180" spans="38:38" x14ac:dyDescent="0.25">
      <c r="AL9180" s="6"/>
    </row>
    <row r="9181" spans="38:38" x14ac:dyDescent="0.25">
      <c r="AL9181" s="6"/>
    </row>
    <row r="9182" spans="38:38" x14ac:dyDescent="0.25">
      <c r="AL9182" s="6"/>
    </row>
    <row r="9183" spans="38:38" x14ac:dyDescent="0.25">
      <c r="AL9183" s="6"/>
    </row>
    <row r="9184" spans="38:38" x14ac:dyDescent="0.25">
      <c r="AL9184" s="6"/>
    </row>
    <row r="9185" spans="38:38" x14ac:dyDescent="0.25">
      <c r="AL9185" s="6"/>
    </row>
    <row r="9186" spans="38:38" x14ac:dyDescent="0.25">
      <c r="AL9186" s="6"/>
    </row>
    <row r="9187" spans="38:38" x14ac:dyDescent="0.25">
      <c r="AL9187" s="6"/>
    </row>
    <row r="9188" spans="38:38" x14ac:dyDescent="0.25">
      <c r="AL9188" s="6"/>
    </row>
    <row r="9189" spans="38:38" x14ac:dyDescent="0.25">
      <c r="AL9189" s="6"/>
    </row>
    <row r="9190" spans="38:38" x14ac:dyDescent="0.25">
      <c r="AL9190" s="6"/>
    </row>
    <row r="9191" spans="38:38" x14ac:dyDescent="0.25">
      <c r="AL9191" s="6"/>
    </row>
    <row r="9192" spans="38:38" x14ac:dyDescent="0.25">
      <c r="AL9192" s="6"/>
    </row>
    <row r="9193" spans="38:38" x14ac:dyDescent="0.25">
      <c r="AL9193" s="6"/>
    </row>
    <row r="9194" spans="38:38" x14ac:dyDescent="0.25">
      <c r="AL9194" s="6"/>
    </row>
    <row r="9195" spans="38:38" x14ac:dyDescent="0.25">
      <c r="AL9195" s="6"/>
    </row>
    <row r="9196" spans="38:38" x14ac:dyDescent="0.25">
      <c r="AL9196" s="6"/>
    </row>
    <row r="9197" spans="38:38" x14ac:dyDescent="0.25">
      <c r="AL9197" s="6"/>
    </row>
    <row r="9198" spans="38:38" x14ac:dyDescent="0.25">
      <c r="AL9198" s="6"/>
    </row>
    <row r="9199" spans="38:38" x14ac:dyDescent="0.25">
      <c r="AL9199" s="6"/>
    </row>
    <row r="9200" spans="38:38" x14ac:dyDescent="0.25">
      <c r="AL9200" s="6"/>
    </row>
    <row r="9201" spans="38:38" x14ac:dyDescent="0.25">
      <c r="AL9201" s="6"/>
    </row>
    <row r="9202" spans="38:38" x14ac:dyDescent="0.25">
      <c r="AL9202" s="6"/>
    </row>
    <row r="9203" spans="38:38" x14ac:dyDescent="0.25">
      <c r="AL9203" s="6"/>
    </row>
    <row r="9204" spans="38:38" x14ac:dyDescent="0.25">
      <c r="AL9204" s="6"/>
    </row>
    <row r="9205" spans="38:38" x14ac:dyDescent="0.25">
      <c r="AL9205" s="6"/>
    </row>
    <row r="9206" spans="38:38" x14ac:dyDescent="0.25">
      <c r="AL9206" s="6"/>
    </row>
    <row r="9207" spans="38:38" x14ac:dyDescent="0.25">
      <c r="AL9207" s="6"/>
    </row>
    <row r="9208" spans="38:38" x14ac:dyDescent="0.25">
      <c r="AL9208" s="6"/>
    </row>
    <row r="9209" spans="38:38" x14ac:dyDescent="0.25">
      <c r="AL9209" s="6"/>
    </row>
    <row r="9210" spans="38:38" x14ac:dyDescent="0.25">
      <c r="AL9210" s="6"/>
    </row>
    <row r="9211" spans="38:38" x14ac:dyDescent="0.25">
      <c r="AL9211" s="6"/>
    </row>
    <row r="9212" spans="38:38" x14ac:dyDescent="0.25">
      <c r="AL9212" s="6"/>
    </row>
    <row r="9213" spans="38:38" x14ac:dyDescent="0.25">
      <c r="AL9213" s="6"/>
    </row>
    <row r="9214" spans="38:38" x14ac:dyDescent="0.25">
      <c r="AL9214" s="6"/>
    </row>
    <row r="9215" spans="38:38" x14ac:dyDescent="0.25">
      <c r="AL9215" s="6"/>
    </row>
    <row r="9216" spans="38:38" x14ac:dyDescent="0.25">
      <c r="AL9216" s="6"/>
    </row>
    <row r="9217" spans="38:38" x14ac:dyDescent="0.25">
      <c r="AL9217" s="6"/>
    </row>
    <row r="9218" spans="38:38" x14ac:dyDescent="0.25">
      <c r="AL9218" s="6"/>
    </row>
    <row r="9219" spans="38:38" x14ac:dyDescent="0.25">
      <c r="AL9219" s="6"/>
    </row>
    <row r="9220" spans="38:38" x14ac:dyDescent="0.25">
      <c r="AL9220" s="6"/>
    </row>
    <row r="9221" spans="38:38" x14ac:dyDescent="0.25">
      <c r="AL9221" s="6"/>
    </row>
    <row r="9222" spans="38:38" x14ac:dyDescent="0.25">
      <c r="AL9222" s="6"/>
    </row>
    <row r="9223" spans="38:38" x14ac:dyDescent="0.25">
      <c r="AL9223" s="6"/>
    </row>
    <row r="9224" spans="38:38" x14ac:dyDescent="0.25">
      <c r="AL9224" s="6"/>
    </row>
    <row r="9225" spans="38:38" x14ac:dyDescent="0.25">
      <c r="AL9225" s="6"/>
    </row>
    <row r="9226" spans="38:38" x14ac:dyDescent="0.25">
      <c r="AL9226" s="6"/>
    </row>
    <row r="9227" spans="38:38" x14ac:dyDescent="0.25">
      <c r="AL9227" s="6"/>
    </row>
    <row r="9228" spans="38:38" x14ac:dyDescent="0.25">
      <c r="AL9228" s="6"/>
    </row>
    <row r="9229" spans="38:38" x14ac:dyDescent="0.25">
      <c r="AL9229" s="6"/>
    </row>
    <row r="9230" spans="38:38" x14ac:dyDescent="0.25">
      <c r="AL9230" s="6"/>
    </row>
    <row r="9231" spans="38:38" x14ac:dyDescent="0.25">
      <c r="AL9231" s="6"/>
    </row>
    <row r="9232" spans="38:38" x14ac:dyDescent="0.25">
      <c r="AL9232" s="6"/>
    </row>
    <row r="9233" spans="38:38" x14ac:dyDescent="0.25">
      <c r="AL9233" s="6"/>
    </row>
    <row r="9234" spans="38:38" x14ac:dyDescent="0.25">
      <c r="AL9234" s="6"/>
    </row>
    <row r="9235" spans="38:38" x14ac:dyDescent="0.25">
      <c r="AL9235" s="6"/>
    </row>
    <row r="9236" spans="38:38" x14ac:dyDescent="0.25">
      <c r="AL9236" s="6"/>
    </row>
    <row r="9237" spans="38:38" x14ac:dyDescent="0.25">
      <c r="AL9237" s="6"/>
    </row>
    <row r="9238" spans="38:38" x14ac:dyDescent="0.25">
      <c r="AL9238" s="6"/>
    </row>
    <row r="9239" spans="38:38" x14ac:dyDescent="0.25">
      <c r="AL9239" s="6"/>
    </row>
    <row r="9240" spans="38:38" x14ac:dyDescent="0.25">
      <c r="AL9240" s="6"/>
    </row>
    <row r="9241" spans="38:38" x14ac:dyDescent="0.25">
      <c r="AL9241" s="6"/>
    </row>
    <row r="9242" spans="38:38" x14ac:dyDescent="0.25">
      <c r="AL9242" s="6"/>
    </row>
    <row r="9243" spans="38:38" x14ac:dyDescent="0.25">
      <c r="AL9243" s="6"/>
    </row>
    <row r="9244" spans="38:38" x14ac:dyDescent="0.25">
      <c r="AL9244" s="6"/>
    </row>
    <row r="9245" spans="38:38" x14ac:dyDescent="0.25">
      <c r="AL9245" s="6"/>
    </row>
    <row r="9246" spans="38:38" x14ac:dyDescent="0.25">
      <c r="AL9246" s="6"/>
    </row>
    <row r="9247" spans="38:38" x14ac:dyDescent="0.25">
      <c r="AL9247" s="6"/>
    </row>
    <row r="9248" spans="38:38" x14ac:dyDescent="0.25">
      <c r="AL9248" s="6"/>
    </row>
    <row r="9249" spans="38:38" x14ac:dyDescent="0.25">
      <c r="AL9249" s="6"/>
    </row>
    <row r="9250" spans="38:38" x14ac:dyDescent="0.25">
      <c r="AL9250" s="6"/>
    </row>
    <row r="9251" spans="38:38" x14ac:dyDescent="0.25">
      <c r="AL9251" s="6"/>
    </row>
    <row r="9252" spans="38:38" x14ac:dyDescent="0.25">
      <c r="AL9252" s="6"/>
    </row>
    <row r="9253" spans="38:38" x14ac:dyDescent="0.25">
      <c r="AL9253" s="6"/>
    </row>
    <row r="9254" spans="38:38" x14ac:dyDescent="0.25">
      <c r="AL9254" s="6"/>
    </row>
    <row r="9255" spans="38:38" x14ac:dyDescent="0.25">
      <c r="AL9255" s="6"/>
    </row>
    <row r="9256" spans="38:38" x14ac:dyDescent="0.25">
      <c r="AL9256" s="6"/>
    </row>
    <row r="9257" spans="38:38" x14ac:dyDescent="0.25">
      <c r="AL9257" s="6"/>
    </row>
    <row r="9258" spans="38:38" x14ac:dyDescent="0.25">
      <c r="AL9258" s="6"/>
    </row>
    <row r="9259" spans="38:38" x14ac:dyDescent="0.25">
      <c r="AL9259" s="6"/>
    </row>
    <row r="9260" spans="38:38" x14ac:dyDescent="0.25">
      <c r="AL9260" s="6"/>
    </row>
    <row r="9261" spans="38:38" x14ac:dyDescent="0.25">
      <c r="AL9261" s="6"/>
    </row>
    <row r="9262" spans="38:38" x14ac:dyDescent="0.25">
      <c r="AL9262" s="6"/>
    </row>
    <row r="9263" spans="38:38" x14ac:dyDescent="0.25">
      <c r="AL9263" s="6"/>
    </row>
    <row r="9264" spans="38:38" x14ac:dyDescent="0.25">
      <c r="AL9264" s="6"/>
    </row>
    <row r="9265" spans="38:38" x14ac:dyDescent="0.25">
      <c r="AL9265" s="6"/>
    </row>
    <row r="9266" spans="38:38" x14ac:dyDescent="0.25">
      <c r="AL9266" s="6"/>
    </row>
    <row r="9267" spans="38:38" x14ac:dyDescent="0.25">
      <c r="AL9267" s="6"/>
    </row>
    <row r="9268" spans="38:38" x14ac:dyDescent="0.25">
      <c r="AL9268" s="6"/>
    </row>
    <row r="9269" spans="38:38" x14ac:dyDescent="0.25">
      <c r="AL9269" s="6"/>
    </row>
    <row r="9270" spans="38:38" x14ac:dyDescent="0.25">
      <c r="AL9270" s="6"/>
    </row>
    <row r="9271" spans="38:38" x14ac:dyDescent="0.25">
      <c r="AL9271" s="6"/>
    </row>
    <row r="9272" spans="38:38" x14ac:dyDescent="0.25">
      <c r="AL9272" s="6"/>
    </row>
    <row r="9273" spans="38:38" x14ac:dyDescent="0.25">
      <c r="AL9273" s="6"/>
    </row>
    <row r="9274" spans="38:38" x14ac:dyDescent="0.25">
      <c r="AL9274" s="6"/>
    </row>
    <row r="9275" spans="38:38" x14ac:dyDescent="0.25">
      <c r="AL9275" s="6"/>
    </row>
    <row r="9276" spans="38:38" x14ac:dyDescent="0.25">
      <c r="AL9276" s="6"/>
    </row>
    <row r="9277" spans="38:38" x14ac:dyDescent="0.25">
      <c r="AL9277" s="6"/>
    </row>
    <row r="9278" spans="38:38" x14ac:dyDescent="0.25">
      <c r="AL9278" s="6"/>
    </row>
    <row r="9279" spans="38:38" x14ac:dyDescent="0.25">
      <c r="AL9279" s="6"/>
    </row>
    <row r="9280" spans="38:38" x14ac:dyDescent="0.25">
      <c r="AL9280" s="6"/>
    </row>
    <row r="9281" spans="38:38" x14ac:dyDescent="0.25">
      <c r="AL9281" s="6"/>
    </row>
    <row r="9282" spans="38:38" x14ac:dyDescent="0.25">
      <c r="AL9282" s="6"/>
    </row>
    <row r="9283" spans="38:38" x14ac:dyDescent="0.25">
      <c r="AL9283" s="6"/>
    </row>
    <row r="9284" spans="38:38" x14ac:dyDescent="0.25">
      <c r="AL9284" s="6"/>
    </row>
    <row r="9285" spans="38:38" x14ac:dyDescent="0.25">
      <c r="AL9285" s="6"/>
    </row>
    <row r="9286" spans="38:38" x14ac:dyDescent="0.25">
      <c r="AL9286" s="6"/>
    </row>
    <row r="9287" spans="38:38" x14ac:dyDescent="0.25">
      <c r="AL9287" s="6"/>
    </row>
    <row r="9288" spans="38:38" x14ac:dyDescent="0.25">
      <c r="AL9288" s="6"/>
    </row>
    <row r="9289" spans="38:38" x14ac:dyDescent="0.25">
      <c r="AL9289" s="6"/>
    </row>
    <row r="9290" spans="38:38" x14ac:dyDescent="0.25">
      <c r="AL9290" s="6"/>
    </row>
    <row r="9291" spans="38:38" x14ac:dyDescent="0.25">
      <c r="AL9291" s="6"/>
    </row>
    <row r="9292" spans="38:38" x14ac:dyDescent="0.25">
      <c r="AL9292" s="6"/>
    </row>
    <row r="9293" spans="38:38" x14ac:dyDescent="0.25">
      <c r="AL9293" s="6"/>
    </row>
    <row r="9294" spans="38:38" x14ac:dyDescent="0.25">
      <c r="AL9294" s="6"/>
    </row>
    <row r="9295" spans="38:38" x14ac:dyDescent="0.25">
      <c r="AL9295" s="6"/>
    </row>
    <row r="9296" spans="38:38" x14ac:dyDescent="0.25">
      <c r="AL9296" s="6"/>
    </row>
    <row r="9297" spans="38:38" x14ac:dyDescent="0.25">
      <c r="AL9297" s="6"/>
    </row>
    <row r="9298" spans="38:38" x14ac:dyDescent="0.25">
      <c r="AL9298" s="6"/>
    </row>
    <row r="9299" spans="38:38" x14ac:dyDescent="0.25">
      <c r="AL9299" s="6"/>
    </row>
    <row r="9300" spans="38:38" x14ac:dyDescent="0.25">
      <c r="AL9300" s="6"/>
    </row>
    <row r="9301" spans="38:38" x14ac:dyDescent="0.25">
      <c r="AL9301" s="6"/>
    </row>
    <row r="9302" spans="38:38" x14ac:dyDescent="0.25">
      <c r="AL9302" s="6"/>
    </row>
    <row r="9303" spans="38:38" x14ac:dyDescent="0.25">
      <c r="AL9303" s="6"/>
    </row>
    <row r="9304" spans="38:38" x14ac:dyDescent="0.25">
      <c r="AL9304" s="6"/>
    </row>
    <row r="9305" spans="38:38" x14ac:dyDescent="0.25">
      <c r="AL9305" s="6"/>
    </row>
    <row r="9306" spans="38:38" x14ac:dyDescent="0.25">
      <c r="AL9306" s="6"/>
    </row>
    <row r="9307" spans="38:38" x14ac:dyDescent="0.25">
      <c r="AL9307" s="6"/>
    </row>
    <row r="9308" spans="38:38" x14ac:dyDescent="0.25">
      <c r="AL9308" s="6"/>
    </row>
    <row r="9309" spans="38:38" x14ac:dyDescent="0.25">
      <c r="AL9309" s="6"/>
    </row>
    <row r="9310" spans="38:38" x14ac:dyDescent="0.25">
      <c r="AL9310" s="6"/>
    </row>
    <row r="9311" spans="38:38" x14ac:dyDescent="0.25">
      <c r="AL9311" s="6"/>
    </row>
    <row r="9312" spans="38:38" x14ac:dyDescent="0.25">
      <c r="AL9312" s="6"/>
    </row>
    <row r="9313" spans="38:38" x14ac:dyDescent="0.25">
      <c r="AL9313" s="6"/>
    </row>
    <row r="9314" spans="38:38" x14ac:dyDescent="0.25">
      <c r="AL9314" s="6"/>
    </row>
    <row r="9315" spans="38:38" x14ac:dyDescent="0.25">
      <c r="AL9315" s="6"/>
    </row>
    <row r="9316" spans="38:38" x14ac:dyDescent="0.25">
      <c r="AL9316" s="6"/>
    </row>
    <row r="9317" spans="38:38" x14ac:dyDescent="0.25">
      <c r="AL9317" s="6"/>
    </row>
    <row r="9318" spans="38:38" x14ac:dyDescent="0.25">
      <c r="AL9318" s="6"/>
    </row>
    <row r="9319" spans="38:38" x14ac:dyDescent="0.25">
      <c r="AL9319" s="6"/>
    </row>
    <row r="9320" spans="38:38" x14ac:dyDescent="0.25">
      <c r="AL9320" s="6"/>
    </row>
    <row r="9321" spans="38:38" x14ac:dyDescent="0.25">
      <c r="AL9321" s="6"/>
    </row>
    <row r="9322" spans="38:38" x14ac:dyDescent="0.25">
      <c r="AL9322" s="6"/>
    </row>
    <row r="9323" spans="38:38" x14ac:dyDescent="0.25">
      <c r="AL9323" s="6"/>
    </row>
    <row r="9324" spans="38:38" x14ac:dyDescent="0.25">
      <c r="AL9324" s="6"/>
    </row>
    <row r="9325" spans="38:38" x14ac:dyDescent="0.25">
      <c r="AL9325" s="6"/>
    </row>
    <row r="9326" spans="38:38" x14ac:dyDescent="0.25">
      <c r="AL9326" s="6"/>
    </row>
    <row r="9327" spans="38:38" x14ac:dyDescent="0.25">
      <c r="AL9327" s="6"/>
    </row>
    <row r="9328" spans="38:38" x14ac:dyDescent="0.25">
      <c r="AL9328" s="6"/>
    </row>
    <row r="9329" spans="38:38" x14ac:dyDescent="0.25">
      <c r="AL9329" s="6"/>
    </row>
    <row r="9330" spans="38:38" x14ac:dyDescent="0.25">
      <c r="AL9330" s="6"/>
    </row>
    <row r="9331" spans="38:38" x14ac:dyDescent="0.25">
      <c r="AL9331" s="6"/>
    </row>
    <row r="9332" spans="38:38" x14ac:dyDescent="0.25">
      <c r="AL9332" s="6"/>
    </row>
    <row r="9333" spans="38:38" x14ac:dyDescent="0.25">
      <c r="AL9333" s="6"/>
    </row>
    <row r="9334" spans="38:38" x14ac:dyDescent="0.25">
      <c r="AL9334" s="6"/>
    </row>
    <row r="9335" spans="38:38" x14ac:dyDescent="0.25">
      <c r="AL9335" s="6"/>
    </row>
    <row r="9336" spans="38:38" x14ac:dyDescent="0.25">
      <c r="AL9336" s="6"/>
    </row>
    <row r="9337" spans="38:38" x14ac:dyDescent="0.25">
      <c r="AL9337" s="6"/>
    </row>
    <row r="9338" spans="38:38" x14ac:dyDescent="0.25">
      <c r="AL9338" s="6"/>
    </row>
    <row r="9339" spans="38:38" x14ac:dyDescent="0.25">
      <c r="AL9339" s="6"/>
    </row>
    <row r="9340" spans="38:38" x14ac:dyDescent="0.25">
      <c r="AL9340" s="6"/>
    </row>
    <row r="9341" spans="38:38" x14ac:dyDescent="0.25">
      <c r="AL9341" s="6"/>
    </row>
    <row r="9342" spans="38:38" x14ac:dyDescent="0.25">
      <c r="AL9342" s="6"/>
    </row>
    <row r="9343" spans="38:38" x14ac:dyDescent="0.25">
      <c r="AL9343" s="6"/>
    </row>
    <row r="9344" spans="38:38" x14ac:dyDescent="0.25">
      <c r="AL9344" s="6"/>
    </row>
    <row r="9345" spans="38:38" x14ac:dyDescent="0.25">
      <c r="AL9345" s="6"/>
    </row>
    <row r="9346" spans="38:38" x14ac:dyDescent="0.25">
      <c r="AL9346" s="6"/>
    </row>
    <row r="9347" spans="38:38" x14ac:dyDescent="0.25">
      <c r="AL9347" s="6"/>
    </row>
    <row r="9348" spans="38:38" x14ac:dyDescent="0.25">
      <c r="AL9348" s="6"/>
    </row>
    <row r="9349" spans="38:38" x14ac:dyDescent="0.25">
      <c r="AL9349" s="6"/>
    </row>
    <row r="9350" spans="38:38" x14ac:dyDescent="0.25">
      <c r="AL9350" s="6"/>
    </row>
    <row r="9351" spans="38:38" x14ac:dyDescent="0.25">
      <c r="AL9351" s="6"/>
    </row>
    <row r="9352" spans="38:38" x14ac:dyDescent="0.25">
      <c r="AL9352" s="6"/>
    </row>
    <row r="9353" spans="38:38" x14ac:dyDescent="0.25">
      <c r="AL9353" s="6"/>
    </row>
    <row r="9354" spans="38:38" x14ac:dyDescent="0.25">
      <c r="AL9354" s="6"/>
    </row>
    <row r="9355" spans="38:38" x14ac:dyDescent="0.25">
      <c r="AL9355" s="6"/>
    </row>
    <row r="9356" spans="38:38" x14ac:dyDescent="0.25">
      <c r="AL9356" s="6"/>
    </row>
    <row r="9357" spans="38:38" x14ac:dyDescent="0.25">
      <c r="AL9357" s="6"/>
    </row>
    <row r="9358" spans="38:38" x14ac:dyDescent="0.25">
      <c r="AL9358" s="6"/>
    </row>
    <row r="9359" spans="38:38" x14ac:dyDescent="0.25">
      <c r="AL9359" s="6"/>
    </row>
    <row r="9360" spans="38:38" x14ac:dyDescent="0.25">
      <c r="AL9360" s="6"/>
    </row>
    <row r="9361" spans="38:38" x14ac:dyDescent="0.25">
      <c r="AL9361" s="6"/>
    </row>
    <row r="9362" spans="38:38" x14ac:dyDescent="0.25">
      <c r="AL9362" s="6"/>
    </row>
    <row r="9363" spans="38:38" x14ac:dyDescent="0.25">
      <c r="AL9363" s="6"/>
    </row>
    <row r="9364" spans="38:38" x14ac:dyDescent="0.25">
      <c r="AL9364" s="6"/>
    </row>
    <row r="9365" spans="38:38" x14ac:dyDescent="0.25">
      <c r="AL9365" s="6"/>
    </row>
    <row r="9366" spans="38:38" x14ac:dyDescent="0.25">
      <c r="AL9366" s="6"/>
    </row>
    <row r="9367" spans="38:38" x14ac:dyDescent="0.25">
      <c r="AL9367" s="6"/>
    </row>
    <row r="9368" spans="38:38" x14ac:dyDescent="0.25">
      <c r="AL9368" s="6"/>
    </row>
    <row r="9369" spans="38:38" x14ac:dyDescent="0.25">
      <c r="AL9369" s="6"/>
    </row>
    <row r="9370" spans="38:38" x14ac:dyDescent="0.25">
      <c r="AL9370" s="6"/>
    </row>
    <row r="9371" spans="38:38" x14ac:dyDescent="0.25">
      <c r="AL9371" s="6"/>
    </row>
    <row r="9372" spans="38:38" x14ac:dyDescent="0.25">
      <c r="AL9372" s="6"/>
    </row>
    <row r="9373" spans="38:38" x14ac:dyDescent="0.25">
      <c r="AL9373" s="6"/>
    </row>
    <row r="9374" spans="38:38" x14ac:dyDescent="0.25">
      <c r="AL9374" s="6"/>
    </row>
    <row r="9375" spans="38:38" x14ac:dyDescent="0.25">
      <c r="AL9375" s="6"/>
    </row>
    <row r="9376" spans="38:38" x14ac:dyDescent="0.25">
      <c r="AL9376" s="6"/>
    </row>
    <row r="9377" spans="38:38" x14ac:dyDescent="0.25">
      <c r="AL9377" s="6"/>
    </row>
    <row r="9378" spans="38:38" x14ac:dyDescent="0.25">
      <c r="AL9378" s="6"/>
    </row>
    <row r="9379" spans="38:38" x14ac:dyDescent="0.25">
      <c r="AL9379" s="6"/>
    </row>
    <row r="9380" spans="38:38" x14ac:dyDescent="0.25">
      <c r="AL9380" s="6"/>
    </row>
    <row r="9381" spans="38:38" x14ac:dyDescent="0.25">
      <c r="AL9381" s="6"/>
    </row>
    <row r="9382" spans="38:38" x14ac:dyDescent="0.25">
      <c r="AL9382" s="6"/>
    </row>
    <row r="9383" spans="38:38" x14ac:dyDescent="0.25">
      <c r="AL9383" s="6"/>
    </row>
    <row r="9384" spans="38:38" x14ac:dyDescent="0.25">
      <c r="AL9384" s="6"/>
    </row>
    <row r="9385" spans="38:38" x14ac:dyDescent="0.25">
      <c r="AL9385" s="6"/>
    </row>
    <row r="9386" spans="38:38" x14ac:dyDescent="0.25">
      <c r="AL9386" s="6"/>
    </row>
    <row r="9387" spans="38:38" x14ac:dyDescent="0.25">
      <c r="AL9387" s="6"/>
    </row>
    <row r="9388" spans="38:38" x14ac:dyDescent="0.25">
      <c r="AL9388" s="6"/>
    </row>
    <row r="9389" spans="38:38" x14ac:dyDescent="0.25">
      <c r="AL9389" s="6"/>
    </row>
    <row r="9390" spans="38:38" x14ac:dyDescent="0.25">
      <c r="AL9390" s="6"/>
    </row>
    <row r="9391" spans="38:38" x14ac:dyDescent="0.25">
      <c r="AL9391" s="6"/>
    </row>
    <row r="9392" spans="38:38" x14ac:dyDescent="0.25">
      <c r="AL9392" s="6"/>
    </row>
    <row r="9393" spans="38:38" x14ac:dyDescent="0.25">
      <c r="AL9393" s="6"/>
    </row>
    <row r="9394" spans="38:38" x14ac:dyDescent="0.25">
      <c r="AL9394" s="6"/>
    </row>
    <row r="9395" spans="38:38" x14ac:dyDescent="0.25">
      <c r="AL9395" s="6"/>
    </row>
    <row r="9396" spans="38:38" x14ac:dyDescent="0.25">
      <c r="AL9396" s="6"/>
    </row>
    <row r="9397" spans="38:38" x14ac:dyDescent="0.25">
      <c r="AL9397" s="6"/>
    </row>
    <row r="9398" spans="38:38" x14ac:dyDescent="0.25">
      <c r="AL9398" s="6"/>
    </row>
    <row r="9399" spans="38:38" x14ac:dyDescent="0.25">
      <c r="AL9399" s="6"/>
    </row>
    <row r="9400" spans="38:38" x14ac:dyDescent="0.25">
      <c r="AL9400" s="6"/>
    </row>
    <row r="9401" spans="38:38" x14ac:dyDescent="0.25">
      <c r="AL9401" s="6"/>
    </row>
    <row r="9402" spans="38:38" x14ac:dyDescent="0.25">
      <c r="AL9402" s="6"/>
    </row>
    <row r="9403" spans="38:38" x14ac:dyDescent="0.25">
      <c r="AL9403" s="6"/>
    </row>
    <row r="9404" spans="38:38" x14ac:dyDescent="0.25">
      <c r="AL9404" s="6"/>
    </row>
    <row r="9405" spans="38:38" x14ac:dyDescent="0.25">
      <c r="AL9405" s="6"/>
    </row>
    <row r="9406" spans="38:38" x14ac:dyDescent="0.25">
      <c r="AL9406" s="6"/>
    </row>
    <row r="9407" spans="38:38" x14ac:dyDescent="0.25">
      <c r="AL9407" s="6"/>
    </row>
    <row r="9408" spans="38:38" x14ac:dyDescent="0.25">
      <c r="AL9408" s="6"/>
    </row>
    <row r="9409" spans="38:38" x14ac:dyDescent="0.25">
      <c r="AL9409" s="6"/>
    </row>
    <row r="9410" spans="38:38" x14ac:dyDescent="0.25">
      <c r="AL9410" s="6"/>
    </row>
    <row r="9411" spans="38:38" x14ac:dyDescent="0.25">
      <c r="AL9411" s="6"/>
    </row>
    <row r="9412" spans="38:38" x14ac:dyDescent="0.25">
      <c r="AL9412" s="6"/>
    </row>
    <row r="9413" spans="38:38" x14ac:dyDescent="0.25">
      <c r="AL9413" s="6"/>
    </row>
    <row r="9414" spans="38:38" x14ac:dyDescent="0.25">
      <c r="AL9414" s="6"/>
    </row>
    <row r="9415" spans="38:38" x14ac:dyDescent="0.25">
      <c r="AL9415" s="6"/>
    </row>
    <row r="9416" spans="38:38" x14ac:dyDescent="0.25">
      <c r="AL9416" s="6"/>
    </row>
    <row r="9417" spans="38:38" x14ac:dyDescent="0.25">
      <c r="AL9417" s="6"/>
    </row>
    <row r="9418" spans="38:38" x14ac:dyDescent="0.25">
      <c r="AL9418" s="6"/>
    </row>
    <row r="9419" spans="38:38" x14ac:dyDescent="0.25">
      <c r="AL9419" s="6"/>
    </row>
    <row r="9420" spans="38:38" x14ac:dyDescent="0.25">
      <c r="AL9420" s="6"/>
    </row>
    <row r="9421" spans="38:38" x14ac:dyDescent="0.25">
      <c r="AL9421" s="6"/>
    </row>
    <row r="9422" spans="38:38" x14ac:dyDescent="0.25">
      <c r="AL9422" s="6"/>
    </row>
    <row r="9423" spans="38:38" x14ac:dyDescent="0.25">
      <c r="AL9423" s="6"/>
    </row>
    <row r="9424" spans="38:38" x14ac:dyDescent="0.25">
      <c r="AL9424" s="6"/>
    </row>
    <row r="9425" spans="38:38" x14ac:dyDescent="0.25">
      <c r="AL9425" s="6"/>
    </row>
    <row r="9426" spans="38:38" x14ac:dyDescent="0.25">
      <c r="AL9426" s="6"/>
    </row>
    <row r="9427" spans="38:38" x14ac:dyDescent="0.25">
      <c r="AL9427" s="6"/>
    </row>
    <row r="9428" spans="38:38" x14ac:dyDescent="0.25">
      <c r="AL9428" s="6"/>
    </row>
    <row r="9429" spans="38:38" x14ac:dyDescent="0.25">
      <c r="AL9429" s="6"/>
    </row>
    <row r="9430" spans="38:38" x14ac:dyDescent="0.25">
      <c r="AL9430" s="6"/>
    </row>
    <row r="9431" spans="38:38" x14ac:dyDescent="0.25">
      <c r="AL9431" s="6"/>
    </row>
    <row r="9432" spans="38:38" x14ac:dyDescent="0.25">
      <c r="AL9432" s="6"/>
    </row>
    <row r="9433" spans="38:38" x14ac:dyDescent="0.25">
      <c r="AL9433" s="6"/>
    </row>
    <row r="9434" spans="38:38" x14ac:dyDescent="0.25">
      <c r="AL9434" s="6"/>
    </row>
    <row r="9435" spans="38:38" x14ac:dyDescent="0.25">
      <c r="AL9435" s="6"/>
    </row>
    <row r="9436" spans="38:38" x14ac:dyDescent="0.25">
      <c r="AL9436" s="6"/>
    </row>
    <row r="9437" spans="38:38" x14ac:dyDescent="0.25">
      <c r="AL9437" s="6"/>
    </row>
    <row r="9438" spans="38:38" x14ac:dyDescent="0.25">
      <c r="AL9438" s="6"/>
    </row>
    <row r="9439" spans="38:38" x14ac:dyDescent="0.25">
      <c r="AL9439" s="6"/>
    </row>
    <row r="9440" spans="38:38" x14ac:dyDescent="0.25">
      <c r="AL9440" s="6"/>
    </row>
    <row r="9441" spans="38:38" x14ac:dyDescent="0.25">
      <c r="AL9441" s="6"/>
    </row>
    <row r="9442" spans="38:38" x14ac:dyDescent="0.25">
      <c r="AL9442" s="6"/>
    </row>
    <row r="9443" spans="38:38" x14ac:dyDescent="0.25">
      <c r="AL9443" s="6"/>
    </row>
    <row r="9444" spans="38:38" x14ac:dyDescent="0.25">
      <c r="AL9444" s="6"/>
    </row>
    <row r="9445" spans="38:38" x14ac:dyDescent="0.25">
      <c r="AL9445" s="6"/>
    </row>
    <row r="9446" spans="38:38" x14ac:dyDescent="0.25">
      <c r="AL9446" s="6"/>
    </row>
    <row r="9447" spans="38:38" x14ac:dyDescent="0.25">
      <c r="AL9447" s="6"/>
    </row>
    <row r="9448" spans="38:38" x14ac:dyDescent="0.25">
      <c r="AL9448" s="6"/>
    </row>
    <row r="9449" spans="38:38" x14ac:dyDescent="0.25">
      <c r="AL9449" s="6"/>
    </row>
    <row r="9450" spans="38:38" x14ac:dyDescent="0.25">
      <c r="AL9450" s="6"/>
    </row>
    <row r="9451" spans="38:38" x14ac:dyDescent="0.25">
      <c r="AL9451" s="6"/>
    </row>
    <row r="9452" spans="38:38" x14ac:dyDescent="0.25">
      <c r="AL9452" s="6"/>
    </row>
    <row r="9453" spans="38:38" x14ac:dyDescent="0.25">
      <c r="AL9453" s="6"/>
    </row>
    <row r="9454" spans="38:38" x14ac:dyDescent="0.25">
      <c r="AL9454" s="6"/>
    </row>
    <row r="9455" spans="38:38" x14ac:dyDescent="0.25">
      <c r="AL9455" s="6"/>
    </row>
    <row r="9456" spans="38:38" x14ac:dyDescent="0.25">
      <c r="AL9456" s="6"/>
    </row>
    <row r="9457" spans="38:38" x14ac:dyDescent="0.25">
      <c r="AL9457" s="6"/>
    </row>
    <row r="9458" spans="38:38" x14ac:dyDescent="0.25">
      <c r="AL9458" s="6"/>
    </row>
    <row r="9459" spans="38:38" x14ac:dyDescent="0.25">
      <c r="AL9459" s="6"/>
    </row>
    <row r="9460" spans="38:38" x14ac:dyDescent="0.25">
      <c r="AL9460" s="6"/>
    </row>
    <row r="9461" spans="38:38" x14ac:dyDescent="0.25">
      <c r="AL9461" s="6"/>
    </row>
    <row r="9462" spans="38:38" x14ac:dyDescent="0.25">
      <c r="AL9462" s="6"/>
    </row>
    <row r="9463" spans="38:38" x14ac:dyDescent="0.25">
      <c r="AL9463" s="6"/>
    </row>
    <row r="9464" spans="38:38" x14ac:dyDescent="0.25">
      <c r="AL9464" s="6"/>
    </row>
    <row r="9465" spans="38:38" x14ac:dyDescent="0.25">
      <c r="AL9465" s="6"/>
    </row>
    <row r="9466" spans="38:38" x14ac:dyDescent="0.25">
      <c r="AL9466" s="6"/>
    </row>
    <row r="9467" spans="38:38" x14ac:dyDescent="0.25">
      <c r="AL9467" s="6"/>
    </row>
    <row r="9468" spans="38:38" x14ac:dyDescent="0.25">
      <c r="AL9468" s="6"/>
    </row>
    <row r="9469" spans="38:38" x14ac:dyDescent="0.25">
      <c r="AL9469" s="6"/>
    </row>
    <row r="9470" spans="38:38" x14ac:dyDescent="0.25">
      <c r="AL9470" s="6"/>
    </row>
    <row r="9471" spans="38:38" x14ac:dyDescent="0.25">
      <c r="AL9471" s="6"/>
    </row>
    <row r="9472" spans="38:38" x14ac:dyDescent="0.25">
      <c r="AL9472" s="6"/>
    </row>
    <row r="9473" spans="38:38" x14ac:dyDescent="0.25">
      <c r="AL9473" s="6"/>
    </row>
    <row r="9474" spans="38:38" x14ac:dyDescent="0.25">
      <c r="AL9474" s="6"/>
    </row>
    <row r="9475" spans="38:38" x14ac:dyDescent="0.25">
      <c r="AL9475" s="6"/>
    </row>
    <row r="9476" spans="38:38" x14ac:dyDescent="0.25">
      <c r="AL9476" s="6"/>
    </row>
    <row r="9477" spans="38:38" x14ac:dyDescent="0.25">
      <c r="AL9477" s="6"/>
    </row>
    <row r="9478" spans="38:38" x14ac:dyDescent="0.25">
      <c r="AL9478" s="6"/>
    </row>
    <row r="9479" spans="38:38" x14ac:dyDescent="0.25">
      <c r="AL9479" s="6"/>
    </row>
    <row r="9480" spans="38:38" x14ac:dyDescent="0.25">
      <c r="AL9480" s="6"/>
    </row>
    <row r="9481" spans="38:38" x14ac:dyDescent="0.25">
      <c r="AL9481" s="6"/>
    </row>
    <row r="9482" spans="38:38" x14ac:dyDescent="0.25">
      <c r="AL9482" s="6"/>
    </row>
    <row r="9483" spans="38:38" x14ac:dyDescent="0.25">
      <c r="AL9483" s="6"/>
    </row>
    <row r="9484" spans="38:38" x14ac:dyDescent="0.25">
      <c r="AL9484" s="6"/>
    </row>
    <row r="9485" spans="38:38" x14ac:dyDescent="0.25">
      <c r="AL9485" s="6"/>
    </row>
    <row r="9486" spans="38:38" x14ac:dyDescent="0.25">
      <c r="AL9486" s="6"/>
    </row>
    <row r="9487" spans="38:38" x14ac:dyDescent="0.25">
      <c r="AL9487" s="6"/>
    </row>
    <row r="9488" spans="38:38" x14ac:dyDescent="0.25">
      <c r="AL9488" s="6"/>
    </row>
    <row r="9489" spans="38:38" x14ac:dyDescent="0.25">
      <c r="AL9489" s="6"/>
    </row>
    <row r="9490" spans="38:38" x14ac:dyDescent="0.25">
      <c r="AL9490" s="6"/>
    </row>
    <row r="9491" spans="38:38" x14ac:dyDescent="0.25">
      <c r="AL9491" s="6"/>
    </row>
    <row r="9492" spans="38:38" x14ac:dyDescent="0.25">
      <c r="AL9492" s="6"/>
    </row>
    <row r="9493" spans="38:38" x14ac:dyDescent="0.25">
      <c r="AL9493" s="6"/>
    </row>
    <row r="9494" spans="38:38" x14ac:dyDescent="0.25">
      <c r="AL9494" s="6"/>
    </row>
    <row r="9495" spans="38:38" x14ac:dyDescent="0.25">
      <c r="AL9495" s="6"/>
    </row>
    <row r="9496" spans="38:38" x14ac:dyDescent="0.25">
      <c r="AL9496" s="6"/>
    </row>
    <row r="9497" spans="38:38" x14ac:dyDescent="0.25">
      <c r="AL9497" s="6"/>
    </row>
    <row r="9498" spans="38:38" x14ac:dyDescent="0.25">
      <c r="AL9498" s="6"/>
    </row>
    <row r="9499" spans="38:38" x14ac:dyDescent="0.25">
      <c r="AL9499" s="6"/>
    </row>
    <row r="9500" spans="38:38" x14ac:dyDescent="0.25">
      <c r="AL9500" s="6"/>
    </row>
    <row r="9501" spans="38:38" x14ac:dyDescent="0.25">
      <c r="AL9501" s="6"/>
    </row>
    <row r="9502" spans="38:38" x14ac:dyDescent="0.25">
      <c r="AL9502" s="6"/>
    </row>
    <row r="9503" spans="38:38" x14ac:dyDescent="0.25">
      <c r="AL9503" s="6"/>
    </row>
    <row r="9504" spans="38:38" x14ac:dyDescent="0.25">
      <c r="AL9504" s="6"/>
    </row>
    <row r="9505" spans="38:38" x14ac:dyDescent="0.25">
      <c r="AL9505" s="6"/>
    </row>
    <row r="9506" spans="38:38" x14ac:dyDescent="0.25">
      <c r="AL9506" s="6"/>
    </row>
    <row r="9507" spans="38:38" x14ac:dyDescent="0.25">
      <c r="AL9507" s="6"/>
    </row>
    <row r="9508" spans="38:38" x14ac:dyDescent="0.25">
      <c r="AL9508" s="6"/>
    </row>
    <row r="9509" spans="38:38" x14ac:dyDescent="0.25">
      <c r="AL9509" s="6"/>
    </row>
    <row r="9510" spans="38:38" x14ac:dyDescent="0.25">
      <c r="AL9510" s="6"/>
    </row>
    <row r="9511" spans="38:38" x14ac:dyDescent="0.25">
      <c r="AL9511" s="6"/>
    </row>
    <row r="9512" spans="38:38" x14ac:dyDescent="0.25">
      <c r="AL9512" s="6"/>
    </row>
    <row r="9513" spans="38:38" x14ac:dyDescent="0.25">
      <c r="AL9513" s="6"/>
    </row>
    <row r="9514" spans="38:38" x14ac:dyDescent="0.25">
      <c r="AL9514" s="6"/>
    </row>
    <row r="9515" spans="38:38" x14ac:dyDescent="0.25">
      <c r="AL9515" s="6"/>
    </row>
    <row r="9516" spans="38:38" x14ac:dyDescent="0.25">
      <c r="AL9516" s="6"/>
    </row>
    <row r="9517" spans="38:38" x14ac:dyDescent="0.25">
      <c r="AL9517" s="6"/>
    </row>
    <row r="9518" spans="38:38" x14ac:dyDescent="0.25">
      <c r="AL9518" s="6"/>
    </row>
    <row r="9519" spans="38:38" x14ac:dyDescent="0.25">
      <c r="AL9519" s="6"/>
    </row>
    <row r="9520" spans="38:38" x14ac:dyDescent="0.25">
      <c r="AL9520" s="6"/>
    </row>
    <row r="9521" spans="38:38" x14ac:dyDescent="0.25">
      <c r="AL9521" s="6"/>
    </row>
    <row r="9522" spans="38:38" x14ac:dyDescent="0.25">
      <c r="AL9522" s="6"/>
    </row>
    <row r="9523" spans="38:38" x14ac:dyDescent="0.25">
      <c r="AL9523" s="6"/>
    </row>
    <row r="9524" spans="38:38" x14ac:dyDescent="0.25">
      <c r="AL9524" s="6"/>
    </row>
    <row r="9525" spans="38:38" x14ac:dyDescent="0.25">
      <c r="AL9525" s="6"/>
    </row>
    <row r="9526" spans="38:38" x14ac:dyDescent="0.25">
      <c r="AL9526" s="6"/>
    </row>
    <row r="9527" spans="38:38" x14ac:dyDescent="0.25">
      <c r="AL9527" s="6"/>
    </row>
    <row r="9528" spans="38:38" x14ac:dyDescent="0.25">
      <c r="AL9528" s="6"/>
    </row>
    <row r="9529" spans="38:38" x14ac:dyDescent="0.25">
      <c r="AL9529" s="6"/>
    </row>
    <row r="9530" spans="38:38" x14ac:dyDescent="0.25">
      <c r="AL9530" s="6"/>
    </row>
    <row r="9531" spans="38:38" x14ac:dyDescent="0.25">
      <c r="AL9531" s="6"/>
    </row>
    <row r="9532" spans="38:38" x14ac:dyDescent="0.25">
      <c r="AL9532" s="6"/>
    </row>
    <row r="9533" spans="38:38" x14ac:dyDescent="0.25">
      <c r="AL9533" s="6"/>
    </row>
    <row r="9534" spans="38:38" x14ac:dyDescent="0.25">
      <c r="AL9534" s="6"/>
    </row>
    <row r="9535" spans="38:38" x14ac:dyDescent="0.25">
      <c r="AL9535" s="6"/>
    </row>
    <row r="9536" spans="38:38" x14ac:dyDescent="0.25">
      <c r="AL9536" s="6"/>
    </row>
    <row r="9537" spans="38:38" x14ac:dyDescent="0.25">
      <c r="AL9537" s="6"/>
    </row>
    <row r="9538" spans="38:38" x14ac:dyDescent="0.25">
      <c r="AL9538" s="6"/>
    </row>
    <row r="9539" spans="38:38" x14ac:dyDescent="0.25">
      <c r="AL9539" s="6"/>
    </row>
    <row r="9540" spans="38:38" x14ac:dyDescent="0.25">
      <c r="AL9540" s="6"/>
    </row>
    <row r="9541" spans="38:38" x14ac:dyDescent="0.25">
      <c r="AL9541" s="6"/>
    </row>
    <row r="9542" spans="38:38" x14ac:dyDescent="0.25">
      <c r="AL9542" s="6"/>
    </row>
    <row r="9543" spans="38:38" x14ac:dyDescent="0.25">
      <c r="AL9543" s="6"/>
    </row>
    <row r="9544" spans="38:38" x14ac:dyDescent="0.25">
      <c r="AL9544" s="6"/>
    </row>
    <row r="9545" spans="38:38" x14ac:dyDescent="0.25">
      <c r="AL9545" s="6"/>
    </row>
    <row r="9546" spans="38:38" x14ac:dyDescent="0.25">
      <c r="AL9546" s="6"/>
    </row>
    <row r="9547" spans="38:38" x14ac:dyDescent="0.25">
      <c r="AL9547" s="6"/>
    </row>
    <row r="9548" spans="38:38" x14ac:dyDescent="0.25">
      <c r="AL9548" s="6"/>
    </row>
    <row r="9549" spans="38:38" x14ac:dyDescent="0.25">
      <c r="AL9549" s="6"/>
    </row>
    <row r="9550" spans="38:38" x14ac:dyDescent="0.25">
      <c r="AL9550" s="6"/>
    </row>
    <row r="9551" spans="38:38" x14ac:dyDescent="0.25">
      <c r="AL9551" s="6"/>
    </row>
    <row r="9552" spans="38:38" x14ac:dyDescent="0.25">
      <c r="AL9552" s="6"/>
    </row>
    <row r="9553" spans="38:38" x14ac:dyDescent="0.25">
      <c r="AL9553" s="6"/>
    </row>
    <row r="9554" spans="38:38" x14ac:dyDescent="0.25">
      <c r="AL9554" s="6"/>
    </row>
    <row r="9555" spans="38:38" x14ac:dyDescent="0.25">
      <c r="AL9555" s="6"/>
    </row>
    <row r="9556" spans="38:38" x14ac:dyDescent="0.25">
      <c r="AL9556" s="6"/>
    </row>
    <row r="9557" spans="38:38" x14ac:dyDescent="0.25">
      <c r="AL9557" s="6"/>
    </row>
    <row r="9558" spans="38:38" x14ac:dyDescent="0.25">
      <c r="AL9558" s="6"/>
    </row>
    <row r="9559" spans="38:38" x14ac:dyDescent="0.25">
      <c r="AL9559" s="6"/>
    </row>
    <row r="9560" spans="38:38" x14ac:dyDescent="0.25">
      <c r="AL9560" s="6"/>
    </row>
    <row r="9561" spans="38:38" x14ac:dyDescent="0.25">
      <c r="AL9561" s="6"/>
    </row>
    <row r="9562" spans="38:38" x14ac:dyDescent="0.25">
      <c r="AL9562" s="6"/>
    </row>
    <row r="9563" spans="38:38" x14ac:dyDescent="0.25">
      <c r="AL9563" s="6"/>
    </row>
    <row r="9564" spans="38:38" x14ac:dyDescent="0.25">
      <c r="AL9564" s="6"/>
    </row>
    <row r="9565" spans="38:38" x14ac:dyDescent="0.25">
      <c r="AL9565" s="6"/>
    </row>
    <row r="9566" spans="38:38" x14ac:dyDescent="0.25">
      <c r="AL9566" s="6"/>
    </row>
    <row r="9567" spans="38:38" x14ac:dyDescent="0.25">
      <c r="AL9567" s="6"/>
    </row>
    <row r="9568" spans="38:38" x14ac:dyDescent="0.25">
      <c r="AL9568" s="6"/>
    </row>
    <row r="9569" spans="38:38" x14ac:dyDescent="0.25">
      <c r="AL9569" s="6"/>
    </row>
    <row r="9570" spans="38:38" x14ac:dyDescent="0.25">
      <c r="AL9570" s="6"/>
    </row>
    <row r="9571" spans="38:38" x14ac:dyDescent="0.25">
      <c r="AL9571" s="6"/>
    </row>
    <row r="9572" spans="38:38" x14ac:dyDescent="0.25">
      <c r="AL9572" s="6"/>
    </row>
    <row r="9573" spans="38:38" x14ac:dyDescent="0.25">
      <c r="AL9573" s="6"/>
    </row>
    <row r="9574" spans="38:38" x14ac:dyDescent="0.25">
      <c r="AL9574" s="6"/>
    </row>
    <row r="9575" spans="38:38" x14ac:dyDescent="0.25">
      <c r="AL9575" s="6"/>
    </row>
    <row r="9576" spans="38:38" x14ac:dyDescent="0.25">
      <c r="AL9576" s="6"/>
    </row>
    <row r="9577" spans="38:38" x14ac:dyDescent="0.25">
      <c r="AL9577" s="6"/>
    </row>
    <row r="9578" spans="38:38" x14ac:dyDescent="0.25">
      <c r="AL9578" s="6"/>
    </row>
    <row r="9579" spans="38:38" x14ac:dyDescent="0.25">
      <c r="AL9579" s="6"/>
    </row>
    <row r="9580" spans="38:38" x14ac:dyDescent="0.25">
      <c r="AL9580" s="6"/>
    </row>
    <row r="9581" spans="38:38" x14ac:dyDescent="0.25">
      <c r="AL9581" s="6"/>
    </row>
    <row r="9582" spans="38:38" x14ac:dyDescent="0.25">
      <c r="AL9582" s="6"/>
    </row>
    <row r="9583" spans="38:38" x14ac:dyDescent="0.25">
      <c r="AL9583" s="6"/>
    </row>
    <row r="9584" spans="38:38" x14ac:dyDescent="0.25">
      <c r="AL9584" s="6"/>
    </row>
    <row r="9585" spans="38:38" x14ac:dyDescent="0.25">
      <c r="AL9585" s="6"/>
    </row>
    <row r="9586" spans="38:38" x14ac:dyDescent="0.25">
      <c r="AL9586" s="6"/>
    </row>
    <row r="9587" spans="38:38" x14ac:dyDescent="0.25">
      <c r="AL9587" s="6"/>
    </row>
    <row r="9588" spans="38:38" x14ac:dyDescent="0.25">
      <c r="AL9588" s="6"/>
    </row>
    <row r="9589" spans="38:38" x14ac:dyDescent="0.25">
      <c r="AL9589" s="6"/>
    </row>
    <row r="9590" spans="38:38" x14ac:dyDescent="0.25">
      <c r="AL9590" s="6"/>
    </row>
    <row r="9591" spans="38:38" x14ac:dyDescent="0.25">
      <c r="AL9591" s="6"/>
    </row>
    <row r="9592" spans="38:38" x14ac:dyDescent="0.25">
      <c r="AL9592" s="6"/>
    </row>
    <row r="9593" spans="38:38" x14ac:dyDescent="0.25">
      <c r="AL9593" s="6"/>
    </row>
    <row r="9594" spans="38:38" x14ac:dyDescent="0.25">
      <c r="AL9594" s="6"/>
    </row>
    <row r="9595" spans="38:38" x14ac:dyDescent="0.25">
      <c r="AL9595" s="6"/>
    </row>
    <row r="9596" spans="38:38" x14ac:dyDescent="0.25">
      <c r="AL9596" s="6"/>
    </row>
    <row r="9597" spans="38:38" x14ac:dyDescent="0.25">
      <c r="AL9597" s="6"/>
    </row>
    <row r="9598" spans="38:38" x14ac:dyDescent="0.25">
      <c r="AL9598" s="6"/>
    </row>
    <row r="9599" spans="38:38" x14ac:dyDescent="0.25">
      <c r="AL9599" s="6"/>
    </row>
    <row r="9600" spans="38:38" x14ac:dyDescent="0.25">
      <c r="AL9600" s="6"/>
    </row>
    <row r="9601" spans="38:38" x14ac:dyDescent="0.25">
      <c r="AL9601" s="6"/>
    </row>
    <row r="9602" spans="38:38" x14ac:dyDescent="0.25">
      <c r="AL9602" s="6"/>
    </row>
    <row r="9603" spans="38:38" x14ac:dyDescent="0.25">
      <c r="AL9603" s="6"/>
    </row>
    <row r="9604" spans="38:38" x14ac:dyDescent="0.25">
      <c r="AL9604" s="6"/>
    </row>
    <row r="9605" spans="38:38" x14ac:dyDescent="0.25">
      <c r="AL9605" s="6"/>
    </row>
    <row r="9606" spans="38:38" x14ac:dyDescent="0.25">
      <c r="AL9606" s="6"/>
    </row>
    <row r="9607" spans="38:38" x14ac:dyDescent="0.25">
      <c r="AL9607" s="6"/>
    </row>
    <row r="9608" spans="38:38" x14ac:dyDescent="0.25">
      <c r="AL9608" s="6"/>
    </row>
    <row r="9609" spans="38:38" x14ac:dyDescent="0.25">
      <c r="AL9609" s="6"/>
    </row>
    <row r="9610" spans="38:38" x14ac:dyDescent="0.25">
      <c r="AL9610" s="6"/>
    </row>
    <row r="9611" spans="38:38" x14ac:dyDescent="0.25">
      <c r="AL9611" s="6"/>
    </row>
    <row r="9612" spans="38:38" x14ac:dyDescent="0.25">
      <c r="AL9612" s="6"/>
    </row>
    <row r="9613" spans="38:38" x14ac:dyDescent="0.25">
      <c r="AL9613" s="6"/>
    </row>
    <row r="9614" spans="38:38" x14ac:dyDescent="0.25">
      <c r="AL9614" s="6"/>
    </row>
    <row r="9615" spans="38:38" x14ac:dyDescent="0.25">
      <c r="AL9615" s="6"/>
    </row>
    <row r="9616" spans="38:38" x14ac:dyDescent="0.25">
      <c r="AL9616" s="6"/>
    </row>
    <row r="9617" spans="38:38" x14ac:dyDescent="0.25">
      <c r="AL9617" s="6"/>
    </row>
    <row r="9618" spans="38:38" x14ac:dyDescent="0.25">
      <c r="AL9618" s="6"/>
    </row>
    <row r="9619" spans="38:38" x14ac:dyDescent="0.25">
      <c r="AL9619" s="6"/>
    </row>
    <row r="9620" spans="38:38" x14ac:dyDescent="0.25">
      <c r="AL9620" s="6"/>
    </row>
    <row r="9621" spans="38:38" x14ac:dyDescent="0.25">
      <c r="AL9621" s="6"/>
    </row>
    <row r="9622" spans="38:38" x14ac:dyDescent="0.25">
      <c r="AL9622" s="6"/>
    </row>
    <row r="9623" spans="38:38" x14ac:dyDescent="0.25">
      <c r="AL9623" s="6"/>
    </row>
    <row r="9624" spans="38:38" x14ac:dyDescent="0.25">
      <c r="AL9624" s="6"/>
    </row>
    <row r="9625" spans="38:38" x14ac:dyDescent="0.25">
      <c r="AL9625" s="6"/>
    </row>
    <row r="9626" spans="38:38" x14ac:dyDescent="0.25">
      <c r="AL9626" s="6"/>
    </row>
    <row r="9627" spans="38:38" x14ac:dyDescent="0.25">
      <c r="AL9627" s="6"/>
    </row>
    <row r="9628" spans="38:38" x14ac:dyDescent="0.25">
      <c r="AL9628" s="6"/>
    </row>
    <row r="9629" spans="38:38" x14ac:dyDescent="0.25">
      <c r="AL9629" s="6"/>
    </row>
    <row r="9630" spans="38:38" x14ac:dyDescent="0.25">
      <c r="AL9630" s="6"/>
    </row>
    <row r="9631" spans="38:38" x14ac:dyDescent="0.25">
      <c r="AL9631" s="6"/>
    </row>
    <row r="9632" spans="38:38" x14ac:dyDescent="0.25">
      <c r="AL9632" s="6"/>
    </row>
    <row r="9633" spans="38:38" x14ac:dyDescent="0.25">
      <c r="AL9633" s="6"/>
    </row>
    <row r="9634" spans="38:38" x14ac:dyDescent="0.25">
      <c r="AL9634" s="6"/>
    </row>
    <row r="9635" spans="38:38" x14ac:dyDescent="0.25">
      <c r="AL9635" s="6"/>
    </row>
    <row r="9636" spans="38:38" x14ac:dyDescent="0.25">
      <c r="AL9636" s="6"/>
    </row>
    <row r="9637" spans="38:38" x14ac:dyDescent="0.25">
      <c r="AL9637" s="6"/>
    </row>
    <row r="9638" spans="38:38" x14ac:dyDescent="0.25">
      <c r="AL9638" s="6"/>
    </row>
    <row r="9639" spans="38:38" x14ac:dyDescent="0.25">
      <c r="AL9639" s="6"/>
    </row>
    <row r="9640" spans="38:38" x14ac:dyDescent="0.25">
      <c r="AL9640" s="6"/>
    </row>
    <row r="9641" spans="38:38" x14ac:dyDescent="0.25">
      <c r="AL9641" s="6"/>
    </row>
    <row r="9642" spans="38:38" x14ac:dyDescent="0.25">
      <c r="AL9642" s="6"/>
    </row>
    <row r="9643" spans="38:38" x14ac:dyDescent="0.25">
      <c r="AL9643" s="6"/>
    </row>
    <row r="9644" spans="38:38" x14ac:dyDescent="0.25">
      <c r="AL9644" s="6"/>
    </row>
    <row r="9645" spans="38:38" x14ac:dyDescent="0.25">
      <c r="AL9645" s="6"/>
    </row>
    <row r="9646" spans="38:38" x14ac:dyDescent="0.25">
      <c r="AL9646" s="6"/>
    </row>
    <row r="9647" spans="38:38" x14ac:dyDescent="0.25">
      <c r="AL9647" s="6"/>
    </row>
    <row r="9648" spans="38:38" x14ac:dyDescent="0.25">
      <c r="AL9648" s="6"/>
    </row>
    <row r="9649" spans="38:38" x14ac:dyDescent="0.25">
      <c r="AL9649" s="6"/>
    </row>
    <row r="9650" spans="38:38" x14ac:dyDescent="0.25">
      <c r="AL9650" s="6"/>
    </row>
    <row r="9651" spans="38:38" x14ac:dyDescent="0.25">
      <c r="AL9651" s="6"/>
    </row>
    <row r="9652" spans="38:38" x14ac:dyDescent="0.25">
      <c r="AL9652" s="6"/>
    </row>
    <row r="9653" spans="38:38" x14ac:dyDescent="0.25">
      <c r="AL9653" s="6"/>
    </row>
    <row r="9654" spans="38:38" x14ac:dyDescent="0.25">
      <c r="AL9654" s="6"/>
    </row>
    <row r="9655" spans="38:38" x14ac:dyDescent="0.25">
      <c r="AL9655" s="6"/>
    </row>
    <row r="9656" spans="38:38" x14ac:dyDescent="0.25">
      <c r="AL9656" s="6"/>
    </row>
    <row r="9657" spans="38:38" x14ac:dyDescent="0.25">
      <c r="AL9657" s="6"/>
    </row>
    <row r="9658" spans="38:38" x14ac:dyDescent="0.25">
      <c r="AL9658" s="6"/>
    </row>
    <row r="9659" spans="38:38" x14ac:dyDescent="0.25">
      <c r="AL9659" s="6"/>
    </row>
    <row r="9660" spans="38:38" x14ac:dyDescent="0.25">
      <c r="AL9660" s="6"/>
    </row>
    <row r="9661" spans="38:38" x14ac:dyDescent="0.25">
      <c r="AL9661" s="6"/>
    </row>
    <row r="9662" spans="38:38" x14ac:dyDescent="0.25">
      <c r="AL9662" s="6"/>
    </row>
    <row r="9663" spans="38:38" x14ac:dyDescent="0.25">
      <c r="AL9663" s="6"/>
    </row>
    <row r="9664" spans="38:38" x14ac:dyDescent="0.25">
      <c r="AL9664" s="6"/>
    </row>
    <row r="9665" spans="38:38" x14ac:dyDescent="0.25">
      <c r="AL9665" s="6"/>
    </row>
    <row r="9666" spans="38:38" x14ac:dyDescent="0.25">
      <c r="AL9666" s="6"/>
    </row>
    <row r="9667" spans="38:38" x14ac:dyDescent="0.25">
      <c r="AL9667" s="6"/>
    </row>
    <row r="9668" spans="38:38" x14ac:dyDescent="0.25">
      <c r="AL9668" s="6"/>
    </row>
    <row r="9669" spans="38:38" x14ac:dyDescent="0.25">
      <c r="AL9669" s="6"/>
    </row>
    <row r="9670" spans="38:38" x14ac:dyDescent="0.25">
      <c r="AL9670" s="6"/>
    </row>
    <row r="9671" spans="38:38" x14ac:dyDescent="0.25">
      <c r="AL9671" s="6"/>
    </row>
    <row r="9672" spans="38:38" x14ac:dyDescent="0.25">
      <c r="AL9672" s="6"/>
    </row>
    <row r="9673" spans="38:38" x14ac:dyDescent="0.25">
      <c r="AL9673" s="6"/>
    </row>
    <row r="9674" spans="38:38" x14ac:dyDescent="0.25">
      <c r="AL9674" s="6"/>
    </row>
    <row r="9675" spans="38:38" x14ac:dyDescent="0.25">
      <c r="AL9675" s="6"/>
    </row>
    <row r="9676" spans="38:38" x14ac:dyDescent="0.25">
      <c r="AL9676" s="6"/>
    </row>
    <row r="9677" spans="38:38" x14ac:dyDescent="0.25">
      <c r="AL9677" s="6"/>
    </row>
    <row r="9678" spans="38:38" x14ac:dyDescent="0.25">
      <c r="AL9678" s="6"/>
    </row>
    <row r="9679" spans="38:38" x14ac:dyDescent="0.25">
      <c r="AL9679" s="6"/>
    </row>
    <row r="9680" spans="38:38" x14ac:dyDescent="0.25">
      <c r="AL9680" s="6"/>
    </row>
    <row r="9681" spans="38:38" x14ac:dyDescent="0.25">
      <c r="AL9681" s="6"/>
    </row>
    <row r="9682" spans="38:38" x14ac:dyDescent="0.25">
      <c r="AL9682" s="6"/>
    </row>
    <row r="9683" spans="38:38" x14ac:dyDescent="0.25">
      <c r="AL9683" s="6"/>
    </row>
    <row r="9684" spans="38:38" x14ac:dyDescent="0.25">
      <c r="AL9684" s="6"/>
    </row>
    <row r="9685" spans="38:38" x14ac:dyDescent="0.25">
      <c r="AL9685" s="6"/>
    </row>
    <row r="9686" spans="38:38" x14ac:dyDescent="0.25">
      <c r="AL9686" s="6"/>
    </row>
    <row r="9687" spans="38:38" x14ac:dyDescent="0.25">
      <c r="AL9687" s="6"/>
    </row>
    <row r="9688" spans="38:38" x14ac:dyDescent="0.25">
      <c r="AL9688" s="6"/>
    </row>
    <row r="9689" spans="38:38" x14ac:dyDescent="0.25">
      <c r="AL9689" s="6"/>
    </row>
    <row r="9690" spans="38:38" x14ac:dyDescent="0.25">
      <c r="AL9690" s="6"/>
    </row>
    <row r="9691" spans="38:38" x14ac:dyDescent="0.25">
      <c r="AL9691" s="6"/>
    </row>
    <row r="9692" spans="38:38" x14ac:dyDescent="0.25">
      <c r="AL9692" s="6"/>
    </row>
    <row r="9693" spans="38:38" x14ac:dyDescent="0.25">
      <c r="AL9693" s="6"/>
    </row>
    <row r="9694" spans="38:38" x14ac:dyDescent="0.25">
      <c r="AL9694" s="6"/>
    </row>
    <row r="9695" spans="38:38" x14ac:dyDescent="0.25">
      <c r="AL9695" s="6"/>
    </row>
    <row r="9696" spans="38:38" x14ac:dyDescent="0.25">
      <c r="AL9696" s="6"/>
    </row>
    <row r="9697" spans="38:38" x14ac:dyDescent="0.25">
      <c r="AL9697" s="6"/>
    </row>
    <row r="9698" spans="38:38" x14ac:dyDescent="0.25">
      <c r="AL9698" s="6"/>
    </row>
    <row r="9699" spans="38:38" x14ac:dyDescent="0.25">
      <c r="AL9699" s="6"/>
    </row>
    <row r="9700" spans="38:38" x14ac:dyDescent="0.25">
      <c r="AL9700" s="6"/>
    </row>
    <row r="9701" spans="38:38" x14ac:dyDescent="0.25">
      <c r="AL9701" s="6"/>
    </row>
    <row r="9702" spans="38:38" x14ac:dyDescent="0.25">
      <c r="AL9702" s="6"/>
    </row>
    <row r="9703" spans="38:38" x14ac:dyDescent="0.25">
      <c r="AL9703" s="6"/>
    </row>
    <row r="9704" spans="38:38" x14ac:dyDescent="0.25">
      <c r="AL9704" s="6"/>
    </row>
    <row r="9705" spans="38:38" x14ac:dyDescent="0.25">
      <c r="AL9705" s="6"/>
    </row>
    <row r="9706" spans="38:38" x14ac:dyDescent="0.25">
      <c r="AL9706" s="6"/>
    </row>
    <row r="9707" spans="38:38" x14ac:dyDescent="0.25">
      <c r="AL9707" s="6"/>
    </row>
    <row r="9708" spans="38:38" x14ac:dyDescent="0.25">
      <c r="AL9708" s="6"/>
    </row>
    <row r="9709" spans="38:38" x14ac:dyDescent="0.25">
      <c r="AL9709" s="6"/>
    </row>
    <row r="9710" spans="38:38" x14ac:dyDescent="0.25">
      <c r="AL9710" s="6"/>
    </row>
    <row r="9711" spans="38:38" x14ac:dyDescent="0.25">
      <c r="AL9711" s="6"/>
    </row>
    <row r="9712" spans="38:38" x14ac:dyDescent="0.25">
      <c r="AL9712" s="6"/>
    </row>
    <row r="9713" spans="38:38" x14ac:dyDescent="0.25">
      <c r="AL9713" s="6"/>
    </row>
    <row r="9714" spans="38:38" x14ac:dyDescent="0.25">
      <c r="AL9714" s="6"/>
    </row>
    <row r="9715" spans="38:38" x14ac:dyDescent="0.25">
      <c r="AL9715" s="6"/>
    </row>
    <row r="9716" spans="38:38" x14ac:dyDescent="0.25">
      <c r="AL9716" s="6"/>
    </row>
    <row r="9717" spans="38:38" x14ac:dyDescent="0.25">
      <c r="AL9717" s="6"/>
    </row>
    <row r="9718" spans="38:38" x14ac:dyDescent="0.25">
      <c r="AL9718" s="6"/>
    </row>
    <row r="9719" spans="38:38" x14ac:dyDescent="0.25">
      <c r="AL9719" s="6"/>
    </row>
    <row r="9720" spans="38:38" x14ac:dyDescent="0.25">
      <c r="AL9720" s="6"/>
    </row>
    <row r="9721" spans="38:38" x14ac:dyDescent="0.25">
      <c r="AL9721" s="6"/>
    </row>
    <row r="9722" spans="38:38" x14ac:dyDescent="0.25">
      <c r="AL9722" s="6"/>
    </row>
    <row r="9723" spans="38:38" x14ac:dyDescent="0.25">
      <c r="AL9723" s="6"/>
    </row>
    <row r="9724" spans="38:38" x14ac:dyDescent="0.25">
      <c r="AL9724" s="6"/>
    </row>
    <row r="9725" spans="38:38" x14ac:dyDescent="0.25">
      <c r="AL9725" s="6"/>
    </row>
    <row r="9726" spans="38:38" x14ac:dyDescent="0.25">
      <c r="AL9726" s="6"/>
    </row>
    <row r="9727" spans="38:38" x14ac:dyDescent="0.25">
      <c r="AL9727" s="6"/>
    </row>
    <row r="9728" spans="38:38" x14ac:dyDescent="0.25">
      <c r="AL9728" s="6"/>
    </row>
    <row r="9729" spans="38:38" x14ac:dyDescent="0.25">
      <c r="AL9729" s="6"/>
    </row>
    <row r="9730" spans="38:38" x14ac:dyDescent="0.25">
      <c r="AL9730" s="6"/>
    </row>
    <row r="9731" spans="38:38" x14ac:dyDescent="0.25">
      <c r="AL9731" s="6"/>
    </row>
    <row r="9732" spans="38:38" x14ac:dyDescent="0.25">
      <c r="AL9732" s="6"/>
    </row>
    <row r="9733" spans="38:38" x14ac:dyDescent="0.25">
      <c r="AL9733" s="6"/>
    </row>
    <row r="9734" spans="38:38" x14ac:dyDescent="0.25">
      <c r="AL9734" s="6"/>
    </row>
    <row r="9735" spans="38:38" x14ac:dyDescent="0.25">
      <c r="AL9735" s="6"/>
    </row>
    <row r="9736" spans="38:38" x14ac:dyDescent="0.25">
      <c r="AL9736" s="6"/>
    </row>
    <row r="9737" spans="38:38" x14ac:dyDescent="0.25">
      <c r="AL9737" s="6"/>
    </row>
    <row r="9738" spans="38:38" x14ac:dyDescent="0.25">
      <c r="AL9738" s="6"/>
    </row>
    <row r="9739" spans="38:38" x14ac:dyDescent="0.25">
      <c r="AL9739" s="6"/>
    </row>
    <row r="9740" spans="38:38" x14ac:dyDescent="0.25">
      <c r="AL9740" s="6"/>
    </row>
    <row r="9741" spans="38:38" x14ac:dyDescent="0.25">
      <c r="AL9741" s="6"/>
    </row>
    <row r="9742" spans="38:38" x14ac:dyDescent="0.25">
      <c r="AL9742" s="6"/>
    </row>
    <row r="9743" spans="38:38" x14ac:dyDescent="0.25">
      <c r="AL9743" s="6"/>
    </row>
    <row r="9744" spans="38:38" x14ac:dyDescent="0.25">
      <c r="AL9744" s="6"/>
    </row>
    <row r="9745" spans="38:38" x14ac:dyDescent="0.25">
      <c r="AL9745" s="6"/>
    </row>
    <row r="9746" spans="38:38" x14ac:dyDescent="0.25">
      <c r="AL9746" s="6"/>
    </row>
    <row r="9747" spans="38:38" x14ac:dyDescent="0.25">
      <c r="AL9747" s="6"/>
    </row>
    <row r="9748" spans="38:38" x14ac:dyDescent="0.25">
      <c r="AL9748" s="6"/>
    </row>
    <row r="9749" spans="38:38" x14ac:dyDescent="0.25">
      <c r="AL9749" s="6"/>
    </row>
    <row r="9750" spans="38:38" x14ac:dyDescent="0.25">
      <c r="AL9750" s="6"/>
    </row>
    <row r="9751" spans="38:38" x14ac:dyDescent="0.25">
      <c r="AL9751" s="6"/>
    </row>
    <row r="9752" spans="38:38" x14ac:dyDescent="0.25">
      <c r="AL9752" s="6"/>
    </row>
    <row r="9753" spans="38:38" x14ac:dyDescent="0.25">
      <c r="AL9753" s="6"/>
    </row>
    <row r="9754" spans="38:38" x14ac:dyDescent="0.25">
      <c r="AL9754" s="6"/>
    </row>
    <row r="9755" spans="38:38" x14ac:dyDescent="0.25">
      <c r="AL9755" s="6"/>
    </row>
    <row r="9756" spans="38:38" x14ac:dyDescent="0.25">
      <c r="AL9756" s="6"/>
    </row>
    <row r="9757" spans="38:38" x14ac:dyDescent="0.25">
      <c r="AL9757" s="6"/>
    </row>
    <row r="9758" spans="38:38" x14ac:dyDescent="0.25">
      <c r="AL9758" s="6"/>
    </row>
    <row r="9759" spans="38:38" x14ac:dyDescent="0.25">
      <c r="AL9759" s="6"/>
    </row>
    <row r="9760" spans="38:38" x14ac:dyDescent="0.25">
      <c r="AL9760" s="6"/>
    </row>
    <row r="9761" spans="38:38" x14ac:dyDescent="0.25">
      <c r="AL9761" s="6"/>
    </row>
    <row r="9762" spans="38:38" x14ac:dyDescent="0.25">
      <c r="AL9762" s="6"/>
    </row>
    <row r="9763" spans="38:38" x14ac:dyDescent="0.25">
      <c r="AL9763" s="6"/>
    </row>
    <row r="9764" spans="38:38" x14ac:dyDescent="0.25">
      <c r="AL9764" s="6"/>
    </row>
    <row r="9765" spans="38:38" x14ac:dyDescent="0.25">
      <c r="AL9765" s="6"/>
    </row>
    <row r="9766" spans="38:38" x14ac:dyDescent="0.25">
      <c r="AL9766" s="6"/>
    </row>
    <row r="9767" spans="38:38" x14ac:dyDescent="0.25">
      <c r="AL9767" s="6"/>
    </row>
    <row r="9768" spans="38:38" x14ac:dyDescent="0.25">
      <c r="AL9768" s="6"/>
    </row>
    <row r="9769" spans="38:38" x14ac:dyDescent="0.25">
      <c r="AL9769" s="6"/>
    </row>
    <row r="9770" spans="38:38" x14ac:dyDescent="0.25">
      <c r="AL9770" s="6"/>
    </row>
    <row r="9771" spans="38:38" x14ac:dyDescent="0.25">
      <c r="AL9771" s="6"/>
    </row>
    <row r="9772" spans="38:38" x14ac:dyDescent="0.25">
      <c r="AL9772" s="6"/>
    </row>
    <row r="9773" spans="38:38" x14ac:dyDescent="0.25">
      <c r="AL9773" s="6"/>
    </row>
    <row r="9774" spans="38:38" x14ac:dyDescent="0.25">
      <c r="AL9774" s="6"/>
    </row>
    <row r="9775" spans="38:38" x14ac:dyDescent="0.25">
      <c r="AL9775" s="6"/>
    </row>
    <row r="9776" spans="38:38" x14ac:dyDescent="0.25">
      <c r="AL9776" s="6"/>
    </row>
    <row r="9777" spans="38:38" x14ac:dyDescent="0.25">
      <c r="AL9777" s="6"/>
    </row>
    <row r="9778" spans="38:38" x14ac:dyDescent="0.25">
      <c r="AL9778" s="6"/>
    </row>
    <row r="9779" spans="38:38" x14ac:dyDescent="0.25">
      <c r="AL9779" s="6"/>
    </row>
    <row r="9780" spans="38:38" x14ac:dyDescent="0.25">
      <c r="AL9780" s="6"/>
    </row>
    <row r="9781" spans="38:38" x14ac:dyDescent="0.25">
      <c r="AL9781" s="6"/>
    </row>
    <row r="9782" spans="38:38" x14ac:dyDescent="0.25">
      <c r="AL9782" s="6"/>
    </row>
    <row r="9783" spans="38:38" x14ac:dyDescent="0.25">
      <c r="AL9783" s="6"/>
    </row>
    <row r="9784" spans="38:38" x14ac:dyDescent="0.25">
      <c r="AL9784" s="6"/>
    </row>
    <row r="9785" spans="38:38" x14ac:dyDescent="0.25">
      <c r="AL9785" s="6"/>
    </row>
    <row r="9786" spans="38:38" x14ac:dyDescent="0.25">
      <c r="AL9786" s="6"/>
    </row>
    <row r="9787" spans="38:38" x14ac:dyDescent="0.25">
      <c r="AL9787" s="6"/>
    </row>
    <row r="9788" spans="38:38" x14ac:dyDescent="0.25">
      <c r="AL9788" s="6"/>
    </row>
    <row r="9789" spans="38:38" x14ac:dyDescent="0.25">
      <c r="AL9789" s="6"/>
    </row>
    <row r="9790" spans="38:38" x14ac:dyDescent="0.25">
      <c r="AL9790" s="6"/>
    </row>
    <row r="9791" spans="38:38" x14ac:dyDescent="0.25">
      <c r="AL9791" s="6"/>
    </row>
    <row r="9792" spans="38:38" x14ac:dyDescent="0.25">
      <c r="AL9792" s="6"/>
    </row>
    <row r="9793" spans="38:38" x14ac:dyDescent="0.25">
      <c r="AL9793" s="6"/>
    </row>
    <row r="9794" spans="38:38" x14ac:dyDescent="0.25">
      <c r="AL9794" s="6"/>
    </row>
    <row r="9795" spans="38:38" x14ac:dyDescent="0.25">
      <c r="AL9795" s="6"/>
    </row>
    <row r="9796" spans="38:38" x14ac:dyDescent="0.25">
      <c r="AL9796" s="6"/>
    </row>
    <row r="9797" spans="38:38" x14ac:dyDescent="0.25">
      <c r="AL9797" s="6"/>
    </row>
    <row r="9798" spans="38:38" x14ac:dyDescent="0.25">
      <c r="AL9798" s="6"/>
    </row>
    <row r="9799" spans="38:38" x14ac:dyDescent="0.25">
      <c r="AL9799" s="6"/>
    </row>
    <row r="9800" spans="38:38" x14ac:dyDescent="0.25">
      <c r="AL9800" s="6"/>
    </row>
    <row r="9801" spans="38:38" x14ac:dyDescent="0.25">
      <c r="AL9801" s="6"/>
    </row>
    <row r="9802" spans="38:38" x14ac:dyDescent="0.25">
      <c r="AL9802" s="6"/>
    </row>
    <row r="9803" spans="38:38" x14ac:dyDescent="0.25">
      <c r="AL9803" s="6"/>
    </row>
    <row r="9804" spans="38:38" x14ac:dyDescent="0.25">
      <c r="AL9804" s="6"/>
    </row>
    <row r="9805" spans="38:38" x14ac:dyDescent="0.25">
      <c r="AL9805" s="6"/>
    </row>
    <row r="9806" spans="38:38" x14ac:dyDescent="0.25">
      <c r="AL9806" s="6"/>
    </row>
    <row r="9807" spans="38:38" x14ac:dyDescent="0.25">
      <c r="AL9807" s="6"/>
    </row>
    <row r="9808" spans="38:38" x14ac:dyDescent="0.25">
      <c r="AL9808" s="6"/>
    </row>
    <row r="9809" spans="38:38" x14ac:dyDescent="0.25">
      <c r="AL9809" s="6"/>
    </row>
    <row r="9810" spans="38:38" x14ac:dyDescent="0.25">
      <c r="AL9810" s="6"/>
    </row>
    <row r="9811" spans="38:38" x14ac:dyDescent="0.25">
      <c r="AL9811" s="6"/>
    </row>
    <row r="9812" spans="38:38" x14ac:dyDescent="0.25">
      <c r="AL9812" s="6"/>
    </row>
    <row r="9813" spans="38:38" x14ac:dyDescent="0.25">
      <c r="AL9813" s="6"/>
    </row>
    <row r="9814" spans="38:38" x14ac:dyDescent="0.25">
      <c r="AL9814" s="6"/>
    </row>
    <row r="9815" spans="38:38" x14ac:dyDescent="0.25">
      <c r="AL9815" s="6"/>
    </row>
    <row r="9816" spans="38:38" x14ac:dyDescent="0.25">
      <c r="AL9816" s="6"/>
    </row>
    <row r="9817" spans="38:38" x14ac:dyDescent="0.25">
      <c r="AL9817" s="6"/>
    </row>
    <row r="9818" spans="38:38" x14ac:dyDescent="0.25">
      <c r="AL9818" s="6"/>
    </row>
    <row r="9819" spans="38:38" x14ac:dyDescent="0.25">
      <c r="AL9819" s="6"/>
    </row>
    <row r="9820" spans="38:38" x14ac:dyDescent="0.25">
      <c r="AL9820" s="6"/>
    </row>
    <row r="9821" spans="38:38" x14ac:dyDescent="0.25">
      <c r="AL9821" s="6"/>
    </row>
    <row r="9822" spans="38:38" x14ac:dyDescent="0.25">
      <c r="AL9822" s="6"/>
    </row>
    <row r="9823" spans="38:38" x14ac:dyDescent="0.25">
      <c r="AL9823" s="6"/>
    </row>
    <row r="9824" spans="38:38" x14ac:dyDescent="0.25">
      <c r="AL9824" s="6"/>
    </row>
    <row r="9825" spans="38:38" x14ac:dyDescent="0.25">
      <c r="AL9825" s="6"/>
    </row>
    <row r="9826" spans="38:38" x14ac:dyDescent="0.25">
      <c r="AL9826" s="6"/>
    </row>
    <row r="9827" spans="38:38" x14ac:dyDescent="0.25">
      <c r="AL9827" s="6"/>
    </row>
    <row r="9828" spans="38:38" x14ac:dyDescent="0.25">
      <c r="AL9828" s="6"/>
    </row>
    <row r="9829" spans="38:38" x14ac:dyDescent="0.25">
      <c r="AL9829" s="6"/>
    </row>
    <row r="9830" spans="38:38" x14ac:dyDescent="0.25">
      <c r="AL9830" s="6"/>
    </row>
    <row r="9831" spans="38:38" x14ac:dyDescent="0.25">
      <c r="AL9831" s="6"/>
    </row>
    <row r="9832" spans="38:38" x14ac:dyDescent="0.25">
      <c r="AL9832" s="6"/>
    </row>
    <row r="9833" spans="38:38" x14ac:dyDescent="0.25">
      <c r="AL9833" s="6"/>
    </row>
    <row r="9834" spans="38:38" x14ac:dyDescent="0.25">
      <c r="AL9834" s="6"/>
    </row>
    <row r="9835" spans="38:38" x14ac:dyDescent="0.25">
      <c r="AL9835" s="6"/>
    </row>
    <row r="9836" spans="38:38" x14ac:dyDescent="0.25">
      <c r="AL9836" s="6"/>
    </row>
    <row r="9837" spans="38:38" x14ac:dyDescent="0.25">
      <c r="AL9837" s="6"/>
    </row>
    <row r="9838" spans="38:38" x14ac:dyDescent="0.25">
      <c r="AL9838" s="6"/>
    </row>
    <row r="9839" spans="38:38" x14ac:dyDescent="0.25">
      <c r="AL9839" s="6"/>
    </row>
    <row r="9840" spans="38:38" x14ac:dyDescent="0.25">
      <c r="AL9840" s="6"/>
    </row>
    <row r="9841" spans="38:38" x14ac:dyDescent="0.25">
      <c r="AL9841" s="6"/>
    </row>
    <row r="9842" spans="38:38" x14ac:dyDescent="0.25">
      <c r="AL9842" s="6"/>
    </row>
    <row r="9843" spans="38:38" x14ac:dyDescent="0.25">
      <c r="AL9843" s="6"/>
    </row>
    <row r="9844" spans="38:38" x14ac:dyDescent="0.25">
      <c r="AL9844" s="6"/>
    </row>
    <row r="9845" spans="38:38" x14ac:dyDescent="0.25">
      <c r="AL9845" s="6"/>
    </row>
    <row r="9846" spans="38:38" x14ac:dyDescent="0.25">
      <c r="AL9846" s="6"/>
    </row>
    <row r="9847" spans="38:38" x14ac:dyDescent="0.25">
      <c r="AL9847" s="6"/>
    </row>
    <row r="9848" spans="38:38" x14ac:dyDescent="0.25">
      <c r="AL9848" s="6"/>
    </row>
    <row r="9849" spans="38:38" x14ac:dyDescent="0.25">
      <c r="AL9849" s="6"/>
    </row>
    <row r="9850" spans="38:38" x14ac:dyDescent="0.25">
      <c r="AL9850" s="6"/>
    </row>
    <row r="9851" spans="38:38" x14ac:dyDescent="0.25">
      <c r="AL9851" s="6"/>
    </row>
    <row r="9852" spans="38:38" x14ac:dyDescent="0.25">
      <c r="AL9852" s="6"/>
    </row>
    <row r="9853" spans="38:38" x14ac:dyDescent="0.25">
      <c r="AL9853" s="6"/>
    </row>
    <row r="9854" spans="38:38" x14ac:dyDescent="0.25">
      <c r="AL9854" s="6"/>
    </row>
    <row r="9855" spans="38:38" x14ac:dyDescent="0.25">
      <c r="AL9855" s="6"/>
    </row>
    <row r="9856" spans="38:38" x14ac:dyDescent="0.25">
      <c r="AL9856" s="6"/>
    </row>
    <row r="9857" spans="38:38" x14ac:dyDescent="0.25">
      <c r="AL9857" s="6"/>
    </row>
    <row r="9858" spans="38:38" x14ac:dyDescent="0.25">
      <c r="AL9858" s="6"/>
    </row>
    <row r="9859" spans="38:38" x14ac:dyDescent="0.25">
      <c r="AL9859" s="6"/>
    </row>
    <row r="9860" spans="38:38" x14ac:dyDescent="0.25">
      <c r="AL9860" s="6"/>
    </row>
    <row r="9861" spans="38:38" x14ac:dyDescent="0.25">
      <c r="AL9861" s="6"/>
    </row>
    <row r="9862" spans="38:38" x14ac:dyDescent="0.25">
      <c r="AL9862" s="6"/>
    </row>
    <row r="9863" spans="38:38" x14ac:dyDescent="0.25">
      <c r="AL9863" s="6"/>
    </row>
    <row r="9864" spans="38:38" x14ac:dyDescent="0.25">
      <c r="AL9864" s="6"/>
    </row>
    <row r="9865" spans="38:38" x14ac:dyDescent="0.25">
      <c r="AL9865" s="6"/>
    </row>
    <row r="9866" spans="38:38" x14ac:dyDescent="0.25">
      <c r="AL9866" s="6"/>
    </row>
    <row r="9867" spans="38:38" x14ac:dyDescent="0.25">
      <c r="AL9867" s="6"/>
    </row>
    <row r="9868" spans="38:38" x14ac:dyDescent="0.25">
      <c r="AL9868" s="6"/>
    </row>
    <row r="9869" spans="38:38" x14ac:dyDescent="0.25">
      <c r="AL9869" s="6"/>
    </row>
    <row r="9870" spans="38:38" x14ac:dyDescent="0.25">
      <c r="AL9870" s="6"/>
    </row>
    <row r="9871" spans="38:38" x14ac:dyDescent="0.25">
      <c r="AL9871" s="6"/>
    </row>
    <row r="9872" spans="38:38" x14ac:dyDescent="0.25">
      <c r="AL9872" s="6"/>
    </row>
    <row r="9873" spans="38:38" x14ac:dyDescent="0.25">
      <c r="AL9873" s="6"/>
    </row>
    <row r="9874" spans="38:38" x14ac:dyDescent="0.25">
      <c r="AL9874" s="6"/>
    </row>
    <row r="9875" spans="38:38" x14ac:dyDescent="0.25">
      <c r="AL9875" s="6"/>
    </row>
    <row r="9876" spans="38:38" x14ac:dyDescent="0.25">
      <c r="AL9876" s="6"/>
    </row>
    <row r="9877" spans="38:38" x14ac:dyDescent="0.25">
      <c r="AL9877" s="6"/>
    </row>
    <row r="9878" spans="38:38" x14ac:dyDescent="0.25">
      <c r="AL9878" s="6"/>
    </row>
    <row r="9879" spans="38:38" x14ac:dyDescent="0.25">
      <c r="AL9879" s="6"/>
    </row>
    <row r="9880" spans="38:38" x14ac:dyDescent="0.25">
      <c r="AL9880" s="6"/>
    </row>
    <row r="9881" spans="38:38" x14ac:dyDescent="0.25">
      <c r="AL9881" s="6"/>
    </row>
    <row r="9882" spans="38:38" x14ac:dyDescent="0.25">
      <c r="AL9882" s="6"/>
    </row>
    <row r="9883" spans="38:38" x14ac:dyDescent="0.25">
      <c r="AL9883" s="6"/>
    </row>
    <row r="9884" spans="38:38" x14ac:dyDescent="0.25">
      <c r="AL9884" s="6"/>
    </row>
    <row r="9885" spans="38:38" x14ac:dyDescent="0.25">
      <c r="AL9885" s="6"/>
    </row>
    <row r="9886" spans="38:38" x14ac:dyDescent="0.25">
      <c r="AL9886" s="6"/>
    </row>
    <row r="9887" spans="38:38" x14ac:dyDescent="0.25">
      <c r="AL9887" s="6"/>
    </row>
    <row r="9888" spans="38:38" x14ac:dyDescent="0.25">
      <c r="AL9888" s="6"/>
    </row>
    <row r="9889" spans="38:38" x14ac:dyDescent="0.25">
      <c r="AL9889" s="6"/>
    </row>
    <row r="9890" spans="38:38" x14ac:dyDescent="0.25">
      <c r="AL9890" s="6"/>
    </row>
    <row r="9891" spans="38:38" x14ac:dyDescent="0.25">
      <c r="AL9891" s="6"/>
    </row>
    <row r="9892" spans="38:38" x14ac:dyDescent="0.25">
      <c r="AL9892" s="6"/>
    </row>
    <row r="9893" spans="38:38" x14ac:dyDescent="0.25">
      <c r="AL9893" s="6"/>
    </row>
    <row r="9894" spans="38:38" x14ac:dyDescent="0.25">
      <c r="AL9894" s="6"/>
    </row>
    <row r="9895" spans="38:38" x14ac:dyDescent="0.25">
      <c r="AL9895" s="6"/>
    </row>
    <row r="9896" spans="38:38" x14ac:dyDescent="0.25">
      <c r="AL9896" s="6"/>
    </row>
    <row r="9897" spans="38:38" x14ac:dyDescent="0.25">
      <c r="AL9897" s="6"/>
    </row>
    <row r="9898" spans="38:38" x14ac:dyDescent="0.25">
      <c r="AL9898" s="6"/>
    </row>
    <row r="9899" spans="38:38" x14ac:dyDescent="0.25">
      <c r="AL9899" s="6"/>
    </row>
    <row r="9900" spans="38:38" x14ac:dyDescent="0.25">
      <c r="AL9900" s="6"/>
    </row>
    <row r="9901" spans="38:38" x14ac:dyDescent="0.25">
      <c r="AL9901" s="6"/>
    </row>
    <row r="9902" spans="38:38" x14ac:dyDescent="0.25">
      <c r="AL9902" s="6"/>
    </row>
    <row r="9903" spans="38:38" x14ac:dyDescent="0.25">
      <c r="AL9903" s="6"/>
    </row>
    <row r="9904" spans="38:38" x14ac:dyDescent="0.25">
      <c r="AL9904" s="6"/>
    </row>
    <row r="9905" spans="38:38" x14ac:dyDescent="0.25">
      <c r="AL9905" s="6"/>
    </row>
    <row r="9906" spans="38:38" x14ac:dyDescent="0.25">
      <c r="AL9906" s="6"/>
    </row>
    <row r="9907" spans="38:38" x14ac:dyDescent="0.25">
      <c r="AL9907" s="6"/>
    </row>
    <row r="9908" spans="38:38" x14ac:dyDescent="0.25">
      <c r="AL9908" s="6"/>
    </row>
    <row r="9909" spans="38:38" x14ac:dyDescent="0.25">
      <c r="AL9909" s="6"/>
    </row>
    <row r="9910" spans="38:38" x14ac:dyDescent="0.25">
      <c r="AL9910" s="6"/>
    </row>
    <row r="9911" spans="38:38" x14ac:dyDescent="0.25">
      <c r="AL9911" s="6"/>
    </row>
    <row r="9912" spans="38:38" x14ac:dyDescent="0.25">
      <c r="AL9912" s="6"/>
    </row>
    <row r="9913" spans="38:38" x14ac:dyDescent="0.25">
      <c r="AL9913" s="6"/>
    </row>
    <row r="9914" spans="38:38" x14ac:dyDescent="0.25">
      <c r="AL9914" s="6"/>
    </row>
    <row r="9915" spans="38:38" x14ac:dyDescent="0.25">
      <c r="AL9915" s="6"/>
    </row>
    <row r="9916" spans="38:38" x14ac:dyDescent="0.25">
      <c r="AL9916" s="6"/>
    </row>
    <row r="9917" spans="38:38" x14ac:dyDescent="0.25">
      <c r="AL9917" s="6"/>
    </row>
    <row r="9918" spans="38:38" x14ac:dyDescent="0.25">
      <c r="AL9918" s="6"/>
    </row>
    <row r="9919" spans="38:38" x14ac:dyDescent="0.25">
      <c r="AL9919" s="6"/>
    </row>
    <row r="9920" spans="38:38" x14ac:dyDescent="0.25">
      <c r="AL9920" s="6"/>
    </row>
    <row r="9921" spans="38:38" x14ac:dyDescent="0.25">
      <c r="AL9921" s="6"/>
    </row>
    <row r="9922" spans="38:38" x14ac:dyDescent="0.25">
      <c r="AL9922" s="6"/>
    </row>
    <row r="9923" spans="38:38" x14ac:dyDescent="0.25">
      <c r="AL9923" s="6"/>
    </row>
    <row r="9924" spans="38:38" x14ac:dyDescent="0.25">
      <c r="AL9924" s="6"/>
    </row>
    <row r="9925" spans="38:38" x14ac:dyDescent="0.25">
      <c r="AL9925" s="6"/>
    </row>
    <row r="9926" spans="38:38" x14ac:dyDescent="0.25">
      <c r="AL9926" s="6"/>
    </row>
    <row r="9927" spans="38:38" x14ac:dyDescent="0.25">
      <c r="AL9927" s="6"/>
    </row>
    <row r="9928" spans="38:38" x14ac:dyDescent="0.25">
      <c r="AL9928" s="6"/>
    </row>
    <row r="9929" spans="38:38" x14ac:dyDescent="0.25">
      <c r="AL9929" s="6"/>
    </row>
    <row r="9930" spans="38:38" x14ac:dyDescent="0.25">
      <c r="AL9930" s="6"/>
    </row>
    <row r="9931" spans="38:38" x14ac:dyDescent="0.25">
      <c r="AL9931" s="6"/>
    </row>
    <row r="9932" spans="38:38" x14ac:dyDescent="0.25">
      <c r="AL9932" s="6"/>
    </row>
    <row r="9933" spans="38:38" x14ac:dyDescent="0.25">
      <c r="AL9933" s="6"/>
    </row>
    <row r="9934" spans="38:38" x14ac:dyDescent="0.25">
      <c r="AL9934" s="6"/>
    </row>
    <row r="9935" spans="38:38" x14ac:dyDescent="0.25">
      <c r="AL9935" s="6"/>
    </row>
    <row r="9936" spans="38:38" x14ac:dyDescent="0.25">
      <c r="AL9936" s="6"/>
    </row>
    <row r="9937" spans="38:38" x14ac:dyDescent="0.25">
      <c r="AL9937" s="6"/>
    </row>
    <row r="9938" spans="38:38" x14ac:dyDescent="0.25">
      <c r="AL9938" s="6"/>
    </row>
    <row r="9939" spans="38:38" x14ac:dyDescent="0.25">
      <c r="AL9939" s="6"/>
    </row>
    <row r="9940" spans="38:38" x14ac:dyDescent="0.25">
      <c r="AL9940" s="6"/>
    </row>
    <row r="9941" spans="38:38" x14ac:dyDescent="0.25">
      <c r="AL9941" s="6"/>
    </row>
    <row r="9942" spans="38:38" x14ac:dyDescent="0.25">
      <c r="AL9942" s="6"/>
    </row>
    <row r="9943" spans="38:38" x14ac:dyDescent="0.25">
      <c r="AL9943" s="6"/>
    </row>
    <row r="9944" spans="38:38" x14ac:dyDescent="0.25">
      <c r="AL9944" s="6"/>
    </row>
    <row r="9945" spans="38:38" x14ac:dyDescent="0.25">
      <c r="AL9945" s="6"/>
    </row>
    <row r="9946" spans="38:38" x14ac:dyDescent="0.25">
      <c r="AL9946" s="6"/>
    </row>
    <row r="9947" spans="38:38" x14ac:dyDescent="0.25">
      <c r="AL9947" s="6"/>
    </row>
    <row r="9948" spans="38:38" x14ac:dyDescent="0.25">
      <c r="AL9948" s="6"/>
    </row>
    <row r="9949" spans="38:38" x14ac:dyDescent="0.25">
      <c r="AL9949" s="6"/>
    </row>
    <row r="9950" spans="38:38" x14ac:dyDescent="0.25">
      <c r="AL9950" s="6"/>
    </row>
    <row r="9951" spans="38:38" x14ac:dyDescent="0.25">
      <c r="AL9951" s="6"/>
    </row>
    <row r="9952" spans="38:38" x14ac:dyDescent="0.25">
      <c r="AL9952" s="6"/>
    </row>
    <row r="9953" spans="38:38" x14ac:dyDescent="0.25">
      <c r="AL9953" s="6"/>
    </row>
    <row r="9954" spans="38:38" x14ac:dyDescent="0.25">
      <c r="AL9954" s="6"/>
    </row>
    <row r="9955" spans="38:38" x14ac:dyDescent="0.25">
      <c r="AL9955" s="6"/>
    </row>
    <row r="9956" spans="38:38" x14ac:dyDescent="0.25">
      <c r="AL9956" s="6"/>
    </row>
    <row r="9957" spans="38:38" x14ac:dyDescent="0.25">
      <c r="AL9957" s="6"/>
    </row>
    <row r="9958" spans="38:38" x14ac:dyDescent="0.25">
      <c r="AL9958" s="6"/>
    </row>
    <row r="9959" spans="38:38" x14ac:dyDescent="0.25">
      <c r="AL9959" s="6"/>
    </row>
    <row r="9960" spans="38:38" x14ac:dyDescent="0.25">
      <c r="AL9960" s="6"/>
    </row>
    <row r="9961" spans="38:38" x14ac:dyDescent="0.25">
      <c r="AL9961" s="6"/>
    </row>
    <row r="9962" spans="38:38" x14ac:dyDescent="0.25">
      <c r="AL9962" s="6"/>
    </row>
    <row r="9963" spans="38:38" x14ac:dyDescent="0.25">
      <c r="AL9963" s="6"/>
    </row>
    <row r="9964" spans="38:38" x14ac:dyDescent="0.25">
      <c r="AL9964" s="6"/>
    </row>
    <row r="9965" spans="38:38" x14ac:dyDescent="0.25">
      <c r="AL9965" s="6"/>
    </row>
    <row r="9966" spans="38:38" x14ac:dyDescent="0.25">
      <c r="AL9966" s="6"/>
    </row>
    <row r="9967" spans="38:38" x14ac:dyDescent="0.25">
      <c r="AL9967" s="6"/>
    </row>
    <row r="9968" spans="38:38" x14ac:dyDescent="0.25">
      <c r="AL9968" s="6"/>
    </row>
    <row r="9969" spans="38:38" x14ac:dyDescent="0.25">
      <c r="AL9969" s="6"/>
    </row>
    <row r="9970" spans="38:38" x14ac:dyDescent="0.25">
      <c r="AL9970" s="6"/>
    </row>
    <row r="9971" spans="38:38" x14ac:dyDescent="0.25">
      <c r="AL9971" s="6"/>
    </row>
    <row r="9972" spans="38:38" x14ac:dyDescent="0.25">
      <c r="AL9972" s="6"/>
    </row>
    <row r="9973" spans="38:38" x14ac:dyDescent="0.25">
      <c r="AL9973" s="6"/>
    </row>
    <row r="9974" spans="38:38" x14ac:dyDescent="0.25">
      <c r="AL9974" s="6"/>
    </row>
    <row r="9975" spans="38:38" x14ac:dyDescent="0.25">
      <c r="AL9975" s="6"/>
    </row>
    <row r="9976" spans="38:38" x14ac:dyDescent="0.25">
      <c r="AL9976" s="6"/>
    </row>
    <row r="9977" spans="38:38" x14ac:dyDescent="0.25">
      <c r="AL9977" s="6"/>
    </row>
    <row r="9978" spans="38:38" x14ac:dyDescent="0.25">
      <c r="AL9978" s="6"/>
    </row>
    <row r="9979" spans="38:38" x14ac:dyDescent="0.25">
      <c r="AL9979" s="6"/>
    </row>
    <row r="9980" spans="38:38" x14ac:dyDescent="0.25">
      <c r="AL9980" s="6"/>
    </row>
    <row r="9981" spans="38:38" x14ac:dyDescent="0.25">
      <c r="AL9981" s="6"/>
    </row>
    <row r="9982" spans="38:38" x14ac:dyDescent="0.25">
      <c r="AL9982" s="6"/>
    </row>
    <row r="9983" spans="38:38" x14ac:dyDescent="0.25">
      <c r="AL9983" s="6"/>
    </row>
    <row r="9984" spans="38:38" x14ac:dyDescent="0.25">
      <c r="AL9984" s="6"/>
    </row>
    <row r="9985" spans="38:38" x14ac:dyDescent="0.25">
      <c r="AL9985" s="6"/>
    </row>
    <row r="9986" spans="38:38" x14ac:dyDescent="0.25">
      <c r="AL9986" s="6"/>
    </row>
    <row r="9987" spans="38:38" x14ac:dyDescent="0.25">
      <c r="AL9987" s="6"/>
    </row>
    <row r="9988" spans="38:38" x14ac:dyDescent="0.25">
      <c r="AL9988" s="6"/>
    </row>
    <row r="9989" spans="38:38" x14ac:dyDescent="0.25">
      <c r="AL9989" s="6"/>
    </row>
    <row r="9990" spans="38:38" x14ac:dyDescent="0.25">
      <c r="AL9990" s="6"/>
    </row>
    <row r="9991" spans="38:38" x14ac:dyDescent="0.25">
      <c r="AL9991" s="6"/>
    </row>
    <row r="9992" spans="38:38" x14ac:dyDescent="0.25">
      <c r="AL9992" s="6"/>
    </row>
    <row r="9993" spans="38:38" x14ac:dyDescent="0.25">
      <c r="AL9993" s="6"/>
    </row>
    <row r="9994" spans="38:38" x14ac:dyDescent="0.25">
      <c r="AL9994" s="6"/>
    </row>
    <row r="9995" spans="38:38" x14ac:dyDescent="0.25">
      <c r="AL9995" s="6"/>
    </row>
    <row r="9996" spans="38:38" x14ac:dyDescent="0.25">
      <c r="AL9996" s="6"/>
    </row>
    <row r="9997" spans="38:38" x14ac:dyDescent="0.25">
      <c r="AL9997" s="6"/>
    </row>
    <row r="9998" spans="38:38" x14ac:dyDescent="0.25">
      <c r="AL9998" s="6"/>
    </row>
    <row r="9999" spans="38:38" x14ac:dyDescent="0.25">
      <c r="AL9999" s="6"/>
    </row>
    <row r="10000" spans="38:38" x14ac:dyDescent="0.25">
      <c r="AL10000" s="6"/>
    </row>
    <row r="10001" spans="38:38" x14ac:dyDescent="0.25">
      <c r="AL10001" s="6"/>
    </row>
    <row r="10002" spans="38:38" x14ac:dyDescent="0.25">
      <c r="AL10002" s="6"/>
    </row>
    <row r="10003" spans="38:38" x14ac:dyDescent="0.25">
      <c r="AL10003" s="6"/>
    </row>
    <row r="10004" spans="38:38" x14ac:dyDescent="0.25">
      <c r="AL10004" s="6"/>
    </row>
    <row r="10005" spans="38:38" x14ac:dyDescent="0.25">
      <c r="AL10005" s="6"/>
    </row>
    <row r="10006" spans="38:38" x14ac:dyDescent="0.25">
      <c r="AL10006" s="6"/>
    </row>
    <row r="10007" spans="38:38" x14ac:dyDescent="0.25">
      <c r="AL10007" s="6"/>
    </row>
    <row r="10008" spans="38:38" x14ac:dyDescent="0.25">
      <c r="AL10008" s="6"/>
    </row>
    <row r="10009" spans="38:38" x14ac:dyDescent="0.25">
      <c r="AL10009" s="6"/>
    </row>
    <row r="10010" spans="38:38" x14ac:dyDescent="0.25">
      <c r="AL10010" s="6"/>
    </row>
    <row r="10011" spans="38:38" x14ac:dyDescent="0.25">
      <c r="AL10011" s="6"/>
    </row>
    <row r="10012" spans="38:38" x14ac:dyDescent="0.25">
      <c r="AL10012" s="6"/>
    </row>
    <row r="10013" spans="38:38" x14ac:dyDescent="0.25">
      <c r="AL10013" s="6"/>
    </row>
    <row r="10014" spans="38:38" x14ac:dyDescent="0.25">
      <c r="AL10014" s="6"/>
    </row>
    <row r="10015" spans="38:38" x14ac:dyDescent="0.25">
      <c r="AL10015" s="6"/>
    </row>
    <row r="10016" spans="38:38" x14ac:dyDescent="0.25">
      <c r="AL10016" s="6"/>
    </row>
    <row r="10017" spans="38:38" x14ac:dyDescent="0.25">
      <c r="AL10017" s="6"/>
    </row>
    <row r="10018" spans="38:38" x14ac:dyDescent="0.25">
      <c r="AL10018" s="6"/>
    </row>
    <row r="10019" spans="38:38" x14ac:dyDescent="0.25">
      <c r="AL10019" s="6"/>
    </row>
    <row r="10020" spans="38:38" x14ac:dyDescent="0.25">
      <c r="AL10020" s="6"/>
    </row>
    <row r="10021" spans="38:38" x14ac:dyDescent="0.25">
      <c r="AL10021" s="6"/>
    </row>
    <row r="10022" spans="38:38" x14ac:dyDescent="0.25">
      <c r="AL10022" s="6"/>
    </row>
    <row r="10023" spans="38:38" x14ac:dyDescent="0.25">
      <c r="AL10023" s="6"/>
    </row>
    <row r="10024" spans="38:38" x14ac:dyDescent="0.25">
      <c r="AL10024" s="6"/>
    </row>
    <row r="10025" spans="38:38" x14ac:dyDescent="0.25">
      <c r="AL10025" s="6"/>
    </row>
    <row r="10026" spans="38:38" x14ac:dyDescent="0.25">
      <c r="AL10026" s="6"/>
    </row>
    <row r="10027" spans="38:38" x14ac:dyDescent="0.25">
      <c r="AL10027" s="6"/>
    </row>
    <row r="10028" spans="38:38" x14ac:dyDescent="0.25">
      <c r="AL10028" s="6"/>
    </row>
    <row r="10029" spans="38:38" x14ac:dyDescent="0.25">
      <c r="AL10029" s="6"/>
    </row>
    <row r="10030" spans="38:38" x14ac:dyDescent="0.25">
      <c r="AL10030" s="6"/>
    </row>
    <row r="10031" spans="38:38" x14ac:dyDescent="0.25">
      <c r="AL10031" s="6"/>
    </row>
    <row r="10032" spans="38:38" x14ac:dyDescent="0.25">
      <c r="AL10032" s="6"/>
    </row>
    <row r="10033" spans="38:38" x14ac:dyDescent="0.25">
      <c r="AL10033" s="6"/>
    </row>
    <row r="10034" spans="38:38" x14ac:dyDescent="0.25">
      <c r="AL10034" s="6"/>
    </row>
    <row r="10035" spans="38:38" x14ac:dyDescent="0.25">
      <c r="AL10035" s="6"/>
    </row>
    <row r="10036" spans="38:38" x14ac:dyDescent="0.25">
      <c r="AL10036" s="6"/>
    </row>
    <row r="10037" spans="38:38" x14ac:dyDescent="0.25">
      <c r="AL10037" s="6"/>
    </row>
    <row r="10038" spans="38:38" x14ac:dyDescent="0.25">
      <c r="AL10038" s="6"/>
    </row>
    <row r="10039" spans="38:38" x14ac:dyDescent="0.25">
      <c r="AL10039" s="6"/>
    </row>
    <row r="10040" spans="38:38" x14ac:dyDescent="0.25">
      <c r="AL10040" s="6"/>
    </row>
    <row r="10041" spans="38:38" x14ac:dyDescent="0.25">
      <c r="AL10041" s="6"/>
    </row>
    <row r="10042" spans="38:38" x14ac:dyDescent="0.25">
      <c r="AL10042" s="6"/>
    </row>
    <row r="10043" spans="38:38" x14ac:dyDescent="0.25">
      <c r="AL10043" s="6"/>
    </row>
    <row r="10044" spans="38:38" x14ac:dyDescent="0.25">
      <c r="AL10044" s="6"/>
    </row>
    <row r="10045" spans="38:38" x14ac:dyDescent="0.25">
      <c r="AL10045" s="6"/>
    </row>
    <row r="10046" spans="38:38" x14ac:dyDescent="0.25">
      <c r="AL10046" s="6"/>
    </row>
    <row r="10047" spans="38:38" x14ac:dyDescent="0.25">
      <c r="AL10047" s="6"/>
    </row>
    <row r="10048" spans="38:38" x14ac:dyDescent="0.25">
      <c r="AL10048" s="6"/>
    </row>
    <row r="10049" spans="38:38" x14ac:dyDescent="0.25">
      <c r="AL10049" s="6"/>
    </row>
    <row r="10050" spans="38:38" x14ac:dyDescent="0.25">
      <c r="AL10050" s="6"/>
    </row>
    <row r="10051" spans="38:38" x14ac:dyDescent="0.25">
      <c r="AL10051" s="6"/>
    </row>
    <row r="10052" spans="38:38" x14ac:dyDescent="0.25">
      <c r="AL10052" s="6"/>
    </row>
    <row r="10053" spans="38:38" x14ac:dyDescent="0.25">
      <c r="AL10053" s="6"/>
    </row>
    <row r="10054" spans="38:38" x14ac:dyDescent="0.25">
      <c r="AL10054" s="6"/>
    </row>
    <row r="10055" spans="38:38" x14ac:dyDescent="0.25">
      <c r="AL10055" s="6"/>
    </row>
    <row r="10056" spans="38:38" x14ac:dyDescent="0.25">
      <c r="AL10056" s="6"/>
    </row>
    <row r="10057" spans="38:38" x14ac:dyDescent="0.25">
      <c r="AL10057" s="6"/>
    </row>
    <row r="10058" spans="38:38" x14ac:dyDescent="0.25">
      <c r="AL10058" s="6"/>
    </row>
    <row r="10059" spans="38:38" x14ac:dyDescent="0.25">
      <c r="AL10059" s="6"/>
    </row>
    <row r="10060" spans="38:38" x14ac:dyDescent="0.25">
      <c r="AL10060" s="6"/>
    </row>
    <row r="10061" spans="38:38" x14ac:dyDescent="0.25">
      <c r="AL10061" s="6"/>
    </row>
    <row r="10062" spans="38:38" x14ac:dyDescent="0.25">
      <c r="AL10062" s="6"/>
    </row>
    <row r="10063" spans="38:38" x14ac:dyDescent="0.25">
      <c r="AL10063" s="6"/>
    </row>
    <row r="10064" spans="38:38" x14ac:dyDescent="0.25">
      <c r="AL10064" s="6"/>
    </row>
    <row r="10065" spans="38:38" x14ac:dyDescent="0.25">
      <c r="AL10065" s="6"/>
    </row>
    <row r="10066" spans="38:38" x14ac:dyDescent="0.25">
      <c r="AL10066" s="6"/>
    </row>
    <row r="10067" spans="38:38" x14ac:dyDescent="0.25">
      <c r="AL10067" s="6"/>
    </row>
    <row r="10068" spans="38:38" x14ac:dyDescent="0.25">
      <c r="AL10068" s="6"/>
    </row>
    <row r="10069" spans="38:38" x14ac:dyDescent="0.25">
      <c r="AL10069" s="6"/>
    </row>
    <row r="10070" spans="38:38" x14ac:dyDescent="0.25">
      <c r="AL10070" s="6"/>
    </row>
    <row r="10071" spans="38:38" x14ac:dyDescent="0.25">
      <c r="AL10071" s="6"/>
    </row>
    <row r="10072" spans="38:38" x14ac:dyDescent="0.25">
      <c r="AL10072" s="6"/>
    </row>
    <row r="10073" spans="38:38" x14ac:dyDescent="0.25">
      <c r="AL10073" s="6"/>
    </row>
    <row r="10074" spans="38:38" x14ac:dyDescent="0.25">
      <c r="AL10074" s="6"/>
    </row>
    <row r="10075" spans="38:38" x14ac:dyDescent="0.25">
      <c r="AL10075" s="6"/>
    </row>
    <row r="10076" spans="38:38" x14ac:dyDescent="0.25">
      <c r="AL10076" s="6"/>
    </row>
    <row r="10077" spans="38:38" x14ac:dyDescent="0.25">
      <c r="AL10077" s="6"/>
    </row>
    <row r="10078" spans="38:38" x14ac:dyDescent="0.25">
      <c r="AL10078" s="6"/>
    </row>
    <row r="10079" spans="38:38" x14ac:dyDescent="0.25">
      <c r="AL10079" s="6"/>
    </row>
    <row r="10080" spans="38:38" x14ac:dyDescent="0.25">
      <c r="AL10080" s="6"/>
    </row>
    <row r="10081" spans="38:38" x14ac:dyDescent="0.25">
      <c r="AL10081" s="6"/>
    </row>
    <row r="10082" spans="38:38" x14ac:dyDescent="0.25">
      <c r="AL10082" s="6"/>
    </row>
    <row r="10083" spans="38:38" x14ac:dyDescent="0.25">
      <c r="AL10083" s="6"/>
    </row>
    <row r="10084" spans="38:38" x14ac:dyDescent="0.25">
      <c r="AL10084" s="6"/>
    </row>
    <row r="10085" spans="38:38" x14ac:dyDescent="0.25">
      <c r="AL10085" s="6"/>
    </row>
    <row r="10086" spans="38:38" x14ac:dyDescent="0.25">
      <c r="AL10086" s="6"/>
    </row>
    <row r="10087" spans="38:38" x14ac:dyDescent="0.25">
      <c r="AL10087" s="6"/>
    </row>
    <row r="10088" spans="38:38" x14ac:dyDescent="0.25">
      <c r="AL10088" s="6"/>
    </row>
    <row r="10089" spans="38:38" x14ac:dyDescent="0.25">
      <c r="AL10089" s="6"/>
    </row>
    <row r="10090" spans="38:38" x14ac:dyDescent="0.25">
      <c r="AL10090" s="6"/>
    </row>
    <row r="10091" spans="38:38" x14ac:dyDescent="0.25">
      <c r="AL10091" s="6"/>
    </row>
    <row r="10092" spans="38:38" x14ac:dyDescent="0.25">
      <c r="AL10092" s="6"/>
    </row>
    <row r="10093" spans="38:38" x14ac:dyDescent="0.25">
      <c r="AL10093" s="6"/>
    </row>
    <row r="10094" spans="38:38" x14ac:dyDescent="0.25">
      <c r="AL10094" s="6"/>
    </row>
    <row r="10095" spans="38:38" x14ac:dyDescent="0.25">
      <c r="AL10095" s="6"/>
    </row>
    <row r="10096" spans="38:38" x14ac:dyDescent="0.25">
      <c r="AL10096" s="6"/>
    </row>
    <row r="10097" spans="38:38" x14ac:dyDescent="0.25">
      <c r="AL10097" s="6"/>
    </row>
    <row r="10098" spans="38:38" x14ac:dyDescent="0.25">
      <c r="AL10098" s="6"/>
    </row>
    <row r="10099" spans="38:38" x14ac:dyDescent="0.25">
      <c r="AL10099" s="6"/>
    </row>
    <row r="10100" spans="38:38" x14ac:dyDescent="0.25">
      <c r="AL10100" s="6"/>
    </row>
    <row r="10101" spans="38:38" x14ac:dyDescent="0.25">
      <c r="AL10101" s="6"/>
    </row>
    <row r="10102" spans="38:38" x14ac:dyDescent="0.25">
      <c r="AL10102" s="6"/>
    </row>
    <row r="10103" spans="38:38" x14ac:dyDescent="0.25">
      <c r="AL10103" s="6"/>
    </row>
    <row r="10104" spans="38:38" x14ac:dyDescent="0.25">
      <c r="AL10104" s="6"/>
    </row>
    <row r="10105" spans="38:38" x14ac:dyDescent="0.25">
      <c r="AL10105" s="6"/>
    </row>
    <row r="10106" spans="38:38" x14ac:dyDescent="0.25">
      <c r="AL10106" s="6"/>
    </row>
    <row r="10107" spans="38:38" x14ac:dyDescent="0.25">
      <c r="AL10107" s="6"/>
    </row>
    <row r="10108" spans="38:38" x14ac:dyDescent="0.25">
      <c r="AL10108" s="6"/>
    </row>
    <row r="10109" spans="38:38" x14ac:dyDescent="0.25">
      <c r="AL10109" s="6"/>
    </row>
    <row r="10110" spans="38:38" x14ac:dyDescent="0.25">
      <c r="AL10110" s="6"/>
    </row>
    <row r="10111" spans="38:38" x14ac:dyDescent="0.25">
      <c r="AL10111" s="6"/>
    </row>
    <row r="10112" spans="38:38" x14ac:dyDescent="0.25">
      <c r="AL10112" s="6"/>
    </row>
    <row r="10113" spans="38:38" x14ac:dyDescent="0.25">
      <c r="AL10113" s="6"/>
    </row>
    <row r="10114" spans="38:38" x14ac:dyDescent="0.25">
      <c r="AL10114" s="6"/>
    </row>
    <row r="10115" spans="38:38" x14ac:dyDescent="0.25">
      <c r="AL10115" s="6"/>
    </row>
    <row r="10116" spans="38:38" x14ac:dyDescent="0.25">
      <c r="AL10116" s="6"/>
    </row>
    <row r="10117" spans="38:38" x14ac:dyDescent="0.25">
      <c r="AL10117" s="6"/>
    </row>
    <row r="10118" spans="38:38" x14ac:dyDescent="0.25">
      <c r="AL10118" s="6"/>
    </row>
    <row r="10119" spans="38:38" x14ac:dyDescent="0.25">
      <c r="AL10119" s="6"/>
    </row>
    <row r="10120" spans="38:38" x14ac:dyDescent="0.25">
      <c r="AL10120" s="6"/>
    </row>
    <row r="10121" spans="38:38" x14ac:dyDescent="0.25">
      <c r="AL10121" s="6"/>
    </row>
    <row r="10122" spans="38:38" x14ac:dyDescent="0.25">
      <c r="AL10122" s="6"/>
    </row>
    <row r="10123" spans="38:38" x14ac:dyDescent="0.25">
      <c r="AL10123" s="6"/>
    </row>
    <row r="10124" spans="38:38" x14ac:dyDescent="0.25">
      <c r="AL10124" s="6"/>
    </row>
    <row r="10125" spans="38:38" x14ac:dyDescent="0.25">
      <c r="AL10125" s="6"/>
    </row>
    <row r="10126" spans="38:38" x14ac:dyDescent="0.25">
      <c r="AL10126" s="6"/>
    </row>
    <row r="10127" spans="38:38" x14ac:dyDescent="0.25">
      <c r="AL10127" s="6"/>
    </row>
    <row r="10128" spans="38:38" x14ac:dyDescent="0.25">
      <c r="AL10128" s="6"/>
    </row>
    <row r="10129" spans="38:38" x14ac:dyDescent="0.25">
      <c r="AL10129" s="6"/>
    </row>
    <row r="10130" spans="38:38" x14ac:dyDescent="0.25">
      <c r="AL10130" s="6"/>
    </row>
    <row r="10131" spans="38:38" x14ac:dyDescent="0.25">
      <c r="AL10131" s="6"/>
    </row>
    <row r="10132" spans="38:38" x14ac:dyDescent="0.25">
      <c r="AL10132" s="6"/>
    </row>
    <row r="10133" spans="38:38" x14ac:dyDescent="0.25">
      <c r="AL10133" s="6"/>
    </row>
    <row r="10134" spans="38:38" x14ac:dyDescent="0.25">
      <c r="AL10134" s="6"/>
    </row>
    <row r="10135" spans="38:38" x14ac:dyDescent="0.25">
      <c r="AL10135" s="6"/>
    </row>
    <row r="10136" spans="38:38" x14ac:dyDescent="0.25">
      <c r="AL10136" s="6"/>
    </row>
    <row r="10137" spans="38:38" x14ac:dyDescent="0.25">
      <c r="AL10137" s="6"/>
    </row>
    <row r="10138" spans="38:38" x14ac:dyDescent="0.25">
      <c r="AL10138" s="6"/>
    </row>
    <row r="10139" spans="38:38" x14ac:dyDescent="0.25">
      <c r="AL10139" s="6"/>
    </row>
    <row r="10140" spans="38:38" x14ac:dyDescent="0.25">
      <c r="AL10140" s="6"/>
    </row>
    <row r="10141" spans="38:38" x14ac:dyDescent="0.25">
      <c r="AL10141" s="6"/>
    </row>
    <row r="10142" spans="38:38" x14ac:dyDescent="0.25">
      <c r="AL10142" s="6"/>
    </row>
    <row r="10143" spans="38:38" x14ac:dyDescent="0.25">
      <c r="AL10143" s="6"/>
    </row>
    <row r="10144" spans="38:38" x14ac:dyDescent="0.25">
      <c r="AL10144" s="6"/>
    </row>
    <row r="10145" spans="38:38" x14ac:dyDescent="0.25">
      <c r="AL10145" s="6"/>
    </row>
    <row r="10146" spans="38:38" x14ac:dyDescent="0.25">
      <c r="AL10146" s="6"/>
    </row>
    <row r="10147" spans="38:38" x14ac:dyDescent="0.25">
      <c r="AL10147" s="6"/>
    </row>
    <row r="10148" spans="38:38" x14ac:dyDescent="0.25">
      <c r="AL10148" s="6"/>
    </row>
    <row r="10149" spans="38:38" x14ac:dyDescent="0.25">
      <c r="AL10149" s="6"/>
    </row>
    <row r="10150" spans="38:38" x14ac:dyDescent="0.25">
      <c r="AL10150" s="6"/>
    </row>
    <row r="10151" spans="38:38" x14ac:dyDescent="0.25">
      <c r="AL10151" s="6"/>
    </row>
    <row r="10152" spans="38:38" x14ac:dyDescent="0.25">
      <c r="AL10152" s="6"/>
    </row>
    <row r="10153" spans="38:38" x14ac:dyDescent="0.25">
      <c r="AL10153" s="6"/>
    </row>
    <row r="10154" spans="38:38" x14ac:dyDescent="0.25">
      <c r="AL10154" s="6"/>
    </row>
    <row r="10155" spans="38:38" x14ac:dyDescent="0.25">
      <c r="AL10155" s="6"/>
    </row>
    <row r="10156" spans="38:38" x14ac:dyDescent="0.25">
      <c r="AL10156" s="6"/>
    </row>
    <row r="10157" spans="38:38" x14ac:dyDescent="0.25">
      <c r="AL10157" s="6"/>
    </row>
    <row r="10158" spans="38:38" x14ac:dyDescent="0.25">
      <c r="AL10158" s="6"/>
    </row>
    <row r="10159" spans="38:38" x14ac:dyDescent="0.25">
      <c r="AL10159" s="6"/>
    </row>
    <row r="10160" spans="38:38" x14ac:dyDescent="0.25">
      <c r="AL10160" s="6"/>
    </row>
    <row r="10161" spans="38:38" x14ac:dyDescent="0.25">
      <c r="AL10161" s="6"/>
    </row>
    <row r="10162" spans="38:38" x14ac:dyDescent="0.25">
      <c r="AL10162" s="6"/>
    </row>
    <row r="10163" spans="38:38" x14ac:dyDescent="0.25">
      <c r="AL10163" s="6"/>
    </row>
    <row r="10164" spans="38:38" x14ac:dyDescent="0.25">
      <c r="AL10164" s="6"/>
    </row>
    <row r="10165" spans="38:38" x14ac:dyDescent="0.25">
      <c r="AL10165" s="6"/>
    </row>
    <row r="10166" spans="38:38" x14ac:dyDescent="0.25">
      <c r="AL10166" s="6"/>
    </row>
    <row r="10167" spans="38:38" x14ac:dyDescent="0.25">
      <c r="AL10167" s="6"/>
    </row>
    <row r="10168" spans="38:38" x14ac:dyDescent="0.25">
      <c r="AL10168" s="6"/>
    </row>
    <row r="10169" spans="38:38" x14ac:dyDescent="0.25">
      <c r="AL10169" s="6"/>
    </row>
    <row r="10170" spans="38:38" x14ac:dyDescent="0.25">
      <c r="AL10170" s="6"/>
    </row>
    <row r="10171" spans="38:38" x14ac:dyDescent="0.25">
      <c r="AL10171" s="6"/>
    </row>
    <row r="10172" spans="38:38" x14ac:dyDescent="0.25">
      <c r="AL10172" s="6"/>
    </row>
    <row r="10173" spans="38:38" x14ac:dyDescent="0.25">
      <c r="AL10173" s="6"/>
    </row>
    <row r="10174" spans="38:38" x14ac:dyDescent="0.25">
      <c r="AL10174" s="6"/>
    </row>
    <row r="10175" spans="38:38" x14ac:dyDescent="0.25">
      <c r="AL10175" s="6"/>
    </row>
    <row r="10176" spans="38:38" x14ac:dyDescent="0.25">
      <c r="AL10176" s="6"/>
    </row>
    <row r="10177" spans="38:38" x14ac:dyDescent="0.25">
      <c r="AL10177" s="6"/>
    </row>
    <row r="10178" spans="38:38" x14ac:dyDescent="0.25">
      <c r="AL10178" s="6"/>
    </row>
    <row r="10179" spans="38:38" x14ac:dyDescent="0.25">
      <c r="AL10179" s="6"/>
    </row>
    <row r="10180" spans="38:38" x14ac:dyDescent="0.25">
      <c r="AL10180" s="6"/>
    </row>
    <row r="10181" spans="38:38" x14ac:dyDescent="0.25">
      <c r="AL10181" s="6"/>
    </row>
    <row r="10182" spans="38:38" x14ac:dyDescent="0.25">
      <c r="AL10182" s="6"/>
    </row>
    <row r="10183" spans="38:38" x14ac:dyDescent="0.25">
      <c r="AL10183" s="6"/>
    </row>
    <row r="10184" spans="38:38" x14ac:dyDescent="0.25">
      <c r="AL10184" s="6"/>
    </row>
    <row r="10185" spans="38:38" x14ac:dyDescent="0.25">
      <c r="AL10185" s="6"/>
    </row>
    <row r="10186" spans="38:38" x14ac:dyDescent="0.25">
      <c r="AL10186" s="6"/>
    </row>
    <row r="10187" spans="38:38" x14ac:dyDescent="0.25">
      <c r="AL10187" s="6"/>
    </row>
    <row r="10188" spans="38:38" x14ac:dyDescent="0.25">
      <c r="AL10188" s="6"/>
    </row>
    <row r="10189" spans="38:38" x14ac:dyDescent="0.25">
      <c r="AL10189" s="6"/>
    </row>
    <row r="10190" spans="38:38" x14ac:dyDescent="0.25">
      <c r="AL10190" s="6"/>
    </row>
    <row r="10191" spans="38:38" x14ac:dyDescent="0.25">
      <c r="AL10191" s="6"/>
    </row>
    <row r="10192" spans="38:38" x14ac:dyDescent="0.25">
      <c r="AL10192" s="6"/>
    </row>
    <row r="10193" spans="38:38" x14ac:dyDescent="0.25">
      <c r="AL10193" s="6"/>
    </row>
    <row r="10194" spans="38:38" x14ac:dyDescent="0.25">
      <c r="AL10194" s="6"/>
    </row>
    <row r="10195" spans="38:38" x14ac:dyDescent="0.25">
      <c r="AL10195" s="6"/>
    </row>
    <row r="10196" spans="38:38" x14ac:dyDescent="0.25">
      <c r="AL10196" s="6"/>
    </row>
    <row r="10197" spans="38:38" x14ac:dyDescent="0.25">
      <c r="AL10197" s="6"/>
    </row>
    <row r="10198" spans="38:38" x14ac:dyDescent="0.25">
      <c r="AL10198" s="6"/>
    </row>
    <row r="10199" spans="38:38" x14ac:dyDescent="0.25">
      <c r="AL10199" s="6"/>
    </row>
    <row r="10200" spans="38:38" x14ac:dyDescent="0.25">
      <c r="AL10200" s="6"/>
    </row>
    <row r="10201" spans="38:38" x14ac:dyDescent="0.25">
      <c r="AL10201" s="6"/>
    </row>
    <row r="10202" spans="38:38" x14ac:dyDescent="0.25">
      <c r="AL10202" s="6"/>
    </row>
    <row r="10203" spans="38:38" x14ac:dyDescent="0.25">
      <c r="AL10203" s="6"/>
    </row>
    <row r="10204" spans="38:38" x14ac:dyDescent="0.25">
      <c r="AL10204" s="6"/>
    </row>
    <row r="10205" spans="38:38" x14ac:dyDescent="0.25">
      <c r="AL10205" s="6"/>
    </row>
    <row r="10206" spans="38:38" x14ac:dyDescent="0.25">
      <c r="AL10206" s="6"/>
    </row>
    <row r="10207" spans="38:38" x14ac:dyDescent="0.25">
      <c r="AL10207" s="6"/>
    </row>
    <row r="10208" spans="38:38" x14ac:dyDescent="0.25">
      <c r="AL10208" s="6"/>
    </row>
    <row r="10209" spans="38:38" x14ac:dyDescent="0.25">
      <c r="AL10209" s="6"/>
    </row>
    <row r="10210" spans="38:38" x14ac:dyDescent="0.25">
      <c r="AL10210" s="6"/>
    </row>
    <row r="10211" spans="38:38" x14ac:dyDescent="0.25">
      <c r="AL10211" s="6"/>
    </row>
    <row r="10212" spans="38:38" x14ac:dyDescent="0.25">
      <c r="AL10212" s="6"/>
    </row>
    <row r="10213" spans="38:38" x14ac:dyDescent="0.25">
      <c r="AL10213" s="6"/>
    </row>
    <row r="10214" spans="38:38" x14ac:dyDescent="0.25">
      <c r="AL10214" s="6"/>
    </row>
    <row r="10215" spans="38:38" x14ac:dyDescent="0.25">
      <c r="AL10215" s="6"/>
    </row>
    <row r="10216" spans="38:38" x14ac:dyDescent="0.25">
      <c r="AL10216" s="6"/>
    </row>
    <row r="10217" spans="38:38" x14ac:dyDescent="0.25">
      <c r="AL10217" s="6"/>
    </row>
    <row r="10218" spans="38:38" x14ac:dyDescent="0.25">
      <c r="AL10218" s="6"/>
    </row>
    <row r="10219" spans="38:38" x14ac:dyDescent="0.25">
      <c r="AL10219" s="6"/>
    </row>
    <row r="10220" spans="38:38" x14ac:dyDescent="0.25">
      <c r="AL10220" s="6"/>
    </row>
    <row r="10221" spans="38:38" x14ac:dyDescent="0.25">
      <c r="AL10221" s="6"/>
    </row>
    <row r="10222" spans="38:38" x14ac:dyDescent="0.25">
      <c r="AL10222" s="6"/>
    </row>
    <row r="10223" spans="38:38" x14ac:dyDescent="0.25">
      <c r="AL10223" s="6"/>
    </row>
    <row r="10224" spans="38:38" x14ac:dyDescent="0.25">
      <c r="AL10224" s="6"/>
    </row>
    <row r="10225" spans="38:38" x14ac:dyDescent="0.25">
      <c r="AL10225" s="6"/>
    </row>
    <row r="10226" spans="38:38" x14ac:dyDescent="0.25">
      <c r="AL10226" s="6"/>
    </row>
    <row r="10227" spans="38:38" x14ac:dyDescent="0.25">
      <c r="AL10227" s="6"/>
    </row>
    <row r="10228" spans="38:38" x14ac:dyDescent="0.25">
      <c r="AL10228" s="6"/>
    </row>
    <row r="10229" spans="38:38" x14ac:dyDescent="0.25">
      <c r="AL10229" s="6"/>
    </row>
    <row r="10230" spans="38:38" x14ac:dyDescent="0.25">
      <c r="AL10230" s="6"/>
    </row>
    <row r="10231" spans="38:38" x14ac:dyDescent="0.25">
      <c r="AL10231" s="6"/>
    </row>
    <row r="10232" spans="38:38" x14ac:dyDescent="0.25">
      <c r="AL10232" s="6"/>
    </row>
    <row r="10233" spans="38:38" x14ac:dyDescent="0.25">
      <c r="AL10233" s="6"/>
    </row>
    <row r="10234" spans="38:38" x14ac:dyDescent="0.25">
      <c r="AL10234" s="6"/>
    </row>
    <row r="10235" spans="38:38" x14ac:dyDescent="0.25">
      <c r="AL10235" s="6"/>
    </row>
    <row r="10236" spans="38:38" x14ac:dyDescent="0.25">
      <c r="AL10236" s="6"/>
    </row>
    <row r="10237" spans="38:38" x14ac:dyDescent="0.25">
      <c r="AL10237" s="6"/>
    </row>
    <row r="10238" spans="38:38" x14ac:dyDescent="0.25">
      <c r="AL10238" s="6"/>
    </row>
    <row r="10239" spans="38:38" x14ac:dyDescent="0.25">
      <c r="AL10239" s="6"/>
    </row>
    <row r="10240" spans="38:38" x14ac:dyDescent="0.25">
      <c r="AL10240" s="6"/>
    </row>
    <row r="10241" spans="38:38" x14ac:dyDescent="0.25">
      <c r="AL10241" s="6"/>
    </row>
    <row r="10242" spans="38:38" x14ac:dyDescent="0.25">
      <c r="AL10242" s="6"/>
    </row>
    <row r="10243" spans="38:38" x14ac:dyDescent="0.25">
      <c r="AL10243" s="6"/>
    </row>
    <row r="10244" spans="38:38" x14ac:dyDescent="0.25">
      <c r="AL10244" s="6"/>
    </row>
    <row r="10245" spans="38:38" x14ac:dyDescent="0.25">
      <c r="AL10245" s="6"/>
    </row>
    <row r="10246" spans="38:38" x14ac:dyDescent="0.25">
      <c r="AL10246" s="6"/>
    </row>
    <row r="10247" spans="38:38" x14ac:dyDescent="0.25">
      <c r="AL10247" s="6"/>
    </row>
    <row r="10248" spans="38:38" x14ac:dyDescent="0.25">
      <c r="AL10248" s="6"/>
    </row>
    <row r="10249" spans="38:38" x14ac:dyDescent="0.25">
      <c r="AL10249" s="6"/>
    </row>
    <row r="10250" spans="38:38" x14ac:dyDescent="0.25">
      <c r="AL10250" s="6"/>
    </row>
    <row r="10251" spans="38:38" x14ac:dyDescent="0.25">
      <c r="AL10251" s="6"/>
    </row>
    <row r="10252" spans="38:38" x14ac:dyDescent="0.25">
      <c r="AL10252" s="6"/>
    </row>
    <row r="10253" spans="38:38" x14ac:dyDescent="0.25">
      <c r="AL10253" s="6"/>
    </row>
    <row r="10254" spans="38:38" x14ac:dyDescent="0.25">
      <c r="AL10254" s="6"/>
    </row>
    <row r="10255" spans="38:38" x14ac:dyDescent="0.25">
      <c r="AL10255" s="6"/>
    </row>
    <row r="10256" spans="38:38" x14ac:dyDescent="0.25">
      <c r="AL10256" s="6"/>
    </row>
    <row r="10257" spans="38:38" x14ac:dyDescent="0.25">
      <c r="AL10257" s="6"/>
    </row>
    <row r="10258" spans="38:38" x14ac:dyDescent="0.25">
      <c r="AL10258" s="6"/>
    </row>
    <row r="10259" spans="38:38" x14ac:dyDescent="0.25">
      <c r="AL10259" s="6"/>
    </row>
    <row r="10260" spans="38:38" x14ac:dyDescent="0.25">
      <c r="AL10260" s="6"/>
    </row>
    <row r="10261" spans="38:38" x14ac:dyDescent="0.25">
      <c r="AL10261" s="6"/>
    </row>
    <row r="10262" spans="38:38" x14ac:dyDescent="0.25">
      <c r="AL10262" s="6"/>
    </row>
    <row r="10263" spans="38:38" x14ac:dyDescent="0.25">
      <c r="AL10263" s="6"/>
    </row>
    <row r="10264" spans="38:38" x14ac:dyDescent="0.25">
      <c r="AL10264" s="6"/>
    </row>
    <row r="10265" spans="38:38" x14ac:dyDescent="0.25">
      <c r="AL10265" s="6"/>
    </row>
    <row r="10266" spans="38:38" x14ac:dyDescent="0.25">
      <c r="AL10266" s="6"/>
    </row>
    <row r="10267" spans="38:38" x14ac:dyDescent="0.25">
      <c r="AL10267" s="6"/>
    </row>
    <row r="10268" spans="38:38" x14ac:dyDescent="0.25">
      <c r="AL10268" s="6"/>
    </row>
    <row r="10269" spans="38:38" x14ac:dyDescent="0.25">
      <c r="AL10269" s="6"/>
    </row>
    <row r="10270" spans="38:38" x14ac:dyDescent="0.25">
      <c r="AL10270" s="6"/>
    </row>
    <row r="10271" spans="38:38" x14ac:dyDescent="0.25">
      <c r="AL10271" s="6"/>
    </row>
    <row r="10272" spans="38:38" x14ac:dyDescent="0.25">
      <c r="AL10272" s="6"/>
    </row>
    <row r="10273" spans="38:38" x14ac:dyDescent="0.25">
      <c r="AL10273" s="6"/>
    </row>
    <row r="10274" spans="38:38" x14ac:dyDescent="0.25">
      <c r="AL10274" s="6"/>
    </row>
    <row r="10275" spans="38:38" x14ac:dyDescent="0.25">
      <c r="AL10275" s="6"/>
    </row>
    <row r="10276" spans="38:38" x14ac:dyDescent="0.25">
      <c r="AL10276" s="6"/>
    </row>
    <row r="10277" spans="38:38" x14ac:dyDescent="0.25">
      <c r="AL10277" s="6"/>
    </row>
    <row r="10278" spans="38:38" x14ac:dyDescent="0.25">
      <c r="AL10278" s="6"/>
    </row>
    <row r="10279" spans="38:38" x14ac:dyDescent="0.25">
      <c r="AL10279" s="6"/>
    </row>
    <row r="10280" spans="38:38" x14ac:dyDescent="0.25">
      <c r="AL10280" s="6"/>
    </row>
    <row r="10281" spans="38:38" x14ac:dyDescent="0.25">
      <c r="AL10281" s="6"/>
    </row>
    <row r="10282" spans="38:38" x14ac:dyDescent="0.25">
      <c r="AL10282" s="6"/>
    </row>
    <row r="10283" spans="38:38" x14ac:dyDescent="0.25">
      <c r="AL10283" s="6"/>
    </row>
    <row r="10284" spans="38:38" x14ac:dyDescent="0.25">
      <c r="AL10284" s="6"/>
    </row>
    <row r="10285" spans="38:38" x14ac:dyDescent="0.25">
      <c r="AL10285" s="6"/>
    </row>
    <row r="10286" spans="38:38" x14ac:dyDescent="0.25">
      <c r="AL10286" s="6"/>
    </row>
    <row r="10287" spans="38:38" x14ac:dyDescent="0.25">
      <c r="AL10287" s="6"/>
    </row>
    <row r="10288" spans="38:38" x14ac:dyDescent="0.25">
      <c r="AL10288" s="6"/>
    </row>
    <row r="10289" spans="38:38" x14ac:dyDescent="0.25">
      <c r="AL10289" s="6"/>
    </row>
    <row r="10290" spans="38:38" x14ac:dyDescent="0.25">
      <c r="AL10290" s="6"/>
    </row>
    <row r="10291" spans="38:38" x14ac:dyDescent="0.25">
      <c r="AL10291" s="6"/>
    </row>
    <row r="10292" spans="38:38" x14ac:dyDescent="0.25">
      <c r="AL10292" s="6"/>
    </row>
    <row r="10293" spans="38:38" x14ac:dyDescent="0.25">
      <c r="AL10293" s="6"/>
    </row>
    <row r="10294" spans="38:38" x14ac:dyDescent="0.25">
      <c r="AL10294" s="6"/>
    </row>
    <row r="10295" spans="38:38" x14ac:dyDescent="0.25">
      <c r="AL10295" s="6"/>
    </row>
    <row r="10296" spans="38:38" x14ac:dyDescent="0.25">
      <c r="AL10296" s="6"/>
    </row>
    <row r="10297" spans="38:38" x14ac:dyDescent="0.25">
      <c r="AL10297" s="6"/>
    </row>
    <row r="10298" spans="38:38" x14ac:dyDescent="0.25">
      <c r="AL10298" s="6"/>
    </row>
    <row r="10299" spans="38:38" x14ac:dyDescent="0.25">
      <c r="AL10299" s="6"/>
    </row>
    <row r="10300" spans="38:38" x14ac:dyDescent="0.25">
      <c r="AL10300" s="6"/>
    </row>
    <row r="10301" spans="38:38" x14ac:dyDescent="0.25">
      <c r="AL10301" s="6"/>
    </row>
    <row r="10302" spans="38:38" x14ac:dyDescent="0.25">
      <c r="AL10302" s="6"/>
    </row>
    <row r="10303" spans="38:38" x14ac:dyDescent="0.25">
      <c r="AL10303" s="6"/>
    </row>
    <row r="10304" spans="38:38" x14ac:dyDescent="0.25">
      <c r="AL10304" s="6"/>
    </row>
    <row r="10305" spans="38:38" x14ac:dyDescent="0.25">
      <c r="AL10305" s="6"/>
    </row>
    <row r="10306" spans="38:38" x14ac:dyDescent="0.25">
      <c r="AL10306" s="6"/>
    </row>
    <row r="10307" spans="38:38" x14ac:dyDescent="0.25">
      <c r="AL10307" s="6"/>
    </row>
    <row r="10308" spans="38:38" x14ac:dyDescent="0.25">
      <c r="AL10308" s="6"/>
    </row>
    <row r="10309" spans="38:38" x14ac:dyDescent="0.25">
      <c r="AL10309" s="6"/>
    </row>
    <row r="10310" spans="38:38" x14ac:dyDescent="0.25">
      <c r="AL10310" s="6"/>
    </row>
    <row r="10311" spans="38:38" x14ac:dyDescent="0.25">
      <c r="AL10311" s="6"/>
    </row>
    <row r="10312" spans="38:38" x14ac:dyDescent="0.25">
      <c r="AL10312" s="6"/>
    </row>
    <row r="10313" spans="38:38" x14ac:dyDescent="0.25">
      <c r="AL10313" s="6"/>
    </row>
    <row r="10314" spans="38:38" x14ac:dyDescent="0.25">
      <c r="AL10314" s="6"/>
    </row>
    <row r="10315" spans="38:38" x14ac:dyDescent="0.25">
      <c r="AL10315" s="6"/>
    </row>
    <row r="10316" spans="38:38" x14ac:dyDescent="0.25">
      <c r="AL10316" s="6"/>
    </row>
    <row r="10317" spans="38:38" x14ac:dyDescent="0.25">
      <c r="AL10317" s="6"/>
    </row>
    <row r="10318" spans="38:38" x14ac:dyDescent="0.25">
      <c r="AL10318" s="6"/>
    </row>
    <row r="10319" spans="38:38" x14ac:dyDescent="0.25">
      <c r="AL10319" s="6"/>
    </row>
    <row r="10320" spans="38:38" x14ac:dyDescent="0.25">
      <c r="AL10320" s="6"/>
    </row>
    <row r="10321" spans="38:38" x14ac:dyDescent="0.25">
      <c r="AL10321" s="6"/>
    </row>
    <row r="10322" spans="38:38" x14ac:dyDescent="0.25">
      <c r="AL10322" s="6"/>
    </row>
    <row r="10323" spans="38:38" x14ac:dyDescent="0.25">
      <c r="AL10323" s="6"/>
    </row>
    <row r="10324" spans="38:38" x14ac:dyDescent="0.25">
      <c r="AL10324" s="6"/>
    </row>
    <row r="10325" spans="38:38" x14ac:dyDescent="0.25">
      <c r="AL10325" s="6"/>
    </row>
    <row r="10326" spans="38:38" x14ac:dyDescent="0.25">
      <c r="AL10326" s="6"/>
    </row>
    <row r="10327" spans="38:38" x14ac:dyDescent="0.25">
      <c r="AL10327" s="6"/>
    </row>
    <row r="10328" spans="38:38" x14ac:dyDescent="0.25">
      <c r="AL10328" s="6"/>
    </row>
    <row r="10329" spans="38:38" x14ac:dyDescent="0.25">
      <c r="AL10329" s="6"/>
    </row>
    <row r="10330" spans="38:38" x14ac:dyDescent="0.25">
      <c r="AL10330" s="6"/>
    </row>
    <row r="10331" spans="38:38" x14ac:dyDescent="0.25">
      <c r="AL10331" s="6"/>
    </row>
    <row r="10332" spans="38:38" x14ac:dyDescent="0.25">
      <c r="AL10332" s="6"/>
    </row>
    <row r="10333" spans="38:38" x14ac:dyDescent="0.25">
      <c r="AL10333" s="6"/>
    </row>
    <row r="10334" spans="38:38" x14ac:dyDescent="0.25">
      <c r="AL10334" s="6"/>
    </row>
    <row r="10335" spans="38:38" x14ac:dyDescent="0.25">
      <c r="AL10335" s="6"/>
    </row>
    <row r="10336" spans="38:38" x14ac:dyDescent="0.25">
      <c r="AL10336" s="6"/>
    </row>
    <row r="10337" spans="38:38" x14ac:dyDescent="0.25">
      <c r="AL10337" s="6"/>
    </row>
    <row r="10338" spans="38:38" x14ac:dyDescent="0.25">
      <c r="AL10338" s="6"/>
    </row>
    <row r="10339" spans="38:38" x14ac:dyDescent="0.25">
      <c r="AL10339" s="6"/>
    </row>
    <row r="10340" spans="38:38" x14ac:dyDescent="0.25">
      <c r="AL10340" s="6"/>
    </row>
    <row r="10341" spans="38:38" x14ac:dyDescent="0.25">
      <c r="AL10341" s="6"/>
    </row>
    <row r="10342" spans="38:38" x14ac:dyDescent="0.25">
      <c r="AL10342" s="6"/>
    </row>
    <row r="10343" spans="38:38" x14ac:dyDescent="0.25">
      <c r="AL10343" s="6"/>
    </row>
    <row r="10344" spans="38:38" x14ac:dyDescent="0.25">
      <c r="AL10344" s="6"/>
    </row>
    <row r="10345" spans="38:38" x14ac:dyDescent="0.25">
      <c r="AL10345" s="6"/>
    </row>
    <row r="10346" spans="38:38" x14ac:dyDescent="0.25">
      <c r="AL10346" s="6"/>
    </row>
    <row r="10347" spans="38:38" x14ac:dyDescent="0.25">
      <c r="AL10347" s="6"/>
    </row>
    <row r="10348" spans="38:38" x14ac:dyDescent="0.25">
      <c r="AL10348" s="6"/>
    </row>
    <row r="10349" spans="38:38" x14ac:dyDescent="0.25">
      <c r="AL10349" s="6"/>
    </row>
    <row r="10350" spans="38:38" x14ac:dyDescent="0.25">
      <c r="AL10350" s="6"/>
    </row>
    <row r="10351" spans="38:38" x14ac:dyDescent="0.25">
      <c r="AL10351" s="6"/>
    </row>
    <row r="10352" spans="38:38" x14ac:dyDescent="0.25">
      <c r="AL10352" s="6"/>
    </row>
    <row r="10353" spans="38:38" x14ac:dyDescent="0.25">
      <c r="AL10353" s="6"/>
    </row>
    <row r="10354" spans="38:38" x14ac:dyDescent="0.25">
      <c r="AL10354" s="6"/>
    </row>
    <row r="10355" spans="38:38" x14ac:dyDescent="0.25">
      <c r="AL10355" s="6"/>
    </row>
    <row r="10356" spans="38:38" x14ac:dyDescent="0.25">
      <c r="AL10356" s="6"/>
    </row>
    <row r="10357" spans="38:38" x14ac:dyDescent="0.25">
      <c r="AL10357" s="6"/>
    </row>
    <row r="10358" spans="38:38" x14ac:dyDescent="0.25">
      <c r="AL10358" s="6"/>
    </row>
    <row r="10359" spans="38:38" x14ac:dyDescent="0.25">
      <c r="AL10359" s="6"/>
    </row>
    <row r="10360" spans="38:38" x14ac:dyDescent="0.25">
      <c r="AL10360" s="6"/>
    </row>
    <row r="10361" spans="38:38" x14ac:dyDescent="0.25">
      <c r="AL10361" s="6"/>
    </row>
    <row r="10362" spans="38:38" x14ac:dyDescent="0.25">
      <c r="AL10362" s="6"/>
    </row>
    <row r="10363" spans="38:38" x14ac:dyDescent="0.25">
      <c r="AL10363" s="6"/>
    </row>
    <row r="10364" spans="38:38" x14ac:dyDescent="0.25">
      <c r="AL10364" s="6"/>
    </row>
    <row r="10365" spans="38:38" x14ac:dyDescent="0.25">
      <c r="AL10365" s="6"/>
    </row>
    <row r="10366" spans="38:38" x14ac:dyDescent="0.25">
      <c r="AL10366" s="6"/>
    </row>
    <row r="10367" spans="38:38" x14ac:dyDescent="0.25">
      <c r="AL10367" s="6"/>
    </row>
    <row r="10368" spans="38:38" x14ac:dyDescent="0.25">
      <c r="AL10368" s="6"/>
    </row>
    <row r="10369" spans="38:38" x14ac:dyDescent="0.25">
      <c r="AL10369" s="6"/>
    </row>
    <row r="10370" spans="38:38" x14ac:dyDescent="0.25">
      <c r="AL10370" s="6"/>
    </row>
    <row r="10371" spans="38:38" x14ac:dyDescent="0.25">
      <c r="AL10371" s="6"/>
    </row>
    <row r="10372" spans="38:38" x14ac:dyDescent="0.25">
      <c r="AL10372" s="6"/>
    </row>
    <row r="10373" spans="38:38" x14ac:dyDescent="0.25">
      <c r="AL10373" s="6"/>
    </row>
    <row r="10374" spans="38:38" x14ac:dyDescent="0.25">
      <c r="AL10374" s="6"/>
    </row>
    <row r="10375" spans="38:38" x14ac:dyDescent="0.25">
      <c r="AL10375" s="6"/>
    </row>
    <row r="10376" spans="38:38" x14ac:dyDescent="0.25">
      <c r="AL10376" s="6"/>
    </row>
    <row r="10377" spans="38:38" x14ac:dyDescent="0.25">
      <c r="AL10377" s="6"/>
    </row>
    <row r="10378" spans="38:38" x14ac:dyDescent="0.25">
      <c r="AL10378" s="6"/>
    </row>
    <row r="10379" spans="38:38" x14ac:dyDescent="0.25">
      <c r="AL10379" s="6"/>
    </row>
    <row r="10380" spans="38:38" x14ac:dyDescent="0.25">
      <c r="AL10380" s="6"/>
    </row>
    <row r="10381" spans="38:38" x14ac:dyDescent="0.25">
      <c r="AL10381" s="6"/>
    </row>
    <row r="10382" spans="38:38" x14ac:dyDescent="0.25">
      <c r="AL10382" s="6"/>
    </row>
    <row r="10383" spans="38:38" x14ac:dyDescent="0.25">
      <c r="AL10383" s="6"/>
    </row>
    <row r="10384" spans="38:38" x14ac:dyDescent="0.25">
      <c r="AL10384" s="6"/>
    </row>
    <row r="10385" spans="38:38" x14ac:dyDescent="0.25">
      <c r="AL10385" s="6"/>
    </row>
    <row r="10386" spans="38:38" x14ac:dyDescent="0.25">
      <c r="AL10386" s="6"/>
    </row>
    <row r="10387" spans="38:38" x14ac:dyDescent="0.25">
      <c r="AL10387" s="6"/>
    </row>
    <row r="10388" spans="38:38" x14ac:dyDescent="0.25">
      <c r="AL10388" s="6"/>
    </row>
    <row r="10389" spans="38:38" x14ac:dyDescent="0.25">
      <c r="AL10389" s="6"/>
    </row>
    <row r="10390" spans="38:38" x14ac:dyDescent="0.25">
      <c r="AL10390" s="6"/>
    </row>
    <row r="10391" spans="38:38" x14ac:dyDescent="0.25">
      <c r="AL10391" s="6"/>
    </row>
    <row r="10392" spans="38:38" x14ac:dyDescent="0.25">
      <c r="AL10392" s="6"/>
    </row>
    <row r="10393" spans="38:38" x14ac:dyDescent="0.25">
      <c r="AL10393" s="6"/>
    </row>
    <row r="10394" spans="38:38" x14ac:dyDescent="0.25">
      <c r="AL10394" s="6"/>
    </row>
    <row r="10395" spans="38:38" x14ac:dyDescent="0.25">
      <c r="AL10395" s="6"/>
    </row>
    <row r="10396" spans="38:38" x14ac:dyDescent="0.25">
      <c r="AL10396" s="6"/>
    </row>
    <row r="10397" spans="38:38" x14ac:dyDescent="0.25">
      <c r="AL10397" s="6"/>
    </row>
    <row r="10398" spans="38:38" x14ac:dyDescent="0.25">
      <c r="AL10398" s="6"/>
    </row>
    <row r="10399" spans="38:38" x14ac:dyDescent="0.25">
      <c r="AL10399" s="6"/>
    </row>
    <row r="10400" spans="38:38" x14ac:dyDescent="0.25">
      <c r="AL10400" s="6"/>
    </row>
    <row r="10401" spans="38:38" x14ac:dyDescent="0.25">
      <c r="AL10401" s="6"/>
    </row>
    <row r="10402" spans="38:38" x14ac:dyDescent="0.25">
      <c r="AL10402" s="6"/>
    </row>
    <row r="10403" spans="38:38" x14ac:dyDescent="0.25">
      <c r="AL10403" s="6"/>
    </row>
    <row r="10404" spans="38:38" x14ac:dyDescent="0.25">
      <c r="AL10404" s="6"/>
    </row>
    <row r="10405" spans="38:38" x14ac:dyDescent="0.25">
      <c r="AL10405" s="6"/>
    </row>
    <row r="10406" spans="38:38" x14ac:dyDescent="0.25">
      <c r="AL10406" s="6"/>
    </row>
    <row r="10407" spans="38:38" x14ac:dyDescent="0.25">
      <c r="AL10407" s="6"/>
    </row>
    <row r="10408" spans="38:38" x14ac:dyDescent="0.25">
      <c r="AL10408" s="6"/>
    </row>
    <row r="10409" spans="38:38" x14ac:dyDescent="0.25">
      <c r="AL10409" s="6"/>
    </row>
    <row r="10410" spans="38:38" x14ac:dyDescent="0.25">
      <c r="AL10410" s="6"/>
    </row>
    <row r="10411" spans="38:38" x14ac:dyDescent="0.25">
      <c r="AL10411" s="6"/>
    </row>
    <row r="10412" spans="38:38" x14ac:dyDescent="0.25">
      <c r="AL10412" s="6"/>
    </row>
    <row r="10413" spans="38:38" x14ac:dyDescent="0.25">
      <c r="AL10413" s="6"/>
    </row>
    <row r="10414" spans="38:38" x14ac:dyDescent="0.25">
      <c r="AL10414" s="6"/>
    </row>
    <row r="10415" spans="38:38" x14ac:dyDescent="0.25">
      <c r="AL10415" s="6"/>
    </row>
    <row r="10416" spans="38:38" x14ac:dyDescent="0.25">
      <c r="AL10416" s="6"/>
    </row>
    <row r="10417" spans="38:38" x14ac:dyDescent="0.25">
      <c r="AL10417" s="6"/>
    </row>
    <row r="10418" spans="38:38" x14ac:dyDescent="0.25">
      <c r="AL10418" s="6"/>
    </row>
    <row r="10419" spans="38:38" x14ac:dyDescent="0.25">
      <c r="AL10419" s="6"/>
    </row>
    <row r="10420" spans="38:38" x14ac:dyDescent="0.25">
      <c r="AL10420" s="6"/>
    </row>
    <row r="10421" spans="38:38" x14ac:dyDescent="0.25">
      <c r="AL10421" s="6"/>
    </row>
    <row r="10422" spans="38:38" x14ac:dyDescent="0.25">
      <c r="AL10422" s="6"/>
    </row>
    <row r="10423" spans="38:38" x14ac:dyDescent="0.25">
      <c r="AL10423" s="6"/>
    </row>
    <row r="10424" spans="38:38" x14ac:dyDescent="0.25">
      <c r="AL10424" s="6"/>
    </row>
    <row r="10425" spans="38:38" x14ac:dyDescent="0.25">
      <c r="AL10425" s="6"/>
    </row>
    <row r="10426" spans="38:38" x14ac:dyDescent="0.25">
      <c r="AL10426" s="6"/>
    </row>
    <row r="10427" spans="38:38" x14ac:dyDescent="0.25">
      <c r="AL10427" s="6"/>
    </row>
    <row r="10428" spans="38:38" x14ac:dyDescent="0.25">
      <c r="AL10428" s="6"/>
    </row>
    <row r="10429" spans="38:38" x14ac:dyDescent="0.25">
      <c r="AL10429" s="6"/>
    </row>
    <row r="10430" spans="38:38" x14ac:dyDescent="0.25">
      <c r="AL10430" s="6"/>
    </row>
    <row r="10431" spans="38:38" x14ac:dyDescent="0.25">
      <c r="AL10431" s="6"/>
    </row>
    <row r="10432" spans="38:38" x14ac:dyDescent="0.25">
      <c r="AL10432" s="6"/>
    </row>
    <row r="10433" spans="38:38" x14ac:dyDescent="0.25">
      <c r="AL10433" s="6"/>
    </row>
    <row r="10434" spans="38:38" x14ac:dyDescent="0.25">
      <c r="AL10434" s="6"/>
    </row>
    <row r="10435" spans="38:38" x14ac:dyDescent="0.25">
      <c r="AL10435" s="6"/>
    </row>
    <row r="10436" spans="38:38" x14ac:dyDescent="0.25">
      <c r="AL10436" s="6"/>
    </row>
    <row r="10437" spans="38:38" x14ac:dyDescent="0.25">
      <c r="AL10437" s="6"/>
    </row>
    <row r="10438" spans="38:38" x14ac:dyDescent="0.25">
      <c r="AL10438" s="6"/>
    </row>
    <row r="10439" spans="38:38" x14ac:dyDescent="0.25">
      <c r="AL10439" s="6"/>
    </row>
    <row r="10440" spans="38:38" x14ac:dyDescent="0.25">
      <c r="AL10440" s="6"/>
    </row>
    <row r="10441" spans="38:38" x14ac:dyDescent="0.25">
      <c r="AL10441" s="6"/>
    </row>
    <row r="10442" spans="38:38" x14ac:dyDescent="0.25">
      <c r="AL10442" s="6"/>
    </row>
    <row r="10443" spans="38:38" x14ac:dyDescent="0.25">
      <c r="AL10443" s="6"/>
    </row>
    <row r="10444" spans="38:38" x14ac:dyDescent="0.25">
      <c r="AL10444" s="6"/>
    </row>
    <row r="10445" spans="38:38" x14ac:dyDescent="0.25">
      <c r="AL10445" s="6"/>
    </row>
    <row r="10446" spans="38:38" x14ac:dyDescent="0.25">
      <c r="AL10446" s="6"/>
    </row>
    <row r="10447" spans="38:38" x14ac:dyDescent="0.25">
      <c r="AL10447" s="6"/>
    </row>
    <row r="10448" spans="38:38" x14ac:dyDescent="0.25">
      <c r="AL10448" s="6"/>
    </row>
    <row r="10449" spans="38:38" x14ac:dyDescent="0.25">
      <c r="AL10449" s="6"/>
    </row>
    <row r="10450" spans="38:38" x14ac:dyDescent="0.25">
      <c r="AL10450" s="6"/>
    </row>
    <row r="10451" spans="38:38" x14ac:dyDescent="0.25">
      <c r="AL10451" s="6"/>
    </row>
    <row r="10452" spans="38:38" x14ac:dyDescent="0.25">
      <c r="AL10452" s="6"/>
    </row>
    <row r="10453" spans="38:38" x14ac:dyDescent="0.25">
      <c r="AL10453" s="6"/>
    </row>
    <row r="10454" spans="38:38" x14ac:dyDescent="0.25">
      <c r="AL10454" s="6"/>
    </row>
    <row r="10455" spans="38:38" x14ac:dyDescent="0.25">
      <c r="AL10455" s="6"/>
    </row>
    <row r="10456" spans="38:38" x14ac:dyDescent="0.25">
      <c r="AL10456" s="6"/>
    </row>
    <row r="10457" spans="38:38" x14ac:dyDescent="0.25">
      <c r="AL10457" s="6"/>
    </row>
    <row r="10458" spans="38:38" x14ac:dyDescent="0.25">
      <c r="AL10458" s="6"/>
    </row>
    <row r="10459" spans="38:38" x14ac:dyDescent="0.25">
      <c r="AL10459" s="6"/>
    </row>
    <row r="10460" spans="38:38" x14ac:dyDescent="0.25">
      <c r="AL10460" s="6"/>
    </row>
    <row r="10461" spans="38:38" x14ac:dyDescent="0.25">
      <c r="AL10461" s="6"/>
    </row>
    <row r="10462" spans="38:38" x14ac:dyDescent="0.25">
      <c r="AL10462" s="6"/>
    </row>
    <row r="10463" spans="38:38" x14ac:dyDescent="0.25">
      <c r="AL10463" s="6"/>
    </row>
    <row r="10464" spans="38:38" x14ac:dyDescent="0.25">
      <c r="AL10464" s="6"/>
    </row>
    <row r="10465" spans="38:38" x14ac:dyDescent="0.25">
      <c r="AL10465" s="6"/>
    </row>
    <row r="10466" spans="38:38" x14ac:dyDescent="0.25">
      <c r="AL10466" s="6"/>
    </row>
    <row r="10467" spans="38:38" x14ac:dyDescent="0.25">
      <c r="AL10467" s="6"/>
    </row>
    <row r="10468" spans="38:38" x14ac:dyDescent="0.25">
      <c r="AL10468" s="6"/>
    </row>
    <row r="10469" spans="38:38" x14ac:dyDescent="0.25">
      <c r="AL10469" s="6"/>
    </row>
    <row r="10470" spans="38:38" x14ac:dyDescent="0.25">
      <c r="AL10470" s="6"/>
    </row>
    <row r="10471" spans="38:38" x14ac:dyDescent="0.25">
      <c r="AL10471" s="6"/>
    </row>
    <row r="10472" spans="38:38" x14ac:dyDescent="0.25">
      <c r="AL10472" s="6"/>
    </row>
    <row r="10473" spans="38:38" x14ac:dyDescent="0.25">
      <c r="AL10473" s="6"/>
    </row>
    <row r="10474" spans="38:38" x14ac:dyDescent="0.25">
      <c r="AL10474" s="6"/>
    </row>
    <row r="10475" spans="38:38" x14ac:dyDescent="0.25">
      <c r="AL10475" s="6"/>
    </row>
    <row r="10476" spans="38:38" x14ac:dyDescent="0.25">
      <c r="AL10476" s="6"/>
    </row>
    <row r="10477" spans="38:38" x14ac:dyDescent="0.25">
      <c r="AL10477" s="6"/>
    </row>
    <row r="10478" spans="38:38" x14ac:dyDescent="0.25">
      <c r="AL10478" s="6"/>
    </row>
    <row r="10479" spans="38:38" x14ac:dyDescent="0.25">
      <c r="AL10479" s="6"/>
    </row>
    <row r="10480" spans="38:38" x14ac:dyDescent="0.25">
      <c r="AL10480" s="6"/>
    </row>
    <row r="10481" spans="38:38" x14ac:dyDescent="0.25">
      <c r="AL10481" s="6"/>
    </row>
    <row r="10482" spans="38:38" x14ac:dyDescent="0.25">
      <c r="AL10482" s="6"/>
    </row>
    <row r="10483" spans="38:38" x14ac:dyDescent="0.25">
      <c r="AL10483" s="6"/>
    </row>
    <row r="10484" spans="38:38" x14ac:dyDescent="0.25">
      <c r="AL10484" s="6"/>
    </row>
    <row r="10485" spans="38:38" x14ac:dyDescent="0.25">
      <c r="AL10485" s="6"/>
    </row>
    <row r="10486" spans="38:38" x14ac:dyDescent="0.25">
      <c r="AL10486" s="6"/>
    </row>
    <row r="10487" spans="38:38" x14ac:dyDescent="0.25">
      <c r="AL10487" s="6"/>
    </row>
    <row r="10488" spans="38:38" x14ac:dyDescent="0.25">
      <c r="AL10488" s="6"/>
    </row>
    <row r="10489" spans="38:38" x14ac:dyDescent="0.25">
      <c r="AL10489" s="6"/>
    </row>
    <row r="10490" spans="38:38" x14ac:dyDescent="0.25">
      <c r="AL10490" s="6"/>
    </row>
    <row r="10491" spans="38:38" x14ac:dyDescent="0.25">
      <c r="AL10491" s="6"/>
    </row>
    <row r="10492" spans="38:38" x14ac:dyDescent="0.25">
      <c r="AL10492" s="6"/>
    </row>
    <row r="10493" spans="38:38" x14ac:dyDescent="0.25">
      <c r="AL10493" s="6"/>
    </row>
    <row r="10494" spans="38:38" x14ac:dyDescent="0.25">
      <c r="AL10494" s="6"/>
    </row>
    <row r="10495" spans="38:38" x14ac:dyDescent="0.25">
      <c r="AL10495" s="6"/>
    </row>
    <row r="10496" spans="38:38" x14ac:dyDescent="0.25">
      <c r="AL10496" s="6"/>
    </row>
    <row r="10497" spans="38:38" x14ac:dyDescent="0.25">
      <c r="AL10497" s="6"/>
    </row>
    <row r="10498" spans="38:38" x14ac:dyDescent="0.25">
      <c r="AL10498" s="6"/>
    </row>
    <row r="10499" spans="38:38" x14ac:dyDescent="0.25">
      <c r="AL10499" s="6"/>
    </row>
    <row r="10500" spans="38:38" x14ac:dyDescent="0.25">
      <c r="AL10500" s="6"/>
    </row>
    <row r="10501" spans="38:38" x14ac:dyDescent="0.25">
      <c r="AL10501" s="6"/>
    </row>
    <row r="10502" spans="38:38" x14ac:dyDescent="0.25">
      <c r="AL10502" s="6"/>
    </row>
    <row r="10503" spans="38:38" x14ac:dyDescent="0.25">
      <c r="AL10503" s="6"/>
    </row>
    <row r="10504" spans="38:38" x14ac:dyDescent="0.25">
      <c r="AL10504" s="6"/>
    </row>
    <row r="10505" spans="38:38" x14ac:dyDescent="0.25">
      <c r="AL10505" s="6"/>
    </row>
    <row r="10506" spans="38:38" x14ac:dyDescent="0.25">
      <c r="AL10506" s="6"/>
    </row>
    <row r="10507" spans="38:38" x14ac:dyDescent="0.25">
      <c r="AL10507" s="6"/>
    </row>
    <row r="10508" spans="38:38" x14ac:dyDescent="0.25">
      <c r="AL10508" s="6"/>
    </row>
    <row r="10509" spans="38:38" x14ac:dyDescent="0.25">
      <c r="AL10509" s="6"/>
    </row>
    <row r="10510" spans="38:38" x14ac:dyDescent="0.25">
      <c r="AL10510" s="6"/>
    </row>
    <row r="10511" spans="38:38" x14ac:dyDescent="0.25">
      <c r="AL10511" s="6"/>
    </row>
    <row r="10512" spans="38:38" x14ac:dyDescent="0.25">
      <c r="AL10512" s="6"/>
    </row>
    <row r="10513" spans="38:38" x14ac:dyDescent="0.25">
      <c r="AL10513" s="6"/>
    </row>
    <row r="10514" spans="38:38" x14ac:dyDescent="0.25">
      <c r="AL10514" s="6"/>
    </row>
    <row r="10515" spans="38:38" x14ac:dyDescent="0.25">
      <c r="AL10515" s="6"/>
    </row>
    <row r="10516" spans="38:38" x14ac:dyDescent="0.25">
      <c r="AL10516" s="6"/>
    </row>
    <row r="10517" spans="38:38" x14ac:dyDescent="0.25">
      <c r="AL10517" s="6"/>
    </row>
    <row r="10518" spans="38:38" x14ac:dyDescent="0.25">
      <c r="AL10518" s="6"/>
    </row>
    <row r="10519" spans="38:38" x14ac:dyDescent="0.25">
      <c r="AL10519" s="6"/>
    </row>
    <row r="10520" spans="38:38" x14ac:dyDescent="0.25">
      <c r="AL10520" s="6"/>
    </row>
    <row r="10521" spans="38:38" x14ac:dyDescent="0.25">
      <c r="AL10521" s="6"/>
    </row>
    <row r="10522" spans="38:38" x14ac:dyDescent="0.25">
      <c r="AL10522" s="6"/>
    </row>
    <row r="10523" spans="38:38" x14ac:dyDescent="0.25">
      <c r="AL10523" s="6"/>
    </row>
    <row r="10524" spans="38:38" x14ac:dyDescent="0.25">
      <c r="AL10524" s="6"/>
    </row>
    <row r="10525" spans="38:38" x14ac:dyDescent="0.25">
      <c r="AL10525" s="6"/>
    </row>
    <row r="10526" spans="38:38" x14ac:dyDescent="0.25">
      <c r="AL10526" s="6"/>
    </row>
    <row r="10527" spans="38:38" x14ac:dyDescent="0.25">
      <c r="AL10527" s="6"/>
    </row>
    <row r="10528" spans="38:38" x14ac:dyDescent="0.25">
      <c r="AL10528" s="6"/>
    </row>
    <row r="10529" spans="38:38" x14ac:dyDescent="0.25">
      <c r="AL10529" s="6"/>
    </row>
    <row r="10530" spans="38:38" x14ac:dyDescent="0.25">
      <c r="AL10530" s="6"/>
    </row>
    <row r="10531" spans="38:38" x14ac:dyDescent="0.25">
      <c r="AL10531" s="6"/>
    </row>
    <row r="10532" spans="38:38" x14ac:dyDescent="0.25">
      <c r="AL10532" s="6"/>
    </row>
    <row r="10533" spans="38:38" x14ac:dyDescent="0.25">
      <c r="AL10533" s="6"/>
    </row>
    <row r="10534" spans="38:38" x14ac:dyDescent="0.25">
      <c r="AL10534" s="6"/>
    </row>
    <row r="10535" spans="38:38" x14ac:dyDescent="0.25">
      <c r="AL10535" s="6"/>
    </row>
    <row r="10536" spans="38:38" x14ac:dyDescent="0.25">
      <c r="AL10536" s="6"/>
    </row>
    <row r="10537" spans="38:38" x14ac:dyDescent="0.25">
      <c r="AL10537" s="6"/>
    </row>
    <row r="10538" spans="38:38" x14ac:dyDescent="0.25">
      <c r="AL10538" s="6"/>
    </row>
    <row r="10539" spans="38:38" x14ac:dyDescent="0.25">
      <c r="AL10539" s="6"/>
    </row>
    <row r="10540" spans="38:38" x14ac:dyDescent="0.25">
      <c r="AL10540" s="6"/>
    </row>
    <row r="10541" spans="38:38" x14ac:dyDescent="0.25">
      <c r="AL10541" s="6"/>
    </row>
    <row r="10542" spans="38:38" x14ac:dyDescent="0.25">
      <c r="AL10542" s="6"/>
    </row>
    <row r="10543" spans="38:38" x14ac:dyDescent="0.25">
      <c r="AL10543" s="6"/>
    </row>
    <row r="10544" spans="38:38" x14ac:dyDescent="0.25">
      <c r="AL10544" s="6"/>
    </row>
    <row r="10545" spans="38:38" x14ac:dyDescent="0.25">
      <c r="AL10545" s="6"/>
    </row>
    <row r="10546" spans="38:38" x14ac:dyDescent="0.25">
      <c r="AL10546" s="6"/>
    </row>
    <row r="10547" spans="38:38" x14ac:dyDescent="0.25">
      <c r="AL10547" s="6"/>
    </row>
    <row r="10548" spans="38:38" x14ac:dyDescent="0.25">
      <c r="AL10548" s="6"/>
    </row>
    <row r="10549" spans="38:38" x14ac:dyDescent="0.25">
      <c r="AL10549" s="6"/>
    </row>
    <row r="10550" spans="38:38" x14ac:dyDescent="0.25">
      <c r="AL10550" s="6"/>
    </row>
    <row r="10551" spans="38:38" x14ac:dyDescent="0.25">
      <c r="AL10551" s="6"/>
    </row>
    <row r="10552" spans="38:38" x14ac:dyDescent="0.25">
      <c r="AL10552" s="6"/>
    </row>
    <row r="10553" spans="38:38" x14ac:dyDescent="0.25">
      <c r="AL10553" s="6"/>
    </row>
    <row r="10554" spans="38:38" x14ac:dyDescent="0.25">
      <c r="AL10554" s="6"/>
    </row>
    <row r="10555" spans="38:38" x14ac:dyDescent="0.25">
      <c r="AL10555" s="6"/>
    </row>
    <row r="10556" spans="38:38" x14ac:dyDescent="0.25">
      <c r="AL10556" s="6"/>
    </row>
    <row r="10557" spans="38:38" x14ac:dyDescent="0.25">
      <c r="AL10557" s="6"/>
    </row>
    <row r="10558" spans="38:38" x14ac:dyDescent="0.25">
      <c r="AL10558" s="6"/>
    </row>
    <row r="10559" spans="38:38" x14ac:dyDescent="0.25">
      <c r="AL10559" s="6"/>
    </row>
    <row r="10560" spans="38:38" x14ac:dyDescent="0.25">
      <c r="AL10560" s="6"/>
    </row>
    <row r="10561" spans="38:38" x14ac:dyDescent="0.25">
      <c r="AL10561" s="6"/>
    </row>
    <row r="10562" spans="38:38" x14ac:dyDescent="0.25">
      <c r="AL10562" s="6"/>
    </row>
    <row r="10563" spans="38:38" x14ac:dyDescent="0.25">
      <c r="AL10563" s="6"/>
    </row>
    <row r="10564" spans="38:38" x14ac:dyDescent="0.25">
      <c r="AL10564" s="6"/>
    </row>
    <row r="10565" spans="38:38" x14ac:dyDescent="0.25">
      <c r="AL10565" s="6"/>
    </row>
    <row r="10566" spans="38:38" x14ac:dyDescent="0.25">
      <c r="AL10566" s="6"/>
    </row>
    <row r="10567" spans="38:38" x14ac:dyDescent="0.25">
      <c r="AL10567" s="6"/>
    </row>
    <row r="10568" spans="38:38" x14ac:dyDescent="0.25">
      <c r="AL10568" s="6"/>
    </row>
    <row r="10569" spans="38:38" x14ac:dyDescent="0.25">
      <c r="AL10569" s="6"/>
    </row>
    <row r="10570" spans="38:38" x14ac:dyDescent="0.25">
      <c r="AL10570" s="6"/>
    </row>
    <row r="10571" spans="38:38" x14ac:dyDescent="0.25">
      <c r="AL10571" s="6"/>
    </row>
    <row r="10572" spans="38:38" x14ac:dyDescent="0.25">
      <c r="AL10572" s="6"/>
    </row>
    <row r="10573" spans="38:38" x14ac:dyDescent="0.25">
      <c r="AL10573" s="6"/>
    </row>
    <row r="10574" spans="38:38" x14ac:dyDescent="0.25">
      <c r="AL10574" s="6"/>
    </row>
    <row r="10575" spans="38:38" x14ac:dyDescent="0.25">
      <c r="AL10575" s="6"/>
    </row>
    <row r="10576" spans="38:38" x14ac:dyDescent="0.25">
      <c r="AL10576" s="6"/>
    </row>
    <row r="10577" spans="38:38" x14ac:dyDescent="0.25">
      <c r="AL10577" s="6"/>
    </row>
    <row r="10578" spans="38:38" x14ac:dyDescent="0.25">
      <c r="AL10578" s="6"/>
    </row>
    <row r="10579" spans="38:38" x14ac:dyDescent="0.25">
      <c r="AL10579" s="6"/>
    </row>
    <row r="10580" spans="38:38" x14ac:dyDescent="0.25">
      <c r="AL10580" s="6"/>
    </row>
    <row r="10581" spans="38:38" x14ac:dyDescent="0.25">
      <c r="AL10581" s="6"/>
    </row>
    <row r="10582" spans="38:38" x14ac:dyDescent="0.25">
      <c r="AL10582" s="6"/>
    </row>
    <row r="10583" spans="38:38" x14ac:dyDescent="0.25">
      <c r="AL10583" s="6"/>
    </row>
    <row r="10584" spans="38:38" x14ac:dyDescent="0.25">
      <c r="AL10584" s="6"/>
    </row>
    <row r="10585" spans="38:38" x14ac:dyDescent="0.25">
      <c r="AL10585" s="6"/>
    </row>
    <row r="10586" spans="38:38" x14ac:dyDescent="0.25">
      <c r="AL10586" s="6"/>
    </row>
    <row r="10587" spans="38:38" x14ac:dyDescent="0.25">
      <c r="AL10587" s="6"/>
    </row>
    <row r="10588" spans="38:38" x14ac:dyDescent="0.25">
      <c r="AL10588" s="6"/>
    </row>
    <row r="10589" spans="38:38" x14ac:dyDescent="0.25">
      <c r="AL10589" s="6"/>
    </row>
    <row r="10590" spans="38:38" x14ac:dyDescent="0.25">
      <c r="AL10590" s="6"/>
    </row>
    <row r="10591" spans="38:38" x14ac:dyDescent="0.25">
      <c r="AL10591" s="6"/>
    </row>
    <row r="10592" spans="38:38" x14ac:dyDescent="0.25">
      <c r="AL10592" s="6"/>
    </row>
    <row r="10593" spans="38:38" x14ac:dyDescent="0.25">
      <c r="AL10593" s="6"/>
    </row>
    <row r="10594" spans="38:38" x14ac:dyDescent="0.25">
      <c r="AL10594" s="6"/>
    </row>
    <row r="10595" spans="38:38" x14ac:dyDescent="0.25">
      <c r="AL10595" s="6"/>
    </row>
    <row r="10596" spans="38:38" x14ac:dyDescent="0.25">
      <c r="AL10596" s="6"/>
    </row>
    <row r="10597" spans="38:38" x14ac:dyDescent="0.25">
      <c r="AL10597" s="6"/>
    </row>
    <row r="10598" spans="38:38" x14ac:dyDescent="0.25">
      <c r="AL10598" s="6"/>
    </row>
    <row r="10599" spans="38:38" x14ac:dyDescent="0.25">
      <c r="AL10599" s="6"/>
    </row>
    <row r="10600" spans="38:38" x14ac:dyDescent="0.25">
      <c r="AL10600" s="6"/>
    </row>
    <row r="10601" spans="38:38" x14ac:dyDescent="0.25">
      <c r="AL10601" s="6"/>
    </row>
    <row r="10602" spans="38:38" x14ac:dyDescent="0.25">
      <c r="AL10602" s="6"/>
    </row>
    <row r="10603" spans="38:38" x14ac:dyDescent="0.25">
      <c r="AL10603" s="6"/>
    </row>
    <row r="10604" spans="38:38" x14ac:dyDescent="0.25">
      <c r="AL10604" s="6"/>
    </row>
    <row r="10605" spans="38:38" x14ac:dyDescent="0.25">
      <c r="AL10605" s="6"/>
    </row>
    <row r="10606" spans="38:38" x14ac:dyDescent="0.25">
      <c r="AL10606" s="6"/>
    </row>
    <row r="10607" spans="38:38" x14ac:dyDescent="0.25">
      <c r="AL10607" s="6"/>
    </row>
    <row r="10608" spans="38:38" x14ac:dyDescent="0.25">
      <c r="AL10608" s="6"/>
    </row>
    <row r="10609" spans="38:38" x14ac:dyDescent="0.25">
      <c r="AL10609" s="6"/>
    </row>
    <row r="10610" spans="38:38" x14ac:dyDescent="0.25">
      <c r="AL10610" s="6"/>
    </row>
    <row r="10611" spans="38:38" x14ac:dyDescent="0.25">
      <c r="AL10611" s="6"/>
    </row>
    <row r="10612" spans="38:38" x14ac:dyDescent="0.25">
      <c r="AL10612" s="6"/>
    </row>
    <row r="10613" spans="38:38" x14ac:dyDescent="0.25">
      <c r="AL10613" s="6"/>
    </row>
    <row r="10614" spans="38:38" x14ac:dyDescent="0.25">
      <c r="AL10614" s="6"/>
    </row>
    <row r="10615" spans="38:38" x14ac:dyDescent="0.25">
      <c r="AL10615" s="6"/>
    </row>
    <row r="10616" spans="38:38" x14ac:dyDescent="0.25">
      <c r="AL10616" s="6"/>
    </row>
    <row r="10617" spans="38:38" x14ac:dyDescent="0.25">
      <c r="AL10617" s="6"/>
    </row>
    <row r="10618" spans="38:38" x14ac:dyDescent="0.25">
      <c r="AL10618" s="6"/>
    </row>
    <row r="10619" spans="38:38" x14ac:dyDescent="0.25">
      <c r="AL10619" s="6"/>
    </row>
    <row r="10620" spans="38:38" x14ac:dyDescent="0.25">
      <c r="AL10620" s="6"/>
    </row>
    <row r="10621" spans="38:38" x14ac:dyDescent="0.25">
      <c r="AL10621" s="6"/>
    </row>
    <row r="10622" spans="38:38" x14ac:dyDescent="0.25">
      <c r="AL10622" s="6"/>
    </row>
    <row r="10623" spans="38:38" x14ac:dyDescent="0.25">
      <c r="AL10623" s="6"/>
    </row>
    <row r="10624" spans="38:38" x14ac:dyDescent="0.25">
      <c r="AL10624" s="6"/>
    </row>
    <row r="10625" spans="38:38" x14ac:dyDescent="0.25">
      <c r="AL10625" s="6"/>
    </row>
    <row r="10626" spans="38:38" x14ac:dyDescent="0.25">
      <c r="AL10626" s="6"/>
    </row>
    <row r="10627" spans="38:38" x14ac:dyDescent="0.25">
      <c r="AL10627" s="6"/>
    </row>
    <row r="10628" spans="38:38" x14ac:dyDescent="0.25">
      <c r="AL10628" s="6"/>
    </row>
    <row r="10629" spans="38:38" x14ac:dyDescent="0.25">
      <c r="AL10629" s="6"/>
    </row>
    <row r="10630" spans="38:38" x14ac:dyDescent="0.25">
      <c r="AL10630" s="6"/>
    </row>
    <row r="10631" spans="38:38" x14ac:dyDescent="0.25">
      <c r="AL10631" s="6"/>
    </row>
    <row r="10632" spans="38:38" x14ac:dyDescent="0.25">
      <c r="AL10632" s="6"/>
    </row>
    <row r="10633" spans="38:38" x14ac:dyDescent="0.25">
      <c r="AL10633" s="6"/>
    </row>
    <row r="10634" spans="38:38" x14ac:dyDescent="0.25">
      <c r="AL10634" s="6"/>
    </row>
    <row r="10635" spans="38:38" x14ac:dyDescent="0.25">
      <c r="AL10635" s="6"/>
    </row>
    <row r="10636" spans="38:38" x14ac:dyDescent="0.25">
      <c r="AL10636" s="6"/>
    </row>
    <row r="10637" spans="38:38" x14ac:dyDescent="0.25">
      <c r="AL10637" s="6"/>
    </row>
    <row r="10638" spans="38:38" x14ac:dyDescent="0.25">
      <c r="AL10638" s="6"/>
    </row>
    <row r="10639" spans="38:38" x14ac:dyDescent="0.25">
      <c r="AL10639" s="6"/>
    </row>
    <row r="10640" spans="38:38" x14ac:dyDescent="0.25">
      <c r="AL10640" s="6"/>
    </row>
    <row r="10641" spans="38:38" x14ac:dyDescent="0.25">
      <c r="AL10641" s="6"/>
    </row>
    <row r="10642" spans="38:38" x14ac:dyDescent="0.25">
      <c r="AL10642" s="6"/>
    </row>
    <row r="10643" spans="38:38" x14ac:dyDescent="0.25">
      <c r="AL10643" s="6"/>
    </row>
    <row r="10644" spans="38:38" x14ac:dyDescent="0.25">
      <c r="AL10644" s="6"/>
    </row>
    <row r="10645" spans="38:38" x14ac:dyDescent="0.25">
      <c r="AL10645" s="6"/>
    </row>
    <row r="10646" spans="38:38" x14ac:dyDescent="0.25">
      <c r="AL10646" s="6"/>
    </row>
    <row r="10647" spans="38:38" x14ac:dyDescent="0.25">
      <c r="AL10647" s="6"/>
    </row>
    <row r="10648" spans="38:38" x14ac:dyDescent="0.25">
      <c r="AL10648" s="6"/>
    </row>
    <row r="10649" spans="38:38" x14ac:dyDescent="0.25">
      <c r="AL10649" s="6"/>
    </row>
    <row r="10650" spans="38:38" x14ac:dyDescent="0.25">
      <c r="AL10650" s="6"/>
    </row>
    <row r="10651" spans="38:38" x14ac:dyDescent="0.25">
      <c r="AL10651" s="6"/>
    </row>
    <row r="10652" spans="38:38" x14ac:dyDescent="0.25">
      <c r="AL10652" s="6"/>
    </row>
    <row r="10653" spans="38:38" x14ac:dyDescent="0.25">
      <c r="AL10653" s="6"/>
    </row>
    <row r="10654" spans="38:38" x14ac:dyDescent="0.25">
      <c r="AL10654" s="6"/>
    </row>
    <row r="10655" spans="38:38" x14ac:dyDescent="0.25">
      <c r="AL10655" s="6"/>
    </row>
    <row r="10656" spans="38:38" x14ac:dyDescent="0.25">
      <c r="AL10656" s="6"/>
    </row>
    <row r="10657" spans="38:38" x14ac:dyDescent="0.25">
      <c r="AL10657" s="6"/>
    </row>
    <row r="10658" spans="38:38" x14ac:dyDescent="0.25">
      <c r="AL10658" s="6"/>
    </row>
    <row r="10659" spans="38:38" x14ac:dyDescent="0.25">
      <c r="AL10659" s="6"/>
    </row>
    <row r="10660" spans="38:38" x14ac:dyDescent="0.25">
      <c r="AL10660" s="6"/>
    </row>
    <row r="10661" spans="38:38" x14ac:dyDescent="0.25">
      <c r="AL10661" s="6"/>
    </row>
    <row r="10662" spans="38:38" x14ac:dyDescent="0.25">
      <c r="AL10662" s="6"/>
    </row>
    <row r="10663" spans="38:38" x14ac:dyDescent="0.25">
      <c r="AL10663" s="6"/>
    </row>
    <row r="10664" spans="38:38" x14ac:dyDescent="0.25">
      <c r="AL10664" s="6"/>
    </row>
    <row r="10665" spans="38:38" x14ac:dyDescent="0.25">
      <c r="AL10665" s="6"/>
    </row>
    <row r="10666" spans="38:38" x14ac:dyDescent="0.25">
      <c r="AL10666" s="6"/>
    </row>
    <row r="10667" spans="38:38" x14ac:dyDescent="0.25">
      <c r="AL10667" s="6"/>
    </row>
    <row r="10668" spans="38:38" x14ac:dyDescent="0.25">
      <c r="AL10668" s="6"/>
    </row>
    <row r="10669" spans="38:38" x14ac:dyDescent="0.25">
      <c r="AL10669" s="6"/>
    </row>
    <row r="10670" spans="38:38" x14ac:dyDescent="0.25">
      <c r="AL10670" s="6"/>
    </row>
    <row r="10671" spans="38:38" x14ac:dyDescent="0.25">
      <c r="AL10671" s="6"/>
    </row>
    <row r="10672" spans="38:38" x14ac:dyDescent="0.25">
      <c r="AL10672" s="6"/>
    </row>
    <row r="10673" spans="38:38" x14ac:dyDescent="0.25">
      <c r="AL10673" s="6"/>
    </row>
    <row r="10674" spans="38:38" x14ac:dyDescent="0.25">
      <c r="AL10674" s="6"/>
    </row>
    <row r="10675" spans="38:38" x14ac:dyDescent="0.25">
      <c r="AL10675" s="6"/>
    </row>
    <row r="10676" spans="38:38" x14ac:dyDescent="0.25">
      <c r="AL10676" s="6"/>
    </row>
    <row r="10677" spans="38:38" x14ac:dyDescent="0.25">
      <c r="AL10677" s="6"/>
    </row>
    <row r="10678" spans="38:38" x14ac:dyDescent="0.25">
      <c r="AL10678" s="6"/>
    </row>
    <row r="10679" spans="38:38" x14ac:dyDescent="0.25">
      <c r="AL10679" s="6"/>
    </row>
    <row r="10680" spans="38:38" x14ac:dyDescent="0.25">
      <c r="AL10680" s="6"/>
    </row>
    <row r="10681" spans="38:38" x14ac:dyDescent="0.25">
      <c r="AL10681" s="6"/>
    </row>
    <row r="10682" spans="38:38" x14ac:dyDescent="0.25">
      <c r="AL10682" s="6"/>
    </row>
    <row r="10683" spans="38:38" x14ac:dyDescent="0.25">
      <c r="AL10683" s="6"/>
    </row>
    <row r="10684" spans="38:38" x14ac:dyDescent="0.25">
      <c r="AL10684" s="6"/>
    </row>
    <row r="10685" spans="38:38" x14ac:dyDescent="0.25">
      <c r="AL10685" s="6"/>
    </row>
    <row r="10686" spans="38:38" x14ac:dyDescent="0.25">
      <c r="AL10686" s="6"/>
    </row>
    <row r="10687" spans="38:38" x14ac:dyDescent="0.25">
      <c r="AL10687" s="6"/>
    </row>
    <row r="10688" spans="38:38" x14ac:dyDescent="0.25">
      <c r="AL10688" s="6"/>
    </row>
    <row r="10689" spans="38:38" x14ac:dyDescent="0.25">
      <c r="AL10689" s="6"/>
    </row>
    <row r="10690" spans="38:38" x14ac:dyDescent="0.25">
      <c r="AL10690" s="6"/>
    </row>
    <row r="10691" spans="38:38" x14ac:dyDescent="0.25">
      <c r="AL10691" s="6"/>
    </row>
    <row r="10692" spans="38:38" x14ac:dyDescent="0.25">
      <c r="AL10692" s="6"/>
    </row>
    <row r="10693" spans="38:38" x14ac:dyDescent="0.25">
      <c r="AL10693" s="6"/>
    </row>
    <row r="10694" spans="38:38" x14ac:dyDescent="0.25">
      <c r="AL10694" s="6"/>
    </row>
    <row r="10695" spans="38:38" x14ac:dyDescent="0.25">
      <c r="AL10695" s="6"/>
    </row>
    <row r="10696" spans="38:38" x14ac:dyDescent="0.25">
      <c r="AL10696" s="6"/>
    </row>
    <row r="10697" spans="38:38" x14ac:dyDescent="0.25">
      <c r="AL10697" s="6"/>
    </row>
    <row r="10698" spans="38:38" x14ac:dyDescent="0.25">
      <c r="AL10698" s="6"/>
    </row>
    <row r="10699" spans="38:38" x14ac:dyDescent="0.25">
      <c r="AL10699" s="6"/>
    </row>
    <row r="10700" spans="38:38" x14ac:dyDescent="0.25">
      <c r="AL10700" s="6"/>
    </row>
    <row r="10701" spans="38:38" x14ac:dyDescent="0.25">
      <c r="AL10701" s="6"/>
    </row>
    <row r="10702" spans="38:38" x14ac:dyDescent="0.25">
      <c r="AL10702" s="6"/>
    </row>
    <row r="10703" spans="38:38" x14ac:dyDescent="0.25">
      <c r="AL10703" s="6"/>
    </row>
    <row r="10704" spans="38:38" x14ac:dyDescent="0.25">
      <c r="AL10704" s="6"/>
    </row>
    <row r="10705" spans="38:38" x14ac:dyDescent="0.25">
      <c r="AL10705" s="6"/>
    </row>
    <row r="10706" spans="38:38" x14ac:dyDescent="0.25">
      <c r="AL10706" s="6"/>
    </row>
    <row r="10707" spans="38:38" x14ac:dyDescent="0.25">
      <c r="AL10707" s="6"/>
    </row>
    <row r="10708" spans="38:38" x14ac:dyDescent="0.25">
      <c r="AL10708" s="6"/>
    </row>
    <row r="10709" spans="38:38" x14ac:dyDescent="0.25">
      <c r="AL10709" s="6"/>
    </row>
    <row r="10710" spans="38:38" x14ac:dyDescent="0.25">
      <c r="AL10710" s="6"/>
    </row>
    <row r="10711" spans="38:38" x14ac:dyDescent="0.25">
      <c r="AL10711" s="6"/>
    </row>
    <row r="10712" spans="38:38" x14ac:dyDescent="0.25">
      <c r="AL10712" s="6"/>
    </row>
    <row r="10713" spans="38:38" x14ac:dyDescent="0.25">
      <c r="AL10713" s="6"/>
    </row>
    <row r="10714" spans="38:38" x14ac:dyDescent="0.25">
      <c r="AL10714" s="6"/>
    </row>
    <row r="10715" spans="38:38" x14ac:dyDescent="0.25">
      <c r="AL10715" s="6"/>
    </row>
    <row r="10716" spans="38:38" x14ac:dyDescent="0.25">
      <c r="AL10716" s="6"/>
    </row>
    <row r="10717" spans="38:38" x14ac:dyDescent="0.25">
      <c r="AL10717" s="6"/>
    </row>
    <row r="10718" spans="38:38" x14ac:dyDescent="0.25">
      <c r="AL10718" s="6"/>
    </row>
    <row r="10719" spans="38:38" x14ac:dyDescent="0.25">
      <c r="AL10719" s="6"/>
    </row>
    <row r="10720" spans="38:38" x14ac:dyDescent="0.25">
      <c r="AL10720" s="6"/>
    </row>
    <row r="10721" spans="38:38" x14ac:dyDescent="0.25">
      <c r="AL10721" s="6"/>
    </row>
    <row r="10722" spans="38:38" x14ac:dyDescent="0.25">
      <c r="AL10722" s="6"/>
    </row>
    <row r="10723" spans="38:38" x14ac:dyDescent="0.25">
      <c r="AL10723" s="6"/>
    </row>
    <row r="10724" spans="38:38" x14ac:dyDescent="0.25">
      <c r="AL10724" s="6"/>
    </row>
    <row r="10725" spans="38:38" x14ac:dyDescent="0.25">
      <c r="AL10725" s="6"/>
    </row>
    <row r="10726" spans="38:38" x14ac:dyDescent="0.25">
      <c r="AL10726" s="6"/>
    </row>
    <row r="10727" spans="38:38" x14ac:dyDescent="0.25">
      <c r="AL10727" s="6"/>
    </row>
    <row r="10728" spans="38:38" x14ac:dyDescent="0.25">
      <c r="AL10728" s="6"/>
    </row>
    <row r="10729" spans="38:38" x14ac:dyDescent="0.25">
      <c r="AL10729" s="6"/>
    </row>
    <row r="10730" spans="38:38" x14ac:dyDescent="0.25">
      <c r="AL10730" s="6"/>
    </row>
    <row r="10731" spans="38:38" x14ac:dyDescent="0.25">
      <c r="AL10731" s="6"/>
    </row>
    <row r="10732" spans="38:38" x14ac:dyDescent="0.25">
      <c r="AL10732" s="6"/>
    </row>
    <row r="10733" spans="38:38" x14ac:dyDescent="0.25">
      <c r="AL10733" s="6"/>
    </row>
    <row r="10734" spans="38:38" x14ac:dyDescent="0.25">
      <c r="AL10734" s="6"/>
    </row>
    <row r="10735" spans="38:38" x14ac:dyDescent="0.25">
      <c r="AL10735" s="6"/>
    </row>
    <row r="10736" spans="38:38" x14ac:dyDescent="0.25">
      <c r="AL10736" s="6"/>
    </row>
    <row r="10737" spans="38:38" x14ac:dyDescent="0.25">
      <c r="AL10737" s="6"/>
    </row>
    <row r="10738" spans="38:38" x14ac:dyDescent="0.25">
      <c r="AL10738" s="6"/>
    </row>
    <row r="10739" spans="38:38" x14ac:dyDescent="0.25">
      <c r="AL10739" s="6"/>
    </row>
    <row r="10740" spans="38:38" x14ac:dyDescent="0.25">
      <c r="AL10740" s="6"/>
    </row>
    <row r="10741" spans="38:38" x14ac:dyDescent="0.25">
      <c r="AL10741" s="6"/>
    </row>
    <row r="10742" spans="38:38" x14ac:dyDescent="0.25">
      <c r="AL10742" s="6"/>
    </row>
    <row r="10743" spans="38:38" x14ac:dyDescent="0.25">
      <c r="AL10743" s="6"/>
    </row>
    <row r="10744" spans="38:38" x14ac:dyDescent="0.25">
      <c r="AL10744" s="6"/>
    </row>
    <row r="10745" spans="38:38" x14ac:dyDescent="0.25">
      <c r="AL10745" s="6"/>
    </row>
    <row r="10746" spans="38:38" x14ac:dyDescent="0.25">
      <c r="AL10746" s="6"/>
    </row>
    <row r="10747" spans="38:38" x14ac:dyDescent="0.25">
      <c r="AL10747" s="6"/>
    </row>
    <row r="10748" spans="38:38" x14ac:dyDescent="0.25">
      <c r="AL10748" s="6"/>
    </row>
    <row r="10749" spans="38:38" x14ac:dyDescent="0.25">
      <c r="AL10749" s="6"/>
    </row>
    <row r="10750" spans="38:38" x14ac:dyDescent="0.25">
      <c r="AL10750" s="6"/>
    </row>
    <row r="10751" spans="38:38" x14ac:dyDescent="0.25">
      <c r="AL10751" s="6"/>
    </row>
    <row r="10752" spans="38:38" x14ac:dyDescent="0.25">
      <c r="AL10752" s="6"/>
    </row>
    <row r="10753" spans="38:38" x14ac:dyDescent="0.25">
      <c r="AL10753" s="6"/>
    </row>
    <row r="10754" spans="38:38" x14ac:dyDescent="0.25">
      <c r="AL10754" s="6"/>
    </row>
    <row r="10755" spans="38:38" x14ac:dyDescent="0.25">
      <c r="AL10755" s="6"/>
    </row>
    <row r="10756" spans="38:38" x14ac:dyDescent="0.25">
      <c r="AL10756" s="6"/>
    </row>
    <row r="10757" spans="38:38" x14ac:dyDescent="0.25">
      <c r="AL10757" s="6"/>
    </row>
    <row r="10758" spans="38:38" x14ac:dyDescent="0.25">
      <c r="AL10758" s="6"/>
    </row>
    <row r="10759" spans="38:38" x14ac:dyDescent="0.25">
      <c r="AL10759" s="6"/>
    </row>
    <row r="10760" spans="38:38" x14ac:dyDescent="0.25">
      <c r="AL10760" s="6"/>
    </row>
    <row r="10761" spans="38:38" x14ac:dyDescent="0.25">
      <c r="AL10761" s="6"/>
    </row>
    <row r="10762" spans="38:38" x14ac:dyDescent="0.25">
      <c r="AL10762" s="6"/>
    </row>
    <row r="10763" spans="38:38" x14ac:dyDescent="0.25">
      <c r="AL10763" s="6"/>
    </row>
    <row r="10764" spans="38:38" x14ac:dyDescent="0.25">
      <c r="AL10764" s="6"/>
    </row>
    <row r="10765" spans="38:38" x14ac:dyDescent="0.25">
      <c r="AL10765" s="6"/>
    </row>
    <row r="10766" spans="38:38" x14ac:dyDescent="0.25">
      <c r="AL10766" s="6"/>
    </row>
    <row r="10767" spans="38:38" x14ac:dyDescent="0.25">
      <c r="AL10767" s="6"/>
    </row>
    <row r="10768" spans="38:38" x14ac:dyDescent="0.25">
      <c r="AL10768" s="6"/>
    </row>
    <row r="10769" spans="38:38" x14ac:dyDescent="0.25">
      <c r="AL10769" s="6"/>
    </row>
    <row r="10770" spans="38:38" x14ac:dyDescent="0.25">
      <c r="AL10770" s="6"/>
    </row>
    <row r="10771" spans="38:38" x14ac:dyDescent="0.25">
      <c r="AL10771" s="6"/>
    </row>
    <row r="10772" spans="38:38" x14ac:dyDescent="0.25">
      <c r="AL10772" s="6"/>
    </row>
    <row r="10773" spans="38:38" x14ac:dyDescent="0.25">
      <c r="AL10773" s="6"/>
    </row>
    <row r="10774" spans="38:38" x14ac:dyDescent="0.25">
      <c r="AL10774" s="6"/>
    </row>
    <row r="10775" spans="38:38" x14ac:dyDescent="0.25">
      <c r="AL10775" s="6"/>
    </row>
    <row r="10776" spans="38:38" x14ac:dyDescent="0.25">
      <c r="AL10776" s="6"/>
    </row>
    <row r="10777" spans="38:38" x14ac:dyDescent="0.25">
      <c r="AL10777" s="6"/>
    </row>
    <row r="10778" spans="38:38" x14ac:dyDescent="0.25">
      <c r="AL10778" s="6"/>
    </row>
    <row r="10779" spans="38:38" x14ac:dyDescent="0.25">
      <c r="AL10779" s="6"/>
    </row>
    <row r="10780" spans="38:38" x14ac:dyDescent="0.25">
      <c r="AL10780" s="6"/>
    </row>
    <row r="10781" spans="38:38" x14ac:dyDescent="0.25">
      <c r="AL10781" s="6"/>
    </row>
    <row r="10782" spans="38:38" x14ac:dyDescent="0.25">
      <c r="AL10782" s="6"/>
    </row>
    <row r="10783" spans="38:38" x14ac:dyDescent="0.25">
      <c r="AL10783" s="6"/>
    </row>
    <row r="10784" spans="38:38" x14ac:dyDescent="0.25">
      <c r="AL10784" s="6"/>
    </row>
    <row r="10785" spans="38:38" x14ac:dyDescent="0.25">
      <c r="AL10785" s="6"/>
    </row>
    <row r="10786" spans="38:38" x14ac:dyDescent="0.25">
      <c r="AL10786" s="6"/>
    </row>
    <row r="10787" spans="38:38" x14ac:dyDescent="0.25">
      <c r="AL10787" s="6"/>
    </row>
    <row r="10788" spans="38:38" x14ac:dyDescent="0.25">
      <c r="AL10788" s="6"/>
    </row>
    <row r="10789" spans="38:38" x14ac:dyDescent="0.25">
      <c r="AL10789" s="6"/>
    </row>
    <row r="10790" spans="38:38" x14ac:dyDescent="0.25">
      <c r="AL10790" s="6"/>
    </row>
    <row r="10791" spans="38:38" x14ac:dyDescent="0.25">
      <c r="AL10791" s="6"/>
    </row>
    <row r="10792" spans="38:38" x14ac:dyDescent="0.25">
      <c r="AL10792" s="6"/>
    </row>
    <row r="10793" spans="38:38" x14ac:dyDescent="0.25">
      <c r="AL10793" s="6"/>
    </row>
    <row r="10794" spans="38:38" x14ac:dyDescent="0.25">
      <c r="AL10794" s="6"/>
    </row>
    <row r="10795" spans="38:38" x14ac:dyDescent="0.25">
      <c r="AL10795" s="6"/>
    </row>
    <row r="10796" spans="38:38" x14ac:dyDescent="0.25">
      <c r="AL10796" s="6"/>
    </row>
    <row r="10797" spans="38:38" x14ac:dyDescent="0.25">
      <c r="AL10797" s="6"/>
    </row>
    <row r="10798" spans="38:38" x14ac:dyDescent="0.25">
      <c r="AL10798" s="6"/>
    </row>
    <row r="10799" spans="38:38" x14ac:dyDescent="0.25">
      <c r="AL10799" s="6"/>
    </row>
    <row r="10800" spans="38:38" x14ac:dyDescent="0.25">
      <c r="AL10800" s="6"/>
    </row>
    <row r="10801" spans="38:38" x14ac:dyDescent="0.25">
      <c r="AL10801" s="6"/>
    </row>
    <row r="10802" spans="38:38" x14ac:dyDescent="0.25">
      <c r="AL10802" s="6"/>
    </row>
    <row r="10803" spans="38:38" x14ac:dyDescent="0.25">
      <c r="AL10803" s="6"/>
    </row>
    <row r="10804" spans="38:38" x14ac:dyDescent="0.25">
      <c r="AL10804" s="6"/>
    </row>
    <row r="10805" spans="38:38" x14ac:dyDescent="0.25">
      <c r="AL10805" s="6"/>
    </row>
    <row r="10806" spans="38:38" x14ac:dyDescent="0.25">
      <c r="AL10806" s="6"/>
    </row>
    <row r="10807" spans="38:38" x14ac:dyDescent="0.25">
      <c r="AL10807" s="6"/>
    </row>
    <row r="10808" spans="38:38" x14ac:dyDescent="0.25">
      <c r="AL10808" s="6"/>
    </row>
    <row r="10809" spans="38:38" x14ac:dyDescent="0.25">
      <c r="AL10809" s="6"/>
    </row>
    <row r="10810" spans="38:38" x14ac:dyDescent="0.25">
      <c r="AL10810" s="6"/>
    </row>
    <row r="10811" spans="38:38" x14ac:dyDescent="0.25">
      <c r="AL10811" s="6"/>
    </row>
    <row r="10812" spans="38:38" x14ac:dyDescent="0.25">
      <c r="AL10812" s="6"/>
    </row>
    <row r="10813" spans="38:38" x14ac:dyDescent="0.25">
      <c r="AL10813" s="6"/>
    </row>
    <row r="10814" spans="38:38" x14ac:dyDescent="0.25">
      <c r="AL10814" s="6"/>
    </row>
    <row r="10815" spans="38:38" x14ac:dyDescent="0.25">
      <c r="AL10815" s="6"/>
    </row>
    <row r="10816" spans="38:38" x14ac:dyDescent="0.25">
      <c r="AL10816" s="6"/>
    </row>
    <row r="10817" spans="38:38" x14ac:dyDescent="0.25">
      <c r="AL10817" s="6"/>
    </row>
    <row r="10818" spans="38:38" x14ac:dyDescent="0.25">
      <c r="AL10818" s="6"/>
    </row>
    <row r="10819" spans="38:38" x14ac:dyDescent="0.25">
      <c r="AL10819" s="6"/>
    </row>
    <row r="10820" spans="38:38" x14ac:dyDescent="0.25">
      <c r="AL10820" s="6"/>
    </row>
    <row r="10821" spans="38:38" x14ac:dyDescent="0.25">
      <c r="AL10821" s="6"/>
    </row>
    <row r="10822" spans="38:38" x14ac:dyDescent="0.25">
      <c r="AL10822" s="6"/>
    </row>
    <row r="10823" spans="38:38" x14ac:dyDescent="0.25">
      <c r="AL10823" s="6"/>
    </row>
    <row r="10824" spans="38:38" x14ac:dyDescent="0.25">
      <c r="AL10824" s="6"/>
    </row>
    <row r="10825" spans="38:38" x14ac:dyDescent="0.25">
      <c r="AL10825" s="6"/>
    </row>
    <row r="10826" spans="38:38" x14ac:dyDescent="0.25">
      <c r="AL10826" s="6"/>
    </row>
    <row r="10827" spans="38:38" x14ac:dyDescent="0.25">
      <c r="AL10827" s="6"/>
    </row>
    <row r="10828" spans="38:38" x14ac:dyDescent="0.25">
      <c r="AL10828" s="6"/>
    </row>
    <row r="10829" spans="38:38" x14ac:dyDescent="0.25">
      <c r="AL10829" s="6"/>
    </row>
    <row r="10830" spans="38:38" x14ac:dyDescent="0.25">
      <c r="AL10830" s="6"/>
    </row>
    <row r="10831" spans="38:38" x14ac:dyDescent="0.25">
      <c r="AL10831" s="6"/>
    </row>
    <row r="10832" spans="38:38" x14ac:dyDescent="0.25">
      <c r="AL10832" s="6"/>
    </row>
    <row r="10833" spans="38:38" x14ac:dyDescent="0.25">
      <c r="AL10833" s="6"/>
    </row>
    <row r="10834" spans="38:38" x14ac:dyDescent="0.25">
      <c r="AL10834" s="6"/>
    </row>
    <row r="10835" spans="38:38" x14ac:dyDescent="0.25">
      <c r="AL10835" s="6"/>
    </row>
    <row r="10836" spans="38:38" x14ac:dyDescent="0.25">
      <c r="AL10836" s="6"/>
    </row>
    <row r="10837" spans="38:38" x14ac:dyDescent="0.25">
      <c r="AL10837" s="6"/>
    </row>
    <row r="10838" spans="38:38" x14ac:dyDescent="0.25">
      <c r="AL10838" s="6"/>
    </row>
    <row r="10839" spans="38:38" x14ac:dyDescent="0.25">
      <c r="AL10839" s="6"/>
    </row>
    <row r="10840" spans="38:38" x14ac:dyDescent="0.25">
      <c r="AL10840" s="6"/>
    </row>
    <row r="10841" spans="38:38" x14ac:dyDescent="0.25">
      <c r="AL10841" s="6"/>
    </row>
    <row r="10842" spans="38:38" x14ac:dyDescent="0.25">
      <c r="AL10842" s="6"/>
    </row>
    <row r="10843" spans="38:38" x14ac:dyDescent="0.25">
      <c r="AL10843" s="6"/>
    </row>
    <row r="10844" spans="38:38" x14ac:dyDescent="0.25">
      <c r="AL10844" s="6"/>
    </row>
    <row r="10845" spans="38:38" x14ac:dyDescent="0.25">
      <c r="AL10845" s="6"/>
    </row>
    <row r="10846" spans="38:38" x14ac:dyDescent="0.25">
      <c r="AL10846" s="6"/>
    </row>
    <row r="10847" spans="38:38" x14ac:dyDescent="0.25">
      <c r="AL10847" s="6"/>
    </row>
    <row r="10848" spans="38:38" x14ac:dyDescent="0.25">
      <c r="AL10848" s="6"/>
    </row>
    <row r="10849" spans="38:38" x14ac:dyDescent="0.25">
      <c r="AL10849" s="6"/>
    </row>
    <row r="10850" spans="38:38" x14ac:dyDescent="0.25">
      <c r="AL10850" s="6"/>
    </row>
    <row r="10851" spans="38:38" x14ac:dyDescent="0.25">
      <c r="AL10851" s="6"/>
    </row>
    <row r="10852" spans="38:38" x14ac:dyDescent="0.25">
      <c r="AL10852" s="6"/>
    </row>
    <row r="10853" spans="38:38" x14ac:dyDescent="0.25">
      <c r="AL10853" s="6"/>
    </row>
    <row r="10854" spans="38:38" x14ac:dyDescent="0.25">
      <c r="AL10854" s="6"/>
    </row>
    <row r="10855" spans="38:38" x14ac:dyDescent="0.25">
      <c r="AL10855" s="6"/>
    </row>
    <row r="10856" spans="38:38" x14ac:dyDescent="0.25">
      <c r="AL10856" s="6"/>
    </row>
    <row r="10857" spans="38:38" x14ac:dyDescent="0.25">
      <c r="AL10857" s="6"/>
    </row>
    <row r="10858" spans="38:38" x14ac:dyDescent="0.25">
      <c r="AL10858" s="6"/>
    </row>
    <row r="10859" spans="38:38" x14ac:dyDescent="0.25">
      <c r="AL10859" s="6"/>
    </row>
    <row r="10860" spans="38:38" x14ac:dyDescent="0.25">
      <c r="AL10860" s="6"/>
    </row>
    <row r="10861" spans="38:38" x14ac:dyDescent="0.25">
      <c r="AL10861" s="6"/>
    </row>
    <row r="10862" spans="38:38" x14ac:dyDescent="0.25">
      <c r="AL10862" s="6"/>
    </row>
    <row r="10863" spans="38:38" x14ac:dyDescent="0.25">
      <c r="AL10863" s="6"/>
    </row>
    <row r="10864" spans="38:38" x14ac:dyDescent="0.25">
      <c r="AL10864" s="6"/>
    </row>
    <row r="10865" spans="38:38" x14ac:dyDescent="0.25">
      <c r="AL10865" s="6"/>
    </row>
    <row r="10866" spans="38:38" x14ac:dyDescent="0.25">
      <c r="AL10866" s="6"/>
    </row>
    <row r="10867" spans="38:38" x14ac:dyDescent="0.25">
      <c r="AL10867" s="6"/>
    </row>
    <row r="10868" spans="38:38" x14ac:dyDescent="0.25">
      <c r="AL10868" s="6"/>
    </row>
    <row r="10869" spans="38:38" x14ac:dyDescent="0.25">
      <c r="AL10869" s="6"/>
    </row>
    <row r="10870" spans="38:38" x14ac:dyDescent="0.25">
      <c r="AL10870" s="6"/>
    </row>
    <row r="10871" spans="38:38" x14ac:dyDescent="0.25">
      <c r="AL10871" s="6"/>
    </row>
    <row r="10872" spans="38:38" x14ac:dyDescent="0.25">
      <c r="AL10872" s="6"/>
    </row>
    <row r="10873" spans="38:38" x14ac:dyDescent="0.25">
      <c r="AL10873" s="6"/>
    </row>
    <row r="10874" spans="38:38" x14ac:dyDescent="0.25">
      <c r="AL10874" s="6"/>
    </row>
    <row r="10875" spans="38:38" x14ac:dyDescent="0.25">
      <c r="AL10875" s="6"/>
    </row>
    <row r="10876" spans="38:38" x14ac:dyDescent="0.25">
      <c r="AL10876" s="6"/>
    </row>
    <row r="10877" spans="38:38" x14ac:dyDescent="0.25">
      <c r="AL10877" s="6"/>
    </row>
    <row r="10878" spans="38:38" x14ac:dyDescent="0.25">
      <c r="AL10878" s="6"/>
    </row>
    <row r="10879" spans="38:38" x14ac:dyDescent="0.25">
      <c r="AL10879" s="6"/>
    </row>
    <row r="10880" spans="38:38" x14ac:dyDescent="0.25">
      <c r="AL10880" s="6"/>
    </row>
    <row r="10881" spans="38:38" x14ac:dyDescent="0.25">
      <c r="AL10881" s="6"/>
    </row>
    <row r="10882" spans="38:38" x14ac:dyDescent="0.25">
      <c r="AL10882" s="6"/>
    </row>
    <row r="10883" spans="38:38" x14ac:dyDescent="0.25">
      <c r="AL10883" s="6"/>
    </row>
    <row r="10884" spans="38:38" x14ac:dyDescent="0.25">
      <c r="AL10884" s="6"/>
    </row>
    <row r="10885" spans="38:38" x14ac:dyDescent="0.25">
      <c r="AL10885" s="6"/>
    </row>
    <row r="10886" spans="38:38" x14ac:dyDescent="0.25">
      <c r="AL10886" s="6"/>
    </row>
    <row r="10887" spans="38:38" x14ac:dyDescent="0.25">
      <c r="AL10887" s="6"/>
    </row>
    <row r="10888" spans="38:38" x14ac:dyDescent="0.25">
      <c r="AL10888" s="6"/>
    </row>
    <row r="10889" spans="38:38" x14ac:dyDescent="0.25">
      <c r="AL10889" s="6"/>
    </row>
    <row r="10890" spans="38:38" x14ac:dyDescent="0.25">
      <c r="AL10890" s="6"/>
    </row>
    <row r="10891" spans="38:38" x14ac:dyDescent="0.25">
      <c r="AL10891" s="6"/>
    </row>
    <row r="10892" spans="38:38" x14ac:dyDescent="0.25">
      <c r="AL10892" s="6"/>
    </row>
    <row r="10893" spans="38:38" x14ac:dyDescent="0.25">
      <c r="AL10893" s="6"/>
    </row>
    <row r="10894" spans="38:38" x14ac:dyDescent="0.25">
      <c r="AL10894" s="6"/>
    </row>
    <row r="10895" spans="38:38" x14ac:dyDescent="0.25">
      <c r="AL10895" s="6"/>
    </row>
    <row r="10896" spans="38:38" x14ac:dyDescent="0.25">
      <c r="AL10896" s="6"/>
    </row>
    <row r="10897" spans="38:38" x14ac:dyDescent="0.25">
      <c r="AL10897" s="6"/>
    </row>
    <row r="10898" spans="38:38" x14ac:dyDescent="0.25">
      <c r="AL10898" s="6"/>
    </row>
    <row r="10899" spans="38:38" x14ac:dyDescent="0.25">
      <c r="AL10899" s="6"/>
    </row>
    <row r="10900" spans="38:38" x14ac:dyDescent="0.25">
      <c r="AL10900" s="6"/>
    </row>
    <row r="10901" spans="38:38" x14ac:dyDescent="0.25">
      <c r="AL10901" s="6"/>
    </row>
    <row r="10902" spans="38:38" x14ac:dyDescent="0.25">
      <c r="AL10902" s="6"/>
    </row>
    <row r="10903" spans="38:38" x14ac:dyDescent="0.25">
      <c r="AL10903" s="6"/>
    </row>
    <row r="10904" spans="38:38" x14ac:dyDescent="0.25">
      <c r="AL10904" s="6"/>
    </row>
    <row r="10905" spans="38:38" x14ac:dyDescent="0.25">
      <c r="AL10905" s="6"/>
    </row>
    <row r="10906" spans="38:38" x14ac:dyDescent="0.25">
      <c r="AL10906" s="6"/>
    </row>
    <row r="10907" spans="38:38" x14ac:dyDescent="0.25">
      <c r="AL10907" s="6"/>
    </row>
    <row r="10908" spans="38:38" x14ac:dyDescent="0.25">
      <c r="AL10908" s="6"/>
    </row>
    <row r="10909" spans="38:38" x14ac:dyDescent="0.25">
      <c r="AL10909" s="6"/>
    </row>
    <row r="10910" spans="38:38" x14ac:dyDescent="0.25">
      <c r="AL10910" s="6"/>
    </row>
    <row r="10911" spans="38:38" x14ac:dyDescent="0.25">
      <c r="AL10911" s="6"/>
    </row>
    <row r="10912" spans="38:38" x14ac:dyDescent="0.25">
      <c r="AL10912" s="6"/>
    </row>
    <row r="10913" spans="38:38" x14ac:dyDescent="0.25">
      <c r="AL10913" s="6"/>
    </row>
    <row r="10914" spans="38:38" x14ac:dyDescent="0.25">
      <c r="AL10914" s="6"/>
    </row>
    <row r="10915" spans="38:38" x14ac:dyDescent="0.25">
      <c r="AL10915" s="6"/>
    </row>
    <row r="10916" spans="38:38" x14ac:dyDescent="0.25">
      <c r="AL10916" s="6"/>
    </row>
    <row r="10917" spans="38:38" x14ac:dyDescent="0.25">
      <c r="AL10917" s="6"/>
    </row>
    <row r="10918" spans="38:38" x14ac:dyDescent="0.25">
      <c r="AL10918" s="6"/>
    </row>
    <row r="10919" spans="38:38" x14ac:dyDescent="0.25">
      <c r="AL10919" s="6"/>
    </row>
    <row r="10920" spans="38:38" x14ac:dyDescent="0.25">
      <c r="AL10920" s="6"/>
    </row>
    <row r="10921" spans="38:38" x14ac:dyDescent="0.25">
      <c r="AL10921" s="6"/>
    </row>
    <row r="10922" spans="38:38" x14ac:dyDescent="0.25">
      <c r="AL10922" s="6"/>
    </row>
    <row r="10923" spans="38:38" x14ac:dyDescent="0.25">
      <c r="AL10923" s="6"/>
    </row>
    <row r="10924" spans="38:38" x14ac:dyDescent="0.25">
      <c r="AL10924" s="6"/>
    </row>
    <row r="10925" spans="38:38" x14ac:dyDescent="0.25">
      <c r="AL10925" s="6"/>
    </row>
    <row r="10926" spans="38:38" x14ac:dyDescent="0.25">
      <c r="AL10926" s="6"/>
    </row>
    <row r="10927" spans="38:38" x14ac:dyDescent="0.25">
      <c r="AL10927" s="6"/>
    </row>
    <row r="10928" spans="38:38" x14ac:dyDescent="0.25">
      <c r="AL10928" s="6"/>
    </row>
    <row r="10929" spans="38:38" x14ac:dyDescent="0.25">
      <c r="AL10929" s="6"/>
    </row>
    <row r="10930" spans="38:38" x14ac:dyDescent="0.25">
      <c r="AL10930" s="6"/>
    </row>
    <row r="10931" spans="38:38" x14ac:dyDescent="0.25">
      <c r="AL10931" s="6"/>
    </row>
    <row r="10932" spans="38:38" x14ac:dyDescent="0.25">
      <c r="AL10932" s="6"/>
    </row>
    <row r="10933" spans="38:38" x14ac:dyDescent="0.25">
      <c r="AL10933" s="6"/>
    </row>
    <row r="10934" spans="38:38" x14ac:dyDescent="0.25">
      <c r="AL10934" s="6"/>
    </row>
    <row r="10935" spans="38:38" x14ac:dyDescent="0.25">
      <c r="AL10935" s="6"/>
    </row>
    <row r="10936" spans="38:38" x14ac:dyDescent="0.25">
      <c r="AL10936" s="6"/>
    </row>
    <row r="10937" spans="38:38" x14ac:dyDescent="0.25">
      <c r="AL10937" s="6"/>
    </row>
    <row r="10938" spans="38:38" x14ac:dyDescent="0.25">
      <c r="AL10938" s="6"/>
    </row>
    <row r="10939" spans="38:38" x14ac:dyDescent="0.25">
      <c r="AL10939" s="6"/>
    </row>
    <row r="10940" spans="38:38" x14ac:dyDescent="0.25">
      <c r="AL10940" s="6"/>
    </row>
    <row r="10941" spans="38:38" x14ac:dyDescent="0.25">
      <c r="AL10941" s="6"/>
    </row>
    <row r="10942" spans="38:38" x14ac:dyDescent="0.25">
      <c r="AL10942" s="6"/>
    </row>
    <row r="10943" spans="38:38" x14ac:dyDescent="0.25">
      <c r="AL10943" s="6"/>
    </row>
    <row r="10944" spans="38:38" x14ac:dyDescent="0.25">
      <c r="AL10944" s="6"/>
    </row>
    <row r="10945" spans="38:38" x14ac:dyDescent="0.25">
      <c r="AL10945" s="6"/>
    </row>
    <row r="10946" spans="38:38" x14ac:dyDescent="0.25">
      <c r="AL10946" s="6"/>
    </row>
    <row r="10947" spans="38:38" x14ac:dyDescent="0.25">
      <c r="AL10947" s="6"/>
    </row>
    <row r="10948" spans="38:38" x14ac:dyDescent="0.25">
      <c r="AL10948" s="6"/>
    </row>
    <row r="10949" spans="38:38" x14ac:dyDescent="0.25">
      <c r="AL10949" s="6"/>
    </row>
    <row r="10950" spans="38:38" x14ac:dyDescent="0.25">
      <c r="AL10950" s="6"/>
    </row>
    <row r="10951" spans="38:38" x14ac:dyDescent="0.25">
      <c r="AL10951" s="6"/>
    </row>
    <row r="10952" spans="38:38" x14ac:dyDescent="0.25">
      <c r="AL10952" s="6"/>
    </row>
    <row r="10953" spans="38:38" x14ac:dyDescent="0.25">
      <c r="AL10953" s="6"/>
    </row>
    <row r="10954" spans="38:38" x14ac:dyDescent="0.25">
      <c r="AL10954" s="6"/>
    </row>
    <row r="10955" spans="38:38" x14ac:dyDescent="0.25">
      <c r="AL10955" s="6"/>
    </row>
    <row r="10956" spans="38:38" x14ac:dyDescent="0.25">
      <c r="AL10956" s="6"/>
    </row>
    <row r="10957" spans="38:38" x14ac:dyDescent="0.25">
      <c r="AL10957" s="6"/>
    </row>
    <row r="10958" spans="38:38" x14ac:dyDescent="0.25">
      <c r="AL10958" s="6"/>
    </row>
    <row r="10959" spans="38:38" x14ac:dyDescent="0.25">
      <c r="AL10959" s="6"/>
    </row>
    <row r="10960" spans="38:38" x14ac:dyDescent="0.25">
      <c r="AL10960" s="6"/>
    </row>
    <row r="10961" spans="38:38" x14ac:dyDescent="0.25">
      <c r="AL10961" s="6"/>
    </row>
    <row r="10962" spans="38:38" x14ac:dyDescent="0.25">
      <c r="AL10962" s="6"/>
    </row>
    <row r="10963" spans="38:38" x14ac:dyDescent="0.25">
      <c r="AL10963" s="6"/>
    </row>
    <row r="10964" spans="38:38" x14ac:dyDescent="0.25">
      <c r="AL10964" s="6"/>
    </row>
    <row r="10965" spans="38:38" x14ac:dyDescent="0.25">
      <c r="AL10965" s="6"/>
    </row>
    <row r="10966" spans="38:38" x14ac:dyDescent="0.25">
      <c r="AL10966" s="6"/>
    </row>
    <row r="10967" spans="38:38" x14ac:dyDescent="0.25">
      <c r="AL10967" s="6"/>
    </row>
    <row r="10968" spans="38:38" x14ac:dyDescent="0.25">
      <c r="AL10968" s="6"/>
    </row>
    <row r="10969" spans="38:38" x14ac:dyDescent="0.25">
      <c r="AL10969" s="6"/>
    </row>
    <row r="10970" spans="38:38" x14ac:dyDescent="0.25">
      <c r="AL10970" s="6"/>
    </row>
    <row r="10971" spans="38:38" x14ac:dyDescent="0.25">
      <c r="AL10971" s="6"/>
    </row>
    <row r="10972" spans="38:38" x14ac:dyDescent="0.25">
      <c r="AL10972" s="6"/>
    </row>
    <row r="10973" spans="38:38" x14ac:dyDescent="0.25">
      <c r="AL10973" s="6"/>
    </row>
    <row r="10974" spans="38:38" x14ac:dyDescent="0.25">
      <c r="AL10974" s="6"/>
    </row>
    <row r="10975" spans="38:38" x14ac:dyDescent="0.25">
      <c r="AL10975" s="6"/>
    </row>
    <row r="10976" spans="38:38" x14ac:dyDescent="0.25">
      <c r="AL10976" s="6"/>
    </row>
    <row r="10977" spans="38:38" x14ac:dyDescent="0.25">
      <c r="AL10977" s="6"/>
    </row>
    <row r="10978" spans="38:38" x14ac:dyDescent="0.25">
      <c r="AL10978" s="6"/>
    </row>
    <row r="10979" spans="38:38" x14ac:dyDescent="0.25">
      <c r="AL10979" s="6"/>
    </row>
    <row r="10980" spans="38:38" x14ac:dyDescent="0.25">
      <c r="AL10980" s="6"/>
    </row>
    <row r="10981" spans="38:38" x14ac:dyDescent="0.25">
      <c r="AL10981" s="6"/>
    </row>
    <row r="10982" spans="38:38" x14ac:dyDescent="0.25">
      <c r="AL10982" s="6"/>
    </row>
    <row r="10983" spans="38:38" x14ac:dyDescent="0.25">
      <c r="AL10983" s="6"/>
    </row>
    <row r="10984" spans="38:38" x14ac:dyDescent="0.25">
      <c r="AL10984" s="6"/>
    </row>
    <row r="10985" spans="38:38" x14ac:dyDescent="0.25">
      <c r="AL10985" s="6"/>
    </row>
    <row r="10986" spans="38:38" x14ac:dyDescent="0.25">
      <c r="AL10986" s="6"/>
    </row>
    <row r="10987" spans="38:38" x14ac:dyDescent="0.25">
      <c r="AL10987" s="6"/>
    </row>
    <row r="10988" spans="38:38" x14ac:dyDescent="0.25">
      <c r="AL10988" s="6"/>
    </row>
    <row r="10989" spans="38:38" x14ac:dyDescent="0.25">
      <c r="AL10989" s="6"/>
    </row>
    <row r="10990" spans="38:38" x14ac:dyDescent="0.25">
      <c r="AL10990" s="6"/>
    </row>
    <row r="10991" spans="38:38" x14ac:dyDescent="0.25">
      <c r="AL10991" s="6"/>
    </row>
    <row r="10992" spans="38:38" x14ac:dyDescent="0.25">
      <c r="AL10992" s="6"/>
    </row>
    <row r="10993" spans="38:38" x14ac:dyDescent="0.25">
      <c r="AL10993" s="6"/>
    </row>
    <row r="10994" spans="38:38" x14ac:dyDescent="0.25">
      <c r="AL10994" s="6"/>
    </row>
    <row r="10995" spans="38:38" x14ac:dyDescent="0.25">
      <c r="AL10995" s="6"/>
    </row>
    <row r="10996" spans="38:38" x14ac:dyDescent="0.25">
      <c r="AL10996" s="6"/>
    </row>
    <row r="10997" spans="38:38" x14ac:dyDescent="0.25">
      <c r="AL10997" s="6"/>
    </row>
    <row r="10998" spans="38:38" x14ac:dyDescent="0.25">
      <c r="AL10998" s="6"/>
    </row>
    <row r="10999" spans="38:38" x14ac:dyDescent="0.25">
      <c r="AL10999" s="6"/>
    </row>
    <row r="11000" spans="38:38" x14ac:dyDescent="0.25">
      <c r="AL11000" s="6"/>
    </row>
    <row r="11001" spans="38:38" x14ac:dyDescent="0.25">
      <c r="AL11001" s="6"/>
    </row>
    <row r="11002" spans="38:38" x14ac:dyDescent="0.25">
      <c r="AL11002" s="6"/>
    </row>
    <row r="11003" spans="38:38" x14ac:dyDescent="0.25">
      <c r="AL11003" s="6"/>
    </row>
    <row r="11004" spans="38:38" x14ac:dyDescent="0.25">
      <c r="AL11004" s="6"/>
    </row>
    <row r="11005" spans="38:38" x14ac:dyDescent="0.25">
      <c r="AL11005" s="6"/>
    </row>
    <row r="11006" spans="38:38" x14ac:dyDescent="0.25">
      <c r="AL11006" s="6"/>
    </row>
    <row r="11007" spans="38:38" x14ac:dyDescent="0.25">
      <c r="AL11007" s="6"/>
    </row>
    <row r="11008" spans="38:38" x14ac:dyDescent="0.25">
      <c r="AL11008" s="6"/>
    </row>
    <row r="11009" spans="38:38" x14ac:dyDescent="0.25">
      <c r="AL11009" s="6"/>
    </row>
    <row r="11010" spans="38:38" x14ac:dyDescent="0.25">
      <c r="AL11010" s="6"/>
    </row>
    <row r="11011" spans="38:38" x14ac:dyDescent="0.25">
      <c r="AL11011" s="6"/>
    </row>
    <row r="11012" spans="38:38" x14ac:dyDescent="0.25">
      <c r="AL11012" s="6"/>
    </row>
    <row r="11013" spans="38:38" x14ac:dyDescent="0.25">
      <c r="AL11013" s="6"/>
    </row>
    <row r="11014" spans="38:38" x14ac:dyDescent="0.25">
      <c r="AL11014" s="6"/>
    </row>
    <row r="11015" spans="38:38" x14ac:dyDescent="0.25">
      <c r="AL11015" s="6"/>
    </row>
    <row r="11016" spans="38:38" x14ac:dyDescent="0.25">
      <c r="AL11016" s="6"/>
    </row>
    <row r="11017" spans="38:38" x14ac:dyDescent="0.25">
      <c r="AL11017" s="6"/>
    </row>
    <row r="11018" spans="38:38" x14ac:dyDescent="0.25">
      <c r="AL11018" s="6"/>
    </row>
    <row r="11019" spans="38:38" x14ac:dyDescent="0.25">
      <c r="AL11019" s="6"/>
    </row>
    <row r="11020" spans="38:38" x14ac:dyDescent="0.25">
      <c r="AL11020" s="6"/>
    </row>
    <row r="11021" spans="38:38" x14ac:dyDescent="0.25">
      <c r="AL11021" s="6"/>
    </row>
    <row r="11022" spans="38:38" x14ac:dyDescent="0.25">
      <c r="AL11022" s="6"/>
    </row>
    <row r="11023" spans="38:38" x14ac:dyDescent="0.25">
      <c r="AL11023" s="6"/>
    </row>
    <row r="11024" spans="38:38" x14ac:dyDescent="0.25">
      <c r="AL11024" s="6"/>
    </row>
    <row r="11025" spans="38:38" x14ac:dyDescent="0.25">
      <c r="AL11025" s="6"/>
    </row>
    <row r="11026" spans="38:38" x14ac:dyDescent="0.25">
      <c r="AL11026" s="6"/>
    </row>
    <row r="11027" spans="38:38" x14ac:dyDescent="0.25">
      <c r="AL11027" s="6"/>
    </row>
    <row r="11028" spans="38:38" x14ac:dyDescent="0.25">
      <c r="AL11028" s="6"/>
    </row>
    <row r="11029" spans="38:38" x14ac:dyDescent="0.25">
      <c r="AL11029" s="6"/>
    </row>
    <row r="11030" spans="38:38" x14ac:dyDescent="0.25">
      <c r="AL11030" s="6"/>
    </row>
    <row r="11031" spans="38:38" x14ac:dyDescent="0.25">
      <c r="AL11031" s="6"/>
    </row>
    <row r="11032" spans="38:38" x14ac:dyDescent="0.25">
      <c r="AL11032" s="6"/>
    </row>
    <row r="11033" spans="38:38" x14ac:dyDescent="0.25">
      <c r="AL11033" s="6"/>
    </row>
    <row r="11034" spans="38:38" x14ac:dyDescent="0.25">
      <c r="AL11034" s="6"/>
    </row>
    <row r="11035" spans="38:38" x14ac:dyDescent="0.25">
      <c r="AL11035" s="6"/>
    </row>
    <row r="11036" spans="38:38" x14ac:dyDescent="0.25">
      <c r="AL11036" s="6"/>
    </row>
    <row r="11037" spans="38:38" x14ac:dyDescent="0.25">
      <c r="AL11037" s="6"/>
    </row>
    <row r="11038" spans="38:38" x14ac:dyDescent="0.25">
      <c r="AL11038" s="6"/>
    </row>
    <row r="11039" spans="38:38" x14ac:dyDescent="0.25">
      <c r="AL11039" s="6"/>
    </row>
    <row r="11040" spans="38:38" x14ac:dyDescent="0.25">
      <c r="AL11040" s="6"/>
    </row>
    <row r="11041" spans="38:38" x14ac:dyDescent="0.25">
      <c r="AL11041" s="6"/>
    </row>
    <row r="11042" spans="38:38" x14ac:dyDescent="0.25">
      <c r="AL11042" s="6"/>
    </row>
    <row r="11043" spans="38:38" x14ac:dyDescent="0.25">
      <c r="AL11043" s="6"/>
    </row>
    <row r="11044" spans="38:38" x14ac:dyDescent="0.25">
      <c r="AL11044" s="6"/>
    </row>
    <row r="11045" spans="38:38" x14ac:dyDescent="0.25">
      <c r="AL11045" s="6"/>
    </row>
    <row r="11046" spans="38:38" x14ac:dyDescent="0.25">
      <c r="AL11046" s="6"/>
    </row>
    <row r="11047" spans="38:38" x14ac:dyDescent="0.25">
      <c r="AL11047" s="6"/>
    </row>
    <row r="11048" spans="38:38" x14ac:dyDescent="0.25">
      <c r="AL11048" s="6"/>
    </row>
    <row r="11049" spans="38:38" x14ac:dyDescent="0.25">
      <c r="AL11049" s="6"/>
    </row>
    <row r="11050" spans="38:38" x14ac:dyDescent="0.25">
      <c r="AL11050" s="6"/>
    </row>
    <row r="11051" spans="38:38" x14ac:dyDescent="0.25">
      <c r="AL11051" s="6"/>
    </row>
    <row r="11052" spans="38:38" x14ac:dyDescent="0.25">
      <c r="AL11052" s="6"/>
    </row>
    <row r="11053" spans="38:38" x14ac:dyDescent="0.25">
      <c r="AL11053" s="6"/>
    </row>
    <row r="11054" spans="38:38" x14ac:dyDescent="0.25">
      <c r="AL11054" s="6"/>
    </row>
    <row r="11055" spans="38:38" x14ac:dyDescent="0.25">
      <c r="AL11055" s="6"/>
    </row>
    <row r="11056" spans="38:38" x14ac:dyDescent="0.25">
      <c r="AL11056" s="6"/>
    </row>
    <row r="11057" spans="38:38" x14ac:dyDescent="0.25">
      <c r="AL11057" s="6"/>
    </row>
    <row r="11058" spans="38:38" x14ac:dyDescent="0.25">
      <c r="AL11058" s="6"/>
    </row>
    <row r="11059" spans="38:38" x14ac:dyDescent="0.25">
      <c r="AL11059" s="6"/>
    </row>
    <row r="11060" spans="38:38" x14ac:dyDescent="0.25">
      <c r="AL11060" s="6"/>
    </row>
    <row r="11061" spans="38:38" x14ac:dyDescent="0.25">
      <c r="AL11061" s="6"/>
    </row>
    <row r="11062" spans="38:38" x14ac:dyDescent="0.25">
      <c r="AL11062" s="6"/>
    </row>
    <row r="11063" spans="38:38" x14ac:dyDescent="0.25">
      <c r="AL11063" s="6"/>
    </row>
    <row r="11064" spans="38:38" x14ac:dyDescent="0.25">
      <c r="AL11064" s="6"/>
    </row>
    <row r="11065" spans="38:38" x14ac:dyDescent="0.25">
      <c r="AL11065" s="6"/>
    </row>
    <row r="11066" spans="38:38" x14ac:dyDescent="0.25">
      <c r="AL11066" s="6"/>
    </row>
    <row r="11067" spans="38:38" x14ac:dyDescent="0.25">
      <c r="AL11067" s="6"/>
    </row>
    <row r="11068" spans="38:38" x14ac:dyDescent="0.25">
      <c r="AL11068" s="6"/>
    </row>
    <row r="11069" spans="38:38" x14ac:dyDescent="0.25">
      <c r="AL11069" s="6"/>
    </row>
    <row r="11070" spans="38:38" x14ac:dyDescent="0.25">
      <c r="AL11070" s="6"/>
    </row>
    <row r="11071" spans="38:38" x14ac:dyDescent="0.25">
      <c r="AL11071" s="6"/>
    </row>
    <row r="11072" spans="38:38" x14ac:dyDescent="0.25">
      <c r="AL11072" s="6"/>
    </row>
    <row r="11073" spans="38:38" x14ac:dyDescent="0.25">
      <c r="AL11073" s="6"/>
    </row>
    <row r="11074" spans="38:38" x14ac:dyDescent="0.25">
      <c r="AL11074" s="6"/>
    </row>
    <row r="11075" spans="38:38" x14ac:dyDescent="0.25">
      <c r="AL11075" s="6"/>
    </row>
    <row r="11076" spans="38:38" x14ac:dyDescent="0.25">
      <c r="AL11076" s="6"/>
    </row>
    <row r="11077" spans="38:38" x14ac:dyDescent="0.25">
      <c r="AL11077" s="6"/>
    </row>
    <row r="11078" spans="38:38" x14ac:dyDescent="0.25">
      <c r="AL11078" s="6"/>
    </row>
    <row r="11079" spans="38:38" x14ac:dyDescent="0.25">
      <c r="AL11079" s="6"/>
    </row>
    <row r="11080" spans="38:38" x14ac:dyDescent="0.25">
      <c r="AL11080" s="6"/>
    </row>
    <row r="11081" spans="38:38" x14ac:dyDescent="0.25">
      <c r="AL11081" s="6"/>
    </row>
    <row r="11082" spans="38:38" x14ac:dyDescent="0.25">
      <c r="AL11082" s="6"/>
    </row>
    <row r="11083" spans="38:38" x14ac:dyDescent="0.25">
      <c r="AL11083" s="6"/>
    </row>
    <row r="11084" spans="38:38" x14ac:dyDescent="0.25">
      <c r="AL11084" s="6"/>
    </row>
    <row r="11085" spans="38:38" x14ac:dyDescent="0.25">
      <c r="AL11085" s="6"/>
    </row>
    <row r="11086" spans="38:38" x14ac:dyDescent="0.25">
      <c r="AL11086" s="6"/>
    </row>
    <row r="11087" spans="38:38" x14ac:dyDescent="0.25">
      <c r="AL11087" s="6"/>
    </row>
    <row r="11088" spans="38:38" x14ac:dyDescent="0.25">
      <c r="AL11088" s="6"/>
    </row>
    <row r="11089" spans="38:38" x14ac:dyDescent="0.25">
      <c r="AL11089" s="6"/>
    </row>
    <row r="11090" spans="38:38" x14ac:dyDescent="0.25">
      <c r="AL11090" s="6"/>
    </row>
    <row r="11091" spans="38:38" x14ac:dyDescent="0.25">
      <c r="AL11091" s="6"/>
    </row>
    <row r="11092" spans="38:38" x14ac:dyDescent="0.25">
      <c r="AL11092" s="6"/>
    </row>
    <row r="11093" spans="38:38" x14ac:dyDescent="0.25">
      <c r="AL11093" s="6"/>
    </row>
    <row r="11094" spans="38:38" x14ac:dyDescent="0.25">
      <c r="AL11094" s="6"/>
    </row>
    <row r="11095" spans="38:38" x14ac:dyDescent="0.25">
      <c r="AL11095" s="6"/>
    </row>
    <row r="11096" spans="38:38" x14ac:dyDescent="0.25">
      <c r="AL11096" s="6"/>
    </row>
    <row r="11097" spans="38:38" x14ac:dyDescent="0.25">
      <c r="AL11097" s="6"/>
    </row>
    <row r="11098" spans="38:38" x14ac:dyDescent="0.25">
      <c r="AL11098" s="6"/>
    </row>
    <row r="11099" spans="38:38" x14ac:dyDescent="0.25">
      <c r="AL11099" s="6"/>
    </row>
    <row r="11100" spans="38:38" x14ac:dyDescent="0.25">
      <c r="AL11100" s="6"/>
    </row>
    <row r="11101" spans="38:38" x14ac:dyDescent="0.25">
      <c r="AL11101" s="6"/>
    </row>
    <row r="11102" spans="38:38" x14ac:dyDescent="0.25">
      <c r="AL11102" s="6"/>
    </row>
    <row r="11103" spans="38:38" x14ac:dyDescent="0.25">
      <c r="AL11103" s="6"/>
    </row>
    <row r="11104" spans="38:38" x14ac:dyDescent="0.25">
      <c r="AL11104" s="6"/>
    </row>
    <row r="11105" spans="38:38" x14ac:dyDescent="0.25">
      <c r="AL11105" s="6"/>
    </row>
    <row r="11106" spans="38:38" x14ac:dyDescent="0.25">
      <c r="AL11106" s="6"/>
    </row>
    <row r="11107" spans="38:38" x14ac:dyDescent="0.25">
      <c r="AL11107" s="6"/>
    </row>
    <row r="11108" spans="38:38" x14ac:dyDescent="0.25">
      <c r="AL11108" s="6"/>
    </row>
    <row r="11109" spans="38:38" x14ac:dyDescent="0.25">
      <c r="AL11109" s="6"/>
    </row>
    <row r="11110" spans="38:38" x14ac:dyDescent="0.25">
      <c r="AL11110" s="6"/>
    </row>
    <row r="11111" spans="38:38" x14ac:dyDescent="0.25">
      <c r="AL11111" s="6"/>
    </row>
    <row r="11112" spans="38:38" x14ac:dyDescent="0.25">
      <c r="AL11112" s="6"/>
    </row>
    <row r="11113" spans="38:38" x14ac:dyDescent="0.25">
      <c r="AL11113" s="6"/>
    </row>
    <row r="11114" spans="38:38" x14ac:dyDescent="0.25">
      <c r="AL11114" s="6"/>
    </row>
    <row r="11115" spans="38:38" x14ac:dyDescent="0.25">
      <c r="AL11115" s="6"/>
    </row>
    <row r="11116" spans="38:38" x14ac:dyDescent="0.25">
      <c r="AL11116" s="6"/>
    </row>
    <row r="11117" spans="38:38" x14ac:dyDescent="0.25">
      <c r="AL11117" s="6"/>
    </row>
    <row r="11118" spans="38:38" x14ac:dyDescent="0.25">
      <c r="AL11118" s="6"/>
    </row>
    <row r="11119" spans="38:38" x14ac:dyDescent="0.25">
      <c r="AL11119" s="6"/>
    </row>
    <row r="11120" spans="38:38" x14ac:dyDescent="0.25">
      <c r="AL11120" s="6"/>
    </row>
    <row r="11121" spans="38:38" x14ac:dyDescent="0.25">
      <c r="AL11121" s="6"/>
    </row>
    <row r="11122" spans="38:38" x14ac:dyDescent="0.25">
      <c r="AL11122" s="6"/>
    </row>
    <row r="11123" spans="38:38" x14ac:dyDescent="0.25">
      <c r="AL11123" s="6"/>
    </row>
    <row r="11124" spans="38:38" x14ac:dyDescent="0.25">
      <c r="AL11124" s="6"/>
    </row>
    <row r="11125" spans="38:38" x14ac:dyDescent="0.25">
      <c r="AL11125" s="6"/>
    </row>
    <row r="11126" spans="38:38" x14ac:dyDescent="0.25">
      <c r="AL11126" s="6"/>
    </row>
    <row r="11127" spans="38:38" x14ac:dyDescent="0.25">
      <c r="AL11127" s="6"/>
    </row>
    <row r="11128" spans="38:38" x14ac:dyDescent="0.25">
      <c r="AL11128" s="6"/>
    </row>
    <row r="11129" spans="38:38" x14ac:dyDescent="0.25">
      <c r="AL11129" s="6"/>
    </row>
    <row r="11130" spans="38:38" x14ac:dyDescent="0.25">
      <c r="AL11130" s="6"/>
    </row>
    <row r="11131" spans="38:38" x14ac:dyDescent="0.25">
      <c r="AL11131" s="6"/>
    </row>
    <row r="11132" spans="38:38" x14ac:dyDescent="0.25">
      <c r="AL11132" s="6"/>
    </row>
    <row r="11133" spans="38:38" x14ac:dyDescent="0.25">
      <c r="AL11133" s="6"/>
    </row>
    <row r="11134" spans="38:38" x14ac:dyDescent="0.25">
      <c r="AL11134" s="6"/>
    </row>
    <row r="11135" spans="38:38" x14ac:dyDescent="0.25">
      <c r="AL11135" s="6"/>
    </row>
    <row r="11136" spans="38:38" x14ac:dyDescent="0.25">
      <c r="AL11136" s="6"/>
    </row>
    <row r="11137" spans="38:38" x14ac:dyDescent="0.25">
      <c r="AL11137" s="6"/>
    </row>
    <row r="11138" spans="38:38" x14ac:dyDescent="0.25">
      <c r="AL11138" s="6"/>
    </row>
    <row r="11139" spans="38:38" x14ac:dyDescent="0.25">
      <c r="AL11139" s="6"/>
    </row>
    <row r="11140" spans="38:38" x14ac:dyDescent="0.25">
      <c r="AL11140" s="6"/>
    </row>
    <row r="11141" spans="38:38" x14ac:dyDescent="0.25">
      <c r="AL11141" s="6"/>
    </row>
    <row r="11142" spans="38:38" x14ac:dyDescent="0.25">
      <c r="AL11142" s="6"/>
    </row>
    <row r="11143" spans="38:38" x14ac:dyDescent="0.25">
      <c r="AL11143" s="6"/>
    </row>
    <row r="11144" spans="38:38" x14ac:dyDescent="0.25">
      <c r="AL11144" s="6"/>
    </row>
    <row r="11145" spans="38:38" x14ac:dyDescent="0.25">
      <c r="AL11145" s="6"/>
    </row>
    <row r="11146" spans="38:38" x14ac:dyDescent="0.25">
      <c r="AL11146" s="6"/>
    </row>
    <row r="11147" spans="38:38" x14ac:dyDescent="0.25">
      <c r="AL11147" s="6"/>
    </row>
    <row r="11148" spans="38:38" x14ac:dyDescent="0.25">
      <c r="AL11148" s="6"/>
    </row>
    <row r="11149" spans="38:38" x14ac:dyDescent="0.25">
      <c r="AL11149" s="6"/>
    </row>
    <row r="11150" spans="38:38" x14ac:dyDescent="0.25">
      <c r="AL11150" s="6"/>
    </row>
    <row r="11151" spans="38:38" x14ac:dyDescent="0.25">
      <c r="AL11151" s="6"/>
    </row>
    <row r="11152" spans="38:38" x14ac:dyDescent="0.25">
      <c r="AL11152" s="6"/>
    </row>
    <row r="11153" spans="38:38" x14ac:dyDescent="0.25">
      <c r="AL11153" s="6"/>
    </row>
    <row r="11154" spans="38:38" x14ac:dyDescent="0.25">
      <c r="AL11154" s="6"/>
    </row>
    <row r="11155" spans="38:38" x14ac:dyDescent="0.25">
      <c r="AL11155" s="6"/>
    </row>
    <row r="11156" spans="38:38" x14ac:dyDescent="0.25">
      <c r="AL11156" s="6"/>
    </row>
    <row r="11157" spans="38:38" x14ac:dyDescent="0.25">
      <c r="AL11157" s="6"/>
    </row>
    <row r="11158" spans="38:38" x14ac:dyDescent="0.25">
      <c r="AL11158" s="6"/>
    </row>
    <row r="11159" spans="38:38" x14ac:dyDescent="0.25">
      <c r="AL11159" s="6"/>
    </row>
    <row r="11160" spans="38:38" x14ac:dyDescent="0.25">
      <c r="AL11160" s="6"/>
    </row>
    <row r="11161" spans="38:38" x14ac:dyDescent="0.25">
      <c r="AL11161" s="6"/>
    </row>
    <row r="11162" spans="38:38" x14ac:dyDescent="0.25">
      <c r="AL11162" s="6"/>
    </row>
    <row r="11163" spans="38:38" x14ac:dyDescent="0.25">
      <c r="AL11163" s="6"/>
    </row>
    <row r="11164" spans="38:38" x14ac:dyDescent="0.25">
      <c r="AL11164" s="6"/>
    </row>
    <row r="11165" spans="38:38" x14ac:dyDescent="0.25">
      <c r="AL11165" s="6"/>
    </row>
    <row r="11166" spans="38:38" x14ac:dyDescent="0.25">
      <c r="AL11166" s="6"/>
    </row>
    <row r="11167" spans="38:38" x14ac:dyDescent="0.25">
      <c r="AL11167" s="6"/>
    </row>
    <row r="11168" spans="38:38" x14ac:dyDescent="0.25">
      <c r="AL11168" s="6"/>
    </row>
    <row r="11169" spans="38:38" x14ac:dyDescent="0.25">
      <c r="AL11169" s="6"/>
    </row>
    <row r="11170" spans="38:38" x14ac:dyDescent="0.25">
      <c r="AL11170" s="6"/>
    </row>
    <row r="11171" spans="38:38" x14ac:dyDescent="0.25">
      <c r="AL11171" s="6"/>
    </row>
    <row r="11172" spans="38:38" x14ac:dyDescent="0.25">
      <c r="AL11172" s="6"/>
    </row>
    <row r="11173" spans="38:38" x14ac:dyDescent="0.25">
      <c r="AL11173" s="6"/>
    </row>
    <row r="11174" spans="38:38" x14ac:dyDescent="0.25">
      <c r="AL11174" s="6"/>
    </row>
    <row r="11175" spans="38:38" x14ac:dyDescent="0.25">
      <c r="AL11175" s="6"/>
    </row>
    <row r="11176" spans="38:38" x14ac:dyDescent="0.25">
      <c r="AL11176" s="6"/>
    </row>
    <row r="11177" spans="38:38" x14ac:dyDescent="0.25">
      <c r="AL11177" s="6"/>
    </row>
    <row r="11178" spans="38:38" x14ac:dyDescent="0.25">
      <c r="AL11178" s="6"/>
    </row>
    <row r="11179" spans="38:38" x14ac:dyDescent="0.25">
      <c r="AL11179" s="6"/>
    </row>
    <row r="11180" spans="38:38" x14ac:dyDescent="0.25">
      <c r="AL11180" s="6"/>
    </row>
    <row r="11181" spans="38:38" x14ac:dyDescent="0.25">
      <c r="AL11181" s="6"/>
    </row>
    <row r="11182" spans="38:38" x14ac:dyDescent="0.25">
      <c r="AL11182" s="6"/>
    </row>
    <row r="11183" spans="38:38" x14ac:dyDescent="0.25">
      <c r="AL11183" s="6"/>
    </row>
    <row r="11184" spans="38:38" x14ac:dyDescent="0.25">
      <c r="AL11184" s="6"/>
    </row>
    <row r="11185" spans="38:38" x14ac:dyDescent="0.25">
      <c r="AL11185" s="6"/>
    </row>
    <row r="11186" spans="38:38" x14ac:dyDescent="0.25">
      <c r="AL11186" s="6"/>
    </row>
    <row r="11187" spans="38:38" x14ac:dyDescent="0.25">
      <c r="AL11187" s="6"/>
    </row>
    <row r="11188" spans="38:38" x14ac:dyDescent="0.25">
      <c r="AL11188" s="6"/>
    </row>
    <row r="11189" spans="38:38" x14ac:dyDescent="0.25">
      <c r="AL11189" s="6"/>
    </row>
    <row r="11190" spans="38:38" x14ac:dyDescent="0.25">
      <c r="AL11190" s="6"/>
    </row>
    <row r="11191" spans="38:38" x14ac:dyDescent="0.25">
      <c r="AL11191" s="6"/>
    </row>
    <row r="11192" spans="38:38" x14ac:dyDescent="0.25">
      <c r="AL11192" s="6"/>
    </row>
    <row r="11193" spans="38:38" x14ac:dyDescent="0.25">
      <c r="AL11193" s="6"/>
    </row>
    <row r="11194" spans="38:38" x14ac:dyDescent="0.25">
      <c r="AL11194" s="6"/>
    </row>
    <row r="11195" spans="38:38" x14ac:dyDescent="0.25">
      <c r="AL11195" s="6"/>
    </row>
    <row r="11196" spans="38:38" x14ac:dyDescent="0.25">
      <c r="AL11196" s="6"/>
    </row>
    <row r="11197" spans="38:38" x14ac:dyDescent="0.25">
      <c r="AL11197" s="6"/>
    </row>
    <row r="11198" spans="38:38" x14ac:dyDescent="0.25">
      <c r="AL11198" s="6"/>
    </row>
    <row r="11199" spans="38:38" x14ac:dyDescent="0.25">
      <c r="AL11199" s="6"/>
    </row>
    <row r="11200" spans="38:38" x14ac:dyDescent="0.25">
      <c r="AL11200" s="6"/>
    </row>
    <row r="11201" spans="38:38" x14ac:dyDescent="0.25">
      <c r="AL11201" s="6"/>
    </row>
    <row r="11202" spans="38:38" x14ac:dyDescent="0.25">
      <c r="AL11202" s="6"/>
    </row>
    <row r="11203" spans="38:38" x14ac:dyDescent="0.25">
      <c r="AL11203" s="6"/>
    </row>
    <row r="11204" spans="38:38" x14ac:dyDescent="0.25">
      <c r="AL11204" s="6"/>
    </row>
    <row r="11205" spans="38:38" x14ac:dyDescent="0.25">
      <c r="AL11205" s="6"/>
    </row>
    <row r="11206" spans="38:38" x14ac:dyDescent="0.25">
      <c r="AL11206" s="6"/>
    </row>
    <row r="11207" spans="38:38" x14ac:dyDescent="0.25">
      <c r="AL11207" s="6"/>
    </row>
    <row r="11208" spans="38:38" x14ac:dyDescent="0.25">
      <c r="AL11208" s="6"/>
    </row>
    <row r="11209" spans="38:38" x14ac:dyDescent="0.25">
      <c r="AL11209" s="6"/>
    </row>
    <row r="11210" spans="38:38" x14ac:dyDescent="0.25">
      <c r="AL11210" s="6"/>
    </row>
    <row r="11211" spans="38:38" x14ac:dyDescent="0.25">
      <c r="AL11211" s="6"/>
    </row>
    <row r="11212" spans="38:38" x14ac:dyDescent="0.25">
      <c r="AL11212" s="6"/>
    </row>
    <row r="11213" spans="38:38" x14ac:dyDescent="0.25">
      <c r="AL11213" s="6"/>
    </row>
    <row r="11214" spans="38:38" x14ac:dyDescent="0.25">
      <c r="AL11214" s="6"/>
    </row>
    <row r="11215" spans="38:38" x14ac:dyDescent="0.25">
      <c r="AL11215" s="6"/>
    </row>
    <row r="11216" spans="38:38" x14ac:dyDescent="0.25">
      <c r="AL11216" s="6"/>
    </row>
    <row r="11217" spans="38:38" x14ac:dyDescent="0.25">
      <c r="AL11217" s="6"/>
    </row>
    <row r="11218" spans="38:38" x14ac:dyDescent="0.25">
      <c r="AL11218" s="6"/>
    </row>
    <row r="11219" spans="38:38" x14ac:dyDescent="0.25">
      <c r="AL11219" s="6"/>
    </row>
    <row r="11220" spans="38:38" x14ac:dyDescent="0.25">
      <c r="AL11220" s="6"/>
    </row>
    <row r="11221" spans="38:38" x14ac:dyDescent="0.25">
      <c r="AL11221" s="6"/>
    </row>
    <row r="11222" spans="38:38" x14ac:dyDescent="0.25">
      <c r="AL11222" s="6"/>
    </row>
    <row r="11223" spans="38:38" x14ac:dyDescent="0.25">
      <c r="AL11223" s="6"/>
    </row>
    <row r="11224" spans="38:38" x14ac:dyDescent="0.25">
      <c r="AL11224" s="6"/>
    </row>
    <row r="11225" spans="38:38" x14ac:dyDescent="0.25">
      <c r="AL11225" s="6"/>
    </row>
    <row r="11226" spans="38:38" x14ac:dyDescent="0.25">
      <c r="AL11226" s="6"/>
    </row>
    <row r="11227" spans="38:38" x14ac:dyDescent="0.25">
      <c r="AL11227" s="6"/>
    </row>
    <row r="11228" spans="38:38" x14ac:dyDescent="0.25">
      <c r="AL11228" s="6"/>
    </row>
    <row r="11229" spans="38:38" x14ac:dyDescent="0.25">
      <c r="AL11229" s="6"/>
    </row>
    <row r="11230" spans="38:38" x14ac:dyDescent="0.25">
      <c r="AL11230" s="6"/>
    </row>
    <row r="11231" spans="38:38" x14ac:dyDescent="0.25">
      <c r="AL11231" s="6"/>
    </row>
    <row r="11232" spans="38:38" x14ac:dyDescent="0.25">
      <c r="AL11232" s="6"/>
    </row>
    <row r="11233" spans="38:38" x14ac:dyDescent="0.25">
      <c r="AL11233" s="6"/>
    </row>
    <row r="11234" spans="38:38" x14ac:dyDescent="0.25">
      <c r="AL11234" s="6"/>
    </row>
    <row r="11235" spans="38:38" x14ac:dyDescent="0.25">
      <c r="AL11235" s="6"/>
    </row>
    <row r="11236" spans="38:38" x14ac:dyDescent="0.25">
      <c r="AL11236" s="6"/>
    </row>
    <row r="11237" spans="38:38" x14ac:dyDescent="0.25">
      <c r="AL11237" s="6"/>
    </row>
    <row r="11238" spans="38:38" x14ac:dyDescent="0.25">
      <c r="AL11238" s="6"/>
    </row>
    <row r="11239" spans="38:38" x14ac:dyDescent="0.25">
      <c r="AL11239" s="6"/>
    </row>
    <row r="11240" spans="38:38" x14ac:dyDescent="0.25">
      <c r="AL11240" s="6"/>
    </row>
    <row r="11241" spans="38:38" x14ac:dyDescent="0.25">
      <c r="AL11241" s="6"/>
    </row>
    <row r="11242" spans="38:38" x14ac:dyDescent="0.25">
      <c r="AL11242" s="6"/>
    </row>
    <row r="11243" spans="38:38" x14ac:dyDescent="0.25">
      <c r="AL11243" s="6"/>
    </row>
    <row r="11244" spans="38:38" x14ac:dyDescent="0.25">
      <c r="AL11244" s="6"/>
    </row>
    <row r="11245" spans="38:38" x14ac:dyDescent="0.25">
      <c r="AL11245" s="6"/>
    </row>
    <row r="11246" spans="38:38" x14ac:dyDescent="0.25">
      <c r="AL11246" s="6"/>
    </row>
    <row r="11247" spans="38:38" x14ac:dyDescent="0.25">
      <c r="AL11247" s="6"/>
    </row>
    <row r="11248" spans="38:38" x14ac:dyDescent="0.25">
      <c r="AL11248" s="6"/>
    </row>
    <row r="11249" spans="38:38" x14ac:dyDescent="0.25">
      <c r="AL11249" s="6"/>
    </row>
    <row r="11250" spans="38:38" x14ac:dyDescent="0.25">
      <c r="AL11250" s="6"/>
    </row>
    <row r="11251" spans="38:38" x14ac:dyDescent="0.25">
      <c r="AL11251" s="6"/>
    </row>
    <row r="11252" spans="38:38" x14ac:dyDescent="0.25">
      <c r="AL11252" s="6"/>
    </row>
    <row r="11253" spans="38:38" x14ac:dyDescent="0.25">
      <c r="AL11253" s="6"/>
    </row>
    <row r="11254" spans="38:38" x14ac:dyDescent="0.25">
      <c r="AL11254" s="6"/>
    </row>
    <row r="11255" spans="38:38" x14ac:dyDescent="0.25">
      <c r="AL11255" s="6"/>
    </row>
    <row r="11256" spans="38:38" x14ac:dyDescent="0.25">
      <c r="AL11256" s="6"/>
    </row>
    <row r="11257" spans="38:38" x14ac:dyDescent="0.25">
      <c r="AL11257" s="6"/>
    </row>
    <row r="11258" spans="38:38" x14ac:dyDescent="0.25">
      <c r="AL11258" s="6"/>
    </row>
    <row r="11259" spans="38:38" x14ac:dyDescent="0.25">
      <c r="AL11259" s="6"/>
    </row>
    <row r="11260" spans="38:38" x14ac:dyDescent="0.25">
      <c r="AL11260" s="6"/>
    </row>
    <row r="11261" spans="38:38" x14ac:dyDescent="0.25">
      <c r="AL11261" s="6"/>
    </row>
    <row r="11262" spans="38:38" x14ac:dyDescent="0.25">
      <c r="AL11262" s="6"/>
    </row>
    <row r="11263" spans="38:38" x14ac:dyDescent="0.25">
      <c r="AL11263" s="6"/>
    </row>
    <row r="11264" spans="38:38" x14ac:dyDescent="0.25">
      <c r="AL11264" s="6"/>
    </row>
    <row r="11265" spans="38:38" x14ac:dyDescent="0.25">
      <c r="AL11265" s="6"/>
    </row>
    <row r="11266" spans="38:38" x14ac:dyDescent="0.25">
      <c r="AL11266" s="6"/>
    </row>
    <row r="11267" spans="38:38" x14ac:dyDescent="0.25">
      <c r="AL11267" s="6"/>
    </row>
    <row r="11268" spans="38:38" x14ac:dyDescent="0.25">
      <c r="AL11268" s="6"/>
    </row>
    <row r="11269" spans="38:38" x14ac:dyDescent="0.25">
      <c r="AL11269" s="6"/>
    </row>
    <row r="11270" spans="38:38" x14ac:dyDescent="0.25">
      <c r="AL11270" s="6"/>
    </row>
    <row r="11271" spans="38:38" x14ac:dyDescent="0.25">
      <c r="AL11271" s="6"/>
    </row>
    <row r="11272" spans="38:38" x14ac:dyDescent="0.25">
      <c r="AL11272" s="6"/>
    </row>
    <row r="11273" spans="38:38" x14ac:dyDescent="0.25">
      <c r="AL11273" s="6"/>
    </row>
    <row r="11274" spans="38:38" x14ac:dyDescent="0.25">
      <c r="AL11274" s="6"/>
    </row>
    <row r="11275" spans="38:38" x14ac:dyDescent="0.25">
      <c r="AL11275" s="6"/>
    </row>
    <row r="11276" spans="38:38" x14ac:dyDescent="0.25">
      <c r="AL11276" s="6"/>
    </row>
    <row r="11277" spans="38:38" x14ac:dyDescent="0.25">
      <c r="AL11277" s="6"/>
    </row>
    <row r="11278" spans="38:38" x14ac:dyDescent="0.25">
      <c r="AL11278" s="6"/>
    </row>
    <row r="11279" spans="38:38" x14ac:dyDescent="0.25">
      <c r="AL11279" s="6"/>
    </row>
    <row r="11280" spans="38:38" x14ac:dyDescent="0.25">
      <c r="AL11280" s="6"/>
    </row>
    <row r="11281" spans="38:38" x14ac:dyDescent="0.25">
      <c r="AL11281" s="6"/>
    </row>
    <row r="11282" spans="38:38" x14ac:dyDescent="0.25">
      <c r="AL11282" s="6"/>
    </row>
    <row r="11283" spans="38:38" x14ac:dyDescent="0.25">
      <c r="AL11283" s="6"/>
    </row>
    <row r="11284" spans="38:38" x14ac:dyDescent="0.25">
      <c r="AL11284" s="6"/>
    </row>
    <row r="11285" spans="38:38" x14ac:dyDescent="0.25">
      <c r="AL11285" s="6"/>
    </row>
    <row r="11286" spans="38:38" x14ac:dyDescent="0.25">
      <c r="AL11286" s="6"/>
    </row>
    <row r="11287" spans="38:38" x14ac:dyDescent="0.25">
      <c r="AL11287" s="6"/>
    </row>
    <row r="11288" spans="38:38" x14ac:dyDescent="0.25">
      <c r="AL11288" s="6"/>
    </row>
    <row r="11289" spans="38:38" x14ac:dyDescent="0.25">
      <c r="AL11289" s="6"/>
    </row>
    <row r="11290" spans="38:38" x14ac:dyDescent="0.25">
      <c r="AL11290" s="6"/>
    </row>
    <row r="11291" spans="38:38" x14ac:dyDescent="0.25">
      <c r="AL11291" s="6"/>
    </row>
    <row r="11292" spans="38:38" x14ac:dyDescent="0.25">
      <c r="AL11292" s="6"/>
    </row>
    <row r="11293" spans="38:38" x14ac:dyDescent="0.25">
      <c r="AL11293" s="6"/>
    </row>
    <row r="11294" spans="38:38" x14ac:dyDescent="0.25">
      <c r="AL11294" s="6"/>
    </row>
    <row r="11295" spans="38:38" x14ac:dyDescent="0.25">
      <c r="AL11295" s="6"/>
    </row>
    <row r="11296" spans="38:38" x14ac:dyDescent="0.25">
      <c r="AL11296" s="6"/>
    </row>
    <row r="11297" spans="38:38" x14ac:dyDescent="0.25">
      <c r="AL11297" s="6"/>
    </row>
    <row r="11298" spans="38:38" x14ac:dyDescent="0.25">
      <c r="AL11298" s="6"/>
    </row>
    <row r="11299" spans="38:38" x14ac:dyDescent="0.25">
      <c r="AL11299" s="6"/>
    </row>
    <row r="11300" spans="38:38" x14ac:dyDescent="0.25">
      <c r="AL11300" s="6"/>
    </row>
    <row r="11301" spans="38:38" x14ac:dyDescent="0.25">
      <c r="AL11301" s="6"/>
    </row>
    <row r="11302" spans="38:38" x14ac:dyDescent="0.25">
      <c r="AL11302" s="6"/>
    </row>
    <row r="11303" spans="38:38" x14ac:dyDescent="0.25">
      <c r="AL11303" s="6"/>
    </row>
    <row r="11304" spans="38:38" x14ac:dyDescent="0.25">
      <c r="AL11304" s="6"/>
    </row>
    <row r="11305" spans="38:38" x14ac:dyDescent="0.25">
      <c r="AL11305" s="6"/>
    </row>
    <row r="11306" spans="38:38" x14ac:dyDescent="0.25">
      <c r="AL11306" s="6"/>
    </row>
    <row r="11307" spans="38:38" x14ac:dyDescent="0.25">
      <c r="AL11307" s="6"/>
    </row>
    <row r="11308" spans="38:38" x14ac:dyDescent="0.25">
      <c r="AL11308" s="6"/>
    </row>
    <row r="11309" spans="38:38" x14ac:dyDescent="0.25">
      <c r="AL11309" s="6"/>
    </row>
    <row r="11310" spans="38:38" x14ac:dyDescent="0.25">
      <c r="AL11310" s="6"/>
    </row>
    <row r="11311" spans="38:38" x14ac:dyDescent="0.25">
      <c r="AL11311" s="6"/>
    </row>
    <row r="11312" spans="38:38" x14ac:dyDescent="0.25">
      <c r="AL11312" s="6"/>
    </row>
    <row r="11313" spans="38:38" x14ac:dyDescent="0.25">
      <c r="AL11313" s="6"/>
    </row>
    <row r="11314" spans="38:38" x14ac:dyDescent="0.25">
      <c r="AL11314" s="6"/>
    </row>
    <row r="11315" spans="38:38" x14ac:dyDescent="0.25">
      <c r="AL11315" s="6"/>
    </row>
    <row r="11316" spans="38:38" x14ac:dyDescent="0.25">
      <c r="AL11316" s="6"/>
    </row>
    <row r="11317" spans="38:38" x14ac:dyDescent="0.25">
      <c r="AL11317" s="6"/>
    </row>
    <row r="11318" spans="38:38" x14ac:dyDescent="0.25">
      <c r="AL11318" s="6"/>
    </row>
    <row r="11319" spans="38:38" x14ac:dyDescent="0.25">
      <c r="AL11319" s="6"/>
    </row>
    <row r="11320" spans="38:38" x14ac:dyDescent="0.25">
      <c r="AL11320" s="6"/>
    </row>
    <row r="11321" spans="38:38" x14ac:dyDescent="0.25">
      <c r="AL11321" s="6"/>
    </row>
    <row r="11322" spans="38:38" x14ac:dyDescent="0.25">
      <c r="AL11322" s="6"/>
    </row>
    <row r="11323" spans="38:38" x14ac:dyDescent="0.25">
      <c r="AL11323" s="6"/>
    </row>
    <row r="11324" spans="38:38" x14ac:dyDescent="0.25">
      <c r="AL11324" s="6"/>
    </row>
    <row r="11325" spans="38:38" x14ac:dyDescent="0.25">
      <c r="AL11325" s="6"/>
    </row>
    <row r="11326" spans="38:38" x14ac:dyDescent="0.25">
      <c r="AL11326" s="6"/>
    </row>
    <row r="11327" spans="38:38" x14ac:dyDescent="0.25">
      <c r="AL11327" s="6"/>
    </row>
    <row r="11328" spans="38:38" x14ac:dyDescent="0.25">
      <c r="AL11328" s="6"/>
    </row>
    <row r="11329" spans="38:38" x14ac:dyDescent="0.25">
      <c r="AL11329" s="6"/>
    </row>
    <row r="11330" spans="38:38" x14ac:dyDescent="0.25">
      <c r="AL11330" s="6"/>
    </row>
    <row r="11331" spans="38:38" x14ac:dyDescent="0.25">
      <c r="AL11331" s="6"/>
    </row>
    <row r="11332" spans="38:38" x14ac:dyDescent="0.25">
      <c r="AL11332" s="6"/>
    </row>
    <row r="11333" spans="38:38" x14ac:dyDescent="0.25">
      <c r="AL11333" s="6"/>
    </row>
    <row r="11334" spans="38:38" x14ac:dyDescent="0.25">
      <c r="AL11334" s="6"/>
    </row>
    <row r="11335" spans="38:38" x14ac:dyDescent="0.25">
      <c r="AL11335" s="6"/>
    </row>
    <row r="11336" spans="38:38" x14ac:dyDescent="0.25">
      <c r="AL11336" s="6"/>
    </row>
    <row r="11337" spans="38:38" x14ac:dyDescent="0.25">
      <c r="AL11337" s="6"/>
    </row>
    <row r="11338" spans="38:38" x14ac:dyDescent="0.25">
      <c r="AL11338" s="6"/>
    </row>
    <row r="11339" spans="38:38" x14ac:dyDescent="0.25">
      <c r="AL11339" s="6"/>
    </row>
    <row r="11340" spans="38:38" x14ac:dyDescent="0.25">
      <c r="AL11340" s="6"/>
    </row>
    <row r="11341" spans="38:38" x14ac:dyDescent="0.25">
      <c r="AL11341" s="6"/>
    </row>
    <row r="11342" spans="38:38" x14ac:dyDescent="0.25">
      <c r="AL11342" s="6"/>
    </row>
    <row r="11343" spans="38:38" x14ac:dyDescent="0.25">
      <c r="AL11343" s="6"/>
    </row>
    <row r="11344" spans="38:38" x14ac:dyDescent="0.25">
      <c r="AL11344" s="6"/>
    </row>
    <row r="11345" spans="38:38" x14ac:dyDescent="0.25">
      <c r="AL11345" s="6"/>
    </row>
    <row r="11346" spans="38:38" x14ac:dyDescent="0.25">
      <c r="AL11346" s="6"/>
    </row>
    <row r="11347" spans="38:38" x14ac:dyDescent="0.25">
      <c r="AL11347" s="6"/>
    </row>
    <row r="11348" spans="38:38" x14ac:dyDescent="0.25">
      <c r="AL11348" s="6"/>
    </row>
    <row r="11349" spans="38:38" x14ac:dyDescent="0.25">
      <c r="AL11349" s="6"/>
    </row>
    <row r="11350" spans="38:38" x14ac:dyDescent="0.25">
      <c r="AL11350" s="6"/>
    </row>
    <row r="11351" spans="38:38" x14ac:dyDescent="0.25">
      <c r="AL11351" s="6"/>
    </row>
    <row r="11352" spans="38:38" x14ac:dyDescent="0.25">
      <c r="AL11352" s="6"/>
    </row>
    <row r="11353" spans="38:38" x14ac:dyDescent="0.25">
      <c r="AL11353" s="6"/>
    </row>
    <row r="11354" spans="38:38" x14ac:dyDescent="0.25">
      <c r="AL11354" s="6"/>
    </row>
    <row r="11355" spans="38:38" x14ac:dyDescent="0.25">
      <c r="AL11355" s="6"/>
    </row>
    <row r="11356" spans="38:38" x14ac:dyDescent="0.25">
      <c r="AL11356" s="6"/>
    </row>
    <row r="11357" spans="38:38" x14ac:dyDescent="0.25">
      <c r="AL11357" s="6"/>
    </row>
    <row r="11358" spans="38:38" x14ac:dyDescent="0.25">
      <c r="AL11358" s="6"/>
    </row>
    <row r="11359" spans="38:38" x14ac:dyDescent="0.25">
      <c r="AL11359" s="6"/>
    </row>
    <row r="11360" spans="38:38" x14ac:dyDescent="0.25">
      <c r="AL11360" s="6"/>
    </row>
    <row r="11361" spans="38:38" x14ac:dyDescent="0.25">
      <c r="AL11361" s="6"/>
    </row>
    <row r="11362" spans="38:38" x14ac:dyDescent="0.25">
      <c r="AL11362" s="6"/>
    </row>
    <row r="11363" spans="38:38" x14ac:dyDescent="0.25">
      <c r="AL11363" s="6"/>
    </row>
    <row r="11364" spans="38:38" x14ac:dyDescent="0.25">
      <c r="AL11364" s="6"/>
    </row>
    <row r="11365" spans="38:38" x14ac:dyDescent="0.25">
      <c r="AL11365" s="6"/>
    </row>
    <row r="11366" spans="38:38" x14ac:dyDescent="0.25">
      <c r="AL11366" s="6"/>
    </row>
    <row r="11367" spans="38:38" x14ac:dyDescent="0.25">
      <c r="AL11367" s="6"/>
    </row>
    <row r="11368" spans="38:38" x14ac:dyDescent="0.25">
      <c r="AL11368" s="6"/>
    </row>
    <row r="11369" spans="38:38" x14ac:dyDescent="0.25">
      <c r="AL11369" s="6"/>
    </row>
    <row r="11370" spans="38:38" x14ac:dyDescent="0.25">
      <c r="AL11370" s="6"/>
    </row>
    <row r="11371" spans="38:38" x14ac:dyDescent="0.25">
      <c r="AL11371" s="6"/>
    </row>
    <row r="11372" spans="38:38" x14ac:dyDescent="0.25">
      <c r="AL11372" s="6"/>
    </row>
    <row r="11373" spans="38:38" x14ac:dyDescent="0.25">
      <c r="AL11373" s="6"/>
    </row>
    <row r="11374" spans="38:38" x14ac:dyDescent="0.25">
      <c r="AL11374" s="6"/>
    </row>
    <row r="11375" spans="38:38" x14ac:dyDescent="0.25">
      <c r="AL11375" s="6"/>
    </row>
    <row r="11376" spans="38:38" x14ac:dyDescent="0.25">
      <c r="AL11376" s="6"/>
    </row>
    <row r="11377" spans="38:38" x14ac:dyDescent="0.25">
      <c r="AL11377" s="6"/>
    </row>
    <row r="11378" spans="38:38" x14ac:dyDescent="0.25">
      <c r="AL11378" s="6"/>
    </row>
    <row r="11379" spans="38:38" x14ac:dyDescent="0.25">
      <c r="AL11379" s="6"/>
    </row>
    <row r="11380" spans="38:38" x14ac:dyDescent="0.25">
      <c r="AL11380" s="6"/>
    </row>
    <row r="11381" spans="38:38" x14ac:dyDescent="0.25">
      <c r="AL11381" s="6"/>
    </row>
    <row r="11382" spans="38:38" x14ac:dyDescent="0.25">
      <c r="AL11382" s="6"/>
    </row>
    <row r="11383" spans="38:38" x14ac:dyDescent="0.25">
      <c r="AL11383" s="6"/>
    </row>
    <row r="11384" spans="38:38" x14ac:dyDescent="0.25">
      <c r="AL11384" s="6"/>
    </row>
    <row r="11385" spans="38:38" x14ac:dyDescent="0.25">
      <c r="AL11385" s="6"/>
    </row>
    <row r="11386" spans="38:38" x14ac:dyDescent="0.25">
      <c r="AL11386" s="6"/>
    </row>
    <row r="11387" spans="38:38" x14ac:dyDescent="0.25">
      <c r="AL11387" s="6"/>
    </row>
    <row r="11388" spans="38:38" x14ac:dyDescent="0.25">
      <c r="AL11388" s="6"/>
    </row>
    <row r="11389" spans="38:38" x14ac:dyDescent="0.25">
      <c r="AL11389" s="6"/>
    </row>
    <row r="11390" spans="38:38" x14ac:dyDescent="0.25">
      <c r="AL11390" s="6"/>
    </row>
    <row r="11391" spans="38:38" x14ac:dyDescent="0.25">
      <c r="AL11391" s="6"/>
    </row>
    <row r="11392" spans="38:38" x14ac:dyDescent="0.25">
      <c r="AL11392" s="6"/>
    </row>
    <row r="11393" spans="38:38" x14ac:dyDescent="0.25">
      <c r="AL11393" s="6"/>
    </row>
    <row r="11394" spans="38:38" x14ac:dyDescent="0.25">
      <c r="AL11394" s="6"/>
    </row>
    <row r="11395" spans="38:38" x14ac:dyDescent="0.25">
      <c r="AL11395" s="6"/>
    </row>
    <row r="11396" spans="38:38" x14ac:dyDescent="0.25">
      <c r="AL11396" s="6"/>
    </row>
    <row r="11397" spans="38:38" x14ac:dyDescent="0.25">
      <c r="AL11397" s="6"/>
    </row>
    <row r="11398" spans="38:38" x14ac:dyDescent="0.25">
      <c r="AL11398" s="6"/>
    </row>
    <row r="11399" spans="38:38" x14ac:dyDescent="0.25">
      <c r="AL11399" s="6"/>
    </row>
    <row r="11400" spans="38:38" x14ac:dyDescent="0.25">
      <c r="AL11400" s="6"/>
    </row>
    <row r="11401" spans="38:38" x14ac:dyDescent="0.25">
      <c r="AL11401" s="6"/>
    </row>
    <row r="11402" spans="38:38" x14ac:dyDescent="0.25">
      <c r="AL11402" s="6"/>
    </row>
    <row r="11403" spans="38:38" x14ac:dyDescent="0.25">
      <c r="AL11403" s="6"/>
    </row>
    <row r="11404" spans="38:38" x14ac:dyDescent="0.25">
      <c r="AL11404" s="6"/>
    </row>
    <row r="11405" spans="38:38" x14ac:dyDescent="0.25">
      <c r="AL11405" s="6"/>
    </row>
    <row r="11406" spans="38:38" x14ac:dyDescent="0.25">
      <c r="AL11406" s="6"/>
    </row>
    <row r="11407" spans="38:38" x14ac:dyDescent="0.25">
      <c r="AL11407" s="6"/>
    </row>
    <row r="11408" spans="38:38" x14ac:dyDescent="0.25">
      <c r="AL11408" s="6"/>
    </row>
    <row r="11409" spans="38:38" x14ac:dyDescent="0.25">
      <c r="AL11409" s="6"/>
    </row>
    <row r="11410" spans="38:38" x14ac:dyDescent="0.25">
      <c r="AL11410" s="6"/>
    </row>
    <row r="11411" spans="38:38" x14ac:dyDescent="0.25">
      <c r="AL11411" s="6"/>
    </row>
    <row r="11412" spans="38:38" x14ac:dyDescent="0.25">
      <c r="AL11412" s="6"/>
    </row>
    <row r="11413" spans="38:38" x14ac:dyDescent="0.25">
      <c r="AL11413" s="6"/>
    </row>
    <row r="11414" spans="38:38" x14ac:dyDescent="0.25">
      <c r="AL11414" s="6"/>
    </row>
    <row r="11415" spans="38:38" x14ac:dyDescent="0.25">
      <c r="AL11415" s="6"/>
    </row>
    <row r="11416" spans="38:38" x14ac:dyDescent="0.25">
      <c r="AL11416" s="6"/>
    </row>
    <row r="11417" spans="38:38" x14ac:dyDescent="0.25">
      <c r="AL11417" s="6"/>
    </row>
    <row r="11418" spans="38:38" x14ac:dyDescent="0.25">
      <c r="AL11418" s="6"/>
    </row>
    <row r="11419" spans="38:38" x14ac:dyDescent="0.25">
      <c r="AL11419" s="6"/>
    </row>
    <row r="11420" spans="38:38" x14ac:dyDescent="0.25">
      <c r="AL11420" s="6"/>
    </row>
    <row r="11421" spans="38:38" x14ac:dyDescent="0.25">
      <c r="AL11421" s="6"/>
    </row>
    <row r="11422" spans="38:38" x14ac:dyDescent="0.25">
      <c r="AL11422" s="6"/>
    </row>
    <row r="11423" spans="38:38" x14ac:dyDescent="0.25">
      <c r="AL11423" s="6"/>
    </row>
    <row r="11424" spans="38:38" x14ac:dyDescent="0.25">
      <c r="AL11424" s="6"/>
    </row>
    <row r="11425" spans="38:38" x14ac:dyDescent="0.25">
      <c r="AL11425" s="6"/>
    </row>
    <row r="11426" spans="38:38" x14ac:dyDescent="0.25">
      <c r="AL11426" s="6"/>
    </row>
    <row r="11427" spans="38:38" x14ac:dyDescent="0.25">
      <c r="AL11427" s="6"/>
    </row>
    <row r="11428" spans="38:38" x14ac:dyDescent="0.25">
      <c r="AL11428" s="6"/>
    </row>
    <row r="11429" spans="38:38" x14ac:dyDescent="0.25">
      <c r="AL11429" s="6"/>
    </row>
    <row r="11430" spans="38:38" x14ac:dyDescent="0.25">
      <c r="AL11430" s="6"/>
    </row>
    <row r="11431" spans="38:38" x14ac:dyDescent="0.25">
      <c r="AL11431" s="6"/>
    </row>
    <row r="11432" spans="38:38" x14ac:dyDescent="0.25">
      <c r="AL11432" s="6"/>
    </row>
    <row r="11433" spans="38:38" x14ac:dyDescent="0.25">
      <c r="AL11433" s="6"/>
    </row>
    <row r="11434" spans="38:38" x14ac:dyDescent="0.25">
      <c r="AL11434" s="6"/>
    </row>
    <row r="11435" spans="38:38" x14ac:dyDescent="0.25">
      <c r="AL11435" s="6"/>
    </row>
    <row r="11436" spans="38:38" x14ac:dyDescent="0.25">
      <c r="AL11436" s="6"/>
    </row>
    <row r="11437" spans="38:38" x14ac:dyDescent="0.25">
      <c r="AL11437" s="6"/>
    </row>
    <row r="11438" spans="38:38" x14ac:dyDescent="0.25">
      <c r="AL11438" s="6"/>
    </row>
    <row r="11439" spans="38:38" x14ac:dyDescent="0.25">
      <c r="AL11439" s="6"/>
    </row>
    <row r="11440" spans="38:38" x14ac:dyDescent="0.25">
      <c r="AL11440" s="6"/>
    </row>
    <row r="11441" spans="38:38" x14ac:dyDescent="0.25">
      <c r="AL11441" s="6"/>
    </row>
    <row r="11442" spans="38:38" x14ac:dyDescent="0.25">
      <c r="AL11442" s="6"/>
    </row>
    <row r="11443" spans="38:38" x14ac:dyDescent="0.25">
      <c r="AL11443" s="6"/>
    </row>
    <row r="11444" spans="38:38" x14ac:dyDescent="0.25">
      <c r="AL11444" s="6"/>
    </row>
    <row r="11445" spans="38:38" x14ac:dyDescent="0.25">
      <c r="AL11445" s="6"/>
    </row>
    <row r="11446" spans="38:38" x14ac:dyDescent="0.25">
      <c r="AL11446" s="6"/>
    </row>
    <row r="11447" spans="38:38" x14ac:dyDescent="0.25">
      <c r="AL11447" s="6"/>
    </row>
    <row r="11448" spans="38:38" x14ac:dyDescent="0.25">
      <c r="AL11448" s="6"/>
    </row>
    <row r="11449" spans="38:38" x14ac:dyDescent="0.25">
      <c r="AL11449" s="6"/>
    </row>
    <row r="11450" spans="38:38" x14ac:dyDescent="0.25">
      <c r="AL11450" s="6"/>
    </row>
    <row r="11451" spans="38:38" x14ac:dyDescent="0.25">
      <c r="AL11451" s="6"/>
    </row>
    <row r="11452" spans="38:38" x14ac:dyDescent="0.25">
      <c r="AL11452" s="6"/>
    </row>
    <row r="11453" spans="38:38" x14ac:dyDescent="0.25">
      <c r="AL11453" s="6"/>
    </row>
    <row r="11454" spans="38:38" x14ac:dyDescent="0.25">
      <c r="AL11454" s="6"/>
    </row>
    <row r="11455" spans="38:38" x14ac:dyDescent="0.25">
      <c r="AL11455" s="6"/>
    </row>
    <row r="11456" spans="38:38" x14ac:dyDescent="0.25">
      <c r="AL11456" s="6"/>
    </row>
    <row r="11457" spans="38:38" x14ac:dyDescent="0.25">
      <c r="AL11457" s="6"/>
    </row>
    <row r="11458" spans="38:38" x14ac:dyDescent="0.25">
      <c r="AL11458" s="6"/>
    </row>
    <row r="11459" spans="38:38" x14ac:dyDescent="0.25">
      <c r="AL11459" s="6"/>
    </row>
    <row r="11460" spans="38:38" x14ac:dyDescent="0.25">
      <c r="AL11460" s="6"/>
    </row>
    <row r="11461" spans="38:38" x14ac:dyDescent="0.25">
      <c r="AL11461" s="6"/>
    </row>
    <row r="11462" spans="38:38" x14ac:dyDescent="0.25">
      <c r="AL11462" s="6"/>
    </row>
    <row r="11463" spans="38:38" x14ac:dyDescent="0.25">
      <c r="AL11463" s="6"/>
    </row>
    <row r="11464" spans="38:38" x14ac:dyDescent="0.25">
      <c r="AL11464" s="6"/>
    </row>
    <row r="11465" spans="38:38" x14ac:dyDescent="0.25">
      <c r="AL11465" s="6"/>
    </row>
    <row r="11466" spans="38:38" x14ac:dyDescent="0.25">
      <c r="AL11466" s="6"/>
    </row>
    <row r="11467" spans="38:38" x14ac:dyDescent="0.25">
      <c r="AL11467" s="6"/>
    </row>
    <row r="11468" spans="38:38" x14ac:dyDescent="0.25">
      <c r="AL11468" s="6"/>
    </row>
    <row r="11469" spans="38:38" x14ac:dyDescent="0.25">
      <c r="AL11469" s="6"/>
    </row>
    <row r="11470" spans="38:38" x14ac:dyDescent="0.25">
      <c r="AL11470" s="6"/>
    </row>
    <row r="11471" spans="38:38" x14ac:dyDescent="0.25">
      <c r="AL11471" s="6"/>
    </row>
    <row r="11472" spans="38:38" x14ac:dyDescent="0.25">
      <c r="AL11472" s="6"/>
    </row>
    <row r="11473" spans="38:38" x14ac:dyDescent="0.25">
      <c r="AL11473" s="6"/>
    </row>
    <row r="11474" spans="38:38" x14ac:dyDescent="0.25">
      <c r="AL11474" s="6"/>
    </row>
    <row r="11475" spans="38:38" x14ac:dyDescent="0.25">
      <c r="AL11475" s="6"/>
    </row>
    <row r="11476" spans="38:38" x14ac:dyDescent="0.25">
      <c r="AL11476" s="6"/>
    </row>
    <row r="11477" spans="38:38" x14ac:dyDescent="0.25">
      <c r="AL11477" s="6"/>
    </row>
    <row r="11478" spans="38:38" x14ac:dyDescent="0.25">
      <c r="AL11478" s="6"/>
    </row>
    <row r="11479" spans="38:38" x14ac:dyDescent="0.25">
      <c r="AL11479" s="6"/>
    </row>
    <row r="11480" spans="38:38" x14ac:dyDescent="0.25">
      <c r="AL11480" s="6"/>
    </row>
    <row r="11481" spans="38:38" x14ac:dyDescent="0.25">
      <c r="AL11481" s="6"/>
    </row>
    <row r="11482" spans="38:38" x14ac:dyDescent="0.25">
      <c r="AL11482" s="6"/>
    </row>
    <row r="11483" spans="38:38" x14ac:dyDescent="0.25">
      <c r="AL11483" s="6"/>
    </row>
    <row r="11484" spans="38:38" x14ac:dyDescent="0.25">
      <c r="AL11484" s="6"/>
    </row>
    <row r="11485" spans="38:38" x14ac:dyDescent="0.25">
      <c r="AL11485" s="6"/>
    </row>
    <row r="11486" spans="38:38" x14ac:dyDescent="0.25">
      <c r="AL11486" s="6"/>
    </row>
    <row r="11487" spans="38:38" x14ac:dyDescent="0.25">
      <c r="AL11487" s="6"/>
    </row>
    <row r="11488" spans="38:38" x14ac:dyDescent="0.25">
      <c r="AL11488" s="6"/>
    </row>
    <row r="11489" spans="38:38" x14ac:dyDescent="0.25">
      <c r="AL11489" s="6"/>
    </row>
    <row r="11490" spans="38:38" x14ac:dyDescent="0.25">
      <c r="AL11490" s="6"/>
    </row>
    <row r="11491" spans="38:38" x14ac:dyDescent="0.25">
      <c r="AL11491" s="6"/>
    </row>
    <row r="11492" spans="38:38" x14ac:dyDescent="0.25">
      <c r="AL11492" s="6"/>
    </row>
    <row r="11493" spans="38:38" x14ac:dyDescent="0.25">
      <c r="AL11493" s="6"/>
    </row>
    <row r="11494" spans="38:38" x14ac:dyDescent="0.25">
      <c r="AL11494" s="6"/>
    </row>
    <row r="11495" spans="38:38" x14ac:dyDescent="0.25">
      <c r="AL11495" s="6"/>
    </row>
    <row r="11496" spans="38:38" x14ac:dyDescent="0.25">
      <c r="AL11496" s="6"/>
    </row>
    <row r="11497" spans="38:38" x14ac:dyDescent="0.25">
      <c r="AL11497" s="6"/>
    </row>
    <row r="11498" spans="38:38" x14ac:dyDescent="0.25">
      <c r="AL11498" s="6"/>
    </row>
    <row r="11499" spans="38:38" x14ac:dyDescent="0.25">
      <c r="AL11499" s="6"/>
    </row>
    <row r="11500" spans="38:38" x14ac:dyDescent="0.25">
      <c r="AL11500" s="6"/>
    </row>
    <row r="11501" spans="38:38" x14ac:dyDescent="0.25">
      <c r="AL11501" s="6"/>
    </row>
    <row r="11502" spans="38:38" x14ac:dyDescent="0.25">
      <c r="AL11502" s="6"/>
    </row>
    <row r="11503" spans="38:38" x14ac:dyDescent="0.25">
      <c r="AL11503" s="6"/>
    </row>
    <row r="11504" spans="38:38" x14ac:dyDescent="0.25">
      <c r="AL11504" s="6"/>
    </row>
    <row r="11505" spans="38:38" x14ac:dyDescent="0.25">
      <c r="AL11505" s="6"/>
    </row>
    <row r="11506" spans="38:38" x14ac:dyDescent="0.25">
      <c r="AL11506" s="6"/>
    </row>
    <row r="11507" spans="38:38" x14ac:dyDescent="0.25">
      <c r="AL11507" s="6"/>
    </row>
    <row r="11508" spans="38:38" x14ac:dyDescent="0.25">
      <c r="AL11508" s="6"/>
    </row>
    <row r="11509" spans="38:38" x14ac:dyDescent="0.25">
      <c r="AL11509" s="6"/>
    </row>
    <row r="11510" spans="38:38" x14ac:dyDescent="0.25">
      <c r="AL11510" s="6"/>
    </row>
    <row r="11511" spans="38:38" x14ac:dyDescent="0.25">
      <c r="AL11511" s="6"/>
    </row>
    <row r="11512" spans="38:38" x14ac:dyDescent="0.25">
      <c r="AL11512" s="6"/>
    </row>
    <row r="11513" spans="38:38" x14ac:dyDescent="0.25">
      <c r="AL11513" s="6"/>
    </row>
    <row r="11514" spans="38:38" x14ac:dyDescent="0.25">
      <c r="AL11514" s="6"/>
    </row>
    <row r="11515" spans="38:38" x14ac:dyDescent="0.25">
      <c r="AL11515" s="6"/>
    </row>
    <row r="11516" spans="38:38" x14ac:dyDescent="0.25">
      <c r="AL11516" s="6"/>
    </row>
    <row r="11517" spans="38:38" x14ac:dyDescent="0.25">
      <c r="AL11517" s="6"/>
    </row>
    <row r="11518" spans="38:38" x14ac:dyDescent="0.25">
      <c r="AL11518" s="6"/>
    </row>
    <row r="11519" spans="38:38" x14ac:dyDescent="0.25">
      <c r="AL11519" s="6"/>
    </row>
    <row r="11520" spans="38:38" x14ac:dyDescent="0.25">
      <c r="AL11520" s="6"/>
    </row>
    <row r="11521" spans="38:38" x14ac:dyDescent="0.25">
      <c r="AL11521" s="6"/>
    </row>
    <row r="11522" spans="38:38" x14ac:dyDescent="0.25">
      <c r="AL11522" s="6"/>
    </row>
    <row r="11523" spans="38:38" x14ac:dyDescent="0.25">
      <c r="AL11523" s="6"/>
    </row>
    <row r="11524" spans="38:38" x14ac:dyDescent="0.25">
      <c r="AL11524" s="6"/>
    </row>
    <row r="11525" spans="38:38" x14ac:dyDescent="0.25">
      <c r="AL11525" s="6"/>
    </row>
    <row r="11526" spans="38:38" x14ac:dyDescent="0.25">
      <c r="AL11526" s="6"/>
    </row>
    <row r="11527" spans="38:38" x14ac:dyDescent="0.25">
      <c r="AL11527" s="6"/>
    </row>
    <row r="11528" spans="38:38" x14ac:dyDescent="0.25">
      <c r="AL11528" s="6"/>
    </row>
    <row r="11529" spans="38:38" x14ac:dyDescent="0.25">
      <c r="AL11529" s="6"/>
    </row>
    <row r="11530" spans="38:38" x14ac:dyDescent="0.25">
      <c r="AL11530" s="6"/>
    </row>
    <row r="11531" spans="38:38" x14ac:dyDescent="0.25">
      <c r="AL11531" s="6"/>
    </row>
    <row r="11532" spans="38:38" x14ac:dyDescent="0.25">
      <c r="AL11532" s="6"/>
    </row>
    <row r="11533" spans="38:38" x14ac:dyDescent="0.25">
      <c r="AL11533" s="6"/>
    </row>
    <row r="11534" spans="38:38" x14ac:dyDescent="0.25">
      <c r="AL11534" s="6"/>
    </row>
    <row r="11535" spans="38:38" x14ac:dyDescent="0.25">
      <c r="AL11535" s="6"/>
    </row>
    <row r="11536" spans="38:38" x14ac:dyDescent="0.25">
      <c r="AL11536" s="6"/>
    </row>
    <row r="11537" spans="38:38" x14ac:dyDescent="0.25">
      <c r="AL11537" s="6"/>
    </row>
    <row r="11538" spans="38:38" x14ac:dyDescent="0.25">
      <c r="AL11538" s="6"/>
    </row>
    <row r="11539" spans="38:38" x14ac:dyDescent="0.25">
      <c r="AL11539" s="6"/>
    </row>
    <row r="11540" spans="38:38" x14ac:dyDescent="0.25">
      <c r="AL11540" s="6"/>
    </row>
    <row r="11541" spans="38:38" x14ac:dyDescent="0.25">
      <c r="AL11541" s="6"/>
    </row>
    <row r="11542" spans="38:38" x14ac:dyDescent="0.25">
      <c r="AL11542" s="6"/>
    </row>
    <row r="11543" spans="38:38" x14ac:dyDescent="0.25">
      <c r="AL11543" s="6"/>
    </row>
    <row r="11544" spans="38:38" x14ac:dyDescent="0.25">
      <c r="AL11544" s="6"/>
    </row>
    <row r="11545" spans="38:38" x14ac:dyDescent="0.25">
      <c r="AL11545" s="6"/>
    </row>
    <row r="11546" spans="38:38" x14ac:dyDescent="0.25">
      <c r="AL11546" s="6"/>
    </row>
    <row r="11547" spans="38:38" x14ac:dyDescent="0.25">
      <c r="AL11547" s="6"/>
    </row>
    <row r="11548" spans="38:38" x14ac:dyDescent="0.25">
      <c r="AL11548" s="6"/>
    </row>
    <row r="11549" spans="38:38" x14ac:dyDescent="0.25">
      <c r="AL11549" s="6"/>
    </row>
    <row r="11550" spans="38:38" x14ac:dyDescent="0.25">
      <c r="AL11550" s="6"/>
    </row>
    <row r="11551" spans="38:38" x14ac:dyDescent="0.25">
      <c r="AL11551" s="6"/>
    </row>
    <row r="11552" spans="38:38" x14ac:dyDescent="0.25">
      <c r="AL11552" s="6"/>
    </row>
    <row r="11553" spans="38:38" x14ac:dyDescent="0.25">
      <c r="AL11553" s="6"/>
    </row>
    <row r="11554" spans="38:38" x14ac:dyDescent="0.25">
      <c r="AL11554" s="6"/>
    </row>
    <row r="11555" spans="38:38" x14ac:dyDescent="0.25">
      <c r="AL11555" s="6"/>
    </row>
    <row r="11556" spans="38:38" x14ac:dyDescent="0.25">
      <c r="AL11556" s="6"/>
    </row>
    <row r="11557" spans="38:38" x14ac:dyDescent="0.25">
      <c r="AL11557" s="6"/>
    </row>
    <row r="11558" spans="38:38" x14ac:dyDescent="0.25">
      <c r="AL11558" s="6"/>
    </row>
    <row r="11559" spans="38:38" x14ac:dyDescent="0.25">
      <c r="AL11559" s="6"/>
    </row>
    <row r="11560" spans="38:38" x14ac:dyDescent="0.25">
      <c r="AL11560" s="6"/>
    </row>
    <row r="11561" spans="38:38" x14ac:dyDescent="0.25">
      <c r="AL11561" s="6"/>
    </row>
    <row r="11562" spans="38:38" x14ac:dyDescent="0.25">
      <c r="AL11562" s="6"/>
    </row>
    <row r="11563" spans="38:38" x14ac:dyDescent="0.25">
      <c r="AL11563" s="6"/>
    </row>
    <row r="11564" spans="38:38" x14ac:dyDescent="0.25">
      <c r="AL11564" s="6"/>
    </row>
    <row r="11565" spans="38:38" x14ac:dyDescent="0.25">
      <c r="AL11565" s="6"/>
    </row>
    <row r="11566" spans="38:38" x14ac:dyDescent="0.25">
      <c r="AL11566" s="6"/>
    </row>
    <row r="11567" spans="38:38" x14ac:dyDescent="0.25">
      <c r="AL11567" s="6"/>
    </row>
    <row r="11568" spans="38:38" x14ac:dyDescent="0.25">
      <c r="AL11568" s="6"/>
    </row>
    <row r="11569" spans="38:38" x14ac:dyDescent="0.25">
      <c r="AL11569" s="6"/>
    </row>
    <row r="11570" spans="38:38" x14ac:dyDescent="0.25">
      <c r="AL11570" s="6"/>
    </row>
    <row r="11571" spans="38:38" x14ac:dyDescent="0.25">
      <c r="AL11571" s="6"/>
    </row>
    <row r="11572" spans="38:38" x14ac:dyDescent="0.25">
      <c r="AL11572" s="6"/>
    </row>
    <row r="11573" spans="38:38" x14ac:dyDescent="0.25">
      <c r="AL11573" s="6"/>
    </row>
    <row r="11574" spans="38:38" x14ac:dyDescent="0.25">
      <c r="AL11574" s="6"/>
    </row>
    <row r="11575" spans="38:38" x14ac:dyDescent="0.25">
      <c r="AL11575" s="6"/>
    </row>
    <row r="11576" spans="38:38" x14ac:dyDescent="0.25">
      <c r="AL11576" s="6"/>
    </row>
    <row r="11577" spans="38:38" x14ac:dyDescent="0.25">
      <c r="AL11577" s="6"/>
    </row>
    <row r="11578" spans="38:38" x14ac:dyDescent="0.25">
      <c r="AL11578" s="6"/>
    </row>
    <row r="11579" spans="38:38" x14ac:dyDescent="0.25">
      <c r="AL11579" s="6"/>
    </row>
    <row r="11580" spans="38:38" x14ac:dyDescent="0.25">
      <c r="AL11580" s="6"/>
    </row>
    <row r="11581" spans="38:38" x14ac:dyDescent="0.25">
      <c r="AL11581" s="6"/>
    </row>
    <row r="11582" spans="38:38" x14ac:dyDescent="0.25">
      <c r="AL11582" s="6"/>
    </row>
    <row r="11583" spans="38:38" x14ac:dyDescent="0.25">
      <c r="AL11583" s="6"/>
    </row>
    <row r="11584" spans="38:38" x14ac:dyDescent="0.25">
      <c r="AL11584" s="6"/>
    </row>
    <row r="11585" spans="38:38" x14ac:dyDescent="0.25">
      <c r="AL11585" s="6"/>
    </row>
    <row r="11586" spans="38:38" x14ac:dyDescent="0.25">
      <c r="AL11586" s="6"/>
    </row>
    <row r="11587" spans="38:38" x14ac:dyDescent="0.25">
      <c r="AL11587" s="6"/>
    </row>
    <row r="11588" spans="38:38" x14ac:dyDescent="0.25">
      <c r="AL11588" s="6"/>
    </row>
    <row r="11589" spans="38:38" x14ac:dyDescent="0.25">
      <c r="AL11589" s="6"/>
    </row>
    <row r="11590" spans="38:38" x14ac:dyDescent="0.25">
      <c r="AL11590" s="6"/>
    </row>
    <row r="11591" spans="38:38" x14ac:dyDescent="0.25">
      <c r="AL11591" s="6"/>
    </row>
    <row r="11592" spans="38:38" x14ac:dyDescent="0.25">
      <c r="AL11592" s="6"/>
    </row>
    <row r="11593" spans="38:38" x14ac:dyDescent="0.25">
      <c r="AL11593" s="6"/>
    </row>
    <row r="11594" spans="38:38" x14ac:dyDescent="0.25">
      <c r="AL11594" s="6"/>
    </row>
    <row r="11595" spans="38:38" x14ac:dyDescent="0.25">
      <c r="AL11595" s="6"/>
    </row>
    <row r="11596" spans="38:38" x14ac:dyDescent="0.25">
      <c r="AL11596" s="6"/>
    </row>
    <row r="11597" spans="38:38" x14ac:dyDescent="0.25">
      <c r="AL11597" s="6"/>
    </row>
    <row r="11598" spans="38:38" x14ac:dyDescent="0.25">
      <c r="AL11598" s="6"/>
    </row>
    <row r="11599" spans="38:38" x14ac:dyDescent="0.25">
      <c r="AL11599" s="6"/>
    </row>
    <row r="11600" spans="38:38" x14ac:dyDescent="0.25">
      <c r="AL11600" s="6"/>
    </row>
    <row r="11601" spans="38:38" x14ac:dyDescent="0.25">
      <c r="AL11601" s="6"/>
    </row>
    <row r="11602" spans="38:38" x14ac:dyDescent="0.25">
      <c r="AL11602" s="6"/>
    </row>
    <row r="11603" spans="38:38" x14ac:dyDescent="0.25">
      <c r="AL11603" s="6"/>
    </row>
    <row r="11604" spans="38:38" x14ac:dyDescent="0.25">
      <c r="AL11604" s="6"/>
    </row>
    <row r="11605" spans="38:38" x14ac:dyDescent="0.25">
      <c r="AL11605" s="6"/>
    </row>
    <row r="11606" spans="38:38" x14ac:dyDescent="0.25">
      <c r="AL11606" s="6"/>
    </row>
    <row r="11607" spans="38:38" x14ac:dyDescent="0.25">
      <c r="AL11607" s="6"/>
    </row>
    <row r="11608" spans="38:38" x14ac:dyDescent="0.25">
      <c r="AL11608" s="6"/>
    </row>
    <row r="11609" spans="38:38" x14ac:dyDescent="0.25">
      <c r="AL11609" s="6"/>
    </row>
    <row r="11610" spans="38:38" x14ac:dyDescent="0.25">
      <c r="AL11610" s="6"/>
    </row>
    <row r="11611" spans="38:38" x14ac:dyDescent="0.25">
      <c r="AL11611" s="6"/>
    </row>
    <row r="11612" spans="38:38" x14ac:dyDescent="0.25">
      <c r="AL11612" s="6"/>
    </row>
    <row r="11613" spans="38:38" x14ac:dyDescent="0.25">
      <c r="AL11613" s="6"/>
    </row>
    <row r="11614" spans="38:38" x14ac:dyDescent="0.25">
      <c r="AL11614" s="6"/>
    </row>
    <row r="11615" spans="38:38" x14ac:dyDescent="0.25">
      <c r="AL11615" s="6"/>
    </row>
    <row r="11616" spans="38:38" x14ac:dyDescent="0.25">
      <c r="AL11616" s="6"/>
    </row>
    <row r="11617" spans="38:38" x14ac:dyDescent="0.25">
      <c r="AL11617" s="6"/>
    </row>
    <row r="11618" spans="38:38" x14ac:dyDescent="0.25">
      <c r="AL11618" s="6"/>
    </row>
    <row r="11619" spans="38:38" x14ac:dyDescent="0.25">
      <c r="AL11619" s="6"/>
    </row>
    <row r="11620" spans="38:38" x14ac:dyDescent="0.25">
      <c r="AL11620" s="6"/>
    </row>
    <row r="11621" spans="38:38" x14ac:dyDescent="0.25">
      <c r="AL11621" s="6"/>
    </row>
    <row r="11622" spans="38:38" x14ac:dyDescent="0.25">
      <c r="AL11622" s="6"/>
    </row>
    <row r="11623" spans="38:38" x14ac:dyDescent="0.25">
      <c r="AL11623" s="6"/>
    </row>
    <row r="11624" spans="38:38" x14ac:dyDescent="0.25">
      <c r="AL11624" s="6"/>
    </row>
    <row r="11625" spans="38:38" x14ac:dyDescent="0.25">
      <c r="AL11625" s="6"/>
    </row>
    <row r="11626" spans="38:38" x14ac:dyDescent="0.25">
      <c r="AL11626" s="6"/>
    </row>
    <row r="11627" spans="38:38" x14ac:dyDescent="0.25">
      <c r="AL11627" s="6"/>
    </row>
    <row r="11628" spans="38:38" x14ac:dyDescent="0.25">
      <c r="AL11628" s="6"/>
    </row>
    <row r="11629" spans="38:38" x14ac:dyDescent="0.25">
      <c r="AL11629" s="6"/>
    </row>
    <row r="11630" spans="38:38" x14ac:dyDescent="0.25">
      <c r="AL11630" s="6"/>
    </row>
    <row r="11631" spans="38:38" x14ac:dyDescent="0.25">
      <c r="AL11631" s="6"/>
    </row>
    <row r="11632" spans="38:38" x14ac:dyDescent="0.25">
      <c r="AL11632" s="6"/>
    </row>
    <row r="11633" spans="38:38" x14ac:dyDescent="0.25">
      <c r="AL11633" s="6"/>
    </row>
    <row r="11634" spans="38:38" x14ac:dyDescent="0.25">
      <c r="AL11634" s="6"/>
    </row>
    <row r="11635" spans="38:38" x14ac:dyDescent="0.25">
      <c r="AL11635" s="6"/>
    </row>
    <row r="11636" spans="38:38" x14ac:dyDescent="0.25">
      <c r="AL11636" s="6"/>
    </row>
    <row r="11637" spans="38:38" x14ac:dyDescent="0.25">
      <c r="AL11637" s="6"/>
    </row>
    <row r="11638" spans="38:38" x14ac:dyDescent="0.25">
      <c r="AL11638" s="6"/>
    </row>
    <row r="11639" spans="38:38" x14ac:dyDescent="0.25">
      <c r="AL11639" s="6"/>
    </row>
    <row r="11640" spans="38:38" x14ac:dyDescent="0.25">
      <c r="AL11640" s="6"/>
    </row>
    <row r="11641" spans="38:38" x14ac:dyDescent="0.25">
      <c r="AL11641" s="6"/>
    </row>
    <row r="11642" spans="38:38" x14ac:dyDescent="0.25">
      <c r="AL11642" s="6"/>
    </row>
    <row r="11643" spans="38:38" x14ac:dyDescent="0.25">
      <c r="AL11643" s="6"/>
    </row>
    <row r="11644" spans="38:38" x14ac:dyDescent="0.25">
      <c r="AL11644" s="6"/>
    </row>
    <row r="11645" spans="38:38" x14ac:dyDescent="0.25">
      <c r="AL11645" s="6"/>
    </row>
    <row r="11646" spans="38:38" x14ac:dyDescent="0.25">
      <c r="AL11646" s="6"/>
    </row>
    <row r="11647" spans="38:38" x14ac:dyDescent="0.25">
      <c r="AL11647" s="6"/>
    </row>
    <row r="11648" spans="38:38" x14ac:dyDescent="0.25">
      <c r="AL11648" s="6"/>
    </row>
    <row r="11649" spans="38:38" x14ac:dyDescent="0.25">
      <c r="AL11649" s="6"/>
    </row>
    <row r="11650" spans="38:38" x14ac:dyDescent="0.25">
      <c r="AL11650" s="6"/>
    </row>
    <row r="11651" spans="38:38" x14ac:dyDescent="0.25">
      <c r="AL11651" s="6"/>
    </row>
    <row r="11652" spans="38:38" x14ac:dyDescent="0.25">
      <c r="AL11652" s="6"/>
    </row>
    <row r="11653" spans="38:38" x14ac:dyDescent="0.25">
      <c r="AL11653" s="6"/>
    </row>
    <row r="11654" spans="38:38" x14ac:dyDescent="0.25">
      <c r="AL11654" s="6"/>
    </row>
    <row r="11655" spans="38:38" x14ac:dyDescent="0.25">
      <c r="AL11655" s="6"/>
    </row>
    <row r="11656" spans="38:38" x14ac:dyDescent="0.25">
      <c r="AL11656" s="6"/>
    </row>
    <row r="11657" spans="38:38" x14ac:dyDescent="0.25">
      <c r="AL11657" s="6"/>
    </row>
    <row r="11658" spans="38:38" x14ac:dyDescent="0.25">
      <c r="AL11658" s="6"/>
    </row>
    <row r="11659" spans="38:38" x14ac:dyDescent="0.25">
      <c r="AL11659" s="6"/>
    </row>
    <row r="11660" spans="38:38" x14ac:dyDescent="0.25">
      <c r="AL11660" s="6"/>
    </row>
    <row r="11661" spans="38:38" x14ac:dyDescent="0.25">
      <c r="AL11661" s="6"/>
    </row>
    <row r="11662" spans="38:38" x14ac:dyDescent="0.25">
      <c r="AL11662" s="6"/>
    </row>
    <row r="11663" spans="38:38" x14ac:dyDescent="0.25">
      <c r="AL11663" s="6"/>
    </row>
    <row r="11664" spans="38:38" x14ac:dyDescent="0.25">
      <c r="AL11664" s="6"/>
    </row>
    <row r="11665" spans="38:38" x14ac:dyDescent="0.25">
      <c r="AL11665" s="6"/>
    </row>
    <row r="11666" spans="38:38" x14ac:dyDescent="0.25">
      <c r="AL11666" s="6"/>
    </row>
    <row r="11667" spans="38:38" x14ac:dyDescent="0.25">
      <c r="AL11667" s="6"/>
    </row>
    <row r="11668" spans="38:38" x14ac:dyDescent="0.25">
      <c r="AL11668" s="6"/>
    </row>
    <row r="11669" spans="38:38" x14ac:dyDescent="0.25">
      <c r="AL11669" s="6"/>
    </row>
    <row r="11670" spans="38:38" x14ac:dyDescent="0.25">
      <c r="AL11670" s="6"/>
    </row>
    <row r="11671" spans="38:38" x14ac:dyDescent="0.25">
      <c r="AL11671" s="6"/>
    </row>
    <row r="11672" spans="38:38" x14ac:dyDescent="0.25">
      <c r="AL11672" s="6"/>
    </row>
    <row r="11673" spans="38:38" x14ac:dyDescent="0.25">
      <c r="AL11673" s="6"/>
    </row>
    <row r="11674" spans="38:38" x14ac:dyDescent="0.25">
      <c r="AL11674" s="6"/>
    </row>
    <row r="11675" spans="38:38" x14ac:dyDescent="0.25">
      <c r="AL11675" s="6"/>
    </row>
    <row r="11676" spans="38:38" x14ac:dyDescent="0.25">
      <c r="AL11676" s="6"/>
    </row>
    <row r="11677" spans="38:38" x14ac:dyDescent="0.25">
      <c r="AL11677" s="6"/>
    </row>
    <row r="11678" spans="38:38" x14ac:dyDescent="0.25">
      <c r="AL11678" s="6"/>
    </row>
    <row r="11679" spans="38:38" x14ac:dyDescent="0.25">
      <c r="AL11679" s="6"/>
    </row>
    <row r="11680" spans="38:38" x14ac:dyDescent="0.25">
      <c r="AL11680" s="6"/>
    </row>
    <row r="11681" spans="38:38" x14ac:dyDescent="0.25">
      <c r="AL11681" s="6"/>
    </row>
    <row r="11682" spans="38:38" x14ac:dyDescent="0.25">
      <c r="AL11682" s="6"/>
    </row>
    <row r="11683" spans="38:38" x14ac:dyDescent="0.25">
      <c r="AL11683" s="6"/>
    </row>
    <row r="11684" spans="38:38" x14ac:dyDescent="0.25">
      <c r="AL11684" s="6"/>
    </row>
    <row r="11685" spans="38:38" x14ac:dyDescent="0.25">
      <c r="AL11685" s="6"/>
    </row>
    <row r="11686" spans="38:38" x14ac:dyDescent="0.25">
      <c r="AL11686" s="6"/>
    </row>
    <row r="11687" spans="38:38" x14ac:dyDescent="0.25">
      <c r="AL11687" s="6"/>
    </row>
    <row r="11688" spans="38:38" x14ac:dyDescent="0.25">
      <c r="AL11688" s="6"/>
    </row>
    <row r="11689" spans="38:38" x14ac:dyDescent="0.25">
      <c r="AL11689" s="6"/>
    </row>
    <row r="11690" spans="38:38" x14ac:dyDescent="0.25">
      <c r="AL11690" s="6"/>
    </row>
    <row r="11691" spans="38:38" x14ac:dyDescent="0.25">
      <c r="AL11691" s="6"/>
    </row>
    <row r="11692" spans="38:38" x14ac:dyDescent="0.25">
      <c r="AL11692" s="6"/>
    </row>
    <row r="11693" spans="38:38" x14ac:dyDescent="0.25">
      <c r="AL11693" s="6"/>
    </row>
    <row r="11694" spans="38:38" x14ac:dyDescent="0.25">
      <c r="AL11694" s="6"/>
    </row>
    <row r="11695" spans="38:38" x14ac:dyDescent="0.25">
      <c r="AL11695" s="6"/>
    </row>
    <row r="11696" spans="38:38" x14ac:dyDescent="0.25">
      <c r="AL11696" s="6"/>
    </row>
    <row r="11697" spans="38:38" x14ac:dyDescent="0.25">
      <c r="AL11697" s="6"/>
    </row>
    <row r="11698" spans="38:38" x14ac:dyDescent="0.25">
      <c r="AL11698" s="6"/>
    </row>
    <row r="11699" spans="38:38" x14ac:dyDescent="0.25">
      <c r="AL11699" s="6"/>
    </row>
    <row r="11700" spans="38:38" x14ac:dyDescent="0.25">
      <c r="AL11700" s="6"/>
    </row>
    <row r="11701" spans="38:38" x14ac:dyDescent="0.25">
      <c r="AL11701" s="6"/>
    </row>
    <row r="11702" spans="38:38" x14ac:dyDescent="0.25">
      <c r="AL11702" s="6"/>
    </row>
    <row r="11703" spans="38:38" x14ac:dyDescent="0.25">
      <c r="AL11703" s="6"/>
    </row>
    <row r="11704" spans="38:38" x14ac:dyDescent="0.25">
      <c r="AL11704" s="6"/>
    </row>
    <row r="11705" spans="38:38" x14ac:dyDescent="0.25">
      <c r="AL11705" s="6"/>
    </row>
    <row r="11706" spans="38:38" x14ac:dyDescent="0.25">
      <c r="AL11706" s="6"/>
    </row>
    <row r="11707" spans="38:38" x14ac:dyDescent="0.25">
      <c r="AL11707" s="6"/>
    </row>
    <row r="11708" spans="38:38" x14ac:dyDescent="0.25">
      <c r="AL11708" s="6"/>
    </row>
    <row r="11709" spans="38:38" x14ac:dyDescent="0.25">
      <c r="AL11709" s="6"/>
    </row>
    <row r="11710" spans="38:38" x14ac:dyDescent="0.25">
      <c r="AL11710" s="6"/>
    </row>
    <row r="11711" spans="38:38" x14ac:dyDescent="0.25">
      <c r="AL11711" s="6"/>
    </row>
    <row r="11712" spans="38:38" x14ac:dyDescent="0.25">
      <c r="AL11712" s="6"/>
    </row>
    <row r="11713" spans="38:38" x14ac:dyDescent="0.25">
      <c r="AL11713" s="6"/>
    </row>
    <row r="11714" spans="38:38" x14ac:dyDescent="0.25">
      <c r="AL11714" s="6"/>
    </row>
    <row r="11715" spans="38:38" x14ac:dyDescent="0.25">
      <c r="AL11715" s="6"/>
    </row>
    <row r="11716" spans="38:38" x14ac:dyDescent="0.25">
      <c r="AL11716" s="6"/>
    </row>
    <row r="11717" spans="38:38" x14ac:dyDescent="0.25">
      <c r="AL11717" s="6"/>
    </row>
    <row r="11718" spans="38:38" x14ac:dyDescent="0.25">
      <c r="AL11718" s="6"/>
    </row>
    <row r="11719" spans="38:38" x14ac:dyDescent="0.25">
      <c r="AL11719" s="6"/>
    </row>
    <row r="11720" spans="38:38" x14ac:dyDescent="0.25">
      <c r="AL11720" s="6"/>
    </row>
    <row r="11721" spans="38:38" x14ac:dyDescent="0.25">
      <c r="AL11721" s="6"/>
    </row>
    <row r="11722" spans="38:38" x14ac:dyDescent="0.25">
      <c r="AL11722" s="6"/>
    </row>
    <row r="11723" spans="38:38" x14ac:dyDescent="0.25">
      <c r="AL11723" s="6"/>
    </row>
    <row r="11724" spans="38:38" x14ac:dyDescent="0.25">
      <c r="AL11724" s="6"/>
    </row>
    <row r="11725" spans="38:38" x14ac:dyDescent="0.25">
      <c r="AL11725" s="6"/>
    </row>
    <row r="11726" spans="38:38" x14ac:dyDescent="0.25">
      <c r="AL11726" s="6"/>
    </row>
    <row r="11727" spans="38:38" x14ac:dyDescent="0.25">
      <c r="AL11727" s="6"/>
    </row>
    <row r="11728" spans="38:38" x14ac:dyDescent="0.25">
      <c r="AL11728" s="6"/>
    </row>
    <row r="11729" spans="38:38" x14ac:dyDescent="0.25">
      <c r="AL11729" s="6"/>
    </row>
    <row r="11730" spans="38:38" x14ac:dyDescent="0.25">
      <c r="AL11730" s="6"/>
    </row>
    <row r="11731" spans="38:38" x14ac:dyDescent="0.25">
      <c r="AL11731" s="6"/>
    </row>
    <row r="11732" spans="38:38" x14ac:dyDescent="0.25">
      <c r="AL11732" s="6"/>
    </row>
    <row r="11733" spans="38:38" x14ac:dyDescent="0.25">
      <c r="AL11733" s="6"/>
    </row>
    <row r="11734" spans="38:38" x14ac:dyDescent="0.25">
      <c r="AL11734" s="6"/>
    </row>
    <row r="11735" spans="38:38" x14ac:dyDescent="0.25">
      <c r="AL11735" s="6"/>
    </row>
    <row r="11736" spans="38:38" x14ac:dyDescent="0.25">
      <c r="AL11736" s="6"/>
    </row>
    <row r="11737" spans="38:38" x14ac:dyDescent="0.25">
      <c r="AL11737" s="6"/>
    </row>
    <row r="11738" spans="38:38" x14ac:dyDescent="0.25">
      <c r="AL11738" s="6"/>
    </row>
    <row r="11739" spans="38:38" x14ac:dyDescent="0.25">
      <c r="AL11739" s="6"/>
    </row>
    <row r="11740" spans="38:38" x14ac:dyDescent="0.25">
      <c r="AL11740" s="6"/>
    </row>
    <row r="11741" spans="38:38" x14ac:dyDescent="0.25">
      <c r="AL11741" s="6"/>
    </row>
    <row r="11742" spans="38:38" x14ac:dyDescent="0.25">
      <c r="AL11742" s="6"/>
    </row>
    <row r="11743" spans="38:38" x14ac:dyDescent="0.25">
      <c r="AL11743" s="6"/>
    </row>
    <row r="11744" spans="38:38" x14ac:dyDescent="0.25">
      <c r="AL11744" s="6"/>
    </row>
    <row r="11745" spans="38:38" x14ac:dyDescent="0.25">
      <c r="AL11745" s="6"/>
    </row>
    <row r="11746" spans="38:38" x14ac:dyDescent="0.25">
      <c r="AL11746" s="6"/>
    </row>
    <row r="11747" spans="38:38" x14ac:dyDescent="0.25">
      <c r="AL11747" s="6"/>
    </row>
    <row r="11748" spans="38:38" x14ac:dyDescent="0.25">
      <c r="AL11748" s="6"/>
    </row>
    <row r="11749" spans="38:38" x14ac:dyDescent="0.25">
      <c r="AL11749" s="6"/>
    </row>
    <row r="11750" spans="38:38" x14ac:dyDescent="0.25">
      <c r="AL11750" s="6"/>
    </row>
    <row r="11751" spans="38:38" x14ac:dyDescent="0.25">
      <c r="AL11751" s="6"/>
    </row>
    <row r="11752" spans="38:38" x14ac:dyDescent="0.25">
      <c r="AL11752" s="6"/>
    </row>
    <row r="11753" spans="38:38" x14ac:dyDescent="0.25">
      <c r="AL11753" s="6"/>
    </row>
    <row r="11754" spans="38:38" x14ac:dyDescent="0.25">
      <c r="AL11754" s="6"/>
    </row>
    <row r="11755" spans="38:38" x14ac:dyDescent="0.25">
      <c r="AL11755" s="6"/>
    </row>
    <row r="11756" spans="38:38" x14ac:dyDescent="0.25">
      <c r="AL11756" s="6"/>
    </row>
    <row r="11757" spans="38:38" x14ac:dyDescent="0.25">
      <c r="AL11757" s="6"/>
    </row>
    <row r="11758" spans="38:38" x14ac:dyDescent="0.25">
      <c r="AL11758" s="6"/>
    </row>
    <row r="11759" spans="38:38" x14ac:dyDescent="0.25">
      <c r="AL11759" s="6"/>
    </row>
    <row r="11760" spans="38:38" x14ac:dyDescent="0.25">
      <c r="AL11760" s="6"/>
    </row>
    <row r="11761" spans="38:38" x14ac:dyDescent="0.25">
      <c r="AL11761" s="6"/>
    </row>
    <row r="11762" spans="38:38" x14ac:dyDescent="0.25">
      <c r="AL11762" s="6"/>
    </row>
    <row r="11763" spans="38:38" x14ac:dyDescent="0.25">
      <c r="AL11763" s="6"/>
    </row>
    <row r="11764" spans="38:38" x14ac:dyDescent="0.25">
      <c r="AL11764" s="6"/>
    </row>
    <row r="11765" spans="38:38" x14ac:dyDescent="0.25">
      <c r="AL11765" s="6"/>
    </row>
    <row r="11766" spans="38:38" x14ac:dyDescent="0.25">
      <c r="AL11766" s="6"/>
    </row>
    <row r="11767" spans="38:38" x14ac:dyDescent="0.25">
      <c r="AL11767" s="6"/>
    </row>
    <row r="11768" spans="38:38" x14ac:dyDescent="0.25">
      <c r="AL11768" s="6"/>
    </row>
    <row r="11769" spans="38:38" x14ac:dyDescent="0.25">
      <c r="AL11769" s="6"/>
    </row>
    <row r="11770" spans="38:38" x14ac:dyDescent="0.25">
      <c r="AL11770" s="6"/>
    </row>
    <row r="11771" spans="38:38" x14ac:dyDescent="0.25">
      <c r="AL11771" s="6"/>
    </row>
    <row r="11772" spans="38:38" x14ac:dyDescent="0.25">
      <c r="AL11772" s="6"/>
    </row>
    <row r="11773" spans="38:38" x14ac:dyDescent="0.25">
      <c r="AL11773" s="6"/>
    </row>
    <row r="11774" spans="38:38" x14ac:dyDescent="0.25">
      <c r="AL11774" s="6"/>
    </row>
    <row r="11775" spans="38:38" x14ac:dyDescent="0.25">
      <c r="AL11775" s="6"/>
    </row>
    <row r="11776" spans="38:38" x14ac:dyDescent="0.25">
      <c r="AL11776" s="6"/>
    </row>
    <row r="11777" spans="38:38" x14ac:dyDescent="0.25">
      <c r="AL11777" s="6"/>
    </row>
    <row r="11778" spans="38:38" x14ac:dyDescent="0.25">
      <c r="AL11778" s="6"/>
    </row>
    <row r="11779" spans="38:38" x14ac:dyDescent="0.25">
      <c r="AL11779" s="6"/>
    </row>
    <row r="11780" spans="38:38" x14ac:dyDescent="0.25">
      <c r="AL11780" s="6"/>
    </row>
    <row r="11781" spans="38:38" x14ac:dyDescent="0.25">
      <c r="AL11781" s="6"/>
    </row>
    <row r="11782" spans="38:38" x14ac:dyDescent="0.25">
      <c r="AL11782" s="6"/>
    </row>
    <row r="11783" spans="38:38" x14ac:dyDescent="0.25">
      <c r="AL11783" s="6"/>
    </row>
    <row r="11784" spans="38:38" x14ac:dyDescent="0.25">
      <c r="AL11784" s="6"/>
    </row>
    <row r="11785" spans="38:38" x14ac:dyDescent="0.25">
      <c r="AL11785" s="6"/>
    </row>
    <row r="11786" spans="38:38" x14ac:dyDescent="0.25">
      <c r="AL11786" s="6"/>
    </row>
    <row r="11787" spans="38:38" x14ac:dyDescent="0.25">
      <c r="AL11787" s="6"/>
    </row>
    <row r="11788" spans="38:38" x14ac:dyDescent="0.25">
      <c r="AL11788" s="6"/>
    </row>
    <row r="11789" spans="38:38" x14ac:dyDescent="0.25">
      <c r="AL11789" s="6"/>
    </row>
    <row r="11790" spans="38:38" x14ac:dyDescent="0.25">
      <c r="AL11790" s="6"/>
    </row>
    <row r="11791" spans="38:38" x14ac:dyDescent="0.25">
      <c r="AL11791" s="6"/>
    </row>
    <row r="11792" spans="38:38" x14ac:dyDescent="0.25">
      <c r="AL11792" s="6"/>
    </row>
    <row r="11793" spans="38:38" x14ac:dyDescent="0.25">
      <c r="AL11793" s="6"/>
    </row>
    <row r="11794" spans="38:38" x14ac:dyDescent="0.25">
      <c r="AL11794" s="6"/>
    </row>
    <row r="11795" spans="38:38" x14ac:dyDescent="0.25">
      <c r="AL11795" s="6"/>
    </row>
    <row r="11796" spans="38:38" x14ac:dyDescent="0.25">
      <c r="AL11796" s="6"/>
    </row>
    <row r="11797" spans="38:38" x14ac:dyDescent="0.25">
      <c r="AL11797" s="6"/>
    </row>
    <row r="11798" spans="38:38" x14ac:dyDescent="0.25">
      <c r="AL11798" s="6"/>
    </row>
    <row r="11799" spans="38:38" x14ac:dyDescent="0.25">
      <c r="AL11799" s="6"/>
    </row>
    <row r="11800" spans="38:38" x14ac:dyDescent="0.25">
      <c r="AL11800" s="6"/>
    </row>
    <row r="11801" spans="38:38" x14ac:dyDescent="0.25">
      <c r="AL11801" s="6"/>
    </row>
    <row r="11802" spans="38:38" x14ac:dyDescent="0.25">
      <c r="AL11802" s="6"/>
    </row>
    <row r="11803" spans="38:38" x14ac:dyDescent="0.25">
      <c r="AL11803" s="6"/>
    </row>
    <row r="11804" spans="38:38" x14ac:dyDescent="0.25">
      <c r="AL11804" s="6"/>
    </row>
    <row r="11805" spans="38:38" x14ac:dyDescent="0.25">
      <c r="AL11805" s="6"/>
    </row>
    <row r="11806" spans="38:38" x14ac:dyDescent="0.25">
      <c r="AL11806" s="6"/>
    </row>
    <row r="11807" spans="38:38" x14ac:dyDescent="0.25">
      <c r="AL11807" s="6"/>
    </row>
    <row r="11808" spans="38:38" x14ac:dyDescent="0.25">
      <c r="AL11808" s="6"/>
    </row>
    <row r="11809" spans="38:38" x14ac:dyDescent="0.25">
      <c r="AL11809" s="6"/>
    </row>
    <row r="11810" spans="38:38" x14ac:dyDescent="0.25">
      <c r="AL11810" s="6"/>
    </row>
    <row r="11811" spans="38:38" x14ac:dyDescent="0.25">
      <c r="AL11811" s="6"/>
    </row>
    <row r="11812" spans="38:38" x14ac:dyDescent="0.25">
      <c r="AL11812" s="6"/>
    </row>
    <row r="11813" spans="38:38" x14ac:dyDescent="0.25">
      <c r="AL11813" s="6"/>
    </row>
    <row r="11814" spans="38:38" x14ac:dyDescent="0.25">
      <c r="AL11814" s="6"/>
    </row>
    <row r="11815" spans="38:38" x14ac:dyDescent="0.25">
      <c r="AL11815" s="6"/>
    </row>
    <row r="11816" spans="38:38" x14ac:dyDescent="0.25">
      <c r="AL11816" s="6"/>
    </row>
    <row r="11817" spans="38:38" x14ac:dyDescent="0.25">
      <c r="AL11817" s="6"/>
    </row>
    <row r="11818" spans="38:38" x14ac:dyDescent="0.25">
      <c r="AL11818" s="6"/>
    </row>
    <row r="11819" spans="38:38" x14ac:dyDescent="0.25">
      <c r="AL11819" s="6"/>
    </row>
    <row r="11820" spans="38:38" x14ac:dyDescent="0.25">
      <c r="AL11820" s="6"/>
    </row>
    <row r="11821" spans="38:38" x14ac:dyDescent="0.25">
      <c r="AL11821" s="6"/>
    </row>
    <row r="11822" spans="38:38" x14ac:dyDescent="0.25">
      <c r="AL11822" s="6"/>
    </row>
    <row r="11823" spans="38:38" x14ac:dyDescent="0.25">
      <c r="AL11823" s="6"/>
    </row>
    <row r="11824" spans="38:38" x14ac:dyDescent="0.25">
      <c r="AL11824" s="6"/>
    </row>
    <row r="11825" spans="38:38" x14ac:dyDescent="0.25">
      <c r="AL11825" s="6"/>
    </row>
    <row r="11826" spans="38:38" x14ac:dyDescent="0.25">
      <c r="AL11826" s="6"/>
    </row>
    <row r="11827" spans="38:38" x14ac:dyDescent="0.25">
      <c r="AL11827" s="6"/>
    </row>
    <row r="11828" spans="38:38" x14ac:dyDescent="0.25">
      <c r="AL11828" s="6"/>
    </row>
    <row r="11829" spans="38:38" x14ac:dyDescent="0.25">
      <c r="AL11829" s="6"/>
    </row>
    <row r="11830" spans="38:38" x14ac:dyDescent="0.25">
      <c r="AL11830" s="6"/>
    </row>
    <row r="11831" spans="38:38" x14ac:dyDescent="0.25">
      <c r="AL11831" s="6"/>
    </row>
    <row r="11832" spans="38:38" x14ac:dyDescent="0.25">
      <c r="AL11832" s="6"/>
    </row>
    <row r="11833" spans="38:38" x14ac:dyDescent="0.25">
      <c r="AL11833" s="6"/>
    </row>
    <row r="11834" spans="38:38" x14ac:dyDescent="0.25">
      <c r="AL11834" s="6"/>
    </row>
    <row r="11835" spans="38:38" x14ac:dyDescent="0.25">
      <c r="AL11835" s="6"/>
    </row>
    <row r="11836" spans="38:38" x14ac:dyDescent="0.25">
      <c r="AL11836" s="6"/>
    </row>
    <row r="11837" spans="38:38" x14ac:dyDescent="0.25">
      <c r="AL11837" s="6"/>
    </row>
    <row r="11838" spans="38:38" x14ac:dyDescent="0.25">
      <c r="AL11838" s="6"/>
    </row>
    <row r="11839" spans="38:38" x14ac:dyDescent="0.25">
      <c r="AL11839" s="6"/>
    </row>
    <row r="11840" spans="38:38" x14ac:dyDescent="0.25">
      <c r="AL11840" s="6"/>
    </row>
    <row r="11841" spans="38:38" x14ac:dyDescent="0.25">
      <c r="AL11841" s="6"/>
    </row>
    <row r="11842" spans="38:38" x14ac:dyDescent="0.25">
      <c r="AL11842" s="6"/>
    </row>
    <row r="11843" spans="38:38" x14ac:dyDescent="0.25">
      <c r="AL11843" s="6"/>
    </row>
    <row r="11844" spans="38:38" x14ac:dyDescent="0.25">
      <c r="AL11844" s="6"/>
    </row>
    <row r="11845" spans="38:38" x14ac:dyDescent="0.25">
      <c r="AL11845" s="6"/>
    </row>
    <row r="11846" spans="38:38" x14ac:dyDescent="0.25">
      <c r="AL11846" s="6"/>
    </row>
    <row r="11847" spans="38:38" x14ac:dyDescent="0.25">
      <c r="AL11847" s="6"/>
    </row>
    <row r="11848" spans="38:38" x14ac:dyDescent="0.25">
      <c r="AL11848" s="6"/>
    </row>
    <row r="11849" spans="38:38" x14ac:dyDescent="0.25">
      <c r="AL11849" s="6"/>
    </row>
    <row r="11850" spans="38:38" x14ac:dyDescent="0.25">
      <c r="AL11850" s="6"/>
    </row>
    <row r="11851" spans="38:38" x14ac:dyDescent="0.25">
      <c r="AL11851" s="6"/>
    </row>
    <row r="11852" spans="38:38" x14ac:dyDescent="0.25">
      <c r="AL11852" s="6"/>
    </row>
    <row r="11853" spans="38:38" x14ac:dyDescent="0.25">
      <c r="AL11853" s="6"/>
    </row>
    <row r="11854" spans="38:38" x14ac:dyDescent="0.25">
      <c r="AL11854" s="6"/>
    </row>
    <row r="11855" spans="38:38" x14ac:dyDescent="0.25">
      <c r="AL11855" s="6"/>
    </row>
    <row r="11856" spans="38:38" x14ac:dyDescent="0.25">
      <c r="AL11856" s="6"/>
    </row>
    <row r="11857" spans="38:38" x14ac:dyDescent="0.25">
      <c r="AL11857" s="6"/>
    </row>
    <row r="11858" spans="38:38" x14ac:dyDescent="0.25">
      <c r="AL11858" s="6"/>
    </row>
    <row r="11859" spans="38:38" x14ac:dyDescent="0.25">
      <c r="AL11859" s="6"/>
    </row>
    <row r="11860" spans="38:38" x14ac:dyDescent="0.25">
      <c r="AL11860" s="6"/>
    </row>
    <row r="11861" spans="38:38" x14ac:dyDescent="0.25">
      <c r="AL11861" s="6"/>
    </row>
    <row r="11862" spans="38:38" x14ac:dyDescent="0.25">
      <c r="AL11862" s="6"/>
    </row>
    <row r="11863" spans="38:38" x14ac:dyDescent="0.25">
      <c r="AL11863" s="6"/>
    </row>
    <row r="11864" spans="38:38" x14ac:dyDescent="0.25">
      <c r="AL11864" s="6"/>
    </row>
    <row r="11865" spans="38:38" x14ac:dyDescent="0.25">
      <c r="AL11865" s="6"/>
    </row>
    <row r="11866" spans="38:38" x14ac:dyDescent="0.25">
      <c r="AL11866" s="6"/>
    </row>
    <row r="11867" spans="38:38" x14ac:dyDescent="0.25">
      <c r="AL11867" s="6"/>
    </row>
    <row r="11868" spans="38:38" x14ac:dyDescent="0.25">
      <c r="AL11868" s="6"/>
    </row>
    <row r="11869" spans="38:38" x14ac:dyDescent="0.25">
      <c r="AL11869" s="6"/>
    </row>
    <row r="11870" spans="38:38" x14ac:dyDescent="0.25">
      <c r="AL11870" s="6"/>
    </row>
    <row r="11871" spans="38:38" x14ac:dyDescent="0.25">
      <c r="AL11871" s="6"/>
    </row>
    <row r="11872" spans="38:38" x14ac:dyDescent="0.25">
      <c r="AL11872" s="6"/>
    </row>
    <row r="11873" spans="38:38" x14ac:dyDescent="0.25">
      <c r="AL11873" s="6"/>
    </row>
    <row r="11874" spans="38:38" x14ac:dyDescent="0.25">
      <c r="AL11874" s="6"/>
    </row>
    <row r="11875" spans="38:38" x14ac:dyDescent="0.25">
      <c r="AL11875" s="6"/>
    </row>
    <row r="11876" spans="38:38" x14ac:dyDescent="0.25">
      <c r="AL11876" s="6"/>
    </row>
    <row r="11877" spans="38:38" x14ac:dyDescent="0.25">
      <c r="AL11877" s="6"/>
    </row>
    <row r="11878" spans="38:38" x14ac:dyDescent="0.25">
      <c r="AL11878" s="6"/>
    </row>
    <row r="11879" spans="38:38" x14ac:dyDescent="0.25">
      <c r="AL11879" s="6"/>
    </row>
    <row r="11880" spans="38:38" x14ac:dyDescent="0.25">
      <c r="AL11880" s="6"/>
    </row>
    <row r="11881" spans="38:38" x14ac:dyDescent="0.25">
      <c r="AL11881" s="6"/>
    </row>
    <row r="11882" spans="38:38" x14ac:dyDescent="0.25">
      <c r="AL11882" s="6"/>
    </row>
    <row r="11883" spans="38:38" x14ac:dyDescent="0.25">
      <c r="AL11883" s="6"/>
    </row>
    <row r="11884" spans="38:38" x14ac:dyDescent="0.25">
      <c r="AL11884" s="6"/>
    </row>
    <row r="11885" spans="38:38" x14ac:dyDescent="0.25">
      <c r="AL11885" s="6"/>
    </row>
    <row r="11886" spans="38:38" x14ac:dyDescent="0.25">
      <c r="AL11886" s="6"/>
    </row>
    <row r="11887" spans="38:38" x14ac:dyDescent="0.25">
      <c r="AL11887" s="6"/>
    </row>
    <row r="11888" spans="38:38" x14ac:dyDescent="0.25">
      <c r="AL11888" s="6"/>
    </row>
    <row r="11889" spans="38:38" x14ac:dyDescent="0.25">
      <c r="AL11889" s="6"/>
    </row>
    <row r="11890" spans="38:38" x14ac:dyDescent="0.25">
      <c r="AL11890" s="6"/>
    </row>
    <row r="11891" spans="38:38" x14ac:dyDescent="0.25">
      <c r="AL11891" s="6"/>
    </row>
    <row r="11892" spans="38:38" x14ac:dyDescent="0.25">
      <c r="AL11892" s="6"/>
    </row>
    <row r="11893" spans="38:38" x14ac:dyDescent="0.25">
      <c r="AL11893" s="6"/>
    </row>
    <row r="11894" spans="38:38" x14ac:dyDescent="0.25">
      <c r="AL11894" s="6"/>
    </row>
    <row r="11895" spans="38:38" x14ac:dyDescent="0.25">
      <c r="AL11895" s="6"/>
    </row>
    <row r="11896" spans="38:38" x14ac:dyDescent="0.25">
      <c r="AL11896" s="6"/>
    </row>
    <row r="11897" spans="38:38" x14ac:dyDescent="0.25">
      <c r="AL11897" s="6"/>
    </row>
    <row r="11898" spans="38:38" x14ac:dyDescent="0.25">
      <c r="AL11898" s="6"/>
    </row>
    <row r="11899" spans="38:38" x14ac:dyDescent="0.25">
      <c r="AL11899" s="6"/>
    </row>
    <row r="11900" spans="38:38" x14ac:dyDescent="0.25">
      <c r="AL11900" s="6"/>
    </row>
    <row r="11901" spans="38:38" x14ac:dyDescent="0.25">
      <c r="AL11901" s="6"/>
    </row>
    <row r="11902" spans="38:38" x14ac:dyDescent="0.25">
      <c r="AL11902" s="6"/>
    </row>
    <row r="11903" spans="38:38" x14ac:dyDescent="0.25">
      <c r="AL11903" s="6"/>
    </row>
    <row r="11904" spans="38:38" x14ac:dyDescent="0.25">
      <c r="AL11904" s="6"/>
    </row>
    <row r="11905" spans="38:38" x14ac:dyDescent="0.25">
      <c r="AL11905" s="6"/>
    </row>
    <row r="11906" spans="38:38" x14ac:dyDescent="0.25">
      <c r="AL11906" s="6"/>
    </row>
    <row r="11907" spans="38:38" x14ac:dyDescent="0.25">
      <c r="AL11907" s="6"/>
    </row>
    <row r="11908" spans="38:38" x14ac:dyDescent="0.25">
      <c r="AL11908" s="6"/>
    </row>
    <row r="11909" spans="38:38" x14ac:dyDescent="0.25">
      <c r="AL11909" s="6"/>
    </row>
    <row r="11910" spans="38:38" x14ac:dyDescent="0.25">
      <c r="AL11910" s="6"/>
    </row>
    <row r="11911" spans="38:38" x14ac:dyDescent="0.25">
      <c r="AL11911" s="6"/>
    </row>
    <row r="11912" spans="38:38" x14ac:dyDescent="0.25">
      <c r="AL11912" s="6"/>
    </row>
    <row r="11913" spans="38:38" x14ac:dyDescent="0.25">
      <c r="AL11913" s="6"/>
    </row>
    <row r="11914" spans="38:38" x14ac:dyDescent="0.25">
      <c r="AL11914" s="6"/>
    </row>
    <row r="11915" spans="38:38" x14ac:dyDescent="0.25">
      <c r="AL11915" s="6"/>
    </row>
    <row r="11916" spans="38:38" x14ac:dyDescent="0.25">
      <c r="AL11916" s="6"/>
    </row>
    <row r="11917" spans="38:38" x14ac:dyDescent="0.25">
      <c r="AL11917" s="6"/>
    </row>
    <row r="11918" spans="38:38" x14ac:dyDescent="0.25">
      <c r="AL11918" s="6"/>
    </row>
    <row r="11919" spans="38:38" x14ac:dyDescent="0.25">
      <c r="AL11919" s="6"/>
    </row>
    <row r="11920" spans="38:38" x14ac:dyDescent="0.25">
      <c r="AL11920" s="6"/>
    </row>
    <row r="11921" spans="38:38" x14ac:dyDescent="0.25">
      <c r="AL11921" s="6"/>
    </row>
    <row r="11922" spans="38:38" x14ac:dyDescent="0.25">
      <c r="AL11922" s="6"/>
    </row>
    <row r="11923" spans="38:38" x14ac:dyDescent="0.25">
      <c r="AL11923" s="6"/>
    </row>
    <row r="11924" spans="38:38" x14ac:dyDescent="0.25">
      <c r="AL11924" s="6"/>
    </row>
    <row r="11925" spans="38:38" x14ac:dyDescent="0.25">
      <c r="AL11925" s="6"/>
    </row>
    <row r="11926" spans="38:38" x14ac:dyDescent="0.25">
      <c r="AL11926" s="6"/>
    </row>
    <row r="11927" spans="38:38" x14ac:dyDescent="0.25">
      <c r="AL11927" s="6"/>
    </row>
    <row r="11928" spans="38:38" x14ac:dyDescent="0.25">
      <c r="AL11928" s="6"/>
    </row>
    <row r="11929" spans="38:38" x14ac:dyDescent="0.25">
      <c r="AL11929" s="6"/>
    </row>
    <row r="11930" spans="38:38" x14ac:dyDescent="0.25">
      <c r="AL11930" s="6"/>
    </row>
    <row r="11931" spans="38:38" x14ac:dyDescent="0.25">
      <c r="AL11931" s="6"/>
    </row>
    <row r="11932" spans="38:38" x14ac:dyDescent="0.25">
      <c r="AL11932" s="6"/>
    </row>
    <row r="11933" spans="38:38" x14ac:dyDescent="0.25">
      <c r="AL11933" s="6"/>
    </row>
    <row r="11934" spans="38:38" x14ac:dyDescent="0.25">
      <c r="AL11934" s="6"/>
    </row>
    <row r="11935" spans="38:38" x14ac:dyDescent="0.25">
      <c r="AL11935" s="6"/>
    </row>
    <row r="11936" spans="38:38" x14ac:dyDescent="0.25">
      <c r="AL11936" s="6"/>
    </row>
    <row r="11937" spans="38:38" x14ac:dyDescent="0.25">
      <c r="AL11937" s="6"/>
    </row>
    <row r="11938" spans="38:38" x14ac:dyDescent="0.25">
      <c r="AL11938" s="6"/>
    </row>
    <row r="11939" spans="38:38" x14ac:dyDescent="0.25">
      <c r="AL11939" s="6"/>
    </row>
    <row r="11940" spans="38:38" x14ac:dyDescent="0.25">
      <c r="AL11940" s="6"/>
    </row>
    <row r="11941" spans="38:38" x14ac:dyDescent="0.25">
      <c r="AL11941" s="6"/>
    </row>
    <row r="11942" spans="38:38" x14ac:dyDescent="0.25">
      <c r="AL11942" s="6"/>
    </row>
    <row r="11943" spans="38:38" x14ac:dyDescent="0.25">
      <c r="AL11943" s="6"/>
    </row>
    <row r="11944" spans="38:38" x14ac:dyDescent="0.25">
      <c r="AL11944" s="6"/>
    </row>
    <row r="11945" spans="38:38" x14ac:dyDescent="0.25">
      <c r="AL11945" s="6"/>
    </row>
    <row r="11946" spans="38:38" x14ac:dyDescent="0.25">
      <c r="AL11946" s="6"/>
    </row>
    <row r="11947" spans="38:38" x14ac:dyDescent="0.25">
      <c r="AL11947" s="6"/>
    </row>
    <row r="11948" spans="38:38" x14ac:dyDescent="0.25">
      <c r="AL11948" s="6"/>
    </row>
    <row r="11949" spans="38:38" x14ac:dyDescent="0.25">
      <c r="AL11949" s="6"/>
    </row>
    <row r="11950" spans="38:38" x14ac:dyDescent="0.25">
      <c r="AL11950" s="6"/>
    </row>
    <row r="11951" spans="38:38" x14ac:dyDescent="0.25">
      <c r="AL11951" s="6"/>
    </row>
    <row r="11952" spans="38:38" x14ac:dyDescent="0.25">
      <c r="AL11952" s="6"/>
    </row>
    <row r="11953" spans="38:38" x14ac:dyDescent="0.25">
      <c r="AL11953" s="6"/>
    </row>
    <row r="11954" spans="38:38" x14ac:dyDescent="0.25">
      <c r="AL11954" s="6"/>
    </row>
    <row r="11955" spans="38:38" x14ac:dyDescent="0.25">
      <c r="AL11955" s="6"/>
    </row>
    <row r="11956" spans="38:38" x14ac:dyDescent="0.25">
      <c r="AL11956" s="6"/>
    </row>
    <row r="11957" spans="38:38" x14ac:dyDescent="0.25">
      <c r="AL11957" s="6"/>
    </row>
    <row r="11958" spans="38:38" x14ac:dyDescent="0.25">
      <c r="AL11958" s="6"/>
    </row>
    <row r="11959" spans="38:38" x14ac:dyDescent="0.25">
      <c r="AL11959" s="6"/>
    </row>
    <row r="11960" spans="38:38" x14ac:dyDescent="0.25">
      <c r="AL11960" s="6"/>
    </row>
    <row r="11961" spans="38:38" x14ac:dyDescent="0.25">
      <c r="AL11961" s="6"/>
    </row>
    <row r="11962" spans="38:38" x14ac:dyDescent="0.25">
      <c r="AL11962" s="6"/>
    </row>
    <row r="11963" spans="38:38" x14ac:dyDescent="0.25">
      <c r="AL11963" s="6"/>
    </row>
    <row r="11964" spans="38:38" x14ac:dyDescent="0.25">
      <c r="AL11964" s="6"/>
    </row>
    <row r="11965" spans="38:38" x14ac:dyDescent="0.25">
      <c r="AL11965" s="6"/>
    </row>
    <row r="11966" spans="38:38" x14ac:dyDescent="0.25">
      <c r="AL11966" s="6"/>
    </row>
    <row r="11967" spans="38:38" x14ac:dyDescent="0.25">
      <c r="AL11967" s="6"/>
    </row>
    <row r="11968" spans="38:38" x14ac:dyDescent="0.25">
      <c r="AL11968" s="6"/>
    </row>
    <row r="11969" spans="38:38" x14ac:dyDescent="0.25">
      <c r="AL11969" s="6"/>
    </row>
    <row r="11970" spans="38:38" x14ac:dyDescent="0.25">
      <c r="AL11970" s="6"/>
    </row>
    <row r="11971" spans="38:38" x14ac:dyDescent="0.25">
      <c r="AL11971" s="6"/>
    </row>
    <row r="11972" spans="38:38" x14ac:dyDescent="0.25">
      <c r="AL11972" s="6"/>
    </row>
    <row r="11973" spans="38:38" x14ac:dyDescent="0.25">
      <c r="AL11973" s="6"/>
    </row>
    <row r="11974" spans="38:38" x14ac:dyDescent="0.25">
      <c r="AL11974" s="6"/>
    </row>
    <row r="11975" spans="38:38" x14ac:dyDescent="0.25">
      <c r="AL11975" s="6"/>
    </row>
    <row r="11976" spans="38:38" x14ac:dyDescent="0.25">
      <c r="AL11976" s="6"/>
    </row>
    <row r="11977" spans="38:38" x14ac:dyDescent="0.25">
      <c r="AL11977" s="6"/>
    </row>
    <row r="11978" spans="38:38" x14ac:dyDescent="0.25">
      <c r="AL11978" s="6"/>
    </row>
    <row r="11979" spans="38:38" x14ac:dyDescent="0.25">
      <c r="AL11979" s="6"/>
    </row>
    <row r="11980" spans="38:38" x14ac:dyDescent="0.25">
      <c r="AL11980" s="6"/>
    </row>
    <row r="11981" spans="38:38" x14ac:dyDescent="0.25">
      <c r="AL11981" s="6"/>
    </row>
    <row r="11982" spans="38:38" x14ac:dyDescent="0.25">
      <c r="AL11982" s="6"/>
    </row>
    <row r="11983" spans="38:38" x14ac:dyDescent="0.25">
      <c r="AL11983" s="6"/>
    </row>
    <row r="11984" spans="38:38" x14ac:dyDescent="0.25">
      <c r="AL11984" s="6"/>
    </row>
    <row r="11985" spans="38:38" x14ac:dyDescent="0.25">
      <c r="AL11985" s="6"/>
    </row>
    <row r="11986" spans="38:38" x14ac:dyDescent="0.25">
      <c r="AL11986" s="6"/>
    </row>
    <row r="11987" spans="38:38" x14ac:dyDescent="0.25">
      <c r="AL11987" s="6"/>
    </row>
    <row r="11988" spans="38:38" x14ac:dyDescent="0.25">
      <c r="AL11988" s="6"/>
    </row>
    <row r="11989" spans="38:38" x14ac:dyDescent="0.25">
      <c r="AL11989" s="6"/>
    </row>
    <row r="11990" spans="38:38" x14ac:dyDescent="0.25">
      <c r="AL11990" s="6"/>
    </row>
    <row r="11991" spans="38:38" x14ac:dyDescent="0.25">
      <c r="AL11991" s="6"/>
    </row>
    <row r="11992" spans="38:38" x14ac:dyDescent="0.25">
      <c r="AL11992" s="6"/>
    </row>
    <row r="11993" spans="38:38" x14ac:dyDescent="0.25">
      <c r="AL11993" s="6"/>
    </row>
    <row r="11994" spans="38:38" x14ac:dyDescent="0.25">
      <c r="AL11994" s="6"/>
    </row>
    <row r="11995" spans="38:38" x14ac:dyDescent="0.25">
      <c r="AL11995" s="6"/>
    </row>
    <row r="11996" spans="38:38" x14ac:dyDescent="0.25">
      <c r="AL11996" s="6"/>
    </row>
    <row r="11997" spans="38:38" x14ac:dyDescent="0.25">
      <c r="AL11997" s="6"/>
    </row>
    <row r="11998" spans="38:38" x14ac:dyDescent="0.25">
      <c r="AL11998" s="6"/>
    </row>
    <row r="11999" spans="38:38" x14ac:dyDescent="0.25">
      <c r="AL11999" s="6"/>
    </row>
    <row r="12000" spans="38:38" x14ac:dyDescent="0.25">
      <c r="AL12000" s="6"/>
    </row>
    <row r="12001" spans="38:38" x14ac:dyDescent="0.25">
      <c r="AL12001" s="6"/>
    </row>
    <row r="12002" spans="38:38" x14ac:dyDescent="0.25">
      <c r="AL12002" s="6"/>
    </row>
    <row r="12003" spans="38:38" x14ac:dyDescent="0.25">
      <c r="AL12003" s="6"/>
    </row>
    <row r="12004" spans="38:38" x14ac:dyDescent="0.25">
      <c r="AL12004" s="6"/>
    </row>
    <row r="12005" spans="38:38" x14ac:dyDescent="0.25">
      <c r="AL12005" s="6"/>
    </row>
    <row r="12006" spans="38:38" x14ac:dyDescent="0.25">
      <c r="AL12006" s="6"/>
    </row>
    <row r="12007" spans="38:38" x14ac:dyDescent="0.25">
      <c r="AL12007" s="6"/>
    </row>
    <row r="12008" spans="38:38" x14ac:dyDescent="0.25">
      <c r="AL12008" s="6"/>
    </row>
    <row r="12009" spans="38:38" x14ac:dyDescent="0.25">
      <c r="AL12009" s="6"/>
    </row>
    <row r="12010" spans="38:38" x14ac:dyDescent="0.25">
      <c r="AL12010" s="6"/>
    </row>
    <row r="12011" spans="38:38" x14ac:dyDescent="0.25">
      <c r="AL12011" s="6"/>
    </row>
    <row r="12012" spans="38:38" x14ac:dyDescent="0.25">
      <c r="AL12012" s="6"/>
    </row>
    <row r="12013" spans="38:38" x14ac:dyDescent="0.25">
      <c r="AL12013" s="6"/>
    </row>
    <row r="12014" spans="38:38" x14ac:dyDescent="0.25">
      <c r="AL12014" s="6"/>
    </row>
    <row r="12015" spans="38:38" x14ac:dyDescent="0.25">
      <c r="AL12015" s="6"/>
    </row>
    <row r="12016" spans="38:38" x14ac:dyDescent="0.25">
      <c r="AL12016" s="6"/>
    </row>
    <row r="12017" spans="38:38" x14ac:dyDescent="0.25">
      <c r="AL12017" s="6"/>
    </row>
    <row r="12018" spans="38:38" x14ac:dyDescent="0.25">
      <c r="AL12018" s="6"/>
    </row>
    <row r="12019" spans="38:38" x14ac:dyDescent="0.25">
      <c r="AL12019" s="6"/>
    </row>
    <row r="12020" spans="38:38" x14ac:dyDescent="0.25">
      <c r="AL12020" s="6"/>
    </row>
    <row r="12021" spans="38:38" x14ac:dyDescent="0.25">
      <c r="AL12021" s="6"/>
    </row>
    <row r="12022" spans="38:38" x14ac:dyDescent="0.25">
      <c r="AL12022" s="6"/>
    </row>
    <row r="12023" spans="38:38" x14ac:dyDescent="0.25">
      <c r="AL12023" s="6"/>
    </row>
    <row r="12024" spans="38:38" x14ac:dyDescent="0.25">
      <c r="AL12024" s="6"/>
    </row>
    <row r="12025" spans="38:38" x14ac:dyDescent="0.25">
      <c r="AL12025" s="6"/>
    </row>
    <row r="12026" spans="38:38" x14ac:dyDescent="0.25">
      <c r="AL12026" s="6"/>
    </row>
    <row r="12027" spans="38:38" x14ac:dyDescent="0.25">
      <c r="AL12027" s="6"/>
    </row>
    <row r="12028" spans="38:38" x14ac:dyDescent="0.25">
      <c r="AL12028" s="6"/>
    </row>
    <row r="12029" spans="38:38" x14ac:dyDescent="0.25">
      <c r="AL12029" s="6"/>
    </row>
    <row r="12030" spans="38:38" x14ac:dyDescent="0.25">
      <c r="AL12030" s="6"/>
    </row>
    <row r="12031" spans="38:38" x14ac:dyDescent="0.25">
      <c r="AL12031" s="6"/>
    </row>
    <row r="12032" spans="38:38" x14ac:dyDescent="0.25">
      <c r="AL12032" s="6"/>
    </row>
    <row r="12033" spans="38:38" x14ac:dyDescent="0.25">
      <c r="AL12033" s="6"/>
    </row>
    <row r="12034" spans="38:38" x14ac:dyDescent="0.25">
      <c r="AL12034" s="6"/>
    </row>
    <row r="12035" spans="38:38" x14ac:dyDescent="0.25">
      <c r="AL12035" s="6"/>
    </row>
    <row r="12036" spans="38:38" x14ac:dyDescent="0.25">
      <c r="AL12036" s="6"/>
    </row>
    <row r="12037" spans="38:38" x14ac:dyDescent="0.25">
      <c r="AL12037" s="6"/>
    </row>
    <row r="12038" spans="38:38" x14ac:dyDescent="0.25">
      <c r="AL12038" s="6"/>
    </row>
    <row r="12039" spans="38:38" x14ac:dyDescent="0.25">
      <c r="AL12039" s="6"/>
    </row>
    <row r="12040" spans="38:38" x14ac:dyDescent="0.25">
      <c r="AL12040" s="6"/>
    </row>
    <row r="12041" spans="38:38" x14ac:dyDescent="0.25">
      <c r="AL12041" s="6"/>
    </row>
    <row r="12042" spans="38:38" x14ac:dyDescent="0.25">
      <c r="AL12042" s="6"/>
    </row>
    <row r="12043" spans="38:38" x14ac:dyDescent="0.25">
      <c r="AL12043" s="6"/>
    </row>
    <row r="12044" spans="38:38" x14ac:dyDescent="0.25">
      <c r="AL12044" s="6"/>
    </row>
    <row r="12045" spans="38:38" x14ac:dyDescent="0.25">
      <c r="AL12045" s="6"/>
    </row>
    <row r="12046" spans="38:38" x14ac:dyDescent="0.25">
      <c r="AL12046" s="6"/>
    </row>
    <row r="12047" spans="38:38" x14ac:dyDescent="0.25">
      <c r="AL12047" s="6"/>
    </row>
    <row r="12048" spans="38:38" x14ac:dyDescent="0.25">
      <c r="AL12048" s="6"/>
    </row>
    <row r="12049" spans="38:38" x14ac:dyDescent="0.25">
      <c r="AL12049" s="6"/>
    </row>
    <row r="12050" spans="38:38" x14ac:dyDescent="0.25">
      <c r="AL12050" s="6"/>
    </row>
    <row r="12051" spans="38:38" x14ac:dyDescent="0.25">
      <c r="AL12051" s="6"/>
    </row>
    <row r="12052" spans="38:38" x14ac:dyDescent="0.25">
      <c r="AL12052" s="6"/>
    </row>
    <row r="12053" spans="38:38" x14ac:dyDescent="0.25">
      <c r="AL12053" s="6"/>
    </row>
    <row r="12054" spans="38:38" x14ac:dyDescent="0.25">
      <c r="AL12054" s="6"/>
    </row>
    <row r="12055" spans="38:38" x14ac:dyDescent="0.25">
      <c r="AL12055" s="6"/>
    </row>
    <row r="12056" spans="38:38" x14ac:dyDescent="0.25">
      <c r="AL12056" s="6"/>
    </row>
    <row r="12057" spans="38:38" x14ac:dyDescent="0.25">
      <c r="AL12057" s="6"/>
    </row>
    <row r="12058" spans="38:38" x14ac:dyDescent="0.25">
      <c r="AL12058" s="6"/>
    </row>
    <row r="12059" spans="38:38" x14ac:dyDescent="0.25">
      <c r="AL12059" s="6"/>
    </row>
    <row r="12060" spans="38:38" x14ac:dyDescent="0.25">
      <c r="AL12060" s="6"/>
    </row>
    <row r="12061" spans="38:38" x14ac:dyDescent="0.25">
      <c r="AL12061" s="6"/>
    </row>
    <row r="12062" spans="38:38" x14ac:dyDescent="0.25">
      <c r="AL12062" s="6"/>
    </row>
    <row r="12063" spans="38:38" x14ac:dyDescent="0.25">
      <c r="AL12063" s="6"/>
    </row>
    <row r="12064" spans="38:38" x14ac:dyDescent="0.25">
      <c r="AL12064" s="6"/>
    </row>
    <row r="12065" spans="38:38" x14ac:dyDescent="0.25">
      <c r="AL12065" s="6"/>
    </row>
    <row r="12066" spans="38:38" x14ac:dyDescent="0.25">
      <c r="AL12066" s="6"/>
    </row>
    <row r="12067" spans="38:38" x14ac:dyDescent="0.25">
      <c r="AL12067" s="6"/>
    </row>
    <row r="12068" spans="38:38" x14ac:dyDescent="0.25">
      <c r="AL12068" s="6"/>
    </row>
    <row r="12069" spans="38:38" x14ac:dyDescent="0.25">
      <c r="AL12069" s="6"/>
    </row>
    <row r="12070" spans="38:38" x14ac:dyDescent="0.25">
      <c r="AL12070" s="6"/>
    </row>
    <row r="12071" spans="38:38" x14ac:dyDescent="0.25">
      <c r="AL12071" s="6"/>
    </row>
    <row r="12072" spans="38:38" x14ac:dyDescent="0.25">
      <c r="AL12072" s="6"/>
    </row>
    <row r="12073" spans="38:38" x14ac:dyDescent="0.25">
      <c r="AL12073" s="6"/>
    </row>
    <row r="12074" spans="38:38" x14ac:dyDescent="0.25">
      <c r="AL12074" s="6"/>
    </row>
    <row r="12075" spans="38:38" x14ac:dyDescent="0.25">
      <c r="AL12075" s="6"/>
    </row>
    <row r="12076" spans="38:38" x14ac:dyDescent="0.25">
      <c r="AL12076" s="6"/>
    </row>
    <row r="12077" spans="38:38" x14ac:dyDescent="0.25">
      <c r="AL12077" s="6"/>
    </row>
    <row r="12078" spans="38:38" x14ac:dyDescent="0.25">
      <c r="AL12078" s="6"/>
    </row>
    <row r="12079" spans="38:38" x14ac:dyDescent="0.25">
      <c r="AL12079" s="6"/>
    </row>
    <row r="12080" spans="38:38" x14ac:dyDescent="0.25">
      <c r="AL12080" s="6"/>
    </row>
    <row r="12081" spans="38:38" x14ac:dyDescent="0.25">
      <c r="AL12081" s="6"/>
    </row>
    <row r="12082" spans="38:38" x14ac:dyDescent="0.25">
      <c r="AL12082" s="6"/>
    </row>
    <row r="12083" spans="38:38" x14ac:dyDescent="0.25">
      <c r="AL12083" s="6"/>
    </row>
    <row r="12084" spans="38:38" x14ac:dyDescent="0.25">
      <c r="AL12084" s="6"/>
    </row>
    <row r="12085" spans="38:38" x14ac:dyDescent="0.25">
      <c r="AL12085" s="6"/>
    </row>
    <row r="12086" spans="38:38" x14ac:dyDescent="0.25">
      <c r="AL12086" s="6"/>
    </row>
    <row r="12087" spans="38:38" x14ac:dyDescent="0.25">
      <c r="AL12087" s="6"/>
    </row>
    <row r="12088" spans="38:38" x14ac:dyDescent="0.25">
      <c r="AL12088" s="6"/>
    </row>
    <row r="12089" spans="38:38" x14ac:dyDescent="0.25">
      <c r="AL12089" s="6"/>
    </row>
    <row r="12090" spans="38:38" x14ac:dyDescent="0.25">
      <c r="AL12090" s="6"/>
    </row>
    <row r="12091" spans="38:38" x14ac:dyDescent="0.25">
      <c r="AL12091" s="6"/>
    </row>
    <row r="12092" spans="38:38" x14ac:dyDescent="0.25">
      <c r="AL12092" s="6"/>
    </row>
    <row r="12093" spans="38:38" x14ac:dyDescent="0.25">
      <c r="AL12093" s="6"/>
    </row>
    <row r="12094" spans="38:38" x14ac:dyDescent="0.25">
      <c r="AL12094" s="6"/>
    </row>
    <row r="12095" spans="38:38" x14ac:dyDescent="0.25">
      <c r="AL12095" s="6"/>
    </row>
    <row r="12096" spans="38:38" x14ac:dyDescent="0.25">
      <c r="AL12096" s="6"/>
    </row>
    <row r="12097" spans="38:38" x14ac:dyDescent="0.25">
      <c r="AL12097" s="6"/>
    </row>
    <row r="12098" spans="38:38" x14ac:dyDescent="0.25">
      <c r="AL12098" s="6"/>
    </row>
    <row r="12099" spans="38:38" x14ac:dyDescent="0.25">
      <c r="AL12099" s="6"/>
    </row>
    <row r="12100" spans="38:38" x14ac:dyDescent="0.25">
      <c r="AL12100" s="6"/>
    </row>
    <row r="12101" spans="38:38" x14ac:dyDescent="0.25">
      <c r="AL12101" s="6"/>
    </row>
    <row r="12102" spans="38:38" x14ac:dyDescent="0.25">
      <c r="AL12102" s="6"/>
    </row>
    <row r="12103" spans="38:38" x14ac:dyDescent="0.25">
      <c r="AL12103" s="6"/>
    </row>
    <row r="12104" spans="38:38" x14ac:dyDescent="0.25">
      <c r="AL12104" s="6"/>
    </row>
    <row r="12105" spans="38:38" x14ac:dyDescent="0.25">
      <c r="AL12105" s="6"/>
    </row>
    <row r="12106" spans="38:38" x14ac:dyDescent="0.25">
      <c r="AL12106" s="6"/>
    </row>
    <row r="12107" spans="38:38" x14ac:dyDescent="0.25">
      <c r="AL12107" s="6"/>
    </row>
    <row r="12108" spans="38:38" x14ac:dyDescent="0.25">
      <c r="AL12108" s="6"/>
    </row>
    <row r="12109" spans="38:38" x14ac:dyDescent="0.25">
      <c r="AL12109" s="6"/>
    </row>
    <row r="12110" spans="38:38" x14ac:dyDescent="0.25">
      <c r="AL12110" s="6"/>
    </row>
    <row r="12111" spans="38:38" x14ac:dyDescent="0.25">
      <c r="AL12111" s="6"/>
    </row>
    <row r="12112" spans="38:38" x14ac:dyDescent="0.25">
      <c r="AL12112" s="6"/>
    </row>
    <row r="12113" spans="38:38" x14ac:dyDescent="0.25">
      <c r="AL12113" s="6"/>
    </row>
    <row r="12114" spans="38:38" x14ac:dyDescent="0.25">
      <c r="AL12114" s="6"/>
    </row>
    <row r="12115" spans="38:38" x14ac:dyDescent="0.25">
      <c r="AL12115" s="6"/>
    </row>
    <row r="12116" spans="38:38" x14ac:dyDescent="0.25">
      <c r="AL12116" s="6"/>
    </row>
    <row r="12117" spans="38:38" x14ac:dyDescent="0.25">
      <c r="AL12117" s="6"/>
    </row>
    <row r="12118" spans="38:38" x14ac:dyDescent="0.25">
      <c r="AL12118" s="6"/>
    </row>
    <row r="12119" spans="38:38" x14ac:dyDescent="0.25">
      <c r="AL12119" s="6"/>
    </row>
    <row r="12120" spans="38:38" x14ac:dyDescent="0.25">
      <c r="AL12120" s="6"/>
    </row>
    <row r="12121" spans="38:38" x14ac:dyDescent="0.25">
      <c r="AL12121" s="6"/>
    </row>
    <row r="12122" spans="38:38" x14ac:dyDescent="0.25">
      <c r="AL12122" s="6"/>
    </row>
    <row r="12123" spans="38:38" x14ac:dyDescent="0.25">
      <c r="AL12123" s="6"/>
    </row>
    <row r="12124" spans="38:38" x14ac:dyDescent="0.25">
      <c r="AL12124" s="6"/>
    </row>
    <row r="12125" spans="38:38" x14ac:dyDescent="0.25">
      <c r="AL12125" s="6"/>
    </row>
    <row r="12126" spans="38:38" x14ac:dyDescent="0.25">
      <c r="AL12126" s="6"/>
    </row>
    <row r="12127" spans="38:38" x14ac:dyDescent="0.25">
      <c r="AL12127" s="6"/>
    </row>
    <row r="12128" spans="38:38" x14ac:dyDescent="0.25">
      <c r="AL12128" s="6"/>
    </row>
    <row r="12129" spans="38:38" x14ac:dyDescent="0.25">
      <c r="AL12129" s="6"/>
    </row>
    <row r="12130" spans="38:38" x14ac:dyDescent="0.25">
      <c r="AL12130" s="6"/>
    </row>
    <row r="12131" spans="38:38" x14ac:dyDescent="0.25">
      <c r="AL12131" s="6"/>
    </row>
    <row r="12132" spans="38:38" x14ac:dyDescent="0.25">
      <c r="AL12132" s="6"/>
    </row>
    <row r="12133" spans="38:38" x14ac:dyDescent="0.25">
      <c r="AL12133" s="6"/>
    </row>
    <row r="12134" spans="38:38" x14ac:dyDescent="0.25">
      <c r="AL12134" s="6"/>
    </row>
    <row r="12135" spans="38:38" x14ac:dyDescent="0.25">
      <c r="AL12135" s="6"/>
    </row>
    <row r="12136" spans="38:38" x14ac:dyDescent="0.25">
      <c r="AL12136" s="6"/>
    </row>
    <row r="12137" spans="38:38" x14ac:dyDescent="0.25">
      <c r="AL12137" s="6"/>
    </row>
    <row r="12138" spans="38:38" x14ac:dyDescent="0.25">
      <c r="AL12138" s="6"/>
    </row>
    <row r="12139" spans="38:38" x14ac:dyDescent="0.25">
      <c r="AL12139" s="6"/>
    </row>
    <row r="12140" spans="38:38" x14ac:dyDescent="0.25">
      <c r="AL12140" s="6"/>
    </row>
    <row r="12141" spans="38:38" x14ac:dyDescent="0.25">
      <c r="AL12141" s="6"/>
    </row>
    <row r="12142" spans="38:38" x14ac:dyDescent="0.25">
      <c r="AL12142" s="6"/>
    </row>
    <row r="12143" spans="38:38" x14ac:dyDescent="0.25">
      <c r="AL12143" s="6"/>
    </row>
    <row r="12144" spans="38:38" x14ac:dyDescent="0.25">
      <c r="AL12144" s="6"/>
    </row>
    <row r="12145" spans="38:38" x14ac:dyDescent="0.25">
      <c r="AL12145" s="6"/>
    </row>
    <row r="12146" spans="38:38" x14ac:dyDescent="0.25">
      <c r="AL12146" s="6"/>
    </row>
    <row r="12147" spans="38:38" x14ac:dyDescent="0.25">
      <c r="AL12147" s="6"/>
    </row>
    <row r="12148" spans="38:38" x14ac:dyDescent="0.25">
      <c r="AL12148" s="6"/>
    </row>
    <row r="12149" spans="38:38" x14ac:dyDescent="0.25">
      <c r="AL12149" s="6"/>
    </row>
    <row r="12150" spans="38:38" x14ac:dyDescent="0.25">
      <c r="AL12150" s="6"/>
    </row>
    <row r="12151" spans="38:38" x14ac:dyDescent="0.25">
      <c r="AL12151" s="6"/>
    </row>
    <row r="12152" spans="38:38" x14ac:dyDescent="0.25">
      <c r="AL12152" s="6"/>
    </row>
    <row r="12153" spans="38:38" x14ac:dyDescent="0.25">
      <c r="AL12153" s="6"/>
    </row>
    <row r="12154" spans="38:38" x14ac:dyDescent="0.25">
      <c r="AL12154" s="6"/>
    </row>
    <row r="12155" spans="38:38" x14ac:dyDescent="0.25">
      <c r="AL12155" s="6"/>
    </row>
    <row r="12156" spans="38:38" x14ac:dyDescent="0.25">
      <c r="AL12156" s="6"/>
    </row>
    <row r="12157" spans="38:38" x14ac:dyDescent="0.25">
      <c r="AL12157" s="6"/>
    </row>
    <row r="12158" spans="38:38" x14ac:dyDescent="0.25">
      <c r="AL12158" s="6"/>
    </row>
    <row r="12159" spans="38:38" x14ac:dyDescent="0.25">
      <c r="AL12159" s="6"/>
    </row>
    <row r="12160" spans="38:38" x14ac:dyDescent="0.25">
      <c r="AL12160" s="6"/>
    </row>
    <row r="12161" spans="38:38" x14ac:dyDescent="0.25">
      <c r="AL12161" s="6"/>
    </row>
    <row r="12162" spans="38:38" x14ac:dyDescent="0.25">
      <c r="AL12162" s="6"/>
    </row>
    <row r="12163" spans="38:38" x14ac:dyDescent="0.25">
      <c r="AL12163" s="6"/>
    </row>
    <row r="12164" spans="38:38" x14ac:dyDescent="0.25">
      <c r="AL12164" s="6"/>
    </row>
    <row r="12165" spans="38:38" x14ac:dyDescent="0.25">
      <c r="AL12165" s="6"/>
    </row>
    <row r="12166" spans="38:38" x14ac:dyDescent="0.25">
      <c r="AL12166" s="6"/>
    </row>
    <row r="12167" spans="38:38" x14ac:dyDescent="0.25">
      <c r="AL12167" s="6"/>
    </row>
    <row r="12168" spans="38:38" x14ac:dyDescent="0.25">
      <c r="AL12168" s="6"/>
    </row>
    <row r="12169" spans="38:38" x14ac:dyDescent="0.25">
      <c r="AL12169" s="6"/>
    </row>
    <row r="12170" spans="38:38" x14ac:dyDescent="0.25">
      <c r="AL12170" s="6"/>
    </row>
    <row r="12171" spans="38:38" x14ac:dyDescent="0.25">
      <c r="AL12171" s="6"/>
    </row>
    <row r="12172" spans="38:38" x14ac:dyDescent="0.25">
      <c r="AL12172" s="6"/>
    </row>
    <row r="12173" spans="38:38" x14ac:dyDescent="0.25">
      <c r="AL12173" s="6"/>
    </row>
    <row r="12174" spans="38:38" x14ac:dyDescent="0.25">
      <c r="AL12174" s="6"/>
    </row>
    <row r="12175" spans="38:38" x14ac:dyDescent="0.25">
      <c r="AL12175" s="6"/>
    </row>
    <row r="12176" spans="38:38" x14ac:dyDescent="0.25">
      <c r="AL12176" s="6"/>
    </row>
    <row r="12177" spans="38:38" x14ac:dyDescent="0.25">
      <c r="AL12177" s="6"/>
    </row>
    <row r="12178" spans="38:38" x14ac:dyDescent="0.25">
      <c r="AL12178" s="6"/>
    </row>
    <row r="12179" spans="38:38" x14ac:dyDescent="0.25">
      <c r="AL12179" s="6"/>
    </row>
    <row r="12180" spans="38:38" x14ac:dyDescent="0.25">
      <c r="AL12180" s="6"/>
    </row>
    <row r="12181" spans="38:38" x14ac:dyDescent="0.25">
      <c r="AL12181" s="6"/>
    </row>
    <row r="12182" spans="38:38" x14ac:dyDescent="0.25">
      <c r="AL12182" s="6"/>
    </row>
    <row r="12183" spans="38:38" x14ac:dyDescent="0.25">
      <c r="AL12183" s="6"/>
    </row>
    <row r="12184" spans="38:38" x14ac:dyDescent="0.25">
      <c r="AL12184" s="6"/>
    </row>
    <row r="12185" spans="38:38" x14ac:dyDescent="0.25">
      <c r="AL12185" s="6"/>
    </row>
    <row r="12186" spans="38:38" x14ac:dyDescent="0.25">
      <c r="AL12186" s="6"/>
    </row>
    <row r="12187" spans="38:38" x14ac:dyDescent="0.25">
      <c r="AL12187" s="6"/>
    </row>
    <row r="12188" spans="38:38" x14ac:dyDescent="0.25">
      <c r="AL12188" s="6"/>
    </row>
    <row r="12189" spans="38:38" x14ac:dyDescent="0.25">
      <c r="AL12189" s="6"/>
    </row>
    <row r="12190" spans="38:38" x14ac:dyDescent="0.25">
      <c r="AL12190" s="6"/>
    </row>
    <row r="12191" spans="38:38" x14ac:dyDescent="0.25">
      <c r="AL12191" s="6"/>
    </row>
    <row r="12192" spans="38:38" x14ac:dyDescent="0.25">
      <c r="AL12192" s="6"/>
    </row>
    <row r="12193" spans="38:38" x14ac:dyDescent="0.25">
      <c r="AL12193" s="6"/>
    </row>
    <row r="12194" spans="38:38" x14ac:dyDescent="0.25">
      <c r="AL12194" s="6"/>
    </row>
    <row r="12195" spans="38:38" x14ac:dyDescent="0.25">
      <c r="AL12195" s="6"/>
    </row>
    <row r="12196" spans="38:38" x14ac:dyDescent="0.25">
      <c r="AL12196" s="6"/>
    </row>
    <row r="12197" spans="38:38" x14ac:dyDescent="0.25">
      <c r="AL12197" s="6"/>
    </row>
    <row r="12198" spans="38:38" x14ac:dyDescent="0.25">
      <c r="AL12198" s="6"/>
    </row>
    <row r="12199" spans="38:38" x14ac:dyDescent="0.25">
      <c r="AL12199" s="6"/>
    </row>
    <row r="12200" spans="38:38" x14ac:dyDescent="0.25">
      <c r="AL12200" s="6"/>
    </row>
    <row r="12201" spans="38:38" x14ac:dyDescent="0.25">
      <c r="AL12201" s="6"/>
    </row>
    <row r="12202" spans="38:38" x14ac:dyDescent="0.25">
      <c r="AL12202" s="6"/>
    </row>
    <row r="12203" spans="38:38" x14ac:dyDescent="0.25">
      <c r="AL12203" s="6"/>
    </row>
    <row r="12204" spans="38:38" x14ac:dyDescent="0.25">
      <c r="AL12204" s="6"/>
    </row>
    <row r="12205" spans="38:38" x14ac:dyDescent="0.25">
      <c r="AL12205" s="6"/>
    </row>
    <row r="12206" spans="38:38" x14ac:dyDescent="0.25">
      <c r="AL12206" s="6"/>
    </row>
    <row r="12207" spans="38:38" x14ac:dyDescent="0.25">
      <c r="AL12207" s="6"/>
    </row>
    <row r="12208" spans="38:38" x14ac:dyDescent="0.25">
      <c r="AL12208" s="6"/>
    </row>
    <row r="12209" spans="38:38" x14ac:dyDescent="0.25">
      <c r="AL12209" s="6"/>
    </row>
    <row r="12210" spans="38:38" x14ac:dyDescent="0.25">
      <c r="AL12210" s="6"/>
    </row>
    <row r="12211" spans="38:38" x14ac:dyDescent="0.25">
      <c r="AL12211" s="6"/>
    </row>
    <row r="12212" spans="38:38" x14ac:dyDescent="0.25">
      <c r="AL12212" s="6"/>
    </row>
    <row r="12213" spans="38:38" x14ac:dyDescent="0.25">
      <c r="AL12213" s="6"/>
    </row>
    <row r="12214" spans="38:38" x14ac:dyDescent="0.25">
      <c r="AL12214" s="6"/>
    </row>
    <row r="12215" spans="38:38" x14ac:dyDescent="0.25">
      <c r="AL12215" s="6"/>
    </row>
    <row r="12216" spans="38:38" x14ac:dyDescent="0.25">
      <c r="AL12216" s="6"/>
    </row>
    <row r="12217" spans="38:38" x14ac:dyDescent="0.25">
      <c r="AL12217" s="6"/>
    </row>
    <row r="12218" spans="38:38" x14ac:dyDescent="0.25">
      <c r="AL12218" s="6"/>
    </row>
    <row r="12219" spans="38:38" x14ac:dyDescent="0.25">
      <c r="AL12219" s="6"/>
    </row>
    <row r="12220" spans="38:38" x14ac:dyDescent="0.25">
      <c r="AL12220" s="6"/>
    </row>
    <row r="12221" spans="38:38" x14ac:dyDescent="0.25">
      <c r="AL12221" s="6"/>
    </row>
    <row r="12222" spans="38:38" x14ac:dyDescent="0.25">
      <c r="AL12222" s="6"/>
    </row>
    <row r="12223" spans="38:38" x14ac:dyDescent="0.25">
      <c r="AL12223" s="6"/>
    </row>
    <row r="12224" spans="38:38" x14ac:dyDescent="0.25">
      <c r="AL12224" s="6"/>
    </row>
    <row r="12225" spans="38:38" x14ac:dyDescent="0.25">
      <c r="AL12225" s="6"/>
    </row>
    <row r="12226" spans="38:38" x14ac:dyDescent="0.25">
      <c r="AL12226" s="6"/>
    </row>
    <row r="12227" spans="38:38" x14ac:dyDescent="0.25">
      <c r="AL12227" s="6"/>
    </row>
    <row r="12228" spans="38:38" x14ac:dyDescent="0.25">
      <c r="AL12228" s="6"/>
    </row>
    <row r="12229" spans="38:38" x14ac:dyDescent="0.25">
      <c r="AL12229" s="6"/>
    </row>
    <row r="12230" spans="38:38" x14ac:dyDescent="0.25">
      <c r="AL12230" s="6"/>
    </row>
    <row r="12231" spans="38:38" x14ac:dyDescent="0.25">
      <c r="AL12231" s="6"/>
    </row>
    <row r="12232" spans="38:38" x14ac:dyDescent="0.25">
      <c r="AL12232" s="6"/>
    </row>
    <row r="12233" spans="38:38" x14ac:dyDescent="0.25">
      <c r="AL12233" s="6"/>
    </row>
    <row r="12234" spans="38:38" x14ac:dyDescent="0.25">
      <c r="AL12234" s="6"/>
    </row>
    <row r="12235" spans="38:38" x14ac:dyDescent="0.25">
      <c r="AL12235" s="6"/>
    </row>
    <row r="12236" spans="38:38" x14ac:dyDescent="0.25">
      <c r="AL12236" s="6"/>
    </row>
    <row r="12237" spans="38:38" x14ac:dyDescent="0.25">
      <c r="AL12237" s="6"/>
    </row>
    <row r="12238" spans="38:38" x14ac:dyDescent="0.25">
      <c r="AL12238" s="6"/>
    </row>
    <row r="12239" spans="38:38" x14ac:dyDescent="0.25">
      <c r="AL12239" s="6"/>
    </row>
    <row r="12240" spans="38:38" x14ac:dyDescent="0.25">
      <c r="AL12240" s="6"/>
    </row>
    <row r="12241" spans="38:38" x14ac:dyDescent="0.25">
      <c r="AL12241" s="6"/>
    </row>
    <row r="12242" spans="38:38" x14ac:dyDescent="0.25">
      <c r="AL12242" s="6"/>
    </row>
    <row r="12243" spans="38:38" x14ac:dyDescent="0.25">
      <c r="AL12243" s="6"/>
    </row>
    <row r="12244" spans="38:38" x14ac:dyDescent="0.25">
      <c r="AL12244" s="6"/>
    </row>
    <row r="12245" spans="38:38" x14ac:dyDescent="0.25">
      <c r="AL12245" s="6"/>
    </row>
    <row r="12246" spans="38:38" x14ac:dyDescent="0.25">
      <c r="AL12246" s="6"/>
    </row>
    <row r="12247" spans="38:38" x14ac:dyDescent="0.25">
      <c r="AL12247" s="6"/>
    </row>
    <row r="12248" spans="38:38" x14ac:dyDescent="0.25">
      <c r="AL12248" s="6"/>
    </row>
    <row r="12249" spans="38:38" x14ac:dyDescent="0.25">
      <c r="AL12249" s="6"/>
    </row>
    <row r="12250" spans="38:38" x14ac:dyDescent="0.25">
      <c r="AL12250" s="6"/>
    </row>
    <row r="12251" spans="38:38" x14ac:dyDescent="0.25">
      <c r="AL12251" s="6"/>
    </row>
    <row r="12252" spans="38:38" x14ac:dyDescent="0.25">
      <c r="AL12252" s="6"/>
    </row>
    <row r="12253" spans="38:38" x14ac:dyDescent="0.25">
      <c r="AL12253" s="6"/>
    </row>
    <row r="12254" spans="38:38" x14ac:dyDescent="0.25">
      <c r="AL12254" s="6"/>
    </row>
    <row r="12255" spans="38:38" x14ac:dyDescent="0.25">
      <c r="AL12255" s="6"/>
    </row>
    <row r="12256" spans="38:38" x14ac:dyDescent="0.25">
      <c r="AL12256" s="6"/>
    </row>
    <row r="12257" spans="38:38" x14ac:dyDescent="0.25">
      <c r="AL12257" s="6"/>
    </row>
    <row r="12258" spans="38:38" x14ac:dyDescent="0.25">
      <c r="AL12258" s="6"/>
    </row>
    <row r="12259" spans="38:38" x14ac:dyDescent="0.25">
      <c r="AL12259" s="6"/>
    </row>
    <row r="12260" spans="38:38" x14ac:dyDescent="0.25">
      <c r="AL12260" s="6"/>
    </row>
    <row r="12261" spans="38:38" x14ac:dyDescent="0.25">
      <c r="AL12261" s="6"/>
    </row>
    <row r="12262" spans="38:38" x14ac:dyDescent="0.25">
      <c r="AL12262" s="6"/>
    </row>
    <row r="12263" spans="38:38" x14ac:dyDescent="0.25">
      <c r="AL12263" s="6"/>
    </row>
    <row r="12264" spans="38:38" x14ac:dyDescent="0.25">
      <c r="AL12264" s="6"/>
    </row>
    <row r="12265" spans="38:38" x14ac:dyDescent="0.25">
      <c r="AL12265" s="6"/>
    </row>
    <row r="12266" spans="38:38" x14ac:dyDescent="0.25">
      <c r="AL12266" s="6"/>
    </row>
    <row r="12267" spans="38:38" x14ac:dyDescent="0.25">
      <c r="AL12267" s="6"/>
    </row>
    <row r="12268" spans="38:38" x14ac:dyDescent="0.25">
      <c r="AL12268" s="6"/>
    </row>
    <row r="12269" spans="38:38" x14ac:dyDescent="0.25">
      <c r="AL12269" s="6"/>
    </row>
    <row r="12270" spans="38:38" x14ac:dyDescent="0.25">
      <c r="AL12270" s="6"/>
    </row>
    <row r="12271" spans="38:38" x14ac:dyDescent="0.25">
      <c r="AL12271" s="6"/>
    </row>
    <row r="12272" spans="38:38" x14ac:dyDescent="0.25">
      <c r="AL12272" s="6"/>
    </row>
    <row r="12273" spans="38:38" x14ac:dyDescent="0.25">
      <c r="AL12273" s="6"/>
    </row>
    <row r="12274" spans="38:38" x14ac:dyDescent="0.25">
      <c r="AL12274" s="6"/>
    </row>
    <row r="12275" spans="38:38" x14ac:dyDescent="0.25">
      <c r="AL12275" s="6"/>
    </row>
    <row r="12276" spans="38:38" x14ac:dyDescent="0.25">
      <c r="AL12276" s="6"/>
    </row>
    <row r="12277" spans="38:38" x14ac:dyDescent="0.25">
      <c r="AL12277" s="6"/>
    </row>
    <row r="12278" spans="38:38" x14ac:dyDescent="0.25">
      <c r="AL12278" s="6"/>
    </row>
    <row r="12279" spans="38:38" x14ac:dyDescent="0.25">
      <c r="AL12279" s="6"/>
    </row>
    <row r="12280" spans="38:38" x14ac:dyDescent="0.25">
      <c r="AL12280" s="6"/>
    </row>
    <row r="12281" spans="38:38" x14ac:dyDescent="0.25">
      <c r="AL12281" s="6"/>
    </row>
    <row r="12282" spans="38:38" x14ac:dyDescent="0.25">
      <c r="AL12282" s="6"/>
    </row>
    <row r="12283" spans="38:38" x14ac:dyDescent="0.25">
      <c r="AL12283" s="6"/>
    </row>
    <row r="12284" spans="38:38" x14ac:dyDescent="0.25">
      <c r="AL12284" s="6"/>
    </row>
    <row r="12285" spans="38:38" x14ac:dyDescent="0.25">
      <c r="AL12285" s="6"/>
    </row>
    <row r="12286" spans="38:38" x14ac:dyDescent="0.25">
      <c r="AL12286" s="6"/>
    </row>
    <row r="12287" spans="38:38" x14ac:dyDescent="0.25">
      <c r="AL12287" s="6"/>
    </row>
    <row r="12288" spans="38:38" x14ac:dyDescent="0.25">
      <c r="AL12288" s="6"/>
    </row>
    <row r="12289" spans="38:38" x14ac:dyDescent="0.25">
      <c r="AL12289" s="6"/>
    </row>
    <row r="12290" spans="38:38" x14ac:dyDescent="0.25">
      <c r="AL12290" s="6"/>
    </row>
    <row r="12291" spans="38:38" x14ac:dyDescent="0.25">
      <c r="AL12291" s="6"/>
    </row>
    <row r="12292" spans="38:38" x14ac:dyDescent="0.25">
      <c r="AL12292" s="6"/>
    </row>
    <row r="12293" spans="38:38" x14ac:dyDescent="0.25">
      <c r="AL12293" s="6"/>
    </row>
    <row r="12294" spans="38:38" x14ac:dyDescent="0.25">
      <c r="AL12294" s="6"/>
    </row>
    <row r="12295" spans="38:38" x14ac:dyDescent="0.25">
      <c r="AL12295" s="6"/>
    </row>
    <row r="12296" spans="38:38" x14ac:dyDescent="0.25">
      <c r="AL12296" s="6"/>
    </row>
    <row r="12297" spans="38:38" x14ac:dyDescent="0.25">
      <c r="AL12297" s="6"/>
    </row>
    <row r="12298" spans="38:38" x14ac:dyDescent="0.25">
      <c r="AL12298" s="6"/>
    </row>
    <row r="12299" spans="38:38" x14ac:dyDescent="0.25">
      <c r="AL12299" s="6"/>
    </row>
    <row r="12300" spans="38:38" x14ac:dyDescent="0.25">
      <c r="AL12300" s="6"/>
    </row>
    <row r="12301" spans="38:38" x14ac:dyDescent="0.25">
      <c r="AL12301" s="6"/>
    </row>
    <row r="12302" spans="38:38" x14ac:dyDescent="0.25">
      <c r="AL12302" s="6"/>
    </row>
    <row r="12303" spans="38:38" x14ac:dyDescent="0.25">
      <c r="AL12303" s="6"/>
    </row>
    <row r="12304" spans="38:38" x14ac:dyDescent="0.25">
      <c r="AL12304" s="6"/>
    </row>
    <row r="12305" spans="38:38" x14ac:dyDescent="0.25">
      <c r="AL12305" s="6"/>
    </row>
    <row r="12306" spans="38:38" x14ac:dyDescent="0.25">
      <c r="AL12306" s="6"/>
    </row>
    <row r="12307" spans="38:38" x14ac:dyDescent="0.25">
      <c r="AL12307" s="6"/>
    </row>
    <row r="12308" spans="38:38" x14ac:dyDescent="0.25">
      <c r="AL12308" s="6"/>
    </row>
    <row r="12309" spans="38:38" x14ac:dyDescent="0.25">
      <c r="AL12309" s="6"/>
    </row>
    <row r="12310" spans="38:38" x14ac:dyDescent="0.25">
      <c r="AL12310" s="6"/>
    </row>
    <row r="12311" spans="38:38" x14ac:dyDescent="0.25">
      <c r="AL12311" s="6"/>
    </row>
    <row r="12312" spans="38:38" x14ac:dyDescent="0.25">
      <c r="AL12312" s="6"/>
    </row>
    <row r="12313" spans="38:38" x14ac:dyDescent="0.25">
      <c r="AL12313" s="6"/>
    </row>
    <row r="12314" spans="38:38" x14ac:dyDescent="0.25">
      <c r="AL12314" s="6"/>
    </row>
    <row r="12315" spans="38:38" x14ac:dyDescent="0.25">
      <c r="AL12315" s="6"/>
    </row>
    <row r="12316" spans="38:38" x14ac:dyDescent="0.25">
      <c r="AL12316" s="6"/>
    </row>
    <row r="12317" spans="38:38" x14ac:dyDescent="0.25">
      <c r="AL12317" s="6"/>
    </row>
    <row r="12318" spans="38:38" x14ac:dyDescent="0.25">
      <c r="AL12318" s="6"/>
    </row>
    <row r="12319" spans="38:38" x14ac:dyDescent="0.25">
      <c r="AL12319" s="6"/>
    </row>
    <row r="12320" spans="38:38" x14ac:dyDescent="0.25">
      <c r="AL12320" s="6"/>
    </row>
    <row r="12321" spans="38:38" x14ac:dyDescent="0.25">
      <c r="AL12321" s="6"/>
    </row>
    <row r="12322" spans="38:38" x14ac:dyDescent="0.25">
      <c r="AL12322" s="6"/>
    </row>
    <row r="12323" spans="38:38" x14ac:dyDescent="0.25">
      <c r="AL12323" s="6"/>
    </row>
    <row r="12324" spans="38:38" x14ac:dyDescent="0.25">
      <c r="AL12324" s="6"/>
    </row>
    <row r="12325" spans="38:38" x14ac:dyDescent="0.25">
      <c r="AL12325" s="6"/>
    </row>
    <row r="12326" spans="38:38" x14ac:dyDescent="0.25">
      <c r="AL12326" s="6"/>
    </row>
    <row r="12327" spans="38:38" x14ac:dyDescent="0.25">
      <c r="AL12327" s="6"/>
    </row>
    <row r="12328" spans="38:38" x14ac:dyDescent="0.25">
      <c r="AL12328" s="6"/>
    </row>
    <row r="12329" spans="38:38" x14ac:dyDescent="0.25">
      <c r="AL12329" s="6"/>
    </row>
    <row r="12330" spans="38:38" x14ac:dyDescent="0.25">
      <c r="AL12330" s="6"/>
    </row>
    <row r="12331" spans="38:38" x14ac:dyDescent="0.25">
      <c r="AL12331" s="6"/>
    </row>
    <row r="12332" spans="38:38" x14ac:dyDescent="0.25">
      <c r="AL12332" s="6"/>
    </row>
    <row r="12333" spans="38:38" x14ac:dyDescent="0.25">
      <c r="AL12333" s="6"/>
    </row>
    <row r="12334" spans="38:38" x14ac:dyDescent="0.25">
      <c r="AL12334" s="6"/>
    </row>
    <row r="12335" spans="38:38" x14ac:dyDescent="0.25">
      <c r="AL12335" s="6"/>
    </row>
    <row r="12336" spans="38:38" x14ac:dyDescent="0.25">
      <c r="AL12336" s="6"/>
    </row>
    <row r="12337" spans="38:38" x14ac:dyDescent="0.25">
      <c r="AL12337" s="6"/>
    </row>
    <row r="12338" spans="38:38" x14ac:dyDescent="0.25">
      <c r="AL12338" s="6"/>
    </row>
    <row r="12339" spans="38:38" x14ac:dyDescent="0.25">
      <c r="AL12339" s="6"/>
    </row>
    <row r="12340" spans="38:38" x14ac:dyDescent="0.25">
      <c r="AL12340" s="6"/>
    </row>
    <row r="12341" spans="38:38" x14ac:dyDescent="0.25">
      <c r="AL12341" s="6"/>
    </row>
    <row r="12342" spans="38:38" x14ac:dyDescent="0.25">
      <c r="AL12342" s="6"/>
    </row>
    <row r="12343" spans="38:38" x14ac:dyDescent="0.25">
      <c r="AL12343" s="6"/>
    </row>
    <row r="12344" spans="38:38" x14ac:dyDescent="0.25">
      <c r="AL12344" s="6"/>
    </row>
    <row r="12345" spans="38:38" x14ac:dyDescent="0.25">
      <c r="AL12345" s="6"/>
    </row>
    <row r="12346" spans="38:38" x14ac:dyDescent="0.25">
      <c r="AL12346" s="6"/>
    </row>
    <row r="12347" spans="38:38" x14ac:dyDescent="0.25">
      <c r="AL12347" s="6"/>
    </row>
    <row r="12348" spans="38:38" x14ac:dyDescent="0.25">
      <c r="AL12348" s="6"/>
    </row>
    <row r="12349" spans="38:38" x14ac:dyDescent="0.25">
      <c r="AL12349" s="6"/>
    </row>
    <row r="12350" spans="38:38" x14ac:dyDescent="0.25">
      <c r="AL12350" s="6"/>
    </row>
    <row r="12351" spans="38:38" x14ac:dyDescent="0.25">
      <c r="AL12351" s="6"/>
    </row>
    <row r="12352" spans="38:38" x14ac:dyDescent="0.25">
      <c r="AL12352" s="6"/>
    </row>
    <row r="12353" spans="38:38" x14ac:dyDescent="0.25">
      <c r="AL12353" s="6"/>
    </row>
    <row r="12354" spans="38:38" x14ac:dyDescent="0.25">
      <c r="AL12354" s="6"/>
    </row>
    <row r="12355" spans="38:38" x14ac:dyDescent="0.25">
      <c r="AL12355" s="6"/>
    </row>
    <row r="12356" spans="38:38" x14ac:dyDescent="0.25">
      <c r="AL12356" s="6"/>
    </row>
    <row r="12357" spans="38:38" x14ac:dyDescent="0.25">
      <c r="AL12357" s="6"/>
    </row>
    <row r="12358" spans="38:38" x14ac:dyDescent="0.25">
      <c r="AL12358" s="6"/>
    </row>
    <row r="12359" spans="38:38" x14ac:dyDescent="0.25">
      <c r="AL12359" s="6"/>
    </row>
    <row r="12360" spans="38:38" x14ac:dyDescent="0.25">
      <c r="AL12360" s="6"/>
    </row>
    <row r="12361" spans="38:38" x14ac:dyDescent="0.25">
      <c r="AL12361" s="6"/>
    </row>
    <row r="12362" spans="38:38" x14ac:dyDescent="0.25">
      <c r="AL12362" s="6"/>
    </row>
    <row r="12363" spans="38:38" x14ac:dyDescent="0.25">
      <c r="AL12363" s="6"/>
    </row>
    <row r="12364" spans="38:38" x14ac:dyDescent="0.25">
      <c r="AL12364" s="6"/>
    </row>
    <row r="12365" spans="38:38" x14ac:dyDescent="0.25">
      <c r="AL12365" s="6"/>
    </row>
    <row r="12366" spans="38:38" x14ac:dyDescent="0.25">
      <c r="AL12366" s="6"/>
    </row>
    <row r="12367" spans="38:38" x14ac:dyDescent="0.25">
      <c r="AL12367" s="6"/>
    </row>
    <row r="12368" spans="38:38" x14ac:dyDescent="0.25">
      <c r="AL12368" s="6"/>
    </row>
    <row r="12369" spans="38:38" x14ac:dyDescent="0.25">
      <c r="AL12369" s="6"/>
    </row>
    <row r="12370" spans="38:38" x14ac:dyDescent="0.25">
      <c r="AL12370" s="6"/>
    </row>
    <row r="12371" spans="38:38" x14ac:dyDescent="0.25">
      <c r="AL12371" s="6"/>
    </row>
    <row r="12372" spans="38:38" x14ac:dyDescent="0.25">
      <c r="AL12372" s="6"/>
    </row>
    <row r="12373" spans="38:38" x14ac:dyDescent="0.25">
      <c r="AL12373" s="6"/>
    </row>
    <row r="12374" spans="38:38" x14ac:dyDescent="0.25">
      <c r="AL12374" s="6"/>
    </row>
    <row r="12375" spans="38:38" x14ac:dyDescent="0.25">
      <c r="AL12375" s="6"/>
    </row>
    <row r="12376" spans="38:38" x14ac:dyDescent="0.25">
      <c r="AL12376" s="6"/>
    </row>
    <row r="12377" spans="38:38" x14ac:dyDescent="0.25">
      <c r="AL12377" s="6"/>
    </row>
    <row r="12378" spans="38:38" x14ac:dyDescent="0.25">
      <c r="AL12378" s="6"/>
    </row>
    <row r="12379" spans="38:38" x14ac:dyDescent="0.25">
      <c r="AL12379" s="6"/>
    </row>
    <row r="12380" spans="38:38" x14ac:dyDescent="0.25">
      <c r="AL12380" s="6"/>
    </row>
    <row r="12381" spans="38:38" x14ac:dyDescent="0.25">
      <c r="AL12381" s="6"/>
    </row>
    <row r="12382" spans="38:38" x14ac:dyDescent="0.25">
      <c r="AL12382" s="6"/>
    </row>
    <row r="12383" spans="38:38" x14ac:dyDescent="0.25">
      <c r="AL12383" s="6"/>
    </row>
    <row r="12384" spans="38:38" x14ac:dyDescent="0.25">
      <c r="AL12384" s="6"/>
    </row>
    <row r="12385" spans="38:38" x14ac:dyDescent="0.25">
      <c r="AL12385" s="6"/>
    </row>
    <row r="12386" spans="38:38" x14ac:dyDescent="0.25">
      <c r="AL12386" s="6"/>
    </row>
    <row r="12387" spans="38:38" x14ac:dyDescent="0.25">
      <c r="AL12387" s="6"/>
    </row>
    <row r="12388" spans="38:38" x14ac:dyDescent="0.25">
      <c r="AL12388" s="6"/>
    </row>
    <row r="12389" spans="38:38" x14ac:dyDescent="0.25">
      <c r="AL12389" s="6"/>
    </row>
    <row r="12390" spans="38:38" x14ac:dyDescent="0.25">
      <c r="AL12390" s="6"/>
    </row>
    <row r="12391" spans="38:38" x14ac:dyDescent="0.25">
      <c r="AL12391" s="6"/>
    </row>
    <row r="12392" spans="38:38" x14ac:dyDescent="0.25">
      <c r="AL12392" s="6"/>
    </row>
    <row r="12393" spans="38:38" x14ac:dyDescent="0.25">
      <c r="AL12393" s="6"/>
    </row>
    <row r="12394" spans="38:38" x14ac:dyDescent="0.25">
      <c r="AL12394" s="6"/>
    </row>
    <row r="12395" spans="38:38" x14ac:dyDescent="0.25">
      <c r="AL12395" s="6"/>
    </row>
    <row r="12396" spans="38:38" x14ac:dyDescent="0.25">
      <c r="AL12396" s="6"/>
    </row>
    <row r="12397" spans="38:38" x14ac:dyDescent="0.25">
      <c r="AL12397" s="6"/>
    </row>
    <row r="12398" spans="38:38" x14ac:dyDescent="0.25">
      <c r="AL12398" s="6"/>
    </row>
    <row r="12399" spans="38:38" x14ac:dyDescent="0.25">
      <c r="AL12399" s="6"/>
    </row>
    <row r="12400" spans="38:38" x14ac:dyDescent="0.25">
      <c r="AL12400" s="6"/>
    </row>
    <row r="12401" spans="38:38" x14ac:dyDescent="0.25">
      <c r="AL12401" s="6"/>
    </row>
    <row r="12402" spans="38:38" x14ac:dyDescent="0.25">
      <c r="AL12402" s="6"/>
    </row>
    <row r="12403" spans="38:38" x14ac:dyDescent="0.25">
      <c r="AL12403" s="6"/>
    </row>
    <row r="12404" spans="38:38" x14ac:dyDescent="0.25">
      <c r="AL12404" s="6"/>
    </row>
    <row r="12405" spans="38:38" x14ac:dyDescent="0.25">
      <c r="AL12405" s="6"/>
    </row>
    <row r="12406" spans="38:38" x14ac:dyDescent="0.25">
      <c r="AL12406" s="6"/>
    </row>
    <row r="12407" spans="38:38" x14ac:dyDescent="0.25">
      <c r="AL12407" s="6"/>
    </row>
    <row r="12408" spans="38:38" x14ac:dyDescent="0.25">
      <c r="AL12408" s="6"/>
    </row>
    <row r="12409" spans="38:38" x14ac:dyDescent="0.25">
      <c r="AL12409" s="6"/>
    </row>
    <row r="12410" spans="38:38" x14ac:dyDescent="0.25">
      <c r="AL12410" s="6"/>
    </row>
    <row r="12411" spans="38:38" x14ac:dyDescent="0.25">
      <c r="AL12411" s="6"/>
    </row>
    <row r="12412" spans="38:38" x14ac:dyDescent="0.25">
      <c r="AL12412" s="6"/>
    </row>
    <row r="12413" spans="38:38" x14ac:dyDescent="0.25">
      <c r="AL12413" s="6"/>
    </row>
    <row r="12414" spans="38:38" x14ac:dyDescent="0.25">
      <c r="AL12414" s="6"/>
    </row>
    <row r="12415" spans="38:38" x14ac:dyDescent="0.25">
      <c r="AL12415" s="6"/>
    </row>
    <row r="12416" spans="38:38" x14ac:dyDescent="0.25">
      <c r="AL12416" s="6"/>
    </row>
    <row r="12417" spans="38:38" x14ac:dyDescent="0.25">
      <c r="AL12417" s="6"/>
    </row>
    <row r="12418" spans="38:38" x14ac:dyDescent="0.25">
      <c r="AL12418" s="6"/>
    </row>
    <row r="12419" spans="38:38" x14ac:dyDescent="0.25">
      <c r="AL12419" s="6"/>
    </row>
    <row r="12420" spans="38:38" x14ac:dyDescent="0.25">
      <c r="AL12420" s="6"/>
    </row>
    <row r="12421" spans="38:38" x14ac:dyDescent="0.25">
      <c r="AL12421" s="6"/>
    </row>
    <row r="12422" spans="38:38" x14ac:dyDescent="0.25">
      <c r="AL12422" s="6"/>
    </row>
    <row r="12423" spans="38:38" x14ac:dyDescent="0.25">
      <c r="AL12423" s="6"/>
    </row>
    <row r="12424" spans="38:38" x14ac:dyDescent="0.25">
      <c r="AL12424" s="6"/>
    </row>
    <row r="12425" spans="38:38" x14ac:dyDescent="0.25">
      <c r="AL12425" s="6"/>
    </row>
    <row r="12426" spans="38:38" x14ac:dyDescent="0.25">
      <c r="AL12426" s="6"/>
    </row>
    <row r="12427" spans="38:38" x14ac:dyDescent="0.25">
      <c r="AL12427" s="6"/>
    </row>
    <row r="12428" spans="38:38" x14ac:dyDescent="0.25">
      <c r="AL12428" s="6"/>
    </row>
    <row r="12429" spans="38:38" x14ac:dyDescent="0.25">
      <c r="AL12429" s="6"/>
    </row>
    <row r="12430" spans="38:38" x14ac:dyDescent="0.25">
      <c r="AL12430" s="6"/>
    </row>
    <row r="12431" spans="38:38" x14ac:dyDescent="0.25">
      <c r="AL12431" s="6"/>
    </row>
    <row r="12432" spans="38:38" x14ac:dyDescent="0.25">
      <c r="AL12432" s="6"/>
    </row>
    <row r="12433" spans="38:38" x14ac:dyDescent="0.25">
      <c r="AL12433" s="6"/>
    </row>
    <row r="12434" spans="38:38" x14ac:dyDescent="0.25">
      <c r="AL12434" s="6"/>
    </row>
    <row r="12435" spans="38:38" x14ac:dyDescent="0.25">
      <c r="AL12435" s="6"/>
    </row>
    <row r="12436" spans="38:38" x14ac:dyDescent="0.25">
      <c r="AL12436" s="6"/>
    </row>
    <row r="12437" spans="38:38" x14ac:dyDescent="0.25">
      <c r="AL12437" s="6"/>
    </row>
    <row r="12438" spans="38:38" x14ac:dyDescent="0.25">
      <c r="AL12438" s="6"/>
    </row>
    <row r="12439" spans="38:38" x14ac:dyDescent="0.25">
      <c r="AL12439" s="6"/>
    </row>
    <row r="12440" spans="38:38" x14ac:dyDescent="0.25">
      <c r="AL12440" s="6"/>
    </row>
    <row r="12441" spans="38:38" x14ac:dyDescent="0.25">
      <c r="AL12441" s="6"/>
    </row>
    <row r="12442" spans="38:38" x14ac:dyDescent="0.25">
      <c r="AL12442" s="6"/>
    </row>
    <row r="12443" spans="38:38" x14ac:dyDescent="0.25">
      <c r="AL12443" s="6"/>
    </row>
    <row r="12444" spans="38:38" x14ac:dyDescent="0.25">
      <c r="AL12444" s="6"/>
    </row>
    <row r="12445" spans="38:38" x14ac:dyDescent="0.25">
      <c r="AL12445" s="6"/>
    </row>
    <row r="12446" spans="38:38" x14ac:dyDescent="0.25">
      <c r="AL12446" s="6"/>
    </row>
    <row r="12447" spans="38:38" x14ac:dyDescent="0.25">
      <c r="AL12447" s="6"/>
    </row>
    <row r="12448" spans="38:38" x14ac:dyDescent="0.25">
      <c r="AL12448" s="6"/>
    </row>
    <row r="12449" spans="38:38" x14ac:dyDescent="0.25">
      <c r="AL12449" s="6"/>
    </row>
    <row r="12450" spans="38:38" x14ac:dyDescent="0.25">
      <c r="AL12450" s="6"/>
    </row>
    <row r="12451" spans="38:38" x14ac:dyDescent="0.25">
      <c r="AL12451" s="6"/>
    </row>
    <row r="12452" spans="38:38" x14ac:dyDescent="0.25">
      <c r="AL12452" s="6"/>
    </row>
    <row r="12453" spans="38:38" x14ac:dyDescent="0.25">
      <c r="AL12453" s="6"/>
    </row>
    <row r="12454" spans="38:38" x14ac:dyDescent="0.25">
      <c r="AL12454" s="6"/>
    </row>
    <row r="12455" spans="38:38" x14ac:dyDescent="0.25">
      <c r="AL12455" s="6"/>
    </row>
    <row r="12456" spans="38:38" x14ac:dyDescent="0.25">
      <c r="AL12456" s="6"/>
    </row>
    <row r="12457" spans="38:38" x14ac:dyDescent="0.25">
      <c r="AL12457" s="6"/>
    </row>
    <row r="12458" spans="38:38" x14ac:dyDescent="0.25">
      <c r="AL12458" s="6"/>
    </row>
    <row r="12459" spans="38:38" x14ac:dyDescent="0.25">
      <c r="AL12459" s="6"/>
    </row>
    <row r="12460" spans="38:38" x14ac:dyDescent="0.25">
      <c r="AL12460" s="6"/>
    </row>
    <row r="12461" spans="38:38" x14ac:dyDescent="0.25">
      <c r="AL12461" s="6"/>
    </row>
    <row r="12462" spans="38:38" x14ac:dyDescent="0.25">
      <c r="AL12462" s="6"/>
    </row>
    <row r="12463" spans="38:38" x14ac:dyDescent="0.25">
      <c r="AL12463" s="6"/>
    </row>
    <row r="12464" spans="38:38" x14ac:dyDescent="0.25">
      <c r="AL12464" s="6"/>
    </row>
    <row r="12465" spans="38:38" x14ac:dyDescent="0.25">
      <c r="AL12465" s="6"/>
    </row>
    <row r="12466" spans="38:38" x14ac:dyDescent="0.25">
      <c r="AL12466" s="6"/>
    </row>
    <row r="12467" spans="38:38" x14ac:dyDescent="0.25">
      <c r="AL12467" s="6"/>
    </row>
    <row r="12468" spans="38:38" x14ac:dyDescent="0.25">
      <c r="AL12468" s="6"/>
    </row>
    <row r="12469" spans="38:38" x14ac:dyDescent="0.25">
      <c r="AL12469" s="6"/>
    </row>
    <row r="12470" spans="38:38" x14ac:dyDescent="0.25">
      <c r="AL12470" s="6"/>
    </row>
    <row r="12471" spans="38:38" x14ac:dyDescent="0.25">
      <c r="AL12471" s="6"/>
    </row>
    <row r="12472" spans="38:38" x14ac:dyDescent="0.25">
      <c r="AL12472" s="6"/>
    </row>
    <row r="12473" spans="38:38" x14ac:dyDescent="0.25">
      <c r="AL12473" s="6"/>
    </row>
    <row r="12474" spans="38:38" x14ac:dyDescent="0.25">
      <c r="AL12474" s="6"/>
    </row>
    <row r="12475" spans="38:38" x14ac:dyDescent="0.25">
      <c r="AL12475" s="6"/>
    </row>
    <row r="12476" spans="38:38" x14ac:dyDescent="0.25">
      <c r="AL12476" s="6"/>
    </row>
    <row r="12477" spans="38:38" x14ac:dyDescent="0.25">
      <c r="AL12477" s="6"/>
    </row>
    <row r="12478" spans="38:38" x14ac:dyDescent="0.25">
      <c r="AL12478" s="6"/>
    </row>
    <row r="12479" spans="38:38" x14ac:dyDescent="0.25">
      <c r="AL12479" s="6"/>
    </row>
    <row r="12480" spans="38:38" x14ac:dyDescent="0.25">
      <c r="AL12480" s="6"/>
    </row>
    <row r="12481" spans="38:38" x14ac:dyDescent="0.25">
      <c r="AL12481" s="6"/>
    </row>
    <row r="12482" spans="38:38" x14ac:dyDescent="0.25">
      <c r="AL12482" s="6"/>
    </row>
    <row r="12483" spans="38:38" x14ac:dyDescent="0.25">
      <c r="AL12483" s="6"/>
    </row>
    <row r="12484" spans="38:38" x14ac:dyDescent="0.25">
      <c r="AL12484" s="6"/>
    </row>
    <row r="12485" spans="38:38" x14ac:dyDescent="0.25">
      <c r="AL12485" s="6"/>
    </row>
    <row r="12486" spans="38:38" x14ac:dyDescent="0.25">
      <c r="AL12486" s="6"/>
    </row>
    <row r="12487" spans="38:38" x14ac:dyDescent="0.25">
      <c r="AL12487" s="6"/>
    </row>
    <row r="12488" spans="38:38" x14ac:dyDescent="0.25">
      <c r="AL12488" s="6"/>
    </row>
    <row r="12489" spans="38:38" x14ac:dyDescent="0.25">
      <c r="AL12489" s="6"/>
    </row>
    <row r="12490" spans="38:38" x14ac:dyDescent="0.25">
      <c r="AL12490" s="6"/>
    </row>
    <row r="12491" spans="38:38" x14ac:dyDescent="0.25">
      <c r="AL12491" s="6"/>
    </row>
    <row r="12492" spans="38:38" x14ac:dyDescent="0.25">
      <c r="AL12492" s="6"/>
    </row>
    <row r="12493" spans="38:38" x14ac:dyDescent="0.25">
      <c r="AL12493" s="6"/>
    </row>
    <row r="12494" spans="38:38" x14ac:dyDescent="0.25">
      <c r="AL12494" s="6"/>
    </row>
    <row r="12495" spans="38:38" x14ac:dyDescent="0.25">
      <c r="AL12495" s="6"/>
    </row>
    <row r="12496" spans="38:38" x14ac:dyDescent="0.25">
      <c r="AL12496" s="6"/>
    </row>
    <row r="12497" spans="38:38" x14ac:dyDescent="0.25">
      <c r="AL12497" s="6"/>
    </row>
    <row r="12498" spans="38:38" x14ac:dyDescent="0.25">
      <c r="AL12498" s="6"/>
    </row>
    <row r="12499" spans="38:38" x14ac:dyDescent="0.25">
      <c r="AL12499" s="6"/>
    </row>
    <row r="12500" spans="38:38" x14ac:dyDescent="0.25">
      <c r="AL12500" s="6"/>
    </row>
    <row r="12501" spans="38:38" x14ac:dyDescent="0.25">
      <c r="AL12501" s="6"/>
    </row>
    <row r="12502" spans="38:38" x14ac:dyDescent="0.25">
      <c r="AL12502" s="6"/>
    </row>
    <row r="12503" spans="38:38" x14ac:dyDescent="0.25">
      <c r="AL12503" s="6"/>
    </row>
    <row r="12504" spans="38:38" x14ac:dyDescent="0.25">
      <c r="AL12504" s="6"/>
    </row>
    <row r="12505" spans="38:38" x14ac:dyDescent="0.25">
      <c r="AL12505" s="6"/>
    </row>
    <row r="12506" spans="38:38" x14ac:dyDescent="0.25">
      <c r="AL12506" s="6"/>
    </row>
    <row r="12507" spans="38:38" x14ac:dyDescent="0.25">
      <c r="AL12507" s="6"/>
    </row>
    <row r="12508" spans="38:38" x14ac:dyDescent="0.25">
      <c r="AL12508" s="6"/>
    </row>
    <row r="12509" spans="38:38" x14ac:dyDescent="0.25">
      <c r="AL12509" s="6"/>
    </row>
    <row r="12510" spans="38:38" x14ac:dyDescent="0.25">
      <c r="AL12510" s="6"/>
    </row>
    <row r="12511" spans="38:38" x14ac:dyDescent="0.25">
      <c r="AL12511" s="6"/>
    </row>
    <row r="12512" spans="38:38" x14ac:dyDescent="0.25">
      <c r="AL12512" s="6"/>
    </row>
    <row r="12513" spans="38:38" x14ac:dyDescent="0.25">
      <c r="AL12513" s="6"/>
    </row>
    <row r="12514" spans="38:38" x14ac:dyDescent="0.25">
      <c r="AL12514" s="6"/>
    </row>
    <row r="12515" spans="38:38" x14ac:dyDescent="0.25">
      <c r="AL12515" s="6"/>
    </row>
    <row r="12516" spans="38:38" x14ac:dyDescent="0.25">
      <c r="AL12516" s="6"/>
    </row>
    <row r="12517" spans="38:38" x14ac:dyDescent="0.25">
      <c r="AL12517" s="6"/>
    </row>
    <row r="12518" spans="38:38" x14ac:dyDescent="0.25">
      <c r="AL12518" s="6"/>
    </row>
    <row r="12519" spans="38:38" x14ac:dyDescent="0.25">
      <c r="AL12519" s="6"/>
    </row>
    <row r="12520" spans="38:38" x14ac:dyDescent="0.25">
      <c r="AL12520" s="6"/>
    </row>
    <row r="12521" spans="38:38" x14ac:dyDescent="0.25">
      <c r="AL12521" s="6"/>
    </row>
    <row r="12522" spans="38:38" x14ac:dyDescent="0.25">
      <c r="AL12522" s="6"/>
    </row>
    <row r="12523" spans="38:38" x14ac:dyDescent="0.25">
      <c r="AL12523" s="6"/>
    </row>
    <row r="12524" spans="38:38" x14ac:dyDescent="0.25">
      <c r="AL12524" s="6"/>
    </row>
    <row r="12525" spans="38:38" x14ac:dyDescent="0.25">
      <c r="AL12525" s="6"/>
    </row>
    <row r="12526" spans="38:38" x14ac:dyDescent="0.25">
      <c r="AL12526" s="6"/>
    </row>
    <row r="12527" spans="38:38" x14ac:dyDescent="0.25">
      <c r="AL12527" s="6"/>
    </row>
    <row r="12528" spans="38:38" x14ac:dyDescent="0.25">
      <c r="AL12528" s="6"/>
    </row>
    <row r="12529" spans="38:38" x14ac:dyDescent="0.25">
      <c r="AL12529" s="6"/>
    </row>
    <row r="12530" spans="38:38" x14ac:dyDescent="0.25">
      <c r="AL12530" s="6"/>
    </row>
    <row r="12531" spans="38:38" x14ac:dyDescent="0.25">
      <c r="AL12531" s="6"/>
    </row>
    <row r="12532" spans="38:38" x14ac:dyDescent="0.25">
      <c r="AL12532" s="6"/>
    </row>
    <row r="12533" spans="38:38" x14ac:dyDescent="0.25">
      <c r="AL12533" s="6"/>
    </row>
    <row r="12534" spans="38:38" x14ac:dyDescent="0.25">
      <c r="AL12534" s="6"/>
    </row>
    <row r="12535" spans="38:38" x14ac:dyDescent="0.25">
      <c r="AL12535" s="6"/>
    </row>
    <row r="12536" spans="38:38" x14ac:dyDescent="0.25">
      <c r="AL12536" s="6"/>
    </row>
    <row r="12537" spans="38:38" x14ac:dyDescent="0.25">
      <c r="AL12537" s="6"/>
    </row>
    <row r="12538" spans="38:38" x14ac:dyDescent="0.25">
      <c r="AL12538" s="6"/>
    </row>
    <row r="12539" spans="38:38" x14ac:dyDescent="0.25">
      <c r="AL12539" s="6"/>
    </row>
    <row r="12540" spans="38:38" x14ac:dyDescent="0.25">
      <c r="AL12540" s="6"/>
    </row>
    <row r="12541" spans="38:38" x14ac:dyDescent="0.25">
      <c r="AL12541" s="6"/>
    </row>
    <row r="12542" spans="38:38" x14ac:dyDescent="0.25">
      <c r="AL12542" s="6"/>
    </row>
    <row r="12543" spans="38:38" x14ac:dyDescent="0.25">
      <c r="AL12543" s="6"/>
    </row>
    <row r="12544" spans="38:38" x14ac:dyDescent="0.25">
      <c r="AL12544" s="6"/>
    </row>
    <row r="12545" spans="38:38" x14ac:dyDescent="0.25">
      <c r="AL12545" s="6"/>
    </row>
    <row r="12546" spans="38:38" x14ac:dyDescent="0.25">
      <c r="AL12546" s="6"/>
    </row>
    <row r="12547" spans="38:38" x14ac:dyDescent="0.25">
      <c r="AL12547" s="6"/>
    </row>
    <row r="12548" spans="38:38" x14ac:dyDescent="0.25">
      <c r="AL12548" s="6"/>
    </row>
    <row r="12549" spans="38:38" x14ac:dyDescent="0.25">
      <c r="AL12549" s="6"/>
    </row>
    <row r="12550" spans="38:38" x14ac:dyDescent="0.25">
      <c r="AL12550" s="6"/>
    </row>
    <row r="12551" spans="38:38" x14ac:dyDescent="0.25">
      <c r="AL12551" s="6"/>
    </row>
    <row r="12552" spans="38:38" x14ac:dyDescent="0.25">
      <c r="AL12552" s="6"/>
    </row>
    <row r="12553" spans="38:38" x14ac:dyDescent="0.25">
      <c r="AL12553" s="6"/>
    </row>
    <row r="12554" spans="38:38" x14ac:dyDescent="0.25">
      <c r="AL12554" s="6"/>
    </row>
    <row r="12555" spans="38:38" x14ac:dyDescent="0.25">
      <c r="AL12555" s="6"/>
    </row>
    <row r="12556" spans="38:38" x14ac:dyDescent="0.25">
      <c r="AL12556" s="6"/>
    </row>
    <row r="12557" spans="38:38" x14ac:dyDescent="0.25">
      <c r="AL12557" s="6"/>
    </row>
    <row r="12558" spans="38:38" x14ac:dyDescent="0.25">
      <c r="AL12558" s="6"/>
    </row>
    <row r="12559" spans="38:38" x14ac:dyDescent="0.25">
      <c r="AL12559" s="6"/>
    </row>
    <row r="12560" spans="38:38" x14ac:dyDescent="0.25">
      <c r="AL12560" s="6"/>
    </row>
    <row r="12561" spans="38:38" x14ac:dyDescent="0.25">
      <c r="AL12561" s="6"/>
    </row>
    <row r="12562" spans="38:38" x14ac:dyDescent="0.25">
      <c r="AL12562" s="6"/>
    </row>
    <row r="12563" spans="38:38" x14ac:dyDescent="0.25">
      <c r="AL12563" s="6"/>
    </row>
    <row r="12564" spans="38:38" x14ac:dyDescent="0.25">
      <c r="AL12564" s="6"/>
    </row>
    <row r="12565" spans="38:38" x14ac:dyDescent="0.25">
      <c r="AL12565" s="6"/>
    </row>
    <row r="12566" spans="38:38" x14ac:dyDescent="0.25">
      <c r="AL12566" s="6"/>
    </row>
    <row r="12567" spans="38:38" x14ac:dyDescent="0.25">
      <c r="AL12567" s="6"/>
    </row>
    <row r="12568" spans="38:38" x14ac:dyDescent="0.25">
      <c r="AL12568" s="6"/>
    </row>
    <row r="12569" spans="38:38" x14ac:dyDescent="0.25">
      <c r="AL12569" s="6"/>
    </row>
    <row r="12570" spans="38:38" x14ac:dyDescent="0.25">
      <c r="AL12570" s="6"/>
    </row>
    <row r="12571" spans="38:38" x14ac:dyDescent="0.25">
      <c r="AL12571" s="6"/>
    </row>
    <row r="12572" spans="38:38" x14ac:dyDescent="0.25">
      <c r="AL12572" s="6"/>
    </row>
    <row r="12573" spans="38:38" x14ac:dyDescent="0.25">
      <c r="AL12573" s="6"/>
    </row>
    <row r="12574" spans="38:38" x14ac:dyDescent="0.25">
      <c r="AL12574" s="6"/>
    </row>
    <row r="12575" spans="38:38" x14ac:dyDescent="0.25">
      <c r="AL12575" s="6"/>
    </row>
    <row r="12576" spans="38:38" x14ac:dyDescent="0.25">
      <c r="AL12576" s="6"/>
    </row>
    <row r="12577" spans="38:38" x14ac:dyDescent="0.25">
      <c r="AL12577" s="6"/>
    </row>
    <row r="12578" spans="38:38" x14ac:dyDescent="0.25">
      <c r="AL12578" s="6"/>
    </row>
    <row r="12579" spans="38:38" x14ac:dyDescent="0.25">
      <c r="AL12579" s="6"/>
    </row>
    <row r="12580" spans="38:38" x14ac:dyDescent="0.25">
      <c r="AL12580" s="6"/>
    </row>
    <row r="12581" spans="38:38" x14ac:dyDescent="0.25">
      <c r="AL12581" s="6"/>
    </row>
    <row r="12582" spans="38:38" x14ac:dyDescent="0.25">
      <c r="AL12582" s="6"/>
    </row>
    <row r="12583" spans="38:38" x14ac:dyDescent="0.25">
      <c r="AL12583" s="6"/>
    </row>
    <row r="12584" spans="38:38" x14ac:dyDescent="0.25">
      <c r="AL12584" s="6"/>
    </row>
    <row r="12585" spans="38:38" x14ac:dyDescent="0.25">
      <c r="AL12585" s="6"/>
    </row>
    <row r="12586" spans="38:38" x14ac:dyDescent="0.25">
      <c r="AL12586" s="6"/>
    </row>
    <row r="12587" spans="38:38" x14ac:dyDescent="0.25">
      <c r="AL12587" s="6"/>
    </row>
    <row r="12588" spans="38:38" x14ac:dyDescent="0.25">
      <c r="AL12588" s="6"/>
    </row>
    <row r="12589" spans="38:38" x14ac:dyDescent="0.25">
      <c r="AL12589" s="6"/>
    </row>
    <row r="12590" spans="38:38" x14ac:dyDescent="0.25">
      <c r="AL12590" s="6"/>
    </row>
    <row r="12591" spans="38:38" x14ac:dyDescent="0.25">
      <c r="AL12591" s="6"/>
    </row>
    <row r="12592" spans="38:38" x14ac:dyDescent="0.25">
      <c r="AL12592" s="6"/>
    </row>
    <row r="12593" spans="38:38" x14ac:dyDescent="0.25">
      <c r="AL12593" s="6"/>
    </row>
    <row r="12594" spans="38:38" x14ac:dyDescent="0.25">
      <c r="AL12594" s="6"/>
    </row>
    <row r="12595" spans="38:38" x14ac:dyDescent="0.25">
      <c r="AL12595" s="6"/>
    </row>
    <row r="12596" spans="38:38" x14ac:dyDescent="0.25">
      <c r="AL12596" s="6"/>
    </row>
    <row r="12597" spans="38:38" x14ac:dyDescent="0.25">
      <c r="AL12597" s="6"/>
    </row>
    <row r="12598" spans="38:38" x14ac:dyDescent="0.25">
      <c r="AL12598" s="6"/>
    </row>
    <row r="12599" spans="38:38" x14ac:dyDescent="0.25">
      <c r="AL12599" s="6"/>
    </row>
    <row r="12600" spans="38:38" x14ac:dyDescent="0.25">
      <c r="AL12600" s="6"/>
    </row>
    <row r="12601" spans="38:38" x14ac:dyDescent="0.25">
      <c r="AL12601" s="6"/>
    </row>
    <row r="12602" spans="38:38" x14ac:dyDescent="0.25">
      <c r="AL12602" s="6"/>
    </row>
    <row r="12603" spans="38:38" x14ac:dyDescent="0.25">
      <c r="AL12603" s="6"/>
    </row>
    <row r="12604" spans="38:38" x14ac:dyDescent="0.25">
      <c r="AL12604" s="6"/>
    </row>
    <row r="12605" spans="38:38" x14ac:dyDescent="0.25">
      <c r="AL12605" s="6"/>
    </row>
    <row r="12606" spans="38:38" x14ac:dyDescent="0.25">
      <c r="AL12606" s="6"/>
    </row>
    <row r="12607" spans="38:38" x14ac:dyDescent="0.25">
      <c r="AL12607" s="6"/>
    </row>
    <row r="12608" spans="38:38" x14ac:dyDescent="0.25">
      <c r="AL12608" s="6"/>
    </row>
    <row r="12609" spans="38:38" x14ac:dyDescent="0.25">
      <c r="AL12609" s="6"/>
    </row>
    <row r="12610" spans="38:38" x14ac:dyDescent="0.25">
      <c r="AL12610" s="6"/>
    </row>
    <row r="12611" spans="38:38" x14ac:dyDescent="0.25">
      <c r="AL12611" s="6"/>
    </row>
    <row r="12612" spans="38:38" x14ac:dyDescent="0.25">
      <c r="AL12612" s="6"/>
    </row>
    <row r="12613" spans="38:38" x14ac:dyDescent="0.25">
      <c r="AL12613" s="6"/>
    </row>
    <row r="12614" spans="38:38" x14ac:dyDescent="0.25">
      <c r="AL12614" s="6"/>
    </row>
    <row r="12615" spans="38:38" x14ac:dyDescent="0.25">
      <c r="AL12615" s="6"/>
    </row>
    <row r="12616" spans="38:38" x14ac:dyDescent="0.25">
      <c r="AL12616" s="6"/>
    </row>
    <row r="12617" spans="38:38" x14ac:dyDescent="0.25">
      <c r="AL12617" s="6"/>
    </row>
    <row r="12618" spans="38:38" x14ac:dyDescent="0.25">
      <c r="AL12618" s="6"/>
    </row>
    <row r="12619" spans="38:38" x14ac:dyDescent="0.25">
      <c r="AL12619" s="6"/>
    </row>
    <row r="12620" spans="38:38" x14ac:dyDescent="0.25">
      <c r="AL12620" s="6"/>
    </row>
    <row r="12621" spans="38:38" x14ac:dyDescent="0.25">
      <c r="AL12621" s="6"/>
    </row>
    <row r="12622" spans="38:38" x14ac:dyDescent="0.25">
      <c r="AL12622" s="6"/>
    </row>
    <row r="12623" spans="38:38" x14ac:dyDescent="0.25">
      <c r="AL12623" s="6"/>
    </row>
    <row r="12624" spans="38:38" x14ac:dyDescent="0.25">
      <c r="AL12624" s="6"/>
    </row>
    <row r="12625" spans="38:38" x14ac:dyDescent="0.25">
      <c r="AL12625" s="6"/>
    </row>
    <row r="12626" spans="38:38" x14ac:dyDescent="0.25">
      <c r="AL12626" s="6"/>
    </row>
    <row r="12627" spans="38:38" x14ac:dyDescent="0.25">
      <c r="AL12627" s="6"/>
    </row>
    <row r="12628" spans="38:38" x14ac:dyDescent="0.25">
      <c r="AL12628" s="6"/>
    </row>
    <row r="12629" spans="38:38" x14ac:dyDescent="0.25">
      <c r="AL12629" s="6"/>
    </row>
    <row r="12630" spans="38:38" x14ac:dyDescent="0.25">
      <c r="AL12630" s="6"/>
    </row>
    <row r="12631" spans="38:38" x14ac:dyDescent="0.25">
      <c r="AL12631" s="6"/>
    </row>
    <row r="12632" spans="38:38" x14ac:dyDescent="0.25">
      <c r="AL12632" s="6"/>
    </row>
    <row r="12633" spans="38:38" x14ac:dyDescent="0.25">
      <c r="AL12633" s="6"/>
    </row>
    <row r="12634" spans="38:38" x14ac:dyDescent="0.25">
      <c r="AL12634" s="6"/>
    </row>
    <row r="12635" spans="38:38" x14ac:dyDescent="0.25">
      <c r="AL12635" s="6"/>
    </row>
    <row r="12636" spans="38:38" x14ac:dyDescent="0.25">
      <c r="AL12636" s="6"/>
    </row>
    <row r="12637" spans="38:38" x14ac:dyDescent="0.25">
      <c r="AL12637" s="6"/>
    </row>
    <row r="12638" spans="38:38" x14ac:dyDescent="0.25">
      <c r="AL12638" s="6"/>
    </row>
    <row r="12639" spans="38:38" x14ac:dyDescent="0.25">
      <c r="AL12639" s="6"/>
    </row>
    <row r="12640" spans="38:38" x14ac:dyDescent="0.25">
      <c r="AL12640" s="6"/>
    </row>
    <row r="12641" spans="38:38" x14ac:dyDescent="0.25">
      <c r="AL12641" s="6"/>
    </row>
    <row r="12642" spans="38:38" x14ac:dyDescent="0.25">
      <c r="AL12642" s="6"/>
    </row>
    <row r="12643" spans="38:38" x14ac:dyDescent="0.25">
      <c r="AL12643" s="6"/>
    </row>
    <row r="12644" spans="38:38" x14ac:dyDescent="0.25">
      <c r="AL12644" s="6"/>
    </row>
    <row r="12645" spans="38:38" x14ac:dyDescent="0.25">
      <c r="AL12645" s="6"/>
    </row>
    <row r="12646" spans="38:38" x14ac:dyDescent="0.25">
      <c r="AL12646" s="6"/>
    </row>
    <row r="12647" spans="38:38" x14ac:dyDescent="0.25">
      <c r="AL12647" s="6"/>
    </row>
    <row r="12648" spans="38:38" x14ac:dyDescent="0.25">
      <c r="AL12648" s="6"/>
    </row>
    <row r="12649" spans="38:38" x14ac:dyDescent="0.25">
      <c r="AL12649" s="6"/>
    </row>
    <row r="12650" spans="38:38" x14ac:dyDescent="0.25">
      <c r="AL12650" s="6"/>
    </row>
    <row r="12651" spans="38:38" x14ac:dyDescent="0.25">
      <c r="AL12651" s="6"/>
    </row>
    <row r="12652" spans="38:38" x14ac:dyDescent="0.25">
      <c r="AL12652" s="6"/>
    </row>
    <row r="12653" spans="38:38" x14ac:dyDescent="0.25">
      <c r="AL12653" s="6"/>
    </row>
    <row r="12654" spans="38:38" x14ac:dyDescent="0.25">
      <c r="AL12654" s="6"/>
    </row>
    <row r="12655" spans="38:38" x14ac:dyDescent="0.25">
      <c r="AL12655" s="6"/>
    </row>
    <row r="12656" spans="38:38" x14ac:dyDescent="0.25">
      <c r="AL12656" s="6"/>
    </row>
    <row r="12657" spans="38:38" x14ac:dyDescent="0.25">
      <c r="AL12657" s="6"/>
    </row>
    <row r="12658" spans="38:38" x14ac:dyDescent="0.25">
      <c r="AL12658" s="6"/>
    </row>
    <row r="12659" spans="38:38" x14ac:dyDescent="0.25">
      <c r="AL12659" s="6"/>
    </row>
    <row r="12660" spans="38:38" x14ac:dyDescent="0.25">
      <c r="AL12660" s="6"/>
    </row>
    <row r="12661" spans="38:38" x14ac:dyDescent="0.25">
      <c r="AL12661" s="6"/>
    </row>
    <row r="12662" spans="38:38" x14ac:dyDescent="0.25">
      <c r="AL12662" s="6"/>
    </row>
    <row r="12663" spans="38:38" x14ac:dyDescent="0.25">
      <c r="AL12663" s="6"/>
    </row>
    <row r="12664" spans="38:38" x14ac:dyDescent="0.25">
      <c r="AL12664" s="6"/>
    </row>
    <row r="12665" spans="38:38" x14ac:dyDescent="0.25">
      <c r="AL12665" s="6"/>
    </row>
    <row r="12666" spans="38:38" x14ac:dyDescent="0.25">
      <c r="AL12666" s="6"/>
    </row>
    <row r="12667" spans="38:38" x14ac:dyDescent="0.25">
      <c r="AL12667" s="6"/>
    </row>
    <row r="12668" spans="38:38" x14ac:dyDescent="0.25">
      <c r="AL12668" s="6"/>
    </row>
    <row r="12669" spans="38:38" x14ac:dyDescent="0.25">
      <c r="AL12669" s="6"/>
    </row>
    <row r="12670" spans="38:38" x14ac:dyDescent="0.25">
      <c r="AL12670" s="6"/>
    </row>
    <row r="12671" spans="38:38" x14ac:dyDescent="0.25">
      <c r="AL12671" s="6"/>
    </row>
    <row r="12672" spans="38:38" x14ac:dyDescent="0.25">
      <c r="AL12672" s="6"/>
    </row>
    <row r="12673" spans="38:38" x14ac:dyDescent="0.25">
      <c r="AL12673" s="6"/>
    </row>
    <row r="12674" spans="38:38" x14ac:dyDescent="0.25">
      <c r="AL12674" s="6"/>
    </row>
    <row r="12675" spans="38:38" x14ac:dyDescent="0.25">
      <c r="AL12675" s="6"/>
    </row>
    <row r="12676" spans="38:38" x14ac:dyDescent="0.25">
      <c r="AL12676" s="6"/>
    </row>
    <row r="12677" spans="38:38" x14ac:dyDescent="0.25">
      <c r="AL12677" s="6"/>
    </row>
    <row r="12678" spans="38:38" x14ac:dyDescent="0.25">
      <c r="AL12678" s="6"/>
    </row>
    <row r="12679" spans="38:38" x14ac:dyDescent="0.25">
      <c r="AL12679" s="6"/>
    </row>
    <row r="12680" spans="38:38" x14ac:dyDescent="0.25">
      <c r="AL12680" s="6"/>
    </row>
    <row r="12681" spans="38:38" x14ac:dyDescent="0.25">
      <c r="AL12681" s="6"/>
    </row>
    <row r="12682" spans="38:38" x14ac:dyDescent="0.25">
      <c r="AL12682" s="6"/>
    </row>
    <row r="12683" spans="38:38" x14ac:dyDescent="0.25">
      <c r="AL12683" s="6"/>
    </row>
    <row r="12684" spans="38:38" x14ac:dyDescent="0.25">
      <c r="AL12684" s="6"/>
    </row>
    <row r="12685" spans="38:38" x14ac:dyDescent="0.25">
      <c r="AL12685" s="6"/>
    </row>
    <row r="12686" spans="38:38" x14ac:dyDescent="0.25">
      <c r="AL12686" s="6"/>
    </row>
    <row r="12687" spans="38:38" x14ac:dyDescent="0.25">
      <c r="AL12687" s="6"/>
    </row>
    <row r="12688" spans="38:38" x14ac:dyDescent="0.25">
      <c r="AL12688" s="6"/>
    </row>
    <row r="12689" spans="38:38" x14ac:dyDescent="0.25">
      <c r="AL12689" s="6"/>
    </row>
    <row r="12690" spans="38:38" x14ac:dyDescent="0.25">
      <c r="AL12690" s="6"/>
    </row>
    <row r="12691" spans="38:38" x14ac:dyDescent="0.25">
      <c r="AL12691" s="6"/>
    </row>
    <row r="12692" spans="38:38" x14ac:dyDescent="0.25">
      <c r="AL12692" s="6"/>
    </row>
    <row r="12693" spans="38:38" x14ac:dyDescent="0.25">
      <c r="AL12693" s="6"/>
    </row>
    <row r="12694" spans="38:38" x14ac:dyDescent="0.25">
      <c r="AL12694" s="6"/>
    </row>
    <row r="12695" spans="38:38" x14ac:dyDescent="0.25">
      <c r="AL12695" s="6"/>
    </row>
    <row r="12696" spans="38:38" x14ac:dyDescent="0.25">
      <c r="AL12696" s="6"/>
    </row>
    <row r="12697" spans="38:38" x14ac:dyDescent="0.25">
      <c r="AL12697" s="6"/>
    </row>
    <row r="12698" spans="38:38" x14ac:dyDescent="0.25">
      <c r="AL12698" s="6"/>
    </row>
    <row r="12699" spans="38:38" x14ac:dyDescent="0.25">
      <c r="AL12699" s="6"/>
    </row>
    <row r="12700" spans="38:38" x14ac:dyDescent="0.25">
      <c r="AL12700" s="6"/>
    </row>
    <row r="12701" spans="38:38" x14ac:dyDescent="0.25">
      <c r="AL12701" s="6"/>
    </row>
    <row r="12702" spans="38:38" x14ac:dyDescent="0.25">
      <c r="AL12702" s="6"/>
    </row>
    <row r="12703" spans="38:38" x14ac:dyDescent="0.25">
      <c r="AL12703" s="6"/>
    </row>
    <row r="12704" spans="38:38" x14ac:dyDescent="0.25">
      <c r="AL12704" s="6"/>
    </row>
    <row r="12705" spans="38:38" x14ac:dyDescent="0.25">
      <c r="AL12705" s="6"/>
    </row>
    <row r="12706" spans="38:38" x14ac:dyDescent="0.25">
      <c r="AL12706" s="6"/>
    </row>
    <row r="12707" spans="38:38" x14ac:dyDescent="0.25">
      <c r="AL12707" s="6"/>
    </row>
    <row r="12708" spans="38:38" x14ac:dyDescent="0.25">
      <c r="AL12708" s="6"/>
    </row>
    <row r="12709" spans="38:38" x14ac:dyDescent="0.25">
      <c r="AL12709" s="6"/>
    </row>
    <row r="12710" spans="38:38" x14ac:dyDescent="0.25">
      <c r="AL12710" s="6"/>
    </row>
    <row r="12711" spans="38:38" x14ac:dyDescent="0.25">
      <c r="AL12711" s="6"/>
    </row>
    <row r="12712" spans="38:38" x14ac:dyDescent="0.25">
      <c r="AL12712" s="6"/>
    </row>
    <row r="12713" spans="38:38" x14ac:dyDescent="0.25">
      <c r="AL12713" s="6"/>
    </row>
    <row r="12714" spans="38:38" x14ac:dyDescent="0.25">
      <c r="AL12714" s="6"/>
    </row>
    <row r="12715" spans="38:38" x14ac:dyDescent="0.25">
      <c r="AL12715" s="6"/>
    </row>
    <row r="12716" spans="38:38" x14ac:dyDescent="0.25">
      <c r="AL12716" s="6"/>
    </row>
    <row r="12717" spans="38:38" x14ac:dyDescent="0.25">
      <c r="AL12717" s="6"/>
    </row>
    <row r="12718" spans="38:38" x14ac:dyDescent="0.25">
      <c r="AL12718" s="6"/>
    </row>
    <row r="12719" spans="38:38" x14ac:dyDescent="0.25">
      <c r="AL12719" s="6"/>
    </row>
    <row r="12720" spans="38:38" x14ac:dyDescent="0.25">
      <c r="AL12720" s="6"/>
    </row>
    <row r="12721" spans="38:38" x14ac:dyDescent="0.25">
      <c r="AL12721" s="6"/>
    </row>
    <row r="12722" spans="38:38" x14ac:dyDescent="0.25">
      <c r="AL12722" s="6"/>
    </row>
    <row r="12723" spans="38:38" x14ac:dyDescent="0.25">
      <c r="AL12723" s="6"/>
    </row>
    <row r="12724" spans="38:38" x14ac:dyDescent="0.25">
      <c r="AL12724" s="6"/>
    </row>
    <row r="12725" spans="38:38" x14ac:dyDescent="0.25">
      <c r="AL12725" s="6"/>
    </row>
    <row r="12726" spans="38:38" x14ac:dyDescent="0.25">
      <c r="AL12726" s="6"/>
    </row>
    <row r="12727" spans="38:38" x14ac:dyDescent="0.25">
      <c r="AL12727" s="6"/>
    </row>
    <row r="12728" spans="38:38" x14ac:dyDescent="0.25">
      <c r="AL12728" s="6"/>
    </row>
    <row r="12729" spans="38:38" x14ac:dyDescent="0.25">
      <c r="AL12729" s="6"/>
    </row>
    <row r="12730" spans="38:38" x14ac:dyDescent="0.25">
      <c r="AL12730" s="6"/>
    </row>
    <row r="12731" spans="38:38" x14ac:dyDescent="0.25">
      <c r="AL12731" s="6"/>
    </row>
    <row r="12732" spans="38:38" x14ac:dyDescent="0.25">
      <c r="AL12732" s="6"/>
    </row>
    <row r="12733" spans="38:38" x14ac:dyDescent="0.25">
      <c r="AL12733" s="6"/>
    </row>
    <row r="12734" spans="38:38" x14ac:dyDescent="0.25">
      <c r="AL12734" s="6"/>
    </row>
    <row r="12735" spans="38:38" x14ac:dyDescent="0.25">
      <c r="AL12735" s="6"/>
    </row>
    <row r="12736" spans="38:38" x14ac:dyDescent="0.25">
      <c r="AL12736" s="6"/>
    </row>
    <row r="12737" spans="38:38" x14ac:dyDescent="0.25">
      <c r="AL12737" s="6"/>
    </row>
    <row r="12738" spans="38:38" x14ac:dyDescent="0.25">
      <c r="AL12738" s="6"/>
    </row>
    <row r="12739" spans="38:38" x14ac:dyDescent="0.25">
      <c r="AL12739" s="6"/>
    </row>
    <row r="12740" spans="38:38" x14ac:dyDescent="0.25">
      <c r="AL12740" s="6"/>
    </row>
    <row r="12741" spans="38:38" x14ac:dyDescent="0.25">
      <c r="AL12741" s="6"/>
    </row>
    <row r="12742" spans="38:38" x14ac:dyDescent="0.25">
      <c r="AL12742" s="6"/>
    </row>
    <row r="12743" spans="38:38" x14ac:dyDescent="0.25">
      <c r="AL12743" s="6"/>
    </row>
    <row r="12744" spans="38:38" x14ac:dyDescent="0.25">
      <c r="AL12744" s="6"/>
    </row>
    <row r="12745" spans="38:38" x14ac:dyDescent="0.25">
      <c r="AL12745" s="6"/>
    </row>
    <row r="12746" spans="38:38" x14ac:dyDescent="0.25">
      <c r="AL12746" s="6"/>
    </row>
    <row r="12747" spans="38:38" x14ac:dyDescent="0.25">
      <c r="AL12747" s="6"/>
    </row>
    <row r="12748" spans="38:38" x14ac:dyDescent="0.25">
      <c r="AL12748" s="6"/>
    </row>
    <row r="12749" spans="38:38" x14ac:dyDescent="0.25">
      <c r="AL12749" s="6"/>
    </row>
    <row r="12750" spans="38:38" x14ac:dyDescent="0.25">
      <c r="AL12750" s="6"/>
    </row>
    <row r="12751" spans="38:38" x14ac:dyDescent="0.25">
      <c r="AL12751" s="6"/>
    </row>
    <row r="12752" spans="38:38" x14ac:dyDescent="0.25">
      <c r="AL12752" s="6"/>
    </row>
    <row r="12753" spans="38:38" x14ac:dyDescent="0.25">
      <c r="AL12753" s="6"/>
    </row>
    <row r="12754" spans="38:38" x14ac:dyDescent="0.25">
      <c r="AL12754" s="6"/>
    </row>
    <row r="12755" spans="38:38" x14ac:dyDescent="0.25">
      <c r="AL12755" s="6"/>
    </row>
    <row r="12756" spans="38:38" x14ac:dyDescent="0.25">
      <c r="AL12756" s="6"/>
    </row>
    <row r="12757" spans="38:38" x14ac:dyDescent="0.25">
      <c r="AL12757" s="6"/>
    </row>
    <row r="12758" spans="38:38" x14ac:dyDescent="0.25">
      <c r="AL12758" s="6"/>
    </row>
    <row r="12759" spans="38:38" x14ac:dyDescent="0.25">
      <c r="AL12759" s="6"/>
    </row>
    <row r="12760" spans="38:38" x14ac:dyDescent="0.25">
      <c r="AL12760" s="6"/>
    </row>
    <row r="12761" spans="38:38" x14ac:dyDescent="0.25">
      <c r="AL12761" s="6"/>
    </row>
    <row r="12762" spans="38:38" x14ac:dyDescent="0.25">
      <c r="AL12762" s="6"/>
    </row>
    <row r="12763" spans="38:38" x14ac:dyDescent="0.25">
      <c r="AL12763" s="6"/>
    </row>
    <row r="12764" spans="38:38" x14ac:dyDescent="0.25">
      <c r="AL12764" s="6"/>
    </row>
    <row r="12765" spans="38:38" x14ac:dyDescent="0.25">
      <c r="AL12765" s="6"/>
    </row>
    <row r="12766" spans="38:38" x14ac:dyDescent="0.25">
      <c r="AL12766" s="6"/>
    </row>
    <row r="12767" spans="38:38" x14ac:dyDescent="0.25">
      <c r="AL12767" s="6"/>
    </row>
    <row r="12768" spans="38:38" x14ac:dyDescent="0.25">
      <c r="AL12768" s="6"/>
    </row>
    <row r="12769" spans="38:38" x14ac:dyDescent="0.25">
      <c r="AL12769" s="6"/>
    </row>
    <row r="12770" spans="38:38" x14ac:dyDescent="0.25">
      <c r="AL12770" s="6"/>
    </row>
    <row r="12771" spans="38:38" x14ac:dyDescent="0.25">
      <c r="AL12771" s="6"/>
    </row>
    <row r="12772" spans="38:38" x14ac:dyDescent="0.25">
      <c r="AL12772" s="6"/>
    </row>
    <row r="12773" spans="38:38" x14ac:dyDescent="0.25">
      <c r="AL12773" s="6"/>
    </row>
    <row r="12774" spans="38:38" x14ac:dyDescent="0.25">
      <c r="AL12774" s="6"/>
    </row>
    <row r="12775" spans="38:38" x14ac:dyDescent="0.25">
      <c r="AL12775" s="6"/>
    </row>
    <row r="12776" spans="38:38" x14ac:dyDescent="0.25">
      <c r="AL12776" s="6"/>
    </row>
    <row r="12777" spans="38:38" x14ac:dyDescent="0.25">
      <c r="AL12777" s="6"/>
    </row>
    <row r="12778" spans="38:38" x14ac:dyDescent="0.25">
      <c r="AL12778" s="6"/>
    </row>
    <row r="12779" spans="38:38" x14ac:dyDescent="0.25">
      <c r="AL12779" s="6"/>
    </row>
    <row r="12780" spans="38:38" x14ac:dyDescent="0.25">
      <c r="AL12780" s="6"/>
    </row>
    <row r="12781" spans="38:38" x14ac:dyDescent="0.25">
      <c r="AL12781" s="6"/>
    </row>
    <row r="12782" spans="38:38" x14ac:dyDescent="0.25">
      <c r="AL12782" s="6"/>
    </row>
    <row r="12783" spans="38:38" x14ac:dyDescent="0.25">
      <c r="AL12783" s="6"/>
    </row>
    <row r="12784" spans="38:38" x14ac:dyDescent="0.25">
      <c r="AL12784" s="6"/>
    </row>
    <row r="12785" spans="38:38" x14ac:dyDescent="0.25">
      <c r="AL12785" s="6"/>
    </row>
    <row r="12786" spans="38:38" x14ac:dyDescent="0.25">
      <c r="AL12786" s="6"/>
    </row>
    <row r="12787" spans="38:38" x14ac:dyDescent="0.25">
      <c r="AL12787" s="6"/>
    </row>
    <row r="12788" spans="38:38" x14ac:dyDescent="0.25">
      <c r="AL12788" s="6"/>
    </row>
    <row r="12789" spans="38:38" x14ac:dyDescent="0.25">
      <c r="AL12789" s="6"/>
    </row>
    <row r="12790" spans="38:38" x14ac:dyDescent="0.25">
      <c r="AL12790" s="6"/>
    </row>
    <row r="12791" spans="38:38" x14ac:dyDescent="0.25">
      <c r="AL12791" s="6"/>
    </row>
    <row r="12792" spans="38:38" x14ac:dyDescent="0.25">
      <c r="AL12792" s="6"/>
    </row>
    <row r="12793" spans="38:38" x14ac:dyDescent="0.25">
      <c r="AL12793" s="6"/>
    </row>
    <row r="12794" spans="38:38" x14ac:dyDescent="0.25">
      <c r="AL12794" s="6"/>
    </row>
    <row r="12795" spans="38:38" x14ac:dyDescent="0.25">
      <c r="AL12795" s="6"/>
    </row>
    <row r="12796" spans="38:38" x14ac:dyDescent="0.25">
      <c r="AL12796" s="6"/>
    </row>
    <row r="12797" spans="38:38" x14ac:dyDescent="0.25">
      <c r="AL12797" s="6"/>
    </row>
    <row r="12798" spans="38:38" x14ac:dyDescent="0.25">
      <c r="AL12798" s="6"/>
    </row>
    <row r="12799" spans="38:38" x14ac:dyDescent="0.25">
      <c r="AL12799" s="6"/>
    </row>
    <row r="12800" spans="38:38" x14ac:dyDescent="0.25">
      <c r="AL12800" s="6"/>
    </row>
    <row r="12801" spans="38:38" x14ac:dyDescent="0.25">
      <c r="AL12801" s="6"/>
    </row>
    <row r="12802" spans="38:38" x14ac:dyDescent="0.25">
      <c r="AL12802" s="6"/>
    </row>
    <row r="12803" spans="38:38" x14ac:dyDescent="0.25">
      <c r="AL12803" s="6"/>
    </row>
    <row r="12804" spans="38:38" x14ac:dyDescent="0.25">
      <c r="AL12804" s="6"/>
    </row>
    <row r="12805" spans="38:38" x14ac:dyDescent="0.25">
      <c r="AL12805" s="6"/>
    </row>
    <row r="12806" spans="38:38" x14ac:dyDescent="0.25">
      <c r="AL12806" s="6"/>
    </row>
    <row r="12807" spans="38:38" x14ac:dyDescent="0.25">
      <c r="AL12807" s="6"/>
    </row>
    <row r="12808" spans="38:38" x14ac:dyDescent="0.25">
      <c r="AL12808" s="6"/>
    </row>
    <row r="12809" spans="38:38" x14ac:dyDescent="0.25">
      <c r="AL12809" s="6"/>
    </row>
    <row r="12810" spans="38:38" x14ac:dyDescent="0.25">
      <c r="AL12810" s="6"/>
    </row>
    <row r="12811" spans="38:38" x14ac:dyDescent="0.25">
      <c r="AL12811" s="6"/>
    </row>
    <row r="12812" spans="38:38" x14ac:dyDescent="0.25">
      <c r="AL12812" s="6"/>
    </row>
    <row r="12813" spans="38:38" x14ac:dyDescent="0.25">
      <c r="AL12813" s="6"/>
    </row>
    <row r="12814" spans="38:38" x14ac:dyDescent="0.25">
      <c r="AL12814" s="6"/>
    </row>
    <row r="12815" spans="38:38" x14ac:dyDescent="0.25">
      <c r="AL12815" s="6"/>
    </row>
    <row r="12816" spans="38:38" x14ac:dyDescent="0.25">
      <c r="AL12816" s="6"/>
    </row>
    <row r="12817" spans="38:38" x14ac:dyDescent="0.25">
      <c r="AL12817" s="6"/>
    </row>
    <row r="12818" spans="38:38" x14ac:dyDescent="0.25">
      <c r="AL12818" s="6"/>
    </row>
    <row r="12819" spans="38:38" x14ac:dyDescent="0.25">
      <c r="AL12819" s="6"/>
    </row>
    <row r="12820" spans="38:38" x14ac:dyDescent="0.25">
      <c r="AL12820" s="6"/>
    </row>
    <row r="12821" spans="38:38" x14ac:dyDescent="0.25">
      <c r="AL12821" s="6"/>
    </row>
    <row r="12822" spans="38:38" x14ac:dyDescent="0.25">
      <c r="AL12822" s="6"/>
    </row>
    <row r="12823" spans="38:38" x14ac:dyDescent="0.25">
      <c r="AL12823" s="6"/>
    </row>
    <row r="12824" spans="38:38" x14ac:dyDescent="0.25">
      <c r="AL12824" s="6"/>
    </row>
    <row r="12825" spans="38:38" x14ac:dyDescent="0.25">
      <c r="AL12825" s="6"/>
    </row>
    <row r="12826" spans="38:38" x14ac:dyDescent="0.25">
      <c r="AL12826" s="6"/>
    </row>
    <row r="12827" spans="38:38" x14ac:dyDescent="0.25">
      <c r="AL12827" s="6"/>
    </row>
    <row r="12828" spans="38:38" x14ac:dyDescent="0.25">
      <c r="AL12828" s="6"/>
    </row>
    <row r="12829" spans="38:38" x14ac:dyDescent="0.25">
      <c r="AL12829" s="6"/>
    </row>
    <row r="12830" spans="38:38" x14ac:dyDescent="0.25">
      <c r="AL12830" s="6"/>
    </row>
    <row r="12831" spans="38:38" x14ac:dyDescent="0.25">
      <c r="AL12831" s="6"/>
    </row>
    <row r="12832" spans="38:38" x14ac:dyDescent="0.25">
      <c r="AL12832" s="6"/>
    </row>
    <row r="12833" spans="38:38" x14ac:dyDescent="0.25">
      <c r="AL12833" s="6"/>
    </row>
    <row r="12834" spans="38:38" x14ac:dyDescent="0.25">
      <c r="AL12834" s="6"/>
    </row>
    <row r="12835" spans="38:38" x14ac:dyDescent="0.25">
      <c r="AL12835" s="6"/>
    </row>
    <row r="12836" spans="38:38" x14ac:dyDescent="0.25">
      <c r="AL12836" s="6"/>
    </row>
    <row r="12837" spans="38:38" x14ac:dyDescent="0.25">
      <c r="AL12837" s="6"/>
    </row>
    <row r="12838" spans="38:38" x14ac:dyDescent="0.25">
      <c r="AL12838" s="6"/>
    </row>
    <row r="12839" spans="38:38" x14ac:dyDescent="0.25">
      <c r="AL12839" s="6"/>
    </row>
    <row r="12840" spans="38:38" x14ac:dyDescent="0.25">
      <c r="AL12840" s="6"/>
    </row>
    <row r="12841" spans="38:38" x14ac:dyDescent="0.25">
      <c r="AL12841" s="6"/>
    </row>
    <row r="12842" spans="38:38" x14ac:dyDescent="0.25">
      <c r="AL12842" s="6"/>
    </row>
    <row r="12843" spans="38:38" x14ac:dyDescent="0.25">
      <c r="AL12843" s="6"/>
    </row>
    <row r="12844" spans="38:38" x14ac:dyDescent="0.25">
      <c r="AL12844" s="6"/>
    </row>
    <row r="12845" spans="38:38" x14ac:dyDescent="0.25">
      <c r="AL12845" s="6"/>
    </row>
    <row r="12846" spans="38:38" x14ac:dyDescent="0.25">
      <c r="AL12846" s="6"/>
    </row>
    <row r="12847" spans="38:38" x14ac:dyDescent="0.25">
      <c r="AL12847" s="6"/>
    </row>
    <row r="12848" spans="38:38" x14ac:dyDescent="0.25">
      <c r="AL12848" s="6"/>
    </row>
    <row r="12849" spans="38:38" x14ac:dyDescent="0.25">
      <c r="AL12849" s="6"/>
    </row>
    <row r="12850" spans="38:38" x14ac:dyDescent="0.25">
      <c r="AL12850" s="6"/>
    </row>
    <row r="12851" spans="38:38" x14ac:dyDescent="0.25">
      <c r="AL12851" s="6"/>
    </row>
    <row r="12852" spans="38:38" x14ac:dyDescent="0.25">
      <c r="AL12852" s="6"/>
    </row>
    <row r="12853" spans="38:38" x14ac:dyDescent="0.25">
      <c r="AL12853" s="6"/>
    </row>
    <row r="12854" spans="38:38" x14ac:dyDescent="0.25">
      <c r="AL12854" s="6"/>
    </row>
    <row r="12855" spans="38:38" x14ac:dyDescent="0.25">
      <c r="AL12855" s="6"/>
    </row>
    <row r="12856" spans="38:38" x14ac:dyDescent="0.25">
      <c r="AL12856" s="6"/>
    </row>
    <row r="12857" spans="38:38" x14ac:dyDescent="0.25">
      <c r="AL12857" s="6"/>
    </row>
    <row r="12858" spans="38:38" x14ac:dyDescent="0.25">
      <c r="AL12858" s="6"/>
    </row>
    <row r="12859" spans="38:38" x14ac:dyDescent="0.25">
      <c r="AL12859" s="6"/>
    </row>
    <row r="12860" spans="38:38" x14ac:dyDescent="0.25">
      <c r="AL12860" s="6"/>
    </row>
    <row r="12861" spans="38:38" x14ac:dyDescent="0.25">
      <c r="AL12861" s="6"/>
    </row>
    <row r="12862" spans="38:38" x14ac:dyDescent="0.25">
      <c r="AL12862" s="6"/>
    </row>
    <row r="12863" spans="38:38" x14ac:dyDescent="0.25">
      <c r="AL12863" s="6"/>
    </row>
    <row r="12864" spans="38:38" x14ac:dyDescent="0.25">
      <c r="AL12864" s="6"/>
    </row>
    <row r="12865" spans="38:38" x14ac:dyDescent="0.25">
      <c r="AL12865" s="6"/>
    </row>
    <row r="12866" spans="38:38" x14ac:dyDescent="0.25">
      <c r="AL12866" s="6"/>
    </row>
    <row r="12867" spans="38:38" x14ac:dyDescent="0.25">
      <c r="AL12867" s="6"/>
    </row>
    <row r="12868" spans="38:38" x14ac:dyDescent="0.25">
      <c r="AL12868" s="6"/>
    </row>
    <row r="12869" spans="38:38" x14ac:dyDescent="0.25">
      <c r="AL12869" s="6"/>
    </row>
    <row r="12870" spans="38:38" x14ac:dyDescent="0.25">
      <c r="AL12870" s="6"/>
    </row>
    <row r="12871" spans="38:38" x14ac:dyDescent="0.25">
      <c r="AL12871" s="6"/>
    </row>
    <row r="12872" spans="38:38" x14ac:dyDescent="0.25">
      <c r="AL12872" s="6"/>
    </row>
    <row r="12873" spans="38:38" x14ac:dyDescent="0.25">
      <c r="AL12873" s="6"/>
    </row>
    <row r="12874" spans="38:38" x14ac:dyDescent="0.25">
      <c r="AL12874" s="6"/>
    </row>
    <row r="12875" spans="38:38" x14ac:dyDescent="0.25">
      <c r="AL12875" s="6"/>
    </row>
    <row r="12876" spans="38:38" x14ac:dyDescent="0.25">
      <c r="AL12876" s="6"/>
    </row>
    <row r="12877" spans="38:38" x14ac:dyDescent="0.25">
      <c r="AL12877" s="6"/>
    </row>
    <row r="12878" spans="38:38" x14ac:dyDescent="0.25">
      <c r="AL12878" s="6"/>
    </row>
    <row r="12879" spans="38:38" x14ac:dyDescent="0.25">
      <c r="AL12879" s="6"/>
    </row>
    <row r="12880" spans="38:38" x14ac:dyDescent="0.25">
      <c r="AL12880" s="6"/>
    </row>
    <row r="12881" spans="38:38" x14ac:dyDescent="0.25">
      <c r="AL12881" s="6"/>
    </row>
    <row r="12882" spans="38:38" x14ac:dyDescent="0.25">
      <c r="AL12882" s="6"/>
    </row>
    <row r="12883" spans="38:38" x14ac:dyDescent="0.25">
      <c r="AL12883" s="6"/>
    </row>
    <row r="12884" spans="38:38" x14ac:dyDescent="0.25">
      <c r="AL12884" s="6"/>
    </row>
    <row r="12885" spans="38:38" x14ac:dyDescent="0.25">
      <c r="AL12885" s="6"/>
    </row>
    <row r="12886" spans="38:38" x14ac:dyDescent="0.25">
      <c r="AL12886" s="6"/>
    </row>
    <row r="12887" spans="38:38" x14ac:dyDescent="0.25">
      <c r="AL12887" s="6"/>
    </row>
    <row r="12888" spans="38:38" x14ac:dyDescent="0.25">
      <c r="AL12888" s="6"/>
    </row>
    <row r="12889" spans="38:38" x14ac:dyDescent="0.25">
      <c r="AL12889" s="6"/>
    </row>
    <row r="12890" spans="38:38" x14ac:dyDescent="0.25">
      <c r="AL12890" s="6"/>
    </row>
    <row r="12891" spans="38:38" x14ac:dyDescent="0.25">
      <c r="AL12891" s="6"/>
    </row>
    <row r="12892" spans="38:38" x14ac:dyDescent="0.25">
      <c r="AL12892" s="6"/>
    </row>
    <row r="12893" spans="38:38" x14ac:dyDescent="0.25">
      <c r="AL12893" s="6"/>
    </row>
    <row r="12894" spans="38:38" x14ac:dyDescent="0.25">
      <c r="AL12894" s="6"/>
    </row>
    <row r="12895" spans="38:38" x14ac:dyDescent="0.25">
      <c r="AL12895" s="6"/>
    </row>
    <row r="12896" spans="38:38" x14ac:dyDescent="0.25">
      <c r="AL12896" s="6"/>
    </row>
    <row r="12897" spans="38:38" x14ac:dyDescent="0.25">
      <c r="AL12897" s="6"/>
    </row>
    <row r="12898" spans="38:38" x14ac:dyDescent="0.25">
      <c r="AL12898" s="6"/>
    </row>
    <row r="12899" spans="38:38" x14ac:dyDescent="0.25">
      <c r="AL12899" s="6"/>
    </row>
    <row r="12900" spans="38:38" x14ac:dyDescent="0.25">
      <c r="AL12900" s="6"/>
    </row>
    <row r="12901" spans="38:38" x14ac:dyDescent="0.25">
      <c r="AL12901" s="6"/>
    </row>
    <row r="12902" spans="38:38" x14ac:dyDescent="0.25">
      <c r="AL12902" s="6"/>
    </row>
    <row r="12903" spans="38:38" x14ac:dyDescent="0.25">
      <c r="AL12903" s="6"/>
    </row>
    <row r="12904" spans="38:38" x14ac:dyDescent="0.25">
      <c r="AL12904" s="6"/>
    </row>
    <row r="12905" spans="38:38" x14ac:dyDescent="0.25">
      <c r="AL12905" s="6"/>
    </row>
    <row r="12906" spans="38:38" x14ac:dyDescent="0.25">
      <c r="AL12906" s="6"/>
    </row>
    <row r="12907" spans="38:38" x14ac:dyDescent="0.25">
      <c r="AL12907" s="6"/>
    </row>
    <row r="12908" spans="38:38" x14ac:dyDescent="0.25">
      <c r="AL12908" s="6"/>
    </row>
    <row r="12909" spans="38:38" x14ac:dyDescent="0.25">
      <c r="AL12909" s="6"/>
    </row>
    <row r="12910" spans="38:38" x14ac:dyDescent="0.25">
      <c r="AL12910" s="6"/>
    </row>
    <row r="12911" spans="38:38" x14ac:dyDescent="0.25">
      <c r="AL12911" s="6"/>
    </row>
    <row r="12912" spans="38:38" x14ac:dyDescent="0.25">
      <c r="AL12912" s="6"/>
    </row>
    <row r="12913" spans="38:38" x14ac:dyDescent="0.25">
      <c r="AL12913" s="6"/>
    </row>
    <row r="12914" spans="38:38" x14ac:dyDescent="0.25">
      <c r="AL12914" s="6"/>
    </row>
    <row r="12915" spans="38:38" x14ac:dyDescent="0.25">
      <c r="AL12915" s="6"/>
    </row>
    <row r="12916" spans="38:38" x14ac:dyDescent="0.25">
      <c r="AL12916" s="6"/>
    </row>
    <row r="12917" spans="38:38" x14ac:dyDescent="0.25">
      <c r="AL12917" s="6"/>
    </row>
    <row r="12918" spans="38:38" x14ac:dyDescent="0.25">
      <c r="AL12918" s="6"/>
    </row>
    <row r="12919" spans="38:38" x14ac:dyDescent="0.25">
      <c r="AL12919" s="6"/>
    </row>
    <row r="12920" spans="38:38" x14ac:dyDescent="0.25">
      <c r="AL12920" s="6"/>
    </row>
    <row r="12921" spans="38:38" x14ac:dyDescent="0.25">
      <c r="AL12921" s="6"/>
    </row>
    <row r="12922" spans="38:38" x14ac:dyDescent="0.25">
      <c r="AL12922" s="6"/>
    </row>
    <row r="12923" spans="38:38" x14ac:dyDescent="0.25">
      <c r="AL12923" s="6"/>
    </row>
    <row r="12924" spans="38:38" x14ac:dyDescent="0.25">
      <c r="AL12924" s="6"/>
    </row>
    <row r="12925" spans="38:38" x14ac:dyDescent="0.25">
      <c r="AL12925" s="6"/>
    </row>
    <row r="12926" spans="38:38" x14ac:dyDescent="0.25">
      <c r="AL12926" s="6"/>
    </row>
    <row r="12927" spans="38:38" x14ac:dyDescent="0.25">
      <c r="AL12927" s="6"/>
    </row>
    <row r="12928" spans="38:38" x14ac:dyDescent="0.25">
      <c r="AL12928" s="6"/>
    </row>
    <row r="12929" spans="38:38" x14ac:dyDescent="0.25">
      <c r="AL12929" s="6"/>
    </row>
    <row r="12930" spans="38:38" x14ac:dyDescent="0.25">
      <c r="AL12930" s="6"/>
    </row>
    <row r="12931" spans="38:38" x14ac:dyDescent="0.25">
      <c r="AL12931" s="6"/>
    </row>
    <row r="12932" spans="38:38" x14ac:dyDescent="0.25">
      <c r="AL12932" s="6"/>
    </row>
    <row r="12933" spans="38:38" x14ac:dyDescent="0.25">
      <c r="AL12933" s="6"/>
    </row>
    <row r="12934" spans="38:38" x14ac:dyDescent="0.25">
      <c r="AL12934" s="6"/>
    </row>
    <row r="12935" spans="38:38" x14ac:dyDescent="0.25">
      <c r="AL12935" s="6"/>
    </row>
    <row r="12936" spans="38:38" x14ac:dyDescent="0.25">
      <c r="AL12936" s="6"/>
    </row>
    <row r="12937" spans="38:38" x14ac:dyDescent="0.25">
      <c r="AL12937" s="6"/>
    </row>
    <row r="12938" spans="38:38" x14ac:dyDescent="0.25">
      <c r="AL12938" s="6"/>
    </row>
    <row r="12939" spans="38:38" x14ac:dyDescent="0.25">
      <c r="AL12939" s="6"/>
    </row>
    <row r="12940" spans="38:38" x14ac:dyDescent="0.25">
      <c r="AL12940" s="6"/>
    </row>
    <row r="12941" spans="38:38" x14ac:dyDescent="0.25">
      <c r="AL12941" s="6"/>
    </row>
    <row r="12942" spans="38:38" x14ac:dyDescent="0.25">
      <c r="AL12942" s="6"/>
    </row>
    <row r="12943" spans="38:38" x14ac:dyDescent="0.25">
      <c r="AL12943" s="6"/>
    </row>
    <row r="12944" spans="38:38" x14ac:dyDescent="0.25">
      <c r="AL12944" s="6"/>
    </row>
    <row r="12945" spans="38:38" x14ac:dyDescent="0.25">
      <c r="AL12945" s="6"/>
    </row>
    <row r="12946" spans="38:38" x14ac:dyDescent="0.25">
      <c r="AL12946" s="6"/>
    </row>
    <row r="12947" spans="38:38" x14ac:dyDescent="0.25">
      <c r="AL12947" s="6"/>
    </row>
    <row r="12948" spans="38:38" x14ac:dyDescent="0.25">
      <c r="AL12948" s="6"/>
    </row>
    <row r="12949" spans="38:38" x14ac:dyDescent="0.25">
      <c r="AL12949" s="6"/>
    </row>
    <row r="12950" spans="38:38" x14ac:dyDescent="0.25">
      <c r="AL12950" s="6"/>
    </row>
    <row r="12951" spans="38:38" x14ac:dyDescent="0.25">
      <c r="AL12951" s="6"/>
    </row>
    <row r="12952" spans="38:38" x14ac:dyDescent="0.25">
      <c r="AL12952" s="6"/>
    </row>
    <row r="12953" spans="38:38" x14ac:dyDescent="0.25">
      <c r="AL12953" s="6"/>
    </row>
    <row r="12954" spans="38:38" x14ac:dyDescent="0.25">
      <c r="AL12954" s="6"/>
    </row>
    <row r="12955" spans="38:38" x14ac:dyDescent="0.25">
      <c r="AL12955" s="6"/>
    </row>
    <row r="12956" spans="38:38" x14ac:dyDescent="0.25">
      <c r="AL12956" s="6"/>
    </row>
    <row r="12957" spans="38:38" x14ac:dyDescent="0.25">
      <c r="AL12957" s="6"/>
    </row>
    <row r="12958" spans="38:38" x14ac:dyDescent="0.25">
      <c r="AL12958" s="6"/>
    </row>
    <row r="12959" spans="38:38" x14ac:dyDescent="0.25">
      <c r="AL12959" s="6"/>
    </row>
    <row r="12960" spans="38:38" x14ac:dyDescent="0.25">
      <c r="AL12960" s="6"/>
    </row>
    <row r="12961" spans="38:38" x14ac:dyDescent="0.25">
      <c r="AL12961" s="6"/>
    </row>
    <row r="12962" spans="38:38" x14ac:dyDescent="0.25">
      <c r="AL12962" s="6"/>
    </row>
    <row r="12963" spans="38:38" x14ac:dyDescent="0.25">
      <c r="AL12963" s="6"/>
    </row>
    <row r="12964" spans="38:38" x14ac:dyDescent="0.25">
      <c r="AL12964" s="6"/>
    </row>
    <row r="12965" spans="38:38" x14ac:dyDescent="0.25">
      <c r="AL12965" s="6"/>
    </row>
    <row r="12966" spans="38:38" x14ac:dyDescent="0.25">
      <c r="AL12966" s="6"/>
    </row>
    <row r="12967" spans="38:38" x14ac:dyDescent="0.25">
      <c r="AL12967" s="6"/>
    </row>
    <row r="12968" spans="38:38" x14ac:dyDescent="0.25">
      <c r="AL12968" s="6"/>
    </row>
    <row r="12969" spans="38:38" x14ac:dyDescent="0.25">
      <c r="AL12969" s="6"/>
    </row>
    <row r="12970" spans="38:38" x14ac:dyDescent="0.25">
      <c r="AL12970" s="6"/>
    </row>
    <row r="12971" spans="38:38" x14ac:dyDescent="0.25">
      <c r="AL12971" s="6"/>
    </row>
    <row r="12972" spans="38:38" x14ac:dyDescent="0.25">
      <c r="AL12972" s="6"/>
    </row>
    <row r="12973" spans="38:38" x14ac:dyDescent="0.25">
      <c r="AL12973" s="6"/>
    </row>
    <row r="12974" spans="38:38" x14ac:dyDescent="0.25">
      <c r="AL12974" s="6"/>
    </row>
    <row r="12975" spans="38:38" x14ac:dyDescent="0.25">
      <c r="AL12975" s="6"/>
    </row>
    <row r="12976" spans="38:38" x14ac:dyDescent="0.25">
      <c r="AL12976" s="6"/>
    </row>
    <row r="12977" spans="38:38" x14ac:dyDescent="0.25">
      <c r="AL12977" s="6"/>
    </row>
    <row r="12978" spans="38:38" x14ac:dyDescent="0.25">
      <c r="AL12978" s="6"/>
    </row>
    <row r="12979" spans="38:38" x14ac:dyDescent="0.25">
      <c r="AL12979" s="6"/>
    </row>
    <row r="12980" spans="38:38" x14ac:dyDescent="0.25">
      <c r="AL12980" s="6"/>
    </row>
    <row r="12981" spans="38:38" x14ac:dyDescent="0.25">
      <c r="AL12981" s="6"/>
    </row>
    <row r="12982" spans="38:38" x14ac:dyDescent="0.25">
      <c r="AL12982" s="6"/>
    </row>
    <row r="12983" spans="38:38" x14ac:dyDescent="0.25">
      <c r="AL12983" s="6"/>
    </row>
    <row r="12984" spans="38:38" x14ac:dyDescent="0.25">
      <c r="AL12984" s="6"/>
    </row>
    <row r="12985" spans="38:38" x14ac:dyDescent="0.25">
      <c r="AL12985" s="6"/>
    </row>
    <row r="12986" spans="38:38" x14ac:dyDescent="0.25">
      <c r="AL12986" s="6"/>
    </row>
    <row r="12987" spans="38:38" x14ac:dyDescent="0.25">
      <c r="AL12987" s="6"/>
    </row>
    <row r="12988" spans="38:38" x14ac:dyDescent="0.25">
      <c r="AL12988" s="6"/>
    </row>
    <row r="12989" spans="38:38" x14ac:dyDescent="0.25">
      <c r="AL12989" s="6"/>
    </row>
    <row r="12990" spans="38:38" x14ac:dyDescent="0.25">
      <c r="AL12990" s="6"/>
    </row>
    <row r="12991" spans="38:38" x14ac:dyDescent="0.25">
      <c r="AL12991" s="6"/>
    </row>
    <row r="12992" spans="38:38" x14ac:dyDescent="0.25">
      <c r="AL12992" s="6"/>
    </row>
    <row r="12993" spans="38:38" x14ac:dyDescent="0.25">
      <c r="AL12993" s="6"/>
    </row>
    <row r="12994" spans="38:38" x14ac:dyDescent="0.25">
      <c r="AL12994" s="6"/>
    </row>
    <row r="12995" spans="38:38" x14ac:dyDescent="0.25">
      <c r="AL12995" s="6"/>
    </row>
    <row r="12996" spans="38:38" x14ac:dyDescent="0.25">
      <c r="AL12996" s="6"/>
    </row>
    <row r="12997" spans="38:38" x14ac:dyDescent="0.25">
      <c r="AL12997" s="6"/>
    </row>
    <row r="12998" spans="38:38" x14ac:dyDescent="0.25">
      <c r="AL12998" s="6"/>
    </row>
    <row r="12999" spans="38:38" x14ac:dyDescent="0.25">
      <c r="AL12999" s="6"/>
    </row>
    <row r="13000" spans="38:38" x14ac:dyDescent="0.25">
      <c r="AL13000" s="6"/>
    </row>
    <row r="13001" spans="38:38" x14ac:dyDescent="0.25">
      <c r="AL13001" s="6"/>
    </row>
    <row r="13002" spans="38:38" x14ac:dyDescent="0.25">
      <c r="AL13002" s="6"/>
    </row>
    <row r="13003" spans="38:38" x14ac:dyDescent="0.25">
      <c r="AL13003" s="6"/>
    </row>
    <row r="13004" spans="38:38" x14ac:dyDescent="0.25">
      <c r="AL13004" s="6"/>
    </row>
    <row r="13005" spans="38:38" x14ac:dyDescent="0.25">
      <c r="AL13005" s="6"/>
    </row>
    <row r="13006" spans="38:38" x14ac:dyDescent="0.25">
      <c r="AL13006" s="6"/>
    </row>
    <row r="13007" spans="38:38" x14ac:dyDescent="0.25">
      <c r="AL13007" s="6"/>
    </row>
    <row r="13008" spans="38:38" x14ac:dyDescent="0.25">
      <c r="AL13008" s="6"/>
    </row>
    <row r="13009" spans="38:38" x14ac:dyDescent="0.25">
      <c r="AL13009" s="6"/>
    </row>
    <row r="13010" spans="38:38" x14ac:dyDescent="0.25">
      <c r="AL13010" s="6"/>
    </row>
    <row r="13011" spans="38:38" x14ac:dyDescent="0.25">
      <c r="AL13011" s="6"/>
    </row>
    <row r="13012" spans="38:38" x14ac:dyDescent="0.25">
      <c r="AL13012" s="6"/>
    </row>
    <row r="13013" spans="38:38" x14ac:dyDescent="0.25">
      <c r="AL13013" s="6"/>
    </row>
    <row r="13014" spans="38:38" x14ac:dyDescent="0.25">
      <c r="AL13014" s="6"/>
    </row>
    <row r="13015" spans="38:38" x14ac:dyDescent="0.25">
      <c r="AL13015" s="6"/>
    </row>
    <row r="13016" spans="38:38" x14ac:dyDescent="0.25">
      <c r="AL13016" s="6"/>
    </row>
    <row r="13017" spans="38:38" x14ac:dyDescent="0.25">
      <c r="AL13017" s="6"/>
    </row>
    <row r="13018" spans="38:38" x14ac:dyDescent="0.25">
      <c r="AL13018" s="6"/>
    </row>
    <row r="13019" spans="38:38" x14ac:dyDescent="0.25">
      <c r="AL13019" s="6"/>
    </row>
    <row r="13020" spans="38:38" x14ac:dyDescent="0.25">
      <c r="AL13020" s="6"/>
    </row>
    <row r="13021" spans="38:38" x14ac:dyDescent="0.25">
      <c r="AL13021" s="6"/>
    </row>
    <row r="13022" spans="38:38" x14ac:dyDescent="0.25">
      <c r="AL13022" s="6"/>
    </row>
    <row r="13023" spans="38:38" x14ac:dyDescent="0.25">
      <c r="AL13023" s="6"/>
    </row>
    <row r="13024" spans="38:38" x14ac:dyDescent="0.25">
      <c r="AL13024" s="6"/>
    </row>
    <row r="13025" spans="38:38" x14ac:dyDescent="0.25">
      <c r="AL13025" s="6"/>
    </row>
    <row r="13026" spans="38:38" x14ac:dyDescent="0.25">
      <c r="AL13026" s="6"/>
    </row>
    <row r="13027" spans="38:38" x14ac:dyDescent="0.25">
      <c r="AL13027" s="6"/>
    </row>
    <row r="13028" spans="38:38" x14ac:dyDescent="0.25">
      <c r="AL13028" s="6"/>
    </row>
    <row r="13029" spans="38:38" x14ac:dyDescent="0.25">
      <c r="AL13029" s="6"/>
    </row>
    <row r="13030" spans="38:38" x14ac:dyDescent="0.25">
      <c r="AL13030" s="6"/>
    </row>
    <row r="13031" spans="38:38" x14ac:dyDescent="0.25">
      <c r="AL13031" s="6"/>
    </row>
    <row r="13032" spans="38:38" x14ac:dyDescent="0.25">
      <c r="AL13032" s="6"/>
    </row>
    <row r="13033" spans="38:38" x14ac:dyDescent="0.25">
      <c r="AL13033" s="6"/>
    </row>
    <row r="13034" spans="38:38" x14ac:dyDescent="0.25">
      <c r="AL13034" s="6"/>
    </row>
    <row r="13035" spans="38:38" x14ac:dyDescent="0.25">
      <c r="AL13035" s="6"/>
    </row>
    <row r="13036" spans="38:38" x14ac:dyDescent="0.25">
      <c r="AL13036" s="6"/>
    </row>
    <row r="13037" spans="38:38" x14ac:dyDescent="0.25">
      <c r="AL13037" s="6"/>
    </row>
    <row r="13038" spans="38:38" x14ac:dyDescent="0.25">
      <c r="AL13038" s="6"/>
    </row>
    <row r="13039" spans="38:38" x14ac:dyDescent="0.25">
      <c r="AL13039" s="6"/>
    </row>
    <row r="13040" spans="38:38" x14ac:dyDescent="0.25">
      <c r="AL13040" s="6"/>
    </row>
    <row r="13041" spans="38:38" x14ac:dyDescent="0.25">
      <c r="AL13041" s="6"/>
    </row>
    <row r="13042" spans="38:38" x14ac:dyDescent="0.25">
      <c r="AL13042" s="6"/>
    </row>
    <row r="13043" spans="38:38" x14ac:dyDescent="0.25">
      <c r="AL13043" s="6"/>
    </row>
    <row r="13044" spans="38:38" x14ac:dyDescent="0.25">
      <c r="AL13044" s="6"/>
    </row>
    <row r="13045" spans="38:38" x14ac:dyDescent="0.25">
      <c r="AL13045" s="6"/>
    </row>
    <row r="13046" spans="38:38" x14ac:dyDescent="0.25">
      <c r="AL13046" s="6"/>
    </row>
    <row r="13047" spans="38:38" x14ac:dyDescent="0.25">
      <c r="AL13047" s="6"/>
    </row>
    <row r="13048" spans="38:38" x14ac:dyDescent="0.25">
      <c r="AL13048" s="6"/>
    </row>
    <row r="13049" spans="38:38" x14ac:dyDescent="0.25">
      <c r="AL13049" s="6"/>
    </row>
    <row r="13050" spans="38:38" x14ac:dyDescent="0.25">
      <c r="AL13050" s="6"/>
    </row>
    <row r="13051" spans="38:38" x14ac:dyDescent="0.25">
      <c r="AL13051" s="6"/>
    </row>
    <row r="13052" spans="38:38" x14ac:dyDescent="0.25">
      <c r="AL13052" s="6"/>
    </row>
    <row r="13053" spans="38:38" x14ac:dyDescent="0.25">
      <c r="AL13053" s="6"/>
    </row>
    <row r="13054" spans="38:38" x14ac:dyDescent="0.25">
      <c r="AL13054" s="6"/>
    </row>
    <row r="13055" spans="38:38" x14ac:dyDescent="0.25">
      <c r="AL13055" s="6"/>
    </row>
    <row r="13056" spans="38:38" x14ac:dyDescent="0.25">
      <c r="AL13056" s="6"/>
    </row>
    <row r="13057" spans="38:38" x14ac:dyDescent="0.25">
      <c r="AL13057" s="6"/>
    </row>
    <row r="13058" spans="38:38" x14ac:dyDescent="0.25">
      <c r="AL13058" s="6"/>
    </row>
    <row r="13059" spans="38:38" x14ac:dyDescent="0.25">
      <c r="AL13059" s="6"/>
    </row>
    <row r="13060" spans="38:38" x14ac:dyDescent="0.25">
      <c r="AL13060" s="6"/>
    </row>
    <row r="13061" spans="38:38" x14ac:dyDescent="0.25">
      <c r="AL13061" s="6"/>
    </row>
    <row r="13062" spans="38:38" x14ac:dyDescent="0.25">
      <c r="AL13062" s="6"/>
    </row>
    <row r="13063" spans="38:38" x14ac:dyDescent="0.25">
      <c r="AL13063" s="6"/>
    </row>
    <row r="13064" spans="38:38" x14ac:dyDescent="0.25">
      <c r="AL13064" s="6"/>
    </row>
    <row r="13065" spans="38:38" x14ac:dyDescent="0.25">
      <c r="AL13065" s="6"/>
    </row>
    <row r="13066" spans="38:38" x14ac:dyDescent="0.25">
      <c r="AL13066" s="6"/>
    </row>
    <row r="13067" spans="38:38" x14ac:dyDescent="0.25">
      <c r="AL13067" s="6"/>
    </row>
    <row r="13068" spans="38:38" x14ac:dyDescent="0.25">
      <c r="AL13068" s="6"/>
    </row>
    <row r="13069" spans="38:38" x14ac:dyDescent="0.25">
      <c r="AL13069" s="6"/>
    </row>
    <row r="13070" spans="38:38" x14ac:dyDescent="0.25">
      <c r="AL13070" s="6"/>
    </row>
    <row r="13071" spans="38:38" x14ac:dyDescent="0.25">
      <c r="AL13071" s="6"/>
    </row>
    <row r="13072" spans="38:38" x14ac:dyDescent="0.25">
      <c r="AL13072" s="6"/>
    </row>
    <row r="13073" spans="38:38" x14ac:dyDescent="0.25">
      <c r="AL13073" s="6"/>
    </row>
    <row r="13074" spans="38:38" x14ac:dyDescent="0.25">
      <c r="AL13074" s="6"/>
    </row>
    <row r="13075" spans="38:38" x14ac:dyDescent="0.25">
      <c r="AL13075" s="6"/>
    </row>
    <row r="13076" spans="38:38" x14ac:dyDescent="0.25">
      <c r="AL13076" s="6"/>
    </row>
    <row r="13077" spans="38:38" x14ac:dyDescent="0.25">
      <c r="AL13077" s="6"/>
    </row>
    <row r="13078" spans="38:38" x14ac:dyDescent="0.25">
      <c r="AL13078" s="6"/>
    </row>
    <row r="13079" spans="38:38" x14ac:dyDescent="0.25">
      <c r="AL13079" s="6"/>
    </row>
    <row r="13080" spans="38:38" x14ac:dyDescent="0.25">
      <c r="AL13080" s="6"/>
    </row>
    <row r="13081" spans="38:38" x14ac:dyDescent="0.25">
      <c r="AL13081" s="6"/>
    </row>
    <row r="13082" spans="38:38" x14ac:dyDescent="0.25">
      <c r="AL13082" s="6"/>
    </row>
    <row r="13083" spans="38:38" x14ac:dyDescent="0.25">
      <c r="AL13083" s="6"/>
    </row>
    <row r="13084" spans="38:38" x14ac:dyDescent="0.25">
      <c r="AL13084" s="6"/>
    </row>
    <row r="13085" spans="38:38" x14ac:dyDescent="0.25">
      <c r="AL13085" s="6"/>
    </row>
    <row r="13086" spans="38:38" x14ac:dyDescent="0.25">
      <c r="AL13086" s="6"/>
    </row>
    <row r="13087" spans="38:38" x14ac:dyDescent="0.25">
      <c r="AL13087" s="6"/>
    </row>
    <row r="13088" spans="38:38" x14ac:dyDescent="0.25">
      <c r="AL13088" s="6"/>
    </row>
    <row r="13089" spans="38:38" x14ac:dyDescent="0.25">
      <c r="AL13089" s="6"/>
    </row>
    <row r="13090" spans="38:38" x14ac:dyDescent="0.25">
      <c r="AL13090" s="6"/>
    </row>
    <row r="13091" spans="38:38" x14ac:dyDescent="0.25">
      <c r="AL13091" s="6"/>
    </row>
    <row r="13092" spans="38:38" x14ac:dyDescent="0.25">
      <c r="AL13092" s="6"/>
    </row>
    <row r="13093" spans="38:38" x14ac:dyDescent="0.25">
      <c r="AL13093" s="6"/>
    </row>
    <row r="13094" spans="38:38" x14ac:dyDescent="0.25">
      <c r="AL13094" s="6"/>
    </row>
    <row r="13095" spans="38:38" x14ac:dyDescent="0.25">
      <c r="AL13095" s="6"/>
    </row>
    <row r="13096" spans="38:38" x14ac:dyDescent="0.25">
      <c r="AL13096" s="6"/>
    </row>
    <row r="13097" spans="38:38" x14ac:dyDescent="0.25">
      <c r="AL13097" s="6"/>
    </row>
    <row r="13098" spans="38:38" x14ac:dyDescent="0.25">
      <c r="AL13098" s="6"/>
    </row>
    <row r="13099" spans="38:38" x14ac:dyDescent="0.25">
      <c r="AL13099" s="6"/>
    </row>
    <row r="13100" spans="38:38" x14ac:dyDescent="0.25">
      <c r="AL13100" s="6"/>
    </row>
    <row r="13101" spans="38:38" x14ac:dyDescent="0.25">
      <c r="AL13101" s="6"/>
    </row>
    <row r="13102" spans="38:38" x14ac:dyDescent="0.25">
      <c r="AL13102" s="6"/>
    </row>
    <row r="13103" spans="38:38" x14ac:dyDescent="0.25">
      <c r="AL13103" s="6"/>
    </row>
    <row r="13104" spans="38:38" x14ac:dyDescent="0.25">
      <c r="AL13104" s="6"/>
    </row>
    <row r="13105" spans="38:38" x14ac:dyDescent="0.25">
      <c r="AL13105" s="6"/>
    </row>
    <row r="13106" spans="38:38" x14ac:dyDescent="0.25">
      <c r="AL13106" s="6"/>
    </row>
    <row r="13107" spans="38:38" x14ac:dyDescent="0.25">
      <c r="AL13107" s="6"/>
    </row>
    <row r="13108" spans="38:38" x14ac:dyDescent="0.25">
      <c r="AL13108" s="6"/>
    </row>
    <row r="13109" spans="38:38" x14ac:dyDescent="0.25">
      <c r="AL13109" s="6"/>
    </row>
    <row r="13110" spans="38:38" x14ac:dyDescent="0.25">
      <c r="AL13110" s="6"/>
    </row>
    <row r="13111" spans="38:38" x14ac:dyDescent="0.25">
      <c r="AL13111" s="6"/>
    </row>
    <row r="13112" spans="38:38" x14ac:dyDescent="0.25">
      <c r="AL13112" s="6"/>
    </row>
    <row r="13113" spans="38:38" x14ac:dyDescent="0.25">
      <c r="AL13113" s="6"/>
    </row>
    <row r="13114" spans="38:38" x14ac:dyDescent="0.25">
      <c r="AL13114" s="6"/>
    </row>
    <row r="13115" spans="38:38" x14ac:dyDescent="0.25">
      <c r="AL13115" s="6"/>
    </row>
    <row r="13116" spans="38:38" x14ac:dyDescent="0.25">
      <c r="AL13116" s="6"/>
    </row>
    <row r="13117" spans="38:38" x14ac:dyDescent="0.25">
      <c r="AL13117" s="6"/>
    </row>
    <row r="13118" spans="38:38" x14ac:dyDescent="0.25">
      <c r="AL13118" s="6"/>
    </row>
    <row r="13119" spans="38:38" x14ac:dyDescent="0.25">
      <c r="AL13119" s="6"/>
    </row>
    <row r="13120" spans="38:38" x14ac:dyDescent="0.25">
      <c r="AL13120" s="6"/>
    </row>
    <row r="13121" spans="38:38" x14ac:dyDescent="0.25">
      <c r="AL13121" s="6"/>
    </row>
    <row r="13122" spans="38:38" x14ac:dyDescent="0.25">
      <c r="AL13122" s="6"/>
    </row>
    <row r="13123" spans="38:38" x14ac:dyDescent="0.25">
      <c r="AL13123" s="6"/>
    </row>
    <row r="13124" spans="38:38" x14ac:dyDescent="0.25">
      <c r="AL13124" s="6"/>
    </row>
    <row r="13125" spans="38:38" x14ac:dyDescent="0.25">
      <c r="AL13125" s="6"/>
    </row>
    <row r="13126" spans="38:38" x14ac:dyDescent="0.25">
      <c r="AL13126" s="6"/>
    </row>
    <row r="13127" spans="38:38" x14ac:dyDescent="0.25">
      <c r="AL13127" s="6"/>
    </row>
    <row r="13128" spans="38:38" x14ac:dyDescent="0.25">
      <c r="AL13128" s="6"/>
    </row>
    <row r="13129" spans="38:38" x14ac:dyDescent="0.25">
      <c r="AL13129" s="6"/>
    </row>
    <row r="13130" spans="38:38" x14ac:dyDescent="0.25">
      <c r="AL13130" s="6"/>
    </row>
    <row r="13131" spans="38:38" x14ac:dyDescent="0.25">
      <c r="AL13131" s="6"/>
    </row>
    <row r="13132" spans="38:38" x14ac:dyDescent="0.25">
      <c r="AL13132" s="6"/>
    </row>
    <row r="13133" spans="38:38" x14ac:dyDescent="0.25">
      <c r="AL13133" s="6"/>
    </row>
    <row r="13134" spans="38:38" x14ac:dyDescent="0.25">
      <c r="AL13134" s="6"/>
    </row>
    <row r="13135" spans="38:38" x14ac:dyDescent="0.25">
      <c r="AL13135" s="6"/>
    </row>
    <row r="13136" spans="38:38" x14ac:dyDescent="0.25">
      <c r="AL13136" s="6"/>
    </row>
    <row r="13137" spans="38:38" x14ac:dyDescent="0.25">
      <c r="AL13137" s="6"/>
    </row>
    <row r="13138" spans="38:38" x14ac:dyDescent="0.25">
      <c r="AL13138" s="6"/>
    </row>
    <row r="13139" spans="38:38" x14ac:dyDescent="0.25">
      <c r="AL13139" s="6"/>
    </row>
    <row r="13140" spans="38:38" x14ac:dyDescent="0.25">
      <c r="AL13140" s="6"/>
    </row>
    <row r="13141" spans="38:38" x14ac:dyDescent="0.25">
      <c r="AL13141" s="6"/>
    </row>
    <row r="13142" spans="38:38" x14ac:dyDescent="0.25">
      <c r="AL13142" s="6"/>
    </row>
    <row r="13143" spans="38:38" x14ac:dyDescent="0.25">
      <c r="AL13143" s="6"/>
    </row>
    <row r="13144" spans="38:38" x14ac:dyDescent="0.25">
      <c r="AL13144" s="6"/>
    </row>
    <row r="13145" spans="38:38" x14ac:dyDescent="0.25">
      <c r="AL13145" s="6"/>
    </row>
    <row r="13146" spans="38:38" x14ac:dyDescent="0.25">
      <c r="AL13146" s="6"/>
    </row>
    <row r="13147" spans="38:38" x14ac:dyDescent="0.25">
      <c r="AL13147" s="6"/>
    </row>
    <row r="13148" spans="38:38" x14ac:dyDescent="0.25">
      <c r="AL13148" s="6"/>
    </row>
    <row r="13149" spans="38:38" x14ac:dyDescent="0.25">
      <c r="AL13149" s="6"/>
    </row>
    <row r="13150" spans="38:38" x14ac:dyDescent="0.25">
      <c r="AL13150" s="6"/>
    </row>
    <row r="13151" spans="38:38" x14ac:dyDescent="0.25">
      <c r="AL13151" s="6"/>
    </row>
    <row r="13152" spans="38:38" x14ac:dyDescent="0.25">
      <c r="AL13152" s="6"/>
    </row>
    <row r="13153" spans="38:38" x14ac:dyDescent="0.25">
      <c r="AL13153" s="6"/>
    </row>
    <row r="13154" spans="38:38" x14ac:dyDescent="0.25">
      <c r="AL13154" s="6"/>
    </row>
    <row r="13155" spans="38:38" x14ac:dyDescent="0.25">
      <c r="AL13155" s="6"/>
    </row>
    <row r="13156" spans="38:38" x14ac:dyDescent="0.25">
      <c r="AL13156" s="6"/>
    </row>
    <row r="13157" spans="38:38" x14ac:dyDescent="0.25">
      <c r="AL13157" s="6"/>
    </row>
    <row r="13158" spans="38:38" x14ac:dyDescent="0.25">
      <c r="AL13158" s="6"/>
    </row>
    <row r="13159" spans="38:38" x14ac:dyDescent="0.25">
      <c r="AL13159" s="6"/>
    </row>
    <row r="13160" spans="38:38" x14ac:dyDescent="0.25">
      <c r="AL13160" s="6"/>
    </row>
    <row r="13161" spans="38:38" x14ac:dyDescent="0.25">
      <c r="AL13161" s="6"/>
    </row>
    <row r="13162" spans="38:38" x14ac:dyDescent="0.25">
      <c r="AL13162" s="6"/>
    </row>
    <row r="13163" spans="38:38" x14ac:dyDescent="0.25">
      <c r="AL13163" s="6"/>
    </row>
    <row r="13164" spans="38:38" x14ac:dyDescent="0.25">
      <c r="AL13164" s="6"/>
    </row>
    <row r="13165" spans="38:38" x14ac:dyDescent="0.25">
      <c r="AL13165" s="6"/>
    </row>
    <row r="13166" spans="38:38" x14ac:dyDescent="0.25">
      <c r="AL13166" s="6"/>
    </row>
    <row r="13167" spans="38:38" x14ac:dyDescent="0.25">
      <c r="AL13167" s="6"/>
    </row>
    <row r="13168" spans="38:38" x14ac:dyDescent="0.25">
      <c r="AL13168" s="6"/>
    </row>
    <row r="13169" spans="38:38" x14ac:dyDescent="0.25">
      <c r="AL13169" s="6"/>
    </row>
    <row r="13170" spans="38:38" x14ac:dyDescent="0.25">
      <c r="AL13170" s="6"/>
    </row>
    <row r="13171" spans="38:38" x14ac:dyDescent="0.25">
      <c r="AL13171" s="6"/>
    </row>
    <row r="13172" spans="38:38" x14ac:dyDescent="0.25">
      <c r="AL13172" s="6"/>
    </row>
    <row r="13173" spans="38:38" x14ac:dyDescent="0.25">
      <c r="AL13173" s="6"/>
    </row>
    <row r="13174" spans="38:38" x14ac:dyDescent="0.25">
      <c r="AL13174" s="6"/>
    </row>
    <row r="13175" spans="38:38" x14ac:dyDescent="0.25">
      <c r="AL13175" s="6"/>
    </row>
    <row r="13176" spans="38:38" x14ac:dyDescent="0.25">
      <c r="AL13176" s="6"/>
    </row>
    <row r="13177" spans="38:38" x14ac:dyDescent="0.25">
      <c r="AL13177" s="6"/>
    </row>
    <row r="13178" spans="38:38" x14ac:dyDescent="0.25">
      <c r="AL13178" s="6"/>
    </row>
    <row r="13179" spans="38:38" x14ac:dyDescent="0.25">
      <c r="AL13179" s="6"/>
    </row>
    <row r="13180" spans="38:38" x14ac:dyDescent="0.25">
      <c r="AL13180" s="6"/>
    </row>
    <row r="13181" spans="38:38" x14ac:dyDescent="0.25">
      <c r="AL13181" s="6"/>
    </row>
    <row r="13182" spans="38:38" x14ac:dyDescent="0.25">
      <c r="AL13182" s="6"/>
    </row>
    <row r="13183" spans="38:38" x14ac:dyDescent="0.25">
      <c r="AL13183" s="6"/>
    </row>
    <row r="13184" spans="38:38" x14ac:dyDescent="0.25">
      <c r="AL13184" s="6"/>
    </row>
    <row r="13185" spans="38:38" x14ac:dyDescent="0.25">
      <c r="AL13185" s="6"/>
    </row>
    <row r="13186" spans="38:38" x14ac:dyDescent="0.25">
      <c r="AL13186" s="6"/>
    </row>
    <row r="13187" spans="38:38" x14ac:dyDescent="0.25">
      <c r="AL13187" s="6"/>
    </row>
    <row r="13188" spans="38:38" x14ac:dyDescent="0.25">
      <c r="AL13188" s="6"/>
    </row>
    <row r="13189" spans="38:38" x14ac:dyDescent="0.25">
      <c r="AL13189" s="6"/>
    </row>
    <row r="13190" spans="38:38" x14ac:dyDescent="0.25">
      <c r="AL13190" s="6"/>
    </row>
    <row r="13191" spans="38:38" x14ac:dyDescent="0.25">
      <c r="AL13191" s="6"/>
    </row>
    <row r="13192" spans="38:38" x14ac:dyDescent="0.25">
      <c r="AL13192" s="6"/>
    </row>
    <row r="13193" spans="38:38" x14ac:dyDescent="0.25">
      <c r="AL13193" s="6"/>
    </row>
    <row r="13194" spans="38:38" x14ac:dyDescent="0.25">
      <c r="AL13194" s="6"/>
    </row>
    <row r="13195" spans="38:38" x14ac:dyDescent="0.25">
      <c r="AL13195" s="6"/>
    </row>
    <row r="13196" spans="38:38" x14ac:dyDescent="0.25">
      <c r="AL13196" s="6"/>
    </row>
    <row r="13197" spans="38:38" x14ac:dyDescent="0.25">
      <c r="AL13197" s="6"/>
    </row>
    <row r="13198" spans="38:38" x14ac:dyDescent="0.25">
      <c r="AL13198" s="6"/>
    </row>
    <row r="13199" spans="38:38" x14ac:dyDescent="0.25">
      <c r="AL13199" s="6"/>
    </row>
    <row r="13200" spans="38:38" x14ac:dyDescent="0.25">
      <c r="AL13200" s="6"/>
    </row>
    <row r="13201" spans="38:38" x14ac:dyDescent="0.25">
      <c r="AL13201" s="6"/>
    </row>
    <row r="13202" spans="38:38" x14ac:dyDescent="0.25">
      <c r="AL13202" s="6"/>
    </row>
    <row r="13203" spans="38:38" x14ac:dyDescent="0.25">
      <c r="AL13203" s="6"/>
    </row>
    <row r="13204" spans="38:38" x14ac:dyDescent="0.25">
      <c r="AL13204" s="6"/>
    </row>
    <row r="13205" spans="38:38" x14ac:dyDescent="0.25">
      <c r="AL13205" s="6"/>
    </row>
    <row r="13206" spans="38:38" x14ac:dyDescent="0.25">
      <c r="AL13206" s="6"/>
    </row>
    <row r="13207" spans="38:38" x14ac:dyDescent="0.25">
      <c r="AL13207" s="6"/>
    </row>
    <row r="13208" spans="38:38" x14ac:dyDescent="0.25">
      <c r="AL13208" s="6"/>
    </row>
    <row r="13209" spans="38:38" x14ac:dyDescent="0.25">
      <c r="AL13209" s="6"/>
    </row>
    <row r="13210" spans="38:38" x14ac:dyDescent="0.25">
      <c r="AL13210" s="6"/>
    </row>
    <row r="13211" spans="38:38" x14ac:dyDescent="0.25">
      <c r="AL13211" s="6"/>
    </row>
    <row r="13212" spans="38:38" x14ac:dyDescent="0.25">
      <c r="AL13212" s="6"/>
    </row>
    <row r="13213" spans="38:38" x14ac:dyDescent="0.25">
      <c r="AL13213" s="6"/>
    </row>
    <row r="13214" spans="38:38" x14ac:dyDescent="0.25">
      <c r="AL13214" s="6"/>
    </row>
    <row r="13215" spans="38:38" x14ac:dyDescent="0.25">
      <c r="AL13215" s="6"/>
    </row>
    <row r="13216" spans="38:38" x14ac:dyDescent="0.25">
      <c r="AL13216" s="6"/>
    </row>
    <row r="13217" spans="38:38" x14ac:dyDescent="0.25">
      <c r="AL13217" s="6"/>
    </row>
    <row r="13218" spans="38:38" x14ac:dyDescent="0.25">
      <c r="AL13218" s="6"/>
    </row>
    <row r="13219" spans="38:38" x14ac:dyDescent="0.25">
      <c r="AL13219" s="6"/>
    </row>
    <row r="13220" spans="38:38" x14ac:dyDescent="0.25">
      <c r="AL13220" s="6"/>
    </row>
    <row r="13221" spans="38:38" x14ac:dyDescent="0.25">
      <c r="AL13221" s="6"/>
    </row>
    <row r="13222" spans="38:38" x14ac:dyDescent="0.25">
      <c r="AL13222" s="6"/>
    </row>
    <row r="13223" spans="38:38" x14ac:dyDescent="0.25">
      <c r="AL13223" s="6"/>
    </row>
    <row r="13224" spans="38:38" x14ac:dyDescent="0.25">
      <c r="AL13224" s="6"/>
    </row>
    <row r="13225" spans="38:38" x14ac:dyDescent="0.25">
      <c r="AL13225" s="6"/>
    </row>
    <row r="13226" spans="38:38" x14ac:dyDescent="0.25">
      <c r="AL13226" s="6"/>
    </row>
    <row r="13227" spans="38:38" x14ac:dyDescent="0.25">
      <c r="AL13227" s="6"/>
    </row>
    <row r="13228" spans="38:38" x14ac:dyDescent="0.25">
      <c r="AL13228" s="6"/>
    </row>
    <row r="13229" spans="38:38" x14ac:dyDescent="0.25">
      <c r="AL13229" s="6"/>
    </row>
    <row r="13230" spans="38:38" x14ac:dyDescent="0.25">
      <c r="AL13230" s="6"/>
    </row>
    <row r="13231" spans="38:38" x14ac:dyDescent="0.25">
      <c r="AL13231" s="6"/>
    </row>
    <row r="13232" spans="38:38" x14ac:dyDescent="0.25">
      <c r="AL13232" s="6"/>
    </row>
    <row r="13233" spans="38:38" x14ac:dyDescent="0.25">
      <c r="AL13233" s="6"/>
    </row>
    <row r="13234" spans="38:38" x14ac:dyDescent="0.25">
      <c r="AL13234" s="6"/>
    </row>
    <row r="13235" spans="38:38" x14ac:dyDescent="0.25">
      <c r="AL13235" s="6"/>
    </row>
    <row r="13236" spans="38:38" x14ac:dyDescent="0.25">
      <c r="AL13236" s="6"/>
    </row>
    <row r="13237" spans="38:38" x14ac:dyDescent="0.25">
      <c r="AL13237" s="6"/>
    </row>
    <row r="13238" spans="38:38" x14ac:dyDescent="0.25">
      <c r="AL13238" s="6"/>
    </row>
    <row r="13239" spans="38:38" x14ac:dyDescent="0.25">
      <c r="AL13239" s="6"/>
    </row>
    <row r="13240" spans="38:38" x14ac:dyDescent="0.25">
      <c r="AL13240" s="6"/>
    </row>
    <row r="13241" spans="38:38" x14ac:dyDescent="0.25">
      <c r="AL13241" s="6"/>
    </row>
    <row r="13242" spans="38:38" x14ac:dyDescent="0.25">
      <c r="AL13242" s="6"/>
    </row>
    <row r="13243" spans="38:38" x14ac:dyDescent="0.25">
      <c r="AL13243" s="6"/>
    </row>
    <row r="13244" spans="38:38" x14ac:dyDescent="0.25">
      <c r="AL13244" s="6"/>
    </row>
    <row r="13245" spans="38:38" x14ac:dyDescent="0.25">
      <c r="AL13245" s="6"/>
    </row>
    <row r="13246" spans="38:38" x14ac:dyDescent="0.25">
      <c r="AL13246" s="6"/>
    </row>
    <row r="13247" spans="38:38" x14ac:dyDescent="0.25">
      <c r="AL13247" s="6"/>
    </row>
    <row r="13248" spans="38:38" x14ac:dyDescent="0.25">
      <c r="AL13248" s="6"/>
    </row>
    <row r="13249" spans="38:38" x14ac:dyDescent="0.25">
      <c r="AL13249" s="6"/>
    </row>
    <row r="13250" spans="38:38" x14ac:dyDescent="0.25">
      <c r="AL13250" s="6"/>
    </row>
    <row r="13251" spans="38:38" x14ac:dyDescent="0.25">
      <c r="AL13251" s="6"/>
    </row>
    <row r="13252" spans="38:38" x14ac:dyDescent="0.25">
      <c r="AL13252" s="6"/>
    </row>
    <row r="13253" spans="38:38" x14ac:dyDescent="0.25">
      <c r="AL13253" s="6"/>
    </row>
    <row r="13254" spans="38:38" x14ac:dyDescent="0.25">
      <c r="AL13254" s="6"/>
    </row>
    <row r="13255" spans="38:38" x14ac:dyDescent="0.25">
      <c r="AL13255" s="6"/>
    </row>
    <row r="13256" spans="38:38" x14ac:dyDescent="0.25">
      <c r="AL13256" s="6"/>
    </row>
    <row r="13257" spans="38:38" x14ac:dyDescent="0.25">
      <c r="AL13257" s="6"/>
    </row>
    <row r="13258" spans="38:38" x14ac:dyDescent="0.25">
      <c r="AL13258" s="6"/>
    </row>
    <row r="13259" spans="38:38" x14ac:dyDescent="0.25">
      <c r="AL13259" s="6"/>
    </row>
    <row r="13260" spans="38:38" x14ac:dyDescent="0.25">
      <c r="AL13260" s="6"/>
    </row>
    <row r="13261" spans="38:38" x14ac:dyDescent="0.25">
      <c r="AL13261" s="6"/>
    </row>
    <row r="13262" spans="38:38" x14ac:dyDescent="0.25">
      <c r="AL13262" s="6"/>
    </row>
    <row r="13263" spans="38:38" x14ac:dyDescent="0.25">
      <c r="AL13263" s="6"/>
    </row>
    <row r="13264" spans="38:38" x14ac:dyDescent="0.25">
      <c r="AL13264" s="6"/>
    </row>
    <row r="13265" spans="38:38" x14ac:dyDescent="0.25">
      <c r="AL13265" s="6"/>
    </row>
    <row r="13266" spans="38:38" x14ac:dyDescent="0.25">
      <c r="AL13266" s="6"/>
    </row>
    <row r="13267" spans="38:38" x14ac:dyDescent="0.25">
      <c r="AL13267" s="6"/>
    </row>
    <row r="13268" spans="38:38" x14ac:dyDescent="0.25">
      <c r="AL13268" s="6"/>
    </row>
    <row r="13269" spans="38:38" x14ac:dyDescent="0.25">
      <c r="AL13269" s="6"/>
    </row>
    <row r="13270" spans="38:38" x14ac:dyDescent="0.25">
      <c r="AL13270" s="6"/>
    </row>
    <row r="13271" spans="38:38" x14ac:dyDescent="0.25">
      <c r="AL13271" s="6"/>
    </row>
    <row r="13272" spans="38:38" x14ac:dyDescent="0.25">
      <c r="AL13272" s="6"/>
    </row>
    <row r="13273" spans="38:38" x14ac:dyDescent="0.25">
      <c r="AL13273" s="6"/>
    </row>
    <row r="13274" spans="38:38" x14ac:dyDescent="0.25">
      <c r="AL13274" s="6"/>
    </row>
    <row r="13275" spans="38:38" x14ac:dyDescent="0.25">
      <c r="AL13275" s="6"/>
    </row>
    <row r="13276" spans="38:38" x14ac:dyDescent="0.25">
      <c r="AL13276" s="6"/>
    </row>
    <row r="13277" spans="38:38" x14ac:dyDescent="0.25">
      <c r="AL13277" s="6"/>
    </row>
    <row r="13278" spans="38:38" x14ac:dyDescent="0.25">
      <c r="AL13278" s="6"/>
    </row>
    <row r="13279" spans="38:38" x14ac:dyDescent="0.25">
      <c r="AL13279" s="6"/>
    </row>
    <row r="13280" spans="38:38" x14ac:dyDescent="0.25">
      <c r="AL13280" s="6"/>
    </row>
    <row r="13281" spans="38:38" x14ac:dyDescent="0.25">
      <c r="AL13281" s="6"/>
    </row>
    <row r="13282" spans="38:38" x14ac:dyDescent="0.25">
      <c r="AL13282" s="6"/>
    </row>
    <row r="13283" spans="38:38" x14ac:dyDescent="0.25">
      <c r="AL13283" s="6"/>
    </row>
    <row r="13284" spans="38:38" x14ac:dyDescent="0.25">
      <c r="AL13284" s="6"/>
    </row>
    <row r="13285" spans="38:38" x14ac:dyDescent="0.25">
      <c r="AL13285" s="6"/>
    </row>
    <row r="13286" spans="38:38" x14ac:dyDescent="0.25">
      <c r="AL13286" s="6"/>
    </row>
    <row r="13287" spans="38:38" x14ac:dyDescent="0.25">
      <c r="AL13287" s="6"/>
    </row>
    <row r="13288" spans="38:38" x14ac:dyDescent="0.25">
      <c r="AL13288" s="6"/>
    </row>
    <row r="13289" spans="38:38" x14ac:dyDescent="0.25">
      <c r="AL13289" s="6"/>
    </row>
    <row r="13290" spans="38:38" x14ac:dyDescent="0.25">
      <c r="AL13290" s="6"/>
    </row>
    <row r="13291" spans="38:38" x14ac:dyDescent="0.25">
      <c r="AL13291" s="6"/>
    </row>
    <row r="13292" spans="38:38" x14ac:dyDescent="0.25">
      <c r="AL13292" s="6"/>
    </row>
    <row r="13293" spans="38:38" x14ac:dyDescent="0.25">
      <c r="AL13293" s="6"/>
    </row>
    <row r="13294" spans="38:38" x14ac:dyDescent="0.25">
      <c r="AL13294" s="6"/>
    </row>
    <row r="13295" spans="38:38" x14ac:dyDescent="0.25">
      <c r="AL13295" s="6"/>
    </row>
    <row r="13296" spans="38:38" x14ac:dyDescent="0.25">
      <c r="AL13296" s="6"/>
    </row>
    <row r="13297" spans="38:38" x14ac:dyDescent="0.25">
      <c r="AL13297" s="6"/>
    </row>
    <row r="13298" spans="38:38" x14ac:dyDescent="0.25">
      <c r="AL13298" s="6"/>
    </row>
    <row r="13299" spans="38:38" x14ac:dyDescent="0.25">
      <c r="AL13299" s="6"/>
    </row>
    <row r="13300" spans="38:38" x14ac:dyDescent="0.25">
      <c r="AL13300" s="6"/>
    </row>
    <row r="13301" spans="38:38" x14ac:dyDescent="0.25">
      <c r="AL13301" s="6"/>
    </row>
    <row r="13302" spans="38:38" x14ac:dyDescent="0.25">
      <c r="AL13302" s="6"/>
    </row>
    <row r="13303" spans="38:38" x14ac:dyDescent="0.25">
      <c r="AL13303" s="6"/>
    </row>
    <row r="13304" spans="38:38" x14ac:dyDescent="0.25">
      <c r="AL13304" s="6"/>
    </row>
    <row r="13305" spans="38:38" x14ac:dyDescent="0.25">
      <c r="AL13305" s="6"/>
    </row>
    <row r="13306" spans="38:38" x14ac:dyDescent="0.25">
      <c r="AL13306" s="6"/>
    </row>
    <row r="13307" spans="38:38" x14ac:dyDescent="0.25">
      <c r="AL13307" s="6"/>
    </row>
    <row r="13308" spans="38:38" x14ac:dyDescent="0.25">
      <c r="AL13308" s="6"/>
    </row>
    <row r="13309" spans="38:38" x14ac:dyDescent="0.25">
      <c r="AL13309" s="6"/>
    </row>
    <row r="13310" spans="38:38" x14ac:dyDescent="0.25">
      <c r="AL13310" s="6"/>
    </row>
    <row r="13311" spans="38:38" x14ac:dyDescent="0.25">
      <c r="AL13311" s="6"/>
    </row>
    <row r="13312" spans="38:38" x14ac:dyDescent="0.25">
      <c r="AL13312" s="6"/>
    </row>
    <row r="13313" spans="38:38" x14ac:dyDescent="0.25">
      <c r="AL13313" s="6"/>
    </row>
    <row r="13314" spans="38:38" x14ac:dyDescent="0.25">
      <c r="AL13314" s="6"/>
    </row>
    <row r="13315" spans="38:38" x14ac:dyDescent="0.25">
      <c r="AL13315" s="6"/>
    </row>
    <row r="13316" spans="38:38" x14ac:dyDescent="0.25">
      <c r="AL13316" s="6"/>
    </row>
    <row r="13317" spans="38:38" x14ac:dyDescent="0.25">
      <c r="AL13317" s="6"/>
    </row>
    <row r="13318" spans="38:38" x14ac:dyDescent="0.25">
      <c r="AL13318" s="6"/>
    </row>
    <row r="13319" spans="38:38" x14ac:dyDescent="0.25">
      <c r="AL13319" s="6"/>
    </row>
    <row r="13320" spans="38:38" x14ac:dyDescent="0.25">
      <c r="AL13320" s="6"/>
    </row>
    <row r="13321" spans="38:38" x14ac:dyDescent="0.25">
      <c r="AL13321" s="6"/>
    </row>
    <row r="13322" spans="38:38" x14ac:dyDescent="0.25">
      <c r="AL13322" s="6"/>
    </row>
    <row r="13323" spans="38:38" x14ac:dyDescent="0.25">
      <c r="AL13323" s="6"/>
    </row>
    <row r="13324" spans="38:38" x14ac:dyDescent="0.25">
      <c r="AL13324" s="6"/>
    </row>
    <row r="13325" spans="38:38" x14ac:dyDescent="0.25">
      <c r="AL13325" s="6"/>
    </row>
    <row r="13326" spans="38:38" x14ac:dyDescent="0.25">
      <c r="AL13326" s="6"/>
    </row>
    <row r="13327" spans="38:38" x14ac:dyDescent="0.25">
      <c r="AL13327" s="6"/>
    </row>
    <row r="13328" spans="38:38" x14ac:dyDescent="0.25">
      <c r="AL13328" s="6"/>
    </row>
    <row r="13329" spans="38:38" x14ac:dyDescent="0.25">
      <c r="AL13329" s="6"/>
    </row>
    <row r="13330" spans="38:38" x14ac:dyDescent="0.25">
      <c r="AL13330" s="6"/>
    </row>
    <row r="13331" spans="38:38" x14ac:dyDescent="0.25">
      <c r="AL13331" s="6"/>
    </row>
    <row r="13332" spans="38:38" x14ac:dyDescent="0.25">
      <c r="AL13332" s="6"/>
    </row>
    <row r="13333" spans="38:38" x14ac:dyDescent="0.25">
      <c r="AL13333" s="6"/>
    </row>
    <row r="13334" spans="38:38" x14ac:dyDescent="0.25">
      <c r="AL13334" s="6"/>
    </row>
    <row r="13335" spans="38:38" x14ac:dyDescent="0.25">
      <c r="AL13335" s="6"/>
    </row>
    <row r="13336" spans="38:38" x14ac:dyDescent="0.25">
      <c r="AL13336" s="6"/>
    </row>
    <row r="13337" spans="38:38" x14ac:dyDescent="0.25">
      <c r="AL13337" s="6"/>
    </row>
    <row r="13338" spans="38:38" x14ac:dyDescent="0.25">
      <c r="AL13338" s="6"/>
    </row>
    <row r="13339" spans="38:38" x14ac:dyDescent="0.25">
      <c r="AL13339" s="6"/>
    </row>
    <row r="13340" spans="38:38" x14ac:dyDescent="0.25">
      <c r="AL13340" s="6"/>
    </row>
    <row r="13341" spans="38:38" x14ac:dyDescent="0.25">
      <c r="AL13341" s="6"/>
    </row>
    <row r="13342" spans="38:38" x14ac:dyDescent="0.25">
      <c r="AL13342" s="6"/>
    </row>
    <row r="13343" spans="38:38" x14ac:dyDescent="0.25">
      <c r="AL13343" s="6"/>
    </row>
    <row r="13344" spans="38:38" x14ac:dyDescent="0.25">
      <c r="AL13344" s="6"/>
    </row>
    <row r="13345" spans="38:38" x14ac:dyDescent="0.25">
      <c r="AL13345" s="6"/>
    </row>
    <row r="13346" spans="38:38" x14ac:dyDescent="0.25">
      <c r="AL13346" s="6"/>
    </row>
    <row r="13347" spans="38:38" x14ac:dyDescent="0.25">
      <c r="AL13347" s="6"/>
    </row>
    <row r="13348" spans="38:38" x14ac:dyDescent="0.25">
      <c r="AL13348" s="6"/>
    </row>
    <row r="13349" spans="38:38" x14ac:dyDescent="0.25">
      <c r="AL13349" s="6"/>
    </row>
    <row r="13350" spans="38:38" x14ac:dyDescent="0.25">
      <c r="AL13350" s="6"/>
    </row>
    <row r="13351" spans="38:38" x14ac:dyDescent="0.25">
      <c r="AL13351" s="6"/>
    </row>
    <row r="13352" spans="38:38" x14ac:dyDescent="0.25">
      <c r="AL13352" s="6"/>
    </row>
    <row r="13353" spans="38:38" x14ac:dyDescent="0.25">
      <c r="AL13353" s="6"/>
    </row>
    <row r="13354" spans="38:38" x14ac:dyDescent="0.25">
      <c r="AL13354" s="6"/>
    </row>
    <row r="13355" spans="38:38" x14ac:dyDescent="0.25">
      <c r="AL13355" s="6"/>
    </row>
    <row r="13356" spans="38:38" x14ac:dyDescent="0.25">
      <c r="AL13356" s="6"/>
    </row>
    <row r="13357" spans="38:38" x14ac:dyDescent="0.25">
      <c r="AL13357" s="6"/>
    </row>
    <row r="13358" spans="38:38" x14ac:dyDescent="0.25">
      <c r="AL13358" s="6"/>
    </row>
    <row r="13359" spans="38:38" x14ac:dyDescent="0.25">
      <c r="AL13359" s="6"/>
    </row>
    <row r="13360" spans="38:38" x14ac:dyDescent="0.25">
      <c r="AL13360" s="6"/>
    </row>
    <row r="13361" spans="38:38" x14ac:dyDescent="0.25">
      <c r="AL13361" s="6"/>
    </row>
    <row r="13362" spans="38:38" x14ac:dyDescent="0.25">
      <c r="AL13362" s="6"/>
    </row>
    <row r="13363" spans="38:38" x14ac:dyDescent="0.25">
      <c r="AL13363" s="6"/>
    </row>
    <row r="13364" spans="38:38" x14ac:dyDescent="0.25">
      <c r="AL13364" s="6"/>
    </row>
    <row r="13365" spans="38:38" x14ac:dyDescent="0.25">
      <c r="AL13365" s="6"/>
    </row>
    <row r="13366" spans="38:38" x14ac:dyDescent="0.25">
      <c r="AL13366" s="6"/>
    </row>
    <row r="13367" spans="38:38" x14ac:dyDescent="0.25">
      <c r="AL13367" s="6"/>
    </row>
    <row r="13368" spans="38:38" x14ac:dyDescent="0.25">
      <c r="AL13368" s="6"/>
    </row>
    <row r="13369" spans="38:38" x14ac:dyDescent="0.25">
      <c r="AL13369" s="6"/>
    </row>
    <row r="13370" spans="38:38" x14ac:dyDescent="0.25">
      <c r="AL13370" s="6"/>
    </row>
    <row r="13371" spans="38:38" x14ac:dyDescent="0.25">
      <c r="AL13371" s="6"/>
    </row>
    <row r="13372" spans="38:38" x14ac:dyDescent="0.25">
      <c r="AL13372" s="6"/>
    </row>
    <row r="13373" spans="38:38" x14ac:dyDescent="0.25">
      <c r="AL13373" s="6"/>
    </row>
    <row r="13374" spans="38:38" x14ac:dyDescent="0.25">
      <c r="AL13374" s="6"/>
    </row>
    <row r="13375" spans="38:38" x14ac:dyDescent="0.25">
      <c r="AL13375" s="6"/>
    </row>
    <row r="13376" spans="38:38" x14ac:dyDescent="0.25">
      <c r="AL13376" s="6"/>
    </row>
    <row r="13377" spans="38:38" x14ac:dyDescent="0.25">
      <c r="AL13377" s="6"/>
    </row>
    <row r="13378" spans="38:38" x14ac:dyDescent="0.25">
      <c r="AL13378" s="6"/>
    </row>
    <row r="13379" spans="38:38" x14ac:dyDescent="0.25">
      <c r="AL13379" s="6"/>
    </row>
    <row r="13380" spans="38:38" x14ac:dyDescent="0.25">
      <c r="AL13380" s="6"/>
    </row>
    <row r="13381" spans="38:38" x14ac:dyDescent="0.25">
      <c r="AL13381" s="6"/>
    </row>
    <row r="13382" spans="38:38" x14ac:dyDescent="0.25">
      <c r="AL13382" s="6"/>
    </row>
    <row r="13383" spans="38:38" x14ac:dyDescent="0.25">
      <c r="AL13383" s="6"/>
    </row>
    <row r="13384" spans="38:38" x14ac:dyDescent="0.25">
      <c r="AL13384" s="6"/>
    </row>
    <row r="13385" spans="38:38" x14ac:dyDescent="0.25">
      <c r="AL13385" s="6"/>
    </row>
    <row r="13386" spans="38:38" x14ac:dyDescent="0.25">
      <c r="AL13386" s="6"/>
    </row>
    <row r="13387" spans="38:38" x14ac:dyDescent="0.25">
      <c r="AL13387" s="6"/>
    </row>
    <row r="13388" spans="38:38" x14ac:dyDescent="0.25">
      <c r="AL13388" s="6"/>
    </row>
    <row r="13389" spans="38:38" x14ac:dyDescent="0.25">
      <c r="AL13389" s="6"/>
    </row>
    <row r="13390" spans="38:38" x14ac:dyDescent="0.25">
      <c r="AL13390" s="6"/>
    </row>
    <row r="13391" spans="38:38" x14ac:dyDescent="0.25">
      <c r="AL13391" s="6"/>
    </row>
    <row r="13392" spans="38:38" x14ac:dyDescent="0.25">
      <c r="AL13392" s="6"/>
    </row>
    <row r="13393" spans="38:38" x14ac:dyDescent="0.25">
      <c r="AL13393" s="6"/>
    </row>
    <row r="13394" spans="38:38" x14ac:dyDescent="0.25">
      <c r="AL13394" s="6"/>
    </row>
    <row r="13395" spans="38:38" x14ac:dyDescent="0.25">
      <c r="AL13395" s="6"/>
    </row>
    <row r="13396" spans="38:38" x14ac:dyDescent="0.25">
      <c r="AL13396" s="6"/>
    </row>
    <row r="13397" spans="38:38" x14ac:dyDescent="0.25">
      <c r="AL13397" s="6"/>
    </row>
    <row r="13398" spans="38:38" x14ac:dyDescent="0.25">
      <c r="AL13398" s="6"/>
    </row>
    <row r="13399" spans="38:38" x14ac:dyDescent="0.25">
      <c r="AL13399" s="6"/>
    </row>
    <row r="13400" spans="38:38" x14ac:dyDescent="0.25">
      <c r="AL13400" s="6"/>
    </row>
    <row r="13401" spans="38:38" x14ac:dyDescent="0.25">
      <c r="AL13401" s="6"/>
    </row>
    <row r="13402" spans="38:38" x14ac:dyDescent="0.25">
      <c r="AL13402" s="6"/>
    </row>
    <row r="13403" spans="38:38" x14ac:dyDescent="0.25">
      <c r="AL13403" s="6"/>
    </row>
    <row r="13404" spans="38:38" x14ac:dyDescent="0.25">
      <c r="AL13404" s="6"/>
    </row>
    <row r="13405" spans="38:38" x14ac:dyDescent="0.25">
      <c r="AL13405" s="6"/>
    </row>
    <row r="13406" spans="38:38" x14ac:dyDescent="0.25">
      <c r="AL13406" s="6"/>
    </row>
    <row r="13407" spans="38:38" x14ac:dyDescent="0.25">
      <c r="AL13407" s="6"/>
    </row>
    <row r="13408" spans="38:38" x14ac:dyDescent="0.25">
      <c r="AL13408" s="6"/>
    </row>
    <row r="13409" spans="38:38" x14ac:dyDescent="0.25">
      <c r="AL13409" s="6"/>
    </row>
    <row r="13410" spans="38:38" x14ac:dyDescent="0.25">
      <c r="AL13410" s="6"/>
    </row>
    <row r="13411" spans="38:38" x14ac:dyDescent="0.25">
      <c r="AL13411" s="6"/>
    </row>
    <row r="13412" spans="38:38" x14ac:dyDescent="0.25">
      <c r="AL13412" s="6"/>
    </row>
    <row r="13413" spans="38:38" x14ac:dyDescent="0.25">
      <c r="AL13413" s="6"/>
    </row>
    <row r="13414" spans="38:38" x14ac:dyDescent="0.25">
      <c r="AL13414" s="6"/>
    </row>
    <row r="13415" spans="38:38" x14ac:dyDescent="0.25">
      <c r="AL13415" s="6"/>
    </row>
    <row r="13416" spans="38:38" x14ac:dyDescent="0.25">
      <c r="AL13416" s="6"/>
    </row>
    <row r="13417" spans="38:38" x14ac:dyDescent="0.25">
      <c r="AL13417" s="6"/>
    </row>
    <row r="13418" spans="38:38" x14ac:dyDescent="0.25">
      <c r="AL13418" s="6"/>
    </row>
    <row r="13419" spans="38:38" x14ac:dyDescent="0.25">
      <c r="AL13419" s="6"/>
    </row>
    <row r="13420" spans="38:38" x14ac:dyDescent="0.25">
      <c r="AL13420" s="6"/>
    </row>
    <row r="13421" spans="38:38" x14ac:dyDescent="0.25">
      <c r="AL13421" s="6"/>
    </row>
    <row r="13422" spans="38:38" x14ac:dyDescent="0.25">
      <c r="AL13422" s="6"/>
    </row>
    <row r="13423" spans="38:38" x14ac:dyDescent="0.25">
      <c r="AL13423" s="6"/>
    </row>
    <row r="13424" spans="38:38" x14ac:dyDescent="0.25">
      <c r="AL13424" s="6"/>
    </row>
    <row r="13425" spans="38:38" x14ac:dyDescent="0.25">
      <c r="AL13425" s="6"/>
    </row>
    <row r="13426" spans="38:38" x14ac:dyDescent="0.25">
      <c r="AL13426" s="6"/>
    </row>
    <row r="13427" spans="38:38" x14ac:dyDescent="0.25">
      <c r="AL13427" s="6"/>
    </row>
    <row r="13428" spans="38:38" x14ac:dyDescent="0.25">
      <c r="AL13428" s="6"/>
    </row>
    <row r="13429" spans="38:38" x14ac:dyDescent="0.25">
      <c r="AL13429" s="6"/>
    </row>
    <row r="13430" spans="38:38" x14ac:dyDescent="0.25">
      <c r="AL13430" s="6"/>
    </row>
    <row r="13431" spans="38:38" x14ac:dyDescent="0.25">
      <c r="AL13431" s="6"/>
    </row>
    <row r="13432" spans="38:38" x14ac:dyDescent="0.25">
      <c r="AL13432" s="6"/>
    </row>
    <row r="13433" spans="38:38" x14ac:dyDescent="0.25">
      <c r="AL13433" s="6"/>
    </row>
    <row r="13434" spans="38:38" x14ac:dyDescent="0.25">
      <c r="AL13434" s="6"/>
    </row>
    <row r="13435" spans="38:38" x14ac:dyDescent="0.25">
      <c r="AL13435" s="6"/>
    </row>
    <row r="13436" spans="38:38" x14ac:dyDescent="0.25">
      <c r="AL13436" s="6"/>
    </row>
    <row r="13437" spans="38:38" x14ac:dyDescent="0.25">
      <c r="AL13437" s="6"/>
    </row>
    <row r="13438" spans="38:38" x14ac:dyDescent="0.25">
      <c r="AL13438" s="6"/>
    </row>
    <row r="13439" spans="38:38" x14ac:dyDescent="0.25">
      <c r="AL13439" s="6"/>
    </row>
    <row r="13440" spans="38:38" x14ac:dyDescent="0.25">
      <c r="AL13440" s="6"/>
    </row>
    <row r="13441" spans="38:38" x14ac:dyDescent="0.25">
      <c r="AL13441" s="6"/>
    </row>
    <row r="13442" spans="38:38" x14ac:dyDescent="0.25">
      <c r="AL13442" s="6"/>
    </row>
    <row r="13443" spans="38:38" x14ac:dyDescent="0.25">
      <c r="AL13443" s="6"/>
    </row>
    <row r="13444" spans="38:38" x14ac:dyDescent="0.25">
      <c r="AL13444" s="6"/>
    </row>
    <row r="13445" spans="38:38" x14ac:dyDescent="0.25">
      <c r="AL13445" s="6"/>
    </row>
    <row r="13446" spans="38:38" x14ac:dyDescent="0.25">
      <c r="AL13446" s="6"/>
    </row>
    <row r="13447" spans="38:38" x14ac:dyDescent="0.25">
      <c r="AL13447" s="6"/>
    </row>
    <row r="13448" spans="38:38" x14ac:dyDescent="0.25">
      <c r="AL13448" s="6"/>
    </row>
    <row r="13449" spans="38:38" x14ac:dyDescent="0.25">
      <c r="AL13449" s="6"/>
    </row>
    <row r="13450" spans="38:38" x14ac:dyDescent="0.25">
      <c r="AL13450" s="6"/>
    </row>
    <row r="13451" spans="38:38" x14ac:dyDescent="0.25">
      <c r="AL13451" s="6"/>
    </row>
    <row r="13452" spans="38:38" x14ac:dyDescent="0.25">
      <c r="AL13452" s="6"/>
    </row>
    <row r="13453" spans="38:38" x14ac:dyDescent="0.25">
      <c r="AL13453" s="6"/>
    </row>
    <row r="13454" spans="38:38" x14ac:dyDescent="0.25">
      <c r="AL13454" s="6"/>
    </row>
    <row r="13455" spans="38:38" x14ac:dyDescent="0.25">
      <c r="AL13455" s="6"/>
    </row>
    <row r="13456" spans="38:38" x14ac:dyDescent="0.25">
      <c r="AL13456" s="6"/>
    </row>
    <row r="13457" spans="38:38" x14ac:dyDescent="0.25">
      <c r="AL13457" s="6"/>
    </row>
    <row r="13458" spans="38:38" x14ac:dyDescent="0.25">
      <c r="AL13458" s="6"/>
    </row>
    <row r="13459" spans="38:38" x14ac:dyDescent="0.25">
      <c r="AL13459" s="6"/>
    </row>
    <row r="13460" spans="38:38" x14ac:dyDescent="0.25">
      <c r="AL13460" s="6"/>
    </row>
    <row r="13461" spans="38:38" x14ac:dyDescent="0.25">
      <c r="AL13461" s="6"/>
    </row>
    <row r="13462" spans="38:38" x14ac:dyDescent="0.25">
      <c r="AL13462" s="6"/>
    </row>
    <row r="13463" spans="38:38" x14ac:dyDescent="0.25">
      <c r="AL13463" s="6"/>
    </row>
    <row r="13464" spans="38:38" x14ac:dyDescent="0.25">
      <c r="AL13464" s="6"/>
    </row>
    <row r="13465" spans="38:38" x14ac:dyDescent="0.25">
      <c r="AL13465" s="6"/>
    </row>
    <row r="13466" spans="38:38" x14ac:dyDescent="0.25">
      <c r="AL13466" s="6"/>
    </row>
    <row r="13467" spans="38:38" x14ac:dyDescent="0.25">
      <c r="AL13467" s="6"/>
    </row>
    <row r="13468" spans="38:38" x14ac:dyDescent="0.25">
      <c r="AL13468" s="6"/>
    </row>
    <row r="13469" spans="38:38" x14ac:dyDescent="0.25">
      <c r="AL13469" s="6"/>
    </row>
    <row r="13470" spans="38:38" x14ac:dyDescent="0.25">
      <c r="AL13470" s="6"/>
    </row>
    <row r="13471" spans="38:38" x14ac:dyDescent="0.25">
      <c r="AL13471" s="6"/>
    </row>
    <row r="13472" spans="38:38" x14ac:dyDescent="0.25">
      <c r="AL13472" s="6"/>
    </row>
    <row r="13473" spans="38:38" x14ac:dyDescent="0.25">
      <c r="AL13473" s="6"/>
    </row>
    <row r="13474" spans="38:38" x14ac:dyDescent="0.25">
      <c r="AL13474" s="6"/>
    </row>
    <row r="13475" spans="38:38" x14ac:dyDescent="0.25">
      <c r="AL13475" s="6"/>
    </row>
    <row r="13476" spans="38:38" x14ac:dyDescent="0.25">
      <c r="AL13476" s="6"/>
    </row>
    <row r="13477" spans="38:38" x14ac:dyDescent="0.25">
      <c r="AL13477" s="6"/>
    </row>
    <row r="13478" spans="38:38" x14ac:dyDescent="0.25">
      <c r="AL13478" s="6"/>
    </row>
    <row r="13479" spans="38:38" x14ac:dyDescent="0.25">
      <c r="AL13479" s="6"/>
    </row>
    <row r="13480" spans="38:38" x14ac:dyDescent="0.25">
      <c r="AL13480" s="6"/>
    </row>
    <row r="13481" spans="38:38" x14ac:dyDescent="0.25">
      <c r="AL13481" s="6"/>
    </row>
    <row r="13482" spans="38:38" x14ac:dyDescent="0.25">
      <c r="AL13482" s="6"/>
    </row>
    <row r="13483" spans="38:38" x14ac:dyDescent="0.25">
      <c r="AL13483" s="6"/>
    </row>
    <row r="13484" spans="38:38" x14ac:dyDescent="0.25">
      <c r="AL13484" s="6"/>
    </row>
    <row r="13485" spans="38:38" x14ac:dyDescent="0.25">
      <c r="AL13485" s="6"/>
    </row>
    <row r="13486" spans="38:38" x14ac:dyDescent="0.25">
      <c r="AL13486" s="6"/>
    </row>
    <row r="13487" spans="38:38" x14ac:dyDescent="0.25">
      <c r="AL13487" s="6"/>
    </row>
    <row r="13488" spans="38:38" x14ac:dyDescent="0.25">
      <c r="AL13488" s="6"/>
    </row>
    <row r="13489" spans="38:38" x14ac:dyDescent="0.25">
      <c r="AL13489" s="6"/>
    </row>
    <row r="13490" spans="38:38" x14ac:dyDescent="0.25">
      <c r="AL13490" s="6"/>
    </row>
    <row r="13491" spans="38:38" x14ac:dyDescent="0.25">
      <c r="AL13491" s="6"/>
    </row>
    <row r="13492" spans="38:38" x14ac:dyDescent="0.25">
      <c r="AL13492" s="6"/>
    </row>
    <row r="13493" spans="38:38" x14ac:dyDescent="0.25">
      <c r="AL13493" s="6"/>
    </row>
    <row r="13494" spans="38:38" x14ac:dyDescent="0.25">
      <c r="AL13494" s="6"/>
    </row>
    <row r="13495" spans="38:38" x14ac:dyDescent="0.25">
      <c r="AL13495" s="6"/>
    </row>
    <row r="13496" spans="38:38" x14ac:dyDescent="0.25">
      <c r="AL13496" s="6"/>
    </row>
    <row r="13497" spans="38:38" x14ac:dyDescent="0.25">
      <c r="AL13497" s="6"/>
    </row>
    <row r="13498" spans="38:38" x14ac:dyDescent="0.25">
      <c r="AL13498" s="6"/>
    </row>
    <row r="13499" spans="38:38" x14ac:dyDescent="0.25">
      <c r="AL13499" s="6"/>
    </row>
    <row r="13500" spans="38:38" x14ac:dyDescent="0.25">
      <c r="AL13500" s="6"/>
    </row>
    <row r="13501" spans="38:38" x14ac:dyDescent="0.25">
      <c r="AL13501" s="6"/>
    </row>
    <row r="13502" spans="38:38" x14ac:dyDescent="0.25">
      <c r="AL13502" s="6"/>
    </row>
    <row r="13503" spans="38:38" x14ac:dyDescent="0.25">
      <c r="AL13503" s="6"/>
    </row>
    <row r="13504" spans="38:38" x14ac:dyDescent="0.25">
      <c r="AL13504" s="6"/>
    </row>
    <row r="13505" spans="38:38" x14ac:dyDescent="0.25">
      <c r="AL13505" s="6"/>
    </row>
    <row r="13506" spans="38:38" x14ac:dyDescent="0.25">
      <c r="AL13506" s="6"/>
    </row>
    <row r="13507" spans="38:38" x14ac:dyDescent="0.25">
      <c r="AL13507" s="6"/>
    </row>
    <row r="13508" spans="38:38" x14ac:dyDescent="0.25">
      <c r="AL13508" s="6"/>
    </row>
    <row r="13509" spans="38:38" x14ac:dyDescent="0.25">
      <c r="AL13509" s="6"/>
    </row>
    <row r="13510" spans="38:38" x14ac:dyDescent="0.25">
      <c r="AL13510" s="6"/>
    </row>
    <row r="13511" spans="38:38" x14ac:dyDescent="0.25">
      <c r="AL13511" s="6"/>
    </row>
    <row r="13512" spans="38:38" x14ac:dyDescent="0.25">
      <c r="AL13512" s="6"/>
    </row>
    <row r="13513" spans="38:38" x14ac:dyDescent="0.25">
      <c r="AL13513" s="6"/>
    </row>
    <row r="13514" spans="38:38" x14ac:dyDescent="0.25">
      <c r="AL13514" s="6"/>
    </row>
    <row r="13515" spans="38:38" x14ac:dyDescent="0.25">
      <c r="AL13515" s="6"/>
    </row>
    <row r="13516" spans="38:38" x14ac:dyDescent="0.25">
      <c r="AL13516" s="6"/>
    </row>
    <row r="13517" spans="38:38" x14ac:dyDescent="0.25">
      <c r="AL13517" s="6"/>
    </row>
    <row r="13518" spans="38:38" x14ac:dyDescent="0.25">
      <c r="AL13518" s="6"/>
    </row>
    <row r="13519" spans="38:38" x14ac:dyDescent="0.25">
      <c r="AL13519" s="6"/>
    </row>
    <row r="13520" spans="38:38" x14ac:dyDescent="0.25">
      <c r="AL13520" s="6"/>
    </row>
    <row r="13521" spans="38:38" x14ac:dyDescent="0.25">
      <c r="AL13521" s="6"/>
    </row>
    <row r="13522" spans="38:38" x14ac:dyDescent="0.25">
      <c r="AL13522" s="6"/>
    </row>
    <row r="13523" spans="38:38" x14ac:dyDescent="0.25">
      <c r="AL13523" s="6"/>
    </row>
    <row r="13524" spans="38:38" x14ac:dyDescent="0.25">
      <c r="AL13524" s="6"/>
    </row>
    <row r="13525" spans="38:38" x14ac:dyDescent="0.25">
      <c r="AL13525" s="6"/>
    </row>
    <row r="13526" spans="38:38" x14ac:dyDescent="0.25">
      <c r="AL13526" s="6"/>
    </row>
    <row r="13527" spans="38:38" x14ac:dyDescent="0.25">
      <c r="AL13527" s="6"/>
    </row>
    <row r="13528" spans="38:38" x14ac:dyDescent="0.25">
      <c r="AL13528" s="6"/>
    </row>
    <row r="13529" spans="38:38" x14ac:dyDescent="0.25">
      <c r="AL13529" s="6"/>
    </row>
    <row r="13530" spans="38:38" x14ac:dyDescent="0.25">
      <c r="AL13530" s="6"/>
    </row>
    <row r="13531" spans="38:38" x14ac:dyDescent="0.25">
      <c r="AL13531" s="6"/>
    </row>
    <row r="13532" spans="38:38" x14ac:dyDescent="0.25">
      <c r="AL13532" s="6"/>
    </row>
    <row r="13533" spans="38:38" x14ac:dyDescent="0.25">
      <c r="AL13533" s="6"/>
    </row>
    <row r="13534" spans="38:38" x14ac:dyDescent="0.25">
      <c r="AL13534" s="6"/>
    </row>
    <row r="13535" spans="38:38" x14ac:dyDescent="0.25">
      <c r="AL13535" s="6"/>
    </row>
    <row r="13536" spans="38:38" x14ac:dyDescent="0.25">
      <c r="AL13536" s="6"/>
    </row>
    <row r="13537" spans="38:38" x14ac:dyDescent="0.25">
      <c r="AL13537" s="6"/>
    </row>
    <row r="13538" spans="38:38" x14ac:dyDescent="0.25">
      <c r="AL13538" s="6"/>
    </row>
    <row r="13539" spans="38:38" x14ac:dyDescent="0.25">
      <c r="AL13539" s="6"/>
    </row>
    <row r="13540" spans="38:38" x14ac:dyDescent="0.25">
      <c r="AL13540" s="6"/>
    </row>
    <row r="13541" spans="38:38" x14ac:dyDescent="0.25">
      <c r="AL13541" s="6"/>
    </row>
    <row r="13542" spans="38:38" x14ac:dyDescent="0.25">
      <c r="AL13542" s="6"/>
    </row>
    <row r="13543" spans="38:38" x14ac:dyDescent="0.25">
      <c r="AL13543" s="6"/>
    </row>
    <row r="13544" spans="38:38" x14ac:dyDescent="0.25">
      <c r="AL13544" s="6"/>
    </row>
    <row r="13545" spans="38:38" x14ac:dyDescent="0.25">
      <c r="AL13545" s="6"/>
    </row>
    <row r="13546" spans="38:38" x14ac:dyDescent="0.25">
      <c r="AL13546" s="6"/>
    </row>
    <row r="13547" spans="38:38" x14ac:dyDescent="0.25">
      <c r="AL13547" s="6"/>
    </row>
    <row r="13548" spans="38:38" x14ac:dyDescent="0.25">
      <c r="AL13548" s="6"/>
    </row>
    <row r="13549" spans="38:38" x14ac:dyDescent="0.25">
      <c r="AL13549" s="6"/>
    </row>
    <row r="13550" spans="38:38" x14ac:dyDescent="0.25">
      <c r="AL13550" s="6"/>
    </row>
    <row r="13551" spans="38:38" x14ac:dyDescent="0.25">
      <c r="AL13551" s="6"/>
    </row>
    <row r="13552" spans="38:38" x14ac:dyDescent="0.25">
      <c r="AL13552" s="6"/>
    </row>
    <row r="13553" spans="38:38" x14ac:dyDescent="0.25">
      <c r="AL13553" s="6"/>
    </row>
    <row r="13554" spans="38:38" x14ac:dyDescent="0.25">
      <c r="AL13554" s="6"/>
    </row>
    <row r="13555" spans="38:38" x14ac:dyDescent="0.25">
      <c r="AL13555" s="6"/>
    </row>
    <row r="13556" spans="38:38" x14ac:dyDescent="0.25">
      <c r="AL13556" s="6"/>
    </row>
    <row r="13557" spans="38:38" x14ac:dyDescent="0.25">
      <c r="AL13557" s="6"/>
    </row>
    <row r="13558" spans="38:38" x14ac:dyDescent="0.25">
      <c r="AL13558" s="6"/>
    </row>
    <row r="13559" spans="38:38" x14ac:dyDescent="0.25">
      <c r="AL13559" s="6"/>
    </row>
    <row r="13560" spans="38:38" x14ac:dyDescent="0.25">
      <c r="AL13560" s="6"/>
    </row>
    <row r="13561" spans="38:38" x14ac:dyDescent="0.25">
      <c r="AL13561" s="6"/>
    </row>
    <row r="13562" spans="38:38" x14ac:dyDescent="0.25">
      <c r="AL13562" s="6"/>
    </row>
    <row r="13563" spans="38:38" x14ac:dyDescent="0.25">
      <c r="AL13563" s="6"/>
    </row>
    <row r="13564" spans="38:38" x14ac:dyDescent="0.25">
      <c r="AL13564" s="6"/>
    </row>
    <row r="13565" spans="38:38" x14ac:dyDescent="0.25">
      <c r="AL13565" s="6"/>
    </row>
    <row r="13566" spans="38:38" x14ac:dyDescent="0.25">
      <c r="AL13566" s="6"/>
    </row>
    <row r="13567" spans="38:38" x14ac:dyDescent="0.25">
      <c r="AL13567" s="6"/>
    </row>
    <row r="13568" spans="38:38" x14ac:dyDescent="0.25">
      <c r="AL13568" s="6"/>
    </row>
    <row r="13569" spans="38:38" x14ac:dyDescent="0.25">
      <c r="AL13569" s="6"/>
    </row>
    <row r="13570" spans="38:38" x14ac:dyDescent="0.25">
      <c r="AL13570" s="6"/>
    </row>
    <row r="13571" spans="38:38" x14ac:dyDescent="0.25">
      <c r="AL13571" s="6"/>
    </row>
    <row r="13572" spans="38:38" x14ac:dyDescent="0.25">
      <c r="AL13572" s="6"/>
    </row>
    <row r="13573" spans="38:38" x14ac:dyDescent="0.25">
      <c r="AL13573" s="6"/>
    </row>
    <row r="13574" spans="38:38" x14ac:dyDescent="0.25">
      <c r="AL13574" s="6"/>
    </row>
    <row r="13575" spans="38:38" x14ac:dyDescent="0.25">
      <c r="AL13575" s="6"/>
    </row>
    <row r="13576" spans="38:38" x14ac:dyDescent="0.25">
      <c r="AL13576" s="6"/>
    </row>
    <row r="13577" spans="38:38" x14ac:dyDescent="0.25">
      <c r="AL13577" s="6"/>
    </row>
    <row r="13578" spans="38:38" x14ac:dyDescent="0.25">
      <c r="AL13578" s="6"/>
    </row>
    <row r="13579" spans="38:38" x14ac:dyDescent="0.25">
      <c r="AL13579" s="6"/>
    </row>
    <row r="13580" spans="38:38" x14ac:dyDescent="0.25">
      <c r="AL13580" s="6"/>
    </row>
    <row r="13581" spans="38:38" x14ac:dyDescent="0.25">
      <c r="AL13581" s="6"/>
    </row>
    <row r="13582" spans="38:38" x14ac:dyDescent="0.25">
      <c r="AL13582" s="6"/>
    </row>
    <row r="13583" spans="38:38" x14ac:dyDescent="0.25">
      <c r="AL13583" s="6"/>
    </row>
    <row r="13584" spans="38:38" x14ac:dyDescent="0.25">
      <c r="AL13584" s="6"/>
    </row>
    <row r="13585" spans="38:38" x14ac:dyDescent="0.25">
      <c r="AL13585" s="6"/>
    </row>
    <row r="13586" spans="38:38" x14ac:dyDescent="0.25">
      <c r="AL13586" s="6"/>
    </row>
    <row r="13587" spans="38:38" x14ac:dyDescent="0.25">
      <c r="AL13587" s="6"/>
    </row>
    <row r="13588" spans="38:38" x14ac:dyDescent="0.25">
      <c r="AL13588" s="6"/>
    </row>
    <row r="13589" spans="38:38" x14ac:dyDescent="0.25">
      <c r="AL13589" s="6"/>
    </row>
    <row r="13590" spans="38:38" x14ac:dyDescent="0.25">
      <c r="AL13590" s="6"/>
    </row>
    <row r="13591" spans="38:38" x14ac:dyDescent="0.25">
      <c r="AL13591" s="6"/>
    </row>
    <row r="13592" spans="38:38" x14ac:dyDescent="0.25">
      <c r="AL13592" s="6"/>
    </row>
    <row r="13593" spans="38:38" x14ac:dyDescent="0.25">
      <c r="AL13593" s="6"/>
    </row>
    <row r="13594" spans="38:38" x14ac:dyDescent="0.25">
      <c r="AL13594" s="6"/>
    </row>
    <row r="13595" spans="38:38" x14ac:dyDescent="0.25">
      <c r="AL13595" s="6"/>
    </row>
    <row r="13596" spans="38:38" x14ac:dyDescent="0.25">
      <c r="AL13596" s="6"/>
    </row>
    <row r="13597" spans="38:38" x14ac:dyDescent="0.25">
      <c r="AL13597" s="6"/>
    </row>
    <row r="13598" spans="38:38" x14ac:dyDescent="0.25">
      <c r="AL13598" s="6"/>
    </row>
    <row r="13599" spans="38:38" x14ac:dyDescent="0.25">
      <c r="AL13599" s="6"/>
    </row>
    <row r="13600" spans="38:38" x14ac:dyDescent="0.25">
      <c r="AL13600" s="6"/>
    </row>
    <row r="13601" spans="38:38" x14ac:dyDescent="0.25">
      <c r="AL13601" s="6"/>
    </row>
    <row r="13602" spans="38:38" x14ac:dyDescent="0.25">
      <c r="AL13602" s="6"/>
    </row>
    <row r="13603" spans="38:38" x14ac:dyDescent="0.25">
      <c r="AL13603" s="6"/>
    </row>
    <row r="13604" spans="38:38" x14ac:dyDescent="0.25">
      <c r="AL13604" s="6"/>
    </row>
    <row r="13605" spans="38:38" x14ac:dyDescent="0.25">
      <c r="AL13605" s="6"/>
    </row>
    <row r="13606" spans="38:38" x14ac:dyDescent="0.25">
      <c r="AL13606" s="6"/>
    </row>
    <row r="13607" spans="38:38" x14ac:dyDescent="0.25">
      <c r="AL13607" s="6"/>
    </row>
    <row r="13608" spans="38:38" x14ac:dyDescent="0.25">
      <c r="AL13608" s="6"/>
    </row>
    <row r="13609" spans="38:38" x14ac:dyDescent="0.25">
      <c r="AL13609" s="6"/>
    </row>
    <row r="13610" spans="38:38" x14ac:dyDescent="0.25">
      <c r="AL13610" s="6"/>
    </row>
    <row r="13611" spans="38:38" x14ac:dyDescent="0.25">
      <c r="AL13611" s="6"/>
    </row>
    <row r="13612" spans="38:38" x14ac:dyDescent="0.25">
      <c r="AL13612" s="6"/>
    </row>
    <row r="13613" spans="38:38" x14ac:dyDescent="0.25">
      <c r="AL13613" s="6"/>
    </row>
    <row r="13614" spans="38:38" x14ac:dyDescent="0.25">
      <c r="AL13614" s="6"/>
    </row>
    <row r="13615" spans="38:38" x14ac:dyDescent="0.25">
      <c r="AL13615" s="6"/>
    </row>
    <row r="13616" spans="38:38" x14ac:dyDescent="0.25">
      <c r="AL13616" s="6"/>
    </row>
    <row r="13617" spans="38:38" x14ac:dyDescent="0.25">
      <c r="AL13617" s="6"/>
    </row>
    <row r="13618" spans="38:38" x14ac:dyDescent="0.25">
      <c r="AL13618" s="6"/>
    </row>
    <row r="13619" spans="38:38" x14ac:dyDescent="0.25">
      <c r="AL13619" s="6"/>
    </row>
    <row r="13620" spans="38:38" x14ac:dyDescent="0.25">
      <c r="AL13620" s="6"/>
    </row>
    <row r="13621" spans="38:38" x14ac:dyDescent="0.25">
      <c r="AL13621" s="6"/>
    </row>
    <row r="13622" spans="38:38" x14ac:dyDescent="0.25">
      <c r="AL13622" s="6"/>
    </row>
    <row r="13623" spans="38:38" x14ac:dyDescent="0.25">
      <c r="AL13623" s="6"/>
    </row>
    <row r="13624" spans="38:38" x14ac:dyDescent="0.25">
      <c r="AL13624" s="6"/>
    </row>
    <row r="13625" spans="38:38" x14ac:dyDescent="0.25">
      <c r="AL13625" s="6"/>
    </row>
    <row r="13626" spans="38:38" x14ac:dyDescent="0.25">
      <c r="AL13626" s="6"/>
    </row>
    <row r="13627" spans="38:38" x14ac:dyDescent="0.25">
      <c r="AL13627" s="6"/>
    </row>
    <row r="13628" spans="38:38" x14ac:dyDescent="0.25">
      <c r="AL13628" s="6"/>
    </row>
    <row r="13629" spans="38:38" x14ac:dyDescent="0.25">
      <c r="AL13629" s="6"/>
    </row>
    <row r="13630" spans="38:38" x14ac:dyDescent="0.25">
      <c r="AL13630" s="6"/>
    </row>
    <row r="13631" spans="38:38" x14ac:dyDescent="0.25">
      <c r="AL13631" s="6"/>
    </row>
    <row r="13632" spans="38:38" x14ac:dyDescent="0.25">
      <c r="AL13632" s="6"/>
    </row>
    <row r="13633" spans="38:38" x14ac:dyDescent="0.25">
      <c r="AL13633" s="6"/>
    </row>
    <row r="13634" spans="38:38" x14ac:dyDescent="0.25">
      <c r="AL13634" s="6"/>
    </row>
    <row r="13635" spans="38:38" x14ac:dyDescent="0.25">
      <c r="AL13635" s="6"/>
    </row>
    <row r="13636" spans="38:38" x14ac:dyDescent="0.25">
      <c r="AL13636" s="6"/>
    </row>
    <row r="13637" spans="38:38" x14ac:dyDescent="0.25">
      <c r="AL13637" s="6"/>
    </row>
    <row r="13638" spans="38:38" x14ac:dyDescent="0.25">
      <c r="AL13638" s="6"/>
    </row>
    <row r="13639" spans="38:38" x14ac:dyDescent="0.25">
      <c r="AL13639" s="6"/>
    </row>
    <row r="13640" spans="38:38" x14ac:dyDescent="0.25">
      <c r="AL13640" s="6"/>
    </row>
    <row r="13641" spans="38:38" x14ac:dyDescent="0.25">
      <c r="AL13641" s="6"/>
    </row>
    <row r="13642" spans="38:38" x14ac:dyDescent="0.25">
      <c r="AL13642" s="6"/>
    </row>
    <row r="13643" spans="38:38" x14ac:dyDescent="0.25">
      <c r="AL13643" s="6"/>
    </row>
    <row r="13644" spans="38:38" x14ac:dyDescent="0.25">
      <c r="AL13644" s="6"/>
    </row>
    <row r="13645" spans="38:38" x14ac:dyDescent="0.25">
      <c r="AL13645" s="6"/>
    </row>
    <row r="13646" spans="38:38" x14ac:dyDescent="0.25">
      <c r="AL13646" s="6"/>
    </row>
    <row r="13647" spans="38:38" x14ac:dyDescent="0.25">
      <c r="AL13647" s="6"/>
    </row>
    <row r="13648" spans="38:38" x14ac:dyDescent="0.25">
      <c r="AL13648" s="6"/>
    </row>
    <row r="13649" spans="38:38" x14ac:dyDescent="0.25">
      <c r="AL13649" s="6"/>
    </row>
    <row r="13650" spans="38:38" x14ac:dyDescent="0.25">
      <c r="AL13650" s="6"/>
    </row>
    <row r="13651" spans="38:38" x14ac:dyDescent="0.25">
      <c r="AL13651" s="6"/>
    </row>
    <row r="13652" spans="38:38" x14ac:dyDescent="0.25">
      <c r="AL13652" s="6"/>
    </row>
    <row r="13653" spans="38:38" x14ac:dyDescent="0.25">
      <c r="AL13653" s="6"/>
    </row>
    <row r="13654" spans="38:38" x14ac:dyDescent="0.25">
      <c r="AL13654" s="6"/>
    </row>
    <row r="13655" spans="38:38" x14ac:dyDescent="0.25">
      <c r="AL13655" s="6"/>
    </row>
    <row r="13656" spans="38:38" x14ac:dyDescent="0.25">
      <c r="AL13656" s="6"/>
    </row>
    <row r="13657" spans="38:38" x14ac:dyDescent="0.25">
      <c r="AL13657" s="6"/>
    </row>
    <row r="13658" spans="38:38" x14ac:dyDescent="0.25">
      <c r="AL13658" s="6"/>
    </row>
    <row r="13659" spans="38:38" x14ac:dyDescent="0.25">
      <c r="AL13659" s="6"/>
    </row>
    <row r="13660" spans="38:38" x14ac:dyDescent="0.25">
      <c r="AL13660" s="6"/>
    </row>
    <row r="13661" spans="38:38" x14ac:dyDescent="0.25">
      <c r="AL13661" s="6"/>
    </row>
    <row r="13662" spans="38:38" x14ac:dyDescent="0.25">
      <c r="AL13662" s="6"/>
    </row>
    <row r="13663" spans="38:38" x14ac:dyDescent="0.25">
      <c r="AL13663" s="6"/>
    </row>
    <row r="13664" spans="38:38" x14ac:dyDescent="0.25">
      <c r="AL13664" s="6"/>
    </row>
    <row r="13665" spans="38:38" x14ac:dyDescent="0.25">
      <c r="AL13665" s="6"/>
    </row>
    <row r="13666" spans="38:38" x14ac:dyDescent="0.25">
      <c r="AL13666" s="6"/>
    </row>
    <row r="13667" spans="38:38" x14ac:dyDescent="0.25">
      <c r="AL13667" s="6"/>
    </row>
    <row r="13668" spans="38:38" x14ac:dyDescent="0.25">
      <c r="AL13668" s="6"/>
    </row>
    <row r="13669" spans="38:38" x14ac:dyDescent="0.25">
      <c r="AL13669" s="6"/>
    </row>
    <row r="13670" spans="38:38" x14ac:dyDescent="0.25">
      <c r="AL13670" s="6"/>
    </row>
    <row r="13671" spans="38:38" x14ac:dyDescent="0.25">
      <c r="AL13671" s="6"/>
    </row>
    <row r="13672" spans="38:38" x14ac:dyDescent="0.25">
      <c r="AL13672" s="6"/>
    </row>
    <row r="13673" spans="38:38" x14ac:dyDescent="0.25">
      <c r="AL13673" s="6"/>
    </row>
    <row r="13674" spans="38:38" x14ac:dyDescent="0.25">
      <c r="AL13674" s="6"/>
    </row>
    <row r="13675" spans="38:38" x14ac:dyDescent="0.25">
      <c r="AL13675" s="6"/>
    </row>
    <row r="13676" spans="38:38" x14ac:dyDescent="0.25">
      <c r="AL13676" s="6"/>
    </row>
    <row r="13677" spans="38:38" x14ac:dyDescent="0.25">
      <c r="AL13677" s="6"/>
    </row>
    <row r="13678" spans="38:38" x14ac:dyDescent="0.25">
      <c r="AL13678" s="6"/>
    </row>
    <row r="13679" spans="38:38" x14ac:dyDescent="0.25">
      <c r="AL13679" s="6"/>
    </row>
    <row r="13680" spans="38:38" x14ac:dyDescent="0.25">
      <c r="AL13680" s="6"/>
    </row>
    <row r="13681" spans="38:38" x14ac:dyDescent="0.25">
      <c r="AL13681" s="6"/>
    </row>
    <row r="13682" spans="38:38" x14ac:dyDescent="0.25">
      <c r="AL13682" s="6"/>
    </row>
    <row r="13683" spans="38:38" x14ac:dyDescent="0.25">
      <c r="AL13683" s="6"/>
    </row>
    <row r="13684" spans="38:38" x14ac:dyDescent="0.25">
      <c r="AL13684" s="6"/>
    </row>
    <row r="13685" spans="38:38" x14ac:dyDescent="0.25">
      <c r="AL13685" s="6"/>
    </row>
    <row r="13686" spans="38:38" x14ac:dyDescent="0.25">
      <c r="AL13686" s="6"/>
    </row>
    <row r="13687" spans="38:38" x14ac:dyDescent="0.25">
      <c r="AL13687" s="6"/>
    </row>
    <row r="13688" spans="38:38" x14ac:dyDescent="0.25">
      <c r="AL13688" s="6"/>
    </row>
    <row r="13689" spans="38:38" x14ac:dyDescent="0.25">
      <c r="AL13689" s="6"/>
    </row>
    <row r="13690" spans="38:38" x14ac:dyDescent="0.25">
      <c r="AL13690" s="6"/>
    </row>
    <row r="13691" spans="38:38" x14ac:dyDescent="0.25">
      <c r="AL13691" s="6"/>
    </row>
    <row r="13692" spans="38:38" x14ac:dyDescent="0.25">
      <c r="AL13692" s="6"/>
    </row>
    <row r="13693" spans="38:38" x14ac:dyDescent="0.25">
      <c r="AL13693" s="6"/>
    </row>
    <row r="13694" spans="38:38" x14ac:dyDescent="0.25">
      <c r="AL13694" s="6"/>
    </row>
    <row r="13695" spans="38:38" x14ac:dyDescent="0.25">
      <c r="AL13695" s="6"/>
    </row>
    <row r="13696" spans="38:38" x14ac:dyDescent="0.25">
      <c r="AL13696" s="6"/>
    </row>
    <row r="13697" spans="38:38" x14ac:dyDescent="0.25">
      <c r="AL13697" s="6"/>
    </row>
    <row r="13698" spans="38:38" x14ac:dyDescent="0.25">
      <c r="AL13698" s="6"/>
    </row>
    <row r="13699" spans="38:38" x14ac:dyDescent="0.25">
      <c r="AL13699" s="6"/>
    </row>
    <row r="13700" spans="38:38" x14ac:dyDescent="0.25">
      <c r="AL13700" s="6"/>
    </row>
    <row r="13701" spans="38:38" x14ac:dyDescent="0.25">
      <c r="AL13701" s="6"/>
    </row>
    <row r="13702" spans="38:38" x14ac:dyDescent="0.25">
      <c r="AL13702" s="6"/>
    </row>
    <row r="13703" spans="38:38" x14ac:dyDescent="0.25">
      <c r="AL13703" s="6"/>
    </row>
    <row r="13704" spans="38:38" x14ac:dyDescent="0.25">
      <c r="AL13704" s="6"/>
    </row>
    <row r="13705" spans="38:38" x14ac:dyDescent="0.25">
      <c r="AL13705" s="6"/>
    </row>
    <row r="13706" spans="38:38" x14ac:dyDescent="0.25">
      <c r="AL13706" s="6"/>
    </row>
    <row r="13707" spans="38:38" x14ac:dyDescent="0.25">
      <c r="AL13707" s="6"/>
    </row>
    <row r="13708" spans="38:38" x14ac:dyDescent="0.25">
      <c r="AL13708" s="6"/>
    </row>
    <row r="13709" spans="38:38" x14ac:dyDescent="0.25">
      <c r="AL13709" s="6"/>
    </row>
    <row r="13710" spans="38:38" x14ac:dyDescent="0.25">
      <c r="AL13710" s="6"/>
    </row>
    <row r="13711" spans="38:38" x14ac:dyDescent="0.25">
      <c r="AL13711" s="6"/>
    </row>
    <row r="13712" spans="38:38" x14ac:dyDescent="0.25">
      <c r="AL13712" s="6"/>
    </row>
    <row r="13713" spans="38:38" x14ac:dyDescent="0.25">
      <c r="AL13713" s="6"/>
    </row>
    <row r="13714" spans="38:38" x14ac:dyDescent="0.25">
      <c r="AL13714" s="6"/>
    </row>
    <row r="13715" spans="38:38" x14ac:dyDescent="0.25">
      <c r="AL13715" s="6"/>
    </row>
    <row r="13716" spans="38:38" x14ac:dyDescent="0.25">
      <c r="AL13716" s="6"/>
    </row>
    <row r="13717" spans="38:38" x14ac:dyDescent="0.25">
      <c r="AL13717" s="6"/>
    </row>
    <row r="13718" spans="38:38" x14ac:dyDescent="0.25">
      <c r="AL13718" s="6"/>
    </row>
    <row r="13719" spans="38:38" x14ac:dyDescent="0.25">
      <c r="AL13719" s="6"/>
    </row>
    <row r="13720" spans="38:38" x14ac:dyDescent="0.25">
      <c r="AL13720" s="6"/>
    </row>
    <row r="13721" spans="38:38" x14ac:dyDescent="0.25">
      <c r="AL13721" s="6"/>
    </row>
    <row r="13722" spans="38:38" x14ac:dyDescent="0.25">
      <c r="AL13722" s="6"/>
    </row>
    <row r="13723" spans="38:38" x14ac:dyDescent="0.25">
      <c r="AL13723" s="6"/>
    </row>
    <row r="13724" spans="38:38" x14ac:dyDescent="0.25">
      <c r="AL13724" s="6"/>
    </row>
    <row r="13725" spans="38:38" x14ac:dyDescent="0.25">
      <c r="AL13725" s="6"/>
    </row>
    <row r="13726" spans="38:38" x14ac:dyDescent="0.25">
      <c r="AL13726" s="6"/>
    </row>
    <row r="13727" spans="38:38" x14ac:dyDescent="0.25">
      <c r="AL13727" s="6"/>
    </row>
    <row r="13728" spans="38:38" x14ac:dyDescent="0.25">
      <c r="AL13728" s="6"/>
    </row>
    <row r="13729" spans="38:38" x14ac:dyDescent="0.25">
      <c r="AL13729" s="6"/>
    </row>
    <row r="13730" spans="38:38" x14ac:dyDescent="0.25">
      <c r="AL13730" s="6"/>
    </row>
    <row r="13731" spans="38:38" x14ac:dyDescent="0.25">
      <c r="AL13731" s="6"/>
    </row>
    <row r="13732" spans="38:38" x14ac:dyDescent="0.25">
      <c r="AL13732" s="6"/>
    </row>
    <row r="13733" spans="38:38" x14ac:dyDescent="0.25">
      <c r="AL13733" s="6"/>
    </row>
    <row r="13734" spans="38:38" x14ac:dyDescent="0.25">
      <c r="AL13734" s="6"/>
    </row>
    <row r="13735" spans="38:38" x14ac:dyDescent="0.25">
      <c r="AL13735" s="6"/>
    </row>
    <row r="13736" spans="38:38" x14ac:dyDescent="0.25">
      <c r="AL13736" s="6"/>
    </row>
    <row r="13737" spans="38:38" x14ac:dyDescent="0.25">
      <c r="AL13737" s="6"/>
    </row>
    <row r="13738" spans="38:38" x14ac:dyDescent="0.25">
      <c r="AL13738" s="6"/>
    </row>
    <row r="13739" spans="38:38" x14ac:dyDescent="0.25">
      <c r="AL13739" s="6"/>
    </row>
    <row r="13740" spans="38:38" x14ac:dyDescent="0.25">
      <c r="AL13740" s="6"/>
    </row>
    <row r="13741" spans="38:38" x14ac:dyDescent="0.25">
      <c r="AL13741" s="6"/>
    </row>
    <row r="13742" spans="38:38" x14ac:dyDescent="0.25">
      <c r="AL13742" s="6"/>
    </row>
    <row r="13743" spans="38:38" x14ac:dyDescent="0.25">
      <c r="AL13743" s="6"/>
    </row>
    <row r="13744" spans="38:38" x14ac:dyDescent="0.25">
      <c r="AL13744" s="6"/>
    </row>
    <row r="13745" spans="38:38" x14ac:dyDescent="0.25">
      <c r="AL13745" s="6"/>
    </row>
    <row r="13746" spans="38:38" x14ac:dyDescent="0.25">
      <c r="AL13746" s="6"/>
    </row>
    <row r="13747" spans="38:38" x14ac:dyDescent="0.25">
      <c r="AL13747" s="6"/>
    </row>
    <row r="13748" spans="38:38" x14ac:dyDescent="0.25">
      <c r="AL13748" s="6"/>
    </row>
    <row r="13749" spans="38:38" x14ac:dyDescent="0.25">
      <c r="AL13749" s="6"/>
    </row>
    <row r="13750" spans="38:38" x14ac:dyDescent="0.25">
      <c r="AL13750" s="6"/>
    </row>
    <row r="13751" spans="38:38" x14ac:dyDescent="0.25">
      <c r="AL13751" s="6"/>
    </row>
    <row r="13752" spans="38:38" x14ac:dyDescent="0.25">
      <c r="AL13752" s="6"/>
    </row>
    <row r="13753" spans="38:38" x14ac:dyDescent="0.25">
      <c r="AL13753" s="6"/>
    </row>
    <row r="13754" spans="38:38" x14ac:dyDescent="0.25">
      <c r="AL13754" s="6"/>
    </row>
    <row r="13755" spans="38:38" x14ac:dyDescent="0.25">
      <c r="AL13755" s="6"/>
    </row>
    <row r="13756" spans="38:38" x14ac:dyDescent="0.25">
      <c r="AL13756" s="6"/>
    </row>
    <row r="13757" spans="38:38" x14ac:dyDescent="0.25">
      <c r="AL13757" s="6"/>
    </row>
    <row r="13758" spans="38:38" x14ac:dyDescent="0.25">
      <c r="AL13758" s="6"/>
    </row>
    <row r="13759" spans="38:38" x14ac:dyDescent="0.25">
      <c r="AL13759" s="6"/>
    </row>
    <row r="13760" spans="38:38" x14ac:dyDescent="0.25">
      <c r="AL13760" s="6"/>
    </row>
    <row r="13761" spans="38:38" x14ac:dyDescent="0.25">
      <c r="AL13761" s="6"/>
    </row>
    <row r="13762" spans="38:38" x14ac:dyDescent="0.25">
      <c r="AL13762" s="6"/>
    </row>
    <row r="13763" spans="38:38" x14ac:dyDescent="0.25">
      <c r="AL13763" s="6"/>
    </row>
    <row r="13764" spans="38:38" x14ac:dyDescent="0.25">
      <c r="AL13764" s="6"/>
    </row>
    <row r="13765" spans="38:38" x14ac:dyDescent="0.25">
      <c r="AL13765" s="6"/>
    </row>
    <row r="13766" spans="38:38" x14ac:dyDescent="0.25">
      <c r="AL13766" s="6"/>
    </row>
    <row r="13767" spans="38:38" x14ac:dyDescent="0.25">
      <c r="AL13767" s="6"/>
    </row>
    <row r="13768" spans="38:38" x14ac:dyDescent="0.25">
      <c r="AL13768" s="6"/>
    </row>
    <row r="13769" spans="38:38" x14ac:dyDescent="0.25">
      <c r="AL13769" s="6"/>
    </row>
    <row r="13770" spans="38:38" x14ac:dyDescent="0.25">
      <c r="AL13770" s="6"/>
    </row>
    <row r="13771" spans="38:38" x14ac:dyDescent="0.25">
      <c r="AL13771" s="6"/>
    </row>
    <row r="13772" spans="38:38" x14ac:dyDescent="0.25">
      <c r="AL13772" s="6"/>
    </row>
    <row r="13773" spans="38:38" x14ac:dyDescent="0.25">
      <c r="AL13773" s="6"/>
    </row>
    <row r="13774" spans="38:38" x14ac:dyDescent="0.25">
      <c r="AL13774" s="6"/>
    </row>
    <row r="13775" spans="38:38" x14ac:dyDescent="0.25">
      <c r="AL13775" s="6"/>
    </row>
    <row r="13776" spans="38:38" x14ac:dyDescent="0.25">
      <c r="AL13776" s="6"/>
    </row>
    <row r="13777" spans="38:38" x14ac:dyDescent="0.25">
      <c r="AL13777" s="6"/>
    </row>
    <row r="13778" spans="38:38" x14ac:dyDescent="0.25">
      <c r="AL13778" s="6"/>
    </row>
    <row r="13779" spans="38:38" x14ac:dyDescent="0.25">
      <c r="AL13779" s="6"/>
    </row>
    <row r="13780" spans="38:38" x14ac:dyDescent="0.25">
      <c r="AL13780" s="6"/>
    </row>
    <row r="13781" spans="38:38" x14ac:dyDescent="0.25">
      <c r="AL13781" s="6"/>
    </row>
    <row r="13782" spans="38:38" x14ac:dyDescent="0.25">
      <c r="AL13782" s="6"/>
    </row>
    <row r="13783" spans="38:38" x14ac:dyDescent="0.25">
      <c r="AL13783" s="6"/>
    </row>
    <row r="13784" spans="38:38" x14ac:dyDescent="0.25">
      <c r="AL13784" s="6"/>
    </row>
    <row r="13785" spans="38:38" x14ac:dyDescent="0.25">
      <c r="AL13785" s="6"/>
    </row>
    <row r="13786" spans="38:38" x14ac:dyDescent="0.25">
      <c r="AL13786" s="6"/>
    </row>
    <row r="13787" spans="38:38" x14ac:dyDescent="0.25">
      <c r="AL13787" s="6"/>
    </row>
    <row r="13788" spans="38:38" x14ac:dyDescent="0.25">
      <c r="AL13788" s="6"/>
    </row>
    <row r="13789" spans="38:38" x14ac:dyDescent="0.25">
      <c r="AL13789" s="6"/>
    </row>
    <row r="13790" spans="38:38" x14ac:dyDescent="0.25">
      <c r="AL13790" s="6"/>
    </row>
    <row r="13791" spans="38:38" x14ac:dyDescent="0.25">
      <c r="AL13791" s="6"/>
    </row>
    <row r="13792" spans="38:38" x14ac:dyDescent="0.25">
      <c r="AL13792" s="6"/>
    </row>
    <row r="13793" spans="38:38" x14ac:dyDescent="0.25">
      <c r="AL13793" s="6"/>
    </row>
    <row r="13794" spans="38:38" x14ac:dyDescent="0.25">
      <c r="AL13794" s="6"/>
    </row>
    <row r="13795" spans="38:38" x14ac:dyDescent="0.25">
      <c r="AL13795" s="6"/>
    </row>
    <row r="13796" spans="38:38" x14ac:dyDescent="0.25">
      <c r="AL13796" s="6"/>
    </row>
    <row r="13797" spans="38:38" x14ac:dyDescent="0.25">
      <c r="AL13797" s="6"/>
    </row>
    <row r="13798" spans="38:38" x14ac:dyDescent="0.25">
      <c r="AL13798" s="6"/>
    </row>
    <row r="13799" spans="38:38" x14ac:dyDescent="0.25">
      <c r="AL13799" s="6"/>
    </row>
    <row r="13800" spans="38:38" x14ac:dyDescent="0.25">
      <c r="AL13800" s="6"/>
    </row>
    <row r="13801" spans="38:38" x14ac:dyDescent="0.25">
      <c r="AL13801" s="6"/>
    </row>
    <row r="13802" spans="38:38" x14ac:dyDescent="0.25">
      <c r="AL13802" s="6"/>
    </row>
    <row r="13803" spans="38:38" x14ac:dyDescent="0.25">
      <c r="AL13803" s="6"/>
    </row>
    <row r="13804" spans="38:38" x14ac:dyDescent="0.25">
      <c r="AL13804" s="6"/>
    </row>
    <row r="13805" spans="38:38" x14ac:dyDescent="0.25">
      <c r="AL13805" s="6"/>
    </row>
    <row r="13806" spans="38:38" x14ac:dyDescent="0.25">
      <c r="AL13806" s="6"/>
    </row>
    <row r="13807" spans="38:38" x14ac:dyDescent="0.25">
      <c r="AL13807" s="6"/>
    </row>
    <row r="13808" spans="38:38" x14ac:dyDescent="0.25">
      <c r="AL13808" s="6"/>
    </row>
    <row r="13809" spans="38:38" x14ac:dyDescent="0.25">
      <c r="AL13809" s="6"/>
    </row>
    <row r="13810" spans="38:38" x14ac:dyDescent="0.25">
      <c r="AL13810" s="6"/>
    </row>
    <row r="13811" spans="38:38" x14ac:dyDescent="0.25">
      <c r="AL13811" s="6"/>
    </row>
    <row r="13812" spans="38:38" x14ac:dyDescent="0.25">
      <c r="AL13812" s="6"/>
    </row>
    <row r="13813" spans="38:38" x14ac:dyDescent="0.25">
      <c r="AL13813" s="6"/>
    </row>
    <row r="13814" spans="38:38" x14ac:dyDescent="0.25">
      <c r="AL13814" s="6"/>
    </row>
    <row r="13815" spans="38:38" x14ac:dyDescent="0.25">
      <c r="AL13815" s="6"/>
    </row>
    <row r="13816" spans="38:38" x14ac:dyDescent="0.25">
      <c r="AL13816" s="6"/>
    </row>
    <row r="13817" spans="38:38" x14ac:dyDescent="0.25">
      <c r="AL13817" s="6"/>
    </row>
    <row r="13818" spans="38:38" x14ac:dyDescent="0.25">
      <c r="AL13818" s="6"/>
    </row>
    <row r="13819" spans="38:38" x14ac:dyDescent="0.25">
      <c r="AL13819" s="6"/>
    </row>
    <row r="13820" spans="38:38" x14ac:dyDescent="0.25">
      <c r="AL13820" s="6"/>
    </row>
    <row r="13821" spans="38:38" x14ac:dyDescent="0.25">
      <c r="AL13821" s="6"/>
    </row>
    <row r="13822" spans="38:38" x14ac:dyDescent="0.25">
      <c r="AL13822" s="6"/>
    </row>
    <row r="13823" spans="38:38" x14ac:dyDescent="0.25">
      <c r="AL13823" s="6"/>
    </row>
    <row r="13824" spans="38:38" x14ac:dyDescent="0.25">
      <c r="AL13824" s="6"/>
    </row>
    <row r="13825" spans="38:38" x14ac:dyDescent="0.25">
      <c r="AL13825" s="6"/>
    </row>
    <row r="13826" spans="38:38" x14ac:dyDescent="0.25">
      <c r="AL13826" s="6"/>
    </row>
    <row r="13827" spans="38:38" x14ac:dyDescent="0.25">
      <c r="AL13827" s="6"/>
    </row>
    <row r="13828" spans="38:38" x14ac:dyDescent="0.25">
      <c r="AL13828" s="6"/>
    </row>
    <row r="13829" spans="38:38" x14ac:dyDescent="0.25">
      <c r="AL13829" s="6"/>
    </row>
    <row r="13830" spans="38:38" x14ac:dyDescent="0.25">
      <c r="AL13830" s="6"/>
    </row>
    <row r="13831" spans="38:38" x14ac:dyDescent="0.25">
      <c r="AL13831" s="6"/>
    </row>
    <row r="13832" spans="38:38" x14ac:dyDescent="0.25">
      <c r="AL13832" s="6"/>
    </row>
    <row r="13833" spans="38:38" x14ac:dyDescent="0.25">
      <c r="AL13833" s="6"/>
    </row>
    <row r="13834" spans="38:38" x14ac:dyDescent="0.25">
      <c r="AL13834" s="6"/>
    </row>
    <row r="13835" spans="38:38" x14ac:dyDescent="0.25">
      <c r="AL13835" s="6"/>
    </row>
    <row r="13836" spans="38:38" x14ac:dyDescent="0.25">
      <c r="AL13836" s="6"/>
    </row>
    <row r="13837" spans="38:38" x14ac:dyDescent="0.25">
      <c r="AL13837" s="6"/>
    </row>
    <row r="13838" spans="38:38" x14ac:dyDescent="0.25">
      <c r="AL13838" s="6"/>
    </row>
    <row r="13839" spans="38:38" x14ac:dyDescent="0.25">
      <c r="AL13839" s="6"/>
    </row>
    <row r="13840" spans="38:38" x14ac:dyDescent="0.25">
      <c r="AL13840" s="6"/>
    </row>
    <row r="13841" spans="38:38" x14ac:dyDescent="0.25">
      <c r="AL13841" s="6"/>
    </row>
    <row r="13842" spans="38:38" x14ac:dyDescent="0.25">
      <c r="AL13842" s="6"/>
    </row>
    <row r="13843" spans="38:38" x14ac:dyDescent="0.25">
      <c r="AL13843" s="6"/>
    </row>
    <row r="13844" spans="38:38" x14ac:dyDescent="0.25">
      <c r="AL13844" s="6"/>
    </row>
    <row r="13845" spans="38:38" x14ac:dyDescent="0.25">
      <c r="AL13845" s="6"/>
    </row>
    <row r="13846" spans="38:38" x14ac:dyDescent="0.25">
      <c r="AL13846" s="6"/>
    </row>
    <row r="13847" spans="38:38" x14ac:dyDescent="0.25">
      <c r="AL13847" s="6"/>
    </row>
    <row r="13848" spans="38:38" x14ac:dyDescent="0.25">
      <c r="AL13848" s="6"/>
    </row>
    <row r="13849" spans="38:38" x14ac:dyDescent="0.25">
      <c r="AL13849" s="6"/>
    </row>
    <row r="13850" spans="38:38" x14ac:dyDescent="0.25">
      <c r="AL13850" s="6"/>
    </row>
    <row r="13851" spans="38:38" x14ac:dyDescent="0.25">
      <c r="AL13851" s="6"/>
    </row>
    <row r="13852" spans="38:38" x14ac:dyDescent="0.25">
      <c r="AL13852" s="6"/>
    </row>
    <row r="13853" spans="38:38" x14ac:dyDescent="0.25">
      <c r="AL13853" s="6"/>
    </row>
    <row r="13854" spans="38:38" x14ac:dyDescent="0.25">
      <c r="AL13854" s="6"/>
    </row>
    <row r="13855" spans="38:38" x14ac:dyDescent="0.25">
      <c r="AL13855" s="6"/>
    </row>
    <row r="13856" spans="38:38" x14ac:dyDescent="0.25">
      <c r="AL13856" s="6"/>
    </row>
    <row r="13857" spans="38:38" x14ac:dyDescent="0.25">
      <c r="AL13857" s="6"/>
    </row>
    <row r="13858" spans="38:38" x14ac:dyDescent="0.25">
      <c r="AL13858" s="6"/>
    </row>
    <row r="13859" spans="38:38" x14ac:dyDescent="0.25">
      <c r="AL13859" s="6"/>
    </row>
    <row r="13860" spans="38:38" x14ac:dyDescent="0.25">
      <c r="AL13860" s="6"/>
    </row>
    <row r="13861" spans="38:38" x14ac:dyDescent="0.25">
      <c r="AL13861" s="6"/>
    </row>
    <row r="13862" spans="38:38" x14ac:dyDescent="0.25">
      <c r="AL13862" s="6"/>
    </row>
    <row r="13863" spans="38:38" x14ac:dyDescent="0.25">
      <c r="AL13863" s="6"/>
    </row>
    <row r="13864" spans="38:38" x14ac:dyDescent="0.25">
      <c r="AL13864" s="6"/>
    </row>
    <row r="13865" spans="38:38" x14ac:dyDescent="0.25">
      <c r="AL13865" s="6"/>
    </row>
    <row r="13866" spans="38:38" x14ac:dyDescent="0.25">
      <c r="AL13866" s="6"/>
    </row>
    <row r="13867" spans="38:38" x14ac:dyDescent="0.25">
      <c r="AL13867" s="6"/>
    </row>
    <row r="13868" spans="38:38" x14ac:dyDescent="0.25">
      <c r="AL13868" s="6"/>
    </row>
    <row r="13869" spans="38:38" x14ac:dyDescent="0.25">
      <c r="AL13869" s="6"/>
    </row>
    <row r="13870" spans="38:38" x14ac:dyDescent="0.25">
      <c r="AL13870" s="6"/>
    </row>
    <row r="13871" spans="38:38" x14ac:dyDescent="0.25">
      <c r="AL13871" s="6"/>
    </row>
    <row r="13872" spans="38:38" x14ac:dyDescent="0.25">
      <c r="AL13872" s="6"/>
    </row>
    <row r="13873" spans="38:38" x14ac:dyDescent="0.25">
      <c r="AL13873" s="6"/>
    </row>
    <row r="13874" spans="38:38" x14ac:dyDescent="0.25">
      <c r="AL13874" s="6"/>
    </row>
    <row r="13875" spans="38:38" x14ac:dyDescent="0.25">
      <c r="AL13875" s="6"/>
    </row>
    <row r="13876" spans="38:38" x14ac:dyDescent="0.25">
      <c r="AL13876" s="6"/>
    </row>
    <row r="13877" spans="38:38" x14ac:dyDescent="0.25">
      <c r="AL13877" s="6"/>
    </row>
    <row r="13878" spans="38:38" x14ac:dyDescent="0.25">
      <c r="AL13878" s="6"/>
    </row>
    <row r="13879" spans="38:38" x14ac:dyDescent="0.25">
      <c r="AL13879" s="6"/>
    </row>
    <row r="13880" spans="38:38" x14ac:dyDescent="0.25">
      <c r="AL13880" s="6"/>
    </row>
    <row r="13881" spans="38:38" x14ac:dyDescent="0.25">
      <c r="AL13881" s="6"/>
    </row>
    <row r="13882" spans="38:38" x14ac:dyDescent="0.25">
      <c r="AL13882" s="6"/>
    </row>
    <row r="13883" spans="38:38" x14ac:dyDescent="0.25">
      <c r="AL13883" s="6"/>
    </row>
    <row r="13884" spans="38:38" x14ac:dyDescent="0.25">
      <c r="AL13884" s="6"/>
    </row>
    <row r="13885" spans="38:38" x14ac:dyDescent="0.25">
      <c r="AL13885" s="6"/>
    </row>
    <row r="13886" spans="38:38" x14ac:dyDescent="0.25">
      <c r="AL13886" s="6"/>
    </row>
    <row r="13887" spans="38:38" x14ac:dyDescent="0.25">
      <c r="AL13887" s="6"/>
    </row>
    <row r="13888" spans="38:38" x14ac:dyDescent="0.25">
      <c r="AL13888" s="6"/>
    </row>
    <row r="13889" spans="38:38" x14ac:dyDescent="0.25">
      <c r="AL13889" s="6"/>
    </row>
    <row r="13890" spans="38:38" x14ac:dyDescent="0.25">
      <c r="AL13890" s="6"/>
    </row>
    <row r="13891" spans="38:38" x14ac:dyDescent="0.25">
      <c r="AL13891" s="6"/>
    </row>
    <row r="13892" spans="38:38" x14ac:dyDescent="0.25">
      <c r="AL13892" s="6"/>
    </row>
    <row r="13893" spans="38:38" x14ac:dyDescent="0.25">
      <c r="AL13893" s="6"/>
    </row>
    <row r="13894" spans="38:38" x14ac:dyDescent="0.25">
      <c r="AL13894" s="6"/>
    </row>
    <row r="13895" spans="38:38" x14ac:dyDescent="0.25">
      <c r="AL13895" s="6"/>
    </row>
    <row r="13896" spans="38:38" x14ac:dyDescent="0.25">
      <c r="AL13896" s="6"/>
    </row>
    <row r="13897" spans="38:38" x14ac:dyDescent="0.25">
      <c r="AL13897" s="6"/>
    </row>
    <row r="13898" spans="38:38" x14ac:dyDescent="0.25">
      <c r="AL13898" s="6"/>
    </row>
    <row r="13899" spans="38:38" x14ac:dyDescent="0.25">
      <c r="AL13899" s="6"/>
    </row>
    <row r="13900" spans="38:38" x14ac:dyDescent="0.25">
      <c r="AL13900" s="6"/>
    </row>
    <row r="13901" spans="38:38" x14ac:dyDescent="0.25">
      <c r="AL13901" s="6"/>
    </row>
    <row r="13902" spans="38:38" x14ac:dyDescent="0.25">
      <c r="AL13902" s="6"/>
    </row>
    <row r="13903" spans="38:38" x14ac:dyDescent="0.25">
      <c r="AL13903" s="6"/>
    </row>
    <row r="13904" spans="38:38" x14ac:dyDescent="0.25">
      <c r="AL13904" s="6"/>
    </row>
    <row r="13905" spans="38:38" x14ac:dyDescent="0.25">
      <c r="AL13905" s="6"/>
    </row>
    <row r="13906" spans="38:38" x14ac:dyDescent="0.25">
      <c r="AL13906" s="6"/>
    </row>
    <row r="13907" spans="38:38" x14ac:dyDescent="0.25">
      <c r="AL13907" s="6"/>
    </row>
    <row r="13908" spans="38:38" x14ac:dyDescent="0.25">
      <c r="AL13908" s="6"/>
    </row>
    <row r="13909" spans="38:38" x14ac:dyDescent="0.25">
      <c r="AL13909" s="6"/>
    </row>
    <row r="13910" spans="38:38" x14ac:dyDescent="0.25">
      <c r="AL13910" s="6"/>
    </row>
    <row r="13911" spans="38:38" x14ac:dyDescent="0.25">
      <c r="AL13911" s="6"/>
    </row>
    <row r="13912" spans="38:38" x14ac:dyDescent="0.25">
      <c r="AL13912" s="6"/>
    </row>
    <row r="13913" spans="38:38" x14ac:dyDescent="0.25">
      <c r="AL13913" s="6"/>
    </row>
    <row r="13914" spans="38:38" x14ac:dyDescent="0.25">
      <c r="AL13914" s="6"/>
    </row>
    <row r="13915" spans="38:38" x14ac:dyDescent="0.25">
      <c r="AL13915" s="6"/>
    </row>
    <row r="13916" spans="38:38" x14ac:dyDescent="0.25">
      <c r="AL13916" s="6"/>
    </row>
    <row r="13917" spans="38:38" x14ac:dyDescent="0.25">
      <c r="AL13917" s="6"/>
    </row>
    <row r="13918" spans="38:38" x14ac:dyDescent="0.25">
      <c r="AL13918" s="6"/>
    </row>
    <row r="13919" spans="38:38" x14ac:dyDescent="0.25">
      <c r="AL13919" s="6"/>
    </row>
    <row r="13920" spans="38:38" x14ac:dyDescent="0.25">
      <c r="AL13920" s="6"/>
    </row>
    <row r="13921" spans="38:38" x14ac:dyDescent="0.25">
      <c r="AL13921" s="6"/>
    </row>
    <row r="13922" spans="38:38" x14ac:dyDescent="0.25">
      <c r="AL13922" s="6"/>
    </row>
    <row r="13923" spans="38:38" x14ac:dyDescent="0.25">
      <c r="AL13923" s="6"/>
    </row>
    <row r="13924" spans="38:38" x14ac:dyDescent="0.25">
      <c r="AL13924" s="6"/>
    </row>
    <row r="13925" spans="38:38" x14ac:dyDescent="0.25">
      <c r="AL13925" s="6"/>
    </row>
    <row r="13926" spans="38:38" x14ac:dyDescent="0.25">
      <c r="AL13926" s="6"/>
    </row>
    <row r="13927" spans="38:38" x14ac:dyDescent="0.25">
      <c r="AL13927" s="6"/>
    </row>
    <row r="13928" spans="38:38" x14ac:dyDescent="0.25">
      <c r="AL13928" s="6"/>
    </row>
    <row r="13929" spans="38:38" x14ac:dyDescent="0.25">
      <c r="AL13929" s="6"/>
    </row>
    <row r="13930" spans="38:38" x14ac:dyDescent="0.25">
      <c r="AL13930" s="6"/>
    </row>
    <row r="13931" spans="38:38" x14ac:dyDescent="0.25">
      <c r="AL13931" s="6"/>
    </row>
    <row r="13932" spans="38:38" x14ac:dyDescent="0.25">
      <c r="AL13932" s="6"/>
    </row>
    <row r="13933" spans="38:38" x14ac:dyDescent="0.25">
      <c r="AL13933" s="6"/>
    </row>
    <row r="13934" spans="38:38" x14ac:dyDescent="0.25">
      <c r="AL13934" s="6"/>
    </row>
    <row r="13935" spans="38:38" x14ac:dyDescent="0.25">
      <c r="AL13935" s="6"/>
    </row>
    <row r="13936" spans="38:38" x14ac:dyDescent="0.25">
      <c r="AL13936" s="6"/>
    </row>
    <row r="13937" spans="38:38" x14ac:dyDescent="0.25">
      <c r="AL13937" s="6"/>
    </row>
    <row r="13938" spans="38:38" x14ac:dyDescent="0.25">
      <c r="AL13938" s="6"/>
    </row>
    <row r="13939" spans="38:38" x14ac:dyDescent="0.25">
      <c r="AL13939" s="6"/>
    </row>
    <row r="13940" spans="38:38" x14ac:dyDescent="0.25">
      <c r="AL13940" s="6"/>
    </row>
    <row r="13941" spans="38:38" x14ac:dyDescent="0.25">
      <c r="AL13941" s="6"/>
    </row>
    <row r="13942" spans="38:38" x14ac:dyDescent="0.25">
      <c r="AL13942" s="6"/>
    </row>
    <row r="13943" spans="38:38" x14ac:dyDescent="0.25">
      <c r="AL13943" s="6"/>
    </row>
    <row r="13944" spans="38:38" x14ac:dyDescent="0.25">
      <c r="AL13944" s="6"/>
    </row>
    <row r="13945" spans="38:38" x14ac:dyDescent="0.25">
      <c r="AL13945" s="6"/>
    </row>
    <row r="13946" spans="38:38" x14ac:dyDescent="0.25">
      <c r="AL13946" s="6"/>
    </row>
    <row r="13947" spans="38:38" x14ac:dyDescent="0.25">
      <c r="AL13947" s="6"/>
    </row>
    <row r="13948" spans="38:38" x14ac:dyDescent="0.25">
      <c r="AL13948" s="6"/>
    </row>
    <row r="13949" spans="38:38" x14ac:dyDescent="0.25">
      <c r="AL13949" s="6"/>
    </row>
    <row r="13950" spans="38:38" x14ac:dyDescent="0.25">
      <c r="AL13950" s="6"/>
    </row>
    <row r="13951" spans="38:38" x14ac:dyDescent="0.25">
      <c r="AL13951" s="6"/>
    </row>
    <row r="13952" spans="38:38" x14ac:dyDescent="0.25">
      <c r="AL13952" s="6"/>
    </row>
    <row r="13953" spans="38:38" x14ac:dyDescent="0.25">
      <c r="AL13953" s="6"/>
    </row>
    <row r="13954" spans="38:38" x14ac:dyDescent="0.25">
      <c r="AL13954" s="6"/>
    </row>
    <row r="13955" spans="38:38" x14ac:dyDescent="0.25">
      <c r="AL13955" s="6"/>
    </row>
    <row r="13956" spans="38:38" x14ac:dyDescent="0.25">
      <c r="AL13956" s="6"/>
    </row>
    <row r="13957" spans="38:38" x14ac:dyDescent="0.25">
      <c r="AL13957" s="6"/>
    </row>
    <row r="13958" spans="38:38" x14ac:dyDescent="0.25">
      <c r="AL13958" s="6"/>
    </row>
    <row r="13959" spans="38:38" x14ac:dyDescent="0.25">
      <c r="AL13959" s="6"/>
    </row>
    <row r="13960" spans="38:38" x14ac:dyDescent="0.25">
      <c r="AL13960" s="6"/>
    </row>
    <row r="13961" spans="38:38" x14ac:dyDescent="0.25">
      <c r="AL13961" s="6"/>
    </row>
    <row r="13962" spans="38:38" x14ac:dyDescent="0.25">
      <c r="AL13962" s="6"/>
    </row>
    <row r="13963" spans="38:38" x14ac:dyDescent="0.25">
      <c r="AL13963" s="6"/>
    </row>
    <row r="13964" spans="38:38" x14ac:dyDescent="0.25">
      <c r="AL13964" s="6"/>
    </row>
    <row r="13965" spans="38:38" x14ac:dyDescent="0.25">
      <c r="AL13965" s="6"/>
    </row>
    <row r="13966" spans="38:38" x14ac:dyDescent="0.25">
      <c r="AL13966" s="6"/>
    </row>
    <row r="13967" spans="38:38" x14ac:dyDescent="0.25">
      <c r="AL13967" s="6"/>
    </row>
    <row r="13968" spans="38:38" x14ac:dyDescent="0.25">
      <c r="AL13968" s="6"/>
    </row>
    <row r="13969" spans="38:38" x14ac:dyDescent="0.25">
      <c r="AL13969" s="6"/>
    </row>
    <row r="13970" spans="38:38" x14ac:dyDescent="0.25">
      <c r="AL13970" s="6"/>
    </row>
    <row r="13971" spans="38:38" x14ac:dyDescent="0.25">
      <c r="AL13971" s="6"/>
    </row>
    <row r="13972" spans="38:38" x14ac:dyDescent="0.25">
      <c r="AL13972" s="6"/>
    </row>
    <row r="13973" spans="38:38" x14ac:dyDescent="0.25">
      <c r="AL13973" s="6"/>
    </row>
    <row r="13974" spans="38:38" x14ac:dyDescent="0.25">
      <c r="AL13974" s="6"/>
    </row>
    <row r="13975" spans="38:38" x14ac:dyDescent="0.25">
      <c r="AL13975" s="6"/>
    </row>
    <row r="13976" spans="38:38" x14ac:dyDescent="0.25">
      <c r="AL13976" s="6"/>
    </row>
    <row r="13977" spans="38:38" x14ac:dyDescent="0.25">
      <c r="AL13977" s="6"/>
    </row>
    <row r="13978" spans="38:38" x14ac:dyDescent="0.25">
      <c r="AL13978" s="6"/>
    </row>
    <row r="13979" spans="38:38" x14ac:dyDescent="0.25">
      <c r="AL13979" s="6"/>
    </row>
    <row r="13980" spans="38:38" x14ac:dyDescent="0.25">
      <c r="AL13980" s="6"/>
    </row>
    <row r="13981" spans="38:38" x14ac:dyDescent="0.25">
      <c r="AL13981" s="6"/>
    </row>
    <row r="13982" spans="38:38" x14ac:dyDescent="0.25">
      <c r="AL13982" s="6"/>
    </row>
    <row r="13983" spans="38:38" x14ac:dyDescent="0.25">
      <c r="AL13983" s="6"/>
    </row>
    <row r="13984" spans="38:38" x14ac:dyDescent="0.25">
      <c r="AL13984" s="6"/>
    </row>
    <row r="13985" spans="38:38" x14ac:dyDescent="0.25">
      <c r="AL13985" s="6"/>
    </row>
    <row r="13986" spans="38:38" x14ac:dyDescent="0.25">
      <c r="AL13986" s="6"/>
    </row>
    <row r="13987" spans="38:38" x14ac:dyDescent="0.25">
      <c r="AL13987" s="6"/>
    </row>
    <row r="13988" spans="38:38" x14ac:dyDescent="0.25">
      <c r="AL13988" s="6"/>
    </row>
    <row r="13989" spans="38:38" x14ac:dyDescent="0.25">
      <c r="AL13989" s="6"/>
    </row>
    <row r="13990" spans="38:38" x14ac:dyDescent="0.25">
      <c r="AL13990" s="6"/>
    </row>
    <row r="13991" spans="38:38" x14ac:dyDescent="0.25">
      <c r="AL13991" s="6"/>
    </row>
    <row r="13992" spans="38:38" x14ac:dyDescent="0.25">
      <c r="AL13992" s="6"/>
    </row>
    <row r="13993" spans="38:38" x14ac:dyDescent="0.25">
      <c r="AL13993" s="6"/>
    </row>
    <row r="13994" spans="38:38" x14ac:dyDescent="0.25">
      <c r="AL13994" s="6"/>
    </row>
    <row r="13995" spans="38:38" x14ac:dyDescent="0.25">
      <c r="AL13995" s="6"/>
    </row>
    <row r="13996" spans="38:38" x14ac:dyDescent="0.25">
      <c r="AL13996" s="6"/>
    </row>
    <row r="13997" spans="38:38" x14ac:dyDescent="0.25">
      <c r="AL13997" s="6"/>
    </row>
    <row r="13998" spans="38:38" x14ac:dyDescent="0.25">
      <c r="AL13998" s="6"/>
    </row>
    <row r="13999" spans="38:38" x14ac:dyDescent="0.25">
      <c r="AL13999" s="6"/>
    </row>
    <row r="14000" spans="38:38" x14ac:dyDescent="0.25">
      <c r="AL14000" s="6"/>
    </row>
    <row r="14001" spans="38:38" x14ac:dyDescent="0.25">
      <c r="AL14001" s="6"/>
    </row>
    <row r="14002" spans="38:38" x14ac:dyDescent="0.25">
      <c r="AL14002" s="6"/>
    </row>
    <row r="14003" spans="38:38" x14ac:dyDescent="0.25">
      <c r="AL14003" s="6"/>
    </row>
    <row r="14004" spans="38:38" x14ac:dyDescent="0.25">
      <c r="AL14004" s="6"/>
    </row>
    <row r="14005" spans="38:38" x14ac:dyDescent="0.25">
      <c r="AL14005" s="6"/>
    </row>
    <row r="14006" spans="38:38" x14ac:dyDescent="0.25">
      <c r="AL14006" s="6"/>
    </row>
    <row r="14007" spans="38:38" x14ac:dyDescent="0.25">
      <c r="AL14007" s="6"/>
    </row>
    <row r="14008" spans="38:38" x14ac:dyDescent="0.25">
      <c r="AL14008" s="6"/>
    </row>
    <row r="14009" spans="38:38" x14ac:dyDescent="0.25">
      <c r="AL14009" s="6"/>
    </row>
    <row r="14010" spans="38:38" x14ac:dyDescent="0.25">
      <c r="AL14010" s="6"/>
    </row>
    <row r="14011" spans="38:38" x14ac:dyDescent="0.25">
      <c r="AL14011" s="6"/>
    </row>
    <row r="14012" spans="38:38" x14ac:dyDescent="0.25">
      <c r="AL14012" s="6"/>
    </row>
    <row r="14013" spans="38:38" x14ac:dyDescent="0.25">
      <c r="AL14013" s="6"/>
    </row>
    <row r="14014" spans="38:38" x14ac:dyDescent="0.25">
      <c r="AL14014" s="6"/>
    </row>
    <row r="14015" spans="38:38" x14ac:dyDescent="0.25">
      <c r="AL14015" s="6"/>
    </row>
    <row r="14016" spans="38:38" x14ac:dyDescent="0.25">
      <c r="AL14016" s="6"/>
    </row>
    <row r="14017" spans="38:38" x14ac:dyDescent="0.25">
      <c r="AL14017" s="6"/>
    </row>
    <row r="14018" spans="38:38" x14ac:dyDescent="0.25">
      <c r="AL14018" s="6"/>
    </row>
    <row r="14019" spans="38:38" x14ac:dyDescent="0.25">
      <c r="AL14019" s="6"/>
    </row>
    <row r="14020" spans="38:38" x14ac:dyDescent="0.25">
      <c r="AL14020" s="6"/>
    </row>
    <row r="14021" spans="38:38" x14ac:dyDescent="0.25">
      <c r="AL14021" s="6"/>
    </row>
    <row r="14022" spans="38:38" x14ac:dyDescent="0.25">
      <c r="AL14022" s="6"/>
    </row>
    <row r="14023" spans="38:38" x14ac:dyDescent="0.25">
      <c r="AL14023" s="6"/>
    </row>
    <row r="14024" spans="38:38" x14ac:dyDescent="0.25">
      <c r="AL14024" s="6"/>
    </row>
    <row r="14025" spans="38:38" x14ac:dyDescent="0.25">
      <c r="AL14025" s="6"/>
    </row>
    <row r="14026" spans="38:38" x14ac:dyDescent="0.25">
      <c r="AL14026" s="6"/>
    </row>
    <row r="14027" spans="38:38" x14ac:dyDescent="0.25">
      <c r="AL14027" s="6"/>
    </row>
    <row r="14028" spans="38:38" x14ac:dyDescent="0.25">
      <c r="AL14028" s="6"/>
    </row>
    <row r="14029" spans="38:38" x14ac:dyDescent="0.25">
      <c r="AL14029" s="6"/>
    </row>
    <row r="14030" spans="38:38" x14ac:dyDescent="0.25">
      <c r="AL14030" s="6"/>
    </row>
    <row r="14031" spans="38:38" x14ac:dyDescent="0.25">
      <c r="AL14031" s="6"/>
    </row>
    <row r="14032" spans="38:38" x14ac:dyDescent="0.25">
      <c r="AL14032" s="6"/>
    </row>
    <row r="14033" spans="38:38" x14ac:dyDescent="0.25">
      <c r="AL14033" s="6"/>
    </row>
    <row r="14034" spans="38:38" x14ac:dyDescent="0.25">
      <c r="AL14034" s="6"/>
    </row>
    <row r="14035" spans="38:38" x14ac:dyDescent="0.25">
      <c r="AL14035" s="6"/>
    </row>
    <row r="14036" spans="38:38" x14ac:dyDescent="0.25">
      <c r="AL14036" s="6"/>
    </row>
    <row r="14037" spans="38:38" x14ac:dyDescent="0.25">
      <c r="AL14037" s="6"/>
    </row>
    <row r="14038" spans="38:38" x14ac:dyDescent="0.25">
      <c r="AL14038" s="6"/>
    </row>
    <row r="14039" spans="38:38" x14ac:dyDescent="0.25">
      <c r="AL14039" s="6"/>
    </row>
    <row r="14040" spans="38:38" x14ac:dyDescent="0.25">
      <c r="AL14040" s="6"/>
    </row>
    <row r="14041" spans="38:38" x14ac:dyDescent="0.25">
      <c r="AL14041" s="6"/>
    </row>
    <row r="14042" spans="38:38" x14ac:dyDescent="0.25">
      <c r="AL14042" s="6"/>
    </row>
    <row r="14043" spans="38:38" x14ac:dyDescent="0.25">
      <c r="AL14043" s="6"/>
    </row>
    <row r="14044" spans="38:38" x14ac:dyDescent="0.25">
      <c r="AL14044" s="6"/>
    </row>
    <row r="14045" spans="38:38" x14ac:dyDescent="0.25">
      <c r="AL14045" s="6"/>
    </row>
    <row r="14046" spans="38:38" x14ac:dyDescent="0.25">
      <c r="AL14046" s="6"/>
    </row>
    <row r="14047" spans="38:38" x14ac:dyDescent="0.25">
      <c r="AL14047" s="6"/>
    </row>
    <row r="14048" spans="38:38" x14ac:dyDescent="0.25">
      <c r="AL14048" s="6"/>
    </row>
    <row r="14049" spans="38:38" x14ac:dyDescent="0.25">
      <c r="AL14049" s="6"/>
    </row>
    <row r="14050" spans="38:38" x14ac:dyDescent="0.25">
      <c r="AL14050" s="6"/>
    </row>
    <row r="14051" spans="38:38" x14ac:dyDescent="0.25">
      <c r="AL14051" s="6"/>
    </row>
    <row r="14052" spans="38:38" x14ac:dyDescent="0.25">
      <c r="AL14052" s="6"/>
    </row>
    <row r="14053" spans="38:38" x14ac:dyDescent="0.25">
      <c r="AL14053" s="6"/>
    </row>
    <row r="14054" spans="38:38" x14ac:dyDescent="0.25">
      <c r="AL14054" s="6"/>
    </row>
    <row r="14055" spans="38:38" x14ac:dyDescent="0.25">
      <c r="AL14055" s="6"/>
    </row>
    <row r="14056" spans="38:38" x14ac:dyDescent="0.25">
      <c r="AL14056" s="6"/>
    </row>
    <row r="14057" spans="38:38" x14ac:dyDescent="0.25">
      <c r="AL14057" s="6"/>
    </row>
    <row r="14058" spans="38:38" x14ac:dyDescent="0.25">
      <c r="AL14058" s="6"/>
    </row>
    <row r="14059" spans="38:38" x14ac:dyDescent="0.25">
      <c r="AL14059" s="6"/>
    </row>
    <row r="14060" spans="38:38" x14ac:dyDescent="0.25">
      <c r="AL14060" s="6"/>
    </row>
    <row r="14061" spans="38:38" x14ac:dyDescent="0.25">
      <c r="AL14061" s="6"/>
    </row>
    <row r="14062" spans="38:38" x14ac:dyDescent="0.25">
      <c r="AL14062" s="6"/>
    </row>
    <row r="14063" spans="38:38" x14ac:dyDescent="0.25">
      <c r="AL14063" s="6"/>
    </row>
    <row r="14064" spans="38:38" x14ac:dyDescent="0.25">
      <c r="AL14064" s="6"/>
    </row>
    <row r="14065" spans="38:38" x14ac:dyDescent="0.25">
      <c r="AL14065" s="6"/>
    </row>
    <row r="14066" spans="38:38" x14ac:dyDescent="0.25">
      <c r="AL14066" s="6"/>
    </row>
    <row r="14067" spans="38:38" x14ac:dyDescent="0.25">
      <c r="AL14067" s="6"/>
    </row>
    <row r="14068" spans="38:38" x14ac:dyDescent="0.25">
      <c r="AL14068" s="6"/>
    </row>
    <row r="14069" spans="38:38" x14ac:dyDescent="0.25">
      <c r="AL14069" s="6"/>
    </row>
    <row r="14070" spans="38:38" x14ac:dyDescent="0.25">
      <c r="AL14070" s="6"/>
    </row>
    <row r="14071" spans="38:38" x14ac:dyDescent="0.25">
      <c r="AL14071" s="6"/>
    </row>
    <row r="14072" spans="38:38" x14ac:dyDescent="0.25">
      <c r="AL14072" s="6"/>
    </row>
    <row r="14073" spans="38:38" x14ac:dyDescent="0.25">
      <c r="AL14073" s="6"/>
    </row>
    <row r="14074" spans="38:38" x14ac:dyDescent="0.25">
      <c r="AL14074" s="6"/>
    </row>
    <row r="14075" spans="38:38" x14ac:dyDescent="0.25">
      <c r="AL14075" s="6"/>
    </row>
    <row r="14076" spans="38:38" x14ac:dyDescent="0.25">
      <c r="AL14076" s="6"/>
    </row>
    <row r="14077" spans="38:38" x14ac:dyDescent="0.25">
      <c r="AL14077" s="6"/>
    </row>
    <row r="14078" spans="38:38" x14ac:dyDescent="0.25">
      <c r="AL14078" s="6"/>
    </row>
    <row r="14079" spans="38:38" x14ac:dyDescent="0.25">
      <c r="AL14079" s="6"/>
    </row>
    <row r="14080" spans="38:38" x14ac:dyDescent="0.25">
      <c r="AL14080" s="6"/>
    </row>
    <row r="14081" spans="38:38" x14ac:dyDescent="0.25">
      <c r="AL14081" s="6"/>
    </row>
    <row r="14082" spans="38:38" x14ac:dyDescent="0.25">
      <c r="AL14082" s="6"/>
    </row>
    <row r="14083" spans="38:38" x14ac:dyDescent="0.25">
      <c r="AL14083" s="6"/>
    </row>
    <row r="14084" spans="38:38" x14ac:dyDescent="0.25">
      <c r="AL14084" s="6"/>
    </row>
    <row r="14085" spans="38:38" x14ac:dyDescent="0.25">
      <c r="AL14085" s="6"/>
    </row>
    <row r="14086" spans="38:38" x14ac:dyDescent="0.25">
      <c r="AL14086" s="6"/>
    </row>
    <row r="14087" spans="38:38" x14ac:dyDescent="0.25">
      <c r="AL14087" s="6"/>
    </row>
    <row r="14088" spans="38:38" x14ac:dyDescent="0.25">
      <c r="AL14088" s="6"/>
    </row>
    <row r="14089" spans="38:38" x14ac:dyDescent="0.25">
      <c r="AL14089" s="6"/>
    </row>
    <row r="14090" spans="38:38" x14ac:dyDescent="0.25">
      <c r="AL14090" s="6"/>
    </row>
    <row r="14091" spans="38:38" x14ac:dyDescent="0.25">
      <c r="AL14091" s="6"/>
    </row>
    <row r="14092" spans="38:38" x14ac:dyDescent="0.25">
      <c r="AL14092" s="6"/>
    </row>
    <row r="14093" spans="38:38" x14ac:dyDescent="0.25">
      <c r="AL14093" s="6"/>
    </row>
    <row r="14094" spans="38:38" x14ac:dyDescent="0.25">
      <c r="AL14094" s="6"/>
    </row>
    <row r="14095" spans="38:38" x14ac:dyDescent="0.25">
      <c r="AL14095" s="6"/>
    </row>
    <row r="14096" spans="38:38" x14ac:dyDescent="0.25">
      <c r="AL14096" s="6"/>
    </row>
    <row r="14097" spans="38:38" x14ac:dyDescent="0.25">
      <c r="AL14097" s="6"/>
    </row>
    <row r="14098" spans="38:38" x14ac:dyDescent="0.25">
      <c r="AL14098" s="6"/>
    </row>
    <row r="14099" spans="38:38" x14ac:dyDescent="0.25">
      <c r="AL14099" s="6"/>
    </row>
    <row r="14100" spans="38:38" x14ac:dyDescent="0.25">
      <c r="AL14100" s="6"/>
    </row>
    <row r="14101" spans="38:38" x14ac:dyDescent="0.25">
      <c r="AL14101" s="6"/>
    </row>
    <row r="14102" spans="38:38" x14ac:dyDescent="0.25">
      <c r="AL14102" s="6"/>
    </row>
    <row r="14103" spans="38:38" x14ac:dyDescent="0.25">
      <c r="AL14103" s="6"/>
    </row>
    <row r="14104" spans="38:38" x14ac:dyDescent="0.25">
      <c r="AL14104" s="6"/>
    </row>
    <row r="14105" spans="38:38" x14ac:dyDescent="0.25">
      <c r="AL14105" s="6"/>
    </row>
    <row r="14106" spans="38:38" x14ac:dyDescent="0.25">
      <c r="AL14106" s="6"/>
    </row>
    <row r="14107" spans="38:38" x14ac:dyDescent="0.25">
      <c r="AL14107" s="6"/>
    </row>
    <row r="14108" spans="38:38" x14ac:dyDescent="0.25">
      <c r="AL14108" s="6"/>
    </row>
    <row r="14109" spans="38:38" x14ac:dyDescent="0.25">
      <c r="AL14109" s="6"/>
    </row>
    <row r="14110" spans="38:38" x14ac:dyDescent="0.25">
      <c r="AL14110" s="6"/>
    </row>
    <row r="14111" spans="38:38" x14ac:dyDescent="0.25">
      <c r="AL14111" s="6"/>
    </row>
    <row r="14112" spans="38:38" x14ac:dyDescent="0.25">
      <c r="AL14112" s="6"/>
    </row>
    <row r="14113" spans="38:38" x14ac:dyDescent="0.25">
      <c r="AL14113" s="6"/>
    </row>
    <row r="14114" spans="38:38" x14ac:dyDescent="0.25">
      <c r="AL14114" s="6"/>
    </row>
    <row r="14115" spans="38:38" x14ac:dyDescent="0.25">
      <c r="AL14115" s="6"/>
    </row>
    <row r="14116" spans="38:38" x14ac:dyDescent="0.25">
      <c r="AL14116" s="6"/>
    </row>
    <row r="14117" spans="38:38" x14ac:dyDescent="0.25">
      <c r="AL14117" s="6"/>
    </row>
    <row r="14118" spans="38:38" x14ac:dyDescent="0.25">
      <c r="AL14118" s="6"/>
    </row>
    <row r="14119" spans="38:38" x14ac:dyDescent="0.25">
      <c r="AL14119" s="6"/>
    </row>
    <row r="14120" spans="38:38" x14ac:dyDescent="0.25">
      <c r="AL14120" s="6"/>
    </row>
    <row r="14121" spans="38:38" x14ac:dyDescent="0.25">
      <c r="AL14121" s="6"/>
    </row>
    <row r="14122" spans="38:38" x14ac:dyDescent="0.25">
      <c r="AL14122" s="6"/>
    </row>
    <row r="14123" spans="38:38" x14ac:dyDescent="0.25">
      <c r="AL14123" s="6"/>
    </row>
    <row r="14124" spans="38:38" x14ac:dyDescent="0.25">
      <c r="AL14124" s="6"/>
    </row>
    <row r="14125" spans="38:38" x14ac:dyDescent="0.25">
      <c r="AL14125" s="6"/>
    </row>
    <row r="14126" spans="38:38" x14ac:dyDescent="0.25">
      <c r="AL14126" s="6"/>
    </row>
    <row r="14127" spans="38:38" x14ac:dyDescent="0.25">
      <c r="AL14127" s="6"/>
    </row>
    <row r="14128" spans="38:38" x14ac:dyDescent="0.25">
      <c r="AL14128" s="6"/>
    </row>
    <row r="14129" spans="38:38" x14ac:dyDescent="0.25">
      <c r="AL14129" s="6"/>
    </row>
    <row r="14130" spans="38:38" x14ac:dyDescent="0.25">
      <c r="AL14130" s="6"/>
    </row>
    <row r="14131" spans="38:38" x14ac:dyDescent="0.25">
      <c r="AL14131" s="6"/>
    </row>
    <row r="14132" spans="38:38" x14ac:dyDescent="0.25">
      <c r="AL14132" s="6"/>
    </row>
    <row r="14133" spans="38:38" x14ac:dyDescent="0.25">
      <c r="AL14133" s="6"/>
    </row>
    <row r="14134" spans="38:38" x14ac:dyDescent="0.25">
      <c r="AL14134" s="6"/>
    </row>
    <row r="14135" spans="38:38" x14ac:dyDescent="0.25">
      <c r="AL14135" s="6"/>
    </row>
    <row r="14136" spans="38:38" x14ac:dyDescent="0.25">
      <c r="AL14136" s="6"/>
    </row>
    <row r="14137" spans="38:38" x14ac:dyDescent="0.25">
      <c r="AL14137" s="6"/>
    </row>
    <row r="14138" spans="38:38" x14ac:dyDescent="0.25">
      <c r="AL14138" s="6"/>
    </row>
    <row r="14139" spans="38:38" x14ac:dyDescent="0.25">
      <c r="AL14139" s="6"/>
    </row>
    <row r="14140" spans="38:38" x14ac:dyDescent="0.25">
      <c r="AL14140" s="6"/>
    </row>
    <row r="14141" spans="38:38" x14ac:dyDescent="0.25">
      <c r="AL14141" s="6"/>
    </row>
    <row r="14142" spans="38:38" x14ac:dyDescent="0.25">
      <c r="AL14142" s="6"/>
    </row>
    <row r="14143" spans="38:38" x14ac:dyDescent="0.25">
      <c r="AL14143" s="6"/>
    </row>
    <row r="14144" spans="38:38" x14ac:dyDescent="0.25">
      <c r="AL14144" s="6"/>
    </row>
    <row r="14145" spans="38:38" x14ac:dyDescent="0.25">
      <c r="AL14145" s="6"/>
    </row>
    <row r="14146" spans="38:38" x14ac:dyDescent="0.25">
      <c r="AL14146" s="6"/>
    </row>
    <row r="14147" spans="38:38" x14ac:dyDescent="0.25">
      <c r="AL14147" s="6"/>
    </row>
    <row r="14148" spans="38:38" x14ac:dyDescent="0.25">
      <c r="AL14148" s="6"/>
    </row>
    <row r="14149" spans="38:38" x14ac:dyDescent="0.25">
      <c r="AL14149" s="6"/>
    </row>
    <row r="14150" spans="38:38" x14ac:dyDescent="0.25">
      <c r="AL14150" s="6"/>
    </row>
    <row r="14151" spans="38:38" x14ac:dyDescent="0.25">
      <c r="AL14151" s="6"/>
    </row>
    <row r="14152" spans="38:38" x14ac:dyDescent="0.25">
      <c r="AL14152" s="6"/>
    </row>
    <row r="14153" spans="38:38" x14ac:dyDescent="0.25">
      <c r="AL14153" s="6"/>
    </row>
    <row r="14154" spans="38:38" x14ac:dyDescent="0.25">
      <c r="AL14154" s="6"/>
    </row>
    <row r="14155" spans="38:38" x14ac:dyDescent="0.25">
      <c r="AL14155" s="6"/>
    </row>
    <row r="14156" spans="38:38" x14ac:dyDescent="0.25">
      <c r="AL14156" s="6"/>
    </row>
    <row r="14157" spans="38:38" x14ac:dyDescent="0.25">
      <c r="AL14157" s="6"/>
    </row>
    <row r="14158" spans="38:38" x14ac:dyDescent="0.25">
      <c r="AL14158" s="6"/>
    </row>
    <row r="14159" spans="38:38" x14ac:dyDescent="0.25">
      <c r="AL14159" s="6"/>
    </row>
    <row r="14160" spans="38:38" x14ac:dyDescent="0.25">
      <c r="AL14160" s="6"/>
    </row>
    <row r="14161" spans="38:38" x14ac:dyDescent="0.25">
      <c r="AL14161" s="6"/>
    </row>
    <row r="14162" spans="38:38" x14ac:dyDescent="0.25">
      <c r="AL14162" s="6"/>
    </row>
    <row r="14163" spans="38:38" x14ac:dyDescent="0.25">
      <c r="AL14163" s="6"/>
    </row>
    <row r="14164" spans="38:38" x14ac:dyDescent="0.25">
      <c r="AL14164" s="6"/>
    </row>
    <row r="14165" spans="38:38" x14ac:dyDescent="0.25">
      <c r="AL14165" s="6"/>
    </row>
    <row r="14166" spans="38:38" x14ac:dyDescent="0.25">
      <c r="AL14166" s="6"/>
    </row>
    <row r="14167" spans="38:38" x14ac:dyDescent="0.25">
      <c r="AL14167" s="6"/>
    </row>
    <row r="14168" spans="38:38" x14ac:dyDescent="0.25">
      <c r="AL14168" s="6"/>
    </row>
    <row r="14169" spans="38:38" x14ac:dyDescent="0.25">
      <c r="AL14169" s="6"/>
    </row>
    <row r="14170" spans="38:38" x14ac:dyDescent="0.25">
      <c r="AL14170" s="6"/>
    </row>
    <row r="14171" spans="38:38" x14ac:dyDescent="0.25">
      <c r="AL14171" s="6"/>
    </row>
    <row r="14172" spans="38:38" x14ac:dyDescent="0.25">
      <c r="AL14172" s="6"/>
    </row>
    <row r="14173" spans="38:38" x14ac:dyDescent="0.25">
      <c r="AL14173" s="6"/>
    </row>
    <row r="14174" spans="38:38" x14ac:dyDescent="0.25">
      <c r="AL14174" s="6"/>
    </row>
    <row r="14175" spans="38:38" x14ac:dyDescent="0.25">
      <c r="AL14175" s="6"/>
    </row>
    <row r="14176" spans="38:38" x14ac:dyDescent="0.25">
      <c r="AL14176" s="6"/>
    </row>
    <row r="14177" spans="38:38" x14ac:dyDescent="0.25">
      <c r="AL14177" s="6"/>
    </row>
    <row r="14178" spans="38:38" x14ac:dyDescent="0.25">
      <c r="AL14178" s="6"/>
    </row>
    <row r="14179" spans="38:38" x14ac:dyDescent="0.25">
      <c r="AL14179" s="6"/>
    </row>
    <row r="14180" spans="38:38" x14ac:dyDescent="0.25">
      <c r="AL14180" s="6"/>
    </row>
    <row r="14181" spans="38:38" x14ac:dyDescent="0.25">
      <c r="AL14181" s="6"/>
    </row>
    <row r="14182" spans="38:38" x14ac:dyDescent="0.25">
      <c r="AL14182" s="6"/>
    </row>
    <row r="14183" spans="38:38" x14ac:dyDescent="0.25">
      <c r="AL14183" s="6"/>
    </row>
    <row r="14184" spans="38:38" x14ac:dyDescent="0.25">
      <c r="AL14184" s="6"/>
    </row>
    <row r="14185" spans="38:38" x14ac:dyDescent="0.25">
      <c r="AL14185" s="6"/>
    </row>
    <row r="14186" spans="38:38" x14ac:dyDescent="0.25">
      <c r="AL14186" s="6"/>
    </row>
    <row r="14187" spans="38:38" x14ac:dyDescent="0.25">
      <c r="AL14187" s="6"/>
    </row>
    <row r="14188" spans="38:38" x14ac:dyDescent="0.25">
      <c r="AL14188" s="6"/>
    </row>
    <row r="14189" spans="38:38" x14ac:dyDescent="0.25">
      <c r="AL14189" s="6"/>
    </row>
    <row r="14190" spans="38:38" x14ac:dyDescent="0.25">
      <c r="AL14190" s="6"/>
    </row>
    <row r="14191" spans="38:38" x14ac:dyDescent="0.25">
      <c r="AL14191" s="6"/>
    </row>
    <row r="14192" spans="38:38" x14ac:dyDescent="0.25">
      <c r="AL14192" s="6"/>
    </row>
    <row r="14193" spans="38:38" x14ac:dyDescent="0.25">
      <c r="AL14193" s="6"/>
    </row>
    <row r="14194" spans="38:38" x14ac:dyDescent="0.25">
      <c r="AL14194" s="6"/>
    </row>
    <row r="14195" spans="38:38" x14ac:dyDescent="0.25">
      <c r="AL14195" s="6"/>
    </row>
    <row r="14196" spans="38:38" x14ac:dyDescent="0.25">
      <c r="AL14196" s="6"/>
    </row>
    <row r="14197" spans="38:38" x14ac:dyDescent="0.25">
      <c r="AL14197" s="6"/>
    </row>
    <row r="14198" spans="38:38" x14ac:dyDescent="0.25">
      <c r="AL14198" s="6"/>
    </row>
    <row r="14199" spans="38:38" x14ac:dyDescent="0.25">
      <c r="AL14199" s="6"/>
    </row>
    <row r="14200" spans="38:38" x14ac:dyDescent="0.25">
      <c r="AL14200" s="6"/>
    </row>
    <row r="14201" spans="38:38" x14ac:dyDescent="0.25">
      <c r="AL14201" s="6"/>
    </row>
    <row r="14202" spans="38:38" x14ac:dyDescent="0.25">
      <c r="AL14202" s="6"/>
    </row>
    <row r="14203" spans="38:38" x14ac:dyDescent="0.25">
      <c r="AL14203" s="6"/>
    </row>
    <row r="14204" spans="38:38" x14ac:dyDescent="0.25">
      <c r="AL14204" s="6"/>
    </row>
    <row r="14205" spans="38:38" x14ac:dyDescent="0.25">
      <c r="AL14205" s="6"/>
    </row>
    <row r="14206" spans="38:38" x14ac:dyDescent="0.25">
      <c r="AL14206" s="6"/>
    </row>
    <row r="14207" spans="38:38" x14ac:dyDescent="0.25">
      <c r="AL14207" s="6"/>
    </row>
    <row r="14208" spans="38:38" x14ac:dyDescent="0.25">
      <c r="AL14208" s="6"/>
    </row>
    <row r="14209" spans="38:38" x14ac:dyDescent="0.25">
      <c r="AL14209" s="6"/>
    </row>
    <row r="14210" spans="38:38" x14ac:dyDescent="0.25">
      <c r="AL14210" s="6"/>
    </row>
    <row r="14211" spans="38:38" x14ac:dyDescent="0.25">
      <c r="AL14211" s="6"/>
    </row>
    <row r="14212" spans="38:38" x14ac:dyDescent="0.25">
      <c r="AL14212" s="6"/>
    </row>
    <row r="14213" spans="38:38" x14ac:dyDescent="0.25">
      <c r="AL14213" s="6"/>
    </row>
    <row r="14214" spans="38:38" x14ac:dyDescent="0.25">
      <c r="AL14214" s="6"/>
    </row>
    <row r="14215" spans="38:38" x14ac:dyDescent="0.25">
      <c r="AL14215" s="6"/>
    </row>
    <row r="14216" spans="38:38" x14ac:dyDescent="0.25">
      <c r="AL14216" s="6"/>
    </row>
    <row r="14217" spans="38:38" x14ac:dyDescent="0.25">
      <c r="AL14217" s="6"/>
    </row>
    <row r="14218" spans="38:38" x14ac:dyDescent="0.25">
      <c r="AL14218" s="6"/>
    </row>
    <row r="14219" spans="38:38" x14ac:dyDescent="0.25">
      <c r="AL14219" s="6"/>
    </row>
    <row r="14220" spans="38:38" x14ac:dyDescent="0.25">
      <c r="AL14220" s="6"/>
    </row>
    <row r="14221" spans="38:38" x14ac:dyDescent="0.25">
      <c r="AL14221" s="6"/>
    </row>
    <row r="14222" spans="38:38" x14ac:dyDescent="0.25">
      <c r="AL14222" s="6"/>
    </row>
    <row r="14223" spans="38:38" x14ac:dyDescent="0.25">
      <c r="AL14223" s="6"/>
    </row>
    <row r="14224" spans="38:38" x14ac:dyDescent="0.25">
      <c r="AL14224" s="6"/>
    </row>
    <row r="14225" spans="38:38" x14ac:dyDescent="0.25">
      <c r="AL14225" s="6"/>
    </row>
    <row r="14226" spans="38:38" x14ac:dyDescent="0.25">
      <c r="AL14226" s="6"/>
    </row>
    <row r="14227" spans="38:38" x14ac:dyDescent="0.25">
      <c r="AL14227" s="6"/>
    </row>
    <row r="14228" spans="38:38" x14ac:dyDescent="0.25">
      <c r="AL14228" s="6"/>
    </row>
    <row r="14229" spans="38:38" x14ac:dyDescent="0.25">
      <c r="AL14229" s="6"/>
    </row>
    <row r="14230" spans="38:38" x14ac:dyDescent="0.25">
      <c r="AL14230" s="6"/>
    </row>
    <row r="14231" spans="38:38" x14ac:dyDescent="0.25">
      <c r="AL14231" s="6"/>
    </row>
    <row r="14232" spans="38:38" x14ac:dyDescent="0.25">
      <c r="AL14232" s="6"/>
    </row>
    <row r="14233" spans="38:38" x14ac:dyDescent="0.25">
      <c r="AL14233" s="6"/>
    </row>
    <row r="14234" spans="38:38" x14ac:dyDescent="0.25">
      <c r="AL14234" s="6"/>
    </row>
    <row r="14235" spans="38:38" x14ac:dyDescent="0.25">
      <c r="AL14235" s="6"/>
    </row>
    <row r="14236" spans="38:38" x14ac:dyDescent="0.25">
      <c r="AL14236" s="6"/>
    </row>
    <row r="14237" spans="38:38" x14ac:dyDescent="0.25">
      <c r="AL14237" s="6"/>
    </row>
    <row r="14238" spans="38:38" x14ac:dyDescent="0.25">
      <c r="AL14238" s="6"/>
    </row>
    <row r="14239" spans="38:38" x14ac:dyDescent="0.25">
      <c r="AL14239" s="6"/>
    </row>
    <row r="14240" spans="38:38" x14ac:dyDescent="0.25">
      <c r="AL14240" s="6"/>
    </row>
    <row r="14241" spans="38:38" x14ac:dyDescent="0.25">
      <c r="AL14241" s="6"/>
    </row>
    <row r="14242" spans="38:38" x14ac:dyDescent="0.25">
      <c r="AL14242" s="6"/>
    </row>
    <row r="14243" spans="38:38" x14ac:dyDescent="0.25">
      <c r="AL14243" s="6"/>
    </row>
    <row r="14244" spans="38:38" x14ac:dyDescent="0.25">
      <c r="AL14244" s="6"/>
    </row>
    <row r="14245" spans="38:38" x14ac:dyDescent="0.25">
      <c r="AL14245" s="6"/>
    </row>
    <row r="14246" spans="38:38" x14ac:dyDescent="0.25">
      <c r="AL14246" s="6"/>
    </row>
    <row r="14247" spans="38:38" x14ac:dyDescent="0.25">
      <c r="AL14247" s="6"/>
    </row>
    <row r="14248" spans="38:38" x14ac:dyDescent="0.25">
      <c r="AL14248" s="6"/>
    </row>
    <row r="14249" spans="38:38" x14ac:dyDescent="0.25">
      <c r="AL14249" s="6"/>
    </row>
    <row r="14250" spans="38:38" x14ac:dyDescent="0.25">
      <c r="AL14250" s="6"/>
    </row>
    <row r="14251" spans="38:38" x14ac:dyDescent="0.25">
      <c r="AL14251" s="6"/>
    </row>
    <row r="14252" spans="38:38" x14ac:dyDescent="0.25">
      <c r="AL14252" s="6"/>
    </row>
    <row r="14253" spans="38:38" x14ac:dyDescent="0.25">
      <c r="AL14253" s="6"/>
    </row>
    <row r="14254" spans="38:38" x14ac:dyDescent="0.25">
      <c r="AL14254" s="6"/>
    </row>
    <row r="14255" spans="38:38" x14ac:dyDescent="0.25">
      <c r="AL14255" s="6"/>
    </row>
    <row r="14256" spans="38:38" x14ac:dyDescent="0.25">
      <c r="AL14256" s="6"/>
    </row>
    <row r="14257" spans="38:38" x14ac:dyDescent="0.25">
      <c r="AL14257" s="6"/>
    </row>
    <row r="14258" spans="38:38" x14ac:dyDescent="0.25">
      <c r="AL14258" s="6"/>
    </row>
    <row r="14259" spans="38:38" x14ac:dyDescent="0.25">
      <c r="AL14259" s="6"/>
    </row>
    <row r="14260" spans="38:38" x14ac:dyDescent="0.25">
      <c r="AL14260" s="6"/>
    </row>
    <row r="14261" spans="38:38" x14ac:dyDescent="0.25">
      <c r="AL14261" s="6"/>
    </row>
    <row r="14262" spans="38:38" x14ac:dyDescent="0.25">
      <c r="AL14262" s="6"/>
    </row>
    <row r="14263" spans="38:38" x14ac:dyDescent="0.25">
      <c r="AL14263" s="6"/>
    </row>
    <row r="14264" spans="38:38" x14ac:dyDescent="0.25">
      <c r="AL14264" s="6"/>
    </row>
    <row r="14265" spans="38:38" x14ac:dyDescent="0.25">
      <c r="AL14265" s="6"/>
    </row>
    <row r="14266" spans="38:38" x14ac:dyDescent="0.25">
      <c r="AL14266" s="6"/>
    </row>
    <row r="14267" spans="38:38" x14ac:dyDescent="0.25">
      <c r="AL14267" s="6"/>
    </row>
    <row r="14268" spans="38:38" x14ac:dyDescent="0.25">
      <c r="AL14268" s="6"/>
    </row>
    <row r="14269" spans="38:38" x14ac:dyDescent="0.25">
      <c r="AL14269" s="6"/>
    </row>
    <row r="14270" spans="38:38" x14ac:dyDescent="0.25">
      <c r="AL14270" s="6"/>
    </row>
    <row r="14271" spans="38:38" x14ac:dyDescent="0.25">
      <c r="AL14271" s="6"/>
    </row>
    <row r="14272" spans="38:38" x14ac:dyDescent="0.25">
      <c r="AL14272" s="6"/>
    </row>
    <row r="14273" spans="38:38" x14ac:dyDescent="0.25">
      <c r="AL14273" s="6"/>
    </row>
    <row r="14274" spans="38:38" x14ac:dyDescent="0.25">
      <c r="AL14274" s="6"/>
    </row>
    <row r="14275" spans="38:38" x14ac:dyDescent="0.25">
      <c r="AL14275" s="6"/>
    </row>
    <row r="14276" spans="38:38" x14ac:dyDescent="0.25">
      <c r="AL14276" s="6"/>
    </row>
    <row r="14277" spans="38:38" x14ac:dyDescent="0.25">
      <c r="AL14277" s="6"/>
    </row>
    <row r="14278" spans="38:38" x14ac:dyDescent="0.25">
      <c r="AL14278" s="6"/>
    </row>
    <row r="14279" spans="38:38" x14ac:dyDescent="0.25">
      <c r="AL14279" s="6"/>
    </row>
    <row r="14280" spans="38:38" x14ac:dyDescent="0.25">
      <c r="AL14280" s="6"/>
    </row>
    <row r="14281" spans="38:38" x14ac:dyDescent="0.25">
      <c r="AL14281" s="6"/>
    </row>
    <row r="14282" spans="38:38" x14ac:dyDescent="0.25">
      <c r="AL14282" s="6"/>
    </row>
    <row r="14283" spans="38:38" x14ac:dyDescent="0.25">
      <c r="AL14283" s="6"/>
    </row>
    <row r="14284" spans="38:38" x14ac:dyDescent="0.25">
      <c r="AL14284" s="6"/>
    </row>
    <row r="14285" spans="38:38" x14ac:dyDescent="0.25">
      <c r="AL14285" s="6"/>
    </row>
    <row r="14286" spans="38:38" x14ac:dyDescent="0.25">
      <c r="AL14286" s="6"/>
    </row>
    <row r="14287" spans="38:38" x14ac:dyDescent="0.25">
      <c r="AL14287" s="6"/>
    </row>
    <row r="14288" spans="38:38" x14ac:dyDescent="0.25">
      <c r="AL14288" s="6"/>
    </row>
    <row r="14289" spans="38:38" x14ac:dyDescent="0.25">
      <c r="AL14289" s="6"/>
    </row>
    <row r="14290" spans="38:38" x14ac:dyDescent="0.25">
      <c r="AL14290" s="6"/>
    </row>
    <row r="14291" spans="38:38" x14ac:dyDescent="0.25">
      <c r="AL14291" s="6"/>
    </row>
    <row r="14292" spans="38:38" x14ac:dyDescent="0.25">
      <c r="AL14292" s="6"/>
    </row>
    <row r="14293" spans="38:38" x14ac:dyDescent="0.25">
      <c r="AL14293" s="6"/>
    </row>
    <row r="14294" spans="38:38" x14ac:dyDescent="0.25">
      <c r="AL14294" s="6"/>
    </row>
    <row r="14295" spans="38:38" x14ac:dyDescent="0.25">
      <c r="AL14295" s="6"/>
    </row>
    <row r="14296" spans="38:38" x14ac:dyDescent="0.25">
      <c r="AL14296" s="6"/>
    </row>
    <row r="14297" spans="38:38" x14ac:dyDescent="0.25">
      <c r="AL14297" s="6"/>
    </row>
    <row r="14298" spans="38:38" x14ac:dyDescent="0.25">
      <c r="AL14298" s="6"/>
    </row>
    <row r="14299" spans="38:38" x14ac:dyDescent="0.25">
      <c r="AL14299" s="6"/>
    </row>
    <row r="14300" spans="38:38" x14ac:dyDescent="0.25">
      <c r="AL14300" s="6"/>
    </row>
    <row r="14301" spans="38:38" x14ac:dyDescent="0.25">
      <c r="AL14301" s="6"/>
    </row>
    <row r="14302" spans="38:38" x14ac:dyDescent="0.25">
      <c r="AL14302" s="6"/>
    </row>
    <row r="14303" spans="38:38" x14ac:dyDescent="0.25">
      <c r="AL14303" s="6"/>
    </row>
    <row r="14304" spans="38:38" x14ac:dyDescent="0.25">
      <c r="AL14304" s="6"/>
    </row>
    <row r="14305" spans="38:38" x14ac:dyDescent="0.25">
      <c r="AL14305" s="6"/>
    </row>
    <row r="14306" spans="38:38" x14ac:dyDescent="0.25">
      <c r="AL14306" s="6"/>
    </row>
    <row r="14307" spans="38:38" x14ac:dyDescent="0.25">
      <c r="AL14307" s="6"/>
    </row>
    <row r="14308" spans="38:38" x14ac:dyDescent="0.25">
      <c r="AL14308" s="6"/>
    </row>
    <row r="14309" spans="38:38" x14ac:dyDescent="0.25">
      <c r="AL14309" s="6"/>
    </row>
    <row r="14310" spans="38:38" x14ac:dyDescent="0.25">
      <c r="AL14310" s="6"/>
    </row>
    <row r="14311" spans="38:38" x14ac:dyDescent="0.25">
      <c r="AL14311" s="6"/>
    </row>
    <row r="14312" spans="38:38" x14ac:dyDescent="0.25">
      <c r="AL14312" s="6"/>
    </row>
    <row r="14313" spans="38:38" x14ac:dyDescent="0.25">
      <c r="AL14313" s="6"/>
    </row>
    <row r="14314" spans="38:38" x14ac:dyDescent="0.25">
      <c r="AL14314" s="6"/>
    </row>
    <row r="14315" spans="38:38" x14ac:dyDescent="0.25">
      <c r="AL14315" s="6"/>
    </row>
    <row r="14316" spans="38:38" x14ac:dyDescent="0.25">
      <c r="AL14316" s="6"/>
    </row>
    <row r="14317" spans="38:38" x14ac:dyDescent="0.25">
      <c r="AL14317" s="6"/>
    </row>
    <row r="14318" spans="38:38" x14ac:dyDescent="0.25">
      <c r="AL14318" s="6"/>
    </row>
    <row r="14319" spans="38:38" x14ac:dyDescent="0.25">
      <c r="AL14319" s="6"/>
    </row>
    <row r="14320" spans="38:38" x14ac:dyDescent="0.25">
      <c r="AL14320" s="6"/>
    </row>
    <row r="14321" spans="38:38" x14ac:dyDescent="0.25">
      <c r="AL14321" s="6"/>
    </row>
    <row r="14322" spans="38:38" x14ac:dyDescent="0.25">
      <c r="AL14322" s="6"/>
    </row>
    <row r="14323" spans="38:38" x14ac:dyDescent="0.25">
      <c r="AL14323" s="6"/>
    </row>
    <row r="14324" spans="38:38" x14ac:dyDescent="0.25">
      <c r="AL14324" s="6"/>
    </row>
    <row r="14325" spans="38:38" x14ac:dyDescent="0.25">
      <c r="AL14325" s="6"/>
    </row>
    <row r="14326" spans="38:38" x14ac:dyDescent="0.25">
      <c r="AL14326" s="6"/>
    </row>
    <row r="14327" spans="38:38" x14ac:dyDescent="0.25">
      <c r="AL14327" s="6"/>
    </row>
    <row r="14328" spans="38:38" x14ac:dyDescent="0.25">
      <c r="AL14328" s="6"/>
    </row>
    <row r="14329" spans="38:38" x14ac:dyDescent="0.25">
      <c r="AL14329" s="6"/>
    </row>
    <row r="14330" spans="38:38" x14ac:dyDescent="0.25">
      <c r="AL14330" s="6"/>
    </row>
    <row r="14331" spans="38:38" x14ac:dyDescent="0.25">
      <c r="AL14331" s="6"/>
    </row>
    <row r="14332" spans="38:38" x14ac:dyDescent="0.25">
      <c r="AL14332" s="6"/>
    </row>
    <row r="14333" spans="38:38" x14ac:dyDescent="0.25">
      <c r="AL14333" s="6"/>
    </row>
    <row r="14334" spans="38:38" x14ac:dyDescent="0.25">
      <c r="AL14334" s="6"/>
    </row>
    <row r="14335" spans="38:38" x14ac:dyDescent="0.25">
      <c r="AL14335" s="6"/>
    </row>
    <row r="14336" spans="38:38" x14ac:dyDescent="0.25">
      <c r="AL14336" s="6"/>
    </row>
    <row r="14337" spans="38:38" x14ac:dyDescent="0.25">
      <c r="AL14337" s="6"/>
    </row>
    <row r="14338" spans="38:38" x14ac:dyDescent="0.25">
      <c r="AL14338" s="6"/>
    </row>
    <row r="14339" spans="38:38" x14ac:dyDescent="0.25">
      <c r="AL14339" s="6"/>
    </row>
    <row r="14340" spans="38:38" x14ac:dyDescent="0.25">
      <c r="AL14340" s="6"/>
    </row>
    <row r="14341" spans="38:38" x14ac:dyDescent="0.25">
      <c r="AL14341" s="6"/>
    </row>
    <row r="14342" spans="38:38" x14ac:dyDescent="0.25">
      <c r="AL14342" s="6"/>
    </row>
    <row r="14343" spans="38:38" x14ac:dyDescent="0.25">
      <c r="AL14343" s="6"/>
    </row>
    <row r="14344" spans="38:38" x14ac:dyDescent="0.25">
      <c r="AL14344" s="6"/>
    </row>
    <row r="14345" spans="38:38" x14ac:dyDescent="0.25">
      <c r="AL14345" s="6"/>
    </row>
    <row r="14346" spans="38:38" x14ac:dyDescent="0.25">
      <c r="AL14346" s="6"/>
    </row>
    <row r="14347" spans="38:38" x14ac:dyDescent="0.25">
      <c r="AL14347" s="6"/>
    </row>
    <row r="14348" spans="38:38" x14ac:dyDescent="0.25">
      <c r="AL14348" s="6"/>
    </row>
    <row r="14349" spans="38:38" x14ac:dyDescent="0.25">
      <c r="AL14349" s="6"/>
    </row>
    <row r="14350" spans="38:38" x14ac:dyDescent="0.25">
      <c r="AL14350" s="6"/>
    </row>
    <row r="14351" spans="38:38" x14ac:dyDescent="0.25">
      <c r="AL14351" s="6"/>
    </row>
    <row r="14352" spans="38:38" x14ac:dyDescent="0.25">
      <c r="AL14352" s="6"/>
    </row>
    <row r="14353" spans="38:38" x14ac:dyDescent="0.25">
      <c r="AL14353" s="6"/>
    </row>
    <row r="14354" spans="38:38" x14ac:dyDescent="0.25">
      <c r="AL14354" s="6"/>
    </row>
    <row r="14355" spans="38:38" x14ac:dyDescent="0.25">
      <c r="AL14355" s="6"/>
    </row>
    <row r="14356" spans="38:38" x14ac:dyDescent="0.25">
      <c r="AL14356" s="6"/>
    </row>
    <row r="14357" spans="38:38" x14ac:dyDescent="0.25">
      <c r="AL14357" s="6"/>
    </row>
    <row r="14358" spans="38:38" x14ac:dyDescent="0.25">
      <c r="AL14358" s="6"/>
    </row>
    <row r="14359" spans="38:38" x14ac:dyDescent="0.25">
      <c r="AL14359" s="6"/>
    </row>
    <row r="14360" spans="38:38" x14ac:dyDescent="0.25">
      <c r="AL14360" s="6"/>
    </row>
    <row r="14361" spans="38:38" x14ac:dyDescent="0.25">
      <c r="AL14361" s="6"/>
    </row>
    <row r="14362" spans="38:38" x14ac:dyDescent="0.25">
      <c r="AL14362" s="6"/>
    </row>
    <row r="14363" spans="38:38" x14ac:dyDescent="0.25">
      <c r="AL14363" s="6"/>
    </row>
    <row r="14364" spans="38:38" x14ac:dyDescent="0.25">
      <c r="AL14364" s="6"/>
    </row>
    <row r="14365" spans="38:38" x14ac:dyDescent="0.25">
      <c r="AL14365" s="6"/>
    </row>
    <row r="14366" spans="38:38" x14ac:dyDescent="0.25">
      <c r="AL14366" s="6"/>
    </row>
    <row r="14367" spans="38:38" x14ac:dyDescent="0.25">
      <c r="AL14367" s="6"/>
    </row>
    <row r="14368" spans="38:38" x14ac:dyDescent="0.25">
      <c r="AL14368" s="6"/>
    </row>
    <row r="14369" spans="38:38" x14ac:dyDescent="0.25">
      <c r="AL14369" s="6"/>
    </row>
    <row r="14370" spans="38:38" x14ac:dyDescent="0.25">
      <c r="AL14370" s="6"/>
    </row>
    <row r="14371" spans="38:38" x14ac:dyDescent="0.25">
      <c r="AL14371" s="6"/>
    </row>
    <row r="14372" spans="38:38" x14ac:dyDescent="0.25">
      <c r="AL14372" s="6"/>
    </row>
    <row r="14373" spans="38:38" x14ac:dyDescent="0.25">
      <c r="AL14373" s="6"/>
    </row>
    <row r="14374" spans="38:38" x14ac:dyDescent="0.25">
      <c r="AL14374" s="6"/>
    </row>
    <row r="14375" spans="38:38" x14ac:dyDescent="0.25">
      <c r="AL14375" s="6"/>
    </row>
    <row r="14376" spans="38:38" x14ac:dyDescent="0.25">
      <c r="AL14376" s="6"/>
    </row>
    <row r="14377" spans="38:38" x14ac:dyDescent="0.25">
      <c r="AL14377" s="6"/>
    </row>
    <row r="14378" spans="38:38" x14ac:dyDescent="0.25">
      <c r="AL14378" s="6"/>
    </row>
    <row r="14379" spans="38:38" x14ac:dyDescent="0.25">
      <c r="AL14379" s="6"/>
    </row>
    <row r="14380" spans="38:38" x14ac:dyDescent="0.25">
      <c r="AL14380" s="6"/>
    </row>
    <row r="14381" spans="38:38" x14ac:dyDescent="0.25">
      <c r="AL14381" s="6"/>
    </row>
    <row r="14382" spans="38:38" x14ac:dyDescent="0.25">
      <c r="AL14382" s="6"/>
    </row>
    <row r="14383" spans="38:38" x14ac:dyDescent="0.25">
      <c r="AL14383" s="6"/>
    </row>
    <row r="14384" spans="38:38" x14ac:dyDescent="0.25">
      <c r="AL14384" s="6"/>
    </row>
    <row r="14385" spans="38:38" x14ac:dyDescent="0.25">
      <c r="AL14385" s="6"/>
    </row>
    <row r="14386" spans="38:38" x14ac:dyDescent="0.25">
      <c r="AL14386" s="6"/>
    </row>
    <row r="14387" spans="38:38" x14ac:dyDescent="0.25">
      <c r="AL14387" s="6"/>
    </row>
    <row r="14388" spans="38:38" x14ac:dyDescent="0.25">
      <c r="AL14388" s="6"/>
    </row>
    <row r="14389" spans="38:38" x14ac:dyDescent="0.25">
      <c r="AL14389" s="6"/>
    </row>
    <row r="14390" spans="38:38" x14ac:dyDescent="0.25">
      <c r="AL14390" s="6"/>
    </row>
    <row r="14391" spans="38:38" x14ac:dyDescent="0.25">
      <c r="AL14391" s="6"/>
    </row>
    <row r="14392" spans="38:38" x14ac:dyDescent="0.25">
      <c r="AL14392" s="6"/>
    </row>
    <row r="14393" spans="38:38" x14ac:dyDescent="0.25">
      <c r="AL14393" s="6"/>
    </row>
    <row r="14394" spans="38:38" x14ac:dyDescent="0.25">
      <c r="AL14394" s="6"/>
    </row>
    <row r="14395" spans="38:38" x14ac:dyDescent="0.25">
      <c r="AL14395" s="6"/>
    </row>
    <row r="14396" spans="38:38" x14ac:dyDescent="0.25">
      <c r="AL14396" s="6"/>
    </row>
    <row r="14397" spans="38:38" x14ac:dyDescent="0.25">
      <c r="AL14397" s="6"/>
    </row>
    <row r="14398" spans="38:38" x14ac:dyDescent="0.25">
      <c r="AL14398" s="6"/>
    </row>
    <row r="14399" spans="38:38" x14ac:dyDescent="0.25">
      <c r="AL14399" s="6"/>
    </row>
    <row r="14400" spans="38:38" x14ac:dyDescent="0.25">
      <c r="AL14400" s="6"/>
    </row>
    <row r="14401" spans="38:38" x14ac:dyDescent="0.25">
      <c r="AL14401" s="6"/>
    </row>
    <row r="14402" spans="38:38" x14ac:dyDescent="0.25">
      <c r="AL14402" s="6"/>
    </row>
    <row r="14403" spans="38:38" x14ac:dyDescent="0.25">
      <c r="AL14403" s="6"/>
    </row>
    <row r="14404" spans="38:38" x14ac:dyDescent="0.25">
      <c r="AL14404" s="6"/>
    </row>
    <row r="14405" spans="38:38" x14ac:dyDescent="0.25">
      <c r="AL14405" s="6"/>
    </row>
    <row r="14406" spans="38:38" x14ac:dyDescent="0.25">
      <c r="AL14406" s="6"/>
    </row>
    <row r="14407" spans="38:38" x14ac:dyDescent="0.25">
      <c r="AL14407" s="6"/>
    </row>
    <row r="14408" spans="38:38" x14ac:dyDescent="0.25">
      <c r="AL14408" s="6"/>
    </row>
    <row r="14409" spans="38:38" x14ac:dyDescent="0.25">
      <c r="AL14409" s="6"/>
    </row>
    <row r="14410" spans="38:38" x14ac:dyDescent="0.25">
      <c r="AL14410" s="6"/>
    </row>
    <row r="14411" spans="38:38" x14ac:dyDescent="0.25">
      <c r="AL14411" s="6"/>
    </row>
    <row r="14412" spans="38:38" x14ac:dyDescent="0.25">
      <c r="AL14412" s="6"/>
    </row>
    <row r="14413" spans="38:38" x14ac:dyDescent="0.25">
      <c r="AL14413" s="6"/>
    </row>
    <row r="14414" spans="38:38" x14ac:dyDescent="0.25">
      <c r="AL14414" s="6"/>
    </row>
    <row r="14415" spans="38:38" x14ac:dyDescent="0.25">
      <c r="AL14415" s="6"/>
    </row>
    <row r="14416" spans="38:38" x14ac:dyDescent="0.25">
      <c r="AL14416" s="6"/>
    </row>
    <row r="14417" spans="38:38" x14ac:dyDescent="0.25">
      <c r="AL14417" s="6"/>
    </row>
    <row r="14418" spans="38:38" x14ac:dyDescent="0.25">
      <c r="AL14418" s="6"/>
    </row>
    <row r="14419" spans="38:38" x14ac:dyDescent="0.25">
      <c r="AL14419" s="6"/>
    </row>
    <row r="14420" spans="38:38" x14ac:dyDescent="0.25">
      <c r="AL14420" s="6"/>
    </row>
    <row r="14421" spans="38:38" x14ac:dyDescent="0.25">
      <c r="AL14421" s="6"/>
    </row>
    <row r="14422" spans="38:38" x14ac:dyDescent="0.25">
      <c r="AL14422" s="6"/>
    </row>
    <row r="14423" spans="38:38" x14ac:dyDescent="0.25">
      <c r="AL14423" s="6"/>
    </row>
    <row r="14424" spans="38:38" x14ac:dyDescent="0.25">
      <c r="AL14424" s="6"/>
    </row>
    <row r="14425" spans="38:38" x14ac:dyDescent="0.25">
      <c r="AL14425" s="6"/>
    </row>
    <row r="14426" spans="38:38" x14ac:dyDescent="0.25">
      <c r="AL14426" s="6"/>
    </row>
    <row r="14427" spans="38:38" x14ac:dyDescent="0.25">
      <c r="AL14427" s="6"/>
    </row>
    <row r="14428" spans="38:38" x14ac:dyDescent="0.25">
      <c r="AL14428" s="6"/>
    </row>
    <row r="14429" spans="38:38" x14ac:dyDescent="0.25">
      <c r="AL14429" s="6"/>
    </row>
    <row r="14430" spans="38:38" x14ac:dyDescent="0.25">
      <c r="AL14430" s="6"/>
    </row>
    <row r="14431" spans="38:38" x14ac:dyDescent="0.25">
      <c r="AL14431" s="6"/>
    </row>
    <row r="14432" spans="38:38" x14ac:dyDescent="0.25">
      <c r="AL14432" s="6"/>
    </row>
    <row r="14433" spans="38:38" x14ac:dyDescent="0.25">
      <c r="AL14433" s="6"/>
    </row>
    <row r="14434" spans="38:38" x14ac:dyDescent="0.25">
      <c r="AL14434" s="6"/>
    </row>
    <row r="14435" spans="38:38" x14ac:dyDescent="0.25">
      <c r="AL14435" s="6"/>
    </row>
    <row r="14436" spans="38:38" x14ac:dyDescent="0.25">
      <c r="AL14436" s="6"/>
    </row>
    <row r="14437" spans="38:38" x14ac:dyDescent="0.25">
      <c r="AL14437" s="6"/>
    </row>
    <row r="14438" spans="38:38" x14ac:dyDescent="0.25">
      <c r="AL14438" s="6"/>
    </row>
    <row r="14439" spans="38:38" x14ac:dyDescent="0.25">
      <c r="AL14439" s="6"/>
    </row>
    <row r="14440" spans="38:38" x14ac:dyDescent="0.25">
      <c r="AL14440" s="6"/>
    </row>
    <row r="14441" spans="38:38" x14ac:dyDescent="0.25">
      <c r="AL14441" s="6"/>
    </row>
    <row r="14442" spans="38:38" x14ac:dyDescent="0.25">
      <c r="AL14442" s="6"/>
    </row>
    <row r="14443" spans="38:38" x14ac:dyDescent="0.25">
      <c r="AL14443" s="6"/>
    </row>
    <row r="14444" spans="38:38" x14ac:dyDescent="0.25">
      <c r="AL14444" s="6"/>
    </row>
    <row r="14445" spans="38:38" x14ac:dyDescent="0.25">
      <c r="AL14445" s="6"/>
    </row>
    <row r="14446" spans="38:38" x14ac:dyDescent="0.25">
      <c r="AL14446" s="6"/>
    </row>
    <row r="14447" spans="38:38" x14ac:dyDescent="0.25">
      <c r="AL14447" s="6"/>
    </row>
    <row r="14448" spans="38:38" x14ac:dyDescent="0.25">
      <c r="AL14448" s="6"/>
    </row>
    <row r="14449" spans="38:38" x14ac:dyDescent="0.25">
      <c r="AL14449" s="6"/>
    </row>
    <row r="14450" spans="38:38" x14ac:dyDescent="0.25">
      <c r="AL14450" s="6"/>
    </row>
    <row r="14451" spans="38:38" x14ac:dyDescent="0.25">
      <c r="AL14451" s="6"/>
    </row>
    <row r="14452" spans="38:38" x14ac:dyDescent="0.25">
      <c r="AL14452" s="6"/>
    </row>
    <row r="14453" spans="38:38" x14ac:dyDescent="0.25">
      <c r="AL14453" s="6"/>
    </row>
    <row r="14454" spans="38:38" x14ac:dyDescent="0.25">
      <c r="AL14454" s="6"/>
    </row>
    <row r="14455" spans="38:38" x14ac:dyDescent="0.25">
      <c r="AL14455" s="6"/>
    </row>
    <row r="14456" spans="38:38" x14ac:dyDescent="0.25">
      <c r="AL14456" s="6"/>
    </row>
    <row r="14457" spans="38:38" x14ac:dyDescent="0.25">
      <c r="AL14457" s="6"/>
    </row>
    <row r="14458" spans="38:38" x14ac:dyDescent="0.25">
      <c r="AL14458" s="6"/>
    </row>
    <row r="14459" spans="38:38" x14ac:dyDescent="0.25">
      <c r="AL14459" s="6"/>
    </row>
    <row r="14460" spans="38:38" x14ac:dyDescent="0.25">
      <c r="AL14460" s="6"/>
    </row>
    <row r="14461" spans="38:38" x14ac:dyDescent="0.25">
      <c r="AL14461" s="6"/>
    </row>
    <row r="14462" spans="38:38" x14ac:dyDescent="0.25">
      <c r="AL14462" s="6"/>
    </row>
    <row r="14463" spans="38:38" x14ac:dyDescent="0.25">
      <c r="AL14463" s="6"/>
    </row>
    <row r="14464" spans="38:38" x14ac:dyDescent="0.25">
      <c r="AL14464" s="6"/>
    </row>
    <row r="14465" spans="38:38" x14ac:dyDescent="0.25">
      <c r="AL14465" s="6"/>
    </row>
    <row r="14466" spans="38:38" x14ac:dyDescent="0.25">
      <c r="AL14466" s="6"/>
    </row>
    <row r="14467" spans="38:38" x14ac:dyDescent="0.25">
      <c r="AL14467" s="6"/>
    </row>
    <row r="14468" spans="38:38" x14ac:dyDescent="0.25">
      <c r="AL14468" s="6"/>
    </row>
    <row r="14469" spans="38:38" x14ac:dyDescent="0.25">
      <c r="AL14469" s="6"/>
    </row>
    <row r="14470" spans="38:38" x14ac:dyDescent="0.25">
      <c r="AL14470" s="6"/>
    </row>
    <row r="14471" spans="38:38" x14ac:dyDescent="0.25">
      <c r="AL14471" s="6"/>
    </row>
    <row r="14472" spans="38:38" x14ac:dyDescent="0.25">
      <c r="AL14472" s="6"/>
    </row>
    <row r="14473" spans="38:38" x14ac:dyDescent="0.25">
      <c r="AL14473" s="6"/>
    </row>
    <row r="14474" spans="38:38" x14ac:dyDescent="0.25">
      <c r="AL14474" s="6"/>
    </row>
    <row r="14475" spans="38:38" x14ac:dyDescent="0.25">
      <c r="AL14475" s="6"/>
    </row>
    <row r="14476" spans="38:38" x14ac:dyDescent="0.25">
      <c r="AL14476" s="6"/>
    </row>
    <row r="14477" spans="38:38" x14ac:dyDescent="0.25">
      <c r="AL14477" s="6"/>
    </row>
    <row r="14478" spans="38:38" x14ac:dyDescent="0.25">
      <c r="AL14478" s="6"/>
    </row>
    <row r="14479" spans="38:38" x14ac:dyDescent="0.25">
      <c r="AL14479" s="6"/>
    </row>
    <row r="14480" spans="38:38" x14ac:dyDescent="0.25">
      <c r="AL14480" s="6"/>
    </row>
    <row r="14481" spans="38:38" x14ac:dyDescent="0.25">
      <c r="AL14481" s="6"/>
    </row>
    <row r="14482" spans="38:38" x14ac:dyDescent="0.25">
      <c r="AL14482" s="6"/>
    </row>
    <row r="14483" spans="38:38" x14ac:dyDescent="0.25">
      <c r="AL14483" s="6"/>
    </row>
    <row r="14484" spans="38:38" x14ac:dyDescent="0.25">
      <c r="AL14484" s="6"/>
    </row>
    <row r="14485" spans="38:38" x14ac:dyDescent="0.25">
      <c r="AL14485" s="6"/>
    </row>
    <row r="14486" spans="38:38" x14ac:dyDescent="0.25">
      <c r="AL14486" s="6"/>
    </row>
    <row r="14487" spans="38:38" x14ac:dyDescent="0.25">
      <c r="AL14487" s="6"/>
    </row>
    <row r="14488" spans="38:38" x14ac:dyDescent="0.25">
      <c r="AL14488" s="6"/>
    </row>
    <row r="14489" spans="38:38" x14ac:dyDescent="0.25">
      <c r="AL14489" s="6"/>
    </row>
    <row r="14490" spans="38:38" x14ac:dyDescent="0.25">
      <c r="AL14490" s="6"/>
    </row>
    <row r="14491" spans="38:38" x14ac:dyDescent="0.25">
      <c r="AL14491" s="6"/>
    </row>
    <row r="14492" spans="38:38" x14ac:dyDescent="0.25">
      <c r="AL14492" s="6"/>
    </row>
    <row r="14493" spans="38:38" x14ac:dyDescent="0.25">
      <c r="AL14493" s="6"/>
    </row>
    <row r="14494" spans="38:38" x14ac:dyDescent="0.25">
      <c r="AL14494" s="6"/>
    </row>
    <row r="14495" spans="38:38" x14ac:dyDescent="0.25">
      <c r="AL14495" s="6"/>
    </row>
    <row r="14496" spans="38:38" x14ac:dyDescent="0.25">
      <c r="AL14496" s="6"/>
    </row>
    <row r="14497" spans="38:38" x14ac:dyDescent="0.25">
      <c r="AL14497" s="6"/>
    </row>
    <row r="14498" spans="38:38" x14ac:dyDescent="0.25">
      <c r="AL14498" s="6"/>
    </row>
    <row r="14499" spans="38:38" x14ac:dyDescent="0.25">
      <c r="AL14499" s="6"/>
    </row>
    <row r="14500" spans="38:38" x14ac:dyDescent="0.25">
      <c r="AL14500" s="6"/>
    </row>
    <row r="14501" spans="38:38" x14ac:dyDescent="0.25">
      <c r="AL14501" s="6"/>
    </row>
    <row r="14502" spans="38:38" x14ac:dyDescent="0.25">
      <c r="AL14502" s="6"/>
    </row>
    <row r="14503" spans="38:38" x14ac:dyDescent="0.25">
      <c r="AL14503" s="6"/>
    </row>
    <row r="14504" spans="38:38" x14ac:dyDescent="0.25">
      <c r="AL14504" s="6"/>
    </row>
    <row r="14505" spans="38:38" x14ac:dyDescent="0.25">
      <c r="AL14505" s="6"/>
    </row>
    <row r="14506" spans="38:38" x14ac:dyDescent="0.25">
      <c r="AL14506" s="6"/>
    </row>
    <row r="14507" spans="38:38" x14ac:dyDescent="0.25">
      <c r="AL14507" s="6"/>
    </row>
    <row r="14508" spans="38:38" x14ac:dyDescent="0.25">
      <c r="AL14508" s="6"/>
    </row>
    <row r="14509" spans="38:38" x14ac:dyDescent="0.25">
      <c r="AL14509" s="6"/>
    </row>
    <row r="14510" spans="38:38" x14ac:dyDescent="0.25">
      <c r="AL14510" s="6"/>
    </row>
    <row r="14511" spans="38:38" x14ac:dyDescent="0.25">
      <c r="AL14511" s="6"/>
    </row>
    <row r="14512" spans="38:38" x14ac:dyDescent="0.25">
      <c r="AL14512" s="6"/>
    </row>
    <row r="14513" spans="38:38" x14ac:dyDescent="0.25">
      <c r="AL14513" s="6"/>
    </row>
    <row r="14514" spans="38:38" x14ac:dyDescent="0.25">
      <c r="AL14514" s="6"/>
    </row>
    <row r="14515" spans="38:38" x14ac:dyDescent="0.25">
      <c r="AL14515" s="6"/>
    </row>
    <row r="14516" spans="38:38" x14ac:dyDescent="0.25">
      <c r="AL14516" s="6"/>
    </row>
    <row r="14517" spans="38:38" x14ac:dyDescent="0.25">
      <c r="AL14517" s="6"/>
    </row>
    <row r="14518" spans="38:38" x14ac:dyDescent="0.25">
      <c r="AL14518" s="6"/>
    </row>
    <row r="14519" spans="38:38" x14ac:dyDescent="0.25">
      <c r="AL14519" s="6"/>
    </row>
    <row r="14520" spans="38:38" x14ac:dyDescent="0.25">
      <c r="AL14520" s="6"/>
    </row>
    <row r="14521" spans="38:38" x14ac:dyDescent="0.25">
      <c r="AL14521" s="6"/>
    </row>
    <row r="14522" spans="38:38" x14ac:dyDescent="0.25">
      <c r="AL14522" s="6"/>
    </row>
    <row r="14523" spans="38:38" x14ac:dyDescent="0.25">
      <c r="AL14523" s="6"/>
    </row>
    <row r="14524" spans="38:38" x14ac:dyDescent="0.25">
      <c r="AL14524" s="6"/>
    </row>
    <row r="14525" spans="38:38" x14ac:dyDescent="0.25">
      <c r="AL14525" s="6"/>
    </row>
    <row r="14526" spans="38:38" x14ac:dyDescent="0.25">
      <c r="AL14526" s="6"/>
    </row>
    <row r="14527" spans="38:38" x14ac:dyDescent="0.25">
      <c r="AL14527" s="6"/>
    </row>
    <row r="14528" spans="38:38" x14ac:dyDescent="0.25">
      <c r="AL14528" s="6"/>
    </row>
    <row r="14529" spans="38:38" x14ac:dyDescent="0.25">
      <c r="AL14529" s="6"/>
    </row>
    <row r="14530" spans="38:38" x14ac:dyDescent="0.25">
      <c r="AL14530" s="6"/>
    </row>
    <row r="14531" spans="38:38" x14ac:dyDescent="0.25">
      <c r="AL14531" s="6"/>
    </row>
    <row r="14532" spans="38:38" x14ac:dyDescent="0.25">
      <c r="AL14532" s="6"/>
    </row>
    <row r="14533" spans="38:38" x14ac:dyDescent="0.25">
      <c r="AL14533" s="6"/>
    </row>
    <row r="14534" spans="38:38" x14ac:dyDescent="0.25">
      <c r="AL14534" s="6"/>
    </row>
    <row r="14535" spans="38:38" x14ac:dyDescent="0.25">
      <c r="AL14535" s="6"/>
    </row>
    <row r="14536" spans="38:38" x14ac:dyDescent="0.25">
      <c r="AL14536" s="6"/>
    </row>
    <row r="14537" spans="38:38" x14ac:dyDescent="0.25">
      <c r="AL14537" s="6"/>
    </row>
    <row r="14538" spans="38:38" x14ac:dyDescent="0.25">
      <c r="AL14538" s="6"/>
    </row>
    <row r="14539" spans="38:38" x14ac:dyDescent="0.25">
      <c r="AL14539" s="6"/>
    </row>
    <row r="14540" spans="38:38" x14ac:dyDescent="0.25">
      <c r="AL14540" s="6"/>
    </row>
    <row r="14541" spans="38:38" x14ac:dyDescent="0.25">
      <c r="AL14541" s="6"/>
    </row>
    <row r="14542" spans="38:38" x14ac:dyDescent="0.25">
      <c r="AL14542" s="6"/>
    </row>
    <row r="14543" spans="38:38" x14ac:dyDescent="0.25">
      <c r="AL14543" s="6"/>
    </row>
    <row r="14544" spans="38:38" x14ac:dyDescent="0.25">
      <c r="AL14544" s="6"/>
    </row>
    <row r="14545" spans="38:38" x14ac:dyDescent="0.25">
      <c r="AL14545" s="6"/>
    </row>
    <row r="14546" spans="38:38" x14ac:dyDescent="0.25">
      <c r="AL14546" s="6"/>
    </row>
    <row r="14547" spans="38:38" x14ac:dyDescent="0.25">
      <c r="AL14547" s="6"/>
    </row>
    <row r="14548" spans="38:38" x14ac:dyDescent="0.25">
      <c r="AL14548" s="6"/>
    </row>
    <row r="14549" spans="38:38" x14ac:dyDescent="0.25">
      <c r="AL14549" s="6"/>
    </row>
    <row r="14550" spans="38:38" x14ac:dyDescent="0.25">
      <c r="AL14550" s="6"/>
    </row>
    <row r="14551" spans="38:38" x14ac:dyDescent="0.25">
      <c r="AL14551" s="6"/>
    </row>
    <row r="14552" spans="38:38" x14ac:dyDescent="0.25">
      <c r="AL14552" s="6"/>
    </row>
    <row r="14553" spans="38:38" x14ac:dyDescent="0.25">
      <c r="AL14553" s="6"/>
    </row>
    <row r="14554" spans="38:38" x14ac:dyDescent="0.25">
      <c r="AL14554" s="6"/>
    </row>
    <row r="14555" spans="38:38" x14ac:dyDescent="0.25">
      <c r="AL14555" s="6"/>
    </row>
    <row r="14556" spans="38:38" x14ac:dyDescent="0.25">
      <c r="AL14556" s="6"/>
    </row>
    <row r="14557" spans="38:38" x14ac:dyDescent="0.25">
      <c r="AL14557" s="6"/>
    </row>
    <row r="14558" spans="38:38" x14ac:dyDescent="0.25">
      <c r="AL14558" s="6"/>
    </row>
    <row r="14559" spans="38:38" x14ac:dyDescent="0.25">
      <c r="AL14559" s="6"/>
    </row>
    <row r="14560" spans="38:38" x14ac:dyDescent="0.25">
      <c r="AL14560" s="6"/>
    </row>
    <row r="14561" spans="38:38" x14ac:dyDescent="0.25">
      <c r="AL14561" s="6"/>
    </row>
    <row r="14562" spans="38:38" x14ac:dyDescent="0.25">
      <c r="AL14562" s="6"/>
    </row>
    <row r="14563" spans="38:38" x14ac:dyDescent="0.25">
      <c r="AL14563" s="6"/>
    </row>
    <row r="14564" spans="38:38" x14ac:dyDescent="0.25">
      <c r="AL14564" s="6"/>
    </row>
    <row r="14565" spans="38:38" x14ac:dyDescent="0.25">
      <c r="AL14565" s="6"/>
    </row>
    <row r="14566" spans="38:38" x14ac:dyDescent="0.25">
      <c r="AL14566" s="6"/>
    </row>
    <row r="14567" spans="38:38" x14ac:dyDescent="0.25">
      <c r="AL14567" s="6"/>
    </row>
    <row r="14568" spans="38:38" x14ac:dyDescent="0.25">
      <c r="AL14568" s="6"/>
    </row>
    <row r="14569" spans="38:38" x14ac:dyDescent="0.25">
      <c r="AL14569" s="6"/>
    </row>
    <row r="14570" spans="38:38" x14ac:dyDescent="0.25">
      <c r="AL14570" s="6"/>
    </row>
    <row r="14571" spans="38:38" x14ac:dyDescent="0.25">
      <c r="AL14571" s="6"/>
    </row>
    <row r="14572" spans="38:38" x14ac:dyDescent="0.25">
      <c r="AL14572" s="6"/>
    </row>
    <row r="14573" spans="38:38" x14ac:dyDescent="0.25">
      <c r="AL14573" s="6"/>
    </row>
    <row r="14574" spans="38:38" x14ac:dyDescent="0.25">
      <c r="AL14574" s="6"/>
    </row>
    <row r="14575" spans="38:38" x14ac:dyDescent="0.25">
      <c r="AL14575" s="6"/>
    </row>
    <row r="14576" spans="38:38" x14ac:dyDescent="0.25">
      <c r="AL14576" s="6"/>
    </row>
    <row r="14577" spans="38:38" x14ac:dyDescent="0.25">
      <c r="AL14577" s="6"/>
    </row>
    <row r="14578" spans="38:38" x14ac:dyDescent="0.25">
      <c r="AL14578" s="6"/>
    </row>
    <row r="14579" spans="38:38" x14ac:dyDescent="0.25">
      <c r="AL14579" s="6"/>
    </row>
    <row r="14580" spans="38:38" x14ac:dyDescent="0.25">
      <c r="AL14580" s="6"/>
    </row>
    <row r="14581" spans="38:38" x14ac:dyDescent="0.25">
      <c r="AL14581" s="6"/>
    </row>
    <row r="14582" spans="38:38" x14ac:dyDescent="0.25">
      <c r="AL14582" s="6"/>
    </row>
    <row r="14583" spans="38:38" x14ac:dyDescent="0.25">
      <c r="AL14583" s="6"/>
    </row>
    <row r="14584" spans="38:38" x14ac:dyDescent="0.25">
      <c r="AL14584" s="6"/>
    </row>
    <row r="14585" spans="38:38" x14ac:dyDescent="0.25">
      <c r="AL14585" s="6"/>
    </row>
    <row r="14586" spans="38:38" x14ac:dyDescent="0.25">
      <c r="AL14586" s="6"/>
    </row>
    <row r="14587" spans="38:38" x14ac:dyDescent="0.25">
      <c r="AL14587" s="6"/>
    </row>
    <row r="14588" spans="38:38" x14ac:dyDescent="0.25">
      <c r="AL14588" s="6"/>
    </row>
    <row r="14589" spans="38:38" x14ac:dyDescent="0.25">
      <c r="AL14589" s="6"/>
    </row>
    <row r="14590" spans="38:38" x14ac:dyDescent="0.25">
      <c r="AL14590" s="6"/>
    </row>
    <row r="14591" spans="38:38" x14ac:dyDescent="0.25">
      <c r="AL14591" s="6"/>
    </row>
    <row r="14592" spans="38:38" x14ac:dyDescent="0.25">
      <c r="AL14592" s="6"/>
    </row>
    <row r="14593" spans="38:38" x14ac:dyDescent="0.25">
      <c r="AL14593" s="6"/>
    </row>
    <row r="14594" spans="38:38" x14ac:dyDescent="0.25">
      <c r="AL14594" s="6"/>
    </row>
    <row r="14595" spans="38:38" x14ac:dyDescent="0.25">
      <c r="AL14595" s="6"/>
    </row>
    <row r="14596" spans="38:38" x14ac:dyDescent="0.25">
      <c r="AL14596" s="6"/>
    </row>
    <row r="14597" spans="38:38" x14ac:dyDescent="0.25">
      <c r="AL14597" s="6"/>
    </row>
    <row r="14598" spans="38:38" x14ac:dyDescent="0.25">
      <c r="AL14598" s="6"/>
    </row>
    <row r="14599" spans="38:38" x14ac:dyDescent="0.25">
      <c r="AL14599" s="6"/>
    </row>
    <row r="14600" spans="38:38" x14ac:dyDescent="0.25">
      <c r="AL14600" s="6"/>
    </row>
    <row r="14601" spans="38:38" x14ac:dyDescent="0.25">
      <c r="AL14601" s="6"/>
    </row>
    <row r="14602" spans="38:38" x14ac:dyDescent="0.25">
      <c r="AL14602" s="6"/>
    </row>
    <row r="14603" spans="38:38" x14ac:dyDescent="0.25">
      <c r="AL14603" s="6"/>
    </row>
    <row r="14604" spans="38:38" x14ac:dyDescent="0.25">
      <c r="AL14604" s="6"/>
    </row>
    <row r="14605" spans="38:38" x14ac:dyDescent="0.25">
      <c r="AL14605" s="6"/>
    </row>
    <row r="14606" spans="38:38" x14ac:dyDescent="0.25">
      <c r="AL14606" s="6"/>
    </row>
    <row r="14607" spans="38:38" x14ac:dyDescent="0.25">
      <c r="AL14607" s="6"/>
    </row>
    <row r="14608" spans="38:38" x14ac:dyDescent="0.25">
      <c r="AL14608" s="6"/>
    </row>
    <row r="14609" spans="38:38" x14ac:dyDescent="0.25">
      <c r="AL14609" s="6"/>
    </row>
    <row r="14610" spans="38:38" x14ac:dyDescent="0.25">
      <c r="AL14610" s="6"/>
    </row>
    <row r="14611" spans="38:38" x14ac:dyDescent="0.25">
      <c r="AL14611" s="6"/>
    </row>
    <row r="14612" spans="38:38" x14ac:dyDescent="0.25">
      <c r="AL14612" s="6"/>
    </row>
    <row r="14613" spans="38:38" x14ac:dyDescent="0.25">
      <c r="AL14613" s="6"/>
    </row>
    <row r="14614" spans="38:38" x14ac:dyDescent="0.25">
      <c r="AL14614" s="6"/>
    </row>
    <row r="14615" spans="38:38" x14ac:dyDescent="0.25">
      <c r="AL14615" s="6"/>
    </row>
    <row r="14616" spans="38:38" x14ac:dyDescent="0.25">
      <c r="AL14616" s="6"/>
    </row>
    <row r="14617" spans="38:38" x14ac:dyDescent="0.25">
      <c r="AL14617" s="6"/>
    </row>
    <row r="14618" spans="38:38" x14ac:dyDescent="0.25">
      <c r="AL14618" s="6"/>
    </row>
    <row r="14619" spans="38:38" x14ac:dyDescent="0.25">
      <c r="AL14619" s="6"/>
    </row>
    <row r="14620" spans="38:38" x14ac:dyDescent="0.25">
      <c r="AL14620" s="6"/>
    </row>
    <row r="14621" spans="38:38" x14ac:dyDescent="0.25">
      <c r="AL14621" s="6"/>
    </row>
    <row r="14622" spans="38:38" x14ac:dyDescent="0.25">
      <c r="AL14622" s="6"/>
    </row>
    <row r="14623" spans="38:38" x14ac:dyDescent="0.25">
      <c r="AL14623" s="6"/>
    </row>
    <row r="14624" spans="38:38" x14ac:dyDescent="0.25">
      <c r="AL14624" s="6"/>
    </row>
    <row r="14625" spans="38:38" x14ac:dyDescent="0.25">
      <c r="AL14625" s="6"/>
    </row>
    <row r="14626" spans="38:38" x14ac:dyDescent="0.25">
      <c r="AL14626" s="6"/>
    </row>
    <row r="14627" spans="38:38" x14ac:dyDescent="0.25">
      <c r="AL14627" s="6"/>
    </row>
    <row r="14628" spans="38:38" x14ac:dyDescent="0.25">
      <c r="AL14628" s="6"/>
    </row>
    <row r="14629" spans="38:38" x14ac:dyDescent="0.25">
      <c r="AL14629" s="6"/>
    </row>
    <row r="14630" spans="38:38" x14ac:dyDescent="0.25">
      <c r="AL14630" s="6"/>
    </row>
    <row r="14631" spans="38:38" x14ac:dyDescent="0.25">
      <c r="AL14631" s="6"/>
    </row>
    <row r="14632" spans="38:38" x14ac:dyDescent="0.25">
      <c r="AL14632" s="6"/>
    </row>
    <row r="14633" spans="38:38" x14ac:dyDescent="0.25">
      <c r="AL14633" s="6"/>
    </row>
    <row r="14634" spans="38:38" x14ac:dyDescent="0.25">
      <c r="AL14634" s="6"/>
    </row>
    <row r="14635" spans="38:38" x14ac:dyDescent="0.25">
      <c r="AL14635" s="6"/>
    </row>
    <row r="14636" spans="38:38" x14ac:dyDescent="0.25">
      <c r="AL14636" s="6"/>
    </row>
    <row r="14637" spans="38:38" x14ac:dyDescent="0.25">
      <c r="AL14637" s="6"/>
    </row>
    <row r="14638" spans="38:38" x14ac:dyDescent="0.25">
      <c r="AL14638" s="6"/>
    </row>
    <row r="14639" spans="38:38" x14ac:dyDescent="0.25">
      <c r="AL14639" s="6"/>
    </row>
    <row r="14640" spans="38:38" x14ac:dyDescent="0.25">
      <c r="AL14640" s="6"/>
    </row>
    <row r="14641" spans="38:38" x14ac:dyDescent="0.25">
      <c r="AL14641" s="6"/>
    </row>
    <row r="14642" spans="38:38" x14ac:dyDescent="0.25">
      <c r="AL14642" s="6"/>
    </row>
    <row r="14643" spans="38:38" x14ac:dyDescent="0.25">
      <c r="AL14643" s="6"/>
    </row>
    <row r="14644" spans="38:38" x14ac:dyDescent="0.25">
      <c r="AL14644" s="6"/>
    </row>
    <row r="14645" spans="38:38" x14ac:dyDescent="0.25">
      <c r="AL14645" s="6"/>
    </row>
    <row r="14646" spans="38:38" x14ac:dyDescent="0.25">
      <c r="AL14646" s="6"/>
    </row>
    <row r="14647" spans="38:38" x14ac:dyDescent="0.25">
      <c r="AL14647" s="6"/>
    </row>
    <row r="14648" spans="38:38" x14ac:dyDescent="0.25">
      <c r="AL14648" s="6"/>
    </row>
    <row r="14649" spans="38:38" x14ac:dyDescent="0.25">
      <c r="AL14649" s="6"/>
    </row>
    <row r="14650" spans="38:38" x14ac:dyDescent="0.25">
      <c r="AL14650" s="6"/>
    </row>
    <row r="14651" spans="38:38" x14ac:dyDescent="0.25">
      <c r="AL14651" s="6"/>
    </row>
    <row r="14652" spans="38:38" x14ac:dyDescent="0.25">
      <c r="AL14652" s="6"/>
    </row>
    <row r="14653" spans="38:38" x14ac:dyDescent="0.25">
      <c r="AL14653" s="6"/>
    </row>
    <row r="14654" spans="38:38" x14ac:dyDescent="0.25">
      <c r="AL14654" s="6"/>
    </row>
    <row r="14655" spans="38:38" x14ac:dyDescent="0.25">
      <c r="AL14655" s="6"/>
    </row>
    <row r="14656" spans="38:38" x14ac:dyDescent="0.25">
      <c r="AL14656" s="6"/>
    </row>
    <row r="14657" spans="38:38" x14ac:dyDescent="0.25">
      <c r="AL14657" s="6"/>
    </row>
    <row r="14658" spans="38:38" x14ac:dyDescent="0.25">
      <c r="AL14658" s="6"/>
    </row>
    <row r="14659" spans="38:38" x14ac:dyDescent="0.25">
      <c r="AL14659" s="6"/>
    </row>
    <row r="14660" spans="38:38" x14ac:dyDescent="0.25">
      <c r="AL14660" s="6"/>
    </row>
    <row r="14661" spans="38:38" x14ac:dyDescent="0.25">
      <c r="AL14661" s="6"/>
    </row>
    <row r="14662" spans="38:38" x14ac:dyDescent="0.25">
      <c r="AL14662" s="6"/>
    </row>
    <row r="14663" spans="38:38" x14ac:dyDescent="0.25">
      <c r="AL14663" s="6"/>
    </row>
    <row r="14664" spans="38:38" x14ac:dyDescent="0.25">
      <c r="AL14664" s="6"/>
    </row>
    <row r="14665" spans="38:38" x14ac:dyDescent="0.25">
      <c r="AL14665" s="6"/>
    </row>
    <row r="14666" spans="38:38" x14ac:dyDescent="0.25">
      <c r="AL14666" s="6"/>
    </row>
    <row r="14667" spans="38:38" x14ac:dyDescent="0.25">
      <c r="AL14667" s="6"/>
    </row>
    <row r="14668" spans="38:38" x14ac:dyDescent="0.25">
      <c r="AL14668" s="6"/>
    </row>
    <row r="14669" spans="38:38" x14ac:dyDescent="0.25">
      <c r="AL14669" s="6"/>
    </row>
    <row r="14670" spans="38:38" x14ac:dyDescent="0.25">
      <c r="AL14670" s="6"/>
    </row>
    <row r="14671" spans="38:38" x14ac:dyDescent="0.25">
      <c r="AL14671" s="6"/>
    </row>
    <row r="14672" spans="38:38" x14ac:dyDescent="0.25">
      <c r="AL14672" s="6"/>
    </row>
    <row r="14673" spans="38:38" x14ac:dyDescent="0.25">
      <c r="AL14673" s="6"/>
    </row>
    <row r="14674" spans="38:38" x14ac:dyDescent="0.25">
      <c r="AL14674" s="6"/>
    </row>
    <row r="14675" spans="38:38" x14ac:dyDescent="0.25">
      <c r="AL14675" s="6"/>
    </row>
    <row r="14676" spans="38:38" x14ac:dyDescent="0.25">
      <c r="AL14676" s="6"/>
    </row>
    <row r="14677" spans="38:38" x14ac:dyDescent="0.25">
      <c r="AL14677" s="6"/>
    </row>
    <row r="14678" spans="38:38" x14ac:dyDescent="0.25">
      <c r="AL14678" s="6"/>
    </row>
    <row r="14679" spans="38:38" x14ac:dyDescent="0.25">
      <c r="AL14679" s="6"/>
    </row>
    <row r="14680" spans="38:38" x14ac:dyDescent="0.25">
      <c r="AL14680" s="6"/>
    </row>
    <row r="14681" spans="38:38" x14ac:dyDescent="0.25">
      <c r="AL14681" s="6"/>
    </row>
    <row r="14682" spans="38:38" x14ac:dyDescent="0.25">
      <c r="AL14682" s="6"/>
    </row>
    <row r="14683" spans="38:38" x14ac:dyDescent="0.25">
      <c r="AL14683" s="6"/>
    </row>
    <row r="14684" spans="38:38" x14ac:dyDescent="0.25">
      <c r="AL14684" s="6"/>
    </row>
    <row r="14685" spans="38:38" x14ac:dyDescent="0.25">
      <c r="AL14685" s="6"/>
    </row>
    <row r="14686" spans="38:38" x14ac:dyDescent="0.25">
      <c r="AL14686" s="6"/>
    </row>
    <row r="14687" spans="38:38" x14ac:dyDescent="0.25">
      <c r="AL14687" s="6"/>
    </row>
    <row r="14688" spans="38:38" x14ac:dyDescent="0.25">
      <c r="AL14688" s="6"/>
    </row>
    <row r="14689" spans="38:38" x14ac:dyDescent="0.25">
      <c r="AL14689" s="6"/>
    </row>
    <row r="14690" spans="38:38" x14ac:dyDescent="0.25">
      <c r="AL14690" s="6"/>
    </row>
    <row r="14691" spans="38:38" x14ac:dyDescent="0.25">
      <c r="AL14691" s="6"/>
    </row>
    <row r="14692" spans="38:38" x14ac:dyDescent="0.25">
      <c r="AL14692" s="6"/>
    </row>
    <row r="14693" spans="38:38" x14ac:dyDescent="0.25">
      <c r="AL14693" s="6"/>
    </row>
    <row r="14694" spans="38:38" x14ac:dyDescent="0.25">
      <c r="AL14694" s="6"/>
    </row>
    <row r="14695" spans="38:38" x14ac:dyDescent="0.25">
      <c r="AL14695" s="6"/>
    </row>
    <row r="14696" spans="38:38" x14ac:dyDescent="0.25">
      <c r="AL14696" s="6"/>
    </row>
    <row r="14697" spans="38:38" x14ac:dyDescent="0.25">
      <c r="AL14697" s="6"/>
    </row>
    <row r="14698" spans="38:38" x14ac:dyDescent="0.25">
      <c r="AL14698" s="6"/>
    </row>
    <row r="14699" spans="38:38" x14ac:dyDescent="0.25">
      <c r="AL14699" s="6"/>
    </row>
    <row r="14700" spans="38:38" x14ac:dyDescent="0.25">
      <c r="AL14700" s="6"/>
    </row>
    <row r="14701" spans="38:38" x14ac:dyDescent="0.25">
      <c r="AL14701" s="6"/>
    </row>
    <row r="14702" spans="38:38" x14ac:dyDescent="0.25">
      <c r="AL14702" s="6"/>
    </row>
    <row r="14703" spans="38:38" x14ac:dyDescent="0.25">
      <c r="AL14703" s="6"/>
    </row>
    <row r="14704" spans="38:38" x14ac:dyDescent="0.25">
      <c r="AL14704" s="6"/>
    </row>
    <row r="14705" spans="38:38" x14ac:dyDescent="0.25">
      <c r="AL14705" s="6"/>
    </row>
    <row r="14706" spans="38:38" x14ac:dyDescent="0.25">
      <c r="AL14706" s="6"/>
    </row>
    <row r="14707" spans="38:38" x14ac:dyDescent="0.25">
      <c r="AL14707" s="6"/>
    </row>
    <row r="14708" spans="38:38" x14ac:dyDescent="0.25">
      <c r="AL14708" s="6"/>
    </row>
    <row r="14709" spans="38:38" x14ac:dyDescent="0.25">
      <c r="AL14709" s="6"/>
    </row>
    <row r="14710" spans="38:38" x14ac:dyDescent="0.25">
      <c r="AL14710" s="6"/>
    </row>
    <row r="14711" spans="38:38" x14ac:dyDescent="0.25">
      <c r="AL14711" s="6"/>
    </row>
    <row r="14712" spans="38:38" x14ac:dyDescent="0.25">
      <c r="AL14712" s="6"/>
    </row>
    <row r="14713" spans="38:38" x14ac:dyDescent="0.25">
      <c r="AL14713" s="6"/>
    </row>
    <row r="14714" spans="38:38" x14ac:dyDescent="0.25">
      <c r="AL14714" s="6"/>
    </row>
    <row r="14715" spans="38:38" x14ac:dyDescent="0.25">
      <c r="AL14715" s="6"/>
    </row>
    <row r="14716" spans="38:38" x14ac:dyDescent="0.25">
      <c r="AL14716" s="6"/>
    </row>
    <row r="14717" spans="38:38" x14ac:dyDescent="0.25">
      <c r="AL14717" s="6"/>
    </row>
    <row r="14718" spans="38:38" x14ac:dyDescent="0.25">
      <c r="AL14718" s="6"/>
    </row>
    <row r="14719" spans="38:38" x14ac:dyDescent="0.25">
      <c r="AL14719" s="6"/>
    </row>
    <row r="14720" spans="38:38" x14ac:dyDescent="0.25">
      <c r="AL14720" s="6"/>
    </row>
    <row r="14721" spans="38:38" x14ac:dyDescent="0.25">
      <c r="AL14721" s="6"/>
    </row>
    <row r="14722" spans="38:38" x14ac:dyDescent="0.25">
      <c r="AL14722" s="6"/>
    </row>
    <row r="14723" spans="38:38" x14ac:dyDescent="0.25">
      <c r="AL14723" s="6"/>
    </row>
    <row r="14724" spans="38:38" x14ac:dyDescent="0.25">
      <c r="AL14724" s="6"/>
    </row>
    <row r="14725" spans="38:38" x14ac:dyDescent="0.25">
      <c r="AL14725" s="6"/>
    </row>
    <row r="14726" spans="38:38" x14ac:dyDescent="0.25">
      <c r="AL14726" s="6"/>
    </row>
    <row r="14727" spans="38:38" x14ac:dyDescent="0.25">
      <c r="AL14727" s="6"/>
    </row>
    <row r="14728" spans="38:38" x14ac:dyDescent="0.25">
      <c r="AL14728" s="6"/>
    </row>
    <row r="14729" spans="38:38" x14ac:dyDescent="0.25">
      <c r="AL14729" s="6"/>
    </row>
    <row r="14730" spans="38:38" x14ac:dyDescent="0.25">
      <c r="AL14730" s="6"/>
    </row>
    <row r="14731" spans="38:38" x14ac:dyDescent="0.25">
      <c r="AL14731" s="6"/>
    </row>
    <row r="14732" spans="38:38" x14ac:dyDescent="0.25">
      <c r="AL14732" s="6"/>
    </row>
    <row r="14733" spans="38:38" x14ac:dyDescent="0.25">
      <c r="AL14733" s="6"/>
    </row>
    <row r="14734" spans="38:38" x14ac:dyDescent="0.25">
      <c r="AL14734" s="6"/>
    </row>
    <row r="14735" spans="38:38" x14ac:dyDescent="0.25">
      <c r="AL14735" s="6"/>
    </row>
    <row r="14736" spans="38:38" x14ac:dyDescent="0.25">
      <c r="AL14736" s="6"/>
    </row>
    <row r="14737" spans="38:38" x14ac:dyDescent="0.25">
      <c r="AL14737" s="6"/>
    </row>
    <row r="14738" spans="38:38" x14ac:dyDescent="0.25">
      <c r="AL14738" s="6"/>
    </row>
    <row r="14739" spans="38:38" x14ac:dyDescent="0.25">
      <c r="AL14739" s="6"/>
    </row>
    <row r="14740" spans="38:38" x14ac:dyDescent="0.25">
      <c r="AL14740" s="6"/>
    </row>
    <row r="14741" spans="38:38" x14ac:dyDescent="0.25">
      <c r="AL14741" s="6"/>
    </row>
    <row r="14742" spans="38:38" x14ac:dyDescent="0.25">
      <c r="AL14742" s="6"/>
    </row>
    <row r="14743" spans="38:38" x14ac:dyDescent="0.25">
      <c r="AL14743" s="6"/>
    </row>
    <row r="14744" spans="38:38" x14ac:dyDescent="0.25">
      <c r="AL14744" s="6"/>
    </row>
    <row r="14745" spans="38:38" x14ac:dyDescent="0.25">
      <c r="AL14745" s="6"/>
    </row>
    <row r="14746" spans="38:38" x14ac:dyDescent="0.25">
      <c r="AL14746" s="6"/>
    </row>
    <row r="14747" spans="38:38" x14ac:dyDescent="0.25">
      <c r="AL14747" s="6"/>
    </row>
    <row r="14748" spans="38:38" x14ac:dyDescent="0.25">
      <c r="AL14748" s="6"/>
    </row>
    <row r="14749" spans="38:38" x14ac:dyDescent="0.25">
      <c r="AL14749" s="6"/>
    </row>
    <row r="14750" spans="38:38" x14ac:dyDescent="0.25">
      <c r="AL14750" s="6"/>
    </row>
    <row r="14751" spans="38:38" x14ac:dyDescent="0.25">
      <c r="AL14751" s="6"/>
    </row>
    <row r="14752" spans="38:38" x14ac:dyDescent="0.25">
      <c r="AL14752" s="6"/>
    </row>
    <row r="14753" spans="38:38" x14ac:dyDescent="0.25">
      <c r="AL14753" s="6"/>
    </row>
    <row r="14754" spans="38:38" x14ac:dyDescent="0.25">
      <c r="AL14754" s="6"/>
    </row>
    <row r="14755" spans="38:38" x14ac:dyDescent="0.25">
      <c r="AL14755" s="6"/>
    </row>
    <row r="14756" spans="38:38" x14ac:dyDescent="0.25">
      <c r="AL14756" s="6"/>
    </row>
    <row r="14757" spans="38:38" x14ac:dyDescent="0.25">
      <c r="AL14757" s="6"/>
    </row>
    <row r="14758" spans="38:38" x14ac:dyDescent="0.25">
      <c r="AL14758" s="6"/>
    </row>
    <row r="14759" spans="38:38" x14ac:dyDescent="0.25">
      <c r="AL14759" s="6"/>
    </row>
    <row r="14760" spans="38:38" x14ac:dyDescent="0.25">
      <c r="AL14760" s="6"/>
    </row>
    <row r="14761" spans="38:38" x14ac:dyDescent="0.25">
      <c r="AL14761" s="6"/>
    </row>
    <row r="14762" spans="38:38" x14ac:dyDescent="0.25">
      <c r="AL14762" s="6"/>
    </row>
    <row r="14763" spans="38:38" x14ac:dyDescent="0.25">
      <c r="AL14763" s="6"/>
    </row>
    <row r="14764" spans="38:38" x14ac:dyDescent="0.25">
      <c r="AL14764" s="6"/>
    </row>
    <row r="14765" spans="38:38" x14ac:dyDescent="0.25">
      <c r="AL14765" s="6"/>
    </row>
    <row r="14766" spans="38:38" x14ac:dyDescent="0.25">
      <c r="AL14766" s="6"/>
    </row>
    <row r="14767" spans="38:38" x14ac:dyDescent="0.25">
      <c r="AL14767" s="6"/>
    </row>
    <row r="14768" spans="38:38" x14ac:dyDescent="0.25">
      <c r="AL14768" s="6"/>
    </row>
    <row r="14769" spans="38:38" x14ac:dyDescent="0.25">
      <c r="AL14769" s="6"/>
    </row>
    <row r="14770" spans="38:38" x14ac:dyDescent="0.25">
      <c r="AL14770" s="6"/>
    </row>
    <row r="14771" spans="38:38" x14ac:dyDescent="0.25">
      <c r="AL14771" s="6"/>
    </row>
    <row r="14772" spans="38:38" x14ac:dyDescent="0.25">
      <c r="AL14772" s="6"/>
    </row>
    <row r="14773" spans="38:38" x14ac:dyDescent="0.25">
      <c r="AL14773" s="6"/>
    </row>
    <row r="14774" spans="38:38" x14ac:dyDescent="0.25">
      <c r="AL14774" s="6"/>
    </row>
    <row r="14775" spans="38:38" x14ac:dyDescent="0.25">
      <c r="AL14775" s="6"/>
    </row>
    <row r="14776" spans="38:38" x14ac:dyDescent="0.25">
      <c r="AL14776" s="6"/>
    </row>
    <row r="14777" spans="38:38" x14ac:dyDescent="0.25">
      <c r="AL14777" s="6"/>
    </row>
    <row r="14778" spans="38:38" x14ac:dyDescent="0.25">
      <c r="AL14778" s="6"/>
    </row>
    <row r="14779" spans="38:38" x14ac:dyDescent="0.25">
      <c r="AL14779" s="6"/>
    </row>
    <row r="14780" spans="38:38" x14ac:dyDescent="0.25">
      <c r="AL14780" s="6"/>
    </row>
    <row r="14781" spans="38:38" x14ac:dyDescent="0.25">
      <c r="AL14781" s="6"/>
    </row>
    <row r="14782" spans="38:38" x14ac:dyDescent="0.25">
      <c r="AL14782" s="6"/>
    </row>
    <row r="14783" spans="38:38" x14ac:dyDescent="0.25">
      <c r="AL14783" s="6"/>
    </row>
    <row r="14784" spans="38:38" x14ac:dyDescent="0.25">
      <c r="AL14784" s="6"/>
    </row>
    <row r="14785" spans="38:38" x14ac:dyDescent="0.25">
      <c r="AL14785" s="6"/>
    </row>
    <row r="14786" spans="38:38" x14ac:dyDescent="0.25">
      <c r="AL14786" s="6"/>
    </row>
    <row r="14787" spans="38:38" x14ac:dyDescent="0.25">
      <c r="AL14787" s="6"/>
    </row>
    <row r="14788" spans="38:38" x14ac:dyDescent="0.25">
      <c r="AL14788" s="6"/>
    </row>
    <row r="14789" spans="38:38" x14ac:dyDescent="0.25">
      <c r="AL14789" s="6"/>
    </row>
    <row r="14790" spans="38:38" x14ac:dyDescent="0.25">
      <c r="AL14790" s="6"/>
    </row>
    <row r="14791" spans="38:38" x14ac:dyDescent="0.25">
      <c r="AL14791" s="6"/>
    </row>
    <row r="14792" spans="38:38" x14ac:dyDescent="0.25">
      <c r="AL14792" s="6"/>
    </row>
    <row r="14793" spans="38:38" x14ac:dyDescent="0.25">
      <c r="AL14793" s="6"/>
    </row>
    <row r="14794" spans="38:38" x14ac:dyDescent="0.25">
      <c r="AL14794" s="6"/>
    </row>
    <row r="14795" spans="38:38" x14ac:dyDescent="0.25">
      <c r="AL14795" s="6"/>
    </row>
    <row r="14796" spans="38:38" x14ac:dyDescent="0.25">
      <c r="AL14796" s="6"/>
    </row>
    <row r="14797" spans="38:38" x14ac:dyDescent="0.25">
      <c r="AL14797" s="6"/>
    </row>
    <row r="14798" spans="38:38" x14ac:dyDescent="0.25">
      <c r="AL14798" s="6"/>
    </row>
    <row r="14799" spans="38:38" x14ac:dyDescent="0.25">
      <c r="AL14799" s="6"/>
    </row>
    <row r="14800" spans="38:38" x14ac:dyDescent="0.25">
      <c r="AL14800" s="6"/>
    </row>
    <row r="14801" spans="38:38" x14ac:dyDescent="0.25">
      <c r="AL14801" s="6"/>
    </row>
    <row r="14802" spans="38:38" x14ac:dyDescent="0.25">
      <c r="AL14802" s="6"/>
    </row>
    <row r="14803" spans="38:38" x14ac:dyDescent="0.25">
      <c r="AL14803" s="6"/>
    </row>
    <row r="14804" spans="38:38" x14ac:dyDescent="0.25">
      <c r="AL14804" s="6"/>
    </row>
    <row r="14805" spans="38:38" x14ac:dyDescent="0.25">
      <c r="AL14805" s="6"/>
    </row>
    <row r="14806" spans="38:38" x14ac:dyDescent="0.25">
      <c r="AL14806" s="6"/>
    </row>
    <row r="14807" spans="38:38" x14ac:dyDescent="0.25">
      <c r="AL14807" s="6"/>
    </row>
    <row r="14808" spans="38:38" x14ac:dyDescent="0.25">
      <c r="AL14808" s="6"/>
    </row>
    <row r="14809" spans="38:38" x14ac:dyDescent="0.25">
      <c r="AL14809" s="6"/>
    </row>
    <row r="14810" spans="38:38" x14ac:dyDescent="0.25">
      <c r="AL14810" s="6"/>
    </row>
    <row r="14811" spans="38:38" x14ac:dyDescent="0.25">
      <c r="AL14811" s="6"/>
    </row>
    <row r="14812" spans="38:38" x14ac:dyDescent="0.25">
      <c r="AL14812" s="6"/>
    </row>
    <row r="14813" spans="38:38" x14ac:dyDescent="0.25">
      <c r="AL14813" s="6"/>
    </row>
    <row r="14814" spans="38:38" x14ac:dyDescent="0.25">
      <c r="AL14814" s="6"/>
    </row>
    <row r="14815" spans="38:38" x14ac:dyDescent="0.25">
      <c r="AL14815" s="6"/>
    </row>
    <row r="14816" spans="38:38" x14ac:dyDescent="0.25">
      <c r="AL14816" s="6"/>
    </row>
    <row r="14817" spans="38:38" x14ac:dyDescent="0.25">
      <c r="AL14817" s="6"/>
    </row>
    <row r="14818" spans="38:38" x14ac:dyDescent="0.25">
      <c r="AL14818" s="6"/>
    </row>
    <row r="14819" spans="38:38" x14ac:dyDescent="0.25">
      <c r="AL14819" s="6"/>
    </row>
    <row r="14820" spans="38:38" x14ac:dyDescent="0.25">
      <c r="AL14820" s="6"/>
    </row>
    <row r="14821" spans="38:38" x14ac:dyDescent="0.25">
      <c r="AL14821" s="6"/>
    </row>
    <row r="14822" spans="38:38" x14ac:dyDescent="0.25">
      <c r="AL14822" s="6"/>
    </row>
    <row r="14823" spans="38:38" x14ac:dyDescent="0.25">
      <c r="AL14823" s="6"/>
    </row>
    <row r="14824" spans="38:38" x14ac:dyDescent="0.25">
      <c r="AL14824" s="6"/>
    </row>
    <row r="14825" spans="38:38" x14ac:dyDescent="0.25">
      <c r="AL14825" s="6"/>
    </row>
    <row r="14826" spans="38:38" x14ac:dyDescent="0.25">
      <c r="AL14826" s="6"/>
    </row>
    <row r="14827" spans="38:38" x14ac:dyDescent="0.25">
      <c r="AL14827" s="6"/>
    </row>
    <row r="14828" spans="38:38" x14ac:dyDescent="0.25">
      <c r="AL14828" s="6"/>
    </row>
    <row r="14829" spans="38:38" x14ac:dyDescent="0.25">
      <c r="AL14829" s="6"/>
    </row>
    <row r="14830" spans="38:38" x14ac:dyDescent="0.25">
      <c r="AL14830" s="6"/>
    </row>
    <row r="14831" spans="38:38" x14ac:dyDescent="0.25">
      <c r="AL14831" s="6"/>
    </row>
    <row r="14832" spans="38:38" x14ac:dyDescent="0.25">
      <c r="AL14832" s="6"/>
    </row>
    <row r="14833" spans="38:38" x14ac:dyDescent="0.25">
      <c r="AL14833" s="6"/>
    </row>
    <row r="14834" spans="38:38" x14ac:dyDescent="0.25">
      <c r="AL14834" s="6"/>
    </row>
    <row r="14835" spans="38:38" x14ac:dyDescent="0.25">
      <c r="AL14835" s="6"/>
    </row>
    <row r="14836" spans="38:38" x14ac:dyDescent="0.25">
      <c r="AL14836" s="6"/>
    </row>
    <row r="14837" spans="38:38" x14ac:dyDescent="0.25">
      <c r="AL14837" s="6"/>
    </row>
    <row r="14838" spans="38:38" x14ac:dyDescent="0.25">
      <c r="AL14838" s="6"/>
    </row>
    <row r="14839" spans="38:38" x14ac:dyDescent="0.25">
      <c r="AL14839" s="6"/>
    </row>
    <row r="14840" spans="38:38" x14ac:dyDescent="0.25">
      <c r="AL14840" s="6"/>
    </row>
    <row r="14841" spans="38:38" x14ac:dyDescent="0.25">
      <c r="AL14841" s="6"/>
    </row>
    <row r="14842" spans="38:38" x14ac:dyDescent="0.25">
      <c r="AL14842" s="6"/>
    </row>
    <row r="14843" spans="38:38" x14ac:dyDescent="0.25">
      <c r="AL14843" s="6"/>
    </row>
    <row r="14844" spans="38:38" x14ac:dyDescent="0.25">
      <c r="AL14844" s="6"/>
    </row>
    <row r="14845" spans="38:38" x14ac:dyDescent="0.25">
      <c r="AL14845" s="6"/>
    </row>
    <row r="14846" spans="38:38" x14ac:dyDescent="0.25">
      <c r="AL14846" s="6"/>
    </row>
    <row r="14847" spans="38:38" x14ac:dyDescent="0.25">
      <c r="AL14847" s="6"/>
    </row>
    <row r="14848" spans="38:38" x14ac:dyDescent="0.25">
      <c r="AL14848" s="6"/>
    </row>
    <row r="14849" spans="38:38" x14ac:dyDescent="0.25">
      <c r="AL14849" s="6"/>
    </row>
    <row r="14850" spans="38:38" x14ac:dyDescent="0.25">
      <c r="AL14850" s="6"/>
    </row>
    <row r="14851" spans="38:38" x14ac:dyDescent="0.25">
      <c r="AL14851" s="6"/>
    </row>
    <row r="14852" spans="38:38" x14ac:dyDescent="0.25">
      <c r="AL14852" s="6"/>
    </row>
    <row r="14853" spans="38:38" x14ac:dyDescent="0.25">
      <c r="AL14853" s="6"/>
    </row>
    <row r="14854" spans="38:38" x14ac:dyDescent="0.25">
      <c r="AL14854" s="6"/>
    </row>
    <row r="14855" spans="38:38" x14ac:dyDescent="0.25">
      <c r="AL14855" s="6"/>
    </row>
    <row r="14856" spans="38:38" x14ac:dyDescent="0.25">
      <c r="AL14856" s="6"/>
    </row>
    <row r="14857" spans="38:38" x14ac:dyDescent="0.25">
      <c r="AL14857" s="6"/>
    </row>
    <row r="14858" spans="38:38" x14ac:dyDescent="0.25">
      <c r="AL14858" s="6"/>
    </row>
    <row r="14859" spans="38:38" x14ac:dyDescent="0.25">
      <c r="AL14859" s="6"/>
    </row>
    <row r="14860" spans="38:38" x14ac:dyDescent="0.25">
      <c r="AL14860" s="6"/>
    </row>
    <row r="14861" spans="38:38" x14ac:dyDescent="0.25">
      <c r="AL14861" s="6"/>
    </row>
    <row r="14862" spans="38:38" x14ac:dyDescent="0.25">
      <c r="AL14862" s="6"/>
    </row>
    <row r="14863" spans="38:38" x14ac:dyDescent="0.25">
      <c r="AL14863" s="6"/>
    </row>
    <row r="14864" spans="38:38" x14ac:dyDescent="0.25">
      <c r="AL14864" s="6"/>
    </row>
    <row r="14865" spans="38:38" x14ac:dyDescent="0.25">
      <c r="AL14865" s="6"/>
    </row>
    <row r="14866" spans="38:38" x14ac:dyDescent="0.25">
      <c r="AL14866" s="6"/>
    </row>
    <row r="14867" spans="38:38" x14ac:dyDescent="0.25">
      <c r="AL14867" s="6"/>
    </row>
    <row r="14868" spans="38:38" x14ac:dyDescent="0.25">
      <c r="AL14868" s="6"/>
    </row>
    <row r="14869" spans="38:38" x14ac:dyDescent="0.25">
      <c r="AL14869" s="6"/>
    </row>
    <row r="14870" spans="38:38" x14ac:dyDescent="0.25">
      <c r="AL14870" s="6"/>
    </row>
    <row r="14871" spans="38:38" x14ac:dyDescent="0.25">
      <c r="AL14871" s="6"/>
    </row>
    <row r="14872" spans="38:38" x14ac:dyDescent="0.25">
      <c r="AL14872" s="6"/>
    </row>
    <row r="14873" spans="38:38" x14ac:dyDescent="0.25">
      <c r="AL14873" s="6"/>
    </row>
    <row r="14874" spans="38:38" x14ac:dyDescent="0.25">
      <c r="AL14874" s="6"/>
    </row>
    <row r="14875" spans="38:38" x14ac:dyDescent="0.25">
      <c r="AL14875" s="6"/>
    </row>
    <row r="14876" spans="38:38" x14ac:dyDescent="0.25">
      <c r="AL14876" s="6"/>
    </row>
    <row r="14877" spans="38:38" x14ac:dyDescent="0.25">
      <c r="AL14877" s="6"/>
    </row>
    <row r="14878" spans="38:38" x14ac:dyDescent="0.25">
      <c r="AL14878" s="6"/>
    </row>
    <row r="14879" spans="38:38" x14ac:dyDescent="0.25">
      <c r="AL14879" s="6"/>
    </row>
    <row r="14880" spans="38:38" x14ac:dyDescent="0.25">
      <c r="AL14880" s="6"/>
    </row>
    <row r="14881" spans="38:38" x14ac:dyDescent="0.25">
      <c r="AL14881" s="6"/>
    </row>
    <row r="14882" spans="38:38" x14ac:dyDescent="0.25">
      <c r="AL14882" s="6"/>
    </row>
    <row r="14883" spans="38:38" x14ac:dyDescent="0.25">
      <c r="AL14883" s="6"/>
    </row>
    <row r="14884" spans="38:38" x14ac:dyDescent="0.25">
      <c r="AL14884" s="6"/>
    </row>
    <row r="14885" spans="38:38" x14ac:dyDescent="0.25">
      <c r="AL14885" s="6"/>
    </row>
    <row r="14886" spans="38:38" x14ac:dyDescent="0.25">
      <c r="AL14886" s="6"/>
    </row>
    <row r="14887" spans="38:38" x14ac:dyDescent="0.25">
      <c r="AL14887" s="6"/>
    </row>
    <row r="14888" spans="38:38" x14ac:dyDescent="0.25">
      <c r="AL14888" s="6"/>
    </row>
    <row r="14889" spans="38:38" x14ac:dyDescent="0.25">
      <c r="AL14889" s="6"/>
    </row>
    <row r="14890" spans="38:38" x14ac:dyDescent="0.25">
      <c r="AL14890" s="6"/>
    </row>
    <row r="14891" spans="38:38" x14ac:dyDescent="0.25">
      <c r="AL14891" s="6"/>
    </row>
    <row r="14892" spans="38:38" x14ac:dyDescent="0.25">
      <c r="AL14892" s="6"/>
    </row>
    <row r="14893" spans="38:38" x14ac:dyDescent="0.25">
      <c r="AL14893" s="6"/>
    </row>
    <row r="14894" spans="38:38" x14ac:dyDescent="0.25">
      <c r="AL14894" s="6"/>
    </row>
    <row r="14895" spans="38:38" x14ac:dyDescent="0.25">
      <c r="AL14895" s="6"/>
    </row>
    <row r="14896" spans="38:38" x14ac:dyDescent="0.25">
      <c r="AL14896" s="6"/>
    </row>
    <row r="14897" spans="38:38" x14ac:dyDescent="0.25">
      <c r="AL14897" s="6"/>
    </row>
    <row r="14898" spans="38:38" x14ac:dyDescent="0.25">
      <c r="AL14898" s="6"/>
    </row>
    <row r="14899" spans="38:38" x14ac:dyDescent="0.25">
      <c r="AL14899" s="6"/>
    </row>
    <row r="14900" spans="38:38" x14ac:dyDescent="0.25">
      <c r="AL14900" s="6"/>
    </row>
    <row r="14901" spans="38:38" x14ac:dyDescent="0.25">
      <c r="AL14901" s="6"/>
    </row>
    <row r="14902" spans="38:38" x14ac:dyDescent="0.25">
      <c r="AL14902" s="6"/>
    </row>
    <row r="14903" spans="38:38" x14ac:dyDescent="0.25">
      <c r="AL14903" s="6"/>
    </row>
    <row r="14904" spans="38:38" x14ac:dyDescent="0.25">
      <c r="AL14904" s="6"/>
    </row>
    <row r="14905" spans="38:38" x14ac:dyDescent="0.25">
      <c r="AL14905" s="6"/>
    </row>
    <row r="14906" spans="38:38" x14ac:dyDescent="0.25">
      <c r="AL14906" s="6"/>
    </row>
    <row r="14907" spans="38:38" x14ac:dyDescent="0.25">
      <c r="AL14907" s="6"/>
    </row>
    <row r="14908" spans="38:38" x14ac:dyDescent="0.25">
      <c r="AL14908" s="6"/>
    </row>
    <row r="14909" spans="38:38" x14ac:dyDescent="0.25">
      <c r="AL14909" s="6"/>
    </row>
    <row r="14910" spans="38:38" x14ac:dyDescent="0.25">
      <c r="AL14910" s="6"/>
    </row>
    <row r="14911" spans="38:38" x14ac:dyDescent="0.25">
      <c r="AL14911" s="6"/>
    </row>
    <row r="14912" spans="38:38" x14ac:dyDescent="0.25">
      <c r="AL14912" s="6"/>
    </row>
    <row r="14913" spans="38:38" x14ac:dyDescent="0.25">
      <c r="AL14913" s="6"/>
    </row>
    <row r="14914" spans="38:38" x14ac:dyDescent="0.25">
      <c r="AL14914" s="6"/>
    </row>
    <row r="14915" spans="38:38" x14ac:dyDescent="0.25">
      <c r="AL14915" s="6"/>
    </row>
    <row r="14916" spans="38:38" x14ac:dyDescent="0.25">
      <c r="AL14916" s="6"/>
    </row>
    <row r="14917" spans="38:38" x14ac:dyDescent="0.25">
      <c r="AL14917" s="6"/>
    </row>
    <row r="14918" spans="38:38" x14ac:dyDescent="0.25">
      <c r="AL14918" s="6"/>
    </row>
    <row r="14919" spans="38:38" x14ac:dyDescent="0.25">
      <c r="AL14919" s="6"/>
    </row>
    <row r="14920" spans="38:38" x14ac:dyDescent="0.25">
      <c r="AL14920" s="6"/>
    </row>
    <row r="14921" spans="38:38" x14ac:dyDescent="0.25">
      <c r="AL14921" s="6"/>
    </row>
    <row r="14922" spans="38:38" x14ac:dyDescent="0.25">
      <c r="AL14922" s="6"/>
    </row>
    <row r="14923" spans="38:38" x14ac:dyDescent="0.25">
      <c r="AL14923" s="6"/>
    </row>
    <row r="14924" spans="38:38" x14ac:dyDescent="0.25">
      <c r="AL14924" s="6"/>
    </row>
    <row r="14925" spans="38:38" x14ac:dyDescent="0.25">
      <c r="AL14925" s="6"/>
    </row>
    <row r="14926" spans="38:38" x14ac:dyDescent="0.25">
      <c r="AL14926" s="6"/>
    </row>
    <row r="14927" spans="38:38" x14ac:dyDescent="0.25">
      <c r="AL14927" s="6"/>
    </row>
    <row r="14928" spans="38:38" x14ac:dyDescent="0.25">
      <c r="AL14928" s="6"/>
    </row>
    <row r="14929" spans="38:38" x14ac:dyDescent="0.25">
      <c r="AL14929" s="6"/>
    </row>
    <row r="14930" spans="38:38" x14ac:dyDescent="0.25">
      <c r="AL14930" s="6"/>
    </row>
    <row r="14931" spans="38:38" x14ac:dyDescent="0.25">
      <c r="AL14931" s="6"/>
    </row>
    <row r="14932" spans="38:38" x14ac:dyDescent="0.25">
      <c r="AL14932" s="6"/>
    </row>
    <row r="14933" spans="38:38" x14ac:dyDescent="0.25">
      <c r="AL14933" s="6"/>
    </row>
    <row r="14934" spans="38:38" x14ac:dyDescent="0.25">
      <c r="AL14934" s="6"/>
    </row>
    <row r="14935" spans="38:38" x14ac:dyDescent="0.25">
      <c r="AL14935" s="6"/>
    </row>
    <row r="14936" spans="38:38" x14ac:dyDescent="0.25">
      <c r="AL14936" s="6"/>
    </row>
    <row r="14937" spans="38:38" x14ac:dyDescent="0.25">
      <c r="AL14937" s="6"/>
    </row>
    <row r="14938" spans="38:38" x14ac:dyDescent="0.25">
      <c r="AL14938" s="6"/>
    </row>
    <row r="14939" spans="38:38" x14ac:dyDescent="0.25">
      <c r="AL14939" s="6"/>
    </row>
    <row r="14940" spans="38:38" x14ac:dyDescent="0.25">
      <c r="AL14940" s="6"/>
    </row>
    <row r="14941" spans="38:38" x14ac:dyDescent="0.25">
      <c r="AL14941" s="6"/>
    </row>
    <row r="14942" spans="38:38" x14ac:dyDescent="0.25">
      <c r="AL14942" s="6"/>
    </row>
    <row r="14943" spans="38:38" x14ac:dyDescent="0.25">
      <c r="AL14943" s="6"/>
    </row>
    <row r="14944" spans="38:38" x14ac:dyDescent="0.25">
      <c r="AL14944" s="6"/>
    </row>
    <row r="14945" spans="38:38" x14ac:dyDescent="0.25">
      <c r="AL14945" s="6"/>
    </row>
    <row r="14946" spans="38:38" x14ac:dyDescent="0.25">
      <c r="AL14946" s="6"/>
    </row>
    <row r="14947" spans="38:38" x14ac:dyDescent="0.25">
      <c r="AL14947" s="6"/>
    </row>
    <row r="14948" spans="38:38" x14ac:dyDescent="0.25">
      <c r="AL14948" s="6"/>
    </row>
    <row r="14949" spans="38:38" x14ac:dyDescent="0.25">
      <c r="AL14949" s="6"/>
    </row>
    <row r="14950" spans="38:38" x14ac:dyDescent="0.25">
      <c r="AL14950" s="6"/>
    </row>
    <row r="14951" spans="38:38" x14ac:dyDescent="0.25">
      <c r="AL14951" s="6"/>
    </row>
    <row r="14952" spans="38:38" x14ac:dyDescent="0.25">
      <c r="AL14952" s="6"/>
    </row>
    <row r="14953" spans="38:38" x14ac:dyDescent="0.25">
      <c r="AL14953" s="6"/>
    </row>
    <row r="14954" spans="38:38" x14ac:dyDescent="0.25">
      <c r="AL14954" s="6"/>
    </row>
    <row r="14955" spans="38:38" x14ac:dyDescent="0.25">
      <c r="AL14955" s="6"/>
    </row>
    <row r="14956" spans="38:38" x14ac:dyDescent="0.25">
      <c r="AL14956" s="6"/>
    </row>
    <row r="14957" spans="38:38" x14ac:dyDescent="0.25">
      <c r="AL14957" s="6"/>
    </row>
    <row r="14958" spans="38:38" x14ac:dyDescent="0.25">
      <c r="AL14958" s="6"/>
    </row>
    <row r="14959" spans="38:38" x14ac:dyDescent="0.25">
      <c r="AL14959" s="6"/>
    </row>
    <row r="14960" spans="38:38" x14ac:dyDescent="0.25">
      <c r="AL14960" s="6"/>
    </row>
    <row r="14961" spans="38:38" x14ac:dyDescent="0.25">
      <c r="AL14961" s="6"/>
    </row>
    <row r="14962" spans="38:38" x14ac:dyDescent="0.25">
      <c r="AL14962" s="6"/>
    </row>
    <row r="14963" spans="38:38" x14ac:dyDescent="0.25">
      <c r="AL14963" s="6"/>
    </row>
    <row r="14964" spans="38:38" x14ac:dyDescent="0.25">
      <c r="AL14964" s="6"/>
    </row>
    <row r="14965" spans="38:38" x14ac:dyDescent="0.25">
      <c r="AL14965" s="6"/>
    </row>
    <row r="14966" spans="38:38" x14ac:dyDescent="0.25">
      <c r="AL14966" s="6"/>
    </row>
    <row r="14967" spans="38:38" x14ac:dyDescent="0.25">
      <c r="AL14967" s="6"/>
    </row>
    <row r="14968" spans="38:38" x14ac:dyDescent="0.25">
      <c r="AL14968" s="6"/>
    </row>
    <row r="14969" spans="38:38" x14ac:dyDescent="0.25">
      <c r="AL14969" s="6"/>
    </row>
    <row r="14970" spans="38:38" x14ac:dyDescent="0.25">
      <c r="AL14970" s="6"/>
    </row>
    <row r="14971" spans="38:38" x14ac:dyDescent="0.25">
      <c r="AL14971" s="6"/>
    </row>
    <row r="14972" spans="38:38" x14ac:dyDescent="0.25">
      <c r="AL14972" s="6"/>
    </row>
    <row r="14973" spans="38:38" x14ac:dyDescent="0.25">
      <c r="AL14973" s="6"/>
    </row>
    <row r="14974" spans="38:38" x14ac:dyDescent="0.25">
      <c r="AL14974" s="6"/>
    </row>
    <row r="14975" spans="38:38" x14ac:dyDescent="0.25">
      <c r="AL14975" s="6"/>
    </row>
    <row r="14976" spans="38:38" x14ac:dyDescent="0.25">
      <c r="AL14976" s="6"/>
    </row>
    <row r="14977" spans="38:38" x14ac:dyDescent="0.25">
      <c r="AL14977" s="6"/>
    </row>
    <row r="14978" spans="38:38" x14ac:dyDescent="0.25">
      <c r="AL14978" s="6"/>
    </row>
    <row r="14979" spans="38:38" x14ac:dyDescent="0.25">
      <c r="AL14979" s="6"/>
    </row>
    <row r="14980" spans="38:38" x14ac:dyDescent="0.25">
      <c r="AL14980" s="6"/>
    </row>
    <row r="14981" spans="38:38" x14ac:dyDescent="0.25">
      <c r="AL14981" s="6"/>
    </row>
    <row r="14982" spans="38:38" x14ac:dyDescent="0.25">
      <c r="AL14982" s="6"/>
    </row>
    <row r="14983" spans="38:38" x14ac:dyDescent="0.25">
      <c r="AL14983" s="6"/>
    </row>
    <row r="14984" spans="38:38" x14ac:dyDescent="0.25">
      <c r="AL14984" s="6"/>
    </row>
    <row r="14985" spans="38:38" x14ac:dyDescent="0.25">
      <c r="AL14985" s="6"/>
    </row>
    <row r="14986" spans="38:38" x14ac:dyDescent="0.25">
      <c r="AL14986" s="6"/>
    </row>
    <row r="14987" spans="38:38" x14ac:dyDescent="0.25">
      <c r="AL14987" s="6"/>
    </row>
    <row r="14988" spans="38:38" x14ac:dyDescent="0.25">
      <c r="AL14988" s="6"/>
    </row>
    <row r="14989" spans="38:38" x14ac:dyDescent="0.25">
      <c r="AL14989" s="6"/>
    </row>
    <row r="14990" spans="38:38" x14ac:dyDescent="0.25">
      <c r="AL14990" s="6"/>
    </row>
    <row r="14991" spans="38:38" x14ac:dyDescent="0.25">
      <c r="AL14991" s="6"/>
    </row>
    <row r="14992" spans="38:38" x14ac:dyDescent="0.25">
      <c r="AL14992" s="6"/>
    </row>
    <row r="14993" spans="38:38" x14ac:dyDescent="0.25">
      <c r="AL14993" s="6"/>
    </row>
    <row r="14994" spans="38:38" x14ac:dyDescent="0.25">
      <c r="AL14994" s="6"/>
    </row>
    <row r="14995" spans="38:38" x14ac:dyDescent="0.25">
      <c r="AL14995" s="6"/>
    </row>
    <row r="14996" spans="38:38" x14ac:dyDescent="0.25">
      <c r="AL14996" s="6"/>
    </row>
    <row r="14997" spans="38:38" x14ac:dyDescent="0.25">
      <c r="AL14997" s="6"/>
    </row>
    <row r="14998" spans="38:38" x14ac:dyDescent="0.25">
      <c r="AL14998" s="6"/>
    </row>
    <row r="14999" spans="38:38" x14ac:dyDescent="0.25">
      <c r="AL14999" s="6"/>
    </row>
    <row r="15000" spans="38:38" x14ac:dyDescent="0.25">
      <c r="AL15000" s="6"/>
    </row>
    <row r="15001" spans="38:38" x14ac:dyDescent="0.25">
      <c r="AL15001" s="6"/>
    </row>
    <row r="15002" spans="38:38" x14ac:dyDescent="0.25">
      <c r="AL15002" s="6"/>
    </row>
    <row r="15003" spans="38:38" x14ac:dyDescent="0.25">
      <c r="AL15003" s="6"/>
    </row>
    <row r="15004" spans="38:38" x14ac:dyDescent="0.25">
      <c r="AL15004" s="6"/>
    </row>
    <row r="15005" spans="38:38" x14ac:dyDescent="0.25">
      <c r="AL15005" s="6"/>
    </row>
    <row r="15006" spans="38:38" x14ac:dyDescent="0.25">
      <c r="AL15006" s="6"/>
    </row>
    <row r="15007" spans="38:38" x14ac:dyDescent="0.25">
      <c r="AL15007" s="6"/>
    </row>
    <row r="15008" spans="38:38" x14ac:dyDescent="0.25">
      <c r="AL15008" s="6"/>
    </row>
    <row r="15009" spans="38:38" x14ac:dyDescent="0.25">
      <c r="AL15009" s="6"/>
    </row>
    <row r="15010" spans="38:38" x14ac:dyDescent="0.25">
      <c r="AL15010" s="6"/>
    </row>
    <row r="15011" spans="38:38" x14ac:dyDescent="0.25">
      <c r="AL15011" s="6"/>
    </row>
    <row r="15012" spans="38:38" x14ac:dyDescent="0.25">
      <c r="AL15012" s="6"/>
    </row>
    <row r="15013" spans="38:38" x14ac:dyDescent="0.25">
      <c r="AL15013" s="6"/>
    </row>
    <row r="15014" spans="38:38" x14ac:dyDescent="0.25">
      <c r="AL15014" s="6"/>
    </row>
    <row r="15015" spans="38:38" x14ac:dyDescent="0.25">
      <c r="AL15015" s="6"/>
    </row>
    <row r="15016" spans="38:38" x14ac:dyDescent="0.25">
      <c r="AL15016" s="6"/>
    </row>
    <row r="15017" spans="38:38" x14ac:dyDescent="0.25">
      <c r="AL15017" s="6"/>
    </row>
    <row r="15018" spans="38:38" x14ac:dyDescent="0.25">
      <c r="AL15018" s="6"/>
    </row>
    <row r="15019" spans="38:38" x14ac:dyDescent="0.25">
      <c r="AL15019" s="6"/>
    </row>
    <row r="15020" spans="38:38" x14ac:dyDescent="0.25">
      <c r="AL15020" s="6"/>
    </row>
    <row r="15021" spans="38:38" x14ac:dyDescent="0.25">
      <c r="AL15021" s="6"/>
    </row>
    <row r="15022" spans="38:38" x14ac:dyDescent="0.25">
      <c r="AL15022" s="6"/>
    </row>
    <row r="15023" spans="38:38" x14ac:dyDescent="0.25">
      <c r="AL15023" s="6"/>
    </row>
    <row r="15024" spans="38:38" x14ac:dyDescent="0.25">
      <c r="AL15024" s="6"/>
    </row>
    <row r="15025" spans="38:38" x14ac:dyDescent="0.25">
      <c r="AL15025" s="6"/>
    </row>
    <row r="15026" spans="38:38" x14ac:dyDescent="0.25">
      <c r="AL15026" s="6"/>
    </row>
    <row r="15027" spans="38:38" x14ac:dyDescent="0.25">
      <c r="AL15027" s="6"/>
    </row>
    <row r="15028" spans="38:38" x14ac:dyDescent="0.25">
      <c r="AL15028" s="6"/>
    </row>
    <row r="15029" spans="38:38" x14ac:dyDescent="0.25">
      <c r="AL15029" s="6"/>
    </row>
    <row r="15030" spans="38:38" x14ac:dyDescent="0.25">
      <c r="AL15030" s="6"/>
    </row>
    <row r="15031" spans="38:38" x14ac:dyDescent="0.25">
      <c r="AL15031" s="6"/>
    </row>
    <row r="15032" spans="38:38" x14ac:dyDescent="0.25">
      <c r="AL15032" s="6"/>
    </row>
    <row r="15033" spans="38:38" x14ac:dyDescent="0.25">
      <c r="AL15033" s="6"/>
    </row>
    <row r="15034" spans="38:38" x14ac:dyDescent="0.25">
      <c r="AL15034" s="6"/>
    </row>
    <row r="15035" spans="38:38" x14ac:dyDescent="0.25">
      <c r="AL15035" s="6"/>
    </row>
    <row r="15036" spans="38:38" x14ac:dyDescent="0.25">
      <c r="AL15036" s="6"/>
    </row>
    <row r="15037" spans="38:38" x14ac:dyDescent="0.25">
      <c r="AL15037" s="6"/>
    </row>
    <row r="15038" spans="38:38" x14ac:dyDescent="0.25">
      <c r="AL15038" s="6"/>
    </row>
    <row r="15039" spans="38:38" x14ac:dyDescent="0.25">
      <c r="AL15039" s="6"/>
    </row>
    <row r="15040" spans="38:38" x14ac:dyDescent="0.25">
      <c r="AL15040" s="6"/>
    </row>
    <row r="15041" spans="38:38" x14ac:dyDescent="0.25">
      <c r="AL15041" s="6"/>
    </row>
    <row r="15042" spans="38:38" x14ac:dyDescent="0.25">
      <c r="AL15042" s="6"/>
    </row>
    <row r="15043" spans="38:38" x14ac:dyDescent="0.25">
      <c r="AL15043" s="6"/>
    </row>
    <row r="15044" spans="38:38" x14ac:dyDescent="0.25">
      <c r="AL15044" s="6"/>
    </row>
    <row r="15045" spans="38:38" x14ac:dyDescent="0.25">
      <c r="AL15045" s="6"/>
    </row>
    <row r="15046" spans="38:38" x14ac:dyDescent="0.25">
      <c r="AL15046" s="6"/>
    </row>
    <row r="15047" spans="38:38" x14ac:dyDescent="0.25">
      <c r="AL15047" s="6"/>
    </row>
    <row r="15048" spans="38:38" x14ac:dyDescent="0.25">
      <c r="AL15048" s="6"/>
    </row>
    <row r="15049" spans="38:38" x14ac:dyDescent="0.25">
      <c r="AL15049" s="6"/>
    </row>
    <row r="15050" spans="38:38" x14ac:dyDescent="0.25">
      <c r="AL15050" s="6"/>
    </row>
    <row r="15051" spans="38:38" x14ac:dyDescent="0.25">
      <c r="AL15051" s="6"/>
    </row>
    <row r="15052" spans="38:38" x14ac:dyDescent="0.25">
      <c r="AL15052" s="6"/>
    </row>
    <row r="15053" spans="38:38" x14ac:dyDescent="0.25">
      <c r="AL15053" s="6"/>
    </row>
    <row r="15054" spans="38:38" x14ac:dyDescent="0.25">
      <c r="AL15054" s="6"/>
    </row>
    <row r="15055" spans="38:38" x14ac:dyDescent="0.25">
      <c r="AL15055" s="6"/>
    </row>
    <row r="15056" spans="38:38" x14ac:dyDescent="0.25">
      <c r="AL15056" s="6"/>
    </row>
    <row r="15057" spans="38:38" x14ac:dyDescent="0.25">
      <c r="AL15057" s="6"/>
    </row>
    <row r="15058" spans="38:38" x14ac:dyDescent="0.25">
      <c r="AL15058" s="6"/>
    </row>
    <row r="15059" spans="38:38" x14ac:dyDescent="0.25">
      <c r="AL15059" s="6"/>
    </row>
    <row r="15060" spans="38:38" x14ac:dyDescent="0.25">
      <c r="AL15060" s="6"/>
    </row>
    <row r="15061" spans="38:38" x14ac:dyDescent="0.25">
      <c r="AL15061" s="6"/>
    </row>
    <row r="15062" spans="38:38" x14ac:dyDescent="0.25">
      <c r="AL15062" s="6"/>
    </row>
    <row r="15063" spans="38:38" x14ac:dyDescent="0.25">
      <c r="AL15063" s="6"/>
    </row>
    <row r="15064" spans="38:38" x14ac:dyDescent="0.25">
      <c r="AL15064" s="6"/>
    </row>
    <row r="15065" spans="38:38" x14ac:dyDescent="0.25">
      <c r="AL15065" s="6"/>
    </row>
    <row r="15066" spans="38:38" x14ac:dyDescent="0.25">
      <c r="AL15066" s="6"/>
    </row>
    <row r="15067" spans="38:38" x14ac:dyDescent="0.25">
      <c r="AL15067" s="6"/>
    </row>
    <row r="15068" spans="38:38" x14ac:dyDescent="0.25">
      <c r="AL15068" s="6"/>
    </row>
    <row r="15069" spans="38:38" x14ac:dyDescent="0.25">
      <c r="AL15069" s="6"/>
    </row>
    <row r="15070" spans="38:38" x14ac:dyDescent="0.25">
      <c r="AL15070" s="6"/>
    </row>
    <row r="15071" spans="38:38" x14ac:dyDescent="0.25">
      <c r="AL15071" s="6"/>
    </row>
    <row r="15072" spans="38:38" x14ac:dyDescent="0.25">
      <c r="AL15072" s="6"/>
    </row>
    <row r="15073" spans="38:38" x14ac:dyDescent="0.25">
      <c r="AL15073" s="6"/>
    </row>
    <row r="15074" spans="38:38" x14ac:dyDescent="0.25">
      <c r="AL15074" s="6"/>
    </row>
    <row r="15075" spans="38:38" x14ac:dyDescent="0.25">
      <c r="AL15075" s="6"/>
    </row>
    <row r="15076" spans="38:38" x14ac:dyDescent="0.25">
      <c r="AL15076" s="6"/>
    </row>
    <row r="15077" spans="38:38" x14ac:dyDescent="0.25">
      <c r="AL15077" s="6"/>
    </row>
    <row r="15078" spans="38:38" x14ac:dyDescent="0.25">
      <c r="AL15078" s="6"/>
    </row>
    <row r="15079" spans="38:38" x14ac:dyDescent="0.25">
      <c r="AL15079" s="6"/>
    </row>
    <row r="15080" spans="38:38" x14ac:dyDescent="0.25">
      <c r="AL15080" s="6"/>
    </row>
    <row r="15081" spans="38:38" x14ac:dyDescent="0.25">
      <c r="AL15081" s="6"/>
    </row>
    <row r="15082" spans="38:38" x14ac:dyDescent="0.25">
      <c r="AL15082" s="6"/>
    </row>
    <row r="15083" spans="38:38" x14ac:dyDescent="0.25">
      <c r="AL15083" s="6"/>
    </row>
    <row r="15084" spans="38:38" x14ac:dyDescent="0.25">
      <c r="AL15084" s="6"/>
    </row>
    <row r="15085" spans="38:38" x14ac:dyDescent="0.25">
      <c r="AL15085" s="6"/>
    </row>
    <row r="15086" spans="38:38" x14ac:dyDescent="0.25">
      <c r="AL15086" s="6"/>
    </row>
    <row r="15087" spans="38:38" x14ac:dyDescent="0.25">
      <c r="AL15087" s="6"/>
    </row>
    <row r="15088" spans="38:38" x14ac:dyDescent="0.25">
      <c r="AL15088" s="6"/>
    </row>
    <row r="15089" spans="38:38" x14ac:dyDescent="0.25">
      <c r="AL15089" s="6"/>
    </row>
    <row r="15090" spans="38:38" x14ac:dyDescent="0.25">
      <c r="AL15090" s="6"/>
    </row>
    <row r="15091" spans="38:38" x14ac:dyDescent="0.25">
      <c r="AL15091" s="6"/>
    </row>
    <row r="15092" spans="38:38" x14ac:dyDescent="0.25">
      <c r="AL15092" s="6"/>
    </row>
    <row r="15093" spans="38:38" x14ac:dyDescent="0.25">
      <c r="AL15093" s="6"/>
    </row>
    <row r="15094" spans="38:38" x14ac:dyDescent="0.25">
      <c r="AL15094" s="6"/>
    </row>
    <row r="15095" spans="38:38" x14ac:dyDescent="0.25">
      <c r="AL15095" s="6"/>
    </row>
    <row r="15096" spans="38:38" x14ac:dyDescent="0.25">
      <c r="AL15096" s="6"/>
    </row>
    <row r="15097" spans="38:38" x14ac:dyDescent="0.25">
      <c r="AL15097" s="6"/>
    </row>
    <row r="15098" spans="38:38" x14ac:dyDescent="0.25">
      <c r="AL15098" s="6"/>
    </row>
    <row r="15099" spans="38:38" x14ac:dyDescent="0.25">
      <c r="AL15099" s="6"/>
    </row>
    <row r="15100" spans="38:38" x14ac:dyDescent="0.25">
      <c r="AL15100" s="6"/>
    </row>
    <row r="15101" spans="38:38" x14ac:dyDescent="0.25">
      <c r="AL15101" s="6"/>
    </row>
    <row r="15102" spans="38:38" x14ac:dyDescent="0.25">
      <c r="AL15102" s="6"/>
    </row>
    <row r="15103" spans="38:38" x14ac:dyDescent="0.25">
      <c r="AL15103" s="6"/>
    </row>
    <row r="15104" spans="38:38" x14ac:dyDescent="0.25">
      <c r="AL15104" s="6"/>
    </row>
    <row r="15105" spans="38:38" x14ac:dyDescent="0.25">
      <c r="AL15105" s="6"/>
    </row>
    <row r="15106" spans="38:38" x14ac:dyDescent="0.25">
      <c r="AL15106" s="6"/>
    </row>
    <row r="15107" spans="38:38" x14ac:dyDescent="0.25">
      <c r="AL15107" s="6"/>
    </row>
    <row r="15108" spans="38:38" x14ac:dyDescent="0.25">
      <c r="AL15108" s="6"/>
    </row>
    <row r="15109" spans="38:38" x14ac:dyDescent="0.25">
      <c r="AL15109" s="6"/>
    </row>
    <row r="15110" spans="38:38" x14ac:dyDescent="0.25">
      <c r="AL15110" s="6"/>
    </row>
    <row r="15111" spans="38:38" x14ac:dyDescent="0.25">
      <c r="AL15111" s="6"/>
    </row>
    <row r="15112" spans="38:38" x14ac:dyDescent="0.25">
      <c r="AL15112" s="6"/>
    </row>
    <row r="15113" spans="38:38" x14ac:dyDescent="0.25">
      <c r="AL15113" s="6"/>
    </row>
    <row r="15114" spans="38:38" x14ac:dyDescent="0.25">
      <c r="AL15114" s="6"/>
    </row>
    <row r="15115" spans="38:38" x14ac:dyDescent="0.25">
      <c r="AL15115" s="6"/>
    </row>
    <row r="15116" spans="38:38" x14ac:dyDescent="0.25">
      <c r="AL15116" s="6"/>
    </row>
    <row r="15117" spans="38:38" x14ac:dyDescent="0.25">
      <c r="AL15117" s="6"/>
    </row>
    <row r="15118" spans="38:38" x14ac:dyDescent="0.25">
      <c r="AL15118" s="6"/>
    </row>
    <row r="15119" spans="38:38" x14ac:dyDescent="0.25">
      <c r="AL15119" s="6"/>
    </row>
    <row r="15120" spans="38:38" x14ac:dyDescent="0.25">
      <c r="AL15120" s="6"/>
    </row>
    <row r="15121" spans="38:38" x14ac:dyDescent="0.25">
      <c r="AL15121" s="6"/>
    </row>
    <row r="15122" spans="38:38" x14ac:dyDescent="0.25">
      <c r="AL15122" s="6"/>
    </row>
    <row r="15123" spans="38:38" x14ac:dyDescent="0.25">
      <c r="AL15123" s="6"/>
    </row>
    <row r="15124" spans="38:38" x14ac:dyDescent="0.25">
      <c r="AL15124" s="6"/>
    </row>
    <row r="15125" spans="38:38" x14ac:dyDescent="0.25">
      <c r="AL15125" s="6"/>
    </row>
    <row r="15126" spans="38:38" x14ac:dyDescent="0.25">
      <c r="AL15126" s="6"/>
    </row>
    <row r="15127" spans="38:38" x14ac:dyDescent="0.25">
      <c r="AL15127" s="6"/>
    </row>
    <row r="15128" spans="38:38" x14ac:dyDescent="0.25">
      <c r="AL15128" s="6"/>
    </row>
    <row r="15129" spans="38:38" x14ac:dyDescent="0.25">
      <c r="AL15129" s="6"/>
    </row>
    <row r="15130" spans="38:38" x14ac:dyDescent="0.25">
      <c r="AL15130" s="6"/>
    </row>
    <row r="15131" spans="38:38" x14ac:dyDescent="0.25">
      <c r="AL15131" s="6"/>
    </row>
    <row r="15132" spans="38:38" x14ac:dyDescent="0.25">
      <c r="AL15132" s="6"/>
    </row>
    <row r="15133" spans="38:38" x14ac:dyDescent="0.25">
      <c r="AL15133" s="6"/>
    </row>
    <row r="15134" spans="38:38" x14ac:dyDescent="0.25">
      <c r="AL15134" s="6"/>
    </row>
    <row r="15135" spans="38:38" x14ac:dyDescent="0.25">
      <c r="AL15135" s="6"/>
    </row>
    <row r="15136" spans="38:38" x14ac:dyDescent="0.25">
      <c r="AL15136" s="6"/>
    </row>
    <row r="15137" spans="38:38" x14ac:dyDescent="0.25">
      <c r="AL15137" s="6"/>
    </row>
    <row r="15138" spans="38:38" x14ac:dyDescent="0.25">
      <c r="AL15138" s="6"/>
    </row>
    <row r="15139" spans="38:38" x14ac:dyDescent="0.25">
      <c r="AL15139" s="6"/>
    </row>
    <row r="15140" spans="38:38" x14ac:dyDescent="0.25">
      <c r="AL15140" s="6"/>
    </row>
    <row r="15141" spans="38:38" x14ac:dyDescent="0.25">
      <c r="AL15141" s="6"/>
    </row>
    <row r="15142" spans="38:38" x14ac:dyDescent="0.25">
      <c r="AL15142" s="6"/>
    </row>
    <row r="15143" spans="38:38" x14ac:dyDescent="0.25">
      <c r="AL15143" s="6"/>
    </row>
    <row r="15144" spans="38:38" x14ac:dyDescent="0.25">
      <c r="AL15144" s="6"/>
    </row>
    <row r="15145" spans="38:38" x14ac:dyDescent="0.25">
      <c r="AL15145" s="6"/>
    </row>
    <row r="15146" spans="38:38" x14ac:dyDescent="0.25">
      <c r="AL15146" s="6"/>
    </row>
    <row r="15147" spans="38:38" x14ac:dyDescent="0.25">
      <c r="AL15147" s="6"/>
    </row>
    <row r="15148" spans="38:38" x14ac:dyDescent="0.25">
      <c r="AL15148" s="6"/>
    </row>
    <row r="15149" spans="38:38" x14ac:dyDescent="0.25">
      <c r="AL15149" s="6"/>
    </row>
    <row r="15150" spans="38:38" x14ac:dyDescent="0.25">
      <c r="AL15150" s="6"/>
    </row>
    <row r="15151" spans="38:38" x14ac:dyDescent="0.25">
      <c r="AL15151" s="6"/>
    </row>
    <row r="15152" spans="38:38" x14ac:dyDescent="0.25">
      <c r="AL15152" s="6"/>
    </row>
    <row r="15153" spans="38:38" x14ac:dyDescent="0.25">
      <c r="AL15153" s="6"/>
    </row>
    <row r="15154" spans="38:38" x14ac:dyDescent="0.25">
      <c r="AL15154" s="6"/>
    </row>
    <row r="15155" spans="38:38" x14ac:dyDescent="0.25">
      <c r="AL15155" s="6"/>
    </row>
    <row r="15156" spans="38:38" x14ac:dyDescent="0.25">
      <c r="AL15156" s="6"/>
    </row>
    <row r="15157" spans="38:38" x14ac:dyDescent="0.25">
      <c r="AL15157" s="6"/>
    </row>
    <row r="15158" spans="38:38" x14ac:dyDescent="0.25">
      <c r="AL15158" s="6"/>
    </row>
    <row r="15159" spans="38:38" x14ac:dyDescent="0.25">
      <c r="AL15159" s="6"/>
    </row>
    <row r="15160" spans="38:38" x14ac:dyDescent="0.25">
      <c r="AL15160" s="6"/>
    </row>
    <row r="15161" spans="38:38" x14ac:dyDescent="0.25">
      <c r="AL15161" s="6"/>
    </row>
    <row r="15162" spans="38:38" x14ac:dyDescent="0.25">
      <c r="AL15162" s="6"/>
    </row>
    <row r="15163" spans="38:38" x14ac:dyDescent="0.25">
      <c r="AL15163" s="6"/>
    </row>
    <row r="15164" spans="38:38" x14ac:dyDescent="0.25">
      <c r="AL15164" s="6"/>
    </row>
    <row r="15165" spans="38:38" x14ac:dyDescent="0.25">
      <c r="AL15165" s="6"/>
    </row>
    <row r="15166" spans="38:38" x14ac:dyDescent="0.25">
      <c r="AL15166" s="6"/>
    </row>
    <row r="15167" spans="38:38" x14ac:dyDescent="0.25">
      <c r="AL15167" s="6"/>
    </row>
    <row r="15168" spans="38:38" x14ac:dyDescent="0.25">
      <c r="AL15168" s="6"/>
    </row>
    <row r="15169" spans="38:38" x14ac:dyDescent="0.25">
      <c r="AL15169" s="6"/>
    </row>
    <row r="15170" spans="38:38" x14ac:dyDescent="0.25">
      <c r="AL15170" s="6"/>
    </row>
    <row r="15171" spans="38:38" x14ac:dyDescent="0.25">
      <c r="AL15171" s="6"/>
    </row>
    <row r="15172" spans="38:38" x14ac:dyDescent="0.25">
      <c r="AL15172" s="6"/>
    </row>
    <row r="15173" spans="38:38" x14ac:dyDescent="0.25">
      <c r="AL15173" s="6"/>
    </row>
    <row r="15174" spans="38:38" x14ac:dyDescent="0.25">
      <c r="AL15174" s="6"/>
    </row>
    <row r="15175" spans="38:38" x14ac:dyDescent="0.25">
      <c r="AL15175" s="6"/>
    </row>
    <row r="15176" spans="38:38" x14ac:dyDescent="0.25">
      <c r="AL15176" s="6"/>
    </row>
    <row r="15177" spans="38:38" x14ac:dyDescent="0.25">
      <c r="AL15177" s="6"/>
    </row>
    <row r="15178" spans="38:38" x14ac:dyDescent="0.25">
      <c r="AL15178" s="6"/>
    </row>
    <row r="15179" spans="38:38" x14ac:dyDescent="0.25">
      <c r="AL15179" s="6"/>
    </row>
    <row r="15180" spans="38:38" x14ac:dyDescent="0.25">
      <c r="AL15180" s="6"/>
    </row>
    <row r="15181" spans="38:38" x14ac:dyDescent="0.25">
      <c r="AL15181" s="6"/>
    </row>
    <row r="15182" spans="38:38" x14ac:dyDescent="0.25">
      <c r="AL15182" s="6"/>
    </row>
    <row r="15183" spans="38:38" x14ac:dyDescent="0.25">
      <c r="AL15183" s="6"/>
    </row>
    <row r="15184" spans="38:38" x14ac:dyDescent="0.25">
      <c r="AL15184" s="6"/>
    </row>
    <row r="15185" spans="38:38" x14ac:dyDescent="0.25">
      <c r="AL15185" s="6"/>
    </row>
    <row r="15186" spans="38:38" x14ac:dyDescent="0.25">
      <c r="AL15186" s="6"/>
    </row>
    <row r="15187" spans="38:38" x14ac:dyDescent="0.25">
      <c r="AL15187" s="6"/>
    </row>
    <row r="15188" spans="38:38" x14ac:dyDescent="0.25">
      <c r="AL15188" s="6"/>
    </row>
    <row r="15189" spans="38:38" x14ac:dyDescent="0.25">
      <c r="AL15189" s="6"/>
    </row>
    <row r="15190" spans="38:38" x14ac:dyDescent="0.25">
      <c r="AL15190" s="6"/>
    </row>
    <row r="15191" spans="38:38" x14ac:dyDescent="0.25">
      <c r="AL15191" s="6"/>
    </row>
    <row r="15192" spans="38:38" x14ac:dyDescent="0.25">
      <c r="AL15192" s="6"/>
    </row>
    <row r="15193" spans="38:38" x14ac:dyDescent="0.25">
      <c r="AL15193" s="6"/>
    </row>
    <row r="15194" spans="38:38" x14ac:dyDescent="0.25">
      <c r="AL15194" s="6"/>
    </row>
    <row r="15195" spans="38:38" x14ac:dyDescent="0.25">
      <c r="AL15195" s="6"/>
    </row>
    <row r="15196" spans="38:38" x14ac:dyDescent="0.25">
      <c r="AL15196" s="6"/>
    </row>
    <row r="15197" spans="38:38" x14ac:dyDescent="0.25">
      <c r="AL15197" s="6"/>
    </row>
    <row r="15198" spans="38:38" x14ac:dyDescent="0.25">
      <c r="AL15198" s="6"/>
    </row>
    <row r="15199" spans="38:38" x14ac:dyDescent="0.25">
      <c r="AL15199" s="6"/>
    </row>
    <row r="15200" spans="38:38" x14ac:dyDescent="0.25">
      <c r="AL15200" s="6"/>
    </row>
    <row r="15201" spans="38:38" x14ac:dyDescent="0.25">
      <c r="AL15201" s="6"/>
    </row>
    <row r="15202" spans="38:38" x14ac:dyDescent="0.25">
      <c r="AL15202" s="6"/>
    </row>
    <row r="15203" spans="38:38" x14ac:dyDescent="0.25">
      <c r="AL15203" s="6"/>
    </row>
    <row r="15204" spans="38:38" x14ac:dyDescent="0.25">
      <c r="AL15204" s="6"/>
    </row>
    <row r="15205" spans="38:38" x14ac:dyDescent="0.25">
      <c r="AL15205" s="6"/>
    </row>
    <row r="15206" spans="38:38" x14ac:dyDescent="0.25">
      <c r="AL15206" s="6"/>
    </row>
    <row r="15207" spans="38:38" x14ac:dyDescent="0.25">
      <c r="AL15207" s="6"/>
    </row>
    <row r="15208" spans="38:38" x14ac:dyDescent="0.25">
      <c r="AL15208" s="6"/>
    </row>
    <row r="15209" spans="38:38" x14ac:dyDescent="0.25">
      <c r="AL15209" s="6"/>
    </row>
    <row r="15210" spans="38:38" x14ac:dyDescent="0.25">
      <c r="AL15210" s="6"/>
    </row>
    <row r="15211" spans="38:38" x14ac:dyDescent="0.25">
      <c r="AL15211" s="6"/>
    </row>
    <row r="15212" spans="38:38" x14ac:dyDescent="0.25">
      <c r="AL15212" s="6"/>
    </row>
    <row r="15213" spans="38:38" x14ac:dyDescent="0.25">
      <c r="AL15213" s="6"/>
    </row>
    <row r="15214" spans="38:38" x14ac:dyDescent="0.25">
      <c r="AL15214" s="6"/>
    </row>
    <row r="15215" spans="38:38" x14ac:dyDescent="0.25">
      <c r="AL15215" s="6"/>
    </row>
    <row r="15216" spans="38:38" x14ac:dyDescent="0.25">
      <c r="AL15216" s="6"/>
    </row>
    <row r="15217" spans="38:38" x14ac:dyDescent="0.25">
      <c r="AL15217" s="6"/>
    </row>
    <row r="15218" spans="38:38" x14ac:dyDescent="0.25">
      <c r="AL15218" s="6"/>
    </row>
    <row r="15219" spans="38:38" x14ac:dyDescent="0.25">
      <c r="AL15219" s="6"/>
    </row>
    <row r="15220" spans="38:38" x14ac:dyDescent="0.25">
      <c r="AL15220" s="6"/>
    </row>
    <row r="15221" spans="38:38" x14ac:dyDescent="0.25">
      <c r="AL15221" s="6"/>
    </row>
    <row r="15222" spans="38:38" x14ac:dyDescent="0.25">
      <c r="AL15222" s="6"/>
    </row>
    <row r="15223" spans="38:38" x14ac:dyDescent="0.25">
      <c r="AL15223" s="6"/>
    </row>
    <row r="15224" spans="38:38" x14ac:dyDescent="0.25">
      <c r="AL15224" s="6"/>
    </row>
    <row r="15225" spans="38:38" x14ac:dyDescent="0.25">
      <c r="AL15225" s="6"/>
    </row>
    <row r="15226" spans="38:38" x14ac:dyDescent="0.25">
      <c r="AL15226" s="6"/>
    </row>
    <row r="15227" spans="38:38" x14ac:dyDescent="0.25">
      <c r="AL15227" s="6"/>
    </row>
    <row r="15228" spans="38:38" x14ac:dyDescent="0.25">
      <c r="AL15228" s="6"/>
    </row>
    <row r="15229" spans="38:38" x14ac:dyDescent="0.25">
      <c r="AL15229" s="6"/>
    </row>
    <row r="15230" spans="38:38" x14ac:dyDescent="0.25">
      <c r="AL15230" s="6"/>
    </row>
    <row r="15231" spans="38:38" x14ac:dyDescent="0.25">
      <c r="AL15231" s="6"/>
    </row>
    <row r="15232" spans="38:38" x14ac:dyDescent="0.25">
      <c r="AL15232" s="6"/>
    </row>
    <row r="15233" spans="38:38" x14ac:dyDescent="0.25">
      <c r="AL15233" s="6"/>
    </row>
    <row r="15234" spans="38:38" x14ac:dyDescent="0.25">
      <c r="AL15234" s="6"/>
    </row>
    <row r="15235" spans="38:38" x14ac:dyDescent="0.25">
      <c r="AL15235" s="6"/>
    </row>
    <row r="15236" spans="38:38" x14ac:dyDescent="0.25">
      <c r="AL15236" s="6"/>
    </row>
    <row r="15237" spans="38:38" x14ac:dyDescent="0.25">
      <c r="AL15237" s="6"/>
    </row>
    <row r="15238" spans="38:38" x14ac:dyDescent="0.25">
      <c r="AL15238" s="6"/>
    </row>
    <row r="15239" spans="38:38" x14ac:dyDescent="0.25">
      <c r="AL15239" s="6"/>
    </row>
    <row r="15240" spans="38:38" x14ac:dyDescent="0.25">
      <c r="AL15240" s="6"/>
    </row>
    <row r="15241" spans="38:38" x14ac:dyDescent="0.25">
      <c r="AL15241" s="6"/>
    </row>
    <row r="15242" spans="38:38" x14ac:dyDescent="0.25">
      <c r="AL15242" s="6"/>
    </row>
    <row r="15243" spans="38:38" x14ac:dyDescent="0.25">
      <c r="AL15243" s="6"/>
    </row>
    <row r="15244" spans="38:38" x14ac:dyDescent="0.25">
      <c r="AL15244" s="6"/>
    </row>
    <row r="15245" spans="38:38" x14ac:dyDescent="0.25">
      <c r="AL15245" s="6"/>
    </row>
    <row r="15246" spans="38:38" x14ac:dyDescent="0.25">
      <c r="AL15246" s="6"/>
    </row>
    <row r="15247" spans="38:38" x14ac:dyDescent="0.25">
      <c r="AL15247" s="6"/>
    </row>
    <row r="15248" spans="38:38" x14ac:dyDescent="0.25">
      <c r="AL15248" s="6"/>
    </row>
    <row r="15249" spans="38:38" x14ac:dyDescent="0.25">
      <c r="AL15249" s="6"/>
    </row>
    <row r="15250" spans="38:38" x14ac:dyDescent="0.25">
      <c r="AL15250" s="6"/>
    </row>
    <row r="15251" spans="38:38" x14ac:dyDescent="0.25">
      <c r="AL15251" s="6"/>
    </row>
    <row r="15252" spans="38:38" x14ac:dyDescent="0.25">
      <c r="AL15252" s="6"/>
    </row>
    <row r="15253" spans="38:38" x14ac:dyDescent="0.25">
      <c r="AL15253" s="6"/>
    </row>
    <row r="15254" spans="38:38" x14ac:dyDescent="0.25">
      <c r="AL15254" s="6"/>
    </row>
    <row r="15255" spans="38:38" x14ac:dyDescent="0.25">
      <c r="AL15255" s="6"/>
    </row>
    <row r="15256" spans="38:38" x14ac:dyDescent="0.25">
      <c r="AL15256" s="6"/>
    </row>
    <row r="15257" spans="38:38" x14ac:dyDescent="0.25">
      <c r="AL15257" s="6"/>
    </row>
    <row r="15258" spans="38:38" x14ac:dyDescent="0.25">
      <c r="AL15258" s="6"/>
    </row>
    <row r="15259" spans="38:38" x14ac:dyDescent="0.25">
      <c r="AL15259" s="6"/>
    </row>
    <row r="15260" spans="38:38" x14ac:dyDescent="0.25">
      <c r="AL15260" s="6"/>
    </row>
    <row r="15261" spans="38:38" x14ac:dyDescent="0.25">
      <c r="AL15261" s="6"/>
    </row>
    <row r="15262" spans="38:38" x14ac:dyDescent="0.25">
      <c r="AL15262" s="6"/>
    </row>
    <row r="15263" spans="38:38" x14ac:dyDescent="0.25">
      <c r="AL15263" s="6"/>
    </row>
    <row r="15264" spans="38:38" x14ac:dyDescent="0.25">
      <c r="AL15264" s="6"/>
    </row>
    <row r="15265" spans="38:38" x14ac:dyDescent="0.25">
      <c r="AL15265" s="6"/>
    </row>
    <row r="15266" spans="38:38" x14ac:dyDescent="0.25">
      <c r="AL15266" s="6"/>
    </row>
    <row r="15267" spans="38:38" x14ac:dyDescent="0.25">
      <c r="AL15267" s="6"/>
    </row>
    <row r="15268" spans="38:38" x14ac:dyDescent="0.25">
      <c r="AL15268" s="6"/>
    </row>
    <row r="15269" spans="38:38" x14ac:dyDescent="0.25">
      <c r="AL15269" s="6"/>
    </row>
    <row r="15270" spans="38:38" x14ac:dyDescent="0.25">
      <c r="AL15270" s="6"/>
    </row>
    <row r="15271" spans="38:38" x14ac:dyDescent="0.25">
      <c r="AL15271" s="6"/>
    </row>
    <row r="15272" spans="38:38" x14ac:dyDescent="0.25">
      <c r="AL15272" s="6"/>
    </row>
    <row r="15273" spans="38:38" x14ac:dyDescent="0.25">
      <c r="AL15273" s="6"/>
    </row>
    <row r="15274" spans="38:38" x14ac:dyDescent="0.25">
      <c r="AL15274" s="6"/>
    </row>
    <row r="15275" spans="38:38" x14ac:dyDescent="0.25">
      <c r="AL15275" s="6"/>
    </row>
    <row r="15276" spans="38:38" x14ac:dyDescent="0.25">
      <c r="AL15276" s="6"/>
    </row>
    <row r="15277" spans="38:38" x14ac:dyDescent="0.25">
      <c r="AL15277" s="6"/>
    </row>
    <row r="15278" spans="38:38" x14ac:dyDescent="0.25">
      <c r="AL15278" s="6"/>
    </row>
    <row r="15279" spans="38:38" x14ac:dyDescent="0.25">
      <c r="AL15279" s="6"/>
    </row>
    <row r="15280" spans="38:38" x14ac:dyDescent="0.25">
      <c r="AL15280" s="6"/>
    </row>
    <row r="15281" spans="38:38" x14ac:dyDescent="0.25">
      <c r="AL15281" s="6"/>
    </row>
    <row r="15282" spans="38:38" x14ac:dyDescent="0.25">
      <c r="AL15282" s="6"/>
    </row>
    <row r="15283" spans="38:38" x14ac:dyDescent="0.25">
      <c r="AL15283" s="6"/>
    </row>
    <row r="15284" spans="38:38" x14ac:dyDescent="0.25">
      <c r="AL15284" s="6"/>
    </row>
    <row r="15285" spans="38:38" x14ac:dyDescent="0.25">
      <c r="AL15285" s="6"/>
    </row>
    <row r="15286" spans="38:38" x14ac:dyDescent="0.25">
      <c r="AL15286" s="6"/>
    </row>
    <row r="15287" spans="38:38" x14ac:dyDescent="0.25">
      <c r="AL15287" s="6"/>
    </row>
    <row r="15288" spans="38:38" x14ac:dyDescent="0.25">
      <c r="AL15288" s="6"/>
    </row>
    <row r="15289" spans="38:38" x14ac:dyDescent="0.25">
      <c r="AL15289" s="6"/>
    </row>
    <row r="15290" spans="38:38" x14ac:dyDescent="0.25">
      <c r="AL15290" s="6"/>
    </row>
    <row r="15291" spans="38:38" x14ac:dyDescent="0.25">
      <c r="AL15291" s="6"/>
    </row>
    <row r="15292" spans="38:38" x14ac:dyDescent="0.25">
      <c r="AL15292" s="6"/>
    </row>
    <row r="15293" spans="38:38" x14ac:dyDescent="0.25">
      <c r="AL15293" s="6"/>
    </row>
    <row r="15294" spans="38:38" x14ac:dyDescent="0.25">
      <c r="AL15294" s="6"/>
    </row>
    <row r="15295" spans="38:38" x14ac:dyDescent="0.25">
      <c r="AL15295" s="6"/>
    </row>
    <row r="15296" spans="38:38" x14ac:dyDescent="0.25">
      <c r="AL15296" s="6"/>
    </row>
    <row r="15297" spans="38:38" x14ac:dyDescent="0.25">
      <c r="AL15297" s="6"/>
    </row>
    <row r="15298" spans="38:38" x14ac:dyDescent="0.25">
      <c r="AL15298" s="6"/>
    </row>
    <row r="15299" spans="38:38" x14ac:dyDescent="0.25">
      <c r="AL15299" s="6"/>
    </row>
    <row r="15300" spans="38:38" x14ac:dyDescent="0.25">
      <c r="AL15300" s="6"/>
    </row>
    <row r="15301" spans="38:38" x14ac:dyDescent="0.25">
      <c r="AL15301" s="6"/>
    </row>
    <row r="15302" spans="38:38" x14ac:dyDescent="0.25">
      <c r="AL15302" s="6"/>
    </row>
    <row r="15303" spans="38:38" x14ac:dyDescent="0.25">
      <c r="AL15303" s="6"/>
    </row>
    <row r="15304" spans="38:38" x14ac:dyDescent="0.25">
      <c r="AL15304" s="6"/>
    </row>
    <row r="15305" spans="38:38" x14ac:dyDescent="0.25">
      <c r="AL15305" s="6"/>
    </row>
    <row r="15306" spans="38:38" x14ac:dyDescent="0.25">
      <c r="AL15306" s="6"/>
    </row>
    <row r="15307" spans="38:38" x14ac:dyDescent="0.25">
      <c r="AL15307" s="6"/>
    </row>
    <row r="15308" spans="38:38" x14ac:dyDescent="0.25">
      <c r="AL15308" s="6"/>
    </row>
    <row r="15309" spans="38:38" x14ac:dyDescent="0.25">
      <c r="AL15309" s="6"/>
    </row>
    <row r="15310" spans="38:38" x14ac:dyDescent="0.25">
      <c r="AL15310" s="6"/>
    </row>
    <row r="15311" spans="38:38" x14ac:dyDescent="0.25">
      <c r="AL15311" s="6"/>
    </row>
    <row r="15312" spans="38:38" x14ac:dyDescent="0.25">
      <c r="AL15312" s="6"/>
    </row>
    <row r="15313" spans="38:38" x14ac:dyDescent="0.25">
      <c r="AL15313" s="6"/>
    </row>
    <row r="15314" spans="38:38" x14ac:dyDescent="0.25">
      <c r="AL15314" s="6"/>
    </row>
    <row r="15315" spans="38:38" x14ac:dyDescent="0.25">
      <c r="AL15315" s="6"/>
    </row>
    <row r="15316" spans="38:38" x14ac:dyDescent="0.25">
      <c r="AL15316" s="6"/>
    </row>
    <row r="15317" spans="38:38" x14ac:dyDescent="0.25">
      <c r="AL15317" s="6"/>
    </row>
    <row r="15318" spans="38:38" x14ac:dyDescent="0.25">
      <c r="AL15318" s="6"/>
    </row>
    <row r="15319" spans="38:38" x14ac:dyDescent="0.25">
      <c r="AL15319" s="6"/>
    </row>
    <row r="15320" spans="38:38" x14ac:dyDescent="0.25">
      <c r="AL15320" s="6"/>
    </row>
    <row r="15321" spans="38:38" x14ac:dyDescent="0.25">
      <c r="AL15321" s="6"/>
    </row>
    <row r="15322" spans="38:38" x14ac:dyDescent="0.25">
      <c r="AL15322" s="6"/>
    </row>
    <row r="15323" spans="38:38" x14ac:dyDescent="0.25">
      <c r="AL15323" s="6"/>
    </row>
    <row r="15324" spans="38:38" x14ac:dyDescent="0.25">
      <c r="AL15324" s="6"/>
    </row>
    <row r="15325" spans="38:38" x14ac:dyDescent="0.25">
      <c r="AL15325" s="6"/>
    </row>
    <row r="15326" spans="38:38" x14ac:dyDescent="0.25">
      <c r="AL15326" s="6"/>
    </row>
    <row r="15327" spans="38:38" x14ac:dyDescent="0.25">
      <c r="AL15327" s="6"/>
    </row>
    <row r="15328" spans="38:38" x14ac:dyDescent="0.25">
      <c r="AL15328" s="6"/>
    </row>
    <row r="15329" spans="38:38" x14ac:dyDescent="0.25">
      <c r="AL15329" s="6"/>
    </row>
    <row r="15330" spans="38:38" x14ac:dyDescent="0.25">
      <c r="AL15330" s="6"/>
    </row>
    <row r="15331" spans="38:38" x14ac:dyDescent="0.25">
      <c r="AL15331" s="6"/>
    </row>
    <row r="15332" spans="38:38" x14ac:dyDescent="0.25">
      <c r="AL15332" s="6"/>
    </row>
    <row r="15333" spans="38:38" x14ac:dyDescent="0.25">
      <c r="AL15333" s="6"/>
    </row>
    <row r="15334" spans="38:38" x14ac:dyDescent="0.25">
      <c r="AL15334" s="6"/>
    </row>
    <row r="15335" spans="38:38" x14ac:dyDescent="0.25">
      <c r="AL15335" s="6"/>
    </row>
    <row r="15336" spans="38:38" x14ac:dyDescent="0.25">
      <c r="AL15336" s="6"/>
    </row>
    <row r="15337" spans="38:38" x14ac:dyDescent="0.25">
      <c r="AL15337" s="6"/>
    </row>
    <row r="15338" spans="38:38" x14ac:dyDescent="0.25">
      <c r="AL15338" s="6"/>
    </row>
    <row r="15339" spans="38:38" x14ac:dyDescent="0.25">
      <c r="AL15339" s="6"/>
    </row>
    <row r="15340" spans="38:38" x14ac:dyDescent="0.25">
      <c r="AL15340" s="6"/>
    </row>
    <row r="15341" spans="38:38" x14ac:dyDescent="0.25">
      <c r="AL15341" s="6"/>
    </row>
    <row r="15342" spans="38:38" x14ac:dyDescent="0.25">
      <c r="AL15342" s="6"/>
    </row>
    <row r="15343" spans="38:38" x14ac:dyDescent="0.25">
      <c r="AL15343" s="6"/>
    </row>
    <row r="15344" spans="38:38" x14ac:dyDescent="0.25">
      <c r="AL15344" s="6"/>
    </row>
    <row r="15345" spans="38:38" x14ac:dyDescent="0.25">
      <c r="AL15345" s="6"/>
    </row>
    <row r="15346" spans="38:38" x14ac:dyDescent="0.25">
      <c r="AL15346" s="6"/>
    </row>
    <row r="15347" spans="38:38" x14ac:dyDescent="0.25">
      <c r="AL15347" s="6"/>
    </row>
    <row r="15348" spans="38:38" x14ac:dyDescent="0.25">
      <c r="AL15348" s="6"/>
    </row>
    <row r="15349" spans="38:38" x14ac:dyDescent="0.25">
      <c r="AL15349" s="6"/>
    </row>
    <row r="15350" spans="38:38" x14ac:dyDescent="0.25">
      <c r="AL15350" s="6"/>
    </row>
    <row r="15351" spans="38:38" x14ac:dyDescent="0.25">
      <c r="AL15351" s="6"/>
    </row>
    <row r="15352" spans="38:38" x14ac:dyDescent="0.25">
      <c r="AL15352" s="6"/>
    </row>
    <row r="15353" spans="38:38" x14ac:dyDescent="0.25">
      <c r="AL15353" s="6"/>
    </row>
    <row r="15354" spans="38:38" x14ac:dyDescent="0.25">
      <c r="AL15354" s="6"/>
    </row>
    <row r="15355" spans="38:38" x14ac:dyDescent="0.25">
      <c r="AL15355" s="6"/>
    </row>
    <row r="15356" spans="38:38" x14ac:dyDescent="0.25">
      <c r="AL15356" s="6"/>
    </row>
    <row r="15357" spans="38:38" x14ac:dyDescent="0.25">
      <c r="AL15357" s="6"/>
    </row>
    <row r="15358" spans="38:38" x14ac:dyDescent="0.25">
      <c r="AL15358" s="6"/>
    </row>
    <row r="15359" spans="38:38" x14ac:dyDescent="0.25">
      <c r="AL15359" s="6"/>
    </row>
    <row r="15360" spans="38:38" x14ac:dyDescent="0.25">
      <c r="AL15360" s="6"/>
    </row>
    <row r="15361" spans="38:38" x14ac:dyDescent="0.25">
      <c r="AL15361" s="6"/>
    </row>
    <row r="15362" spans="38:38" x14ac:dyDescent="0.25">
      <c r="AL15362" s="6"/>
    </row>
    <row r="15363" spans="38:38" x14ac:dyDescent="0.25">
      <c r="AL15363" s="6"/>
    </row>
    <row r="15364" spans="38:38" x14ac:dyDescent="0.25">
      <c r="AL15364" s="6"/>
    </row>
    <row r="15365" spans="38:38" x14ac:dyDescent="0.25">
      <c r="AL15365" s="6"/>
    </row>
    <row r="15366" spans="38:38" x14ac:dyDescent="0.25">
      <c r="AL15366" s="6"/>
    </row>
    <row r="15367" spans="38:38" x14ac:dyDescent="0.25">
      <c r="AL15367" s="6"/>
    </row>
    <row r="15368" spans="38:38" x14ac:dyDescent="0.25">
      <c r="AL15368" s="6"/>
    </row>
    <row r="15369" spans="38:38" x14ac:dyDescent="0.25">
      <c r="AL15369" s="6"/>
    </row>
    <row r="15370" spans="38:38" x14ac:dyDescent="0.25">
      <c r="AL15370" s="6"/>
    </row>
    <row r="15371" spans="38:38" x14ac:dyDescent="0.25">
      <c r="AL15371" s="6"/>
    </row>
    <row r="15372" spans="38:38" x14ac:dyDescent="0.25">
      <c r="AL15372" s="6"/>
    </row>
    <row r="15373" spans="38:38" x14ac:dyDescent="0.25">
      <c r="AL15373" s="6"/>
    </row>
    <row r="15374" spans="38:38" x14ac:dyDescent="0.25">
      <c r="AL15374" s="6"/>
    </row>
    <row r="15375" spans="38:38" x14ac:dyDescent="0.25">
      <c r="AL15375" s="6"/>
    </row>
    <row r="15376" spans="38:38" x14ac:dyDescent="0.25">
      <c r="AL15376" s="6"/>
    </row>
    <row r="15377" spans="38:38" x14ac:dyDescent="0.25">
      <c r="AL15377" s="6"/>
    </row>
    <row r="15378" spans="38:38" x14ac:dyDescent="0.25">
      <c r="AL15378" s="6"/>
    </row>
    <row r="15379" spans="38:38" x14ac:dyDescent="0.25">
      <c r="AL15379" s="6"/>
    </row>
    <row r="15380" spans="38:38" x14ac:dyDescent="0.25">
      <c r="AL15380" s="6"/>
    </row>
    <row r="15381" spans="38:38" x14ac:dyDescent="0.25">
      <c r="AL15381" s="6"/>
    </row>
    <row r="15382" spans="38:38" x14ac:dyDescent="0.25">
      <c r="AL15382" s="6"/>
    </row>
    <row r="15383" spans="38:38" x14ac:dyDescent="0.25">
      <c r="AL15383" s="6"/>
    </row>
    <row r="15384" spans="38:38" x14ac:dyDescent="0.25">
      <c r="AL15384" s="6"/>
    </row>
    <row r="15385" spans="38:38" x14ac:dyDescent="0.25">
      <c r="AL15385" s="6"/>
    </row>
    <row r="15386" spans="38:38" x14ac:dyDescent="0.25">
      <c r="AL15386" s="6"/>
    </row>
    <row r="15387" spans="38:38" x14ac:dyDescent="0.25">
      <c r="AL15387" s="6"/>
    </row>
    <row r="15388" spans="38:38" x14ac:dyDescent="0.25">
      <c r="AL15388" s="6"/>
    </row>
    <row r="15389" spans="38:38" x14ac:dyDescent="0.25">
      <c r="AL15389" s="6"/>
    </row>
    <row r="15390" spans="38:38" x14ac:dyDescent="0.25">
      <c r="AL15390" s="6"/>
    </row>
    <row r="15391" spans="38:38" x14ac:dyDescent="0.25">
      <c r="AL15391" s="6"/>
    </row>
    <row r="15392" spans="38:38" x14ac:dyDescent="0.25">
      <c r="AL15392" s="6"/>
    </row>
    <row r="15393" spans="38:38" x14ac:dyDescent="0.25">
      <c r="AL15393" s="6"/>
    </row>
    <row r="15394" spans="38:38" x14ac:dyDescent="0.25">
      <c r="AL15394" s="6"/>
    </row>
    <row r="15395" spans="38:38" x14ac:dyDescent="0.25">
      <c r="AL15395" s="6"/>
    </row>
    <row r="15396" spans="38:38" x14ac:dyDescent="0.25">
      <c r="AL15396" s="6"/>
    </row>
    <row r="15397" spans="38:38" x14ac:dyDescent="0.25">
      <c r="AL15397" s="6"/>
    </row>
    <row r="15398" spans="38:38" x14ac:dyDescent="0.25">
      <c r="AL15398" s="6"/>
    </row>
    <row r="15399" spans="38:38" x14ac:dyDescent="0.25">
      <c r="AL15399" s="6"/>
    </row>
    <row r="15400" spans="38:38" x14ac:dyDescent="0.25">
      <c r="AL15400" s="6"/>
    </row>
    <row r="15401" spans="38:38" x14ac:dyDescent="0.25">
      <c r="AL15401" s="6"/>
    </row>
    <row r="15402" spans="38:38" x14ac:dyDescent="0.25">
      <c r="AL15402" s="6"/>
    </row>
    <row r="15403" spans="38:38" x14ac:dyDescent="0.25">
      <c r="AL15403" s="6"/>
    </row>
    <row r="15404" spans="38:38" x14ac:dyDescent="0.25">
      <c r="AL15404" s="6"/>
    </row>
    <row r="15405" spans="38:38" x14ac:dyDescent="0.25">
      <c r="AL15405" s="6"/>
    </row>
    <row r="15406" spans="38:38" x14ac:dyDescent="0.25">
      <c r="AL15406" s="6"/>
    </row>
    <row r="15407" spans="38:38" x14ac:dyDescent="0.25">
      <c r="AL15407" s="6"/>
    </row>
    <row r="15408" spans="38:38" x14ac:dyDescent="0.25">
      <c r="AL15408" s="6"/>
    </row>
    <row r="15409" spans="38:38" x14ac:dyDescent="0.25">
      <c r="AL15409" s="6"/>
    </row>
    <row r="15410" spans="38:38" x14ac:dyDescent="0.25">
      <c r="AL15410" s="6"/>
    </row>
    <row r="15411" spans="38:38" x14ac:dyDescent="0.25">
      <c r="AL15411" s="6"/>
    </row>
    <row r="15412" spans="38:38" x14ac:dyDescent="0.25">
      <c r="AL15412" s="6"/>
    </row>
    <row r="15413" spans="38:38" x14ac:dyDescent="0.25">
      <c r="AL15413" s="6"/>
    </row>
    <row r="15414" spans="38:38" x14ac:dyDescent="0.25">
      <c r="AL15414" s="6"/>
    </row>
    <row r="15415" spans="38:38" x14ac:dyDescent="0.25">
      <c r="AL15415" s="6"/>
    </row>
    <row r="15416" spans="38:38" x14ac:dyDescent="0.25">
      <c r="AL15416" s="6"/>
    </row>
    <row r="15417" spans="38:38" x14ac:dyDescent="0.25">
      <c r="AL15417" s="6"/>
    </row>
    <row r="15418" spans="38:38" x14ac:dyDescent="0.25">
      <c r="AL15418" s="6"/>
    </row>
    <row r="15419" spans="38:38" x14ac:dyDescent="0.25">
      <c r="AL15419" s="6"/>
    </row>
    <row r="15420" spans="38:38" x14ac:dyDescent="0.25">
      <c r="AL15420" s="6"/>
    </row>
    <row r="15421" spans="38:38" x14ac:dyDescent="0.25">
      <c r="AL15421" s="6"/>
    </row>
    <row r="15422" spans="38:38" x14ac:dyDescent="0.25">
      <c r="AL15422" s="6"/>
    </row>
    <row r="15423" spans="38:38" x14ac:dyDescent="0.25">
      <c r="AL15423" s="6"/>
    </row>
    <row r="15424" spans="38:38" x14ac:dyDescent="0.25">
      <c r="AL15424" s="6"/>
    </row>
    <row r="15425" spans="38:38" x14ac:dyDescent="0.25">
      <c r="AL15425" s="6"/>
    </row>
    <row r="15426" spans="38:38" x14ac:dyDescent="0.25">
      <c r="AL15426" s="6"/>
    </row>
    <row r="15427" spans="38:38" x14ac:dyDescent="0.25">
      <c r="AL15427" s="6"/>
    </row>
    <row r="15428" spans="38:38" x14ac:dyDescent="0.25">
      <c r="AL15428" s="6"/>
    </row>
    <row r="15429" spans="38:38" x14ac:dyDescent="0.25">
      <c r="AL15429" s="6"/>
    </row>
    <row r="15430" spans="38:38" x14ac:dyDescent="0.25">
      <c r="AL15430" s="6"/>
    </row>
    <row r="15431" spans="38:38" x14ac:dyDescent="0.25">
      <c r="AL15431" s="6"/>
    </row>
    <row r="15432" spans="38:38" x14ac:dyDescent="0.25">
      <c r="AL15432" s="6"/>
    </row>
    <row r="15433" spans="38:38" x14ac:dyDescent="0.25">
      <c r="AL15433" s="6"/>
    </row>
    <row r="15434" spans="38:38" x14ac:dyDescent="0.25">
      <c r="AL15434" s="6"/>
    </row>
    <row r="15435" spans="38:38" x14ac:dyDescent="0.25">
      <c r="AL15435" s="6"/>
    </row>
    <row r="15436" spans="38:38" x14ac:dyDescent="0.25">
      <c r="AL15436" s="6"/>
    </row>
    <row r="15437" spans="38:38" x14ac:dyDescent="0.25">
      <c r="AL15437" s="6"/>
    </row>
    <row r="15438" spans="38:38" x14ac:dyDescent="0.25">
      <c r="AL15438" s="6"/>
    </row>
    <row r="15439" spans="38:38" x14ac:dyDescent="0.25">
      <c r="AL15439" s="6"/>
    </row>
    <row r="15440" spans="38:38" x14ac:dyDescent="0.25">
      <c r="AL15440" s="6"/>
    </row>
    <row r="15441" spans="38:38" x14ac:dyDescent="0.25">
      <c r="AL15441" s="6"/>
    </row>
    <row r="15442" spans="38:38" x14ac:dyDescent="0.25">
      <c r="AL15442" s="6"/>
    </row>
    <row r="15443" spans="38:38" x14ac:dyDescent="0.25">
      <c r="AL15443" s="6"/>
    </row>
    <row r="15444" spans="38:38" x14ac:dyDescent="0.25">
      <c r="AL15444" s="6"/>
    </row>
    <row r="15445" spans="38:38" x14ac:dyDescent="0.25">
      <c r="AL15445" s="6"/>
    </row>
    <row r="15446" spans="38:38" x14ac:dyDescent="0.25">
      <c r="AL15446" s="6"/>
    </row>
    <row r="15447" spans="38:38" x14ac:dyDescent="0.25">
      <c r="AL15447" s="6"/>
    </row>
    <row r="15448" spans="38:38" x14ac:dyDescent="0.25">
      <c r="AL15448" s="6"/>
    </row>
    <row r="15449" spans="38:38" x14ac:dyDescent="0.25">
      <c r="AL15449" s="6"/>
    </row>
    <row r="15450" spans="38:38" x14ac:dyDescent="0.25">
      <c r="AL15450" s="6"/>
    </row>
    <row r="15451" spans="38:38" x14ac:dyDescent="0.25">
      <c r="AL15451" s="6"/>
    </row>
    <row r="15452" spans="38:38" x14ac:dyDescent="0.25">
      <c r="AL15452" s="6"/>
    </row>
    <row r="15453" spans="38:38" x14ac:dyDescent="0.25">
      <c r="AL15453" s="6"/>
    </row>
    <row r="15454" spans="38:38" x14ac:dyDescent="0.25">
      <c r="AL15454" s="6"/>
    </row>
    <row r="15455" spans="38:38" x14ac:dyDescent="0.25">
      <c r="AL15455" s="6"/>
    </row>
    <row r="15456" spans="38:38" x14ac:dyDescent="0.25">
      <c r="AL15456" s="6"/>
    </row>
    <row r="15457" spans="38:38" x14ac:dyDescent="0.25">
      <c r="AL15457" s="6"/>
    </row>
    <row r="15458" spans="38:38" x14ac:dyDescent="0.25">
      <c r="AL15458" s="6"/>
    </row>
    <row r="15459" spans="38:38" x14ac:dyDescent="0.25">
      <c r="AL15459" s="6"/>
    </row>
    <row r="15460" spans="38:38" x14ac:dyDescent="0.25">
      <c r="AL15460" s="6"/>
    </row>
    <row r="15461" spans="38:38" x14ac:dyDescent="0.25">
      <c r="AL15461" s="6"/>
    </row>
    <row r="15462" spans="38:38" x14ac:dyDescent="0.25">
      <c r="AL15462" s="6"/>
    </row>
    <row r="15463" spans="38:38" x14ac:dyDescent="0.25">
      <c r="AL15463" s="6"/>
    </row>
    <row r="15464" spans="38:38" x14ac:dyDescent="0.25">
      <c r="AL15464" s="6"/>
    </row>
    <row r="15465" spans="38:38" x14ac:dyDescent="0.25">
      <c r="AL15465" s="6"/>
    </row>
    <row r="15466" spans="38:38" x14ac:dyDescent="0.25">
      <c r="AL15466" s="6"/>
    </row>
    <row r="15467" spans="38:38" x14ac:dyDescent="0.25">
      <c r="AL15467" s="6"/>
    </row>
    <row r="15468" spans="38:38" x14ac:dyDescent="0.25">
      <c r="AL15468" s="6"/>
    </row>
    <row r="15469" spans="38:38" x14ac:dyDescent="0.25">
      <c r="AL15469" s="6"/>
    </row>
    <row r="15470" spans="38:38" x14ac:dyDescent="0.25">
      <c r="AL15470" s="6"/>
    </row>
    <row r="15471" spans="38:38" x14ac:dyDescent="0.25">
      <c r="AL15471" s="6"/>
    </row>
    <row r="15472" spans="38:38" x14ac:dyDescent="0.25">
      <c r="AL15472" s="6"/>
    </row>
    <row r="15473" spans="38:38" x14ac:dyDescent="0.25">
      <c r="AL15473" s="6"/>
    </row>
    <row r="15474" spans="38:38" x14ac:dyDescent="0.25">
      <c r="AL15474" s="6"/>
    </row>
    <row r="15475" spans="38:38" x14ac:dyDescent="0.25">
      <c r="AL15475" s="6"/>
    </row>
    <row r="15476" spans="38:38" x14ac:dyDescent="0.25">
      <c r="AL15476" s="6"/>
    </row>
    <row r="15477" spans="38:38" x14ac:dyDescent="0.25">
      <c r="AL15477" s="6"/>
    </row>
    <row r="15478" spans="38:38" x14ac:dyDescent="0.25">
      <c r="AL15478" s="6"/>
    </row>
    <row r="15479" spans="38:38" x14ac:dyDescent="0.25">
      <c r="AL15479" s="6"/>
    </row>
    <row r="15480" spans="38:38" x14ac:dyDescent="0.25">
      <c r="AL15480" s="6"/>
    </row>
    <row r="15481" spans="38:38" x14ac:dyDescent="0.25">
      <c r="AL15481" s="6"/>
    </row>
    <row r="15482" spans="38:38" x14ac:dyDescent="0.25">
      <c r="AL15482" s="6"/>
    </row>
    <row r="15483" spans="38:38" x14ac:dyDescent="0.25">
      <c r="AL15483" s="6"/>
    </row>
    <row r="15484" spans="38:38" x14ac:dyDescent="0.25">
      <c r="AL15484" s="6"/>
    </row>
    <row r="15485" spans="38:38" x14ac:dyDescent="0.25">
      <c r="AL15485" s="6"/>
    </row>
    <row r="15486" spans="38:38" x14ac:dyDescent="0.25">
      <c r="AL15486" s="6"/>
    </row>
    <row r="15487" spans="38:38" x14ac:dyDescent="0.25">
      <c r="AL15487" s="6"/>
    </row>
    <row r="15488" spans="38:38" x14ac:dyDescent="0.25">
      <c r="AL15488" s="6"/>
    </row>
    <row r="15489" spans="38:38" x14ac:dyDescent="0.25">
      <c r="AL15489" s="6"/>
    </row>
    <row r="15490" spans="38:38" x14ac:dyDescent="0.25">
      <c r="AL15490" s="6"/>
    </row>
    <row r="15491" spans="38:38" x14ac:dyDescent="0.25">
      <c r="AL15491" s="6"/>
    </row>
    <row r="15492" spans="38:38" x14ac:dyDescent="0.25">
      <c r="AL15492" s="6"/>
    </row>
    <row r="15493" spans="38:38" x14ac:dyDescent="0.25">
      <c r="AL15493" s="6"/>
    </row>
    <row r="15494" spans="38:38" x14ac:dyDescent="0.25">
      <c r="AL15494" s="6"/>
    </row>
    <row r="15495" spans="38:38" x14ac:dyDescent="0.25">
      <c r="AL15495" s="6"/>
    </row>
    <row r="15496" spans="38:38" x14ac:dyDescent="0.25">
      <c r="AL15496" s="6"/>
    </row>
    <row r="15497" spans="38:38" x14ac:dyDescent="0.25">
      <c r="AL15497" s="6"/>
    </row>
    <row r="15498" spans="38:38" x14ac:dyDescent="0.25">
      <c r="AL15498" s="6"/>
    </row>
    <row r="15499" spans="38:38" x14ac:dyDescent="0.25">
      <c r="AL15499" s="6"/>
    </row>
    <row r="15500" spans="38:38" x14ac:dyDescent="0.25">
      <c r="AL15500" s="6"/>
    </row>
    <row r="15501" spans="38:38" x14ac:dyDescent="0.25">
      <c r="AL15501" s="6"/>
    </row>
    <row r="15502" spans="38:38" x14ac:dyDescent="0.25">
      <c r="AL15502" s="6"/>
    </row>
    <row r="15503" spans="38:38" x14ac:dyDescent="0.25">
      <c r="AL15503" s="6"/>
    </row>
    <row r="15504" spans="38:38" x14ac:dyDescent="0.25">
      <c r="AL15504" s="6"/>
    </row>
    <row r="15505" spans="38:38" x14ac:dyDescent="0.25">
      <c r="AL15505" s="6"/>
    </row>
    <row r="15506" spans="38:38" x14ac:dyDescent="0.25">
      <c r="AL15506" s="6"/>
    </row>
    <row r="15507" spans="38:38" x14ac:dyDescent="0.25">
      <c r="AL15507" s="6"/>
    </row>
    <row r="15508" spans="38:38" x14ac:dyDescent="0.25">
      <c r="AL15508" s="6"/>
    </row>
    <row r="15509" spans="38:38" x14ac:dyDescent="0.25">
      <c r="AL15509" s="6"/>
    </row>
    <row r="15510" spans="38:38" x14ac:dyDescent="0.25">
      <c r="AL15510" s="6"/>
    </row>
    <row r="15511" spans="38:38" x14ac:dyDescent="0.25">
      <c r="AL15511" s="6"/>
    </row>
    <row r="15512" spans="38:38" x14ac:dyDescent="0.25">
      <c r="AL15512" s="6"/>
    </row>
    <row r="15513" spans="38:38" x14ac:dyDescent="0.25">
      <c r="AL15513" s="6"/>
    </row>
    <row r="15514" spans="38:38" x14ac:dyDescent="0.25">
      <c r="AL15514" s="6"/>
    </row>
    <row r="15515" spans="38:38" x14ac:dyDescent="0.25">
      <c r="AL15515" s="6"/>
    </row>
    <row r="15516" spans="38:38" x14ac:dyDescent="0.25">
      <c r="AL15516" s="6"/>
    </row>
    <row r="15517" spans="38:38" x14ac:dyDescent="0.25">
      <c r="AL15517" s="6"/>
    </row>
    <row r="15518" spans="38:38" x14ac:dyDescent="0.25">
      <c r="AL15518" s="6"/>
    </row>
    <row r="15519" spans="38:38" x14ac:dyDescent="0.25">
      <c r="AL15519" s="6"/>
    </row>
    <row r="15520" spans="38:38" x14ac:dyDescent="0.25">
      <c r="AL15520" s="6"/>
    </row>
    <row r="15521" spans="38:38" x14ac:dyDescent="0.25">
      <c r="AL15521" s="6"/>
    </row>
    <row r="15522" spans="38:38" x14ac:dyDescent="0.25">
      <c r="AL15522" s="6"/>
    </row>
    <row r="15523" spans="38:38" x14ac:dyDescent="0.25">
      <c r="AL15523" s="6"/>
    </row>
    <row r="15524" spans="38:38" x14ac:dyDescent="0.25">
      <c r="AL15524" s="6"/>
    </row>
    <row r="15525" spans="38:38" x14ac:dyDescent="0.25">
      <c r="AL15525" s="6"/>
    </row>
    <row r="15526" spans="38:38" x14ac:dyDescent="0.25">
      <c r="AL15526" s="6"/>
    </row>
    <row r="15527" spans="38:38" x14ac:dyDescent="0.25">
      <c r="AL15527" s="6"/>
    </row>
    <row r="15528" spans="38:38" x14ac:dyDescent="0.25">
      <c r="AL15528" s="6"/>
    </row>
    <row r="15529" spans="38:38" x14ac:dyDescent="0.25">
      <c r="AL15529" s="6"/>
    </row>
    <row r="15530" spans="38:38" x14ac:dyDescent="0.25">
      <c r="AL15530" s="6"/>
    </row>
    <row r="15531" spans="38:38" x14ac:dyDescent="0.25">
      <c r="AL15531" s="6"/>
    </row>
    <row r="15532" spans="38:38" x14ac:dyDescent="0.25">
      <c r="AL15532" s="6"/>
    </row>
    <row r="15533" spans="38:38" x14ac:dyDescent="0.25">
      <c r="AL15533" s="6"/>
    </row>
    <row r="15534" spans="38:38" x14ac:dyDescent="0.25">
      <c r="AL15534" s="6"/>
    </row>
    <row r="15535" spans="38:38" x14ac:dyDescent="0.25">
      <c r="AL15535" s="6"/>
    </row>
    <row r="15536" spans="38:38" x14ac:dyDescent="0.25">
      <c r="AL15536" s="6"/>
    </row>
    <row r="15537" spans="38:38" x14ac:dyDescent="0.25">
      <c r="AL15537" s="6"/>
    </row>
    <row r="15538" spans="38:38" x14ac:dyDescent="0.25">
      <c r="AL15538" s="6"/>
    </row>
    <row r="15539" spans="38:38" x14ac:dyDescent="0.25">
      <c r="AL15539" s="6"/>
    </row>
    <row r="15540" spans="38:38" x14ac:dyDescent="0.25">
      <c r="AL15540" s="6"/>
    </row>
    <row r="15541" spans="38:38" x14ac:dyDescent="0.25">
      <c r="AL15541" s="6"/>
    </row>
    <row r="15542" spans="38:38" x14ac:dyDescent="0.25">
      <c r="AL15542" s="6"/>
    </row>
    <row r="15543" spans="38:38" x14ac:dyDescent="0.25">
      <c r="AL15543" s="6"/>
    </row>
    <row r="15544" spans="38:38" x14ac:dyDescent="0.25">
      <c r="AL15544" s="6"/>
    </row>
    <row r="15545" spans="38:38" x14ac:dyDescent="0.25">
      <c r="AL15545" s="6"/>
    </row>
    <row r="15546" spans="38:38" x14ac:dyDescent="0.25">
      <c r="AL15546" s="6"/>
    </row>
    <row r="15547" spans="38:38" x14ac:dyDescent="0.25">
      <c r="AL15547" s="6"/>
    </row>
    <row r="15548" spans="38:38" x14ac:dyDescent="0.25">
      <c r="AL15548" s="6"/>
    </row>
    <row r="15549" spans="38:38" x14ac:dyDescent="0.25">
      <c r="AL15549" s="6"/>
    </row>
    <row r="15550" spans="38:38" x14ac:dyDescent="0.25">
      <c r="AL15550" s="6"/>
    </row>
    <row r="15551" spans="38:38" x14ac:dyDescent="0.25">
      <c r="AL15551" s="6"/>
    </row>
    <row r="15552" spans="38:38" x14ac:dyDescent="0.25">
      <c r="AL15552" s="6"/>
    </row>
    <row r="15553" spans="38:38" x14ac:dyDescent="0.25">
      <c r="AL15553" s="6"/>
    </row>
    <row r="15554" spans="38:38" x14ac:dyDescent="0.25">
      <c r="AL15554" s="6"/>
    </row>
    <row r="15555" spans="38:38" x14ac:dyDescent="0.25">
      <c r="AL15555" s="6"/>
    </row>
    <row r="15556" spans="38:38" x14ac:dyDescent="0.25">
      <c r="AL15556" s="6"/>
    </row>
    <row r="15557" spans="38:38" x14ac:dyDescent="0.25">
      <c r="AL15557" s="6"/>
    </row>
    <row r="15558" spans="38:38" x14ac:dyDescent="0.25">
      <c r="AL15558" s="6"/>
    </row>
    <row r="15559" spans="38:38" x14ac:dyDescent="0.25">
      <c r="AL15559" s="6"/>
    </row>
    <row r="15560" spans="38:38" x14ac:dyDescent="0.25">
      <c r="AL15560" s="6"/>
    </row>
    <row r="15561" spans="38:38" x14ac:dyDescent="0.25">
      <c r="AL15561" s="6"/>
    </row>
    <row r="15562" spans="38:38" x14ac:dyDescent="0.25">
      <c r="AL15562" s="6"/>
    </row>
    <row r="15563" spans="38:38" x14ac:dyDescent="0.25">
      <c r="AL15563" s="6"/>
    </row>
    <row r="15564" spans="38:38" x14ac:dyDescent="0.25">
      <c r="AL15564" s="6"/>
    </row>
    <row r="15565" spans="38:38" x14ac:dyDescent="0.25">
      <c r="AL15565" s="6"/>
    </row>
    <row r="15566" spans="38:38" x14ac:dyDescent="0.25">
      <c r="AL15566" s="6"/>
    </row>
    <row r="15567" spans="38:38" x14ac:dyDescent="0.25">
      <c r="AL15567" s="6"/>
    </row>
    <row r="15568" spans="38:38" x14ac:dyDescent="0.25">
      <c r="AL15568" s="6"/>
    </row>
    <row r="15569" spans="38:38" x14ac:dyDescent="0.25">
      <c r="AL15569" s="6"/>
    </row>
    <row r="15570" spans="38:38" x14ac:dyDescent="0.25">
      <c r="AL15570" s="6"/>
    </row>
    <row r="15571" spans="38:38" x14ac:dyDescent="0.25">
      <c r="AL15571" s="6"/>
    </row>
    <row r="15572" spans="38:38" x14ac:dyDescent="0.25">
      <c r="AL15572" s="6"/>
    </row>
    <row r="15573" spans="38:38" x14ac:dyDescent="0.25">
      <c r="AL15573" s="6"/>
    </row>
    <row r="15574" spans="38:38" x14ac:dyDescent="0.25">
      <c r="AL15574" s="6"/>
    </row>
    <row r="15575" spans="38:38" x14ac:dyDescent="0.25">
      <c r="AL15575" s="6"/>
    </row>
    <row r="15576" spans="38:38" x14ac:dyDescent="0.25">
      <c r="AL15576" s="6"/>
    </row>
    <row r="15577" spans="38:38" x14ac:dyDescent="0.25">
      <c r="AL15577" s="6"/>
    </row>
    <row r="15578" spans="38:38" x14ac:dyDescent="0.25">
      <c r="AL15578" s="6"/>
    </row>
    <row r="15579" spans="38:38" x14ac:dyDescent="0.25">
      <c r="AL15579" s="6"/>
    </row>
    <row r="15580" spans="38:38" x14ac:dyDescent="0.25">
      <c r="AL15580" s="6"/>
    </row>
    <row r="15581" spans="38:38" x14ac:dyDescent="0.25">
      <c r="AL15581" s="6"/>
    </row>
    <row r="15582" spans="38:38" x14ac:dyDescent="0.25">
      <c r="AL15582" s="6"/>
    </row>
    <row r="15583" spans="38:38" x14ac:dyDescent="0.25">
      <c r="AL15583" s="6"/>
    </row>
    <row r="15584" spans="38:38" x14ac:dyDescent="0.25">
      <c r="AL15584" s="6"/>
    </row>
    <row r="15585" spans="38:38" x14ac:dyDescent="0.25">
      <c r="AL15585" s="6"/>
    </row>
    <row r="15586" spans="38:38" x14ac:dyDescent="0.25">
      <c r="AL15586" s="6"/>
    </row>
    <row r="15587" spans="38:38" x14ac:dyDescent="0.25">
      <c r="AL15587" s="6"/>
    </row>
    <row r="15588" spans="38:38" x14ac:dyDescent="0.25">
      <c r="AL15588" s="6"/>
    </row>
    <row r="15589" spans="38:38" x14ac:dyDescent="0.25">
      <c r="AL15589" s="6"/>
    </row>
    <row r="15590" spans="38:38" x14ac:dyDescent="0.25">
      <c r="AL15590" s="6"/>
    </row>
    <row r="15591" spans="38:38" x14ac:dyDescent="0.25">
      <c r="AL15591" s="6"/>
    </row>
    <row r="15592" spans="38:38" x14ac:dyDescent="0.25">
      <c r="AL15592" s="6"/>
    </row>
    <row r="15593" spans="38:38" x14ac:dyDescent="0.25">
      <c r="AL15593" s="6"/>
    </row>
    <row r="15594" spans="38:38" x14ac:dyDescent="0.25">
      <c r="AL15594" s="6"/>
    </row>
    <row r="15595" spans="38:38" x14ac:dyDescent="0.25">
      <c r="AL15595" s="6"/>
    </row>
    <row r="15596" spans="38:38" x14ac:dyDescent="0.25">
      <c r="AL15596" s="6"/>
    </row>
    <row r="15597" spans="38:38" x14ac:dyDescent="0.25">
      <c r="AL15597" s="6"/>
    </row>
    <row r="15598" spans="38:38" x14ac:dyDescent="0.25">
      <c r="AL15598" s="6"/>
    </row>
    <row r="15599" spans="38:38" x14ac:dyDescent="0.25">
      <c r="AL15599" s="6"/>
    </row>
    <row r="15600" spans="38:38" x14ac:dyDescent="0.25">
      <c r="AL15600" s="6"/>
    </row>
    <row r="15601" spans="38:38" x14ac:dyDescent="0.25">
      <c r="AL15601" s="6"/>
    </row>
    <row r="15602" spans="38:38" x14ac:dyDescent="0.25">
      <c r="AL15602" s="6"/>
    </row>
    <row r="15603" spans="38:38" x14ac:dyDescent="0.25">
      <c r="AL15603" s="6"/>
    </row>
    <row r="15604" spans="38:38" x14ac:dyDescent="0.25">
      <c r="AL15604" s="6"/>
    </row>
    <row r="15605" spans="38:38" x14ac:dyDescent="0.25">
      <c r="AL15605" s="6"/>
    </row>
    <row r="15606" spans="38:38" x14ac:dyDescent="0.25">
      <c r="AL15606" s="6"/>
    </row>
    <row r="15607" spans="38:38" x14ac:dyDescent="0.25">
      <c r="AL15607" s="6"/>
    </row>
    <row r="15608" spans="38:38" x14ac:dyDescent="0.25">
      <c r="AL15608" s="6"/>
    </row>
    <row r="15609" spans="38:38" x14ac:dyDescent="0.25">
      <c r="AL15609" s="6"/>
    </row>
    <row r="15610" spans="38:38" x14ac:dyDescent="0.25">
      <c r="AL15610" s="6"/>
    </row>
    <row r="15611" spans="38:38" x14ac:dyDescent="0.25">
      <c r="AL15611" s="6"/>
    </row>
    <row r="15612" spans="38:38" x14ac:dyDescent="0.25">
      <c r="AL15612" s="6"/>
    </row>
    <row r="15613" spans="38:38" x14ac:dyDescent="0.25">
      <c r="AL15613" s="6"/>
    </row>
    <row r="15614" spans="38:38" x14ac:dyDescent="0.25">
      <c r="AL15614" s="6"/>
    </row>
    <row r="15615" spans="38:38" x14ac:dyDescent="0.25">
      <c r="AL15615" s="6"/>
    </row>
    <row r="15616" spans="38:38" x14ac:dyDescent="0.25">
      <c r="AL15616" s="6"/>
    </row>
    <row r="15617" spans="38:38" x14ac:dyDescent="0.25">
      <c r="AL15617" s="6"/>
    </row>
    <row r="15618" spans="38:38" x14ac:dyDescent="0.25">
      <c r="AL15618" s="6"/>
    </row>
    <row r="15619" spans="38:38" x14ac:dyDescent="0.25">
      <c r="AL15619" s="6"/>
    </row>
    <row r="15620" spans="38:38" x14ac:dyDescent="0.25">
      <c r="AL15620" s="6"/>
    </row>
    <row r="15621" spans="38:38" x14ac:dyDescent="0.25">
      <c r="AL15621" s="6"/>
    </row>
    <row r="15622" spans="38:38" x14ac:dyDescent="0.25">
      <c r="AL15622" s="6"/>
    </row>
    <row r="15623" spans="38:38" x14ac:dyDescent="0.25">
      <c r="AL15623" s="6"/>
    </row>
    <row r="15624" spans="38:38" x14ac:dyDescent="0.25">
      <c r="AL15624" s="6"/>
    </row>
    <row r="15625" spans="38:38" x14ac:dyDescent="0.25">
      <c r="AL15625" s="6"/>
    </row>
    <row r="15626" spans="38:38" x14ac:dyDescent="0.25">
      <c r="AL15626" s="6"/>
    </row>
    <row r="15627" spans="38:38" x14ac:dyDescent="0.25">
      <c r="AL15627" s="6"/>
    </row>
    <row r="15628" spans="38:38" x14ac:dyDescent="0.25">
      <c r="AL15628" s="6"/>
    </row>
    <row r="15629" spans="38:38" x14ac:dyDescent="0.25">
      <c r="AL15629" s="6"/>
    </row>
    <row r="15630" spans="38:38" x14ac:dyDescent="0.25">
      <c r="AL15630" s="6"/>
    </row>
    <row r="15631" spans="38:38" x14ac:dyDescent="0.25">
      <c r="AL15631" s="6"/>
    </row>
    <row r="15632" spans="38:38" x14ac:dyDescent="0.25">
      <c r="AL15632" s="6"/>
    </row>
    <row r="15633" spans="38:38" x14ac:dyDescent="0.25">
      <c r="AL15633" s="6"/>
    </row>
    <row r="15634" spans="38:38" x14ac:dyDescent="0.25">
      <c r="AL15634" s="6"/>
    </row>
    <row r="15635" spans="38:38" x14ac:dyDescent="0.25">
      <c r="AL15635" s="6"/>
    </row>
    <row r="15636" spans="38:38" x14ac:dyDescent="0.25">
      <c r="AL15636" s="6"/>
    </row>
    <row r="15637" spans="38:38" x14ac:dyDescent="0.25">
      <c r="AL15637" s="6"/>
    </row>
    <row r="15638" spans="38:38" x14ac:dyDescent="0.25">
      <c r="AL15638" s="6"/>
    </row>
    <row r="15639" spans="38:38" x14ac:dyDescent="0.25">
      <c r="AL15639" s="6"/>
    </row>
    <row r="15640" spans="38:38" x14ac:dyDescent="0.25">
      <c r="AL15640" s="6"/>
    </row>
    <row r="15641" spans="38:38" x14ac:dyDescent="0.25">
      <c r="AL15641" s="6"/>
    </row>
    <row r="15642" spans="38:38" x14ac:dyDescent="0.25">
      <c r="AL15642" s="6"/>
    </row>
    <row r="15643" spans="38:38" x14ac:dyDescent="0.25">
      <c r="AL15643" s="6"/>
    </row>
    <row r="15644" spans="38:38" x14ac:dyDescent="0.25">
      <c r="AL15644" s="6"/>
    </row>
    <row r="15645" spans="38:38" x14ac:dyDescent="0.25">
      <c r="AL15645" s="6"/>
    </row>
    <row r="15646" spans="38:38" x14ac:dyDescent="0.25">
      <c r="AL15646" s="6"/>
    </row>
    <row r="15647" spans="38:38" x14ac:dyDescent="0.25">
      <c r="AL15647" s="6"/>
    </row>
    <row r="15648" spans="38:38" x14ac:dyDescent="0.25">
      <c r="AL15648" s="6"/>
    </row>
    <row r="15649" spans="38:38" x14ac:dyDescent="0.25">
      <c r="AL15649" s="6"/>
    </row>
    <row r="15650" spans="38:38" x14ac:dyDescent="0.25">
      <c r="AL15650" s="6"/>
    </row>
    <row r="15651" spans="38:38" x14ac:dyDescent="0.25">
      <c r="AL15651" s="6"/>
    </row>
    <row r="15652" spans="38:38" x14ac:dyDescent="0.25">
      <c r="AL15652" s="6"/>
    </row>
    <row r="15653" spans="38:38" x14ac:dyDescent="0.25">
      <c r="AL15653" s="6"/>
    </row>
    <row r="15654" spans="38:38" x14ac:dyDescent="0.25">
      <c r="AL15654" s="6"/>
    </row>
    <row r="15655" spans="38:38" x14ac:dyDescent="0.25">
      <c r="AL15655" s="6"/>
    </row>
    <row r="15656" spans="38:38" x14ac:dyDescent="0.25">
      <c r="AL15656" s="6"/>
    </row>
    <row r="15657" spans="38:38" x14ac:dyDescent="0.25">
      <c r="AL15657" s="6"/>
    </row>
    <row r="15658" spans="38:38" x14ac:dyDescent="0.25">
      <c r="AL15658" s="6"/>
    </row>
    <row r="15659" spans="38:38" x14ac:dyDescent="0.25">
      <c r="AL15659" s="6"/>
    </row>
    <row r="15660" spans="38:38" x14ac:dyDescent="0.25">
      <c r="AL15660" s="6"/>
    </row>
    <row r="15661" spans="38:38" x14ac:dyDescent="0.25">
      <c r="AL15661" s="6"/>
    </row>
    <row r="15662" spans="38:38" x14ac:dyDescent="0.25">
      <c r="AL15662" s="6"/>
    </row>
    <row r="15663" spans="38:38" x14ac:dyDescent="0.25">
      <c r="AL15663" s="6"/>
    </row>
    <row r="15664" spans="38:38" x14ac:dyDescent="0.25">
      <c r="AL15664" s="6"/>
    </row>
    <row r="15665" spans="38:38" x14ac:dyDescent="0.25">
      <c r="AL15665" s="6"/>
    </row>
    <row r="15666" spans="38:38" x14ac:dyDescent="0.25">
      <c r="AL15666" s="6"/>
    </row>
    <row r="15667" spans="38:38" x14ac:dyDescent="0.25">
      <c r="AL15667" s="6"/>
    </row>
    <row r="15668" spans="38:38" x14ac:dyDescent="0.25">
      <c r="AL15668" s="6"/>
    </row>
    <row r="15669" spans="38:38" x14ac:dyDescent="0.25">
      <c r="AL15669" s="6"/>
    </row>
    <row r="15670" spans="38:38" x14ac:dyDescent="0.25">
      <c r="AL15670" s="6"/>
    </row>
    <row r="15671" spans="38:38" x14ac:dyDescent="0.25">
      <c r="AL15671" s="6"/>
    </row>
    <row r="15672" spans="38:38" x14ac:dyDescent="0.25">
      <c r="AL15672" s="6"/>
    </row>
    <row r="15673" spans="38:38" x14ac:dyDescent="0.25">
      <c r="AL15673" s="6"/>
    </row>
    <row r="15674" spans="38:38" x14ac:dyDescent="0.25">
      <c r="AL15674" s="6"/>
    </row>
    <row r="15675" spans="38:38" x14ac:dyDescent="0.25">
      <c r="AL15675" s="6"/>
    </row>
    <row r="15676" spans="38:38" x14ac:dyDescent="0.25">
      <c r="AL15676" s="6"/>
    </row>
    <row r="15677" spans="38:38" x14ac:dyDescent="0.25">
      <c r="AL15677" s="6"/>
    </row>
    <row r="15678" spans="38:38" x14ac:dyDescent="0.25">
      <c r="AL15678" s="6"/>
    </row>
    <row r="15679" spans="38:38" x14ac:dyDescent="0.25">
      <c r="AL15679" s="6"/>
    </row>
    <row r="15680" spans="38:38" x14ac:dyDescent="0.25">
      <c r="AL15680" s="6"/>
    </row>
    <row r="15681" spans="38:38" x14ac:dyDescent="0.25">
      <c r="AL15681" s="6"/>
    </row>
    <row r="15682" spans="38:38" x14ac:dyDescent="0.25">
      <c r="AL15682" s="6"/>
    </row>
    <row r="15683" spans="38:38" x14ac:dyDescent="0.25">
      <c r="AL15683" s="6"/>
    </row>
    <row r="15684" spans="38:38" x14ac:dyDescent="0.25">
      <c r="AL15684" s="6"/>
    </row>
    <row r="15685" spans="38:38" x14ac:dyDescent="0.25">
      <c r="AL15685" s="6"/>
    </row>
    <row r="15686" spans="38:38" x14ac:dyDescent="0.25">
      <c r="AL15686" s="6"/>
    </row>
    <row r="15687" spans="38:38" x14ac:dyDescent="0.25">
      <c r="AL15687" s="6"/>
    </row>
    <row r="15688" spans="38:38" x14ac:dyDescent="0.25">
      <c r="AL15688" s="6"/>
    </row>
    <row r="15689" spans="38:38" x14ac:dyDescent="0.25">
      <c r="AL15689" s="6"/>
    </row>
    <row r="15690" spans="38:38" x14ac:dyDescent="0.25">
      <c r="AL15690" s="6"/>
    </row>
    <row r="15691" spans="38:38" x14ac:dyDescent="0.25">
      <c r="AL15691" s="6"/>
    </row>
    <row r="15692" spans="38:38" x14ac:dyDescent="0.25">
      <c r="AL15692" s="6"/>
    </row>
    <row r="15693" spans="38:38" x14ac:dyDescent="0.25">
      <c r="AL15693" s="6"/>
    </row>
    <row r="15694" spans="38:38" x14ac:dyDescent="0.25">
      <c r="AL15694" s="6"/>
    </row>
    <row r="15695" spans="38:38" x14ac:dyDescent="0.25">
      <c r="AL15695" s="6"/>
    </row>
    <row r="15696" spans="38:38" x14ac:dyDescent="0.25">
      <c r="AL15696" s="6"/>
    </row>
    <row r="15697" spans="38:38" x14ac:dyDescent="0.25">
      <c r="AL15697" s="6"/>
    </row>
    <row r="15698" spans="38:38" x14ac:dyDescent="0.25">
      <c r="AL15698" s="6"/>
    </row>
    <row r="15699" spans="38:38" x14ac:dyDescent="0.25">
      <c r="AL15699" s="6"/>
    </row>
    <row r="15700" spans="38:38" x14ac:dyDescent="0.25">
      <c r="AL15700" s="6"/>
    </row>
    <row r="15701" spans="38:38" x14ac:dyDescent="0.25">
      <c r="AL15701" s="6"/>
    </row>
    <row r="15702" spans="38:38" x14ac:dyDescent="0.25">
      <c r="AL15702" s="6"/>
    </row>
    <row r="15703" spans="38:38" x14ac:dyDescent="0.25">
      <c r="AL15703" s="6"/>
    </row>
    <row r="15704" spans="38:38" x14ac:dyDescent="0.25">
      <c r="AL15704" s="6"/>
    </row>
    <row r="15705" spans="38:38" x14ac:dyDescent="0.25">
      <c r="AL15705" s="6"/>
    </row>
    <row r="15706" spans="38:38" x14ac:dyDescent="0.25">
      <c r="AL15706" s="6"/>
    </row>
    <row r="15707" spans="38:38" x14ac:dyDescent="0.25">
      <c r="AL15707" s="6"/>
    </row>
    <row r="15708" spans="38:38" x14ac:dyDescent="0.25">
      <c r="AL15708" s="6"/>
    </row>
    <row r="15709" spans="38:38" x14ac:dyDescent="0.25">
      <c r="AL15709" s="6"/>
    </row>
    <row r="15710" spans="38:38" x14ac:dyDescent="0.25">
      <c r="AL15710" s="6"/>
    </row>
    <row r="15711" spans="38:38" x14ac:dyDescent="0.25">
      <c r="AL15711" s="6"/>
    </row>
    <row r="15712" spans="38:38" x14ac:dyDescent="0.25">
      <c r="AL15712" s="6"/>
    </row>
    <row r="15713" spans="38:38" x14ac:dyDescent="0.25">
      <c r="AL15713" s="6"/>
    </row>
    <row r="15714" spans="38:38" x14ac:dyDescent="0.25">
      <c r="AL15714" s="6"/>
    </row>
    <row r="15715" spans="38:38" x14ac:dyDescent="0.25">
      <c r="AL15715" s="6"/>
    </row>
    <row r="15716" spans="38:38" x14ac:dyDescent="0.25">
      <c r="AL15716" s="6"/>
    </row>
    <row r="15717" spans="38:38" x14ac:dyDescent="0.25">
      <c r="AL15717" s="6"/>
    </row>
    <row r="15718" spans="38:38" x14ac:dyDescent="0.25">
      <c r="AL15718" s="6"/>
    </row>
    <row r="15719" spans="38:38" x14ac:dyDescent="0.25">
      <c r="AL15719" s="6"/>
    </row>
    <row r="15720" spans="38:38" x14ac:dyDescent="0.25">
      <c r="AL15720" s="6"/>
    </row>
    <row r="15721" spans="38:38" x14ac:dyDescent="0.25">
      <c r="AL15721" s="6"/>
    </row>
    <row r="15722" spans="38:38" x14ac:dyDescent="0.25">
      <c r="AL15722" s="6"/>
    </row>
    <row r="15723" spans="38:38" x14ac:dyDescent="0.25">
      <c r="AL15723" s="6"/>
    </row>
    <row r="15724" spans="38:38" x14ac:dyDescent="0.25">
      <c r="AL15724" s="6"/>
    </row>
    <row r="15725" spans="38:38" x14ac:dyDescent="0.25">
      <c r="AL15725" s="6"/>
    </row>
    <row r="15726" spans="38:38" x14ac:dyDescent="0.25">
      <c r="AL15726" s="6"/>
    </row>
    <row r="15727" spans="38:38" x14ac:dyDescent="0.25">
      <c r="AL15727" s="6"/>
    </row>
    <row r="15728" spans="38:38" x14ac:dyDescent="0.25">
      <c r="AL15728" s="6"/>
    </row>
    <row r="15729" spans="38:38" x14ac:dyDescent="0.25">
      <c r="AL15729" s="6"/>
    </row>
    <row r="15730" spans="38:38" x14ac:dyDescent="0.25">
      <c r="AL15730" s="6"/>
    </row>
    <row r="15731" spans="38:38" x14ac:dyDescent="0.25">
      <c r="AL15731" s="6"/>
    </row>
    <row r="15732" spans="38:38" x14ac:dyDescent="0.25">
      <c r="AL15732" s="6"/>
    </row>
    <row r="15733" spans="38:38" x14ac:dyDescent="0.25">
      <c r="AL15733" s="6"/>
    </row>
    <row r="15734" spans="38:38" x14ac:dyDescent="0.25">
      <c r="AL15734" s="6"/>
    </row>
    <row r="15735" spans="38:38" x14ac:dyDescent="0.25">
      <c r="AL15735" s="6"/>
    </row>
    <row r="15736" spans="38:38" x14ac:dyDescent="0.25">
      <c r="AL15736" s="6"/>
    </row>
    <row r="15737" spans="38:38" x14ac:dyDescent="0.25">
      <c r="AL15737" s="6"/>
    </row>
    <row r="15738" spans="38:38" x14ac:dyDescent="0.25">
      <c r="AL15738" s="6"/>
    </row>
    <row r="15739" spans="38:38" x14ac:dyDescent="0.25">
      <c r="AL15739" s="6"/>
    </row>
    <row r="15740" spans="38:38" x14ac:dyDescent="0.25">
      <c r="AL15740" s="6"/>
    </row>
    <row r="15741" spans="38:38" x14ac:dyDescent="0.25">
      <c r="AL15741" s="6"/>
    </row>
    <row r="15742" spans="38:38" x14ac:dyDescent="0.25">
      <c r="AL15742" s="6"/>
    </row>
    <row r="15743" spans="38:38" x14ac:dyDescent="0.25">
      <c r="AL15743" s="6"/>
    </row>
    <row r="15744" spans="38:38" x14ac:dyDescent="0.25">
      <c r="AL15744" s="6"/>
    </row>
    <row r="15745" spans="38:38" x14ac:dyDescent="0.25">
      <c r="AL15745" s="6"/>
    </row>
    <row r="15746" spans="38:38" x14ac:dyDescent="0.25">
      <c r="AL15746" s="6"/>
    </row>
    <row r="15747" spans="38:38" x14ac:dyDescent="0.25">
      <c r="AL15747" s="6"/>
    </row>
    <row r="15748" spans="38:38" x14ac:dyDescent="0.25">
      <c r="AL15748" s="6"/>
    </row>
    <row r="15749" spans="38:38" x14ac:dyDescent="0.25">
      <c r="AL15749" s="6"/>
    </row>
    <row r="15750" spans="38:38" x14ac:dyDescent="0.25">
      <c r="AL15750" s="6"/>
    </row>
    <row r="15751" spans="38:38" x14ac:dyDescent="0.25">
      <c r="AL15751" s="6"/>
    </row>
    <row r="15752" spans="38:38" x14ac:dyDescent="0.25">
      <c r="AL15752" s="6"/>
    </row>
    <row r="15753" spans="38:38" x14ac:dyDescent="0.25">
      <c r="AL15753" s="6"/>
    </row>
    <row r="15754" spans="38:38" x14ac:dyDescent="0.25">
      <c r="AL15754" s="6"/>
    </row>
    <row r="15755" spans="38:38" x14ac:dyDescent="0.25">
      <c r="AL15755" s="6"/>
    </row>
    <row r="15756" spans="38:38" x14ac:dyDescent="0.25">
      <c r="AL15756" s="6"/>
    </row>
    <row r="15757" spans="38:38" x14ac:dyDescent="0.25">
      <c r="AL15757" s="6"/>
    </row>
    <row r="15758" spans="38:38" x14ac:dyDescent="0.25">
      <c r="AL15758" s="6"/>
    </row>
    <row r="15759" spans="38:38" x14ac:dyDescent="0.25">
      <c r="AL15759" s="6"/>
    </row>
    <row r="15760" spans="38:38" x14ac:dyDescent="0.25">
      <c r="AL15760" s="6"/>
    </row>
    <row r="15761" spans="38:38" x14ac:dyDescent="0.25">
      <c r="AL15761" s="6"/>
    </row>
    <row r="15762" spans="38:38" x14ac:dyDescent="0.25">
      <c r="AL15762" s="6"/>
    </row>
    <row r="15763" spans="38:38" x14ac:dyDescent="0.25">
      <c r="AL15763" s="6"/>
    </row>
    <row r="15764" spans="38:38" x14ac:dyDescent="0.25">
      <c r="AL15764" s="6"/>
    </row>
    <row r="15765" spans="38:38" x14ac:dyDescent="0.25">
      <c r="AL15765" s="6"/>
    </row>
    <row r="15766" spans="38:38" x14ac:dyDescent="0.25">
      <c r="AL15766" s="6"/>
    </row>
    <row r="15767" spans="38:38" x14ac:dyDescent="0.25">
      <c r="AL15767" s="6"/>
    </row>
    <row r="15768" spans="38:38" x14ac:dyDescent="0.25">
      <c r="AL15768" s="6"/>
    </row>
    <row r="15769" spans="38:38" x14ac:dyDescent="0.25">
      <c r="AL15769" s="6"/>
    </row>
    <row r="15770" spans="38:38" x14ac:dyDescent="0.25">
      <c r="AL15770" s="6"/>
    </row>
    <row r="15771" spans="38:38" x14ac:dyDescent="0.25">
      <c r="AL15771" s="6"/>
    </row>
    <row r="15772" spans="38:38" x14ac:dyDescent="0.25">
      <c r="AL15772" s="6"/>
    </row>
    <row r="15773" spans="38:38" x14ac:dyDescent="0.25">
      <c r="AL15773" s="6"/>
    </row>
    <row r="15774" spans="38:38" x14ac:dyDescent="0.25">
      <c r="AL15774" s="6"/>
    </row>
    <row r="15775" spans="38:38" x14ac:dyDescent="0.25">
      <c r="AL15775" s="6"/>
    </row>
    <row r="15776" spans="38:38" x14ac:dyDescent="0.25">
      <c r="AL15776" s="6"/>
    </row>
    <row r="15777" spans="38:38" x14ac:dyDescent="0.25">
      <c r="AL15777" s="6"/>
    </row>
    <row r="15778" spans="38:38" x14ac:dyDescent="0.25">
      <c r="AL15778" s="6"/>
    </row>
    <row r="15779" spans="38:38" x14ac:dyDescent="0.25">
      <c r="AL15779" s="6"/>
    </row>
    <row r="15780" spans="38:38" x14ac:dyDescent="0.25">
      <c r="AL15780" s="6"/>
    </row>
    <row r="15781" spans="38:38" x14ac:dyDescent="0.25">
      <c r="AL15781" s="6"/>
    </row>
    <row r="15782" spans="38:38" x14ac:dyDescent="0.25">
      <c r="AL15782" s="6"/>
    </row>
    <row r="15783" spans="38:38" x14ac:dyDescent="0.25">
      <c r="AL15783" s="6"/>
    </row>
    <row r="15784" spans="38:38" x14ac:dyDescent="0.25">
      <c r="AL15784" s="6"/>
    </row>
    <row r="15785" spans="38:38" x14ac:dyDescent="0.25">
      <c r="AL15785" s="6"/>
    </row>
    <row r="15786" spans="38:38" x14ac:dyDescent="0.25">
      <c r="AL15786" s="6"/>
    </row>
    <row r="15787" spans="38:38" x14ac:dyDescent="0.25">
      <c r="AL15787" s="6"/>
    </row>
    <row r="15788" spans="38:38" x14ac:dyDescent="0.25">
      <c r="AL15788" s="6"/>
    </row>
    <row r="15789" spans="38:38" x14ac:dyDescent="0.25">
      <c r="AL15789" s="6"/>
    </row>
    <row r="15790" spans="38:38" x14ac:dyDescent="0.25">
      <c r="AL15790" s="6"/>
    </row>
    <row r="15791" spans="38:38" x14ac:dyDescent="0.25">
      <c r="AL15791" s="6"/>
    </row>
    <row r="15792" spans="38:38" x14ac:dyDescent="0.25">
      <c r="AL15792" s="6"/>
    </row>
    <row r="15793" spans="38:38" x14ac:dyDescent="0.25">
      <c r="AL15793" s="6"/>
    </row>
    <row r="15794" spans="38:38" x14ac:dyDescent="0.25">
      <c r="AL15794" s="6"/>
    </row>
    <row r="15795" spans="38:38" x14ac:dyDescent="0.25">
      <c r="AL15795" s="6"/>
    </row>
    <row r="15796" spans="38:38" x14ac:dyDescent="0.25">
      <c r="AL15796" s="6"/>
    </row>
    <row r="15797" spans="38:38" x14ac:dyDescent="0.25">
      <c r="AL15797" s="6"/>
    </row>
    <row r="15798" spans="38:38" x14ac:dyDescent="0.25">
      <c r="AL15798" s="6"/>
    </row>
    <row r="15799" spans="38:38" x14ac:dyDescent="0.25">
      <c r="AL15799" s="6"/>
    </row>
    <row r="15800" spans="38:38" x14ac:dyDescent="0.25">
      <c r="AL15800" s="6"/>
    </row>
    <row r="15801" spans="38:38" x14ac:dyDescent="0.25">
      <c r="AL15801" s="6"/>
    </row>
    <row r="15802" spans="38:38" x14ac:dyDescent="0.25">
      <c r="AL15802" s="6"/>
    </row>
    <row r="15803" spans="38:38" x14ac:dyDescent="0.25">
      <c r="AL15803" s="6"/>
    </row>
    <row r="15804" spans="38:38" x14ac:dyDescent="0.25">
      <c r="AL15804" s="6"/>
    </row>
    <row r="15805" spans="38:38" x14ac:dyDescent="0.25">
      <c r="AL15805" s="6"/>
    </row>
    <row r="15806" spans="38:38" x14ac:dyDescent="0.25">
      <c r="AL15806" s="6"/>
    </row>
    <row r="15807" spans="38:38" x14ac:dyDescent="0.25">
      <c r="AL15807" s="6"/>
    </row>
    <row r="15808" spans="38:38" x14ac:dyDescent="0.25">
      <c r="AL15808" s="6"/>
    </row>
    <row r="15809" spans="38:38" x14ac:dyDescent="0.25">
      <c r="AL15809" s="6"/>
    </row>
    <row r="15810" spans="38:38" x14ac:dyDescent="0.25">
      <c r="AL15810" s="6"/>
    </row>
    <row r="15811" spans="38:38" x14ac:dyDescent="0.25">
      <c r="AL15811" s="6"/>
    </row>
    <row r="15812" spans="38:38" x14ac:dyDescent="0.25">
      <c r="AL15812" s="6"/>
    </row>
    <row r="15813" spans="38:38" x14ac:dyDescent="0.25">
      <c r="AL15813" s="6"/>
    </row>
    <row r="15814" spans="38:38" x14ac:dyDescent="0.25">
      <c r="AL15814" s="6"/>
    </row>
    <row r="15815" spans="38:38" x14ac:dyDescent="0.25">
      <c r="AL15815" s="6"/>
    </row>
    <row r="15816" spans="38:38" x14ac:dyDescent="0.25">
      <c r="AL15816" s="6"/>
    </row>
    <row r="15817" spans="38:38" x14ac:dyDescent="0.25">
      <c r="AL15817" s="6"/>
    </row>
    <row r="15818" spans="38:38" x14ac:dyDescent="0.25">
      <c r="AL15818" s="6"/>
    </row>
    <row r="15819" spans="38:38" x14ac:dyDescent="0.25">
      <c r="AL15819" s="6"/>
    </row>
    <row r="15820" spans="38:38" x14ac:dyDescent="0.25">
      <c r="AL15820" s="6"/>
    </row>
    <row r="15821" spans="38:38" x14ac:dyDescent="0.25">
      <c r="AL15821" s="6"/>
    </row>
    <row r="15822" spans="38:38" x14ac:dyDescent="0.25">
      <c r="AL15822" s="6"/>
    </row>
    <row r="15823" spans="38:38" x14ac:dyDescent="0.25">
      <c r="AL15823" s="6"/>
    </row>
    <row r="15824" spans="38:38" x14ac:dyDescent="0.25">
      <c r="AL15824" s="6"/>
    </row>
    <row r="15825" spans="38:38" x14ac:dyDescent="0.25">
      <c r="AL15825" s="6"/>
    </row>
    <row r="15826" spans="38:38" x14ac:dyDescent="0.25">
      <c r="AL15826" s="6"/>
    </row>
    <row r="15827" spans="38:38" x14ac:dyDescent="0.25">
      <c r="AL15827" s="6"/>
    </row>
    <row r="15828" spans="38:38" x14ac:dyDescent="0.25">
      <c r="AL15828" s="6"/>
    </row>
    <row r="15829" spans="38:38" x14ac:dyDescent="0.25">
      <c r="AL15829" s="6"/>
    </row>
    <row r="15830" spans="38:38" x14ac:dyDescent="0.25">
      <c r="AL15830" s="6"/>
    </row>
    <row r="15831" spans="38:38" x14ac:dyDescent="0.25">
      <c r="AL15831" s="6"/>
    </row>
    <row r="15832" spans="38:38" x14ac:dyDescent="0.25">
      <c r="AL15832" s="6"/>
    </row>
    <row r="15833" spans="38:38" x14ac:dyDescent="0.25">
      <c r="AL15833" s="6"/>
    </row>
    <row r="15834" spans="38:38" x14ac:dyDescent="0.25">
      <c r="AL15834" s="6"/>
    </row>
    <row r="15835" spans="38:38" x14ac:dyDescent="0.25">
      <c r="AL15835" s="6"/>
    </row>
    <row r="15836" spans="38:38" x14ac:dyDescent="0.25">
      <c r="AL15836" s="6"/>
    </row>
    <row r="15837" spans="38:38" x14ac:dyDescent="0.25">
      <c r="AL15837" s="6"/>
    </row>
    <row r="15838" spans="38:38" x14ac:dyDescent="0.25">
      <c r="AL15838" s="6"/>
    </row>
    <row r="15839" spans="38:38" x14ac:dyDescent="0.25">
      <c r="AL15839" s="6"/>
    </row>
    <row r="15840" spans="38:38" x14ac:dyDescent="0.25">
      <c r="AL15840" s="6"/>
    </row>
    <row r="15841" spans="38:38" x14ac:dyDescent="0.25">
      <c r="AL15841" s="6"/>
    </row>
    <row r="15842" spans="38:38" x14ac:dyDescent="0.25">
      <c r="AL15842" s="6"/>
    </row>
    <row r="15843" spans="38:38" x14ac:dyDescent="0.25">
      <c r="AL15843" s="6"/>
    </row>
    <row r="15844" spans="38:38" x14ac:dyDescent="0.25">
      <c r="AL15844" s="6"/>
    </row>
    <row r="15845" spans="38:38" x14ac:dyDescent="0.25">
      <c r="AL15845" s="6"/>
    </row>
    <row r="15846" spans="38:38" x14ac:dyDescent="0.25">
      <c r="AL15846" s="6"/>
    </row>
    <row r="15847" spans="38:38" x14ac:dyDescent="0.25">
      <c r="AL15847" s="6"/>
    </row>
    <row r="15848" spans="38:38" x14ac:dyDescent="0.25">
      <c r="AL15848" s="6"/>
    </row>
    <row r="15849" spans="38:38" x14ac:dyDescent="0.25">
      <c r="AL15849" s="6"/>
    </row>
    <row r="15850" spans="38:38" x14ac:dyDescent="0.25">
      <c r="AL15850" s="6"/>
    </row>
    <row r="15851" spans="38:38" x14ac:dyDescent="0.25">
      <c r="AL15851" s="6"/>
    </row>
    <row r="15852" spans="38:38" x14ac:dyDescent="0.25">
      <c r="AL15852" s="6"/>
    </row>
    <row r="15853" spans="38:38" x14ac:dyDescent="0.25">
      <c r="AL15853" s="6"/>
    </row>
    <row r="15854" spans="38:38" x14ac:dyDescent="0.25">
      <c r="AL15854" s="6"/>
    </row>
    <row r="15855" spans="38:38" x14ac:dyDescent="0.25">
      <c r="AL15855" s="6"/>
    </row>
    <row r="15856" spans="38:38" x14ac:dyDescent="0.25">
      <c r="AL15856" s="6"/>
    </row>
    <row r="15857" spans="38:38" x14ac:dyDescent="0.25">
      <c r="AL15857" s="6"/>
    </row>
    <row r="15858" spans="38:38" x14ac:dyDescent="0.25">
      <c r="AL15858" s="6"/>
    </row>
    <row r="15859" spans="38:38" x14ac:dyDescent="0.25">
      <c r="AL15859" s="6"/>
    </row>
    <row r="15860" spans="38:38" x14ac:dyDescent="0.25">
      <c r="AL15860" s="6"/>
    </row>
    <row r="15861" spans="38:38" x14ac:dyDescent="0.25">
      <c r="AL15861" s="6"/>
    </row>
    <row r="15862" spans="38:38" x14ac:dyDescent="0.25">
      <c r="AL15862" s="6"/>
    </row>
    <row r="15863" spans="38:38" x14ac:dyDescent="0.25">
      <c r="AL15863" s="6"/>
    </row>
    <row r="15864" spans="38:38" x14ac:dyDescent="0.25">
      <c r="AL15864" s="6"/>
    </row>
    <row r="15865" spans="38:38" x14ac:dyDescent="0.25">
      <c r="AL15865" s="6"/>
    </row>
    <row r="15866" spans="38:38" x14ac:dyDescent="0.25">
      <c r="AL15866" s="6"/>
    </row>
    <row r="15867" spans="38:38" x14ac:dyDescent="0.25">
      <c r="AL15867" s="6"/>
    </row>
    <row r="15868" spans="38:38" x14ac:dyDescent="0.25">
      <c r="AL15868" s="6"/>
    </row>
    <row r="15869" spans="38:38" x14ac:dyDescent="0.25">
      <c r="AL15869" s="6"/>
    </row>
    <row r="15870" spans="38:38" x14ac:dyDescent="0.25">
      <c r="AL15870" s="6"/>
    </row>
    <row r="15871" spans="38:38" x14ac:dyDescent="0.25">
      <c r="AL15871" s="6"/>
    </row>
    <row r="15872" spans="38:38" x14ac:dyDescent="0.25">
      <c r="AL15872" s="6"/>
    </row>
    <row r="15873" spans="38:38" x14ac:dyDescent="0.25">
      <c r="AL15873" s="6"/>
    </row>
    <row r="15874" spans="38:38" x14ac:dyDescent="0.25">
      <c r="AL15874" s="6"/>
    </row>
    <row r="15875" spans="38:38" x14ac:dyDescent="0.25">
      <c r="AL15875" s="6"/>
    </row>
    <row r="15876" spans="38:38" x14ac:dyDescent="0.25">
      <c r="AL15876" s="6"/>
    </row>
    <row r="15877" spans="38:38" x14ac:dyDescent="0.25">
      <c r="AL15877" s="6"/>
    </row>
    <row r="15878" spans="38:38" x14ac:dyDescent="0.25">
      <c r="AL15878" s="6"/>
    </row>
    <row r="15879" spans="38:38" x14ac:dyDescent="0.25">
      <c r="AL15879" s="6"/>
    </row>
    <row r="15880" spans="38:38" x14ac:dyDescent="0.25">
      <c r="AL15880" s="6"/>
    </row>
    <row r="15881" spans="38:38" x14ac:dyDescent="0.25">
      <c r="AL15881" s="6"/>
    </row>
    <row r="15882" spans="38:38" x14ac:dyDescent="0.25">
      <c r="AL15882" s="6"/>
    </row>
    <row r="15883" spans="38:38" x14ac:dyDescent="0.25">
      <c r="AL15883" s="6"/>
    </row>
    <row r="15884" spans="38:38" x14ac:dyDescent="0.25">
      <c r="AL15884" s="6"/>
    </row>
    <row r="15885" spans="38:38" x14ac:dyDescent="0.25">
      <c r="AL15885" s="6"/>
    </row>
    <row r="15886" spans="38:38" x14ac:dyDescent="0.25">
      <c r="AL15886" s="6"/>
    </row>
    <row r="15887" spans="38:38" x14ac:dyDescent="0.25">
      <c r="AL15887" s="6"/>
    </row>
    <row r="15888" spans="38:38" x14ac:dyDescent="0.25">
      <c r="AL15888" s="6"/>
    </row>
    <row r="15889" spans="38:38" x14ac:dyDescent="0.25">
      <c r="AL15889" s="6"/>
    </row>
    <row r="15890" spans="38:38" x14ac:dyDescent="0.25">
      <c r="AL15890" s="6"/>
    </row>
    <row r="15891" spans="38:38" x14ac:dyDescent="0.25">
      <c r="AL15891" s="6"/>
    </row>
    <row r="15892" spans="38:38" x14ac:dyDescent="0.25">
      <c r="AL15892" s="6"/>
    </row>
    <row r="15893" spans="38:38" x14ac:dyDescent="0.25">
      <c r="AL15893" s="6"/>
    </row>
    <row r="15894" spans="38:38" x14ac:dyDescent="0.25">
      <c r="AL15894" s="6"/>
    </row>
    <row r="15895" spans="38:38" x14ac:dyDescent="0.25">
      <c r="AL15895" s="6"/>
    </row>
    <row r="15896" spans="38:38" x14ac:dyDescent="0.25">
      <c r="AL15896" s="6"/>
    </row>
    <row r="15897" spans="38:38" x14ac:dyDescent="0.25">
      <c r="AL15897" s="6"/>
    </row>
    <row r="15898" spans="38:38" x14ac:dyDescent="0.25">
      <c r="AL15898" s="6"/>
    </row>
    <row r="15899" spans="38:38" x14ac:dyDescent="0.25">
      <c r="AL15899" s="6"/>
    </row>
    <row r="15900" spans="38:38" x14ac:dyDescent="0.25">
      <c r="AL15900" s="6"/>
    </row>
    <row r="15901" spans="38:38" x14ac:dyDescent="0.25">
      <c r="AL15901" s="6"/>
    </row>
    <row r="15902" spans="38:38" x14ac:dyDescent="0.25">
      <c r="AL15902" s="6"/>
    </row>
    <row r="15903" spans="38:38" x14ac:dyDescent="0.25">
      <c r="AL15903" s="6"/>
    </row>
    <row r="15904" spans="38:38" x14ac:dyDescent="0.25">
      <c r="AL15904" s="6"/>
    </row>
    <row r="15905" spans="38:38" x14ac:dyDescent="0.25">
      <c r="AL15905" s="6"/>
    </row>
    <row r="15906" spans="38:38" x14ac:dyDescent="0.25">
      <c r="AL15906" s="6"/>
    </row>
    <row r="15907" spans="38:38" x14ac:dyDescent="0.25">
      <c r="AL15907" s="6"/>
    </row>
    <row r="15908" spans="38:38" x14ac:dyDescent="0.25">
      <c r="AL15908" s="6"/>
    </row>
    <row r="15909" spans="38:38" x14ac:dyDescent="0.25">
      <c r="AL15909" s="6"/>
    </row>
    <row r="15910" spans="38:38" x14ac:dyDescent="0.25">
      <c r="AL15910" s="6"/>
    </row>
    <row r="15911" spans="38:38" x14ac:dyDescent="0.25">
      <c r="AL15911" s="6"/>
    </row>
    <row r="15912" spans="38:38" x14ac:dyDescent="0.25">
      <c r="AL15912" s="6"/>
    </row>
    <row r="15913" spans="38:38" x14ac:dyDescent="0.25">
      <c r="AL15913" s="6"/>
    </row>
    <row r="15914" spans="38:38" x14ac:dyDescent="0.25">
      <c r="AL15914" s="6"/>
    </row>
    <row r="15915" spans="38:38" x14ac:dyDescent="0.25">
      <c r="AL15915" s="6"/>
    </row>
    <row r="15916" spans="38:38" x14ac:dyDescent="0.25">
      <c r="AL15916" s="6"/>
    </row>
    <row r="15917" spans="38:38" x14ac:dyDescent="0.25">
      <c r="AL15917" s="6"/>
    </row>
    <row r="15918" spans="38:38" x14ac:dyDescent="0.25">
      <c r="AL15918" s="6"/>
    </row>
    <row r="15919" spans="38:38" x14ac:dyDescent="0.25">
      <c r="AL15919" s="6"/>
    </row>
    <row r="15920" spans="38:38" x14ac:dyDescent="0.25">
      <c r="AL15920" s="6"/>
    </row>
    <row r="15921" spans="38:38" x14ac:dyDescent="0.25">
      <c r="AL15921" s="6"/>
    </row>
    <row r="15922" spans="38:38" x14ac:dyDescent="0.25">
      <c r="AL15922" s="6"/>
    </row>
    <row r="15923" spans="38:38" x14ac:dyDescent="0.25">
      <c r="AL15923" s="6"/>
    </row>
    <row r="15924" spans="38:38" x14ac:dyDescent="0.25">
      <c r="AL15924" s="6"/>
    </row>
    <row r="15925" spans="38:38" x14ac:dyDescent="0.25">
      <c r="AL15925" s="6"/>
    </row>
    <row r="15926" spans="38:38" x14ac:dyDescent="0.25">
      <c r="AL15926" s="6"/>
    </row>
    <row r="15927" spans="38:38" x14ac:dyDescent="0.25">
      <c r="AL15927" s="6"/>
    </row>
    <row r="15928" spans="38:38" x14ac:dyDescent="0.25">
      <c r="AL15928" s="6"/>
    </row>
    <row r="15929" spans="38:38" x14ac:dyDescent="0.25">
      <c r="AL15929" s="6"/>
    </row>
    <row r="15930" spans="38:38" x14ac:dyDescent="0.25">
      <c r="AL15930" s="6"/>
    </row>
    <row r="15931" spans="38:38" x14ac:dyDescent="0.25">
      <c r="AL15931" s="6"/>
    </row>
    <row r="15932" spans="38:38" x14ac:dyDescent="0.25">
      <c r="AL15932" s="6"/>
    </row>
    <row r="15933" spans="38:38" x14ac:dyDescent="0.25">
      <c r="AL15933" s="6"/>
    </row>
    <row r="15934" spans="38:38" x14ac:dyDescent="0.25">
      <c r="AL15934" s="6"/>
    </row>
    <row r="15935" spans="38:38" x14ac:dyDescent="0.25">
      <c r="AL15935" s="6"/>
    </row>
    <row r="15936" spans="38:38" x14ac:dyDescent="0.25">
      <c r="AL15936" s="6"/>
    </row>
    <row r="15937" spans="38:38" x14ac:dyDescent="0.25">
      <c r="AL15937" s="6"/>
    </row>
    <row r="15938" spans="38:38" x14ac:dyDescent="0.25">
      <c r="AL15938" s="6"/>
    </row>
    <row r="15939" spans="38:38" x14ac:dyDescent="0.25">
      <c r="AL15939" s="6"/>
    </row>
    <row r="15940" spans="38:38" x14ac:dyDescent="0.25">
      <c r="AL15940" s="6"/>
    </row>
    <row r="15941" spans="38:38" x14ac:dyDescent="0.25">
      <c r="AL15941" s="6"/>
    </row>
    <row r="15942" spans="38:38" x14ac:dyDescent="0.25">
      <c r="AL15942" s="6"/>
    </row>
    <row r="15943" spans="38:38" x14ac:dyDescent="0.25">
      <c r="AL15943" s="6"/>
    </row>
    <row r="15944" spans="38:38" x14ac:dyDescent="0.25">
      <c r="AL15944" s="6"/>
    </row>
    <row r="15945" spans="38:38" x14ac:dyDescent="0.25">
      <c r="AL15945" s="6"/>
    </row>
    <row r="15946" spans="38:38" x14ac:dyDescent="0.25">
      <c r="AL15946" s="6"/>
    </row>
    <row r="15947" spans="38:38" x14ac:dyDescent="0.25">
      <c r="AL15947" s="6"/>
    </row>
    <row r="15948" spans="38:38" x14ac:dyDescent="0.25">
      <c r="AL15948" s="6"/>
    </row>
    <row r="15949" spans="38:38" x14ac:dyDescent="0.25">
      <c r="AL15949" s="6"/>
    </row>
    <row r="15950" spans="38:38" x14ac:dyDescent="0.25">
      <c r="AL15950" s="6"/>
    </row>
    <row r="15951" spans="38:38" x14ac:dyDescent="0.25">
      <c r="AL15951" s="6"/>
    </row>
    <row r="15952" spans="38:38" x14ac:dyDescent="0.25">
      <c r="AL15952" s="6"/>
    </row>
    <row r="15953" spans="38:38" x14ac:dyDescent="0.25">
      <c r="AL15953" s="6"/>
    </row>
    <row r="15954" spans="38:38" x14ac:dyDescent="0.25">
      <c r="AL15954" s="6"/>
    </row>
    <row r="15955" spans="38:38" x14ac:dyDescent="0.25">
      <c r="AL15955" s="6"/>
    </row>
    <row r="15956" spans="38:38" x14ac:dyDescent="0.25">
      <c r="AL15956" s="6"/>
    </row>
    <row r="15957" spans="38:38" x14ac:dyDescent="0.25">
      <c r="AL15957" s="6"/>
    </row>
    <row r="15958" spans="38:38" x14ac:dyDescent="0.25">
      <c r="AL15958" s="6"/>
    </row>
    <row r="15959" spans="38:38" x14ac:dyDescent="0.25">
      <c r="AL15959" s="6"/>
    </row>
    <row r="15960" spans="38:38" x14ac:dyDescent="0.25">
      <c r="AL15960" s="6"/>
    </row>
    <row r="15961" spans="38:38" x14ac:dyDescent="0.25">
      <c r="AL15961" s="6"/>
    </row>
    <row r="15962" spans="38:38" x14ac:dyDescent="0.25">
      <c r="AL15962" s="6"/>
    </row>
    <row r="15963" spans="38:38" x14ac:dyDescent="0.25">
      <c r="AL15963" s="6"/>
    </row>
    <row r="15964" spans="38:38" x14ac:dyDescent="0.25">
      <c r="AL15964" s="6"/>
    </row>
    <row r="15965" spans="38:38" x14ac:dyDescent="0.25">
      <c r="AL15965" s="6"/>
    </row>
    <row r="15966" spans="38:38" x14ac:dyDescent="0.25">
      <c r="AL15966" s="6"/>
    </row>
    <row r="15967" spans="38:38" x14ac:dyDescent="0.25">
      <c r="AL15967" s="6"/>
    </row>
    <row r="15968" spans="38:38" x14ac:dyDescent="0.25">
      <c r="AL15968" s="6"/>
    </row>
    <row r="15969" spans="38:38" x14ac:dyDescent="0.25">
      <c r="AL15969" s="6"/>
    </row>
    <row r="15970" spans="38:38" x14ac:dyDescent="0.25">
      <c r="AL15970" s="6"/>
    </row>
    <row r="15971" spans="38:38" x14ac:dyDescent="0.25">
      <c r="AL15971" s="6"/>
    </row>
    <row r="15972" spans="38:38" x14ac:dyDescent="0.25">
      <c r="AL15972" s="6"/>
    </row>
    <row r="15973" spans="38:38" x14ac:dyDescent="0.25">
      <c r="AL15973" s="6"/>
    </row>
    <row r="15974" spans="38:38" x14ac:dyDescent="0.25">
      <c r="AL15974" s="6"/>
    </row>
    <row r="15975" spans="38:38" x14ac:dyDescent="0.25">
      <c r="AL15975" s="6"/>
    </row>
    <row r="15976" spans="38:38" x14ac:dyDescent="0.25">
      <c r="AL15976" s="6"/>
    </row>
    <row r="15977" spans="38:38" x14ac:dyDescent="0.25">
      <c r="AL15977" s="6"/>
    </row>
    <row r="15978" spans="38:38" x14ac:dyDescent="0.25">
      <c r="AL15978" s="6"/>
    </row>
    <row r="15979" spans="38:38" x14ac:dyDescent="0.25">
      <c r="AL15979" s="6"/>
    </row>
    <row r="15980" spans="38:38" x14ac:dyDescent="0.25">
      <c r="AL15980" s="6"/>
    </row>
    <row r="15981" spans="38:38" x14ac:dyDescent="0.25">
      <c r="AL15981" s="6"/>
    </row>
    <row r="15982" spans="38:38" x14ac:dyDescent="0.25">
      <c r="AL15982" s="6"/>
    </row>
    <row r="15983" spans="38:38" x14ac:dyDescent="0.25">
      <c r="AL15983" s="6"/>
    </row>
    <row r="15984" spans="38:38" x14ac:dyDescent="0.25">
      <c r="AL15984" s="6"/>
    </row>
    <row r="15985" spans="38:38" x14ac:dyDescent="0.25">
      <c r="AL15985" s="6"/>
    </row>
    <row r="15986" spans="38:38" x14ac:dyDescent="0.25">
      <c r="AL15986" s="6"/>
    </row>
    <row r="15987" spans="38:38" x14ac:dyDescent="0.25">
      <c r="AL15987" s="6"/>
    </row>
    <row r="15988" spans="38:38" x14ac:dyDescent="0.25">
      <c r="AL15988" s="6"/>
    </row>
    <row r="15989" spans="38:38" x14ac:dyDescent="0.25">
      <c r="AL15989" s="6"/>
    </row>
    <row r="15990" spans="38:38" x14ac:dyDescent="0.25">
      <c r="AL15990" s="6"/>
    </row>
    <row r="15991" spans="38:38" x14ac:dyDescent="0.25">
      <c r="AL15991" s="6"/>
    </row>
    <row r="15992" spans="38:38" x14ac:dyDescent="0.25">
      <c r="AL15992" s="6"/>
    </row>
    <row r="15993" spans="38:38" x14ac:dyDescent="0.25">
      <c r="AL15993" s="6"/>
    </row>
    <row r="15994" spans="38:38" x14ac:dyDescent="0.25">
      <c r="AL15994" s="6"/>
    </row>
    <row r="15995" spans="38:38" x14ac:dyDescent="0.25">
      <c r="AL15995" s="6"/>
    </row>
    <row r="15996" spans="38:38" x14ac:dyDescent="0.25">
      <c r="AL15996" s="6"/>
    </row>
    <row r="15997" spans="38:38" x14ac:dyDescent="0.25">
      <c r="AL15997" s="6"/>
    </row>
    <row r="15998" spans="38:38" x14ac:dyDescent="0.25">
      <c r="AL15998" s="6"/>
    </row>
    <row r="15999" spans="38:38" x14ac:dyDescent="0.25">
      <c r="AL15999" s="6"/>
    </row>
    <row r="16000" spans="38:38" x14ac:dyDescent="0.25">
      <c r="AL16000" s="6"/>
    </row>
    <row r="16001" spans="38:38" x14ac:dyDescent="0.25">
      <c r="AL16001" s="6"/>
    </row>
    <row r="16002" spans="38:38" x14ac:dyDescent="0.25">
      <c r="AL16002" s="6"/>
    </row>
    <row r="16003" spans="38:38" x14ac:dyDescent="0.25">
      <c r="AL16003" s="6"/>
    </row>
    <row r="16004" spans="38:38" x14ac:dyDescent="0.25">
      <c r="AL16004" s="6"/>
    </row>
    <row r="16005" spans="38:38" x14ac:dyDescent="0.25">
      <c r="AL16005" s="6"/>
    </row>
    <row r="16006" spans="38:38" x14ac:dyDescent="0.25">
      <c r="AL16006" s="6"/>
    </row>
    <row r="16007" spans="38:38" x14ac:dyDescent="0.25">
      <c r="AL16007" s="6"/>
    </row>
    <row r="16008" spans="38:38" x14ac:dyDescent="0.25">
      <c r="AL16008" s="6"/>
    </row>
    <row r="16009" spans="38:38" x14ac:dyDescent="0.25">
      <c r="AL16009" s="6"/>
    </row>
    <row r="16010" spans="38:38" x14ac:dyDescent="0.25">
      <c r="AL16010" s="6"/>
    </row>
    <row r="16011" spans="38:38" x14ac:dyDescent="0.25">
      <c r="AL16011" s="6"/>
    </row>
    <row r="16012" spans="38:38" x14ac:dyDescent="0.25">
      <c r="AL16012" s="6"/>
    </row>
    <row r="16013" spans="38:38" x14ac:dyDescent="0.25">
      <c r="AL16013" s="6"/>
    </row>
    <row r="16014" spans="38:38" x14ac:dyDescent="0.25">
      <c r="AL16014" s="6"/>
    </row>
    <row r="16015" spans="38:38" x14ac:dyDescent="0.25">
      <c r="AL16015" s="6"/>
    </row>
    <row r="16016" spans="38:38" x14ac:dyDescent="0.25">
      <c r="AL16016" s="6"/>
    </row>
    <row r="16017" spans="38:38" x14ac:dyDescent="0.25">
      <c r="AL16017" s="6"/>
    </row>
    <row r="16018" spans="38:38" x14ac:dyDescent="0.25">
      <c r="AL16018" s="6"/>
    </row>
    <row r="16019" spans="38:38" x14ac:dyDescent="0.25">
      <c r="AL16019" s="6"/>
    </row>
    <row r="16020" spans="38:38" x14ac:dyDescent="0.25">
      <c r="AL16020" s="6"/>
    </row>
    <row r="16021" spans="38:38" x14ac:dyDescent="0.25">
      <c r="AL16021" s="6"/>
    </row>
    <row r="16022" spans="38:38" x14ac:dyDescent="0.25">
      <c r="AL16022" s="6"/>
    </row>
    <row r="16023" spans="38:38" x14ac:dyDescent="0.25">
      <c r="AL16023" s="6"/>
    </row>
    <row r="16024" spans="38:38" x14ac:dyDescent="0.25">
      <c r="AL16024" s="6"/>
    </row>
    <row r="16025" spans="38:38" x14ac:dyDescent="0.25">
      <c r="AL16025" s="6"/>
    </row>
    <row r="16026" spans="38:38" x14ac:dyDescent="0.25">
      <c r="AL16026" s="6"/>
    </row>
    <row r="16027" spans="38:38" x14ac:dyDescent="0.25">
      <c r="AL16027" s="6"/>
    </row>
    <row r="16028" spans="38:38" x14ac:dyDescent="0.25">
      <c r="AL16028" s="6"/>
    </row>
    <row r="16029" spans="38:38" x14ac:dyDescent="0.25">
      <c r="AL16029" s="6"/>
    </row>
    <row r="16030" spans="38:38" x14ac:dyDescent="0.25">
      <c r="AL16030" s="6"/>
    </row>
    <row r="16031" spans="38:38" x14ac:dyDescent="0.25">
      <c r="AL16031" s="6"/>
    </row>
    <row r="16032" spans="38:38" x14ac:dyDescent="0.25">
      <c r="AL16032" s="6"/>
    </row>
    <row r="16033" spans="38:38" x14ac:dyDescent="0.25">
      <c r="AL16033" s="6"/>
    </row>
    <row r="16034" spans="38:38" x14ac:dyDescent="0.25">
      <c r="AL16034" s="6"/>
    </row>
    <row r="16035" spans="38:38" x14ac:dyDescent="0.25">
      <c r="AL16035" s="6"/>
    </row>
    <row r="16036" spans="38:38" x14ac:dyDescent="0.25">
      <c r="AL16036" s="6"/>
    </row>
    <row r="16037" spans="38:38" x14ac:dyDescent="0.25">
      <c r="AL16037" s="6"/>
    </row>
    <row r="16038" spans="38:38" x14ac:dyDescent="0.25">
      <c r="AL16038" s="6"/>
    </row>
    <row r="16039" spans="38:38" x14ac:dyDescent="0.25">
      <c r="AL16039" s="6"/>
    </row>
    <row r="16040" spans="38:38" x14ac:dyDescent="0.25">
      <c r="AL16040" s="6"/>
    </row>
    <row r="16041" spans="38:38" x14ac:dyDescent="0.25">
      <c r="AL16041" s="6"/>
    </row>
    <row r="16042" spans="38:38" x14ac:dyDescent="0.25">
      <c r="AL16042" s="6"/>
    </row>
    <row r="16043" spans="38:38" x14ac:dyDescent="0.25">
      <c r="AL16043" s="6"/>
    </row>
    <row r="16044" spans="38:38" x14ac:dyDescent="0.25">
      <c r="AL16044" s="6"/>
    </row>
    <row r="16045" spans="38:38" x14ac:dyDescent="0.25">
      <c r="AL16045" s="6"/>
    </row>
    <row r="16046" spans="38:38" x14ac:dyDescent="0.25">
      <c r="AL16046" s="6"/>
    </row>
    <row r="16047" spans="38:38" x14ac:dyDescent="0.25">
      <c r="AL16047" s="6"/>
    </row>
    <row r="16048" spans="38:38" x14ac:dyDescent="0.25">
      <c r="AL16048" s="6"/>
    </row>
    <row r="16049" spans="38:38" x14ac:dyDescent="0.25">
      <c r="AL16049" s="6"/>
    </row>
    <row r="16050" spans="38:38" x14ac:dyDescent="0.25">
      <c r="AL16050" s="6"/>
    </row>
    <row r="16051" spans="38:38" x14ac:dyDescent="0.25">
      <c r="AL16051" s="6"/>
    </row>
    <row r="16052" spans="38:38" x14ac:dyDescent="0.25">
      <c r="AL16052" s="6"/>
    </row>
    <row r="16053" spans="38:38" x14ac:dyDescent="0.25">
      <c r="AL16053" s="6"/>
    </row>
    <row r="16054" spans="38:38" x14ac:dyDescent="0.25">
      <c r="AL16054" s="6"/>
    </row>
    <row r="16055" spans="38:38" x14ac:dyDescent="0.25">
      <c r="AL16055" s="6"/>
    </row>
    <row r="16056" spans="38:38" x14ac:dyDescent="0.25">
      <c r="AL16056" s="6"/>
    </row>
    <row r="16057" spans="38:38" x14ac:dyDescent="0.25">
      <c r="AL16057" s="6"/>
    </row>
    <row r="16058" spans="38:38" x14ac:dyDescent="0.25">
      <c r="AL16058" s="6"/>
    </row>
    <row r="16059" spans="38:38" x14ac:dyDescent="0.25">
      <c r="AL16059" s="6"/>
    </row>
    <row r="16060" spans="38:38" x14ac:dyDescent="0.25">
      <c r="AL16060" s="6"/>
    </row>
    <row r="16061" spans="38:38" x14ac:dyDescent="0.25">
      <c r="AL16061" s="6"/>
    </row>
    <row r="16062" spans="38:38" x14ac:dyDescent="0.25">
      <c r="AL16062" s="6"/>
    </row>
    <row r="16063" spans="38:38" x14ac:dyDescent="0.25">
      <c r="AL16063" s="6"/>
    </row>
    <row r="16064" spans="38:38" x14ac:dyDescent="0.25">
      <c r="AL16064" s="6"/>
    </row>
    <row r="16065" spans="38:38" x14ac:dyDescent="0.25">
      <c r="AL16065" s="6"/>
    </row>
    <row r="16066" spans="38:38" x14ac:dyDescent="0.25">
      <c r="AL16066" s="6"/>
    </row>
    <row r="16067" spans="38:38" x14ac:dyDescent="0.25">
      <c r="AL16067" s="6"/>
    </row>
    <row r="16068" spans="38:38" x14ac:dyDescent="0.25">
      <c r="AL16068" s="6"/>
    </row>
    <row r="16069" spans="38:38" x14ac:dyDescent="0.25">
      <c r="AL16069" s="6"/>
    </row>
    <row r="16070" spans="38:38" x14ac:dyDescent="0.25">
      <c r="AL16070" s="6"/>
    </row>
    <row r="16071" spans="38:38" x14ac:dyDescent="0.25">
      <c r="AL16071" s="6"/>
    </row>
    <row r="16072" spans="38:38" x14ac:dyDescent="0.25">
      <c r="AL16072" s="6"/>
    </row>
    <row r="16073" spans="38:38" x14ac:dyDescent="0.25">
      <c r="AL16073" s="6"/>
    </row>
    <row r="16074" spans="38:38" x14ac:dyDescent="0.25">
      <c r="AL16074" s="6"/>
    </row>
    <row r="16075" spans="38:38" x14ac:dyDescent="0.25">
      <c r="AL16075" s="6"/>
    </row>
    <row r="16076" spans="38:38" x14ac:dyDescent="0.25">
      <c r="AL16076" s="6"/>
    </row>
    <row r="16077" spans="38:38" x14ac:dyDescent="0.25">
      <c r="AL16077" s="6"/>
    </row>
    <row r="16078" spans="38:38" x14ac:dyDescent="0.25">
      <c r="AL16078" s="6"/>
    </row>
    <row r="16079" spans="38:38" x14ac:dyDescent="0.25">
      <c r="AL16079" s="6"/>
    </row>
    <row r="16080" spans="38:38" x14ac:dyDescent="0.25">
      <c r="AL16080" s="6"/>
    </row>
    <row r="16081" spans="38:38" x14ac:dyDescent="0.25">
      <c r="AL16081" s="6"/>
    </row>
    <row r="16082" spans="38:38" x14ac:dyDescent="0.25">
      <c r="AL16082" s="6"/>
    </row>
    <row r="16083" spans="38:38" x14ac:dyDescent="0.25">
      <c r="AL16083" s="6"/>
    </row>
    <row r="16084" spans="38:38" x14ac:dyDescent="0.25">
      <c r="AL16084" s="6"/>
    </row>
    <row r="16085" spans="38:38" x14ac:dyDescent="0.25">
      <c r="AL16085" s="6"/>
    </row>
    <row r="16086" spans="38:38" x14ac:dyDescent="0.25">
      <c r="AL16086" s="6"/>
    </row>
    <row r="16087" spans="38:38" x14ac:dyDescent="0.25">
      <c r="AL16087" s="6"/>
    </row>
    <row r="16088" spans="38:38" x14ac:dyDescent="0.25">
      <c r="AL16088" s="6"/>
    </row>
    <row r="16089" spans="38:38" x14ac:dyDescent="0.25">
      <c r="AL16089" s="6"/>
    </row>
    <row r="16090" spans="38:38" x14ac:dyDescent="0.25">
      <c r="AL16090" s="6"/>
    </row>
    <row r="16091" spans="38:38" x14ac:dyDescent="0.25">
      <c r="AL16091" s="6"/>
    </row>
    <row r="16092" spans="38:38" x14ac:dyDescent="0.25">
      <c r="AL16092" s="6"/>
    </row>
    <row r="16093" spans="38:38" x14ac:dyDescent="0.25">
      <c r="AL16093" s="6"/>
    </row>
    <row r="16094" spans="38:38" x14ac:dyDescent="0.25">
      <c r="AL16094" s="6"/>
    </row>
    <row r="16095" spans="38:38" x14ac:dyDescent="0.25">
      <c r="AL16095" s="6"/>
    </row>
    <row r="16096" spans="38:38" x14ac:dyDescent="0.25">
      <c r="AL16096" s="6"/>
    </row>
    <row r="16097" spans="38:38" x14ac:dyDescent="0.25">
      <c r="AL16097" s="6"/>
    </row>
    <row r="16098" spans="38:38" x14ac:dyDescent="0.25">
      <c r="AL16098" s="6"/>
    </row>
    <row r="16099" spans="38:38" x14ac:dyDescent="0.25">
      <c r="AL16099" s="6"/>
    </row>
    <row r="16100" spans="38:38" x14ac:dyDescent="0.25">
      <c r="AL16100" s="6"/>
    </row>
    <row r="16101" spans="38:38" x14ac:dyDescent="0.25">
      <c r="AL16101" s="6"/>
    </row>
    <row r="16102" spans="38:38" x14ac:dyDescent="0.25">
      <c r="AL16102" s="6"/>
    </row>
    <row r="16103" spans="38:38" x14ac:dyDescent="0.25">
      <c r="AL16103" s="6"/>
    </row>
    <row r="16104" spans="38:38" x14ac:dyDescent="0.25">
      <c r="AL16104" s="6"/>
    </row>
    <row r="16105" spans="38:38" x14ac:dyDescent="0.25">
      <c r="AL16105" s="6"/>
    </row>
    <row r="16106" spans="38:38" x14ac:dyDescent="0.25">
      <c r="AL16106" s="6"/>
    </row>
    <row r="16107" spans="38:38" x14ac:dyDescent="0.25">
      <c r="AL16107" s="6"/>
    </row>
    <row r="16108" spans="38:38" x14ac:dyDescent="0.25">
      <c r="AL16108" s="6"/>
    </row>
    <row r="16109" spans="38:38" x14ac:dyDescent="0.25">
      <c r="AL16109" s="6"/>
    </row>
    <row r="16110" spans="38:38" x14ac:dyDescent="0.25">
      <c r="AL16110" s="6"/>
    </row>
    <row r="16111" spans="38:38" x14ac:dyDescent="0.25">
      <c r="AL16111" s="6"/>
    </row>
    <row r="16112" spans="38:38" x14ac:dyDescent="0.25">
      <c r="AL16112" s="6"/>
    </row>
    <row r="16113" spans="38:38" x14ac:dyDescent="0.25">
      <c r="AL16113" s="6"/>
    </row>
    <row r="16114" spans="38:38" x14ac:dyDescent="0.25">
      <c r="AL16114" s="6"/>
    </row>
    <row r="16115" spans="38:38" x14ac:dyDescent="0.25">
      <c r="AL16115" s="6"/>
    </row>
    <row r="16116" spans="38:38" x14ac:dyDescent="0.25">
      <c r="AL16116" s="6"/>
    </row>
    <row r="16117" spans="38:38" x14ac:dyDescent="0.25">
      <c r="AL16117" s="6"/>
    </row>
    <row r="16118" spans="38:38" x14ac:dyDescent="0.25">
      <c r="AL16118" s="6"/>
    </row>
    <row r="16119" spans="38:38" x14ac:dyDescent="0.25">
      <c r="AL16119" s="6"/>
    </row>
    <row r="16120" spans="38:38" x14ac:dyDescent="0.25">
      <c r="AL16120" s="6"/>
    </row>
    <row r="16121" spans="38:38" x14ac:dyDescent="0.25">
      <c r="AL16121" s="6"/>
    </row>
    <row r="16122" spans="38:38" x14ac:dyDescent="0.25">
      <c r="AL16122" s="6"/>
    </row>
    <row r="16123" spans="38:38" x14ac:dyDescent="0.25">
      <c r="AL16123" s="6"/>
    </row>
    <row r="16124" spans="38:38" x14ac:dyDescent="0.25">
      <c r="AL16124" s="6"/>
    </row>
    <row r="16125" spans="38:38" x14ac:dyDescent="0.25">
      <c r="AL16125" s="6"/>
    </row>
    <row r="16126" spans="38:38" x14ac:dyDescent="0.25">
      <c r="AL16126" s="6"/>
    </row>
    <row r="16127" spans="38:38" x14ac:dyDescent="0.25">
      <c r="AL16127" s="6"/>
    </row>
    <row r="16128" spans="38:38" x14ac:dyDescent="0.25">
      <c r="AL16128" s="6"/>
    </row>
    <row r="16129" spans="38:38" x14ac:dyDescent="0.25">
      <c r="AL16129" s="6"/>
    </row>
    <row r="16130" spans="38:38" x14ac:dyDescent="0.25">
      <c r="AL16130" s="6"/>
    </row>
    <row r="16131" spans="38:38" x14ac:dyDescent="0.25">
      <c r="AL16131" s="6"/>
    </row>
    <row r="16132" spans="38:38" x14ac:dyDescent="0.25">
      <c r="AL16132" s="6"/>
    </row>
    <row r="16133" spans="38:38" x14ac:dyDescent="0.25">
      <c r="AL16133" s="6"/>
    </row>
    <row r="16134" spans="38:38" x14ac:dyDescent="0.25">
      <c r="AL16134" s="6"/>
    </row>
    <row r="16135" spans="38:38" x14ac:dyDescent="0.25">
      <c r="AL16135" s="6"/>
    </row>
    <row r="16136" spans="38:38" x14ac:dyDescent="0.25">
      <c r="AL16136" s="6"/>
    </row>
    <row r="16137" spans="38:38" x14ac:dyDescent="0.25">
      <c r="AL16137" s="6"/>
    </row>
    <row r="16138" spans="38:38" x14ac:dyDescent="0.25">
      <c r="AL16138" s="6"/>
    </row>
    <row r="16139" spans="38:38" x14ac:dyDescent="0.25">
      <c r="AL16139" s="6"/>
    </row>
    <row r="16140" spans="38:38" x14ac:dyDescent="0.25">
      <c r="AL16140" s="6"/>
    </row>
    <row r="16141" spans="38:38" x14ac:dyDescent="0.25">
      <c r="AL16141" s="6"/>
    </row>
    <row r="16142" spans="38:38" x14ac:dyDescent="0.25">
      <c r="AL16142" s="6"/>
    </row>
    <row r="16143" spans="38:38" x14ac:dyDescent="0.25">
      <c r="AL16143" s="6"/>
    </row>
    <row r="16144" spans="38:38" x14ac:dyDescent="0.25">
      <c r="AL16144" s="6"/>
    </row>
    <row r="16145" spans="38:38" x14ac:dyDescent="0.25">
      <c r="AL16145" s="6"/>
    </row>
    <row r="16146" spans="38:38" x14ac:dyDescent="0.25">
      <c r="AL16146" s="6"/>
    </row>
    <row r="16147" spans="38:38" x14ac:dyDescent="0.25">
      <c r="AL16147" s="6"/>
    </row>
    <row r="16148" spans="38:38" x14ac:dyDescent="0.25">
      <c r="AL16148" s="6"/>
    </row>
    <row r="16149" spans="38:38" x14ac:dyDescent="0.25">
      <c r="AL16149" s="6"/>
    </row>
    <row r="16150" spans="38:38" x14ac:dyDescent="0.25">
      <c r="AL16150" s="6"/>
    </row>
    <row r="16151" spans="38:38" x14ac:dyDescent="0.25">
      <c r="AL16151" s="6"/>
    </row>
    <row r="16152" spans="38:38" x14ac:dyDescent="0.25">
      <c r="AL16152" s="6"/>
    </row>
    <row r="16153" spans="38:38" x14ac:dyDescent="0.25">
      <c r="AL16153" s="6"/>
    </row>
    <row r="16154" spans="38:38" x14ac:dyDescent="0.25">
      <c r="AL16154" s="6"/>
    </row>
    <row r="16155" spans="38:38" x14ac:dyDescent="0.25">
      <c r="AL16155" s="6"/>
    </row>
    <row r="16156" spans="38:38" x14ac:dyDescent="0.25">
      <c r="AL16156" s="6"/>
    </row>
    <row r="16157" spans="38:38" x14ac:dyDescent="0.25">
      <c r="AL16157" s="6"/>
    </row>
    <row r="16158" spans="38:38" x14ac:dyDescent="0.25">
      <c r="AL16158" s="6"/>
    </row>
    <row r="16159" spans="38:38" x14ac:dyDescent="0.25">
      <c r="AL16159" s="6"/>
    </row>
    <row r="16160" spans="38:38" x14ac:dyDescent="0.25">
      <c r="AL16160" s="6"/>
    </row>
    <row r="16161" spans="38:38" x14ac:dyDescent="0.25">
      <c r="AL16161" s="6"/>
    </row>
    <row r="16162" spans="38:38" x14ac:dyDescent="0.25">
      <c r="AL16162" s="6"/>
    </row>
    <row r="16163" spans="38:38" x14ac:dyDescent="0.25">
      <c r="AL16163" s="6"/>
    </row>
    <row r="16164" spans="38:38" x14ac:dyDescent="0.25">
      <c r="AL16164" s="6"/>
    </row>
    <row r="16165" spans="38:38" x14ac:dyDescent="0.25">
      <c r="AL16165" s="6"/>
    </row>
    <row r="16166" spans="38:38" x14ac:dyDescent="0.25">
      <c r="AL16166" s="6"/>
    </row>
    <row r="16167" spans="38:38" x14ac:dyDescent="0.25">
      <c r="AL16167" s="6"/>
    </row>
    <row r="16168" spans="38:38" x14ac:dyDescent="0.25">
      <c r="AL16168" s="6"/>
    </row>
    <row r="16169" spans="38:38" x14ac:dyDescent="0.25">
      <c r="AL16169" s="6"/>
    </row>
    <row r="16170" spans="38:38" x14ac:dyDescent="0.25">
      <c r="AL16170" s="6"/>
    </row>
    <row r="16171" spans="38:38" x14ac:dyDescent="0.25">
      <c r="AL16171" s="6"/>
    </row>
    <row r="16172" spans="38:38" x14ac:dyDescent="0.25">
      <c r="AL16172" s="6"/>
    </row>
    <row r="16173" spans="38:38" x14ac:dyDescent="0.25">
      <c r="AL16173" s="6"/>
    </row>
    <row r="16174" spans="38:38" x14ac:dyDescent="0.25">
      <c r="AL16174" s="6"/>
    </row>
    <row r="16175" spans="38:38" x14ac:dyDescent="0.25">
      <c r="AL16175" s="6"/>
    </row>
    <row r="16176" spans="38:38" x14ac:dyDescent="0.25">
      <c r="AL16176" s="6"/>
    </row>
    <row r="16177" spans="38:38" x14ac:dyDescent="0.25">
      <c r="AL16177" s="6"/>
    </row>
    <row r="16178" spans="38:38" x14ac:dyDescent="0.25">
      <c r="AL16178" s="6"/>
    </row>
    <row r="16179" spans="38:38" x14ac:dyDescent="0.25">
      <c r="AL16179" s="6"/>
    </row>
    <row r="16180" spans="38:38" x14ac:dyDescent="0.25">
      <c r="AL16180" s="6"/>
    </row>
    <row r="16181" spans="38:38" x14ac:dyDescent="0.25">
      <c r="AL16181" s="6"/>
    </row>
    <row r="16182" spans="38:38" x14ac:dyDescent="0.25">
      <c r="AL16182" s="6"/>
    </row>
    <row r="16183" spans="38:38" x14ac:dyDescent="0.25">
      <c r="AL16183" s="6"/>
    </row>
    <row r="16184" spans="38:38" x14ac:dyDescent="0.25">
      <c r="AL16184" s="6"/>
    </row>
    <row r="16185" spans="38:38" x14ac:dyDescent="0.25">
      <c r="AL16185" s="6"/>
    </row>
    <row r="16186" spans="38:38" x14ac:dyDescent="0.25">
      <c r="AL16186" s="6"/>
    </row>
    <row r="16187" spans="38:38" x14ac:dyDescent="0.25">
      <c r="AL16187" s="6"/>
    </row>
    <row r="16188" spans="38:38" x14ac:dyDescent="0.25">
      <c r="AL16188" s="6"/>
    </row>
    <row r="16189" spans="38:38" x14ac:dyDescent="0.25">
      <c r="AL16189" s="6"/>
    </row>
    <row r="16190" spans="38:38" x14ac:dyDescent="0.25">
      <c r="AL16190" s="6"/>
    </row>
    <row r="16191" spans="38:38" x14ac:dyDescent="0.25">
      <c r="AL16191" s="6"/>
    </row>
    <row r="16192" spans="38:38" x14ac:dyDescent="0.25">
      <c r="AL16192" s="6"/>
    </row>
    <row r="16193" spans="38:38" x14ac:dyDescent="0.25">
      <c r="AL16193" s="6"/>
    </row>
    <row r="16194" spans="38:38" x14ac:dyDescent="0.25">
      <c r="AL16194" s="6"/>
    </row>
    <row r="16195" spans="38:38" x14ac:dyDescent="0.25">
      <c r="AL16195" s="6"/>
    </row>
    <row r="16196" spans="38:38" x14ac:dyDescent="0.25">
      <c r="AL16196" s="6"/>
    </row>
    <row r="16197" spans="38:38" x14ac:dyDescent="0.25">
      <c r="AL16197" s="6"/>
    </row>
    <row r="16198" spans="38:38" x14ac:dyDescent="0.25">
      <c r="AL16198" s="6"/>
    </row>
    <row r="16199" spans="38:38" x14ac:dyDescent="0.25">
      <c r="AL16199" s="6"/>
    </row>
    <row r="16200" spans="38:38" x14ac:dyDescent="0.25">
      <c r="AL16200" s="6"/>
    </row>
    <row r="16201" spans="38:38" x14ac:dyDescent="0.25">
      <c r="AL16201" s="6"/>
    </row>
    <row r="16202" spans="38:38" x14ac:dyDescent="0.25">
      <c r="AL16202" s="6"/>
    </row>
    <row r="16203" spans="38:38" x14ac:dyDescent="0.25">
      <c r="AL16203" s="6"/>
    </row>
    <row r="16204" spans="38:38" x14ac:dyDescent="0.25">
      <c r="AL16204" s="6"/>
    </row>
    <row r="16205" spans="38:38" x14ac:dyDescent="0.25">
      <c r="AL16205" s="6"/>
    </row>
    <row r="16206" spans="38:38" x14ac:dyDescent="0.25">
      <c r="AL16206" s="6"/>
    </row>
    <row r="16207" spans="38:38" x14ac:dyDescent="0.25">
      <c r="AL16207" s="6"/>
    </row>
    <row r="16208" spans="38:38" x14ac:dyDescent="0.25">
      <c r="AL16208" s="6"/>
    </row>
    <row r="16209" spans="38:38" x14ac:dyDescent="0.25">
      <c r="AL16209" s="6"/>
    </row>
    <row r="16210" spans="38:38" x14ac:dyDescent="0.25">
      <c r="AL16210" s="6"/>
    </row>
    <row r="16211" spans="38:38" x14ac:dyDescent="0.25">
      <c r="AL16211" s="6"/>
    </row>
    <row r="16212" spans="38:38" x14ac:dyDescent="0.25">
      <c r="AL16212" s="6"/>
    </row>
    <row r="16213" spans="38:38" x14ac:dyDescent="0.25">
      <c r="AL16213" s="6"/>
    </row>
    <row r="16214" spans="38:38" x14ac:dyDescent="0.25">
      <c r="AL16214" s="6"/>
    </row>
    <row r="16215" spans="38:38" x14ac:dyDescent="0.25">
      <c r="AL16215" s="6"/>
    </row>
    <row r="16216" spans="38:38" x14ac:dyDescent="0.25">
      <c r="AL16216" s="6"/>
    </row>
    <row r="16217" spans="38:38" x14ac:dyDescent="0.25">
      <c r="AL16217" s="6"/>
    </row>
    <row r="16218" spans="38:38" x14ac:dyDescent="0.25">
      <c r="AL16218" s="6"/>
    </row>
    <row r="16219" spans="38:38" x14ac:dyDescent="0.25">
      <c r="AL16219" s="6"/>
    </row>
    <row r="16220" spans="38:38" x14ac:dyDescent="0.25">
      <c r="AL16220" s="6"/>
    </row>
    <row r="16221" spans="38:38" x14ac:dyDescent="0.25">
      <c r="AL16221" s="6"/>
    </row>
    <row r="16222" spans="38:38" x14ac:dyDescent="0.25">
      <c r="AL16222" s="6"/>
    </row>
    <row r="16223" spans="38:38" x14ac:dyDescent="0.25">
      <c r="AL16223" s="6"/>
    </row>
    <row r="16224" spans="38:38" x14ac:dyDescent="0.25">
      <c r="AL16224" s="6"/>
    </row>
    <row r="16225" spans="38:38" x14ac:dyDescent="0.25">
      <c r="AL16225" s="6"/>
    </row>
    <row r="16226" spans="38:38" x14ac:dyDescent="0.25">
      <c r="AL16226" s="6"/>
    </row>
    <row r="16227" spans="38:38" x14ac:dyDescent="0.25">
      <c r="AL16227" s="6"/>
    </row>
    <row r="16228" spans="38:38" x14ac:dyDescent="0.25">
      <c r="AL16228" s="6"/>
    </row>
    <row r="16229" spans="38:38" x14ac:dyDescent="0.25">
      <c r="AL16229" s="6"/>
    </row>
    <row r="16230" spans="38:38" x14ac:dyDescent="0.25">
      <c r="AL16230" s="6"/>
    </row>
    <row r="16231" spans="38:38" x14ac:dyDescent="0.25">
      <c r="AL16231" s="6"/>
    </row>
    <row r="16232" spans="38:38" x14ac:dyDescent="0.25">
      <c r="AL16232" s="6"/>
    </row>
    <row r="16233" spans="38:38" x14ac:dyDescent="0.25">
      <c r="AL16233" s="6"/>
    </row>
    <row r="16234" spans="38:38" x14ac:dyDescent="0.25">
      <c r="AL16234" s="6"/>
    </row>
    <row r="16235" spans="38:38" x14ac:dyDescent="0.25">
      <c r="AL16235" s="6"/>
    </row>
    <row r="16236" spans="38:38" x14ac:dyDescent="0.25">
      <c r="AL16236" s="6"/>
    </row>
    <row r="16237" spans="38:38" x14ac:dyDescent="0.25">
      <c r="AL16237" s="6"/>
    </row>
    <row r="16238" spans="38:38" x14ac:dyDescent="0.25">
      <c r="AL16238" s="6"/>
    </row>
    <row r="16239" spans="38:38" x14ac:dyDescent="0.25">
      <c r="AL16239" s="6"/>
    </row>
    <row r="16240" spans="38:38" x14ac:dyDescent="0.25">
      <c r="AL16240" s="6"/>
    </row>
    <row r="16241" spans="38:38" x14ac:dyDescent="0.25">
      <c r="AL16241" s="6"/>
    </row>
    <row r="16242" spans="38:38" x14ac:dyDescent="0.25">
      <c r="AL16242" s="6"/>
    </row>
    <row r="16243" spans="38:38" x14ac:dyDescent="0.25">
      <c r="AL16243" s="6"/>
    </row>
    <row r="16244" spans="38:38" x14ac:dyDescent="0.25">
      <c r="AL16244" s="6"/>
    </row>
    <row r="16245" spans="38:38" x14ac:dyDescent="0.25">
      <c r="AL16245" s="6"/>
    </row>
    <row r="16246" spans="38:38" x14ac:dyDescent="0.25">
      <c r="AL16246" s="6"/>
    </row>
    <row r="16247" spans="38:38" x14ac:dyDescent="0.25">
      <c r="AL16247" s="6"/>
    </row>
    <row r="16248" spans="38:38" x14ac:dyDescent="0.25">
      <c r="AL16248" s="6"/>
    </row>
    <row r="16249" spans="38:38" x14ac:dyDescent="0.25">
      <c r="AL16249" s="6"/>
    </row>
    <row r="16250" spans="38:38" x14ac:dyDescent="0.25">
      <c r="AL16250" s="6"/>
    </row>
    <row r="16251" spans="38:38" x14ac:dyDescent="0.25">
      <c r="AL16251" s="6"/>
    </row>
    <row r="16252" spans="38:38" x14ac:dyDescent="0.25">
      <c r="AL16252" s="6"/>
    </row>
    <row r="16253" spans="38:38" x14ac:dyDescent="0.25">
      <c r="AL16253" s="6"/>
    </row>
    <row r="16254" spans="38:38" x14ac:dyDescent="0.25">
      <c r="AL16254" s="6"/>
    </row>
    <row r="16255" spans="38:38" x14ac:dyDescent="0.25">
      <c r="AL16255" s="6"/>
    </row>
    <row r="16256" spans="38:38" x14ac:dyDescent="0.25">
      <c r="AL16256" s="6"/>
    </row>
    <row r="16257" spans="38:38" x14ac:dyDescent="0.25">
      <c r="AL16257" s="6"/>
    </row>
    <row r="16258" spans="38:38" x14ac:dyDescent="0.25">
      <c r="AL16258" s="6"/>
    </row>
    <row r="16259" spans="38:38" x14ac:dyDescent="0.25">
      <c r="AL16259" s="6"/>
    </row>
    <row r="16260" spans="38:38" x14ac:dyDescent="0.25">
      <c r="AL16260" s="6"/>
    </row>
    <row r="16261" spans="38:38" x14ac:dyDescent="0.25">
      <c r="AL16261" s="6"/>
    </row>
    <row r="16262" spans="38:38" x14ac:dyDescent="0.25">
      <c r="AL16262" s="6"/>
    </row>
    <row r="16263" spans="38:38" x14ac:dyDescent="0.25">
      <c r="AL16263" s="6"/>
    </row>
    <row r="16264" spans="38:38" x14ac:dyDescent="0.25">
      <c r="AL16264" s="6"/>
    </row>
    <row r="16265" spans="38:38" x14ac:dyDescent="0.25">
      <c r="AL16265" s="6"/>
    </row>
    <row r="16266" spans="38:38" x14ac:dyDescent="0.25">
      <c r="AL16266" s="6"/>
    </row>
    <row r="16267" spans="38:38" x14ac:dyDescent="0.25">
      <c r="AL16267" s="6"/>
    </row>
    <row r="16268" spans="38:38" x14ac:dyDescent="0.25">
      <c r="AL16268" s="6"/>
    </row>
    <row r="16269" spans="38:38" x14ac:dyDescent="0.25">
      <c r="AL16269" s="6"/>
    </row>
    <row r="16270" spans="38:38" x14ac:dyDescent="0.25">
      <c r="AL16270" s="6"/>
    </row>
    <row r="16271" spans="38:38" x14ac:dyDescent="0.25">
      <c r="AL16271" s="6"/>
    </row>
    <row r="16272" spans="38:38" x14ac:dyDescent="0.25">
      <c r="AL16272" s="6"/>
    </row>
    <row r="16273" spans="38:38" x14ac:dyDescent="0.25">
      <c r="AL16273" s="6"/>
    </row>
    <row r="16274" spans="38:38" x14ac:dyDescent="0.25">
      <c r="AL16274" s="6"/>
    </row>
    <row r="16275" spans="38:38" x14ac:dyDescent="0.25">
      <c r="AL16275" s="6"/>
    </row>
    <row r="16276" spans="38:38" x14ac:dyDescent="0.25">
      <c r="AL16276" s="6"/>
    </row>
    <row r="16277" spans="38:38" x14ac:dyDescent="0.25">
      <c r="AL16277" s="6"/>
    </row>
    <row r="16278" spans="38:38" x14ac:dyDescent="0.25">
      <c r="AL16278" s="6"/>
    </row>
    <row r="16279" spans="38:38" x14ac:dyDescent="0.25">
      <c r="AL16279" s="6"/>
    </row>
    <row r="16280" spans="38:38" x14ac:dyDescent="0.25">
      <c r="AL16280" s="6"/>
    </row>
    <row r="16281" spans="38:38" x14ac:dyDescent="0.25">
      <c r="AL16281" s="6"/>
    </row>
    <row r="16282" spans="38:38" x14ac:dyDescent="0.25">
      <c r="AL16282" s="6"/>
    </row>
    <row r="16283" spans="38:38" x14ac:dyDescent="0.25">
      <c r="AL16283" s="6"/>
    </row>
    <row r="16284" spans="38:38" x14ac:dyDescent="0.25">
      <c r="AL16284" s="6"/>
    </row>
    <row r="16285" spans="38:38" x14ac:dyDescent="0.25">
      <c r="AL16285" s="6"/>
    </row>
    <row r="16286" spans="38:38" x14ac:dyDescent="0.25">
      <c r="AL16286" s="6"/>
    </row>
    <row r="16287" spans="38:38" x14ac:dyDescent="0.25">
      <c r="AL16287" s="6"/>
    </row>
    <row r="16288" spans="38:38" x14ac:dyDescent="0.25">
      <c r="AL16288" s="6"/>
    </row>
    <row r="16289" spans="38:38" x14ac:dyDescent="0.25">
      <c r="AL16289" s="6"/>
    </row>
    <row r="16290" spans="38:38" x14ac:dyDescent="0.25">
      <c r="AL16290" s="6"/>
    </row>
    <row r="16291" spans="38:38" x14ac:dyDescent="0.25">
      <c r="AL16291" s="6"/>
    </row>
    <row r="16292" spans="38:38" x14ac:dyDescent="0.25">
      <c r="AL16292" s="6"/>
    </row>
    <row r="16293" spans="38:38" x14ac:dyDescent="0.25">
      <c r="AL16293" s="6"/>
    </row>
    <row r="16294" spans="38:38" x14ac:dyDescent="0.25">
      <c r="AL16294" s="6"/>
    </row>
    <row r="16295" spans="38:38" x14ac:dyDescent="0.25">
      <c r="AL16295" s="6"/>
    </row>
    <row r="16296" spans="38:38" x14ac:dyDescent="0.25">
      <c r="AL16296" s="6"/>
    </row>
    <row r="16297" spans="38:38" x14ac:dyDescent="0.25">
      <c r="AL16297" s="6"/>
    </row>
    <row r="16298" spans="38:38" x14ac:dyDescent="0.25">
      <c r="AL16298" s="6"/>
    </row>
    <row r="16299" spans="38:38" x14ac:dyDescent="0.25">
      <c r="AL16299" s="6"/>
    </row>
    <row r="16300" spans="38:38" x14ac:dyDescent="0.25">
      <c r="AL16300" s="6"/>
    </row>
    <row r="16301" spans="38:38" x14ac:dyDescent="0.25">
      <c r="AL16301" s="6"/>
    </row>
    <row r="16302" spans="38:38" x14ac:dyDescent="0.25">
      <c r="AL16302" s="6"/>
    </row>
    <row r="16303" spans="38:38" x14ac:dyDescent="0.25">
      <c r="AL16303" s="6"/>
    </row>
    <row r="16304" spans="38:38" x14ac:dyDescent="0.25">
      <c r="AL16304" s="6"/>
    </row>
    <row r="16305" spans="38:38" x14ac:dyDescent="0.25">
      <c r="AL16305" s="6"/>
    </row>
    <row r="16306" spans="38:38" x14ac:dyDescent="0.25">
      <c r="AL16306" s="6"/>
    </row>
    <row r="16307" spans="38:38" x14ac:dyDescent="0.25">
      <c r="AL16307" s="6"/>
    </row>
    <row r="16308" spans="38:38" x14ac:dyDescent="0.25">
      <c r="AL16308" s="6"/>
    </row>
    <row r="16309" spans="38:38" x14ac:dyDescent="0.25">
      <c r="AL16309" s="6"/>
    </row>
    <row r="16310" spans="38:38" x14ac:dyDescent="0.25">
      <c r="AL16310" s="6"/>
    </row>
    <row r="16311" spans="38:38" x14ac:dyDescent="0.25">
      <c r="AL16311" s="6"/>
    </row>
    <row r="16312" spans="38:38" x14ac:dyDescent="0.25">
      <c r="AL16312" s="6"/>
    </row>
    <row r="16313" spans="38:38" x14ac:dyDescent="0.25">
      <c r="AL16313" s="6"/>
    </row>
  </sheetData>
  <phoneticPr fontId="1" type="noConversion"/>
  <conditionalFormatting sqref="F6:V22">
    <cfRule type="colorScale" priority="1">
      <colorScale>
        <cfvo type="num" val="-1"/>
        <cfvo type="num" val="0"/>
        <cfvo type="num" val="1"/>
        <color rgb="FF5A8AC6"/>
        <color theme="0"/>
        <color rgb="FFF8696B"/>
      </colorScale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3" r:id="rId4" name="Drop Down 19">
              <controlPr defaultSize="0" autoLine="0" autoPict="0">
                <anchor moveWithCells="1">
                  <from>
                    <xdr:col>4</xdr:col>
                    <xdr:colOff>38100</xdr:colOff>
                    <xdr:row>5</xdr:row>
                    <xdr:rowOff>57150</xdr:rowOff>
                  </from>
                  <to>
                    <xdr:col>4</xdr:col>
                    <xdr:colOff>942975</xdr:colOff>
                    <xdr:row>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5" name="Drop Down 20">
              <controlPr defaultSize="0" autoLine="0" autoPict="0">
                <anchor moveWithCells="1">
                  <from>
                    <xdr:col>4</xdr:col>
                    <xdr:colOff>28575</xdr:colOff>
                    <xdr:row>6</xdr:row>
                    <xdr:rowOff>57150</xdr:rowOff>
                  </from>
                  <to>
                    <xdr:col>4</xdr:col>
                    <xdr:colOff>933450</xdr:colOff>
                    <xdr:row>6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6" name="Drop Down 21">
              <controlPr defaultSize="0" autoLine="0" autoPict="0">
                <anchor moveWithCells="1">
                  <from>
                    <xdr:col>4</xdr:col>
                    <xdr:colOff>28575</xdr:colOff>
                    <xdr:row>7</xdr:row>
                    <xdr:rowOff>57150</xdr:rowOff>
                  </from>
                  <to>
                    <xdr:col>4</xdr:col>
                    <xdr:colOff>933450</xdr:colOff>
                    <xdr:row>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7" name="Drop Down 22">
              <controlPr defaultSize="0" autoLine="0" autoPict="0">
                <anchor moveWithCells="1">
                  <from>
                    <xdr:col>4</xdr:col>
                    <xdr:colOff>28575</xdr:colOff>
                    <xdr:row>8</xdr:row>
                    <xdr:rowOff>47625</xdr:rowOff>
                  </from>
                  <to>
                    <xdr:col>4</xdr:col>
                    <xdr:colOff>933450</xdr:colOff>
                    <xdr:row>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8" name="Drop Down 23">
              <controlPr defaultSize="0" autoLine="0" autoPict="0">
                <anchor moveWithCells="1">
                  <from>
                    <xdr:col>4</xdr:col>
                    <xdr:colOff>38100</xdr:colOff>
                    <xdr:row>9</xdr:row>
                    <xdr:rowOff>57150</xdr:rowOff>
                  </from>
                  <to>
                    <xdr:col>4</xdr:col>
                    <xdr:colOff>942975</xdr:colOff>
                    <xdr:row>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9" name="Drop Down 24">
              <controlPr defaultSize="0" autoLine="0" autoPict="0">
                <anchor moveWithCells="1">
                  <from>
                    <xdr:col>4</xdr:col>
                    <xdr:colOff>38100</xdr:colOff>
                    <xdr:row>10</xdr:row>
                    <xdr:rowOff>47625</xdr:rowOff>
                  </from>
                  <to>
                    <xdr:col>4</xdr:col>
                    <xdr:colOff>942975</xdr:colOff>
                    <xdr:row>10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0" name="Drop Down 25">
              <controlPr defaultSize="0" autoLine="0" autoPict="0">
                <anchor moveWithCells="1">
                  <from>
                    <xdr:col>4</xdr:col>
                    <xdr:colOff>38100</xdr:colOff>
                    <xdr:row>11</xdr:row>
                    <xdr:rowOff>57150</xdr:rowOff>
                  </from>
                  <to>
                    <xdr:col>4</xdr:col>
                    <xdr:colOff>942975</xdr:colOff>
                    <xdr:row>11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1" name="Drop Down 26">
              <controlPr defaultSize="0" autoLine="0" autoPict="0">
                <anchor moveWithCells="1">
                  <from>
                    <xdr:col>4</xdr:col>
                    <xdr:colOff>38100</xdr:colOff>
                    <xdr:row>12</xdr:row>
                    <xdr:rowOff>57150</xdr:rowOff>
                  </from>
                  <to>
                    <xdr:col>4</xdr:col>
                    <xdr:colOff>942975</xdr:colOff>
                    <xdr:row>12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2" name="Drop Down 27">
              <controlPr defaultSize="0" autoLine="0" autoPict="0">
                <anchor moveWithCells="1">
                  <from>
                    <xdr:col>4</xdr:col>
                    <xdr:colOff>38100</xdr:colOff>
                    <xdr:row>13</xdr:row>
                    <xdr:rowOff>57150</xdr:rowOff>
                  </from>
                  <to>
                    <xdr:col>4</xdr:col>
                    <xdr:colOff>942975</xdr:colOff>
                    <xdr:row>13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3" name="Drop Down 28">
              <controlPr defaultSize="0" autoLine="0" autoPict="0">
                <anchor moveWithCells="1">
                  <from>
                    <xdr:col>4</xdr:col>
                    <xdr:colOff>38100</xdr:colOff>
                    <xdr:row>14</xdr:row>
                    <xdr:rowOff>57150</xdr:rowOff>
                  </from>
                  <to>
                    <xdr:col>4</xdr:col>
                    <xdr:colOff>942975</xdr:colOff>
                    <xdr:row>14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4" name="Drop Down 29">
              <controlPr defaultSize="0" autoLine="0" autoPict="0">
                <anchor moveWithCells="1">
                  <from>
                    <xdr:col>4</xdr:col>
                    <xdr:colOff>38100</xdr:colOff>
                    <xdr:row>15</xdr:row>
                    <xdr:rowOff>57150</xdr:rowOff>
                  </from>
                  <to>
                    <xdr:col>4</xdr:col>
                    <xdr:colOff>942975</xdr:colOff>
                    <xdr:row>15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5" name="Drop Down 30">
              <controlPr defaultSize="0" autoLine="0" autoPict="0">
                <anchor moveWithCells="1">
                  <from>
                    <xdr:col>4</xdr:col>
                    <xdr:colOff>38100</xdr:colOff>
                    <xdr:row>16</xdr:row>
                    <xdr:rowOff>57150</xdr:rowOff>
                  </from>
                  <to>
                    <xdr:col>4</xdr:col>
                    <xdr:colOff>942975</xdr:colOff>
                    <xdr:row>16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16" name="Drop Down 31">
              <controlPr defaultSize="0" autoLine="0" autoPict="0">
                <anchor moveWithCells="1">
                  <from>
                    <xdr:col>4</xdr:col>
                    <xdr:colOff>38100</xdr:colOff>
                    <xdr:row>17</xdr:row>
                    <xdr:rowOff>57150</xdr:rowOff>
                  </from>
                  <to>
                    <xdr:col>4</xdr:col>
                    <xdr:colOff>942975</xdr:colOff>
                    <xdr:row>17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17" name="Drop Down 32">
              <controlPr defaultSize="0" autoLine="0" autoPict="0">
                <anchor moveWithCells="1">
                  <from>
                    <xdr:col>4</xdr:col>
                    <xdr:colOff>38100</xdr:colOff>
                    <xdr:row>18</xdr:row>
                    <xdr:rowOff>57150</xdr:rowOff>
                  </from>
                  <to>
                    <xdr:col>4</xdr:col>
                    <xdr:colOff>942975</xdr:colOff>
                    <xdr:row>18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18" name="Drop Down 36">
              <controlPr defaultSize="0" autoLine="0" autoPict="0">
                <anchor moveWithCells="1">
                  <from>
                    <xdr:col>4</xdr:col>
                    <xdr:colOff>38100</xdr:colOff>
                    <xdr:row>19</xdr:row>
                    <xdr:rowOff>57150</xdr:rowOff>
                  </from>
                  <to>
                    <xdr:col>4</xdr:col>
                    <xdr:colOff>942975</xdr:colOff>
                    <xdr:row>19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19" name="Drop Down 37">
              <controlPr defaultSize="0" autoLine="0" autoPict="0">
                <anchor moveWithCells="1">
                  <from>
                    <xdr:col>4</xdr:col>
                    <xdr:colOff>38100</xdr:colOff>
                    <xdr:row>20</xdr:row>
                    <xdr:rowOff>57150</xdr:rowOff>
                  </from>
                  <to>
                    <xdr:col>4</xdr:col>
                    <xdr:colOff>942975</xdr:colOff>
                    <xdr:row>20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0" name="Drop Down 38">
              <controlPr defaultSize="0" autoLine="0" autoPict="0">
                <anchor moveWithCells="1">
                  <from>
                    <xdr:col>4</xdr:col>
                    <xdr:colOff>38100</xdr:colOff>
                    <xdr:row>21</xdr:row>
                    <xdr:rowOff>57150</xdr:rowOff>
                  </from>
                  <to>
                    <xdr:col>4</xdr:col>
                    <xdr:colOff>942975</xdr:colOff>
                    <xdr:row>21</xdr:row>
                    <xdr:rowOff>276225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O10024"/>
  <sheetViews>
    <sheetView showGridLines="0" workbookViewId="0">
      <selection activeCell="A11" sqref="A11"/>
    </sheetView>
  </sheetViews>
  <sheetFormatPr defaultRowHeight="13.5" x14ac:dyDescent="0.25"/>
  <cols>
    <col min="1" max="1" width="12.28515625" customWidth="1"/>
    <col min="2" max="18" width="11.85546875" customWidth="1"/>
  </cols>
  <sheetData>
    <row r="1" spans="1:41" s="1" customFormat="1" x14ac:dyDescent="0.25">
      <c r="A1" s="14"/>
      <c r="B1" s="53" t="str">
        <f>A2</f>
        <v>WTI</v>
      </c>
      <c r="C1" s="53" t="str">
        <f>A3</f>
        <v>Brent</v>
      </c>
      <c r="D1" s="53" t="str">
        <f>A4</f>
        <v>Natural Gas</v>
      </c>
      <c r="E1" s="53" t="str">
        <f>A5</f>
        <v>Heating Oil</v>
      </c>
      <c r="F1" s="53" t="str">
        <f>A6</f>
        <v>Gas Oil</v>
      </c>
      <c r="G1" s="53" t="str">
        <f>A7</f>
        <v>Gold</v>
      </c>
      <c r="H1" s="53" t="str">
        <f>A8</f>
        <v>Silver</v>
      </c>
      <c r="I1" s="53" t="str">
        <f>A9</f>
        <v>Copper</v>
      </c>
      <c r="J1" s="53" t="str">
        <f>A10</f>
        <v>Butter</v>
      </c>
      <c r="K1" s="53" t="str">
        <f>A11</f>
        <v>Cheese</v>
      </c>
      <c r="L1" s="53" t="str">
        <f>A12</f>
        <v>Soybean</v>
      </c>
      <c r="M1" s="53" t="str">
        <f>A13</f>
        <v>Soybean Oil</v>
      </c>
      <c r="N1" s="53" t="str">
        <f>A14</f>
        <v>Corn</v>
      </c>
      <c r="O1" s="53" t="str">
        <f>A15</f>
        <v>Coffee</v>
      </c>
      <c r="P1" s="53" t="str">
        <f>A16</f>
        <v>Orange Juice</v>
      </c>
      <c r="Q1" s="53" t="str">
        <f>A17</f>
        <v>Sugar</v>
      </c>
      <c r="R1" s="53" t="str">
        <f>A18</f>
        <v>US Dollar Index</v>
      </c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</row>
    <row r="2" spans="1:41" s="4" customFormat="1" x14ac:dyDescent="0.25">
      <c r="A2" s="54" t="str">
        <f>'Comdty Correlation Matrix'!C6</f>
        <v>WTI</v>
      </c>
      <c r="B2" s="9">
        <f t="shared" ref="B2:R2" si="0">CORREL($B$26:$B$9986,B$26:B$9986)</f>
        <v>1</v>
      </c>
      <c r="C2" s="9">
        <f t="shared" si="0"/>
        <v>0.98607576749185855</v>
      </c>
      <c r="D2" s="9">
        <f t="shared" si="0"/>
        <v>0.30055940186830776</v>
      </c>
      <c r="E2" s="9">
        <f t="shared" si="0"/>
        <v>0.62867585195352338</v>
      </c>
      <c r="F2" s="9">
        <f t="shared" si="0"/>
        <v>0.72726660418667377</v>
      </c>
      <c r="G2" s="9">
        <f t="shared" si="0"/>
        <v>0.44131295472783422</v>
      </c>
      <c r="H2" s="9">
        <f t="shared" si="0"/>
        <v>0.18077004745717068</v>
      </c>
      <c r="I2" s="9">
        <f t="shared" si="0"/>
        <v>0.49054317912895601</v>
      </c>
      <c r="J2" s="9">
        <f t="shared" si="0"/>
        <v>-0.10731054304199375</v>
      </c>
      <c r="K2" s="9">
        <f t="shared" si="0"/>
        <v>0.63766744949882603</v>
      </c>
      <c r="L2" s="9">
        <f t="shared" si="0"/>
        <v>0.79990282768898613</v>
      </c>
      <c r="M2" s="9">
        <f t="shared" si="0"/>
        <v>0.61672212286968209</v>
      </c>
      <c r="N2" s="9">
        <f t="shared" si="0"/>
        <v>0.68859331587729589</v>
      </c>
      <c r="O2" s="9">
        <f t="shared" si="0"/>
        <v>0.60763532619319727</v>
      </c>
      <c r="P2" s="9">
        <f t="shared" si="0"/>
        <v>-0.5183685854312039</v>
      </c>
      <c r="Q2" s="9">
        <f t="shared" si="0"/>
        <v>-1.953280645638867E-2</v>
      </c>
      <c r="R2" s="9">
        <f t="shared" si="0"/>
        <v>-0.34379467851714052</v>
      </c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spans="1:41" s="2" customFormat="1" x14ac:dyDescent="0.25">
      <c r="A3" s="54" t="str">
        <f>'Comdty Correlation Matrix'!C7</f>
        <v>Brent</v>
      </c>
      <c r="B3" s="9">
        <f t="shared" ref="B3:R3" si="1">CORREL($C$26:$C$9986,B$26:B$9986)</f>
        <v>0.98607576749185855</v>
      </c>
      <c r="C3" s="9">
        <f t="shared" si="1"/>
        <v>0.99999999999999978</v>
      </c>
      <c r="D3" s="9">
        <f t="shared" si="1"/>
        <v>0.34048834317749405</v>
      </c>
      <c r="E3" s="9">
        <f t="shared" si="1"/>
        <v>0.67926495314604118</v>
      </c>
      <c r="F3" s="9">
        <f t="shared" si="1"/>
        <v>0.77144616855962278</v>
      </c>
      <c r="G3" s="9">
        <f t="shared" si="1"/>
        <v>0.39399531276654437</v>
      </c>
      <c r="H3" s="9">
        <f t="shared" si="1"/>
        <v>0.12326717869673258</v>
      </c>
      <c r="I3" s="9">
        <f t="shared" si="1"/>
        <v>0.42467061535811906</v>
      </c>
      <c r="J3" s="9">
        <f t="shared" si="1"/>
        <v>-2.544171492203948E-2</v>
      </c>
      <c r="K3" s="9">
        <f t="shared" si="1"/>
        <v>0.63825333057922351</v>
      </c>
      <c r="L3" s="9">
        <f t="shared" si="1"/>
        <v>0.761848979970843</v>
      </c>
      <c r="M3" s="9">
        <f t="shared" si="1"/>
        <v>0.60190655230085433</v>
      </c>
      <c r="N3" s="9">
        <f t="shared" si="1"/>
        <v>0.66086123338969216</v>
      </c>
      <c r="O3" s="9">
        <f t="shared" si="1"/>
        <v>0.58372649560580503</v>
      </c>
      <c r="P3" s="9">
        <f t="shared" si="1"/>
        <v>-0.48251993342418698</v>
      </c>
      <c r="Q3" s="9">
        <f t="shared" si="1"/>
        <v>-5.5625932521391003E-2</v>
      </c>
      <c r="R3" s="9">
        <f t="shared" si="1"/>
        <v>-0.26770122063157792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 spans="1:41" s="10" customFormat="1" x14ac:dyDescent="0.25">
      <c r="A4" s="54" t="str">
        <f>'Comdty Correlation Matrix'!C8</f>
        <v>Natural Gas</v>
      </c>
      <c r="B4" s="9">
        <f t="shared" ref="B4:R4" si="2">CORREL($D$26:$D$9986,B$26:B$9986)</f>
        <v>0.30055940186830776</v>
      </c>
      <c r="C4" s="9">
        <f t="shared" si="2"/>
        <v>0.34048834317749405</v>
      </c>
      <c r="D4" s="9">
        <f t="shared" si="2"/>
        <v>1</v>
      </c>
      <c r="E4" s="9">
        <f t="shared" si="2"/>
        <v>0.45280399267082755</v>
      </c>
      <c r="F4" s="9">
        <f t="shared" si="2"/>
        <v>0.42497202034600989</v>
      </c>
      <c r="G4" s="9">
        <f t="shared" si="2"/>
        <v>-0.32442329530777647</v>
      </c>
      <c r="H4" s="9">
        <f t="shared" si="2"/>
        <v>-0.55730327449574479</v>
      </c>
      <c r="I4" s="9">
        <f t="shared" si="2"/>
        <v>-0.33959903886795778</v>
      </c>
      <c r="J4" s="9">
        <f t="shared" si="2"/>
        <v>0.51743715539443502</v>
      </c>
      <c r="K4" s="9">
        <f t="shared" si="2"/>
        <v>0.39771092463994162</v>
      </c>
      <c r="L4" s="9">
        <f t="shared" si="2"/>
        <v>0.14475210646437614</v>
      </c>
      <c r="M4" s="9">
        <f t="shared" si="2"/>
        <v>0.31109318325551605</v>
      </c>
      <c r="N4" s="9">
        <f t="shared" si="2"/>
        <v>9.034650866859649E-2</v>
      </c>
      <c r="O4" s="9">
        <f t="shared" si="2"/>
        <v>0.29354975697867985</v>
      </c>
      <c r="P4" s="9">
        <f t="shared" si="2"/>
        <v>5.780858023545471E-2</v>
      </c>
      <c r="Q4" s="9">
        <f t="shared" si="2"/>
        <v>-0.23529166685512001</v>
      </c>
      <c r="R4" s="9">
        <f t="shared" si="2"/>
        <v>0.43978279223358335</v>
      </c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</row>
    <row r="5" spans="1:41" s="10" customFormat="1" x14ac:dyDescent="0.25">
      <c r="A5" s="54" t="str">
        <f>'Comdty Correlation Matrix'!C9</f>
        <v>Heating Oil</v>
      </c>
      <c r="B5" s="9">
        <f t="shared" ref="B5:R5" si="3">CORREL($E$26:$E$9986,B$26:B$9986)</f>
        <v>0.62867585195352338</v>
      </c>
      <c r="C5" s="9">
        <f t="shared" si="3"/>
        <v>0.67926495314604118</v>
      </c>
      <c r="D5" s="9">
        <f t="shared" si="3"/>
        <v>0.45280399267082755</v>
      </c>
      <c r="E5" s="9">
        <f t="shared" si="3"/>
        <v>1.0000000000000002</v>
      </c>
      <c r="F5" s="9">
        <f t="shared" si="3"/>
        <v>0.86529395063071679</v>
      </c>
      <c r="G5" s="9">
        <f t="shared" si="3"/>
        <v>-2.6525528978701231E-2</v>
      </c>
      <c r="H5" s="9">
        <f t="shared" si="3"/>
        <v>-0.22400889343640445</v>
      </c>
      <c r="I5" s="9">
        <f t="shared" si="3"/>
        <v>-3.3267398048657047E-2</v>
      </c>
      <c r="J5" s="9">
        <f t="shared" si="3"/>
        <v>0.35386789380970168</v>
      </c>
      <c r="K5" s="9">
        <f t="shared" si="3"/>
        <v>0.69721445110083502</v>
      </c>
      <c r="L5" s="9">
        <f t="shared" si="3"/>
        <v>0.33298959284536345</v>
      </c>
      <c r="M5" s="9">
        <f t="shared" si="3"/>
        <v>0.58794333623631856</v>
      </c>
      <c r="N5" s="9">
        <f t="shared" si="3"/>
        <v>0.60094901635976794</v>
      </c>
      <c r="O5" s="9">
        <f t="shared" si="3"/>
        <v>0.15218417802391693</v>
      </c>
      <c r="P5" s="9">
        <f t="shared" si="3"/>
        <v>0.10923031168884362</v>
      </c>
      <c r="Q5" s="9">
        <f t="shared" si="3"/>
        <v>-1.3431420456984361E-2</v>
      </c>
      <c r="R5" s="9">
        <f t="shared" si="3"/>
        <v>0.30201824017287343</v>
      </c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</row>
    <row r="6" spans="1:41" s="10" customFormat="1" x14ac:dyDescent="0.25">
      <c r="A6" s="54" t="str">
        <f>'Comdty Correlation Matrix'!C10</f>
        <v>Gas Oil</v>
      </c>
      <c r="B6" s="9">
        <f t="shared" ref="B6:R6" si="4">CORREL($F$26:$F$9986,B$26:B$9986)</f>
        <v>0.72726660418667377</v>
      </c>
      <c r="C6" s="9">
        <f t="shared" si="4"/>
        <v>0.77144616855962278</v>
      </c>
      <c r="D6" s="9">
        <f t="shared" si="4"/>
        <v>0.42497202034600989</v>
      </c>
      <c r="E6" s="9">
        <f t="shared" si="4"/>
        <v>0.86529395063071679</v>
      </c>
      <c r="F6" s="9">
        <f t="shared" si="4"/>
        <v>1</v>
      </c>
      <c r="G6" s="9">
        <f t="shared" si="4"/>
        <v>8.4966632904566505E-2</v>
      </c>
      <c r="H6" s="9">
        <f t="shared" si="4"/>
        <v>-0.15362848287910408</v>
      </c>
      <c r="I6" s="9">
        <f t="shared" si="4"/>
        <v>3.2906979378293198E-2</v>
      </c>
      <c r="J6" s="9">
        <f t="shared" si="4"/>
        <v>0.31241777106493934</v>
      </c>
      <c r="K6" s="9">
        <f t="shared" si="4"/>
        <v>0.62478588817393343</v>
      </c>
      <c r="L6" s="9">
        <f t="shared" si="4"/>
        <v>0.42276399812206944</v>
      </c>
      <c r="M6" s="9">
        <f t="shared" si="4"/>
        <v>0.51116694910351401</v>
      </c>
      <c r="N6" s="9">
        <f t="shared" si="4"/>
        <v>0.58463477901788508</v>
      </c>
      <c r="O6" s="9">
        <f t="shared" si="4"/>
        <v>0.3177575019215948</v>
      </c>
      <c r="P6" s="9">
        <f t="shared" si="4"/>
        <v>-7.9286930258323646E-2</v>
      </c>
      <c r="Q6" s="9">
        <f t="shared" si="4"/>
        <v>-7.2578104617464709E-2</v>
      </c>
      <c r="R6" s="9">
        <f t="shared" si="4"/>
        <v>0.20468089489101857</v>
      </c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</row>
    <row r="7" spans="1:41" s="10" customFormat="1" x14ac:dyDescent="0.25">
      <c r="A7" s="54" t="str">
        <f>'Comdty Correlation Matrix'!C11</f>
        <v>Gold</v>
      </c>
      <c r="B7" s="9">
        <f t="shared" ref="B7:R7" si="5">CORREL($G$26:$G$9986,B$26:B$9986)</f>
        <v>0.44131295472783422</v>
      </c>
      <c r="C7" s="9">
        <f t="shared" si="5"/>
        <v>0.39399531276654437</v>
      </c>
      <c r="D7" s="9">
        <f t="shared" si="5"/>
        <v>-0.32442329530777647</v>
      </c>
      <c r="E7" s="9">
        <f t="shared" si="5"/>
        <v>-2.6525528978701231E-2</v>
      </c>
      <c r="F7" s="9">
        <f t="shared" si="5"/>
        <v>8.4966632904566505E-2</v>
      </c>
      <c r="G7" s="9">
        <f t="shared" si="5"/>
        <v>1</v>
      </c>
      <c r="H7" s="9">
        <f t="shared" si="5"/>
        <v>0.89084688668978329</v>
      </c>
      <c r="I7" s="9">
        <f t="shared" si="5"/>
        <v>0.89440896722287011</v>
      </c>
      <c r="J7" s="9">
        <f t="shared" si="5"/>
        <v>-0.74592319584203537</v>
      </c>
      <c r="K7" s="9">
        <f t="shared" si="5"/>
        <v>0.12615114741277728</v>
      </c>
      <c r="L7" s="9">
        <f t="shared" si="5"/>
        <v>0.73522191164117667</v>
      </c>
      <c r="M7" s="9">
        <f t="shared" si="5"/>
        <v>0.35030780572136183</v>
      </c>
      <c r="N7" s="9">
        <f t="shared" si="5"/>
        <v>0.46634560893951005</v>
      </c>
      <c r="O7" s="9">
        <f t="shared" si="5"/>
        <v>0.18631751846315511</v>
      </c>
      <c r="P7" s="9">
        <f t="shared" si="5"/>
        <v>-0.4277079443012215</v>
      </c>
      <c r="Q7" s="9">
        <f t="shared" si="5"/>
        <v>0.44236076837375432</v>
      </c>
      <c r="R7" s="9">
        <f t="shared" si="5"/>
        <v>-0.84629678574397349</v>
      </c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</row>
    <row r="8" spans="1:41" s="10" customFormat="1" x14ac:dyDescent="0.25">
      <c r="A8" s="54" t="str">
        <f>'Comdty Correlation Matrix'!C12</f>
        <v>Silver</v>
      </c>
      <c r="B8" s="9">
        <f t="shared" ref="B8:R8" si="6">CORREL($H$26:$H$9986,B$26:B$9986)</f>
        <v>0.18077004745717068</v>
      </c>
      <c r="C8" s="9">
        <f t="shared" si="6"/>
        <v>0.12326717869673258</v>
      </c>
      <c r="D8" s="9">
        <f t="shared" si="6"/>
        <v>-0.55730327449574479</v>
      </c>
      <c r="E8" s="9">
        <f t="shared" si="6"/>
        <v>-0.22400889343640445</v>
      </c>
      <c r="F8" s="9">
        <f t="shared" si="6"/>
        <v>-0.15362848287910408</v>
      </c>
      <c r="G8" s="9">
        <f t="shared" si="6"/>
        <v>0.89084688668978329</v>
      </c>
      <c r="H8" s="9">
        <f t="shared" si="6"/>
        <v>0.99999999999999989</v>
      </c>
      <c r="I8" s="9">
        <f t="shared" si="6"/>
        <v>0.86289718809302896</v>
      </c>
      <c r="J8" s="9">
        <f t="shared" si="6"/>
        <v>-0.74102697622613456</v>
      </c>
      <c r="K8" s="9">
        <f t="shared" si="6"/>
        <v>-3.7094254997151251E-2</v>
      </c>
      <c r="L8" s="9">
        <f t="shared" si="6"/>
        <v>0.47632576009211897</v>
      </c>
      <c r="M8" s="9">
        <f t="shared" si="6"/>
        <v>0.24801313358471805</v>
      </c>
      <c r="N8" s="9">
        <f t="shared" si="6"/>
        <v>0.3327539346775254</v>
      </c>
      <c r="O8" s="9">
        <f t="shared" si="6"/>
        <v>-4.3355760894192553E-2</v>
      </c>
      <c r="P8" s="9">
        <f t="shared" si="6"/>
        <v>-0.25161866606179339</v>
      </c>
      <c r="Q8" s="9">
        <f t="shared" si="6"/>
        <v>0.57006647848077319</v>
      </c>
      <c r="R8" s="9">
        <f t="shared" si="6"/>
        <v>-0.81783953714515567</v>
      </c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spans="1:41" s="10" customFormat="1" x14ac:dyDescent="0.25">
      <c r="A9" s="54" t="str">
        <f>'Comdty Correlation Matrix'!C13</f>
        <v>Copper</v>
      </c>
      <c r="B9" s="9">
        <f t="shared" ref="B9:R9" si="7">CORREL($I$26:$I$9986,B$26:B$9986)</f>
        <v>0.49054317912895601</v>
      </c>
      <c r="C9" s="9">
        <f t="shared" si="7"/>
        <v>0.42467061535811906</v>
      </c>
      <c r="D9" s="9">
        <f t="shared" si="7"/>
        <v>-0.33959903886795778</v>
      </c>
      <c r="E9" s="9">
        <f t="shared" si="7"/>
        <v>-3.3267398048657047E-2</v>
      </c>
      <c r="F9" s="9">
        <f t="shared" si="7"/>
        <v>3.2906979378293198E-2</v>
      </c>
      <c r="G9" s="9">
        <f t="shared" si="7"/>
        <v>0.89440896722287011</v>
      </c>
      <c r="H9" s="9">
        <f t="shared" si="7"/>
        <v>0.86289718809302896</v>
      </c>
      <c r="I9" s="9">
        <f t="shared" si="7"/>
        <v>1.0000000000000002</v>
      </c>
      <c r="J9" s="9">
        <f t="shared" si="7"/>
        <v>-0.72355427681231466</v>
      </c>
      <c r="K9" s="9">
        <f t="shared" si="7"/>
        <v>0.10698548013467223</v>
      </c>
      <c r="L9" s="9">
        <f t="shared" si="7"/>
        <v>0.68569563052574378</v>
      </c>
      <c r="M9" s="9">
        <f t="shared" si="7"/>
        <v>0.44908273429163226</v>
      </c>
      <c r="N9" s="9">
        <f t="shared" si="7"/>
        <v>0.5050292672694231</v>
      </c>
      <c r="O9" s="9">
        <f t="shared" si="7"/>
        <v>0.32174196641363034</v>
      </c>
      <c r="P9" s="9">
        <f t="shared" si="7"/>
        <v>-0.49691459536218374</v>
      </c>
      <c r="Q9" s="9">
        <f t="shared" si="7"/>
        <v>0.36531281915930575</v>
      </c>
      <c r="R9" s="9">
        <f t="shared" si="7"/>
        <v>-0.8867325829949031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41" s="10" customFormat="1" x14ac:dyDescent="0.25">
      <c r="A10" s="54" t="str">
        <f>'Comdty Correlation Matrix'!C14</f>
        <v>Butter</v>
      </c>
      <c r="B10" s="9">
        <f t="shared" ref="B10:R10" si="8">CORREL($J$26:$J$9986,B$26:B$9986)</f>
        <v>-0.10731054304199375</v>
      </c>
      <c r="C10" s="9">
        <f t="shared" si="8"/>
        <v>-2.544171492203948E-2</v>
      </c>
      <c r="D10" s="9">
        <f t="shared" si="8"/>
        <v>0.51743715539443502</v>
      </c>
      <c r="E10" s="9">
        <f t="shared" si="8"/>
        <v>0.35386789380970168</v>
      </c>
      <c r="F10" s="9">
        <f t="shared" si="8"/>
        <v>0.31241777106493934</v>
      </c>
      <c r="G10" s="9">
        <f t="shared" si="8"/>
        <v>-0.74592319584203537</v>
      </c>
      <c r="H10" s="9">
        <f t="shared" si="8"/>
        <v>-0.74102697622613456</v>
      </c>
      <c r="I10" s="9">
        <f t="shared" si="8"/>
        <v>-0.72355427681231466</v>
      </c>
      <c r="J10" s="9">
        <f t="shared" si="8"/>
        <v>1</v>
      </c>
      <c r="K10" s="9">
        <f t="shared" si="8"/>
        <v>8.6919414438677955E-2</v>
      </c>
      <c r="L10" s="9">
        <f t="shared" si="8"/>
        <v>-0.42768731583574293</v>
      </c>
      <c r="M10" s="9">
        <f t="shared" si="8"/>
        <v>-4.3793708591042271E-2</v>
      </c>
      <c r="N10" s="9">
        <f t="shared" si="8"/>
        <v>-0.12729575174343144</v>
      </c>
      <c r="O10" s="9">
        <f t="shared" si="8"/>
        <v>4.4325450493031951E-2</v>
      </c>
      <c r="P10" s="9">
        <f t="shared" si="8"/>
        <v>0.28173545871225719</v>
      </c>
      <c r="Q10" s="9">
        <f t="shared" si="8"/>
        <v>-0.3829512691022402</v>
      </c>
      <c r="R10" s="9">
        <f t="shared" si="8"/>
        <v>0.81637168202211519</v>
      </c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41" s="10" customFormat="1" x14ac:dyDescent="0.25">
      <c r="A11" s="54" t="str">
        <f>'Comdty Correlation Matrix'!C15</f>
        <v>Cheese</v>
      </c>
      <c r="B11" s="9">
        <f t="shared" ref="B11:R11" si="9">CORREL($K$26:$K$9986,B$26:B$9986)</f>
        <v>0.63766744949882603</v>
      </c>
      <c r="C11" s="9">
        <f t="shared" si="9"/>
        <v>0.63825333057922351</v>
      </c>
      <c r="D11" s="9">
        <f t="shared" si="9"/>
        <v>0.39771092463994162</v>
      </c>
      <c r="E11" s="9">
        <f t="shared" si="9"/>
        <v>0.69721445110083502</v>
      </c>
      <c r="F11" s="9">
        <f t="shared" si="9"/>
        <v>0.62478588817393343</v>
      </c>
      <c r="G11" s="9">
        <f t="shared" si="9"/>
        <v>0.12615114741277728</v>
      </c>
      <c r="H11" s="9">
        <f t="shared" si="9"/>
        <v>-3.7094254997151251E-2</v>
      </c>
      <c r="I11" s="9">
        <f t="shared" si="9"/>
        <v>0.10698548013467223</v>
      </c>
      <c r="J11" s="9">
        <f t="shared" si="9"/>
        <v>8.6919414438677955E-2</v>
      </c>
      <c r="K11" s="9">
        <f t="shared" si="9"/>
        <v>0.99999999999999989</v>
      </c>
      <c r="L11" s="9">
        <f t="shared" si="9"/>
        <v>0.45066322029058603</v>
      </c>
      <c r="M11" s="9">
        <f t="shared" si="9"/>
        <v>0.56774244234041693</v>
      </c>
      <c r="N11" s="9">
        <f t="shared" si="9"/>
        <v>0.64797375777380972</v>
      </c>
      <c r="O11" s="9">
        <f t="shared" si="9"/>
        <v>6.6695422731581772E-2</v>
      </c>
      <c r="P11" s="9">
        <f t="shared" si="9"/>
        <v>8.675265203640567E-2</v>
      </c>
      <c r="Q11" s="9">
        <f t="shared" si="9"/>
        <v>0.26722001063428952</v>
      </c>
      <c r="R11" s="9">
        <f t="shared" si="9"/>
        <v>6.8554876277017021E-2</v>
      </c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41" s="10" customFormat="1" x14ac:dyDescent="0.25">
      <c r="A12" s="54" t="str">
        <f>'Comdty Correlation Matrix'!C16</f>
        <v>Soybean</v>
      </c>
      <c r="B12" s="9">
        <f t="shared" ref="B12:R12" si="10">CORREL($L$26:$L$9986,B$26:B$9986)</f>
        <v>0.79990282768898613</v>
      </c>
      <c r="C12" s="9">
        <f t="shared" si="10"/>
        <v>0.761848979970843</v>
      </c>
      <c r="D12" s="9">
        <f t="shared" si="10"/>
        <v>0.14475210646437614</v>
      </c>
      <c r="E12" s="9">
        <f t="shared" si="10"/>
        <v>0.33298959284536345</v>
      </c>
      <c r="F12" s="9">
        <f t="shared" si="10"/>
        <v>0.42276399812206944</v>
      </c>
      <c r="G12" s="9">
        <f t="shared" si="10"/>
        <v>0.73522191164117667</v>
      </c>
      <c r="H12" s="9">
        <f t="shared" si="10"/>
        <v>0.47632576009211897</v>
      </c>
      <c r="I12" s="9">
        <f t="shared" si="10"/>
        <v>0.68569563052574378</v>
      </c>
      <c r="J12" s="9">
        <f t="shared" si="10"/>
        <v>-0.42768731583574293</v>
      </c>
      <c r="K12" s="9">
        <f t="shared" si="10"/>
        <v>0.45066322029058603</v>
      </c>
      <c r="L12" s="9">
        <f t="shared" si="10"/>
        <v>1</v>
      </c>
      <c r="M12" s="9">
        <f t="shared" si="10"/>
        <v>0.56300645358584556</v>
      </c>
      <c r="N12" s="9">
        <f t="shared" si="10"/>
        <v>0.66651304864314131</v>
      </c>
      <c r="O12" s="9">
        <f t="shared" si="10"/>
        <v>0.50440868454290633</v>
      </c>
      <c r="P12" s="9">
        <f t="shared" si="10"/>
        <v>-0.52269405825157533</v>
      </c>
      <c r="Q12" s="9">
        <f t="shared" si="10"/>
        <v>0.15059905223816672</v>
      </c>
      <c r="R12" s="9">
        <f t="shared" si="10"/>
        <v>-0.60851906133685985</v>
      </c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41" s="10" customFormat="1" x14ac:dyDescent="0.25">
      <c r="A13" s="54" t="str">
        <f>'Comdty Correlation Matrix'!C17</f>
        <v>Soybean Oil</v>
      </c>
      <c r="B13" s="9">
        <f t="shared" ref="B13:R13" si="11">CORREL($M$26:$M$9986,B$26:B$9986)</f>
        <v>0.61672212286968209</v>
      </c>
      <c r="C13" s="9">
        <f t="shared" si="11"/>
        <v>0.60190655230085433</v>
      </c>
      <c r="D13" s="9">
        <f t="shared" si="11"/>
        <v>0.31109318325551605</v>
      </c>
      <c r="E13" s="9">
        <f t="shared" si="11"/>
        <v>0.58794333623631856</v>
      </c>
      <c r="F13" s="9">
        <f t="shared" si="11"/>
        <v>0.51116694910351401</v>
      </c>
      <c r="G13" s="9">
        <f t="shared" si="11"/>
        <v>0.35030780572136183</v>
      </c>
      <c r="H13" s="9">
        <f t="shared" si="11"/>
        <v>0.24801313358471805</v>
      </c>
      <c r="I13" s="9">
        <f t="shared" si="11"/>
        <v>0.44908273429163226</v>
      </c>
      <c r="J13" s="9">
        <f t="shared" si="11"/>
        <v>-4.3793708591042271E-2</v>
      </c>
      <c r="K13" s="9">
        <f t="shared" si="11"/>
        <v>0.56774244234041693</v>
      </c>
      <c r="L13" s="9">
        <f t="shared" si="11"/>
        <v>0.56300645358584556</v>
      </c>
      <c r="M13" s="9">
        <f t="shared" si="11"/>
        <v>0.99999999999999989</v>
      </c>
      <c r="N13" s="9">
        <f t="shared" si="11"/>
        <v>0.75299515151295204</v>
      </c>
      <c r="O13" s="9">
        <f t="shared" si="11"/>
        <v>0.20434536660356145</v>
      </c>
      <c r="P13" s="9">
        <f t="shared" si="11"/>
        <v>-4.4612176702831102E-2</v>
      </c>
      <c r="Q13" s="9">
        <f t="shared" si="11"/>
        <v>0.20939246289835114</v>
      </c>
      <c r="R13" s="9">
        <f t="shared" si="11"/>
        <v>-0.13981837309545517</v>
      </c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41" s="10" customFormat="1" x14ac:dyDescent="0.25">
      <c r="A14" s="54" t="str">
        <f>'Comdty Correlation Matrix'!C18</f>
        <v>Corn</v>
      </c>
      <c r="B14" s="9">
        <f t="shared" ref="B14:R14" si="12">CORREL($N$26:$N$9986,B$26:B$9986)</f>
        <v>0.68859331587729589</v>
      </c>
      <c r="C14" s="9">
        <f t="shared" si="12"/>
        <v>0.66086123338969216</v>
      </c>
      <c r="D14" s="9">
        <f t="shared" si="12"/>
        <v>9.034650866859649E-2</v>
      </c>
      <c r="E14" s="9">
        <f t="shared" si="12"/>
        <v>0.60094901635976794</v>
      </c>
      <c r="F14" s="9">
        <f t="shared" si="12"/>
        <v>0.58463477901788508</v>
      </c>
      <c r="G14" s="9">
        <f t="shared" si="12"/>
        <v>0.46634560893951005</v>
      </c>
      <c r="H14" s="9">
        <f t="shared" si="12"/>
        <v>0.3327539346775254</v>
      </c>
      <c r="I14" s="9">
        <f t="shared" si="12"/>
        <v>0.5050292672694231</v>
      </c>
      <c r="J14" s="9">
        <f t="shared" si="12"/>
        <v>-0.12729575174343144</v>
      </c>
      <c r="K14" s="9">
        <f t="shared" si="12"/>
        <v>0.64797375777380972</v>
      </c>
      <c r="L14" s="9">
        <f t="shared" si="12"/>
        <v>0.66651304864314131</v>
      </c>
      <c r="M14" s="9">
        <f t="shared" si="12"/>
        <v>0.75299515151295204</v>
      </c>
      <c r="N14" s="9">
        <f t="shared" si="12"/>
        <v>1</v>
      </c>
      <c r="O14" s="9">
        <f t="shared" si="12"/>
        <v>0.27942264061276939</v>
      </c>
      <c r="P14" s="9">
        <f t="shared" si="12"/>
        <v>-0.14699011704887038</v>
      </c>
      <c r="Q14" s="9">
        <f t="shared" si="12"/>
        <v>0.3048242533256415</v>
      </c>
      <c r="R14" s="9">
        <f t="shared" si="12"/>
        <v>-0.21162405389659861</v>
      </c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41" s="10" customFormat="1" x14ac:dyDescent="0.25">
      <c r="A15" s="54" t="str">
        <f>'Comdty Correlation Matrix'!C19</f>
        <v>Coffee</v>
      </c>
      <c r="B15" s="9">
        <f t="shared" ref="B15:R15" si="13">CORREL($O$26:$O$9986,B$26:B$9986)</f>
        <v>0.60763532619319727</v>
      </c>
      <c r="C15" s="9">
        <f t="shared" si="13"/>
        <v>0.58372649560580503</v>
      </c>
      <c r="D15" s="9">
        <f t="shared" si="13"/>
        <v>0.29354975697867985</v>
      </c>
      <c r="E15" s="9">
        <f t="shared" si="13"/>
        <v>0.15218417802391693</v>
      </c>
      <c r="F15" s="9">
        <f t="shared" si="13"/>
        <v>0.3177575019215948</v>
      </c>
      <c r="G15" s="9">
        <f t="shared" si="13"/>
        <v>0.18631751846315511</v>
      </c>
      <c r="H15" s="9">
        <f t="shared" si="13"/>
        <v>-4.3355760894192553E-2</v>
      </c>
      <c r="I15" s="9">
        <f t="shared" si="13"/>
        <v>0.32174196641363034</v>
      </c>
      <c r="J15" s="9">
        <f t="shared" si="13"/>
        <v>4.4325450493031951E-2</v>
      </c>
      <c r="K15" s="9">
        <f t="shared" si="13"/>
        <v>6.6695422731581772E-2</v>
      </c>
      <c r="L15" s="9">
        <f t="shared" si="13"/>
        <v>0.50440868454290633</v>
      </c>
      <c r="M15" s="9">
        <f t="shared" si="13"/>
        <v>0.20434536660356145</v>
      </c>
      <c r="N15" s="9">
        <f t="shared" si="13"/>
        <v>0.27942264061276939</v>
      </c>
      <c r="O15" s="9">
        <f t="shared" si="13"/>
        <v>1</v>
      </c>
      <c r="P15" s="9">
        <f t="shared" si="13"/>
        <v>-0.77599149750258589</v>
      </c>
      <c r="Q15" s="9">
        <f t="shared" si="13"/>
        <v>-0.4809466409085173</v>
      </c>
      <c r="R15" s="9">
        <f t="shared" si="13"/>
        <v>-0.30887194035068033</v>
      </c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41" s="38" customFormat="1" x14ac:dyDescent="0.25">
      <c r="A16" s="54" t="str">
        <f>'Comdty Correlation Matrix'!C20</f>
        <v>Orange Juice</v>
      </c>
      <c r="B16" s="9">
        <f t="shared" ref="B16:R16" si="14">CORREL($P$26:$P$9986,B$26:B$9986)</f>
        <v>-0.5183685854312039</v>
      </c>
      <c r="C16" s="9">
        <f t="shared" si="14"/>
        <v>-0.48251993342418698</v>
      </c>
      <c r="D16" s="9">
        <f t="shared" si="14"/>
        <v>5.780858023545471E-2</v>
      </c>
      <c r="E16" s="9">
        <f t="shared" si="14"/>
        <v>0.10923031168884362</v>
      </c>
      <c r="F16" s="9">
        <f t="shared" si="14"/>
        <v>-7.9286930258323646E-2</v>
      </c>
      <c r="G16" s="9">
        <f t="shared" si="14"/>
        <v>-0.4277079443012215</v>
      </c>
      <c r="H16" s="9">
        <f t="shared" si="14"/>
        <v>-0.25161866606179339</v>
      </c>
      <c r="I16" s="9">
        <f t="shared" si="14"/>
        <v>-0.49691459536218374</v>
      </c>
      <c r="J16" s="9">
        <f t="shared" si="14"/>
        <v>0.28173545871225719</v>
      </c>
      <c r="K16" s="9">
        <f t="shared" si="14"/>
        <v>8.675265203640567E-2</v>
      </c>
      <c r="L16" s="9">
        <f t="shared" si="14"/>
        <v>-0.52269405825157533</v>
      </c>
      <c r="M16" s="9">
        <f t="shared" si="14"/>
        <v>-4.4612176702831102E-2</v>
      </c>
      <c r="N16" s="9">
        <f t="shared" si="14"/>
        <v>-0.14699011704887038</v>
      </c>
      <c r="O16" s="9">
        <f t="shared" si="14"/>
        <v>-0.77599149750258589</v>
      </c>
      <c r="P16" s="9">
        <f t="shared" si="14"/>
        <v>1</v>
      </c>
      <c r="Q16" s="9">
        <f t="shared" si="14"/>
        <v>0.31220700924501904</v>
      </c>
      <c r="R16" s="9">
        <f t="shared" si="14"/>
        <v>0.60855965987634164</v>
      </c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8" s="38" customFormat="1" x14ac:dyDescent="0.25">
      <c r="A17" s="54" t="str">
        <f>'Comdty Correlation Matrix'!C21</f>
        <v>Sugar</v>
      </c>
      <c r="B17" s="9">
        <f t="shared" ref="B17:R17" si="15">CORREL($Q$26:$Q$9986,B$26:B$9986)</f>
        <v>-1.953280645638867E-2</v>
      </c>
      <c r="C17" s="9">
        <f t="shared" si="15"/>
        <v>-5.5625932521391003E-2</v>
      </c>
      <c r="D17" s="9">
        <f t="shared" si="15"/>
        <v>-0.23529166685512001</v>
      </c>
      <c r="E17" s="9">
        <f t="shared" si="15"/>
        <v>-1.3431420456984361E-2</v>
      </c>
      <c r="F17" s="9">
        <f t="shared" si="15"/>
        <v>-7.2578104617464709E-2</v>
      </c>
      <c r="G17" s="9">
        <f t="shared" si="15"/>
        <v>0.44236076837375432</v>
      </c>
      <c r="H17" s="9">
        <f t="shared" si="15"/>
        <v>0.57006647848077319</v>
      </c>
      <c r="I17" s="9">
        <f t="shared" si="15"/>
        <v>0.36531281915930575</v>
      </c>
      <c r="J17" s="9">
        <f t="shared" si="15"/>
        <v>-0.3829512691022402</v>
      </c>
      <c r="K17" s="9">
        <f t="shared" si="15"/>
        <v>0.26722001063428952</v>
      </c>
      <c r="L17" s="9">
        <f t="shared" si="15"/>
        <v>0.15059905223816672</v>
      </c>
      <c r="M17" s="9">
        <f t="shared" si="15"/>
        <v>0.20939246289835114</v>
      </c>
      <c r="N17" s="9">
        <f t="shared" si="15"/>
        <v>0.3048242533256415</v>
      </c>
      <c r="O17" s="9">
        <f t="shared" si="15"/>
        <v>-0.4809466409085173</v>
      </c>
      <c r="P17" s="9">
        <f t="shared" si="15"/>
        <v>0.31220700924501904</v>
      </c>
      <c r="Q17" s="9">
        <f t="shared" si="15"/>
        <v>0.99999999999999978</v>
      </c>
      <c r="R17" s="9">
        <f t="shared" si="15"/>
        <v>-0.25597443346357307</v>
      </c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8" s="38" customFormat="1" x14ac:dyDescent="0.25">
      <c r="A18" s="54" t="str">
        <f>'Comdty Correlation Matrix'!C22</f>
        <v>US Dollar Index</v>
      </c>
      <c r="B18" s="9">
        <f t="shared" ref="B18:R18" si="16">CORREL($R$26:$R$9986,B$26:B$9986)</f>
        <v>-0.34379467851714052</v>
      </c>
      <c r="C18" s="9">
        <f t="shared" si="16"/>
        <v>-0.26770122063157792</v>
      </c>
      <c r="D18" s="9">
        <f t="shared" si="16"/>
        <v>0.43978279223358335</v>
      </c>
      <c r="E18" s="9">
        <f t="shared" si="16"/>
        <v>0.30201824017287343</v>
      </c>
      <c r="F18" s="9">
        <f t="shared" si="16"/>
        <v>0.20468089489101857</v>
      </c>
      <c r="G18" s="9">
        <f t="shared" si="16"/>
        <v>-0.84629678574397349</v>
      </c>
      <c r="H18" s="9">
        <f t="shared" si="16"/>
        <v>-0.81783953714515567</v>
      </c>
      <c r="I18" s="9">
        <f t="shared" si="16"/>
        <v>-0.8867325829949031</v>
      </c>
      <c r="J18" s="9">
        <f t="shared" si="16"/>
        <v>0.81637168202211519</v>
      </c>
      <c r="K18" s="9">
        <f t="shared" si="16"/>
        <v>6.8554876277017021E-2</v>
      </c>
      <c r="L18" s="9">
        <f t="shared" si="16"/>
        <v>-0.60851906133685985</v>
      </c>
      <c r="M18" s="9">
        <f t="shared" si="16"/>
        <v>-0.13981837309545517</v>
      </c>
      <c r="N18" s="9">
        <f t="shared" si="16"/>
        <v>-0.21162405389659861</v>
      </c>
      <c r="O18" s="9">
        <f t="shared" si="16"/>
        <v>-0.30887194035068033</v>
      </c>
      <c r="P18" s="9">
        <f t="shared" si="16"/>
        <v>0.60855965987634164</v>
      </c>
      <c r="Q18" s="9">
        <f t="shared" si="16"/>
        <v>-0.25597443346357307</v>
      </c>
      <c r="R18" s="9">
        <f t="shared" si="16"/>
        <v>0.99999999999999989</v>
      </c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8" s="10" customFormat="1" x14ac:dyDescent="0.25"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8" s="10" customFormat="1" x14ac:dyDescent="0.25"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8" s="10" customFormat="1" x14ac:dyDescent="0.25"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8" s="1" customFormat="1" x14ac:dyDescent="0.25">
      <c r="A22" s="50" t="s">
        <v>36</v>
      </c>
      <c r="B22" s="51">
        <f ca="1">'Comdty Correlation Matrix'!F3</f>
        <v>44586</v>
      </c>
      <c r="C22" s="50" t="s">
        <v>37</v>
      </c>
      <c r="D22" s="51">
        <f ca="1">'Comdty Correlation Matrix'!H3</f>
        <v>44950</v>
      </c>
      <c r="E22" s="50" t="s">
        <v>38</v>
      </c>
      <c r="F22" s="52">
        <v>9999</v>
      </c>
      <c r="G22" s="50" t="s">
        <v>39</v>
      </c>
      <c r="H22" s="52" t="s">
        <v>40</v>
      </c>
      <c r="I22" s="50" t="s">
        <v>41</v>
      </c>
      <c r="J22" s="52" t="s">
        <v>42</v>
      </c>
      <c r="K22" s="50" t="s">
        <v>43</v>
      </c>
      <c r="L22" s="52">
        <v>12</v>
      </c>
      <c r="M22" s="50" t="s">
        <v>44</v>
      </c>
      <c r="N22" s="52" t="s">
        <v>45</v>
      </c>
      <c r="O22" s="14"/>
      <c r="P22" s="14"/>
      <c r="Q22" s="14"/>
      <c r="R22" s="14"/>
    </row>
    <row r="23" spans="1:38" x14ac:dyDescent="0.25">
      <c r="A23" s="47" t="str">
        <f>'Comdty Correlation Matrix'!D6</f>
        <v>NYM:CL</v>
      </c>
      <c r="B23" s="9"/>
      <c r="C23" s="47" t="str">
        <f>'Comdty Correlation Matrix'!D7</f>
        <v>IPE:EB</v>
      </c>
      <c r="D23" s="47" t="str">
        <f>'Comdty Correlation Matrix'!D8</f>
        <v>NYM:NG</v>
      </c>
      <c r="E23" s="47" t="str">
        <f>'Comdty Correlation Matrix'!D9</f>
        <v>NYM:HO</v>
      </c>
      <c r="F23" s="47" t="str">
        <f>'Comdty Correlation Matrix'!D10</f>
        <v>IPE:EP</v>
      </c>
      <c r="G23" s="47" t="str">
        <f>'Comdty Correlation Matrix'!D11</f>
        <v>COM:GC</v>
      </c>
      <c r="H23" s="47" t="str">
        <f>'Comdty Correlation Matrix'!D12</f>
        <v>COM:SI</v>
      </c>
      <c r="I23" s="47" t="str">
        <f>'Comdty Correlation Matrix'!D13</f>
        <v>COM:HG</v>
      </c>
      <c r="J23" s="47" t="str">
        <f>'Comdty Correlation Matrix'!D14</f>
        <v>CME$CB</v>
      </c>
      <c r="K23" s="47" t="str">
        <f>'Comdty Correlation Matrix'!D15</f>
        <v>CME$CSC</v>
      </c>
      <c r="L23" s="47" t="str">
        <f>'Comdty Correlation Matrix'!D16</f>
        <v>CBT$ZS</v>
      </c>
      <c r="M23" s="47" t="str">
        <f>'Comdty Correlation Matrix'!D17</f>
        <v>CBT$ZL</v>
      </c>
      <c r="N23" s="47" t="str">
        <f>'Comdty Correlation Matrix'!D18</f>
        <v>CBT$ZC</v>
      </c>
      <c r="O23" s="47" t="str">
        <f>'Comdty Correlation Matrix'!D19</f>
        <v>NYB:KC</v>
      </c>
      <c r="P23" s="47" t="str">
        <f>'Comdty Correlation Matrix'!D20</f>
        <v>NYB:OJ</v>
      </c>
      <c r="Q23" s="9" t="str">
        <f>'Comdty Correlation Matrix'!D21</f>
        <v>NYB:SB</v>
      </c>
      <c r="R23" s="9" t="str">
        <f>'Comdty Correlation Matrix'!D22</f>
        <v>NYB:DX</v>
      </c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</row>
    <row r="24" spans="1:38" x14ac:dyDescent="0.25">
      <c r="A24" s="9" t="str">
        <f ca="1">_xll.IMDH("FRN",A23,A25:B25,$B$22,$D$22,$F$22,"Per="&amp;$H$22&amp;",sort="&amp;$J$22&amp;",real=true,Bizday="&amp;$L$22&amp;",Quote="&amp;$N$22&amp;",Pos=20,Orient=V,Title=WTI,DtFmt=1,TmFmt=1,unit=true")</f>
        <v>WTI</v>
      </c>
      <c r="B24" s="9"/>
      <c r="C24" s="9" t="str">
        <f ca="1">_xll.IMDH("FRN",C23,C25,$B$22,$D$22,$F$22,"Per="&amp;$H$22&amp;",sort="&amp;$J$22&amp;",real=true,Bizday="&amp;$L$22&amp;",Quote="&amp;$N$22&amp;",Pos=20,Orient=V,Title="&amp;A3&amp;",DtFmt=1,TmFmt=1,unit=true")</f>
        <v>BRENT</v>
      </c>
      <c r="D24" s="9" t="str">
        <f ca="1">_xll.IMDH("FRN",D23,D25,$B$22,$D$22,$F$22,"Per="&amp;$H$22&amp;",sort="&amp;$J$22&amp;",real=true,Bizday="&amp;$L$22&amp;",Quote="&amp;$N$22&amp;",Pos=20,Orient=V,Title="&amp;A4&amp;",DtFmt=1,TmFmt=1,unit=true")</f>
        <v>NATURAL GAS</v>
      </c>
      <c r="E24" s="9" t="str">
        <f ca="1">_xll.IMDH("FRN",E23,E25,$B$22,$D$22,$F$22,"Per="&amp;$H$22&amp;",sort="&amp;$J$22&amp;",real=true,Bizday="&amp;$L$22&amp;",Quote="&amp;$N$22&amp;",Pos=20,Orient=V,Title="&amp;A5&amp;",DtFmt=1,TmFmt=1,unit=true")</f>
        <v>HEATING OIL</v>
      </c>
      <c r="F24" s="9" t="str">
        <f ca="1">_xll.IMDH("FRN",F23,F25,$B$22,$D$22,$F$22,"Per="&amp;$H$22&amp;",sort="&amp;$J$22&amp;",real=true,Bizday="&amp;$L$22&amp;",Quote="&amp;$N$22&amp;",Pos=20,Orient=V,Title="&amp;A6&amp;",DtFmt=1,TmFmt=1,unit=true")</f>
        <v>GAS OIL</v>
      </c>
      <c r="G24" s="9" t="str">
        <f ca="1">_xll.IMDH("FRN",G23,G25,$B$22,$D$22,$F$22,"Per="&amp;$H$22&amp;",sort="&amp;$J$22&amp;",real=true,Bizday="&amp;$L$22&amp;",Quote="&amp;$N$22&amp;",Pos=20,Orient=V,Title="&amp;A7&amp;",DtFmt=1,TmFmt=1,unit=true")</f>
        <v>GOLD</v>
      </c>
      <c r="H24" s="9" t="str">
        <f ca="1">_xll.IMDH("FRN",H23,H25,$B$22,$D$22,$F$22,"Per="&amp;$H$22&amp;",sort="&amp;$J$22&amp;",real=true,Bizday="&amp;$L$22&amp;",Quote="&amp;$N$22&amp;",Pos=20,Orient=V,Title="&amp;A8&amp;",DtFmt=1,TmFmt=1,unit=true")</f>
        <v>SILVER</v>
      </c>
      <c r="I24" s="9" t="str">
        <f ca="1">_xll.IMDH("FRN",I23,I25,$B$22,$D$22,$F$22,"Per="&amp;$H$22&amp;",sort="&amp;$J$22&amp;",real=true,Bizday="&amp;$L$22&amp;",Quote="&amp;$N$22&amp;",Pos=20,Orient=V,Title="&amp;A9&amp;",DtFmt=1,TmFmt=1,unit=true")</f>
        <v>COPPER</v>
      </c>
      <c r="J24" s="9" t="str">
        <f ca="1">_xll.IMDH("FRN",J23,J25,$B$22,$D$22,$F$22,"Per="&amp;$H$22&amp;",sort="&amp;$J$22&amp;",real=true,Bizday="&amp;$L$22&amp;",Quote="&amp;$N$22&amp;",Pos=20,Orient=V,Title="&amp;A10&amp;",DtFmt=1,TmFmt=1,unit=true")</f>
        <v>BUTTER</v>
      </c>
      <c r="K24" s="9" t="str">
        <f ca="1">_xll.IMDH("FRN",K23,K25,$B$22,$D$22,$F$22,"Per="&amp;$H$22&amp;",sort="&amp;$J$22&amp;",real=true,Bizday="&amp;$L$22&amp;",Quote="&amp;$N$22&amp;",Pos=20,Orient=V,Title="&amp;A11&amp;",DtFmt=1,TmFmt=1,unit=true")</f>
        <v>CHEESE</v>
      </c>
      <c r="L24" s="9" t="str">
        <f ca="1">_xll.IMDH("FRN",L23,L25,$B$22,$D$22,$F$22,"Per="&amp;$H$22&amp;",sort="&amp;$J$22&amp;",real=true,Bizday="&amp;$L$22&amp;",Quote="&amp;$N$22&amp;",Pos=20,Orient=V,Title="&amp;A12&amp;",DtFmt=1,TmFmt=1,unit=true")</f>
        <v>SOYBEAN</v>
      </c>
      <c r="M24" s="9" t="str">
        <f ca="1">_xll.IMDH("FRN",M23,M25,$B$22,$D$22,$F$22,"Per="&amp;$H$22&amp;",sort="&amp;$J$22&amp;",real=true,Bizday="&amp;$L$22&amp;",Quote="&amp;$N$22&amp;",Pos=20,Orient=V,Title="&amp;A13&amp;",DtFmt=1,TmFmt=1,unit=true")</f>
        <v>SOYBEAN OIL</v>
      </c>
      <c r="N24" s="9" t="str">
        <f ca="1">_xll.IMDH("FRN",N23,N25,$B$22,$D$22,$F$22,"Per="&amp;$H$22&amp;",sort="&amp;$J$22&amp;",real=true,Bizday="&amp;$L$22&amp;",Quote="&amp;$N$22&amp;",Pos=20,Orient=V,Title="&amp;A14&amp;",DtFmt=1,TmFmt=1,unit=true")</f>
        <v>CORN</v>
      </c>
      <c r="O24" s="9" t="str">
        <f ca="1">_xll.IMDH("FRN",O23,O25,$B$22,$D$22,$F$22,"Per="&amp;$H$22&amp;",sort="&amp;$J$22&amp;",real=true,Bizday="&amp;$L$22&amp;",Quote="&amp;$N$22&amp;",Pos=20,Orient=V,Title="&amp;A15&amp;",DtFmt=1,TmFmt=1,unit=true")</f>
        <v>COFFEE</v>
      </c>
      <c r="P24" s="9" t="str">
        <f ca="1">_xll.IMDH("FRN",P23,P25,$B$22,$D$22,$F$22,"Per="&amp;$H$22&amp;",sort="&amp;$J$22&amp;",real=true,Bizday="&amp;$L$22&amp;",Quote="&amp;$N$22&amp;",Pos=20,Orient=V,Title="&amp;A16&amp;",DtFmt=1,TmFmt=1,unit=true")</f>
        <v>ORANGE JUICE</v>
      </c>
      <c r="Q24" s="9" t="str">
        <f ca="1">_xll.IMDH("FRN",Q23,Q25,$B$22,$D$22,$F$22,"Per="&amp;$H$22&amp;",sort="&amp;$J$22&amp;",real=true,Bizday="&amp;$L$22&amp;",Quote="&amp;$N$22&amp;",Pos=20,Orient=V,Title="&amp;A17&amp;",DtFmt=1,TmFmt=1,unit=true")</f>
        <v>SUGAR</v>
      </c>
      <c r="R24" s="9" t="str">
        <f ca="1">_xll.IMDH("FRN",R23,R25,$B$22,$D$22,$F$22,"Per="&amp;$H$22&amp;",sort="&amp;$J$22&amp;",real=true,Bizday="&amp;$L$22&amp;",Quote="&amp;$N$22&amp;",Pos=20,Orient=V,Title="&amp;A18&amp;",DtFmt=1,TmFmt=1,unit=true")</f>
        <v>US DOLLAR INDEX</v>
      </c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</row>
    <row r="25" spans="1:38" s="1" customFormat="1" x14ac:dyDescent="0.25">
      <c r="A25" s="49" t="s">
        <v>46</v>
      </c>
      <c r="B25" s="48" t="s">
        <v>0</v>
      </c>
      <c r="C25" s="48" t="s">
        <v>0</v>
      </c>
      <c r="D25" s="48" t="s">
        <v>0</v>
      </c>
      <c r="E25" s="48" t="s">
        <v>0</v>
      </c>
      <c r="F25" s="48" t="s">
        <v>0</v>
      </c>
      <c r="G25" s="48" t="s">
        <v>0</v>
      </c>
      <c r="H25" s="48" t="s">
        <v>0</v>
      </c>
      <c r="I25" s="48" t="s">
        <v>0</v>
      </c>
      <c r="J25" s="48" t="s">
        <v>0</v>
      </c>
      <c r="K25" s="48" t="s">
        <v>0</v>
      </c>
      <c r="L25" s="48" t="s">
        <v>0</v>
      </c>
      <c r="M25" s="48" t="s">
        <v>0</v>
      </c>
      <c r="N25" s="48" t="s">
        <v>0</v>
      </c>
      <c r="O25" s="48" t="s">
        <v>0</v>
      </c>
      <c r="P25" s="48" t="s">
        <v>0</v>
      </c>
      <c r="Q25" s="48" t="s">
        <v>0</v>
      </c>
      <c r="R25" s="48" t="s">
        <v>0</v>
      </c>
    </row>
    <row r="26" spans="1:38" x14ac:dyDescent="0.25">
      <c r="A26" s="3">
        <v>44950</v>
      </c>
      <c r="B26">
        <v>80.13</v>
      </c>
      <c r="C26">
        <v>86.13</v>
      </c>
      <c r="D26">
        <v>3.258</v>
      </c>
      <c r="E26">
        <v>3.4272</v>
      </c>
      <c r="F26">
        <v>985.75</v>
      </c>
      <c r="G26">
        <v>1935.4</v>
      </c>
      <c r="H26">
        <v>23.748999999999999</v>
      </c>
      <c r="I26">
        <v>4.2484999999999999</v>
      </c>
      <c r="J26">
        <v>243.35</v>
      </c>
      <c r="K26">
        <v>1.9790000000000001</v>
      </c>
      <c r="L26">
        <v>1488.5</v>
      </c>
      <c r="M26">
        <v>60.98</v>
      </c>
      <c r="N26">
        <v>677</v>
      </c>
      <c r="O26">
        <v>159.85</v>
      </c>
      <c r="P26" s="10">
        <v>203.8</v>
      </c>
      <c r="Q26" s="10">
        <v>19.88</v>
      </c>
      <c r="R26" s="10">
        <v>101.675</v>
      </c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</row>
    <row r="27" spans="1:38" x14ac:dyDescent="0.25">
      <c r="A27" s="3">
        <v>44949</v>
      </c>
      <c r="B27">
        <v>81.62</v>
      </c>
      <c r="C27">
        <v>88.19</v>
      </c>
      <c r="D27">
        <v>3.4470000000000001</v>
      </c>
      <c r="E27" s="2">
        <v>3.5508999999999999</v>
      </c>
      <c r="F27">
        <v>1012.25</v>
      </c>
      <c r="G27">
        <v>1928.6</v>
      </c>
      <c r="H27">
        <v>23.553999999999998</v>
      </c>
      <c r="I27">
        <v>4.2565</v>
      </c>
      <c r="J27">
        <v>243.35</v>
      </c>
      <c r="K27">
        <v>1.9790000000000001</v>
      </c>
      <c r="L27">
        <v>1490.25</v>
      </c>
      <c r="M27">
        <v>62.04</v>
      </c>
      <c r="N27">
        <v>666.25</v>
      </c>
      <c r="O27">
        <v>158.55000000000001</v>
      </c>
      <c r="P27" s="10">
        <v>204.4</v>
      </c>
      <c r="Q27" s="10">
        <v>19.7</v>
      </c>
      <c r="R27" s="10">
        <v>101.916</v>
      </c>
      <c r="S27" s="10"/>
    </row>
    <row r="28" spans="1:38" x14ac:dyDescent="0.25">
      <c r="A28" s="3">
        <v>44948</v>
      </c>
      <c r="E28" s="2"/>
    </row>
    <row r="29" spans="1:38" x14ac:dyDescent="0.25">
      <c r="A29" s="3">
        <v>44947</v>
      </c>
      <c r="E29" s="2"/>
    </row>
    <row r="30" spans="1:38" x14ac:dyDescent="0.25">
      <c r="A30" s="3">
        <v>44946</v>
      </c>
      <c r="B30">
        <v>81.31</v>
      </c>
      <c r="C30">
        <v>87.63</v>
      </c>
      <c r="D30">
        <v>3.1739999999999999</v>
      </c>
      <c r="E30" s="2">
        <v>3.4668000000000001</v>
      </c>
      <c r="F30">
        <v>983.5</v>
      </c>
      <c r="G30">
        <v>1928.2</v>
      </c>
      <c r="H30">
        <v>23.934999999999999</v>
      </c>
      <c r="I30">
        <v>4.2515000000000001</v>
      </c>
      <c r="J30">
        <v>243.25</v>
      </c>
      <c r="K30">
        <v>1.978</v>
      </c>
      <c r="L30">
        <v>1506.5</v>
      </c>
      <c r="M30">
        <v>61.97</v>
      </c>
      <c r="N30">
        <v>676.25</v>
      </c>
      <c r="O30">
        <v>154.80000000000001</v>
      </c>
      <c r="P30">
        <v>203.5</v>
      </c>
      <c r="Q30">
        <v>19.72</v>
      </c>
      <c r="R30">
        <v>101.78100000000001</v>
      </c>
      <c r="Y30" s="5"/>
      <c r="Z30" s="5"/>
      <c r="AA30" s="5"/>
    </row>
    <row r="31" spans="1:38" x14ac:dyDescent="0.25">
      <c r="A31" s="3">
        <v>44945</v>
      </c>
      <c r="B31">
        <v>80.33</v>
      </c>
      <c r="C31">
        <v>86.16</v>
      </c>
      <c r="D31">
        <v>3.2749999999999999</v>
      </c>
      <c r="E31" s="2">
        <v>3.3759000000000001</v>
      </c>
      <c r="F31">
        <v>943</v>
      </c>
      <c r="G31">
        <v>1923.9</v>
      </c>
      <c r="H31">
        <v>23.87</v>
      </c>
      <c r="I31">
        <v>4.2314999999999996</v>
      </c>
      <c r="J31">
        <v>241.25</v>
      </c>
      <c r="K31">
        <v>1.98</v>
      </c>
      <c r="L31">
        <v>1514.75</v>
      </c>
      <c r="M31">
        <v>63.15</v>
      </c>
      <c r="N31">
        <v>677.25</v>
      </c>
      <c r="O31">
        <v>154.6</v>
      </c>
      <c r="P31">
        <v>204.2</v>
      </c>
      <c r="Q31">
        <v>19.68</v>
      </c>
      <c r="R31">
        <v>101.831</v>
      </c>
      <c r="Y31" s="5"/>
      <c r="Z31" s="5"/>
      <c r="AA31" s="5"/>
    </row>
    <row r="32" spans="1:38" x14ac:dyDescent="0.25">
      <c r="A32" s="3">
        <v>44944</v>
      </c>
      <c r="B32">
        <v>79.48</v>
      </c>
      <c r="C32">
        <v>84.98</v>
      </c>
      <c r="D32">
        <v>3.3109999999999999</v>
      </c>
      <c r="E32">
        <v>3.2629999999999999</v>
      </c>
      <c r="F32">
        <v>953.5</v>
      </c>
      <c r="G32">
        <v>1907</v>
      </c>
      <c r="H32">
        <v>23.646999999999998</v>
      </c>
      <c r="I32">
        <v>4.2344999999999997</v>
      </c>
      <c r="J32">
        <v>241.4</v>
      </c>
      <c r="K32">
        <v>1.9790000000000001</v>
      </c>
      <c r="L32">
        <v>1524.5</v>
      </c>
      <c r="M32">
        <v>64.12</v>
      </c>
      <c r="N32">
        <v>681.25</v>
      </c>
      <c r="O32">
        <v>155</v>
      </c>
      <c r="P32">
        <v>205.55</v>
      </c>
      <c r="Q32">
        <v>19.82</v>
      </c>
      <c r="R32">
        <v>102.107</v>
      </c>
      <c r="Y32" s="5"/>
      <c r="Z32" s="5"/>
      <c r="AA32" s="5"/>
    </row>
    <row r="33" spans="1:27" x14ac:dyDescent="0.25">
      <c r="A33" s="3">
        <v>44943</v>
      </c>
      <c r="B33">
        <v>80.180000000000007</v>
      </c>
      <c r="C33">
        <v>85.92</v>
      </c>
      <c r="D33">
        <v>3.5859999999999999</v>
      </c>
      <c r="E33">
        <v>3.2509999999999999</v>
      </c>
      <c r="F33">
        <v>927.25</v>
      </c>
      <c r="G33">
        <v>1909.9</v>
      </c>
      <c r="H33">
        <v>24.068000000000001</v>
      </c>
      <c r="I33">
        <v>4.2229999999999999</v>
      </c>
      <c r="J33">
        <v>241.3</v>
      </c>
      <c r="K33">
        <v>1.9810000000000001</v>
      </c>
      <c r="L33">
        <v>1539.75</v>
      </c>
      <c r="M33">
        <v>63.84</v>
      </c>
      <c r="N33">
        <v>685.25</v>
      </c>
      <c r="O33">
        <v>151.1</v>
      </c>
      <c r="P33">
        <v>206.2</v>
      </c>
      <c r="Q33">
        <v>20.14</v>
      </c>
      <c r="R33">
        <v>102.14100000000001</v>
      </c>
      <c r="Y33" s="5"/>
      <c r="Z33" s="5"/>
      <c r="AA33" s="5"/>
    </row>
    <row r="34" spans="1:27" x14ac:dyDescent="0.25">
      <c r="A34" s="3">
        <v>44942</v>
      </c>
      <c r="C34">
        <v>84.46</v>
      </c>
      <c r="F34">
        <v>934</v>
      </c>
      <c r="Y34" s="5"/>
      <c r="Z34" s="5"/>
      <c r="AA34" s="5"/>
    </row>
    <row r="35" spans="1:27" x14ac:dyDescent="0.25">
      <c r="A35" s="3">
        <v>44941</v>
      </c>
      <c r="Y35" s="5"/>
      <c r="Z35" s="5"/>
      <c r="AA35" s="5"/>
    </row>
    <row r="36" spans="1:27" x14ac:dyDescent="0.25">
      <c r="A36" s="3">
        <v>44940</v>
      </c>
      <c r="Y36" s="5"/>
      <c r="Z36" s="5"/>
      <c r="AA36" s="5"/>
    </row>
    <row r="37" spans="1:27" x14ac:dyDescent="0.25">
      <c r="A37" s="3">
        <v>44939</v>
      </c>
      <c r="B37">
        <v>79.86</v>
      </c>
      <c r="C37">
        <v>85.28</v>
      </c>
      <c r="D37">
        <v>3.419</v>
      </c>
      <c r="E37">
        <v>3.2559</v>
      </c>
      <c r="F37">
        <v>932.75</v>
      </c>
      <c r="G37">
        <v>1921.7</v>
      </c>
      <c r="H37">
        <v>24.372</v>
      </c>
      <c r="I37">
        <v>4.2160000000000002</v>
      </c>
      <c r="J37">
        <v>241.4</v>
      </c>
      <c r="K37">
        <v>1.98</v>
      </c>
      <c r="L37">
        <v>1538.25</v>
      </c>
      <c r="M37">
        <v>63.25</v>
      </c>
      <c r="N37">
        <v>675</v>
      </c>
      <c r="O37">
        <v>151.69999999999999</v>
      </c>
      <c r="P37">
        <v>207.2</v>
      </c>
      <c r="Q37">
        <v>19.73</v>
      </c>
      <c r="R37">
        <v>101.946</v>
      </c>
      <c r="Y37" s="5"/>
      <c r="Z37" s="5"/>
      <c r="AA37" s="5"/>
    </row>
    <row r="38" spans="1:27" x14ac:dyDescent="0.25">
      <c r="A38" s="3">
        <v>44938</v>
      </c>
      <c r="B38">
        <v>78.39</v>
      </c>
      <c r="C38">
        <v>84.03</v>
      </c>
      <c r="D38">
        <v>3.6949999999999998</v>
      </c>
      <c r="E38">
        <v>3.2189999999999999</v>
      </c>
      <c r="F38">
        <v>905.5</v>
      </c>
      <c r="G38">
        <v>1898.8</v>
      </c>
      <c r="H38">
        <v>24.004000000000001</v>
      </c>
      <c r="I38">
        <v>4.1965000000000003</v>
      </c>
      <c r="J38">
        <v>241.1</v>
      </c>
      <c r="K38">
        <v>1.988</v>
      </c>
      <c r="L38">
        <v>1529.5</v>
      </c>
      <c r="M38">
        <v>63.25</v>
      </c>
      <c r="N38">
        <v>671</v>
      </c>
      <c r="O38">
        <v>149.4</v>
      </c>
      <c r="P38">
        <v>207.4</v>
      </c>
      <c r="Q38">
        <v>19.59</v>
      </c>
      <c r="R38">
        <v>101.995</v>
      </c>
      <c r="Y38" s="5"/>
      <c r="Z38" s="5"/>
      <c r="AA38" s="5"/>
    </row>
    <row r="39" spans="1:27" x14ac:dyDescent="0.25">
      <c r="A39" s="3">
        <v>44937</v>
      </c>
      <c r="B39">
        <v>77.41</v>
      </c>
      <c r="C39">
        <v>82.67</v>
      </c>
      <c r="D39">
        <v>3.6709999999999998</v>
      </c>
      <c r="E39">
        <v>3.2179000000000002</v>
      </c>
      <c r="F39">
        <v>905.5</v>
      </c>
      <c r="G39">
        <v>1878.9</v>
      </c>
      <c r="H39">
        <v>23.481000000000002</v>
      </c>
      <c r="I39">
        <v>4.1660000000000004</v>
      </c>
      <c r="J39">
        <v>237.75</v>
      </c>
      <c r="K39">
        <v>1.9890000000000001</v>
      </c>
      <c r="L39">
        <v>1515</v>
      </c>
      <c r="M39">
        <v>62.39</v>
      </c>
      <c r="N39">
        <v>656</v>
      </c>
      <c r="O39">
        <v>143.9</v>
      </c>
      <c r="P39">
        <v>207.6</v>
      </c>
      <c r="Q39">
        <v>19.649999999999999</v>
      </c>
      <c r="R39">
        <v>102.928</v>
      </c>
      <c r="Y39" s="5"/>
      <c r="Z39" s="5"/>
      <c r="AA39" s="5"/>
    </row>
    <row r="40" spans="1:27" x14ac:dyDescent="0.25">
      <c r="A40" s="3">
        <v>44936</v>
      </c>
      <c r="B40">
        <v>75.12</v>
      </c>
      <c r="C40">
        <v>80.099999999999994</v>
      </c>
      <c r="D40">
        <v>3.6389999999999998</v>
      </c>
      <c r="E40">
        <v>3.1356999999999999</v>
      </c>
      <c r="F40">
        <v>883.5</v>
      </c>
      <c r="G40">
        <v>1876.5</v>
      </c>
      <c r="H40">
        <v>23.664999999999999</v>
      </c>
      <c r="I40">
        <v>4.0774999999999997</v>
      </c>
      <c r="J40">
        <v>237.05</v>
      </c>
      <c r="K40">
        <v>1.99</v>
      </c>
      <c r="L40">
        <v>1510</v>
      </c>
      <c r="M40">
        <v>63.13</v>
      </c>
      <c r="N40">
        <v>655</v>
      </c>
      <c r="O40">
        <v>150.9</v>
      </c>
      <c r="P40">
        <v>208.65</v>
      </c>
      <c r="Q40">
        <v>19.64</v>
      </c>
      <c r="R40">
        <v>102.98</v>
      </c>
      <c r="Y40" s="5"/>
      <c r="Z40" s="5"/>
      <c r="AA40" s="5"/>
    </row>
    <row r="41" spans="1:27" x14ac:dyDescent="0.25">
      <c r="A41" s="3">
        <v>44935</v>
      </c>
      <c r="B41">
        <v>74.63</v>
      </c>
      <c r="C41">
        <v>79.650000000000006</v>
      </c>
      <c r="D41">
        <v>3.91</v>
      </c>
      <c r="E41">
        <v>3.036</v>
      </c>
      <c r="F41">
        <v>880.5</v>
      </c>
      <c r="G41">
        <v>1877.8</v>
      </c>
      <c r="H41">
        <v>23.870999999999999</v>
      </c>
      <c r="I41">
        <v>4.0265000000000004</v>
      </c>
      <c r="J41">
        <v>234.9</v>
      </c>
      <c r="K41">
        <v>2.008</v>
      </c>
      <c r="L41">
        <v>1503.5</v>
      </c>
      <c r="M41">
        <v>63.91</v>
      </c>
      <c r="N41">
        <v>652.75</v>
      </c>
      <c r="O41">
        <v>158.05000000000001</v>
      </c>
      <c r="P41">
        <v>208.9</v>
      </c>
      <c r="Q41">
        <v>19.170000000000002</v>
      </c>
      <c r="R41">
        <v>102.74299999999999</v>
      </c>
      <c r="Y41" s="5"/>
      <c r="Z41" s="5"/>
      <c r="AA41" s="5"/>
    </row>
    <row r="42" spans="1:27" x14ac:dyDescent="0.25">
      <c r="A42" s="3">
        <v>44934</v>
      </c>
      <c r="Y42" s="5"/>
      <c r="Z42" s="5"/>
      <c r="AA42" s="5"/>
    </row>
    <row r="43" spans="1:27" x14ac:dyDescent="0.25">
      <c r="A43" s="3">
        <v>44933</v>
      </c>
      <c r="Y43" s="5"/>
      <c r="Z43" s="5"/>
      <c r="AA43" s="5"/>
    </row>
    <row r="44" spans="1:27" x14ac:dyDescent="0.25">
      <c r="A44" s="3">
        <v>44932</v>
      </c>
      <c r="B44">
        <v>73.77</v>
      </c>
      <c r="C44">
        <v>78.569999999999993</v>
      </c>
      <c r="D44">
        <v>3.71</v>
      </c>
      <c r="E44">
        <v>3.0045000000000002</v>
      </c>
      <c r="F44">
        <v>880.25</v>
      </c>
      <c r="G44">
        <v>1869.7</v>
      </c>
      <c r="H44">
        <v>23.981999999999999</v>
      </c>
      <c r="I44">
        <v>3.911</v>
      </c>
      <c r="J44">
        <v>234.05</v>
      </c>
      <c r="K44">
        <v>1.972</v>
      </c>
      <c r="L44">
        <v>1501.5</v>
      </c>
      <c r="M44">
        <v>63.73</v>
      </c>
      <c r="N44">
        <v>654</v>
      </c>
      <c r="O44">
        <v>158.30000000000001</v>
      </c>
      <c r="P44">
        <v>208.7</v>
      </c>
      <c r="Q44">
        <v>18.96</v>
      </c>
      <c r="R44">
        <v>103.646</v>
      </c>
      <c r="Y44" s="5"/>
      <c r="Z44" s="5"/>
      <c r="AA44" s="5"/>
    </row>
    <row r="45" spans="1:27" x14ac:dyDescent="0.25">
      <c r="A45" s="3">
        <v>44931</v>
      </c>
      <c r="B45">
        <v>73.67</v>
      </c>
      <c r="C45">
        <v>78.69</v>
      </c>
      <c r="D45">
        <v>3.72</v>
      </c>
      <c r="E45">
        <v>2.9723000000000002</v>
      </c>
      <c r="F45">
        <v>860.25</v>
      </c>
      <c r="G45">
        <v>1840.6</v>
      </c>
      <c r="H45">
        <v>23.423999999999999</v>
      </c>
      <c r="I45">
        <v>3.8210000000000002</v>
      </c>
      <c r="J45">
        <v>277.58999999999997</v>
      </c>
      <c r="K45">
        <v>2.056</v>
      </c>
      <c r="L45">
        <v>1466.75</v>
      </c>
      <c r="M45">
        <v>62.94</v>
      </c>
      <c r="N45">
        <v>652.75</v>
      </c>
      <c r="O45">
        <v>160.55000000000001</v>
      </c>
      <c r="P45">
        <v>207.75</v>
      </c>
      <c r="Q45">
        <v>19.34</v>
      </c>
      <c r="R45">
        <v>104.828</v>
      </c>
      <c r="Y45" s="5"/>
      <c r="Z45" s="5"/>
      <c r="AA45" s="5"/>
    </row>
    <row r="46" spans="1:27" x14ac:dyDescent="0.25">
      <c r="A46" s="3">
        <v>44930</v>
      </c>
      <c r="B46">
        <v>72.84</v>
      </c>
      <c r="C46">
        <v>77.84</v>
      </c>
      <c r="D46">
        <v>4.1719999999999997</v>
      </c>
      <c r="E46">
        <v>2.9719000000000002</v>
      </c>
      <c r="F46">
        <v>842.75</v>
      </c>
      <c r="G46">
        <v>1859</v>
      </c>
      <c r="H46">
        <v>23.963999999999999</v>
      </c>
      <c r="I46">
        <v>3.7404999999999999</v>
      </c>
      <c r="J46">
        <v>279.47500000000002</v>
      </c>
      <c r="K46">
        <v>2.0499999999999998</v>
      </c>
      <c r="L46">
        <v>1478.25</v>
      </c>
      <c r="M46">
        <v>63.11</v>
      </c>
      <c r="N46">
        <v>653.75</v>
      </c>
      <c r="O46">
        <v>161.30000000000001</v>
      </c>
      <c r="P46">
        <v>205.45</v>
      </c>
      <c r="Q46">
        <v>19.54</v>
      </c>
      <c r="R46">
        <v>104.021</v>
      </c>
      <c r="Y46" s="5"/>
      <c r="Z46" s="5"/>
      <c r="AA46" s="5"/>
    </row>
    <row r="47" spans="1:27" x14ac:dyDescent="0.25">
      <c r="A47" s="3">
        <v>44929</v>
      </c>
      <c r="B47">
        <v>76.930000000000007</v>
      </c>
      <c r="C47">
        <v>82.1</v>
      </c>
      <c r="D47">
        <v>3.988</v>
      </c>
      <c r="E47">
        <v>3.0865</v>
      </c>
      <c r="F47">
        <v>900</v>
      </c>
      <c r="G47">
        <v>1846.1</v>
      </c>
      <c r="H47">
        <v>24.236000000000001</v>
      </c>
      <c r="I47">
        <v>3.7665000000000002</v>
      </c>
      <c r="J47">
        <v>279.47500000000002</v>
      </c>
      <c r="K47">
        <v>2.0499999999999998</v>
      </c>
      <c r="L47">
        <v>1487.25</v>
      </c>
      <c r="M47">
        <v>63.16</v>
      </c>
      <c r="N47">
        <v>670.5</v>
      </c>
      <c r="O47">
        <v>166.3</v>
      </c>
      <c r="P47">
        <v>203.7</v>
      </c>
      <c r="Q47">
        <v>19.7</v>
      </c>
      <c r="R47">
        <v>104.312</v>
      </c>
    </row>
    <row r="48" spans="1:27" x14ac:dyDescent="0.25">
      <c r="A48" s="3">
        <v>44928</v>
      </c>
    </row>
    <row r="49" spans="1:18" x14ac:dyDescent="0.25">
      <c r="A49" s="3">
        <v>44927</v>
      </c>
    </row>
    <row r="50" spans="1:18" x14ac:dyDescent="0.25">
      <c r="A50" s="3">
        <v>44926</v>
      </c>
    </row>
    <row r="51" spans="1:18" x14ac:dyDescent="0.25">
      <c r="A51" s="3">
        <v>44925</v>
      </c>
      <c r="B51">
        <v>80.260000000000005</v>
      </c>
      <c r="C51">
        <v>85.91</v>
      </c>
      <c r="D51">
        <v>4.4749999999999996</v>
      </c>
      <c r="E51">
        <v>3.3622000000000001</v>
      </c>
      <c r="F51">
        <v>921</v>
      </c>
      <c r="G51">
        <v>1826.2</v>
      </c>
      <c r="H51">
        <v>24.04</v>
      </c>
      <c r="I51">
        <v>3.8105000000000002</v>
      </c>
      <c r="J51">
        <v>279.47500000000002</v>
      </c>
      <c r="K51">
        <v>2.0499999999999998</v>
      </c>
      <c r="L51">
        <v>1519.25</v>
      </c>
      <c r="M51">
        <v>63.81</v>
      </c>
      <c r="N51">
        <v>678.5</v>
      </c>
      <c r="O51">
        <v>167.3</v>
      </c>
      <c r="P51">
        <v>206.4</v>
      </c>
      <c r="Q51">
        <v>20.04</v>
      </c>
      <c r="R51">
        <v>103.26900000000001</v>
      </c>
    </row>
    <row r="52" spans="1:18" x14ac:dyDescent="0.25">
      <c r="A52" s="3">
        <v>44924</v>
      </c>
      <c r="B52">
        <v>78.400000000000006</v>
      </c>
      <c r="C52">
        <v>82.26</v>
      </c>
      <c r="D52">
        <v>4.5590000000000002</v>
      </c>
      <c r="E52">
        <v>3.3130000000000002</v>
      </c>
      <c r="F52">
        <v>918.75</v>
      </c>
      <c r="G52">
        <v>1826</v>
      </c>
      <c r="H52">
        <v>24.25</v>
      </c>
      <c r="I52">
        <v>3.8239999999999998</v>
      </c>
      <c r="J52">
        <v>279.25</v>
      </c>
      <c r="K52">
        <v>2.0569999999999999</v>
      </c>
      <c r="L52">
        <v>1508.75</v>
      </c>
      <c r="M52">
        <v>66.400000000000006</v>
      </c>
      <c r="N52">
        <v>679.5</v>
      </c>
      <c r="O52">
        <v>170.05</v>
      </c>
      <c r="P52">
        <v>206.3</v>
      </c>
      <c r="Q52">
        <v>20.29</v>
      </c>
      <c r="R52">
        <v>103.586</v>
      </c>
    </row>
    <row r="53" spans="1:18" x14ac:dyDescent="0.25">
      <c r="A53" s="3">
        <v>44923</v>
      </c>
      <c r="B53">
        <v>78.959999999999994</v>
      </c>
      <c r="C53">
        <v>83.26</v>
      </c>
      <c r="D53">
        <v>4.7089999999999996</v>
      </c>
      <c r="E53">
        <v>3.3778000000000001</v>
      </c>
      <c r="F53">
        <v>920.5</v>
      </c>
      <c r="G53">
        <v>1815.8</v>
      </c>
      <c r="H53">
        <v>23.84</v>
      </c>
      <c r="I53">
        <v>3.8424999999999998</v>
      </c>
      <c r="J53">
        <v>279.25</v>
      </c>
      <c r="K53">
        <v>2.0579999999999998</v>
      </c>
      <c r="L53">
        <v>1506.5</v>
      </c>
      <c r="M53">
        <v>65.8</v>
      </c>
      <c r="N53">
        <v>682.75</v>
      </c>
      <c r="O53">
        <v>173.55</v>
      </c>
      <c r="P53">
        <v>203.2</v>
      </c>
      <c r="Q53">
        <v>20.16</v>
      </c>
      <c r="R53">
        <v>104.182</v>
      </c>
    </row>
    <row r="54" spans="1:18" x14ac:dyDescent="0.25">
      <c r="A54" s="3">
        <v>44922</v>
      </c>
      <c r="B54">
        <v>79.53</v>
      </c>
      <c r="C54">
        <v>84.33</v>
      </c>
      <c r="D54">
        <v>5.282</v>
      </c>
      <c r="E54">
        <v>3.3536999999999999</v>
      </c>
      <c r="F54">
        <v>969.75</v>
      </c>
      <c r="G54">
        <v>1823.1</v>
      </c>
      <c r="H54">
        <v>24.216999999999999</v>
      </c>
      <c r="I54">
        <v>3.8405</v>
      </c>
      <c r="J54">
        <v>279.25</v>
      </c>
      <c r="K54">
        <v>2.0590000000000002</v>
      </c>
      <c r="L54">
        <v>1482.25</v>
      </c>
      <c r="M54">
        <v>67.650000000000006</v>
      </c>
      <c r="N54">
        <v>674.75</v>
      </c>
      <c r="O54">
        <v>166.95</v>
      </c>
      <c r="P54">
        <v>204.5</v>
      </c>
      <c r="Q54">
        <v>20.32</v>
      </c>
      <c r="R54">
        <v>103.893</v>
      </c>
    </row>
    <row r="55" spans="1:18" x14ac:dyDescent="0.25">
      <c r="A55" s="3">
        <v>44921</v>
      </c>
    </row>
    <row r="56" spans="1:18" x14ac:dyDescent="0.25">
      <c r="A56" s="3">
        <v>44920</v>
      </c>
    </row>
    <row r="57" spans="1:18" x14ac:dyDescent="0.25">
      <c r="A57" s="3">
        <v>44919</v>
      </c>
    </row>
    <row r="58" spans="1:18" x14ac:dyDescent="0.25">
      <c r="A58" s="3">
        <v>44918</v>
      </c>
      <c r="B58">
        <v>79.56</v>
      </c>
      <c r="C58">
        <v>83.92</v>
      </c>
      <c r="D58">
        <v>5.0789999999999997</v>
      </c>
      <c r="E58">
        <v>3.2660999999999998</v>
      </c>
      <c r="F58">
        <v>907.5</v>
      </c>
      <c r="G58">
        <v>1804.2</v>
      </c>
      <c r="H58">
        <v>23.92</v>
      </c>
      <c r="I58">
        <v>3.8090000000000002</v>
      </c>
      <c r="J58">
        <v>279.47500000000002</v>
      </c>
      <c r="K58">
        <v>2.0609999999999999</v>
      </c>
      <c r="L58">
        <v>1479</v>
      </c>
      <c r="M58">
        <v>65.930000000000007</v>
      </c>
      <c r="N58">
        <v>666.25</v>
      </c>
      <c r="O58">
        <v>172</v>
      </c>
      <c r="P58">
        <v>206.75</v>
      </c>
      <c r="Q58">
        <v>20.98</v>
      </c>
      <c r="R58">
        <v>104.01</v>
      </c>
    </row>
    <row r="59" spans="1:18" x14ac:dyDescent="0.25">
      <c r="A59" s="3">
        <v>44917</v>
      </c>
      <c r="B59">
        <v>77.489999999999995</v>
      </c>
      <c r="C59">
        <v>80.98</v>
      </c>
      <c r="D59">
        <v>4.9989999999999997</v>
      </c>
      <c r="E59">
        <v>3.1314000000000002</v>
      </c>
      <c r="F59">
        <v>895</v>
      </c>
      <c r="G59">
        <v>1795.3</v>
      </c>
      <c r="H59">
        <v>23.622</v>
      </c>
      <c r="I59">
        <v>3.7570000000000001</v>
      </c>
      <c r="J59">
        <v>279.5</v>
      </c>
      <c r="K59">
        <v>2.0590000000000002</v>
      </c>
      <c r="L59">
        <v>1467.75</v>
      </c>
      <c r="M59">
        <v>65.8</v>
      </c>
      <c r="N59">
        <v>660.5</v>
      </c>
      <c r="O59">
        <v>168.9</v>
      </c>
      <c r="P59">
        <v>210.6</v>
      </c>
      <c r="Q59">
        <v>20.89</v>
      </c>
      <c r="R59">
        <v>104.127</v>
      </c>
    </row>
    <row r="60" spans="1:18" x14ac:dyDescent="0.25">
      <c r="A60" s="3">
        <v>44916</v>
      </c>
      <c r="B60">
        <v>78.290000000000006</v>
      </c>
      <c r="C60">
        <v>82.2</v>
      </c>
      <c r="D60">
        <v>5.3319999999999999</v>
      </c>
      <c r="E60">
        <v>3.1395</v>
      </c>
      <c r="F60">
        <v>891.25</v>
      </c>
      <c r="G60">
        <v>1825.4</v>
      </c>
      <c r="H60">
        <v>24.193999999999999</v>
      </c>
      <c r="I60">
        <v>3.81</v>
      </c>
      <c r="J60">
        <v>279.5</v>
      </c>
      <c r="K60">
        <v>2.0590000000000002</v>
      </c>
      <c r="L60">
        <v>1481</v>
      </c>
      <c r="M60">
        <v>66.31</v>
      </c>
      <c r="N60">
        <v>662.25</v>
      </c>
      <c r="O60">
        <v>169.35</v>
      </c>
      <c r="P60">
        <v>213.45</v>
      </c>
      <c r="Q60">
        <v>20.75</v>
      </c>
      <c r="R60">
        <v>103.84699999999999</v>
      </c>
    </row>
    <row r="61" spans="1:18" x14ac:dyDescent="0.25">
      <c r="A61" s="3">
        <v>44915</v>
      </c>
      <c r="B61">
        <v>76.09</v>
      </c>
      <c r="C61">
        <v>79.989999999999995</v>
      </c>
      <c r="D61">
        <v>5.3259999999999996</v>
      </c>
      <c r="E61">
        <v>3.0589</v>
      </c>
      <c r="F61">
        <v>867.75</v>
      </c>
      <c r="G61">
        <v>1825.4</v>
      </c>
      <c r="H61">
        <v>24.271000000000001</v>
      </c>
      <c r="I61">
        <v>3.7989999999999999</v>
      </c>
      <c r="J61">
        <v>279.67500000000001</v>
      </c>
      <c r="K61">
        <v>2.0499999999999998</v>
      </c>
      <c r="L61">
        <v>1478.5</v>
      </c>
      <c r="M61">
        <v>66.05</v>
      </c>
      <c r="N61">
        <v>652</v>
      </c>
      <c r="O61">
        <v>167.8</v>
      </c>
      <c r="P61">
        <v>208.3</v>
      </c>
      <c r="Q61">
        <v>20.58</v>
      </c>
      <c r="R61">
        <v>103.60599999999999</v>
      </c>
    </row>
    <row r="62" spans="1:18" x14ac:dyDescent="0.25">
      <c r="A62" s="3">
        <v>44914</v>
      </c>
      <c r="B62">
        <v>75.19</v>
      </c>
      <c r="C62">
        <v>79.8</v>
      </c>
      <c r="D62">
        <v>5.851</v>
      </c>
      <c r="E62">
        <v>3.0535000000000001</v>
      </c>
      <c r="F62">
        <v>879.75</v>
      </c>
      <c r="G62">
        <v>1797.7</v>
      </c>
      <c r="H62">
        <v>23.199000000000002</v>
      </c>
      <c r="I62">
        <v>3.7829999999999999</v>
      </c>
      <c r="J62">
        <v>281.52499999999998</v>
      </c>
      <c r="K62">
        <v>2.0510000000000002</v>
      </c>
      <c r="L62">
        <v>1460.75</v>
      </c>
      <c r="M62">
        <v>64.41</v>
      </c>
      <c r="N62">
        <v>647.25</v>
      </c>
      <c r="O62">
        <v>164.05</v>
      </c>
      <c r="P62">
        <v>208</v>
      </c>
      <c r="Q62">
        <v>20.14</v>
      </c>
      <c r="R62">
        <v>104.595</v>
      </c>
    </row>
    <row r="63" spans="1:18" x14ac:dyDescent="0.25">
      <c r="A63" s="3">
        <v>44913</v>
      </c>
    </row>
    <row r="64" spans="1:18" x14ac:dyDescent="0.25">
      <c r="A64" s="3">
        <v>44912</v>
      </c>
    </row>
    <row r="65" spans="1:18" x14ac:dyDescent="0.25">
      <c r="A65" s="3">
        <v>44911</v>
      </c>
      <c r="B65">
        <v>74.290000000000006</v>
      </c>
      <c r="C65">
        <v>79.040000000000006</v>
      </c>
      <c r="D65">
        <v>6.6</v>
      </c>
      <c r="E65">
        <v>3.1198999999999999</v>
      </c>
      <c r="F65">
        <v>886</v>
      </c>
      <c r="G65">
        <v>1800.2</v>
      </c>
      <c r="H65">
        <v>23.327999999999999</v>
      </c>
      <c r="I65">
        <v>3.7614999999999998</v>
      </c>
      <c r="J65">
        <v>284.45</v>
      </c>
      <c r="K65">
        <v>2.0499999999999998</v>
      </c>
      <c r="L65">
        <v>1480</v>
      </c>
      <c r="M65">
        <v>63.36</v>
      </c>
      <c r="N65">
        <v>653</v>
      </c>
      <c r="O65">
        <v>164.15</v>
      </c>
      <c r="P65">
        <v>210.25</v>
      </c>
      <c r="Q65">
        <v>20.09</v>
      </c>
      <c r="R65">
        <v>104.661</v>
      </c>
    </row>
    <row r="66" spans="1:18" x14ac:dyDescent="0.25">
      <c r="A66" s="3">
        <v>44910</v>
      </c>
      <c r="B66">
        <v>76.11</v>
      </c>
      <c r="C66">
        <v>81.209999999999994</v>
      </c>
      <c r="D66">
        <v>6.97</v>
      </c>
      <c r="E66">
        <v>3.2833999999999999</v>
      </c>
      <c r="F66">
        <v>922.25</v>
      </c>
      <c r="G66">
        <v>1787.8</v>
      </c>
      <c r="H66">
        <v>23.305</v>
      </c>
      <c r="I66">
        <v>3.7629999999999999</v>
      </c>
      <c r="J66">
        <v>282.375</v>
      </c>
      <c r="K66">
        <v>2.0529999999999999</v>
      </c>
      <c r="L66">
        <v>1473.5</v>
      </c>
      <c r="M66">
        <v>63.82</v>
      </c>
      <c r="N66">
        <v>653.5</v>
      </c>
      <c r="O66">
        <v>171.5</v>
      </c>
      <c r="P66">
        <v>207.2</v>
      </c>
      <c r="Q66">
        <v>19.98</v>
      </c>
      <c r="R66">
        <v>104.532</v>
      </c>
    </row>
    <row r="67" spans="1:18" x14ac:dyDescent="0.25">
      <c r="A67" s="3">
        <v>44909</v>
      </c>
      <c r="B67">
        <v>77.28</v>
      </c>
      <c r="C67">
        <v>82.7</v>
      </c>
      <c r="D67">
        <v>6.43</v>
      </c>
      <c r="E67">
        <v>3.2768000000000002</v>
      </c>
      <c r="F67">
        <v>922.75</v>
      </c>
      <c r="G67">
        <v>1818.7</v>
      </c>
      <c r="H67">
        <v>24.135999999999999</v>
      </c>
      <c r="I67">
        <v>3.8780000000000001</v>
      </c>
      <c r="J67">
        <v>278.42500000000001</v>
      </c>
      <c r="K67">
        <v>2.0539999999999998</v>
      </c>
      <c r="L67">
        <v>1482.25</v>
      </c>
      <c r="M67">
        <v>66.31</v>
      </c>
      <c r="N67">
        <v>639</v>
      </c>
      <c r="O67">
        <v>168.3</v>
      </c>
      <c r="P67">
        <v>210.2</v>
      </c>
      <c r="Q67">
        <v>20.29</v>
      </c>
      <c r="R67">
        <v>103.739</v>
      </c>
    </row>
    <row r="68" spans="1:18" x14ac:dyDescent="0.25">
      <c r="A68" s="3">
        <v>44908</v>
      </c>
      <c r="B68">
        <v>75.39</v>
      </c>
      <c r="C68">
        <v>80.680000000000007</v>
      </c>
      <c r="D68">
        <v>6.9349999999999996</v>
      </c>
      <c r="E68">
        <v>3.0922000000000001</v>
      </c>
      <c r="F68">
        <v>883.5</v>
      </c>
      <c r="G68">
        <v>1825.5</v>
      </c>
      <c r="H68">
        <v>23.99</v>
      </c>
      <c r="I68">
        <v>3.8420000000000001</v>
      </c>
      <c r="J68">
        <v>276.07499999999999</v>
      </c>
      <c r="K68">
        <v>2.0569999999999999</v>
      </c>
      <c r="L68">
        <v>1479.75</v>
      </c>
      <c r="M68">
        <v>66.31</v>
      </c>
      <c r="N68">
        <v>643.75</v>
      </c>
      <c r="O68">
        <v>167.15</v>
      </c>
      <c r="P68">
        <v>207.7</v>
      </c>
      <c r="Q68">
        <v>19.760000000000002</v>
      </c>
      <c r="R68">
        <v>103.943</v>
      </c>
    </row>
    <row r="69" spans="1:18" x14ac:dyDescent="0.25">
      <c r="A69" s="3">
        <v>44907</v>
      </c>
      <c r="B69">
        <v>73.17</v>
      </c>
      <c r="C69">
        <v>77.989999999999995</v>
      </c>
      <c r="D69">
        <v>6.5869999999999997</v>
      </c>
      <c r="E69">
        <v>2.9685000000000001</v>
      </c>
      <c r="F69">
        <v>820.75</v>
      </c>
      <c r="G69">
        <v>1792.3</v>
      </c>
      <c r="H69">
        <v>23.402999999999999</v>
      </c>
      <c r="I69">
        <v>3.8005</v>
      </c>
      <c r="J69">
        <v>276.60000000000002</v>
      </c>
      <c r="K69">
        <v>2.052</v>
      </c>
      <c r="L69">
        <v>1460.5</v>
      </c>
      <c r="M69">
        <v>64.39</v>
      </c>
      <c r="N69">
        <v>641.25</v>
      </c>
      <c r="O69">
        <v>166.35</v>
      </c>
      <c r="P69">
        <v>209.2</v>
      </c>
      <c r="Q69">
        <v>19.38</v>
      </c>
      <c r="R69">
        <v>105.104</v>
      </c>
    </row>
    <row r="70" spans="1:18" x14ac:dyDescent="0.25">
      <c r="A70" s="3">
        <v>44906</v>
      </c>
    </row>
    <row r="71" spans="1:18" x14ac:dyDescent="0.25">
      <c r="A71" s="3">
        <v>44905</v>
      </c>
    </row>
    <row r="72" spans="1:18" x14ac:dyDescent="0.25">
      <c r="A72" s="3">
        <v>44904</v>
      </c>
      <c r="B72">
        <v>71.02</v>
      </c>
      <c r="C72">
        <v>76.099999999999994</v>
      </c>
      <c r="D72">
        <v>6.2450000000000001</v>
      </c>
      <c r="E72">
        <v>2.7936999999999999</v>
      </c>
      <c r="F72">
        <v>820.75</v>
      </c>
      <c r="G72">
        <v>1810.7</v>
      </c>
      <c r="H72">
        <v>23.716999999999999</v>
      </c>
      <c r="I72">
        <v>3.8784999999999998</v>
      </c>
      <c r="J72">
        <v>276.75</v>
      </c>
      <c r="K72">
        <v>2.0569999999999999</v>
      </c>
      <c r="L72">
        <v>1483.75</v>
      </c>
      <c r="M72">
        <v>62.2</v>
      </c>
      <c r="N72">
        <v>634.75</v>
      </c>
      <c r="O72">
        <v>157.75</v>
      </c>
      <c r="P72">
        <v>215.15</v>
      </c>
      <c r="Q72">
        <v>19.600000000000001</v>
      </c>
      <c r="R72">
        <v>104.79900000000001</v>
      </c>
    </row>
    <row r="73" spans="1:18" x14ac:dyDescent="0.25">
      <c r="A73" s="3">
        <v>44903</v>
      </c>
      <c r="B73">
        <v>71.459999999999994</v>
      </c>
      <c r="C73">
        <v>76.150000000000006</v>
      </c>
      <c r="D73">
        <v>5.9619999999999997</v>
      </c>
      <c r="E73">
        <v>2.8797999999999999</v>
      </c>
      <c r="F73">
        <v>805.75</v>
      </c>
      <c r="G73">
        <v>1801.5</v>
      </c>
      <c r="H73">
        <v>23.245999999999999</v>
      </c>
      <c r="I73">
        <v>3.8835000000000002</v>
      </c>
      <c r="J73">
        <v>275.25</v>
      </c>
      <c r="K73">
        <v>2.04</v>
      </c>
      <c r="L73">
        <v>1486.25</v>
      </c>
      <c r="M73">
        <v>63.5</v>
      </c>
      <c r="N73">
        <v>632</v>
      </c>
      <c r="O73">
        <v>156.9</v>
      </c>
      <c r="P73">
        <v>224.25</v>
      </c>
      <c r="Q73">
        <v>19.68</v>
      </c>
      <c r="R73">
        <v>104.756</v>
      </c>
    </row>
    <row r="74" spans="1:18" x14ac:dyDescent="0.25">
      <c r="A74" s="3">
        <v>44902</v>
      </c>
      <c r="B74">
        <v>72.010000000000005</v>
      </c>
      <c r="C74">
        <v>77.17</v>
      </c>
      <c r="D74">
        <v>5.7229999999999999</v>
      </c>
      <c r="E74">
        <v>2.7805</v>
      </c>
      <c r="F74">
        <v>808.75</v>
      </c>
      <c r="G74">
        <v>1798</v>
      </c>
      <c r="H74">
        <v>22.922000000000001</v>
      </c>
      <c r="I74">
        <v>3.8605</v>
      </c>
      <c r="J74">
        <v>277.52499999999998</v>
      </c>
      <c r="K74">
        <v>2.0449999999999999</v>
      </c>
      <c r="L74">
        <v>1472</v>
      </c>
      <c r="M74">
        <v>63.15</v>
      </c>
      <c r="N74">
        <v>627.75</v>
      </c>
      <c r="O74">
        <v>157.69999999999999</v>
      </c>
      <c r="P74">
        <v>218.5</v>
      </c>
      <c r="Q74">
        <v>19.48</v>
      </c>
      <c r="R74">
        <v>105.056</v>
      </c>
    </row>
    <row r="75" spans="1:18" x14ac:dyDescent="0.25">
      <c r="A75" s="3">
        <v>44901</v>
      </c>
      <c r="B75">
        <v>74.25</v>
      </c>
      <c r="C75">
        <v>79.349999999999994</v>
      </c>
      <c r="D75">
        <v>5.4690000000000003</v>
      </c>
      <c r="E75">
        <v>2.9155000000000002</v>
      </c>
      <c r="F75">
        <v>822.25</v>
      </c>
      <c r="G75">
        <v>1782.4</v>
      </c>
      <c r="H75">
        <v>22.335000000000001</v>
      </c>
      <c r="I75">
        <v>3.8180000000000001</v>
      </c>
      <c r="J75">
        <v>279</v>
      </c>
      <c r="K75">
        <v>2.0449999999999999</v>
      </c>
      <c r="L75">
        <v>1455</v>
      </c>
      <c r="M75">
        <v>63.87</v>
      </c>
      <c r="N75">
        <v>625.5</v>
      </c>
      <c r="O75">
        <v>161.05000000000001</v>
      </c>
      <c r="P75">
        <v>208.5</v>
      </c>
      <c r="Q75">
        <v>19.39</v>
      </c>
      <c r="R75">
        <v>105.542</v>
      </c>
    </row>
    <row r="76" spans="1:18" x14ac:dyDescent="0.25">
      <c r="A76" s="3">
        <v>44900</v>
      </c>
      <c r="B76">
        <v>76.930000000000007</v>
      </c>
      <c r="C76">
        <v>82.68</v>
      </c>
      <c r="D76">
        <v>5.577</v>
      </c>
      <c r="E76">
        <v>2.9998</v>
      </c>
      <c r="F76">
        <v>893.5</v>
      </c>
      <c r="G76">
        <v>1781.3</v>
      </c>
      <c r="H76">
        <v>22.417000000000002</v>
      </c>
      <c r="I76">
        <v>3.7949999999999999</v>
      </c>
      <c r="J76">
        <v>275.125</v>
      </c>
      <c r="K76">
        <v>2.04</v>
      </c>
      <c r="L76">
        <v>1437.75</v>
      </c>
      <c r="M76">
        <v>64.900000000000006</v>
      </c>
      <c r="N76">
        <v>628.75</v>
      </c>
      <c r="O76">
        <v>160.15</v>
      </c>
      <c r="P76">
        <v>205.65</v>
      </c>
      <c r="Q76">
        <v>19.55</v>
      </c>
      <c r="R76">
        <v>105.239</v>
      </c>
    </row>
    <row r="77" spans="1:18" x14ac:dyDescent="0.25">
      <c r="A77" s="3">
        <v>44899</v>
      </c>
    </row>
    <row r="78" spans="1:18" x14ac:dyDescent="0.25">
      <c r="A78" s="3">
        <v>44898</v>
      </c>
    </row>
    <row r="79" spans="1:18" x14ac:dyDescent="0.25">
      <c r="A79" s="3">
        <v>44897</v>
      </c>
      <c r="B79">
        <v>79.98</v>
      </c>
      <c r="C79">
        <v>85.57</v>
      </c>
      <c r="D79">
        <v>6.2809999999999997</v>
      </c>
      <c r="E79">
        <v>3.1684999999999999</v>
      </c>
      <c r="F79">
        <v>912.25</v>
      </c>
      <c r="G79">
        <v>1809.6</v>
      </c>
      <c r="H79">
        <v>23.25</v>
      </c>
      <c r="I79">
        <v>3.8504999999999998</v>
      </c>
      <c r="J79">
        <v>272.75</v>
      </c>
      <c r="K79">
        <v>2.032</v>
      </c>
      <c r="L79">
        <v>1438.5</v>
      </c>
      <c r="M79">
        <v>67.59</v>
      </c>
      <c r="N79">
        <v>635</v>
      </c>
      <c r="O79">
        <v>160.15</v>
      </c>
      <c r="P79">
        <v>203.55</v>
      </c>
      <c r="Q79">
        <v>19.48</v>
      </c>
      <c r="R79">
        <v>104.5</v>
      </c>
    </row>
    <row r="80" spans="1:18" x14ac:dyDescent="0.25">
      <c r="A80" s="3">
        <v>44896</v>
      </c>
      <c r="B80">
        <v>81.22</v>
      </c>
      <c r="C80">
        <v>86.88</v>
      </c>
      <c r="D80">
        <v>6.7380000000000004</v>
      </c>
      <c r="E80">
        <v>3.2624</v>
      </c>
      <c r="F80">
        <v>952.75</v>
      </c>
      <c r="G80">
        <v>1815.2</v>
      </c>
      <c r="H80">
        <v>22.841000000000001</v>
      </c>
      <c r="I80">
        <v>3.8174999999999999</v>
      </c>
      <c r="J80">
        <v>270.5</v>
      </c>
      <c r="K80">
        <v>2.028</v>
      </c>
      <c r="L80">
        <v>1429.75</v>
      </c>
      <c r="M80">
        <v>68.400000000000006</v>
      </c>
      <c r="N80">
        <v>650</v>
      </c>
      <c r="O80">
        <v>163.35</v>
      </c>
      <c r="P80">
        <v>197.8</v>
      </c>
      <c r="Q80">
        <v>19.62</v>
      </c>
      <c r="R80">
        <v>104.68899999999999</v>
      </c>
    </row>
    <row r="81" spans="1:18" x14ac:dyDescent="0.25">
      <c r="A81" s="3">
        <v>44895</v>
      </c>
      <c r="B81">
        <v>80.55</v>
      </c>
      <c r="C81">
        <v>85.43</v>
      </c>
      <c r="D81">
        <v>6.93</v>
      </c>
      <c r="E81">
        <v>3.3628999999999998</v>
      </c>
      <c r="F81">
        <v>927.25</v>
      </c>
      <c r="G81">
        <v>1759.9</v>
      </c>
      <c r="H81">
        <v>21.780999999999999</v>
      </c>
      <c r="I81">
        <v>3.738</v>
      </c>
      <c r="J81">
        <v>295.60000000000002</v>
      </c>
      <c r="K81">
        <v>2.09</v>
      </c>
      <c r="L81">
        <v>1469.5</v>
      </c>
      <c r="M81">
        <v>75.23</v>
      </c>
      <c r="N81">
        <v>662</v>
      </c>
      <c r="O81">
        <v>167.7</v>
      </c>
      <c r="P81">
        <v>200.7</v>
      </c>
      <c r="Q81">
        <v>19.63</v>
      </c>
      <c r="R81">
        <v>105.89700000000001</v>
      </c>
    </row>
    <row r="82" spans="1:18" x14ac:dyDescent="0.25">
      <c r="A82" s="3">
        <v>44894</v>
      </c>
      <c r="B82">
        <v>78.2</v>
      </c>
      <c r="C82">
        <v>83.03</v>
      </c>
      <c r="D82">
        <v>7.2350000000000003</v>
      </c>
      <c r="E82">
        <v>3.2959000000000001</v>
      </c>
      <c r="F82">
        <v>892.25</v>
      </c>
      <c r="G82">
        <v>1763.7</v>
      </c>
      <c r="H82">
        <v>21.436</v>
      </c>
      <c r="I82">
        <v>3.6395</v>
      </c>
      <c r="J82">
        <v>295.75</v>
      </c>
      <c r="K82">
        <v>2.09</v>
      </c>
      <c r="L82">
        <v>1459.5</v>
      </c>
      <c r="M82">
        <v>76.540000000000006</v>
      </c>
      <c r="N82">
        <v>665.75</v>
      </c>
      <c r="O82">
        <v>166.7</v>
      </c>
      <c r="P82">
        <v>205.05</v>
      </c>
      <c r="Q82">
        <v>19.53</v>
      </c>
      <c r="R82">
        <v>106.768</v>
      </c>
    </row>
    <row r="83" spans="1:18" x14ac:dyDescent="0.25">
      <c r="A83" s="3">
        <v>44893</v>
      </c>
      <c r="B83">
        <v>77.239999999999995</v>
      </c>
      <c r="C83">
        <v>83.19</v>
      </c>
      <c r="D83">
        <v>6.7119999999999997</v>
      </c>
      <c r="E83">
        <v>3.2153999999999998</v>
      </c>
      <c r="F83">
        <v>887</v>
      </c>
      <c r="G83">
        <v>1740.3</v>
      </c>
      <c r="H83">
        <v>20.914999999999999</v>
      </c>
      <c r="I83">
        <v>3.6114999999999999</v>
      </c>
      <c r="J83">
        <v>296</v>
      </c>
      <c r="K83">
        <v>2.0910000000000002</v>
      </c>
      <c r="L83">
        <v>1457.25</v>
      </c>
      <c r="M83">
        <v>76.069999999999993</v>
      </c>
      <c r="N83">
        <v>668.75</v>
      </c>
      <c r="O83">
        <v>160.65</v>
      </c>
      <c r="P83">
        <v>206.65</v>
      </c>
      <c r="Q83">
        <v>19.38</v>
      </c>
      <c r="R83">
        <v>106.63200000000001</v>
      </c>
    </row>
    <row r="84" spans="1:18" x14ac:dyDescent="0.25">
      <c r="A84" s="3">
        <v>44892</v>
      </c>
    </row>
    <row r="85" spans="1:18" x14ac:dyDescent="0.25">
      <c r="A85" s="3">
        <v>44891</v>
      </c>
    </row>
    <row r="86" spans="1:18" x14ac:dyDescent="0.25">
      <c r="A86" s="3">
        <v>44890</v>
      </c>
      <c r="B86">
        <v>76.28</v>
      </c>
      <c r="C86">
        <v>83.63</v>
      </c>
      <c r="D86">
        <v>7.024</v>
      </c>
      <c r="E86">
        <v>3.2391000000000001</v>
      </c>
      <c r="F86">
        <v>916.25</v>
      </c>
      <c r="G86">
        <v>1754</v>
      </c>
      <c r="H86">
        <v>21.43</v>
      </c>
      <c r="I86">
        <v>3.6274999999999999</v>
      </c>
      <c r="J86">
        <v>296</v>
      </c>
      <c r="K86">
        <v>2.0910000000000002</v>
      </c>
      <c r="L86">
        <v>1436.25</v>
      </c>
      <c r="M86">
        <v>74.52</v>
      </c>
      <c r="N86">
        <v>668</v>
      </c>
      <c r="O86">
        <v>163.55000000000001</v>
      </c>
      <c r="P86">
        <v>210.8</v>
      </c>
      <c r="Q86">
        <v>19.329999999999998</v>
      </c>
      <c r="R86">
        <v>105.917</v>
      </c>
    </row>
    <row r="87" spans="1:18" x14ac:dyDescent="0.25">
      <c r="A87" s="3">
        <v>44889</v>
      </c>
      <c r="C87">
        <v>85.34</v>
      </c>
      <c r="F87">
        <v>921.25</v>
      </c>
    </row>
    <row r="88" spans="1:18" x14ac:dyDescent="0.25">
      <c r="A88" s="3">
        <v>44888</v>
      </c>
      <c r="B88">
        <v>77.94</v>
      </c>
      <c r="C88">
        <v>85.41</v>
      </c>
      <c r="D88">
        <v>7.3079999999999998</v>
      </c>
      <c r="E88">
        <v>3.3593000000000002</v>
      </c>
      <c r="F88">
        <v>926.25</v>
      </c>
      <c r="G88">
        <v>1745.6</v>
      </c>
      <c r="H88">
        <v>21.367000000000001</v>
      </c>
      <c r="I88">
        <v>3.6179999999999999</v>
      </c>
      <c r="J88">
        <v>296</v>
      </c>
      <c r="K88">
        <v>2.0910000000000002</v>
      </c>
      <c r="L88">
        <v>1436</v>
      </c>
      <c r="M88">
        <v>74.91</v>
      </c>
      <c r="N88">
        <v>663.25</v>
      </c>
      <c r="O88">
        <v>160.1</v>
      </c>
      <c r="P88">
        <v>206.4</v>
      </c>
      <c r="Q88">
        <v>19.55</v>
      </c>
      <c r="R88">
        <v>105.967</v>
      </c>
    </row>
    <row r="89" spans="1:18" x14ac:dyDescent="0.25">
      <c r="A89" s="3">
        <v>44887</v>
      </c>
      <c r="B89">
        <v>80.95</v>
      </c>
      <c r="C89">
        <v>88.36</v>
      </c>
      <c r="D89">
        <v>6.7789999999999999</v>
      </c>
      <c r="E89">
        <v>3.4712999999999998</v>
      </c>
      <c r="F89">
        <v>943.25</v>
      </c>
      <c r="G89">
        <v>1739.9</v>
      </c>
      <c r="H89">
        <v>21.048999999999999</v>
      </c>
      <c r="I89">
        <v>3.6145</v>
      </c>
      <c r="J89">
        <v>296.7</v>
      </c>
      <c r="K89">
        <v>2.09</v>
      </c>
      <c r="L89">
        <v>1429.75</v>
      </c>
      <c r="M89">
        <v>73.84</v>
      </c>
      <c r="N89">
        <v>656.75</v>
      </c>
      <c r="O89">
        <v>161.80000000000001</v>
      </c>
      <c r="P89">
        <v>207.35</v>
      </c>
      <c r="Q89">
        <v>19.739999999999998</v>
      </c>
      <c r="R89">
        <v>107.11499999999999</v>
      </c>
    </row>
    <row r="90" spans="1:18" x14ac:dyDescent="0.25">
      <c r="A90" s="3">
        <v>44886</v>
      </c>
      <c r="B90">
        <v>79.73</v>
      </c>
      <c r="C90">
        <v>87.45</v>
      </c>
      <c r="D90">
        <v>6.7759999999999998</v>
      </c>
      <c r="E90">
        <v>3.4973000000000001</v>
      </c>
      <c r="F90">
        <v>916.75</v>
      </c>
      <c r="G90">
        <v>1739.6</v>
      </c>
      <c r="H90">
        <v>20.872</v>
      </c>
      <c r="I90">
        <v>3.5714999999999999</v>
      </c>
      <c r="J90">
        <v>296.10000000000002</v>
      </c>
      <c r="K90">
        <v>2.09</v>
      </c>
      <c r="L90">
        <v>1436.75</v>
      </c>
      <c r="M90">
        <v>73</v>
      </c>
      <c r="N90">
        <v>659.5</v>
      </c>
      <c r="O90">
        <v>157.5</v>
      </c>
      <c r="P90">
        <v>205.75</v>
      </c>
      <c r="Q90">
        <v>19.86</v>
      </c>
      <c r="R90">
        <v>107.732</v>
      </c>
    </row>
    <row r="91" spans="1:18" x14ac:dyDescent="0.25">
      <c r="A91" s="3">
        <v>44885</v>
      </c>
    </row>
    <row r="92" spans="1:18" x14ac:dyDescent="0.25">
      <c r="A92" s="3">
        <v>44884</v>
      </c>
    </row>
    <row r="93" spans="1:18" x14ac:dyDescent="0.25">
      <c r="A93" s="3">
        <v>44883</v>
      </c>
      <c r="B93">
        <v>80.08</v>
      </c>
      <c r="C93">
        <v>87.62</v>
      </c>
      <c r="D93">
        <v>6.3029999999999999</v>
      </c>
      <c r="E93">
        <v>3.5181</v>
      </c>
      <c r="F93">
        <v>946</v>
      </c>
      <c r="G93">
        <v>1754.4</v>
      </c>
      <c r="H93">
        <v>20.997</v>
      </c>
      <c r="I93">
        <v>3.6320000000000001</v>
      </c>
      <c r="J93">
        <v>296.07499999999999</v>
      </c>
      <c r="K93">
        <v>2.09</v>
      </c>
      <c r="L93">
        <v>1428.25</v>
      </c>
      <c r="M93">
        <v>72.739999999999995</v>
      </c>
      <c r="N93">
        <v>667.75</v>
      </c>
      <c r="O93">
        <v>151.30000000000001</v>
      </c>
      <c r="P93">
        <v>201.15</v>
      </c>
      <c r="Q93">
        <v>20.05</v>
      </c>
      <c r="R93">
        <v>106.82599999999999</v>
      </c>
    </row>
    <row r="94" spans="1:18" x14ac:dyDescent="0.25">
      <c r="A94" s="3">
        <v>44882</v>
      </c>
      <c r="B94">
        <v>81.64</v>
      </c>
      <c r="C94">
        <v>89.78</v>
      </c>
      <c r="D94">
        <v>6.3689999999999998</v>
      </c>
      <c r="E94">
        <v>3.5247999999999999</v>
      </c>
      <c r="F94">
        <v>956</v>
      </c>
      <c r="G94">
        <v>1763</v>
      </c>
      <c r="H94">
        <v>20.975000000000001</v>
      </c>
      <c r="I94">
        <v>3.6880000000000002</v>
      </c>
      <c r="J94">
        <v>296</v>
      </c>
      <c r="K94">
        <v>2.0910000000000002</v>
      </c>
      <c r="L94">
        <v>1417</v>
      </c>
      <c r="M94">
        <v>72.13</v>
      </c>
      <c r="N94">
        <v>667.5</v>
      </c>
      <c r="O94">
        <v>152.69999999999999</v>
      </c>
      <c r="P94">
        <v>201</v>
      </c>
      <c r="Q94">
        <v>19.73</v>
      </c>
      <c r="R94">
        <v>106.592</v>
      </c>
    </row>
    <row r="95" spans="1:18" x14ac:dyDescent="0.25">
      <c r="A95" s="3">
        <v>44881</v>
      </c>
      <c r="B95">
        <v>85.59</v>
      </c>
      <c r="C95">
        <v>92.86</v>
      </c>
      <c r="D95">
        <v>6.2</v>
      </c>
      <c r="E95">
        <v>3.6135999999999999</v>
      </c>
      <c r="F95">
        <v>991.75</v>
      </c>
      <c r="G95">
        <v>1775.8</v>
      </c>
      <c r="H95">
        <v>21.524000000000001</v>
      </c>
      <c r="I95">
        <v>3.7734999999999999</v>
      </c>
      <c r="J95">
        <v>296</v>
      </c>
      <c r="K95">
        <v>2.0920000000000001</v>
      </c>
      <c r="L95">
        <v>1429.25</v>
      </c>
      <c r="M95">
        <v>74.08</v>
      </c>
      <c r="N95">
        <v>665.25</v>
      </c>
      <c r="O95">
        <v>155.44999999999999</v>
      </c>
      <c r="P95">
        <v>202.65</v>
      </c>
      <c r="Q95">
        <v>20.27</v>
      </c>
      <c r="R95">
        <v>106.152</v>
      </c>
    </row>
    <row r="96" spans="1:18" x14ac:dyDescent="0.25">
      <c r="A96" s="3">
        <v>44880</v>
      </c>
      <c r="B96">
        <v>86.92</v>
      </c>
      <c r="C96">
        <v>93.86</v>
      </c>
      <c r="D96">
        <v>6.0339999999999998</v>
      </c>
      <c r="E96">
        <v>3.6413000000000002</v>
      </c>
      <c r="F96">
        <v>990.25</v>
      </c>
      <c r="G96">
        <v>1776.8</v>
      </c>
      <c r="H96">
        <v>21.518000000000001</v>
      </c>
      <c r="I96">
        <v>3.82</v>
      </c>
      <c r="J96">
        <v>294</v>
      </c>
      <c r="K96">
        <v>2.0859999999999999</v>
      </c>
      <c r="L96">
        <v>1457.25</v>
      </c>
      <c r="M96">
        <v>76.98</v>
      </c>
      <c r="N96">
        <v>666.75</v>
      </c>
      <c r="O96">
        <v>156.75</v>
      </c>
      <c r="P96">
        <v>198</v>
      </c>
      <c r="Q96">
        <v>20.29</v>
      </c>
      <c r="R96">
        <v>106.295</v>
      </c>
    </row>
    <row r="97" spans="1:18" x14ac:dyDescent="0.25">
      <c r="A97" s="3">
        <v>44879</v>
      </c>
      <c r="B97">
        <v>85.87</v>
      </c>
      <c r="C97">
        <v>93.14</v>
      </c>
      <c r="D97">
        <v>5.9329999999999998</v>
      </c>
      <c r="E97">
        <v>3.544</v>
      </c>
      <c r="F97">
        <v>991.75</v>
      </c>
      <c r="G97">
        <v>1776.9</v>
      </c>
      <c r="H97">
        <v>22.113</v>
      </c>
      <c r="I97">
        <v>3.8334999999999999</v>
      </c>
      <c r="J97">
        <v>288.75</v>
      </c>
      <c r="K97">
        <v>2.0859999999999999</v>
      </c>
      <c r="L97">
        <v>1441.75</v>
      </c>
      <c r="M97">
        <v>76.28</v>
      </c>
      <c r="N97">
        <v>657.25</v>
      </c>
      <c r="O97">
        <v>166.2</v>
      </c>
      <c r="P97">
        <v>194.95</v>
      </c>
      <c r="Q97">
        <v>19.829999999999998</v>
      </c>
      <c r="R97">
        <v>106.53100000000001</v>
      </c>
    </row>
    <row r="98" spans="1:18" x14ac:dyDescent="0.25">
      <c r="A98" s="3">
        <v>44878</v>
      </c>
    </row>
    <row r="99" spans="1:18" x14ac:dyDescent="0.25">
      <c r="A99" s="3">
        <v>44877</v>
      </c>
    </row>
    <row r="100" spans="1:18" x14ac:dyDescent="0.25">
      <c r="A100" s="3">
        <v>44876</v>
      </c>
      <c r="B100">
        <v>88.86</v>
      </c>
      <c r="C100">
        <v>95.99</v>
      </c>
      <c r="D100">
        <v>5.9020000000000001</v>
      </c>
      <c r="E100">
        <v>3.5886</v>
      </c>
      <c r="F100">
        <v>987.75</v>
      </c>
      <c r="G100">
        <v>1769.4</v>
      </c>
      <c r="H100">
        <v>21.667000000000002</v>
      </c>
      <c r="I100">
        <v>3.9135</v>
      </c>
      <c r="J100">
        <v>288.75</v>
      </c>
      <c r="K100">
        <v>2.09</v>
      </c>
      <c r="L100">
        <v>1455.5</v>
      </c>
      <c r="M100">
        <v>76.97</v>
      </c>
      <c r="N100">
        <v>658</v>
      </c>
      <c r="O100">
        <v>170.1</v>
      </c>
      <c r="P100">
        <v>203.3</v>
      </c>
      <c r="Q100">
        <v>19.64</v>
      </c>
      <c r="R100">
        <v>106.164</v>
      </c>
    </row>
    <row r="101" spans="1:18" x14ac:dyDescent="0.25">
      <c r="A101" s="3">
        <v>44875</v>
      </c>
      <c r="B101">
        <v>86.47</v>
      </c>
      <c r="C101">
        <v>93.67</v>
      </c>
      <c r="D101">
        <v>6.2389999999999999</v>
      </c>
      <c r="E101">
        <v>3.5693999999999999</v>
      </c>
      <c r="F101">
        <v>1028.5</v>
      </c>
      <c r="G101">
        <v>1753.7</v>
      </c>
      <c r="H101">
        <v>21.702000000000002</v>
      </c>
      <c r="I101">
        <v>3.758</v>
      </c>
      <c r="J101">
        <v>287.97500000000002</v>
      </c>
      <c r="K101">
        <v>2.0840000000000001</v>
      </c>
      <c r="L101">
        <v>1430.5</v>
      </c>
      <c r="M101">
        <v>76.09</v>
      </c>
      <c r="N101">
        <v>653.25</v>
      </c>
      <c r="O101">
        <v>171</v>
      </c>
      <c r="P101">
        <v>208.2</v>
      </c>
      <c r="Q101">
        <v>19.41</v>
      </c>
      <c r="R101">
        <v>108.092</v>
      </c>
    </row>
    <row r="102" spans="1:18" x14ac:dyDescent="0.25">
      <c r="A102" s="3">
        <v>44874</v>
      </c>
      <c r="B102">
        <v>85.83</v>
      </c>
      <c r="C102">
        <v>92.65</v>
      </c>
      <c r="D102">
        <v>5.8650000000000002</v>
      </c>
      <c r="E102">
        <v>3.6562999999999999</v>
      </c>
      <c r="F102">
        <v>1028.5</v>
      </c>
      <c r="G102">
        <v>1713.7</v>
      </c>
      <c r="H102">
        <v>21.327000000000002</v>
      </c>
      <c r="I102">
        <v>3.7</v>
      </c>
      <c r="J102">
        <v>287.97500000000002</v>
      </c>
      <c r="K102">
        <v>2.09</v>
      </c>
      <c r="L102">
        <v>1459.75</v>
      </c>
      <c r="M102">
        <v>75.540000000000006</v>
      </c>
      <c r="N102">
        <v>664.5</v>
      </c>
      <c r="O102">
        <v>165.15</v>
      </c>
      <c r="P102">
        <v>228.85</v>
      </c>
      <c r="Q102">
        <v>19.38</v>
      </c>
      <c r="R102">
        <v>110.46</v>
      </c>
    </row>
    <row r="103" spans="1:18" x14ac:dyDescent="0.25">
      <c r="A103" s="3">
        <v>44873</v>
      </c>
      <c r="B103">
        <v>88.91</v>
      </c>
      <c r="C103">
        <v>95.36</v>
      </c>
      <c r="D103">
        <v>6.1379999999999999</v>
      </c>
      <c r="E103">
        <v>3.7707000000000002</v>
      </c>
      <c r="F103">
        <v>1067.25</v>
      </c>
      <c r="G103">
        <v>1716</v>
      </c>
      <c r="H103">
        <v>21.501999999999999</v>
      </c>
      <c r="I103">
        <v>3.6825000000000001</v>
      </c>
      <c r="J103">
        <v>284.5</v>
      </c>
      <c r="K103">
        <v>2.0790000000000002</v>
      </c>
      <c r="L103">
        <v>1444</v>
      </c>
      <c r="M103">
        <v>75.03</v>
      </c>
      <c r="N103">
        <v>667.5</v>
      </c>
      <c r="O103">
        <v>166.45</v>
      </c>
      <c r="P103">
        <v>225.8</v>
      </c>
      <c r="Q103">
        <v>19</v>
      </c>
      <c r="R103">
        <v>109.542</v>
      </c>
    </row>
    <row r="104" spans="1:18" x14ac:dyDescent="0.25">
      <c r="A104" s="3">
        <v>44872</v>
      </c>
      <c r="B104">
        <v>91.79</v>
      </c>
      <c r="C104">
        <v>97.92</v>
      </c>
      <c r="D104">
        <v>6.944</v>
      </c>
      <c r="E104">
        <v>3.7810999999999999</v>
      </c>
      <c r="F104">
        <v>1096.5</v>
      </c>
      <c r="G104">
        <v>1680.5</v>
      </c>
      <c r="H104">
        <v>20.919</v>
      </c>
      <c r="I104">
        <v>3.6034999999999999</v>
      </c>
      <c r="J104">
        <v>286.02499999999998</v>
      </c>
      <c r="K104">
        <v>2.0699999999999998</v>
      </c>
      <c r="L104">
        <v>1440</v>
      </c>
      <c r="M104">
        <v>76.33</v>
      </c>
      <c r="N104">
        <v>675.75</v>
      </c>
      <c r="O104">
        <v>170.55</v>
      </c>
      <c r="P104">
        <v>230.8</v>
      </c>
      <c r="Q104">
        <v>18.68</v>
      </c>
      <c r="R104">
        <v>109.99299999999999</v>
      </c>
    </row>
    <row r="105" spans="1:18" x14ac:dyDescent="0.25">
      <c r="A105" s="3">
        <v>44871</v>
      </c>
    </row>
    <row r="106" spans="1:18" x14ac:dyDescent="0.25">
      <c r="A106" s="3">
        <v>44870</v>
      </c>
    </row>
    <row r="107" spans="1:18" x14ac:dyDescent="0.25">
      <c r="A107" s="3">
        <v>44869</v>
      </c>
      <c r="B107">
        <v>92.6</v>
      </c>
      <c r="C107">
        <v>98.57</v>
      </c>
      <c r="D107">
        <v>6.4589999999999996</v>
      </c>
      <c r="E107">
        <v>3.8938000000000001</v>
      </c>
      <c r="F107">
        <v>1115</v>
      </c>
      <c r="G107">
        <v>1676.6</v>
      </c>
      <c r="H107">
        <v>20.783999999999999</v>
      </c>
      <c r="I107">
        <v>3.6865000000000001</v>
      </c>
      <c r="J107">
        <v>281</v>
      </c>
      <c r="K107">
        <v>2.077</v>
      </c>
      <c r="L107">
        <v>1451.5</v>
      </c>
      <c r="M107">
        <v>77.17</v>
      </c>
      <c r="N107">
        <v>681</v>
      </c>
      <c r="O107">
        <v>175.75</v>
      </c>
      <c r="P107">
        <v>227.8</v>
      </c>
      <c r="Q107">
        <v>18.71</v>
      </c>
      <c r="R107">
        <v>110.774</v>
      </c>
    </row>
    <row r="108" spans="1:18" x14ac:dyDescent="0.25">
      <c r="A108" s="3">
        <v>44868</v>
      </c>
      <c r="B108">
        <v>88.17</v>
      </c>
      <c r="C108">
        <v>94.67</v>
      </c>
      <c r="D108">
        <v>5.9749999999999996</v>
      </c>
      <c r="E108">
        <v>3.8653</v>
      </c>
      <c r="F108">
        <v>1107.25</v>
      </c>
      <c r="G108">
        <v>1630.9</v>
      </c>
      <c r="H108">
        <v>19.43</v>
      </c>
      <c r="I108">
        <v>3.427</v>
      </c>
      <c r="J108">
        <v>273.5</v>
      </c>
      <c r="K108">
        <v>2.085</v>
      </c>
      <c r="L108">
        <v>1426.75</v>
      </c>
      <c r="M108">
        <v>75.290000000000006</v>
      </c>
      <c r="N108">
        <v>679.25</v>
      </c>
      <c r="O108">
        <v>172.2</v>
      </c>
      <c r="P108">
        <v>221.15</v>
      </c>
      <c r="Q108">
        <v>18.47</v>
      </c>
      <c r="R108">
        <v>112.804</v>
      </c>
    </row>
    <row r="109" spans="1:18" x14ac:dyDescent="0.25">
      <c r="A109" s="3">
        <v>44867</v>
      </c>
      <c r="B109">
        <v>90</v>
      </c>
      <c r="C109">
        <v>96.16</v>
      </c>
      <c r="D109">
        <v>6.2679999999999998</v>
      </c>
      <c r="E109">
        <v>3.6774</v>
      </c>
      <c r="F109">
        <v>1054.25</v>
      </c>
      <c r="G109">
        <v>1650</v>
      </c>
      <c r="H109">
        <v>19.594000000000001</v>
      </c>
      <c r="I109">
        <v>3.4685000000000001</v>
      </c>
      <c r="J109">
        <v>319.11</v>
      </c>
      <c r="K109">
        <v>2.1560000000000001</v>
      </c>
      <c r="L109">
        <v>1440</v>
      </c>
      <c r="M109">
        <v>75.61</v>
      </c>
      <c r="N109">
        <v>687.5</v>
      </c>
      <c r="O109">
        <v>182.15</v>
      </c>
      <c r="P109">
        <v>209.4</v>
      </c>
      <c r="Q109">
        <v>18.47</v>
      </c>
      <c r="R109">
        <v>111.226</v>
      </c>
    </row>
    <row r="110" spans="1:18" x14ac:dyDescent="0.25">
      <c r="A110" s="3">
        <v>44866</v>
      </c>
      <c r="B110">
        <v>88.37</v>
      </c>
      <c r="C110">
        <v>94.65</v>
      </c>
      <c r="D110">
        <v>5.7140000000000004</v>
      </c>
      <c r="E110">
        <v>3.6211000000000002</v>
      </c>
      <c r="F110">
        <v>1047.5</v>
      </c>
      <c r="G110">
        <v>1649.7</v>
      </c>
      <c r="H110">
        <v>19.667000000000002</v>
      </c>
      <c r="I110">
        <v>3.4725000000000001</v>
      </c>
      <c r="J110">
        <v>321.07499999999999</v>
      </c>
      <c r="K110">
        <v>2.157</v>
      </c>
      <c r="L110">
        <v>1435.75</v>
      </c>
      <c r="M110">
        <v>73.37</v>
      </c>
      <c r="N110">
        <v>697.75</v>
      </c>
      <c r="O110">
        <v>174.6</v>
      </c>
      <c r="P110">
        <v>207.7</v>
      </c>
      <c r="Q110">
        <v>18.43</v>
      </c>
      <c r="R110">
        <v>111.35899999999999</v>
      </c>
    </row>
    <row r="111" spans="1:18" x14ac:dyDescent="0.25">
      <c r="A111" s="3">
        <v>44865</v>
      </c>
      <c r="B111">
        <v>86.53</v>
      </c>
      <c r="C111">
        <v>94.83</v>
      </c>
      <c r="D111">
        <v>6.3550000000000004</v>
      </c>
      <c r="E111">
        <v>4.1909000000000001</v>
      </c>
      <c r="F111">
        <v>1100.25</v>
      </c>
      <c r="G111">
        <v>1640.7</v>
      </c>
      <c r="H111">
        <v>19.119</v>
      </c>
      <c r="I111">
        <v>3.375</v>
      </c>
      <c r="J111">
        <v>321.05</v>
      </c>
      <c r="K111">
        <v>2.1579999999999999</v>
      </c>
      <c r="L111">
        <v>1407</v>
      </c>
      <c r="M111">
        <v>73.209999999999994</v>
      </c>
      <c r="N111">
        <v>691.5</v>
      </c>
      <c r="O111">
        <v>177.7</v>
      </c>
      <c r="P111">
        <v>206.35</v>
      </c>
      <c r="Q111">
        <v>17.97</v>
      </c>
      <c r="R111">
        <v>111.42</v>
      </c>
    </row>
    <row r="112" spans="1:18" x14ac:dyDescent="0.25">
      <c r="A112" s="3">
        <v>44864</v>
      </c>
    </row>
    <row r="113" spans="1:18" x14ac:dyDescent="0.25">
      <c r="A113" s="3">
        <v>44863</v>
      </c>
    </row>
    <row r="114" spans="1:18" x14ac:dyDescent="0.25">
      <c r="A114" s="3">
        <v>44862</v>
      </c>
      <c r="B114">
        <v>87.9</v>
      </c>
      <c r="C114">
        <v>95.77</v>
      </c>
      <c r="D114">
        <v>5.8</v>
      </c>
      <c r="E114">
        <v>4.6520000000000001</v>
      </c>
      <c r="F114">
        <v>1133.5</v>
      </c>
      <c r="G114">
        <v>1644.8</v>
      </c>
      <c r="H114">
        <v>19.146999999999998</v>
      </c>
      <c r="I114">
        <v>3.4289999999999998</v>
      </c>
      <c r="J114">
        <v>321.02499999999998</v>
      </c>
      <c r="K114">
        <v>2.1579999999999999</v>
      </c>
      <c r="L114">
        <v>1387.75</v>
      </c>
      <c r="M114">
        <v>71.790000000000006</v>
      </c>
      <c r="N114">
        <v>680.75</v>
      </c>
      <c r="O114">
        <v>169.8</v>
      </c>
      <c r="P114">
        <v>207.2</v>
      </c>
      <c r="Q114">
        <v>17.579999999999998</v>
      </c>
      <c r="R114">
        <v>110.60599999999999</v>
      </c>
    </row>
    <row r="115" spans="1:18" x14ac:dyDescent="0.25">
      <c r="A115" s="3">
        <v>44861</v>
      </c>
      <c r="B115">
        <v>89.08</v>
      </c>
      <c r="C115">
        <v>96.96</v>
      </c>
      <c r="D115">
        <v>5.1859999999999999</v>
      </c>
      <c r="E115">
        <v>4.3338999999999999</v>
      </c>
      <c r="F115">
        <v>1110.5</v>
      </c>
      <c r="G115">
        <v>1665.6</v>
      </c>
      <c r="H115">
        <v>19.494</v>
      </c>
      <c r="I115">
        <v>3.5194999999999999</v>
      </c>
      <c r="J115">
        <v>320.89999999999998</v>
      </c>
      <c r="K115">
        <v>2.1589999999999998</v>
      </c>
      <c r="L115">
        <v>1382.25</v>
      </c>
      <c r="M115">
        <v>72.3</v>
      </c>
      <c r="N115">
        <v>682.25</v>
      </c>
      <c r="O115">
        <v>178.85</v>
      </c>
      <c r="P115">
        <v>206.95</v>
      </c>
      <c r="Q115">
        <v>17.71</v>
      </c>
      <c r="R115">
        <v>110.453</v>
      </c>
    </row>
    <row r="116" spans="1:18" x14ac:dyDescent="0.25">
      <c r="A116" s="3">
        <v>44860</v>
      </c>
      <c r="B116">
        <v>87.91</v>
      </c>
      <c r="C116">
        <v>95.69</v>
      </c>
      <c r="D116">
        <v>5.6059999999999999</v>
      </c>
      <c r="E116">
        <v>4.1200999999999999</v>
      </c>
      <c r="F116">
        <v>1105.25</v>
      </c>
      <c r="G116">
        <v>1669.2</v>
      </c>
      <c r="H116">
        <v>19.486000000000001</v>
      </c>
      <c r="I116">
        <v>3.5449999999999999</v>
      </c>
      <c r="J116">
        <v>320.2</v>
      </c>
      <c r="K116">
        <v>2.16</v>
      </c>
      <c r="L116">
        <v>1381.75</v>
      </c>
      <c r="M116">
        <v>73.42</v>
      </c>
      <c r="N116">
        <v>685</v>
      </c>
      <c r="O116">
        <v>179.75</v>
      </c>
      <c r="P116">
        <v>216.15</v>
      </c>
      <c r="Q116">
        <v>17.86</v>
      </c>
      <c r="R116">
        <v>109.55200000000001</v>
      </c>
    </row>
    <row r="117" spans="1:18" x14ac:dyDescent="0.25">
      <c r="A117" s="3">
        <v>44859</v>
      </c>
      <c r="B117">
        <v>85.32</v>
      </c>
      <c r="C117">
        <v>93.52</v>
      </c>
      <c r="D117">
        <v>5.6130000000000004</v>
      </c>
      <c r="E117">
        <v>3.9672000000000001</v>
      </c>
      <c r="F117">
        <v>1072.25</v>
      </c>
      <c r="G117">
        <v>1658</v>
      </c>
      <c r="H117">
        <v>19.349</v>
      </c>
      <c r="I117">
        <v>3.3969999999999998</v>
      </c>
      <c r="J117">
        <v>320.02499999999998</v>
      </c>
      <c r="K117">
        <v>2.16</v>
      </c>
      <c r="L117">
        <v>1382</v>
      </c>
      <c r="M117">
        <v>72.28</v>
      </c>
      <c r="N117">
        <v>686.25</v>
      </c>
      <c r="O117">
        <v>185.8</v>
      </c>
      <c r="P117">
        <v>215.45</v>
      </c>
      <c r="Q117">
        <v>18.11</v>
      </c>
      <c r="R117">
        <v>110.83</v>
      </c>
    </row>
    <row r="118" spans="1:18" x14ac:dyDescent="0.25">
      <c r="A118" s="3">
        <v>44858</v>
      </c>
      <c r="B118">
        <v>84.58</v>
      </c>
      <c r="C118">
        <v>93.26</v>
      </c>
      <c r="D118">
        <v>5.1989999999999998</v>
      </c>
      <c r="E118">
        <v>3.9201000000000001</v>
      </c>
      <c r="F118">
        <v>1082.25</v>
      </c>
      <c r="G118">
        <v>1654.1</v>
      </c>
      <c r="H118">
        <v>19.189</v>
      </c>
      <c r="I118">
        <v>3.4304999999999999</v>
      </c>
      <c r="J118">
        <v>321.25</v>
      </c>
      <c r="K118">
        <v>2.16</v>
      </c>
      <c r="L118">
        <v>1372</v>
      </c>
      <c r="M118">
        <v>71.87</v>
      </c>
      <c r="N118">
        <v>681.5</v>
      </c>
      <c r="O118">
        <v>190.4</v>
      </c>
      <c r="P118">
        <v>217.95</v>
      </c>
      <c r="Q118">
        <v>18.13</v>
      </c>
      <c r="R118">
        <v>111.90900000000001</v>
      </c>
    </row>
    <row r="119" spans="1:18" x14ac:dyDescent="0.25">
      <c r="A119" s="3">
        <v>44857</v>
      </c>
    </row>
    <row r="120" spans="1:18" x14ac:dyDescent="0.25">
      <c r="A120" s="3">
        <v>44856</v>
      </c>
    </row>
    <row r="121" spans="1:18" x14ac:dyDescent="0.25">
      <c r="A121" s="3">
        <v>44855</v>
      </c>
      <c r="B121">
        <v>85.14</v>
      </c>
      <c r="C121">
        <v>93.5</v>
      </c>
      <c r="D121">
        <v>4.992</v>
      </c>
      <c r="E121">
        <v>3.8294000000000001</v>
      </c>
      <c r="F121">
        <v>1050.5</v>
      </c>
      <c r="G121">
        <v>1656.3</v>
      </c>
      <c r="H121">
        <v>19.065999999999999</v>
      </c>
      <c r="I121">
        <v>3.4744999999999999</v>
      </c>
      <c r="J121">
        <v>320.05</v>
      </c>
      <c r="K121">
        <v>2.1619999999999999</v>
      </c>
      <c r="L121">
        <v>1395.5</v>
      </c>
      <c r="M121">
        <v>71.5</v>
      </c>
      <c r="N121">
        <v>684.25</v>
      </c>
      <c r="O121">
        <v>190.9</v>
      </c>
      <c r="P121">
        <v>209.8</v>
      </c>
      <c r="Q121">
        <v>18.38</v>
      </c>
      <c r="R121">
        <v>111.98</v>
      </c>
    </row>
    <row r="122" spans="1:18" x14ac:dyDescent="0.25">
      <c r="A122" s="3">
        <v>44854</v>
      </c>
      <c r="B122">
        <v>85.98</v>
      </c>
      <c r="C122">
        <v>92.38</v>
      </c>
      <c r="D122">
        <v>5.3579999999999997</v>
      </c>
      <c r="E122">
        <v>3.7568000000000001</v>
      </c>
      <c r="F122">
        <v>1073.25</v>
      </c>
      <c r="G122">
        <v>1636.8</v>
      </c>
      <c r="H122">
        <v>18.689</v>
      </c>
      <c r="I122">
        <v>3.4104999999999999</v>
      </c>
      <c r="J122">
        <v>322</v>
      </c>
      <c r="K122">
        <v>2.1619999999999999</v>
      </c>
      <c r="L122">
        <v>1391.5</v>
      </c>
      <c r="M122">
        <v>70.42</v>
      </c>
      <c r="N122">
        <v>684</v>
      </c>
      <c r="O122">
        <v>191.05</v>
      </c>
      <c r="P122">
        <v>211.2</v>
      </c>
      <c r="Q122">
        <v>18.39</v>
      </c>
      <c r="R122">
        <v>112.818</v>
      </c>
    </row>
    <row r="123" spans="1:18" x14ac:dyDescent="0.25">
      <c r="A123" s="3">
        <v>44853</v>
      </c>
      <c r="B123">
        <v>85.55</v>
      </c>
      <c r="C123">
        <v>92.41</v>
      </c>
      <c r="D123">
        <v>5.4619999999999997</v>
      </c>
      <c r="E123">
        <v>3.9043000000000001</v>
      </c>
      <c r="F123">
        <v>1075.25</v>
      </c>
      <c r="G123">
        <v>1634.2</v>
      </c>
      <c r="H123">
        <v>18.359000000000002</v>
      </c>
      <c r="I123">
        <v>3.3180000000000001</v>
      </c>
      <c r="J123">
        <v>322</v>
      </c>
      <c r="K123">
        <v>2.157</v>
      </c>
      <c r="L123">
        <v>1372.5</v>
      </c>
      <c r="M123">
        <v>70.64</v>
      </c>
      <c r="N123">
        <v>678.25</v>
      </c>
      <c r="O123">
        <v>192.3</v>
      </c>
      <c r="P123">
        <v>210.8</v>
      </c>
      <c r="Q123">
        <v>18.649999999999999</v>
      </c>
      <c r="R123">
        <v>112.879</v>
      </c>
    </row>
    <row r="124" spans="1:18" x14ac:dyDescent="0.25">
      <c r="A124" s="3">
        <v>44852</v>
      </c>
      <c r="B124">
        <v>82.82</v>
      </c>
      <c r="C124">
        <v>90.03</v>
      </c>
      <c r="D124">
        <v>5.7450000000000001</v>
      </c>
      <c r="E124">
        <v>3.9935</v>
      </c>
      <c r="F124">
        <v>1105</v>
      </c>
      <c r="G124">
        <v>1655.8</v>
      </c>
      <c r="H124">
        <v>18.600000000000001</v>
      </c>
      <c r="I124">
        <v>3.3620000000000001</v>
      </c>
      <c r="J124">
        <v>321</v>
      </c>
      <c r="K124">
        <v>2.16</v>
      </c>
      <c r="L124">
        <v>1372</v>
      </c>
      <c r="M124">
        <v>68.739999999999995</v>
      </c>
      <c r="N124">
        <v>681</v>
      </c>
      <c r="O124">
        <v>195.1</v>
      </c>
      <c r="P124">
        <v>208.7</v>
      </c>
      <c r="Q124">
        <v>18.670000000000002</v>
      </c>
      <c r="R124">
        <v>111.994</v>
      </c>
    </row>
    <row r="125" spans="1:18" x14ac:dyDescent="0.25">
      <c r="A125" s="3">
        <v>44851</v>
      </c>
      <c r="B125">
        <v>85.46</v>
      </c>
      <c r="C125">
        <v>91.62</v>
      </c>
      <c r="D125">
        <v>5.9989999999999997</v>
      </c>
      <c r="E125">
        <v>4.0852000000000004</v>
      </c>
      <c r="F125">
        <v>1112.25</v>
      </c>
      <c r="G125">
        <v>1664</v>
      </c>
      <c r="H125">
        <v>18.719000000000001</v>
      </c>
      <c r="I125">
        <v>3.4155000000000002</v>
      </c>
      <c r="J125">
        <v>319.35000000000002</v>
      </c>
      <c r="K125">
        <v>2.1619999999999999</v>
      </c>
      <c r="L125">
        <v>1385.25</v>
      </c>
      <c r="M125">
        <v>66.84</v>
      </c>
      <c r="N125">
        <v>683.5</v>
      </c>
      <c r="O125">
        <v>195.55</v>
      </c>
      <c r="P125">
        <v>199.15</v>
      </c>
      <c r="Q125">
        <v>18.77</v>
      </c>
      <c r="R125">
        <v>111.908</v>
      </c>
    </row>
    <row r="126" spans="1:18" x14ac:dyDescent="0.25">
      <c r="A126" s="3">
        <v>44850</v>
      </c>
    </row>
    <row r="127" spans="1:18" x14ac:dyDescent="0.25">
      <c r="A127" s="3">
        <v>44849</v>
      </c>
    </row>
    <row r="128" spans="1:18" x14ac:dyDescent="0.25">
      <c r="A128" s="3">
        <v>44848</v>
      </c>
      <c r="B128">
        <v>85.55</v>
      </c>
      <c r="C128">
        <v>91.63</v>
      </c>
      <c r="D128">
        <v>6.476</v>
      </c>
      <c r="E128">
        <v>3.9923000000000002</v>
      </c>
      <c r="F128">
        <v>1085.75</v>
      </c>
      <c r="G128">
        <v>1648.9</v>
      </c>
      <c r="H128">
        <v>18.071000000000002</v>
      </c>
      <c r="I128">
        <v>3.4235000000000002</v>
      </c>
      <c r="J128">
        <v>319.07499999999999</v>
      </c>
      <c r="K128">
        <v>2.161</v>
      </c>
      <c r="L128">
        <v>1383.75</v>
      </c>
      <c r="M128">
        <v>69.569999999999993</v>
      </c>
      <c r="N128">
        <v>689.75</v>
      </c>
      <c r="O128">
        <v>196.7</v>
      </c>
      <c r="P128">
        <v>195.7</v>
      </c>
      <c r="Q128">
        <v>18.84</v>
      </c>
      <c r="R128">
        <v>113.202</v>
      </c>
    </row>
    <row r="129" spans="1:18" x14ac:dyDescent="0.25">
      <c r="A129" s="3">
        <v>44847</v>
      </c>
      <c r="B129">
        <v>89.11</v>
      </c>
      <c r="C129">
        <v>94.57</v>
      </c>
      <c r="D129">
        <v>6.7409999999999997</v>
      </c>
      <c r="E129">
        <v>4.0948000000000002</v>
      </c>
      <c r="F129">
        <v>1115.75</v>
      </c>
      <c r="G129">
        <v>1677</v>
      </c>
      <c r="H129">
        <v>18.917999999999999</v>
      </c>
      <c r="I129">
        <v>3.4405000000000001</v>
      </c>
      <c r="J129">
        <v>318.72500000000002</v>
      </c>
      <c r="K129">
        <v>2.1749999999999998</v>
      </c>
      <c r="L129">
        <v>1395.75</v>
      </c>
      <c r="M129">
        <v>70.010000000000005</v>
      </c>
      <c r="N129">
        <v>697.75</v>
      </c>
      <c r="O129">
        <v>202.15</v>
      </c>
      <c r="P129">
        <v>193.85</v>
      </c>
      <c r="Q129">
        <v>18.809999999999999</v>
      </c>
      <c r="R129">
        <v>112.253</v>
      </c>
    </row>
    <row r="130" spans="1:18" x14ac:dyDescent="0.25">
      <c r="A130" s="3">
        <v>44846</v>
      </c>
      <c r="B130">
        <v>87.27</v>
      </c>
      <c r="C130">
        <v>92.45</v>
      </c>
      <c r="D130">
        <v>6.4349999999999996</v>
      </c>
      <c r="E130">
        <v>3.9327999999999999</v>
      </c>
      <c r="F130">
        <v>1192</v>
      </c>
      <c r="G130">
        <v>1677.5</v>
      </c>
      <c r="H130">
        <v>18.937999999999999</v>
      </c>
      <c r="I130">
        <v>3.4249999999999998</v>
      </c>
      <c r="J130">
        <v>317.02499999999998</v>
      </c>
      <c r="K130">
        <v>2.177</v>
      </c>
      <c r="L130">
        <v>1396</v>
      </c>
      <c r="M130">
        <v>69.17</v>
      </c>
      <c r="N130">
        <v>693</v>
      </c>
      <c r="O130">
        <v>209.75</v>
      </c>
      <c r="P130">
        <v>197.8</v>
      </c>
      <c r="Q130">
        <v>18.68</v>
      </c>
      <c r="R130">
        <v>113.224</v>
      </c>
    </row>
    <row r="131" spans="1:18" x14ac:dyDescent="0.25">
      <c r="A131" s="3">
        <v>44845</v>
      </c>
      <c r="B131">
        <v>89.35</v>
      </c>
      <c r="C131">
        <v>94.29</v>
      </c>
      <c r="D131">
        <v>6.5960000000000001</v>
      </c>
      <c r="E131">
        <v>3.9308000000000001</v>
      </c>
      <c r="F131">
        <v>1192</v>
      </c>
      <c r="G131">
        <v>1686</v>
      </c>
      <c r="H131">
        <v>19.486999999999998</v>
      </c>
      <c r="I131">
        <v>3.4620000000000002</v>
      </c>
      <c r="J131">
        <v>317.02499999999998</v>
      </c>
      <c r="K131">
        <v>2.1709999999999998</v>
      </c>
      <c r="L131">
        <v>1376.25</v>
      </c>
      <c r="M131">
        <v>68.98</v>
      </c>
      <c r="N131">
        <v>693</v>
      </c>
      <c r="O131">
        <v>217.85</v>
      </c>
      <c r="P131">
        <v>190.4</v>
      </c>
      <c r="Q131">
        <v>18.739999999999998</v>
      </c>
      <c r="R131">
        <v>113.128</v>
      </c>
    </row>
    <row r="132" spans="1:18" x14ac:dyDescent="0.25">
      <c r="A132" s="3">
        <v>44844</v>
      </c>
      <c r="B132">
        <v>91.13</v>
      </c>
      <c r="C132">
        <v>96.19</v>
      </c>
      <c r="D132">
        <v>6.4349999999999996</v>
      </c>
      <c r="E132">
        <v>3.9146999999999998</v>
      </c>
      <c r="F132">
        <v>1281.5</v>
      </c>
      <c r="G132">
        <v>1675.2</v>
      </c>
      <c r="H132">
        <v>19.614999999999998</v>
      </c>
      <c r="I132">
        <v>3.4304999999999999</v>
      </c>
      <c r="J132">
        <v>319.125</v>
      </c>
      <c r="K132">
        <v>2.1800000000000002</v>
      </c>
      <c r="L132">
        <v>1374</v>
      </c>
      <c r="M132">
        <v>69.540000000000006</v>
      </c>
      <c r="N132">
        <v>698.25</v>
      </c>
      <c r="O132">
        <v>217.45</v>
      </c>
      <c r="P132">
        <v>186.6</v>
      </c>
      <c r="Q132">
        <v>18.61</v>
      </c>
      <c r="R132">
        <v>113.071</v>
      </c>
    </row>
    <row r="133" spans="1:18" x14ac:dyDescent="0.25">
      <c r="A133" s="3">
        <v>44843</v>
      </c>
    </row>
    <row r="134" spans="1:18" x14ac:dyDescent="0.25">
      <c r="A134" s="3">
        <v>44842</v>
      </c>
    </row>
    <row r="135" spans="1:18" x14ac:dyDescent="0.25">
      <c r="A135" s="3">
        <v>44841</v>
      </c>
      <c r="B135">
        <v>92.64</v>
      </c>
      <c r="C135">
        <v>97.92</v>
      </c>
      <c r="D135">
        <v>6.7480000000000002</v>
      </c>
      <c r="E135">
        <v>4.0186999999999999</v>
      </c>
      <c r="F135">
        <v>1257.75</v>
      </c>
      <c r="G135">
        <v>1709.3</v>
      </c>
      <c r="H135">
        <v>20.254999999999999</v>
      </c>
      <c r="I135">
        <v>3.3864999999999998</v>
      </c>
      <c r="J135">
        <v>319</v>
      </c>
      <c r="K135">
        <v>2.2040000000000002</v>
      </c>
      <c r="L135">
        <v>1367</v>
      </c>
      <c r="M135">
        <v>70.08</v>
      </c>
      <c r="N135">
        <v>683.25</v>
      </c>
      <c r="O135">
        <v>218.1</v>
      </c>
      <c r="P135">
        <v>192.85</v>
      </c>
      <c r="Q135">
        <v>18.68</v>
      </c>
      <c r="R135">
        <v>112.68300000000001</v>
      </c>
    </row>
    <row r="136" spans="1:18" x14ac:dyDescent="0.25">
      <c r="A136" s="3">
        <v>44840</v>
      </c>
      <c r="B136">
        <v>88.45</v>
      </c>
      <c r="C136">
        <v>94.42</v>
      </c>
      <c r="D136">
        <v>6.9720000000000004</v>
      </c>
      <c r="E136">
        <v>3.8649</v>
      </c>
      <c r="F136">
        <v>1185.75</v>
      </c>
      <c r="G136">
        <v>1720.8</v>
      </c>
      <c r="H136">
        <v>20.66</v>
      </c>
      <c r="I136">
        <v>3.4460000000000002</v>
      </c>
      <c r="J136">
        <v>321</v>
      </c>
      <c r="K136">
        <v>2.2050000000000001</v>
      </c>
      <c r="L136">
        <v>1358</v>
      </c>
      <c r="M136">
        <v>69.67</v>
      </c>
      <c r="N136">
        <v>675.5</v>
      </c>
      <c r="O136">
        <v>217.7</v>
      </c>
      <c r="P136">
        <v>188</v>
      </c>
      <c r="Q136">
        <v>18.46</v>
      </c>
      <c r="R136">
        <v>112.18300000000001</v>
      </c>
    </row>
    <row r="137" spans="1:18" x14ac:dyDescent="0.25">
      <c r="A137" s="3">
        <v>44839</v>
      </c>
      <c r="B137">
        <v>87.76</v>
      </c>
      <c r="C137">
        <v>93.37</v>
      </c>
      <c r="D137">
        <v>6.93</v>
      </c>
      <c r="E137">
        <v>3.6869000000000001</v>
      </c>
      <c r="F137">
        <v>1182.25</v>
      </c>
      <c r="G137">
        <v>1720.8</v>
      </c>
      <c r="H137">
        <v>20.544</v>
      </c>
      <c r="I137">
        <v>3.5005000000000002</v>
      </c>
      <c r="J137">
        <v>311.56</v>
      </c>
      <c r="K137">
        <v>1.95</v>
      </c>
      <c r="L137">
        <v>1369.75</v>
      </c>
      <c r="M137">
        <v>69.02</v>
      </c>
      <c r="N137">
        <v>684</v>
      </c>
      <c r="O137">
        <v>224.65</v>
      </c>
      <c r="P137">
        <v>190.95</v>
      </c>
      <c r="Q137">
        <v>17.95</v>
      </c>
      <c r="R137">
        <v>111.011</v>
      </c>
    </row>
    <row r="138" spans="1:18" x14ac:dyDescent="0.25">
      <c r="A138" s="3">
        <v>44838</v>
      </c>
      <c r="B138">
        <v>86.52</v>
      </c>
      <c r="C138">
        <v>91.8</v>
      </c>
      <c r="D138">
        <v>6.8369999999999997</v>
      </c>
      <c r="E138">
        <v>3.5358000000000001</v>
      </c>
      <c r="F138">
        <v>1103.25</v>
      </c>
      <c r="G138">
        <v>1730.5</v>
      </c>
      <c r="H138">
        <v>21.099</v>
      </c>
      <c r="I138">
        <v>3.49</v>
      </c>
      <c r="J138">
        <v>310.39999999999998</v>
      </c>
      <c r="K138">
        <v>1.9550000000000001</v>
      </c>
      <c r="L138">
        <v>1383.5</v>
      </c>
      <c r="M138">
        <v>68.63</v>
      </c>
      <c r="N138">
        <v>683</v>
      </c>
      <c r="O138">
        <v>219.3</v>
      </c>
      <c r="P138">
        <v>198.95</v>
      </c>
      <c r="Q138">
        <v>17.91</v>
      </c>
      <c r="R138">
        <v>109.98099999999999</v>
      </c>
    </row>
    <row r="139" spans="1:18" x14ac:dyDescent="0.25">
      <c r="A139" s="3">
        <v>44837</v>
      </c>
      <c r="B139">
        <v>83.63</v>
      </c>
      <c r="C139">
        <v>88.86</v>
      </c>
      <c r="D139">
        <v>6.47</v>
      </c>
      <c r="E139">
        <v>3.3691</v>
      </c>
      <c r="F139">
        <v>1031.25</v>
      </c>
      <c r="G139">
        <v>1702</v>
      </c>
      <c r="H139">
        <v>20.588999999999999</v>
      </c>
      <c r="I139">
        <v>3.41</v>
      </c>
      <c r="J139">
        <v>310.27499999999998</v>
      </c>
      <c r="K139">
        <v>1.956</v>
      </c>
      <c r="L139">
        <v>1374</v>
      </c>
      <c r="M139">
        <v>66.88</v>
      </c>
      <c r="N139">
        <v>680.75</v>
      </c>
      <c r="O139">
        <v>215.75</v>
      </c>
      <c r="P139">
        <v>198.25</v>
      </c>
      <c r="Q139">
        <v>17.420000000000002</v>
      </c>
      <c r="R139">
        <v>111.65600000000001</v>
      </c>
    </row>
    <row r="140" spans="1:18" x14ac:dyDescent="0.25">
      <c r="A140" s="3">
        <v>44836</v>
      </c>
    </row>
    <row r="141" spans="1:18" x14ac:dyDescent="0.25">
      <c r="A141" s="3">
        <v>44835</v>
      </c>
    </row>
    <row r="142" spans="1:18" x14ac:dyDescent="0.25">
      <c r="A142" s="3">
        <v>44834</v>
      </c>
      <c r="B142">
        <v>79.739999999999995</v>
      </c>
      <c r="C142">
        <v>87.96</v>
      </c>
      <c r="D142">
        <v>6.8259999999999996</v>
      </c>
      <c r="E142">
        <v>3.3744999999999998</v>
      </c>
      <c r="F142">
        <v>993.25</v>
      </c>
      <c r="G142">
        <v>1672</v>
      </c>
      <c r="H142">
        <v>19.039000000000001</v>
      </c>
      <c r="I142">
        <v>3.4125000000000001</v>
      </c>
      <c r="J142">
        <v>310.3</v>
      </c>
      <c r="K142">
        <v>1.9570000000000001</v>
      </c>
      <c r="L142">
        <v>1364.75</v>
      </c>
      <c r="M142">
        <v>65.349999999999994</v>
      </c>
      <c r="N142">
        <v>677.5</v>
      </c>
      <c r="O142">
        <v>221.55</v>
      </c>
      <c r="P142">
        <v>191.4</v>
      </c>
      <c r="Q142">
        <v>18.420000000000002</v>
      </c>
      <c r="R142">
        <v>112.084</v>
      </c>
    </row>
    <row r="143" spans="1:18" x14ac:dyDescent="0.25">
      <c r="A143" s="3">
        <v>44833</v>
      </c>
      <c r="B143">
        <v>81.23</v>
      </c>
      <c r="C143">
        <v>88.49</v>
      </c>
      <c r="D143">
        <v>6.8739999999999997</v>
      </c>
      <c r="E143">
        <v>3.4146000000000001</v>
      </c>
      <c r="F143">
        <v>1011.75</v>
      </c>
      <c r="G143">
        <v>1668.6</v>
      </c>
      <c r="H143">
        <v>18.712</v>
      </c>
      <c r="I143">
        <v>3.4180000000000001</v>
      </c>
      <c r="J143">
        <v>310.25</v>
      </c>
      <c r="K143">
        <v>1.9570000000000001</v>
      </c>
      <c r="L143">
        <v>1410.75</v>
      </c>
      <c r="M143">
        <v>67.48</v>
      </c>
      <c r="N143">
        <v>669.5</v>
      </c>
      <c r="O143">
        <v>225.7</v>
      </c>
      <c r="P143">
        <v>190.45</v>
      </c>
      <c r="Q143">
        <v>18.440000000000001</v>
      </c>
      <c r="R143">
        <v>112.202</v>
      </c>
    </row>
    <row r="144" spans="1:18" x14ac:dyDescent="0.25">
      <c r="A144" s="3">
        <v>44832</v>
      </c>
      <c r="B144">
        <v>82.15</v>
      </c>
      <c r="C144">
        <v>89.32</v>
      </c>
      <c r="D144">
        <v>6.8680000000000003</v>
      </c>
      <c r="E144">
        <v>3.4493999999999998</v>
      </c>
      <c r="F144">
        <v>1008.75</v>
      </c>
      <c r="G144">
        <v>1670</v>
      </c>
      <c r="H144">
        <v>18.88</v>
      </c>
      <c r="I144">
        <v>3.3584999999999998</v>
      </c>
      <c r="J144">
        <v>310.02499999999998</v>
      </c>
      <c r="K144">
        <v>1.9570000000000001</v>
      </c>
      <c r="L144">
        <v>1408.75</v>
      </c>
      <c r="M144">
        <v>65.52</v>
      </c>
      <c r="N144">
        <v>670.5</v>
      </c>
      <c r="O144">
        <v>228.7</v>
      </c>
      <c r="P144">
        <v>188.3</v>
      </c>
      <c r="Q144">
        <v>18.29</v>
      </c>
      <c r="R144">
        <v>112.508</v>
      </c>
    </row>
    <row r="145" spans="1:18" x14ac:dyDescent="0.25">
      <c r="A145" s="3">
        <v>44831</v>
      </c>
      <c r="B145">
        <v>78.5</v>
      </c>
      <c r="C145">
        <v>86.27</v>
      </c>
      <c r="D145">
        <v>6.6509999999999998</v>
      </c>
      <c r="E145">
        <v>3.2599</v>
      </c>
      <c r="F145">
        <v>967.25</v>
      </c>
      <c r="G145">
        <v>1636.2</v>
      </c>
      <c r="H145">
        <v>18.337</v>
      </c>
      <c r="I145">
        <v>3.2835000000000001</v>
      </c>
      <c r="J145">
        <v>310.2</v>
      </c>
      <c r="K145">
        <v>1.9570000000000001</v>
      </c>
      <c r="L145">
        <v>1408</v>
      </c>
      <c r="M145">
        <v>65.66</v>
      </c>
      <c r="N145">
        <v>667.5</v>
      </c>
      <c r="O145">
        <v>224.35</v>
      </c>
      <c r="P145">
        <v>182.25</v>
      </c>
      <c r="Q145">
        <v>18.190000000000001</v>
      </c>
      <c r="R145">
        <v>114.047</v>
      </c>
    </row>
    <row r="146" spans="1:18" x14ac:dyDescent="0.25">
      <c r="A146" s="3">
        <v>44830</v>
      </c>
      <c r="B146">
        <v>76.709999999999994</v>
      </c>
      <c r="C146">
        <v>84.06</v>
      </c>
      <c r="D146">
        <v>6.9029999999999996</v>
      </c>
      <c r="E146">
        <v>3.1291000000000002</v>
      </c>
      <c r="F146">
        <v>934.25</v>
      </c>
      <c r="G146">
        <v>1633.4</v>
      </c>
      <c r="H146">
        <v>18.48</v>
      </c>
      <c r="I146">
        <v>3.2945000000000002</v>
      </c>
      <c r="J146">
        <v>310.5</v>
      </c>
      <c r="K146">
        <v>1.9570000000000001</v>
      </c>
      <c r="L146">
        <v>1411.25</v>
      </c>
      <c r="M146">
        <v>66.11</v>
      </c>
      <c r="N146">
        <v>666.25</v>
      </c>
      <c r="O146">
        <v>223.8</v>
      </c>
      <c r="P146">
        <v>178.5</v>
      </c>
      <c r="Q146">
        <v>18.350000000000001</v>
      </c>
      <c r="R146">
        <v>114.02</v>
      </c>
    </row>
    <row r="147" spans="1:18" x14ac:dyDescent="0.25">
      <c r="A147" s="3">
        <v>44829</v>
      </c>
    </row>
    <row r="148" spans="1:18" x14ac:dyDescent="0.25">
      <c r="A148" s="3">
        <v>44828</v>
      </c>
    </row>
    <row r="149" spans="1:18" x14ac:dyDescent="0.25">
      <c r="A149" s="3">
        <v>44827</v>
      </c>
      <c r="B149">
        <v>79.430000000000007</v>
      </c>
      <c r="C149">
        <v>86.15</v>
      </c>
      <c r="D149">
        <v>6.8410000000000002</v>
      </c>
      <c r="E149">
        <v>3.2484999999999999</v>
      </c>
      <c r="F149">
        <v>963</v>
      </c>
      <c r="G149">
        <v>1655.6</v>
      </c>
      <c r="H149">
        <v>18.91</v>
      </c>
      <c r="I149">
        <v>3.343</v>
      </c>
      <c r="J149">
        <v>309.8</v>
      </c>
      <c r="K149">
        <v>1.954</v>
      </c>
      <c r="L149">
        <v>1425.75</v>
      </c>
      <c r="M149">
        <v>67</v>
      </c>
      <c r="N149">
        <v>676.75</v>
      </c>
      <c r="O149">
        <v>220.45</v>
      </c>
      <c r="P149">
        <v>184</v>
      </c>
      <c r="Q149">
        <v>18.28</v>
      </c>
      <c r="R149">
        <v>112.962</v>
      </c>
    </row>
    <row r="150" spans="1:18" x14ac:dyDescent="0.25">
      <c r="A150" s="3">
        <v>44826</v>
      </c>
      <c r="B150">
        <v>83.49</v>
      </c>
      <c r="C150">
        <v>90.46</v>
      </c>
      <c r="D150">
        <v>7.0890000000000004</v>
      </c>
      <c r="E150">
        <v>3.4115000000000002</v>
      </c>
      <c r="F150">
        <v>1006.25</v>
      </c>
      <c r="G150">
        <v>1681.1</v>
      </c>
      <c r="H150">
        <v>19.617000000000001</v>
      </c>
      <c r="I150">
        <v>3.4710000000000001</v>
      </c>
      <c r="J150">
        <v>309.8</v>
      </c>
      <c r="K150">
        <v>1.9530000000000001</v>
      </c>
      <c r="L150">
        <v>1457</v>
      </c>
      <c r="M150">
        <v>69.430000000000007</v>
      </c>
      <c r="N150">
        <v>688.25</v>
      </c>
      <c r="O150">
        <v>223.55</v>
      </c>
      <c r="P150">
        <v>181.15</v>
      </c>
      <c r="Q150">
        <v>18.489999999999998</v>
      </c>
      <c r="R150">
        <v>111.105</v>
      </c>
    </row>
    <row r="151" spans="1:18" x14ac:dyDescent="0.25">
      <c r="A151" s="3">
        <v>44825</v>
      </c>
      <c r="B151">
        <v>82.94</v>
      </c>
      <c r="C151">
        <v>89.83</v>
      </c>
      <c r="D151">
        <v>7.7789999999999999</v>
      </c>
      <c r="E151">
        <v>3.3338000000000001</v>
      </c>
      <c r="F151">
        <v>967.25</v>
      </c>
      <c r="G151">
        <v>1675.7</v>
      </c>
      <c r="H151">
        <v>19.48</v>
      </c>
      <c r="I151">
        <v>3.4670000000000001</v>
      </c>
      <c r="J151">
        <v>309.25</v>
      </c>
      <c r="K151">
        <v>1.9590000000000001</v>
      </c>
      <c r="L151">
        <v>1461.25</v>
      </c>
      <c r="M151">
        <v>67.83</v>
      </c>
      <c r="N151">
        <v>685.5</v>
      </c>
      <c r="O151">
        <v>221.3</v>
      </c>
      <c r="P151">
        <v>179.2</v>
      </c>
      <c r="Q151">
        <v>18.22</v>
      </c>
      <c r="R151">
        <v>110.346</v>
      </c>
    </row>
    <row r="152" spans="1:18" x14ac:dyDescent="0.25">
      <c r="A152" s="3">
        <v>44824</v>
      </c>
      <c r="B152">
        <v>84.45</v>
      </c>
      <c r="C152">
        <v>90.62</v>
      </c>
      <c r="D152">
        <v>7.7169999999999996</v>
      </c>
      <c r="E152">
        <v>3.3721999999999999</v>
      </c>
      <c r="F152">
        <v>976.25</v>
      </c>
      <c r="G152">
        <v>1671.1</v>
      </c>
      <c r="H152">
        <v>19.183</v>
      </c>
      <c r="I152">
        <v>3.5030000000000001</v>
      </c>
      <c r="J152">
        <v>311.47500000000002</v>
      </c>
      <c r="K152">
        <v>1.9570000000000001</v>
      </c>
      <c r="L152">
        <v>1478.75</v>
      </c>
      <c r="M152">
        <v>68.59</v>
      </c>
      <c r="N152">
        <v>692</v>
      </c>
      <c r="O152">
        <v>228.1</v>
      </c>
      <c r="P152">
        <v>180.3</v>
      </c>
      <c r="Q152">
        <v>18.190000000000001</v>
      </c>
      <c r="R152">
        <v>109.94199999999999</v>
      </c>
    </row>
    <row r="153" spans="1:18" x14ac:dyDescent="0.25">
      <c r="A153" s="3">
        <v>44823</v>
      </c>
      <c r="B153">
        <v>85.73</v>
      </c>
      <c r="C153">
        <v>92</v>
      </c>
      <c r="D153">
        <v>7.7519999999999998</v>
      </c>
      <c r="E153">
        <v>3.3108</v>
      </c>
      <c r="F153">
        <v>963</v>
      </c>
      <c r="G153">
        <v>1678.2</v>
      </c>
      <c r="H153">
        <v>19.358000000000001</v>
      </c>
      <c r="I153">
        <v>3.5125000000000002</v>
      </c>
      <c r="J153">
        <v>312.375</v>
      </c>
      <c r="K153">
        <v>1.958</v>
      </c>
      <c r="L153">
        <v>1461.25</v>
      </c>
      <c r="M153">
        <v>68</v>
      </c>
      <c r="N153">
        <v>678.25</v>
      </c>
      <c r="O153">
        <v>224.05</v>
      </c>
      <c r="P153">
        <v>176.5</v>
      </c>
      <c r="Q153">
        <v>17.690000000000001</v>
      </c>
      <c r="R153">
        <v>109.982</v>
      </c>
    </row>
    <row r="154" spans="1:18" x14ac:dyDescent="0.25">
      <c r="A154" s="3">
        <v>44822</v>
      </c>
    </row>
    <row r="155" spans="1:18" x14ac:dyDescent="0.25">
      <c r="A155" s="3">
        <v>44821</v>
      </c>
    </row>
    <row r="156" spans="1:18" x14ac:dyDescent="0.25">
      <c r="A156" s="3">
        <v>44820</v>
      </c>
      <c r="B156">
        <v>85.4</v>
      </c>
      <c r="C156">
        <v>91.35</v>
      </c>
      <c r="D156">
        <v>7.8170000000000002</v>
      </c>
      <c r="E156">
        <v>3.1829999999999998</v>
      </c>
      <c r="F156">
        <v>953</v>
      </c>
      <c r="G156">
        <v>1683.5</v>
      </c>
      <c r="H156">
        <v>19.381</v>
      </c>
      <c r="I156">
        <v>3.5165000000000002</v>
      </c>
      <c r="J156">
        <v>310.32499999999999</v>
      </c>
      <c r="K156">
        <v>1.954</v>
      </c>
      <c r="L156">
        <v>1448.5</v>
      </c>
      <c r="M156">
        <v>68.66</v>
      </c>
      <c r="N156">
        <v>677.25</v>
      </c>
      <c r="O156">
        <v>218.05</v>
      </c>
      <c r="P156">
        <v>173.35</v>
      </c>
      <c r="Q156">
        <v>17.88</v>
      </c>
      <c r="R156">
        <v>109.736</v>
      </c>
    </row>
    <row r="157" spans="1:18" x14ac:dyDescent="0.25">
      <c r="A157" s="3">
        <v>44819</v>
      </c>
      <c r="B157">
        <v>85.1</v>
      </c>
      <c r="C157">
        <v>90.84</v>
      </c>
      <c r="D157">
        <v>8.3239999999999998</v>
      </c>
      <c r="E157">
        <v>3.2052</v>
      </c>
      <c r="F157">
        <v>923.25</v>
      </c>
      <c r="G157">
        <v>1677.3</v>
      </c>
      <c r="H157">
        <v>19.268999999999998</v>
      </c>
      <c r="I157">
        <v>3.49</v>
      </c>
      <c r="J157">
        <v>311.67500000000001</v>
      </c>
      <c r="K157">
        <v>1.948</v>
      </c>
      <c r="L157">
        <v>1451.5</v>
      </c>
      <c r="M157">
        <v>66.790000000000006</v>
      </c>
      <c r="N157">
        <v>677.5</v>
      </c>
      <c r="O157">
        <v>219.15</v>
      </c>
      <c r="P157">
        <v>169.55</v>
      </c>
      <c r="Q157">
        <v>18.18</v>
      </c>
      <c r="R157">
        <v>109.711</v>
      </c>
    </row>
    <row r="158" spans="1:18" x14ac:dyDescent="0.25">
      <c r="A158" s="3">
        <v>44818</v>
      </c>
      <c r="B158">
        <v>88.48</v>
      </c>
      <c r="C158">
        <v>94.1</v>
      </c>
      <c r="D158">
        <v>9.1140000000000008</v>
      </c>
      <c r="E158">
        <v>3.3788999999999998</v>
      </c>
      <c r="F158">
        <v>991.5</v>
      </c>
      <c r="G158">
        <v>1709.1</v>
      </c>
      <c r="H158">
        <v>19.568999999999999</v>
      </c>
      <c r="I158">
        <v>3.5194999999999999</v>
      </c>
      <c r="J158">
        <v>313.5</v>
      </c>
      <c r="K158">
        <v>1.946</v>
      </c>
      <c r="L158">
        <v>1503.75</v>
      </c>
      <c r="M158">
        <v>68.510000000000005</v>
      </c>
      <c r="N158">
        <v>709</v>
      </c>
      <c r="O158">
        <v>217.6</v>
      </c>
      <c r="P158">
        <v>167.35</v>
      </c>
      <c r="Q158">
        <v>18.27</v>
      </c>
      <c r="R158">
        <v>109.631</v>
      </c>
    </row>
    <row r="159" spans="1:18" x14ac:dyDescent="0.25">
      <c r="A159" s="3">
        <v>44817</v>
      </c>
      <c r="B159">
        <v>87.31</v>
      </c>
      <c r="C159">
        <v>93.17</v>
      </c>
      <c r="D159">
        <v>8.2840000000000007</v>
      </c>
      <c r="E159">
        <v>3.5413000000000001</v>
      </c>
      <c r="F159">
        <v>1057.5</v>
      </c>
      <c r="G159">
        <v>1717.4</v>
      </c>
      <c r="H159">
        <v>19.491</v>
      </c>
      <c r="I159">
        <v>3.5554999999999999</v>
      </c>
      <c r="J159">
        <v>316.5</v>
      </c>
      <c r="K159">
        <v>1.948</v>
      </c>
      <c r="L159">
        <v>1534.25</v>
      </c>
      <c r="M159">
        <v>71.959999999999994</v>
      </c>
      <c r="N159">
        <v>709</v>
      </c>
      <c r="O159">
        <v>223.95</v>
      </c>
      <c r="P159">
        <v>168.35</v>
      </c>
      <c r="Q159">
        <v>18.38</v>
      </c>
      <c r="R159">
        <v>109.809</v>
      </c>
    </row>
    <row r="160" spans="1:18" x14ac:dyDescent="0.25">
      <c r="A160" s="3">
        <v>44816</v>
      </c>
      <c r="B160">
        <v>87.78</v>
      </c>
      <c r="C160">
        <v>94</v>
      </c>
      <c r="D160">
        <v>8.2490000000000006</v>
      </c>
      <c r="E160">
        <v>3.6031</v>
      </c>
      <c r="F160">
        <v>1085</v>
      </c>
      <c r="G160">
        <v>1740.6</v>
      </c>
      <c r="H160">
        <v>19.86</v>
      </c>
      <c r="I160">
        <v>3.6105</v>
      </c>
      <c r="J160">
        <v>312.5</v>
      </c>
      <c r="K160">
        <v>1.952</v>
      </c>
      <c r="L160">
        <v>1549.75</v>
      </c>
      <c r="M160">
        <v>71.92</v>
      </c>
      <c r="N160">
        <v>712.25</v>
      </c>
      <c r="O160">
        <v>227.75</v>
      </c>
      <c r="P160">
        <v>181.05</v>
      </c>
      <c r="Q160">
        <v>18.350000000000001</v>
      </c>
      <c r="R160">
        <v>108.316</v>
      </c>
    </row>
    <row r="161" spans="1:18" x14ac:dyDescent="0.25">
      <c r="A161" s="3">
        <v>44815</v>
      </c>
    </row>
    <row r="162" spans="1:18" x14ac:dyDescent="0.25">
      <c r="A162" s="3">
        <v>44814</v>
      </c>
    </row>
    <row r="163" spans="1:18" x14ac:dyDescent="0.25">
      <c r="A163" s="3">
        <v>44813</v>
      </c>
      <c r="B163">
        <v>86.1</v>
      </c>
      <c r="C163">
        <v>92.84</v>
      </c>
      <c r="D163">
        <v>8.0380000000000003</v>
      </c>
      <c r="E163">
        <v>3.5903</v>
      </c>
      <c r="F163">
        <v>1085</v>
      </c>
      <c r="G163">
        <v>1728.6</v>
      </c>
      <c r="H163">
        <v>18.766999999999999</v>
      </c>
      <c r="I163">
        <v>3.5680000000000001</v>
      </c>
      <c r="J163">
        <v>314</v>
      </c>
      <c r="K163">
        <v>1.9450000000000001</v>
      </c>
      <c r="L163">
        <v>1489.25</v>
      </c>
      <c r="M163">
        <v>70.25</v>
      </c>
      <c r="N163">
        <v>698.5</v>
      </c>
      <c r="O163">
        <v>231.5</v>
      </c>
      <c r="P163">
        <v>180.2</v>
      </c>
      <c r="Q163">
        <v>18.22</v>
      </c>
      <c r="R163">
        <v>108.997</v>
      </c>
    </row>
    <row r="164" spans="1:18" x14ac:dyDescent="0.25">
      <c r="A164" s="3">
        <v>44812</v>
      </c>
      <c r="B164">
        <v>83.54</v>
      </c>
      <c r="C164">
        <v>89.15</v>
      </c>
      <c r="D164">
        <v>7.915</v>
      </c>
      <c r="E164">
        <v>3.5400999999999998</v>
      </c>
      <c r="F164">
        <v>1075</v>
      </c>
      <c r="G164">
        <v>1720.2</v>
      </c>
      <c r="H164">
        <v>18.442</v>
      </c>
      <c r="I164">
        <v>3.5270000000000001</v>
      </c>
      <c r="J164">
        <v>311.97500000000002</v>
      </c>
      <c r="K164">
        <v>1.94</v>
      </c>
      <c r="L164">
        <v>1470.5</v>
      </c>
      <c r="M164">
        <v>68.86</v>
      </c>
      <c r="N164">
        <v>674.5</v>
      </c>
      <c r="O164">
        <v>225.85</v>
      </c>
      <c r="P164">
        <v>177.55</v>
      </c>
      <c r="Q164">
        <v>17.93</v>
      </c>
      <c r="R164">
        <v>109.71299999999999</v>
      </c>
    </row>
    <row r="165" spans="1:18" x14ac:dyDescent="0.25">
      <c r="A165" s="3">
        <v>44811</v>
      </c>
      <c r="B165">
        <v>81.94</v>
      </c>
      <c r="C165">
        <v>88</v>
      </c>
      <c r="D165">
        <v>7.8419999999999996</v>
      </c>
      <c r="E165">
        <v>3.5859999999999999</v>
      </c>
      <c r="F165">
        <v>1099.5</v>
      </c>
      <c r="G165">
        <v>1727.8</v>
      </c>
      <c r="H165">
        <v>18.260000000000002</v>
      </c>
      <c r="I165">
        <v>3.4304999999999999</v>
      </c>
      <c r="J165">
        <v>310.05</v>
      </c>
      <c r="K165">
        <v>1.9450000000000001</v>
      </c>
      <c r="L165">
        <v>1466.75</v>
      </c>
      <c r="M165">
        <v>67.73</v>
      </c>
      <c r="N165">
        <v>676.75</v>
      </c>
      <c r="O165">
        <v>226.9</v>
      </c>
      <c r="P165">
        <v>175.9</v>
      </c>
      <c r="Q165">
        <v>18.05</v>
      </c>
      <c r="R165">
        <v>109.83199999999999</v>
      </c>
    </row>
    <row r="166" spans="1:18" x14ac:dyDescent="0.25">
      <c r="A166" s="3">
        <v>44810</v>
      </c>
      <c r="B166">
        <v>86.88</v>
      </c>
      <c r="C166">
        <v>92.83</v>
      </c>
      <c r="D166">
        <v>8.1449999999999996</v>
      </c>
      <c r="E166">
        <v>3.5737999999999999</v>
      </c>
      <c r="F166">
        <v>1079.25</v>
      </c>
      <c r="G166">
        <v>1712.9</v>
      </c>
      <c r="H166">
        <v>17.908000000000001</v>
      </c>
      <c r="I166">
        <v>3.4620000000000002</v>
      </c>
      <c r="J166">
        <v>308</v>
      </c>
      <c r="K166">
        <v>1.93</v>
      </c>
      <c r="L166">
        <v>1490</v>
      </c>
      <c r="M166">
        <v>68.959999999999994</v>
      </c>
      <c r="N166">
        <v>680.75</v>
      </c>
      <c r="O166">
        <v>233.9</v>
      </c>
      <c r="P166">
        <v>178.5</v>
      </c>
      <c r="Q166">
        <v>17.98</v>
      </c>
      <c r="R166">
        <v>110.20399999999999</v>
      </c>
    </row>
    <row r="167" spans="1:18" x14ac:dyDescent="0.25">
      <c r="A167" s="3">
        <v>44809</v>
      </c>
      <c r="C167">
        <v>95.74</v>
      </c>
      <c r="F167">
        <v>1142</v>
      </c>
    </row>
    <row r="168" spans="1:18" x14ac:dyDescent="0.25">
      <c r="A168" s="3">
        <v>44808</v>
      </c>
    </row>
    <row r="169" spans="1:18" x14ac:dyDescent="0.25">
      <c r="A169" s="3">
        <v>44807</v>
      </c>
    </row>
    <row r="170" spans="1:18" x14ac:dyDescent="0.25">
      <c r="A170" s="3">
        <v>44806</v>
      </c>
      <c r="B170">
        <v>87.25</v>
      </c>
      <c r="C170">
        <v>93.02</v>
      </c>
      <c r="D170">
        <v>8.9019999999999992</v>
      </c>
      <c r="E170">
        <v>3.6257999999999999</v>
      </c>
      <c r="F170">
        <v>1091.25</v>
      </c>
      <c r="G170">
        <v>1722.6</v>
      </c>
      <c r="H170">
        <v>17.881</v>
      </c>
      <c r="I170">
        <v>3.4135</v>
      </c>
      <c r="J170">
        <v>305.97500000000002</v>
      </c>
      <c r="K170">
        <v>1.9419999999999999</v>
      </c>
      <c r="L170">
        <v>1510.5</v>
      </c>
      <c r="M170">
        <v>71.5</v>
      </c>
      <c r="N170">
        <v>669</v>
      </c>
      <c r="O170">
        <v>232.65</v>
      </c>
      <c r="P170">
        <v>185.35</v>
      </c>
      <c r="Q170">
        <v>18.149999999999999</v>
      </c>
      <c r="R170">
        <v>109.51</v>
      </c>
    </row>
    <row r="171" spans="1:18" x14ac:dyDescent="0.25">
      <c r="A171" s="3">
        <v>44805</v>
      </c>
      <c r="B171">
        <v>86.61</v>
      </c>
      <c r="C171">
        <v>92.36</v>
      </c>
      <c r="D171">
        <v>9.2620000000000005</v>
      </c>
      <c r="E171">
        <v>3.5611999999999999</v>
      </c>
      <c r="F171">
        <v>1050.5</v>
      </c>
      <c r="G171">
        <v>1709.3</v>
      </c>
      <c r="H171">
        <v>17.666</v>
      </c>
      <c r="I171">
        <v>3.4064999999999999</v>
      </c>
      <c r="J171">
        <v>303</v>
      </c>
      <c r="K171">
        <v>1.925</v>
      </c>
      <c r="L171">
        <v>1472.75</v>
      </c>
      <c r="M171">
        <v>68.52</v>
      </c>
      <c r="N171">
        <v>658.25</v>
      </c>
      <c r="O171">
        <v>236.35</v>
      </c>
      <c r="P171">
        <v>193</v>
      </c>
      <c r="Q171">
        <v>17.989999999999998</v>
      </c>
      <c r="R171">
        <v>109.678</v>
      </c>
    </row>
    <row r="172" spans="1:18" x14ac:dyDescent="0.25">
      <c r="A172" s="3">
        <v>44804</v>
      </c>
      <c r="B172">
        <v>89.55</v>
      </c>
      <c r="C172">
        <v>96.49</v>
      </c>
      <c r="D172">
        <v>9.1270000000000007</v>
      </c>
      <c r="E172">
        <v>3.7153999999999998</v>
      </c>
      <c r="F172">
        <v>1098.5</v>
      </c>
      <c r="G172">
        <v>1726.2</v>
      </c>
      <c r="H172">
        <v>17.882000000000001</v>
      </c>
      <c r="I172">
        <v>3.5185</v>
      </c>
      <c r="J172">
        <v>297.92</v>
      </c>
      <c r="K172">
        <v>1.976</v>
      </c>
      <c r="L172">
        <v>1507.5</v>
      </c>
      <c r="M172">
        <v>72.739999999999995</v>
      </c>
      <c r="N172">
        <v>673.75</v>
      </c>
      <c r="O172">
        <v>239.1</v>
      </c>
      <c r="P172">
        <v>198.55</v>
      </c>
      <c r="Q172">
        <v>17.89</v>
      </c>
      <c r="R172">
        <v>108.66500000000001</v>
      </c>
    </row>
    <row r="173" spans="1:18" x14ac:dyDescent="0.25">
      <c r="A173" s="3">
        <v>44803</v>
      </c>
      <c r="B173">
        <v>91.64</v>
      </c>
      <c r="C173">
        <v>99.31</v>
      </c>
      <c r="D173">
        <v>9.0419999999999998</v>
      </c>
      <c r="E173">
        <v>3.8170999999999999</v>
      </c>
      <c r="F173">
        <v>1122</v>
      </c>
      <c r="G173">
        <v>1736.3</v>
      </c>
      <c r="H173">
        <v>18.286999999999999</v>
      </c>
      <c r="I173">
        <v>3.5510000000000002</v>
      </c>
      <c r="J173">
        <v>299</v>
      </c>
      <c r="K173">
        <v>1.976</v>
      </c>
      <c r="L173">
        <v>1513</v>
      </c>
      <c r="M173">
        <v>70.790000000000006</v>
      </c>
      <c r="N173">
        <v>679.75</v>
      </c>
      <c r="O173">
        <v>239.15</v>
      </c>
      <c r="P173">
        <v>188.65</v>
      </c>
      <c r="Q173">
        <v>18.100000000000001</v>
      </c>
      <c r="R173">
        <v>108.749</v>
      </c>
    </row>
    <row r="174" spans="1:18" x14ac:dyDescent="0.25">
      <c r="A174" s="3">
        <v>44802</v>
      </c>
      <c r="B174">
        <v>97.01</v>
      </c>
      <c r="C174">
        <v>105.09</v>
      </c>
      <c r="D174">
        <v>9.3529999999999998</v>
      </c>
      <c r="E174">
        <v>3.9098999999999999</v>
      </c>
      <c r="F174">
        <v>1186.25</v>
      </c>
      <c r="G174">
        <v>1749.7</v>
      </c>
      <c r="H174">
        <v>18.556999999999999</v>
      </c>
      <c r="I174">
        <v>3.6120000000000001</v>
      </c>
      <c r="J174">
        <v>299</v>
      </c>
      <c r="K174">
        <v>1.976</v>
      </c>
      <c r="L174">
        <v>1534.75</v>
      </c>
      <c r="M174">
        <v>70.98</v>
      </c>
      <c r="N174">
        <v>683.75</v>
      </c>
      <c r="O174">
        <v>240.5</v>
      </c>
      <c r="P174">
        <v>179.55</v>
      </c>
      <c r="Q174">
        <v>18.440000000000001</v>
      </c>
      <c r="R174">
        <v>108.79</v>
      </c>
    </row>
    <row r="175" spans="1:18" x14ac:dyDescent="0.25">
      <c r="A175" s="3">
        <v>44801</v>
      </c>
    </row>
    <row r="176" spans="1:18" x14ac:dyDescent="0.25">
      <c r="A176" s="3">
        <v>44800</v>
      </c>
    </row>
    <row r="177" spans="1:18" x14ac:dyDescent="0.25">
      <c r="A177" s="3">
        <v>44799</v>
      </c>
      <c r="B177">
        <v>92.97</v>
      </c>
      <c r="C177">
        <v>100.99</v>
      </c>
      <c r="D177">
        <v>9.32</v>
      </c>
      <c r="E177">
        <v>4.016</v>
      </c>
      <c r="F177">
        <v>1194</v>
      </c>
      <c r="G177">
        <v>1749.8</v>
      </c>
      <c r="H177">
        <v>18.745999999999999</v>
      </c>
      <c r="I177">
        <v>3.6970000000000001</v>
      </c>
      <c r="J177">
        <v>299.5</v>
      </c>
      <c r="K177">
        <v>1.976</v>
      </c>
      <c r="L177">
        <v>1605.25</v>
      </c>
      <c r="M177">
        <v>70.819999999999993</v>
      </c>
      <c r="N177">
        <v>668.75</v>
      </c>
      <c r="O177">
        <v>242</v>
      </c>
      <c r="P177">
        <v>174.6</v>
      </c>
      <c r="Q177">
        <v>18.47</v>
      </c>
      <c r="R177">
        <v>108.751</v>
      </c>
    </row>
    <row r="178" spans="1:18" x14ac:dyDescent="0.25">
      <c r="A178" s="3">
        <v>44798</v>
      </c>
      <c r="B178">
        <v>92.52</v>
      </c>
      <c r="C178">
        <v>99.34</v>
      </c>
      <c r="D178">
        <v>9.375</v>
      </c>
      <c r="E178">
        <v>3.9491000000000001</v>
      </c>
      <c r="F178">
        <v>1174</v>
      </c>
      <c r="G178">
        <v>1771.4</v>
      </c>
      <c r="H178">
        <v>19.12</v>
      </c>
      <c r="I178">
        <v>3.6989999999999998</v>
      </c>
      <c r="J178">
        <v>298.60000000000002</v>
      </c>
      <c r="K178">
        <v>1.9750000000000001</v>
      </c>
      <c r="L178">
        <v>1552.5</v>
      </c>
      <c r="M178">
        <v>69.09</v>
      </c>
      <c r="N178">
        <v>657.5</v>
      </c>
      <c r="O178">
        <v>243.4</v>
      </c>
      <c r="P178">
        <v>169.45</v>
      </c>
      <c r="Q178">
        <v>17.899999999999999</v>
      </c>
      <c r="R178">
        <v>108.43300000000001</v>
      </c>
    </row>
    <row r="179" spans="1:18" x14ac:dyDescent="0.25">
      <c r="A179" s="3">
        <v>44797</v>
      </c>
      <c r="B179">
        <v>94.89</v>
      </c>
      <c r="C179">
        <v>101.22</v>
      </c>
      <c r="D179">
        <v>9.33</v>
      </c>
      <c r="E179">
        <v>4.0132000000000003</v>
      </c>
      <c r="F179">
        <v>1167.75</v>
      </c>
      <c r="G179">
        <v>1761.5</v>
      </c>
      <c r="H179">
        <v>18.907</v>
      </c>
      <c r="I179">
        <v>3.6440000000000001</v>
      </c>
      <c r="J179">
        <v>300.02499999999998</v>
      </c>
      <c r="K179">
        <v>1.9750000000000001</v>
      </c>
      <c r="L179">
        <v>1560.75</v>
      </c>
      <c r="M179">
        <v>68.77</v>
      </c>
      <c r="N179">
        <v>665.75</v>
      </c>
      <c r="O179">
        <v>242.95</v>
      </c>
      <c r="P179">
        <v>168.6</v>
      </c>
      <c r="Q179">
        <v>18.04</v>
      </c>
      <c r="R179">
        <v>108.616</v>
      </c>
    </row>
    <row r="180" spans="1:18" x14ac:dyDescent="0.25">
      <c r="A180" s="3">
        <v>44796</v>
      </c>
      <c r="B180">
        <v>93.74</v>
      </c>
      <c r="C180">
        <v>100.22</v>
      </c>
      <c r="D180">
        <v>9.1929999999999996</v>
      </c>
      <c r="E180">
        <v>3.8418999999999999</v>
      </c>
      <c r="F180">
        <v>1119</v>
      </c>
      <c r="G180">
        <v>1761.2</v>
      </c>
      <c r="H180">
        <v>19.026</v>
      </c>
      <c r="I180">
        <v>3.6955</v>
      </c>
      <c r="J180">
        <v>300</v>
      </c>
      <c r="K180">
        <v>1.9750000000000001</v>
      </c>
      <c r="L180">
        <v>1566.75</v>
      </c>
      <c r="M180">
        <v>69.59</v>
      </c>
      <c r="N180">
        <v>660</v>
      </c>
      <c r="O180">
        <v>230.65</v>
      </c>
      <c r="P180">
        <v>169.95</v>
      </c>
      <c r="Q180">
        <v>17.89</v>
      </c>
      <c r="R180">
        <v>108.554</v>
      </c>
    </row>
    <row r="181" spans="1:18" x14ac:dyDescent="0.25">
      <c r="A181" s="3">
        <v>44795</v>
      </c>
      <c r="B181">
        <v>90.23</v>
      </c>
      <c r="C181">
        <v>96.48</v>
      </c>
      <c r="D181">
        <v>9.68</v>
      </c>
      <c r="E181">
        <v>3.7761999999999998</v>
      </c>
      <c r="F181">
        <v>1096.75</v>
      </c>
      <c r="G181">
        <v>1748.4</v>
      </c>
      <c r="H181">
        <v>18.878</v>
      </c>
      <c r="I181">
        <v>3.6515</v>
      </c>
      <c r="J181">
        <v>300</v>
      </c>
      <c r="K181">
        <v>1.9810000000000001</v>
      </c>
      <c r="L181">
        <v>1527</v>
      </c>
      <c r="M181">
        <v>68.77</v>
      </c>
      <c r="N181">
        <v>633.5</v>
      </c>
      <c r="O181">
        <v>224.3</v>
      </c>
      <c r="P181">
        <v>168.85</v>
      </c>
      <c r="Q181">
        <v>17.940000000000001</v>
      </c>
      <c r="R181">
        <v>108.98099999999999</v>
      </c>
    </row>
    <row r="182" spans="1:18" x14ac:dyDescent="0.25">
      <c r="A182" s="3">
        <v>44794</v>
      </c>
    </row>
    <row r="183" spans="1:18" x14ac:dyDescent="0.25">
      <c r="A183" s="3">
        <v>44793</v>
      </c>
    </row>
    <row r="184" spans="1:18" x14ac:dyDescent="0.25">
      <c r="A184" s="3">
        <v>44792</v>
      </c>
      <c r="B184">
        <v>89.91</v>
      </c>
      <c r="C184">
        <v>96.72</v>
      </c>
      <c r="D184">
        <v>9.2799999999999994</v>
      </c>
      <c r="E184">
        <v>3.6815000000000002</v>
      </c>
      <c r="F184">
        <v>1087.25</v>
      </c>
      <c r="G184">
        <v>1762.9</v>
      </c>
      <c r="H184">
        <v>19.068999999999999</v>
      </c>
      <c r="I184">
        <v>3.6644999999999999</v>
      </c>
      <c r="J184">
        <v>299.02499999999998</v>
      </c>
      <c r="K184">
        <v>1.978</v>
      </c>
      <c r="L184">
        <v>1488.75</v>
      </c>
      <c r="M184">
        <v>67.900000000000006</v>
      </c>
      <c r="N184">
        <v>626</v>
      </c>
      <c r="O184">
        <v>215.95</v>
      </c>
      <c r="P184">
        <v>169.75</v>
      </c>
      <c r="Q184">
        <v>18.09</v>
      </c>
      <c r="R184">
        <v>108.098</v>
      </c>
    </row>
    <row r="185" spans="1:18" x14ac:dyDescent="0.25">
      <c r="A185" s="3">
        <v>44791</v>
      </c>
      <c r="B185">
        <v>90.5</v>
      </c>
      <c r="C185">
        <v>96.59</v>
      </c>
      <c r="D185">
        <v>9.1880000000000006</v>
      </c>
      <c r="E185">
        <v>3.6497000000000002</v>
      </c>
      <c r="F185">
        <v>1074.25</v>
      </c>
      <c r="G185">
        <v>1771.2</v>
      </c>
      <c r="H185">
        <v>19.463999999999999</v>
      </c>
      <c r="I185">
        <v>3.6315</v>
      </c>
      <c r="J185">
        <v>298.95</v>
      </c>
      <c r="K185">
        <v>1.976</v>
      </c>
      <c r="L185">
        <v>1495.5</v>
      </c>
      <c r="M185">
        <v>66.260000000000005</v>
      </c>
      <c r="N185">
        <v>619.75</v>
      </c>
      <c r="O185">
        <v>214.7</v>
      </c>
      <c r="P185">
        <v>167.85</v>
      </c>
      <c r="Q185">
        <v>17.77</v>
      </c>
      <c r="R185">
        <v>107.41500000000001</v>
      </c>
    </row>
    <row r="186" spans="1:18" x14ac:dyDescent="0.25">
      <c r="A186" s="3">
        <v>44790</v>
      </c>
      <c r="B186">
        <v>88.11</v>
      </c>
      <c r="C186">
        <v>93.65</v>
      </c>
      <c r="D186">
        <v>9.2439999999999998</v>
      </c>
      <c r="E186">
        <v>3.6173999999999999</v>
      </c>
      <c r="F186">
        <v>1041.5</v>
      </c>
      <c r="G186">
        <v>1776.7</v>
      </c>
      <c r="H186">
        <v>19.731000000000002</v>
      </c>
      <c r="I186">
        <v>3.5834999999999999</v>
      </c>
      <c r="J186">
        <v>298</v>
      </c>
      <c r="K186">
        <v>1.9750000000000001</v>
      </c>
      <c r="L186">
        <v>1475.25</v>
      </c>
      <c r="M186">
        <v>67.41</v>
      </c>
      <c r="N186">
        <v>615</v>
      </c>
      <c r="O186">
        <v>217.45</v>
      </c>
      <c r="P186">
        <v>170.15</v>
      </c>
      <c r="Q186">
        <v>18.239999999999998</v>
      </c>
      <c r="R186">
        <v>106.486</v>
      </c>
    </row>
    <row r="187" spans="1:18" x14ac:dyDescent="0.25">
      <c r="A187" s="3">
        <v>44789</v>
      </c>
      <c r="B187">
        <v>86.53</v>
      </c>
      <c r="C187">
        <v>92.34</v>
      </c>
      <c r="D187">
        <v>9.3290000000000006</v>
      </c>
      <c r="E187">
        <v>3.4802</v>
      </c>
      <c r="F187">
        <v>1018</v>
      </c>
      <c r="G187">
        <v>1789.7</v>
      </c>
      <c r="H187">
        <v>20.085000000000001</v>
      </c>
      <c r="I187">
        <v>3.6244999999999998</v>
      </c>
      <c r="J187">
        <v>297.97500000000002</v>
      </c>
      <c r="K187">
        <v>1.9750000000000001</v>
      </c>
      <c r="L187">
        <v>1454.25</v>
      </c>
      <c r="M187">
        <v>67.84</v>
      </c>
      <c r="N187">
        <v>611</v>
      </c>
      <c r="O187">
        <v>219.35</v>
      </c>
      <c r="P187">
        <v>175.2</v>
      </c>
      <c r="Q187">
        <v>18.27</v>
      </c>
      <c r="R187">
        <v>106.38800000000001</v>
      </c>
    </row>
    <row r="188" spans="1:18" x14ac:dyDescent="0.25">
      <c r="A188" s="3">
        <v>44788</v>
      </c>
      <c r="B188">
        <v>89.41</v>
      </c>
      <c r="C188">
        <v>95.1</v>
      </c>
      <c r="D188">
        <v>8.7279999999999998</v>
      </c>
      <c r="E188">
        <v>3.4403000000000001</v>
      </c>
      <c r="F188">
        <v>1022</v>
      </c>
      <c r="G188">
        <v>1798.1</v>
      </c>
      <c r="H188">
        <v>20.271999999999998</v>
      </c>
      <c r="I188">
        <v>3.6175000000000002</v>
      </c>
      <c r="J188">
        <v>296.75</v>
      </c>
      <c r="K188">
        <v>1.972</v>
      </c>
      <c r="L188">
        <v>1494</v>
      </c>
      <c r="M188">
        <v>68.94</v>
      </c>
      <c r="N188">
        <v>626.75</v>
      </c>
      <c r="O188">
        <v>225.5</v>
      </c>
      <c r="P188">
        <v>176.15</v>
      </c>
      <c r="Q188">
        <v>18.54</v>
      </c>
      <c r="R188">
        <v>106.43300000000001</v>
      </c>
    </row>
    <row r="189" spans="1:18" x14ac:dyDescent="0.25">
      <c r="A189" s="3">
        <v>44787</v>
      </c>
    </row>
    <row r="190" spans="1:18" x14ac:dyDescent="0.25">
      <c r="A190" s="3">
        <v>44786</v>
      </c>
    </row>
    <row r="191" spans="1:18" x14ac:dyDescent="0.25">
      <c r="A191" s="3">
        <v>44785</v>
      </c>
      <c r="B191">
        <v>92.09</v>
      </c>
      <c r="C191">
        <v>98.15</v>
      </c>
      <c r="D191">
        <v>8.7680000000000007</v>
      </c>
      <c r="E191">
        <v>3.5177999999999998</v>
      </c>
      <c r="F191">
        <v>1045.25</v>
      </c>
      <c r="G191">
        <v>1815.5</v>
      </c>
      <c r="H191">
        <v>20.698</v>
      </c>
      <c r="I191">
        <v>3.6684999999999999</v>
      </c>
      <c r="J191">
        <v>296.60000000000002</v>
      </c>
      <c r="K191">
        <v>1.97</v>
      </c>
      <c r="L191">
        <v>1669.25</v>
      </c>
      <c r="M191">
        <v>71.97</v>
      </c>
      <c r="N191">
        <v>639.75</v>
      </c>
      <c r="O191">
        <v>226.6</v>
      </c>
      <c r="P191">
        <v>181.05</v>
      </c>
      <c r="Q191">
        <v>18.600000000000001</v>
      </c>
      <c r="R191">
        <v>105.51</v>
      </c>
    </row>
    <row r="192" spans="1:18" x14ac:dyDescent="0.25">
      <c r="A192" s="3">
        <v>44784</v>
      </c>
      <c r="B192">
        <v>94.34</v>
      </c>
      <c r="C192">
        <v>99.6</v>
      </c>
      <c r="D192">
        <v>8.8740000000000006</v>
      </c>
      <c r="E192">
        <v>3.484</v>
      </c>
      <c r="F192">
        <v>992</v>
      </c>
      <c r="G192">
        <v>1807.2</v>
      </c>
      <c r="H192">
        <v>20.349</v>
      </c>
      <c r="I192">
        <v>3.7065000000000001</v>
      </c>
      <c r="J192">
        <v>296.77499999999998</v>
      </c>
      <c r="K192">
        <v>1.97</v>
      </c>
      <c r="L192">
        <v>1709.5</v>
      </c>
      <c r="M192">
        <v>71.97</v>
      </c>
      <c r="N192">
        <v>629.25</v>
      </c>
      <c r="O192">
        <v>223.95</v>
      </c>
      <c r="P192">
        <v>182.15</v>
      </c>
      <c r="Q192">
        <v>18.489999999999998</v>
      </c>
      <c r="R192">
        <v>104.994</v>
      </c>
    </row>
    <row r="193" spans="1:18" x14ac:dyDescent="0.25">
      <c r="A193" s="3">
        <v>44783</v>
      </c>
      <c r="B193">
        <v>91.93</v>
      </c>
      <c r="C193">
        <v>97.4</v>
      </c>
      <c r="D193">
        <v>8.202</v>
      </c>
      <c r="E193">
        <v>3.4102999999999999</v>
      </c>
      <c r="F193">
        <v>992</v>
      </c>
      <c r="G193">
        <v>1813.7</v>
      </c>
      <c r="H193">
        <v>20.742000000000001</v>
      </c>
      <c r="I193">
        <v>3.6495000000000002</v>
      </c>
      <c r="J193">
        <v>295</v>
      </c>
      <c r="K193">
        <v>1.968</v>
      </c>
      <c r="L193">
        <v>1688.75</v>
      </c>
      <c r="M193">
        <v>70.56</v>
      </c>
      <c r="N193">
        <v>621.25</v>
      </c>
      <c r="O193">
        <v>220.45</v>
      </c>
      <c r="P193">
        <v>181.05</v>
      </c>
      <c r="Q193">
        <v>18.28</v>
      </c>
      <c r="R193">
        <v>105.08</v>
      </c>
    </row>
    <row r="194" spans="1:18" x14ac:dyDescent="0.25">
      <c r="A194" s="3">
        <v>44782</v>
      </c>
      <c r="B194">
        <v>90.5</v>
      </c>
      <c r="C194">
        <v>96.31</v>
      </c>
      <c r="D194">
        <v>7.8330000000000002</v>
      </c>
      <c r="E194">
        <v>3.3338000000000001</v>
      </c>
      <c r="F194">
        <v>997.75</v>
      </c>
      <c r="G194">
        <v>1812.3</v>
      </c>
      <c r="H194">
        <v>20.481999999999999</v>
      </c>
      <c r="I194">
        <v>3.5855000000000001</v>
      </c>
      <c r="J194">
        <v>293.32499999999999</v>
      </c>
      <c r="K194">
        <v>1.9750000000000001</v>
      </c>
      <c r="L194">
        <v>1693.25</v>
      </c>
      <c r="M194">
        <v>69.69</v>
      </c>
      <c r="N194">
        <v>615.5</v>
      </c>
      <c r="O194">
        <v>212.75</v>
      </c>
      <c r="P194">
        <v>177.1</v>
      </c>
      <c r="Q194">
        <v>17.98</v>
      </c>
      <c r="R194">
        <v>106.252</v>
      </c>
    </row>
    <row r="195" spans="1:18" x14ac:dyDescent="0.25">
      <c r="A195" s="3">
        <v>44781</v>
      </c>
      <c r="B195">
        <v>90.76</v>
      </c>
      <c r="C195">
        <v>96.65</v>
      </c>
      <c r="D195">
        <v>7.5890000000000004</v>
      </c>
      <c r="E195">
        <v>3.1791</v>
      </c>
      <c r="F195">
        <v>953.75</v>
      </c>
      <c r="G195">
        <v>1805.2</v>
      </c>
      <c r="H195">
        <v>20.614000000000001</v>
      </c>
      <c r="I195">
        <v>3.5865</v>
      </c>
      <c r="J195">
        <v>293.97500000000002</v>
      </c>
      <c r="K195">
        <v>1.968</v>
      </c>
      <c r="L195">
        <v>1619.5</v>
      </c>
      <c r="M195">
        <v>69.2</v>
      </c>
      <c r="N195">
        <v>608.5</v>
      </c>
      <c r="O195">
        <v>211.85</v>
      </c>
      <c r="P195">
        <v>176.45</v>
      </c>
      <c r="Q195">
        <v>17.96</v>
      </c>
      <c r="R195">
        <v>106.32299999999999</v>
      </c>
    </row>
    <row r="196" spans="1:18" x14ac:dyDescent="0.25">
      <c r="A196" s="3">
        <v>44780</v>
      </c>
    </row>
    <row r="197" spans="1:18" x14ac:dyDescent="0.25">
      <c r="A197" s="3">
        <v>44779</v>
      </c>
    </row>
    <row r="198" spans="1:18" x14ac:dyDescent="0.25">
      <c r="A198" s="3">
        <v>44778</v>
      </c>
      <c r="B198">
        <v>89.01</v>
      </c>
      <c r="C198">
        <v>94.92</v>
      </c>
      <c r="D198">
        <v>8.0640000000000001</v>
      </c>
      <c r="E198">
        <v>3.2159</v>
      </c>
      <c r="F198">
        <v>990</v>
      </c>
      <c r="G198">
        <v>1791.2</v>
      </c>
      <c r="H198">
        <v>19.841999999999999</v>
      </c>
      <c r="I198">
        <v>3.552</v>
      </c>
      <c r="J198">
        <v>294.25</v>
      </c>
      <c r="K198">
        <v>1.97</v>
      </c>
      <c r="L198">
        <v>1614.75</v>
      </c>
      <c r="M198">
        <v>68.59</v>
      </c>
      <c r="N198">
        <v>610.25</v>
      </c>
      <c r="O198">
        <v>209.45</v>
      </c>
      <c r="P198">
        <v>182.85</v>
      </c>
      <c r="Q198">
        <v>17.940000000000001</v>
      </c>
      <c r="R198">
        <v>106.49</v>
      </c>
    </row>
    <row r="199" spans="1:18" x14ac:dyDescent="0.25">
      <c r="A199" s="3">
        <v>44777</v>
      </c>
      <c r="B199">
        <v>88.54</v>
      </c>
      <c r="C199">
        <v>94.12</v>
      </c>
      <c r="D199">
        <v>8.1219999999999999</v>
      </c>
      <c r="E199">
        <v>3.3372000000000002</v>
      </c>
      <c r="F199">
        <v>1009</v>
      </c>
      <c r="G199">
        <v>1806.9</v>
      </c>
      <c r="H199">
        <v>20.122</v>
      </c>
      <c r="I199">
        <v>3.4815</v>
      </c>
      <c r="J199">
        <v>294.52499999999998</v>
      </c>
      <c r="K199">
        <v>1.9570000000000001</v>
      </c>
      <c r="L199">
        <v>1615</v>
      </c>
      <c r="M199">
        <v>66.040000000000006</v>
      </c>
      <c r="N199">
        <v>602.25</v>
      </c>
      <c r="O199">
        <v>219.3</v>
      </c>
      <c r="P199">
        <v>179.45</v>
      </c>
      <c r="Q199">
        <v>17.55</v>
      </c>
      <c r="R199">
        <v>105.566</v>
      </c>
    </row>
    <row r="200" spans="1:18" x14ac:dyDescent="0.25">
      <c r="A200" s="3">
        <v>44776</v>
      </c>
      <c r="B200">
        <v>90.66</v>
      </c>
      <c r="C200">
        <v>96.78</v>
      </c>
      <c r="D200">
        <v>8.266</v>
      </c>
      <c r="E200">
        <v>3.4148000000000001</v>
      </c>
      <c r="F200">
        <v>1035</v>
      </c>
      <c r="G200">
        <v>1776.4</v>
      </c>
      <c r="H200">
        <v>19.893999999999998</v>
      </c>
      <c r="I200">
        <v>3.4670000000000001</v>
      </c>
      <c r="J200">
        <v>294.61</v>
      </c>
      <c r="K200">
        <v>2.202</v>
      </c>
      <c r="L200">
        <v>1558</v>
      </c>
      <c r="M200">
        <v>65.08</v>
      </c>
      <c r="N200">
        <v>591.5</v>
      </c>
      <c r="O200">
        <v>214.65</v>
      </c>
      <c r="P200">
        <v>176.65</v>
      </c>
      <c r="Q200">
        <v>17.77</v>
      </c>
      <c r="R200">
        <v>106.377</v>
      </c>
    </row>
    <row r="201" spans="1:18" x14ac:dyDescent="0.25">
      <c r="A201" s="3">
        <v>44775</v>
      </c>
      <c r="B201">
        <v>94.42</v>
      </c>
      <c r="C201">
        <v>100.54</v>
      </c>
      <c r="D201">
        <v>7.7060000000000004</v>
      </c>
      <c r="E201">
        <v>3.3803999999999998</v>
      </c>
      <c r="F201">
        <v>1014.5</v>
      </c>
      <c r="G201">
        <v>1789.7</v>
      </c>
      <c r="H201">
        <v>20.138999999999999</v>
      </c>
      <c r="I201">
        <v>3.5185</v>
      </c>
      <c r="J201">
        <v>295.47500000000002</v>
      </c>
      <c r="K201">
        <v>2.2000000000000002</v>
      </c>
      <c r="L201">
        <v>1569.25</v>
      </c>
      <c r="M201">
        <v>65.2</v>
      </c>
      <c r="N201">
        <v>591.25</v>
      </c>
      <c r="O201">
        <v>209.9</v>
      </c>
      <c r="P201">
        <v>171.9</v>
      </c>
      <c r="Q201">
        <v>17.690000000000001</v>
      </c>
      <c r="R201">
        <v>106.104</v>
      </c>
    </row>
    <row r="202" spans="1:18" x14ac:dyDescent="0.25">
      <c r="A202" s="3">
        <v>44774</v>
      </c>
      <c r="B202">
        <v>93.89</v>
      </c>
      <c r="C202">
        <v>100.03</v>
      </c>
      <c r="D202">
        <v>8.2829999999999995</v>
      </c>
      <c r="E202">
        <v>3.44</v>
      </c>
      <c r="F202">
        <v>1028.5</v>
      </c>
      <c r="G202">
        <v>1787.7</v>
      </c>
      <c r="H202">
        <v>20.361999999999998</v>
      </c>
      <c r="I202">
        <v>3.5425</v>
      </c>
      <c r="J202">
        <v>294.97500000000002</v>
      </c>
      <c r="K202">
        <v>2.2000000000000002</v>
      </c>
      <c r="L202">
        <v>1594.25</v>
      </c>
      <c r="M202">
        <v>66.23</v>
      </c>
      <c r="N202">
        <v>607</v>
      </c>
      <c r="O202">
        <v>213.2</v>
      </c>
      <c r="P202">
        <v>170.1</v>
      </c>
      <c r="Q202">
        <v>17.600000000000001</v>
      </c>
      <c r="R202">
        <v>105.336</v>
      </c>
    </row>
    <row r="203" spans="1:18" x14ac:dyDescent="0.25">
      <c r="A203" s="3">
        <v>44773</v>
      </c>
    </row>
    <row r="204" spans="1:18" x14ac:dyDescent="0.25">
      <c r="A204" s="3">
        <v>44772</v>
      </c>
    </row>
    <row r="205" spans="1:18" x14ac:dyDescent="0.25">
      <c r="A205" s="3">
        <v>44771</v>
      </c>
      <c r="B205">
        <v>98.62</v>
      </c>
      <c r="C205">
        <v>110.01</v>
      </c>
      <c r="D205">
        <v>8.2289999999999992</v>
      </c>
      <c r="E205">
        <v>3.6246999999999998</v>
      </c>
      <c r="F205">
        <v>1106.5</v>
      </c>
      <c r="G205">
        <v>1781.8</v>
      </c>
      <c r="H205">
        <v>20.196999999999999</v>
      </c>
      <c r="I205">
        <v>3.5735000000000001</v>
      </c>
      <c r="J205">
        <v>294.97500000000002</v>
      </c>
      <c r="K205">
        <v>2.2000000000000002</v>
      </c>
      <c r="L205">
        <v>1637</v>
      </c>
      <c r="M205">
        <v>68.599999999999994</v>
      </c>
      <c r="N205">
        <v>616.25</v>
      </c>
      <c r="O205">
        <v>217.2</v>
      </c>
      <c r="P205">
        <v>172</v>
      </c>
      <c r="Q205">
        <v>17.54</v>
      </c>
      <c r="R205">
        <v>105.779</v>
      </c>
    </row>
    <row r="206" spans="1:18" x14ac:dyDescent="0.25">
      <c r="A206" s="3">
        <v>44770</v>
      </c>
      <c r="B206">
        <v>96.42</v>
      </c>
      <c r="C206">
        <v>107.14</v>
      </c>
      <c r="D206">
        <v>8.1340000000000003</v>
      </c>
      <c r="E206">
        <v>3.6863000000000001</v>
      </c>
      <c r="F206">
        <v>1103.75</v>
      </c>
      <c r="G206">
        <v>1769.2</v>
      </c>
      <c r="H206">
        <v>19.867999999999999</v>
      </c>
      <c r="I206">
        <v>3.4744999999999999</v>
      </c>
      <c r="J206">
        <v>294.97500000000002</v>
      </c>
      <c r="K206">
        <v>2.202</v>
      </c>
      <c r="L206">
        <v>1609.25</v>
      </c>
      <c r="M206">
        <v>65.84</v>
      </c>
      <c r="N206">
        <v>615</v>
      </c>
      <c r="O206">
        <v>218.4</v>
      </c>
      <c r="P206">
        <v>169.25</v>
      </c>
      <c r="Q206">
        <v>17.72</v>
      </c>
      <c r="R206">
        <v>106.236</v>
      </c>
    </row>
    <row r="207" spans="1:18" x14ac:dyDescent="0.25">
      <c r="A207" s="3">
        <v>44769</v>
      </c>
      <c r="B207">
        <v>97.26</v>
      </c>
      <c r="C207">
        <v>106.62</v>
      </c>
      <c r="D207">
        <v>8.6869999999999994</v>
      </c>
      <c r="E207">
        <v>3.7172999999999998</v>
      </c>
      <c r="F207">
        <v>1101.5</v>
      </c>
      <c r="G207">
        <v>1719.1</v>
      </c>
      <c r="H207">
        <v>18.600000000000001</v>
      </c>
      <c r="I207">
        <v>3.43</v>
      </c>
      <c r="J207">
        <v>294.42500000000001</v>
      </c>
      <c r="K207">
        <v>2.202</v>
      </c>
      <c r="L207">
        <v>1578.75</v>
      </c>
      <c r="M207">
        <v>61.18</v>
      </c>
      <c r="N207">
        <v>600.25</v>
      </c>
      <c r="O207">
        <v>219.1</v>
      </c>
      <c r="P207">
        <v>166.7</v>
      </c>
      <c r="Q207">
        <v>17.399999999999999</v>
      </c>
      <c r="R207">
        <v>106.331</v>
      </c>
    </row>
    <row r="208" spans="1:18" x14ac:dyDescent="0.25">
      <c r="A208" s="3">
        <v>44768</v>
      </c>
      <c r="B208">
        <v>94.98</v>
      </c>
      <c r="C208">
        <v>104.4</v>
      </c>
      <c r="D208">
        <v>8.9930000000000003</v>
      </c>
      <c r="E208">
        <v>3.5838999999999999</v>
      </c>
      <c r="F208">
        <v>1069.5</v>
      </c>
      <c r="G208">
        <v>1717.7</v>
      </c>
      <c r="H208">
        <v>18.535</v>
      </c>
      <c r="I208">
        <v>3.3845000000000001</v>
      </c>
      <c r="J208">
        <v>294.375</v>
      </c>
      <c r="K208">
        <v>2.202</v>
      </c>
      <c r="L208">
        <v>1532.75</v>
      </c>
      <c r="M208">
        <v>60.42</v>
      </c>
      <c r="N208">
        <v>597</v>
      </c>
      <c r="O208">
        <v>213.2</v>
      </c>
      <c r="P208">
        <v>157.5</v>
      </c>
      <c r="Q208">
        <v>17.47</v>
      </c>
      <c r="R208">
        <v>107.044</v>
      </c>
    </row>
    <row r="209" spans="1:18" x14ac:dyDescent="0.25">
      <c r="A209" s="3">
        <v>44767</v>
      </c>
      <c r="B209">
        <v>96.7</v>
      </c>
      <c r="C209">
        <v>105.15</v>
      </c>
      <c r="D209">
        <v>8.7270000000000003</v>
      </c>
      <c r="E209">
        <v>3.5165999999999999</v>
      </c>
      <c r="F209">
        <v>1055.75</v>
      </c>
      <c r="G209">
        <v>1719.1</v>
      </c>
      <c r="H209">
        <v>18.327999999999999</v>
      </c>
      <c r="I209">
        <v>3.3544999999999998</v>
      </c>
      <c r="J209">
        <v>295.17500000000001</v>
      </c>
      <c r="K209">
        <v>2.2069999999999999</v>
      </c>
      <c r="L209">
        <v>1473</v>
      </c>
      <c r="M209">
        <v>60.01</v>
      </c>
      <c r="N209">
        <v>580</v>
      </c>
      <c r="O209">
        <v>210.05</v>
      </c>
      <c r="P209">
        <v>151.75</v>
      </c>
      <c r="Q209">
        <v>17.47</v>
      </c>
      <c r="R209">
        <v>106.355</v>
      </c>
    </row>
    <row r="210" spans="1:18" x14ac:dyDescent="0.25">
      <c r="A210" s="3">
        <v>44766</v>
      </c>
    </row>
    <row r="211" spans="1:18" x14ac:dyDescent="0.25">
      <c r="A211" s="3">
        <v>44765</v>
      </c>
    </row>
    <row r="212" spans="1:18" x14ac:dyDescent="0.25">
      <c r="A212" s="3">
        <v>44764</v>
      </c>
      <c r="B212">
        <v>94.7</v>
      </c>
      <c r="C212">
        <v>103.2</v>
      </c>
      <c r="D212">
        <v>8.2989999999999995</v>
      </c>
      <c r="E212">
        <v>3.4556</v>
      </c>
      <c r="F212">
        <v>1067.5</v>
      </c>
      <c r="G212">
        <v>1727.4</v>
      </c>
      <c r="H212">
        <v>18.617000000000001</v>
      </c>
      <c r="I212">
        <v>3.3494999999999999</v>
      </c>
      <c r="J212">
        <v>295.64999999999998</v>
      </c>
      <c r="K212">
        <v>2.2040000000000002</v>
      </c>
      <c r="L212">
        <v>1434.5</v>
      </c>
      <c r="M212">
        <v>60.32</v>
      </c>
      <c r="N212">
        <v>564.25</v>
      </c>
      <c r="O212">
        <v>206.7</v>
      </c>
      <c r="P212">
        <v>152.85</v>
      </c>
      <c r="Q212">
        <v>17.89</v>
      </c>
      <c r="R212">
        <v>106.621</v>
      </c>
    </row>
    <row r="213" spans="1:18" x14ac:dyDescent="0.25">
      <c r="A213" s="3">
        <v>44763</v>
      </c>
      <c r="B213">
        <v>96.35</v>
      </c>
      <c r="C213">
        <v>103.86</v>
      </c>
      <c r="D213">
        <v>7.9320000000000004</v>
      </c>
      <c r="E213">
        <v>3.5903</v>
      </c>
      <c r="F213">
        <v>1026.5</v>
      </c>
      <c r="G213">
        <v>1713.4</v>
      </c>
      <c r="H213">
        <v>18.719000000000001</v>
      </c>
      <c r="I213">
        <v>3.2985000000000002</v>
      </c>
      <c r="J213">
        <v>294.89999999999998</v>
      </c>
      <c r="K213">
        <v>2.2090000000000001</v>
      </c>
      <c r="L213">
        <v>1418.5</v>
      </c>
      <c r="M213">
        <v>58.6</v>
      </c>
      <c r="N213">
        <v>575.75</v>
      </c>
      <c r="O213">
        <v>215.85</v>
      </c>
      <c r="P213">
        <v>153.4</v>
      </c>
      <c r="Q213">
        <v>18.350000000000001</v>
      </c>
      <c r="R213">
        <v>106.804</v>
      </c>
    </row>
    <row r="214" spans="1:18" x14ac:dyDescent="0.25">
      <c r="A214" s="3">
        <v>44762</v>
      </c>
      <c r="B214">
        <v>102.26</v>
      </c>
      <c r="C214">
        <v>106.92</v>
      </c>
      <c r="D214">
        <v>8.0069999999999997</v>
      </c>
      <c r="E214">
        <v>3.6042999999999998</v>
      </c>
      <c r="F214">
        <v>1071.75</v>
      </c>
      <c r="G214">
        <v>1700.2</v>
      </c>
      <c r="H214">
        <v>18.667999999999999</v>
      </c>
      <c r="I214">
        <v>3.3250000000000002</v>
      </c>
      <c r="J214">
        <v>294.45</v>
      </c>
      <c r="K214">
        <v>2.214</v>
      </c>
      <c r="L214">
        <v>1449</v>
      </c>
      <c r="M214">
        <v>60.03</v>
      </c>
      <c r="N214">
        <v>592.25</v>
      </c>
      <c r="O214">
        <v>218.15</v>
      </c>
      <c r="P214">
        <v>154.69999999999999</v>
      </c>
      <c r="Q214">
        <v>18.670000000000002</v>
      </c>
      <c r="R214">
        <v>106.953</v>
      </c>
    </row>
    <row r="215" spans="1:18" x14ac:dyDescent="0.25">
      <c r="A215" s="3">
        <v>44761</v>
      </c>
      <c r="B215">
        <v>104.22</v>
      </c>
      <c r="C215">
        <v>107.35</v>
      </c>
      <c r="D215">
        <v>7.2640000000000002</v>
      </c>
      <c r="E215">
        <v>3.6267999999999998</v>
      </c>
      <c r="F215">
        <v>1068.25</v>
      </c>
      <c r="G215">
        <v>1710.7</v>
      </c>
      <c r="H215">
        <v>18.713000000000001</v>
      </c>
      <c r="I215">
        <v>3.2909999999999999</v>
      </c>
      <c r="J215">
        <v>294.52499999999998</v>
      </c>
      <c r="K215">
        <v>2.2130000000000001</v>
      </c>
      <c r="L215">
        <v>1477.25</v>
      </c>
      <c r="M215">
        <v>61.89</v>
      </c>
      <c r="N215">
        <v>596.75</v>
      </c>
      <c r="O215">
        <v>220.4</v>
      </c>
      <c r="P215">
        <v>157.35</v>
      </c>
      <c r="Q215">
        <v>18.84</v>
      </c>
      <c r="R215">
        <v>106.55</v>
      </c>
    </row>
    <row r="216" spans="1:18" x14ac:dyDescent="0.25">
      <c r="A216" s="3">
        <v>44760</v>
      </c>
      <c r="B216">
        <v>102.6</v>
      </c>
      <c r="C216">
        <v>106.27</v>
      </c>
      <c r="D216">
        <v>7.4790000000000001</v>
      </c>
      <c r="E216">
        <v>3.6555</v>
      </c>
      <c r="F216">
        <v>1115.25</v>
      </c>
      <c r="G216">
        <v>1710.2</v>
      </c>
      <c r="H216">
        <v>18.84</v>
      </c>
      <c r="I216">
        <v>3.3460000000000001</v>
      </c>
      <c r="J216">
        <v>294</v>
      </c>
      <c r="K216">
        <v>2.214</v>
      </c>
      <c r="L216">
        <v>1497.25</v>
      </c>
      <c r="M216">
        <v>63.2</v>
      </c>
      <c r="N216">
        <v>612.25</v>
      </c>
      <c r="O216">
        <v>219.1</v>
      </c>
      <c r="P216">
        <v>151.9</v>
      </c>
      <c r="Q216">
        <v>19.41</v>
      </c>
      <c r="R216">
        <v>107.23099999999999</v>
      </c>
    </row>
    <row r="217" spans="1:18" x14ac:dyDescent="0.25">
      <c r="A217" s="3">
        <v>44759</v>
      </c>
    </row>
    <row r="218" spans="1:18" x14ac:dyDescent="0.25">
      <c r="A218" s="3">
        <v>44758</v>
      </c>
    </row>
    <row r="219" spans="1:18" x14ac:dyDescent="0.25">
      <c r="A219" s="3">
        <v>44757</v>
      </c>
      <c r="B219">
        <v>97.59</v>
      </c>
      <c r="C219">
        <v>101.16</v>
      </c>
      <c r="D219">
        <v>7.016</v>
      </c>
      <c r="E219">
        <v>3.6989999999999998</v>
      </c>
      <c r="F219">
        <v>1112.5</v>
      </c>
      <c r="G219">
        <v>1703.6</v>
      </c>
      <c r="H219">
        <v>18.594000000000001</v>
      </c>
      <c r="I219">
        <v>3.234</v>
      </c>
      <c r="J219">
        <v>293.10000000000002</v>
      </c>
      <c r="K219">
        <v>2.2160000000000002</v>
      </c>
      <c r="L219">
        <v>1466</v>
      </c>
      <c r="M219">
        <v>60.08</v>
      </c>
      <c r="N219">
        <v>604.25</v>
      </c>
      <c r="O219">
        <v>203.7</v>
      </c>
      <c r="P219">
        <v>150.65</v>
      </c>
      <c r="Q219">
        <v>19.25</v>
      </c>
      <c r="R219">
        <v>107.911</v>
      </c>
    </row>
    <row r="220" spans="1:18" x14ac:dyDescent="0.25">
      <c r="A220" s="3">
        <v>44756</v>
      </c>
      <c r="B220">
        <v>95.78</v>
      </c>
      <c r="C220">
        <v>99.1</v>
      </c>
      <c r="D220">
        <v>6.6</v>
      </c>
      <c r="E220">
        <v>3.6494</v>
      </c>
      <c r="F220">
        <v>1067.25</v>
      </c>
      <c r="G220">
        <v>1705.8</v>
      </c>
      <c r="H220">
        <v>18.225000000000001</v>
      </c>
      <c r="I220">
        <v>3.2115</v>
      </c>
      <c r="J220">
        <v>292.57499999999999</v>
      </c>
      <c r="K220">
        <v>2.2149999999999999</v>
      </c>
      <c r="L220">
        <v>1610</v>
      </c>
      <c r="M220">
        <v>59.8</v>
      </c>
      <c r="N220">
        <v>695</v>
      </c>
      <c r="O220">
        <v>199.2</v>
      </c>
      <c r="P220">
        <v>151.80000000000001</v>
      </c>
      <c r="Q220">
        <v>18.97</v>
      </c>
      <c r="R220">
        <v>108.407</v>
      </c>
    </row>
    <row r="221" spans="1:18" x14ac:dyDescent="0.25">
      <c r="A221" s="3">
        <v>44755</v>
      </c>
      <c r="B221">
        <v>96.3</v>
      </c>
      <c r="C221">
        <v>99.57</v>
      </c>
      <c r="D221">
        <v>6.6890000000000001</v>
      </c>
      <c r="E221">
        <v>3.6659000000000002</v>
      </c>
      <c r="F221">
        <v>1095.5</v>
      </c>
      <c r="G221">
        <v>1735.5</v>
      </c>
      <c r="H221">
        <v>19.193999999999999</v>
      </c>
      <c r="I221">
        <v>3.3224999999999998</v>
      </c>
      <c r="J221">
        <v>292.5</v>
      </c>
      <c r="K221">
        <v>2.2170000000000001</v>
      </c>
      <c r="L221">
        <v>1588.25</v>
      </c>
      <c r="M221">
        <v>60.21</v>
      </c>
      <c r="N221">
        <v>740</v>
      </c>
      <c r="O221">
        <v>211.25</v>
      </c>
      <c r="P221">
        <v>152.30000000000001</v>
      </c>
      <c r="Q221">
        <v>19.14</v>
      </c>
      <c r="R221">
        <v>107.756</v>
      </c>
    </row>
    <row r="222" spans="1:18" x14ac:dyDescent="0.25">
      <c r="A222" s="3">
        <v>44754</v>
      </c>
      <c r="B222">
        <v>95.84</v>
      </c>
      <c r="C222">
        <v>99.49</v>
      </c>
      <c r="D222">
        <v>6.1630000000000003</v>
      </c>
      <c r="E222">
        <v>3.6625999999999999</v>
      </c>
      <c r="F222">
        <v>1192.5</v>
      </c>
      <c r="G222">
        <v>1724.8</v>
      </c>
      <c r="H222">
        <v>18.957999999999998</v>
      </c>
      <c r="I222">
        <v>3.2879999999999998</v>
      </c>
      <c r="J222">
        <v>293.25</v>
      </c>
      <c r="K222">
        <v>2.2149999999999999</v>
      </c>
      <c r="L222">
        <v>1592.75</v>
      </c>
      <c r="M222">
        <v>61.41</v>
      </c>
      <c r="N222">
        <v>732.75</v>
      </c>
      <c r="O222">
        <v>209.25</v>
      </c>
      <c r="P222">
        <v>156.4</v>
      </c>
      <c r="Q222">
        <v>18.690000000000001</v>
      </c>
      <c r="R222">
        <v>107.91200000000001</v>
      </c>
    </row>
    <row r="223" spans="1:18" x14ac:dyDescent="0.25">
      <c r="A223" s="3">
        <v>44753</v>
      </c>
      <c r="B223">
        <v>104.09</v>
      </c>
      <c r="C223">
        <v>107.1</v>
      </c>
      <c r="D223">
        <v>6.4260000000000002</v>
      </c>
      <c r="E223">
        <v>3.7681</v>
      </c>
      <c r="F223">
        <v>1192.5</v>
      </c>
      <c r="G223">
        <v>1731.7</v>
      </c>
      <c r="H223">
        <v>19.132000000000001</v>
      </c>
      <c r="I223">
        <v>3.4304999999999999</v>
      </c>
      <c r="J223">
        <v>294.10000000000002</v>
      </c>
      <c r="K223">
        <v>2.222</v>
      </c>
      <c r="L223">
        <v>1641</v>
      </c>
      <c r="M223">
        <v>65.209999999999994</v>
      </c>
      <c r="N223">
        <v>781.25</v>
      </c>
      <c r="O223">
        <v>216.9</v>
      </c>
      <c r="P223">
        <v>175.2</v>
      </c>
      <c r="Q223">
        <v>18.86</v>
      </c>
      <c r="R223">
        <v>107.82899999999999</v>
      </c>
    </row>
    <row r="224" spans="1:18" x14ac:dyDescent="0.25">
      <c r="A224" s="3">
        <v>44752</v>
      </c>
    </row>
    <row r="225" spans="1:18" x14ac:dyDescent="0.25">
      <c r="A225" s="3">
        <v>44751</v>
      </c>
    </row>
    <row r="226" spans="1:18" x14ac:dyDescent="0.25">
      <c r="A226" s="3">
        <v>44750</v>
      </c>
      <c r="B226">
        <v>104.79</v>
      </c>
      <c r="C226">
        <v>107.02</v>
      </c>
      <c r="D226">
        <v>6.0339999999999998</v>
      </c>
      <c r="E226">
        <v>3.6728999999999998</v>
      </c>
      <c r="F226">
        <v>1133.5</v>
      </c>
      <c r="G226">
        <v>1742.3</v>
      </c>
      <c r="H226">
        <v>19.236000000000001</v>
      </c>
      <c r="I226">
        <v>3.5219999999999998</v>
      </c>
      <c r="J226">
        <v>292.47500000000002</v>
      </c>
      <c r="K226">
        <v>2.2189999999999999</v>
      </c>
      <c r="L226">
        <v>1630.25</v>
      </c>
      <c r="M226">
        <v>64.069999999999993</v>
      </c>
      <c r="N226">
        <v>778.25</v>
      </c>
      <c r="O226">
        <v>222.9</v>
      </c>
      <c r="P226">
        <v>174.9</v>
      </c>
      <c r="Q226">
        <v>19.02</v>
      </c>
      <c r="R226">
        <v>106.821</v>
      </c>
    </row>
    <row r="227" spans="1:18" x14ac:dyDescent="0.25">
      <c r="A227" s="3">
        <v>44749</v>
      </c>
      <c r="B227">
        <v>102.73</v>
      </c>
      <c r="C227">
        <v>104.65</v>
      </c>
      <c r="D227">
        <v>6.2969999999999997</v>
      </c>
      <c r="E227">
        <v>3.6739000000000002</v>
      </c>
      <c r="F227">
        <v>1129.25</v>
      </c>
      <c r="G227">
        <v>1739.7</v>
      </c>
      <c r="H227">
        <v>19.187999999999999</v>
      </c>
      <c r="I227">
        <v>3.5720000000000001</v>
      </c>
      <c r="J227">
        <v>292.17500000000001</v>
      </c>
      <c r="K227">
        <v>2.2050000000000001</v>
      </c>
      <c r="L227">
        <v>1591.25</v>
      </c>
      <c r="M227">
        <v>63.17</v>
      </c>
      <c r="N227">
        <v>747</v>
      </c>
      <c r="O227">
        <v>222.2</v>
      </c>
      <c r="P227">
        <v>173.65</v>
      </c>
      <c r="Q227">
        <v>18.52</v>
      </c>
      <c r="R227">
        <v>106.959</v>
      </c>
    </row>
    <row r="228" spans="1:18" x14ac:dyDescent="0.25">
      <c r="A228" s="3">
        <v>44748</v>
      </c>
      <c r="B228">
        <v>98.53</v>
      </c>
      <c r="C228">
        <v>100.69</v>
      </c>
      <c r="D228">
        <v>5.51</v>
      </c>
      <c r="E228">
        <v>3.4106000000000001</v>
      </c>
      <c r="F228">
        <v>1082.75</v>
      </c>
      <c r="G228">
        <v>1736.5</v>
      </c>
      <c r="H228">
        <v>19.158999999999999</v>
      </c>
      <c r="I228">
        <v>3.4079999999999999</v>
      </c>
      <c r="J228">
        <v>291</v>
      </c>
      <c r="K228">
        <v>2.1800000000000002</v>
      </c>
      <c r="L228">
        <v>1580.25</v>
      </c>
      <c r="M228">
        <v>60.22</v>
      </c>
      <c r="N228">
        <v>744.25</v>
      </c>
      <c r="O228">
        <v>222.5</v>
      </c>
      <c r="P228">
        <v>180.7</v>
      </c>
      <c r="Q228">
        <v>17.989999999999998</v>
      </c>
      <c r="R228">
        <v>106.898</v>
      </c>
    </row>
    <row r="229" spans="1:18" x14ac:dyDescent="0.25">
      <c r="A229" s="3">
        <v>44747</v>
      </c>
      <c r="B229">
        <v>99.5</v>
      </c>
      <c r="C229">
        <v>102.77</v>
      </c>
      <c r="D229">
        <v>5.5229999999999997</v>
      </c>
      <c r="E229">
        <v>3.6015999999999999</v>
      </c>
      <c r="F229">
        <v>1153.75</v>
      </c>
      <c r="G229">
        <v>1763.9</v>
      </c>
      <c r="H229">
        <v>19.120999999999999</v>
      </c>
      <c r="I229">
        <v>3.415</v>
      </c>
      <c r="J229">
        <v>292</v>
      </c>
      <c r="K229">
        <v>2.1560000000000001</v>
      </c>
      <c r="L229">
        <v>1575.25</v>
      </c>
      <c r="M229">
        <v>60.52</v>
      </c>
      <c r="N229">
        <v>736</v>
      </c>
      <c r="O229">
        <v>224.65</v>
      </c>
      <c r="P229">
        <v>172.95</v>
      </c>
      <c r="Q229">
        <v>17.8</v>
      </c>
      <c r="R229">
        <v>106.32</v>
      </c>
    </row>
    <row r="230" spans="1:18" x14ac:dyDescent="0.25">
      <c r="A230" s="3">
        <v>44746</v>
      </c>
      <c r="C230">
        <v>113.5</v>
      </c>
      <c r="F230">
        <v>1238.75</v>
      </c>
    </row>
    <row r="231" spans="1:18" x14ac:dyDescent="0.25">
      <c r="A231" s="3">
        <v>44745</v>
      </c>
    </row>
    <row r="232" spans="1:18" x14ac:dyDescent="0.25">
      <c r="A232" s="3">
        <v>44744</v>
      </c>
    </row>
    <row r="233" spans="1:18" x14ac:dyDescent="0.25">
      <c r="A233" s="3">
        <v>44743</v>
      </c>
      <c r="B233">
        <v>108.43</v>
      </c>
      <c r="C233">
        <v>111.63</v>
      </c>
      <c r="D233">
        <v>5.73</v>
      </c>
      <c r="E233">
        <v>3.9388999999999998</v>
      </c>
      <c r="F233">
        <v>1226.5</v>
      </c>
      <c r="G233">
        <v>1801.5</v>
      </c>
      <c r="H233">
        <v>19.667000000000002</v>
      </c>
      <c r="I233">
        <v>3.6040000000000001</v>
      </c>
      <c r="J233">
        <v>294.8</v>
      </c>
      <c r="K233">
        <v>2.1859999999999999</v>
      </c>
      <c r="L233">
        <v>1626</v>
      </c>
      <c r="M233">
        <v>65.680000000000007</v>
      </c>
      <c r="N233">
        <v>754.5</v>
      </c>
      <c r="O233">
        <v>228.45</v>
      </c>
      <c r="P233">
        <v>177.1</v>
      </c>
      <c r="Q233">
        <v>18.07</v>
      </c>
      <c r="R233">
        <v>104.90900000000001</v>
      </c>
    </row>
    <row r="234" spans="1:18" x14ac:dyDescent="0.25">
      <c r="A234" s="3">
        <v>44742</v>
      </c>
      <c r="B234">
        <v>105.76</v>
      </c>
      <c r="C234">
        <v>114.81</v>
      </c>
      <c r="D234">
        <v>5.4240000000000004</v>
      </c>
      <c r="E234">
        <v>3.8982000000000001</v>
      </c>
      <c r="F234">
        <v>1160</v>
      </c>
      <c r="G234">
        <v>1807.3</v>
      </c>
      <c r="H234">
        <v>20.352</v>
      </c>
      <c r="I234">
        <v>3.71</v>
      </c>
      <c r="J234">
        <v>295.22500000000002</v>
      </c>
      <c r="K234">
        <v>2.2000000000000002</v>
      </c>
      <c r="L234">
        <v>1675</v>
      </c>
      <c r="M234">
        <v>69.930000000000007</v>
      </c>
      <c r="N234">
        <v>743.75</v>
      </c>
      <c r="O234">
        <v>233.6</v>
      </c>
      <c r="P234">
        <v>179.65</v>
      </c>
      <c r="Q234">
        <v>18.829999999999998</v>
      </c>
      <c r="R234">
        <v>104.464</v>
      </c>
    </row>
    <row r="235" spans="1:18" x14ac:dyDescent="0.25">
      <c r="A235" s="3">
        <v>44741</v>
      </c>
      <c r="B235">
        <v>109.78</v>
      </c>
      <c r="C235">
        <v>116.26</v>
      </c>
      <c r="D235">
        <v>6.4980000000000002</v>
      </c>
      <c r="E235">
        <v>4.0366999999999997</v>
      </c>
      <c r="F235">
        <v>1219.75</v>
      </c>
      <c r="G235">
        <v>1817.5</v>
      </c>
      <c r="H235">
        <v>20.738</v>
      </c>
      <c r="I235">
        <v>3.7805</v>
      </c>
      <c r="J235">
        <v>292.32</v>
      </c>
      <c r="K235">
        <v>2.35</v>
      </c>
      <c r="L235">
        <v>1674.25</v>
      </c>
      <c r="M235">
        <v>72.599999999999994</v>
      </c>
      <c r="N235">
        <v>770.25</v>
      </c>
      <c r="O235">
        <v>232.65</v>
      </c>
      <c r="P235">
        <v>179.5</v>
      </c>
      <c r="Q235">
        <v>18.55</v>
      </c>
      <c r="R235">
        <v>104.849</v>
      </c>
    </row>
    <row r="236" spans="1:18" x14ac:dyDescent="0.25">
      <c r="A236" s="3">
        <v>44740</v>
      </c>
      <c r="B236">
        <v>111.76</v>
      </c>
      <c r="C236">
        <v>117.98</v>
      </c>
      <c r="D236">
        <v>6.5510000000000002</v>
      </c>
      <c r="E236">
        <v>4.1993999999999998</v>
      </c>
      <c r="F236">
        <v>1218.75</v>
      </c>
      <c r="G236">
        <v>1821.2</v>
      </c>
      <c r="H236">
        <v>20.806000000000001</v>
      </c>
      <c r="I236">
        <v>3.774</v>
      </c>
      <c r="J236">
        <v>292.95</v>
      </c>
      <c r="K236">
        <v>2.3479999999999999</v>
      </c>
      <c r="L236">
        <v>1663.75</v>
      </c>
      <c r="M236">
        <v>72.09</v>
      </c>
      <c r="N236">
        <v>759.5</v>
      </c>
      <c r="O236">
        <v>221.9</v>
      </c>
      <c r="P236">
        <v>177.8</v>
      </c>
      <c r="Q236">
        <v>18.53</v>
      </c>
      <c r="R236">
        <v>104.261</v>
      </c>
    </row>
    <row r="237" spans="1:18" x14ac:dyDescent="0.25">
      <c r="A237" s="3">
        <v>44739</v>
      </c>
      <c r="B237">
        <v>109.57</v>
      </c>
      <c r="C237">
        <v>115.09</v>
      </c>
      <c r="D237">
        <v>6.5010000000000003</v>
      </c>
      <c r="E237">
        <v>4.2302</v>
      </c>
      <c r="F237">
        <v>1262.5</v>
      </c>
      <c r="G237">
        <v>1824.8</v>
      </c>
      <c r="H237">
        <v>21.167999999999999</v>
      </c>
      <c r="I237">
        <v>3.7625000000000002</v>
      </c>
      <c r="J237">
        <v>291.5</v>
      </c>
      <c r="K237">
        <v>2.3479999999999999</v>
      </c>
      <c r="L237">
        <v>1630.5</v>
      </c>
      <c r="M237">
        <v>70.819999999999993</v>
      </c>
      <c r="N237">
        <v>744.25</v>
      </c>
      <c r="O237">
        <v>226</v>
      </c>
      <c r="P237">
        <v>168.15</v>
      </c>
      <c r="Q237">
        <v>18.3</v>
      </c>
      <c r="R237">
        <v>103.678</v>
      </c>
    </row>
    <row r="238" spans="1:18" x14ac:dyDescent="0.25">
      <c r="A238" s="3">
        <v>44738</v>
      </c>
    </row>
    <row r="239" spans="1:18" x14ac:dyDescent="0.25">
      <c r="A239" s="3">
        <v>44737</v>
      </c>
    </row>
    <row r="240" spans="1:18" x14ac:dyDescent="0.25">
      <c r="A240" s="3">
        <v>44736</v>
      </c>
      <c r="B240">
        <v>107.62</v>
      </c>
      <c r="C240">
        <v>113.12</v>
      </c>
      <c r="D240">
        <v>6.22</v>
      </c>
      <c r="E240">
        <v>4.3628999999999998</v>
      </c>
      <c r="F240">
        <v>1302</v>
      </c>
      <c r="G240">
        <v>1830.3</v>
      </c>
      <c r="H240">
        <v>21.125</v>
      </c>
      <c r="I240">
        <v>3.7404999999999999</v>
      </c>
      <c r="J240">
        <v>291.5</v>
      </c>
      <c r="K240">
        <v>2.3460000000000001</v>
      </c>
      <c r="L240">
        <v>1610.75</v>
      </c>
      <c r="M240">
        <v>69.75</v>
      </c>
      <c r="N240">
        <v>750.25</v>
      </c>
      <c r="O240">
        <v>226.6</v>
      </c>
      <c r="P240">
        <v>164.15</v>
      </c>
      <c r="Q240">
        <v>18.37</v>
      </c>
      <c r="R240">
        <v>103.959</v>
      </c>
    </row>
    <row r="241" spans="1:18" x14ac:dyDescent="0.25">
      <c r="A241" s="3">
        <v>44735</v>
      </c>
      <c r="B241">
        <v>104.27</v>
      </c>
      <c r="C241">
        <v>110.05</v>
      </c>
      <c r="D241">
        <v>6.2389999999999999</v>
      </c>
      <c r="E241">
        <v>4.3379000000000003</v>
      </c>
      <c r="F241">
        <v>1290.5</v>
      </c>
      <c r="G241">
        <v>1829.8</v>
      </c>
      <c r="H241">
        <v>21.042000000000002</v>
      </c>
      <c r="I241">
        <v>3.7389999999999999</v>
      </c>
      <c r="J241">
        <v>291</v>
      </c>
      <c r="K241">
        <v>2.3450000000000002</v>
      </c>
      <c r="L241">
        <v>1593.25</v>
      </c>
      <c r="M241">
        <v>67.709999999999994</v>
      </c>
      <c r="N241">
        <v>746.75</v>
      </c>
      <c r="O241">
        <v>232.45</v>
      </c>
      <c r="P241">
        <v>166.2</v>
      </c>
      <c r="Q241">
        <v>18.38</v>
      </c>
      <c r="R241">
        <v>104.19199999999999</v>
      </c>
    </row>
    <row r="242" spans="1:18" x14ac:dyDescent="0.25">
      <c r="A242" s="3">
        <v>44734</v>
      </c>
      <c r="B242">
        <v>106.19</v>
      </c>
      <c r="C242">
        <v>111.74</v>
      </c>
      <c r="D242">
        <v>6.8579999999999997</v>
      </c>
      <c r="E242">
        <v>4.4046000000000003</v>
      </c>
      <c r="F242">
        <v>1284.25</v>
      </c>
      <c r="G242">
        <v>1838.4</v>
      </c>
      <c r="H242">
        <v>21.420999999999999</v>
      </c>
      <c r="I242">
        <v>3.944</v>
      </c>
      <c r="J242">
        <v>290.10000000000002</v>
      </c>
      <c r="K242">
        <v>2.35</v>
      </c>
      <c r="L242">
        <v>1652.75</v>
      </c>
      <c r="M242">
        <v>70.66</v>
      </c>
      <c r="N242">
        <v>768</v>
      </c>
      <c r="O242">
        <v>238.6</v>
      </c>
      <c r="P242">
        <v>169.4</v>
      </c>
      <c r="Q242">
        <v>18.45</v>
      </c>
      <c r="R242">
        <v>103.98099999999999</v>
      </c>
    </row>
    <row r="243" spans="1:18" x14ac:dyDescent="0.25">
      <c r="A243" s="3">
        <v>44733</v>
      </c>
      <c r="B243">
        <v>110.65</v>
      </c>
      <c r="C243">
        <v>114.65</v>
      </c>
      <c r="D243">
        <v>6.8079999999999998</v>
      </c>
      <c r="E243">
        <v>4.3583999999999996</v>
      </c>
      <c r="F243">
        <v>1320.25</v>
      </c>
      <c r="G243">
        <v>1838.8</v>
      </c>
      <c r="H243">
        <v>21.768000000000001</v>
      </c>
      <c r="I243">
        <v>4.0389999999999997</v>
      </c>
      <c r="J243">
        <v>290.05</v>
      </c>
      <c r="K243">
        <v>2.3530000000000002</v>
      </c>
      <c r="L243">
        <v>1681</v>
      </c>
      <c r="M243">
        <v>73.37</v>
      </c>
      <c r="N243">
        <v>760.75</v>
      </c>
      <c r="O243">
        <v>233.1</v>
      </c>
      <c r="P243">
        <v>170.8</v>
      </c>
      <c r="Q243">
        <v>18.66</v>
      </c>
      <c r="R243">
        <v>104.211</v>
      </c>
    </row>
    <row r="244" spans="1:18" x14ac:dyDescent="0.25">
      <c r="A244" s="3">
        <v>44732</v>
      </c>
      <c r="C244">
        <v>114.13</v>
      </c>
      <c r="F244">
        <v>1317</v>
      </c>
    </row>
    <row r="245" spans="1:18" x14ac:dyDescent="0.25">
      <c r="A245" s="3">
        <v>44731</v>
      </c>
    </row>
    <row r="246" spans="1:18" x14ac:dyDescent="0.25">
      <c r="A246" s="3">
        <v>44730</v>
      </c>
    </row>
    <row r="247" spans="1:18" x14ac:dyDescent="0.25">
      <c r="A247" s="3">
        <v>44729</v>
      </c>
      <c r="B247">
        <v>109.56</v>
      </c>
      <c r="C247">
        <v>113.12</v>
      </c>
      <c r="D247">
        <v>6.944</v>
      </c>
      <c r="E247">
        <v>4.3398000000000003</v>
      </c>
      <c r="F247">
        <v>1294</v>
      </c>
      <c r="G247">
        <v>1840.6</v>
      </c>
      <c r="H247">
        <v>21.587</v>
      </c>
      <c r="I247">
        <v>4.0134999999999996</v>
      </c>
      <c r="J247">
        <v>290</v>
      </c>
      <c r="K247">
        <v>2.3460000000000001</v>
      </c>
      <c r="L247">
        <v>1702</v>
      </c>
      <c r="M247">
        <v>73.790000000000006</v>
      </c>
      <c r="N247">
        <v>784.5</v>
      </c>
      <c r="O247">
        <v>227.65</v>
      </c>
      <c r="P247">
        <v>172.75</v>
      </c>
      <c r="Q247">
        <v>18.600000000000001</v>
      </c>
      <c r="R247">
        <v>104.488</v>
      </c>
    </row>
    <row r="248" spans="1:18" x14ac:dyDescent="0.25">
      <c r="A248" s="3">
        <v>44728</v>
      </c>
      <c r="B248">
        <v>117.59</v>
      </c>
      <c r="C248">
        <v>119.81</v>
      </c>
      <c r="D248">
        <v>7.4640000000000004</v>
      </c>
      <c r="E248">
        <v>4.5712999999999999</v>
      </c>
      <c r="F248">
        <v>1300.25</v>
      </c>
      <c r="G248">
        <v>1849.9</v>
      </c>
      <c r="H248">
        <v>21.885000000000002</v>
      </c>
      <c r="I248">
        <v>4.1079999999999997</v>
      </c>
      <c r="J248">
        <v>291.17500000000001</v>
      </c>
      <c r="K248">
        <v>2.3460000000000001</v>
      </c>
      <c r="L248">
        <v>1709.5</v>
      </c>
      <c r="M248">
        <v>76.34</v>
      </c>
      <c r="N248">
        <v>788.25</v>
      </c>
      <c r="O248">
        <v>231.95</v>
      </c>
      <c r="P248">
        <v>175.5</v>
      </c>
      <c r="Q248">
        <v>18.579999999999998</v>
      </c>
      <c r="R248">
        <v>103.417</v>
      </c>
    </row>
    <row r="249" spans="1:18" x14ac:dyDescent="0.25">
      <c r="A249" s="3">
        <v>44727</v>
      </c>
      <c r="B249">
        <v>115.31</v>
      </c>
      <c r="C249">
        <v>118.51</v>
      </c>
      <c r="D249">
        <v>7.42</v>
      </c>
      <c r="E249">
        <v>4.5469999999999997</v>
      </c>
      <c r="F249">
        <v>1332.25</v>
      </c>
      <c r="G249">
        <v>1819.6</v>
      </c>
      <c r="H249">
        <v>21.42</v>
      </c>
      <c r="I249">
        <v>4.1635</v>
      </c>
      <c r="J249">
        <v>291.17500000000001</v>
      </c>
      <c r="K249">
        <v>2.3460000000000001</v>
      </c>
      <c r="L249">
        <v>1693.75</v>
      </c>
      <c r="M249">
        <v>77.67</v>
      </c>
      <c r="N249">
        <v>774</v>
      </c>
      <c r="O249">
        <v>228.5</v>
      </c>
      <c r="P249">
        <v>177.7</v>
      </c>
      <c r="Q249">
        <v>18.46</v>
      </c>
      <c r="R249">
        <v>104.935</v>
      </c>
    </row>
    <row r="250" spans="1:18" x14ac:dyDescent="0.25">
      <c r="A250" s="3">
        <v>44726</v>
      </c>
      <c r="B250">
        <v>118.93</v>
      </c>
      <c r="C250">
        <v>121.17</v>
      </c>
      <c r="D250">
        <v>7.1890000000000001</v>
      </c>
      <c r="E250">
        <v>4.3940000000000001</v>
      </c>
      <c r="F250">
        <v>1297.75</v>
      </c>
      <c r="G250">
        <v>1813.5</v>
      </c>
      <c r="H250">
        <v>20.954000000000001</v>
      </c>
      <c r="I250">
        <v>4.1565000000000003</v>
      </c>
      <c r="J250">
        <v>290</v>
      </c>
      <c r="K250">
        <v>2.3479999999999999</v>
      </c>
      <c r="L250">
        <v>1698.5</v>
      </c>
      <c r="M250">
        <v>78.28</v>
      </c>
      <c r="N250">
        <v>768.25</v>
      </c>
      <c r="O250">
        <v>226.95</v>
      </c>
      <c r="P250">
        <v>178.15</v>
      </c>
      <c r="Q250">
        <v>18.7</v>
      </c>
      <c r="R250">
        <v>105.342</v>
      </c>
    </row>
    <row r="251" spans="1:18" x14ac:dyDescent="0.25">
      <c r="A251" s="3">
        <v>44725</v>
      </c>
      <c r="B251">
        <v>120.93</v>
      </c>
      <c r="C251">
        <v>122.27</v>
      </c>
      <c r="D251">
        <v>8.609</v>
      </c>
      <c r="E251">
        <v>4.2834000000000003</v>
      </c>
      <c r="F251">
        <v>1267.75</v>
      </c>
      <c r="G251">
        <v>1831.8</v>
      </c>
      <c r="H251">
        <v>21.254999999999999</v>
      </c>
      <c r="I251">
        <v>4.2115</v>
      </c>
      <c r="J251">
        <v>291.22500000000002</v>
      </c>
      <c r="K251">
        <v>2.3479999999999999</v>
      </c>
      <c r="L251">
        <v>1707.5</v>
      </c>
      <c r="M251">
        <v>79.510000000000005</v>
      </c>
      <c r="N251">
        <v>769.25</v>
      </c>
      <c r="O251">
        <v>223.35</v>
      </c>
      <c r="P251">
        <v>179.8</v>
      </c>
      <c r="Q251">
        <v>18.71</v>
      </c>
      <c r="R251">
        <v>104.947</v>
      </c>
    </row>
    <row r="252" spans="1:18" x14ac:dyDescent="0.25">
      <c r="A252" s="3">
        <v>44724</v>
      </c>
    </row>
    <row r="253" spans="1:18" x14ac:dyDescent="0.25">
      <c r="A253" s="3">
        <v>44723</v>
      </c>
    </row>
    <row r="254" spans="1:18" x14ac:dyDescent="0.25">
      <c r="A254" s="3">
        <v>44722</v>
      </c>
      <c r="B254">
        <v>120.67</v>
      </c>
      <c r="C254">
        <v>122.01</v>
      </c>
      <c r="D254">
        <v>8.85</v>
      </c>
      <c r="E254">
        <v>4.3666999999999998</v>
      </c>
      <c r="F254">
        <v>1389.5</v>
      </c>
      <c r="G254">
        <v>1875.5</v>
      </c>
      <c r="H254">
        <v>21.931000000000001</v>
      </c>
      <c r="I254">
        <v>4.2945000000000002</v>
      </c>
      <c r="J254">
        <v>292.07499999999999</v>
      </c>
      <c r="K254">
        <v>2.351</v>
      </c>
      <c r="L254">
        <v>1745.5</v>
      </c>
      <c r="M254">
        <v>80.81</v>
      </c>
      <c r="N254">
        <v>773.25</v>
      </c>
      <c r="O254">
        <v>228.9</v>
      </c>
      <c r="P254">
        <v>185.05</v>
      </c>
      <c r="Q254">
        <v>18.87</v>
      </c>
      <c r="R254">
        <v>104.151</v>
      </c>
    </row>
    <row r="255" spans="1:18" x14ac:dyDescent="0.25">
      <c r="A255" s="3">
        <v>44721</v>
      </c>
      <c r="B255">
        <v>121.51</v>
      </c>
      <c r="C255">
        <v>123.07</v>
      </c>
      <c r="D255">
        <v>8.9629999999999992</v>
      </c>
      <c r="E255">
        <v>4.4036999999999997</v>
      </c>
      <c r="F255">
        <v>1389.5</v>
      </c>
      <c r="G255">
        <v>1852.8</v>
      </c>
      <c r="H255">
        <v>21.817</v>
      </c>
      <c r="I255">
        <v>4.3810000000000002</v>
      </c>
      <c r="J255">
        <v>294.52499999999998</v>
      </c>
      <c r="K255">
        <v>2.3580000000000001</v>
      </c>
      <c r="L255">
        <v>1769</v>
      </c>
      <c r="M255">
        <v>82.63</v>
      </c>
      <c r="N255">
        <v>773</v>
      </c>
      <c r="O255">
        <v>234.65</v>
      </c>
      <c r="P255">
        <v>184.4</v>
      </c>
      <c r="Q255">
        <v>19.29</v>
      </c>
      <c r="R255">
        <v>103.218</v>
      </c>
    </row>
    <row r="256" spans="1:18" x14ac:dyDescent="0.25">
      <c r="A256" s="3">
        <v>44720</v>
      </c>
      <c r="B256">
        <v>122.11</v>
      </c>
      <c r="C256">
        <v>123.58</v>
      </c>
      <c r="D256">
        <v>8.6989999999999998</v>
      </c>
      <c r="E256">
        <v>4.3143000000000002</v>
      </c>
      <c r="F256">
        <v>1339.75</v>
      </c>
      <c r="G256">
        <v>1856.5</v>
      </c>
      <c r="H256">
        <v>22.094000000000001</v>
      </c>
      <c r="I256">
        <v>4.4545000000000003</v>
      </c>
      <c r="J256">
        <v>295.42500000000001</v>
      </c>
      <c r="K256">
        <v>2.35</v>
      </c>
      <c r="L256">
        <v>1740</v>
      </c>
      <c r="M256">
        <v>82.94</v>
      </c>
      <c r="N256">
        <v>764.5</v>
      </c>
      <c r="O256">
        <v>231.85</v>
      </c>
      <c r="P256">
        <v>191.35</v>
      </c>
      <c r="Q256">
        <v>18.98</v>
      </c>
      <c r="R256">
        <v>102.54600000000001</v>
      </c>
    </row>
    <row r="257" spans="1:18" x14ac:dyDescent="0.25">
      <c r="A257" s="3">
        <v>44719</v>
      </c>
      <c r="B257">
        <v>119.41</v>
      </c>
      <c r="C257">
        <v>120.57</v>
      </c>
      <c r="D257">
        <v>9.2929999999999993</v>
      </c>
      <c r="E257">
        <v>4.3205999999999998</v>
      </c>
      <c r="F257">
        <v>1336.5</v>
      </c>
      <c r="G257">
        <v>1852.1</v>
      </c>
      <c r="H257">
        <v>22.178000000000001</v>
      </c>
      <c r="I257">
        <v>4.4355000000000002</v>
      </c>
      <c r="J257">
        <v>292.89999999999998</v>
      </c>
      <c r="K257">
        <v>2.3690000000000002</v>
      </c>
      <c r="L257">
        <v>1728.25</v>
      </c>
      <c r="M257">
        <v>81.44</v>
      </c>
      <c r="N257">
        <v>757</v>
      </c>
      <c r="O257">
        <v>232.15</v>
      </c>
      <c r="P257">
        <v>183.65</v>
      </c>
      <c r="Q257">
        <v>18.97</v>
      </c>
      <c r="R257">
        <v>102.325</v>
      </c>
    </row>
    <row r="258" spans="1:18" x14ac:dyDescent="0.25">
      <c r="A258" s="3">
        <v>44718</v>
      </c>
      <c r="B258">
        <v>118.5</v>
      </c>
      <c r="C258">
        <v>119.51</v>
      </c>
      <c r="D258">
        <v>9.3219999999999992</v>
      </c>
      <c r="E258">
        <v>4.3601000000000001</v>
      </c>
      <c r="F258">
        <v>1353</v>
      </c>
      <c r="G258">
        <v>1843.7</v>
      </c>
      <c r="H258">
        <v>22.091999999999999</v>
      </c>
      <c r="I258">
        <v>4.4349999999999996</v>
      </c>
      <c r="J258">
        <v>291.22500000000002</v>
      </c>
      <c r="K258">
        <v>2.3580000000000001</v>
      </c>
      <c r="L258">
        <v>1699.25</v>
      </c>
      <c r="M258">
        <v>81.19</v>
      </c>
      <c r="N258">
        <v>742.5</v>
      </c>
      <c r="O258">
        <v>237.55</v>
      </c>
      <c r="P258">
        <v>181.25</v>
      </c>
      <c r="Q258">
        <v>19.559999999999999</v>
      </c>
      <c r="R258">
        <v>102.447</v>
      </c>
    </row>
    <row r="259" spans="1:18" x14ac:dyDescent="0.25">
      <c r="A259" s="3">
        <v>44717</v>
      </c>
    </row>
    <row r="260" spans="1:18" x14ac:dyDescent="0.25">
      <c r="A260" s="3">
        <v>44716</v>
      </c>
    </row>
    <row r="261" spans="1:18" x14ac:dyDescent="0.25">
      <c r="A261" s="3">
        <v>44715</v>
      </c>
      <c r="B261">
        <v>118.87</v>
      </c>
      <c r="C261">
        <v>119.72</v>
      </c>
      <c r="D261">
        <v>8.5229999999999997</v>
      </c>
      <c r="E261">
        <v>4.2803000000000004</v>
      </c>
      <c r="F261">
        <v>1318.5</v>
      </c>
      <c r="G261">
        <v>1850.2</v>
      </c>
      <c r="H261">
        <v>21.908000000000001</v>
      </c>
      <c r="I261">
        <v>4.4720000000000004</v>
      </c>
      <c r="J261">
        <v>289.625</v>
      </c>
      <c r="K261">
        <v>2.351</v>
      </c>
      <c r="L261">
        <v>1697.75</v>
      </c>
      <c r="M261">
        <v>81.849999999999994</v>
      </c>
      <c r="N261">
        <v>727</v>
      </c>
      <c r="O261">
        <v>232.4</v>
      </c>
      <c r="P261">
        <v>180.7</v>
      </c>
      <c r="Q261">
        <v>19.29</v>
      </c>
      <c r="R261">
        <v>102.16</v>
      </c>
    </row>
    <row r="262" spans="1:18" x14ac:dyDescent="0.25">
      <c r="A262" s="3">
        <v>44714</v>
      </c>
      <c r="B262">
        <v>116.87</v>
      </c>
      <c r="C262">
        <v>117.61</v>
      </c>
      <c r="D262">
        <v>8.4849999999999994</v>
      </c>
      <c r="E262">
        <v>4.2084000000000001</v>
      </c>
      <c r="F262">
        <v>1258.5</v>
      </c>
      <c r="G262">
        <v>1871.4</v>
      </c>
      <c r="H262">
        <v>22.274999999999999</v>
      </c>
      <c r="I262">
        <v>4.5525000000000002</v>
      </c>
      <c r="J262">
        <v>273.60000000000002</v>
      </c>
      <c r="K262">
        <v>2.4159999999999999</v>
      </c>
      <c r="L262">
        <v>1729.25</v>
      </c>
      <c r="M262">
        <v>81.44</v>
      </c>
      <c r="N262">
        <v>730.25</v>
      </c>
      <c r="O262">
        <v>238.25</v>
      </c>
      <c r="P262">
        <v>180.25</v>
      </c>
      <c r="Q262">
        <v>19.350000000000001</v>
      </c>
      <c r="R262">
        <v>101.83199999999999</v>
      </c>
    </row>
    <row r="263" spans="1:18" x14ac:dyDescent="0.25">
      <c r="A263" s="3">
        <v>44713</v>
      </c>
      <c r="B263">
        <v>115.26</v>
      </c>
      <c r="C263">
        <v>116.29</v>
      </c>
      <c r="D263">
        <v>8.6959999999999997</v>
      </c>
      <c r="E263">
        <v>4.1433</v>
      </c>
      <c r="F263">
        <v>1270</v>
      </c>
      <c r="G263">
        <v>1848.7</v>
      </c>
      <c r="H263">
        <v>21.914999999999999</v>
      </c>
      <c r="I263">
        <v>4.3285</v>
      </c>
      <c r="J263">
        <v>273</v>
      </c>
      <c r="K263">
        <v>2.4119999999999999</v>
      </c>
      <c r="L263">
        <v>1690.25</v>
      </c>
      <c r="M263">
        <v>78.11</v>
      </c>
      <c r="N263">
        <v>731.25</v>
      </c>
      <c r="O263">
        <v>239.45</v>
      </c>
      <c r="P263">
        <v>180.35</v>
      </c>
      <c r="Q263">
        <v>19.440000000000001</v>
      </c>
      <c r="R263">
        <v>102.529</v>
      </c>
    </row>
    <row r="264" spans="1:18" x14ac:dyDescent="0.25">
      <c r="A264" s="3">
        <v>44712</v>
      </c>
      <c r="B264">
        <v>114.67</v>
      </c>
      <c r="C264">
        <v>122.84</v>
      </c>
      <c r="D264">
        <v>8.1449999999999996</v>
      </c>
      <c r="E264">
        <v>4.0909000000000004</v>
      </c>
      <c r="F264">
        <v>1244.25</v>
      </c>
      <c r="G264">
        <v>1848.4</v>
      </c>
      <c r="H264">
        <v>21.687999999999999</v>
      </c>
      <c r="I264">
        <v>4.2960000000000003</v>
      </c>
      <c r="J264">
        <v>273</v>
      </c>
      <c r="K264">
        <v>2.4119999999999999</v>
      </c>
      <c r="L264">
        <v>1683.25</v>
      </c>
      <c r="M264">
        <v>77.92</v>
      </c>
      <c r="N264">
        <v>753.5</v>
      </c>
      <c r="O264">
        <v>231.25</v>
      </c>
      <c r="P264">
        <v>177.35</v>
      </c>
      <c r="Q264">
        <v>19.399999999999999</v>
      </c>
      <c r="R264">
        <v>101.76600000000001</v>
      </c>
    </row>
    <row r="265" spans="1:18" x14ac:dyDescent="0.25">
      <c r="A265" s="3">
        <v>44711</v>
      </c>
      <c r="C265">
        <v>121.67</v>
      </c>
      <c r="F265">
        <v>1196</v>
      </c>
    </row>
    <row r="266" spans="1:18" x14ac:dyDescent="0.25">
      <c r="A266" s="3">
        <v>44710</v>
      </c>
    </row>
    <row r="267" spans="1:18" x14ac:dyDescent="0.25">
      <c r="A267" s="3">
        <v>44709</v>
      </c>
    </row>
    <row r="268" spans="1:18" x14ac:dyDescent="0.25">
      <c r="A268" s="3">
        <v>44708</v>
      </c>
      <c r="B268">
        <v>115.07</v>
      </c>
      <c r="C268">
        <v>119.43</v>
      </c>
      <c r="D268">
        <v>8.7270000000000003</v>
      </c>
      <c r="E268">
        <v>4.0029000000000003</v>
      </c>
      <c r="F268">
        <v>1168.75</v>
      </c>
      <c r="G268">
        <v>1857.3</v>
      </c>
      <c r="H268">
        <v>22.096</v>
      </c>
      <c r="I268">
        <v>4.3064999999999998</v>
      </c>
      <c r="J268">
        <v>273</v>
      </c>
      <c r="K268">
        <v>2.41</v>
      </c>
      <c r="L268">
        <v>1732.25</v>
      </c>
      <c r="M268">
        <v>79.569999999999993</v>
      </c>
      <c r="N268">
        <v>777.25</v>
      </c>
      <c r="O268">
        <v>229.45</v>
      </c>
      <c r="P268">
        <v>183.05</v>
      </c>
      <c r="Q268">
        <v>19.61</v>
      </c>
      <c r="R268">
        <v>101.69799999999999</v>
      </c>
    </row>
    <row r="269" spans="1:18" x14ac:dyDescent="0.25">
      <c r="A269" s="3">
        <v>44707</v>
      </c>
      <c r="B269">
        <v>114.09</v>
      </c>
      <c r="C269">
        <v>117.4</v>
      </c>
      <c r="D269">
        <v>8.9079999999999995</v>
      </c>
      <c r="E269">
        <v>3.968</v>
      </c>
      <c r="F269">
        <v>1159.5</v>
      </c>
      <c r="G269">
        <v>1847.6</v>
      </c>
      <c r="H269">
        <v>21.965</v>
      </c>
      <c r="I269">
        <v>4.2590000000000003</v>
      </c>
      <c r="J269">
        <v>272.625</v>
      </c>
      <c r="K269">
        <v>2.4119999999999999</v>
      </c>
      <c r="L269">
        <v>1726.5</v>
      </c>
      <c r="M269">
        <v>80.52</v>
      </c>
      <c r="N269">
        <v>765</v>
      </c>
      <c r="O269">
        <v>226.6</v>
      </c>
      <c r="P269">
        <v>183.4</v>
      </c>
      <c r="Q269">
        <v>19.54</v>
      </c>
      <c r="R269">
        <v>101.858</v>
      </c>
    </row>
    <row r="270" spans="1:18" x14ac:dyDescent="0.25">
      <c r="A270" s="3">
        <v>44706</v>
      </c>
      <c r="B270">
        <v>110.33</v>
      </c>
      <c r="C270">
        <v>114.03</v>
      </c>
      <c r="D270">
        <v>8.9710000000000001</v>
      </c>
      <c r="E270">
        <v>3.8664000000000001</v>
      </c>
      <c r="F270">
        <v>1110</v>
      </c>
      <c r="G270">
        <v>1846.3</v>
      </c>
      <c r="H270">
        <v>21.87</v>
      </c>
      <c r="I270">
        <v>4.2545000000000002</v>
      </c>
      <c r="J270">
        <v>272.5</v>
      </c>
      <c r="K270">
        <v>2.4119999999999999</v>
      </c>
      <c r="L270">
        <v>1681</v>
      </c>
      <c r="M270">
        <v>78.92</v>
      </c>
      <c r="N270">
        <v>772.25</v>
      </c>
      <c r="O270">
        <v>217.05</v>
      </c>
      <c r="P270">
        <v>174.4</v>
      </c>
      <c r="Q270">
        <v>19.68</v>
      </c>
      <c r="R270">
        <v>102.077</v>
      </c>
    </row>
    <row r="271" spans="1:18" x14ac:dyDescent="0.25">
      <c r="A271" s="3">
        <v>44705</v>
      </c>
      <c r="B271">
        <v>109.77</v>
      </c>
      <c r="C271">
        <v>113.56</v>
      </c>
      <c r="D271">
        <v>8.7959999999999994</v>
      </c>
      <c r="E271">
        <v>3.7818000000000001</v>
      </c>
      <c r="F271">
        <v>1093.25</v>
      </c>
      <c r="G271">
        <v>1865.4</v>
      </c>
      <c r="H271">
        <v>22.062999999999999</v>
      </c>
      <c r="I271">
        <v>4.3049999999999997</v>
      </c>
      <c r="J271">
        <v>272.35000000000002</v>
      </c>
      <c r="K271">
        <v>2.4119999999999999</v>
      </c>
      <c r="L271">
        <v>1693</v>
      </c>
      <c r="M271">
        <v>80.12</v>
      </c>
      <c r="N271">
        <v>771.75</v>
      </c>
      <c r="O271">
        <v>213.65</v>
      </c>
      <c r="P271">
        <v>178.35</v>
      </c>
      <c r="Q271">
        <v>19.75</v>
      </c>
      <c r="R271">
        <v>101.87</v>
      </c>
    </row>
    <row r="272" spans="1:18" x14ac:dyDescent="0.25">
      <c r="A272" s="3">
        <v>44704</v>
      </c>
      <c r="B272">
        <v>110.29</v>
      </c>
      <c r="C272">
        <v>113.42</v>
      </c>
      <c r="D272">
        <v>8.7439999999999998</v>
      </c>
      <c r="E272">
        <v>3.7688000000000001</v>
      </c>
      <c r="F272">
        <v>1071</v>
      </c>
      <c r="G272">
        <v>1847.8</v>
      </c>
      <c r="H272">
        <v>21.722999999999999</v>
      </c>
      <c r="I272">
        <v>4.3455000000000004</v>
      </c>
      <c r="J272">
        <v>272.25</v>
      </c>
      <c r="K272">
        <v>2.4129999999999998</v>
      </c>
      <c r="L272">
        <v>1687</v>
      </c>
      <c r="M272">
        <v>80.47</v>
      </c>
      <c r="N272">
        <v>786.25</v>
      </c>
      <c r="O272">
        <v>215.75</v>
      </c>
      <c r="P272">
        <v>176.6</v>
      </c>
      <c r="Q272">
        <v>19.77</v>
      </c>
      <c r="R272">
        <v>102.09699999999999</v>
      </c>
    </row>
    <row r="273" spans="1:18" x14ac:dyDescent="0.25">
      <c r="A273" s="3">
        <v>44703</v>
      </c>
    </row>
    <row r="274" spans="1:18" x14ac:dyDescent="0.25">
      <c r="A274" s="3">
        <v>44702</v>
      </c>
    </row>
    <row r="275" spans="1:18" x14ac:dyDescent="0.25">
      <c r="A275" s="3">
        <v>44701</v>
      </c>
      <c r="B275">
        <v>113.23</v>
      </c>
      <c r="C275">
        <v>112.55</v>
      </c>
      <c r="D275">
        <v>8.0830000000000002</v>
      </c>
      <c r="E275">
        <v>3.7391000000000001</v>
      </c>
      <c r="F275">
        <v>1068</v>
      </c>
      <c r="G275">
        <v>1842.1</v>
      </c>
      <c r="H275">
        <v>21.673999999999999</v>
      </c>
      <c r="I275">
        <v>4.2750000000000004</v>
      </c>
      <c r="J275">
        <v>273.39999999999998</v>
      </c>
      <c r="K275">
        <v>2.407</v>
      </c>
      <c r="L275">
        <v>1705.25</v>
      </c>
      <c r="M275">
        <v>80.930000000000007</v>
      </c>
      <c r="N275">
        <v>778.75</v>
      </c>
      <c r="O275">
        <v>215.85</v>
      </c>
      <c r="P275">
        <v>172.45</v>
      </c>
      <c r="Q275">
        <v>19.95</v>
      </c>
      <c r="R275">
        <v>103.173</v>
      </c>
    </row>
    <row r="276" spans="1:18" x14ac:dyDescent="0.25">
      <c r="A276" s="3">
        <v>44700</v>
      </c>
      <c r="B276">
        <v>112.21</v>
      </c>
      <c r="C276">
        <v>112.04</v>
      </c>
      <c r="D276">
        <v>8.3079999999999998</v>
      </c>
      <c r="E276">
        <v>3.7919999999999998</v>
      </c>
      <c r="F276">
        <v>1045</v>
      </c>
      <c r="G276">
        <v>1841.2</v>
      </c>
      <c r="H276">
        <v>21.908000000000001</v>
      </c>
      <c r="I276">
        <v>4.2830000000000004</v>
      </c>
      <c r="J276">
        <v>273.67500000000001</v>
      </c>
      <c r="K276">
        <v>2.4089999999999998</v>
      </c>
      <c r="L276">
        <v>1690.5</v>
      </c>
      <c r="M276">
        <v>79.53</v>
      </c>
      <c r="N276">
        <v>783.25</v>
      </c>
      <c r="O276">
        <v>218.7</v>
      </c>
      <c r="P276">
        <v>167.9</v>
      </c>
      <c r="Q276">
        <v>19.77</v>
      </c>
      <c r="R276">
        <v>102.751</v>
      </c>
    </row>
    <row r="277" spans="1:18" x14ac:dyDescent="0.25">
      <c r="A277" s="3">
        <v>44699</v>
      </c>
      <c r="B277">
        <v>109.59</v>
      </c>
      <c r="C277">
        <v>109.11</v>
      </c>
      <c r="D277">
        <v>8.3680000000000003</v>
      </c>
      <c r="E277">
        <v>3.6680999999999999</v>
      </c>
      <c r="F277">
        <v>1047.75</v>
      </c>
      <c r="G277">
        <v>1815.9</v>
      </c>
      <c r="H277">
        <v>21.544</v>
      </c>
      <c r="I277">
        <v>4.1784999999999997</v>
      </c>
      <c r="J277">
        <v>272.85000000000002</v>
      </c>
      <c r="K277">
        <v>2.4039999999999999</v>
      </c>
      <c r="L277">
        <v>1662.75</v>
      </c>
      <c r="M277">
        <v>80.55</v>
      </c>
      <c r="N277">
        <v>781.5</v>
      </c>
      <c r="O277">
        <v>218.6</v>
      </c>
      <c r="P277">
        <v>168.8</v>
      </c>
      <c r="Q277">
        <v>19.829999999999998</v>
      </c>
      <c r="R277">
        <v>103.86199999999999</v>
      </c>
    </row>
    <row r="278" spans="1:18" x14ac:dyDescent="0.25">
      <c r="A278" s="3">
        <v>44698</v>
      </c>
      <c r="B278">
        <v>112.4</v>
      </c>
      <c r="C278">
        <v>111.93</v>
      </c>
      <c r="D278">
        <v>8.3040000000000003</v>
      </c>
      <c r="E278">
        <v>3.7993000000000001</v>
      </c>
      <c r="F278">
        <v>1090.5</v>
      </c>
      <c r="G278">
        <v>1818.9</v>
      </c>
      <c r="H278">
        <v>21.75</v>
      </c>
      <c r="I278">
        <v>4.2389999999999999</v>
      </c>
      <c r="J278">
        <v>272.02499999999998</v>
      </c>
      <c r="K278">
        <v>2.411</v>
      </c>
      <c r="L278">
        <v>1678</v>
      </c>
      <c r="M278">
        <v>83.49</v>
      </c>
      <c r="N278">
        <v>800.75</v>
      </c>
      <c r="O278">
        <v>228.2</v>
      </c>
      <c r="P278">
        <v>175.3</v>
      </c>
      <c r="Q278">
        <v>20</v>
      </c>
      <c r="R278">
        <v>103.407</v>
      </c>
    </row>
    <row r="279" spans="1:18" x14ac:dyDescent="0.25">
      <c r="A279" s="3">
        <v>44697</v>
      </c>
      <c r="B279">
        <v>114.2</v>
      </c>
      <c r="C279">
        <v>114.24</v>
      </c>
      <c r="D279">
        <v>7.9560000000000004</v>
      </c>
      <c r="E279">
        <v>3.9075000000000002</v>
      </c>
      <c r="F279">
        <v>1094</v>
      </c>
      <c r="G279">
        <v>1814</v>
      </c>
      <c r="H279">
        <v>21.550999999999998</v>
      </c>
      <c r="I279">
        <v>4.1914999999999996</v>
      </c>
      <c r="J279">
        <v>270.25</v>
      </c>
      <c r="K279">
        <v>2.407</v>
      </c>
      <c r="L279">
        <v>1656.5</v>
      </c>
      <c r="M279">
        <v>82.99</v>
      </c>
      <c r="N279">
        <v>809.5</v>
      </c>
      <c r="O279">
        <v>225.8</v>
      </c>
      <c r="P279">
        <v>175.55</v>
      </c>
      <c r="Q279">
        <v>19.68</v>
      </c>
      <c r="R279">
        <v>104.2</v>
      </c>
    </row>
    <row r="280" spans="1:18" x14ac:dyDescent="0.25">
      <c r="A280" s="3">
        <v>44696</v>
      </c>
    </row>
    <row r="281" spans="1:18" x14ac:dyDescent="0.25">
      <c r="A281" s="3">
        <v>44695</v>
      </c>
    </row>
    <row r="282" spans="1:18" x14ac:dyDescent="0.25">
      <c r="A282" s="3">
        <v>44694</v>
      </c>
      <c r="B282">
        <v>110.49</v>
      </c>
      <c r="C282">
        <v>111.55</v>
      </c>
      <c r="D282">
        <v>7.6630000000000003</v>
      </c>
      <c r="E282">
        <v>3.9211999999999998</v>
      </c>
      <c r="F282">
        <v>1107</v>
      </c>
      <c r="G282">
        <v>1808.2</v>
      </c>
      <c r="H282">
        <v>21.001000000000001</v>
      </c>
      <c r="I282">
        <v>4.1749999999999998</v>
      </c>
      <c r="J282">
        <v>270.25</v>
      </c>
      <c r="K282">
        <v>2.407</v>
      </c>
      <c r="L282">
        <v>1723.25</v>
      </c>
      <c r="M282">
        <v>88.34</v>
      </c>
      <c r="N282">
        <v>794.5</v>
      </c>
      <c r="O282">
        <v>212.9</v>
      </c>
      <c r="P282">
        <v>167.05</v>
      </c>
      <c r="Q282">
        <v>19.170000000000002</v>
      </c>
      <c r="R282">
        <v>104.621</v>
      </c>
    </row>
    <row r="283" spans="1:18" x14ac:dyDescent="0.25">
      <c r="A283" s="3">
        <v>44693</v>
      </c>
      <c r="B283">
        <v>106.13</v>
      </c>
      <c r="C283">
        <v>107.45</v>
      </c>
      <c r="D283">
        <v>7.7389999999999999</v>
      </c>
      <c r="E283">
        <v>3.9161000000000001</v>
      </c>
      <c r="F283">
        <v>1138.75</v>
      </c>
      <c r="G283">
        <v>1824.6</v>
      </c>
      <c r="H283">
        <v>20.773</v>
      </c>
      <c r="I283">
        <v>4.1005000000000003</v>
      </c>
      <c r="J283">
        <v>270.97500000000002</v>
      </c>
      <c r="K283">
        <v>2.399</v>
      </c>
      <c r="L283">
        <v>1660.25</v>
      </c>
      <c r="M283">
        <v>88.52</v>
      </c>
      <c r="N283">
        <v>813.5</v>
      </c>
      <c r="O283">
        <v>215</v>
      </c>
      <c r="P283">
        <v>164.45</v>
      </c>
      <c r="Q283">
        <v>18.64</v>
      </c>
      <c r="R283">
        <v>104.89700000000001</v>
      </c>
    </row>
    <row r="284" spans="1:18" x14ac:dyDescent="0.25">
      <c r="A284" s="3">
        <v>44692</v>
      </c>
      <c r="B284">
        <v>105.71</v>
      </c>
      <c r="C284">
        <v>107.51</v>
      </c>
      <c r="D284">
        <v>7.64</v>
      </c>
      <c r="E284">
        <v>3.9512</v>
      </c>
      <c r="F284">
        <v>1138.75</v>
      </c>
      <c r="G284">
        <v>1853.7</v>
      </c>
      <c r="H284">
        <v>21.574999999999999</v>
      </c>
      <c r="I284">
        <v>4.2089999999999996</v>
      </c>
      <c r="J284">
        <v>265</v>
      </c>
      <c r="K284">
        <v>2.399</v>
      </c>
      <c r="L284">
        <v>1650.25</v>
      </c>
      <c r="M284">
        <v>89.45</v>
      </c>
      <c r="N284">
        <v>802.25</v>
      </c>
      <c r="O284">
        <v>220.1</v>
      </c>
      <c r="P284">
        <v>168.5</v>
      </c>
      <c r="Q284">
        <v>18.55</v>
      </c>
      <c r="R284">
        <v>103.874</v>
      </c>
    </row>
    <row r="285" spans="1:18" x14ac:dyDescent="0.25">
      <c r="A285" s="3">
        <v>44691</v>
      </c>
      <c r="B285">
        <v>99.76</v>
      </c>
      <c r="C285">
        <v>102.46</v>
      </c>
      <c r="D285">
        <v>7.3849999999999998</v>
      </c>
      <c r="E285">
        <v>3.9321999999999999</v>
      </c>
      <c r="F285">
        <v>1126</v>
      </c>
      <c r="G285">
        <v>1841</v>
      </c>
      <c r="H285">
        <v>21.423999999999999</v>
      </c>
      <c r="I285">
        <v>4.1544999999999996</v>
      </c>
      <c r="J285">
        <v>262</v>
      </c>
      <c r="K285">
        <v>2.3769999999999998</v>
      </c>
      <c r="L285">
        <v>1630</v>
      </c>
      <c r="M285">
        <v>87.96</v>
      </c>
      <c r="N285">
        <v>786.5</v>
      </c>
      <c r="O285">
        <v>204</v>
      </c>
      <c r="P285">
        <v>176.35</v>
      </c>
      <c r="Q285">
        <v>18.54</v>
      </c>
      <c r="R285">
        <v>103.943</v>
      </c>
    </row>
    <row r="286" spans="1:18" x14ac:dyDescent="0.25">
      <c r="A286" s="3">
        <v>44690</v>
      </c>
      <c r="B286">
        <v>103.09</v>
      </c>
      <c r="C286">
        <v>105.94</v>
      </c>
      <c r="D286">
        <v>7.0259999999999998</v>
      </c>
      <c r="E286">
        <v>3.8349000000000002</v>
      </c>
      <c r="F286">
        <v>1083.25</v>
      </c>
      <c r="G286">
        <v>1858.6</v>
      </c>
      <c r="H286">
        <v>21.82</v>
      </c>
      <c r="I286">
        <v>4.1935000000000002</v>
      </c>
      <c r="J286">
        <v>263.10000000000002</v>
      </c>
      <c r="K286">
        <v>2.379</v>
      </c>
      <c r="L286">
        <v>1621</v>
      </c>
      <c r="M286">
        <v>87.18</v>
      </c>
      <c r="N286">
        <v>784.5</v>
      </c>
      <c r="O286">
        <v>206.3</v>
      </c>
      <c r="P286">
        <v>185.8</v>
      </c>
      <c r="Q286">
        <v>18.66</v>
      </c>
      <c r="R286">
        <v>103.68899999999999</v>
      </c>
    </row>
    <row r="287" spans="1:18" x14ac:dyDescent="0.25">
      <c r="A287" s="3">
        <v>44689</v>
      </c>
    </row>
    <row r="288" spans="1:18" x14ac:dyDescent="0.25">
      <c r="A288" s="3">
        <v>44688</v>
      </c>
    </row>
    <row r="289" spans="1:18" x14ac:dyDescent="0.25">
      <c r="A289" s="3">
        <v>44687</v>
      </c>
      <c r="B289">
        <v>109.77</v>
      </c>
      <c r="C289">
        <v>112.39</v>
      </c>
      <c r="D289">
        <v>8.0429999999999993</v>
      </c>
      <c r="E289">
        <v>3.9542999999999999</v>
      </c>
      <c r="F289">
        <v>1139</v>
      </c>
      <c r="G289">
        <v>1882.8</v>
      </c>
      <c r="H289">
        <v>22.367000000000001</v>
      </c>
      <c r="I289">
        <v>4.2670000000000003</v>
      </c>
      <c r="J289">
        <v>263.375</v>
      </c>
      <c r="K289">
        <v>2.41</v>
      </c>
      <c r="L289">
        <v>1655.5</v>
      </c>
      <c r="M289">
        <v>88.4</v>
      </c>
      <c r="N289">
        <v>792.25</v>
      </c>
      <c r="O289">
        <v>211.6</v>
      </c>
      <c r="P289">
        <v>190.15</v>
      </c>
      <c r="Q289">
        <v>19.16</v>
      </c>
      <c r="R289">
        <v>103.694</v>
      </c>
    </row>
    <row r="290" spans="1:18" x14ac:dyDescent="0.25">
      <c r="A290" s="3">
        <v>44686</v>
      </c>
      <c r="B290">
        <v>108.26</v>
      </c>
      <c r="C290">
        <v>110.9</v>
      </c>
      <c r="D290">
        <v>8.7829999999999995</v>
      </c>
      <c r="E290">
        <v>4.0412999999999997</v>
      </c>
      <c r="F290">
        <v>1189.5</v>
      </c>
      <c r="G290">
        <v>1875.7</v>
      </c>
      <c r="H290">
        <v>22.443000000000001</v>
      </c>
      <c r="I290">
        <v>4.2915000000000001</v>
      </c>
      <c r="J290">
        <v>266</v>
      </c>
      <c r="K290">
        <v>2.395</v>
      </c>
      <c r="L290">
        <v>1678.5</v>
      </c>
      <c r="M290">
        <v>86.5</v>
      </c>
      <c r="N290">
        <v>803.75</v>
      </c>
      <c r="O290">
        <v>218.4</v>
      </c>
      <c r="P290">
        <v>187.3</v>
      </c>
      <c r="Q290">
        <v>18.78</v>
      </c>
      <c r="R290">
        <v>103.80200000000001</v>
      </c>
    </row>
    <row r="291" spans="1:18" x14ac:dyDescent="0.25">
      <c r="A291" s="3">
        <v>44685</v>
      </c>
      <c r="B291">
        <v>107.81</v>
      </c>
      <c r="C291">
        <v>110.14</v>
      </c>
      <c r="D291">
        <v>8.4149999999999991</v>
      </c>
      <c r="E291">
        <v>4.1970000000000001</v>
      </c>
      <c r="F291">
        <v>1193</v>
      </c>
      <c r="G291">
        <v>1868.8</v>
      </c>
      <c r="H291">
        <v>22.402000000000001</v>
      </c>
      <c r="I291">
        <v>4.3380000000000001</v>
      </c>
      <c r="J291">
        <v>276.94</v>
      </c>
      <c r="K291">
        <v>2.2909999999999999</v>
      </c>
      <c r="L291">
        <v>1669.75</v>
      </c>
      <c r="M291">
        <v>87.08</v>
      </c>
      <c r="N291">
        <v>798.5</v>
      </c>
      <c r="O291">
        <v>221.2</v>
      </c>
      <c r="P291">
        <v>178.55</v>
      </c>
      <c r="Q291">
        <v>18.62</v>
      </c>
      <c r="R291">
        <v>102.59399999999999</v>
      </c>
    </row>
    <row r="292" spans="1:18" x14ac:dyDescent="0.25">
      <c r="A292" s="3">
        <v>44684</v>
      </c>
      <c r="B292">
        <v>102.41</v>
      </c>
      <c r="C292">
        <v>104.97</v>
      </c>
      <c r="D292">
        <v>7.9539999999999997</v>
      </c>
      <c r="E292">
        <v>4.0827</v>
      </c>
      <c r="F292">
        <v>1196.5</v>
      </c>
      <c r="G292">
        <v>1870.6</v>
      </c>
      <c r="H292">
        <v>22.664999999999999</v>
      </c>
      <c r="I292">
        <v>4.2830000000000004</v>
      </c>
      <c r="J292">
        <v>276.14999999999998</v>
      </c>
      <c r="K292">
        <v>2.2879999999999998</v>
      </c>
      <c r="L292">
        <v>1659</v>
      </c>
      <c r="M292">
        <v>84.3</v>
      </c>
      <c r="N292">
        <v>800.75</v>
      </c>
      <c r="O292">
        <v>218.2</v>
      </c>
      <c r="P292">
        <v>184.15</v>
      </c>
      <c r="Q292">
        <v>18.62</v>
      </c>
      <c r="R292">
        <v>103.496</v>
      </c>
    </row>
    <row r="293" spans="1:18" x14ac:dyDescent="0.25">
      <c r="A293" s="3">
        <v>44683</v>
      </c>
      <c r="B293">
        <v>105.17</v>
      </c>
      <c r="C293">
        <v>107.58</v>
      </c>
      <c r="D293">
        <v>7.4749999999999996</v>
      </c>
      <c r="E293">
        <v>4.2049000000000003</v>
      </c>
      <c r="F293">
        <v>1247.75</v>
      </c>
      <c r="G293">
        <v>1863.6</v>
      </c>
      <c r="H293">
        <v>22.584</v>
      </c>
      <c r="I293">
        <v>4.2679999999999998</v>
      </c>
      <c r="J293">
        <v>276.14999999999998</v>
      </c>
      <c r="K293">
        <v>2.2879999999999998</v>
      </c>
      <c r="L293">
        <v>1674</v>
      </c>
      <c r="M293">
        <v>82.7</v>
      </c>
      <c r="N293">
        <v>813</v>
      </c>
      <c r="O293">
        <v>216.4</v>
      </c>
      <c r="P293">
        <v>177.75</v>
      </c>
      <c r="Q293">
        <v>18.850000000000001</v>
      </c>
      <c r="R293">
        <v>103.76600000000001</v>
      </c>
    </row>
    <row r="294" spans="1:18" x14ac:dyDescent="0.25">
      <c r="A294" s="3">
        <v>44682</v>
      </c>
    </row>
    <row r="295" spans="1:18" x14ac:dyDescent="0.25">
      <c r="A295" s="3">
        <v>44681</v>
      </c>
    </row>
    <row r="296" spans="1:18" x14ac:dyDescent="0.25">
      <c r="A296" s="3">
        <v>44680</v>
      </c>
      <c r="B296">
        <v>104.69</v>
      </c>
      <c r="C296">
        <v>109.34</v>
      </c>
      <c r="D296">
        <v>7.2439999999999998</v>
      </c>
      <c r="E296">
        <v>4.7816999999999998</v>
      </c>
      <c r="F296">
        <v>1227.25</v>
      </c>
      <c r="G296">
        <v>1911.7</v>
      </c>
      <c r="H296">
        <v>23.085000000000001</v>
      </c>
      <c r="I296">
        <v>4.4085000000000001</v>
      </c>
      <c r="J296">
        <v>276.14999999999998</v>
      </c>
      <c r="K296">
        <v>2.286</v>
      </c>
      <c r="L296">
        <v>1708.25</v>
      </c>
      <c r="M296">
        <v>89.17</v>
      </c>
      <c r="N296">
        <v>818.25</v>
      </c>
      <c r="O296">
        <v>222.55</v>
      </c>
      <c r="P296">
        <v>182.4</v>
      </c>
      <c r="Q296">
        <v>19.350000000000001</v>
      </c>
      <c r="R296">
        <v>102.96299999999999</v>
      </c>
    </row>
    <row r="297" spans="1:18" x14ac:dyDescent="0.25">
      <c r="A297" s="3">
        <v>44679</v>
      </c>
      <c r="B297">
        <v>105.36</v>
      </c>
      <c r="C297">
        <v>107.59</v>
      </c>
      <c r="D297">
        <v>6.8879999999999999</v>
      </c>
      <c r="E297">
        <v>5.1353999999999997</v>
      </c>
      <c r="F297">
        <v>1190.75</v>
      </c>
      <c r="G297">
        <v>1891.3</v>
      </c>
      <c r="H297">
        <v>23.181000000000001</v>
      </c>
      <c r="I297">
        <v>4.4335000000000004</v>
      </c>
      <c r="J297">
        <v>276</v>
      </c>
      <c r="K297">
        <v>2.286</v>
      </c>
      <c r="L297">
        <v>1706.5</v>
      </c>
      <c r="M297">
        <v>90.6</v>
      </c>
      <c r="N297">
        <v>816</v>
      </c>
      <c r="O297">
        <v>217.9</v>
      </c>
      <c r="P297">
        <v>172.9</v>
      </c>
      <c r="Q297">
        <v>19.420000000000002</v>
      </c>
      <c r="R297">
        <v>103.65900000000001</v>
      </c>
    </row>
    <row r="298" spans="1:18" x14ac:dyDescent="0.25">
      <c r="A298" s="3">
        <v>44678</v>
      </c>
      <c r="B298">
        <v>102.02</v>
      </c>
      <c r="C298">
        <v>105.32</v>
      </c>
      <c r="D298">
        <v>7.2670000000000003</v>
      </c>
      <c r="E298">
        <v>4.6742999999999997</v>
      </c>
      <c r="F298">
        <v>1169.25</v>
      </c>
      <c r="G298">
        <v>1888.7</v>
      </c>
      <c r="H298">
        <v>23.46</v>
      </c>
      <c r="I298">
        <v>4.4565000000000001</v>
      </c>
      <c r="J298">
        <v>275.625</v>
      </c>
      <c r="K298">
        <v>2.2810000000000001</v>
      </c>
      <c r="L298">
        <v>1726.5</v>
      </c>
      <c r="M298">
        <v>87.8</v>
      </c>
      <c r="N298">
        <v>815.5</v>
      </c>
      <c r="O298">
        <v>215.95</v>
      </c>
      <c r="P298">
        <v>171.2</v>
      </c>
      <c r="Q298">
        <v>19.02</v>
      </c>
      <c r="R298">
        <v>102.96299999999999</v>
      </c>
    </row>
    <row r="299" spans="1:18" x14ac:dyDescent="0.25">
      <c r="A299" s="3">
        <v>44677</v>
      </c>
      <c r="B299">
        <v>101.7</v>
      </c>
      <c r="C299">
        <v>104.99</v>
      </c>
      <c r="D299">
        <v>6.85</v>
      </c>
      <c r="E299">
        <v>4.4679000000000002</v>
      </c>
      <c r="F299">
        <v>1129.25</v>
      </c>
      <c r="G299">
        <v>1904.1</v>
      </c>
      <c r="H299">
        <v>23.544</v>
      </c>
      <c r="I299">
        <v>4.4409999999999998</v>
      </c>
      <c r="J299">
        <v>275.625</v>
      </c>
      <c r="K299">
        <v>2.2810000000000001</v>
      </c>
      <c r="L299">
        <v>1705.25</v>
      </c>
      <c r="M299">
        <v>85.29</v>
      </c>
      <c r="N299">
        <v>803.25</v>
      </c>
      <c r="O299">
        <v>221.4</v>
      </c>
      <c r="P299">
        <v>168</v>
      </c>
      <c r="Q299">
        <v>18.989999999999998</v>
      </c>
      <c r="R299">
        <v>102.318</v>
      </c>
    </row>
    <row r="300" spans="1:18" x14ac:dyDescent="0.25">
      <c r="A300" s="3">
        <v>44676</v>
      </c>
      <c r="B300">
        <v>98.54</v>
      </c>
      <c r="C300">
        <v>102.32</v>
      </c>
      <c r="D300">
        <v>6.6689999999999996</v>
      </c>
      <c r="E300">
        <v>4.0909000000000004</v>
      </c>
      <c r="F300">
        <v>1065.5</v>
      </c>
      <c r="G300">
        <v>1896</v>
      </c>
      <c r="H300">
        <v>23.67</v>
      </c>
      <c r="I300">
        <v>4.4489999999999998</v>
      </c>
      <c r="J300">
        <v>275.75</v>
      </c>
      <c r="K300">
        <v>2.2810000000000001</v>
      </c>
      <c r="L300">
        <v>1703.5</v>
      </c>
      <c r="M300">
        <v>82.74</v>
      </c>
      <c r="N300">
        <v>800.25</v>
      </c>
      <c r="O300">
        <v>220.8</v>
      </c>
      <c r="P300">
        <v>173.7</v>
      </c>
      <c r="Q300">
        <v>18.95</v>
      </c>
      <c r="R300">
        <v>101.76900000000001</v>
      </c>
    </row>
    <row r="301" spans="1:18" x14ac:dyDescent="0.25">
      <c r="A301" s="3">
        <v>44675</v>
      </c>
    </row>
    <row r="302" spans="1:18" x14ac:dyDescent="0.25">
      <c r="A302" s="3">
        <v>44674</v>
      </c>
    </row>
    <row r="303" spans="1:18" x14ac:dyDescent="0.25">
      <c r="A303" s="3">
        <v>44673</v>
      </c>
      <c r="B303">
        <v>102.07</v>
      </c>
      <c r="C303">
        <v>106.65</v>
      </c>
      <c r="D303">
        <v>6.5339999999999998</v>
      </c>
      <c r="E303">
        <v>3.9386000000000001</v>
      </c>
      <c r="F303">
        <v>1118.75</v>
      </c>
      <c r="G303">
        <v>1934.3</v>
      </c>
      <c r="H303">
        <v>24.259</v>
      </c>
      <c r="I303">
        <v>4.5815000000000001</v>
      </c>
      <c r="J303">
        <v>276.25</v>
      </c>
      <c r="K303">
        <v>2.2810000000000001</v>
      </c>
      <c r="L303">
        <v>1716</v>
      </c>
      <c r="M303">
        <v>83.26</v>
      </c>
      <c r="N303">
        <v>793</v>
      </c>
      <c r="O303">
        <v>227.3</v>
      </c>
      <c r="P303">
        <v>179.65</v>
      </c>
      <c r="Q303">
        <v>19.239999999999998</v>
      </c>
      <c r="R303">
        <v>101.21299999999999</v>
      </c>
    </row>
    <row r="304" spans="1:18" x14ac:dyDescent="0.25">
      <c r="A304" s="3">
        <v>44672</v>
      </c>
      <c r="B304">
        <v>103.79</v>
      </c>
      <c r="C304">
        <v>108.33</v>
      </c>
      <c r="D304">
        <v>6.9569999999999999</v>
      </c>
      <c r="E304">
        <v>3.9007999999999998</v>
      </c>
      <c r="F304">
        <v>1112.25</v>
      </c>
      <c r="G304">
        <v>1948.2</v>
      </c>
      <c r="H304">
        <v>24.620999999999999</v>
      </c>
      <c r="I304">
        <v>4.7039999999999997</v>
      </c>
      <c r="J304">
        <v>277.60000000000002</v>
      </c>
      <c r="K304">
        <v>2.2810000000000001</v>
      </c>
      <c r="L304">
        <v>1748.25</v>
      </c>
      <c r="M304">
        <v>81.5</v>
      </c>
      <c r="N304">
        <v>799.25</v>
      </c>
      <c r="O304">
        <v>228.15</v>
      </c>
      <c r="P304">
        <v>173</v>
      </c>
      <c r="Q304">
        <v>19.87</v>
      </c>
      <c r="R304">
        <v>100.614</v>
      </c>
    </row>
    <row r="305" spans="1:18" x14ac:dyDescent="0.25">
      <c r="A305" s="3">
        <v>44671</v>
      </c>
      <c r="B305">
        <v>102.75</v>
      </c>
      <c r="C305">
        <v>106.8</v>
      </c>
      <c r="D305">
        <v>6.9370000000000003</v>
      </c>
      <c r="E305">
        <v>3.9731000000000001</v>
      </c>
      <c r="F305">
        <v>1128.5</v>
      </c>
      <c r="G305">
        <v>1955.6</v>
      </c>
      <c r="H305">
        <v>25.271000000000001</v>
      </c>
      <c r="I305">
        <v>4.6520000000000001</v>
      </c>
      <c r="J305">
        <v>277.625</v>
      </c>
      <c r="K305">
        <v>2.2730000000000001</v>
      </c>
      <c r="L305">
        <v>1746.75</v>
      </c>
      <c r="M305">
        <v>80.81</v>
      </c>
      <c r="N305">
        <v>815.75</v>
      </c>
      <c r="O305">
        <v>218.8</v>
      </c>
      <c r="P305">
        <v>169.35</v>
      </c>
      <c r="Q305">
        <v>19.62</v>
      </c>
      <c r="R305">
        <v>100.417</v>
      </c>
    </row>
    <row r="306" spans="1:18" x14ac:dyDescent="0.25">
      <c r="A306" s="3">
        <v>44670</v>
      </c>
      <c r="B306">
        <v>102.56</v>
      </c>
      <c r="C306">
        <v>107.25</v>
      </c>
      <c r="D306">
        <v>7.1760000000000002</v>
      </c>
      <c r="E306">
        <v>3.8618999999999999</v>
      </c>
      <c r="F306">
        <v>1103.5</v>
      </c>
      <c r="G306">
        <v>1959</v>
      </c>
      <c r="H306">
        <v>25.390999999999998</v>
      </c>
      <c r="I306">
        <v>4.718</v>
      </c>
      <c r="J306">
        <v>277.625</v>
      </c>
      <c r="K306">
        <v>2.2719999999999998</v>
      </c>
      <c r="L306">
        <v>1716.5</v>
      </c>
      <c r="M306">
        <v>80.209999999999994</v>
      </c>
      <c r="N306">
        <v>804</v>
      </c>
      <c r="O306">
        <v>221.3</v>
      </c>
      <c r="P306">
        <v>171.9</v>
      </c>
      <c r="Q306">
        <v>19.739999999999998</v>
      </c>
      <c r="R306">
        <v>100.964</v>
      </c>
    </row>
    <row r="307" spans="1:18" x14ac:dyDescent="0.25">
      <c r="A307" s="3">
        <v>44669</v>
      </c>
      <c r="B307">
        <v>108.21</v>
      </c>
      <c r="C307">
        <v>113.16</v>
      </c>
      <c r="D307">
        <v>7.82</v>
      </c>
      <c r="E307">
        <v>3.8908</v>
      </c>
      <c r="F307">
        <v>1171.75</v>
      </c>
      <c r="G307">
        <v>1986.4</v>
      </c>
      <c r="H307">
        <v>26.15</v>
      </c>
      <c r="I307">
        <v>4.8019999999999996</v>
      </c>
      <c r="J307">
        <v>277.625</v>
      </c>
      <c r="K307">
        <v>2.2730000000000001</v>
      </c>
      <c r="L307">
        <v>1714.75</v>
      </c>
      <c r="M307">
        <v>79.989999999999995</v>
      </c>
      <c r="N307">
        <v>813.25</v>
      </c>
      <c r="O307">
        <v>223.5</v>
      </c>
      <c r="P307">
        <v>191</v>
      </c>
      <c r="Q307">
        <v>20.260000000000002</v>
      </c>
      <c r="R307">
        <v>100.76600000000001</v>
      </c>
    </row>
    <row r="308" spans="1:18" x14ac:dyDescent="0.25">
      <c r="A308" s="3">
        <v>44668</v>
      </c>
    </row>
    <row r="309" spans="1:18" x14ac:dyDescent="0.25">
      <c r="A309" s="3">
        <v>44667</v>
      </c>
    </row>
    <row r="310" spans="1:18" x14ac:dyDescent="0.25">
      <c r="A310" s="3">
        <v>44666</v>
      </c>
    </row>
    <row r="311" spans="1:18" x14ac:dyDescent="0.25">
      <c r="A311" s="3">
        <v>44665</v>
      </c>
      <c r="B311">
        <v>106.95</v>
      </c>
      <c r="C311">
        <v>111.7</v>
      </c>
      <c r="D311">
        <v>7.3</v>
      </c>
      <c r="E311">
        <v>3.8548</v>
      </c>
      <c r="F311">
        <v>1119.75</v>
      </c>
      <c r="G311">
        <v>1974.9</v>
      </c>
      <c r="H311">
        <v>25.7</v>
      </c>
      <c r="I311">
        <v>4.7234999999999996</v>
      </c>
      <c r="J311">
        <v>277.625</v>
      </c>
      <c r="K311">
        <v>2.2730000000000001</v>
      </c>
      <c r="L311">
        <v>1682.25</v>
      </c>
      <c r="M311">
        <v>78.91</v>
      </c>
      <c r="N311">
        <v>790.25</v>
      </c>
      <c r="O311">
        <v>223.6</v>
      </c>
      <c r="P311">
        <v>181.05</v>
      </c>
      <c r="Q311">
        <v>20.059999999999999</v>
      </c>
      <c r="R311">
        <v>100.32599999999999</v>
      </c>
    </row>
    <row r="312" spans="1:18" x14ac:dyDescent="0.25">
      <c r="A312" s="3">
        <v>44664</v>
      </c>
      <c r="B312">
        <v>104.25</v>
      </c>
      <c r="C312">
        <v>108.78</v>
      </c>
      <c r="D312">
        <v>6.9969999999999999</v>
      </c>
      <c r="E312">
        <v>3.7183999999999999</v>
      </c>
      <c r="F312">
        <v>1056.25</v>
      </c>
      <c r="G312">
        <v>1984.7</v>
      </c>
      <c r="H312">
        <v>26.03</v>
      </c>
      <c r="I312">
        <v>4.7119999999999997</v>
      </c>
      <c r="J312">
        <v>277.625</v>
      </c>
      <c r="K312">
        <v>2.262</v>
      </c>
      <c r="L312">
        <v>1676</v>
      </c>
      <c r="M312">
        <v>78.11</v>
      </c>
      <c r="N312">
        <v>783.5</v>
      </c>
      <c r="O312">
        <v>225.05</v>
      </c>
      <c r="P312">
        <v>182.1</v>
      </c>
      <c r="Q312">
        <v>20.100000000000001</v>
      </c>
      <c r="R312">
        <v>99.912999999999997</v>
      </c>
    </row>
    <row r="313" spans="1:18" x14ac:dyDescent="0.25">
      <c r="A313" s="3">
        <v>44663</v>
      </c>
      <c r="B313">
        <v>100.6</v>
      </c>
      <c r="C313">
        <v>104.64</v>
      </c>
      <c r="D313">
        <v>6.68</v>
      </c>
      <c r="E313">
        <v>3.4643999999999999</v>
      </c>
      <c r="F313">
        <v>1040.25</v>
      </c>
      <c r="G313">
        <v>1976.1</v>
      </c>
      <c r="H313">
        <v>25.734999999999999</v>
      </c>
      <c r="I313">
        <v>4.7095000000000002</v>
      </c>
      <c r="J313">
        <v>277.95</v>
      </c>
      <c r="K313">
        <v>2.25</v>
      </c>
      <c r="L313">
        <v>1670.25</v>
      </c>
      <c r="M313">
        <v>75.430000000000007</v>
      </c>
      <c r="N313">
        <v>776.25</v>
      </c>
      <c r="O313">
        <v>233.6</v>
      </c>
      <c r="P313">
        <v>172.1</v>
      </c>
      <c r="Q313">
        <v>20.22</v>
      </c>
      <c r="R313">
        <v>100.292</v>
      </c>
    </row>
    <row r="314" spans="1:18" x14ac:dyDescent="0.25">
      <c r="A314" s="3">
        <v>44662</v>
      </c>
      <c r="B314">
        <v>94.29</v>
      </c>
      <c r="C314">
        <v>98.48</v>
      </c>
      <c r="D314">
        <v>6.6429999999999998</v>
      </c>
      <c r="E314">
        <v>3.2677</v>
      </c>
      <c r="F314">
        <v>1040.25</v>
      </c>
      <c r="G314">
        <v>1948.2</v>
      </c>
      <c r="H314">
        <v>24.986999999999998</v>
      </c>
      <c r="I314">
        <v>4.6340000000000003</v>
      </c>
      <c r="J314">
        <v>277.95</v>
      </c>
      <c r="K314">
        <v>2.2610000000000001</v>
      </c>
      <c r="L314">
        <v>1655.25</v>
      </c>
      <c r="M314">
        <v>74.3</v>
      </c>
      <c r="N314">
        <v>764.5</v>
      </c>
      <c r="O314">
        <v>236.6</v>
      </c>
      <c r="P314">
        <v>173.95</v>
      </c>
      <c r="Q314">
        <v>20.309999999999999</v>
      </c>
      <c r="R314">
        <v>99.924000000000007</v>
      </c>
    </row>
    <row r="315" spans="1:18" x14ac:dyDescent="0.25">
      <c r="A315" s="3">
        <v>44661</v>
      </c>
    </row>
    <row r="316" spans="1:18" x14ac:dyDescent="0.25">
      <c r="A316" s="3">
        <v>44660</v>
      </c>
    </row>
    <row r="317" spans="1:18" x14ac:dyDescent="0.25">
      <c r="A317" s="3">
        <v>44659</v>
      </c>
      <c r="B317">
        <v>98.26</v>
      </c>
      <c r="C317">
        <v>102.78</v>
      </c>
      <c r="D317">
        <v>6.2779999999999996</v>
      </c>
      <c r="E317">
        <v>3.3176000000000001</v>
      </c>
      <c r="F317">
        <v>1015.5</v>
      </c>
      <c r="G317">
        <v>1945.6</v>
      </c>
      <c r="H317">
        <v>24.823</v>
      </c>
      <c r="I317">
        <v>4.7249999999999996</v>
      </c>
      <c r="J317">
        <v>277.95</v>
      </c>
      <c r="K317">
        <v>2.2549999999999999</v>
      </c>
      <c r="L317">
        <v>1689</v>
      </c>
      <c r="M317">
        <v>75.12</v>
      </c>
      <c r="N317">
        <v>768.75</v>
      </c>
      <c r="O317">
        <v>231.65</v>
      </c>
      <c r="P317">
        <v>167.55</v>
      </c>
      <c r="Q317">
        <v>20.41</v>
      </c>
      <c r="R317">
        <v>99.753</v>
      </c>
    </row>
    <row r="318" spans="1:18" x14ac:dyDescent="0.25">
      <c r="A318" s="3">
        <v>44658</v>
      </c>
      <c r="B318">
        <v>96.03</v>
      </c>
      <c r="C318">
        <v>100.58</v>
      </c>
      <c r="D318">
        <v>6.359</v>
      </c>
      <c r="E318">
        <v>3.2677999999999998</v>
      </c>
      <c r="F318">
        <v>982.5</v>
      </c>
      <c r="G318">
        <v>1937.8</v>
      </c>
      <c r="H318">
        <v>24.734999999999999</v>
      </c>
      <c r="I318">
        <v>4.6994999999999996</v>
      </c>
      <c r="J318">
        <v>276.85000000000002</v>
      </c>
      <c r="K318">
        <v>2.2519999999999998</v>
      </c>
      <c r="L318">
        <v>1645.5</v>
      </c>
      <c r="M318">
        <v>73.02</v>
      </c>
      <c r="N318">
        <v>757.75</v>
      </c>
      <c r="O318">
        <v>226.15</v>
      </c>
      <c r="P318">
        <v>163.05000000000001</v>
      </c>
      <c r="Q318">
        <v>19.84</v>
      </c>
      <c r="R318">
        <v>99.76</v>
      </c>
    </row>
    <row r="319" spans="1:18" x14ac:dyDescent="0.25">
      <c r="A319" s="3">
        <v>44657</v>
      </c>
      <c r="B319">
        <v>96.23</v>
      </c>
      <c r="C319">
        <v>101.07</v>
      </c>
      <c r="D319">
        <v>6.0289999999999999</v>
      </c>
      <c r="E319">
        <v>3.3452000000000002</v>
      </c>
      <c r="F319">
        <v>1054.25</v>
      </c>
      <c r="G319">
        <v>1923.1</v>
      </c>
      <c r="H319">
        <v>24.457999999999998</v>
      </c>
      <c r="I319">
        <v>4.7380000000000004</v>
      </c>
      <c r="J319">
        <v>276.07499999999999</v>
      </c>
      <c r="K319">
        <v>2.242</v>
      </c>
      <c r="L319">
        <v>1619.5</v>
      </c>
      <c r="M319">
        <v>71.83</v>
      </c>
      <c r="N319">
        <v>756.5</v>
      </c>
      <c r="O319">
        <v>227.6</v>
      </c>
      <c r="P319">
        <v>159.55000000000001</v>
      </c>
      <c r="Q319">
        <v>19.59</v>
      </c>
      <c r="R319">
        <v>99.614999999999995</v>
      </c>
    </row>
    <row r="320" spans="1:18" x14ac:dyDescent="0.25">
      <c r="A320" s="3">
        <v>44656</v>
      </c>
      <c r="B320">
        <v>101.96</v>
      </c>
      <c r="C320">
        <v>106.64</v>
      </c>
      <c r="D320">
        <v>6.032</v>
      </c>
      <c r="E320">
        <v>3.4681999999999999</v>
      </c>
      <c r="F320">
        <v>1080.25</v>
      </c>
      <c r="G320">
        <v>1927.5</v>
      </c>
      <c r="H320">
        <v>24.533999999999999</v>
      </c>
      <c r="I320">
        <v>4.7949999999999999</v>
      </c>
      <c r="J320">
        <v>276.07499999999999</v>
      </c>
      <c r="K320">
        <v>2.2250000000000001</v>
      </c>
      <c r="L320">
        <v>1631</v>
      </c>
      <c r="M320">
        <v>72.41</v>
      </c>
      <c r="N320">
        <v>759.75</v>
      </c>
      <c r="O320">
        <v>231.3</v>
      </c>
      <c r="P320">
        <v>160.25</v>
      </c>
      <c r="Q320">
        <v>19.649999999999999</v>
      </c>
      <c r="R320">
        <v>99.427999999999997</v>
      </c>
    </row>
    <row r="321" spans="1:18" x14ac:dyDescent="0.25">
      <c r="A321" s="3">
        <v>44655</v>
      </c>
      <c r="B321">
        <v>103.28</v>
      </c>
      <c r="C321">
        <v>107.53</v>
      </c>
      <c r="D321">
        <v>5.7119999999999997</v>
      </c>
      <c r="E321">
        <v>3.5461</v>
      </c>
      <c r="F321">
        <v>1138.25</v>
      </c>
      <c r="G321">
        <v>1934</v>
      </c>
      <c r="H321">
        <v>24.59</v>
      </c>
      <c r="I321">
        <v>4.7815000000000003</v>
      </c>
      <c r="J321">
        <v>275.39999999999998</v>
      </c>
      <c r="K321">
        <v>2.206</v>
      </c>
      <c r="L321">
        <v>1602.25</v>
      </c>
      <c r="M321">
        <v>72.34</v>
      </c>
      <c r="N321">
        <v>750.5</v>
      </c>
      <c r="O321">
        <v>230.6</v>
      </c>
      <c r="P321">
        <v>159.19999999999999</v>
      </c>
      <c r="Q321">
        <v>19.61</v>
      </c>
      <c r="R321">
        <v>98.974000000000004</v>
      </c>
    </row>
    <row r="322" spans="1:18" x14ac:dyDescent="0.25">
      <c r="A322" s="3">
        <v>44654</v>
      </c>
    </row>
    <row r="323" spans="1:18" x14ac:dyDescent="0.25">
      <c r="A323" s="3">
        <v>44653</v>
      </c>
    </row>
    <row r="324" spans="1:18" x14ac:dyDescent="0.25">
      <c r="A324" s="3">
        <v>44652</v>
      </c>
      <c r="B324">
        <v>99.27</v>
      </c>
      <c r="C324">
        <v>104.39</v>
      </c>
      <c r="D324">
        <v>5.72</v>
      </c>
      <c r="E324">
        <v>3.4239999999999999</v>
      </c>
      <c r="F324">
        <v>1091</v>
      </c>
      <c r="G324">
        <v>1923.7</v>
      </c>
      <c r="H324">
        <v>24.654</v>
      </c>
      <c r="I324">
        <v>4.6885000000000003</v>
      </c>
      <c r="J324">
        <v>273.60000000000002</v>
      </c>
      <c r="K324">
        <v>2.2309999999999999</v>
      </c>
      <c r="L324">
        <v>1582.75</v>
      </c>
      <c r="M324">
        <v>71.2</v>
      </c>
      <c r="N324">
        <v>735</v>
      </c>
      <c r="O324">
        <v>228.4</v>
      </c>
      <c r="P324">
        <v>157.55000000000001</v>
      </c>
      <c r="Q324">
        <v>19.37</v>
      </c>
      <c r="R324">
        <v>98.626999999999995</v>
      </c>
    </row>
    <row r="325" spans="1:18" x14ac:dyDescent="0.25">
      <c r="A325" s="3">
        <v>44651</v>
      </c>
      <c r="B325">
        <v>100.28</v>
      </c>
      <c r="C325">
        <v>107.91</v>
      </c>
      <c r="D325">
        <v>5.6420000000000003</v>
      </c>
      <c r="E325">
        <v>3.6911999999999998</v>
      </c>
      <c r="F325">
        <v>1060.75</v>
      </c>
      <c r="G325">
        <v>1954</v>
      </c>
      <c r="H325">
        <v>25.132999999999999</v>
      </c>
      <c r="I325">
        <v>4.7510000000000003</v>
      </c>
      <c r="J325">
        <v>273</v>
      </c>
      <c r="K325">
        <v>2.2189999999999999</v>
      </c>
      <c r="L325">
        <v>1618.25</v>
      </c>
      <c r="M325">
        <v>69.94</v>
      </c>
      <c r="N325">
        <v>748.75</v>
      </c>
      <c r="O325">
        <v>226.4</v>
      </c>
      <c r="P325">
        <v>151.94999999999999</v>
      </c>
      <c r="Q325">
        <v>19.489999999999998</v>
      </c>
      <c r="R325">
        <v>98.36</v>
      </c>
    </row>
    <row r="326" spans="1:18" x14ac:dyDescent="0.25">
      <c r="A326" s="3">
        <v>44650</v>
      </c>
      <c r="B326">
        <v>107.82</v>
      </c>
      <c r="C326">
        <v>113.45</v>
      </c>
      <c r="D326">
        <v>5.6050000000000004</v>
      </c>
      <c r="E326">
        <v>3.8085</v>
      </c>
      <c r="F326">
        <v>1087.5</v>
      </c>
      <c r="G326">
        <v>1939</v>
      </c>
      <c r="H326">
        <v>25.113</v>
      </c>
      <c r="I326">
        <v>4.7504999999999997</v>
      </c>
      <c r="J326">
        <v>272.60000000000002</v>
      </c>
      <c r="K326">
        <v>2.0550000000000002</v>
      </c>
      <c r="L326">
        <v>1664</v>
      </c>
      <c r="M326">
        <v>72.22</v>
      </c>
      <c r="N326">
        <v>738</v>
      </c>
      <c r="O326">
        <v>221.85</v>
      </c>
      <c r="P326">
        <v>148.15</v>
      </c>
      <c r="Q326">
        <v>19.47</v>
      </c>
      <c r="R326">
        <v>97.875</v>
      </c>
    </row>
    <row r="327" spans="1:18" x14ac:dyDescent="0.25">
      <c r="A327" s="3">
        <v>44649</v>
      </c>
      <c r="B327">
        <v>104.24</v>
      </c>
      <c r="C327">
        <v>110.23</v>
      </c>
      <c r="D327">
        <v>5.3360000000000003</v>
      </c>
      <c r="E327">
        <v>3.7161</v>
      </c>
      <c r="F327">
        <v>1063</v>
      </c>
      <c r="G327">
        <v>1912.2</v>
      </c>
      <c r="H327">
        <v>24.736000000000001</v>
      </c>
      <c r="I327">
        <v>4.7309999999999999</v>
      </c>
      <c r="J327">
        <v>272.45</v>
      </c>
      <c r="K327">
        <v>2.0499999999999998</v>
      </c>
      <c r="L327">
        <v>1643</v>
      </c>
      <c r="M327">
        <v>71.66</v>
      </c>
      <c r="N327">
        <v>726.25</v>
      </c>
      <c r="O327">
        <v>215.7</v>
      </c>
      <c r="P327">
        <v>145.80000000000001</v>
      </c>
      <c r="Q327">
        <v>19.11</v>
      </c>
      <c r="R327">
        <v>98.441000000000003</v>
      </c>
    </row>
    <row r="328" spans="1:18" x14ac:dyDescent="0.25">
      <c r="A328" s="3">
        <v>44648</v>
      </c>
      <c r="B328">
        <v>105.96</v>
      </c>
      <c r="C328">
        <v>112.48</v>
      </c>
      <c r="D328">
        <v>5.508</v>
      </c>
      <c r="E328">
        <v>3.7833999999999999</v>
      </c>
      <c r="F328">
        <v>1130.75</v>
      </c>
      <c r="G328">
        <v>1939.8</v>
      </c>
      <c r="H328">
        <v>25.196000000000002</v>
      </c>
      <c r="I328">
        <v>4.7255000000000003</v>
      </c>
      <c r="J328">
        <v>272.52499999999998</v>
      </c>
      <c r="K328">
        <v>2.052</v>
      </c>
      <c r="L328">
        <v>1664.25</v>
      </c>
      <c r="M328">
        <v>72.45</v>
      </c>
      <c r="N328">
        <v>748.5</v>
      </c>
      <c r="O328">
        <v>214.55</v>
      </c>
      <c r="P328">
        <v>147.30000000000001</v>
      </c>
      <c r="Q328">
        <v>19.59</v>
      </c>
      <c r="R328">
        <v>99.055000000000007</v>
      </c>
    </row>
    <row r="329" spans="1:18" x14ac:dyDescent="0.25">
      <c r="A329" s="3">
        <v>44647</v>
      </c>
    </row>
    <row r="330" spans="1:18" x14ac:dyDescent="0.25">
      <c r="A330" s="3">
        <v>44646</v>
      </c>
    </row>
    <row r="331" spans="1:18" x14ac:dyDescent="0.25">
      <c r="A331" s="3">
        <v>44645</v>
      </c>
      <c r="B331">
        <v>113.9</v>
      </c>
      <c r="C331">
        <v>120.65</v>
      </c>
      <c r="D331">
        <v>5.5709999999999997</v>
      </c>
      <c r="E331">
        <v>4.1146000000000003</v>
      </c>
      <c r="F331">
        <v>1195.75</v>
      </c>
      <c r="G331">
        <v>1954.2</v>
      </c>
      <c r="H331">
        <v>25.614999999999998</v>
      </c>
      <c r="I331">
        <v>4.6985000000000001</v>
      </c>
      <c r="J331">
        <v>272.52499999999998</v>
      </c>
      <c r="K331">
        <v>2.052</v>
      </c>
      <c r="L331">
        <v>1710.25</v>
      </c>
      <c r="M331">
        <v>74.75</v>
      </c>
      <c r="N331">
        <v>754</v>
      </c>
      <c r="O331">
        <v>221.85</v>
      </c>
      <c r="P331">
        <v>150.9</v>
      </c>
      <c r="Q331">
        <v>19.61</v>
      </c>
      <c r="R331">
        <v>98.822000000000003</v>
      </c>
    </row>
    <row r="332" spans="1:18" x14ac:dyDescent="0.25">
      <c r="A332" s="3">
        <v>44644</v>
      </c>
      <c r="B332">
        <v>112.34</v>
      </c>
      <c r="C332">
        <v>119.03</v>
      </c>
      <c r="D332">
        <v>5.4009999999999998</v>
      </c>
      <c r="E332">
        <v>4.1534000000000004</v>
      </c>
      <c r="F332">
        <v>1233.75</v>
      </c>
      <c r="G332">
        <v>1962.2</v>
      </c>
      <c r="H332">
        <v>25.92</v>
      </c>
      <c r="I332">
        <v>4.7424999999999997</v>
      </c>
      <c r="J332">
        <v>272.52499999999998</v>
      </c>
      <c r="K332">
        <v>2.0550000000000002</v>
      </c>
      <c r="L332">
        <v>1700.75</v>
      </c>
      <c r="M332">
        <v>74.290000000000006</v>
      </c>
      <c r="N332">
        <v>748.25</v>
      </c>
      <c r="O332">
        <v>221.85</v>
      </c>
      <c r="P332">
        <v>149.19999999999999</v>
      </c>
      <c r="Q332">
        <v>19.260000000000002</v>
      </c>
      <c r="R332">
        <v>98.8</v>
      </c>
    </row>
    <row r="333" spans="1:18" x14ac:dyDescent="0.25">
      <c r="A333" s="3">
        <v>44643</v>
      </c>
      <c r="B333">
        <v>114.93</v>
      </c>
      <c r="C333">
        <v>121.6</v>
      </c>
      <c r="D333">
        <v>5.2320000000000002</v>
      </c>
      <c r="E333">
        <v>4.1147999999999998</v>
      </c>
      <c r="F333">
        <v>1235.75</v>
      </c>
      <c r="G333">
        <v>1937.3</v>
      </c>
      <c r="H333">
        <v>25.189</v>
      </c>
      <c r="I333">
        <v>4.7765000000000004</v>
      </c>
      <c r="J333">
        <v>273</v>
      </c>
      <c r="K333">
        <v>2.0550000000000002</v>
      </c>
      <c r="L333">
        <v>1718.75</v>
      </c>
      <c r="M333">
        <v>75.97</v>
      </c>
      <c r="N333">
        <v>757.75</v>
      </c>
      <c r="O333">
        <v>225.3</v>
      </c>
      <c r="P333">
        <v>146.35</v>
      </c>
      <c r="Q333">
        <v>19.239999999999998</v>
      </c>
      <c r="R333">
        <v>98.614999999999995</v>
      </c>
    </row>
    <row r="334" spans="1:18" x14ac:dyDescent="0.25">
      <c r="A334" s="3">
        <v>44642</v>
      </c>
      <c r="B334">
        <v>111.76</v>
      </c>
      <c r="C334">
        <v>115.48</v>
      </c>
      <c r="D334">
        <v>5.1870000000000003</v>
      </c>
      <c r="E334">
        <v>3.8641999999999999</v>
      </c>
      <c r="F334">
        <v>1171.25</v>
      </c>
      <c r="G334">
        <v>1921.5</v>
      </c>
      <c r="H334">
        <v>24.904</v>
      </c>
      <c r="I334">
        <v>4.7</v>
      </c>
      <c r="J334">
        <v>273</v>
      </c>
      <c r="K334">
        <v>2.0579999999999998</v>
      </c>
      <c r="L334">
        <v>1696.5</v>
      </c>
      <c r="M334">
        <v>74.540000000000006</v>
      </c>
      <c r="N334">
        <v>753</v>
      </c>
      <c r="O334">
        <v>225.05</v>
      </c>
      <c r="P334">
        <v>144.69999999999999</v>
      </c>
      <c r="Q334">
        <v>19.149999999999999</v>
      </c>
      <c r="R334">
        <v>98.522999999999996</v>
      </c>
    </row>
    <row r="335" spans="1:18" x14ac:dyDescent="0.25">
      <c r="A335" s="3">
        <v>44641</v>
      </c>
      <c r="B335">
        <v>112.12</v>
      </c>
      <c r="C335">
        <v>115.62</v>
      </c>
      <c r="D335">
        <v>4.9000000000000004</v>
      </c>
      <c r="E335">
        <v>3.8008999999999999</v>
      </c>
      <c r="F335">
        <v>1157.75</v>
      </c>
      <c r="G335">
        <v>1929.5</v>
      </c>
      <c r="H335">
        <v>25.312999999999999</v>
      </c>
      <c r="I335">
        <v>4.7104999999999997</v>
      </c>
      <c r="J335">
        <v>273</v>
      </c>
      <c r="K335">
        <v>2.0550000000000002</v>
      </c>
      <c r="L335">
        <v>1691</v>
      </c>
      <c r="M335">
        <v>73.709999999999994</v>
      </c>
      <c r="N335">
        <v>756.25</v>
      </c>
      <c r="O335">
        <v>225.85</v>
      </c>
      <c r="P335">
        <v>147.80000000000001</v>
      </c>
      <c r="Q335">
        <v>19.28</v>
      </c>
      <c r="R335">
        <v>98.498999999999995</v>
      </c>
    </row>
    <row r="336" spans="1:18" x14ac:dyDescent="0.25">
      <c r="A336" s="3">
        <v>44640</v>
      </c>
    </row>
    <row r="337" spans="1:18" x14ac:dyDescent="0.25">
      <c r="A337" s="3">
        <v>44639</v>
      </c>
    </row>
    <row r="338" spans="1:18" x14ac:dyDescent="0.25">
      <c r="A338" s="3">
        <v>44638</v>
      </c>
      <c r="B338">
        <v>104.7</v>
      </c>
      <c r="C338">
        <v>107.93</v>
      </c>
      <c r="D338">
        <v>4.8630000000000004</v>
      </c>
      <c r="E338">
        <v>3.5981000000000001</v>
      </c>
      <c r="F338">
        <v>1064.75</v>
      </c>
      <c r="G338">
        <v>1929.3</v>
      </c>
      <c r="H338">
        <v>25.087</v>
      </c>
      <c r="I338">
        <v>4.7394999999999996</v>
      </c>
      <c r="J338">
        <v>270.97500000000002</v>
      </c>
      <c r="K338">
        <v>2.0529999999999999</v>
      </c>
      <c r="L338">
        <v>1668</v>
      </c>
      <c r="M338">
        <v>72.290000000000006</v>
      </c>
      <c r="N338">
        <v>741.75</v>
      </c>
      <c r="O338">
        <v>220.3</v>
      </c>
      <c r="P338">
        <v>147.65</v>
      </c>
      <c r="Q338">
        <v>18.93</v>
      </c>
      <c r="R338">
        <v>98.227000000000004</v>
      </c>
    </row>
    <row r="339" spans="1:18" x14ac:dyDescent="0.25">
      <c r="A339" s="3">
        <v>44637</v>
      </c>
      <c r="B339">
        <v>102.98</v>
      </c>
      <c r="C339">
        <v>106.64</v>
      </c>
      <c r="D339">
        <v>4.99</v>
      </c>
      <c r="E339">
        <v>3.4874000000000001</v>
      </c>
      <c r="F339">
        <v>1056.5</v>
      </c>
      <c r="G339">
        <v>1943.2</v>
      </c>
      <c r="H339">
        <v>25.616</v>
      </c>
      <c r="I339">
        <v>4.702</v>
      </c>
      <c r="J339">
        <v>270.85000000000002</v>
      </c>
      <c r="K339">
        <v>2.0529999999999999</v>
      </c>
      <c r="L339">
        <v>1668.5</v>
      </c>
      <c r="M339">
        <v>74.63</v>
      </c>
      <c r="N339">
        <v>754.5</v>
      </c>
      <c r="O339">
        <v>217.3</v>
      </c>
      <c r="P339">
        <v>144.6</v>
      </c>
      <c r="Q339">
        <v>18.690000000000001</v>
      </c>
      <c r="R339">
        <v>97.974999999999994</v>
      </c>
    </row>
    <row r="340" spans="1:18" x14ac:dyDescent="0.25">
      <c r="A340" s="3">
        <v>44636</v>
      </c>
      <c r="B340">
        <v>95.04</v>
      </c>
      <c r="C340">
        <v>98.02</v>
      </c>
      <c r="D340">
        <v>4.7480000000000002</v>
      </c>
      <c r="E340">
        <v>3.1000999999999999</v>
      </c>
      <c r="F340">
        <v>919.5</v>
      </c>
      <c r="G340">
        <v>1909.2</v>
      </c>
      <c r="H340">
        <v>24.71</v>
      </c>
      <c r="I340">
        <v>4.6005000000000003</v>
      </c>
      <c r="J340">
        <v>269.57499999999999</v>
      </c>
      <c r="K340">
        <v>2.0419999999999998</v>
      </c>
      <c r="L340">
        <v>1649.25</v>
      </c>
      <c r="M340">
        <v>73.55</v>
      </c>
      <c r="N340">
        <v>730</v>
      </c>
      <c r="O340">
        <v>218.6</v>
      </c>
      <c r="P340">
        <v>143.85</v>
      </c>
      <c r="Q340">
        <v>18.559999999999999</v>
      </c>
      <c r="R340">
        <v>98.620999999999995</v>
      </c>
    </row>
    <row r="341" spans="1:18" x14ac:dyDescent="0.25">
      <c r="A341" s="3">
        <v>44635</v>
      </c>
      <c r="B341">
        <v>96.44</v>
      </c>
      <c r="C341">
        <v>99.91</v>
      </c>
      <c r="D341">
        <v>4.5679999999999996</v>
      </c>
      <c r="E341">
        <v>3.0297000000000001</v>
      </c>
      <c r="F341">
        <v>904</v>
      </c>
      <c r="G341">
        <v>1929.7</v>
      </c>
      <c r="H341">
        <v>25.158000000000001</v>
      </c>
      <c r="I341">
        <v>4.5129999999999999</v>
      </c>
      <c r="J341">
        <v>269.5</v>
      </c>
      <c r="K341">
        <v>2.0449999999999999</v>
      </c>
      <c r="L341">
        <v>1658.75</v>
      </c>
      <c r="M341">
        <v>73.680000000000007</v>
      </c>
      <c r="N341">
        <v>758</v>
      </c>
      <c r="O341">
        <v>212.3</v>
      </c>
      <c r="P341">
        <v>142.65</v>
      </c>
      <c r="Q341">
        <v>18.73</v>
      </c>
      <c r="R341">
        <v>99.063999999999993</v>
      </c>
    </row>
    <row r="342" spans="1:18" x14ac:dyDescent="0.25">
      <c r="A342" s="3">
        <v>44634</v>
      </c>
      <c r="B342">
        <v>103.01</v>
      </c>
      <c r="C342">
        <v>106.9</v>
      </c>
      <c r="D342">
        <v>4.6580000000000004</v>
      </c>
      <c r="E342">
        <v>3.2763</v>
      </c>
      <c r="F342">
        <v>964</v>
      </c>
      <c r="G342">
        <v>1960.8</v>
      </c>
      <c r="H342">
        <v>25.297999999999998</v>
      </c>
      <c r="I342">
        <v>4.5229999999999997</v>
      </c>
      <c r="J342">
        <v>271.5</v>
      </c>
      <c r="K342">
        <v>2.0499999999999998</v>
      </c>
      <c r="L342">
        <v>1687.25</v>
      </c>
      <c r="M342">
        <v>78.73</v>
      </c>
      <c r="N342">
        <v>728.25</v>
      </c>
      <c r="O342">
        <v>219.65</v>
      </c>
      <c r="P342">
        <v>141.5</v>
      </c>
      <c r="Q342">
        <v>19.13</v>
      </c>
      <c r="R342">
        <v>98.879000000000005</v>
      </c>
    </row>
    <row r="343" spans="1:18" x14ac:dyDescent="0.25">
      <c r="A343" s="3">
        <v>44633</v>
      </c>
    </row>
    <row r="344" spans="1:18" x14ac:dyDescent="0.25">
      <c r="A344" s="3">
        <v>44632</v>
      </c>
    </row>
    <row r="345" spans="1:18" x14ac:dyDescent="0.25">
      <c r="A345" s="3">
        <v>44631</v>
      </c>
      <c r="B345">
        <v>109.33</v>
      </c>
      <c r="C345">
        <v>112.67</v>
      </c>
      <c r="D345">
        <v>4.7249999999999996</v>
      </c>
      <c r="E345">
        <v>3.4176000000000002</v>
      </c>
      <c r="F345">
        <v>1012</v>
      </c>
      <c r="G345">
        <v>1985</v>
      </c>
      <c r="H345">
        <v>26.16</v>
      </c>
      <c r="I345">
        <v>4.6254999999999997</v>
      </c>
      <c r="J345">
        <v>271</v>
      </c>
      <c r="K345">
        <v>2.0430000000000001</v>
      </c>
      <c r="L345">
        <v>1690.75</v>
      </c>
      <c r="M345">
        <v>82.18</v>
      </c>
      <c r="N345">
        <v>764.5</v>
      </c>
      <c r="O345">
        <v>222.95</v>
      </c>
      <c r="P345">
        <v>138.69999999999999</v>
      </c>
      <c r="Q345">
        <v>19.239999999999998</v>
      </c>
      <c r="R345">
        <v>99.13</v>
      </c>
    </row>
    <row r="346" spans="1:18" x14ac:dyDescent="0.25">
      <c r="A346" s="3">
        <v>44630</v>
      </c>
      <c r="B346">
        <v>106.02</v>
      </c>
      <c r="C346">
        <v>109.33</v>
      </c>
      <c r="D346">
        <v>4.6310000000000002</v>
      </c>
      <c r="E346">
        <v>3.2961999999999998</v>
      </c>
      <c r="F346">
        <v>1522.5</v>
      </c>
      <c r="G346">
        <v>2000.4</v>
      </c>
      <c r="H346">
        <v>26.256</v>
      </c>
      <c r="I346">
        <v>4.6524999999999999</v>
      </c>
      <c r="J346">
        <v>271</v>
      </c>
      <c r="K346">
        <v>2.0539999999999998</v>
      </c>
      <c r="L346">
        <v>1700</v>
      </c>
      <c r="M346">
        <v>80.849999999999994</v>
      </c>
      <c r="N346">
        <v>757.75</v>
      </c>
      <c r="O346">
        <v>225.2</v>
      </c>
      <c r="P346">
        <v>138.30000000000001</v>
      </c>
      <c r="Q346">
        <v>19.100000000000001</v>
      </c>
      <c r="R346">
        <v>98.504000000000005</v>
      </c>
    </row>
    <row r="347" spans="1:18" x14ac:dyDescent="0.25">
      <c r="A347" s="3">
        <v>44629</v>
      </c>
      <c r="B347">
        <v>108.7</v>
      </c>
      <c r="C347">
        <v>111.14</v>
      </c>
      <c r="D347">
        <v>4.5259999999999998</v>
      </c>
      <c r="E347">
        <v>3.4643000000000002</v>
      </c>
      <c r="F347">
        <v>1522.5</v>
      </c>
      <c r="G347">
        <v>1988.2</v>
      </c>
      <c r="H347">
        <v>25.815999999999999</v>
      </c>
      <c r="I347">
        <v>4.5724999999999998</v>
      </c>
      <c r="J347">
        <v>271</v>
      </c>
      <c r="K347">
        <v>2.0630000000000002</v>
      </c>
      <c r="L347">
        <v>1686.5</v>
      </c>
      <c r="M347">
        <v>80.069999999999993</v>
      </c>
      <c r="N347">
        <v>735</v>
      </c>
      <c r="O347">
        <v>230.45</v>
      </c>
      <c r="P347">
        <v>137.94999999999999</v>
      </c>
      <c r="Q347">
        <v>18.940000000000001</v>
      </c>
      <c r="R347">
        <v>97.953000000000003</v>
      </c>
    </row>
    <row r="348" spans="1:18" x14ac:dyDescent="0.25">
      <c r="A348" s="3">
        <v>44628</v>
      </c>
      <c r="B348">
        <v>123.7</v>
      </c>
      <c r="C348">
        <v>127.98</v>
      </c>
      <c r="D348">
        <v>4.5270000000000001</v>
      </c>
      <c r="E348">
        <v>4.4372999999999996</v>
      </c>
      <c r="F348">
        <v>1492.75</v>
      </c>
      <c r="G348">
        <v>2043.3</v>
      </c>
      <c r="H348">
        <v>26.895</v>
      </c>
      <c r="I348">
        <v>4.71</v>
      </c>
      <c r="J348">
        <v>271</v>
      </c>
      <c r="K348">
        <v>2.077</v>
      </c>
      <c r="L348">
        <v>1704.5</v>
      </c>
      <c r="M348">
        <v>79.680000000000007</v>
      </c>
      <c r="N348">
        <v>754.5</v>
      </c>
      <c r="O348">
        <v>234.05</v>
      </c>
      <c r="P348">
        <v>141.15</v>
      </c>
      <c r="Q348">
        <v>19.43</v>
      </c>
      <c r="R348">
        <v>99.08</v>
      </c>
    </row>
    <row r="349" spans="1:18" x14ac:dyDescent="0.25">
      <c r="A349" s="3">
        <v>44627</v>
      </c>
      <c r="B349">
        <v>119.4</v>
      </c>
      <c r="C349">
        <v>123.21</v>
      </c>
      <c r="D349">
        <v>4.8330000000000002</v>
      </c>
      <c r="E349">
        <v>3.9215</v>
      </c>
      <c r="F349">
        <v>1297.75</v>
      </c>
      <c r="G349">
        <v>1995.9</v>
      </c>
      <c r="H349">
        <v>25.72</v>
      </c>
      <c r="I349">
        <v>4.7309999999999999</v>
      </c>
      <c r="J349">
        <v>269</v>
      </c>
      <c r="K349">
        <v>2.069</v>
      </c>
      <c r="L349">
        <v>1674.25</v>
      </c>
      <c r="M349">
        <v>78.150000000000006</v>
      </c>
      <c r="N349">
        <v>749.25</v>
      </c>
      <c r="O349">
        <v>225.5</v>
      </c>
      <c r="P349">
        <v>137.9</v>
      </c>
      <c r="Q349">
        <v>19.27</v>
      </c>
      <c r="R349">
        <v>99.295000000000002</v>
      </c>
    </row>
    <row r="350" spans="1:18" x14ac:dyDescent="0.25">
      <c r="A350" s="3">
        <v>44626</v>
      </c>
    </row>
    <row r="351" spans="1:18" x14ac:dyDescent="0.25">
      <c r="A351" s="3">
        <v>44625</v>
      </c>
    </row>
    <row r="352" spans="1:18" x14ac:dyDescent="0.25">
      <c r="A352" s="3">
        <v>44624</v>
      </c>
      <c r="B352">
        <v>115.68</v>
      </c>
      <c r="C352">
        <v>118.11</v>
      </c>
      <c r="D352">
        <v>5.016</v>
      </c>
      <c r="E352">
        <v>3.7763</v>
      </c>
      <c r="F352">
        <v>1184.25</v>
      </c>
      <c r="G352">
        <v>1966.6</v>
      </c>
      <c r="H352">
        <v>25.789000000000001</v>
      </c>
      <c r="I352">
        <v>4.9375</v>
      </c>
      <c r="J352">
        <v>269</v>
      </c>
      <c r="K352">
        <v>2.056</v>
      </c>
      <c r="L352">
        <v>1676.25</v>
      </c>
      <c r="M352">
        <v>76.8</v>
      </c>
      <c r="N352">
        <v>756.5</v>
      </c>
      <c r="O352">
        <v>224.15</v>
      </c>
      <c r="P352">
        <v>147.9</v>
      </c>
      <c r="Q352">
        <v>19.350000000000001</v>
      </c>
      <c r="R352">
        <v>98.671000000000006</v>
      </c>
    </row>
    <row r="353" spans="1:18" x14ac:dyDescent="0.25">
      <c r="A353" s="3">
        <v>44623</v>
      </c>
      <c r="B353">
        <v>107.67</v>
      </c>
      <c r="C353">
        <v>110.46</v>
      </c>
      <c r="D353">
        <v>4.7220000000000004</v>
      </c>
      <c r="E353">
        <v>3.5034000000000001</v>
      </c>
      <c r="F353">
        <v>1095.5</v>
      </c>
      <c r="G353">
        <v>1935.9</v>
      </c>
      <c r="H353">
        <v>25.212</v>
      </c>
      <c r="I353">
        <v>4.7815000000000003</v>
      </c>
      <c r="J353">
        <v>269</v>
      </c>
      <c r="K353">
        <v>2.052</v>
      </c>
      <c r="L353">
        <v>1680.25</v>
      </c>
      <c r="M353">
        <v>78.3</v>
      </c>
      <c r="N353">
        <v>751.25</v>
      </c>
      <c r="O353">
        <v>224.15</v>
      </c>
      <c r="P353">
        <v>149.05000000000001</v>
      </c>
      <c r="Q353">
        <v>18.93</v>
      </c>
      <c r="R353">
        <v>97.790999999999997</v>
      </c>
    </row>
    <row r="354" spans="1:18" x14ac:dyDescent="0.25">
      <c r="A354" s="3">
        <v>44622</v>
      </c>
      <c r="B354">
        <v>110.6</v>
      </c>
      <c r="C354">
        <v>112.93</v>
      </c>
      <c r="D354">
        <v>4.7619999999999996</v>
      </c>
      <c r="E354">
        <v>3.4946999999999999</v>
      </c>
      <c r="F354">
        <v>1044</v>
      </c>
      <c r="G354">
        <v>1922.3</v>
      </c>
      <c r="H354">
        <v>25.19</v>
      </c>
      <c r="I354">
        <v>4.6654999999999998</v>
      </c>
      <c r="J354">
        <v>266.68</v>
      </c>
      <c r="K354">
        <v>1.907</v>
      </c>
      <c r="L354">
        <v>1677.5</v>
      </c>
      <c r="M354">
        <v>79.540000000000006</v>
      </c>
      <c r="N354">
        <v>739</v>
      </c>
      <c r="O354">
        <v>230.45</v>
      </c>
      <c r="P354">
        <v>151.25</v>
      </c>
      <c r="Q354">
        <v>18.64</v>
      </c>
      <c r="R354">
        <v>97.414000000000001</v>
      </c>
    </row>
    <row r="355" spans="1:18" x14ac:dyDescent="0.25">
      <c r="A355" s="3">
        <v>44621</v>
      </c>
      <c r="B355">
        <v>103.41</v>
      </c>
      <c r="C355">
        <v>104.97</v>
      </c>
      <c r="D355">
        <v>4.5730000000000004</v>
      </c>
      <c r="E355">
        <v>3.1511</v>
      </c>
      <c r="F355">
        <v>962</v>
      </c>
      <c r="G355">
        <v>1943.8</v>
      </c>
      <c r="H355">
        <v>25.541</v>
      </c>
      <c r="I355">
        <v>4.5964999999999998</v>
      </c>
      <c r="J355">
        <v>267.57499999999999</v>
      </c>
      <c r="K355">
        <v>1.9059999999999999</v>
      </c>
      <c r="L355">
        <v>1705.5</v>
      </c>
      <c r="M355">
        <v>76.8</v>
      </c>
      <c r="N355">
        <v>739.75</v>
      </c>
      <c r="O355">
        <v>237.25</v>
      </c>
      <c r="P355">
        <v>150.19999999999999</v>
      </c>
      <c r="Q355">
        <v>18.34</v>
      </c>
      <c r="R355">
        <v>97.406000000000006</v>
      </c>
    </row>
    <row r="356" spans="1:18" x14ac:dyDescent="0.25">
      <c r="A356" s="3">
        <v>44620</v>
      </c>
      <c r="B356">
        <v>95.72</v>
      </c>
      <c r="C356">
        <v>100.99</v>
      </c>
      <c r="D356">
        <v>4.4020000000000001</v>
      </c>
      <c r="E356">
        <v>3.0133999999999999</v>
      </c>
      <c r="F356">
        <v>881.25</v>
      </c>
      <c r="G356">
        <v>1900.7</v>
      </c>
      <c r="H356">
        <v>24.366</v>
      </c>
      <c r="I356">
        <v>4.4545000000000003</v>
      </c>
      <c r="J356">
        <v>267.57499999999999</v>
      </c>
      <c r="K356">
        <v>1.9059999999999999</v>
      </c>
      <c r="L356">
        <v>1644.25</v>
      </c>
      <c r="M356">
        <v>72.89</v>
      </c>
      <c r="N356">
        <v>697.5</v>
      </c>
      <c r="O356">
        <v>234.25</v>
      </c>
      <c r="P356">
        <v>145.94999999999999</v>
      </c>
      <c r="Q356">
        <v>18</v>
      </c>
      <c r="R356">
        <v>96.694000000000003</v>
      </c>
    </row>
    <row r="357" spans="1:18" x14ac:dyDescent="0.25">
      <c r="A357" s="3">
        <v>44619</v>
      </c>
    </row>
    <row r="358" spans="1:18" x14ac:dyDescent="0.25">
      <c r="A358" s="3">
        <v>44618</v>
      </c>
    </row>
    <row r="359" spans="1:18" x14ac:dyDescent="0.25">
      <c r="A359" s="3">
        <v>44617</v>
      </c>
      <c r="B359">
        <v>91.59</v>
      </c>
      <c r="C359">
        <v>97.93</v>
      </c>
      <c r="D359">
        <v>4.47</v>
      </c>
      <c r="E359">
        <v>2.8494999999999999</v>
      </c>
      <c r="F359">
        <v>836.5</v>
      </c>
      <c r="G359">
        <v>1887.6</v>
      </c>
      <c r="H359">
        <v>24.016999999999999</v>
      </c>
      <c r="I359">
        <v>4.4850000000000003</v>
      </c>
      <c r="J359">
        <v>267.57499999999999</v>
      </c>
      <c r="K359">
        <v>1.9059999999999999</v>
      </c>
      <c r="L359">
        <v>1590.25</v>
      </c>
      <c r="M359">
        <v>68.75</v>
      </c>
      <c r="N359">
        <v>659.5</v>
      </c>
      <c r="O359">
        <v>240.05</v>
      </c>
      <c r="P359">
        <v>136.1</v>
      </c>
      <c r="Q359">
        <v>17.989999999999998</v>
      </c>
      <c r="R359">
        <v>96.619</v>
      </c>
    </row>
    <row r="360" spans="1:18" x14ac:dyDescent="0.25">
      <c r="A360" s="3">
        <v>44616</v>
      </c>
      <c r="B360">
        <v>92.81</v>
      </c>
      <c r="C360">
        <v>99.08</v>
      </c>
      <c r="D360">
        <v>4.5679999999999996</v>
      </c>
      <c r="E360">
        <v>2.8969</v>
      </c>
      <c r="F360">
        <v>891.25</v>
      </c>
      <c r="G360">
        <v>1926.3</v>
      </c>
      <c r="H360">
        <v>24.687000000000001</v>
      </c>
      <c r="I360">
        <v>4.4560000000000004</v>
      </c>
      <c r="J360">
        <v>265.5</v>
      </c>
      <c r="K360">
        <v>1.9059999999999999</v>
      </c>
      <c r="L360">
        <v>1661.5</v>
      </c>
      <c r="M360">
        <v>72</v>
      </c>
      <c r="N360">
        <v>695</v>
      </c>
      <c r="O360">
        <v>239.35</v>
      </c>
      <c r="P360">
        <v>136.44999999999999</v>
      </c>
      <c r="Q360">
        <v>18.32</v>
      </c>
      <c r="R360">
        <v>97.117999999999995</v>
      </c>
    </row>
    <row r="361" spans="1:18" x14ac:dyDescent="0.25">
      <c r="A361" s="3">
        <v>44615</v>
      </c>
      <c r="B361">
        <v>92.1</v>
      </c>
      <c r="C361">
        <v>96.84</v>
      </c>
      <c r="D361">
        <v>4.6230000000000002</v>
      </c>
      <c r="E361">
        <v>2.8292000000000002</v>
      </c>
      <c r="F361">
        <v>831</v>
      </c>
      <c r="G361">
        <v>1910.4</v>
      </c>
      <c r="H361">
        <v>24.553000000000001</v>
      </c>
      <c r="I361">
        <v>4.484</v>
      </c>
      <c r="J361">
        <v>264</v>
      </c>
      <c r="K361">
        <v>1.905</v>
      </c>
      <c r="L361">
        <v>1675</v>
      </c>
      <c r="M361">
        <v>70.72</v>
      </c>
      <c r="N361">
        <v>683.75</v>
      </c>
      <c r="O361">
        <v>248.6</v>
      </c>
      <c r="P361">
        <v>136.44999999999999</v>
      </c>
      <c r="Q361">
        <v>18.53</v>
      </c>
      <c r="R361">
        <v>96.188000000000002</v>
      </c>
    </row>
    <row r="362" spans="1:18" x14ac:dyDescent="0.25">
      <c r="A362" s="3">
        <v>44614</v>
      </c>
      <c r="B362">
        <v>92.35</v>
      </c>
      <c r="C362">
        <v>96.84</v>
      </c>
      <c r="D362">
        <v>4.4980000000000002</v>
      </c>
      <c r="E362">
        <v>2.8188</v>
      </c>
      <c r="F362">
        <v>834.25</v>
      </c>
      <c r="G362">
        <v>1907.4</v>
      </c>
      <c r="H362">
        <v>24.311</v>
      </c>
      <c r="I362">
        <v>4.5105000000000004</v>
      </c>
      <c r="J362">
        <v>263.625</v>
      </c>
      <c r="K362">
        <v>1.905</v>
      </c>
      <c r="L362">
        <v>1635</v>
      </c>
      <c r="M362">
        <v>70.150000000000006</v>
      </c>
      <c r="N362">
        <v>674.75</v>
      </c>
      <c r="O362">
        <v>248.45</v>
      </c>
      <c r="P362">
        <v>135.9</v>
      </c>
      <c r="Q362">
        <v>18.48</v>
      </c>
      <c r="R362">
        <v>96.010999999999996</v>
      </c>
    </row>
    <row r="363" spans="1:18" x14ac:dyDescent="0.25">
      <c r="A363" s="3">
        <v>44613</v>
      </c>
      <c r="C363">
        <v>95.39</v>
      </c>
      <c r="F363">
        <v>823</v>
      </c>
    </row>
    <row r="364" spans="1:18" x14ac:dyDescent="0.25">
      <c r="A364" s="3">
        <v>44612</v>
      </c>
    </row>
    <row r="365" spans="1:18" x14ac:dyDescent="0.25">
      <c r="A365" s="3">
        <v>44611</v>
      </c>
    </row>
    <row r="366" spans="1:18" x14ac:dyDescent="0.25">
      <c r="A366" s="3">
        <v>44610</v>
      </c>
      <c r="B366">
        <v>91.07</v>
      </c>
      <c r="C366">
        <v>93.54</v>
      </c>
      <c r="D366">
        <v>4.431</v>
      </c>
      <c r="E366">
        <v>2.7814999999999999</v>
      </c>
      <c r="F366">
        <v>811.5</v>
      </c>
      <c r="G366">
        <v>1899.8</v>
      </c>
      <c r="H366">
        <v>23.992000000000001</v>
      </c>
      <c r="I366">
        <v>4.5194999999999999</v>
      </c>
      <c r="J366">
        <v>263.67500000000001</v>
      </c>
      <c r="K366">
        <v>1.9039999999999999</v>
      </c>
      <c r="L366">
        <v>1601.5</v>
      </c>
      <c r="M366">
        <v>67.569999999999993</v>
      </c>
      <c r="N366">
        <v>654.25</v>
      </c>
      <c r="O366">
        <v>246.85</v>
      </c>
      <c r="P366">
        <v>134.80000000000001</v>
      </c>
      <c r="Q366">
        <v>18.2</v>
      </c>
      <c r="R366">
        <v>96.022000000000006</v>
      </c>
    </row>
    <row r="367" spans="1:18" x14ac:dyDescent="0.25">
      <c r="A367" s="3">
        <v>44609</v>
      </c>
      <c r="B367">
        <v>91.76</v>
      </c>
      <c r="C367">
        <v>92.97</v>
      </c>
      <c r="D367">
        <v>4.4859999999999998</v>
      </c>
      <c r="E367">
        <v>2.7862</v>
      </c>
      <c r="F367">
        <v>809.5</v>
      </c>
      <c r="G367">
        <v>1902</v>
      </c>
      <c r="H367">
        <v>23.875</v>
      </c>
      <c r="I367">
        <v>4.5229999999999997</v>
      </c>
      <c r="J367">
        <v>263.67500000000001</v>
      </c>
      <c r="K367">
        <v>1.9039999999999999</v>
      </c>
      <c r="L367">
        <v>1592</v>
      </c>
      <c r="M367">
        <v>66.81</v>
      </c>
      <c r="N367">
        <v>650</v>
      </c>
      <c r="O367">
        <v>251.5</v>
      </c>
      <c r="P367">
        <v>132.9</v>
      </c>
      <c r="Q367">
        <v>18.28</v>
      </c>
      <c r="R367">
        <v>95.802999999999997</v>
      </c>
    </row>
    <row r="368" spans="1:18" x14ac:dyDescent="0.25">
      <c r="A368" s="3">
        <v>44608</v>
      </c>
      <c r="B368">
        <v>93.66</v>
      </c>
      <c r="C368">
        <v>94.81</v>
      </c>
      <c r="D368">
        <v>4.7169999999999996</v>
      </c>
      <c r="E368">
        <v>2.8574999999999999</v>
      </c>
      <c r="F368">
        <v>837.5</v>
      </c>
      <c r="G368">
        <v>1871.5</v>
      </c>
      <c r="H368">
        <v>23.605</v>
      </c>
      <c r="I368">
        <v>4.5365000000000002</v>
      </c>
      <c r="J368">
        <v>261</v>
      </c>
      <c r="K368">
        <v>1.9</v>
      </c>
      <c r="L368">
        <v>1587.5</v>
      </c>
      <c r="M368">
        <v>66.97</v>
      </c>
      <c r="N368">
        <v>647</v>
      </c>
      <c r="O368">
        <v>252.25</v>
      </c>
      <c r="P368">
        <v>132.55000000000001</v>
      </c>
      <c r="Q368">
        <v>18.07</v>
      </c>
      <c r="R368">
        <v>95.697000000000003</v>
      </c>
    </row>
    <row r="369" spans="1:18" x14ac:dyDescent="0.25">
      <c r="A369" s="3">
        <v>44607</v>
      </c>
      <c r="B369">
        <v>92.07</v>
      </c>
      <c r="C369">
        <v>93.28</v>
      </c>
      <c r="D369">
        <v>4.306</v>
      </c>
      <c r="E369">
        <v>2.8595000000000002</v>
      </c>
      <c r="F369">
        <v>818.25</v>
      </c>
      <c r="G369">
        <v>1856.2</v>
      </c>
      <c r="H369">
        <v>23.341999999999999</v>
      </c>
      <c r="I369">
        <v>4.5315000000000003</v>
      </c>
      <c r="J369">
        <v>261</v>
      </c>
      <c r="K369">
        <v>1.91</v>
      </c>
      <c r="L369">
        <v>1551.25</v>
      </c>
      <c r="M369">
        <v>65.63</v>
      </c>
      <c r="N369">
        <v>638</v>
      </c>
      <c r="O369">
        <v>251.85</v>
      </c>
      <c r="P369">
        <v>133.6</v>
      </c>
      <c r="Q369">
        <v>18.07</v>
      </c>
      <c r="R369">
        <v>95.992999999999995</v>
      </c>
    </row>
    <row r="370" spans="1:18" x14ac:dyDescent="0.25">
      <c r="A370" s="3">
        <v>44606</v>
      </c>
      <c r="B370">
        <v>95.46</v>
      </c>
      <c r="C370">
        <v>96.48</v>
      </c>
      <c r="D370">
        <v>4.1950000000000003</v>
      </c>
      <c r="E370">
        <v>2.9618000000000002</v>
      </c>
      <c r="F370">
        <v>839.75</v>
      </c>
      <c r="G370">
        <v>1869.4</v>
      </c>
      <c r="H370">
        <v>23.847999999999999</v>
      </c>
      <c r="I370">
        <v>4.5075000000000003</v>
      </c>
      <c r="J370">
        <v>258.57499999999999</v>
      </c>
      <c r="K370">
        <v>1.907</v>
      </c>
      <c r="L370">
        <v>1570</v>
      </c>
      <c r="M370">
        <v>65.81</v>
      </c>
      <c r="N370">
        <v>655.75</v>
      </c>
      <c r="O370">
        <v>247.55</v>
      </c>
      <c r="P370">
        <v>133.69999999999999</v>
      </c>
      <c r="Q370">
        <v>18.12</v>
      </c>
      <c r="R370">
        <v>96.355999999999995</v>
      </c>
    </row>
    <row r="371" spans="1:18" x14ac:dyDescent="0.25">
      <c r="A371" s="3">
        <v>44605</v>
      </c>
    </row>
    <row r="372" spans="1:18" x14ac:dyDescent="0.25">
      <c r="A372" s="3">
        <v>44604</v>
      </c>
    </row>
    <row r="373" spans="1:18" x14ac:dyDescent="0.25">
      <c r="A373" s="3">
        <v>44603</v>
      </c>
      <c r="B373">
        <v>93.1</v>
      </c>
      <c r="C373">
        <v>94.44</v>
      </c>
      <c r="D373">
        <v>3.9409999999999998</v>
      </c>
      <c r="E373">
        <v>2.9108999999999998</v>
      </c>
      <c r="F373">
        <v>827.25</v>
      </c>
      <c r="G373">
        <v>1842.1</v>
      </c>
      <c r="H373">
        <v>23.369</v>
      </c>
      <c r="I373">
        <v>4.5060000000000002</v>
      </c>
      <c r="J373">
        <v>256.60000000000002</v>
      </c>
      <c r="K373">
        <v>1.9039999999999999</v>
      </c>
      <c r="L373">
        <v>1583</v>
      </c>
      <c r="M373">
        <v>65.72</v>
      </c>
      <c r="N373">
        <v>651</v>
      </c>
      <c r="O373">
        <v>251.65</v>
      </c>
      <c r="P373">
        <v>136.55000000000001</v>
      </c>
      <c r="Q373">
        <v>18.260000000000002</v>
      </c>
      <c r="R373">
        <v>96.072999999999993</v>
      </c>
    </row>
    <row r="374" spans="1:18" x14ac:dyDescent="0.25">
      <c r="A374" s="3">
        <v>44602</v>
      </c>
      <c r="B374">
        <v>89.88</v>
      </c>
      <c r="C374">
        <v>91.41</v>
      </c>
      <c r="D374">
        <v>3.9590000000000001</v>
      </c>
      <c r="E374">
        <v>2.8271999999999999</v>
      </c>
      <c r="F374">
        <v>829.75</v>
      </c>
      <c r="G374">
        <v>1837.4</v>
      </c>
      <c r="H374">
        <v>23.521999999999998</v>
      </c>
      <c r="I374">
        <v>4.6595000000000004</v>
      </c>
      <c r="J374">
        <v>254.02500000000001</v>
      </c>
      <c r="K374">
        <v>1.899</v>
      </c>
      <c r="L374">
        <v>1574.25</v>
      </c>
      <c r="M374">
        <v>64.510000000000005</v>
      </c>
      <c r="N374">
        <v>641.75</v>
      </c>
      <c r="O374">
        <v>255.2</v>
      </c>
      <c r="P374">
        <v>139.69999999999999</v>
      </c>
      <c r="Q374">
        <v>18.3</v>
      </c>
      <c r="R374">
        <v>95.548000000000002</v>
      </c>
    </row>
    <row r="375" spans="1:18" x14ac:dyDescent="0.25">
      <c r="A375" s="3">
        <v>44601</v>
      </c>
      <c r="B375">
        <v>89.66</v>
      </c>
      <c r="C375">
        <v>91.55</v>
      </c>
      <c r="D375">
        <v>4.0090000000000003</v>
      </c>
      <c r="E375">
        <v>2.8249</v>
      </c>
      <c r="F375">
        <v>829.75</v>
      </c>
      <c r="G375">
        <v>1836.6</v>
      </c>
      <c r="H375">
        <v>23.341000000000001</v>
      </c>
      <c r="I375">
        <v>4.6025</v>
      </c>
      <c r="J375">
        <v>252.2</v>
      </c>
      <c r="K375">
        <v>1.8919999999999999</v>
      </c>
      <c r="L375">
        <v>1594.75</v>
      </c>
      <c r="M375">
        <v>64.099999999999994</v>
      </c>
      <c r="N375">
        <v>646.75</v>
      </c>
      <c r="O375">
        <v>258.35000000000002</v>
      </c>
      <c r="P375">
        <v>142.25</v>
      </c>
      <c r="Q375">
        <v>18.48</v>
      </c>
      <c r="R375">
        <v>95.494</v>
      </c>
    </row>
    <row r="376" spans="1:18" x14ac:dyDescent="0.25">
      <c r="A376" s="3">
        <v>44600</v>
      </c>
      <c r="B376">
        <v>89.36</v>
      </c>
      <c r="C376">
        <v>90.78</v>
      </c>
      <c r="D376">
        <v>4.2480000000000002</v>
      </c>
      <c r="E376">
        <v>2.7926000000000002</v>
      </c>
      <c r="F376">
        <v>812.5</v>
      </c>
      <c r="G376">
        <v>1827.9</v>
      </c>
      <c r="H376">
        <v>23.2</v>
      </c>
      <c r="I376">
        <v>4.4610000000000003</v>
      </c>
      <c r="J376">
        <v>250.25</v>
      </c>
      <c r="K376">
        <v>1.883</v>
      </c>
      <c r="L376">
        <v>1569</v>
      </c>
      <c r="M376">
        <v>63.35</v>
      </c>
      <c r="N376">
        <v>632.25</v>
      </c>
      <c r="O376">
        <v>248.95</v>
      </c>
      <c r="P376">
        <v>142.1</v>
      </c>
      <c r="Q376">
        <v>18.079999999999998</v>
      </c>
      <c r="R376">
        <v>95.641000000000005</v>
      </c>
    </row>
    <row r="377" spans="1:18" x14ac:dyDescent="0.25">
      <c r="A377" s="3">
        <v>44599</v>
      </c>
      <c r="B377">
        <v>91.32</v>
      </c>
      <c r="C377">
        <v>92.69</v>
      </c>
      <c r="D377">
        <v>4.2320000000000002</v>
      </c>
      <c r="E377">
        <v>2.8553999999999999</v>
      </c>
      <c r="F377">
        <v>852.5</v>
      </c>
      <c r="G377">
        <v>1821.8</v>
      </c>
      <c r="H377">
        <v>23.076000000000001</v>
      </c>
      <c r="I377">
        <v>4.4625000000000004</v>
      </c>
      <c r="J377">
        <v>254.55</v>
      </c>
      <c r="K377">
        <v>1.899</v>
      </c>
      <c r="L377">
        <v>1581.75</v>
      </c>
      <c r="M377">
        <v>65.34</v>
      </c>
      <c r="N377">
        <v>635.25</v>
      </c>
      <c r="O377">
        <v>241.65</v>
      </c>
      <c r="P377">
        <v>137.5</v>
      </c>
      <c r="Q377">
        <v>18.05</v>
      </c>
      <c r="R377">
        <v>95.391999999999996</v>
      </c>
    </row>
    <row r="378" spans="1:18" x14ac:dyDescent="0.25">
      <c r="A378" s="3">
        <v>44598</v>
      </c>
    </row>
    <row r="379" spans="1:18" x14ac:dyDescent="0.25">
      <c r="A379" s="3">
        <v>44597</v>
      </c>
    </row>
    <row r="380" spans="1:18" x14ac:dyDescent="0.25">
      <c r="A380" s="3">
        <v>44596</v>
      </c>
      <c r="B380">
        <v>92.31</v>
      </c>
      <c r="C380">
        <v>93.27</v>
      </c>
      <c r="D380">
        <v>4.5720000000000001</v>
      </c>
      <c r="E380">
        <v>2.8751000000000002</v>
      </c>
      <c r="F380">
        <v>851.5</v>
      </c>
      <c r="G380">
        <v>1807.8</v>
      </c>
      <c r="H380">
        <v>22.475000000000001</v>
      </c>
      <c r="I380">
        <v>4.4874999999999998</v>
      </c>
      <c r="J380">
        <v>249</v>
      </c>
      <c r="K380">
        <v>1.883</v>
      </c>
      <c r="L380">
        <v>1553.5</v>
      </c>
      <c r="M380">
        <v>65.36</v>
      </c>
      <c r="N380">
        <v>620.5</v>
      </c>
      <c r="O380">
        <v>241.85</v>
      </c>
      <c r="P380">
        <v>138.9</v>
      </c>
      <c r="Q380">
        <v>18.23</v>
      </c>
      <c r="R380">
        <v>95.48</v>
      </c>
    </row>
    <row r="381" spans="1:18" x14ac:dyDescent="0.25">
      <c r="A381" s="3">
        <v>44595</v>
      </c>
      <c r="B381">
        <v>90.27</v>
      </c>
      <c r="C381">
        <v>91.11</v>
      </c>
      <c r="D381">
        <v>4.8879999999999999</v>
      </c>
      <c r="E381">
        <v>2.8395000000000001</v>
      </c>
      <c r="F381">
        <v>818.75</v>
      </c>
      <c r="G381">
        <v>1804.1</v>
      </c>
      <c r="H381">
        <v>22.375</v>
      </c>
      <c r="I381">
        <v>4.4710000000000001</v>
      </c>
      <c r="J381">
        <v>248.25</v>
      </c>
      <c r="K381">
        <v>1.8640000000000001</v>
      </c>
      <c r="L381">
        <v>1544.25</v>
      </c>
      <c r="M381">
        <v>65.75</v>
      </c>
      <c r="N381">
        <v>616.75</v>
      </c>
      <c r="O381">
        <v>243.9</v>
      </c>
      <c r="P381">
        <v>145.1</v>
      </c>
      <c r="Q381">
        <v>17.989999999999998</v>
      </c>
      <c r="R381">
        <v>95.379000000000005</v>
      </c>
    </row>
    <row r="382" spans="1:18" x14ac:dyDescent="0.25">
      <c r="A382" s="3">
        <v>44594</v>
      </c>
      <c r="B382">
        <v>88.26</v>
      </c>
      <c r="C382">
        <v>89.47</v>
      </c>
      <c r="D382">
        <v>5.5010000000000003</v>
      </c>
      <c r="E382">
        <v>2.7688999999999999</v>
      </c>
      <c r="F382">
        <v>800.5</v>
      </c>
      <c r="G382">
        <v>1810.3</v>
      </c>
      <c r="H382">
        <v>22.707000000000001</v>
      </c>
      <c r="I382">
        <v>4.4960000000000004</v>
      </c>
      <c r="J382">
        <v>261.3</v>
      </c>
      <c r="K382">
        <v>1.8979999999999999</v>
      </c>
      <c r="L382">
        <v>1545.25</v>
      </c>
      <c r="M382">
        <v>65.98</v>
      </c>
      <c r="N382">
        <v>622.5</v>
      </c>
      <c r="O382">
        <v>238.8</v>
      </c>
      <c r="P382">
        <v>145.80000000000001</v>
      </c>
      <c r="Q382">
        <v>17.93</v>
      </c>
      <c r="R382">
        <v>95.935000000000002</v>
      </c>
    </row>
    <row r="383" spans="1:18" x14ac:dyDescent="0.25">
      <c r="A383" s="3">
        <v>44593</v>
      </c>
      <c r="B383">
        <v>88.2</v>
      </c>
      <c r="C383">
        <v>89.16</v>
      </c>
      <c r="D383">
        <v>4.7510000000000003</v>
      </c>
      <c r="E383">
        <v>2.7412000000000001</v>
      </c>
      <c r="F383">
        <v>802</v>
      </c>
      <c r="G383">
        <v>1801.5</v>
      </c>
      <c r="H383">
        <v>22.594999999999999</v>
      </c>
      <c r="I383">
        <v>4.4340000000000002</v>
      </c>
      <c r="J383">
        <v>260</v>
      </c>
      <c r="K383">
        <v>1.899</v>
      </c>
      <c r="L383">
        <v>1528.5</v>
      </c>
      <c r="M383">
        <v>65.83</v>
      </c>
      <c r="N383">
        <v>634.75</v>
      </c>
      <c r="O383">
        <v>236.7</v>
      </c>
      <c r="P383">
        <v>145.69999999999999</v>
      </c>
      <c r="Q383">
        <v>18.48</v>
      </c>
      <c r="R383">
        <v>96.375</v>
      </c>
    </row>
    <row r="384" spans="1:18" x14ac:dyDescent="0.25">
      <c r="A384" s="3">
        <v>44592</v>
      </c>
      <c r="B384">
        <v>88.15</v>
      </c>
      <c r="C384">
        <v>91.21</v>
      </c>
      <c r="D384">
        <v>4.8739999999999997</v>
      </c>
      <c r="E384">
        <v>2.7591999999999999</v>
      </c>
      <c r="F384">
        <v>796.25</v>
      </c>
      <c r="G384">
        <v>1796.4</v>
      </c>
      <c r="H384">
        <v>22.393000000000001</v>
      </c>
      <c r="I384">
        <v>4.3244999999999996</v>
      </c>
      <c r="J384">
        <v>261.35000000000002</v>
      </c>
      <c r="K384">
        <v>1.897</v>
      </c>
      <c r="L384">
        <v>1490.5</v>
      </c>
      <c r="M384">
        <v>64.819999999999993</v>
      </c>
      <c r="N384">
        <v>626</v>
      </c>
      <c r="O384">
        <v>235.1</v>
      </c>
      <c r="P384">
        <v>147.65</v>
      </c>
      <c r="Q384">
        <v>18.22</v>
      </c>
      <c r="R384">
        <v>96.537000000000006</v>
      </c>
    </row>
    <row r="385" spans="1:18" x14ac:dyDescent="0.25">
      <c r="A385" s="3">
        <v>44591</v>
      </c>
    </row>
    <row r="386" spans="1:18" x14ac:dyDescent="0.25">
      <c r="A386" s="3">
        <v>44590</v>
      </c>
    </row>
    <row r="387" spans="1:18" x14ac:dyDescent="0.25">
      <c r="A387" s="3">
        <v>44589</v>
      </c>
      <c r="B387">
        <v>86.82</v>
      </c>
      <c r="C387">
        <v>90.03</v>
      </c>
      <c r="D387">
        <v>4.6390000000000002</v>
      </c>
      <c r="E387">
        <v>2.7854999999999999</v>
      </c>
      <c r="F387">
        <v>802</v>
      </c>
      <c r="G387">
        <v>1786.6</v>
      </c>
      <c r="H387">
        <v>22.300999999999998</v>
      </c>
      <c r="I387">
        <v>4.3099999999999996</v>
      </c>
      <c r="J387">
        <v>261.35000000000002</v>
      </c>
      <c r="K387">
        <v>1.901</v>
      </c>
      <c r="L387">
        <v>1470</v>
      </c>
      <c r="M387">
        <v>65.27</v>
      </c>
      <c r="N387">
        <v>636</v>
      </c>
      <c r="O387">
        <v>235.9</v>
      </c>
      <c r="P387">
        <v>151.55000000000001</v>
      </c>
      <c r="Q387">
        <v>18.2</v>
      </c>
      <c r="R387">
        <v>97.266000000000005</v>
      </c>
    </row>
    <row r="388" spans="1:18" x14ac:dyDescent="0.25">
      <c r="A388" s="3">
        <v>44588</v>
      </c>
      <c r="B388">
        <v>86.61</v>
      </c>
      <c r="C388">
        <v>89.34</v>
      </c>
      <c r="D388">
        <v>6.2649999999999997</v>
      </c>
      <c r="E388">
        <v>2.7945000000000002</v>
      </c>
      <c r="F388">
        <v>789.75</v>
      </c>
      <c r="G388">
        <v>1793.1</v>
      </c>
      <c r="H388">
        <v>22.675999999999998</v>
      </c>
      <c r="I388">
        <v>4.4234999999999998</v>
      </c>
      <c r="J388">
        <v>261.35000000000002</v>
      </c>
      <c r="K388">
        <v>1.897</v>
      </c>
      <c r="L388">
        <v>1448.25</v>
      </c>
      <c r="M388">
        <v>64.34</v>
      </c>
      <c r="N388">
        <v>625.25</v>
      </c>
      <c r="O388">
        <v>232.05</v>
      </c>
      <c r="P388">
        <v>161.55000000000001</v>
      </c>
      <c r="Q388">
        <v>18.41</v>
      </c>
      <c r="R388">
        <v>97.242000000000004</v>
      </c>
    </row>
    <row r="389" spans="1:18" x14ac:dyDescent="0.25">
      <c r="A389" s="3">
        <v>44587</v>
      </c>
      <c r="B389">
        <v>87.35</v>
      </c>
      <c r="C389">
        <v>89.96</v>
      </c>
      <c r="D389">
        <v>4.2770000000000001</v>
      </c>
      <c r="E389">
        <v>2.7440000000000002</v>
      </c>
      <c r="F389">
        <v>787.5</v>
      </c>
      <c r="G389">
        <v>1829.7</v>
      </c>
      <c r="H389">
        <v>23.806999999999999</v>
      </c>
      <c r="I389">
        <v>4.5149999999999997</v>
      </c>
      <c r="J389">
        <v>261.35000000000002</v>
      </c>
      <c r="K389">
        <v>1.8939999999999999</v>
      </c>
      <c r="L389">
        <v>1440</v>
      </c>
      <c r="M389">
        <v>63.93</v>
      </c>
      <c r="N389">
        <v>627</v>
      </c>
      <c r="O389">
        <v>238.9</v>
      </c>
      <c r="P389">
        <v>159.6</v>
      </c>
      <c r="Q389">
        <v>18.489999999999998</v>
      </c>
      <c r="R389">
        <v>96.4</v>
      </c>
    </row>
    <row r="390" spans="1:18" x14ac:dyDescent="0.25">
      <c r="A390" s="3">
        <v>44586</v>
      </c>
      <c r="B390">
        <v>85.6</v>
      </c>
      <c r="C390">
        <v>88.2</v>
      </c>
      <c r="D390">
        <v>4.0529999999999999</v>
      </c>
      <c r="E390">
        <v>2.6690999999999998</v>
      </c>
      <c r="F390">
        <v>761.5</v>
      </c>
      <c r="G390">
        <v>1852.5</v>
      </c>
      <c r="H390">
        <v>23.896000000000001</v>
      </c>
      <c r="I390">
        <v>4.45</v>
      </c>
      <c r="J390">
        <v>261.35000000000002</v>
      </c>
      <c r="K390">
        <v>1.8959999999999999</v>
      </c>
      <c r="L390">
        <v>1407.25</v>
      </c>
      <c r="M390">
        <v>62.51</v>
      </c>
      <c r="N390">
        <v>620</v>
      </c>
      <c r="O390">
        <v>237.9</v>
      </c>
      <c r="P390">
        <v>155.85</v>
      </c>
      <c r="Q390">
        <v>18.78</v>
      </c>
      <c r="R390">
        <v>95.927999999999997</v>
      </c>
    </row>
    <row r="391" spans="1:18" x14ac:dyDescent="0.25">
      <c r="A391" s="3"/>
    </row>
    <row r="392" spans="1:18" x14ac:dyDescent="0.25">
      <c r="A392" s="3"/>
    </row>
    <row r="393" spans="1:18" x14ac:dyDescent="0.25">
      <c r="A393" s="3"/>
    </row>
    <row r="394" spans="1:18" x14ac:dyDescent="0.25">
      <c r="A394" s="3"/>
    </row>
    <row r="395" spans="1:18" x14ac:dyDescent="0.25">
      <c r="A395" s="3"/>
    </row>
    <row r="396" spans="1:18" x14ac:dyDescent="0.25">
      <c r="A396" s="3"/>
    </row>
    <row r="397" spans="1:18" x14ac:dyDescent="0.25">
      <c r="A397" s="3"/>
    </row>
    <row r="398" spans="1:18" x14ac:dyDescent="0.25">
      <c r="A398" s="3"/>
    </row>
    <row r="399" spans="1:18" x14ac:dyDescent="0.25">
      <c r="A399" s="3"/>
    </row>
    <row r="400" spans="1:18" x14ac:dyDescent="0.25">
      <c r="A400" s="3"/>
    </row>
    <row r="401" spans="1:1" x14ac:dyDescent="0.25">
      <c r="A401" s="3"/>
    </row>
    <row r="402" spans="1:1" x14ac:dyDescent="0.25">
      <c r="A402" s="3"/>
    </row>
    <row r="403" spans="1:1" x14ac:dyDescent="0.25">
      <c r="A403" s="3"/>
    </row>
    <row r="404" spans="1:1" x14ac:dyDescent="0.25">
      <c r="A404" s="3"/>
    </row>
    <row r="405" spans="1:1" x14ac:dyDescent="0.25">
      <c r="A405" s="3"/>
    </row>
    <row r="406" spans="1:1" x14ac:dyDescent="0.25">
      <c r="A406" s="3"/>
    </row>
    <row r="407" spans="1:1" x14ac:dyDescent="0.25">
      <c r="A407" s="3"/>
    </row>
    <row r="408" spans="1:1" x14ac:dyDescent="0.25">
      <c r="A408" s="3"/>
    </row>
    <row r="409" spans="1:1" x14ac:dyDescent="0.25">
      <c r="A409" s="3"/>
    </row>
    <row r="410" spans="1:1" x14ac:dyDescent="0.25">
      <c r="A410" s="3"/>
    </row>
    <row r="411" spans="1:1" x14ac:dyDescent="0.25">
      <c r="A411" s="3"/>
    </row>
    <row r="412" spans="1:1" x14ac:dyDescent="0.25">
      <c r="A412" s="3"/>
    </row>
    <row r="413" spans="1:1" x14ac:dyDescent="0.25">
      <c r="A413" s="3"/>
    </row>
    <row r="414" spans="1:1" x14ac:dyDescent="0.25">
      <c r="A414" s="3"/>
    </row>
    <row r="415" spans="1:1" x14ac:dyDescent="0.25">
      <c r="A415" s="3"/>
    </row>
    <row r="416" spans="1:1" x14ac:dyDescent="0.25">
      <c r="A416" s="3"/>
    </row>
    <row r="417" spans="1:1" x14ac:dyDescent="0.25">
      <c r="A417" s="3"/>
    </row>
    <row r="418" spans="1:1" x14ac:dyDescent="0.25">
      <c r="A418" s="3"/>
    </row>
    <row r="419" spans="1:1" x14ac:dyDescent="0.25">
      <c r="A419" s="3"/>
    </row>
    <row r="420" spans="1:1" x14ac:dyDescent="0.25">
      <c r="A420" s="3"/>
    </row>
    <row r="421" spans="1:1" x14ac:dyDescent="0.25">
      <c r="A421" s="3"/>
    </row>
    <row r="422" spans="1:1" x14ac:dyDescent="0.25">
      <c r="A422" s="3"/>
    </row>
    <row r="423" spans="1:1" x14ac:dyDescent="0.25">
      <c r="A423" s="3"/>
    </row>
    <row r="424" spans="1:1" x14ac:dyDescent="0.25">
      <c r="A424" s="3"/>
    </row>
    <row r="425" spans="1:1" x14ac:dyDescent="0.25">
      <c r="A425" s="3"/>
    </row>
    <row r="426" spans="1:1" x14ac:dyDescent="0.25">
      <c r="A426" s="3"/>
    </row>
    <row r="427" spans="1:1" x14ac:dyDescent="0.25">
      <c r="A427" s="3"/>
    </row>
    <row r="428" spans="1:1" x14ac:dyDescent="0.25">
      <c r="A428" s="3"/>
    </row>
    <row r="429" spans="1:1" x14ac:dyDescent="0.25">
      <c r="A429" s="3"/>
    </row>
    <row r="430" spans="1:1" x14ac:dyDescent="0.25">
      <c r="A430" s="3"/>
    </row>
    <row r="431" spans="1:1" x14ac:dyDescent="0.25">
      <c r="A431" s="3"/>
    </row>
    <row r="432" spans="1:1" x14ac:dyDescent="0.25">
      <c r="A432" s="3"/>
    </row>
    <row r="433" spans="1:1" x14ac:dyDescent="0.25">
      <c r="A433" s="3"/>
    </row>
    <row r="434" spans="1:1" x14ac:dyDescent="0.25">
      <c r="A434" s="3"/>
    </row>
    <row r="435" spans="1:1" x14ac:dyDescent="0.25">
      <c r="A435" s="3"/>
    </row>
    <row r="436" spans="1:1" x14ac:dyDescent="0.25">
      <c r="A436" s="3"/>
    </row>
    <row r="437" spans="1:1" x14ac:dyDescent="0.25">
      <c r="A437" s="3"/>
    </row>
    <row r="438" spans="1:1" x14ac:dyDescent="0.25">
      <c r="A438" s="3"/>
    </row>
    <row r="439" spans="1:1" x14ac:dyDescent="0.25">
      <c r="A439" s="3"/>
    </row>
    <row r="440" spans="1:1" x14ac:dyDescent="0.25">
      <c r="A440" s="3"/>
    </row>
    <row r="441" spans="1:1" x14ac:dyDescent="0.25">
      <c r="A441" s="3"/>
    </row>
    <row r="442" spans="1:1" x14ac:dyDescent="0.25">
      <c r="A442" s="3"/>
    </row>
    <row r="443" spans="1:1" x14ac:dyDescent="0.25">
      <c r="A443" s="3"/>
    </row>
    <row r="444" spans="1:1" x14ac:dyDescent="0.25">
      <c r="A444" s="3"/>
    </row>
    <row r="445" spans="1:1" x14ac:dyDescent="0.25">
      <c r="A445" s="3"/>
    </row>
    <row r="446" spans="1:1" x14ac:dyDescent="0.25">
      <c r="A446" s="3"/>
    </row>
    <row r="447" spans="1:1" x14ac:dyDescent="0.25">
      <c r="A447" s="3"/>
    </row>
    <row r="448" spans="1:1" x14ac:dyDescent="0.25">
      <c r="A448" s="3"/>
    </row>
    <row r="449" spans="1:1" x14ac:dyDescent="0.25">
      <c r="A449" s="3"/>
    </row>
    <row r="450" spans="1:1" x14ac:dyDescent="0.25">
      <c r="A450" s="3"/>
    </row>
    <row r="451" spans="1:1" x14ac:dyDescent="0.25">
      <c r="A451" s="3"/>
    </row>
    <row r="452" spans="1:1" x14ac:dyDescent="0.25">
      <c r="A452" s="3"/>
    </row>
    <row r="453" spans="1:1" x14ac:dyDescent="0.25">
      <c r="A453" s="3"/>
    </row>
    <row r="454" spans="1:1" x14ac:dyDescent="0.25">
      <c r="A454" s="3"/>
    </row>
    <row r="455" spans="1:1" x14ac:dyDescent="0.25">
      <c r="A455" s="3"/>
    </row>
    <row r="456" spans="1:1" x14ac:dyDescent="0.25">
      <c r="A456" s="3"/>
    </row>
    <row r="457" spans="1:1" x14ac:dyDescent="0.25">
      <c r="A457" s="3"/>
    </row>
    <row r="458" spans="1:1" x14ac:dyDescent="0.25">
      <c r="A458" s="3"/>
    </row>
    <row r="459" spans="1:1" x14ac:dyDescent="0.25">
      <c r="A459" s="3"/>
    </row>
    <row r="460" spans="1:1" x14ac:dyDescent="0.25">
      <c r="A460" s="3"/>
    </row>
    <row r="461" spans="1:1" x14ac:dyDescent="0.25">
      <c r="A461" s="3"/>
    </row>
    <row r="462" spans="1:1" x14ac:dyDescent="0.25">
      <c r="A462" s="3"/>
    </row>
    <row r="463" spans="1:1" x14ac:dyDescent="0.25">
      <c r="A463" s="3"/>
    </row>
    <row r="464" spans="1:1" x14ac:dyDescent="0.25">
      <c r="A464" s="3"/>
    </row>
    <row r="465" spans="1:1" x14ac:dyDescent="0.25">
      <c r="A465" s="3"/>
    </row>
    <row r="466" spans="1:1" x14ac:dyDescent="0.25">
      <c r="A466" s="3"/>
    </row>
    <row r="467" spans="1:1" x14ac:dyDescent="0.25">
      <c r="A467" s="3"/>
    </row>
    <row r="468" spans="1:1" x14ac:dyDescent="0.25">
      <c r="A468" s="3"/>
    </row>
    <row r="469" spans="1:1" x14ac:dyDescent="0.25">
      <c r="A469" s="3"/>
    </row>
    <row r="470" spans="1:1" x14ac:dyDescent="0.25">
      <c r="A470" s="3"/>
    </row>
    <row r="471" spans="1:1" x14ac:dyDescent="0.25">
      <c r="A471" s="3"/>
    </row>
    <row r="472" spans="1:1" x14ac:dyDescent="0.25">
      <c r="A472" s="3"/>
    </row>
    <row r="473" spans="1:1" x14ac:dyDescent="0.25">
      <c r="A473" s="3"/>
    </row>
    <row r="474" spans="1:1" x14ac:dyDescent="0.25">
      <c r="A474" s="3"/>
    </row>
    <row r="475" spans="1:1" x14ac:dyDescent="0.25">
      <c r="A475" s="3"/>
    </row>
    <row r="476" spans="1:1" x14ac:dyDescent="0.25">
      <c r="A476" s="3"/>
    </row>
    <row r="477" spans="1:1" x14ac:dyDescent="0.25">
      <c r="A477" s="3"/>
    </row>
    <row r="478" spans="1:1" x14ac:dyDescent="0.25">
      <c r="A478" s="3"/>
    </row>
    <row r="479" spans="1:1" x14ac:dyDescent="0.25">
      <c r="A479" s="3"/>
    </row>
    <row r="480" spans="1:1" x14ac:dyDescent="0.25">
      <c r="A480" s="3"/>
    </row>
    <row r="481" spans="1:1" x14ac:dyDescent="0.25">
      <c r="A481" s="3"/>
    </row>
    <row r="482" spans="1:1" x14ac:dyDescent="0.25">
      <c r="A482" s="3"/>
    </row>
    <row r="483" spans="1:1" x14ac:dyDescent="0.25">
      <c r="A483" s="3"/>
    </row>
    <row r="484" spans="1:1" x14ac:dyDescent="0.25">
      <c r="A484" s="3"/>
    </row>
    <row r="485" spans="1:1" x14ac:dyDescent="0.25">
      <c r="A485" s="3"/>
    </row>
    <row r="486" spans="1:1" x14ac:dyDescent="0.25">
      <c r="A486" s="3"/>
    </row>
    <row r="487" spans="1:1" x14ac:dyDescent="0.25">
      <c r="A487" s="3"/>
    </row>
    <row r="488" spans="1:1" x14ac:dyDescent="0.25">
      <c r="A488" s="3"/>
    </row>
    <row r="489" spans="1:1" x14ac:dyDescent="0.25">
      <c r="A489" s="3"/>
    </row>
    <row r="490" spans="1:1" x14ac:dyDescent="0.25">
      <c r="A490" s="3"/>
    </row>
    <row r="491" spans="1:1" x14ac:dyDescent="0.25">
      <c r="A491" s="3"/>
    </row>
    <row r="492" spans="1:1" x14ac:dyDescent="0.25">
      <c r="A492" s="3"/>
    </row>
    <row r="493" spans="1:1" x14ac:dyDescent="0.25">
      <c r="A493" s="3"/>
    </row>
    <row r="494" spans="1:1" x14ac:dyDescent="0.25">
      <c r="A494" s="3"/>
    </row>
    <row r="495" spans="1:1" x14ac:dyDescent="0.25">
      <c r="A495" s="3"/>
    </row>
    <row r="496" spans="1:1" x14ac:dyDescent="0.25">
      <c r="A496" s="3"/>
    </row>
    <row r="497" spans="1:1" x14ac:dyDescent="0.25">
      <c r="A497" s="3"/>
    </row>
    <row r="498" spans="1:1" x14ac:dyDescent="0.25">
      <c r="A498" s="3"/>
    </row>
    <row r="499" spans="1:1" x14ac:dyDescent="0.25">
      <c r="A499" s="3"/>
    </row>
    <row r="500" spans="1:1" x14ac:dyDescent="0.25">
      <c r="A500" s="3"/>
    </row>
    <row r="501" spans="1:1" x14ac:dyDescent="0.25">
      <c r="A501" s="3"/>
    </row>
    <row r="502" spans="1:1" x14ac:dyDescent="0.25">
      <c r="A502" s="3"/>
    </row>
    <row r="503" spans="1:1" x14ac:dyDescent="0.25">
      <c r="A503" s="3"/>
    </row>
    <row r="504" spans="1:1" x14ac:dyDescent="0.25">
      <c r="A504" s="3"/>
    </row>
    <row r="505" spans="1:1" x14ac:dyDescent="0.25">
      <c r="A505" s="3"/>
    </row>
    <row r="506" spans="1:1" x14ac:dyDescent="0.25">
      <c r="A506" s="3"/>
    </row>
    <row r="507" spans="1:1" x14ac:dyDescent="0.25">
      <c r="A507" s="3"/>
    </row>
    <row r="508" spans="1:1" x14ac:dyDescent="0.25">
      <c r="A508" s="3"/>
    </row>
    <row r="509" spans="1:1" x14ac:dyDescent="0.25">
      <c r="A509" s="3"/>
    </row>
    <row r="510" spans="1:1" x14ac:dyDescent="0.25">
      <c r="A510" s="3"/>
    </row>
    <row r="511" spans="1:1" x14ac:dyDescent="0.25">
      <c r="A511" s="3"/>
    </row>
    <row r="512" spans="1:1" x14ac:dyDescent="0.25">
      <c r="A512" s="3"/>
    </row>
    <row r="513" spans="1:1" x14ac:dyDescent="0.25">
      <c r="A513" s="3"/>
    </row>
    <row r="514" spans="1:1" x14ac:dyDescent="0.25">
      <c r="A514" s="3"/>
    </row>
    <row r="515" spans="1:1" x14ac:dyDescent="0.25">
      <c r="A515" s="3"/>
    </row>
    <row r="516" spans="1:1" x14ac:dyDescent="0.25">
      <c r="A516" s="3"/>
    </row>
    <row r="517" spans="1:1" x14ac:dyDescent="0.25">
      <c r="A517" s="3"/>
    </row>
    <row r="518" spans="1:1" x14ac:dyDescent="0.25">
      <c r="A518" s="3"/>
    </row>
    <row r="519" spans="1:1" x14ac:dyDescent="0.25">
      <c r="A519" s="3"/>
    </row>
    <row r="520" spans="1:1" x14ac:dyDescent="0.25">
      <c r="A520" s="3"/>
    </row>
    <row r="521" spans="1:1" x14ac:dyDescent="0.25">
      <c r="A521" s="3"/>
    </row>
    <row r="522" spans="1:1" x14ac:dyDescent="0.25">
      <c r="A522" s="3"/>
    </row>
    <row r="523" spans="1:1" x14ac:dyDescent="0.25">
      <c r="A523" s="3"/>
    </row>
    <row r="524" spans="1:1" x14ac:dyDescent="0.25">
      <c r="A524" s="3"/>
    </row>
    <row r="525" spans="1:1" x14ac:dyDescent="0.25">
      <c r="A525" s="3"/>
    </row>
    <row r="526" spans="1:1" x14ac:dyDescent="0.25">
      <c r="A526" s="3"/>
    </row>
    <row r="527" spans="1:1" x14ac:dyDescent="0.25">
      <c r="A527" s="3"/>
    </row>
    <row r="528" spans="1:1" x14ac:dyDescent="0.25">
      <c r="A528" s="3"/>
    </row>
    <row r="529" spans="1:1" x14ac:dyDescent="0.25">
      <c r="A529" s="3"/>
    </row>
    <row r="530" spans="1:1" x14ac:dyDescent="0.25">
      <c r="A530" s="3"/>
    </row>
    <row r="531" spans="1:1" x14ac:dyDescent="0.25">
      <c r="A531" s="3"/>
    </row>
    <row r="532" spans="1:1" x14ac:dyDescent="0.25">
      <c r="A532" s="3"/>
    </row>
    <row r="533" spans="1:1" x14ac:dyDescent="0.25">
      <c r="A533" s="3"/>
    </row>
    <row r="534" spans="1:1" x14ac:dyDescent="0.25">
      <c r="A534" s="3"/>
    </row>
    <row r="535" spans="1:1" x14ac:dyDescent="0.25">
      <c r="A535" s="3"/>
    </row>
    <row r="536" spans="1:1" x14ac:dyDescent="0.25">
      <c r="A536" s="3"/>
    </row>
    <row r="537" spans="1:1" x14ac:dyDescent="0.25">
      <c r="A537" s="3"/>
    </row>
    <row r="538" spans="1:1" x14ac:dyDescent="0.25">
      <c r="A538" s="3"/>
    </row>
    <row r="539" spans="1:1" x14ac:dyDescent="0.25">
      <c r="A539" s="3"/>
    </row>
    <row r="540" spans="1:1" x14ac:dyDescent="0.25">
      <c r="A540" s="3"/>
    </row>
    <row r="541" spans="1:1" x14ac:dyDescent="0.25">
      <c r="A541" s="3"/>
    </row>
    <row r="542" spans="1:1" x14ac:dyDescent="0.25">
      <c r="A542" s="3"/>
    </row>
    <row r="543" spans="1:1" x14ac:dyDescent="0.25">
      <c r="A543" s="3"/>
    </row>
    <row r="544" spans="1:1" x14ac:dyDescent="0.25">
      <c r="A544" s="3"/>
    </row>
    <row r="545" spans="1:1" x14ac:dyDescent="0.25">
      <c r="A545" s="3"/>
    </row>
    <row r="546" spans="1:1" x14ac:dyDescent="0.25">
      <c r="A546" s="3"/>
    </row>
    <row r="547" spans="1:1" x14ac:dyDescent="0.25">
      <c r="A547" s="3"/>
    </row>
    <row r="548" spans="1:1" x14ac:dyDescent="0.25">
      <c r="A548" s="3"/>
    </row>
    <row r="549" spans="1:1" x14ac:dyDescent="0.25">
      <c r="A549" s="3"/>
    </row>
    <row r="550" spans="1:1" x14ac:dyDescent="0.25">
      <c r="A550" s="3"/>
    </row>
    <row r="551" spans="1:1" x14ac:dyDescent="0.25">
      <c r="A551" s="3"/>
    </row>
    <row r="552" spans="1:1" x14ac:dyDescent="0.25">
      <c r="A552" s="3"/>
    </row>
    <row r="553" spans="1:1" x14ac:dyDescent="0.25">
      <c r="A553" s="3"/>
    </row>
    <row r="554" spans="1:1" x14ac:dyDescent="0.25">
      <c r="A554" s="3"/>
    </row>
    <row r="555" spans="1:1" x14ac:dyDescent="0.25">
      <c r="A555" s="3"/>
    </row>
    <row r="556" spans="1:1" x14ac:dyDescent="0.25">
      <c r="A556" s="3"/>
    </row>
    <row r="557" spans="1:1" x14ac:dyDescent="0.25">
      <c r="A557" s="3"/>
    </row>
    <row r="558" spans="1:1" x14ac:dyDescent="0.25">
      <c r="A558" s="3"/>
    </row>
    <row r="559" spans="1:1" x14ac:dyDescent="0.25">
      <c r="A559" s="3"/>
    </row>
    <row r="560" spans="1:1" x14ac:dyDescent="0.25">
      <c r="A560" s="3"/>
    </row>
    <row r="561" spans="1:1" x14ac:dyDescent="0.25">
      <c r="A561" s="3"/>
    </row>
    <row r="562" spans="1:1" x14ac:dyDescent="0.25">
      <c r="A562" s="3"/>
    </row>
    <row r="563" spans="1:1" x14ac:dyDescent="0.25">
      <c r="A563" s="3"/>
    </row>
    <row r="564" spans="1:1" x14ac:dyDescent="0.25">
      <c r="A564" s="3"/>
    </row>
    <row r="565" spans="1:1" x14ac:dyDescent="0.25">
      <c r="A565" s="3"/>
    </row>
    <row r="566" spans="1:1" x14ac:dyDescent="0.25">
      <c r="A566" s="3"/>
    </row>
    <row r="567" spans="1:1" x14ac:dyDescent="0.25">
      <c r="A567" s="3"/>
    </row>
    <row r="568" spans="1:1" x14ac:dyDescent="0.25">
      <c r="A568" s="3"/>
    </row>
    <row r="569" spans="1:1" x14ac:dyDescent="0.25">
      <c r="A569" s="3"/>
    </row>
    <row r="570" spans="1:1" x14ac:dyDescent="0.25">
      <c r="A570" s="3"/>
    </row>
    <row r="571" spans="1:1" x14ac:dyDescent="0.25">
      <c r="A571" s="3"/>
    </row>
    <row r="572" spans="1:1" x14ac:dyDescent="0.25">
      <c r="A572" s="3"/>
    </row>
    <row r="573" spans="1:1" x14ac:dyDescent="0.25">
      <c r="A573" s="3"/>
    </row>
    <row r="574" spans="1:1" x14ac:dyDescent="0.25">
      <c r="A574" s="3"/>
    </row>
    <row r="575" spans="1:1" x14ac:dyDescent="0.25">
      <c r="A575" s="3"/>
    </row>
    <row r="576" spans="1:1" x14ac:dyDescent="0.25">
      <c r="A576" s="3"/>
    </row>
    <row r="577" spans="1:1" x14ac:dyDescent="0.25">
      <c r="A577" s="3"/>
    </row>
    <row r="578" spans="1:1" x14ac:dyDescent="0.25">
      <c r="A578" s="3"/>
    </row>
    <row r="579" spans="1:1" x14ac:dyDescent="0.25">
      <c r="A579" s="3"/>
    </row>
    <row r="580" spans="1:1" x14ac:dyDescent="0.25">
      <c r="A580" s="3"/>
    </row>
    <row r="581" spans="1:1" x14ac:dyDescent="0.25">
      <c r="A581" s="3"/>
    </row>
    <row r="582" spans="1:1" x14ac:dyDescent="0.25">
      <c r="A582" s="3"/>
    </row>
    <row r="583" spans="1:1" x14ac:dyDescent="0.25">
      <c r="A583" s="3"/>
    </row>
    <row r="584" spans="1:1" x14ac:dyDescent="0.25">
      <c r="A584" s="3"/>
    </row>
    <row r="585" spans="1:1" x14ac:dyDescent="0.25">
      <c r="A585" s="3"/>
    </row>
    <row r="586" spans="1:1" x14ac:dyDescent="0.25">
      <c r="A586" s="3"/>
    </row>
    <row r="587" spans="1:1" x14ac:dyDescent="0.25">
      <c r="A587" s="3"/>
    </row>
    <row r="588" spans="1:1" x14ac:dyDescent="0.25">
      <c r="A588" s="3"/>
    </row>
    <row r="589" spans="1:1" x14ac:dyDescent="0.25">
      <c r="A589" s="3"/>
    </row>
    <row r="590" spans="1:1" x14ac:dyDescent="0.25">
      <c r="A590" s="3"/>
    </row>
    <row r="591" spans="1:1" x14ac:dyDescent="0.25">
      <c r="A591" s="3"/>
    </row>
    <row r="592" spans="1:1" x14ac:dyDescent="0.25">
      <c r="A592" s="3"/>
    </row>
    <row r="593" spans="1:1" x14ac:dyDescent="0.25">
      <c r="A593" s="3"/>
    </row>
    <row r="594" spans="1:1" x14ac:dyDescent="0.25">
      <c r="A594" s="3"/>
    </row>
    <row r="595" spans="1:1" x14ac:dyDescent="0.25">
      <c r="A595" s="3"/>
    </row>
    <row r="596" spans="1:1" x14ac:dyDescent="0.25">
      <c r="A596" s="3"/>
    </row>
    <row r="597" spans="1:1" x14ac:dyDescent="0.25">
      <c r="A597" s="3"/>
    </row>
    <row r="598" spans="1:1" x14ac:dyDescent="0.25">
      <c r="A598" s="3"/>
    </row>
    <row r="599" spans="1:1" x14ac:dyDescent="0.25">
      <c r="A599" s="3"/>
    </row>
    <row r="600" spans="1:1" x14ac:dyDescent="0.25">
      <c r="A600" s="3"/>
    </row>
    <row r="601" spans="1:1" x14ac:dyDescent="0.25">
      <c r="A601" s="3"/>
    </row>
    <row r="602" spans="1:1" x14ac:dyDescent="0.25">
      <c r="A602" s="3"/>
    </row>
    <row r="603" spans="1:1" x14ac:dyDescent="0.25">
      <c r="A603" s="3"/>
    </row>
    <row r="604" spans="1:1" x14ac:dyDescent="0.25">
      <c r="A604" s="3"/>
    </row>
    <row r="605" spans="1:1" x14ac:dyDescent="0.25">
      <c r="A605" s="3"/>
    </row>
    <row r="606" spans="1:1" x14ac:dyDescent="0.25">
      <c r="A606" s="3"/>
    </row>
    <row r="607" spans="1:1" x14ac:dyDescent="0.25">
      <c r="A607" s="3"/>
    </row>
    <row r="608" spans="1:1" x14ac:dyDescent="0.25">
      <c r="A608" s="3"/>
    </row>
    <row r="609" spans="1:1" x14ac:dyDescent="0.25">
      <c r="A609" s="3"/>
    </row>
    <row r="610" spans="1:1" x14ac:dyDescent="0.25">
      <c r="A610" s="3"/>
    </row>
    <row r="611" spans="1:1" x14ac:dyDescent="0.25">
      <c r="A611" s="3"/>
    </row>
    <row r="612" spans="1:1" x14ac:dyDescent="0.25">
      <c r="A612" s="3"/>
    </row>
    <row r="613" spans="1:1" x14ac:dyDescent="0.25">
      <c r="A613" s="3"/>
    </row>
    <row r="614" spans="1:1" x14ac:dyDescent="0.25">
      <c r="A614" s="3"/>
    </row>
    <row r="615" spans="1:1" x14ac:dyDescent="0.25">
      <c r="A615" s="3"/>
    </row>
    <row r="616" spans="1:1" x14ac:dyDescent="0.25">
      <c r="A616" s="3"/>
    </row>
    <row r="617" spans="1:1" x14ac:dyDescent="0.25">
      <c r="A617" s="3"/>
    </row>
    <row r="618" spans="1:1" x14ac:dyDescent="0.25">
      <c r="A618" s="3"/>
    </row>
    <row r="619" spans="1:1" x14ac:dyDescent="0.25">
      <c r="A619" s="3"/>
    </row>
    <row r="620" spans="1:1" x14ac:dyDescent="0.25">
      <c r="A620" s="3"/>
    </row>
    <row r="621" spans="1:1" x14ac:dyDescent="0.25">
      <c r="A621" s="3"/>
    </row>
    <row r="622" spans="1:1" x14ac:dyDescent="0.25">
      <c r="A622" s="3"/>
    </row>
    <row r="623" spans="1:1" x14ac:dyDescent="0.25">
      <c r="A623" s="3"/>
    </row>
    <row r="624" spans="1:1" x14ac:dyDescent="0.25">
      <c r="A624" s="3"/>
    </row>
    <row r="625" spans="1:1" x14ac:dyDescent="0.25">
      <c r="A625" s="3"/>
    </row>
    <row r="626" spans="1:1" x14ac:dyDescent="0.25">
      <c r="A626" s="3"/>
    </row>
    <row r="627" spans="1:1" x14ac:dyDescent="0.25">
      <c r="A627" s="3"/>
    </row>
    <row r="628" spans="1:1" x14ac:dyDescent="0.25">
      <c r="A628" s="3"/>
    </row>
    <row r="629" spans="1:1" x14ac:dyDescent="0.25">
      <c r="A629" s="3"/>
    </row>
    <row r="630" spans="1:1" x14ac:dyDescent="0.25">
      <c r="A630" s="3"/>
    </row>
    <row r="631" spans="1:1" x14ac:dyDescent="0.25">
      <c r="A631" s="3"/>
    </row>
    <row r="632" spans="1:1" x14ac:dyDescent="0.25">
      <c r="A632" s="3"/>
    </row>
    <row r="633" spans="1:1" x14ac:dyDescent="0.25">
      <c r="A633" s="3"/>
    </row>
    <row r="634" spans="1:1" x14ac:dyDescent="0.25">
      <c r="A634" s="3"/>
    </row>
    <row r="635" spans="1:1" x14ac:dyDescent="0.25">
      <c r="A635" s="3"/>
    </row>
    <row r="636" spans="1:1" x14ac:dyDescent="0.25">
      <c r="A636" s="3"/>
    </row>
    <row r="637" spans="1:1" x14ac:dyDescent="0.25">
      <c r="A637" s="3"/>
    </row>
    <row r="638" spans="1:1" x14ac:dyDescent="0.25">
      <c r="A638" s="3"/>
    </row>
    <row r="639" spans="1:1" x14ac:dyDescent="0.25">
      <c r="A639" s="3"/>
    </row>
    <row r="640" spans="1:1" x14ac:dyDescent="0.25">
      <c r="A640" s="3"/>
    </row>
    <row r="641" spans="1:1" x14ac:dyDescent="0.25">
      <c r="A641" s="3"/>
    </row>
    <row r="642" spans="1:1" x14ac:dyDescent="0.25">
      <c r="A642" s="3"/>
    </row>
    <row r="643" spans="1:1" x14ac:dyDescent="0.25">
      <c r="A643" s="3"/>
    </row>
    <row r="644" spans="1:1" x14ac:dyDescent="0.25">
      <c r="A644" s="3"/>
    </row>
    <row r="645" spans="1:1" x14ac:dyDescent="0.25">
      <c r="A645" s="3"/>
    </row>
    <row r="646" spans="1:1" x14ac:dyDescent="0.25">
      <c r="A646" s="3"/>
    </row>
    <row r="647" spans="1:1" x14ac:dyDescent="0.25">
      <c r="A647" s="3"/>
    </row>
    <row r="648" spans="1:1" x14ac:dyDescent="0.25">
      <c r="A648" s="3"/>
    </row>
    <row r="649" spans="1:1" x14ac:dyDescent="0.25">
      <c r="A649" s="3"/>
    </row>
    <row r="650" spans="1:1" x14ac:dyDescent="0.25">
      <c r="A650" s="3"/>
    </row>
    <row r="651" spans="1:1" x14ac:dyDescent="0.25">
      <c r="A651" s="3"/>
    </row>
    <row r="652" spans="1:1" x14ac:dyDescent="0.25">
      <c r="A652" s="3"/>
    </row>
    <row r="653" spans="1:1" x14ac:dyDescent="0.25">
      <c r="A653" s="3"/>
    </row>
    <row r="654" spans="1:1" x14ac:dyDescent="0.25">
      <c r="A654" s="3"/>
    </row>
    <row r="655" spans="1:1" x14ac:dyDescent="0.25">
      <c r="A655" s="3"/>
    </row>
    <row r="656" spans="1:1" x14ac:dyDescent="0.25">
      <c r="A656" s="3"/>
    </row>
    <row r="657" spans="1:1" x14ac:dyDescent="0.25">
      <c r="A657" s="3"/>
    </row>
    <row r="658" spans="1:1" x14ac:dyDescent="0.25">
      <c r="A658" s="3"/>
    </row>
    <row r="659" spans="1:1" x14ac:dyDescent="0.25">
      <c r="A659" s="3"/>
    </row>
    <row r="660" spans="1:1" x14ac:dyDescent="0.25">
      <c r="A660" s="3"/>
    </row>
    <row r="661" spans="1:1" x14ac:dyDescent="0.25">
      <c r="A661" s="3"/>
    </row>
    <row r="662" spans="1:1" x14ac:dyDescent="0.25">
      <c r="A662" s="3"/>
    </row>
    <row r="663" spans="1:1" x14ac:dyDescent="0.25">
      <c r="A663" s="3"/>
    </row>
    <row r="664" spans="1:1" x14ac:dyDescent="0.25">
      <c r="A664" s="3"/>
    </row>
    <row r="665" spans="1:1" x14ac:dyDescent="0.25">
      <c r="A665" s="3"/>
    </row>
    <row r="666" spans="1:1" x14ac:dyDescent="0.25">
      <c r="A666" s="3"/>
    </row>
    <row r="667" spans="1:1" x14ac:dyDescent="0.25">
      <c r="A667" s="3"/>
    </row>
    <row r="668" spans="1:1" x14ac:dyDescent="0.25">
      <c r="A668" s="3"/>
    </row>
    <row r="669" spans="1:1" x14ac:dyDescent="0.25">
      <c r="A669" s="3"/>
    </row>
    <row r="670" spans="1:1" x14ac:dyDescent="0.25">
      <c r="A670" s="3"/>
    </row>
    <row r="671" spans="1:1" x14ac:dyDescent="0.25">
      <c r="A671" s="3"/>
    </row>
    <row r="672" spans="1:1" x14ac:dyDescent="0.25">
      <c r="A672" s="3"/>
    </row>
    <row r="673" spans="1:1" x14ac:dyDescent="0.25">
      <c r="A673" s="3"/>
    </row>
    <row r="674" spans="1:1" x14ac:dyDescent="0.25">
      <c r="A674" s="3"/>
    </row>
    <row r="675" spans="1:1" x14ac:dyDescent="0.25">
      <c r="A675" s="3"/>
    </row>
    <row r="676" spans="1:1" x14ac:dyDescent="0.25">
      <c r="A676" s="3"/>
    </row>
    <row r="677" spans="1:1" x14ac:dyDescent="0.25">
      <c r="A677" s="3"/>
    </row>
    <row r="678" spans="1:1" x14ac:dyDescent="0.25">
      <c r="A678" s="3"/>
    </row>
    <row r="679" spans="1:1" x14ac:dyDescent="0.25">
      <c r="A679" s="3"/>
    </row>
    <row r="680" spans="1:1" x14ac:dyDescent="0.25">
      <c r="A680" s="3"/>
    </row>
    <row r="681" spans="1:1" x14ac:dyDescent="0.25">
      <c r="A681" s="3"/>
    </row>
    <row r="682" spans="1:1" x14ac:dyDescent="0.25">
      <c r="A682" s="3"/>
    </row>
    <row r="683" spans="1:1" x14ac:dyDescent="0.25">
      <c r="A683" s="3"/>
    </row>
    <row r="684" spans="1:1" x14ac:dyDescent="0.25">
      <c r="A684" s="3"/>
    </row>
    <row r="685" spans="1:1" x14ac:dyDescent="0.25">
      <c r="A685" s="3"/>
    </row>
    <row r="686" spans="1:1" x14ac:dyDescent="0.25">
      <c r="A686" s="3"/>
    </row>
    <row r="687" spans="1:1" x14ac:dyDescent="0.25">
      <c r="A687" s="3"/>
    </row>
    <row r="688" spans="1:1" x14ac:dyDescent="0.25">
      <c r="A688" s="3"/>
    </row>
    <row r="689" spans="1:1" x14ac:dyDescent="0.25">
      <c r="A689" s="3"/>
    </row>
    <row r="690" spans="1:1" x14ac:dyDescent="0.25">
      <c r="A690" s="3"/>
    </row>
    <row r="691" spans="1:1" x14ac:dyDescent="0.25">
      <c r="A691" s="3"/>
    </row>
    <row r="692" spans="1:1" x14ac:dyDescent="0.25">
      <c r="A692" s="3"/>
    </row>
    <row r="693" spans="1:1" x14ac:dyDescent="0.25">
      <c r="A693" s="3"/>
    </row>
    <row r="694" spans="1:1" x14ac:dyDescent="0.25">
      <c r="A694" s="3"/>
    </row>
    <row r="695" spans="1:1" x14ac:dyDescent="0.25">
      <c r="A695" s="3"/>
    </row>
    <row r="696" spans="1:1" x14ac:dyDescent="0.25">
      <c r="A696" s="3"/>
    </row>
    <row r="697" spans="1:1" x14ac:dyDescent="0.25">
      <c r="A697" s="3"/>
    </row>
    <row r="698" spans="1:1" x14ac:dyDescent="0.25">
      <c r="A698" s="3"/>
    </row>
    <row r="699" spans="1:1" x14ac:dyDescent="0.25">
      <c r="A699" s="3"/>
    </row>
    <row r="700" spans="1:1" x14ac:dyDescent="0.25">
      <c r="A700" s="3"/>
    </row>
    <row r="701" spans="1:1" x14ac:dyDescent="0.25">
      <c r="A701" s="3"/>
    </row>
    <row r="702" spans="1:1" x14ac:dyDescent="0.25">
      <c r="A702" s="3"/>
    </row>
    <row r="703" spans="1:1" x14ac:dyDescent="0.25">
      <c r="A703" s="3"/>
    </row>
    <row r="704" spans="1:1" x14ac:dyDescent="0.25">
      <c r="A704" s="3"/>
    </row>
    <row r="705" spans="1:1" x14ac:dyDescent="0.25">
      <c r="A705" s="3"/>
    </row>
    <row r="706" spans="1:1" x14ac:dyDescent="0.25">
      <c r="A706" s="3"/>
    </row>
    <row r="707" spans="1:1" x14ac:dyDescent="0.25">
      <c r="A707" s="3"/>
    </row>
    <row r="708" spans="1:1" x14ac:dyDescent="0.25">
      <c r="A708" s="3"/>
    </row>
    <row r="709" spans="1:1" x14ac:dyDescent="0.25">
      <c r="A709" s="3"/>
    </row>
    <row r="710" spans="1:1" x14ac:dyDescent="0.25">
      <c r="A710" s="3"/>
    </row>
    <row r="711" spans="1:1" x14ac:dyDescent="0.25">
      <c r="A711" s="3"/>
    </row>
    <row r="712" spans="1:1" x14ac:dyDescent="0.25">
      <c r="A712" s="3"/>
    </row>
    <row r="713" spans="1:1" x14ac:dyDescent="0.25">
      <c r="A713" s="3"/>
    </row>
    <row r="714" spans="1:1" x14ac:dyDescent="0.25">
      <c r="A714" s="3"/>
    </row>
    <row r="715" spans="1:1" x14ac:dyDescent="0.25">
      <c r="A715" s="3"/>
    </row>
    <row r="716" spans="1:1" x14ac:dyDescent="0.25">
      <c r="A716" s="3"/>
    </row>
    <row r="717" spans="1:1" x14ac:dyDescent="0.25">
      <c r="A717" s="3"/>
    </row>
    <row r="718" spans="1:1" x14ac:dyDescent="0.25">
      <c r="A718" s="3"/>
    </row>
    <row r="719" spans="1:1" x14ac:dyDescent="0.25">
      <c r="A719" s="3"/>
    </row>
    <row r="720" spans="1:1" x14ac:dyDescent="0.25">
      <c r="A720" s="3"/>
    </row>
    <row r="721" spans="1:1" x14ac:dyDescent="0.25">
      <c r="A721" s="3"/>
    </row>
    <row r="722" spans="1:1" x14ac:dyDescent="0.25">
      <c r="A722" s="3"/>
    </row>
    <row r="723" spans="1:1" x14ac:dyDescent="0.25">
      <c r="A723" s="3"/>
    </row>
    <row r="724" spans="1:1" x14ac:dyDescent="0.25">
      <c r="A724" s="3"/>
    </row>
    <row r="725" spans="1:1" x14ac:dyDescent="0.25">
      <c r="A725" s="3"/>
    </row>
    <row r="726" spans="1:1" x14ac:dyDescent="0.25">
      <c r="A726" s="3"/>
    </row>
    <row r="727" spans="1:1" x14ac:dyDescent="0.25">
      <c r="A727" s="3"/>
    </row>
    <row r="728" spans="1:1" x14ac:dyDescent="0.25">
      <c r="A728" s="3"/>
    </row>
    <row r="729" spans="1:1" x14ac:dyDescent="0.25">
      <c r="A729" s="3"/>
    </row>
    <row r="730" spans="1:1" x14ac:dyDescent="0.25">
      <c r="A730" s="3"/>
    </row>
    <row r="731" spans="1:1" x14ac:dyDescent="0.25">
      <c r="A731" s="3"/>
    </row>
    <row r="732" spans="1:1" x14ac:dyDescent="0.25">
      <c r="A732" s="3"/>
    </row>
    <row r="733" spans="1:1" x14ac:dyDescent="0.25">
      <c r="A733" s="3"/>
    </row>
    <row r="734" spans="1:1" x14ac:dyDescent="0.25">
      <c r="A734" s="3"/>
    </row>
    <row r="735" spans="1:1" x14ac:dyDescent="0.25">
      <c r="A735" s="3"/>
    </row>
    <row r="736" spans="1:1" x14ac:dyDescent="0.25">
      <c r="A736" s="3"/>
    </row>
    <row r="737" spans="1:1" x14ac:dyDescent="0.25">
      <c r="A737" s="3"/>
    </row>
    <row r="738" spans="1:1" x14ac:dyDescent="0.25">
      <c r="A738" s="3"/>
    </row>
    <row r="739" spans="1:1" x14ac:dyDescent="0.25">
      <c r="A739" s="3"/>
    </row>
    <row r="740" spans="1:1" x14ac:dyDescent="0.25">
      <c r="A740" s="3"/>
    </row>
    <row r="741" spans="1:1" x14ac:dyDescent="0.25">
      <c r="A741" s="3"/>
    </row>
    <row r="742" spans="1:1" x14ac:dyDescent="0.25">
      <c r="A742" s="3"/>
    </row>
    <row r="743" spans="1:1" x14ac:dyDescent="0.25">
      <c r="A743" s="3"/>
    </row>
    <row r="744" spans="1:1" x14ac:dyDescent="0.25">
      <c r="A744" s="3"/>
    </row>
    <row r="745" spans="1:1" x14ac:dyDescent="0.25">
      <c r="A745" s="3"/>
    </row>
    <row r="746" spans="1:1" x14ac:dyDescent="0.25">
      <c r="A746" s="3"/>
    </row>
    <row r="747" spans="1:1" x14ac:dyDescent="0.25">
      <c r="A747" s="3"/>
    </row>
    <row r="748" spans="1:1" x14ac:dyDescent="0.25">
      <c r="A748" s="3"/>
    </row>
    <row r="749" spans="1:1" x14ac:dyDescent="0.25">
      <c r="A749" s="3"/>
    </row>
    <row r="750" spans="1:1" x14ac:dyDescent="0.25">
      <c r="A750" s="3"/>
    </row>
    <row r="751" spans="1:1" x14ac:dyDescent="0.25">
      <c r="A751" s="3"/>
    </row>
    <row r="752" spans="1:1" x14ac:dyDescent="0.25">
      <c r="A752" s="3"/>
    </row>
    <row r="753" spans="1:1" x14ac:dyDescent="0.25">
      <c r="A753" s="3"/>
    </row>
    <row r="754" spans="1:1" x14ac:dyDescent="0.25">
      <c r="A754" s="3"/>
    </row>
    <row r="755" spans="1:1" x14ac:dyDescent="0.25">
      <c r="A755" s="3"/>
    </row>
    <row r="756" spans="1:1" x14ac:dyDescent="0.25">
      <c r="A756" s="3"/>
    </row>
    <row r="757" spans="1:1" x14ac:dyDescent="0.25">
      <c r="A757" s="3"/>
    </row>
    <row r="758" spans="1:1" x14ac:dyDescent="0.25">
      <c r="A758" s="3"/>
    </row>
    <row r="759" spans="1:1" x14ac:dyDescent="0.25">
      <c r="A759" s="3"/>
    </row>
    <row r="760" spans="1:1" x14ac:dyDescent="0.25">
      <c r="A760" s="3"/>
    </row>
    <row r="761" spans="1:1" x14ac:dyDescent="0.25">
      <c r="A761" s="3"/>
    </row>
    <row r="762" spans="1:1" x14ac:dyDescent="0.25">
      <c r="A762" s="3"/>
    </row>
    <row r="763" spans="1:1" x14ac:dyDescent="0.25">
      <c r="A763" s="3"/>
    </row>
    <row r="764" spans="1:1" x14ac:dyDescent="0.25">
      <c r="A764" s="3"/>
    </row>
    <row r="765" spans="1:1" x14ac:dyDescent="0.25">
      <c r="A765" s="3"/>
    </row>
    <row r="766" spans="1:1" x14ac:dyDescent="0.25">
      <c r="A766" s="3"/>
    </row>
    <row r="767" spans="1:1" x14ac:dyDescent="0.25">
      <c r="A767" s="3"/>
    </row>
    <row r="768" spans="1:1" x14ac:dyDescent="0.25">
      <c r="A768" s="3"/>
    </row>
    <row r="769" spans="1:1" x14ac:dyDescent="0.25">
      <c r="A769" s="3"/>
    </row>
    <row r="770" spans="1:1" x14ac:dyDescent="0.25">
      <c r="A770" s="3"/>
    </row>
    <row r="771" spans="1:1" x14ac:dyDescent="0.25">
      <c r="A771" s="3"/>
    </row>
    <row r="772" spans="1:1" x14ac:dyDescent="0.25">
      <c r="A772" s="3"/>
    </row>
    <row r="773" spans="1:1" x14ac:dyDescent="0.25">
      <c r="A773" s="3"/>
    </row>
    <row r="774" spans="1:1" x14ac:dyDescent="0.25">
      <c r="A774" s="3"/>
    </row>
    <row r="775" spans="1:1" x14ac:dyDescent="0.25">
      <c r="A775" s="3"/>
    </row>
    <row r="776" spans="1:1" x14ac:dyDescent="0.25">
      <c r="A776" s="3"/>
    </row>
    <row r="777" spans="1:1" x14ac:dyDescent="0.25">
      <c r="A777" s="3"/>
    </row>
    <row r="778" spans="1:1" x14ac:dyDescent="0.25">
      <c r="A778" s="3"/>
    </row>
    <row r="779" spans="1:1" x14ac:dyDescent="0.25">
      <c r="A779" s="3"/>
    </row>
    <row r="780" spans="1:1" x14ac:dyDescent="0.25">
      <c r="A780" s="3"/>
    </row>
    <row r="781" spans="1:1" x14ac:dyDescent="0.25">
      <c r="A781" s="3"/>
    </row>
    <row r="782" spans="1:1" x14ac:dyDescent="0.25">
      <c r="A782" s="3"/>
    </row>
    <row r="783" spans="1:1" x14ac:dyDescent="0.25">
      <c r="A783" s="3"/>
    </row>
    <row r="784" spans="1:1" x14ac:dyDescent="0.25">
      <c r="A784" s="3"/>
    </row>
    <row r="785" spans="1:1" x14ac:dyDescent="0.25">
      <c r="A785" s="3"/>
    </row>
    <row r="786" spans="1:1" x14ac:dyDescent="0.25">
      <c r="A786" s="3"/>
    </row>
    <row r="787" spans="1:1" x14ac:dyDescent="0.25">
      <c r="A787" s="3"/>
    </row>
    <row r="788" spans="1:1" x14ac:dyDescent="0.25">
      <c r="A788" s="3"/>
    </row>
    <row r="789" spans="1:1" x14ac:dyDescent="0.25">
      <c r="A789" s="3"/>
    </row>
    <row r="790" spans="1:1" x14ac:dyDescent="0.25">
      <c r="A790" s="3"/>
    </row>
    <row r="791" spans="1:1" x14ac:dyDescent="0.25">
      <c r="A791" s="3"/>
    </row>
    <row r="792" spans="1:1" x14ac:dyDescent="0.25">
      <c r="A792" s="3"/>
    </row>
    <row r="793" spans="1:1" x14ac:dyDescent="0.25">
      <c r="A793" s="3"/>
    </row>
    <row r="794" spans="1:1" x14ac:dyDescent="0.25">
      <c r="A794" s="3"/>
    </row>
    <row r="795" spans="1:1" x14ac:dyDescent="0.25">
      <c r="A795" s="3"/>
    </row>
    <row r="796" spans="1:1" x14ac:dyDescent="0.25">
      <c r="A796" s="3"/>
    </row>
    <row r="797" spans="1:1" x14ac:dyDescent="0.25">
      <c r="A797" s="3"/>
    </row>
    <row r="798" spans="1:1" x14ac:dyDescent="0.25">
      <c r="A798" s="3"/>
    </row>
    <row r="799" spans="1:1" x14ac:dyDescent="0.25">
      <c r="A799" s="3"/>
    </row>
    <row r="800" spans="1:1" x14ac:dyDescent="0.25">
      <c r="A800" s="3"/>
    </row>
    <row r="801" spans="1:1" x14ac:dyDescent="0.25">
      <c r="A801" s="3"/>
    </row>
    <row r="802" spans="1:1" x14ac:dyDescent="0.25">
      <c r="A802" s="3"/>
    </row>
    <row r="803" spans="1:1" x14ac:dyDescent="0.25">
      <c r="A803" s="3"/>
    </row>
    <row r="804" spans="1:1" x14ac:dyDescent="0.25">
      <c r="A804" s="3"/>
    </row>
    <row r="805" spans="1:1" x14ac:dyDescent="0.25">
      <c r="A805" s="3"/>
    </row>
    <row r="806" spans="1:1" x14ac:dyDescent="0.25">
      <c r="A806" s="3"/>
    </row>
    <row r="807" spans="1:1" x14ac:dyDescent="0.25">
      <c r="A807" s="3"/>
    </row>
    <row r="808" spans="1:1" x14ac:dyDescent="0.25">
      <c r="A808" s="3"/>
    </row>
    <row r="809" spans="1:1" x14ac:dyDescent="0.25">
      <c r="A809" s="3"/>
    </row>
    <row r="810" spans="1:1" x14ac:dyDescent="0.25">
      <c r="A810" s="3"/>
    </row>
    <row r="811" spans="1:1" x14ac:dyDescent="0.25">
      <c r="A811" s="3"/>
    </row>
    <row r="812" spans="1:1" x14ac:dyDescent="0.25">
      <c r="A812" s="3"/>
    </row>
    <row r="813" spans="1:1" x14ac:dyDescent="0.25">
      <c r="A813" s="3"/>
    </row>
    <row r="814" spans="1:1" x14ac:dyDescent="0.25">
      <c r="A814" s="3"/>
    </row>
    <row r="815" spans="1:1" x14ac:dyDescent="0.25">
      <c r="A815" s="3"/>
    </row>
    <row r="816" spans="1:1" x14ac:dyDescent="0.25">
      <c r="A816" s="3"/>
    </row>
    <row r="817" spans="1:1" x14ac:dyDescent="0.25">
      <c r="A817" s="3"/>
    </row>
    <row r="818" spans="1:1" x14ac:dyDescent="0.25">
      <c r="A818" s="3"/>
    </row>
    <row r="819" spans="1:1" x14ac:dyDescent="0.25">
      <c r="A819" s="3"/>
    </row>
    <row r="820" spans="1:1" x14ac:dyDescent="0.25">
      <c r="A820" s="3"/>
    </row>
    <row r="821" spans="1:1" x14ac:dyDescent="0.25">
      <c r="A821" s="3"/>
    </row>
    <row r="822" spans="1:1" x14ac:dyDescent="0.25">
      <c r="A822" s="3"/>
    </row>
    <row r="823" spans="1:1" x14ac:dyDescent="0.25">
      <c r="A823" s="3"/>
    </row>
    <row r="824" spans="1:1" x14ac:dyDescent="0.25">
      <c r="A824" s="3"/>
    </row>
    <row r="825" spans="1:1" x14ac:dyDescent="0.25">
      <c r="A825" s="3"/>
    </row>
    <row r="826" spans="1:1" x14ac:dyDescent="0.25">
      <c r="A826" s="3"/>
    </row>
    <row r="827" spans="1:1" x14ac:dyDescent="0.25">
      <c r="A827" s="3"/>
    </row>
    <row r="828" spans="1:1" x14ac:dyDescent="0.25">
      <c r="A828" s="3"/>
    </row>
    <row r="829" spans="1:1" x14ac:dyDescent="0.25">
      <c r="A829" s="3"/>
    </row>
    <row r="830" spans="1:1" x14ac:dyDescent="0.25">
      <c r="A830" s="3"/>
    </row>
    <row r="831" spans="1:1" x14ac:dyDescent="0.25">
      <c r="A831" s="3"/>
    </row>
    <row r="832" spans="1:1" x14ac:dyDescent="0.25">
      <c r="A832" s="3"/>
    </row>
    <row r="833" spans="1:1" x14ac:dyDescent="0.25">
      <c r="A833" s="3"/>
    </row>
    <row r="834" spans="1:1" x14ac:dyDescent="0.25">
      <c r="A834" s="3"/>
    </row>
    <row r="835" spans="1:1" x14ac:dyDescent="0.25">
      <c r="A835" s="3"/>
    </row>
    <row r="836" spans="1:1" x14ac:dyDescent="0.25">
      <c r="A836" s="3"/>
    </row>
    <row r="837" spans="1:1" x14ac:dyDescent="0.25">
      <c r="A837" s="3"/>
    </row>
    <row r="838" spans="1:1" x14ac:dyDescent="0.25">
      <c r="A838" s="3"/>
    </row>
    <row r="839" spans="1:1" x14ac:dyDescent="0.25">
      <c r="A839" s="3"/>
    </row>
    <row r="840" spans="1:1" x14ac:dyDescent="0.25">
      <c r="A840" s="3"/>
    </row>
    <row r="841" spans="1:1" x14ac:dyDescent="0.25">
      <c r="A841" s="3"/>
    </row>
    <row r="842" spans="1:1" x14ac:dyDescent="0.25">
      <c r="A842" s="3"/>
    </row>
    <row r="843" spans="1:1" x14ac:dyDescent="0.25">
      <c r="A843" s="3"/>
    </row>
    <row r="844" spans="1:1" x14ac:dyDescent="0.25">
      <c r="A844" s="3"/>
    </row>
    <row r="845" spans="1:1" x14ac:dyDescent="0.25">
      <c r="A845" s="3"/>
    </row>
    <row r="846" spans="1:1" x14ac:dyDescent="0.25">
      <c r="A846" s="3"/>
    </row>
    <row r="847" spans="1:1" x14ac:dyDescent="0.25">
      <c r="A847" s="3"/>
    </row>
    <row r="848" spans="1:1" x14ac:dyDescent="0.25">
      <c r="A848" s="3"/>
    </row>
    <row r="849" spans="1:1" x14ac:dyDescent="0.25">
      <c r="A849" s="3"/>
    </row>
    <row r="850" spans="1:1" x14ac:dyDescent="0.25">
      <c r="A850" s="3"/>
    </row>
    <row r="851" spans="1:1" x14ac:dyDescent="0.25">
      <c r="A851" s="3"/>
    </row>
    <row r="852" spans="1:1" x14ac:dyDescent="0.25">
      <c r="A852" s="3"/>
    </row>
    <row r="853" spans="1:1" x14ac:dyDescent="0.25">
      <c r="A853" s="3"/>
    </row>
    <row r="854" spans="1:1" x14ac:dyDescent="0.25">
      <c r="A854" s="3"/>
    </row>
    <row r="855" spans="1:1" x14ac:dyDescent="0.25">
      <c r="A855" s="3"/>
    </row>
    <row r="856" spans="1:1" x14ac:dyDescent="0.25">
      <c r="A856" s="3"/>
    </row>
    <row r="857" spans="1:1" x14ac:dyDescent="0.25">
      <c r="A857" s="3"/>
    </row>
    <row r="858" spans="1:1" x14ac:dyDescent="0.25">
      <c r="A858" s="3"/>
    </row>
    <row r="859" spans="1:1" x14ac:dyDescent="0.25">
      <c r="A859" s="3"/>
    </row>
    <row r="860" spans="1:1" x14ac:dyDescent="0.25">
      <c r="A860" s="3"/>
    </row>
    <row r="861" spans="1:1" x14ac:dyDescent="0.25">
      <c r="A861" s="3"/>
    </row>
    <row r="862" spans="1:1" x14ac:dyDescent="0.25">
      <c r="A862" s="3"/>
    </row>
    <row r="863" spans="1:1" x14ac:dyDescent="0.25">
      <c r="A863" s="3"/>
    </row>
    <row r="864" spans="1:1" x14ac:dyDescent="0.25">
      <c r="A864" s="3"/>
    </row>
    <row r="865" spans="1:1" x14ac:dyDescent="0.25">
      <c r="A865" s="3"/>
    </row>
    <row r="866" spans="1:1" x14ac:dyDescent="0.25">
      <c r="A866" s="3"/>
    </row>
    <row r="867" spans="1:1" x14ac:dyDescent="0.25">
      <c r="A867" s="3"/>
    </row>
    <row r="868" spans="1:1" x14ac:dyDescent="0.25">
      <c r="A868" s="3"/>
    </row>
    <row r="869" spans="1:1" x14ac:dyDescent="0.25">
      <c r="A869" s="3"/>
    </row>
    <row r="870" spans="1:1" x14ac:dyDescent="0.25">
      <c r="A870" s="3"/>
    </row>
    <row r="871" spans="1:1" x14ac:dyDescent="0.25">
      <c r="A871" s="3"/>
    </row>
    <row r="872" spans="1:1" x14ac:dyDescent="0.25">
      <c r="A872" s="3"/>
    </row>
    <row r="873" spans="1:1" x14ac:dyDescent="0.25">
      <c r="A873" s="3"/>
    </row>
    <row r="874" spans="1:1" x14ac:dyDescent="0.25">
      <c r="A874" s="3"/>
    </row>
    <row r="875" spans="1:1" x14ac:dyDescent="0.25">
      <c r="A875" s="3"/>
    </row>
    <row r="876" spans="1:1" x14ac:dyDescent="0.25">
      <c r="A876" s="3"/>
    </row>
    <row r="877" spans="1:1" x14ac:dyDescent="0.25">
      <c r="A877" s="3"/>
    </row>
    <row r="878" spans="1:1" x14ac:dyDescent="0.25">
      <c r="A878" s="3"/>
    </row>
    <row r="879" spans="1:1" x14ac:dyDescent="0.25">
      <c r="A879" s="3"/>
    </row>
    <row r="880" spans="1:1" x14ac:dyDescent="0.25">
      <c r="A880" s="3"/>
    </row>
    <row r="881" spans="1:1" x14ac:dyDescent="0.25">
      <c r="A881" s="3"/>
    </row>
    <row r="882" spans="1:1" x14ac:dyDescent="0.25">
      <c r="A882" s="3"/>
    </row>
    <row r="883" spans="1:1" x14ac:dyDescent="0.25">
      <c r="A883" s="3"/>
    </row>
    <row r="884" spans="1:1" x14ac:dyDescent="0.25">
      <c r="A884" s="3"/>
    </row>
    <row r="885" spans="1:1" x14ac:dyDescent="0.25">
      <c r="A885" s="3"/>
    </row>
    <row r="886" spans="1:1" x14ac:dyDescent="0.25">
      <c r="A886" s="3"/>
    </row>
    <row r="887" spans="1:1" x14ac:dyDescent="0.25">
      <c r="A887" s="3"/>
    </row>
    <row r="888" spans="1:1" x14ac:dyDescent="0.25">
      <c r="A888" s="3"/>
    </row>
    <row r="889" spans="1:1" x14ac:dyDescent="0.25">
      <c r="A889" s="3"/>
    </row>
    <row r="890" spans="1:1" x14ac:dyDescent="0.25">
      <c r="A890" s="3"/>
    </row>
    <row r="891" spans="1:1" x14ac:dyDescent="0.25">
      <c r="A891" s="3"/>
    </row>
    <row r="892" spans="1:1" x14ac:dyDescent="0.25">
      <c r="A892" s="3"/>
    </row>
    <row r="893" spans="1:1" x14ac:dyDescent="0.25">
      <c r="A893" s="3"/>
    </row>
    <row r="894" spans="1:1" x14ac:dyDescent="0.25">
      <c r="A894" s="3"/>
    </row>
    <row r="895" spans="1:1" x14ac:dyDescent="0.25">
      <c r="A895" s="3"/>
    </row>
    <row r="896" spans="1:1" x14ac:dyDescent="0.25">
      <c r="A896" s="3"/>
    </row>
    <row r="897" spans="1:1" x14ac:dyDescent="0.25">
      <c r="A897" s="3"/>
    </row>
    <row r="898" spans="1:1" x14ac:dyDescent="0.25">
      <c r="A898" s="3"/>
    </row>
    <row r="899" spans="1:1" x14ac:dyDescent="0.25">
      <c r="A899" s="3"/>
    </row>
    <row r="900" spans="1:1" x14ac:dyDescent="0.25">
      <c r="A900" s="3"/>
    </row>
    <row r="901" spans="1:1" x14ac:dyDescent="0.25">
      <c r="A901" s="3"/>
    </row>
    <row r="902" spans="1:1" x14ac:dyDescent="0.25">
      <c r="A902" s="3"/>
    </row>
    <row r="903" spans="1:1" x14ac:dyDescent="0.25">
      <c r="A903" s="3"/>
    </row>
    <row r="904" spans="1:1" x14ac:dyDescent="0.25">
      <c r="A904" s="3"/>
    </row>
    <row r="905" spans="1:1" x14ac:dyDescent="0.25">
      <c r="A905" s="3"/>
    </row>
    <row r="906" spans="1:1" x14ac:dyDescent="0.25">
      <c r="A906" s="3"/>
    </row>
    <row r="907" spans="1:1" x14ac:dyDescent="0.25">
      <c r="A907" s="3"/>
    </row>
    <row r="908" spans="1:1" x14ac:dyDescent="0.25">
      <c r="A908" s="3"/>
    </row>
    <row r="909" spans="1:1" x14ac:dyDescent="0.25">
      <c r="A909" s="3"/>
    </row>
    <row r="910" spans="1:1" x14ac:dyDescent="0.25">
      <c r="A910" s="3"/>
    </row>
    <row r="911" spans="1:1" x14ac:dyDescent="0.25">
      <c r="A911" s="3"/>
    </row>
    <row r="912" spans="1:1" x14ac:dyDescent="0.25">
      <c r="A912" s="3"/>
    </row>
    <row r="913" spans="1:1" x14ac:dyDescent="0.25">
      <c r="A913" s="3"/>
    </row>
    <row r="914" spans="1:1" x14ac:dyDescent="0.25">
      <c r="A914" s="3"/>
    </row>
    <row r="915" spans="1:1" x14ac:dyDescent="0.25">
      <c r="A915" s="3"/>
    </row>
    <row r="916" spans="1:1" x14ac:dyDescent="0.25">
      <c r="A916" s="3"/>
    </row>
    <row r="917" spans="1:1" x14ac:dyDescent="0.25">
      <c r="A917" s="3"/>
    </row>
    <row r="918" spans="1:1" x14ac:dyDescent="0.25">
      <c r="A918" s="3"/>
    </row>
    <row r="919" spans="1:1" x14ac:dyDescent="0.25">
      <c r="A919" s="3"/>
    </row>
    <row r="920" spans="1:1" x14ac:dyDescent="0.25">
      <c r="A920" s="3"/>
    </row>
    <row r="921" spans="1:1" x14ac:dyDescent="0.25">
      <c r="A921" s="3"/>
    </row>
    <row r="922" spans="1:1" x14ac:dyDescent="0.25">
      <c r="A922" s="3"/>
    </row>
    <row r="923" spans="1:1" x14ac:dyDescent="0.25">
      <c r="A923" s="3"/>
    </row>
    <row r="924" spans="1:1" x14ac:dyDescent="0.25">
      <c r="A924" s="3"/>
    </row>
    <row r="925" spans="1:1" x14ac:dyDescent="0.25">
      <c r="A925" s="3"/>
    </row>
    <row r="926" spans="1:1" x14ac:dyDescent="0.25">
      <c r="A926" s="3"/>
    </row>
    <row r="927" spans="1:1" x14ac:dyDescent="0.25">
      <c r="A927" s="3"/>
    </row>
    <row r="928" spans="1:1" x14ac:dyDescent="0.25">
      <c r="A928" s="3"/>
    </row>
    <row r="929" spans="1:1" x14ac:dyDescent="0.25">
      <c r="A929" s="3"/>
    </row>
    <row r="930" spans="1:1" x14ac:dyDescent="0.25">
      <c r="A930" s="3"/>
    </row>
    <row r="931" spans="1:1" x14ac:dyDescent="0.25">
      <c r="A931" s="3"/>
    </row>
    <row r="932" spans="1:1" x14ac:dyDescent="0.25">
      <c r="A932" s="3"/>
    </row>
    <row r="933" spans="1:1" x14ac:dyDescent="0.25">
      <c r="A933" s="3"/>
    </row>
    <row r="934" spans="1:1" x14ac:dyDescent="0.25">
      <c r="A934" s="3"/>
    </row>
    <row r="935" spans="1:1" x14ac:dyDescent="0.25">
      <c r="A935" s="3"/>
    </row>
    <row r="936" spans="1:1" x14ac:dyDescent="0.25">
      <c r="A936" s="3"/>
    </row>
    <row r="937" spans="1:1" x14ac:dyDescent="0.25">
      <c r="A937" s="3"/>
    </row>
    <row r="938" spans="1:1" x14ac:dyDescent="0.25">
      <c r="A938" s="3"/>
    </row>
    <row r="939" spans="1:1" x14ac:dyDescent="0.25">
      <c r="A939" s="3"/>
    </row>
    <row r="940" spans="1:1" x14ac:dyDescent="0.25">
      <c r="A940" s="3"/>
    </row>
    <row r="941" spans="1:1" x14ac:dyDescent="0.25">
      <c r="A941" s="3"/>
    </row>
    <row r="942" spans="1:1" x14ac:dyDescent="0.25">
      <c r="A942" s="3"/>
    </row>
    <row r="943" spans="1:1" x14ac:dyDescent="0.25">
      <c r="A943" s="3"/>
    </row>
    <row r="944" spans="1:1" x14ac:dyDescent="0.25">
      <c r="A944" s="3"/>
    </row>
    <row r="945" spans="1:1" x14ac:dyDescent="0.25">
      <c r="A945" s="3"/>
    </row>
    <row r="946" spans="1:1" x14ac:dyDescent="0.25">
      <c r="A946" s="3"/>
    </row>
    <row r="947" spans="1:1" x14ac:dyDescent="0.25">
      <c r="A947" s="3"/>
    </row>
    <row r="948" spans="1:1" x14ac:dyDescent="0.25">
      <c r="A948" s="3"/>
    </row>
    <row r="949" spans="1:1" x14ac:dyDescent="0.25">
      <c r="A949" s="3"/>
    </row>
    <row r="950" spans="1:1" x14ac:dyDescent="0.25">
      <c r="A950" s="3"/>
    </row>
    <row r="951" spans="1:1" x14ac:dyDescent="0.25">
      <c r="A951" s="3"/>
    </row>
    <row r="952" spans="1:1" x14ac:dyDescent="0.25">
      <c r="A952" s="3"/>
    </row>
    <row r="953" spans="1:1" x14ac:dyDescent="0.25">
      <c r="A953" s="3"/>
    </row>
    <row r="954" spans="1:1" x14ac:dyDescent="0.25">
      <c r="A954" s="3"/>
    </row>
    <row r="955" spans="1:1" x14ac:dyDescent="0.25">
      <c r="A955" s="3"/>
    </row>
    <row r="956" spans="1:1" x14ac:dyDescent="0.25">
      <c r="A956" s="3"/>
    </row>
    <row r="957" spans="1:1" x14ac:dyDescent="0.25">
      <c r="A957" s="3"/>
    </row>
    <row r="958" spans="1:1" x14ac:dyDescent="0.25">
      <c r="A958" s="3"/>
    </row>
    <row r="959" spans="1:1" x14ac:dyDescent="0.25">
      <c r="A959" s="3"/>
    </row>
    <row r="960" spans="1:1" x14ac:dyDescent="0.25">
      <c r="A960" s="3"/>
    </row>
    <row r="961" spans="1:1" x14ac:dyDescent="0.25">
      <c r="A961" s="3"/>
    </row>
    <row r="962" spans="1:1" x14ac:dyDescent="0.25">
      <c r="A962" s="3"/>
    </row>
    <row r="963" spans="1:1" x14ac:dyDescent="0.25">
      <c r="A963" s="3"/>
    </row>
    <row r="964" spans="1:1" x14ac:dyDescent="0.25">
      <c r="A964" s="3"/>
    </row>
    <row r="965" spans="1:1" x14ac:dyDescent="0.25">
      <c r="A965" s="3"/>
    </row>
    <row r="966" spans="1:1" x14ac:dyDescent="0.25">
      <c r="A966" s="3"/>
    </row>
    <row r="967" spans="1:1" x14ac:dyDescent="0.25">
      <c r="A967" s="3"/>
    </row>
    <row r="968" spans="1:1" x14ac:dyDescent="0.25">
      <c r="A968" s="3"/>
    </row>
    <row r="969" spans="1:1" x14ac:dyDescent="0.25">
      <c r="A969" s="3"/>
    </row>
    <row r="970" spans="1:1" x14ac:dyDescent="0.25">
      <c r="A970" s="3"/>
    </row>
    <row r="971" spans="1:1" x14ac:dyDescent="0.25">
      <c r="A971" s="3"/>
    </row>
    <row r="972" spans="1:1" x14ac:dyDescent="0.25">
      <c r="A972" s="3"/>
    </row>
    <row r="973" spans="1:1" x14ac:dyDescent="0.25">
      <c r="A973" s="3"/>
    </row>
    <row r="974" spans="1:1" x14ac:dyDescent="0.25">
      <c r="A974" s="3"/>
    </row>
    <row r="975" spans="1:1" x14ac:dyDescent="0.25">
      <c r="A975" s="3"/>
    </row>
    <row r="976" spans="1:1" x14ac:dyDescent="0.25">
      <c r="A976" s="3"/>
    </row>
    <row r="977" spans="1:1" x14ac:dyDescent="0.25">
      <c r="A977" s="3"/>
    </row>
    <row r="978" spans="1:1" x14ac:dyDescent="0.25">
      <c r="A978" s="3"/>
    </row>
    <row r="979" spans="1:1" x14ac:dyDescent="0.25">
      <c r="A979" s="3"/>
    </row>
    <row r="980" spans="1:1" x14ac:dyDescent="0.25">
      <c r="A980" s="3"/>
    </row>
    <row r="981" spans="1:1" x14ac:dyDescent="0.25">
      <c r="A981" s="3"/>
    </row>
    <row r="982" spans="1:1" x14ac:dyDescent="0.25">
      <c r="A982" s="3"/>
    </row>
    <row r="983" spans="1:1" x14ac:dyDescent="0.25">
      <c r="A983" s="3"/>
    </row>
    <row r="984" spans="1:1" x14ac:dyDescent="0.25">
      <c r="A984" s="3"/>
    </row>
    <row r="985" spans="1:1" x14ac:dyDescent="0.25">
      <c r="A985" s="3"/>
    </row>
    <row r="986" spans="1:1" x14ac:dyDescent="0.25">
      <c r="A986" s="3"/>
    </row>
    <row r="987" spans="1:1" x14ac:dyDescent="0.25">
      <c r="A987" s="3"/>
    </row>
    <row r="988" spans="1:1" x14ac:dyDescent="0.25">
      <c r="A988" s="3"/>
    </row>
    <row r="989" spans="1:1" x14ac:dyDescent="0.25">
      <c r="A989" s="3"/>
    </row>
    <row r="990" spans="1:1" x14ac:dyDescent="0.25">
      <c r="A990" s="3"/>
    </row>
    <row r="991" spans="1:1" x14ac:dyDescent="0.25">
      <c r="A991" s="3"/>
    </row>
    <row r="992" spans="1:1" x14ac:dyDescent="0.25">
      <c r="A992" s="3"/>
    </row>
    <row r="993" spans="1:1" x14ac:dyDescent="0.25">
      <c r="A993" s="3"/>
    </row>
    <row r="994" spans="1:1" x14ac:dyDescent="0.25">
      <c r="A994" s="3"/>
    </row>
    <row r="995" spans="1:1" x14ac:dyDescent="0.25">
      <c r="A995" s="3"/>
    </row>
    <row r="996" spans="1:1" x14ac:dyDescent="0.25">
      <c r="A996" s="3"/>
    </row>
    <row r="997" spans="1:1" x14ac:dyDescent="0.25">
      <c r="A997" s="3"/>
    </row>
    <row r="998" spans="1:1" x14ac:dyDescent="0.25">
      <c r="A998" s="3"/>
    </row>
    <row r="999" spans="1:1" x14ac:dyDescent="0.25">
      <c r="A999" s="3"/>
    </row>
    <row r="1000" spans="1:1" x14ac:dyDescent="0.25">
      <c r="A1000" s="3"/>
    </row>
    <row r="1001" spans="1:1" x14ac:dyDescent="0.25">
      <c r="A1001" s="3"/>
    </row>
    <row r="1002" spans="1:1" x14ac:dyDescent="0.25">
      <c r="A1002" s="3"/>
    </row>
    <row r="1003" spans="1:1" x14ac:dyDescent="0.25">
      <c r="A1003" s="3"/>
    </row>
    <row r="1004" spans="1:1" x14ac:dyDescent="0.25">
      <c r="A1004" s="3"/>
    </row>
    <row r="1005" spans="1:1" x14ac:dyDescent="0.25">
      <c r="A1005" s="3"/>
    </row>
    <row r="1006" spans="1:1" x14ac:dyDescent="0.25">
      <c r="A1006" s="3"/>
    </row>
    <row r="1007" spans="1:1" x14ac:dyDescent="0.25">
      <c r="A1007" s="3"/>
    </row>
    <row r="1008" spans="1:1" x14ac:dyDescent="0.25">
      <c r="A1008" s="3"/>
    </row>
    <row r="1009" spans="1:1" x14ac:dyDescent="0.25">
      <c r="A1009" s="3"/>
    </row>
    <row r="1010" spans="1:1" x14ac:dyDescent="0.25">
      <c r="A1010" s="3"/>
    </row>
    <row r="1011" spans="1:1" x14ac:dyDescent="0.25">
      <c r="A1011" s="3"/>
    </row>
    <row r="1012" spans="1:1" x14ac:dyDescent="0.25">
      <c r="A1012" s="3"/>
    </row>
    <row r="1013" spans="1:1" x14ac:dyDescent="0.25">
      <c r="A1013" s="3"/>
    </row>
    <row r="1014" spans="1:1" x14ac:dyDescent="0.25">
      <c r="A1014" s="3"/>
    </row>
    <row r="1015" spans="1:1" x14ac:dyDescent="0.25">
      <c r="A1015" s="3"/>
    </row>
    <row r="1016" spans="1:1" x14ac:dyDescent="0.25">
      <c r="A1016" s="3"/>
    </row>
    <row r="1017" spans="1:1" x14ac:dyDescent="0.25">
      <c r="A1017" s="3"/>
    </row>
    <row r="1018" spans="1:1" x14ac:dyDescent="0.25">
      <c r="A1018" s="3"/>
    </row>
    <row r="1019" spans="1:1" x14ac:dyDescent="0.25">
      <c r="A1019" s="3"/>
    </row>
    <row r="1020" spans="1:1" x14ac:dyDescent="0.25">
      <c r="A1020" s="3"/>
    </row>
    <row r="1021" spans="1:1" x14ac:dyDescent="0.25">
      <c r="A1021" s="3"/>
    </row>
    <row r="1022" spans="1:1" x14ac:dyDescent="0.25">
      <c r="A1022" s="3"/>
    </row>
    <row r="1023" spans="1:1" x14ac:dyDescent="0.25">
      <c r="A1023" s="3"/>
    </row>
    <row r="1024" spans="1:1" x14ac:dyDescent="0.25">
      <c r="A1024" s="3"/>
    </row>
    <row r="1025" spans="1:1" x14ac:dyDescent="0.25">
      <c r="A1025" s="3"/>
    </row>
    <row r="1026" spans="1:1" x14ac:dyDescent="0.25">
      <c r="A1026" s="3"/>
    </row>
    <row r="1027" spans="1:1" x14ac:dyDescent="0.25">
      <c r="A1027" s="3"/>
    </row>
    <row r="1028" spans="1:1" x14ac:dyDescent="0.25">
      <c r="A1028" s="3"/>
    </row>
    <row r="1029" spans="1:1" x14ac:dyDescent="0.25">
      <c r="A1029" s="3"/>
    </row>
    <row r="1030" spans="1:1" x14ac:dyDescent="0.25">
      <c r="A1030" s="3"/>
    </row>
    <row r="1031" spans="1:1" x14ac:dyDescent="0.25">
      <c r="A1031" s="3"/>
    </row>
    <row r="1032" spans="1:1" x14ac:dyDescent="0.25">
      <c r="A1032" s="3"/>
    </row>
    <row r="1033" spans="1:1" x14ac:dyDescent="0.25">
      <c r="A1033" s="3"/>
    </row>
    <row r="1034" spans="1:1" x14ac:dyDescent="0.25">
      <c r="A1034" s="3"/>
    </row>
    <row r="1035" spans="1:1" x14ac:dyDescent="0.25">
      <c r="A1035" s="3"/>
    </row>
    <row r="1036" spans="1:1" x14ac:dyDescent="0.25">
      <c r="A1036" s="3"/>
    </row>
    <row r="1037" spans="1:1" x14ac:dyDescent="0.25">
      <c r="A1037" s="3"/>
    </row>
    <row r="1038" spans="1:1" x14ac:dyDescent="0.25">
      <c r="A1038" s="3"/>
    </row>
    <row r="1039" spans="1:1" x14ac:dyDescent="0.25">
      <c r="A1039" s="3"/>
    </row>
    <row r="1040" spans="1:1" x14ac:dyDescent="0.25">
      <c r="A1040" s="3"/>
    </row>
    <row r="1041" spans="1:1" x14ac:dyDescent="0.25">
      <c r="A1041" s="3"/>
    </row>
    <row r="1042" spans="1:1" x14ac:dyDescent="0.25">
      <c r="A1042" s="3"/>
    </row>
    <row r="1043" spans="1:1" x14ac:dyDescent="0.25">
      <c r="A1043" s="3"/>
    </row>
    <row r="1044" spans="1:1" x14ac:dyDescent="0.25">
      <c r="A1044" s="3"/>
    </row>
    <row r="1045" spans="1:1" x14ac:dyDescent="0.25">
      <c r="A1045" s="3"/>
    </row>
    <row r="1046" spans="1:1" x14ac:dyDescent="0.25">
      <c r="A1046" s="3"/>
    </row>
    <row r="1047" spans="1:1" x14ac:dyDescent="0.25">
      <c r="A1047" s="3"/>
    </row>
    <row r="1048" spans="1:1" x14ac:dyDescent="0.25">
      <c r="A1048" s="3"/>
    </row>
    <row r="1049" spans="1:1" x14ac:dyDescent="0.25">
      <c r="A1049" s="3"/>
    </row>
    <row r="1050" spans="1:1" x14ac:dyDescent="0.25">
      <c r="A1050" s="3"/>
    </row>
    <row r="1051" spans="1:1" x14ac:dyDescent="0.25">
      <c r="A1051" s="3"/>
    </row>
    <row r="1052" spans="1:1" x14ac:dyDescent="0.25">
      <c r="A1052" s="3"/>
    </row>
    <row r="1053" spans="1:1" x14ac:dyDescent="0.25">
      <c r="A1053" s="3"/>
    </row>
    <row r="1054" spans="1:1" x14ac:dyDescent="0.25">
      <c r="A1054" s="3"/>
    </row>
    <row r="1055" spans="1:1" x14ac:dyDescent="0.25">
      <c r="A1055" s="3"/>
    </row>
    <row r="1056" spans="1:1" x14ac:dyDescent="0.25">
      <c r="A1056" s="3"/>
    </row>
    <row r="1057" spans="1:1" x14ac:dyDescent="0.25">
      <c r="A1057" s="3"/>
    </row>
    <row r="1058" spans="1:1" x14ac:dyDescent="0.25">
      <c r="A1058" s="3"/>
    </row>
    <row r="1059" spans="1:1" x14ac:dyDescent="0.25">
      <c r="A1059" s="3"/>
    </row>
    <row r="1060" spans="1:1" x14ac:dyDescent="0.25">
      <c r="A1060" s="3"/>
    </row>
    <row r="1061" spans="1:1" x14ac:dyDescent="0.25">
      <c r="A1061" s="3"/>
    </row>
    <row r="1062" spans="1:1" x14ac:dyDescent="0.25">
      <c r="A1062" s="3"/>
    </row>
    <row r="1063" spans="1:1" x14ac:dyDescent="0.25">
      <c r="A1063" s="3"/>
    </row>
    <row r="1064" spans="1:1" x14ac:dyDescent="0.25">
      <c r="A1064" s="3"/>
    </row>
    <row r="1065" spans="1:1" x14ac:dyDescent="0.25">
      <c r="A1065" s="3"/>
    </row>
    <row r="1066" spans="1:1" x14ac:dyDescent="0.25">
      <c r="A1066" s="3"/>
    </row>
    <row r="1067" spans="1:1" x14ac:dyDescent="0.25">
      <c r="A1067" s="3"/>
    </row>
    <row r="1068" spans="1:1" x14ac:dyDescent="0.25">
      <c r="A1068" s="3"/>
    </row>
    <row r="1069" spans="1:1" x14ac:dyDescent="0.25">
      <c r="A1069" s="3"/>
    </row>
    <row r="1070" spans="1:1" x14ac:dyDescent="0.25">
      <c r="A1070" s="3"/>
    </row>
    <row r="1071" spans="1:1" x14ac:dyDescent="0.25">
      <c r="A1071" s="3"/>
    </row>
    <row r="1072" spans="1:1" x14ac:dyDescent="0.25">
      <c r="A1072" s="3"/>
    </row>
    <row r="1073" spans="1:1" x14ac:dyDescent="0.25">
      <c r="A1073" s="3"/>
    </row>
    <row r="1074" spans="1:1" x14ac:dyDescent="0.25">
      <c r="A1074" s="3"/>
    </row>
    <row r="1075" spans="1:1" x14ac:dyDescent="0.25">
      <c r="A1075" s="3"/>
    </row>
    <row r="1076" spans="1:1" x14ac:dyDescent="0.25">
      <c r="A1076" s="3"/>
    </row>
    <row r="1077" spans="1:1" x14ac:dyDescent="0.25">
      <c r="A1077" s="3"/>
    </row>
    <row r="1078" spans="1:1" x14ac:dyDescent="0.25">
      <c r="A1078" s="3"/>
    </row>
    <row r="1079" spans="1:1" x14ac:dyDescent="0.25">
      <c r="A1079" s="3"/>
    </row>
    <row r="1080" spans="1:1" x14ac:dyDescent="0.25">
      <c r="A1080" s="3"/>
    </row>
    <row r="1081" spans="1:1" x14ac:dyDescent="0.25">
      <c r="A1081" s="3"/>
    </row>
    <row r="1082" spans="1:1" x14ac:dyDescent="0.25">
      <c r="A1082" s="3"/>
    </row>
    <row r="1083" spans="1:1" x14ac:dyDescent="0.25">
      <c r="A1083" s="3"/>
    </row>
    <row r="1084" spans="1:1" x14ac:dyDescent="0.25">
      <c r="A1084" s="3"/>
    </row>
    <row r="1085" spans="1:1" x14ac:dyDescent="0.25">
      <c r="A1085" s="3"/>
    </row>
    <row r="1086" spans="1:1" x14ac:dyDescent="0.25">
      <c r="A1086" s="3"/>
    </row>
    <row r="1087" spans="1:1" x14ac:dyDescent="0.25">
      <c r="A1087" s="3"/>
    </row>
    <row r="1088" spans="1:1" x14ac:dyDescent="0.25">
      <c r="A1088" s="3"/>
    </row>
    <row r="1089" spans="1:1" x14ac:dyDescent="0.25">
      <c r="A1089" s="3"/>
    </row>
    <row r="1090" spans="1:1" x14ac:dyDescent="0.25">
      <c r="A1090" s="3"/>
    </row>
    <row r="1091" spans="1:1" x14ac:dyDescent="0.25">
      <c r="A1091" s="3"/>
    </row>
    <row r="1092" spans="1:1" x14ac:dyDescent="0.25">
      <c r="A1092" s="3"/>
    </row>
    <row r="1093" spans="1:1" x14ac:dyDescent="0.25">
      <c r="A1093" s="3"/>
    </row>
    <row r="1094" spans="1:1" x14ac:dyDescent="0.25">
      <c r="A1094" s="3"/>
    </row>
    <row r="1095" spans="1:1" x14ac:dyDescent="0.25">
      <c r="A1095" s="3"/>
    </row>
    <row r="1096" spans="1:1" x14ac:dyDescent="0.25">
      <c r="A1096" s="3"/>
    </row>
    <row r="1097" spans="1:1" x14ac:dyDescent="0.25">
      <c r="A1097" s="3"/>
    </row>
    <row r="1098" spans="1:1" x14ac:dyDescent="0.25">
      <c r="A1098" s="3"/>
    </row>
    <row r="1099" spans="1:1" x14ac:dyDescent="0.25">
      <c r="A1099" s="3"/>
    </row>
    <row r="1100" spans="1:1" x14ac:dyDescent="0.25">
      <c r="A1100" s="3"/>
    </row>
    <row r="1101" spans="1:1" x14ac:dyDescent="0.25">
      <c r="A1101" s="3"/>
    </row>
    <row r="1102" spans="1:1" x14ac:dyDescent="0.25">
      <c r="A1102" s="3"/>
    </row>
    <row r="1103" spans="1:1" x14ac:dyDescent="0.25">
      <c r="A1103" s="3"/>
    </row>
    <row r="1104" spans="1:1" x14ac:dyDescent="0.25">
      <c r="A1104" s="3"/>
    </row>
    <row r="1105" spans="1:1" x14ac:dyDescent="0.25">
      <c r="A1105" s="3"/>
    </row>
    <row r="1106" spans="1:1" x14ac:dyDescent="0.25">
      <c r="A1106" s="3"/>
    </row>
    <row r="1107" spans="1:1" x14ac:dyDescent="0.25">
      <c r="A1107" s="3"/>
    </row>
    <row r="1108" spans="1:1" x14ac:dyDescent="0.25">
      <c r="A1108" s="3"/>
    </row>
    <row r="1109" spans="1:1" x14ac:dyDescent="0.25">
      <c r="A1109" s="3"/>
    </row>
    <row r="1110" spans="1:1" x14ac:dyDescent="0.25">
      <c r="A1110" s="3"/>
    </row>
    <row r="1111" spans="1:1" x14ac:dyDescent="0.25">
      <c r="A1111" s="3"/>
    </row>
    <row r="1112" spans="1:1" x14ac:dyDescent="0.25">
      <c r="A1112" s="3"/>
    </row>
    <row r="1113" spans="1:1" x14ac:dyDescent="0.25">
      <c r="A1113" s="3"/>
    </row>
    <row r="1114" spans="1:1" x14ac:dyDescent="0.25">
      <c r="A1114" s="3"/>
    </row>
    <row r="1115" spans="1:1" x14ac:dyDescent="0.25">
      <c r="A1115" s="3"/>
    </row>
    <row r="1116" spans="1:1" x14ac:dyDescent="0.25">
      <c r="A1116" s="3"/>
    </row>
    <row r="1117" spans="1:1" x14ac:dyDescent="0.25">
      <c r="A1117" s="3"/>
    </row>
    <row r="1118" spans="1:1" x14ac:dyDescent="0.25">
      <c r="A1118" s="3"/>
    </row>
    <row r="1119" spans="1:1" x14ac:dyDescent="0.25">
      <c r="A1119" s="3"/>
    </row>
    <row r="1120" spans="1:1" x14ac:dyDescent="0.25">
      <c r="A1120" s="3"/>
    </row>
    <row r="1121" spans="1:1" x14ac:dyDescent="0.25">
      <c r="A1121" s="3"/>
    </row>
    <row r="1122" spans="1:1" x14ac:dyDescent="0.25">
      <c r="A1122" s="3"/>
    </row>
    <row r="1123" spans="1:1" x14ac:dyDescent="0.25">
      <c r="A1123" s="3"/>
    </row>
    <row r="1124" spans="1:1" x14ac:dyDescent="0.25">
      <c r="A1124" s="3"/>
    </row>
    <row r="1125" spans="1:1" x14ac:dyDescent="0.25">
      <c r="A1125" s="3"/>
    </row>
    <row r="1126" spans="1:1" x14ac:dyDescent="0.25">
      <c r="A1126" s="3"/>
    </row>
    <row r="1127" spans="1:1" x14ac:dyDescent="0.25">
      <c r="A1127" s="3"/>
    </row>
    <row r="1128" spans="1:1" x14ac:dyDescent="0.25">
      <c r="A1128" s="3"/>
    </row>
    <row r="1129" spans="1:1" x14ac:dyDescent="0.25">
      <c r="A1129" s="3"/>
    </row>
    <row r="1130" spans="1:1" x14ac:dyDescent="0.25">
      <c r="A1130" s="3"/>
    </row>
    <row r="1131" spans="1:1" x14ac:dyDescent="0.25">
      <c r="A1131" s="3"/>
    </row>
    <row r="1132" spans="1:1" x14ac:dyDescent="0.25">
      <c r="A1132" s="3"/>
    </row>
    <row r="1133" spans="1:1" x14ac:dyDescent="0.25">
      <c r="A1133" s="3"/>
    </row>
    <row r="1134" spans="1:1" x14ac:dyDescent="0.25">
      <c r="A1134" s="3"/>
    </row>
    <row r="1135" spans="1:1" x14ac:dyDescent="0.25">
      <c r="A1135" s="3"/>
    </row>
    <row r="1136" spans="1:1" x14ac:dyDescent="0.25">
      <c r="A1136" s="3"/>
    </row>
    <row r="1137" spans="1:1" x14ac:dyDescent="0.25">
      <c r="A1137" s="3"/>
    </row>
    <row r="1138" spans="1:1" x14ac:dyDescent="0.25">
      <c r="A1138" s="3"/>
    </row>
    <row r="1139" spans="1:1" x14ac:dyDescent="0.25">
      <c r="A1139" s="3"/>
    </row>
    <row r="1140" spans="1:1" x14ac:dyDescent="0.25">
      <c r="A1140" s="3"/>
    </row>
    <row r="1141" spans="1:1" x14ac:dyDescent="0.25">
      <c r="A1141" s="3"/>
    </row>
    <row r="1142" spans="1:1" x14ac:dyDescent="0.25">
      <c r="A1142" s="3"/>
    </row>
    <row r="1143" spans="1:1" x14ac:dyDescent="0.25">
      <c r="A1143" s="3"/>
    </row>
    <row r="1144" spans="1:1" x14ac:dyDescent="0.25">
      <c r="A1144" s="3"/>
    </row>
    <row r="1145" spans="1:1" x14ac:dyDescent="0.25">
      <c r="A1145" s="3"/>
    </row>
    <row r="1146" spans="1:1" x14ac:dyDescent="0.25">
      <c r="A1146" s="3"/>
    </row>
    <row r="1147" spans="1:1" x14ac:dyDescent="0.25">
      <c r="A1147" s="3"/>
    </row>
    <row r="1148" spans="1:1" x14ac:dyDescent="0.25">
      <c r="A1148" s="3"/>
    </row>
    <row r="1149" spans="1:1" x14ac:dyDescent="0.25">
      <c r="A1149" s="3"/>
    </row>
    <row r="1150" spans="1:1" x14ac:dyDescent="0.25">
      <c r="A1150" s="3"/>
    </row>
    <row r="1151" spans="1:1" x14ac:dyDescent="0.25">
      <c r="A1151" s="3"/>
    </row>
    <row r="1152" spans="1:1" x14ac:dyDescent="0.25">
      <c r="A1152" s="3"/>
    </row>
    <row r="1153" spans="1:1" x14ac:dyDescent="0.25">
      <c r="A1153" s="3"/>
    </row>
    <row r="1154" spans="1:1" x14ac:dyDescent="0.25">
      <c r="A1154" s="3"/>
    </row>
    <row r="1155" spans="1:1" x14ac:dyDescent="0.25">
      <c r="A1155" s="3"/>
    </row>
    <row r="1156" spans="1:1" x14ac:dyDescent="0.25">
      <c r="A1156" s="3"/>
    </row>
    <row r="1157" spans="1:1" x14ac:dyDescent="0.25">
      <c r="A1157" s="3"/>
    </row>
    <row r="1158" spans="1:1" x14ac:dyDescent="0.25">
      <c r="A1158" s="3"/>
    </row>
    <row r="1159" spans="1:1" x14ac:dyDescent="0.25">
      <c r="A1159" s="3"/>
    </row>
    <row r="1160" spans="1:1" x14ac:dyDescent="0.25">
      <c r="A1160" s="3"/>
    </row>
    <row r="1161" spans="1:1" x14ac:dyDescent="0.25">
      <c r="A1161" s="3"/>
    </row>
    <row r="1162" spans="1:1" x14ac:dyDescent="0.25">
      <c r="A1162" s="3"/>
    </row>
    <row r="1163" spans="1:1" x14ac:dyDescent="0.25">
      <c r="A1163" s="3"/>
    </row>
    <row r="1164" spans="1:1" x14ac:dyDescent="0.25">
      <c r="A1164" s="3"/>
    </row>
    <row r="1165" spans="1:1" x14ac:dyDescent="0.25">
      <c r="A1165" s="3"/>
    </row>
    <row r="1166" spans="1:1" x14ac:dyDescent="0.25">
      <c r="A1166" s="3"/>
    </row>
    <row r="1167" spans="1:1" x14ac:dyDescent="0.25">
      <c r="A1167" s="3"/>
    </row>
    <row r="1168" spans="1:1" x14ac:dyDescent="0.25">
      <c r="A1168" s="3"/>
    </row>
    <row r="1169" spans="1:1" x14ac:dyDescent="0.25">
      <c r="A1169" s="3"/>
    </row>
    <row r="1170" spans="1:1" x14ac:dyDescent="0.25">
      <c r="A1170" s="3"/>
    </row>
    <row r="1171" spans="1:1" x14ac:dyDescent="0.25">
      <c r="A1171" s="3"/>
    </row>
    <row r="1172" spans="1:1" x14ac:dyDescent="0.25">
      <c r="A1172" s="3"/>
    </row>
    <row r="1173" spans="1:1" x14ac:dyDescent="0.25">
      <c r="A1173" s="3"/>
    </row>
    <row r="1174" spans="1:1" x14ac:dyDescent="0.25">
      <c r="A1174" s="3"/>
    </row>
    <row r="1175" spans="1:1" x14ac:dyDescent="0.25">
      <c r="A1175" s="3"/>
    </row>
    <row r="1176" spans="1:1" x14ac:dyDescent="0.25">
      <c r="A1176" s="3"/>
    </row>
    <row r="1177" spans="1:1" x14ac:dyDescent="0.25">
      <c r="A1177" s="3"/>
    </row>
    <row r="1178" spans="1:1" x14ac:dyDescent="0.25">
      <c r="A1178" s="3"/>
    </row>
    <row r="1179" spans="1:1" x14ac:dyDescent="0.25">
      <c r="A1179" s="3"/>
    </row>
    <row r="1180" spans="1:1" x14ac:dyDescent="0.25">
      <c r="A1180" s="3"/>
    </row>
    <row r="1181" spans="1:1" x14ac:dyDescent="0.25">
      <c r="A1181" s="3"/>
    </row>
    <row r="1182" spans="1:1" x14ac:dyDescent="0.25">
      <c r="A1182" s="3"/>
    </row>
    <row r="1183" spans="1:1" x14ac:dyDescent="0.25">
      <c r="A1183" s="3"/>
    </row>
    <row r="1184" spans="1:1" x14ac:dyDescent="0.25">
      <c r="A1184" s="3"/>
    </row>
    <row r="1185" spans="1:1" x14ac:dyDescent="0.25">
      <c r="A1185" s="3"/>
    </row>
    <row r="1186" spans="1:1" x14ac:dyDescent="0.25">
      <c r="A1186" s="3"/>
    </row>
    <row r="1187" spans="1:1" x14ac:dyDescent="0.25">
      <c r="A1187" s="3"/>
    </row>
    <row r="1188" spans="1:1" x14ac:dyDescent="0.25">
      <c r="A1188" s="3"/>
    </row>
    <row r="1189" spans="1:1" x14ac:dyDescent="0.25">
      <c r="A1189" s="3"/>
    </row>
    <row r="1190" spans="1:1" x14ac:dyDescent="0.25">
      <c r="A1190" s="3"/>
    </row>
    <row r="1191" spans="1:1" x14ac:dyDescent="0.25">
      <c r="A1191" s="3"/>
    </row>
    <row r="1192" spans="1:1" x14ac:dyDescent="0.25">
      <c r="A1192" s="3"/>
    </row>
    <row r="1193" spans="1:1" x14ac:dyDescent="0.25">
      <c r="A1193" s="3"/>
    </row>
    <row r="1194" spans="1:1" x14ac:dyDescent="0.25">
      <c r="A1194" s="3"/>
    </row>
    <row r="1195" spans="1:1" x14ac:dyDescent="0.25">
      <c r="A1195" s="3"/>
    </row>
    <row r="1196" spans="1:1" x14ac:dyDescent="0.25">
      <c r="A1196" s="3"/>
    </row>
    <row r="1197" spans="1:1" x14ac:dyDescent="0.25">
      <c r="A1197" s="3"/>
    </row>
    <row r="1198" spans="1:1" x14ac:dyDescent="0.25">
      <c r="A1198" s="3"/>
    </row>
    <row r="1199" spans="1:1" x14ac:dyDescent="0.25">
      <c r="A1199" s="3"/>
    </row>
    <row r="1200" spans="1:1" x14ac:dyDescent="0.25">
      <c r="A1200" s="3"/>
    </row>
    <row r="1201" spans="1:1" x14ac:dyDescent="0.25">
      <c r="A1201" s="3"/>
    </row>
    <row r="1202" spans="1:1" x14ac:dyDescent="0.25">
      <c r="A1202" s="3"/>
    </row>
    <row r="1203" spans="1:1" x14ac:dyDescent="0.25">
      <c r="A1203" s="3"/>
    </row>
    <row r="1204" spans="1:1" x14ac:dyDescent="0.25">
      <c r="A1204" s="3"/>
    </row>
    <row r="1205" spans="1:1" x14ac:dyDescent="0.25">
      <c r="A1205" s="3"/>
    </row>
    <row r="1206" spans="1:1" x14ac:dyDescent="0.25">
      <c r="A1206" s="3"/>
    </row>
    <row r="1207" spans="1:1" x14ac:dyDescent="0.25">
      <c r="A1207" s="3"/>
    </row>
    <row r="1208" spans="1:1" x14ac:dyDescent="0.25">
      <c r="A1208" s="3"/>
    </row>
    <row r="1209" spans="1:1" x14ac:dyDescent="0.25">
      <c r="A1209" s="3"/>
    </row>
    <row r="1210" spans="1:1" x14ac:dyDescent="0.25">
      <c r="A1210" s="3"/>
    </row>
    <row r="1211" spans="1:1" x14ac:dyDescent="0.25">
      <c r="A1211" s="3"/>
    </row>
    <row r="1212" spans="1:1" x14ac:dyDescent="0.25">
      <c r="A1212" s="3"/>
    </row>
    <row r="1213" spans="1:1" x14ac:dyDescent="0.25">
      <c r="A1213" s="3"/>
    </row>
    <row r="1214" spans="1:1" x14ac:dyDescent="0.25">
      <c r="A1214" s="3"/>
    </row>
    <row r="1215" spans="1:1" x14ac:dyDescent="0.25">
      <c r="A1215" s="3"/>
    </row>
    <row r="1216" spans="1:1" x14ac:dyDescent="0.25">
      <c r="A1216" s="3"/>
    </row>
    <row r="1217" spans="1:1" x14ac:dyDescent="0.25">
      <c r="A1217" s="3"/>
    </row>
    <row r="1218" spans="1:1" x14ac:dyDescent="0.25">
      <c r="A1218" s="3"/>
    </row>
    <row r="1219" spans="1:1" x14ac:dyDescent="0.25">
      <c r="A1219" s="3"/>
    </row>
    <row r="1220" spans="1:1" x14ac:dyDescent="0.25">
      <c r="A1220" s="3"/>
    </row>
    <row r="1221" spans="1:1" x14ac:dyDescent="0.25">
      <c r="A1221" s="3"/>
    </row>
    <row r="1222" spans="1:1" x14ac:dyDescent="0.25">
      <c r="A1222" s="3"/>
    </row>
    <row r="1223" spans="1:1" x14ac:dyDescent="0.25">
      <c r="A1223" s="3"/>
    </row>
    <row r="1224" spans="1:1" x14ac:dyDescent="0.25">
      <c r="A1224" s="3"/>
    </row>
    <row r="1225" spans="1:1" x14ac:dyDescent="0.25">
      <c r="A1225" s="3"/>
    </row>
    <row r="1226" spans="1:1" x14ac:dyDescent="0.25">
      <c r="A1226" s="3"/>
    </row>
    <row r="1227" spans="1:1" x14ac:dyDescent="0.25">
      <c r="A1227" s="3"/>
    </row>
    <row r="1228" spans="1:1" x14ac:dyDescent="0.25">
      <c r="A1228" s="3"/>
    </row>
    <row r="1229" spans="1:1" x14ac:dyDescent="0.25">
      <c r="A1229" s="3"/>
    </row>
    <row r="1230" spans="1:1" x14ac:dyDescent="0.25">
      <c r="A1230" s="3"/>
    </row>
    <row r="1231" spans="1:1" x14ac:dyDescent="0.25">
      <c r="A1231" s="3"/>
    </row>
    <row r="1232" spans="1:1" x14ac:dyDescent="0.25">
      <c r="A1232" s="3"/>
    </row>
    <row r="1233" spans="1:1" x14ac:dyDescent="0.25">
      <c r="A1233" s="3"/>
    </row>
    <row r="1234" spans="1:1" x14ac:dyDescent="0.25">
      <c r="A1234" s="3"/>
    </row>
    <row r="1235" spans="1:1" x14ac:dyDescent="0.25">
      <c r="A1235" s="3"/>
    </row>
    <row r="1236" spans="1:1" x14ac:dyDescent="0.25">
      <c r="A1236" s="3"/>
    </row>
    <row r="1237" spans="1:1" x14ac:dyDescent="0.25">
      <c r="A1237" s="3"/>
    </row>
    <row r="1238" spans="1:1" x14ac:dyDescent="0.25">
      <c r="A1238" s="3"/>
    </row>
    <row r="1239" spans="1:1" x14ac:dyDescent="0.25">
      <c r="A1239" s="3"/>
    </row>
    <row r="1240" spans="1:1" x14ac:dyDescent="0.25">
      <c r="A1240" s="3"/>
    </row>
    <row r="1241" spans="1:1" x14ac:dyDescent="0.25">
      <c r="A1241" s="3"/>
    </row>
    <row r="1242" spans="1:1" x14ac:dyDescent="0.25">
      <c r="A1242" s="3"/>
    </row>
    <row r="1243" spans="1:1" x14ac:dyDescent="0.25">
      <c r="A1243" s="3"/>
    </row>
    <row r="1244" spans="1:1" x14ac:dyDescent="0.25">
      <c r="A1244" s="3"/>
    </row>
    <row r="1245" spans="1:1" x14ac:dyDescent="0.25">
      <c r="A1245" s="3"/>
    </row>
    <row r="1246" spans="1:1" x14ac:dyDescent="0.25">
      <c r="A1246" s="3"/>
    </row>
    <row r="1247" spans="1:1" x14ac:dyDescent="0.25">
      <c r="A1247" s="3"/>
    </row>
    <row r="1248" spans="1:1" x14ac:dyDescent="0.25">
      <c r="A1248" s="3"/>
    </row>
    <row r="1249" spans="1:1" x14ac:dyDescent="0.25">
      <c r="A1249" s="3"/>
    </row>
    <row r="1250" spans="1:1" x14ac:dyDescent="0.25">
      <c r="A1250" s="3"/>
    </row>
    <row r="1251" spans="1:1" x14ac:dyDescent="0.25">
      <c r="A1251" s="3"/>
    </row>
    <row r="1252" spans="1:1" x14ac:dyDescent="0.25">
      <c r="A1252" s="3"/>
    </row>
    <row r="1253" spans="1:1" x14ac:dyDescent="0.25">
      <c r="A1253" s="3"/>
    </row>
    <row r="1254" spans="1:1" x14ac:dyDescent="0.25">
      <c r="A1254" s="3"/>
    </row>
    <row r="1255" spans="1:1" x14ac:dyDescent="0.25">
      <c r="A1255" s="3"/>
    </row>
    <row r="1256" spans="1:1" x14ac:dyDescent="0.25">
      <c r="A1256" s="3"/>
    </row>
    <row r="1257" spans="1:1" x14ac:dyDescent="0.25">
      <c r="A1257" s="3"/>
    </row>
    <row r="1258" spans="1:1" x14ac:dyDescent="0.25">
      <c r="A1258" s="3"/>
    </row>
    <row r="1259" spans="1:1" x14ac:dyDescent="0.25">
      <c r="A1259" s="3"/>
    </row>
    <row r="1260" spans="1:1" x14ac:dyDescent="0.25">
      <c r="A1260" s="3"/>
    </row>
    <row r="1261" spans="1:1" x14ac:dyDescent="0.25">
      <c r="A1261" s="3"/>
    </row>
    <row r="1262" spans="1:1" x14ac:dyDescent="0.25">
      <c r="A1262" s="3"/>
    </row>
    <row r="1263" spans="1:1" x14ac:dyDescent="0.25">
      <c r="A1263" s="3"/>
    </row>
    <row r="1264" spans="1:1" x14ac:dyDescent="0.25">
      <c r="A1264" s="3"/>
    </row>
    <row r="1265" spans="1:1" x14ac:dyDescent="0.25">
      <c r="A1265" s="3"/>
    </row>
    <row r="1266" spans="1:1" x14ac:dyDescent="0.25">
      <c r="A1266" s="3"/>
    </row>
    <row r="1267" spans="1:1" x14ac:dyDescent="0.25">
      <c r="A1267" s="3"/>
    </row>
    <row r="1268" spans="1:1" x14ac:dyDescent="0.25">
      <c r="A1268" s="3"/>
    </row>
    <row r="1269" spans="1:1" x14ac:dyDescent="0.25">
      <c r="A1269" s="3"/>
    </row>
    <row r="1270" spans="1:1" x14ac:dyDescent="0.25">
      <c r="A1270" s="3"/>
    </row>
    <row r="1271" spans="1:1" x14ac:dyDescent="0.25">
      <c r="A1271" s="3"/>
    </row>
    <row r="1272" spans="1:1" x14ac:dyDescent="0.25">
      <c r="A1272" s="3"/>
    </row>
    <row r="1273" spans="1:1" x14ac:dyDescent="0.25">
      <c r="A1273" s="3"/>
    </row>
    <row r="1274" spans="1:1" x14ac:dyDescent="0.25">
      <c r="A1274" s="3"/>
    </row>
    <row r="1275" spans="1:1" x14ac:dyDescent="0.25">
      <c r="A1275" s="3"/>
    </row>
    <row r="1276" spans="1:1" x14ac:dyDescent="0.25">
      <c r="A1276" s="3"/>
    </row>
    <row r="1277" spans="1:1" x14ac:dyDescent="0.25">
      <c r="A1277" s="3"/>
    </row>
    <row r="1278" spans="1:1" x14ac:dyDescent="0.25">
      <c r="A1278" s="3"/>
    </row>
    <row r="1279" spans="1:1" x14ac:dyDescent="0.25">
      <c r="A1279" s="3"/>
    </row>
    <row r="1280" spans="1:1" x14ac:dyDescent="0.25">
      <c r="A1280" s="3"/>
    </row>
    <row r="1281" spans="1:1" x14ac:dyDescent="0.25">
      <c r="A1281" s="3"/>
    </row>
    <row r="1282" spans="1:1" x14ac:dyDescent="0.25">
      <c r="A1282" s="3"/>
    </row>
    <row r="1283" spans="1:1" x14ac:dyDescent="0.25">
      <c r="A1283" s="3"/>
    </row>
    <row r="1284" spans="1:1" x14ac:dyDescent="0.25">
      <c r="A1284" s="3"/>
    </row>
    <row r="1285" spans="1:1" x14ac:dyDescent="0.25">
      <c r="A1285" s="3"/>
    </row>
    <row r="1286" spans="1:1" x14ac:dyDescent="0.25">
      <c r="A1286" s="3"/>
    </row>
    <row r="1287" spans="1:1" x14ac:dyDescent="0.25">
      <c r="A1287" s="3"/>
    </row>
    <row r="1288" spans="1:1" x14ac:dyDescent="0.25">
      <c r="A1288" s="3"/>
    </row>
    <row r="1289" spans="1:1" x14ac:dyDescent="0.25">
      <c r="A1289" s="3"/>
    </row>
    <row r="1290" spans="1:1" x14ac:dyDescent="0.25">
      <c r="A1290" s="3"/>
    </row>
    <row r="1291" spans="1:1" x14ac:dyDescent="0.25">
      <c r="A1291" s="3"/>
    </row>
    <row r="1292" spans="1:1" x14ac:dyDescent="0.25">
      <c r="A1292" s="3"/>
    </row>
    <row r="1293" spans="1:1" x14ac:dyDescent="0.25">
      <c r="A1293" s="3"/>
    </row>
    <row r="1294" spans="1:1" x14ac:dyDescent="0.25">
      <c r="A1294" s="3"/>
    </row>
    <row r="1295" spans="1:1" x14ac:dyDescent="0.25">
      <c r="A1295" s="3"/>
    </row>
    <row r="1296" spans="1:1" x14ac:dyDescent="0.25">
      <c r="A1296" s="3"/>
    </row>
    <row r="1297" spans="1:1" x14ac:dyDescent="0.25">
      <c r="A1297" s="3"/>
    </row>
    <row r="1298" spans="1:1" x14ac:dyDescent="0.25">
      <c r="A1298" s="3"/>
    </row>
    <row r="1299" spans="1:1" x14ac:dyDescent="0.25">
      <c r="A1299" s="3"/>
    </row>
    <row r="1300" spans="1:1" x14ac:dyDescent="0.25">
      <c r="A1300" s="3"/>
    </row>
    <row r="1301" spans="1:1" x14ac:dyDescent="0.25">
      <c r="A1301" s="3"/>
    </row>
    <row r="1302" spans="1:1" x14ac:dyDescent="0.25">
      <c r="A1302" s="3"/>
    </row>
    <row r="1303" spans="1:1" x14ac:dyDescent="0.25">
      <c r="A1303" s="3"/>
    </row>
    <row r="1304" spans="1:1" x14ac:dyDescent="0.25">
      <c r="A1304" s="3"/>
    </row>
    <row r="1305" spans="1:1" x14ac:dyDescent="0.25">
      <c r="A1305" s="3"/>
    </row>
    <row r="1306" spans="1:1" x14ac:dyDescent="0.25">
      <c r="A1306" s="3"/>
    </row>
    <row r="1307" spans="1:1" x14ac:dyDescent="0.25">
      <c r="A1307" s="3"/>
    </row>
    <row r="1308" spans="1:1" x14ac:dyDescent="0.25">
      <c r="A1308" s="3"/>
    </row>
    <row r="1309" spans="1:1" x14ac:dyDescent="0.25">
      <c r="A1309" s="3"/>
    </row>
    <row r="1310" spans="1:1" x14ac:dyDescent="0.25">
      <c r="A1310" s="3"/>
    </row>
    <row r="1311" spans="1:1" x14ac:dyDescent="0.25">
      <c r="A1311" s="3"/>
    </row>
    <row r="1312" spans="1:1" x14ac:dyDescent="0.25">
      <c r="A1312" s="3"/>
    </row>
    <row r="1313" spans="1:1" x14ac:dyDescent="0.25">
      <c r="A1313" s="3"/>
    </row>
    <row r="1314" spans="1:1" x14ac:dyDescent="0.25">
      <c r="A1314" s="3"/>
    </row>
    <row r="1315" spans="1:1" x14ac:dyDescent="0.25">
      <c r="A1315" s="3"/>
    </row>
    <row r="1316" spans="1:1" x14ac:dyDescent="0.25">
      <c r="A1316" s="3"/>
    </row>
    <row r="1317" spans="1:1" x14ac:dyDescent="0.25">
      <c r="A1317" s="3"/>
    </row>
    <row r="1318" spans="1:1" x14ac:dyDescent="0.25">
      <c r="A1318" s="3"/>
    </row>
    <row r="1319" spans="1:1" x14ac:dyDescent="0.25">
      <c r="A1319" s="3"/>
    </row>
    <row r="1320" spans="1:1" x14ac:dyDescent="0.25">
      <c r="A1320" s="3"/>
    </row>
    <row r="1321" spans="1:1" x14ac:dyDescent="0.25">
      <c r="A1321" s="3"/>
    </row>
    <row r="1322" spans="1:1" x14ac:dyDescent="0.25">
      <c r="A1322" s="3"/>
    </row>
    <row r="1323" spans="1:1" x14ac:dyDescent="0.25">
      <c r="A1323" s="3"/>
    </row>
    <row r="1324" spans="1:1" x14ac:dyDescent="0.25">
      <c r="A1324" s="3"/>
    </row>
    <row r="1325" spans="1:1" x14ac:dyDescent="0.25">
      <c r="A1325" s="3"/>
    </row>
    <row r="1326" spans="1:1" x14ac:dyDescent="0.25">
      <c r="A1326" s="3"/>
    </row>
    <row r="1327" spans="1:1" x14ac:dyDescent="0.25">
      <c r="A1327" s="3"/>
    </row>
    <row r="1328" spans="1:1" x14ac:dyDescent="0.25">
      <c r="A1328" s="3"/>
    </row>
    <row r="1329" spans="1:1" x14ac:dyDescent="0.25">
      <c r="A1329" s="3"/>
    </row>
    <row r="1330" spans="1:1" x14ac:dyDescent="0.25">
      <c r="A1330" s="3"/>
    </row>
    <row r="1331" spans="1:1" x14ac:dyDescent="0.25">
      <c r="A1331" s="3"/>
    </row>
    <row r="1332" spans="1:1" x14ac:dyDescent="0.25">
      <c r="A1332" s="3"/>
    </row>
    <row r="1333" spans="1:1" x14ac:dyDescent="0.25">
      <c r="A1333" s="3"/>
    </row>
    <row r="1334" spans="1:1" x14ac:dyDescent="0.25">
      <c r="A1334" s="3"/>
    </row>
    <row r="1335" spans="1:1" x14ac:dyDescent="0.25">
      <c r="A1335" s="3"/>
    </row>
    <row r="1336" spans="1:1" x14ac:dyDescent="0.25">
      <c r="A1336" s="3"/>
    </row>
    <row r="1337" spans="1:1" x14ac:dyDescent="0.25">
      <c r="A1337" s="3"/>
    </row>
    <row r="1338" spans="1:1" x14ac:dyDescent="0.25">
      <c r="A1338" s="3"/>
    </row>
    <row r="1339" spans="1:1" x14ac:dyDescent="0.25">
      <c r="A1339" s="3"/>
    </row>
    <row r="1340" spans="1:1" x14ac:dyDescent="0.25">
      <c r="A1340" s="3"/>
    </row>
    <row r="1341" spans="1:1" x14ac:dyDescent="0.25">
      <c r="A1341" s="3"/>
    </row>
    <row r="1342" spans="1:1" x14ac:dyDescent="0.25">
      <c r="A1342" s="3"/>
    </row>
    <row r="1343" spans="1:1" x14ac:dyDescent="0.25">
      <c r="A1343" s="3"/>
    </row>
    <row r="1344" spans="1:1" x14ac:dyDescent="0.25">
      <c r="A1344" s="3"/>
    </row>
    <row r="1345" spans="1:1" x14ac:dyDescent="0.25">
      <c r="A1345" s="3"/>
    </row>
    <row r="1346" spans="1:1" x14ac:dyDescent="0.25">
      <c r="A1346" s="3"/>
    </row>
    <row r="1347" spans="1:1" x14ac:dyDescent="0.25">
      <c r="A1347" s="3"/>
    </row>
    <row r="1348" spans="1:1" x14ac:dyDescent="0.25">
      <c r="A1348" s="3"/>
    </row>
    <row r="1349" spans="1:1" x14ac:dyDescent="0.25">
      <c r="A1349" s="3"/>
    </row>
    <row r="1350" spans="1:1" x14ac:dyDescent="0.25">
      <c r="A1350" s="3"/>
    </row>
    <row r="1351" spans="1:1" x14ac:dyDescent="0.25">
      <c r="A1351" s="3"/>
    </row>
    <row r="1352" spans="1:1" x14ac:dyDescent="0.25">
      <c r="A1352" s="3"/>
    </row>
    <row r="1353" spans="1:1" x14ac:dyDescent="0.25">
      <c r="A1353" s="3"/>
    </row>
    <row r="1354" spans="1:1" x14ac:dyDescent="0.25">
      <c r="A1354" s="3"/>
    </row>
    <row r="1355" spans="1:1" x14ac:dyDescent="0.25">
      <c r="A1355" s="3"/>
    </row>
    <row r="1356" spans="1:1" x14ac:dyDescent="0.25">
      <c r="A1356" s="3"/>
    </row>
    <row r="1357" spans="1:1" x14ac:dyDescent="0.25">
      <c r="A1357" s="3"/>
    </row>
    <row r="1358" spans="1:1" x14ac:dyDescent="0.25">
      <c r="A1358" s="3"/>
    </row>
    <row r="1359" spans="1:1" x14ac:dyDescent="0.25">
      <c r="A1359" s="3"/>
    </row>
    <row r="1360" spans="1:1" x14ac:dyDescent="0.25">
      <c r="A1360" s="3"/>
    </row>
    <row r="1361" spans="1:1" x14ac:dyDescent="0.25">
      <c r="A1361" s="3"/>
    </row>
    <row r="1362" spans="1:1" x14ac:dyDescent="0.25">
      <c r="A1362" s="3"/>
    </row>
    <row r="1363" spans="1:1" x14ac:dyDescent="0.25">
      <c r="A1363" s="3"/>
    </row>
    <row r="1364" spans="1:1" x14ac:dyDescent="0.25">
      <c r="A1364" s="3"/>
    </row>
    <row r="1365" spans="1:1" x14ac:dyDescent="0.25">
      <c r="A1365" s="3"/>
    </row>
    <row r="1366" spans="1:1" x14ac:dyDescent="0.25">
      <c r="A1366" s="3"/>
    </row>
    <row r="1367" spans="1:1" x14ac:dyDescent="0.25">
      <c r="A1367" s="3"/>
    </row>
    <row r="1368" spans="1:1" x14ac:dyDescent="0.25">
      <c r="A1368" s="3"/>
    </row>
    <row r="1369" spans="1:1" x14ac:dyDescent="0.25">
      <c r="A1369" s="3"/>
    </row>
    <row r="1370" spans="1:1" x14ac:dyDescent="0.25">
      <c r="A1370" s="3"/>
    </row>
    <row r="1371" spans="1:1" x14ac:dyDescent="0.25">
      <c r="A1371" s="3"/>
    </row>
    <row r="1372" spans="1:1" x14ac:dyDescent="0.25">
      <c r="A1372" s="3"/>
    </row>
    <row r="1373" spans="1:1" x14ac:dyDescent="0.25">
      <c r="A1373" s="3"/>
    </row>
    <row r="1374" spans="1:1" x14ac:dyDescent="0.25">
      <c r="A1374" s="3"/>
    </row>
    <row r="1375" spans="1:1" x14ac:dyDescent="0.25">
      <c r="A1375" s="3"/>
    </row>
    <row r="1376" spans="1:1" x14ac:dyDescent="0.25">
      <c r="A1376" s="3"/>
    </row>
    <row r="1377" spans="1:1" x14ac:dyDescent="0.25">
      <c r="A1377" s="3"/>
    </row>
    <row r="1378" spans="1:1" x14ac:dyDescent="0.25">
      <c r="A1378" s="3"/>
    </row>
    <row r="1379" spans="1:1" x14ac:dyDescent="0.25">
      <c r="A1379" s="3"/>
    </row>
    <row r="1380" spans="1:1" x14ac:dyDescent="0.25">
      <c r="A1380" s="3"/>
    </row>
    <row r="1381" spans="1:1" x14ac:dyDescent="0.25">
      <c r="A1381" s="3"/>
    </row>
    <row r="1382" spans="1:1" x14ac:dyDescent="0.25">
      <c r="A1382" s="3"/>
    </row>
    <row r="1383" spans="1:1" x14ac:dyDescent="0.25">
      <c r="A1383" s="3"/>
    </row>
    <row r="1384" spans="1:1" x14ac:dyDescent="0.25">
      <c r="A1384" s="3"/>
    </row>
    <row r="1385" spans="1:1" x14ac:dyDescent="0.25">
      <c r="A1385" s="3"/>
    </row>
    <row r="1386" spans="1:1" x14ac:dyDescent="0.25">
      <c r="A1386" s="3"/>
    </row>
    <row r="1387" spans="1:1" x14ac:dyDescent="0.25">
      <c r="A1387" s="3"/>
    </row>
    <row r="1388" spans="1:1" x14ac:dyDescent="0.25">
      <c r="A1388" s="3"/>
    </row>
    <row r="1389" spans="1:1" x14ac:dyDescent="0.25">
      <c r="A1389" s="3"/>
    </row>
    <row r="1390" spans="1:1" x14ac:dyDescent="0.25">
      <c r="A1390" s="3"/>
    </row>
    <row r="1391" spans="1:1" x14ac:dyDescent="0.25">
      <c r="A1391" s="3"/>
    </row>
    <row r="1392" spans="1:1" x14ac:dyDescent="0.25">
      <c r="A1392" s="3"/>
    </row>
    <row r="1393" spans="1:1" x14ac:dyDescent="0.25">
      <c r="A1393" s="3"/>
    </row>
    <row r="1394" spans="1:1" x14ac:dyDescent="0.25">
      <c r="A1394" s="3"/>
    </row>
    <row r="1395" spans="1:1" x14ac:dyDescent="0.25">
      <c r="A1395" s="3"/>
    </row>
    <row r="1396" spans="1:1" x14ac:dyDescent="0.25">
      <c r="A1396" s="3"/>
    </row>
    <row r="1397" spans="1:1" x14ac:dyDescent="0.25">
      <c r="A1397" s="3"/>
    </row>
    <row r="1398" spans="1:1" x14ac:dyDescent="0.25">
      <c r="A1398" s="3"/>
    </row>
    <row r="1399" spans="1:1" x14ac:dyDescent="0.25">
      <c r="A1399" s="3"/>
    </row>
    <row r="1400" spans="1:1" x14ac:dyDescent="0.25">
      <c r="A1400" s="3"/>
    </row>
    <row r="1401" spans="1:1" x14ac:dyDescent="0.25">
      <c r="A1401" s="3"/>
    </row>
    <row r="1402" spans="1:1" x14ac:dyDescent="0.25">
      <c r="A1402" s="3"/>
    </row>
    <row r="1403" spans="1:1" x14ac:dyDescent="0.25">
      <c r="A1403" s="3"/>
    </row>
    <row r="1404" spans="1:1" x14ac:dyDescent="0.25">
      <c r="A1404" s="3"/>
    </row>
    <row r="1405" spans="1:1" x14ac:dyDescent="0.25">
      <c r="A1405" s="3"/>
    </row>
    <row r="1406" spans="1:1" x14ac:dyDescent="0.25">
      <c r="A1406" s="3"/>
    </row>
    <row r="1407" spans="1:1" x14ac:dyDescent="0.25">
      <c r="A1407" s="3"/>
    </row>
    <row r="1408" spans="1:1" x14ac:dyDescent="0.25">
      <c r="A1408" s="3"/>
    </row>
    <row r="1409" spans="1:1" x14ac:dyDescent="0.25">
      <c r="A1409" s="3"/>
    </row>
    <row r="1410" spans="1:1" x14ac:dyDescent="0.25">
      <c r="A1410" s="3"/>
    </row>
    <row r="1411" spans="1:1" x14ac:dyDescent="0.25">
      <c r="A1411" s="3"/>
    </row>
    <row r="1412" spans="1:1" x14ac:dyDescent="0.25">
      <c r="A1412" s="3"/>
    </row>
    <row r="1413" spans="1:1" x14ac:dyDescent="0.25">
      <c r="A1413" s="3"/>
    </row>
    <row r="1414" spans="1:1" x14ac:dyDescent="0.25">
      <c r="A1414" s="3"/>
    </row>
    <row r="1415" spans="1:1" x14ac:dyDescent="0.25">
      <c r="A1415" s="3"/>
    </row>
    <row r="1416" spans="1:1" x14ac:dyDescent="0.25">
      <c r="A1416" s="3"/>
    </row>
    <row r="1417" spans="1:1" x14ac:dyDescent="0.25">
      <c r="A1417" s="3"/>
    </row>
    <row r="1418" spans="1:1" x14ac:dyDescent="0.25">
      <c r="A1418" s="3"/>
    </row>
    <row r="1419" spans="1:1" x14ac:dyDescent="0.25">
      <c r="A1419" s="3"/>
    </row>
    <row r="1420" spans="1:1" x14ac:dyDescent="0.25">
      <c r="A1420" s="3"/>
    </row>
    <row r="1421" spans="1:1" x14ac:dyDescent="0.25">
      <c r="A1421" s="3"/>
    </row>
    <row r="1422" spans="1:1" x14ac:dyDescent="0.25">
      <c r="A1422" s="3"/>
    </row>
    <row r="1423" spans="1:1" x14ac:dyDescent="0.25">
      <c r="A1423" s="3"/>
    </row>
    <row r="1424" spans="1:1" x14ac:dyDescent="0.25">
      <c r="A1424" s="3"/>
    </row>
    <row r="1425" spans="1:1" x14ac:dyDescent="0.25">
      <c r="A1425" s="3"/>
    </row>
    <row r="1426" spans="1:1" x14ac:dyDescent="0.25">
      <c r="A1426" s="3"/>
    </row>
    <row r="1427" spans="1:1" x14ac:dyDescent="0.25">
      <c r="A1427" s="3"/>
    </row>
    <row r="1428" spans="1:1" x14ac:dyDescent="0.25">
      <c r="A1428" s="3"/>
    </row>
    <row r="1429" spans="1:1" x14ac:dyDescent="0.25">
      <c r="A1429" s="3"/>
    </row>
    <row r="1430" spans="1:1" x14ac:dyDescent="0.25">
      <c r="A1430" s="3"/>
    </row>
    <row r="1431" spans="1:1" x14ac:dyDescent="0.25">
      <c r="A1431" s="3"/>
    </row>
    <row r="1432" spans="1:1" x14ac:dyDescent="0.25">
      <c r="A1432" s="3"/>
    </row>
    <row r="1433" spans="1:1" x14ac:dyDescent="0.25">
      <c r="A1433" s="3"/>
    </row>
    <row r="1434" spans="1:1" x14ac:dyDescent="0.25">
      <c r="A1434" s="3"/>
    </row>
    <row r="1435" spans="1:1" x14ac:dyDescent="0.25">
      <c r="A1435" s="3"/>
    </row>
    <row r="1436" spans="1:1" x14ac:dyDescent="0.25">
      <c r="A1436" s="3"/>
    </row>
    <row r="1437" spans="1:1" x14ac:dyDescent="0.25">
      <c r="A1437" s="3"/>
    </row>
    <row r="1438" spans="1:1" x14ac:dyDescent="0.25">
      <c r="A1438" s="3"/>
    </row>
    <row r="1439" spans="1:1" x14ac:dyDescent="0.25">
      <c r="A1439" s="3"/>
    </row>
    <row r="1440" spans="1:1" x14ac:dyDescent="0.25">
      <c r="A1440" s="3"/>
    </row>
    <row r="1441" spans="1:1" x14ac:dyDescent="0.25">
      <c r="A1441" s="3"/>
    </row>
    <row r="1442" spans="1:1" x14ac:dyDescent="0.25">
      <c r="A1442" s="3"/>
    </row>
    <row r="1443" spans="1:1" x14ac:dyDescent="0.25">
      <c r="A1443" s="3"/>
    </row>
    <row r="1444" spans="1:1" x14ac:dyDescent="0.25">
      <c r="A1444" s="3"/>
    </row>
    <row r="1445" spans="1:1" x14ac:dyDescent="0.25">
      <c r="A1445" s="3"/>
    </row>
    <row r="1446" spans="1:1" x14ac:dyDescent="0.25">
      <c r="A1446" s="3"/>
    </row>
    <row r="1447" spans="1:1" x14ac:dyDescent="0.25">
      <c r="A1447" s="3"/>
    </row>
    <row r="1448" spans="1:1" x14ac:dyDescent="0.25">
      <c r="A1448" s="3"/>
    </row>
    <row r="1449" spans="1:1" x14ac:dyDescent="0.25">
      <c r="A1449" s="3"/>
    </row>
    <row r="1450" spans="1:1" x14ac:dyDescent="0.25">
      <c r="A1450" s="3"/>
    </row>
    <row r="1451" spans="1:1" x14ac:dyDescent="0.25">
      <c r="A1451" s="3"/>
    </row>
    <row r="1452" spans="1:1" x14ac:dyDescent="0.25">
      <c r="A1452" s="3"/>
    </row>
    <row r="1453" spans="1:1" x14ac:dyDescent="0.25">
      <c r="A1453" s="3"/>
    </row>
    <row r="1454" spans="1:1" x14ac:dyDescent="0.25">
      <c r="A1454" s="3"/>
    </row>
    <row r="1455" spans="1:1" x14ac:dyDescent="0.25">
      <c r="A1455" s="3"/>
    </row>
    <row r="1456" spans="1:1" x14ac:dyDescent="0.25">
      <c r="A1456" s="3"/>
    </row>
    <row r="1457" spans="1:1" x14ac:dyDescent="0.25">
      <c r="A1457" s="3"/>
    </row>
    <row r="1458" spans="1:1" x14ac:dyDescent="0.25">
      <c r="A1458" s="3"/>
    </row>
    <row r="1459" spans="1:1" x14ac:dyDescent="0.25">
      <c r="A1459" s="3"/>
    </row>
    <row r="1460" spans="1:1" x14ac:dyDescent="0.25">
      <c r="A1460" s="3"/>
    </row>
    <row r="1461" spans="1:1" x14ac:dyDescent="0.25">
      <c r="A1461" s="3"/>
    </row>
    <row r="1462" spans="1:1" x14ac:dyDescent="0.25">
      <c r="A1462" s="3"/>
    </row>
    <row r="1463" spans="1:1" x14ac:dyDescent="0.25">
      <c r="A1463" s="3"/>
    </row>
    <row r="1464" spans="1:1" x14ac:dyDescent="0.25">
      <c r="A1464" s="3"/>
    </row>
    <row r="1465" spans="1:1" x14ac:dyDescent="0.25">
      <c r="A1465" s="3"/>
    </row>
    <row r="1466" spans="1:1" x14ac:dyDescent="0.25">
      <c r="A1466" s="3"/>
    </row>
    <row r="1467" spans="1:1" x14ac:dyDescent="0.25">
      <c r="A1467" s="3"/>
    </row>
    <row r="1468" spans="1:1" x14ac:dyDescent="0.25">
      <c r="A1468" s="3"/>
    </row>
    <row r="1469" spans="1:1" x14ac:dyDescent="0.25">
      <c r="A1469" s="3"/>
    </row>
    <row r="1470" spans="1:1" x14ac:dyDescent="0.25">
      <c r="A1470" s="3"/>
    </row>
    <row r="1471" spans="1:1" x14ac:dyDescent="0.25">
      <c r="A1471" s="3"/>
    </row>
    <row r="1472" spans="1:1" x14ac:dyDescent="0.25">
      <c r="A1472" s="3"/>
    </row>
    <row r="1473" spans="1:1" x14ac:dyDescent="0.25">
      <c r="A1473" s="3"/>
    </row>
    <row r="1474" spans="1:1" x14ac:dyDescent="0.25">
      <c r="A1474" s="3"/>
    </row>
    <row r="1475" spans="1:1" x14ac:dyDescent="0.25">
      <c r="A1475" s="3"/>
    </row>
    <row r="1476" spans="1:1" x14ac:dyDescent="0.25">
      <c r="A1476" s="3"/>
    </row>
    <row r="1477" spans="1:1" x14ac:dyDescent="0.25">
      <c r="A1477" s="3"/>
    </row>
    <row r="1478" spans="1:1" x14ac:dyDescent="0.25">
      <c r="A1478" s="3"/>
    </row>
    <row r="1479" spans="1:1" x14ac:dyDescent="0.25">
      <c r="A1479" s="3"/>
    </row>
    <row r="1480" spans="1:1" x14ac:dyDescent="0.25">
      <c r="A1480" s="3"/>
    </row>
    <row r="1481" spans="1:1" x14ac:dyDescent="0.25">
      <c r="A1481" s="3"/>
    </row>
    <row r="1482" spans="1:1" x14ac:dyDescent="0.25">
      <c r="A1482" s="3"/>
    </row>
    <row r="1483" spans="1:1" x14ac:dyDescent="0.25">
      <c r="A1483" s="3"/>
    </row>
    <row r="1484" spans="1:1" x14ac:dyDescent="0.25">
      <c r="A1484" s="3"/>
    </row>
    <row r="1485" spans="1:1" x14ac:dyDescent="0.25">
      <c r="A1485" s="3"/>
    </row>
    <row r="1486" spans="1:1" x14ac:dyDescent="0.25">
      <c r="A1486" s="3"/>
    </row>
    <row r="1487" spans="1:1" x14ac:dyDescent="0.25">
      <c r="A1487" s="3"/>
    </row>
    <row r="1488" spans="1:1" x14ac:dyDescent="0.25">
      <c r="A1488" s="3"/>
    </row>
    <row r="1489" spans="1:1" x14ac:dyDescent="0.25">
      <c r="A1489" s="3"/>
    </row>
    <row r="1490" spans="1:1" x14ac:dyDescent="0.25">
      <c r="A1490" s="3"/>
    </row>
    <row r="1491" spans="1:1" x14ac:dyDescent="0.25">
      <c r="A1491" s="3"/>
    </row>
    <row r="1492" spans="1:1" x14ac:dyDescent="0.25">
      <c r="A1492" s="3"/>
    </row>
    <row r="1493" spans="1:1" x14ac:dyDescent="0.25">
      <c r="A1493" s="3"/>
    </row>
    <row r="1494" spans="1:1" x14ac:dyDescent="0.25">
      <c r="A1494" s="3"/>
    </row>
    <row r="1495" spans="1:1" x14ac:dyDescent="0.25">
      <c r="A1495" s="3"/>
    </row>
    <row r="1496" spans="1:1" x14ac:dyDescent="0.25">
      <c r="A1496" s="3"/>
    </row>
    <row r="1497" spans="1:1" x14ac:dyDescent="0.25">
      <c r="A1497" s="3"/>
    </row>
    <row r="1498" spans="1:1" x14ac:dyDescent="0.25">
      <c r="A1498" s="3"/>
    </row>
    <row r="1499" spans="1:1" x14ac:dyDescent="0.25">
      <c r="A1499" s="3"/>
    </row>
    <row r="1500" spans="1:1" x14ac:dyDescent="0.25">
      <c r="A1500" s="3"/>
    </row>
    <row r="1501" spans="1:1" x14ac:dyDescent="0.25">
      <c r="A1501" s="3"/>
    </row>
    <row r="1502" spans="1:1" x14ac:dyDescent="0.25">
      <c r="A1502" s="3"/>
    </row>
    <row r="1503" spans="1:1" x14ac:dyDescent="0.25">
      <c r="A1503" s="3"/>
    </row>
    <row r="1504" spans="1:1" x14ac:dyDescent="0.25">
      <c r="A1504" s="3"/>
    </row>
    <row r="1505" spans="1:1" x14ac:dyDescent="0.25">
      <c r="A1505" s="3"/>
    </row>
    <row r="1506" spans="1:1" x14ac:dyDescent="0.25">
      <c r="A1506" s="3"/>
    </row>
    <row r="1507" spans="1:1" x14ac:dyDescent="0.25">
      <c r="A1507" s="3"/>
    </row>
    <row r="1508" spans="1:1" x14ac:dyDescent="0.25">
      <c r="A1508" s="3"/>
    </row>
    <row r="1509" spans="1:1" x14ac:dyDescent="0.25">
      <c r="A1509" s="3"/>
    </row>
    <row r="1510" spans="1:1" x14ac:dyDescent="0.25">
      <c r="A1510" s="3"/>
    </row>
    <row r="1511" spans="1:1" x14ac:dyDescent="0.25">
      <c r="A1511" s="3"/>
    </row>
    <row r="1512" spans="1:1" x14ac:dyDescent="0.25">
      <c r="A1512" s="3"/>
    </row>
    <row r="1513" spans="1:1" x14ac:dyDescent="0.25">
      <c r="A1513" s="3"/>
    </row>
    <row r="1514" spans="1:1" x14ac:dyDescent="0.25">
      <c r="A1514" s="3"/>
    </row>
    <row r="1515" spans="1:1" x14ac:dyDescent="0.25">
      <c r="A1515" s="3"/>
    </row>
    <row r="1516" spans="1:1" x14ac:dyDescent="0.25">
      <c r="A1516" s="3"/>
    </row>
    <row r="1517" spans="1:1" x14ac:dyDescent="0.25">
      <c r="A1517" s="3"/>
    </row>
    <row r="1518" spans="1:1" x14ac:dyDescent="0.25">
      <c r="A1518" s="3"/>
    </row>
    <row r="1519" spans="1:1" x14ac:dyDescent="0.25">
      <c r="A1519" s="3"/>
    </row>
    <row r="1520" spans="1:1" x14ac:dyDescent="0.25">
      <c r="A1520" s="3"/>
    </row>
    <row r="1521" spans="1:1" x14ac:dyDescent="0.25">
      <c r="A1521" s="3"/>
    </row>
    <row r="1522" spans="1:1" x14ac:dyDescent="0.25">
      <c r="A1522" s="3"/>
    </row>
    <row r="1523" spans="1:1" x14ac:dyDescent="0.25">
      <c r="A1523" s="3"/>
    </row>
    <row r="1524" spans="1:1" x14ac:dyDescent="0.25">
      <c r="A1524" s="3"/>
    </row>
    <row r="1525" spans="1:1" x14ac:dyDescent="0.25">
      <c r="A1525" s="3"/>
    </row>
    <row r="1526" spans="1:1" x14ac:dyDescent="0.25">
      <c r="A1526" s="3"/>
    </row>
    <row r="1527" spans="1:1" x14ac:dyDescent="0.25">
      <c r="A1527" s="3"/>
    </row>
    <row r="1528" spans="1:1" x14ac:dyDescent="0.25">
      <c r="A1528" s="3"/>
    </row>
    <row r="1529" spans="1:1" x14ac:dyDescent="0.25">
      <c r="A1529" s="3"/>
    </row>
    <row r="1530" spans="1:1" x14ac:dyDescent="0.25">
      <c r="A1530" s="3"/>
    </row>
    <row r="1531" spans="1:1" x14ac:dyDescent="0.25">
      <c r="A1531" s="3"/>
    </row>
    <row r="1532" spans="1:1" x14ac:dyDescent="0.25">
      <c r="A1532" s="3"/>
    </row>
    <row r="1533" spans="1:1" x14ac:dyDescent="0.25">
      <c r="A1533" s="3"/>
    </row>
    <row r="1534" spans="1:1" x14ac:dyDescent="0.25">
      <c r="A1534" s="3"/>
    </row>
    <row r="1535" spans="1:1" x14ac:dyDescent="0.25">
      <c r="A1535" s="3"/>
    </row>
    <row r="1536" spans="1:1" x14ac:dyDescent="0.25">
      <c r="A1536" s="3"/>
    </row>
    <row r="1537" spans="1:1" x14ac:dyDescent="0.25">
      <c r="A1537" s="3"/>
    </row>
    <row r="1538" spans="1:1" x14ac:dyDescent="0.25">
      <c r="A1538" s="3"/>
    </row>
    <row r="1539" spans="1:1" x14ac:dyDescent="0.25">
      <c r="A1539" s="3"/>
    </row>
    <row r="1540" spans="1:1" x14ac:dyDescent="0.25">
      <c r="A1540" s="3"/>
    </row>
    <row r="1541" spans="1:1" x14ac:dyDescent="0.25">
      <c r="A1541" s="3"/>
    </row>
    <row r="1542" spans="1:1" x14ac:dyDescent="0.25">
      <c r="A1542" s="3"/>
    </row>
    <row r="1543" spans="1:1" x14ac:dyDescent="0.25">
      <c r="A1543" s="3"/>
    </row>
    <row r="1544" spans="1:1" x14ac:dyDescent="0.25">
      <c r="A1544" s="3"/>
    </row>
    <row r="1545" spans="1:1" x14ac:dyDescent="0.25">
      <c r="A1545" s="3"/>
    </row>
    <row r="1546" spans="1:1" x14ac:dyDescent="0.25">
      <c r="A1546" s="3"/>
    </row>
    <row r="1547" spans="1:1" x14ac:dyDescent="0.25">
      <c r="A1547" s="3"/>
    </row>
    <row r="1548" spans="1:1" x14ac:dyDescent="0.25">
      <c r="A1548" s="3"/>
    </row>
    <row r="1549" spans="1:1" x14ac:dyDescent="0.25">
      <c r="A1549" s="3"/>
    </row>
    <row r="1550" spans="1:1" x14ac:dyDescent="0.25">
      <c r="A1550" s="3"/>
    </row>
    <row r="1551" spans="1:1" x14ac:dyDescent="0.25">
      <c r="A1551" s="3"/>
    </row>
    <row r="1552" spans="1:1" x14ac:dyDescent="0.25">
      <c r="A1552" s="3"/>
    </row>
    <row r="1553" spans="1:1" x14ac:dyDescent="0.25">
      <c r="A1553" s="3"/>
    </row>
    <row r="1554" spans="1:1" x14ac:dyDescent="0.25">
      <c r="A1554" s="3"/>
    </row>
    <row r="1555" spans="1:1" x14ac:dyDescent="0.25">
      <c r="A1555" s="3"/>
    </row>
    <row r="1556" spans="1:1" x14ac:dyDescent="0.25">
      <c r="A1556" s="3"/>
    </row>
    <row r="1557" spans="1:1" x14ac:dyDescent="0.25">
      <c r="A1557" s="3"/>
    </row>
    <row r="1558" spans="1:1" x14ac:dyDescent="0.25">
      <c r="A1558" s="3"/>
    </row>
    <row r="1559" spans="1:1" x14ac:dyDescent="0.25">
      <c r="A1559" s="3"/>
    </row>
    <row r="1560" spans="1:1" x14ac:dyDescent="0.25">
      <c r="A1560" s="3"/>
    </row>
    <row r="1561" spans="1:1" x14ac:dyDescent="0.25">
      <c r="A1561" s="3"/>
    </row>
    <row r="1562" spans="1:1" x14ac:dyDescent="0.25">
      <c r="A1562" s="3"/>
    </row>
    <row r="1563" spans="1:1" x14ac:dyDescent="0.25">
      <c r="A1563" s="3"/>
    </row>
    <row r="1564" spans="1:1" x14ac:dyDescent="0.25">
      <c r="A1564" s="3"/>
    </row>
    <row r="1565" spans="1:1" x14ac:dyDescent="0.25">
      <c r="A1565" s="3"/>
    </row>
    <row r="1566" spans="1:1" x14ac:dyDescent="0.25">
      <c r="A1566" s="3"/>
    </row>
    <row r="1567" spans="1:1" x14ac:dyDescent="0.25">
      <c r="A1567" s="3"/>
    </row>
    <row r="1568" spans="1:1" x14ac:dyDescent="0.25">
      <c r="A1568" s="3"/>
    </row>
    <row r="1569" spans="1:1" x14ac:dyDescent="0.25">
      <c r="A1569" s="3"/>
    </row>
    <row r="1570" spans="1:1" x14ac:dyDescent="0.25">
      <c r="A1570" s="3"/>
    </row>
    <row r="1571" spans="1:1" x14ac:dyDescent="0.25">
      <c r="A1571" s="3"/>
    </row>
    <row r="1572" spans="1:1" x14ac:dyDescent="0.25">
      <c r="A1572" s="3"/>
    </row>
    <row r="1573" spans="1:1" x14ac:dyDescent="0.25">
      <c r="A1573" s="3"/>
    </row>
    <row r="1574" spans="1:1" x14ac:dyDescent="0.25">
      <c r="A1574" s="3"/>
    </row>
    <row r="1575" spans="1:1" x14ac:dyDescent="0.25">
      <c r="A1575" s="3"/>
    </row>
    <row r="1576" spans="1:1" x14ac:dyDescent="0.25">
      <c r="A1576" s="3"/>
    </row>
    <row r="1577" spans="1:1" x14ac:dyDescent="0.25">
      <c r="A1577" s="3"/>
    </row>
    <row r="1578" spans="1:1" x14ac:dyDescent="0.25">
      <c r="A1578" s="3"/>
    </row>
    <row r="1579" spans="1:1" x14ac:dyDescent="0.25">
      <c r="A1579" s="3"/>
    </row>
    <row r="1580" spans="1:1" x14ac:dyDescent="0.25">
      <c r="A1580" s="3"/>
    </row>
    <row r="1581" spans="1:1" x14ac:dyDescent="0.25">
      <c r="A1581" s="3"/>
    </row>
    <row r="1582" spans="1:1" x14ac:dyDescent="0.25">
      <c r="A1582" s="3"/>
    </row>
    <row r="1583" spans="1:1" x14ac:dyDescent="0.25">
      <c r="A1583" s="3"/>
    </row>
    <row r="1584" spans="1:1" x14ac:dyDescent="0.25">
      <c r="A1584" s="3"/>
    </row>
    <row r="1585" spans="1:1" x14ac:dyDescent="0.25">
      <c r="A1585" s="3"/>
    </row>
    <row r="1586" spans="1:1" x14ac:dyDescent="0.25">
      <c r="A1586" s="3"/>
    </row>
    <row r="1587" spans="1:1" x14ac:dyDescent="0.25">
      <c r="A1587" s="3"/>
    </row>
    <row r="1588" spans="1:1" x14ac:dyDescent="0.25">
      <c r="A1588" s="3"/>
    </row>
    <row r="1589" spans="1:1" x14ac:dyDescent="0.25">
      <c r="A1589" s="3"/>
    </row>
    <row r="1590" spans="1:1" x14ac:dyDescent="0.25">
      <c r="A1590" s="3"/>
    </row>
    <row r="1591" spans="1:1" x14ac:dyDescent="0.25">
      <c r="A1591" s="3"/>
    </row>
    <row r="1592" spans="1:1" x14ac:dyDescent="0.25">
      <c r="A1592" s="3"/>
    </row>
    <row r="1593" spans="1:1" x14ac:dyDescent="0.25">
      <c r="A1593" s="3"/>
    </row>
    <row r="1594" spans="1:1" x14ac:dyDescent="0.25">
      <c r="A1594" s="3"/>
    </row>
    <row r="1595" spans="1:1" x14ac:dyDescent="0.25">
      <c r="A1595" s="3"/>
    </row>
    <row r="1596" spans="1:1" x14ac:dyDescent="0.25">
      <c r="A1596" s="3"/>
    </row>
    <row r="1597" spans="1:1" x14ac:dyDescent="0.25">
      <c r="A1597" s="3"/>
    </row>
    <row r="1598" spans="1:1" x14ac:dyDescent="0.25">
      <c r="A1598" s="3"/>
    </row>
    <row r="1599" spans="1:1" x14ac:dyDescent="0.25">
      <c r="A1599" s="3"/>
    </row>
    <row r="1600" spans="1:1" x14ac:dyDescent="0.25">
      <c r="A1600" s="3"/>
    </row>
    <row r="1601" spans="1:1" x14ac:dyDescent="0.25">
      <c r="A1601" s="3"/>
    </row>
    <row r="1602" spans="1:1" x14ac:dyDescent="0.25">
      <c r="A1602" s="3"/>
    </row>
    <row r="1603" spans="1:1" x14ac:dyDescent="0.25">
      <c r="A1603" s="3"/>
    </row>
    <row r="1604" spans="1:1" x14ac:dyDescent="0.25">
      <c r="A1604" s="3"/>
    </row>
    <row r="1605" spans="1:1" x14ac:dyDescent="0.25">
      <c r="A1605" s="3"/>
    </row>
    <row r="1606" spans="1:1" x14ac:dyDescent="0.25">
      <c r="A1606" s="3"/>
    </row>
    <row r="1607" spans="1:1" x14ac:dyDescent="0.25">
      <c r="A1607" s="3"/>
    </row>
    <row r="1608" spans="1:1" x14ac:dyDescent="0.25">
      <c r="A1608" s="3"/>
    </row>
    <row r="1609" spans="1:1" x14ac:dyDescent="0.25">
      <c r="A1609" s="3"/>
    </row>
    <row r="1610" spans="1:1" x14ac:dyDescent="0.25">
      <c r="A1610" s="3"/>
    </row>
    <row r="1611" spans="1:1" x14ac:dyDescent="0.25">
      <c r="A1611" s="3"/>
    </row>
    <row r="1612" spans="1:1" x14ac:dyDescent="0.25">
      <c r="A1612" s="3"/>
    </row>
    <row r="1613" spans="1:1" x14ac:dyDescent="0.25">
      <c r="A1613" s="3"/>
    </row>
    <row r="1614" spans="1:1" x14ac:dyDescent="0.25">
      <c r="A1614" s="3"/>
    </row>
    <row r="1615" spans="1:1" x14ac:dyDescent="0.25">
      <c r="A1615" s="3"/>
    </row>
    <row r="1616" spans="1:1" x14ac:dyDescent="0.25">
      <c r="A1616" s="3"/>
    </row>
    <row r="1617" spans="1:1" x14ac:dyDescent="0.25">
      <c r="A1617" s="3"/>
    </row>
    <row r="1618" spans="1:1" x14ac:dyDescent="0.25">
      <c r="A1618" s="3"/>
    </row>
    <row r="1619" spans="1:1" x14ac:dyDescent="0.25">
      <c r="A1619" s="3"/>
    </row>
    <row r="1620" spans="1:1" x14ac:dyDescent="0.25">
      <c r="A1620" s="3"/>
    </row>
    <row r="1621" spans="1:1" x14ac:dyDescent="0.25">
      <c r="A1621" s="3"/>
    </row>
    <row r="1622" spans="1:1" x14ac:dyDescent="0.25">
      <c r="A1622" s="3"/>
    </row>
    <row r="1623" spans="1:1" x14ac:dyDescent="0.25">
      <c r="A1623" s="3"/>
    </row>
    <row r="1624" spans="1:1" x14ac:dyDescent="0.25">
      <c r="A1624" s="3"/>
    </row>
    <row r="1625" spans="1:1" x14ac:dyDescent="0.25">
      <c r="A1625" s="3"/>
    </row>
    <row r="1626" spans="1:1" x14ac:dyDescent="0.25">
      <c r="A1626" s="3"/>
    </row>
    <row r="1627" spans="1:1" x14ac:dyDescent="0.25">
      <c r="A1627" s="3"/>
    </row>
    <row r="1628" spans="1:1" x14ac:dyDescent="0.25">
      <c r="A1628" s="3"/>
    </row>
    <row r="1629" spans="1:1" x14ac:dyDescent="0.25">
      <c r="A1629" s="3"/>
    </row>
    <row r="1630" spans="1:1" x14ac:dyDescent="0.25">
      <c r="A1630" s="3"/>
    </row>
    <row r="1631" spans="1:1" x14ac:dyDescent="0.25">
      <c r="A1631" s="3"/>
    </row>
    <row r="1632" spans="1:1" x14ac:dyDescent="0.25">
      <c r="A1632" s="3"/>
    </row>
    <row r="1633" spans="1:1" x14ac:dyDescent="0.25">
      <c r="A1633" s="3"/>
    </row>
    <row r="1634" spans="1:1" x14ac:dyDescent="0.25">
      <c r="A1634" s="3"/>
    </row>
    <row r="1635" spans="1:1" x14ac:dyDescent="0.25">
      <c r="A1635" s="3"/>
    </row>
    <row r="1636" spans="1:1" x14ac:dyDescent="0.25">
      <c r="A1636" s="3"/>
    </row>
    <row r="1637" spans="1:1" x14ac:dyDescent="0.25">
      <c r="A1637" s="3"/>
    </row>
    <row r="1638" spans="1:1" x14ac:dyDescent="0.25">
      <c r="A1638" s="3"/>
    </row>
    <row r="1639" spans="1:1" x14ac:dyDescent="0.25">
      <c r="A1639" s="3"/>
    </row>
    <row r="1640" spans="1:1" x14ac:dyDescent="0.25">
      <c r="A1640" s="3"/>
    </row>
    <row r="1641" spans="1:1" x14ac:dyDescent="0.25">
      <c r="A1641" s="3"/>
    </row>
    <row r="1642" spans="1:1" x14ac:dyDescent="0.25">
      <c r="A1642" s="3"/>
    </row>
    <row r="1643" spans="1:1" x14ac:dyDescent="0.25">
      <c r="A1643" s="3"/>
    </row>
    <row r="1644" spans="1:1" x14ac:dyDescent="0.25">
      <c r="A1644" s="3"/>
    </row>
    <row r="1645" spans="1:1" x14ac:dyDescent="0.25">
      <c r="A1645" s="3"/>
    </row>
    <row r="1646" spans="1:1" x14ac:dyDescent="0.25">
      <c r="A1646" s="3"/>
    </row>
    <row r="1647" spans="1:1" x14ac:dyDescent="0.25">
      <c r="A1647" s="3"/>
    </row>
    <row r="1648" spans="1:1" x14ac:dyDescent="0.25">
      <c r="A1648" s="3"/>
    </row>
    <row r="1649" spans="1:1" x14ac:dyDescent="0.25">
      <c r="A1649" s="3"/>
    </row>
    <row r="1650" spans="1:1" x14ac:dyDescent="0.25">
      <c r="A1650" s="3"/>
    </row>
    <row r="1651" spans="1:1" x14ac:dyDescent="0.25">
      <c r="A1651" s="3"/>
    </row>
    <row r="1652" spans="1:1" x14ac:dyDescent="0.25">
      <c r="A1652" s="3"/>
    </row>
    <row r="1653" spans="1:1" x14ac:dyDescent="0.25">
      <c r="A1653" s="3"/>
    </row>
    <row r="1654" spans="1:1" x14ac:dyDescent="0.25">
      <c r="A1654" s="3"/>
    </row>
    <row r="1655" spans="1:1" x14ac:dyDescent="0.25">
      <c r="A1655" s="3"/>
    </row>
    <row r="1656" spans="1:1" x14ac:dyDescent="0.25">
      <c r="A1656" s="3"/>
    </row>
    <row r="1657" spans="1:1" x14ac:dyDescent="0.25">
      <c r="A1657" s="3"/>
    </row>
    <row r="1658" spans="1:1" x14ac:dyDescent="0.25">
      <c r="A1658" s="3"/>
    </row>
    <row r="1659" spans="1:1" x14ac:dyDescent="0.25">
      <c r="A1659" s="3"/>
    </row>
    <row r="1660" spans="1:1" x14ac:dyDescent="0.25">
      <c r="A1660" s="3"/>
    </row>
    <row r="1661" spans="1:1" x14ac:dyDescent="0.25">
      <c r="A1661" s="3"/>
    </row>
    <row r="1662" spans="1:1" x14ac:dyDescent="0.25">
      <c r="A1662" s="3"/>
    </row>
    <row r="1663" spans="1:1" x14ac:dyDescent="0.25">
      <c r="A1663" s="3"/>
    </row>
    <row r="1664" spans="1:1" x14ac:dyDescent="0.25">
      <c r="A1664" s="3"/>
    </row>
    <row r="1665" spans="1:1" x14ac:dyDescent="0.25">
      <c r="A1665" s="3"/>
    </row>
    <row r="1666" spans="1:1" x14ac:dyDescent="0.25">
      <c r="A1666" s="3"/>
    </row>
    <row r="1667" spans="1:1" x14ac:dyDescent="0.25">
      <c r="A1667" s="3"/>
    </row>
    <row r="1668" spans="1:1" x14ac:dyDescent="0.25">
      <c r="A1668" s="3"/>
    </row>
    <row r="1669" spans="1:1" x14ac:dyDescent="0.25">
      <c r="A1669" s="3"/>
    </row>
    <row r="1670" spans="1:1" x14ac:dyDescent="0.25">
      <c r="A1670" s="3"/>
    </row>
    <row r="1671" spans="1:1" x14ac:dyDescent="0.25">
      <c r="A1671" s="3"/>
    </row>
    <row r="1672" spans="1:1" x14ac:dyDescent="0.25">
      <c r="A1672" s="3"/>
    </row>
    <row r="1673" spans="1:1" x14ac:dyDescent="0.25">
      <c r="A1673" s="3"/>
    </row>
    <row r="1674" spans="1:1" x14ac:dyDescent="0.25">
      <c r="A1674" s="3"/>
    </row>
    <row r="1675" spans="1:1" x14ac:dyDescent="0.25">
      <c r="A1675" s="3"/>
    </row>
    <row r="1676" spans="1:1" x14ac:dyDescent="0.25">
      <c r="A1676" s="3"/>
    </row>
    <row r="1677" spans="1:1" x14ac:dyDescent="0.25">
      <c r="A1677" s="3"/>
    </row>
    <row r="1678" spans="1:1" x14ac:dyDescent="0.25">
      <c r="A1678" s="3"/>
    </row>
    <row r="1679" spans="1:1" x14ac:dyDescent="0.25">
      <c r="A1679" s="3"/>
    </row>
    <row r="1680" spans="1:1" x14ac:dyDescent="0.25">
      <c r="A1680" s="3"/>
    </row>
    <row r="1681" spans="1:1" x14ac:dyDescent="0.25">
      <c r="A1681" s="3"/>
    </row>
    <row r="1682" spans="1:1" x14ac:dyDescent="0.25">
      <c r="A1682" s="3"/>
    </row>
    <row r="1683" spans="1:1" x14ac:dyDescent="0.25">
      <c r="A1683" s="3"/>
    </row>
    <row r="1684" spans="1:1" x14ac:dyDescent="0.25">
      <c r="A1684" s="3"/>
    </row>
    <row r="1685" spans="1:1" x14ac:dyDescent="0.25">
      <c r="A1685" s="3"/>
    </row>
    <row r="1686" spans="1:1" x14ac:dyDescent="0.25">
      <c r="A1686" s="3"/>
    </row>
    <row r="1687" spans="1:1" x14ac:dyDescent="0.25">
      <c r="A1687" s="3"/>
    </row>
    <row r="1688" spans="1:1" x14ac:dyDescent="0.25">
      <c r="A1688" s="3"/>
    </row>
    <row r="1689" spans="1:1" x14ac:dyDescent="0.25">
      <c r="A1689" s="3"/>
    </row>
    <row r="1690" spans="1:1" x14ac:dyDescent="0.25">
      <c r="A1690" s="3"/>
    </row>
    <row r="1691" spans="1:1" x14ac:dyDescent="0.25">
      <c r="A1691" s="3"/>
    </row>
    <row r="1692" spans="1:1" x14ac:dyDescent="0.25">
      <c r="A1692" s="3"/>
    </row>
    <row r="1693" spans="1:1" x14ac:dyDescent="0.25">
      <c r="A1693" s="3"/>
    </row>
    <row r="1694" spans="1:1" x14ac:dyDescent="0.25">
      <c r="A1694" s="3"/>
    </row>
    <row r="1695" spans="1:1" x14ac:dyDescent="0.25">
      <c r="A1695" s="3"/>
    </row>
    <row r="1696" spans="1:1" x14ac:dyDescent="0.25">
      <c r="A1696" s="3"/>
    </row>
    <row r="1697" spans="1:1" x14ac:dyDescent="0.25">
      <c r="A1697" s="3"/>
    </row>
    <row r="1698" spans="1:1" x14ac:dyDescent="0.25">
      <c r="A1698" s="3"/>
    </row>
    <row r="1699" spans="1:1" x14ac:dyDescent="0.25">
      <c r="A1699" s="3"/>
    </row>
    <row r="1700" spans="1:1" x14ac:dyDescent="0.25">
      <c r="A1700" s="3"/>
    </row>
    <row r="1701" spans="1:1" x14ac:dyDescent="0.25">
      <c r="A1701" s="3"/>
    </row>
    <row r="1702" spans="1:1" x14ac:dyDescent="0.25">
      <c r="A1702" s="3"/>
    </row>
    <row r="1703" spans="1:1" x14ac:dyDescent="0.25">
      <c r="A1703" s="3"/>
    </row>
    <row r="1704" spans="1:1" x14ac:dyDescent="0.25">
      <c r="A1704" s="3"/>
    </row>
    <row r="1705" spans="1:1" x14ac:dyDescent="0.25">
      <c r="A1705" s="3"/>
    </row>
    <row r="1706" spans="1:1" x14ac:dyDescent="0.25">
      <c r="A1706" s="3"/>
    </row>
    <row r="1707" spans="1:1" x14ac:dyDescent="0.25">
      <c r="A1707" s="3"/>
    </row>
    <row r="1708" spans="1:1" x14ac:dyDescent="0.25">
      <c r="A1708" s="3"/>
    </row>
    <row r="1709" spans="1:1" x14ac:dyDescent="0.25">
      <c r="A1709" s="3"/>
    </row>
    <row r="1710" spans="1:1" x14ac:dyDescent="0.25">
      <c r="A1710" s="3"/>
    </row>
    <row r="1711" spans="1:1" x14ac:dyDescent="0.25">
      <c r="A1711" s="3"/>
    </row>
    <row r="1712" spans="1:1" x14ac:dyDescent="0.25">
      <c r="A1712" s="3"/>
    </row>
    <row r="1713" spans="1:1" x14ac:dyDescent="0.25">
      <c r="A1713" s="3"/>
    </row>
    <row r="1714" spans="1:1" x14ac:dyDescent="0.25">
      <c r="A1714" s="3"/>
    </row>
    <row r="1715" spans="1:1" x14ac:dyDescent="0.25">
      <c r="A1715" s="3"/>
    </row>
    <row r="1716" spans="1:1" x14ac:dyDescent="0.25">
      <c r="A1716" s="3"/>
    </row>
    <row r="1717" spans="1:1" x14ac:dyDescent="0.25">
      <c r="A1717" s="3"/>
    </row>
    <row r="1718" spans="1:1" x14ac:dyDescent="0.25">
      <c r="A1718" s="3"/>
    </row>
    <row r="1719" spans="1:1" x14ac:dyDescent="0.25">
      <c r="A1719" s="3"/>
    </row>
    <row r="1720" spans="1:1" x14ac:dyDescent="0.25">
      <c r="A1720" s="3"/>
    </row>
    <row r="1721" spans="1:1" x14ac:dyDescent="0.25">
      <c r="A1721" s="3"/>
    </row>
    <row r="1722" spans="1:1" x14ac:dyDescent="0.25">
      <c r="A1722" s="3"/>
    </row>
    <row r="1723" spans="1:1" x14ac:dyDescent="0.25">
      <c r="A1723" s="3"/>
    </row>
    <row r="1724" spans="1:1" x14ac:dyDescent="0.25">
      <c r="A1724" s="3"/>
    </row>
    <row r="1725" spans="1:1" x14ac:dyDescent="0.25">
      <c r="A1725" s="3"/>
    </row>
    <row r="1726" spans="1:1" x14ac:dyDescent="0.25">
      <c r="A1726" s="3"/>
    </row>
    <row r="1727" spans="1:1" x14ac:dyDescent="0.25">
      <c r="A1727" s="3"/>
    </row>
    <row r="1728" spans="1:1" x14ac:dyDescent="0.25">
      <c r="A1728" s="3"/>
    </row>
    <row r="1729" spans="1:1" x14ac:dyDescent="0.25">
      <c r="A1729" s="3"/>
    </row>
    <row r="1730" spans="1:1" x14ac:dyDescent="0.25">
      <c r="A1730" s="3"/>
    </row>
    <row r="1731" spans="1:1" x14ac:dyDescent="0.25">
      <c r="A1731" s="3"/>
    </row>
    <row r="1732" spans="1:1" x14ac:dyDescent="0.25">
      <c r="A1732" s="3"/>
    </row>
    <row r="1733" spans="1:1" x14ac:dyDescent="0.25">
      <c r="A1733" s="3"/>
    </row>
    <row r="1734" spans="1:1" x14ac:dyDescent="0.25">
      <c r="A1734" s="3"/>
    </row>
    <row r="1735" spans="1:1" x14ac:dyDescent="0.25">
      <c r="A1735" s="3"/>
    </row>
    <row r="1736" spans="1:1" x14ac:dyDescent="0.25">
      <c r="A1736" s="3"/>
    </row>
    <row r="1737" spans="1:1" x14ac:dyDescent="0.25">
      <c r="A1737" s="3"/>
    </row>
    <row r="1738" spans="1:1" x14ac:dyDescent="0.25">
      <c r="A1738" s="3"/>
    </row>
    <row r="1739" spans="1:1" x14ac:dyDescent="0.25">
      <c r="A1739" s="3"/>
    </row>
    <row r="1740" spans="1:1" x14ac:dyDescent="0.25">
      <c r="A1740" s="3"/>
    </row>
    <row r="1741" spans="1:1" x14ac:dyDescent="0.25">
      <c r="A1741" s="3"/>
    </row>
    <row r="1742" spans="1:1" x14ac:dyDescent="0.25">
      <c r="A1742" s="3"/>
    </row>
    <row r="1743" spans="1:1" x14ac:dyDescent="0.25">
      <c r="A1743" s="3"/>
    </row>
    <row r="1744" spans="1:1" x14ac:dyDescent="0.25">
      <c r="A1744" s="3"/>
    </row>
    <row r="1745" spans="1:1" x14ac:dyDescent="0.25">
      <c r="A1745" s="3"/>
    </row>
    <row r="1746" spans="1:1" x14ac:dyDescent="0.25">
      <c r="A1746" s="3"/>
    </row>
    <row r="1747" spans="1:1" x14ac:dyDescent="0.25">
      <c r="A1747" s="3"/>
    </row>
    <row r="1748" spans="1:1" x14ac:dyDescent="0.25">
      <c r="A1748" s="3"/>
    </row>
    <row r="1749" spans="1:1" x14ac:dyDescent="0.25">
      <c r="A1749" s="3"/>
    </row>
    <row r="1750" spans="1:1" x14ac:dyDescent="0.25">
      <c r="A1750" s="3"/>
    </row>
    <row r="1751" spans="1:1" x14ac:dyDescent="0.25">
      <c r="A1751" s="3"/>
    </row>
    <row r="1752" spans="1:1" x14ac:dyDescent="0.25">
      <c r="A1752" s="3"/>
    </row>
    <row r="1753" spans="1:1" x14ac:dyDescent="0.25">
      <c r="A1753" s="3"/>
    </row>
    <row r="1754" spans="1:1" x14ac:dyDescent="0.25">
      <c r="A1754" s="3"/>
    </row>
    <row r="1755" spans="1:1" x14ac:dyDescent="0.25">
      <c r="A1755" s="3"/>
    </row>
    <row r="1756" spans="1:1" x14ac:dyDescent="0.25">
      <c r="A1756" s="3"/>
    </row>
    <row r="1757" spans="1:1" x14ac:dyDescent="0.25">
      <c r="A1757" s="3"/>
    </row>
    <row r="1758" spans="1:1" x14ac:dyDescent="0.25">
      <c r="A1758" s="3"/>
    </row>
    <row r="1759" spans="1:1" x14ac:dyDescent="0.25">
      <c r="A1759" s="3"/>
    </row>
    <row r="1760" spans="1:1" x14ac:dyDescent="0.25">
      <c r="A1760" s="3"/>
    </row>
    <row r="1761" spans="1:1" x14ac:dyDescent="0.25">
      <c r="A1761" s="3"/>
    </row>
    <row r="1762" spans="1:1" x14ac:dyDescent="0.25">
      <c r="A1762" s="3"/>
    </row>
    <row r="1763" spans="1:1" x14ac:dyDescent="0.25">
      <c r="A1763" s="3"/>
    </row>
    <row r="1764" spans="1:1" x14ac:dyDescent="0.25">
      <c r="A1764" s="3"/>
    </row>
    <row r="1765" spans="1:1" x14ac:dyDescent="0.25">
      <c r="A1765" s="3"/>
    </row>
    <row r="1766" spans="1:1" x14ac:dyDescent="0.25">
      <c r="A1766" s="3"/>
    </row>
    <row r="1767" spans="1:1" x14ac:dyDescent="0.25">
      <c r="A1767" s="3"/>
    </row>
    <row r="1768" spans="1:1" x14ac:dyDescent="0.25">
      <c r="A1768" s="3"/>
    </row>
    <row r="1769" spans="1:1" x14ac:dyDescent="0.25">
      <c r="A1769" s="3"/>
    </row>
    <row r="1770" spans="1:1" x14ac:dyDescent="0.25">
      <c r="A1770" s="3"/>
    </row>
    <row r="1771" spans="1:1" x14ac:dyDescent="0.25">
      <c r="A1771" s="3"/>
    </row>
    <row r="1772" spans="1:1" x14ac:dyDescent="0.25">
      <c r="A1772" s="3"/>
    </row>
    <row r="1773" spans="1:1" x14ac:dyDescent="0.25">
      <c r="A1773" s="3"/>
    </row>
    <row r="1774" spans="1:1" x14ac:dyDescent="0.25">
      <c r="A1774" s="3"/>
    </row>
    <row r="1775" spans="1:1" x14ac:dyDescent="0.25">
      <c r="A1775" s="3"/>
    </row>
    <row r="1776" spans="1:1" x14ac:dyDescent="0.25">
      <c r="A1776" s="3"/>
    </row>
    <row r="1777" spans="1:1" x14ac:dyDescent="0.25">
      <c r="A1777" s="3"/>
    </row>
    <row r="1778" spans="1:1" x14ac:dyDescent="0.25">
      <c r="A1778" s="3"/>
    </row>
    <row r="1779" spans="1:1" x14ac:dyDescent="0.25">
      <c r="A1779" s="3"/>
    </row>
    <row r="1780" spans="1:1" x14ac:dyDescent="0.25">
      <c r="A1780" s="3"/>
    </row>
    <row r="1781" spans="1:1" x14ac:dyDescent="0.25">
      <c r="A1781" s="3"/>
    </row>
    <row r="1782" spans="1:1" x14ac:dyDescent="0.25">
      <c r="A1782" s="3"/>
    </row>
    <row r="1783" spans="1:1" x14ac:dyDescent="0.25">
      <c r="A1783" s="3"/>
    </row>
    <row r="1784" spans="1:1" x14ac:dyDescent="0.25">
      <c r="A1784" s="3"/>
    </row>
    <row r="1785" spans="1:1" x14ac:dyDescent="0.25">
      <c r="A1785" s="3"/>
    </row>
    <row r="1786" spans="1:1" x14ac:dyDescent="0.25">
      <c r="A1786" s="3"/>
    </row>
    <row r="1787" spans="1:1" x14ac:dyDescent="0.25">
      <c r="A1787" s="3"/>
    </row>
    <row r="1788" spans="1:1" x14ac:dyDescent="0.25">
      <c r="A1788" s="3"/>
    </row>
    <row r="1789" spans="1:1" x14ac:dyDescent="0.25">
      <c r="A1789" s="3"/>
    </row>
    <row r="1790" spans="1:1" x14ac:dyDescent="0.25">
      <c r="A1790" s="3"/>
    </row>
    <row r="1791" spans="1:1" x14ac:dyDescent="0.25">
      <c r="A1791" s="3"/>
    </row>
    <row r="1792" spans="1:1" x14ac:dyDescent="0.25">
      <c r="A1792" s="3"/>
    </row>
    <row r="1793" spans="1:1" x14ac:dyDescent="0.25">
      <c r="A1793" s="3"/>
    </row>
    <row r="1794" spans="1:1" x14ac:dyDescent="0.25">
      <c r="A1794" s="3"/>
    </row>
    <row r="1795" spans="1:1" x14ac:dyDescent="0.25">
      <c r="A1795" s="3"/>
    </row>
    <row r="1796" spans="1:1" x14ac:dyDescent="0.25">
      <c r="A1796" s="3"/>
    </row>
    <row r="1797" spans="1:1" x14ac:dyDescent="0.25">
      <c r="A1797" s="3"/>
    </row>
    <row r="1798" spans="1:1" x14ac:dyDescent="0.25">
      <c r="A1798" s="3"/>
    </row>
    <row r="1799" spans="1:1" x14ac:dyDescent="0.25">
      <c r="A1799" s="3"/>
    </row>
    <row r="1800" spans="1:1" x14ac:dyDescent="0.25">
      <c r="A1800" s="3"/>
    </row>
    <row r="1801" spans="1:1" x14ac:dyDescent="0.25">
      <c r="A1801" s="3"/>
    </row>
    <row r="1802" spans="1:1" x14ac:dyDescent="0.25">
      <c r="A1802" s="3"/>
    </row>
    <row r="1803" spans="1:1" x14ac:dyDescent="0.25">
      <c r="A1803" s="3"/>
    </row>
    <row r="1804" spans="1:1" x14ac:dyDescent="0.25">
      <c r="A1804" s="3"/>
    </row>
    <row r="1805" spans="1:1" x14ac:dyDescent="0.25">
      <c r="A1805" s="3"/>
    </row>
    <row r="1806" spans="1:1" x14ac:dyDescent="0.25">
      <c r="A1806" s="3"/>
    </row>
    <row r="1807" spans="1:1" x14ac:dyDescent="0.25">
      <c r="A1807" s="3"/>
    </row>
    <row r="1808" spans="1:1" x14ac:dyDescent="0.25">
      <c r="A1808" s="3"/>
    </row>
    <row r="1809" spans="1:1" x14ac:dyDescent="0.25">
      <c r="A1809" s="3"/>
    </row>
    <row r="1810" spans="1:1" x14ac:dyDescent="0.25">
      <c r="A1810" s="3"/>
    </row>
    <row r="1811" spans="1:1" x14ac:dyDescent="0.25">
      <c r="A1811" s="3"/>
    </row>
    <row r="1812" spans="1:1" x14ac:dyDescent="0.25">
      <c r="A1812" s="3"/>
    </row>
    <row r="1813" spans="1:1" x14ac:dyDescent="0.25">
      <c r="A1813" s="3"/>
    </row>
    <row r="1814" spans="1:1" x14ac:dyDescent="0.25">
      <c r="A1814" s="3"/>
    </row>
    <row r="1815" spans="1:1" x14ac:dyDescent="0.25">
      <c r="A1815" s="3"/>
    </row>
    <row r="1816" spans="1:1" x14ac:dyDescent="0.25">
      <c r="A1816" s="3"/>
    </row>
    <row r="1817" spans="1:1" x14ac:dyDescent="0.25">
      <c r="A1817" s="3"/>
    </row>
    <row r="1818" spans="1:1" x14ac:dyDescent="0.25">
      <c r="A1818" s="3"/>
    </row>
    <row r="1819" spans="1:1" x14ac:dyDescent="0.25">
      <c r="A1819" s="3"/>
    </row>
    <row r="1820" spans="1:1" x14ac:dyDescent="0.25">
      <c r="A1820" s="3"/>
    </row>
    <row r="1821" spans="1:1" x14ac:dyDescent="0.25">
      <c r="A1821" s="3"/>
    </row>
    <row r="1822" spans="1:1" x14ac:dyDescent="0.25">
      <c r="A1822" s="3"/>
    </row>
    <row r="1823" spans="1:1" x14ac:dyDescent="0.25">
      <c r="A1823" s="3"/>
    </row>
    <row r="1824" spans="1:1" x14ac:dyDescent="0.25">
      <c r="A1824" s="3"/>
    </row>
    <row r="1825" spans="1:1" x14ac:dyDescent="0.25">
      <c r="A1825" s="3"/>
    </row>
    <row r="1826" spans="1:1" x14ac:dyDescent="0.25">
      <c r="A1826" s="3"/>
    </row>
    <row r="1827" spans="1:1" x14ac:dyDescent="0.25">
      <c r="A1827" s="3"/>
    </row>
    <row r="1828" spans="1:1" x14ac:dyDescent="0.25">
      <c r="A1828" s="3"/>
    </row>
    <row r="1829" spans="1:1" x14ac:dyDescent="0.25">
      <c r="A1829" s="3"/>
    </row>
    <row r="1830" spans="1:1" x14ac:dyDescent="0.25">
      <c r="A1830" s="3"/>
    </row>
    <row r="1831" spans="1:1" x14ac:dyDescent="0.25">
      <c r="A1831" s="3"/>
    </row>
    <row r="1832" spans="1:1" x14ac:dyDescent="0.25">
      <c r="A1832" s="3"/>
    </row>
    <row r="1833" spans="1:1" x14ac:dyDescent="0.25">
      <c r="A1833" s="3"/>
    </row>
    <row r="1834" spans="1:1" x14ac:dyDescent="0.25">
      <c r="A1834" s="3"/>
    </row>
    <row r="1835" spans="1:1" x14ac:dyDescent="0.25">
      <c r="A1835" s="3"/>
    </row>
    <row r="1836" spans="1:1" x14ac:dyDescent="0.25">
      <c r="A1836" s="3"/>
    </row>
    <row r="1837" spans="1:1" x14ac:dyDescent="0.25">
      <c r="A1837" s="3"/>
    </row>
    <row r="1838" spans="1:1" x14ac:dyDescent="0.25">
      <c r="A1838" s="3"/>
    </row>
    <row r="1839" spans="1:1" x14ac:dyDescent="0.25">
      <c r="A1839" s="3"/>
    </row>
    <row r="1840" spans="1:1" x14ac:dyDescent="0.25">
      <c r="A1840" s="3"/>
    </row>
    <row r="1841" spans="1:1" x14ac:dyDescent="0.25">
      <c r="A1841" s="3"/>
    </row>
    <row r="1842" spans="1:1" x14ac:dyDescent="0.25">
      <c r="A1842" s="3"/>
    </row>
    <row r="1843" spans="1:1" x14ac:dyDescent="0.25">
      <c r="A1843" s="3"/>
    </row>
    <row r="1844" spans="1:1" x14ac:dyDescent="0.25">
      <c r="A1844" s="3"/>
    </row>
    <row r="1845" spans="1:1" x14ac:dyDescent="0.25">
      <c r="A1845" s="3"/>
    </row>
    <row r="1846" spans="1:1" x14ac:dyDescent="0.25">
      <c r="A1846" s="3"/>
    </row>
    <row r="1847" spans="1:1" x14ac:dyDescent="0.25">
      <c r="A1847" s="3"/>
    </row>
    <row r="1848" spans="1:1" x14ac:dyDescent="0.25">
      <c r="A1848" s="3"/>
    </row>
    <row r="1849" spans="1:1" x14ac:dyDescent="0.25">
      <c r="A1849" s="3"/>
    </row>
    <row r="1850" spans="1:1" x14ac:dyDescent="0.25">
      <c r="A1850" s="3"/>
    </row>
    <row r="1851" spans="1:1" x14ac:dyDescent="0.25">
      <c r="A1851" s="3"/>
    </row>
    <row r="1852" spans="1:1" x14ac:dyDescent="0.25">
      <c r="A1852" s="3"/>
    </row>
    <row r="1853" spans="1:1" x14ac:dyDescent="0.25">
      <c r="A1853" s="3"/>
    </row>
    <row r="1854" spans="1:1" x14ac:dyDescent="0.25">
      <c r="A1854" s="3"/>
    </row>
    <row r="1855" spans="1:1" x14ac:dyDescent="0.25">
      <c r="A1855" s="3"/>
    </row>
    <row r="1856" spans="1:1" x14ac:dyDescent="0.25">
      <c r="A1856" s="3"/>
    </row>
    <row r="1857" spans="1:1" x14ac:dyDescent="0.25">
      <c r="A1857" s="3"/>
    </row>
    <row r="1858" spans="1:1" x14ac:dyDescent="0.25">
      <c r="A1858" s="3"/>
    </row>
    <row r="1859" spans="1:1" x14ac:dyDescent="0.25">
      <c r="A1859" s="3"/>
    </row>
    <row r="1860" spans="1:1" x14ac:dyDescent="0.25">
      <c r="A1860" s="3"/>
    </row>
    <row r="1861" spans="1:1" x14ac:dyDescent="0.25">
      <c r="A1861" s="3"/>
    </row>
    <row r="1862" spans="1:1" x14ac:dyDescent="0.25">
      <c r="A1862" s="3"/>
    </row>
    <row r="1863" spans="1:1" x14ac:dyDescent="0.25">
      <c r="A1863" s="3"/>
    </row>
    <row r="1864" spans="1:1" x14ac:dyDescent="0.25">
      <c r="A1864" s="3"/>
    </row>
    <row r="1865" spans="1:1" x14ac:dyDescent="0.25">
      <c r="A1865" s="3"/>
    </row>
    <row r="1866" spans="1:1" x14ac:dyDescent="0.25">
      <c r="A1866" s="3"/>
    </row>
    <row r="1867" spans="1:1" x14ac:dyDescent="0.25">
      <c r="A1867" s="3"/>
    </row>
    <row r="1868" spans="1:1" x14ac:dyDescent="0.25">
      <c r="A1868" s="3"/>
    </row>
    <row r="1869" spans="1:1" x14ac:dyDescent="0.25">
      <c r="A1869" s="3"/>
    </row>
    <row r="1870" spans="1:1" x14ac:dyDescent="0.25">
      <c r="A1870" s="3"/>
    </row>
    <row r="1871" spans="1:1" x14ac:dyDescent="0.25">
      <c r="A1871" s="3"/>
    </row>
    <row r="1872" spans="1:1" x14ac:dyDescent="0.25">
      <c r="A1872" s="3"/>
    </row>
    <row r="1873" spans="1:1" x14ac:dyDescent="0.25">
      <c r="A1873" s="3"/>
    </row>
    <row r="1874" spans="1:1" x14ac:dyDescent="0.25">
      <c r="A1874" s="3"/>
    </row>
    <row r="1875" spans="1:1" x14ac:dyDescent="0.25">
      <c r="A1875" s="3"/>
    </row>
    <row r="1876" spans="1:1" x14ac:dyDescent="0.25">
      <c r="A1876" s="3"/>
    </row>
    <row r="1877" spans="1:1" x14ac:dyDescent="0.25">
      <c r="A1877" s="3"/>
    </row>
    <row r="1878" spans="1:1" x14ac:dyDescent="0.25">
      <c r="A1878" s="3"/>
    </row>
    <row r="1879" spans="1:1" x14ac:dyDescent="0.25">
      <c r="A1879" s="3"/>
    </row>
    <row r="1880" spans="1:1" x14ac:dyDescent="0.25">
      <c r="A1880" s="3"/>
    </row>
    <row r="1881" spans="1:1" x14ac:dyDescent="0.25">
      <c r="A1881" s="3"/>
    </row>
    <row r="1882" spans="1:1" x14ac:dyDescent="0.25">
      <c r="A1882" s="3"/>
    </row>
    <row r="1883" spans="1:1" x14ac:dyDescent="0.25">
      <c r="A1883" s="3"/>
    </row>
    <row r="1884" spans="1:1" x14ac:dyDescent="0.25">
      <c r="A1884" s="3"/>
    </row>
    <row r="1885" spans="1:1" x14ac:dyDescent="0.25">
      <c r="A1885" s="3"/>
    </row>
    <row r="1886" spans="1:1" x14ac:dyDescent="0.25">
      <c r="A1886" s="3"/>
    </row>
    <row r="1887" spans="1:1" x14ac:dyDescent="0.25">
      <c r="A1887" s="3"/>
    </row>
    <row r="1888" spans="1:1" x14ac:dyDescent="0.25">
      <c r="A1888" s="3"/>
    </row>
    <row r="1889" spans="1:1" x14ac:dyDescent="0.25">
      <c r="A1889" s="3"/>
    </row>
    <row r="1890" spans="1:1" x14ac:dyDescent="0.25">
      <c r="A1890" s="3"/>
    </row>
    <row r="1891" spans="1:1" x14ac:dyDescent="0.25">
      <c r="A1891" s="3"/>
    </row>
    <row r="1892" spans="1:1" x14ac:dyDescent="0.25">
      <c r="A1892" s="3"/>
    </row>
    <row r="1893" spans="1:1" x14ac:dyDescent="0.25">
      <c r="A1893" s="3"/>
    </row>
    <row r="1894" spans="1:1" x14ac:dyDescent="0.25">
      <c r="A1894" s="3"/>
    </row>
    <row r="1895" spans="1:1" x14ac:dyDescent="0.25">
      <c r="A1895" s="3"/>
    </row>
    <row r="1896" spans="1:1" x14ac:dyDescent="0.25">
      <c r="A1896" s="3"/>
    </row>
    <row r="1897" spans="1:1" x14ac:dyDescent="0.25">
      <c r="A1897" s="3"/>
    </row>
    <row r="1898" spans="1:1" x14ac:dyDescent="0.25">
      <c r="A1898" s="3"/>
    </row>
    <row r="1899" spans="1:1" x14ac:dyDescent="0.25">
      <c r="A1899" s="3"/>
    </row>
    <row r="1900" spans="1:1" x14ac:dyDescent="0.25">
      <c r="A1900" s="3"/>
    </row>
    <row r="1901" spans="1:1" x14ac:dyDescent="0.25">
      <c r="A1901" s="3"/>
    </row>
    <row r="1902" spans="1:1" x14ac:dyDescent="0.25">
      <c r="A1902" s="3"/>
    </row>
    <row r="1903" spans="1:1" x14ac:dyDescent="0.25">
      <c r="A1903" s="3"/>
    </row>
    <row r="1904" spans="1:1" x14ac:dyDescent="0.25">
      <c r="A1904" s="3"/>
    </row>
    <row r="1905" spans="1:1" x14ac:dyDescent="0.25">
      <c r="A1905" s="3"/>
    </row>
    <row r="1906" spans="1:1" x14ac:dyDescent="0.25">
      <c r="A1906" s="3"/>
    </row>
    <row r="1907" spans="1:1" x14ac:dyDescent="0.25">
      <c r="A1907" s="3"/>
    </row>
    <row r="1908" spans="1:1" x14ac:dyDescent="0.25">
      <c r="A1908" s="3"/>
    </row>
    <row r="1909" spans="1:1" x14ac:dyDescent="0.25">
      <c r="A1909" s="3"/>
    </row>
    <row r="1910" spans="1:1" x14ac:dyDescent="0.25">
      <c r="A1910" s="3"/>
    </row>
    <row r="1911" spans="1:1" x14ac:dyDescent="0.25">
      <c r="A1911" s="3"/>
    </row>
    <row r="1912" spans="1:1" x14ac:dyDescent="0.25">
      <c r="A1912" s="3"/>
    </row>
    <row r="1913" spans="1:1" x14ac:dyDescent="0.25">
      <c r="A1913" s="3"/>
    </row>
    <row r="1914" spans="1:1" x14ac:dyDescent="0.25">
      <c r="A1914" s="3"/>
    </row>
    <row r="1915" spans="1:1" x14ac:dyDescent="0.25">
      <c r="A1915" s="3"/>
    </row>
    <row r="1916" spans="1:1" x14ac:dyDescent="0.25">
      <c r="A1916" s="3"/>
    </row>
    <row r="1917" spans="1:1" x14ac:dyDescent="0.25">
      <c r="A1917" s="3"/>
    </row>
    <row r="1918" spans="1:1" x14ac:dyDescent="0.25">
      <c r="A1918" s="3"/>
    </row>
    <row r="1919" spans="1:1" x14ac:dyDescent="0.25">
      <c r="A1919" s="3"/>
    </row>
    <row r="1920" spans="1:1" x14ac:dyDescent="0.25">
      <c r="A1920" s="3"/>
    </row>
    <row r="1921" spans="1:1" x14ac:dyDescent="0.25">
      <c r="A1921" s="3"/>
    </row>
    <row r="1922" spans="1:1" x14ac:dyDescent="0.25">
      <c r="A1922" s="3"/>
    </row>
    <row r="1923" spans="1:1" x14ac:dyDescent="0.25">
      <c r="A1923" s="3"/>
    </row>
    <row r="1924" spans="1:1" x14ac:dyDescent="0.25">
      <c r="A1924" s="3"/>
    </row>
    <row r="1925" spans="1:1" x14ac:dyDescent="0.25">
      <c r="A1925" s="3"/>
    </row>
    <row r="1926" spans="1:1" x14ac:dyDescent="0.25">
      <c r="A1926" s="3"/>
    </row>
    <row r="1927" spans="1:1" x14ac:dyDescent="0.25">
      <c r="A1927" s="3"/>
    </row>
    <row r="1928" spans="1:1" x14ac:dyDescent="0.25">
      <c r="A1928" s="3"/>
    </row>
    <row r="1929" spans="1:1" x14ac:dyDescent="0.25">
      <c r="A1929" s="3"/>
    </row>
    <row r="1930" spans="1:1" x14ac:dyDescent="0.25">
      <c r="A1930" s="3"/>
    </row>
    <row r="1931" spans="1:1" x14ac:dyDescent="0.25">
      <c r="A1931" s="3"/>
    </row>
    <row r="1932" spans="1:1" x14ac:dyDescent="0.25">
      <c r="A1932" s="3"/>
    </row>
    <row r="1933" spans="1:1" x14ac:dyDescent="0.25">
      <c r="A1933" s="3"/>
    </row>
    <row r="1934" spans="1:1" x14ac:dyDescent="0.25">
      <c r="A1934" s="3"/>
    </row>
    <row r="1935" spans="1:1" x14ac:dyDescent="0.25">
      <c r="A1935" s="3"/>
    </row>
    <row r="1936" spans="1:1" x14ac:dyDescent="0.25">
      <c r="A1936" s="3"/>
    </row>
    <row r="1937" spans="1:1" x14ac:dyDescent="0.25">
      <c r="A1937" s="3"/>
    </row>
    <row r="1938" spans="1:1" x14ac:dyDescent="0.25">
      <c r="A1938" s="3"/>
    </row>
    <row r="1939" spans="1:1" x14ac:dyDescent="0.25">
      <c r="A1939" s="3"/>
    </row>
    <row r="1940" spans="1:1" x14ac:dyDescent="0.25">
      <c r="A1940" s="3"/>
    </row>
    <row r="1941" spans="1:1" x14ac:dyDescent="0.25">
      <c r="A1941" s="3"/>
    </row>
    <row r="1942" spans="1:1" x14ac:dyDescent="0.25">
      <c r="A1942" s="3"/>
    </row>
    <row r="1943" spans="1:1" x14ac:dyDescent="0.25">
      <c r="A1943" s="3"/>
    </row>
    <row r="1944" spans="1:1" x14ac:dyDescent="0.25">
      <c r="A1944" s="3"/>
    </row>
    <row r="1945" spans="1:1" x14ac:dyDescent="0.25">
      <c r="A1945" s="3"/>
    </row>
    <row r="1946" spans="1:1" x14ac:dyDescent="0.25">
      <c r="A1946" s="3"/>
    </row>
    <row r="1947" spans="1:1" x14ac:dyDescent="0.25">
      <c r="A1947" s="3"/>
    </row>
    <row r="1948" spans="1:1" x14ac:dyDescent="0.25">
      <c r="A1948" s="3"/>
    </row>
    <row r="1949" spans="1:1" x14ac:dyDescent="0.25">
      <c r="A1949" s="3"/>
    </row>
    <row r="1950" spans="1:1" x14ac:dyDescent="0.25">
      <c r="A1950" s="3"/>
    </row>
    <row r="1951" spans="1:1" x14ac:dyDescent="0.25">
      <c r="A1951" s="3"/>
    </row>
    <row r="1952" spans="1:1" x14ac:dyDescent="0.25">
      <c r="A1952" s="3"/>
    </row>
    <row r="1953" spans="1:1" x14ac:dyDescent="0.25">
      <c r="A1953" s="3"/>
    </row>
    <row r="1954" spans="1:1" x14ac:dyDescent="0.25">
      <c r="A1954" s="3"/>
    </row>
    <row r="1955" spans="1:1" x14ac:dyDescent="0.25">
      <c r="A1955" s="3"/>
    </row>
    <row r="1956" spans="1:1" x14ac:dyDescent="0.25">
      <c r="A1956" s="3"/>
    </row>
    <row r="1957" spans="1:1" x14ac:dyDescent="0.25">
      <c r="A1957" s="3"/>
    </row>
    <row r="1958" spans="1:1" x14ac:dyDescent="0.25">
      <c r="A1958" s="3"/>
    </row>
    <row r="1959" spans="1:1" x14ac:dyDescent="0.25">
      <c r="A1959" s="3"/>
    </row>
    <row r="1960" spans="1:1" x14ac:dyDescent="0.25">
      <c r="A1960" s="3"/>
    </row>
    <row r="1961" spans="1:1" x14ac:dyDescent="0.25">
      <c r="A1961" s="3"/>
    </row>
    <row r="1962" spans="1:1" x14ac:dyDescent="0.25">
      <c r="A1962" s="3"/>
    </row>
    <row r="1963" spans="1:1" x14ac:dyDescent="0.25">
      <c r="A1963" s="3"/>
    </row>
    <row r="1964" spans="1:1" x14ac:dyDescent="0.25">
      <c r="A1964" s="3"/>
    </row>
    <row r="1965" spans="1:1" x14ac:dyDescent="0.25">
      <c r="A1965" s="3"/>
    </row>
    <row r="1966" spans="1:1" x14ac:dyDescent="0.25">
      <c r="A1966" s="3"/>
    </row>
    <row r="1967" spans="1:1" x14ac:dyDescent="0.25">
      <c r="A1967" s="3"/>
    </row>
    <row r="1968" spans="1:1" x14ac:dyDescent="0.25">
      <c r="A1968" s="3"/>
    </row>
    <row r="1969" spans="1:1" x14ac:dyDescent="0.25">
      <c r="A1969" s="3"/>
    </row>
    <row r="1970" spans="1:1" x14ac:dyDescent="0.25">
      <c r="A1970" s="3"/>
    </row>
    <row r="1971" spans="1:1" x14ac:dyDescent="0.25">
      <c r="A1971" s="3"/>
    </row>
    <row r="1972" spans="1:1" x14ac:dyDescent="0.25">
      <c r="A1972" s="3"/>
    </row>
    <row r="1973" spans="1:1" x14ac:dyDescent="0.25">
      <c r="A1973" s="3"/>
    </row>
    <row r="1974" spans="1:1" x14ac:dyDescent="0.25">
      <c r="A1974" s="3"/>
    </row>
    <row r="1975" spans="1:1" x14ac:dyDescent="0.25">
      <c r="A1975" s="3"/>
    </row>
    <row r="1976" spans="1:1" x14ac:dyDescent="0.25">
      <c r="A1976" s="3"/>
    </row>
    <row r="1977" spans="1:1" x14ac:dyDescent="0.25">
      <c r="A1977" s="3"/>
    </row>
    <row r="1978" spans="1:1" x14ac:dyDescent="0.25">
      <c r="A1978" s="3"/>
    </row>
    <row r="1979" spans="1:1" x14ac:dyDescent="0.25">
      <c r="A1979" s="3"/>
    </row>
    <row r="1980" spans="1:1" x14ac:dyDescent="0.25">
      <c r="A1980" s="3"/>
    </row>
    <row r="1981" spans="1:1" x14ac:dyDescent="0.25">
      <c r="A1981" s="3"/>
    </row>
    <row r="1982" spans="1:1" x14ac:dyDescent="0.25">
      <c r="A1982" s="3"/>
    </row>
    <row r="1983" spans="1:1" x14ac:dyDescent="0.25">
      <c r="A1983" s="3"/>
    </row>
    <row r="1984" spans="1:1" x14ac:dyDescent="0.25">
      <c r="A1984" s="3"/>
    </row>
    <row r="1985" spans="1:1" x14ac:dyDescent="0.25">
      <c r="A1985" s="3"/>
    </row>
    <row r="1986" spans="1:1" x14ac:dyDescent="0.25">
      <c r="A1986" s="3"/>
    </row>
    <row r="1987" spans="1:1" x14ac:dyDescent="0.25">
      <c r="A1987" s="3"/>
    </row>
    <row r="1988" spans="1:1" x14ac:dyDescent="0.25">
      <c r="A1988" s="3"/>
    </row>
    <row r="1989" spans="1:1" x14ac:dyDescent="0.25">
      <c r="A1989" s="3"/>
    </row>
    <row r="1990" spans="1:1" x14ac:dyDescent="0.25">
      <c r="A1990" s="3"/>
    </row>
    <row r="1991" spans="1:1" x14ac:dyDescent="0.25">
      <c r="A1991" s="3"/>
    </row>
    <row r="1992" spans="1:1" x14ac:dyDescent="0.25">
      <c r="A1992" s="3"/>
    </row>
    <row r="1993" spans="1:1" x14ac:dyDescent="0.25">
      <c r="A1993" s="3"/>
    </row>
    <row r="1994" spans="1:1" x14ac:dyDescent="0.25">
      <c r="A1994" s="3"/>
    </row>
    <row r="1995" spans="1:1" x14ac:dyDescent="0.25">
      <c r="A1995" s="3"/>
    </row>
    <row r="1996" spans="1:1" x14ac:dyDescent="0.25">
      <c r="A1996" s="3"/>
    </row>
    <row r="1997" spans="1:1" x14ac:dyDescent="0.25">
      <c r="A1997" s="3"/>
    </row>
    <row r="1998" spans="1:1" x14ac:dyDescent="0.25">
      <c r="A1998" s="3"/>
    </row>
    <row r="1999" spans="1:1" x14ac:dyDescent="0.25">
      <c r="A1999" s="3"/>
    </row>
    <row r="2000" spans="1:1" x14ac:dyDescent="0.25">
      <c r="A2000" s="3"/>
    </row>
    <row r="2001" spans="1:1" x14ac:dyDescent="0.25">
      <c r="A2001" s="3"/>
    </row>
    <row r="2002" spans="1:1" x14ac:dyDescent="0.25">
      <c r="A2002" s="3"/>
    </row>
    <row r="2003" spans="1:1" x14ac:dyDescent="0.25">
      <c r="A2003" s="3"/>
    </row>
    <row r="2004" spans="1:1" x14ac:dyDescent="0.25">
      <c r="A2004" s="3"/>
    </row>
    <row r="2005" spans="1:1" x14ac:dyDescent="0.25">
      <c r="A2005" s="3"/>
    </row>
    <row r="2006" spans="1:1" x14ac:dyDescent="0.25">
      <c r="A2006" s="3"/>
    </row>
    <row r="2007" spans="1:1" x14ac:dyDescent="0.25">
      <c r="A2007" s="3"/>
    </row>
    <row r="2008" spans="1:1" x14ac:dyDescent="0.25">
      <c r="A2008" s="3"/>
    </row>
    <row r="2009" spans="1:1" x14ac:dyDescent="0.25">
      <c r="A2009" s="3"/>
    </row>
    <row r="2010" spans="1:1" x14ac:dyDescent="0.25">
      <c r="A2010" s="3"/>
    </row>
    <row r="2011" spans="1:1" x14ac:dyDescent="0.25">
      <c r="A2011" s="3"/>
    </row>
    <row r="2012" spans="1:1" x14ac:dyDescent="0.25">
      <c r="A2012" s="3"/>
    </row>
    <row r="2013" spans="1:1" x14ac:dyDescent="0.25">
      <c r="A2013" s="3"/>
    </row>
    <row r="2014" spans="1:1" x14ac:dyDescent="0.25">
      <c r="A2014" s="3"/>
    </row>
    <row r="2015" spans="1:1" x14ac:dyDescent="0.25">
      <c r="A2015" s="3"/>
    </row>
    <row r="2016" spans="1:1" x14ac:dyDescent="0.25">
      <c r="A2016" s="3"/>
    </row>
    <row r="2017" spans="1:1" x14ac:dyDescent="0.25">
      <c r="A2017" s="3"/>
    </row>
    <row r="2018" spans="1:1" x14ac:dyDescent="0.25">
      <c r="A2018" s="3"/>
    </row>
    <row r="2019" spans="1:1" x14ac:dyDescent="0.25">
      <c r="A2019" s="3"/>
    </row>
    <row r="2020" spans="1:1" x14ac:dyDescent="0.25">
      <c r="A2020" s="3"/>
    </row>
    <row r="2021" spans="1:1" x14ac:dyDescent="0.25">
      <c r="A2021" s="3"/>
    </row>
    <row r="2022" spans="1:1" x14ac:dyDescent="0.25">
      <c r="A2022" s="3"/>
    </row>
    <row r="2023" spans="1:1" x14ac:dyDescent="0.25">
      <c r="A2023" s="3"/>
    </row>
    <row r="2024" spans="1:1" x14ac:dyDescent="0.25">
      <c r="A2024" s="3"/>
    </row>
    <row r="2025" spans="1:1" x14ac:dyDescent="0.25">
      <c r="A2025" s="3"/>
    </row>
    <row r="2026" spans="1:1" x14ac:dyDescent="0.25">
      <c r="A2026" s="3"/>
    </row>
    <row r="2027" spans="1:1" x14ac:dyDescent="0.25">
      <c r="A2027" s="3"/>
    </row>
    <row r="2028" spans="1:1" x14ac:dyDescent="0.25">
      <c r="A2028" s="3"/>
    </row>
    <row r="2029" spans="1:1" x14ac:dyDescent="0.25">
      <c r="A2029" s="3"/>
    </row>
    <row r="2030" spans="1:1" x14ac:dyDescent="0.25">
      <c r="A2030" s="3"/>
    </row>
    <row r="2031" spans="1:1" x14ac:dyDescent="0.25">
      <c r="A2031" s="3"/>
    </row>
    <row r="2032" spans="1:1" x14ac:dyDescent="0.25">
      <c r="A2032" s="3"/>
    </row>
    <row r="2033" spans="1:1" x14ac:dyDescent="0.25">
      <c r="A2033" s="3"/>
    </row>
    <row r="2034" spans="1:1" x14ac:dyDescent="0.25">
      <c r="A2034" s="3"/>
    </row>
    <row r="2035" spans="1:1" x14ac:dyDescent="0.25">
      <c r="A2035" s="3"/>
    </row>
    <row r="2036" spans="1:1" x14ac:dyDescent="0.25">
      <c r="A2036" s="3"/>
    </row>
    <row r="2037" spans="1:1" x14ac:dyDescent="0.25">
      <c r="A2037" s="3"/>
    </row>
    <row r="2038" spans="1:1" x14ac:dyDescent="0.25">
      <c r="A2038" s="3"/>
    </row>
    <row r="2039" spans="1:1" x14ac:dyDescent="0.25">
      <c r="A2039" s="3"/>
    </row>
    <row r="2040" spans="1:1" x14ac:dyDescent="0.25">
      <c r="A2040" s="3"/>
    </row>
    <row r="2041" spans="1:1" x14ac:dyDescent="0.25">
      <c r="A2041" s="3"/>
    </row>
    <row r="2042" spans="1:1" x14ac:dyDescent="0.25">
      <c r="A2042" s="3"/>
    </row>
    <row r="2043" spans="1:1" x14ac:dyDescent="0.25">
      <c r="A2043" s="3"/>
    </row>
    <row r="2044" spans="1:1" x14ac:dyDescent="0.25">
      <c r="A2044" s="3"/>
    </row>
    <row r="2045" spans="1:1" x14ac:dyDescent="0.25">
      <c r="A2045" s="3"/>
    </row>
    <row r="2046" spans="1:1" x14ac:dyDescent="0.25">
      <c r="A2046" s="3"/>
    </row>
    <row r="2047" spans="1:1" x14ac:dyDescent="0.25">
      <c r="A2047" s="3"/>
    </row>
    <row r="2048" spans="1:1" x14ac:dyDescent="0.25">
      <c r="A2048" s="3"/>
    </row>
    <row r="2049" spans="1:1" x14ac:dyDescent="0.25">
      <c r="A2049" s="3"/>
    </row>
    <row r="2050" spans="1:1" x14ac:dyDescent="0.25">
      <c r="A2050" s="3"/>
    </row>
    <row r="2051" spans="1:1" x14ac:dyDescent="0.25">
      <c r="A2051" s="3"/>
    </row>
    <row r="2052" spans="1:1" x14ac:dyDescent="0.25">
      <c r="A2052" s="3"/>
    </row>
    <row r="2053" spans="1:1" x14ac:dyDescent="0.25">
      <c r="A2053" s="3"/>
    </row>
    <row r="2054" spans="1:1" x14ac:dyDescent="0.25">
      <c r="A2054" s="3"/>
    </row>
    <row r="2055" spans="1:1" x14ac:dyDescent="0.25">
      <c r="A2055" s="3"/>
    </row>
    <row r="2056" spans="1:1" x14ac:dyDescent="0.25">
      <c r="A2056" s="3"/>
    </row>
    <row r="2057" spans="1:1" x14ac:dyDescent="0.25">
      <c r="A2057" s="3"/>
    </row>
    <row r="2058" spans="1:1" x14ac:dyDescent="0.25">
      <c r="A2058" s="3"/>
    </row>
    <row r="2059" spans="1:1" x14ac:dyDescent="0.25">
      <c r="A2059" s="3"/>
    </row>
    <row r="2060" spans="1:1" x14ac:dyDescent="0.25">
      <c r="A2060" s="3"/>
    </row>
    <row r="2061" spans="1:1" x14ac:dyDescent="0.25">
      <c r="A2061" s="3"/>
    </row>
    <row r="2062" spans="1:1" x14ac:dyDescent="0.25">
      <c r="A2062" s="3"/>
    </row>
    <row r="2063" spans="1:1" x14ac:dyDescent="0.25">
      <c r="A2063" s="3"/>
    </row>
    <row r="2064" spans="1:1" x14ac:dyDescent="0.25">
      <c r="A2064" s="3"/>
    </row>
    <row r="2065" spans="1:1" x14ac:dyDescent="0.25">
      <c r="A2065" s="3"/>
    </row>
    <row r="2066" spans="1:1" x14ac:dyDescent="0.25">
      <c r="A2066" s="3"/>
    </row>
    <row r="2067" spans="1:1" x14ac:dyDescent="0.25">
      <c r="A2067" s="3"/>
    </row>
    <row r="2068" spans="1:1" x14ac:dyDescent="0.25">
      <c r="A2068" s="3"/>
    </row>
    <row r="2069" spans="1:1" x14ac:dyDescent="0.25">
      <c r="A2069" s="3"/>
    </row>
    <row r="2070" spans="1:1" x14ac:dyDescent="0.25">
      <c r="A2070" s="3"/>
    </row>
    <row r="2071" spans="1:1" x14ac:dyDescent="0.25">
      <c r="A2071" s="3"/>
    </row>
    <row r="2072" spans="1:1" x14ac:dyDescent="0.25">
      <c r="A2072" s="3"/>
    </row>
    <row r="2073" spans="1:1" x14ac:dyDescent="0.25">
      <c r="A2073" s="3"/>
    </row>
    <row r="2074" spans="1:1" x14ac:dyDescent="0.25">
      <c r="A2074" s="3"/>
    </row>
    <row r="2075" spans="1:1" x14ac:dyDescent="0.25">
      <c r="A2075" s="3"/>
    </row>
    <row r="2076" spans="1:1" x14ac:dyDescent="0.25">
      <c r="A2076" s="3"/>
    </row>
    <row r="2077" spans="1:1" x14ac:dyDescent="0.25">
      <c r="A2077" s="3"/>
    </row>
    <row r="2078" spans="1:1" x14ac:dyDescent="0.25">
      <c r="A2078" s="3"/>
    </row>
    <row r="2079" spans="1:1" x14ac:dyDescent="0.25">
      <c r="A2079" s="3"/>
    </row>
    <row r="2080" spans="1:1" x14ac:dyDescent="0.25">
      <c r="A2080" s="3"/>
    </row>
    <row r="2081" spans="1:1" x14ac:dyDescent="0.25">
      <c r="A2081" s="3"/>
    </row>
    <row r="2082" spans="1:1" x14ac:dyDescent="0.25">
      <c r="A2082" s="3"/>
    </row>
    <row r="2083" spans="1:1" x14ac:dyDescent="0.25">
      <c r="A2083" s="3"/>
    </row>
    <row r="2084" spans="1:1" x14ac:dyDescent="0.25">
      <c r="A2084" s="3"/>
    </row>
    <row r="2085" spans="1:1" x14ac:dyDescent="0.25">
      <c r="A2085" s="3"/>
    </row>
    <row r="2086" spans="1:1" x14ac:dyDescent="0.25">
      <c r="A2086" s="3"/>
    </row>
    <row r="2087" spans="1:1" x14ac:dyDescent="0.25">
      <c r="A2087" s="3"/>
    </row>
    <row r="2088" spans="1:1" x14ac:dyDescent="0.25">
      <c r="A2088" s="3"/>
    </row>
    <row r="2089" spans="1:1" x14ac:dyDescent="0.25">
      <c r="A2089" s="3"/>
    </row>
    <row r="2090" spans="1:1" x14ac:dyDescent="0.25">
      <c r="A2090" s="3"/>
    </row>
    <row r="2091" spans="1:1" x14ac:dyDescent="0.25">
      <c r="A2091" s="3"/>
    </row>
    <row r="2092" spans="1:1" x14ac:dyDescent="0.25">
      <c r="A2092" s="3"/>
    </row>
    <row r="2093" spans="1:1" x14ac:dyDescent="0.25">
      <c r="A2093" s="3"/>
    </row>
    <row r="2094" spans="1:1" x14ac:dyDescent="0.25">
      <c r="A2094" s="3"/>
    </row>
    <row r="2095" spans="1:1" x14ac:dyDescent="0.25">
      <c r="A2095" s="3"/>
    </row>
    <row r="2096" spans="1:1" x14ac:dyDescent="0.25">
      <c r="A2096" s="3"/>
    </row>
    <row r="2097" spans="1:1" x14ac:dyDescent="0.25">
      <c r="A2097" s="3"/>
    </row>
    <row r="2098" spans="1:1" x14ac:dyDescent="0.25">
      <c r="A2098" s="3"/>
    </row>
    <row r="2099" spans="1:1" x14ac:dyDescent="0.25">
      <c r="A2099" s="3"/>
    </row>
    <row r="2100" spans="1:1" x14ac:dyDescent="0.25">
      <c r="A2100" s="3"/>
    </row>
    <row r="2101" spans="1:1" x14ac:dyDescent="0.25">
      <c r="A2101" s="3"/>
    </row>
    <row r="2102" spans="1:1" x14ac:dyDescent="0.25">
      <c r="A2102" s="3"/>
    </row>
    <row r="2103" spans="1:1" x14ac:dyDescent="0.25">
      <c r="A2103" s="3"/>
    </row>
    <row r="2104" spans="1:1" x14ac:dyDescent="0.25">
      <c r="A2104" s="3"/>
    </row>
    <row r="2105" spans="1:1" x14ac:dyDescent="0.25">
      <c r="A2105" s="3"/>
    </row>
    <row r="2106" spans="1:1" x14ac:dyDescent="0.25">
      <c r="A2106" s="3"/>
    </row>
    <row r="2107" spans="1:1" x14ac:dyDescent="0.25">
      <c r="A2107" s="3"/>
    </row>
    <row r="2108" spans="1:1" x14ac:dyDescent="0.25">
      <c r="A2108" s="3"/>
    </row>
    <row r="2109" spans="1:1" x14ac:dyDescent="0.25">
      <c r="A2109" s="3"/>
    </row>
    <row r="2110" spans="1:1" x14ac:dyDescent="0.25">
      <c r="A2110" s="3"/>
    </row>
    <row r="2111" spans="1:1" x14ac:dyDescent="0.25">
      <c r="A2111" s="3"/>
    </row>
    <row r="2112" spans="1:1" x14ac:dyDescent="0.25">
      <c r="A2112" s="3"/>
    </row>
    <row r="2113" spans="1:1" x14ac:dyDescent="0.25">
      <c r="A2113" s="3"/>
    </row>
    <row r="2114" spans="1:1" x14ac:dyDescent="0.25">
      <c r="A2114" s="3"/>
    </row>
    <row r="2115" spans="1:1" x14ac:dyDescent="0.25">
      <c r="A2115" s="3"/>
    </row>
    <row r="2116" spans="1:1" x14ac:dyDescent="0.25">
      <c r="A2116" s="3"/>
    </row>
    <row r="2117" spans="1:1" x14ac:dyDescent="0.25">
      <c r="A2117" s="3"/>
    </row>
    <row r="2118" spans="1:1" x14ac:dyDescent="0.25">
      <c r="A2118" s="3"/>
    </row>
    <row r="2119" spans="1:1" x14ac:dyDescent="0.25">
      <c r="A2119" s="3"/>
    </row>
    <row r="2120" spans="1:1" x14ac:dyDescent="0.25">
      <c r="A2120" s="3"/>
    </row>
    <row r="2121" spans="1:1" x14ac:dyDescent="0.25">
      <c r="A2121" s="3"/>
    </row>
    <row r="2122" spans="1:1" x14ac:dyDescent="0.25">
      <c r="A2122" s="3"/>
    </row>
    <row r="2123" spans="1:1" x14ac:dyDescent="0.25">
      <c r="A2123" s="3"/>
    </row>
    <row r="2124" spans="1:1" x14ac:dyDescent="0.25">
      <c r="A2124" s="3"/>
    </row>
    <row r="2125" spans="1:1" x14ac:dyDescent="0.25">
      <c r="A2125" s="3"/>
    </row>
    <row r="2126" spans="1:1" x14ac:dyDescent="0.25">
      <c r="A2126" s="3"/>
    </row>
    <row r="2127" spans="1:1" x14ac:dyDescent="0.25">
      <c r="A2127" s="3"/>
    </row>
    <row r="2128" spans="1:1" x14ac:dyDescent="0.25">
      <c r="A2128" s="3"/>
    </row>
    <row r="2129" spans="1:1" x14ac:dyDescent="0.25">
      <c r="A2129" s="3"/>
    </row>
    <row r="2130" spans="1:1" x14ac:dyDescent="0.25">
      <c r="A2130" s="3"/>
    </row>
    <row r="2131" spans="1:1" x14ac:dyDescent="0.25">
      <c r="A2131" s="3"/>
    </row>
    <row r="2132" spans="1:1" x14ac:dyDescent="0.25">
      <c r="A2132" s="3"/>
    </row>
    <row r="2133" spans="1:1" x14ac:dyDescent="0.25">
      <c r="A2133" s="3"/>
    </row>
    <row r="2134" spans="1:1" x14ac:dyDescent="0.25">
      <c r="A2134" s="3"/>
    </row>
    <row r="2135" spans="1:1" x14ac:dyDescent="0.25">
      <c r="A2135" s="3"/>
    </row>
    <row r="2136" spans="1:1" x14ac:dyDescent="0.25">
      <c r="A2136" s="3"/>
    </row>
    <row r="2137" spans="1:1" x14ac:dyDescent="0.25">
      <c r="A2137" s="3"/>
    </row>
    <row r="2138" spans="1:1" x14ac:dyDescent="0.25">
      <c r="A2138" s="3"/>
    </row>
    <row r="2139" spans="1:1" x14ac:dyDescent="0.25">
      <c r="A2139" s="3"/>
    </row>
    <row r="2140" spans="1:1" x14ac:dyDescent="0.25">
      <c r="A2140" s="3"/>
    </row>
    <row r="2141" spans="1:1" x14ac:dyDescent="0.25">
      <c r="A2141" s="3"/>
    </row>
    <row r="2142" spans="1:1" x14ac:dyDescent="0.25">
      <c r="A2142" s="3"/>
    </row>
    <row r="2143" spans="1:1" x14ac:dyDescent="0.25">
      <c r="A2143" s="3"/>
    </row>
    <row r="2144" spans="1:1" x14ac:dyDescent="0.25">
      <c r="A2144" s="3"/>
    </row>
    <row r="2145" spans="1:1" x14ac:dyDescent="0.25">
      <c r="A2145" s="3"/>
    </row>
    <row r="2146" spans="1:1" x14ac:dyDescent="0.25">
      <c r="A2146" s="3"/>
    </row>
    <row r="2147" spans="1:1" x14ac:dyDescent="0.25">
      <c r="A2147" s="3"/>
    </row>
    <row r="2148" spans="1:1" x14ac:dyDescent="0.25">
      <c r="A2148" s="3"/>
    </row>
    <row r="2149" spans="1:1" x14ac:dyDescent="0.25">
      <c r="A2149" s="3"/>
    </row>
    <row r="2150" spans="1:1" x14ac:dyDescent="0.25">
      <c r="A2150" s="3"/>
    </row>
    <row r="2151" spans="1:1" x14ac:dyDescent="0.25">
      <c r="A2151" s="3"/>
    </row>
    <row r="2152" spans="1:1" x14ac:dyDescent="0.25">
      <c r="A2152" s="3"/>
    </row>
    <row r="2153" spans="1:1" x14ac:dyDescent="0.25">
      <c r="A2153" s="3"/>
    </row>
    <row r="2154" spans="1:1" x14ac:dyDescent="0.25">
      <c r="A2154" s="3"/>
    </row>
    <row r="2155" spans="1:1" x14ac:dyDescent="0.25">
      <c r="A2155" s="3"/>
    </row>
    <row r="2156" spans="1:1" x14ac:dyDescent="0.25">
      <c r="A2156" s="3"/>
    </row>
    <row r="2157" spans="1:1" x14ac:dyDescent="0.25">
      <c r="A2157" s="3"/>
    </row>
    <row r="2158" spans="1:1" x14ac:dyDescent="0.25">
      <c r="A2158" s="3"/>
    </row>
    <row r="2159" spans="1:1" x14ac:dyDescent="0.25">
      <c r="A2159" s="3"/>
    </row>
    <row r="2160" spans="1:1" x14ac:dyDescent="0.25">
      <c r="A2160" s="3"/>
    </row>
    <row r="2161" spans="1:1" x14ac:dyDescent="0.25">
      <c r="A2161" s="3"/>
    </row>
    <row r="2162" spans="1:1" x14ac:dyDescent="0.25">
      <c r="A2162" s="3"/>
    </row>
    <row r="2163" spans="1:1" x14ac:dyDescent="0.25">
      <c r="A2163" s="3"/>
    </row>
    <row r="2164" spans="1:1" x14ac:dyDescent="0.25">
      <c r="A2164" s="3"/>
    </row>
    <row r="2165" spans="1:1" x14ac:dyDescent="0.25">
      <c r="A2165" s="3"/>
    </row>
    <row r="2166" spans="1:1" x14ac:dyDescent="0.25">
      <c r="A2166" s="3"/>
    </row>
    <row r="2167" spans="1:1" x14ac:dyDescent="0.25">
      <c r="A2167" s="3"/>
    </row>
    <row r="2168" spans="1:1" x14ac:dyDescent="0.25">
      <c r="A2168" s="3"/>
    </row>
    <row r="2169" spans="1:1" x14ac:dyDescent="0.25">
      <c r="A2169" s="3"/>
    </row>
    <row r="2170" spans="1:1" x14ac:dyDescent="0.25">
      <c r="A2170" s="3"/>
    </row>
    <row r="2171" spans="1:1" x14ac:dyDescent="0.25">
      <c r="A2171" s="3"/>
    </row>
    <row r="2172" spans="1:1" x14ac:dyDescent="0.25">
      <c r="A2172" s="3"/>
    </row>
    <row r="2173" spans="1:1" x14ac:dyDescent="0.25">
      <c r="A2173" s="3"/>
    </row>
    <row r="2174" spans="1:1" x14ac:dyDescent="0.25">
      <c r="A2174" s="3"/>
    </row>
    <row r="2175" spans="1:1" x14ac:dyDescent="0.25">
      <c r="A2175" s="3"/>
    </row>
    <row r="2176" spans="1:1" x14ac:dyDescent="0.25">
      <c r="A2176" s="3"/>
    </row>
    <row r="2177" spans="1:1" x14ac:dyDescent="0.25">
      <c r="A2177" s="3"/>
    </row>
    <row r="2178" spans="1:1" x14ac:dyDescent="0.25">
      <c r="A2178" s="3"/>
    </row>
    <row r="2179" spans="1:1" x14ac:dyDescent="0.25">
      <c r="A2179" s="3"/>
    </row>
    <row r="2180" spans="1:1" x14ac:dyDescent="0.25">
      <c r="A2180" s="3"/>
    </row>
    <row r="2181" spans="1:1" x14ac:dyDescent="0.25">
      <c r="A2181" s="3"/>
    </row>
    <row r="2182" spans="1:1" x14ac:dyDescent="0.25">
      <c r="A2182" s="3"/>
    </row>
    <row r="2183" spans="1:1" x14ac:dyDescent="0.25">
      <c r="A2183" s="3"/>
    </row>
    <row r="2184" spans="1:1" x14ac:dyDescent="0.25">
      <c r="A2184" s="3"/>
    </row>
    <row r="2185" spans="1:1" x14ac:dyDescent="0.25">
      <c r="A2185" s="3"/>
    </row>
    <row r="2186" spans="1:1" x14ac:dyDescent="0.25">
      <c r="A2186" s="3"/>
    </row>
    <row r="2187" spans="1:1" x14ac:dyDescent="0.25">
      <c r="A2187" s="3"/>
    </row>
    <row r="2188" spans="1:1" x14ac:dyDescent="0.25">
      <c r="A2188" s="3"/>
    </row>
    <row r="2189" spans="1:1" x14ac:dyDescent="0.25">
      <c r="A2189" s="3"/>
    </row>
    <row r="2190" spans="1:1" x14ac:dyDescent="0.25">
      <c r="A2190" s="3"/>
    </row>
    <row r="2191" spans="1:1" x14ac:dyDescent="0.25">
      <c r="A2191" s="3"/>
    </row>
    <row r="2192" spans="1:1" x14ac:dyDescent="0.25">
      <c r="A2192" s="3"/>
    </row>
    <row r="2193" spans="1:1" x14ac:dyDescent="0.25">
      <c r="A2193" s="3"/>
    </row>
    <row r="2194" spans="1:1" x14ac:dyDescent="0.25">
      <c r="A2194" s="3"/>
    </row>
    <row r="2195" spans="1:1" x14ac:dyDescent="0.25">
      <c r="A2195" s="3"/>
    </row>
    <row r="2196" spans="1:1" x14ac:dyDescent="0.25">
      <c r="A2196" s="3"/>
    </row>
    <row r="2197" spans="1:1" x14ac:dyDescent="0.25">
      <c r="A2197" s="3"/>
    </row>
    <row r="2198" spans="1:1" x14ac:dyDescent="0.25">
      <c r="A2198" s="3"/>
    </row>
    <row r="2199" spans="1:1" x14ac:dyDescent="0.25">
      <c r="A2199" s="3"/>
    </row>
    <row r="2200" spans="1:1" x14ac:dyDescent="0.25">
      <c r="A2200" s="3"/>
    </row>
    <row r="2201" spans="1:1" x14ac:dyDescent="0.25">
      <c r="A2201" s="3"/>
    </row>
    <row r="2202" spans="1:1" x14ac:dyDescent="0.25">
      <c r="A2202" s="3"/>
    </row>
    <row r="2203" spans="1:1" x14ac:dyDescent="0.25">
      <c r="A2203" s="3"/>
    </row>
    <row r="2204" spans="1:1" x14ac:dyDescent="0.25">
      <c r="A2204" s="3"/>
    </row>
    <row r="2205" spans="1:1" x14ac:dyDescent="0.25">
      <c r="A2205" s="3"/>
    </row>
    <row r="2206" spans="1:1" x14ac:dyDescent="0.25">
      <c r="A2206" s="3"/>
    </row>
    <row r="2207" spans="1:1" x14ac:dyDescent="0.25">
      <c r="A2207" s="3"/>
    </row>
    <row r="2208" spans="1:1" x14ac:dyDescent="0.25">
      <c r="A2208" s="3"/>
    </row>
    <row r="2209" spans="1:1" x14ac:dyDescent="0.25">
      <c r="A2209" s="3"/>
    </row>
    <row r="2210" spans="1:1" x14ac:dyDescent="0.25">
      <c r="A2210" s="3"/>
    </row>
    <row r="2211" spans="1:1" x14ac:dyDescent="0.25">
      <c r="A2211" s="3"/>
    </row>
    <row r="2212" spans="1:1" x14ac:dyDescent="0.25">
      <c r="A2212" s="3"/>
    </row>
    <row r="2213" spans="1:1" x14ac:dyDescent="0.25">
      <c r="A2213" s="3"/>
    </row>
    <row r="2214" spans="1:1" x14ac:dyDescent="0.25">
      <c r="A2214" s="3"/>
    </row>
    <row r="2215" spans="1:1" x14ac:dyDescent="0.25">
      <c r="A2215" s="3"/>
    </row>
    <row r="2216" spans="1:1" x14ac:dyDescent="0.25">
      <c r="A2216" s="3"/>
    </row>
    <row r="2217" spans="1:1" x14ac:dyDescent="0.25">
      <c r="A2217" s="3"/>
    </row>
    <row r="2218" spans="1:1" x14ac:dyDescent="0.25">
      <c r="A2218" s="3"/>
    </row>
    <row r="2219" spans="1:1" x14ac:dyDescent="0.25">
      <c r="A2219" s="3"/>
    </row>
    <row r="2220" spans="1:1" x14ac:dyDescent="0.25">
      <c r="A2220" s="3"/>
    </row>
    <row r="2221" spans="1:1" x14ac:dyDescent="0.25">
      <c r="A2221" s="3"/>
    </row>
    <row r="2222" spans="1:1" x14ac:dyDescent="0.25">
      <c r="A2222" s="3"/>
    </row>
    <row r="2223" spans="1:1" x14ac:dyDescent="0.25">
      <c r="A2223" s="3"/>
    </row>
    <row r="2224" spans="1:1" x14ac:dyDescent="0.25">
      <c r="A2224" s="3"/>
    </row>
    <row r="2225" spans="1:1" x14ac:dyDescent="0.25">
      <c r="A2225" s="3"/>
    </row>
    <row r="2226" spans="1:1" x14ac:dyDescent="0.25">
      <c r="A2226" s="3"/>
    </row>
    <row r="2227" spans="1:1" x14ac:dyDescent="0.25">
      <c r="A2227" s="3"/>
    </row>
    <row r="2228" spans="1:1" x14ac:dyDescent="0.25">
      <c r="A2228" s="3"/>
    </row>
    <row r="2229" spans="1:1" x14ac:dyDescent="0.25">
      <c r="A2229" s="3"/>
    </row>
    <row r="2230" spans="1:1" x14ac:dyDescent="0.25">
      <c r="A2230" s="3"/>
    </row>
    <row r="2231" spans="1:1" x14ac:dyDescent="0.25">
      <c r="A2231" s="3"/>
    </row>
    <row r="2232" spans="1:1" x14ac:dyDescent="0.25">
      <c r="A2232" s="3"/>
    </row>
    <row r="2233" spans="1:1" x14ac:dyDescent="0.25">
      <c r="A2233" s="3"/>
    </row>
    <row r="2234" spans="1:1" x14ac:dyDescent="0.25">
      <c r="A2234" s="3"/>
    </row>
    <row r="2235" spans="1:1" x14ac:dyDescent="0.25">
      <c r="A2235" s="3"/>
    </row>
    <row r="2236" spans="1:1" x14ac:dyDescent="0.25">
      <c r="A2236" s="3"/>
    </row>
    <row r="2237" spans="1:1" x14ac:dyDescent="0.25">
      <c r="A2237" s="3"/>
    </row>
    <row r="2238" spans="1:1" x14ac:dyDescent="0.25">
      <c r="A2238" s="3"/>
    </row>
    <row r="2239" spans="1:1" x14ac:dyDescent="0.25">
      <c r="A2239" s="3"/>
    </row>
    <row r="2240" spans="1:1" x14ac:dyDescent="0.25">
      <c r="A2240" s="3"/>
    </row>
    <row r="2241" spans="1:1" x14ac:dyDescent="0.25">
      <c r="A2241" s="3"/>
    </row>
    <row r="2242" spans="1:1" x14ac:dyDescent="0.25">
      <c r="A2242" s="3"/>
    </row>
    <row r="2243" spans="1:1" x14ac:dyDescent="0.25">
      <c r="A2243" s="3"/>
    </row>
    <row r="2244" spans="1:1" x14ac:dyDescent="0.25">
      <c r="A2244" s="3"/>
    </row>
    <row r="2245" spans="1:1" x14ac:dyDescent="0.25">
      <c r="A2245" s="3"/>
    </row>
    <row r="2246" spans="1:1" x14ac:dyDescent="0.25">
      <c r="A2246" s="3"/>
    </row>
    <row r="2247" spans="1:1" x14ac:dyDescent="0.25">
      <c r="A2247" s="3"/>
    </row>
    <row r="2248" spans="1:1" x14ac:dyDescent="0.25">
      <c r="A2248" s="3"/>
    </row>
    <row r="2249" spans="1:1" x14ac:dyDescent="0.25">
      <c r="A2249" s="3"/>
    </row>
    <row r="2250" spans="1:1" x14ac:dyDescent="0.25">
      <c r="A2250" s="3"/>
    </row>
    <row r="2251" spans="1:1" x14ac:dyDescent="0.25">
      <c r="A2251" s="3"/>
    </row>
    <row r="2252" spans="1:1" x14ac:dyDescent="0.25">
      <c r="A2252" s="3"/>
    </row>
    <row r="2253" spans="1:1" x14ac:dyDescent="0.25">
      <c r="A2253" s="3"/>
    </row>
    <row r="2254" spans="1:1" x14ac:dyDescent="0.25">
      <c r="A2254" s="3"/>
    </row>
    <row r="2255" spans="1:1" x14ac:dyDescent="0.25">
      <c r="A2255" s="3"/>
    </row>
    <row r="2256" spans="1:1" x14ac:dyDescent="0.25">
      <c r="A2256" s="3"/>
    </row>
    <row r="2257" spans="1:1" x14ac:dyDescent="0.25">
      <c r="A2257" s="3"/>
    </row>
    <row r="2258" spans="1:1" x14ac:dyDescent="0.25">
      <c r="A2258" s="3"/>
    </row>
    <row r="2259" spans="1:1" x14ac:dyDescent="0.25">
      <c r="A2259" s="3"/>
    </row>
    <row r="2260" spans="1:1" x14ac:dyDescent="0.25">
      <c r="A2260" s="3"/>
    </row>
    <row r="2261" spans="1:1" x14ac:dyDescent="0.25">
      <c r="A2261" s="3"/>
    </row>
    <row r="2262" spans="1:1" x14ac:dyDescent="0.25">
      <c r="A2262" s="3"/>
    </row>
    <row r="2263" spans="1:1" x14ac:dyDescent="0.25">
      <c r="A2263" s="3"/>
    </row>
    <row r="2264" spans="1:1" x14ac:dyDescent="0.25">
      <c r="A2264" s="3"/>
    </row>
    <row r="2265" spans="1:1" x14ac:dyDescent="0.25">
      <c r="A2265" s="3"/>
    </row>
    <row r="2266" spans="1:1" x14ac:dyDescent="0.25">
      <c r="A2266" s="3"/>
    </row>
    <row r="2267" spans="1:1" x14ac:dyDescent="0.25">
      <c r="A2267" s="3"/>
    </row>
    <row r="2268" spans="1:1" x14ac:dyDescent="0.25">
      <c r="A2268" s="3"/>
    </row>
    <row r="2269" spans="1:1" x14ac:dyDescent="0.25">
      <c r="A2269" s="3"/>
    </row>
    <row r="2270" spans="1:1" x14ac:dyDescent="0.25">
      <c r="A2270" s="3"/>
    </row>
    <row r="2271" spans="1:1" x14ac:dyDescent="0.25">
      <c r="A2271" s="3"/>
    </row>
    <row r="2272" spans="1:1" x14ac:dyDescent="0.25">
      <c r="A2272" s="3"/>
    </row>
    <row r="2273" spans="1:1" x14ac:dyDescent="0.25">
      <c r="A2273" s="3"/>
    </row>
    <row r="2274" spans="1:1" x14ac:dyDescent="0.25">
      <c r="A2274" s="3"/>
    </row>
    <row r="2275" spans="1:1" x14ac:dyDescent="0.25">
      <c r="A2275" s="3"/>
    </row>
    <row r="2276" spans="1:1" x14ac:dyDescent="0.25">
      <c r="A2276" s="3"/>
    </row>
    <row r="2277" spans="1:1" x14ac:dyDescent="0.25">
      <c r="A2277" s="3"/>
    </row>
    <row r="2278" spans="1:1" x14ac:dyDescent="0.25">
      <c r="A2278" s="3"/>
    </row>
    <row r="2279" spans="1:1" x14ac:dyDescent="0.25">
      <c r="A2279" s="3"/>
    </row>
    <row r="2280" spans="1:1" x14ac:dyDescent="0.25">
      <c r="A2280" s="3"/>
    </row>
    <row r="2281" spans="1:1" x14ac:dyDescent="0.25">
      <c r="A2281" s="3"/>
    </row>
    <row r="2282" spans="1:1" x14ac:dyDescent="0.25">
      <c r="A2282" s="3"/>
    </row>
    <row r="2283" spans="1:1" x14ac:dyDescent="0.25">
      <c r="A2283" s="3"/>
    </row>
    <row r="2284" spans="1:1" x14ac:dyDescent="0.25">
      <c r="A2284" s="3"/>
    </row>
    <row r="2285" spans="1:1" x14ac:dyDescent="0.25">
      <c r="A2285" s="3"/>
    </row>
    <row r="2286" spans="1:1" x14ac:dyDescent="0.25">
      <c r="A2286" s="3"/>
    </row>
    <row r="2287" spans="1:1" x14ac:dyDescent="0.25">
      <c r="A2287" s="3"/>
    </row>
    <row r="2288" spans="1:1" x14ac:dyDescent="0.25">
      <c r="A2288" s="3"/>
    </row>
    <row r="2289" spans="1:1" x14ac:dyDescent="0.25">
      <c r="A2289" s="3"/>
    </row>
    <row r="2290" spans="1:1" x14ac:dyDescent="0.25">
      <c r="A2290" s="3"/>
    </row>
    <row r="2291" spans="1:1" x14ac:dyDescent="0.25">
      <c r="A2291" s="3"/>
    </row>
    <row r="2292" spans="1:1" x14ac:dyDescent="0.25">
      <c r="A2292" s="3"/>
    </row>
    <row r="2293" spans="1:1" x14ac:dyDescent="0.25">
      <c r="A2293" s="3"/>
    </row>
    <row r="2294" spans="1:1" x14ac:dyDescent="0.25">
      <c r="A2294" s="3"/>
    </row>
    <row r="2295" spans="1:1" x14ac:dyDescent="0.25">
      <c r="A2295" s="3"/>
    </row>
    <row r="2296" spans="1:1" x14ac:dyDescent="0.25">
      <c r="A2296" s="3"/>
    </row>
    <row r="2297" spans="1:1" x14ac:dyDescent="0.25">
      <c r="A2297" s="3"/>
    </row>
    <row r="2298" spans="1:1" x14ac:dyDescent="0.25">
      <c r="A2298" s="3"/>
    </row>
    <row r="2299" spans="1:1" x14ac:dyDescent="0.25">
      <c r="A2299" s="3"/>
    </row>
    <row r="2300" spans="1:1" x14ac:dyDescent="0.25">
      <c r="A2300" s="3"/>
    </row>
    <row r="2301" spans="1:1" x14ac:dyDescent="0.25">
      <c r="A2301" s="3"/>
    </row>
    <row r="2302" spans="1:1" x14ac:dyDescent="0.25">
      <c r="A2302" s="3"/>
    </row>
    <row r="2303" spans="1:1" x14ac:dyDescent="0.25">
      <c r="A2303" s="3"/>
    </row>
    <row r="2304" spans="1:1" x14ac:dyDescent="0.25">
      <c r="A2304" s="3"/>
    </row>
    <row r="2305" spans="1:1" x14ac:dyDescent="0.25">
      <c r="A2305" s="3"/>
    </row>
    <row r="2306" spans="1:1" x14ac:dyDescent="0.25">
      <c r="A2306" s="3"/>
    </row>
    <row r="2307" spans="1:1" x14ac:dyDescent="0.25">
      <c r="A2307" s="3"/>
    </row>
    <row r="2308" spans="1:1" x14ac:dyDescent="0.25">
      <c r="A2308" s="3"/>
    </row>
    <row r="2309" spans="1:1" x14ac:dyDescent="0.25">
      <c r="A2309" s="3"/>
    </row>
    <row r="2310" spans="1:1" x14ac:dyDescent="0.25">
      <c r="A2310" s="3"/>
    </row>
    <row r="2311" spans="1:1" x14ac:dyDescent="0.25">
      <c r="A2311" s="3"/>
    </row>
    <row r="2312" spans="1:1" x14ac:dyDescent="0.25">
      <c r="A2312" s="3"/>
    </row>
    <row r="2313" spans="1:1" x14ac:dyDescent="0.25">
      <c r="A2313" s="3"/>
    </row>
    <row r="2314" spans="1:1" x14ac:dyDescent="0.25">
      <c r="A2314" s="3"/>
    </row>
    <row r="2315" spans="1:1" x14ac:dyDescent="0.25">
      <c r="A2315" s="3"/>
    </row>
    <row r="2316" spans="1:1" x14ac:dyDescent="0.25">
      <c r="A2316" s="3"/>
    </row>
    <row r="2317" spans="1:1" x14ac:dyDescent="0.25">
      <c r="A2317" s="3"/>
    </row>
    <row r="2318" spans="1:1" x14ac:dyDescent="0.25">
      <c r="A2318" s="3"/>
    </row>
    <row r="2319" spans="1:1" x14ac:dyDescent="0.25">
      <c r="A2319" s="3"/>
    </row>
    <row r="2320" spans="1:1" x14ac:dyDescent="0.25">
      <c r="A2320" s="3"/>
    </row>
    <row r="2321" spans="1:1" x14ac:dyDescent="0.25">
      <c r="A2321" s="3"/>
    </row>
    <row r="2322" spans="1:1" x14ac:dyDescent="0.25">
      <c r="A2322" s="3"/>
    </row>
    <row r="2323" spans="1:1" x14ac:dyDescent="0.25">
      <c r="A2323" s="3"/>
    </row>
    <row r="2324" spans="1:1" x14ac:dyDescent="0.25">
      <c r="A2324" s="3"/>
    </row>
    <row r="2325" spans="1:1" x14ac:dyDescent="0.25">
      <c r="A2325" s="3"/>
    </row>
    <row r="2326" spans="1:1" x14ac:dyDescent="0.25">
      <c r="A2326" s="3"/>
    </row>
    <row r="2327" spans="1:1" x14ac:dyDescent="0.25">
      <c r="A2327" s="3"/>
    </row>
    <row r="2328" spans="1:1" x14ac:dyDescent="0.25">
      <c r="A2328" s="3"/>
    </row>
    <row r="2329" spans="1:1" x14ac:dyDescent="0.25">
      <c r="A2329" s="3"/>
    </row>
    <row r="2330" spans="1:1" x14ac:dyDescent="0.25">
      <c r="A2330" s="3"/>
    </row>
    <row r="2331" spans="1:1" x14ac:dyDescent="0.25">
      <c r="A2331" s="3"/>
    </row>
    <row r="2332" spans="1:1" x14ac:dyDescent="0.25">
      <c r="A2332" s="3"/>
    </row>
    <row r="2333" spans="1:1" x14ac:dyDescent="0.25">
      <c r="A2333" s="3"/>
    </row>
    <row r="2334" spans="1:1" x14ac:dyDescent="0.25">
      <c r="A2334" s="3"/>
    </row>
    <row r="2335" spans="1:1" x14ac:dyDescent="0.25">
      <c r="A2335" s="3"/>
    </row>
    <row r="2336" spans="1:1" x14ac:dyDescent="0.25">
      <c r="A2336" s="3"/>
    </row>
    <row r="2337" spans="1:1" x14ac:dyDescent="0.25">
      <c r="A2337" s="3"/>
    </row>
    <row r="2338" spans="1:1" x14ac:dyDescent="0.25">
      <c r="A2338" s="3"/>
    </row>
    <row r="2339" spans="1:1" x14ac:dyDescent="0.25">
      <c r="A2339" s="3"/>
    </row>
    <row r="2340" spans="1:1" x14ac:dyDescent="0.25">
      <c r="A2340" s="3"/>
    </row>
    <row r="2341" spans="1:1" x14ac:dyDescent="0.25">
      <c r="A2341" s="3"/>
    </row>
    <row r="2342" spans="1:1" x14ac:dyDescent="0.25">
      <c r="A2342" s="3"/>
    </row>
    <row r="2343" spans="1:1" x14ac:dyDescent="0.25">
      <c r="A2343" s="3"/>
    </row>
    <row r="2344" spans="1:1" x14ac:dyDescent="0.25">
      <c r="A2344" s="3"/>
    </row>
    <row r="2345" spans="1:1" x14ac:dyDescent="0.25">
      <c r="A2345" s="3"/>
    </row>
    <row r="2346" spans="1:1" x14ac:dyDescent="0.25">
      <c r="A2346" s="3"/>
    </row>
    <row r="2347" spans="1:1" x14ac:dyDescent="0.25">
      <c r="A2347" s="3"/>
    </row>
    <row r="2348" spans="1:1" x14ac:dyDescent="0.25">
      <c r="A2348" s="3"/>
    </row>
    <row r="2349" spans="1:1" x14ac:dyDescent="0.25">
      <c r="A2349" s="3"/>
    </row>
    <row r="2350" spans="1:1" x14ac:dyDescent="0.25">
      <c r="A2350" s="3"/>
    </row>
    <row r="2351" spans="1:1" x14ac:dyDescent="0.25">
      <c r="A2351" s="3"/>
    </row>
    <row r="2352" spans="1:1" x14ac:dyDescent="0.25">
      <c r="A2352" s="3"/>
    </row>
    <row r="2353" spans="1:1" x14ac:dyDescent="0.25">
      <c r="A2353" s="3"/>
    </row>
    <row r="2354" spans="1:1" x14ac:dyDescent="0.25">
      <c r="A2354" s="3"/>
    </row>
    <row r="2355" spans="1:1" x14ac:dyDescent="0.25">
      <c r="A2355" s="3"/>
    </row>
    <row r="2356" spans="1:1" x14ac:dyDescent="0.25">
      <c r="A2356" s="3"/>
    </row>
    <row r="2357" spans="1:1" x14ac:dyDescent="0.25">
      <c r="A2357" s="3"/>
    </row>
    <row r="2358" spans="1:1" x14ac:dyDescent="0.25">
      <c r="A2358" s="3"/>
    </row>
    <row r="2359" spans="1:1" x14ac:dyDescent="0.25">
      <c r="A2359" s="3"/>
    </row>
    <row r="2360" spans="1:1" x14ac:dyDescent="0.25">
      <c r="A2360" s="3"/>
    </row>
    <row r="2361" spans="1:1" x14ac:dyDescent="0.25">
      <c r="A2361" s="3"/>
    </row>
    <row r="2362" spans="1:1" x14ac:dyDescent="0.25">
      <c r="A2362" s="3"/>
    </row>
    <row r="2363" spans="1:1" x14ac:dyDescent="0.25">
      <c r="A2363" s="3"/>
    </row>
    <row r="2364" spans="1:1" x14ac:dyDescent="0.25">
      <c r="A2364" s="3"/>
    </row>
    <row r="2365" spans="1:1" x14ac:dyDescent="0.25">
      <c r="A2365" s="3"/>
    </row>
    <row r="2366" spans="1:1" x14ac:dyDescent="0.25">
      <c r="A2366" s="3"/>
    </row>
    <row r="2367" spans="1:1" x14ac:dyDescent="0.25">
      <c r="A2367" s="3"/>
    </row>
    <row r="2368" spans="1:1" x14ac:dyDescent="0.25">
      <c r="A2368" s="3"/>
    </row>
    <row r="2369" spans="1:1" x14ac:dyDescent="0.25">
      <c r="A2369" s="3"/>
    </row>
    <row r="2370" spans="1:1" x14ac:dyDescent="0.25">
      <c r="A2370" s="3"/>
    </row>
    <row r="2371" spans="1:1" x14ac:dyDescent="0.25">
      <c r="A2371" s="3"/>
    </row>
    <row r="2372" spans="1:1" x14ac:dyDescent="0.25">
      <c r="A2372" s="3"/>
    </row>
    <row r="2373" spans="1:1" x14ac:dyDescent="0.25">
      <c r="A2373" s="3"/>
    </row>
    <row r="2374" spans="1:1" x14ac:dyDescent="0.25">
      <c r="A2374" s="3"/>
    </row>
    <row r="2375" spans="1:1" x14ac:dyDescent="0.25">
      <c r="A2375" s="3"/>
    </row>
    <row r="2376" spans="1:1" x14ac:dyDescent="0.25">
      <c r="A2376" s="3"/>
    </row>
    <row r="2377" spans="1:1" x14ac:dyDescent="0.25">
      <c r="A2377" s="3"/>
    </row>
    <row r="2378" spans="1:1" x14ac:dyDescent="0.25">
      <c r="A2378" s="3"/>
    </row>
    <row r="2379" spans="1:1" x14ac:dyDescent="0.25">
      <c r="A2379" s="3"/>
    </row>
    <row r="2380" spans="1:1" x14ac:dyDescent="0.25">
      <c r="A2380" s="3"/>
    </row>
    <row r="2381" spans="1:1" x14ac:dyDescent="0.25">
      <c r="A2381" s="3"/>
    </row>
    <row r="2382" spans="1:1" x14ac:dyDescent="0.25">
      <c r="A2382" s="3"/>
    </row>
    <row r="2383" spans="1:1" x14ac:dyDescent="0.25">
      <c r="A2383" s="3"/>
    </row>
    <row r="2384" spans="1:1" x14ac:dyDescent="0.25">
      <c r="A2384" s="3"/>
    </row>
    <row r="2385" spans="1:1" x14ac:dyDescent="0.25">
      <c r="A2385" s="3"/>
    </row>
    <row r="2386" spans="1:1" x14ac:dyDescent="0.25">
      <c r="A2386" s="3"/>
    </row>
    <row r="2387" spans="1:1" x14ac:dyDescent="0.25">
      <c r="A2387" s="3"/>
    </row>
    <row r="2388" spans="1:1" x14ac:dyDescent="0.25">
      <c r="A2388" s="3"/>
    </row>
    <row r="2389" spans="1:1" x14ac:dyDescent="0.25">
      <c r="A2389" s="3"/>
    </row>
    <row r="2390" spans="1:1" x14ac:dyDescent="0.25">
      <c r="A2390" s="3"/>
    </row>
    <row r="2391" spans="1:1" x14ac:dyDescent="0.25">
      <c r="A2391" s="3"/>
    </row>
    <row r="2392" spans="1:1" x14ac:dyDescent="0.25">
      <c r="A2392" s="3"/>
    </row>
    <row r="2393" spans="1:1" x14ac:dyDescent="0.25">
      <c r="A2393" s="3"/>
    </row>
    <row r="2394" spans="1:1" x14ac:dyDescent="0.25">
      <c r="A2394" s="3"/>
    </row>
    <row r="2395" spans="1:1" x14ac:dyDescent="0.25">
      <c r="A2395" s="3"/>
    </row>
    <row r="2396" spans="1:1" x14ac:dyDescent="0.25">
      <c r="A2396" s="3"/>
    </row>
    <row r="2397" spans="1:1" x14ac:dyDescent="0.25">
      <c r="A2397" s="3"/>
    </row>
    <row r="2398" spans="1:1" x14ac:dyDescent="0.25">
      <c r="A2398" s="3"/>
    </row>
    <row r="2399" spans="1:1" x14ac:dyDescent="0.25">
      <c r="A2399" s="3"/>
    </row>
    <row r="2400" spans="1:1" x14ac:dyDescent="0.25">
      <c r="A2400" s="3"/>
    </row>
    <row r="2401" spans="1:1" x14ac:dyDescent="0.25">
      <c r="A2401" s="3"/>
    </row>
    <row r="2402" spans="1:1" x14ac:dyDescent="0.25">
      <c r="A2402" s="3"/>
    </row>
    <row r="2403" spans="1:1" x14ac:dyDescent="0.25">
      <c r="A2403" s="3"/>
    </row>
    <row r="2404" spans="1:1" x14ac:dyDescent="0.25">
      <c r="A2404" s="3"/>
    </row>
    <row r="2405" spans="1:1" x14ac:dyDescent="0.25">
      <c r="A2405" s="3"/>
    </row>
    <row r="2406" spans="1:1" x14ac:dyDescent="0.25">
      <c r="A2406" s="3"/>
    </row>
    <row r="2407" spans="1:1" x14ac:dyDescent="0.25">
      <c r="A2407" s="3"/>
    </row>
    <row r="2408" spans="1:1" x14ac:dyDescent="0.25">
      <c r="A2408" s="3"/>
    </row>
    <row r="2409" spans="1:1" x14ac:dyDescent="0.25">
      <c r="A2409" s="3"/>
    </row>
    <row r="2410" spans="1:1" x14ac:dyDescent="0.25">
      <c r="A2410" s="3"/>
    </row>
    <row r="2411" spans="1:1" x14ac:dyDescent="0.25">
      <c r="A2411" s="3"/>
    </row>
    <row r="2412" spans="1:1" x14ac:dyDescent="0.25">
      <c r="A2412" s="3"/>
    </row>
    <row r="2413" spans="1:1" x14ac:dyDescent="0.25">
      <c r="A2413" s="3"/>
    </row>
    <row r="2414" spans="1:1" x14ac:dyDescent="0.25">
      <c r="A2414" s="3"/>
    </row>
    <row r="2415" spans="1:1" x14ac:dyDescent="0.25">
      <c r="A2415" s="3"/>
    </row>
    <row r="2416" spans="1:1" x14ac:dyDescent="0.25">
      <c r="A2416" s="3"/>
    </row>
    <row r="2417" spans="1:1" x14ac:dyDescent="0.25">
      <c r="A2417" s="3"/>
    </row>
    <row r="2418" spans="1:1" x14ac:dyDescent="0.25">
      <c r="A2418" s="3"/>
    </row>
    <row r="2419" spans="1:1" x14ac:dyDescent="0.25">
      <c r="A2419" s="3"/>
    </row>
    <row r="2420" spans="1:1" x14ac:dyDescent="0.25">
      <c r="A2420" s="3"/>
    </row>
    <row r="2421" spans="1:1" x14ac:dyDescent="0.25">
      <c r="A2421" s="3"/>
    </row>
    <row r="2422" spans="1:1" x14ac:dyDescent="0.25">
      <c r="A2422" s="3"/>
    </row>
    <row r="2423" spans="1:1" x14ac:dyDescent="0.25">
      <c r="A2423" s="3"/>
    </row>
    <row r="2424" spans="1:1" x14ac:dyDescent="0.25">
      <c r="A2424" s="3"/>
    </row>
    <row r="2425" spans="1:1" x14ac:dyDescent="0.25">
      <c r="A2425" s="3"/>
    </row>
    <row r="2426" spans="1:1" x14ac:dyDescent="0.25">
      <c r="A2426" s="3"/>
    </row>
    <row r="2427" spans="1:1" x14ac:dyDescent="0.25">
      <c r="A2427" s="3"/>
    </row>
    <row r="2428" spans="1:1" x14ac:dyDescent="0.25">
      <c r="A2428" s="3"/>
    </row>
    <row r="2429" spans="1:1" x14ac:dyDescent="0.25">
      <c r="A2429" s="3"/>
    </row>
    <row r="2430" spans="1:1" x14ac:dyDescent="0.25">
      <c r="A2430" s="3"/>
    </row>
    <row r="2431" spans="1:1" x14ac:dyDescent="0.25">
      <c r="A2431" s="3"/>
    </row>
    <row r="2432" spans="1:1" x14ac:dyDescent="0.25">
      <c r="A2432" s="3"/>
    </row>
    <row r="2433" spans="1:1" x14ac:dyDescent="0.25">
      <c r="A2433" s="3"/>
    </row>
    <row r="2434" spans="1:1" x14ac:dyDescent="0.25">
      <c r="A2434" s="3"/>
    </row>
    <row r="2435" spans="1:1" x14ac:dyDescent="0.25">
      <c r="A2435" s="3"/>
    </row>
    <row r="2436" spans="1:1" x14ac:dyDescent="0.25">
      <c r="A2436" s="3"/>
    </row>
    <row r="2437" spans="1:1" x14ac:dyDescent="0.25">
      <c r="A2437" s="3"/>
    </row>
    <row r="2438" spans="1:1" x14ac:dyDescent="0.25">
      <c r="A2438" s="3"/>
    </row>
    <row r="2439" spans="1:1" x14ac:dyDescent="0.25">
      <c r="A2439" s="3"/>
    </row>
    <row r="2440" spans="1:1" x14ac:dyDescent="0.25">
      <c r="A2440" s="3"/>
    </row>
    <row r="2441" spans="1:1" x14ac:dyDescent="0.25">
      <c r="A2441" s="3"/>
    </row>
    <row r="2442" spans="1:1" x14ac:dyDescent="0.25">
      <c r="A2442" s="3"/>
    </row>
    <row r="2443" spans="1:1" x14ac:dyDescent="0.25">
      <c r="A2443" s="3"/>
    </row>
    <row r="2444" spans="1:1" x14ac:dyDescent="0.25">
      <c r="A2444" s="3"/>
    </row>
    <row r="2445" spans="1:1" x14ac:dyDescent="0.25">
      <c r="A2445" s="3"/>
    </row>
    <row r="2446" spans="1:1" x14ac:dyDescent="0.25">
      <c r="A2446" s="3"/>
    </row>
    <row r="2447" spans="1:1" x14ac:dyDescent="0.25">
      <c r="A2447" s="3"/>
    </row>
    <row r="2448" spans="1:1" x14ac:dyDescent="0.25">
      <c r="A2448" s="3"/>
    </row>
    <row r="2449" spans="1:1" x14ac:dyDescent="0.25">
      <c r="A2449" s="3"/>
    </row>
    <row r="2450" spans="1:1" x14ac:dyDescent="0.25">
      <c r="A2450" s="3"/>
    </row>
    <row r="2451" spans="1:1" x14ac:dyDescent="0.25">
      <c r="A2451" s="3"/>
    </row>
    <row r="2452" spans="1:1" x14ac:dyDescent="0.25">
      <c r="A2452" s="3"/>
    </row>
    <row r="2453" spans="1:1" x14ac:dyDescent="0.25">
      <c r="A2453" s="3"/>
    </row>
    <row r="2454" spans="1:1" x14ac:dyDescent="0.25">
      <c r="A2454" s="3"/>
    </row>
    <row r="2455" spans="1:1" x14ac:dyDescent="0.25">
      <c r="A2455" s="3"/>
    </row>
    <row r="2456" spans="1:1" x14ac:dyDescent="0.25">
      <c r="A2456" s="3"/>
    </row>
    <row r="2457" spans="1:1" x14ac:dyDescent="0.25">
      <c r="A2457" s="3"/>
    </row>
    <row r="2458" spans="1:1" x14ac:dyDescent="0.25">
      <c r="A2458" s="3"/>
    </row>
    <row r="2459" spans="1:1" x14ac:dyDescent="0.25">
      <c r="A2459" s="3"/>
    </row>
    <row r="2460" spans="1:1" x14ac:dyDescent="0.25">
      <c r="A2460" s="3"/>
    </row>
    <row r="2461" spans="1:1" x14ac:dyDescent="0.25">
      <c r="A2461" s="3"/>
    </row>
    <row r="2462" spans="1:1" x14ac:dyDescent="0.25">
      <c r="A2462" s="3"/>
    </row>
    <row r="2463" spans="1:1" x14ac:dyDescent="0.25">
      <c r="A2463" s="3"/>
    </row>
    <row r="2464" spans="1:1" x14ac:dyDescent="0.25">
      <c r="A2464" s="3"/>
    </row>
    <row r="2465" spans="1:1" x14ac:dyDescent="0.25">
      <c r="A2465" s="3"/>
    </row>
    <row r="2466" spans="1:1" x14ac:dyDescent="0.25">
      <c r="A2466" s="3"/>
    </row>
    <row r="2467" spans="1:1" x14ac:dyDescent="0.25">
      <c r="A2467" s="3"/>
    </row>
    <row r="2468" spans="1:1" x14ac:dyDescent="0.25">
      <c r="A2468" s="3"/>
    </row>
    <row r="2469" spans="1:1" x14ac:dyDescent="0.25">
      <c r="A2469" s="3"/>
    </row>
    <row r="2470" spans="1:1" x14ac:dyDescent="0.25">
      <c r="A2470" s="3"/>
    </row>
    <row r="2471" spans="1:1" x14ac:dyDescent="0.25">
      <c r="A2471" s="3"/>
    </row>
    <row r="2472" spans="1:1" x14ac:dyDescent="0.25">
      <c r="A2472" s="3"/>
    </row>
    <row r="2473" spans="1:1" x14ac:dyDescent="0.25">
      <c r="A2473" s="3"/>
    </row>
    <row r="2474" spans="1:1" x14ac:dyDescent="0.25">
      <c r="A2474" s="3"/>
    </row>
    <row r="2475" spans="1:1" x14ac:dyDescent="0.25">
      <c r="A2475" s="3"/>
    </row>
    <row r="2476" spans="1:1" x14ac:dyDescent="0.25">
      <c r="A2476" s="3"/>
    </row>
    <row r="2477" spans="1:1" x14ac:dyDescent="0.25">
      <c r="A2477" s="3"/>
    </row>
    <row r="2478" spans="1:1" x14ac:dyDescent="0.25">
      <c r="A2478" s="3"/>
    </row>
    <row r="2479" spans="1:1" x14ac:dyDescent="0.25">
      <c r="A2479" s="3"/>
    </row>
    <row r="2480" spans="1:1" x14ac:dyDescent="0.25">
      <c r="A2480" s="3"/>
    </row>
    <row r="2481" spans="1:1" x14ac:dyDescent="0.25">
      <c r="A2481" s="3"/>
    </row>
    <row r="2482" spans="1:1" x14ac:dyDescent="0.25">
      <c r="A2482" s="3"/>
    </row>
    <row r="2483" spans="1:1" x14ac:dyDescent="0.25">
      <c r="A2483" s="3"/>
    </row>
    <row r="2484" spans="1:1" x14ac:dyDescent="0.25">
      <c r="A2484" s="3"/>
    </row>
    <row r="2485" spans="1:1" x14ac:dyDescent="0.25">
      <c r="A2485" s="3"/>
    </row>
    <row r="2486" spans="1:1" x14ac:dyDescent="0.25">
      <c r="A2486" s="3"/>
    </row>
    <row r="2487" spans="1:1" x14ac:dyDescent="0.25">
      <c r="A2487" s="3"/>
    </row>
    <row r="2488" spans="1:1" x14ac:dyDescent="0.25">
      <c r="A2488" s="3"/>
    </row>
    <row r="2489" spans="1:1" x14ac:dyDescent="0.25">
      <c r="A2489" s="3"/>
    </row>
    <row r="2490" spans="1:1" x14ac:dyDescent="0.25">
      <c r="A2490" s="3"/>
    </row>
    <row r="2491" spans="1:1" x14ac:dyDescent="0.25">
      <c r="A2491" s="3"/>
    </row>
    <row r="2492" spans="1:1" x14ac:dyDescent="0.25">
      <c r="A2492" s="3"/>
    </row>
    <row r="2493" spans="1:1" x14ac:dyDescent="0.25">
      <c r="A2493" s="3"/>
    </row>
    <row r="2494" spans="1:1" x14ac:dyDescent="0.25">
      <c r="A2494" s="3"/>
    </row>
    <row r="2495" spans="1:1" x14ac:dyDescent="0.25">
      <c r="A2495" s="3"/>
    </row>
    <row r="2496" spans="1:1" x14ac:dyDescent="0.25">
      <c r="A2496" s="3"/>
    </row>
    <row r="2497" spans="1:1" x14ac:dyDescent="0.25">
      <c r="A2497" s="3"/>
    </row>
    <row r="2498" spans="1:1" x14ac:dyDescent="0.25">
      <c r="A2498" s="3"/>
    </row>
    <row r="2499" spans="1:1" x14ac:dyDescent="0.25">
      <c r="A2499" s="3"/>
    </row>
    <row r="2500" spans="1:1" x14ac:dyDescent="0.25">
      <c r="A2500" s="3"/>
    </row>
    <row r="2501" spans="1:1" x14ac:dyDescent="0.25">
      <c r="A2501" s="3"/>
    </row>
    <row r="2502" spans="1:1" x14ac:dyDescent="0.25">
      <c r="A2502" s="3"/>
    </row>
    <row r="2503" spans="1:1" x14ac:dyDescent="0.25">
      <c r="A2503" s="3"/>
    </row>
    <row r="2504" spans="1:1" x14ac:dyDescent="0.25">
      <c r="A2504" s="3"/>
    </row>
    <row r="2505" spans="1:1" x14ac:dyDescent="0.25">
      <c r="A2505" s="3"/>
    </row>
    <row r="2506" spans="1:1" x14ac:dyDescent="0.25">
      <c r="A2506" s="3"/>
    </row>
    <row r="2507" spans="1:1" x14ac:dyDescent="0.25">
      <c r="A2507" s="3"/>
    </row>
    <row r="2508" spans="1:1" x14ac:dyDescent="0.25">
      <c r="A2508" s="3"/>
    </row>
    <row r="2509" spans="1:1" x14ac:dyDescent="0.25">
      <c r="A2509" s="3"/>
    </row>
    <row r="2510" spans="1:1" x14ac:dyDescent="0.25">
      <c r="A2510" s="3"/>
    </row>
    <row r="2511" spans="1:1" x14ac:dyDescent="0.25">
      <c r="A2511" s="3"/>
    </row>
    <row r="2512" spans="1:1" x14ac:dyDescent="0.25">
      <c r="A2512" s="3"/>
    </row>
    <row r="2513" spans="1:1" x14ac:dyDescent="0.25">
      <c r="A2513" s="3"/>
    </row>
    <row r="2514" spans="1:1" x14ac:dyDescent="0.25">
      <c r="A2514" s="3"/>
    </row>
    <row r="2515" spans="1:1" x14ac:dyDescent="0.25">
      <c r="A2515" s="3"/>
    </row>
    <row r="2516" spans="1:1" x14ac:dyDescent="0.25">
      <c r="A2516" s="3"/>
    </row>
    <row r="2517" spans="1:1" x14ac:dyDescent="0.25">
      <c r="A2517" s="3"/>
    </row>
    <row r="2518" spans="1:1" x14ac:dyDescent="0.25">
      <c r="A2518" s="3"/>
    </row>
    <row r="2519" spans="1:1" x14ac:dyDescent="0.25">
      <c r="A2519" s="3"/>
    </row>
    <row r="2520" spans="1:1" x14ac:dyDescent="0.25">
      <c r="A2520" s="3"/>
    </row>
    <row r="2521" spans="1:1" x14ac:dyDescent="0.25">
      <c r="A2521" s="3"/>
    </row>
    <row r="2522" spans="1:1" x14ac:dyDescent="0.25">
      <c r="A2522" s="3"/>
    </row>
    <row r="2523" spans="1:1" x14ac:dyDescent="0.25">
      <c r="A2523" s="3"/>
    </row>
    <row r="2524" spans="1:1" x14ac:dyDescent="0.25">
      <c r="A2524" s="3"/>
    </row>
    <row r="2525" spans="1:1" x14ac:dyDescent="0.25">
      <c r="A2525" s="3"/>
    </row>
    <row r="2526" spans="1:1" x14ac:dyDescent="0.25">
      <c r="A2526" s="3"/>
    </row>
    <row r="2527" spans="1:1" x14ac:dyDescent="0.25">
      <c r="A2527" s="3"/>
    </row>
    <row r="2528" spans="1:1" x14ac:dyDescent="0.25">
      <c r="A2528" s="3"/>
    </row>
    <row r="2529" spans="1:1" x14ac:dyDescent="0.25">
      <c r="A2529" s="3"/>
    </row>
    <row r="2530" spans="1:1" x14ac:dyDescent="0.25">
      <c r="A2530" s="3"/>
    </row>
    <row r="2531" spans="1:1" x14ac:dyDescent="0.25">
      <c r="A2531" s="3"/>
    </row>
    <row r="2532" spans="1:1" x14ac:dyDescent="0.25">
      <c r="A2532" s="3"/>
    </row>
    <row r="2533" spans="1:1" x14ac:dyDescent="0.25">
      <c r="A2533" s="3"/>
    </row>
    <row r="2534" spans="1:1" x14ac:dyDescent="0.25">
      <c r="A2534" s="3"/>
    </row>
    <row r="2535" spans="1:1" x14ac:dyDescent="0.25">
      <c r="A2535" s="3"/>
    </row>
    <row r="2536" spans="1:1" x14ac:dyDescent="0.25">
      <c r="A2536" s="3"/>
    </row>
    <row r="2537" spans="1:1" x14ac:dyDescent="0.25">
      <c r="A2537" s="3"/>
    </row>
    <row r="2538" spans="1:1" x14ac:dyDescent="0.25">
      <c r="A2538" s="3"/>
    </row>
    <row r="2539" spans="1:1" x14ac:dyDescent="0.25">
      <c r="A2539" s="3"/>
    </row>
    <row r="2540" spans="1:1" x14ac:dyDescent="0.25">
      <c r="A2540" s="3"/>
    </row>
    <row r="2541" spans="1:1" x14ac:dyDescent="0.25">
      <c r="A2541" s="3"/>
    </row>
    <row r="2542" spans="1:1" x14ac:dyDescent="0.25">
      <c r="A2542" s="3"/>
    </row>
    <row r="2543" spans="1:1" x14ac:dyDescent="0.25">
      <c r="A2543" s="3"/>
    </row>
    <row r="2544" spans="1:1" x14ac:dyDescent="0.25">
      <c r="A2544" s="3"/>
    </row>
    <row r="2545" spans="1:1" x14ac:dyDescent="0.25">
      <c r="A2545" s="3"/>
    </row>
    <row r="2546" spans="1:1" x14ac:dyDescent="0.25">
      <c r="A2546" s="3"/>
    </row>
    <row r="2547" spans="1:1" x14ac:dyDescent="0.25">
      <c r="A2547" s="3"/>
    </row>
    <row r="2548" spans="1:1" x14ac:dyDescent="0.25">
      <c r="A2548" s="3"/>
    </row>
    <row r="2549" spans="1:1" x14ac:dyDescent="0.25">
      <c r="A2549" s="3"/>
    </row>
    <row r="2550" spans="1:1" x14ac:dyDescent="0.25">
      <c r="A2550" s="3"/>
    </row>
    <row r="2551" spans="1:1" x14ac:dyDescent="0.25">
      <c r="A2551" s="3"/>
    </row>
    <row r="2552" spans="1:1" x14ac:dyDescent="0.25">
      <c r="A2552" s="3"/>
    </row>
    <row r="2553" spans="1:1" x14ac:dyDescent="0.25">
      <c r="A2553" s="3"/>
    </row>
    <row r="2554" spans="1:1" x14ac:dyDescent="0.25">
      <c r="A2554" s="3"/>
    </row>
    <row r="2555" spans="1:1" x14ac:dyDescent="0.25">
      <c r="A2555" s="3"/>
    </row>
    <row r="2556" spans="1:1" x14ac:dyDescent="0.25">
      <c r="A2556" s="3"/>
    </row>
    <row r="2557" spans="1:1" x14ac:dyDescent="0.25">
      <c r="A2557" s="3"/>
    </row>
    <row r="2558" spans="1:1" x14ac:dyDescent="0.25">
      <c r="A2558" s="3"/>
    </row>
    <row r="2559" spans="1:1" x14ac:dyDescent="0.25">
      <c r="A2559" s="3"/>
    </row>
    <row r="2560" spans="1:1" x14ac:dyDescent="0.25">
      <c r="A2560" s="3"/>
    </row>
    <row r="2561" spans="1:1" x14ac:dyDescent="0.25">
      <c r="A2561" s="3"/>
    </row>
    <row r="2562" spans="1:1" x14ac:dyDescent="0.25">
      <c r="A2562" s="3"/>
    </row>
    <row r="2563" spans="1:1" x14ac:dyDescent="0.25">
      <c r="A2563" s="3"/>
    </row>
    <row r="2564" spans="1:1" x14ac:dyDescent="0.25">
      <c r="A2564" s="3"/>
    </row>
    <row r="2565" spans="1:1" x14ac:dyDescent="0.25">
      <c r="A2565" s="3"/>
    </row>
    <row r="2566" spans="1:1" x14ac:dyDescent="0.25">
      <c r="A2566" s="3"/>
    </row>
    <row r="2567" spans="1:1" x14ac:dyDescent="0.25">
      <c r="A2567" s="3"/>
    </row>
    <row r="2568" spans="1:1" x14ac:dyDescent="0.25">
      <c r="A2568" s="3"/>
    </row>
    <row r="2569" spans="1:1" x14ac:dyDescent="0.25">
      <c r="A2569" s="3"/>
    </row>
    <row r="2570" spans="1:1" x14ac:dyDescent="0.25">
      <c r="A2570" s="3"/>
    </row>
    <row r="2571" spans="1:1" x14ac:dyDescent="0.25">
      <c r="A2571" s="3"/>
    </row>
    <row r="2572" spans="1:1" x14ac:dyDescent="0.25">
      <c r="A2572" s="3"/>
    </row>
    <row r="2573" spans="1:1" x14ac:dyDescent="0.25">
      <c r="A2573" s="3"/>
    </row>
    <row r="2574" spans="1:1" x14ac:dyDescent="0.25">
      <c r="A2574" s="3"/>
    </row>
    <row r="2575" spans="1:1" x14ac:dyDescent="0.25">
      <c r="A2575" s="3"/>
    </row>
    <row r="2576" spans="1:1" x14ac:dyDescent="0.25">
      <c r="A2576" s="3"/>
    </row>
    <row r="2577" spans="1:1" x14ac:dyDescent="0.25">
      <c r="A2577" s="3"/>
    </row>
    <row r="2578" spans="1:1" x14ac:dyDescent="0.25">
      <c r="A2578" s="3"/>
    </row>
    <row r="2579" spans="1:1" x14ac:dyDescent="0.25">
      <c r="A2579" s="3"/>
    </row>
    <row r="2580" spans="1:1" x14ac:dyDescent="0.25">
      <c r="A2580" s="3"/>
    </row>
    <row r="2581" spans="1:1" x14ac:dyDescent="0.25">
      <c r="A2581" s="3"/>
    </row>
    <row r="2582" spans="1:1" x14ac:dyDescent="0.25">
      <c r="A2582" s="3"/>
    </row>
    <row r="2583" spans="1:1" x14ac:dyDescent="0.25">
      <c r="A2583" s="3"/>
    </row>
    <row r="2584" spans="1:1" x14ac:dyDescent="0.25">
      <c r="A2584" s="3"/>
    </row>
    <row r="2585" spans="1:1" x14ac:dyDescent="0.25">
      <c r="A2585" s="3"/>
    </row>
    <row r="2586" spans="1:1" x14ac:dyDescent="0.25">
      <c r="A2586" s="3"/>
    </row>
    <row r="2587" spans="1:1" x14ac:dyDescent="0.25">
      <c r="A2587" s="3"/>
    </row>
    <row r="2588" spans="1:1" x14ac:dyDescent="0.25">
      <c r="A2588" s="3"/>
    </row>
    <row r="2589" spans="1:1" x14ac:dyDescent="0.25">
      <c r="A2589" s="3"/>
    </row>
    <row r="2590" spans="1:1" x14ac:dyDescent="0.25">
      <c r="A2590" s="3"/>
    </row>
    <row r="2591" spans="1:1" x14ac:dyDescent="0.25">
      <c r="A2591" s="3"/>
    </row>
    <row r="2592" spans="1:1" x14ac:dyDescent="0.25">
      <c r="A2592" s="3"/>
    </row>
    <row r="2593" spans="1:1" x14ac:dyDescent="0.25">
      <c r="A2593" s="3"/>
    </row>
    <row r="2594" spans="1:1" x14ac:dyDescent="0.25">
      <c r="A2594" s="3"/>
    </row>
    <row r="2595" spans="1:1" x14ac:dyDescent="0.25">
      <c r="A2595" s="3"/>
    </row>
    <row r="2596" spans="1:1" x14ac:dyDescent="0.25">
      <c r="A2596" s="3"/>
    </row>
    <row r="2597" spans="1:1" x14ac:dyDescent="0.25">
      <c r="A2597" s="3"/>
    </row>
    <row r="2598" spans="1:1" x14ac:dyDescent="0.25">
      <c r="A2598" s="3"/>
    </row>
    <row r="2599" spans="1:1" x14ac:dyDescent="0.25">
      <c r="A2599" s="3"/>
    </row>
    <row r="2600" spans="1:1" x14ac:dyDescent="0.25">
      <c r="A2600" s="3"/>
    </row>
    <row r="2601" spans="1:1" x14ac:dyDescent="0.25">
      <c r="A2601" s="3"/>
    </row>
    <row r="2602" spans="1:1" x14ac:dyDescent="0.25">
      <c r="A2602" s="3"/>
    </row>
    <row r="2603" spans="1:1" x14ac:dyDescent="0.25">
      <c r="A2603" s="3"/>
    </row>
    <row r="2604" spans="1:1" x14ac:dyDescent="0.25">
      <c r="A2604" s="3"/>
    </row>
    <row r="2605" spans="1:1" x14ac:dyDescent="0.25">
      <c r="A2605" s="3"/>
    </row>
    <row r="2606" spans="1:1" x14ac:dyDescent="0.25">
      <c r="A2606" s="3"/>
    </row>
    <row r="2607" spans="1:1" x14ac:dyDescent="0.25">
      <c r="A2607" s="3"/>
    </row>
    <row r="2608" spans="1:1" x14ac:dyDescent="0.25">
      <c r="A2608" s="3"/>
    </row>
    <row r="2609" spans="1:1" x14ac:dyDescent="0.25">
      <c r="A2609" s="3"/>
    </row>
    <row r="2610" spans="1:1" x14ac:dyDescent="0.25">
      <c r="A2610" s="3"/>
    </row>
    <row r="2611" spans="1:1" x14ac:dyDescent="0.25">
      <c r="A2611" s="3"/>
    </row>
    <row r="2612" spans="1:1" x14ac:dyDescent="0.25">
      <c r="A2612" s="3"/>
    </row>
    <row r="2613" spans="1:1" x14ac:dyDescent="0.25">
      <c r="A2613" s="3"/>
    </row>
    <row r="2614" spans="1:1" x14ac:dyDescent="0.25">
      <c r="A2614" s="3"/>
    </row>
    <row r="2615" spans="1:1" x14ac:dyDescent="0.25">
      <c r="A2615" s="3"/>
    </row>
    <row r="2616" spans="1:1" x14ac:dyDescent="0.25">
      <c r="A2616" s="3"/>
    </row>
    <row r="2617" spans="1:1" x14ac:dyDescent="0.25">
      <c r="A2617" s="3"/>
    </row>
    <row r="2618" spans="1:1" x14ac:dyDescent="0.25">
      <c r="A2618" s="3"/>
    </row>
    <row r="2619" spans="1:1" x14ac:dyDescent="0.25">
      <c r="A2619" s="3"/>
    </row>
    <row r="2620" spans="1:1" x14ac:dyDescent="0.25">
      <c r="A2620" s="3"/>
    </row>
    <row r="2621" spans="1:1" x14ac:dyDescent="0.25">
      <c r="A2621" s="3"/>
    </row>
    <row r="2622" spans="1:1" x14ac:dyDescent="0.25">
      <c r="A2622" s="3"/>
    </row>
    <row r="2623" spans="1:1" x14ac:dyDescent="0.25">
      <c r="A2623" s="3"/>
    </row>
    <row r="2624" spans="1:1" x14ac:dyDescent="0.25">
      <c r="A2624" s="3"/>
    </row>
    <row r="2625" spans="1:1" x14ac:dyDescent="0.25">
      <c r="A2625" s="3"/>
    </row>
    <row r="2626" spans="1:1" x14ac:dyDescent="0.25">
      <c r="A2626" s="3"/>
    </row>
    <row r="2627" spans="1:1" x14ac:dyDescent="0.25">
      <c r="A2627" s="3"/>
    </row>
    <row r="2628" spans="1:1" x14ac:dyDescent="0.25">
      <c r="A2628" s="3"/>
    </row>
    <row r="2629" spans="1:1" x14ac:dyDescent="0.25">
      <c r="A2629" s="3"/>
    </row>
    <row r="2630" spans="1:1" x14ac:dyDescent="0.25">
      <c r="A2630" s="3"/>
    </row>
    <row r="2631" spans="1:1" x14ac:dyDescent="0.25">
      <c r="A2631" s="3"/>
    </row>
    <row r="2632" spans="1:1" x14ac:dyDescent="0.25">
      <c r="A2632" s="3"/>
    </row>
    <row r="2633" spans="1:1" x14ac:dyDescent="0.25">
      <c r="A2633" s="3"/>
    </row>
    <row r="2634" spans="1:1" x14ac:dyDescent="0.25">
      <c r="A2634" s="3"/>
    </row>
    <row r="2635" spans="1:1" x14ac:dyDescent="0.25">
      <c r="A2635" s="3"/>
    </row>
    <row r="2636" spans="1:1" x14ac:dyDescent="0.25">
      <c r="A2636" s="3"/>
    </row>
    <row r="2637" spans="1:1" x14ac:dyDescent="0.25">
      <c r="A2637" s="3"/>
    </row>
    <row r="2638" spans="1:1" x14ac:dyDescent="0.25">
      <c r="A2638" s="3"/>
    </row>
    <row r="2639" spans="1:1" x14ac:dyDescent="0.25">
      <c r="A2639" s="3"/>
    </row>
    <row r="2640" spans="1:1" x14ac:dyDescent="0.25">
      <c r="A2640" s="3"/>
    </row>
    <row r="2641" spans="1:1" x14ac:dyDescent="0.25">
      <c r="A2641" s="3"/>
    </row>
    <row r="2642" spans="1:1" x14ac:dyDescent="0.25">
      <c r="A2642" s="3"/>
    </row>
    <row r="2643" spans="1:1" x14ac:dyDescent="0.25">
      <c r="A2643" s="3"/>
    </row>
    <row r="2644" spans="1:1" x14ac:dyDescent="0.25">
      <c r="A2644" s="3"/>
    </row>
    <row r="2645" spans="1:1" x14ac:dyDescent="0.25">
      <c r="A2645" s="3"/>
    </row>
    <row r="2646" spans="1:1" x14ac:dyDescent="0.25">
      <c r="A2646" s="3"/>
    </row>
    <row r="2647" spans="1:1" x14ac:dyDescent="0.25">
      <c r="A2647" s="3"/>
    </row>
    <row r="2648" spans="1:1" x14ac:dyDescent="0.25">
      <c r="A2648" s="3"/>
    </row>
    <row r="2649" spans="1:1" x14ac:dyDescent="0.25">
      <c r="A2649" s="3"/>
    </row>
    <row r="2650" spans="1:1" x14ac:dyDescent="0.25">
      <c r="A2650" s="3"/>
    </row>
    <row r="2651" spans="1:1" x14ac:dyDescent="0.25">
      <c r="A2651" s="3"/>
    </row>
    <row r="2652" spans="1:1" x14ac:dyDescent="0.25">
      <c r="A2652" s="3"/>
    </row>
    <row r="2653" spans="1:1" x14ac:dyDescent="0.25">
      <c r="A2653" s="3"/>
    </row>
    <row r="2654" spans="1:1" x14ac:dyDescent="0.25">
      <c r="A2654" s="3"/>
    </row>
    <row r="2655" spans="1:1" x14ac:dyDescent="0.25">
      <c r="A2655" s="3"/>
    </row>
    <row r="2656" spans="1:1" x14ac:dyDescent="0.25">
      <c r="A2656" s="3"/>
    </row>
    <row r="2657" spans="1:1" x14ac:dyDescent="0.25">
      <c r="A2657" s="3"/>
    </row>
    <row r="2658" spans="1:1" x14ac:dyDescent="0.25">
      <c r="A2658" s="3"/>
    </row>
    <row r="2659" spans="1:1" x14ac:dyDescent="0.25">
      <c r="A2659" s="3"/>
    </row>
    <row r="2660" spans="1:1" x14ac:dyDescent="0.25">
      <c r="A2660" s="3"/>
    </row>
    <row r="2661" spans="1:1" x14ac:dyDescent="0.25">
      <c r="A2661" s="3"/>
    </row>
    <row r="2662" spans="1:1" x14ac:dyDescent="0.25">
      <c r="A2662" s="3"/>
    </row>
    <row r="2663" spans="1:1" x14ac:dyDescent="0.25">
      <c r="A2663" s="3"/>
    </row>
    <row r="2664" spans="1:1" x14ac:dyDescent="0.25">
      <c r="A2664" s="3"/>
    </row>
    <row r="2665" spans="1:1" x14ac:dyDescent="0.25">
      <c r="A2665" s="3"/>
    </row>
    <row r="2666" spans="1:1" x14ac:dyDescent="0.25">
      <c r="A2666" s="3"/>
    </row>
    <row r="2667" spans="1:1" x14ac:dyDescent="0.25">
      <c r="A2667" s="3"/>
    </row>
    <row r="2668" spans="1:1" x14ac:dyDescent="0.25">
      <c r="A2668" s="3"/>
    </row>
    <row r="2669" spans="1:1" x14ac:dyDescent="0.25">
      <c r="A2669" s="3"/>
    </row>
    <row r="2670" spans="1:1" x14ac:dyDescent="0.25">
      <c r="A2670" s="3"/>
    </row>
    <row r="2671" spans="1:1" x14ac:dyDescent="0.25">
      <c r="A2671" s="3"/>
    </row>
    <row r="2672" spans="1:1" x14ac:dyDescent="0.25">
      <c r="A2672" s="3"/>
    </row>
    <row r="2673" spans="1:1" x14ac:dyDescent="0.25">
      <c r="A2673" s="3"/>
    </row>
    <row r="2674" spans="1:1" x14ac:dyDescent="0.25">
      <c r="A2674" s="3"/>
    </row>
    <row r="2675" spans="1:1" x14ac:dyDescent="0.25">
      <c r="A2675" s="3"/>
    </row>
    <row r="2676" spans="1:1" x14ac:dyDescent="0.25">
      <c r="A2676" s="3"/>
    </row>
    <row r="2677" spans="1:1" x14ac:dyDescent="0.25">
      <c r="A2677" s="3"/>
    </row>
    <row r="2678" spans="1:1" x14ac:dyDescent="0.25">
      <c r="A2678" s="3"/>
    </row>
    <row r="2679" spans="1:1" x14ac:dyDescent="0.25">
      <c r="A2679" s="3"/>
    </row>
    <row r="2680" spans="1:1" x14ac:dyDescent="0.25">
      <c r="A2680" s="3"/>
    </row>
    <row r="2681" spans="1:1" x14ac:dyDescent="0.25">
      <c r="A2681" s="3"/>
    </row>
    <row r="2682" spans="1:1" x14ac:dyDescent="0.25">
      <c r="A2682" s="3"/>
    </row>
    <row r="2683" spans="1:1" x14ac:dyDescent="0.25">
      <c r="A2683" s="3"/>
    </row>
    <row r="2684" spans="1:1" x14ac:dyDescent="0.25">
      <c r="A2684" s="3"/>
    </row>
    <row r="2685" spans="1:1" x14ac:dyDescent="0.25">
      <c r="A2685" s="3"/>
    </row>
    <row r="2686" spans="1:1" x14ac:dyDescent="0.25">
      <c r="A2686" s="3"/>
    </row>
    <row r="2687" spans="1:1" x14ac:dyDescent="0.25">
      <c r="A2687" s="3"/>
    </row>
    <row r="2688" spans="1:1" x14ac:dyDescent="0.25">
      <c r="A2688" s="3"/>
    </row>
    <row r="2689" spans="1:1" x14ac:dyDescent="0.25">
      <c r="A2689" s="3"/>
    </row>
    <row r="2690" spans="1:1" x14ac:dyDescent="0.25">
      <c r="A2690" s="3"/>
    </row>
    <row r="2691" spans="1:1" x14ac:dyDescent="0.25">
      <c r="A2691" s="3"/>
    </row>
    <row r="2692" spans="1:1" x14ac:dyDescent="0.25">
      <c r="A2692" s="3"/>
    </row>
    <row r="2693" spans="1:1" x14ac:dyDescent="0.25">
      <c r="A2693" s="3"/>
    </row>
    <row r="2694" spans="1:1" x14ac:dyDescent="0.25">
      <c r="A2694" s="3"/>
    </row>
    <row r="2695" spans="1:1" x14ac:dyDescent="0.25">
      <c r="A2695" s="3"/>
    </row>
    <row r="2696" spans="1:1" x14ac:dyDescent="0.25">
      <c r="A2696" s="3"/>
    </row>
    <row r="2697" spans="1:1" x14ac:dyDescent="0.25">
      <c r="A2697" s="3"/>
    </row>
    <row r="2698" spans="1:1" x14ac:dyDescent="0.25">
      <c r="A2698" s="3"/>
    </row>
    <row r="2699" spans="1:1" x14ac:dyDescent="0.25">
      <c r="A2699" s="3"/>
    </row>
    <row r="2700" spans="1:1" x14ac:dyDescent="0.25">
      <c r="A2700" s="3"/>
    </row>
    <row r="2701" spans="1:1" x14ac:dyDescent="0.25">
      <c r="A2701" s="3"/>
    </row>
    <row r="2702" spans="1:1" x14ac:dyDescent="0.25">
      <c r="A2702" s="3"/>
    </row>
    <row r="2703" spans="1:1" x14ac:dyDescent="0.25">
      <c r="A2703" s="3"/>
    </row>
    <row r="2704" spans="1:1" x14ac:dyDescent="0.25">
      <c r="A2704" s="3"/>
    </row>
    <row r="2705" spans="1:1" x14ac:dyDescent="0.25">
      <c r="A2705" s="3"/>
    </row>
    <row r="2706" spans="1:1" x14ac:dyDescent="0.25">
      <c r="A2706" s="3"/>
    </row>
    <row r="2707" spans="1:1" x14ac:dyDescent="0.25">
      <c r="A2707" s="3"/>
    </row>
    <row r="2708" spans="1:1" x14ac:dyDescent="0.25">
      <c r="A2708" s="3"/>
    </row>
    <row r="2709" spans="1:1" x14ac:dyDescent="0.25">
      <c r="A2709" s="3"/>
    </row>
    <row r="2710" spans="1:1" x14ac:dyDescent="0.25">
      <c r="A2710" s="3"/>
    </row>
    <row r="2711" spans="1:1" x14ac:dyDescent="0.25">
      <c r="A2711" s="3"/>
    </row>
    <row r="2712" spans="1:1" x14ac:dyDescent="0.25">
      <c r="A2712" s="3"/>
    </row>
    <row r="2713" spans="1:1" x14ac:dyDescent="0.25">
      <c r="A2713" s="3"/>
    </row>
    <row r="2714" spans="1:1" x14ac:dyDescent="0.25">
      <c r="A2714" s="3"/>
    </row>
    <row r="2715" spans="1:1" x14ac:dyDescent="0.25">
      <c r="A2715" s="3"/>
    </row>
    <row r="2716" spans="1:1" x14ac:dyDescent="0.25">
      <c r="A2716" s="3"/>
    </row>
    <row r="2717" spans="1:1" x14ac:dyDescent="0.25">
      <c r="A2717" s="3"/>
    </row>
    <row r="2718" spans="1:1" x14ac:dyDescent="0.25">
      <c r="A2718" s="3"/>
    </row>
    <row r="2719" spans="1:1" x14ac:dyDescent="0.25">
      <c r="A2719" s="3"/>
    </row>
    <row r="2720" spans="1:1" x14ac:dyDescent="0.25">
      <c r="A2720" s="3"/>
    </row>
    <row r="2721" spans="1:1" x14ac:dyDescent="0.25">
      <c r="A2721" s="3"/>
    </row>
    <row r="2722" spans="1:1" x14ac:dyDescent="0.25">
      <c r="A2722" s="3"/>
    </row>
    <row r="2723" spans="1:1" x14ac:dyDescent="0.25">
      <c r="A2723" s="3"/>
    </row>
    <row r="2724" spans="1:1" x14ac:dyDescent="0.25">
      <c r="A2724" s="3"/>
    </row>
    <row r="2725" spans="1:1" x14ac:dyDescent="0.25">
      <c r="A2725" s="3"/>
    </row>
    <row r="2726" spans="1:1" x14ac:dyDescent="0.25">
      <c r="A2726" s="3"/>
    </row>
    <row r="2727" spans="1:1" x14ac:dyDescent="0.25">
      <c r="A2727" s="3"/>
    </row>
    <row r="2728" spans="1:1" x14ac:dyDescent="0.25">
      <c r="A2728" s="3"/>
    </row>
    <row r="2729" spans="1:1" x14ac:dyDescent="0.25">
      <c r="A2729" s="3"/>
    </row>
    <row r="2730" spans="1:1" x14ac:dyDescent="0.25">
      <c r="A2730" s="3"/>
    </row>
    <row r="2731" spans="1:1" x14ac:dyDescent="0.25">
      <c r="A2731" s="3"/>
    </row>
    <row r="2732" spans="1:1" x14ac:dyDescent="0.25">
      <c r="A2732" s="3"/>
    </row>
    <row r="2733" spans="1:1" x14ac:dyDescent="0.25">
      <c r="A2733" s="3"/>
    </row>
    <row r="2734" spans="1:1" x14ac:dyDescent="0.25">
      <c r="A2734" s="3"/>
    </row>
    <row r="2735" spans="1:1" x14ac:dyDescent="0.25">
      <c r="A2735" s="3"/>
    </row>
    <row r="2736" spans="1:1" x14ac:dyDescent="0.25">
      <c r="A2736" s="3"/>
    </row>
    <row r="2737" spans="1:1" x14ac:dyDescent="0.25">
      <c r="A2737" s="3"/>
    </row>
    <row r="2738" spans="1:1" x14ac:dyDescent="0.25">
      <c r="A2738" s="3"/>
    </row>
    <row r="2739" spans="1:1" x14ac:dyDescent="0.25">
      <c r="A2739" s="3"/>
    </row>
    <row r="2740" spans="1:1" x14ac:dyDescent="0.25">
      <c r="A2740" s="3"/>
    </row>
    <row r="2741" spans="1:1" x14ac:dyDescent="0.25">
      <c r="A2741" s="3"/>
    </row>
    <row r="2742" spans="1:1" x14ac:dyDescent="0.25">
      <c r="A2742" s="3"/>
    </row>
    <row r="2743" spans="1:1" x14ac:dyDescent="0.25">
      <c r="A2743" s="3"/>
    </row>
    <row r="2744" spans="1:1" x14ac:dyDescent="0.25">
      <c r="A2744" s="3"/>
    </row>
    <row r="2745" spans="1:1" x14ac:dyDescent="0.25">
      <c r="A2745" s="3"/>
    </row>
    <row r="2746" spans="1:1" x14ac:dyDescent="0.25">
      <c r="A2746" s="3"/>
    </row>
    <row r="2747" spans="1:1" x14ac:dyDescent="0.25">
      <c r="A2747" s="3"/>
    </row>
    <row r="2748" spans="1:1" x14ac:dyDescent="0.25">
      <c r="A2748" s="3"/>
    </row>
    <row r="2749" spans="1:1" x14ac:dyDescent="0.25">
      <c r="A2749" s="3"/>
    </row>
    <row r="2750" spans="1:1" x14ac:dyDescent="0.25">
      <c r="A2750" s="3"/>
    </row>
    <row r="2751" spans="1:1" x14ac:dyDescent="0.25">
      <c r="A2751" s="3"/>
    </row>
    <row r="2752" spans="1:1" x14ac:dyDescent="0.25">
      <c r="A2752" s="3"/>
    </row>
    <row r="2753" spans="1:1" x14ac:dyDescent="0.25">
      <c r="A2753" s="3"/>
    </row>
    <row r="2754" spans="1:1" x14ac:dyDescent="0.25">
      <c r="A2754" s="3"/>
    </row>
    <row r="2755" spans="1:1" x14ac:dyDescent="0.25">
      <c r="A2755" s="3"/>
    </row>
    <row r="2756" spans="1:1" x14ac:dyDescent="0.25">
      <c r="A2756" s="3"/>
    </row>
    <row r="2757" spans="1:1" x14ac:dyDescent="0.25">
      <c r="A2757" s="3"/>
    </row>
    <row r="2758" spans="1:1" x14ac:dyDescent="0.25">
      <c r="A2758" s="3"/>
    </row>
    <row r="2759" spans="1:1" x14ac:dyDescent="0.25">
      <c r="A2759" s="3"/>
    </row>
    <row r="2760" spans="1:1" x14ac:dyDescent="0.25">
      <c r="A2760" s="3"/>
    </row>
    <row r="2761" spans="1:1" x14ac:dyDescent="0.25">
      <c r="A2761" s="3"/>
    </row>
    <row r="2762" spans="1:1" x14ac:dyDescent="0.25">
      <c r="A2762" s="3"/>
    </row>
    <row r="2763" spans="1:1" x14ac:dyDescent="0.25">
      <c r="A2763" s="3"/>
    </row>
    <row r="2764" spans="1:1" x14ac:dyDescent="0.25">
      <c r="A2764" s="3"/>
    </row>
    <row r="2765" spans="1:1" x14ac:dyDescent="0.25">
      <c r="A2765" s="3"/>
    </row>
    <row r="2766" spans="1:1" x14ac:dyDescent="0.25">
      <c r="A2766" s="3"/>
    </row>
    <row r="2767" spans="1:1" x14ac:dyDescent="0.25">
      <c r="A2767" s="3"/>
    </row>
    <row r="2768" spans="1:1" x14ac:dyDescent="0.25">
      <c r="A2768" s="3"/>
    </row>
    <row r="2769" spans="1:1" x14ac:dyDescent="0.25">
      <c r="A2769" s="3"/>
    </row>
    <row r="2770" spans="1:1" x14ac:dyDescent="0.25">
      <c r="A2770" s="3"/>
    </row>
    <row r="2771" spans="1:1" x14ac:dyDescent="0.25">
      <c r="A2771" s="3"/>
    </row>
    <row r="2772" spans="1:1" x14ac:dyDescent="0.25">
      <c r="A2772" s="3"/>
    </row>
    <row r="2773" spans="1:1" x14ac:dyDescent="0.25">
      <c r="A2773" s="3"/>
    </row>
    <row r="2774" spans="1:1" x14ac:dyDescent="0.25">
      <c r="A2774" s="3"/>
    </row>
    <row r="2775" spans="1:1" x14ac:dyDescent="0.25">
      <c r="A2775" s="3"/>
    </row>
    <row r="2776" spans="1:1" x14ac:dyDescent="0.25">
      <c r="A2776" s="3"/>
    </row>
    <row r="2777" spans="1:1" x14ac:dyDescent="0.25">
      <c r="A2777" s="3"/>
    </row>
    <row r="2778" spans="1:1" x14ac:dyDescent="0.25">
      <c r="A2778" s="3"/>
    </row>
    <row r="2779" spans="1:1" x14ac:dyDescent="0.25">
      <c r="A2779" s="3"/>
    </row>
    <row r="2780" spans="1:1" x14ac:dyDescent="0.25">
      <c r="A2780" s="3"/>
    </row>
    <row r="2781" spans="1:1" x14ac:dyDescent="0.25">
      <c r="A2781" s="3"/>
    </row>
    <row r="2782" spans="1:1" x14ac:dyDescent="0.25">
      <c r="A2782" s="3"/>
    </row>
    <row r="2783" spans="1:1" x14ac:dyDescent="0.25">
      <c r="A2783" s="3"/>
    </row>
    <row r="2784" spans="1:1" x14ac:dyDescent="0.25">
      <c r="A2784" s="3"/>
    </row>
    <row r="2785" spans="1:1" x14ac:dyDescent="0.25">
      <c r="A2785" s="3"/>
    </row>
    <row r="2786" spans="1:1" x14ac:dyDescent="0.25">
      <c r="A2786" s="3"/>
    </row>
    <row r="2787" spans="1:1" x14ac:dyDescent="0.25">
      <c r="A2787" s="3"/>
    </row>
    <row r="2788" spans="1:1" x14ac:dyDescent="0.25">
      <c r="A2788" s="3"/>
    </row>
    <row r="2789" spans="1:1" x14ac:dyDescent="0.25">
      <c r="A2789" s="3"/>
    </row>
    <row r="2790" spans="1:1" x14ac:dyDescent="0.25">
      <c r="A2790" s="3"/>
    </row>
    <row r="2791" spans="1:1" x14ac:dyDescent="0.25">
      <c r="A2791" s="3"/>
    </row>
    <row r="2792" spans="1:1" x14ac:dyDescent="0.25">
      <c r="A2792" s="3"/>
    </row>
    <row r="2793" spans="1:1" x14ac:dyDescent="0.25">
      <c r="A2793" s="3"/>
    </row>
    <row r="2794" spans="1:1" x14ac:dyDescent="0.25">
      <c r="A2794" s="3"/>
    </row>
    <row r="2795" spans="1:1" x14ac:dyDescent="0.25">
      <c r="A2795" s="3"/>
    </row>
    <row r="2796" spans="1:1" x14ac:dyDescent="0.25">
      <c r="A2796" s="3"/>
    </row>
    <row r="2797" spans="1:1" x14ac:dyDescent="0.25">
      <c r="A2797" s="3"/>
    </row>
    <row r="2798" spans="1:1" x14ac:dyDescent="0.25">
      <c r="A2798" s="3"/>
    </row>
    <row r="2799" spans="1:1" x14ac:dyDescent="0.25">
      <c r="A2799" s="3"/>
    </row>
    <row r="2800" spans="1:1" x14ac:dyDescent="0.25">
      <c r="A2800" s="3"/>
    </row>
    <row r="2801" spans="1:1" x14ac:dyDescent="0.25">
      <c r="A2801" s="3"/>
    </row>
    <row r="2802" spans="1:1" x14ac:dyDescent="0.25">
      <c r="A2802" s="3"/>
    </row>
    <row r="2803" spans="1:1" x14ac:dyDescent="0.25">
      <c r="A2803" s="3"/>
    </row>
    <row r="2804" spans="1:1" x14ac:dyDescent="0.25">
      <c r="A2804" s="3"/>
    </row>
    <row r="2805" spans="1:1" x14ac:dyDescent="0.25">
      <c r="A2805" s="3"/>
    </row>
    <row r="2806" spans="1:1" x14ac:dyDescent="0.25">
      <c r="A2806" s="3"/>
    </row>
    <row r="2807" spans="1:1" x14ac:dyDescent="0.25">
      <c r="A2807" s="3"/>
    </row>
    <row r="2808" spans="1:1" x14ac:dyDescent="0.25">
      <c r="A2808" s="3"/>
    </row>
    <row r="2809" spans="1:1" x14ac:dyDescent="0.25">
      <c r="A2809" s="3"/>
    </row>
    <row r="2810" spans="1:1" x14ac:dyDescent="0.25">
      <c r="A2810" s="3"/>
    </row>
    <row r="2811" spans="1:1" x14ac:dyDescent="0.25">
      <c r="A2811" s="3"/>
    </row>
    <row r="2812" spans="1:1" x14ac:dyDescent="0.25">
      <c r="A2812" s="3"/>
    </row>
    <row r="2813" spans="1:1" x14ac:dyDescent="0.25">
      <c r="A2813" s="3"/>
    </row>
    <row r="2814" spans="1:1" x14ac:dyDescent="0.25">
      <c r="A2814" s="3"/>
    </row>
    <row r="2815" spans="1:1" x14ac:dyDescent="0.25">
      <c r="A2815" s="3"/>
    </row>
    <row r="2816" spans="1:1" x14ac:dyDescent="0.25">
      <c r="A2816" s="3"/>
    </row>
    <row r="2817" spans="1:1" x14ac:dyDescent="0.25">
      <c r="A2817" s="3"/>
    </row>
    <row r="2818" spans="1:1" x14ac:dyDescent="0.25">
      <c r="A2818" s="3"/>
    </row>
    <row r="2819" spans="1:1" x14ac:dyDescent="0.25">
      <c r="A2819" s="3"/>
    </row>
    <row r="2820" spans="1:1" x14ac:dyDescent="0.25">
      <c r="A2820" s="3"/>
    </row>
    <row r="2821" spans="1:1" x14ac:dyDescent="0.25">
      <c r="A2821" s="3"/>
    </row>
    <row r="2822" spans="1:1" x14ac:dyDescent="0.25">
      <c r="A2822" s="3"/>
    </row>
    <row r="2823" spans="1:1" x14ac:dyDescent="0.25">
      <c r="A2823" s="3"/>
    </row>
    <row r="2824" spans="1:1" x14ac:dyDescent="0.25">
      <c r="A2824" s="3"/>
    </row>
    <row r="2825" spans="1:1" x14ac:dyDescent="0.25">
      <c r="A2825" s="3"/>
    </row>
    <row r="2826" spans="1:1" x14ac:dyDescent="0.25">
      <c r="A2826" s="3"/>
    </row>
    <row r="2827" spans="1:1" x14ac:dyDescent="0.25">
      <c r="A2827" s="3"/>
    </row>
    <row r="2828" spans="1:1" x14ac:dyDescent="0.25">
      <c r="A2828" s="3"/>
    </row>
    <row r="2829" spans="1:1" x14ac:dyDescent="0.25">
      <c r="A2829" s="3"/>
    </row>
    <row r="2830" spans="1:1" x14ac:dyDescent="0.25">
      <c r="A2830" s="3"/>
    </row>
    <row r="2831" spans="1:1" x14ac:dyDescent="0.25">
      <c r="A2831" s="3"/>
    </row>
    <row r="2832" spans="1:1" x14ac:dyDescent="0.25">
      <c r="A2832" s="3"/>
    </row>
    <row r="2833" spans="1:1" x14ac:dyDescent="0.25">
      <c r="A2833" s="3"/>
    </row>
    <row r="2834" spans="1:1" x14ac:dyDescent="0.25">
      <c r="A2834" s="3"/>
    </row>
    <row r="2835" spans="1:1" x14ac:dyDescent="0.25">
      <c r="A2835" s="3"/>
    </row>
    <row r="2836" spans="1:1" x14ac:dyDescent="0.25">
      <c r="A2836" s="3"/>
    </row>
    <row r="2837" spans="1:1" x14ac:dyDescent="0.25">
      <c r="A2837" s="3"/>
    </row>
    <row r="2838" spans="1:1" x14ac:dyDescent="0.25">
      <c r="A2838" s="3"/>
    </row>
    <row r="2839" spans="1:1" x14ac:dyDescent="0.25">
      <c r="A2839" s="3"/>
    </row>
    <row r="2840" spans="1:1" x14ac:dyDescent="0.25">
      <c r="A2840" s="3"/>
    </row>
    <row r="2841" spans="1:1" x14ac:dyDescent="0.25">
      <c r="A2841" s="3"/>
    </row>
    <row r="2842" spans="1:1" x14ac:dyDescent="0.25">
      <c r="A2842" s="3"/>
    </row>
    <row r="2843" spans="1:1" x14ac:dyDescent="0.25">
      <c r="A2843" s="3"/>
    </row>
    <row r="2844" spans="1:1" x14ac:dyDescent="0.25">
      <c r="A2844" s="3"/>
    </row>
    <row r="2845" spans="1:1" x14ac:dyDescent="0.25">
      <c r="A2845" s="3"/>
    </row>
    <row r="2846" spans="1:1" x14ac:dyDescent="0.25">
      <c r="A2846" s="3"/>
    </row>
    <row r="2847" spans="1:1" x14ac:dyDescent="0.25">
      <c r="A2847" s="3"/>
    </row>
    <row r="2848" spans="1:1" x14ac:dyDescent="0.25">
      <c r="A2848" s="3"/>
    </row>
    <row r="2849" spans="1:1" x14ac:dyDescent="0.25">
      <c r="A2849" s="3"/>
    </row>
    <row r="2850" spans="1:1" x14ac:dyDescent="0.25">
      <c r="A2850" s="3"/>
    </row>
    <row r="2851" spans="1:1" x14ac:dyDescent="0.25">
      <c r="A2851" s="3"/>
    </row>
    <row r="2852" spans="1:1" x14ac:dyDescent="0.25">
      <c r="A2852" s="3"/>
    </row>
    <row r="2853" spans="1:1" x14ac:dyDescent="0.25">
      <c r="A2853" s="3"/>
    </row>
    <row r="2854" spans="1:1" x14ac:dyDescent="0.25">
      <c r="A2854" s="3"/>
    </row>
    <row r="2855" spans="1:1" x14ac:dyDescent="0.25">
      <c r="A2855" s="3"/>
    </row>
    <row r="2856" spans="1:1" x14ac:dyDescent="0.25">
      <c r="A2856" s="3"/>
    </row>
    <row r="2857" spans="1:1" x14ac:dyDescent="0.25">
      <c r="A2857" s="3"/>
    </row>
    <row r="2858" spans="1:1" x14ac:dyDescent="0.25">
      <c r="A2858" s="3"/>
    </row>
    <row r="2859" spans="1:1" x14ac:dyDescent="0.25">
      <c r="A2859" s="3"/>
    </row>
    <row r="2860" spans="1:1" x14ac:dyDescent="0.25">
      <c r="A2860" s="3"/>
    </row>
    <row r="2861" spans="1:1" x14ac:dyDescent="0.25">
      <c r="A2861" s="3"/>
    </row>
    <row r="2862" spans="1:1" x14ac:dyDescent="0.25">
      <c r="A2862" s="3"/>
    </row>
    <row r="2863" spans="1:1" x14ac:dyDescent="0.25">
      <c r="A2863" s="3"/>
    </row>
    <row r="2864" spans="1:1" x14ac:dyDescent="0.25">
      <c r="A2864" s="3"/>
    </row>
    <row r="2865" spans="1:1" x14ac:dyDescent="0.25">
      <c r="A2865" s="3"/>
    </row>
    <row r="2866" spans="1:1" x14ac:dyDescent="0.25">
      <c r="A2866" s="3"/>
    </row>
    <row r="2867" spans="1:1" x14ac:dyDescent="0.25">
      <c r="A2867" s="3"/>
    </row>
    <row r="2868" spans="1:1" x14ac:dyDescent="0.25">
      <c r="A2868" s="3"/>
    </row>
    <row r="2869" spans="1:1" x14ac:dyDescent="0.25">
      <c r="A2869" s="3"/>
    </row>
    <row r="2870" spans="1:1" x14ac:dyDescent="0.25">
      <c r="A2870" s="3"/>
    </row>
    <row r="2871" spans="1:1" x14ac:dyDescent="0.25">
      <c r="A2871" s="3"/>
    </row>
    <row r="2872" spans="1:1" x14ac:dyDescent="0.25">
      <c r="A2872" s="3"/>
    </row>
    <row r="2873" spans="1:1" x14ac:dyDescent="0.25">
      <c r="A2873" s="3"/>
    </row>
    <row r="2874" spans="1:1" x14ac:dyDescent="0.25">
      <c r="A2874" s="3"/>
    </row>
    <row r="2875" spans="1:1" x14ac:dyDescent="0.25">
      <c r="A2875" s="3"/>
    </row>
    <row r="2876" spans="1:1" x14ac:dyDescent="0.25">
      <c r="A2876" s="3"/>
    </row>
    <row r="2877" spans="1:1" x14ac:dyDescent="0.25">
      <c r="A2877" s="3"/>
    </row>
    <row r="2878" spans="1:1" x14ac:dyDescent="0.25">
      <c r="A2878" s="3"/>
    </row>
    <row r="2879" spans="1:1" x14ac:dyDescent="0.25">
      <c r="A2879" s="3"/>
    </row>
    <row r="2880" spans="1:1" x14ac:dyDescent="0.25">
      <c r="A2880" s="3"/>
    </row>
    <row r="2881" spans="1:1" x14ac:dyDescent="0.25">
      <c r="A2881" s="3"/>
    </row>
    <row r="2882" spans="1:1" x14ac:dyDescent="0.25">
      <c r="A2882" s="3"/>
    </row>
    <row r="2883" spans="1:1" x14ac:dyDescent="0.25">
      <c r="A2883" s="3"/>
    </row>
    <row r="2884" spans="1:1" x14ac:dyDescent="0.25">
      <c r="A2884" s="3"/>
    </row>
    <row r="2885" spans="1:1" x14ac:dyDescent="0.25">
      <c r="A2885" s="3"/>
    </row>
    <row r="2886" spans="1:1" x14ac:dyDescent="0.25">
      <c r="A2886" s="3"/>
    </row>
    <row r="2887" spans="1:1" x14ac:dyDescent="0.25">
      <c r="A2887" s="3"/>
    </row>
    <row r="2888" spans="1:1" x14ac:dyDescent="0.25">
      <c r="A2888" s="3"/>
    </row>
    <row r="2889" spans="1:1" x14ac:dyDescent="0.25">
      <c r="A2889" s="3"/>
    </row>
    <row r="2890" spans="1:1" x14ac:dyDescent="0.25">
      <c r="A2890" s="3"/>
    </row>
    <row r="2891" spans="1:1" x14ac:dyDescent="0.25">
      <c r="A2891" s="3"/>
    </row>
    <row r="2892" spans="1:1" x14ac:dyDescent="0.25">
      <c r="A2892" s="3"/>
    </row>
    <row r="2893" spans="1:1" x14ac:dyDescent="0.25">
      <c r="A2893" s="3"/>
    </row>
    <row r="2894" spans="1:1" x14ac:dyDescent="0.25">
      <c r="A2894" s="3"/>
    </row>
    <row r="2895" spans="1:1" x14ac:dyDescent="0.25">
      <c r="A2895" s="3"/>
    </row>
    <row r="2896" spans="1:1" x14ac:dyDescent="0.25">
      <c r="A2896" s="3"/>
    </row>
    <row r="2897" spans="1:1" x14ac:dyDescent="0.25">
      <c r="A2897" s="3"/>
    </row>
    <row r="2898" spans="1:1" x14ac:dyDescent="0.25">
      <c r="A2898" s="3"/>
    </row>
    <row r="2899" spans="1:1" x14ac:dyDescent="0.25">
      <c r="A2899" s="3"/>
    </row>
    <row r="2900" spans="1:1" x14ac:dyDescent="0.25">
      <c r="A2900" s="3"/>
    </row>
    <row r="2901" spans="1:1" x14ac:dyDescent="0.25">
      <c r="A2901" s="3"/>
    </row>
    <row r="2902" spans="1:1" x14ac:dyDescent="0.25">
      <c r="A2902" s="3"/>
    </row>
    <row r="2903" spans="1:1" x14ac:dyDescent="0.25">
      <c r="A2903" s="3"/>
    </row>
    <row r="2904" spans="1:1" x14ac:dyDescent="0.25">
      <c r="A2904" s="3"/>
    </row>
    <row r="2905" spans="1:1" x14ac:dyDescent="0.25">
      <c r="A2905" s="3"/>
    </row>
    <row r="2906" spans="1:1" x14ac:dyDescent="0.25">
      <c r="A2906" s="3"/>
    </row>
    <row r="2907" spans="1:1" x14ac:dyDescent="0.25">
      <c r="A2907" s="3"/>
    </row>
    <row r="2908" spans="1:1" x14ac:dyDescent="0.25">
      <c r="A2908" s="3"/>
    </row>
    <row r="2909" spans="1:1" x14ac:dyDescent="0.25">
      <c r="A2909" s="3"/>
    </row>
    <row r="2910" spans="1:1" x14ac:dyDescent="0.25">
      <c r="A2910" s="3"/>
    </row>
    <row r="2911" spans="1:1" x14ac:dyDescent="0.25">
      <c r="A2911" s="3"/>
    </row>
    <row r="2912" spans="1:1" x14ac:dyDescent="0.25">
      <c r="A2912" s="3"/>
    </row>
    <row r="2913" spans="1:1" x14ac:dyDescent="0.25">
      <c r="A2913" s="3"/>
    </row>
    <row r="2914" spans="1:1" x14ac:dyDescent="0.25">
      <c r="A2914" s="3"/>
    </row>
    <row r="2915" spans="1:1" x14ac:dyDescent="0.25">
      <c r="A2915" s="3"/>
    </row>
    <row r="2916" spans="1:1" x14ac:dyDescent="0.25">
      <c r="A2916" s="3"/>
    </row>
    <row r="2917" spans="1:1" x14ac:dyDescent="0.25">
      <c r="A2917" s="3"/>
    </row>
    <row r="2918" spans="1:1" x14ac:dyDescent="0.25">
      <c r="A2918" s="3"/>
    </row>
    <row r="2919" spans="1:1" x14ac:dyDescent="0.25">
      <c r="A2919" s="3"/>
    </row>
    <row r="2920" spans="1:1" x14ac:dyDescent="0.25">
      <c r="A2920" s="3"/>
    </row>
    <row r="2921" spans="1:1" x14ac:dyDescent="0.25">
      <c r="A2921" s="3"/>
    </row>
    <row r="2922" spans="1:1" x14ac:dyDescent="0.25">
      <c r="A2922" s="3"/>
    </row>
    <row r="2923" spans="1:1" x14ac:dyDescent="0.25">
      <c r="A2923" s="3"/>
    </row>
    <row r="2924" spans="1:1" x14ac:dyDescent="0.25">
      <c r="A2924" s="3"/>
    </row>
    <row r="2925" spans="1:1" x14ac:dyDescent="0.25">
      <c r="A2925" s="3"/>
    </row>
    <row r="2926" spans="1:1" x14ac:dyDescent="0.25">
      <c r="A2926" s="3"/>
    </row>
    <row r="2927" spans="1:1" x14ac:dyDescent="0.25">
      <c r="A2927" s="3"/>
    </row>
    <row r="2928" spans="1:1" x14ac:dyDescent="0.25">
      <c r="A2928" s="3"/>
    </row>
    <row r="2929" spans="1:1" x14ac:dyDescent="0.25">
      <c r="A2929" s="3"/>
    </row>
    <row r="2930" spans="1:1" x14ac:dyDescent="0.25">
      <c r="A2930" s="3"/>
    </row>
    <row r="2931" spans="1:1" x14ac:dyDescent="0.25">
      <c r="A2931" s="3"/>
    </row>
    <row r="2932" spans="1:1" x14ac:dyDescent="0.25">
      <c r="A2932" s="3"/>
    </row>
    <row r="2933" spans="1:1" x14ac:dyDescent="0.25">
      <c r="A2933" s="3"/>
    </row>
    <row r="2934" spans="1:1" x14ac:dyDescent="0.25">
      <c r="A2934" s="3"/>
    </row>
    <row r="2935" spans="1:1" x14ac:dyDescent="0.25">
      <c r="A2935" s="3"/>
    </row>
    <row r="2936" spans="1:1" x14ac:dyDescent="0.25">
      <c r="A2936" s="3"/>
    </row>
    <row r="2937" spans="1:1" x14ac:dyDescent="0.25">
      <c r="A2937" s="3"/>
    </row>
    <row r="2938" spans="1:1" x14ac:dyDescent="0.25">
      <c r="A2938" s="3"/>
    </row>
    <row r="2939" spans="1:1" x14ac:dyDescent="0.25">
      <c r="A2939" s="3"/>
    </row>
    <row r="2940" spans="1:1" x14ac:dyDescent="0.25">
      <c r="A2940" s="3"/>
    </row>
    <row r="2941" spans="1:1" x14ac:dyDescent="0.25">
      <c r="A2941" s="3"/>
    </row>
    <row r="2942" spans="1:1" x14ac:dyDescent="0.25">
      <c r="A2942" s="3"/>
    </row>
    <row r="2943" spans="1:1" x14ac:dyDescent="0.25">
      <c r="A2943" s="3"/>
    </row>
    <row r="2944" spans="1:1" x14ac:dyDescent="0.25">
      <c r="A2944" s="3"/>
    </row>
    <row r="2945" spans="1:1" x14ac:dyDescent="0.25">
      <c r="A2945" s="3"/>
    </row>
    <row r="2946" spans="1:1" x14ac:dyDescent="0.25">
      <c r="A2946" s="3"/>
    </row>
    <row r="2947" spans="1:1" x14ac:dyDescent="0.25">
      <c r="A2947" s="3"/>
    </row>
    <row r="2948" spans="1:1" x14ac:dyDescent="0.25">
      <c r="A2948" s="3"/>
    </row>
    <row r="2949" spans="1:1" x14ac:dyDescent="0.25">
      <c r="A2949" s="3"/>
    </row>
    <row r="2950" spans="1:1" x14ac:dyDescent="0.25">
      <c r="A2950" s="3"/>
    </row>
    <row r="2951" spans="1:1" x14ac:dyDescent="0.25">
      <c r="A2951" s="3"/>
    </row>
    <row r="2952" spans="1:1" x14ac:dyDescent="0.25">
      <c r="A2952" s="3"/>
    </row>
    <row r="2953" spans="1:1" x14ac:dyDescent="0.25">
      <c r="A2953" s="3"/>
    </row>
    <row r="2954" spans="1:1" x14ac:dyDescent="0.25">
      <c r="A2954" s="3"/>
    </row>
    <row r="2955" spans="1:1" x14ac:dyDescent="0.25">
      <c r="A2955" s="3"/>
    </row>
    <row r="2956" spans="1:1" x14ac:dyDescent="0.25">
      <c r="A2956" s="3"/>
    </row>
    <row r="2957" spans="1:1" x14ac:dyDescent="0.25">
      <c r="A2957" s="3"/>
    </row>
    <row r="2958" spans="1:1" x14ac:dyDescent="0.25">
      <c r="A2958" s="3"/>
    </row>
    <row r="2959" spans="1:1" x14ac:dyDescent="0.25">
      <c r="A2959" s="3"/>
    </row>
    <row r="2960" spans="1:1" x14ac:dyDescent="0.25">
      <c r="A2960" s="3"/>
    </row>
    <row r="2961" spans="1:1" x14ac:dyDescent="0.25">
      <c r="A2961" s="3"/>
    </row>
    <row r="2962" spans="1:1" x14ac:dyDescent="0.25">
      <c r="A2962" s="3"/>
    </row>
    <row r="2963" spans="1:1" x14ac:dyDescent="0.25">
      <c r="A2963" s="3"/>
    </row>
    <row r="2964" spans="1:1" x14ac:dyDescent="0.25">
      <c r="A2964" s="3"/>
    </row>
    <row r="2965" spans="1:1" x14ac:dyDescent="0.25">
      <c r="A2965" s="3"/>
    </row>
    <row r="2966" spans="1:1" x14ac:dyDescent="0.25">
      <c r="A2966" s="3"/>
    </row>
    <row r="2967" spans="1:1" x14ac:dyDescent="0.25">
      <c r="A2967" s="3"/>
    </row>
    <row r="2968" spans="1:1" x14ac:dyDescent="0.25">
      <c r="A2968" s="3"/>
    </row>
    <row r="2969" spans="1:1" x14ac:dyDescent="0.25">
      <c r="A2969" s="3"/>
    </row>
    <row r="2970" spans="1:1" x14ac:dyDescent="0.25">
      <c r="A2970" s="3"/>
    </row>
    <row r="2971" spans="1:1" x14ac:dyDescent="0.25">
      <c r="A2971" s="3"/>
    </row>
    <row r="2972" spans="1:1" x14ac:dyDescent="0.25">
      <c r="A2972" s="3"/>
    </row>
    <row r="2973" spans="1:1" x14ac:dyDescent="0.25">
      <c r="A2973" s="3"/>
    </row>
    <row r="2974" spans="1:1" x14ac:dyDescent="0.25">
      <c r="A2974" s="3"/>
    </row>
    <row r="2975" spans="1:1" x14ac:dyDescent="0.25">
      <c r="A2975" s="3"/>
    </row>
    <row r="2976" spans="1:1" x14ac:dyDescent="0.25">
      <c r="A2976" s="3"/>
    </row>
    <row r="2977" spans="1:1" x14ac:dyDescent="0.25">
      <c r="A2977" s="3"/>
    </row>
    <row r="2978" spans="1:1" x14ac:dyDescent="0.25">
      <c r="A2978" s="3"/>
    </row>
    <row r="2979" spans="1:1" x14ac:dyDescent="0.25">
      <c r="A2979" s="3"/>
    </row>
    <row r="2980" spans="1:1" x14ac:dyDescent="0.25">
      <c r="A2980" s="3"/>
    </row>
    <row r="2981" spans="1:1" x14ac:dyDescent="0.25">
      <c r="A2981" s="3"/>
    </row>
    <row r="2982" spans="1:1" x14ac:dyDescent="0.25">
      <c r="A2982" s="3"/>
    </row>
    <row r="2983" spans="1:1" x14ac:dyDescent="0.25">
      <c r="A2983" s="3"/>
    </row>
    <row r="2984" spans="1:1" x14ac:dyDescent="0.25">
      <c r="A2984" s="3"/>
    </row>
    <row r="2985" spans="1:1" x14ac:dyDescent="0.25">
      <c r="A2985" s="3"/>
    </row>
    <row r="2986" spans="1:1" x14ac:dyDescent="0.25">
      <c r="A2986" s="3"/>
    </row>
    <row r="2987" spans="1:1" x14ac:dyDescent="0.25">
      <c r="A2987" s="3"/>
    </row>
    <row r="2988" spans="1:1" x14ac:dyDescent="0.25">
      <c r="A2988" s="3"/>
    </row>
    <row r="2989" spans="1:1" x14ac:dyDescent="0.25">
      <c r="A2989" s="3"/>
    </row>
    <row r="2990" spans="1:1" x14ac:dyDescent="0.25">
      <c r="A2990" s="3"/>
    </row>
    <row r="2991" spans="1:1" x14ac:dyDescent="0.25">
      <c r="A2991" s="3"/>
    </row>
    <row r="2992" spans="1:1" x14ac:dyDescent="0.25">
      <c r="A2992" s="3"/>
    </row>
    <row r="2993" spans="1:1" x14ac:dyDescent="0.25">
      <c r="A2993" s="3"/>
    </row>
    <row r="2994" spans="1:1" x14ac:dyDescent="0.25">
      <c r="A2994" s="3"/>
    </row>
    <row r="2995" spans="1:1" x14ac:dyDescent="0.25">
      <c r="A2995" s="3"/>
    </row>
    <row r="2996" spans="1:1" x14ac:dyDescent="0.25">
      <c r="A2996" s="3"/>
    </row>
    <row r="2997" spans="1:1" x14ac:dyDescent="0.25">
      <c r="A2997" s="3"/>
    </row>
    <row r="2998" spans="1:1" x14ac:dyDescent="0.25">
      <c r="A2998" s="3"/>
    </row>
    <row r="2999" spans="1:1" x14ac:dyDescent="0.25">
      <c r="A2999" s="3"/>
    </row>
    <row r="3000" spans="1:1" x14ac:dyDescent="0.25">
      <c r="A3000" s="3"/>
    </row>
    <row r="3001" spans="1:1" x14ac:dyDescent="0.25">
      <c r="A3001" s="3"/>
    </row>
    <row r="3002" spans="1:1" x14ac:dyDescent="0.25">
      <c r="A3002" s="3"/>
    </row>
    <row r="3003" spans="1:1" x14ac:dyDescent="0.25">
      <c r="A3003" s="3"/>
    </row>
    <row r="3004" spans="1:1" x14ac:dyDescent="0.25">
      <c r="A3004" s="3"/>
    </row>
    <row r="3005" spans="1:1" x14ac:dyDescent="0.25">
      <c r="A3005" s="3"/>
    </row>
    <row r="3006" spans="1:1" x14ac:dyDescent="0.25">
      <c r="A3006" s="3"/>
    </row>
    <row r="3007" spans="1:1" x14ac:dyDescent="0.25">
      <c r="A3007" s="3"/>
    </row>
    <row r="3008" spans="1:1" x14ac:dyDescent="0.25">
      <c r="A3008" s="3"/>
    </row>
    <row r="3009" spans="1:1" x14ac:dyDescent="0.25">
      <c r="A3009" s="3"/>
    </row>
    <row r="3010" spans="1:1" x14ac:dyDescent="0.25">
      <c r="A3010" s="3"/>
    </row>
    <row r="3011" spans="1:1" x14ac:dyDescent="0.25">
      <c r="A3011" s="3"/>
    </row>
    <row r="3012" spans="1:1" x14ac:dyDescent="0.25">
      <c r="A3012" s="3"/>
    </row>
    <row r="3013" spans="1:1" x14ac:dyDescent="0.25">
      <c r="A3013" s="3"/>
    </row>
    <row r="3014" spans="1:1" x14ac:dyDescent="0.25">
      <c r="A3014" s="3"/>
    </row>
    <row r="3015" spans="1:1" x14ac:dyDescent="0.25">
      <c r="A3015" s="3"/>
    </row>
    <row r="3016" spans="1:1" x14ac:dyDescent="0.25">
      <c r="A3016" s="3"/>
    </row>
    <row r="3017" spans="1:1" x14ac:dyDescent="0.25">
      <c r="A3017" s="3"/>
    </row>
    <row r="3018" spans="1:1" x14ac:dyDescent="0.25">
      <c r="A3018" s="3"/>
    </row>
    <row r="3019" spans="1:1" x14ac:dyDescent="0.25">
      <c r="A3019" s="3"/>
    </row>
    <row r="3020" spans="1:1" x14ac:dyDescent="0.25">
      <c r="A3020" s="3"/>
    </row>
    <row r="3021" spans="1:1" x14ac:dyDescent="0.25">
      <c r="A3021" s="3"/>
    </row>
    <row r="3022" spans="1:1" x14ac:dyDescent="0.25">
      <c r="A3022" s="3"/>
    </row>
    <row r="3023" spans="1:1" x14ac:dyDescent="0.25">
      <c r="A3023" s="3"/>
    </row>
    <row r="3024" spans="1:1" x14ac:dyDescent="0.25">
      <c r="A3024" s="3"/>
    </row>
    <row r="3025" spans="1:1" x14ac:dyDescent="0.25">
      <c r="A3025" s="3"/>
    </row>
    <row r="3026" spans="1:1" x14ac:dyDescent="0.25">
      <c r="A3026" s="3"/>
    </row>
    <row r="3027" spans="1:1" x14ac:dyDescent="0.25">
      <c r="A3027" s="3"/>
    </row>
    <row r="3028" spans="1:1" x14ac:dyDescent="0.25">
      <c r="A3028" s="3"/>
    </row>
    <row r="3029" spans="1:1" x14ac:dyDescent="0.25">
      <c r="A3029" s="3"/>
    </row>
    <row r="3030" spans="1:1" x14ac:dyDescent="0.25">
      <c r="A3030" s="3"/>
    </row>
    <row r="3031" spans="1:1" x14ac:dyDescent="0.25">
      <c r="A3031" s="3"/>
    </row>
    <row r="3032" spans="1:1" x14ac:dyDescent="0.25">
      <c r="A3032" s="3"/>
    </row>
    <row r="3033" spans="1:1" x14ac:dyDescent="0.25">
      <c r="A3033" s="3"/>
    </row>
    <row r="3034" spans="1:1" x14ac:dyDescent="0.25">
      <c r="A3034" s="3"/>
    </row>
    <row r="3035" spans="1:1" x14ac:dyDescent="0.25">
      <c r="A3035" s="3"/>
    </row>
    <row r="3036" spans="1:1" x14ac:dyDescent="0.25">
      <c r="A3036" s="3"/>
    </row>
    <row r="3037" spans="1:1" x14ac:dyDescent="0.25">
      <c r="A3037" s="3"/>
    </row>
    <row r="3038" spans="1:1" x14ac:dyDescent="0.25">
      <c r="A3038" s="3"/>
    </row>
    <row r="3039" spans="1:1" x14ac:dyDescent="0.25">
      <c r="A3039" s="3"/>
    </row>
    <row r="3040" spans="1:1" x14ac:dyDescent="0.25">
      <c r="A3040" s="3"/>
    </row>
    <row r="3041" spans="1:1" x14ac:dyDescent="0.25">
      <c r="A3041" s="3"/>
    </row>
    <row r="3042" spans="1:1" x14ac:dyDescent="0.25">
      <c r="A3042" s="3"/>
    </row>
    <row r="3043" spans="1:1" x14ac:dyDescent="0.25">
      <c r="A3043" s="3"/>
    </row>
    <row r="3044" spans="1:1" x14ac:dyDescent="0.25">
      <c r="A3044" s="3"/>
    </row>
    <row r="3045" spans="1:1" x14ac:dyDescent="0.25">
      <c r="A3045" s="3"/>
    </row>
    <row r="3046" spans="1:1" x14ac:dyDescent="0.25">
      <c r="A3046" s="3"/>
    </row>
    <row r="3047" spans="1:1" x14ac:dyDescent="0.25">
      <c r="A3047" s="3"/>
    </row>
    <row r="3048" spans="1:1" x14ac:dyDescent="0.25">
      <c r="A3048" s="3"/>
    </row>
    <row r="3049" spans="1:1" x14ac:dyDescent="0.25">
      <c r="A3049" s="3"/>
    </row>
    <row r="3050" spans="1:1" x14ac:dyDescent="0.25">
      <c r="A3050" s="3"/>
    </row>
    <row r="3051" spans="1:1" x14ac:dyDescent="0.25">
      <c r="A3051" s="3"/>
    </row>
    <row r="3052" spans="1:1" x14ac:dyDescent="0.25">
      <c r="A3052" s="3"/>
    </row>
    <row r="3053" spans="1:1" x14ac:dyDescent="0.25">
      <c r="A3053" s="3"/>
    </row>
    <row r="3054" spans="1:1" x14ac:dyDescent="0.25">
      <c r="A3054" s="3"/>
    </row>
    <row r="3055" spans="1:1" x14ac:dyDescent="0.25">
      <c r="A3055" s="3"/>
    </row>
    <row r="3056" spans="1:1" x14ac:dyDescent="0.25">
      <c r="A3056" s="3"/>
    </row>
    <row r="3057" spans="1:1" x14ac:dyDescent="0.25">
      <c r="A3057" s="3"/>
    </row>
    <row r="3058" spans="1:1" x14ac:dyDescent="0.25">
      <c r="A3058" s="3"/>
    </row>
    <row r="3059" spans="1:1" x14ac:dyDescent="0.25">
      <c r="A3059" s="3"/>
    </row>
    <row r="3060" spans="1:1" x14ac:dyDescent="0.25">
      <c r="A3060" s="3"/>
    </row>
    <row r="3061" spans="1:1" x14ac:dyDescent="0.25">
      <c r="A3061" s="3"/>
    </row>
    <row r="3062" spans="1:1" x14ac:dyDescent="0.25">
      <c r="A3062" s="3"/>
    </row>
    <row r="3063" spans="1:1" x14ac:dyDescent="0.25">
      <c r="A3063" s="3"/>
    </row>
    <row r="3064" spans="1:1" x14ac:dyDescent="0.25">
      <c r="A3064" s="3"/>
    </row>
    <row r="3065" spans="1:1" x14ac:dyDescent="0.25">
      <c r="A3065" s="3"/>
    </row>
    <row r="3066" spans="1:1" x14ac:dyDescent="0.25">
      <c r="A3066" s="3"/>
    </row>
    <row r="3067" spans="1:1" x14ac:dyDescent="0.25">
      <c r="A3067" s="3"/>
    </row>
    <row r="3068" spans="1:1" x14ac:dyDescent="0.25">
      <c r="A3068" s="3"/>
    </row>
    <row r="3069" spans="1:1" x14ac:dyDescent="0.25">
      <c r="A3069" s="3"/>
    </row>
    <row r="3070" spans="1:1" x14ac:dyDescent="0.25">
      <c r="A3070" s="3"/>
    </row>
    <row r="3071" spans="1:1" x14ac:dyDescent="0.25">
      <c r="A3071" s="3"/>
    </row>
    <row r="3072" spans="1:1" x14ac:dyDescent="0.25">
      <c r="A3072" s="3"/>
    </row>
    <row r="3073" spans="1:1" x14ac:dyDescent="0.25">
      <c r="A3073" s="3"/>
    </row>
    <row r="3074" spans="1:1" x14ac:dyDescent="0.25">
      <c r="A3074" s="3"/>
    </row>
    <row r="3075" spans="1:1" x14ac:dyDescent="0.25">
      <c r="A3075" s="3"/>
    </row>
    <row r="3076" spans="1:1" x14ac:dyDescent="0.25">
      <c r="A3076" s="3"/>
    </row>
    <row r="3077" spans="1:1" x14ac:dyDescent="0.25">
      <c r="A3077" s="3"/>
    </row>
    <row r="3078" spans="1:1" x14ac:dyDescent="0.25">
      <c r="A3078" s="3"/>
    </row>
    <row r="3079" spans="1:1" x14ac:dyDescent="0.25">
      <c r="A3079" s="3"/>
    </row>
    <row r="3080" spans="1:1" x14ac:dyDescent="0.25">
      <c r="A3080" s="3"/>
    </row>
    <row r="3081" spans="1:1" x14ac:dyDescent="0.25">
      <c r="A3081" s="3"/>
    </row>
    <row r="3082" spans="1:1" x14ac:dyDescent="0.25">
      <c r="A3082" s="3"/>
    </row>
    <row r="3083" spans="1:1" x14ac:dyDescent="0.25">
      <c r="A3083" s="3"/>
    </row>
    <row r="3084" spans="1:1" x14ac:dyDescent="0.25">
      <c r="A3084" s="3"/>
    </row>
    <row r="3085" spans="1:1" x14ac:dyDescent="0.25">
      <c r="A3085" s="3"/>
    </row>
    <row r="3086" spans="1:1" x14ac:dyDescent="0.25">
      <c r="A3086" s="3"/>
    </row>
    <row r="3087" spans="1:1" x14ac:dyDescent="0.25">
      <c r="A3087" s="3"/>
    </row>
    <row r="3088" spans="1:1" x14ac:dyDescent="0.25">
      <c r="A3088" s="3"/>
    </row>
    <row r="3089" spans="1:1" x14ac:dyDescent="0.25">
      <c r="A3089" s="3"/>
    </row>
    <row r="3090" spans="1:1" x14ac:dyDescent="0.25">
      <c r="A3090" s="3"/>
    </row>
    <row r="3091" spans="1:1" x14ac:dyDescent="0.25">
      <c r="A3091" s="3"/>
    </row>
    <row r="3092" spans="1:1" x14ac:dyDescent="0.25">
      <c r="A3092" s="3"/>
    </row>
    <row r="3093" spans="1:1" x14ac:dyDescent="0.25">
      <c r="A3093" s="3"/>
    </row>
    <row r="3094" spans="1:1" x14ac:dyDescent="0.25">
      <c r="A3094" s="3"/>
    </row>
    <row r="3095" spans="1:1" x14ac:dyDescent="0.25">
      <c r="A3095" s="3"/>
    </row>
    <row r="3096" spans="1:1" x14ac:dyDescent="0.25">
      <c r="A3096" s="3"/>
    </row>
    <row r="3097" spans="1:1" x14ac:dyDescent="0.25">
      <c r="A3097" s="3"/>
    </row>
    <row r="3098" spans="1:1" x14ac:dyDescent="0.25">
      <c r="A3098" s="3"/>
    </row>
    <row r="3099" spans="1:1" x14ac:dyDescent="0.25">
      <c r="A3099" s="3"/>
    </row>
    <row r="3100" spans="1:1" x14ac:dyDescent="0.25">
      <c r="A3100" s="3"/>
    </row>
    <row r="3101" spans="1:1" x14ac:dyDescent="0.25">
      <c r="A3101" s="3"/>
    </row>
    <row r="3102" spans="1:1" x14ac:dyDescent="0.25">
      <c r="A3102" s="3"/>
    </row>
    <row r="3103" spans="1:1" x14ac:dyDescent="0.25">
      <c r="A3103" s="3"/>
    </row>
    <row r="3104" spans="1:1" x14ac:dyDescent="0.25">
      <c r="A3104" s="3"/>
    </row>
    <row r="3105" spans="1:1" x14ac:dyDescent="0.25">
      <c r="A3105" s="3"/>
    </row>
    <row r="3106" spans="1:1" x14ac:dyDescent="0.25">
      <c r="A3106" s="3"/>
    </row>
    <row r="3107" spans="1:1" x14ac:dyDescent="0.25">
      <c r="A3107" s="3"/>
    </row>
    <row r="3108" spans="1:1" x14ac:dyDescent="0.25">
      <c r="A3108" s="3"/>
    </row>
    <row r="3109" spans="1:1" x14ac:dyDescent="0.25">
      <c r="A3109" s="3"/>
    </row>
    <row r="3110" spans="1:1" x14ac:dyDescent="0.25">
      <c r="A3110" s="3"/>
    </row>
    <row r="3111" spans="1:1" x14ac:dyDescent="0.25">
      <c r="A3111" s="3"/>
    </row>
    <row r="3112" spans="1:1" x14ac:dyDescent="0.25">
      <c r="A3112" s="3"/>
    </row>
    <row r="3113" spans="1:1" x14ac:dyDescent="0.25">
      <c r="A3113" s="3"/>
    </row>
    <row r="3114" spans="1:1" x14ac:dyDescent="0.25">
      <c r="A3114" s="3"/>
    </row>
    <row r="3115" spans="1:1" x14ac:dyDescent="0.25">
      <c r="A3115" s="3"/>
    </row>
    <row r="3116" spans="1:1" x14ac:dyDescent="0.25">
      <c r="A3116" s="3"/>
    </row>
    <row r="3117" spans="1:1" x14ac:dyDescent="0.25">
      <c r="A3117" s="3"/>
    </row>
    <row r="3118" spans="1:1" x14ac:dyDescent="0.25">
      <c r="A3118" s="3"/>
    </row>
    <row r="3119" spans="1:1" x14ac:dyDescent="0.25">
      <c r="A3119" s="3"/>
    </row>
    <row r="3120" spans="1:1" x14ac:dyDescent="0.25">
      <c r="A3120" s="3"/>
    </row>
    <row r="3121" spans="1:1" x14ac:dyDescent="0.25">
      <c r="A3121" s="3"/>
    </row>
    <row r="3122" spans="1:1" x14ac:dyDescent="0.25">
      <c r="A3122" s="3"/>
    </row>
    <row r="3123" spans="1:1" x14ac:dyDescent="0.25">
      <c r="A3123" s="3"/>
    </row>
    <row r="3124" spans="1:1" x14ac:dyDescent="0.25">
      <c r="A3124" s="3"/>
    </row>
    <row r="3125" spans="1:1" x14ac:dyDescent="0.25">
      <c r="A3125" s="3"/>
    </row>
    <row r="3126" spans="1:1" x14ac:dyDescent="0.25">
      <c r="A3126" s="3"/>
    </row>
    <row r="3127" spans="1:1" x14ac:dyDescent="0.25">
      <c r="A3127" s="3"/>
    </row>
    <row r="3128" spans="1:1" x14ac:dyDescent="0.25">
      <c r="A3128" s="3"/>
    </row>
    <row r="3129" spans="1:1" x14ac:dyDescent="0.25">
      <c r="A3129" s="3"/>
    </row>
    <row r="3130" spans="1:1" x14ac:dyDescent="0.25">
      <c r="A3130" s="3"/>
    </row>
    <row r="3131" spans="1:1" x14ac:dyDescent="0.25">
      <c r="A3131" s="3"/>
    </row>
    <row r="3132" spans="1:1" x14ac:dyDescent="0.25">
      <c r="A3132" s="3"/>
    </row>
    <row r="3133" spans="1:1" x14ac:dyDescent="0.25">
      <c r="A3133" s="3"/>
    </row>
    <row r="3134" spans="1:1" x14ac:dyDescent="0.25">
      <c r="A3134" s="3"/>
    </row>
    <row r="3135" spans="1:1" x14ac:dyDescent="0.25">
      <c r="A3135" s="3"/>
    </row>
    <row r="3136" spans="1:1" x14ac:dyDescent="0.25">
      <c r="A3136" s="3"/>
    </row>
    <row r="3137" spans="1:1" x14ac:dyDescent="0.25">
      <c r="A3137" s="3"/>
    </row>
    <row r="3138" spans="1:1" x14ac:dyDescent="0.25">
      <c r="A3138" s="3"/>
    </row>
    <row r="3139" spans="1:1" x14ac:dyDescent="0.25">
      <c r="A3139" s="3"/>
    </row>
    <row r="3140" spans="1:1" x14ac:dyDescent="0.25">
      <c r="A3140" s="3"/>
    </row>
    <row r="3141" spans="1:1" x14ac:dyDescent="0.25">
      <c r="A3141" s="3"/>
    </row>
    <row r="3142" spans="1:1" x14ac:dyDescent="0.25">
      <c r="A3142" s="3"/>
    </row>
    <row r="3143" spans="1:1" x14ac:dyDescent="0.25">
      <c r="A3143" s="3"/>
    </row>
    <row r="3144" spans="1:1" x14ac:dyDescent="0.25">
      <c r="A3144" s="3"/>
    </row>
    <row r="3145" spans="1:1" x14ac:dyDescent="0.25">
      <c r="A3145" s="3"/>
    </row>
    <row r="3146" spans="1:1" x14ac:dyDescent="0.25">
      <c r="A3146" s="3"/>
    </row>
    <row r="3147" spans="1:1" x14ac:dyDescent="0.25">
      <c r="A3147" s="3"/>
    </row>
    <row r="3148" spans="1:1" x14ac:dyDescent="0.25">
      <c r="A3148" s="3"/>
    </row>
    <row r="3149" spans="1:1" x14ac:dyDescent="0.25">
      <c r="A3149" s="3"/>
    </row>
    <row r="3150" spans="1:1" x14ac:dyDescent="0.25">
      <c r="A3150" s="3"/>
    </row>
    <row r="3151" spans="1:1" x14ac:dyDescent="0.25">
      <c r="A3151" s="3"/>
    </row>
    <row r="3152" spans="1:1" x14ac:dyDescent="0.25">
      <c r="A3152" s="3"/>
    </row>
    <row r="3153" spans="1:1" x14ac:dyDescent="0.25">
      <c r="A3153" s="3"/>
    </row>
    <row r="3154" spans="1:1" x14ac:dyDescent="0.25">
      <c r="A3154" s="3"/>
    </row>
    <row r="3155" spans="1:1" x14ac:dyDescent="0.25">
      <c r="A3155" s="3"/>
    </row>
    <row r="3156" spans="1:1" x14ac:dyDescent="0.25">
      <c r="A3156" s="3"/>
    </row>
    <row r="3157" spans="1:1" x14ac:dyDescent="0.25">
      <c r="A3157" s="3"/>
    </row>
    <row r="3158" spans="1:1" x14ac:dyDescent="0.25">
      <c r="A3158" s="3"/>
    </row>
    <row r="3159" spans="1:1" x14ac:dyDescent="0.25">
      <c r="A3159" s="3"/>
    </row>
    <row r="3160" spans="1:1" x14ac:dyDescent="0.25">
      <c r="A3160" s="3"/>
    </row>
    <row r="3161" spans="1:1" x14ac:dyDescent="0.25">
      <c r="A3161" s="3"/>
    </row>
    <row r="3162" spans="1:1" x14ac:dyDescent="0.25">
      <c r="A3162" s="3"/>
    </row>
    <row r="3163" spans="1:1" x14ac:dyDescent="0.25">
      <c r="A3163" s="3"/>
    </row>
    <row r="3164" spans="1:1" x14ac:dyDescent="0.25">
      <c r="A3164" s="3"/>
    </row>
    <row r="3165" spans="1:1" x14ac:dyDescent="0.25">
      <c r="A3165" s="3"/>
    </row>
    <row r="3166" spans="1:1" x14ac:dyDescent="0.25">
      <c r="A3166" s="3"/>
    </row>
    <row r="3167" spans="1:1" x14ac:dyDescent="0.25">
      <c r="A3167" s="3"/>
    </row>
    <row r="3168" spans="1:1" x14ac:dyDescent="0.25">
      <c r="A3168" s="3"/>
    </row>
    <row r="3169" spans="1:1" x14ac:dyDescent="0.25">
      <c r="A3169" s="3"/>
    </row>
    <row r="3170" spans="1:1" x14ac:dyDescent="0.25">
      <c r="A3170" s="3"/>
    </row>
    <row r="3171" spans="1:1" x14ac:dyDescent="0.25">
      <c r="A3171" s="3"/>
    </row>
    <row r="3172" spans="1:1" x14ac:dyDescent="0.25">
      <c r="A3172" s="3"/>
    </row>
    <row r="3173" spans="1:1" x14ac:dyDescent="0.25">
      <c r="A3173" s="3"/>
    </row>
    <row r="3174" spans="1:1" x14ac:dyDescent="0.25">
      <c r="A3174" s="3"/>
    </row>
    <row r="3175" spans="1:1" x14ac:dyDescent="0.25">
      <c r="A3175" s="3"/>
    </row>
    <row r="3176" spans="1:1" x14ac:dyDescent="0.25">
      <c r="A3176" s="3"/>
    </row>
    <row r="3177" spans="1:1" x14ac:dyDescent="0.25">
      <c r="A3177" s="3"/>
    </row>
    <row r="3178" spans="1:1" x14ac:dyDescent="0.25">
      <c r="A3178" s="3"/>
    </row>
    <row r="3179" spans="1:1" x14ac:dyDescent="0.25">
      <c r="A3179" s="3"/>
    </row>
    <row r="3180" spans="1:1" x14ac:dyDescent="0.25">
      <c r="A3180" s="3"/>
    </row>
    <row r="3181" spans="1:1" x14ac:dyDescent="0.25">
      <c r="A3181" s="3"/>
    </row>
    <row r="3182" spans="1:1" x14ac:dyDescent="0.25">
      <c r="A3182" s="3"/>
    </row>
    <row r="3183" spans="1:1" x14ac:dyDescent="0.25">
      <c r="A3183" s="3"/>
    </row>
    <row r="3184" spans="1:1" x14ac:dyDescent="0.25">
      <c r="A3184" s="3"/>
    </row>
    <row r="3185" spans="1:1" x14ac:dyDescent="0.25">
      <c r="A3185" s="3"/>
    </row>
    <row r="3186" spans="1:1" x14ac:dyDescent="0.25">
      <c r="A3186" s="3"/>
    </row>
    <row r="3187" spans="1:1" x14ac:dyDescent="0.25">
      <c r="A3187" s="3"/>
    </row>
    <row r="3188" spans="1:1" x14ac:dyDescent="0.25">
      <c r="A3188" s="3"/>
    </row>
    <row r="3189" spans="1:1" x14ac:dyDescent="0.25">
      <c r="A3189" s="3"/>
    </row>
    <row r="3190" spans="1:1" x14ac:dyDescent="0.25">
      <c r="A3190" s="3"/>
    </row>
    <row r="3191" spans="1:1" x14ac:dyDescent="0.25">
      <c r="A3191" s="3"/>
    </row>
    <row r="3192" spans="1:1" x14ac:dyDescent="0.25">
      <c r="A3192" s="3"/>
    </row>
    <row r="3193" spans="1:1" x14ac:dyDescent="0.25">
      <c r="A3193" s="3"/>
    </row>
    <row r="3194" spans="1:1" x14ac:dyDescent="0.25">
      <c r="A3194" s="3"/>
    </row>
    <row r="3195" spans="1:1" x14ac:dyDescent="0.25">
      <c r="A3195" s="3"/>
    </row>
    <row r="3196" spans="1:1" x14ac:dyDescent="0.25">
      <c r="A3196" s="3"/>
    </row>
    <row r="3197" spans="1:1" x14ac:dyDescent="0.25">
      <c r="A3197" s="3"/>
    </row>
    <row r="3198" spans="1:1" x14ac:dyDescent="0.25">
      <c r="A3198" s="3"/>
    </row>
    <row r="3199" spans="1:1" x14ac:dyDescent="0.25">
      <c r="A3199" s="3"/>
    </row>
    <row r="3200" spans="1:1" x14ac:dyDescent="0.25">
      <c r="A3200" s="3"/>
    </row>
    <row r="3201" spans="1:1" x14ac:dyDescent="0.25">
      <c r="A3201" s="3"/>
    </row>
    <row r="3202" spans="1:1" x14ac:dyDescent="0.25">
      <c r="A3202" s="3"/>
    </row>
    <row r="3203" spans="1:1" x14ac:dyDescent="0.25">
      <c r="A3203" s="3"/>
    </row>
    <row r="3204" spans="1:1" x14ac:dyDescent="0.25">
      <c r="A3204" s="3"/>
    </row>
    <row r="3205" spans="1:1" x14ac:dyDescent="0.25">
      <c r="A3205" s="3"/>
    </row>
    <row r="3206" spans="1:1" x14ac:dyDescent="0.25">
      <c r="A3206" s="3"/>
    </row>
    <row r="3207" spans="1:1" x14ac:dyDescent="0.25">
      <c r="A3207" s="3"/>
    </row>
    <row r="3208" spans="1:1" x14ac:dyDescent="0.25">
      <c r="A3208" s="3"/>
    </row>
    <row r="3209" spans="1:1" x14ac:dyDescent="0.25">
      <c r="A3209" s="3"/>
    </row>
    <row r="3210" spans="1:1" x14ac:dyDescent="0.25">
      <c r="A3210" s="3"/>
    </row>
    <row r="3211" spans="1:1" x14ac:dyDescent="0.25">
      <c r="A3211" s="3"/>
    </row>
    <row r="3212" spans="1:1" x14ac:dyDescent="0.25">
      <c r="A3212" s="3"/>
    </row>
    <row r="3213" spans="1:1" x14ac:dyDescent="0.25">
      <c r="A3213" s="3"/>
    </row>
    <row r="3214" spans="1:1" x14ac:dyDescent="0.25">
      <c r="A3214" s="3"/>
    </row>
    <row r="3215" spans="1:1" x14ac:dyDescent="0.25">
      <c r="A3215" s="3"/>
    </row>
    <row r="3216" spans="1:1" x14ac:dyDescent="0.25">
      <c r="A3216" s="3"/>
    </row>
    <row r="3217" spans="1:1" x14ac:dyDescent="0.25">
      <c r="A3217" s="3"/>
    </row>
    <row r="3218" spans="1:1" x14ac:dyDescent="0.25">
      <c r="A3218" s="3"/>
    </row>
    <row r="3219" spans="1:1" x14ac:dyDescent="0.25">
      <c r="A3219" s="3"/>
    </row>
    <row r="3220" spans="1:1" x14ac:dyDescent="0.25">
      <c r="A3220" s="3"/>
    </row>
    <row r="3221" spans="1:1" x14ac:dyDescent="0.25">
      <c r="A3221" s="3"/>
    </row>
    <row r="3222" spans="1:1" x14ac:dyDescent="0.25">
      <c r="A3222" s="3"/>
    </row>
    <row r="3223" spans="1:1" x14ac:dyDescent="0.25">
      <c r="A3223" s="3"/>
    </row>
    <row r="3224" spans="1:1" x14ac:dyDescent="0.25">
      <c r="A3224" s="3"/>
    </row>
    <row r="3225" spans="1:1" x14ac:dyDescent="0.25">
      <c r="A3225" s="3"/>
    </row>
    <row r="3226" spans="1:1" x14ac:dyDescent="0.25">
      <c r="A3226" s="3"/>
    </row>
    <row r="3227" spans="1:1" x14ac:dyDescent="0.25">
      <c r="A3227" s="3"/>
    </row>
    <row r="3228" spans="1:1" x14ac:dyDescent="0.25">
      <c r="A3228" s="3"/>
    </row>
    <row r="3229" spans="1:1" x14ac:dyDescent="0.25">
      <c r="A3229" s="3"/>
    </row>
    <row r="3230" spans="1:1" x14ac:dyDescent="0.25">
      <c r="A3230" s="3"/>
    </row>
    <row r="3231" spans="1:1" x14ac:dyDescent="0.25">
      <c r="A3231" s="3"/>
    </row>
    <row r="3232" spans="1:1" x14ac:dyDescent="0.25">
      <c r="A3232" s="3"/>
    </row>
    <row r="3233" spans="1:1" x14ac:dyDescent="0.25">
      <c r="A3233" s="3"/>
    </row>
    <row r="3234" spans="1:1" x14ac:dyDescent="0.25">
      <c r="A3234" s="3"/>
    </row>
    <row r="3235" spans="1:1" x14ac:dyDescent="0.25">
      <c r="A3235" s="3"/>
    </row>
    <row r="3236" spans="1:1" x14ac:dyDescent="0.25">
      <c r="A3236" s="3"/>
    </row>
    <row r="3237" spans="1:1" x14ac:dyDescent="0.25">
      <c r="A3237" s="3"/>
    </row>
    <row r="3238" spans="1:1" x14ac:dyDescent="0.25">
      <c r="A3238" s="3"/>
    </row>
    <row r="3239" spans="1:1" x14ac:dyDescent="0.25">
      <c r="A3239" s="3"/>
    </row>
    <row r="3240" spans="1:1" x14ac:dyDescent="0.25">
      <c r="A3240" s="3"/>
    </row>
    <row r="3241" spans="1:1" x14ac:dyDescent="0.25">
      <c r="A3241" s="3"/>
    </row>
    <row r="3242" spans="1:1" x14ac:dyDescent="0.25">
      <c r="A3242" s="3"/>
    </row>
    <row r="3243" spans="1:1" x14ac:dyDescent="0.25">
      <c r="A3243" s="3"/>
    </row>
    <row r="3244" spans="1:1" x14ac:dyDescent="0.25">
      <c r="A3244" s="3"/>
    </row>
    <row r="3245" spans="1:1" x14ac:dyDescent="0.25">
      <c r="A3245" s="3"/>
    </row>
    <row r="3246" spans="1:1" x14ac:dyDescent="0.25">
      <c r="A3246" s="3"/>
    </row>
    <row r="3247" spans="1:1" x14ac:dyDescent="0.25">
      <c r="A3247" s="3"/>
    </row>
    <row r="3248" spans="1:1" x14ac:dyDescent="0.25">
      <c r="A3248" s="3"/>
    </row>
    <row r="3249" spans="1:1" x14ac:dyDescent="0.25">
      <c r="A3249" s="3"/>
    </row>
    <row r="3250" spans="1:1" x14ac:dyDescent="0.25">
      <c r="A3250" s="3"/>
    </row>
    <row r="3251" spans="1:1" x14ac:dyDescent="0.25">
      <c r="A3251" s="3"/>
    </row>
    <row r="3252" spans="1:1" x14ac:dyDescent="0.25">
      <c r="A3252" s="3"/>
    </row>
    <row r="3253" spans="1:1" x14ac:dyDescent="0.25">
      <c r="A3253" s="3"/>
    </row>
    <row r="3254" spans="1:1" x14ac:dyDescent="0.25">
      <c r="A3254" s="3"/>
    </row>
    <row r="3255" spans="1:1" x14ac:dyDescent="0.25">
      <c r="A3255" s="3"/>
    </row>
    <row r="3256" spans="1:1" x14ac:dyDescent="0.25">
      <c r="A3256" s="3"/>
    </row>
    <row r="3257" spans="1:1" x14ac:dyDescent="0.25">
      <c r="A3257" s="3"/>
    </row>
    <row r="3258" spans="1:1" x14ac:dyDescent="0.25">
      <c r="A3258" s="3"/>
    </row>
    <row r="3259" spans="1:1" x14ac:dyDescent="0.25">
      <c r="A3259" s="3"/>
    </row>
    <row r="3260" spans="1:1" x14ac:dyDescent="0.25">
      <c r="A3260" s="3"/>
    </row>
    <row r="3261" spans="1:1" x14ac:dyDescent="0.25">
      <c r="A3261" s="3"/>
    </row>
    <row r="3262" spans="1:1" x14ac:dyDescent="0.25">
      <c r="A3262" s="3"/>
    </row>
    <row r="3263" spans="1:1" x14ac:dyDescent="0.25">
      <c r="A3263" s="3"/>
    </row>
    <row r="3264" spans="1:1" x14ac:dyDescent="0.25">
      <c r="A3264" s="3"/>
    </row>
    <row r="3265" spans="1:1" x14ac:dyDescent="0.25">
      <c r="A3265" s="3"/>
    </row>
    <row r="3266" spans="1:1" x14ac:dyDescent="0.25">
      <c r="A3266" s="3"/>
    </row>
    <row r="3267" spans="1:1" x14ac:dyDescent="0.25">
      <c r="A3267" s="3"/>
    </row>
    <row r="3268" spans="1:1" x14ac:dyDescent="0.25">
      <c r="A3268" s="3"/>
    </row>
    <row r="3269" spans="1:1" x14ac:dyDescent="0.25">
      <c r="A3269" s="3"/>
    </row>
    <row r="3270" spans="1:1" x14ac:dyDescent="0.25">
      <c r="A3270" s="3"/>
    </row>
    <row r="3271" spans="1:1" x14ac:dyDescent="0.25">
      <c r="A3271" s="3"/>
    </row>
    <row r="3272" spans="1:1" x14ac:dyDescent="0.25">
      <c r="A3272" s="3"/>
    </row>
    <row r="3273" spans="1:1" x14ac:dyDescent="0.25">
      <c r="A3273" s="3"/>
    </row>
    <row r="3274" spans="1:1" x14ac:dyDescent="0.25">
      <c r="A3274" s="3"/>
    </row>
    <row r="3275" spans="1:1" x14ac:dyDescent="0.25">
      <c r="A3275" s="3"/>
    </row>
    <row r="3276" spans="1:1" x14ac:dyDescent="0.25">
      <c r="A3276" s="3"/>
    </row>
    <row r="3277" spans="1:1" x14ac:dyDescent="0.25">
      <c r="A3277" s="3"/>
    </row>
    <row r="3278" spans="1:1" x14ac:dyDescent="0.25">
      <c r="A3278" s="3"/>
    </row>
    <row r="3279" spans="1:1" x14ac:dyDescent="0.25">
      <c r="A3279" s="3"/>
    </row>
    <row r="3280" spans="1:1" x14ac:dyDescent="0.25">
      <c r="A3280" s="3"/>
    </row>
    <row r="3281" spans="1:1" x14ac:dyDescent="0.25">
      <c r="A3281" s="3"/>
    </row>
    <row r="3282" spans="1:1" x14ac:dyDescent="0.25">
      <c r="A3282" s="3"/>
    </row>
    <row r="3283" spans="1:1" x14ac:dyDescent="0.25">
      <c r="A3283" s="3"/>
    </row>
    <row r="3284" spans="1:1" x14ac:dyDescent="0.25">
      <c r="A3284" s="3"/>
    </row>
    <row r="3285" spans="1:1" x14ac:dyDescent="0.25">
      <c r="A3285" s="3"/>
    </row>
    <row r="3286" spans="1:1" x14ac:dyDescent="0.25">
      <c r="A3286" s="3"/>
    </row>
    <row r="3287" spans="1:1" x14ac:dyDescent="0.25">
      <c r="A3287" s="3"/>
    </row>
    <row r="3288" spans="1:1" x14ac:dyDescent="0.25">
      <c r="A3288" s="3"/>
    </row>
    <row r="3289" spans="1:1" x14ac:dyDescent="0.25">
      <c r="A3289" s="3"/>
    </row>
    <row r="3290" spans="1:1" x14ac:dyDescent="0.25">
      <c r="A3290" s="3"/>
    </row>
    <row r="3291" spans="1:1" x14ac:dyDescent="0.25">
      <c r="A3291" s="3"/>
    </row>
    <row r="3292" spans="1:1" x14ac:dyDescent="0.25">
      <c r="A3292" s="3"/>
    </row>
    <row r="3293" spans="1:1" x14ac:dyDescent="0.25">
      <c r="A3293" s="3"/>
    </row>
    <row r="3294" spans="1:1" x14ac:dyDescent="0.25">
      <c r="A3294" s="3"/>
    </row>
    <row r="3295" spans="1:1" x14ac:dyDescent="0.25">
      <c r="A3295" s="3"/>
    </row>
    <row r="3296" spans="1:1" x14ac:dyDescent="0.25">
      <c r="A3296" s="3"/>
    </row>
    <row r="3297" spans="1:1" x14ac:dyDescent="0.25">
      <c r="A3297" s="3"/>
    </row>
    <row r="3298" spans="1:1" x14ac:dyDescent="0.25">
      <c r="A3298" s="3"/>
    </row>
    <row r="3299" spans="1:1" x14ac:dyDescent="0.25">
      <c r="A3299" s="3"/>
    </row>
    <row r="3300" spans="1:1" x14ac:dyDescent="0.25">
      <c r="A3300" s="3"/>
    </row>
    <row r="3301" spans="1:1" x14ac:dyDescent="0.25">
      <c r="A3301" s="3"/>
    </row>
    <row r="3302" spans="1:1" x14ac:dyDescent="0.25">
      <c r="A3302" s="3"/>
    </row>
    <row r="3303" spans="1:1" x14ac:dyDescent="0.25">
      <c r="A3303" s="3"/>
    </row>
    <row r="3304" spans="1:1" x14ac:dyDescent="0.25">
      <c r="A3304" s="3"/>
    </row>
    <row r="3305" spans="1:1" x14ac:dyDescent="0.25">
      <c r="A3305" s="3"/>
    </row>
    <row r="3306" spans="1:1" x14ac:dyDescent="0.25">
      <c r="A3306" s="3"/>
    </row>
    <row r="3307" spans="1:1" x14ac:dyDescent="0.25">
      <c r="A3307" s="3"/>
    </row>
    <row r="3308" spans="1:1" x14ac:dyDescent="0.25">
      <c r="A3308" s="3"/>
    </row>
    <row r="3309" spans="1:1" x14ac:dyDescent="0.25">
      <c r="A3309" s="3"/>
    </row>
    <row r="3310" spans="1:1" x14ac:dyDescent="0.25">
      <c r="A3310" s="3"/>
    </row>
    <row r="3311" spans="1:1" x14ac:dyDescent="0.25">
      <c r="A3311" s="3"/>
    </row>
    <row r="3312" spans="1:1" x14ac:dyDescent="0.25">
      <c r="A3312" s="3"/>
    </row>
    <row r="3313" spans="1:1" x14ac:dyDescent="0.25">
      <c r="A3313" s="3"/>
    </row>
    <row r="3314" spans="1:1" x14ac:dyDescent="0.25">
      <c r="A3314" s="3"/>
    </row>
    <row r="3315" spans="1:1" x14ac:dyDescent="0.25">
      <c r="A3315" s="3"/>
    </row>
    <row r="3316" spans="1:1" x14ac:dyDescent="0.25">
      <c r="A3316" s="3"/>
    </row>
    <row r="3317" spans="1:1" x14ac:dyDescent="0.25">
      <c r="A3317" s="3"/>
    </row>
    <row r="3318" spans="1:1" x14ac:dyDescent="0.25">
      <c r="A3318" s="3"/>
    </row>
    <row r="3319" spans="1:1" x14ac:dyDescent="0.25">
      <c r="A3319" s="3"/>
    </row>
    <row r="3320" spans="1:1" x14ac:dyDescent="0.25">
      <c r="A3320" s="3"/>
    </row>
    <row r="3321" spans="1:1" x14ac:dyDescent="0.25">
      <c r="A3321" s="3"/>
    </row>
    <row r="3322" spans="1:1" x14ac:dyDescent="0.25">
      <c r="A3322" s="3"/>
    </row>
    <row r="3323" spans="1:1" x14ac:dyDescent="0.25">
      <c r="A3323" s="3"/>
    </row>
    <row r="3324" spans="1:1" x14ac:dyDescent="0.25">
      <c r="A3324" s="3"/>
    </row>
    <row r="3325" spans="1:1" x14ac:dyDescent="0.25">
      <c r="A3325" s="3"/>
    </row>
    <row r="3326" spans="1:1" x14ac:dyDescent="0.25">
      <c r="A3326" s="3"/>
    </row>
    <row r="3327" spans="1:1" x14ac:dyDescent="0.25">
      <c r="A3327" s="3"/>
    </row>
    <row r="3328" spans="1:1" x14ac:dyDescent="0.25">
      <c r="A3328" s="3"/>
    </row>
    <row r="3329" spans="1:1" x14ac:dyDescent="0.25">
      <c r="A3329" s="3"/>
    </row>
    <row r="3330" spans="1:1" x14ac:dyDescent="0.25">
      <c r="A3330" s="3"/>
    </row>
    <row r="3331" spans="1:1" x14ac:dyDescent="0.25">
      <c r="A3331" s="3"/>
    </row>
    <row r="3332" spans="1:1" x14ac:dyDescent="0.25">
      <c r="A3332" s="3"/>
    </row>
    <row r="3333" spans="1:1" x14ac:dyDescent="0.25">
      <c r="A3333" s="3"/>
    </row>
    <row r="3334" spans="1:1" x14ac:dyDescent="0.25">
      <c r="A3334" s="3"/>
    </row>
    <row r="3335" spans="1:1" x14ac:dyDescent="0.25">
      <c r="A3335" s="3"/>
    </row>
    <row r="3336" spans="1:1" x14ac:dyDescent="0.25">
      <c r="A3336" s="3"/>
    </row>
    <row r="3337" spans="1:1" x14ac:dyDescent="0.25">
      <c r="A3337" s="3"/>
    </row>
    <row r="3338" spans="1:1" x14ac:dyDescent="0.25">
      <c r="A3338" s="3"/>
    </row>
    <row r="3339" spans="1:1" x14ac:dyDescent="0.25">
      <c r="A3339" s="3"/>
    </row>
    <row r="3340" spans="1:1" x14ac:dyDescent="0.25">
      <c r="A3340" s="3"/>
    </row>
    <row r="3341" spans="1:1" x14ac:dyDescent="0.25">
      <c r="A3341" s="3"/>
    </row>
    <row r="3342" spans="1:1" x14ac:dyDescent="0.25">
      <c r="A3342" s="3"/>
    </row>
    <row r="3343" spans="1:1" x14ac:dyDescent="0.25">
      <c r="A3343" s="3"/>
    </row>
    <row r="3344" spans="1:1" x14ac:dyDescent="0.25">
      <c r="A3344" s="3"/>
    </row>
    <row r="3345" spans="1:1" x14ac:dyDescent="0.25">
      <c r="A3345" s="3"/>
    </row>
    <row r="3346" spans="1:1" x14ac:dyDescent="0.25">
      <c r="A3346" s="3"/>
    </row>
    <row r="3347" spans="1:1" x14ac:dyDescent="0.25">
      <c r="A3347" s="3"/>
    </row>
    <row r="3348" spans="1:1" x14ac:dyDescent="0.25">
      <c r="A3348" s="3"/>
    </row>
    <row r="3349" spans="1:1" x14ac:dyDescent="0.25">
      <c r="A3349" s="3"/>
    </row>
    <row r="3350" spans="1:1" x14ac:dyDescent="0.25">
      <c r="A3350" s="3"/>
    </row>
    <row r="3351" spans="1:1" x14ac:dyDescent="0.25">
      <c r="A3351" s="3"/>
    </row>
    <row r="3352" spans="1:1" x14ac:dyDescent="0.25">
      <c r="A3352" s="3"/>
    </row>
    <row r="3353" spans="1:1" x14ac:dyDescent="0.25">
      <c r="A3353" s="3"/>
    </row>
    <row r="3354" spans="1:1" x14ac:dyDescent="0.25">
      <c r="A3354" s="3"/>
    </row>
    <row r="3355" spans="1:1" x14ac:dyDescent="0.25">
      <c r="A3355" s="3"/>
    </row>
    <row r="3356" spans="1:1" x14ac:dyDescent="0.25">
      <c r="A3356" s="3"/>
    </row>
    <row r="3357" spans="1:1" x14ac:dyDescent="0.25">
      <c r="A3357" s="3"/>
    </row>
    <row r="3358" spans="1:1" x14ac:dyDescent="0.25">
      <c r="A3358" s="3"/>
    </row>
    <row r="3359" spans="1:1" x14ac:dyDescent="0.25">
      <c r="A3359" s="3"/>
    </row>
    <row r="3360" spans="1:1" x14ac:dyDescent="0.25">
      <c r="A3360" s="3"/>
    </row>
    <row r="3361" spans="1:1" x14ac:dyDescent="0.25">
      <c r="A3361" s="3"/>
    </row>
    <row r="3362" spans="1:1" x14ac:dyDescent="0.25">
      <c r="A3362" s="3"/>
    </row>
    <row r="3363" spans="1:1" x14ac:dyDescent="0.25">
      <c r="A3363" s="3"/>
    </row>
    <row r="3364" spans="1:1" x14ac:dyDescent="0.25">
      <c r="A3364" s="3"/>
    </row>
    <row r="3365" spans="1:1" x14ac:dyDescent="0.25">
      <c r="A3365" s="3"/>
    </row>
    <row r="3366" spans="1:1" x14ac:dyDescent="0.25">
      <c r="A3366" s="3"/>
    </row>
    <row r="3367" spans="1:1" x14ac:dyDescent="0.25">
      <c r="A3367" s="3"/>
    </row>
    <row r="3368" spans="1:1" x14ac:dyDescent="0.25">
      <c r="A3368" s="3"/>
    </row>
    <row r="3369" spans="1:1" x14ac:dyDescent="0.25">
      <c r="A3369" s="3"/>
    </row>
    <row r="3370" spans="1:1" x14ac:dyDescent="0.25">
      <c r="A3370" s="3"/>
    </row>
    <row r="3371" spans="1:1" x14ac:dyDescent="0.25">
      <c r="A3371" s="3"/>
    </row>
    <row r="3372" spans="1:1" x14ac:dyDescent="0.25">
      <c r="A3372" s="3"/>
    </row>
    <row r="3373" spans="1:1" x14ac:dyDescent="0.25">
      <c r="A3373" s="3"/>
    </row>
    <row r="3374" spans="1:1" x14ac:dyDescent="0.25">
      <c r="A3374" s="3"/>
    </row>
    <row r="3375" spans="1:1" x14ac:dyDescent="0.25">
      <c r="A3375" s="3"/>
    </row>
    <row r="3376" spans="1:1" x14ac:dyDescent="0.25">
      <c r="A3376" s="3"/>
    </row>
    <row r="3377" spans="1:1" x14ac:dyDescent="0.25">
      <c r="A3377" s="3"/>
    </row>
    <row r="3378" spans="1:1" x14ac:dyDescent="0.25">
      <c r="A3378" s="3"/>
    </row>
    <row r="3379" spans="1:1" x14ac:dyDescent="0.25">
      <c r="A3379" s="3"/>
    </row>
    <row r="3380" spans="1:1" x14ac:dyDescent="0.25">
      <c r="A3380" s="3"/>
    </row>
    <row r="3381" spans="1:1" x14ac:dyDescent="0.25">
      <c r="A3381" s="3"/>
    </row>
    <row r="3382" spans="1:1" x14ac:dyDescent="0.25">
      <c r="A3382" s="3"/>
    </row>
    <row r="3383" spans="1:1" x14ac:dyDescent="0.25">
      <c r="A3383" s="3"/>
    </row>
    <row r="3384" spans="1:1" x14ac:dyDescent="0.25">
      <c r="A3384" s="3"/>
    </row>
    <row r="3385" spans="1:1" x14ac:dyDescent="0.25">
      <c r="A3385" s="3"/>
    </row>
    <row r="3386" spans="1:1" x14ac:dyDescent="0.25">
      <c r="A3386" s="3"/>
    </row>
    <row r="3387" spans="1:1" x14ac:dyDescent="0.25">
      <c r="A3387" s="3"/>
    </row>
    <row r="3388" spans="1:1" x14ac:dyDescent="0.25">
      <c r="A3388" s="3"/>
    </row>
    <row r="3389" spans="1:1" x14ac:dyDescent="0.25">
      <c r="A3389" s="3"/>
    </row>
    <row r="3390" spans="1:1" x14ac:dyDescent="0.25">
      <c r="A3390" s="3"/>
    </row>
    <row r="3391" spans="1:1" x14ac:dyDescent="0.25">
      <c r="A3391" s="3"/>
    </row>
    <row r="3392" spans="1:1" x14ac:dyDescent="0.25">
      <c r="A3392" s="3"/>
    </row>
    <row r="3393" spans="1:1" x14ac:dyDescent="0.25">
      <c r="A3393" s="3"/>
    </row>
    <row r="3394" spans="1:1" x14ac:dyDescent="0.25">
      <c r="A3394" s="3"/>
    </row>
    <row r="3395" spans="1:1" x14ac:dyDescent="0.25">
      <c r="A3395" s="3"/>
    </row>
    <row r="3396" spans="1:1" x14ac:dyDescent="0.25">
      <c r="A3396" s="3"/>
    </row>
    <row r="3397" spans="1:1" x14ac:dyDescent="0.25">
      <c r="A3397" s="3"/>
    </row>
    <row r="3398" spans="1:1" x14ac:dyDescent="0.25">
      <c r="A3398" s="3"/>
    </row>
    <row r="3399" spans="1:1" x14ac:dyDescent="0.25">
      <c r="A3399" s="3"/>
    </row>
    <row r="3400" spans="1:1" x14ac:dyDescent="0.25">
      <c r="A3400" s="3"/>
    </row>
    <row r="3401" spans="1:1" x14ac:dyDescent="0.25">
      <c r="A3401" s="3"/>
    </row>
    <row r="3402" spans="1:1" x14ac:dyDescent="0.25">
      <c r="A3402" s="3"/>
    </row>
    <row r="3403" spans="1:1" x14ac:dyDescent="0.25">
      <c r="A3403" s="3"/>
    </row>
    <row r="3404" spans="1:1" x14ac:dyDescent="0.25">
      <c r="A3404" s="3"/>
    </row>
    <row r="3405" spans="1:1" x14ac:dyDescent="0.25">
      <c r="A3405" s="3"/>
    </row>
    <row r="3406" spans="1:1" x14ac:dyDescent="0.25">
      <c r="A3406" s="3"/>
    </row>
    <row r="3407" spans="1:1" x14ac:dyDescent="0.25">
      <c r="A3407" s="3"/>
    </row>
    <row r="3408" spans="1:1" x14ac:dyDescent="0.25">
      <c r="A3408" s="3"/>
    </row>
    <row r="3409" spans="1:1" x14ac:dyDescent="0.25">
      <c r="A3409" s="3"/>
    </row>
    <row r="3410" spans="1:1" x14ac:dyDescent="0.25">
      <c r="A3410" s="3"/>
    </row>
    <row r="3411" spans="1:1" x14ac:dyDescent="0.25">
      <c r="A3411" s="3"/>
    </row>
    <row r="3412" spans="1:1" x14ac:dyDescent="0.25">
      <c r="A3412" s="3"/>
    </row>
    <row r="3413" spans="1:1" x14ac:dyDescent="0.25">
      <c r="A3413" s="3"/>
    </row>
    <row r="3414" spans="1:1" x14ac:dyDescent="0.25">
      <c r="A3414" s="3"/>
    </row>
    <row r="3415" spans="1:1" x14ac:dyDescent="0.25">
      <c r="A3415" s="3"/>
    </row>
    <row r="3416" spans="1:1" x14ac:dyDescent="0.25">
      <c r="A3416" s="3"/>
    </row>
    <row r="3417" spans="1:1" x14ac:dyDescent="0.25">
      <c r="A3417" s="3"/>
    </row>
    <row r="3418" spans="1:1" x14ac:dyDescent="0.25">
      <c r="A3418" s="3"/>
    </row>
    <row r="3419" spans="1:1" x14ac:dyDescent="0.25">
      <c r="A3419" s="3"/>
    </row>
    <row r="3420" spans="1:1" x14ac:dyDescent="0.25">
      <c r="A3420" s="3"/>
    </row>
    <row r="3421" spans="1:1" x14ac:dyDescent="0.25">
      <c r="A3421" s="3"/>
    </row>
    <row r="3422" spans="1:1" x14ac:dyDescent="0.25">
      <c r="A3422" s="3"/>
    </row>
    <row r="3423" spans="1:1" x14ac:dyDescent="0.25">
      <c r="A3423" s="3"/>
    </row>
    <row r="3424" spans="1:1" x14ac:dyDescent="0.25">
      <c r="A3424" s="3"/>
    </row>
    <row r="3425" spans="1:1" x14ac:dyDescent="0.25">
      <c r="A3425" s="3"/>
    </row>
    <row r="3426" spans="1:1" x14ac:dyDescent="0.25">
      <c r="A3426" s="3"/>
    </row>
    <row r="3427" spans="1:1" x14ac:dyDescent="0.25">
      <c r="A3427" s="3"/>
    </row>
    <row r="3428" spans="1:1" x14ac:dyDescent="0.25">
      <c r="A3428" s="3"/>
    </row>
    <row r="3429" spans="1:1" x14ac:dyDescent="0.25">
      <c r="A3429" s="3"/>
    </row>
    <row r="3430" spans="1:1" x14ac:dyDescent="0.25">
      <c r="A3430" s="3"/>
    </row>
    <row r="3431" spans="1:1" x14ac:dyDescent="0.25">
      <c r="A3431" s="3"/>
    </row>
    <row r="3432" spans="1:1" x14ac:dyDescent="0.25">
      <c r="A3432" s="3"/>
    </row>
    <row r="3433" spans="1:1" x14ac:dyDescent="0.25">
      <c r="A3433" s="3"/>
    </row>
    <row r="3434" spans="1:1" x14ac:dyDescent="0.25">
      <c r="A3434" s="3"/>
    </row>
    <row r="3435" spans="1:1" x14ac:dyDescent="0.25">
      <c r="A3435" s="3"/>
    </row>
    <row r="3436" spans="1:1" x14ac:dyDescent="0.25">
      <c r="A3436" s="3"/>
    </row>
    <row r="3437" spans="1:1" x14ac:dyDescent="0.25">
      <c r="A3437" s="3"/>
    </row>
    <row r="3438" spans="1:1" x14ac:dyDescent="0.25">
      <c r="A3438" s="3"/>
    </row>
    <row r="3439" spans="1:1" x14ac:dyDescent="0.25">
      <c r="A3439" s="3"/>
    </row>
    <row r="3440" spans="1:1" x14ac:dyDescent="0.25">
      <c r="A3440" s="3"/>
    </row>
    <row r="3441" spans="1:1" x14ac:dyDescent="0.25">
      <c r="A3441" s="3"/>
    </row>
    <row r="3442" spans="1:1" x14ac:dyDescent="0.25">
      <c r="A3442" s="3"/>
    </row>
    <row r="3443" spans="1:1" x14ac:dyDescent="0.25">
      <c r="A3443" s="3"/>
    </row>
    <row r="3444" spans="1:1" x14ac:dyDescent="0.25">
      <c r="A3444" s="3"/>
    </row>
    <row r="3445" spans="1:1" x14ac:dyDescent="0.25">
      <c r="A3445" s="3"/>
    </row>
    <row r="3446" spans="1:1" x14ac:dyDescent="0.25">
      <c r="A3446" s="3"/>
    </row>
    <row r="3447" spans="1:1" x14ac:dyDescent="0.25">
      <c r="A3447" s="3"/>
    </row>
    <row r="3448" spans="1:1" x14ac:dyDescent="0.25">
      <c r="A3448" s="3"/>
    </row>
    <row r="3449" spans="1:1" x14ac:dyDescent="0.25">
      <c r="A3449" s="3"/>
    </row>
    <row r="3450" spans="1:1" x14ac:dyDescent="0.25">
      <c r="A3450" s="3"/>
    </row>
    <row r="3451" spans="1:1" x14ac:dyDescent="0.25">
      <c r="A3451" s="3"/>
    </row>
    <row r="3452" spans="1:1" x14ac:dyDescent="0.25">
      <c r="A3452" s="3"/>
    </row>
    <row r="3453" spans="1:1" x14ac:dyDescent="0.25">
      <c r="A3453" s="3"/>
    </row>
    <row r="3454" spans="1:1" x14ac:dyDescent="0.25">
      <c r="A3454" s="3"/>
    </row>
    <row r="3455" spans="1:1" x14ac:dyDescent="0.25">
      <c r="A3455" s="3"/>
    </row>
    <row r="3456" spans="1:1" x14ac:dyDescent="0.25">
      <c r="A3456" s="3"/>
    </row>
    <row r="3457" spans="1:1" x14ac:dyDescent="0.25">
      <c r="A3457" s="3"/>
    </row>
    <row r="3458" spans="1:1" x14ac:dyDescent="0.25">
      <c r="A3458" s="3"/>
    </row>
    <row r="3459" spans="1:1" x14ac:dyDescent="0.25">
      <c r="A3459" s="3"/>
    </row>
    <row r="3460" spans="1:1" x14ac:dyDescent="0.25">
      <c r="A3460" s="3"/>
    </row>
    <row r="3461" spans="1:1" x14ac:dyDescent="0.25">
      <c r="A3461" s="3"/>
    </row>
    <row r="3462" spans="1:1" x14ac:dyDescent="0.25">
      <c r="A3462" s="3"/>
    </row>
    <row r="3463" spans="1:1" x14ac:dyDescent="0.25">
      <c r="A3463" s="3"/>
    </row>
    <row r="3464" spans="1:1" x14ac:dyDescent="0.25">
      <c r="A3464" s="3"/>
    </row>
    <row r="3465" spans="1:1" x14ac:dyDescent="0.25">
      <c r="A3465" s="3"/>
    </row>
    <row r="3466" spans="1:1" x14ac:dyDescent="0.25">
      <c r="A3466" s="3"/>
    </row>
    <row r="3467" spans="1:1" x14ac:dyDescent="0.25">
      <c r="A3467" s="3"/>
    </row>
    <row r="3468" spans="1:1" x14ac:dyDescent="0.25">
      <c r="A3468" s="3"/>
    </row>
    <row r="3469" spans="1:1" x14ac:dyDescent="0.25">
      <c r="A3469" s="3"/>
    </row>
    <row r="3470" spans="1:1" x14ac:dyDescent="0.25">
      <c r="A3470" s="3"/>
    </row>
    <row r="3471" spans="1:1" x14ac:dyDescent="0.25">
      <c r="A3471" s="3"/>
    </row>
    <row r="3472" spans="1:1" x14ac:dyDescent="0.25">
      <c r="A3472" s="3"/>
    </row>
    <row r="3473" spans="1:1" x14ac:dyDescent="0.25">
      <c r="A3473" s="3"/>
    </row>
    <row r="3474" spans="1:1" x14ac:dyDescent="0.25">
      <c r="A3474" s="3"/>
    </row>
    <row r="3475" spans="1:1" x14ac:dyDescent="0.25">
      <c r="A3475" s="3"/>
    </row>
    <row r="3476" spans="1:1" x14ac:dyDescent="0.25">
      <c r="A3476" s="3"/>
    </row>
    <row r="3477" spans="1:1" x14ac:dyDescent="0.25">
      <c r="A3477" s="3"/>
    </row>
    <row r="3478" spans="1:1" x14ac:dyDescent="0.25">
      <c r="A3478" s="3"/>
    </row>
    <row r="3479" spans="1:1" x14ac:dyDescent="0.25">
      <c r="A3479" s="3"/>
    </row>
    <row r="3480" spans="1:1" x14ac:dyDescent="0.25">
      <c r="A3480" s="3"/>
    </row>
    <row r="3481" spans="1:1" x14ac:dyDescent="0.25">
      <c r="A3481" s="3"/>
    </row>
    <row r="3482" spans="1:1" x14ac:dyDescent="0.25">
      <c r="A3482" s="3"/>
    </row>
    <row r="3483" spans="1:1" x14ac:dyDescent="0.25">
      <c r="A3483" s="3"/>
    </row>
    <row r="3484" spans="1:1" x14ac:dyDescent="0.25">
      <c r="A3484" s="3"/>
    </row>
    <row r="3485" spans="1:1" x14ac:dyDescent="0.25">
      <c r="A3485" s="3"/>
    </row>
    <row r="3486" spans="1:1" x14ac:dyDescent="0.25">
      <c r="A3486" s="3"/>
    </row>
    <row r="3487" spans="1:1" x14ac:dyDescent="0.25">
      <c r="A3487" s="3"/>
    </row>
    <row r="3488" spans="1:1" x14ac:dyDescent="0.25">
      <c r="A3488" s="3"/>
    </row>
    <row r="3489" spans="1:1" x14ac:dyDescent="0.25">
      <c r="A3489" s="3"/>
    </row>
    <row r="3490" spans="1:1" x14ac:dyDescent="0.25">
      <c r="A3490" s="3"/>
    </row>
    <row r="3491" spans="1:1" x14ac:dyDescent="0.25">
      <c r="A3491" s="3"/>
    </row>
    <row r="3492" spans="1:1" x14ac:dyDescent="0.25">
      <c r="A3492" s="3"/>
    </row>
    <row r="3493" spans="1:1" x14ac:dyDescent="0.25">
      <c r="A3493" s="3"/>
    </row>
    <row r="3494" spans="1:1" x14ac:dyDescent="0.25">
      <c r="A3494" s="3"/>
    </row>
    <row r="3495" spans="1:1" x14ac:dyDescent="0.25">
      <c r="A3495" s="3"/>
    </row>
    <row r="3496" spans="1:1" x14ac:dyDescent="0.25">
      <c r="A3496" s="3"/>
    </row>
    <row r="3497" spans="1:1" x14ac:dyDescent="0.25">
      <c r="A3497" s="3"/>
    </row>
    <row r="3498" spans="1:1" x14ac:dyDescent="0.25">
      <c r="A3498" s="3"/>
    </row>
    <row r="3499" spans="1:1" x14ac:dyDescent="0.25">
      <c r="A3499" s="3"/>
    </row>
    <row r="3500" spans="1:1" x14ac:dyDescent="0.25">
      <c r="A3500" s="3"/>
    </row>
    <row r="3501" spans="1:1" x14ac:dyDescent="0.25">
      <c r="A3501" s="3"/>
    </row>
    <row r="3502" spans="1:1" x14ac:dyDescent="0.25">
      <c r="A3502" s="3"/>
    </row>
    <row r="3503" spans="1:1" x14ac:dyDescent="0.25">
      <c r="A3503" s="3"/>
    </row>
    <row r="3504" spans="1:1" x14ac:dyDescent="0.25">
      <c r="A3504" s="3"/>
    </row>
    <row r="3505" spans="1:1" x14ac:dyDescent="0.25">
      <c r="A3505" s="3"/>
    </row>
    <row r="3506" spans="1:1" x14ac:dyDescent="0.25">
      <c r="A3506" s="3"/>
    </row>
    <row r="3507" spans="1:1" x14ac:dyDescent="0.25">
      <c r="A3507" s="3"/>
    </row>
    <row r="3508" spans="1:1" x14ac:dyDescent="0.25">
      <c r="A3508" s="3"/>
    </row>
    <row r="3509" spans="1:1" x14ac:dyDescent="0.25">
      <c r="A3509" s="3"/>
    </row>
    <row r="3510" spans="1:1" x14ac:dyDescent="0.25">
      <c r="A3510" s="3"/>
    </row>
    <row r="3511" spans="1:1" x14ac:dyDescent="0.25">
      <c r="A3511" s="3"/>
    </row>
    <row r="3512" spans="1:1" x14ac:dyDescent="0.25">
      <c r="A3512" s="3"/>
    </row>
    <row r="3513" spans="1:1" x14ac:dyDescent="0.25">
      <c r="A3513" s="3"/>
    </row>
    <row r="3514" spans="1:1" x14ac:dyDescent="0.25">
      <c r="A3514" s="3"/>
    </row>
    <row r="3515" spans="1:1" x14ac:dyDescent="0.25">
      <c r="A3515" s="3"/>
    </row>
    <row r="3516" spans="1:1" x14ac:dyDescent="0.25">
      <c r="A3516" s="3"/>
    </row>
    <row r="3517" spans="1:1" x14ac:dyDescent="0.25">
      <c r="A3517" s="3"/>
    </row>
    <row r="3518" spans="1:1" x14ac:dyDescent="0.25">
      <c r="A3518" s="3"/>
    </row>
    <row r="3519" spans="1:1" x14ac:dyDescent="0.25">
      <c r="A3519" s="3"/>
    </row>
    <row r="3520" spans="1:1" x14ac:dyDescent="0.25">
      <c r="A3520" s="3"/>
    </row>
    <row r="3521" spans="1:1" x14ac:dyDescent="0.25">
      <c r="A3521" s="3"/>
    </row>
    <row r="3522" spans="1:1" x14ac:dyDescent="0.25">
      <c r="A3522" s="3"/>
    </row>
    <row r="3523" spans="1:1" x14ac:dyDescent="0.25">
      <c r="A3523" s="3"/>
    </row>
    <row r="3524" spans="1:1" x14ac:dyDescent="0.25">
      <c r="A3524" s="3"/>
    </row>
    <row r="3525" spans="1:1" x14ac:dyDescent="0.25">
      <c r="A3525" s="3"/>
    </row>
    <row r="3526" spans="1:1" x14ac:dyDescent="0.25">
      <c r="A3526" s="3"/>
    </row>
    <row r="3527" spans="1:1" x14ac:dyDescent="0.25">
      <c r="A3527" s="3"/>
    </row>
    <row r="3528" spans="1:1" x14ac:dyDescent="0.25">
      <c r="A3528" s="3"/>
    </row>
    <row r="3529" spans="1:1" x14ac:dyDescent="0.25">
      <c r="A3529" s="3"/>
    </row>
    <row r="3530" spans="1:1" x14ac:dyDescent="0.25">
      <c r="A3530" s="3"/>
    </row>
    <row r="3531" spans="1:1" x14ac:dyDescent="0.25">
      <c r="A3531" s="3"/>
    </row>
    <row r="3532" spans="1:1" x14ac:dyDescent="0.25">
      <c r="A3532" s="3"/>
    </row>
    <row r="3533" spans="1:1" x14ac:dyDescent="0.25">
      <c r="A3533" s="3"/>
    </row>
    <row r="3534" spans="1:1" x14ac:dyDescent="0.25">
      <c r="A3534" s="3"/>
    </row>
    <row r="3535" spans="1:1" x14ac:dyDescent="0.25">
      <c r="A3535" s="3"/>
    </row>
    <row r="3536" spans="1:1" x14ac:dyDescent="0.25">
      <c r="A3536" s="3"/>
    </row>
    <row r="3537" spans="1:1" x14ac:dyDescent="0.25">
      <c r="A3537" s="3"/>
    </row>
    <row r="3538" spans="1:1" x14ac:dyDescent="0.25">
      <c r="A3538" s="3"/>
    </row>
    <row r="3539" spans="1:1" x14ac:dyDescent="0.25">
      <c r="A3539" s="3"/>
    </row>
    <row r="3540" spans="1:1" x14ac:dyDescent="0.25">
      <c r="A3540" s="3"/>
    </row>
    <row r="3541" spans="1:1" x14ac:dyDescent="0.25">
      <c r="A3541" s="3"/>
    </row>
    <row r="3542" spans="1:1" x14ac:dyDescent="0.25">
      <c r="A3542" s="3"/>
    </row>
    <row r="3543" spans="1:1" x14ac:dyDescent="0.25">
      <c r="A3543" s="3"/>
    </row>
    <row r="3544" spans="1:1" x14ac:dyDescent="0.25">
      <c r="A3544" s="3"/>
    </row>
    <row r="3545" spans="1:1" x14ac:dyDescent="0.25">
      <c r="A3545" s="3"/>
    </row>
    <row r="3546" spans="1:1" x14ac:dyDescent="0.25">
      <c r="A3546" s="3"/>
    </row>
    <row r="3547" spans="1:1" x14ac:dyDescent="0.25">
      <c r="A3547" s="3"/>
    </row>
    <row r="3548" spans="1:1" x14ac:dyDescent="0.25">
      <c r="A3548" s="3"/>
    </row>
    <row r="3549" spans="1:1" x14ac:dyDescent="0.25">
      <c r="A3549" s="3"/>
    </row>
    <row r="3550" spans="1:1" x14ac:dyDescent="0.25">
      <c r="A3550" s="3"/>
    </row>
    <row r="3551" spans="1:1" x14ac:dyDescent="0.25">
      <c r="A3551" s="3"/>
    </row>
    <row r="3552" spans="1:1" x14ac:dyDescent="0.25">
      <c r="A3552" s="3"/>
    </row>
    <row r="3553" spans="1:1" x14ac:dyDescent="0.25">
      <c r="A3553" s="3"/>
    </row>
    <row r="3554" spans="1:1" x14ac:dyDescent="0.25">
      <c r="A3554" s="3"/>
    </row>
    <row r="3555" spans="1:1" x14ac:dyDescent="0.25">
      <c r="A3555" s="3"/>
    </row>
    <row r="3556" spans="1:1" x14ac:dyDescent="0.25">
      <c r="A3556" s="3"/>
    </row>
    <row r="3557" spans="1:1" x14ac:dyDescent="0.25">
      <c r="A3557" s="3"/>
    </row>
    <row r="3558" spans="1:1" x14ac:dyDescent="0.25">
      <c r="A3558" s="3"/>
    </row>
    <row r="3559" spans="1:1" x14ac:dyDescent="0.25">
      <c r="A3559" s="3"/>
    </row>
    <row r="3560" spans="1:1" x14ac:dyDescent="0.25">
      <c r="A3560" s="3"/>
    </row>
    <row r="3561" spans="1:1" x14ac:dyDescent="0.25">
      <c r="A3561" s="3"/>
    </row>
    <row r="3562" spans="1:1" x14ac:dyDescent="0.25">
      <c r="A3562" s="3"/>
    </row>
    <row r="3563" spans="1:1" x14ac:dyDescent="0.25">
      <c r="A3563" s="3"/>
    </row>
    <row r="3564" spans="1:1" x14ac:dyDescent="0.25">
      <c r="A3564" s="3"/>
    </row>
    <row r="3565" spans="1:1" x14ac:dyDescent="0.25">
      <c r="A3565" s="3"/>
    </row>
    <row r="3566" spans="1:1" x14ac:dyDescent="0.25">
      <c r="A3566" s="3"/>
    </row>
    <row r="3567" spans="1:1" x14ac:dyDescent="0.25">
      <c r="A3567" s="3"/>
    </row>
    <row r="3568" spans="1:1" x14ac:dyDescent="0.25">
      <c r="A3568" s="3"/>
    </row>
    <row r="3569" spans="1:1" x14ac:dyDescent="0.25">
      <c r="A3569" s="3"/>
    </row>
    <row r="3570" spans="1:1" x14ac:dyDescent="0.25">
      <c r="A3570" s="3"/>
    </row>
    <row r="3571" spans="1:1" x14ac:dyDescent="0.25">
      <c r="A3571" s="3"/>
    </row>
    <row r="3572" spans="1:1" x14ac:dyDescent="0.25">
      <c r="A3572" s="3"/>
    </row>
    <row r="3573" spans="1:1" x14ac:dyDescent="0.25">
      <c r="A3573" s="3"/>
    </row>
    <row r="3574" spans="1:1" x14ac:dyDescent="0.25">
      <c r="A3574" s="3"/>
    </row>
    <row r="3575" spans="1:1" x14ac:dyDescent="0.25">
      <c r="A3575" s="3"/>
    </row>
    <row r="3576" spans="1:1" x14ac:dyDescent="0.25">
      <c r="A3576" s="3"/>
    </row>
    <row r="3577" spans="1:1" x14ac:dyDescent="0.25">
      <c r="A3577" s="3"/>
    </row>
    <row r="3578" spans="1:1" x14ac:dyDescent="0.25">
      <c r="A3578" s="3"/>
    </row>
    <row r="3579" spans="1:1" x14ac:dyDescent="0.25">
      <c r="A3579" s="3"/>
    </row>
    <row r="3580" spans="1:1" x14ac:dyDescent="0.25">
      <c r="A3580" s="3"/>
    </row>
    <row r="3581" spans="1:1" x14ac:dyDescent="0.25">
      <c r="A3581" s="3"/>
    </row>
    <row r="3582" spans="1:1" x14ac:dyDescent="0.25">
      <c r="A3582" s="3"/>
    </row>
    <row r="3583" spans="1:1" x14ac:dyDescent="0.25">
      <c r="A3583" s="3"/>
    </row>
    <row r="3584" spans="1:1" x14ac:dyDescent="0.25">
      <c r="A3584" s="3"/>
    </row>
    <row r="3585" spans="1:1" x14ac:dyDescent="0.25">
      <c r="A3585" s="3"/>
    </row>
    <row r="3586" spans="1:1" x14ac:dyDescent="0.25">
      <c r="A3586" s="3"/>
    </row>
    <row r="3587" spans="1:1" x14ac:dyDescent="0.25">
      <c r="A3587" s="3"/>
    </row>
    <row r="3588" spans="1:1" x14ac:dyDescent="0.25">
      <c r="A3588" s="3"/>
    </row>
    <row r="3589" spans="1:1" x14ac:dyDescent="0.25">
      <c r="A3589" s="3"/>
    </row>
    <row r="3590" spans="1:1" x14ac:dyDescent="0.25">
      <c r="A3590" s="3"/>
    </row>
    <row r="3591" spans="1:1" x14ac:dyDescent="0.25">
      <c r="A3591" s="3"/>
    </row>
    <row r="3592" spans="1:1" x14ac:dyDescent="0.25">
      <c r="A3592" s="3"/>
    </row>
    <row r="3593" spans="1:1" x14ac:dyDescent="0.25">
      <c r="A3593" s="3"/>
    </row>
    <row r="3594" spans="1:1" x14ac:dyDescent="0.25">
      <c r="A3594" s="3"/>
    </row>
    <row r="3595" spans="1:1" x14ac:dyDescent="0.25">
      <c r="A3595" s="3"/>
    </row>
    <row r="3596" spans="1:1" x14ac:dyDescent="0.25">
      <c r="A3596" s="3"/>
    </row>
    <row r="3597" spans="1:1" x14ac:dyDescent="0.25">
      <c r="A3597" s="3"/>
    </row>
    <row r="3598" spans="1:1" x14ac:dyDescent="0.25">
      <c r="A3598" s="3"/>
    </row>
    <row r="3599" spans="1:1" x14ac:dyDescent="0.25">
      <c r="A3599" s="3"/>
    </row>
    <row r="3600" spans="1:1" x14ac:dyDescent="0.25">
      <c r="A3600" s="3"/>
    </row>
    <row r="3601" spans="1:1" x14ac:dyDescent="0.25">
      <c r="A3601" s="3"/>
    </row>
    <row r="3602" spans="1:1" x14ac:dyDescent="0.25">
      <c r="A3602" s="3"/>
    </row>
    <row r="3603" spans="1:1" x14ac:dyDescent="0.25">
      <c r="A3603" s="3"/>
    </row>
    <row r="3604" spans="1:1" x14ac:dyDescent="0.25">
      <c r="A3604" s="3"/>
    </row>
    <row r="3605" spans="1:1" x14ac:dyDescent="0.25">
      <c r="A3605" s="3"/>
    </row>
    <row r="3606" spans="1:1" x14ac:dyDescent="0.25">
      <c r="A3606" s="3"/>
    </row>
    <row r="3607" spans="1:1" x14ac:dyDescent="0.25">
      <c r="A3607" s="3"/>
    </row>
    <row r="3608" spans="1:1" x14ac:dyDescent="0.25">
      <c r="A3608" s="3"/>
    </row>
    <row r="3609" spans="1:1" x14ac:dyDescent="0.25">
      <c r="A3609" s="3"/>
    </row>
    <row r="3610" spans="1:1" x14ac:dyDescent="0.25">
      <c r="A3610" s="3"/>
    </row>
    <row r="3611" spans="1:1" x14ac:dyDescent="0.25">
      <c r="A3611" s="3"/>
    </row>
    <row r="3612" spans="1:1" x14ac:dyDescent="0.25">
      <c r="A3612" s="3"/>
    </row>
    <row r="3613" spans="1:1" x14ac:dyDescent="0.25">
      <c r="A3613" s="3"/>
    </row>
    <row r="3614" spans="1:1" x14ac:dyDescent="0.25">
      <c r="A3614" s="3"/>
    </row>
    <row r="3615" spans="1:1" x14ac:dyDescent="0.25">
      <c r="A3615" s="3"/>
    </row>
    <row r="3616" spans="1:1" x14ac:dyDescent="0.25">
      <c r="A3616" s="3"/>
    </row>
    <row r="3617" spans="1:1" x14ac:dyDescent="0.25">
      <c r="A3617" s="3"/>
    </row>
    <row r="3618" spans="1:1" x14ac:dyDescent="0.25">
      <c r="A3618" s="3"/>
    </row>
    <row r="3619" spans="1:1" x14ac:dyDescent="0.25">
      <c r="A3619" s="3"/>
    </row>
    <row r="3620" spans="1:1" x14ac:dyDescent="0.25">
      <c r="A3620" s="3"/>
    </row>
    <row r="3621" spans="1:1" x14ac:dyDescent="0.25">
      <c r="A3621" s="3"/>
    </row>
    <row r="3622" spans="1:1" x14ac:dyDescent="0.25">
      <c r="A3622" s="3"/>
    </row>
    <row r="3623" spans="1:1" x14ac:dyDescent="0.25">
      <c r="A3623" s="3"/>
    </row>
    <row r="3624" spans="1:1" x14ac:dyDescent="0.25">
      <c r="A3624" s="3"/>
    </row>
    <row r="3625" spans="1:1" x14ac:dyDescent="0.25">
      <c r="A3625" s="3"/>
    </row>
    <row r="3626" spans="1:1" x14ac:dyDescent="0.25">
      <c r="A3626" s="3"/>
    </row>
    <row r="3627" spans="1:1" x14ac:dyDescent="0.25">
      <c r="A3627" s="3"/>
    </row>
    <row r="3628" spans="1:1" x14ac:dyDescent="0.25">
      <c r="A3628" s="3"/>
    </row>
    <row r="3629" spans="1:1" x14ac:dyDescent="0.25">
      <c r="A3629" s="3"/>
    </row>
    <row r="3630" spans="1:1" x14ac:dyDescent="0.25">
      <c r="A3630" s="3"/>
    </row>
    <row r="3631" spans="1:1" x14ac:dyDescent="0.25">
      <c r="A3631" s="3"/>
    </row>
    <row r="3632" spans="1:1" x14ac:dyDescent="0.25">
      <c r="A3632" s="3"/>
    </row>
    <row r="3633" spans="1:1" x14ac:dyDescent="0.25">
      <c r="A3633" s="3"/>
    </row>
    <row r="3634" spans="1:1" x14ac:dyDescent="0.25">
      <c r="A3634" s="3"/>
    </row>
    <row r="3635" spans="1:1" x14ac:dyDescent="0.25">
      <c r="A3635" s="3"/>
    </row>
    <row r="3636" spans="1:1" x14ac:dyDescent="0.25">
      <c r="A3636" s="3"/>
    </row>
    <row r="3637" spans="1:1" x14ac:dyDescent="0.25">
      <c r="A3637" s="3"/>
    </row>
    <row r="3638" spans="1:1" x14ac:dyDescent="0.25">
      <c r="A3638" s="3"/>
    </row>
    <row r="3639" spans="1:1" x14ac:dyDescent="0.25">
      <c r="A3639" s="3"/>
    </row>
    <row r="3640" spans="1:1" x14ac:dyDescent="0.25">
      <c r="A3640" s="3"/>
    </row>
    <row r="3641" spans="1:1" x14ac:dyDescent="0.25">
      <c r="A3641" s="3"/>
    </row>
    <row r="3642" spans="1:1" x14ac:dyDescent="0.25">
      <c r="A3642" s="3"/>
    </row>
    <row r="3643" spans="1:1" x14ac:dyDescent="0.25">
      <c r="A3643" s="3"/>
    </row>
    <row r="3644" spans="1:1" x14ac:dyDescent="0.25">
      <c r="A3644" s="3"/>
    </row>
    <row r="3645" spans="1:1" x14ac:dyDescent="0.25">
      <c r="A3645" s="3"/>
    </row>
    <row r="3646" spans="1:1" x14ac:dyDescent="0.25">
      <c r="A3646" s="3"/>
    </row>
    <row r="3647" spans="1:1" x14ac:dyDescent="0.25">
      <c r="A3647" s="3"/>
    </row>
    <row r="3648" spans="1:1" x14ac:dyDescent="0.25">
      <c r="A3648" s="3"/>
    </row>
    <row r="3649" spans="1:1" x14ac:dyDescent="0.25">
      <c r="A3649" s="3"/>
    </row>
    <row r="3650" spans="1:1" x14ac:dyDescent="0.25">
      <c r="A3650" s="3"/>
    </row>
    <row r="3651" spans="1:1" x14ac:dyDescent="0.25">
      <c r="A3651" s="3"/>
    </row>
    <row r="3652" spans="1:1" x14ac:dyDescent="0.25">
      <c r="A3652" s="3"/>
    </row>
    <row r="3653" spans="1:1" x14ac:dyDescent="0.25">
      <c r="A3653" s="3"/>
    </row>
    <row r="3654" spans="1:1" x14ac:dyDescent="0.25">
      <c r="A3654" s="3"/>
    </row>
    <row r="3655" spans="1:1" x14ac:dyDescent="0.25">
      <c r="A3655" s="3"/>
    </row>
    <row r="3656" spans="1:1" x14ac:dyDescent="0.25">
      <c r="A3656" s="3"/>
    </row>
    <row r="3657" spans="1:1" x14ac:dyDescent="0.25">
      <c r="A3657" s="3"/>
    </row>
    <row r="3658" spans="1:1" x14ac:dyDescent="0.25">
      <c r="A3658" s="3"/>
    </row>
    <row r="3659" spans="1:1" x14ac:dyDescent="0.25">
      <c r="A3659" s="3"/>
    </row>
    <row r="3660" spans="1:1" x14ac:dyDescent="0.25">
      <c r="A3660" s="3"/>
    </row>
    <row r="3661" spans="1:1" x14ac:dyDescent="0.25">
      <c r="A3661" s="3"/>
    </row>
    <row r="3662" spans="1:1" x14ac:dyDescent="0.25">
      <c r="A3662" s="3"/>
    </row>
    <row r="3663" spans="1:1" x14ac:dyDescent="0.25">
      <c r="A3663" s="3"/>
    </row>
    <row r="3664" spans="1:1" x14ac:dyDescent="0.25">
      <c r="A3664" s="3"/>
    </row>
    <row r="3665" spans="1:1" x14ac:dyDescent="0.25">
      <c r="A3665" s="3"/>
    </row>
    <row r="3666" spans="1:1" x14ac:dyDescent="0.25">
      <c r="A3666" s="3"/>
    </row>
    <row r="3667" spans="1:1" x14ac:dyDescent="0.25">
      <c r="A3667" s="3"/>
    </row>
    <row r="3668" spans="1:1" x14ac:dyDescent="0.25">
      <c r="A3668" s="3"/>
    </row>
    <row r="3669" spans="1:1" x14ac:dyDescent="0.25">
      <c r="A3669" s="3"/>
    </row>
    <row r="3670" spans="1:1" x14ac:dyDescent="0.25">
      <c r="A3670" s="3"/>
    </row>
    <row r="3671" spans="1:1" x14ac:dyDescent="0.25">
      <c r="A3671" s="3"/>
    </row>
    <row r="3672" spans="1:1" x14ac:dyDescent="0.25">
      <c r="A3672" s="3"/>
    </row>
    <row r="3673" spans="1:1" x14ac:dyDescent="0.25">
      <c r="A3673" s="3"/>
    </row>
    <row r="3674" spans="1:1" x14ac:dyDescent="0.25">
      <c r="A3674" s="3"/>
    </row>
    <row r="3675" spans="1:1" x14ac:dyDescent="0.25">
      <c r="A3675" s="3"/>
    </row>
    <row r="3676" spans="1:1" x14ac:dyDescent="0.25">
      <c r="A3676" s="3"/>
    </row>
    <row r="3677" spans="1:1" x14ac:dyDescent="0.25">
      <c r="A3677" s="3"/>
    </row>
    <row r="3678" spans="1:1" x14ac:dyDescent="0.25">
      <c r="A3678" s="3"/>
    </row>
    <row r="3679" spans="1:1" x14ac:dyDescent="0.25">
      <c r="A3679" s="3"/>
    </row>
    <row r="3680" spans="1:1" x14ac:dyDescent="0.25">
      <c r="A3680" s="3"/>
    </row>
    <row r="3681" spans="1:1" x14ac:dyDescent="0.25">
      <c r="A3681" s="3"/>
    </row>
    <row r="3682" spans="1:1" x14ac:dyDescent="0.25">
      <c r="A3682" s="3"/>
    </row>
    <row r="3683" spans="1:1" x14ac:dyDescent="0.25">
      <c r="A3683" s="3"/>
    </row>
    <row r="3684" spans="1:1" x14ac:dyDescent="0.25">
      <c r="A3684" s="3"/>
    </row>
    <row r="3685" spans="1:1" x14ac:dyDescent="0.25">
      <c r="A3685" s="3"/>
    </row>
    <row r="3686" spans="1:1" x14ac:dyDescent="0.25">
      <c r="A3686" s="3"/>
    </row>
    <row r="3687" spans="1:1" x14ac:dyDescent="0.25">
      <c r="A3687" s="3"/>
    </row>
    <row r="3688" spans="1:1" x14ac:dyDescent="0.25">
      <c r="A3688" s="3"/>
    </row>
    <row r="3689" spans="1:1" x14ac:dyDescent="0.25">
      <c r="A3689" s="3"/>
    </row>
    <row r="3690" spans="1:1" x14ac:dyDescent="0.25">
      <c r="A3690" s="3"/>
    </row>
    <row r="3691" spans="1:1" x14ac:dyDescent="0.25">
      <c r="A3691" s="3"/>
    </row>
    <row r="3692" spans="1:1" x14ac:dyDescent="0.25">
      <c r="A3692" s="3"/>
    </row>
    <row r="3693" spans="1:1" x14ac:dyDescent="0.25">
      <c r="A3693" s="3"/>
    </row>
    <row r="3694" spans="1:1" x14ac:dyDescent="0.25">
      <c r="A3694" s="3"/>
    </row>
    <row r="3695" spans="1:1" x14ac:dyDescent="0.25">
      <c r="A3695" s="3"/>
    </row>
    <row r="3696" spans="1:1" x14ac:dyDescent="0.25">
      <c r="A3696" s="3"/>
    </row>
    <row r="3697" spans="1:1" x14ac:dyDescent="0.25">
      <c r="A3697" s="3"/>
    </row>
    <row r="3698" spans="1:1" x14ac:dyDescent="0.25">
      <c r="A3698" s="3"/>
    </row>
    <row r="3699" spans="1:1" x14ac:dyDescent="0.25">
      <c r="A3699" s="3"/>
    </row>
    <row r="3700" spans="1:1" x14ac:dyDescent="0.25">
      <c r="A3700" s="3"/>
    </row>
    <row r="3701" spans="1:1" x14ac:dyDescent="0.25">
      <c r="A3701" s="3"/>
    </row>
    <row r="3702" spans="1:1" x14ac:dyDescent="0.25">
      <c r="A3702" s="3"/>
    </row>
    <row r="3703" spans="1:1" x14ac:dyDescent="0.25">
      <c r="A3703" s="3"/>
    </row>
    <row r="3704" spans="1:1" x14ac:dyDescent="0.25">
      <c r="A3704" s="3"/>
    </row>
    <row r="3705" spans="1:1" x14ac:dyDescent="0.25">
      <c r="A3705" s="3"/>
    </row>
    <row r="3706" spans="1:1" x14ac:dyDescent="0.25">
      <c r="A3706" s="3"/>
    </row>
    <row r="3707" spans="1:1" x14ac:dyDescent="0.25">
      <c r="A3707" s="3"/>
    </row>
    <row r="3708" spans="1:1" x14ac:dyDescent="0.25">
      <c r="A3708" s="3"/>
    </row>
    <row r="3709" spans="1:1" x14ac:dyDescent="0.25">
      <c r="A3709" s="3"/>
    </row>
    <row r="3710" spans="1:1" x14ac:dyDescent="0.25">
      <c r="A3710" s="3"/>
    </row>
    <row r="3711" spans="1:1" x14ac:dyDescent="0.25">
      <c r="A3711" s="3"/>
    </row>
    <row r="3712" spans="1:1" x14ac:dyDescent="0.25">
      <c r="A3712" s="3"/>
    </row>
    <row r="3713" spans="1:1" x14ac:dyDescent="0.25">
      <c r="A3713" s="3"/>
    </row>
    <row r="3714" spans="1:1" x14ac:dyDescent="0.25">
      <c r="A3714" s="3"/>
    </row>
    <row r="3715" spans="1:1" x14ac:dyDescent="0.25">
      <c r="A3715" s="3"/>
    </row>
    <row r="3716" spans="1:1" x14ac:dyDescent="0.25">
      <c r="A3716" s="3"/>
    </row>
    <row r="3717" spans="1:1" x14ac:dyDescent="0.25">
      <c r="A3717" s="3"/>
    </row>
    <row r="3718" spans="1:1" x14ac:dyDescent="0.25">
      <c r="A3718" s="3"/>
    </row>
    <row r="3719" spans="1:1" x14ac:dyDescent="0.25">
      <c r="A3719" s="3"/>
    </row>
    <row r="3720" spans="1:1" x14ac:dyDescent="0.25">
      <c r="A3720" s="3"/>
    </row>
    <row r="3721" spans="1:1" x14ac:dyDescent="0.25">
      <c r="A3721" s="3"/>
    </row>
    <row r="3722" spans="1:1" x14ac:dyDescent="0.25">
      <c r="A3722" s="3"/>
    </row>
    <row r="3723" spans="1:1" x14ac:dyDescent="0.25">
      <c r="A3723" s="3"/>
    </row>
    <row r="3724" spans="1:1" x14ac:dyDescent="0.25">
      <c r="A3724" s="3"/>
    </row>
    <row r="3725" spans="1:1" x14ac:dyDescent="0.25">
      <c r="A3725" s="3"/>
    </row>
    <row r="3726" spans="1:1" x14ac:dyDescent="0.25">
      <c r="A3726" s="3"/>
    </row>
    <row r="3727" spans="1:1" x14ac:dyDescent="0.25">
      <c r="A3727" s="3"/>
    </row>
    <row r="3728" spans="1:1" x14ac:dyDescent="0.25">
      <c r="A3728" s="3"/>
    </row>
    <row r="3729" spans="1:1" x14ac:dyDescent="0.25">
      <c r="A3729" s="3"/>
    </row>
    <row r="3730" spans="1:1" x14ac:dyDescent="0.25">
      <c r="A3730" s="3"/>
    </row>
    <row r="3731" spans="1:1" x14ac:dyDescent="0.25">
      <c r="A3731" s="3"/>
    </row>
    <row r="3732" spans="1:1" x14ac:dyDescent="0.25">
      <c r="A3732" s="3"/>
    </row>
    <row r="3733" spans="1:1" x14ac:dyDescent="0.25">
      <c r="A3733" s="3"/>
    </row>
    <row r="3734" spans="1:1" x14ac:dyDescent="0.25">
      <c r="A3734" s="3"/>
    </row>
    <row r="3735" spans="1:1" x14ac:dyDescent="0.25">
      <c r="A3735" s="3"/>
    </row>
    <row r="3736" spans="1:1" x14ac:dyDescent="0.25">
      <c r="A3736" s="3"/>
    </row>
    <row r="3737" spans="1:1" x14ac:dyDescent="0.25">
      <c r="A3737" s="3"/>
    </row>
    <row r="3738" spans="1:1" x14ac:dyDescent="0.25">
      <c r="A3738" s="3"/>
    </row>
    <row r="3739" spans="1:1" x14ac:dyDescent="0.25">
      <c r="A3739" s="3"/>
    </row>
    <row r="3740" spans="1:1" x14ac:dyDescent="0.25">
      <c r="A3740" s="3"/>
    </row>
    <row r="3741" spans="1:1" x14ac:dyDescent="0.25">
      <c r="A3741" s="3"/>
    </row>
    <row r="3742" spans="1:1" x14ac:dyDescent="0.25">
      <c r="A3742" s="3"/>
    </row>
    <row r="3743" spans="1:1" x14ac:dyDescent="0.25">
      <c r="A3743" s="3"/>
    </row>
    <row r="3744" spans="1:1" x14ac:dyDescent="0.25">
      <c r="A3744" s="3"/>
    </row>
    <row r="3745" spans="1:1" x14ac:dyDescent="0.25">
      <c r="A3745" s="3"/>
    </row>
    <row r="3746" spans="1:1" x14ac:dyDescent="0.25">
      <c r="A3746" s="3"/>
    </row>
    <row r="3747" spans="1:1" x14ac:dyDescent="0.25">
      <c r="A3747" s="3"/>
    </row>
    <row r="3748" spans="1:1" x14ac:dyDescent="0.25">
      <c r="A3748" s="3"/>
    </row>
    <row r="3749" spans="1:1" x14ac:dyDescent="0.25">
      <c r="A3749" s="3"/>
    </row>
    <row r="3750" spans="1:1" x14ac:dyDescent="0.25">
      <c r="A3750" s="3"/>
    </row>
    <row r="3751" spans="1:1" x14ac:dyDescent="0.25">
      <c r="A3751" s="3"/>
    </row>
    <row r="3752" spans="1:1" x14ac:dyDescent="0.25">
      <c r="A3752" s="3"/>
    </row>
    <row r="3753" spans="1:1" x14ac:dyDescent="0.25">
      <c r="A3753" s="3"/>
    </row>
    <row r="3754" spans="1:1" x14ac:dyDescent="0.25">
      <c r="A3754" s="3"/>
    </row>
    <row r="3755" spans="1:1" x14ac:dyDescent="0.25">
      <c r="A3755" s="3"/>
    </row>
    <row r="3756" spans="1:1" x14ac:dyDescent="0.25">
      <c r="A3756" s="3"/>
    </row>
    <row r="3757" spans="1:1" x14ac:dyDescent="0.25">
      <c r="A3757" s="3"/>
    </row>
    <row r="3758" spans="1:1" x14ac:dyDescent="0.25">
      <c r="A3758" s="3"/>
    </row>
    <row r="3759" spans="1:1" x14ac:dyDescent="0.25">
      <c r="A3759" s="3"/>
    </row>
    <row r="3760" spans="1:1" x14ac:dyDescent="0.25">
      <c r="A3760" s="3"/>
    </row>
    <row r="3761" spans="1:1" x14ac:dyDescent="0.25">
      <c r="A3761" s="3"/>
    </row>
    <row r="3762" spans="1:1" x14ac:dyDescent="0.25">
      <c r="A3762" s="3"/>
    </row>
    <row r="3763" spans="1:1" x14ac:dyDescent="0.25">
      <c r="A3763" s="3"/>
    </row>
    <row r="3764" spans="1:1" x14ac:dyDescent="0.25">
      <c r="A3764" s="3"/>
    </row>
    <row r="3765" spans="1:1" x14ac:dyDescent="0.25">
      <c r="A3765" s="3"/>
    </row>
    <row r="3766" spans="1:1" x14ac:dyDescent="0.25">
      <c r="A3766" s="3"/>
    </row>
    <row r="3767" spans="1:1" x14ac:dyDescent="0.25">
      <c r="A3767" s="3"/>
    </row>
    <row r="3768" spans="1:1" x14ac:dyDescent="0.25">
      <c r="A3768" s="3"/>
    </row>
    <row r="3769" spans="1:1" x14ac:dyDescent="0.25">
      <c r="A3769" s="3"/>
    </row>
    <row r="3770" spans="1:1" x14ac:dyDescent="0.25">
      <c r="A3770" s="3"/>
    </row>
    <row r="3771" spans="1:1" x14ac:dyDescent="0.25">
      <c r="A3771" s="3"/>
    </row>
    <row r="3772" spans="1:1" x14ac:dyDescent="0.25">
      <c r="A3772" s="3"/>
    </row>
    <row r="3773" spans="1:1" x14ac:dyDescent="0.25">
      <c r="A3773" s="3"/>
    </row>
    <row r="3774" spans="1:1" x14ac:dyDescent="0.25">
      <c r="A3774" s="3"/>
    </row>
    <row r="3775" spans="1:1" x14ac:dyDescent="0.25">
      <c r="A3775" s="3"/>
    </row>
    <row r="3776" spans="1:1" x14ac:dyDescent="0.25">
      <c r="A3776" s="3"/>
    </row>
    <row r="3777" spans="1:1" x14ac:dyDescent="0.25">
      <c r="A3777" s="3"/>
    </row>
    <row r="3778" spans="1:1" x14ac:dyDescent="0.25">
      <c r="A3778" s="3"/>
    </row>
    <row r="3779" spans="1:1" x14ac:dyDescent="0.25">
      <c r="A3779" s="3"/>
    </row>
    <row r="3780" spans="1:1" x14ac:dyDescent="0.25">
      <c r="A3780" s="3"/>
    </row>
    <row r="3781" spans="1:1" x14ac:dyDescent="0.25">
      <c r="A3781" s="3"/>
    </row>
    <row r="3782" spans="1:1" x14ac:dyDescent="0.25">
      <c r="A3782" s="3"/>
    </row>
    <row r="3783" spans="1:1" x14ac:dyDescent="0.25">
      <c r="A3783" s="3"/>
    </row>
    <row r="3784" spans="1:1" x14ac:dyDescent="0.25">
      <c r="A3784" s="3"/>
    </row>
    <row r="3785" spans="1:1" x14ac:dyDescent="0.25">
      <c r="A3785" s="3"/>
    </row>
    <row r="3786" spans="1:1" x14ac:dyDescent="0.25">
      <c r="A3786" s="3"/>
    </row>
    <row r="3787" spans="1:1" x14ac:dyDescent="0.25">
      <c r="A3787" s="3"/>
    </row>
    <row r="3788" spans="1:1" x14ac:dyDescent="0.25">
      <c r="A3788" s="3"/>
    </row>
    <row r="3789" spans="1:1" x14ac:dyDescent="0.25">
      <c r="A3789" s="3"/>
    </row>
    <row r="3790" spans="1:1" x14ac:dyDescent="0.25">
      <c r="A3790" s="3"/>
    </row>
    <row r="3791" spans="1:1" x14ac:dyDescent="0.25">
      <c r="A3791" s="3"/>
    </row>
    <row r="3792" spans="1:1" x14ac:dyDescent="0.25">
      <c r="A3792" s="3"/>
    </row>
    <row r="3793" spans="1:1" x14ac:dyDescent="0.25">
      <c r="A3793" s="3"/>
    </row>
    <row r="3794" spans="1:1" x14ac:dyDescent="0.25">
      <c r="A3794" s="3"/>
    </row>
    <row r="3795" spans="1:1" x14ac:dyDescent="0.25">
      <c r="A3795" s="3"/>
    </row>
    <row r="3796" spans="1:1" x14ac:dyDescent="0.25">
      <c r="A3796" s="3"/>
    </row>
    <row r="3797" spans="1:1" x14ac:dyDescent="0.25">
      <c r="A3797" s="3"/>
    </row>
    <row r="3798" spans="1:1" x14ac:dyDescent="0.25">
      <c r="A3798" s="3"/>
    </row>
    <row r="3799" spans="1:1" x14ac:dyDescent="0.25">
      <c r="A3799" s="3"/>
    </row>
    <row r="3800" spans="1:1" x14ac:dyDescent="0.25">
      <c r="A3800" s="3"/>
    </row>
    <row r="3801" spans="1:1" x14ac:dyDescent="0.25">
      <c r="A3801" s="3"/>
    </row>
    <row r="3802" spans="1:1" x14ac:dyDescent="0.25">
      <c r="A3802" s="3"/>
    </row>
    <row r="3803" spans="1:1" x14ac:dyDescent="0.25">
      <c r="A3803" s="3"/>
    </row>
    <row r="3804" spans="1:1" x14ac:dyDescent="0.25">
      <c r="A3804" s="3"/>
    </row>
    <row r="3805" spans="1:1" x14ac:dyDescent="0.25">
      <c r="A3805" s="3"/>
    </row>
    <row r="3806" spans="1:1" x14ac:dyDescent="0.25">
      <c r="A3806" s="3"/>
    </row>
    <row r="3807" spans="1:1" x14ac:dyDescent="0.25">
      <c r="A3807" s="3"/>
    </row>
    <row r="3808" spans="1:1" x14ac:dyDescent="0.25">
      <c r="A3808" s="3"/>
    </row>
    <row r="3809" spans="1:1" x14ac:dyDescent="0.25">
      <c r="A3809" s="3"/>
    </row>
    <row r="3810" spans="1:1" x14ac:dyDescent="0.25">
      <c r="A3810" s="3"/>
    </row>
    <row r="3811" spans="1:1" x14ac:dyDescent="0.25">
      <c r="A3811" s="3"/>
    </row>
    <row r="3812" spans="1:1" x14ac:dyDescent="0.25">
      <c r="A3812" s="3"/>
    </row>
    <row r="3813" spans="1:1" x14ac:dyDescent="0.25">
      <c r="A3813" s="3"/>
    </row>
    <row r="3814" spans="1:1" x14ac:dyDescent="0.25">
      <c r="A3814" s="3"/>
    </row>
    <row r="3815" spans="1:1" x14ac:dyDescent="0.25">
      <c r="A3815" s="3"/>
    </row>
    <row r="3816" spans="1:1" x14ac:dyDescent="0.25">
      <c r="A3816" s="3"/>
    </row>
    <row r="3817" spans="1:1" x14ac:dyDescent="0.25">
      <c r="A3817" s="3"/>
    </row>
    <row r="3818" spans="1:1" x14ac:dyDescent="0.25">
      <c r="A3818" s="3"/>
    </row>
    <row r="3819" spans="1:1" x14ac:dyDescent="0.25">
      <c r="A3819" s="3"/>
    </row>
    <row r="3820" spans="1:1" x14ac:dyDescent="0.25">
      <c r="A3820" s="3"/>
    </row>
    <row r="3821" spans="1:1" x14ac:dyDescent="0.25">
      <c r="A3821" s="3"/>
    </row>
    <row r="3822" spans="1:1" x14ac:dyDescent="0.25">
      <c r="A3822" s="3"/>
    </row>
    <row r="3823" spans="1:1" x14ac:dyDescent="0.25">
      <c r="A3823" s="3"/>
    </row>
    <row r="3824" spans="1:1" x14ac:dyDescent="0.25">
      <c r="A3824" s="3"/>
    </row>
    <row r="3825" spans="1:1" x14ac:dyDescent="0.25">
      <c r="A3825" s="3"/>
    </row>
    <row r="3826" spans="1:1" x14ac:dyDescent="0.25">
      <c r="A3826" s="3"/>
    </row>
    <row r="3827" spans="1:1" x14ac:dyDescent="0.25">
      <c r="A3827" s="3"/>
    </row>
    <row r="3828" spans="1:1" x14ac:dyDescent="0.25">
      <c r="A3828" s="3"/>
    </row>
    <row r="3829" spans="1:1" x14ac:dyDescent="0.25">
      <c r="A3829" s="3"/>
    </row>
    <row r="3830" spans="1:1" x14ac:dyDescent="0.25">
      <c r="A3830" s="3"/>
    </row>
    <row r="3831" spans="1:1" x14ac:dyDescent="0.25">
      <c r="A3831" s="3"/>
    </row>
    <row r="3832" spans="1:1" x14ac:dyDescent="0.25">
      <c r="A3832" s="3"/>
    </row>
    <row r="3833" spans="1:1" x14ac:dyDescent="0.25">
      <c r="A3833" s="3"/>
    </row>
    <row r="3834" spans="1:1" x14ac:dyDescent="0.25">
      <c r="A3834" s="3"/>
    </row>
    <row r="3835" spans="1:1" x14ac:dyDescent="0.25">
      <c r="A3835" s="3"/>
    </row>
    <row r="3836" spans="1:1" x14ac:dyDescent="0.25">
      <c r="A3836" s="3"/>
    </row>
    <row r="3837" spans="1:1" x14ac:dyDescent="0.25">
      <c r="A3837" s="3"/>
    </row>
    <row r="3838" spans="1:1" x14ac:dyDescent="0.25">
      <c r="A3838" s="3"/>
    </row>
    <row r="3839" spans="1:1" x14ac:dyDescent="0.25">
      <c r="A3839" s="3"/>
    </row>
    <row r="3840" spans="1:1" x14ac:dyDescent="0.25">
      <c r="A3840" s="3"/>
    </row>
    <row r="3841" spans="1:1" x14ac:dyDescent="0.25">
      <c r="A3841" s="3"/>
    </row>
    <row r="3842" spans="1:1" x14ac:dyDescent="0.25">
      <c r="A3842" s="3"/>
    </row>
    <row r="3843" spans="1:1" x14ac:dyDescent="0.25">
      <c r="A3843" s="3"/>
    </row>
    <row r="3844" spans="1:1" x14ac:dyDescent="0.25">
      <c r="A3844" s="3"/>
    </row>
    <row r="3845" spans="1:1" x14ac:dyDescent="0.25">
      <c r="A3845" s="3"/>
    </row>
    <row r="3846" spans="1:1" x14ac:dyDescent="0.25">
      <c r="A3846" s="3"/>
    </row>
    <row r="3847" spans="1:1" x14ac:dyDescent="0.25">
      <c r="A3847" s="3"/>
    </row>
    <row r="3848" spans="1:1" x14ac:dyDescent="0.25">
      <c r="A3848" s="3"/>
    </row>
    <row r="3849" spans="1:1" x14ac:dyDescent="0.25">
      <c r="A3849" s="3"/>
    </row>
    <row r="3850" spans="1:1" x14ac:dyDescent="0.25">
      <c r="A3850" s="3"/>
    </row>
    <row r="3851" spans="1:1" x14ac:dyDescent="0.25">
      <c r="A3851" s="3"/>
    </row>
    <row r="3852" spans="1:1" x14ac:dyDescent="0.25">
      <c r="A3852" s="3"/>
    </row>
    <row r="3853" spans="1:1" x14ac:dyDescent="0.25">
      <c r="A3853" s="3"/>
    </row>
    <row r="3854" spans="1:1" x14ac:dyDescent="0.25">
      <c r="A3854" s="3"/>
    </row>
    <row r="3855" spans="1:1" x14ac:dyDescent="0.25">
      <c r="A3855" s="3"/>
    </row>
    <row r="3856" spans="1:1" x14ac:dyDescent="0.25">
      <c r="A3856" s="3"/>
    </row>
    <row r="3857" spans="1:1" x14ac:dyDescent="0.25">
      <c r="A3857" s="3"/>
    </row>
    <row r="3858" spans="1:1" x14ac:dyDescent="0.25">
      <c r="A3858" s="3"/>
    </row>
    <row r="3859" spans="1:1" x14ac:dyDescent="0.25">
      <c r="A3859" s="3"/>
    </row>
    <row r="3860" spans="1:1" x14ac:dyDescent="0.25">
      <c r="A3860" s="3"/>
    </row>
    <row r="3861" spans="1:1" x14ac:dyDescent="0.25">
      <c r="A3861" s="3"/>
    </row>
    <row r="3862" spans="1:1" x14ac:dyDescent="0.25">
      <c r="A3862" s="3"/>
    </row>
    <row r="3863" spans="1:1" x14ac:dyDescent="0.25">
      <c r="A3863" s="3"/>
    </row>
    <row r="3864" spans="1:1" x14ac:dyDescent="0.25">
      <c r="A3864" s="3"/>
    </row>
    <row r="3865" spans="1:1" x14ac:dyDescent="0.25">
      <c r="A3865" s="3"/>
    </row>
    <row r="3866" spans="1:1" x14ac:dyDescent="0.25">
      <c r="A3866" s="3"/>
    </row>
    <row r="3867" spans="1:1" x14ac:dyDescent="0.25">
      <c r="A3867" s="3"/>
    </row>
    <row r="3868" spans="1:1" x14ac:dyDescent="0.25">
      <c r="A3868" s="3"/>
    </row>
    <row r="3869" spans="1:1" x14ac:dyDescent="0.25">
      <c r="A3869" s="3"/>
    </row>
    <row r="3870" spans="1:1" x14ac:dyDescent="0.25">
      <c r="A3870" s="3"/>
    </row>
    <row r="3871" spans="1:1" x14ac:dyDescent="0.25">
      <c r="A3871" s="3"/>
    </row>
    <row r="3872" spans="1:1" x14ac:dyDescent="0.25">
      <c r="A3872" s="3"/>
    </row>
    <row r="3873" spans="1:1" x14ac:dyDescent="0.25">
      <c r="A3873" s="3"/>
    </row>
    <row r="3874" spans="1:1" x14ac:dyDescent="0.25">
      <c r="A3874" s="3"/>
    </row>
    <row r="3875" spans="1:1" x14ac:dyDescent="0.25">
      <c r="A3875" s="3"/>
    </row>
    <row r="3876" spans="1:1" x14ac:dyDescent="0.25">
      <c r="A3876" s="3"/>
    </row>
    <row r="3877" spans="1:1" x14ac:dyDescent="0.25">
      <c r="A3877" s="3"/>
    </row>
    <row r="3878" spans="1:1" x14ac:dyDescent="0.25">
      <c r="A3878" s="3"/>
    </row>
    <row r="3879" spans="1:1" x14ac:dyDescent="0.25">
      <c r="A3879" s="3"/>
    </row>
    <row r="3880" spans="1:1" x14ac:dyDescent="0.25">
      <c r="A3880" s="3"/>
    </row>
    <row r="3881" spans="1:1" x14ac:dyDescent="0.25">
      <c r="A3881" s="3"/>
    </row>
    <row r="3882" spans="1:1" x14ac:dyDescent="0.25">
      <c r="A3882" s="3"/>
    </row>
    <row r="3883" spans="1:1" x14ac:dyDescent="0.25">
      <c r="A3883" s="3"/>
    </row>
    <row r="3884" spans="1:1" x14ac:dyDescent="0.25">
      <c r="A3884" s="3"/>
    </row>
    <row r="3885" spans="1:1" x14ac:dyDescent="0.25">
      <c r="A3885" s="3"/>
    </row>
    <row r="3886" spans="1:1" x14ac:dyDescent="0.25">
      <c r="A3886" s="3"/>
    </row>
    <row r="3887" spans="1:1" x14ac:dyDescent="0.25">
      <c r="A3887" s="3"/>
    </row>
    <row r="3888" spans="1:1" x14ac:dyDescent="0.25">
      <c r="A3888" s="3"/>
    </row>
    <row r="3889" spans="1:1" x14ac:dyDescent="0.25">
      <c r="A3889" s="3"/>
    </row>
    <row r="3890" spans="1:1" x14ac:dyDescent="0.25">
      <c r="A3890" s="3"/>
    </row>
    <row r="3891" spans="1:1" x14ac:dyDescent="0.25">
      <c r="A3891" s="3"/>
    </row>
    <row r="3892" spans="1:1" x14ac:dyDescent="0.25">
      <c r="A3892" s="3"/>
    </row>
    <row r="3893" spans="1:1" x14ac:dyDescent="0.25">
      <c r="A3893" s="3"/>
    </row>
    <row r="3894" spans="1:1" x14ac:dyDescent="0.25">
      <c r="A3894" s="3"/>
    </row>
    <row r="3895" spans="1:1" x14ac:dyDescent="0.25">
      <c r="A3895" s="3"/>
    </row>
    <row r="3896" spans="1:1" x14ac:dyDescent="0.25">
      <c r="A3896" s="3"/>
    </row>
    <row r="3897" spans="1:1" x14ac:dyDescent="0.25">
      <c r="A3897" s="3"/>
    </row>
    <row r="3898" spans="1:1" x14ac:dyDescent="0.25">
      <c r="A3898" s="3"/>
    </row>
    <row r="3899" spans="1:1" x14ac:dyDescent="0.25">
      <c r="A3899" s="3"/>
    </row>
    <row r="3900" spans="1:1" x14ac:dyDescent="0.25">
      <c r="A3900" s="3"/>
    </row>
    <row r="3901" spans="1:1" x14ac:dyDescent="0.25">
      <c r="A3901" s="3"/>
    </row>
    <row r="3902" spans="1:1" x14ac:dyDescent="0.25">
      <c r="A3902" s="3"/>
    </row>
    <row r="3903" spans="1:1" x14ac:dyDescent="0.25">
      <c r="A3903" s="3"/>
    </row>
    <row r="3904" spans="1:1" x14ac:dyDescent="0.25">
      <c r="A3904" s="3"/>
    </row>
    <row r="3905" spans="1:1" x14ac:dyDescent="0.25">
      <c r="A3905" s="3"/>
    </row>
    <row r="3906" spans="1:1" x14ac:dyDescent="0.25">
      <c r="A3906" s="3"/>
    </row>
    <row r="3907" spans="1:1" x14ac:dyDescent="0.25">
      <c r="A3907" s="3"/>
    </row>
    <row r="3908" spans="1:1" x14ac:dyDescent="0.25">
      <c r="A3908" s="3"/>
    </row>
    <row r="3909" spans="1:1" x14ac:dyDescent="0.25">
      <c r="A3909" s="3"/>
    </row>
    <row r="3910" spans="1:1" x14ac:dyDescent="0.25">
      <c r="A3910" s="3"/>
    </row>
    <row r="3911" spans="1:1" x14ac:dyDescent="0.25">
      <c r="A3911" s="3"/>
    </row>
    <row r="3912" spans="1:1" x14ac:dyDescent="0.25">
      <c r="A3912" s="3"/>
    </row>
    <row r="3913" spans="1:1" x14ac:dyDescent="0.25">
      <c r="A3913" s="3"/>
    </row>
    <row r="3914" spans="1:1" x14ac:dyDescent="0.25">
      <c r="A3914" s="3"/>
    </row>
    <row r="3915" spans="1:1" x14ac:dyDescent="0.25">
      <c r="A3915" s="3"/>
    </row>
    <row r="3916" spans="1:1" x14ac:dyDescent="0.25">
      <c r="A3916" s="3"/>
    </row>
    <row r="3917" spans="1:1" x14ac:dyDescent="0.25">
      <c r="A3917" s="3"/>
    </row>
    <row r="3918" spans="1:1" x14ac:dyDescent="0.25">
      <c r="A3918" s="3"/>
    </row>
    <row r="3919" spans="1:1" x14ac:dyDescent="0.25">
      <c r="A3919" s="3"/>
    </row>
    <row r="3920" spans="1:1" x14ac:dyDescent="0.25">
      <c r="A3920" s="3"/>
    </row>
    <row r="3921" spans="1:1" x14ac:dyDescent="0.25">
      <c r="A3921" s="3"/>
    </row>
    <row r="3922" spans="1:1" x14ac:dyDescent="0.25">
      <c r="A3922" s="3"/>
    </row>
    <row r="3923" spans="1:1" x14ac:dyDescent="0.25">
      <c r="A3923" s="3"/>
    </row>
    <row r="3924" spans="1:1" x14ac:dyDescent="0.25">
      <c r="A3924" s="3"/>
    </row>
    <row r="3925" spans="1:1" x14ac:dyDescent="0.25">
      <c r="A3925" s="3"/>
    </row>
    <row r="3926" spans="1:1" x14ac:dyDescent="0.25">
      <c r="A3926" s="3"/>
    </row>
    <row r="3927" spans="1:1" x14ac:dyDescent="0.25">
      <c r="A3927" s="3"/>
    </row>
    <row r="3928" spans="1:1" x14ac:dyDescent="0.25">
      <c r="A3928" s="3"/>
    </row>
    <row r="3929" spans="1:1" x14ac:dyDescent="0.25">
      <c r="A3929" s="3"/>
    </row>
    <row r="3930" spans="1:1" x14ac:dyDescent="0.25">
      <c r="A3930" s="3"/>
    </row>
    <row r="3931" spans="1:1" x14ac:dyDescent="0.25">
      <c r="A3931" s="3"/>
    </row>
    <row r="3932" spans="1:1" x14ac:dyDescent="0.25">
      <c r="A3932" s="3"/>
    </row>
    <row r="3933" spans="1:1" x14ac:dyDescent="0.25">
      <c r="A3933" s="3"/>
    </row>
    <row r="3934" spans="1:1" x14ac:dyDescent="0.25">
      <c r="A3934" s="3"/>
    </row>
    <row r="3935" spans="1:1" x14ac:dyDescent="0.25">
      <c r="A3935" s="3"/>
    </row>
    <row r="3936" spans="1:1" x14ac:dyDescent="0.25">
      <c r="A3936" s="3"/>
    </row>
    <row r="3937" spans="1:1" x14ac:dyDescent="0.25">
      <c r="A3937" s="3"/>
    </row>
    <row r="3938" spans="1:1" x14ac:dyDescent="0.25">
      <c r="A3938" s="3"/>
    </row>
    <row r="3939" spans="1:1" x14ac:dyDescent="0.25">
      <c r="A3939" s="3"/>
    </row>
    <row r="3940" spans="1:1" x14ac:dyDescent="0.25">
      <c r="A3940" s="3"/>
    </row>
    <row r="3941" spans="1:1" x14ac:dyDescent="0.25">
      <c r="A3941" s="3"/>
    </row>
    <row r="3942" spans="1:1" x14ac:dyDescent="0.25">
      <c r="A3942" s="3"/>
    </row>
    <row r="3943" spans="1:1" x14ac:dyDescent="0.25">
      <c r="A3943" s="3"/>
    </row>
    <row r="3944" spans="1:1" x14ac:dyDescent="0.25">
      <c r="A3944" s="3"/>
    </row>
    <row r="3945" spans="1:1" x14ac:dyDescent="0.25">
      <c r="A3945" s="3"/>
    </row>
    <row r="3946" spans="1:1" x14ac:dyDescent="0.25">
      <c r="A3946" s="3"/>
    </row>
    <row r="3947" spans="1:1" x14ac:dyDescent="0.25">
      <c r="A3947" s="3"/>
    </row>
    <row r="3948" spans="1:1" x14ac:dyDescent="0.25">
      <c r="A3948" s="3"/>
    </row>
    <row r="3949" spans="1:1" x14ac:dyDescent="0.25">
      <c r="A3949" s="3"/>
    </row>
    <row r="3950" spans="1:1" x14ac:dyDescent="0.25">
      <c r="A3950" s="3"/>
    </row>
    <row r="3951" spans="1:1" x14ac:dyDescent="0.25">
      <c r="A3951" s="3"/>
    </row>
    <row r="3952" spans="1:1" x14ac:dyDescent="0.25">
      <c r="A3952" s="3"/>
    </row>
    <row r="3953" spans="1:1" x14ac:dyDescent="0.25">
      <c r="A3953" s="3"/>
    </row>
    <row r="3954" spans="1:1" x14ac:dyDescent="0.25">
      <c r="A3954" s="3"/>
    </row>
    <row r="3955" spans="1:1" x14ac:dyDescent="0.25">
      <c r="A3955" s="3"/>
    </row>
    <row r="3956" spans="1:1" x14ac:dyDescent="0.25">
      <c r="A3956" s="3"/>
    </row>
    <row r="3957" spans="1:1" x14ac:dyDescent="0.25">
      <c r="A3957" s="3"/>
    </row>
    <row r="3958" spans="1:1" x14ac:dyDescent="0.25">
      <c r="A3958" s="3"/>
    </row>
    <row r="3959" spans="1:1" x14ac:dyDescent="0.25">
      <c r="A3959" s="3"/>
    </row>
    <row r="3960" spans="1:1" x14ac:dyDescent="0.25">
      <c r="A3960" s="3"/>
    </row>
    <row r="3961" spans="1:1" x14ac:dyDescent="0.25">
      <c r="A3961" s="3"/>
    </row>
    <row r="3962" spans="1:1" x14ac:dyDescent="0.25">
      <c r="A3962" s="3"/>
    </row>
    <row r="3963" spans="1:1" x14ac:dyDescent="0.25">
      <c r="A3963" s="3"/>
    </row>
    <row r="3964" spans="1:1" x14ac:dyDescent="0.25">
      <c r="A3964" s="3"/>
    </row>
    <row r="3965" spans="1:1" x14ac:dyDescent="0.25">
      <c r="A3965" s="3"/>
    </row>
    <row r="3966" spans="1:1" x14ac:dyDescent="0.25">
      <c r="A3966" s="3"/>
    </row>
    <row r="3967" spans="1:1" x14ac:dyDescent="0.25">
      <c r="A3967" s="3"/>
    </row>
    <row r="3968" spans="1:1" x14ac:dyDescent="0.25">
      <c r="A3968" s="3"/>
    </row>
    <row r="3969" spans="1:1" x14ac:dyDescent="0.25">
      <c r="A3969" s="3"/>
    </row>
    <row r="3970" spans="1:1" x14ac:dyDescent="0.25">
      <c r="A3970" s="3"/>
    </row>
    <row r="3971" spans="1:1" x14ac:dyDescent="0.25">
      <c r="A3971" s="3"/>
    </row>
    <row r="3972" spans="1:1" x14ac:dyDescent="0.25">
      <c r="A3972" s="3"/>
    </row>
    <row r="3973" spans="1:1" x14ac:dyDescent="0.25">
      <c r="A3973" s="3"/>
    </row>
    <row r="3974" spans="1:1" x14ac:dyDescent="0.25">
      <c r="A3974" s="3"/>
    </row>
    <row r="3975" spans="1:1" x14ac:dyDescent="0.25">
      <c r="A3975" s="3"/>
    </row>
    <row r="3976" spans="1:1" x14ac:dyDescent="0.25">
      <c r="A3976" s="3"/>
    </row>
    <row r="3977" spans="1:1" x14ac:dyDescent="0.25">
      <c r="A3977" s="3"/>
    </row>
    <row r="3978" spans="1:1" x14ac:dyDescent="0.25">
      <c r="A3978" s="3"/>
    </row>
    <row r="3979" spans="1:1" x14ac:dyDescent="0.25">
      <c r="A3979" s="3"/>
    </row>
    <row r="3980" spans="1:1" x14ac:dyDescent="0.25">
      <c r="A3980" s="3"/>
    </row>
    <row r="3981" spans="1:1" x14ac:dyDescent="0.25">
      <c r="A3981" s="3"/>
    </row>
    <row r="3982" spans="1:1" x14ac:dyDescent="0.25">
      <c r="A3982" s="3"/>
    </row>
    <row r="3983" spans="1:1" x14ac:dyDescent="0.25">
      <c r="A3983" s="3"/>
    </row>
    <row r="3984" spans="1:1" x14ac:dyDescent="0.25">
      <c r="A3984" s="3"/>
    </row>
    <row r="3985" spans="1:1" x14ac:dyDescent="0.25">
      <c r="A3985" s="3"/>
    </row>
    <row r="3986" spans="1:1" x14ac:dyDescent="0.25">
      <c r="A3986" s="3"/>
    </row>
    <row r="3987" spans="1:1" x14ac:dyDescent="0.25">
      <c r="A3987" s="3"/>
    </row>
    <row r="3988" spans="1:1" x14ac:dyDescent="0.25">
      <c r="A3988" s="3"/>
    </row>
    <row r="3989" spans="1:1" x14ac:dyDescent="0.25">
      <c r="A3989" s="3"/>
    </row>
    <row r="3990" spans="1:1" x14ac:dyDescent="0.25">
      <c r="A3990" s="3"/>
    </row>
    <row r="3991" spans="1:1" x14ac:dyDescent="0.25">
      <c r="A3991" s="3"/>
    </row>
    <row r="3992" spans="1:1" x14ac:dyDescent="0.25">
      <c r="A3992" s="3"/>
    </row>
    <row r="3993" spans="1:1" x14ac:dyDescent="0.25">
      <c r="A3993" s="3"/>
    </row>
    <row r="3994" spans="1:1" x14ac:dyDescent="0.25">
      <c r="A3994" s="3"/>
    </row>
    <row r="3995" spans="1:1" x14ac:dyDescent="0.25">
      <c r="A3995" s="3"/>
    </row>
    <row r="3996" spans="1:1" x14ac:dyDescent="0.25">
      <c r="A3996" s="3"/>
    </row>
    <row r="3997" spans="1:1" x14ac:dyDescent="0.25">
      <c r="A3997" s="3"/>
    </row>
    <row r="3998" spans="1:1" x14ac:dyDescent="0.25">
      <c r="A3998" s="3"/>
    </row>
    <row r="3999" spans="1:1" x14ac:dyDescent="0.25">
      <c r="A3999" s="3"/>
    </row>
    <row r="4000" spans="1:1" x14ac:dyDescent="0.25">
      <c r="A4000" s="3"/>
    </row>
    <row r="4001" spans="1:1" x14ac:dyDescent="0.25">
      <c r="A4001" s="3"/>
    </row>
    <row r="4002" spans="1:1" x14ac:dyDescent="0.25">
      <c r="A4002" s="3"/>
    </row>
    <row r="4003" spans="1:1" x14ac:dyDescent="0.25">
      <c r="A4003" s="3"/>
    </row>
    <row r="4004" spans="1:1" x14ac:dyDescent="0.25">
      <c r="A4004" s="3"/>
    </row>
    <row r="4005" spans="1:1" x14ac:dyDescent="0.25">
      <c r="A4005" s="3"/>
    </row>
    <row r="4006" spans="1:1" x14ac:dyDescent="0.25">
      <c r="A4006" s="3"/>
    </row>
    <row r="4007" spans="1:1" x14ac:dyDescent="0.25">
      <c r="A4007" s="3"/>
    </row>
    <row r="4008" spans="1:1" x14ac:dyDescent="0.25">
      <c r="A4008" s="3"/>
    </row>
    <row r="4009" spans="1:1" x14ac:dyDescent="0.25">
      <c r="A4009" s="3"/>
    </row>
    <row r="4010" spans="1:1" x14ac:dyDescent="0.25">
      <c r="A4010" s="3"/>
    </row>
    <row r="4011" spans="1:1" x14ac:dyDescent="0.25">
      <c r="A4011" s="3"/>
    </row>
    <row r="4012" spans="1:1" x14ac:dyDescent="0.25">
      <c r="A4012" s="3"/>
    </row>
    <row r="4013" spans="1:1" x14ac:dyDescent="0.25">
      <c r="A4013" s="3"/>
    </row>
    <row r="4014" spans="1:1" x14ac:dyDescent="0.25">
      <c r="A4014" s="3"/>
    </row>
    <row r="4015" spans="1:1" x14ac:dyDescent="0.25">
      <c r="A4015" s="3"/>
    </row>
    <row r="4016" spans="1:1" x14ac:dyDescent="0.25">
      <c r="A4016" s="3"/>
    </row>
    <row r="4017" spans="1:1" x14ac:dyDescent="0.25">
      <c r="A4017" s="3"/>
    </row>
    <row r="4018" spans="1:1" x14ac:dyDescent="0.25">
      <c r="A4018" s="3"/>
    </row>
    <row r="4019" spans="1:1" x14ac:dyDescent="0.25">
      <c r="A4019" s="3"/>
    </row>
    <row r="4020" spans="1:1" x14ac:dyDescent="0.25">
      <c r="A4020" s="3"/>
    </row>
    <row r="4021" spans="1:1" x14ac:dyDescent="0.25">
      <c r="A4021" s="3"/>
    </row>
    <row r="4022" spans="1:1" x14ac:dyDescent="0.25">
      <c r="A4022" s="3"/>
    </row>
    <row r="4023" spans="1:1" x14ac:dyDescent="0.25">
      <c r="A4023" s="3"/>
    </row>
    <row r="4024" spans="1:1" x14ac:dyDescent="0.25">
      <c r="A4024" s="3"/>
    </row>
    <row r="4025" spans="1:1" x14ac:dyDescent="0.25">
      <c r="A4025" s="3"/>
    </row>
    <row r="4026" spans="1:1" x14ac:dyDescent="0.25">
      <c r="A4026" s="3"/>
    </row>
    <row r="4027" spans="1:1" x14ac:dyDescent="0.25">
      <c r="A4027" s="3"/>
    </row>
    <row r="4028" spans="1:1" x14ac:dyDescent="0.25">
      <c r="A4028" s="3"/>
    </row>
    <row r="4029" spans="1:1" x14ac:dyDescent="0.25">
      <c r="A4029" s="3"/>
    </row>
    <row r="4030" spans="1:1" x14ac:dyDescent="0.25">
      <c r="A4030" s="3"/>
    </row>
    <row r="4031" spans="1:1" x14ac:dyDescent="0.25">
      <c r="A4031" s="3"/>
    </row>
    <row r="4032" spans="1:1" x14ac:dyDescent="0.25">
      <c r="A4032" s="3"/>
    </row>
    <row r="4033" spans="1:1" x14ac:dyDescent="0.25">
      <c r="A4033" s="3"/>
    </row>
    <row r="4034" spans="1:1" x14ac:dyDescent="0.25">
      <c r="A4034" s="3"/>
    </row>
    <row r="4035" spans="1:1" x14ac:dyDescent="0.25">
      <c r="A4035" s="3"/>
    </row>
    <row r="4036" spans="1:1" x14ac:dyDescent="0.25">
      <c r="A4036" s="3"/>
    </row>
    <row r="4037" spans="1:1" x14ac:dyDescent="0.25">
      <c r="A4037" s="3"/>
    </row>
    <row r="4038" spans="1:1" x14ac:dyDescent="0.25">
      <c r="A4038" s="3"/>
    </row>
    <row r="4039" spans="1:1" x14ac:dyDescent="0.25">
      <c r="A4039" s="3"/>
    </row>
    <row r="4040" spans="1:1" x14ac:dyDescent="0.25">
      <c r="A4040" s="3"/>
    </row>
    <row r="4041" spans="1:1" x14ac:dyDescent="0.25">
      <c r="A4041" s="3"/>
    </row>
    <row r="4042" spans="1:1" x14ac:dyDescent="0.25">
      <c r="A4042" s="3"/>
    </row>
    <row r="4043" spans="1:1" x14ac:dyDescent="0.25">
      <c r="A4043" s="3"/>
    </row>
    <row r="4044" spans="1:1" x14ac:dyDescent="0.25">
      <c r="A4044" s="3"/>
    </row>
    <row r="4045" spans="1:1" x14ac:dyDescent="0.25">
      <c r="A4045" s="3"/>
    </row>
    <row r="4046" spans="1:1" x14ac:dyDescent="0.25">
      <c r="A4046" s="3"/>
    </row>
    <row r="4047" spans="1:1" x14ac:dyDescent="0.25">
      <c r="A4047" s="3"/>
    </row>
    <row r="4048" spans="1:1" x14ac:dyDescent="0.25">
      <c r="A4048" s="3"/>
    </row>
    <row r="4049" spans="1:1" x14ac:dyDescent="0.25">
      <c r="A4049" s="3"/>
    </row>
    <row r="4050" spans="1:1" x14ac:dyDescent="0.25">
      <c r="A4050" s="3"/>
    </row>
    <row r="4051" spans="1:1" x14ac:dyDescent="0.25">
      <c r="A4051" s="3"/>
    </row>
    <row r="4052" spans="1:1" x14ac:dyDescent="0.25">
      <c r="A4052" s="3"/>
    </row>
    <row r="4053" spans="1:1" x14ac:dyDescent="0.25">
      <c r="A4053" s="3"/>
    </row>
    <row r="4054" spans="1:1" x14ac:dyDescent="0.25">
      <c r="A4054" s="3"/>
    </row>
    <row r="4055" spans="1:1" x14ac:dyDescent="0.25">
      <c r="A4055" s="3"/>
    </row>
    <row r="4056" spans="1:1" x14ac:dyDescent="0.25">
      <c r="A4056" s="3"/>
    </row>
    <row r="4057" spans="1:1" x14ac:dyDescent="0.25">
      <c r="A4057" s="3"/>
    </row>
    <row r="4058" spans="1:1" x14ac:dyDescent="0.25">
      <c r="A4058" s="3"/>
    </row>
    <row r="4059" spans="1:1" x14ac:dyDescent="0.25">
      <c r="A4059" s="3"/>
    </row>
    <row r="4060" spans="1:1" x14ac:dyDescent="0.25">
      <c r="A4060" s="3"/>
    </row>
    <row r="4061" spans="1:1" x14ac:dyDescent="0.25">
      <c r="A4061" s="3"/>
    </row>
    <row r="4062" spans="1:1" x14ac:dyDescent="0.25">
      <c r="A4062" s="3"/>
    </row>
    <row r="4063" spans="1:1" x14ac:dyDescent="0.25">
      <c r="A4063" s="3"/>
    </row>
    <row r="4064" spans="1:1" x14ac:dyDescent="0.25">
      <c r="A4064" s="3"/>
    </row>
    <row r="4065" spans="1:1" x14ac:dyDescent="0.25">
      <c r="A4065" s="3"/>
    </row>
    <row r="4066" spans="1:1" x14ac:dyDescent="0.25">
      <c r="A4066" s="3"/>
    </row>
    <row r="4067" spans="1:1" x14ac:dyDescent="0.25">
      <c r="A4067" s="3"/>
    </row>
    <row r="4068" spans="1:1" x14ac:dyDescent="0.25">
      <c r="A4068" s="3"/>
    </row>
    <row r="4069" spans="1:1" x14ac:dyDescent="0.25">
      <c r="A4069" s="3"/>
    </row>
    <row r="4070" spans="1:1" x14ac:dyDescent="0.25">
      <c r="A4070" s="3"/>
    </row>
    <row r="4071" spans="1:1" x14ac:dyDescent="0.25">
      <c r="A4071" s="3"/>
    </row>
    <row r="4072" spans="1:1" x14ac:dyDescent="0.25">
      <c r="A4072" s="3"/>
    </row>
    <row r="4073" spans="1:1" x14ac:dyDescent="0.25">
      <c r="A4073" s="3"/>
    </row>
    <row r="4074" spans="1:1" x14ac:dyDescent="0.25">
      <c r="A4074" s="3"/>
    </row>
    <row r="4075" spans="1:1" x14ac:dyDescent="0.25">
      <c r="A4075" s="3"/>
    </row>
    <row r="4076" spans="1:1" x14ac:dyDescent="0.25">
      <c r="A4076" s="3"/>
    </row>
    <row r="4077" spans="1:1" x14ac:dyDescent="0.25">
      <c r="A4077" s="3"/>
    </row>
    <row r="4078" spans="1:1" x14ac:dyDescent="0.25">
      <c r="A4078" s="3"/>
    </row>
    <row r="4079" spans="1:1" x14ac:dyDescent="0.25">
      <c r="A4079" s="3"/>
    </row>
    <row r="4080" spans="1:1" x14ac:dyDescent="0.25">
      <c r="A4080" s="3"/>
    </row>
    <row r="4081" spans="1:1" x14ac:dyDescent="0.25">
      <c r="A4081" s="3"/>
    </row>
    <row r="4082" spans="1:1" x14ac:dyDescent="0.25">
      <c r="A4082" s="3"/>
    </row>
    <row r="4083" spans="1:1" x14ac:dyDescent="0.25">
      <c r="A4083" s="3"/>
    </row>
    <row r="4084" spans="1:1" x14ac:dyDescent="0.25">
      <c r="A4084" s="3"/>
    </row>
    <row r="4085" spans="1:1" x14ac:dyDescent="0.25">
      <c r="A4085" s="3"/>
    </row>
    <row r="4086" spans="1:1" x14ac:dyDescent="0.25">
      <c r="A4086" s="3"/>
    </row>
    <row r="4087" spans="1:1" x14ac:dyDescent="0.25">
      <c r="A4087" s="3"/>
    </row>
    <row r="4088" spans="1:1" x14ac:dyDescent="0.25">
      <c r="A4088" s="3"/>
    </row>
    <row r="4089" spans="1:1" x14ac:dyDescent="0.25">
      <c r="A4089" s="3"/>
    </row>
    <row r="4090" spans="1:1" x14ac:dyDescent="0.25">
      <c r="A4090" s="3"/>
    </row>
    <row r="4091" spans="1:1" x14ac:dyDescent="0.25">
      <c r="A4091" s="3"/>
    </row>
    <row r="4092" spans="1:1" x14ac:dyDescent="0.25">
      <c r="A4092" s="3"/>
    </row>
    <row r="4093" spans="1:1" x14ac:dyDescent="0.25">
      <c r="A4093" s="3"/>
    </row>
    <row r="4094" spans="1:1" x14ac:dyDescent="0.25">
      <c r="A4094" s="3"/>
    </row>
    <row r="4095" spans="1:1" x14ac:dyDescent="0.25">
      <c r="A4095" s="3"/>
    </row>
    <row r="4096" spans="1:1" x14ac:dyDescent="0.25">
      <c r="A4096" s="3"/>
    </row>
    <row r="4097" spans="1:1" x14ac:dyDescent="0.25">
      <c r="A4097" s="3"/>
    </row>
    <row r="4098" spans="1:1" x14ac:dyDescent="0.25">
      <c r="A4098" s="3"/>
    </row>
    <row r="4099" spans="1:1" x14ac:dyDescent="0.25">
      <c r="A4099" s="3"/>
    </row>
    <row r="4100" spans="1:1" x14ac:dyDescent="0.25">
      <c r="A4100" s="3"/>
    </row>
    <row r="4101" spans="1:1" x14ac:dyDescent="0.25">
      <c r="A4101" s="3"/>
    </row>
    <row r="4102" spans="1:1" x14ac:dyDescent="0.25">
      <c r="A4102" s="3"/>
    </row>
    <row r="4103" spans="1:1" x14ac:dyDescent="0.25">
      <c r="A4103" s="3"/>
    </row>
    <row r="4104" spans="1:1" x14ac:dyDescent="0.25">
      <c r="A4104" s="3"/>
    </row>
    <row r="4105" spans="1:1" x14ac:dyDescent="0.25">
      <c r="A4105" s="3"/>
    </row>
    <row r="4106" spans="1:1" x14ac:dyDescent="0.25">
      <c r="A4106" s="3"/>
    </row>
    <row r="4107" spans="1:1" x14ac:dyDescent="0.25">
      <c r="A4107" s="3"/>
    </row>
    <row r="4108" spans="1:1" x14ac:dyDescent="0.25">
      <c r="A4108" s="3"/>
    </row>
    <row r="4109" spans="1:1" x14ac:dyDescent="0.25">
      <c r="A4109" s="3"/>
    </row>
    <row r="4110" spans="1:1" x14ac:dyDescent="0.25">
      <c r="A4110" s="3"/>
    </row>
    <row r="4111" spans="1:1" x14ac:dyDescent="0.25">
      <c r="A4111" s="3"/>
    </row>
    <row r="4112" spans="1:1" x14ac:dyDescent="0.25">
      <c r="A4112" s="3"/>
    </row>
    <row r="4113" spans="1:1" x14ac:dyDescent="0.25">
      <c r="A4113" s="3"/>
    </row>
    <row r="4114" spans="1:1" x14ac:dyDescent="0.25">
      <c r="A4114" s="3"/>
    </row>
    <row r="4115" spans="1:1" x14ac:dyDescent="0.25">
      <c r="A4115" s="3"/>
    </row>
    <row r="4116" spans="1:1" x14ac:dyDescent="0.25">
      <c r="A4116" s="3"/>
    </row>
    <row r="4117" spans="1:1" x14ac:dyDescent="0.25">
      <c r="A4117" s="3"/>
    </row>
    <row r="4118" spans="1:1" x14ac:dyDescent="0.25">
      <c r="A4118" s="3"/>
    </row>
    <row r="4119" spans="1:1" x14ac:dyDescent="0.25">
      <c r="A4119" s="3"/>
    </row>
    <row r="4120" spans="1:1" x14ac:dyDescent="0.25">
      <c r="A4120" s="3"/>
    </row>
    <row r="4121" spans="1:1" x14ac:dyDescent="0.25">
      <c r="A4121" s="3"/>
    </row>
    <row r="4122" spans="1:1" x14ac:dyDescent="0.25">
      <c r="A4122" s="3"/>
    </row>
    <row r="4123" spans="1:1" x14ac:dyDescent="0.25">
      <c r="A4123" s="3"/>
    </row>
    <row r="4124" spans="1:1" x14ac:dyDescent="0.25">
      <c r="A4124" s="3"/>
    </row>
    <row r="4125" spans="1:1" x14ac:dyDescent="0.25">
      <c r="A4125" s="3"/>
    </row>
    <row r="4126" spans="1:1" x14ac:dyDescent="0.25">
      <c r="A4126" s="3"/>
    </row>
    <row r="4127" spans="1:1" x14ac:dyDescent="0.25">
      <c r="A4127" s="3"/>
    </row>
    <row r="4128" spans="1:1" x14ac:dyDescent="0.25">
      <c r="A4128" s="3"/>
    </row>
    <row r="4129" spans="1:1" x14ac:dyDescent="0.25">
      <c r="A4129" s="3"/>
    </row>
    <row r="4130" spans="1:1" x14ac:dyDescent="0.25">
      <c r="A4130" s="3"/>
    </row>
    <row r="4131" spans="1:1" x14ac:dyDescent="0.25">
      <c r="A4131" s="3"/>
    </row>
    <row r="4132" spans="1:1" x14ac:dyDescent="0.25">
      <c r="A4132" s="3"/>
    </row>
    <row r="4133" spans="1:1" x14ac:dyDescent="0.25">
      <c r="A4133" s="3"/>
    </row>
    <row r="4134" spans="1:1" x14ac:dyDescent="0.25">
      <c r="A4134" s="3"/>
    </row>
    <row r="4135" spans="1:1" x14ac:dyDescent="0.25">
      <c r="A4135" s="3"/>
    </row>
    <row r="4136" spans="1:1" x14ac:dyDescent="0.25">
      <c r="A4136" s="3"/>
    </row>
    <row r="4137" spans="1:1" x14ac:dyDescent="0.25">
      <c r="A4137" s="3"/>
    </row>
    <row r="4138" spans="1:1" x14ac:dyDescent="0.25">
      <c r="A4138" s="3"/>
    </row>
    <row r="4139" spans="1:1" x14ac:dyDescent="0.25">
      <c r="A4139" s="3"/>
    </row>
    <row r="4140" spans="1:1" x14ac:dyDescent="0.25">
      <c r="A4140" s="3"/>
    </row>
    <row r="4141" spans="1:1" x14ac:dyDescent="0.25">
      <c r="A4141" s="3"/>
    </row>
    <row r="4142" spans="1:1" x14ac:dyDescent="0.25">
      <c r="A4142" s="3"/>
    </row>
    <row r="4143" spans="1:1" x14ac:dyDescent="0.25">
      <c r="A4143" s="3"/>
    </row>
    <row r="4144" spans="1:1" x14ac:dyDescent="0.25">
      <c r="A4144" s="3"/>
    </row>
    <row r="4145" spans="1:1" x14ac:dyDescent="0.25">
      <c r="A4145" s="3"/>
    </row>
    <row r="4146" spans="1:1" x14ac:dyDescent="0.25">
      <c r="A4146" s="3"/>
    </row>
    <row r="4147" spans="1:1" x14ac:dyDescent="0.25">
      <c r="A4147" s="3"/>
    </row>
    <row r="4148" spans="1:1" x14ac:dyDescent="0.25">
      <c r="A4148" s="3"/>
    </row>
    <row r="4149" spans="1:1" x14ac:dyDescent="0.25">
      <c r="A4149" s="3"/>
    </row>
    <row r="4150" spans="1:1" x14ac:dyDescent="0.25">
      <c r="A4150" s="3"/>
    </row>
    <row r="4151" spans="1:1" x14ac:dyDescent="0.25">
      <c r="A4151" s="3"/>
    </row>
    <row r="4152" spans="1:1" x14ac:dyDescent="0.25">
      <c r="A4152" s="3"/>
    </row>
    <row r="4153" spans="1:1" x14ac:dyDescent="0.25">
      <c r="A4153" s="3"/>
    </row>
    <row r="4154" spans="1:1" x14ac:dyDescent="0.25">
      <c r="A4154" s="3"/>
    </row>
    <row r="4155" spans="1:1" x14ac:dyDescent="0.25">
      <c r="A4155" s="3"/>
    </row>
    <row r="4156" spans="1:1" x14ac:dyDescent="0.25">
      <c r="A4156" s="3"/>
    </row>
    <row r="4157" spans="1:1" x14ac:dyDescent="0.25">
      <c r="A4157" s="3"/>
    </row>
    <row r="4158" spans="1:1" x14ac:dyDescent="0.25">
      <c r="A4158" s="3"/>
    </row>
    <row r="4159" spans="1:1" x14ac:dyDescent="0.25">
      <c r="A4159" s="3"/>
    </row>
    <row r="4160" spans="1:1" x14ac:dyDescent="0.25">
      <c r="A4160" s="3"/>
    </row>
    <row r="4161" spans="1:1" x14ac:dyDescent="0.25">
      <c r="A4161" s="3"/>
    </row>
    <row r="4162" spans="1:1" x14ac:dyDescent="0.25">
      <c r="A4162" s="3"/>
    </row>
    <row r="4163" spans="1:1" x14ac:dyDescent="0.25">
      <c r="A4163" s="3"/>
    </row>
    <row r="4164" spans="1:1" x14ac:dyDescent="0.25">
      <c r="A4164" s="3"/>
    </row>
    <row r="4165" spans="1:1" x14ac:dyDescent="0.25">
      <c r="A4165" s="3"/>
    </row>
    <row r="4166" spans="1:1" x14ac:dyDescent="0.25">
      <c r="A4166" s="3"/>
    </row>
    <row r="4167" spans="1:1" x14ac:dyDescent="0.25">
      <c r="A4167" s="3"/>
    </row>
    <row r="4168" spans="1:1" x14ac:dyDescent="0.25">
      <c r="A4168" s="3"/>
    </row>
    <row r="4169" spans="1:1" x14ac:dyDescent="0.25">
      <c r="A4169" s="3"/>
    </row>
    <row r="4170" spans="1:1" x14ac:dyDescent="0.25">
      <c r="A4170" s="3"/>
    </row>
    <row r="4171" spans="1:1" x14ac:dyDescent="0.25">
      <c r="A4171" s="3"/>
    </row>
    <row r="4172" spans="1:1" x14ac:dyDescent="0.25">
      <c r="A4172" s="3"/>
    </row>
    <row r="4173" spans="1:1" x14ac:dyDescent="0.25">
      <c r="A4173" s="3"/>
    </row>
    <row r="4174" spans="1:1" x14ac:dyDescent="0.25">
      <c r="A4174" s="3"/>
    </row>
    <row r="4175" spans="1:1" x14ac:dyDescent="0.25">
      <c r="A4175" s="3"/>
    </row>
    <row r="4176" spans="1:1" x14ac:dyDescent="0.25">
      <c r="A4176" s="3"/>
    </row>
    <row r="4177" spans="1:1" x14ac:dyDescent="0.25">
      <c r="A4177" s="3"/>
    </row>
    <row r="4178" spans="1:1" x14ac:dyDescent="0.25">
      <c r="A4178" s="3"/>
    </row>
    <row r="4179" spans="1:1" x14ac:dyDescent="0.25">
      <c r="A4179" s="3"/>
    </row>
    <row r="4180" spans="1:1" x14ac:dyDescent="0.25">
      <c r="A4180" s="3"/>
    </row>
    <row r="4181" spans="1:1" x14ac:dyDescent="0.25">
      <c r="A4181" s="3"/>
    </row>
    <row r="4182" spans="1:1" x14ac:dyDescent="0.25">
      <c r="A4182" s="3"/>
    </row>
    <row r="4183" spans="1:1" x14ac:dyDescent="0.25">
      <c r="A4183" s="3"/>
    </row>
    <row r="4184" spans="1:1" x14ac:dyDescent="0.25">
      <c r="A4184" s="3"/>
    </row>
    <row r="4185" spans="1:1" x14ac:dyDescent="0.25">
      <c r="A4185" s="3"/>
    </row>
    <row r="4186" spans="1:1" x14ac:dyDescent="0.25">
      <c r="A4186" s="3"/>
    </row>
    <row r="4187" spans="1:1" x14ac:dyDescent="0.25">
      <c r="A4187" s="3"/>
    </row>
    <row r="4188" spans="1:1" x14ac:dyDescent="0.25">
      <c r="A4188" s="3"/>
    </row>
    <row r="4189" spans="1:1" x14ac:dyDescent="0.25">
      <c r="A4189" s="3"/>
    </row>
    <row r="4190" spans="1:1" x14ac:dyDescent="0.25">
      <c r="A4190" s="3"/>
    </row>
    <row r="4191" spans="1:1" x14ac:dyDescent="0.25">
      <c r="A4191" s="3"/>
    </row>
    <row r="4192" spans="1:1" x14ac:dyDescent="0.25">
      <c r="A4192" s="3"/>
    </row>
    <row r="4193" spans="1:1" x14ac:dyDescent="0.25">
      <c r="A4193" s="3"/>
    </row>
    <row r="4194" spans="1:1" x14ac:dyDescent="0.25">
      <c r="A4194" s="3"/>
    </row>
    <row r="4195" spans="1:1" x14ac:dyDescent="0.25">
      <c r="A4195" s="3"/>
    </row>
    <row r="4196" spans="1:1" x14ac:dyDescent="0.25">
      <c r="A4196" s="3"/>
    </row>
    <row r="4197" spans="1:1" x14ac:dyDescent="0.25">
      <c r="A4197" s="3"/>
    </row>
    <row r="4198" spans="1:1" x14ac:dyDescent="0.25">
      <c r="A4198" s="3"/>
    </row>
    <row r="4199" spans="1:1" x14ac:dyDescent="0.25">
      <c r="A4199" s="3"/>
    </row>
    <row r="4200" spans="1:1" x14ac:dyDescent="0.25">
      <c r="A4200" s="3"/>
    </row>
    <row r="4201" spans="1:1" x14ac:dyDescent="0.25">
      <c r="A4201" s="3"/>
    </row>
    <row r="4202" spans="1:1" x14ac:dyDescent="0.25">
      <c r="A4202" s="3"/>
    </row>
    <row r="4203" spans="1:1" x14ac:dyDescent="0.25">
      <c r="A4203" s="3"/>
    </row>
    <row r="4204" spans="1:1" x14ac:dyDescent="0.25">
      <c r="A4204" s="3"/>
    </row>
    <row r="4205" spans="1:1" x14ac:dyDescent="0.25">
      <c r="A4205" s="3"/>
    </row>
    <row r="4206" spans="1:1" x14ac:dyDescent="0.25">
      <c r="A4206" s="3"/>
    </row>
    <row r="4207" spans="1:1" x14ac:dyDescent="0.25">
      <c r="A4207" s="3"/>
    </row>
    <row r="4208" spans="1:1" x14ac:dyDescent="0.25">
      <c r="A4208" s="3"/>
    </row>
    <row r="4209" spans="1:1" x14ac:dyDescent="0.25">
      <c r="A4209" s="3"/>
    </row>
    <row r="4210" spans="1:1" x14ac:dyDescent="0.25">
      <c r="A4210" s="3"/>
    </row>
    <row r="4211" spans="1:1" x14ac:dyDescent="0.25">
      <c r="A4211" s="3"/>
    </row>
    <row r="4212" spans="1:1" x14ac:dyDescent="0.25">
      <c r="A4212" s="3"/>
    </row>
    <row r="4213" spans="1:1" x14ac:dyDescent="0.25">
      <c r="A4213" s="3"/>
    </row>
    <row r="4214" spans="1:1" x14ac:dyDescent="0.25">
      <c r="A4214" s="3"/>
    </row>
    <row r="4215" spans="1:1" x14ac:dyDescent="0.25">
      <c r="A4215" s="3"/>
    </row>
    <row r="4216" spans="1:1" x14ac:dyDescent="0.25">
      <c r="A4216" s="3"/>
    </row>
    <row r="4217" spans="1:1" x14ac:dyDescent="0.25">
      <c r="A4217" s="3"/>
    </row>
    <row r="4218" spans="1:1" x14ac:dyDescent="0.25">
      <c r="A4218" s="3"/>
    </row>
    <row r="4219" spans="1:1" x14ac:dyDescent="0.25">
      <c r="A4219" s="3"/>
    </row>
    <row r="4220" spans="1:1" x14ac:dyDescent="0.25">
      <c r="A4220" s="3"/>
    </row>
    <row r="4221" spans="1:1" x14ac:dyDescent="0.25">
      <c r="A4221" s="3"/>
    </row>
    <row r="4222" spans="1:1" x14ac:dyDescent="0.25">
      <c r="A4222" s="3"/>
    </row>
    <row r="4223" spans="1:1" x14ac:dyDescent="0.25">
      <c r="A4223" s="3"/>
    </row>
    <row r="4224" spans="1:1" x14ac:dyDescent="0.25">
      <c r="A4224" s="3"/>
    </row>
    <row r="4225" spans="1:1" x14ac:dyDescent="0.25">
      <c r="A4225" s="3"/>
    </row>
    <row r="4226" spans="1:1" x14ac:dyDescent="0.25">
      <c r="A4226" s="3"/>
    </row>
    <row r="4227" spans="1:1" x14ac:dyDescent="0.25">
      <c r="A4227" s="3"/>
    </row>
    <row r="4228" spans="1:1" x14ac:dyDescent="0.25">
      <c r="A4228" s="3"/>
    </row>
    <row r="4229" spans="1:1" x14ac:dyDescent="0.25">
      <c r="A4229" s="3"/>
    </row>
    <row r="4230" spans="1:1" x14ac:dyDescent="0.25">
      <c r="A4230" s="3"/>
    </row>
    <row r="4231" spans="1:1" x14ac:dyDescent="0.25">
      <c r="A4231" s="3"/>
    </row>
    <row r="4232" spans="1:1" x14ac:dyDescent="0.25">
      <c r="A4232" s="3"/>
    </row>
    <row r="4233" spans="1:1" x14ac:dyDescent="0.25">
      <c r="A4233" s="3"/>
    </row>
    <row r="4234" spans="1:1" x14ac:dyDescent="0.25">
      <c r="A4234" s="3"/>
    </row>
    <row r="4235" spans="1:1" x14ac:dyDescent="0.25">
      <c r="A4235" s="3"/>
    </row>
    <row r="4236" spans="1:1" x14ac:dyDescent="0.25">
      <c r="A4236" s="3"/>
    </row>
    <row r="4237" spans="1:1" x14ac:dyDescent="0.25">
      <c r="A4237" s="3"/>
    </row>
    <row r="4238" spans="1:1" x14ac:dyDescent="0.25">
      <c r="A4238" s="3"/>
    </row>
    <row r="4239" spans="1:1" x14ac:dyDescent="0.25">
      <c r="A4239" s="3"/>
    </row>
    <row r="4240" spans="1:1" x14ac:dyDescent="0.25">
      <c r="A4240" s="3"/>
    </row>
    <row r="4241" spans="1:1" x14ac:dyDescent="0.25">
      <c r="A4241" s="3"/>
    </row>
    <row r="4242" spans="1:1" x14ac:dyDescent="0.25">
      <c r="A4242" s="3"/>
    </row>
    <row r="4243" spans="1:1" x14ac:dyDescent="0.25">
      <c r="A4243" s="3"/>
    </row>
    <row r="4244" spans="1:1" x14ac:dyDescent="0.25">
      <c r="A4244" s="3"/>
    </row>
    <row r="4245" spans="1:1" x14ac:dyDescent="0.25">
      <c r="A4245" s="3"/>
    </row>
    <row r="4246" spans="1:1" x14ac:dyDescent="0.25">
      <c r="A4246" s="3"/>
    </row>
    <row r="4247" spans="1:1" x14ac:dyDescent="0.25">
      <c r="A4247" s="3"/>
    </row>
    <row r="4248" spans="1:1" x14ac:dyDescent="0.25">
      <c r="A4248" s="3"/>
    </row>
    <row r="4249" spans="1:1" x14ac:dyDescent="0.25">
      <c r="A4249" s="3"/>
    </row>
    <row r="4250" spans="1:1" x14ac:dyDescent="0.25">
      <c r="A4250" s="3"/>
    </row>
    <row r="4251" spans="1:1" x14ac:dyDescent="0.25">
      <c r="A4251" s="3"/>
    </row>
    <row r="4252" spans="1:1" x14ac:dyDescent="0.25">
      <c r="A4252" s="3"/>
    </row>
    <row r="4253" spans="1:1" x14ac:dyDescent="0.25">
      <c r="A4253" s="3"/>
    </row>
    <row r="4254" spans="1:1" x14ac:dyDescent="0.25">
      <c r="A4254" s="3"/>
    </row>
    <row r="4255" spans="1:1" x14ac:dyDescent="0.25">
      <c r="A4255" s="3"/>
    </row>
    <row r="4256" spans="1:1" x14ac:dyDescent="0.25">
      <c r="A4256" s="3"/>
    </row>
    <row r="4257" spans="1:1" x14ac:dyDescent="0.25">
      <c r="A4257" s="3"/>
    </row>
    <row r="4258" spans="1:1" x14ac:dyDescent="0.25">
      <c r="A4258" s="3"/>
    </row>
    <row r="4259" spans="1:1" x14ac:dyDescent="0.25">
      <c r="A4259" s="3"/>
    </row>
    <row r="4260" spans="1:1" x14ac:dyDescent="0.25">
      <c r="A4260" s="3"/>
    </row>
    <row r="4261" spans="1:1" x14ac:dyDescent="0.25">
      <c r="A4261" s="3"/>
    </row>
    <row r="4262" spans="1:1" x14ac:dyDescent="0.25">
      <c r="A4262" s="3"/>
    </row>
    <row r="4263" spans="1:1" x14ac:dyDescent="0.25">
      <c r="A4263" s="3"/>
    </row>
    <row r="4264" spans="1:1" x14ac:dyDescent="0.25">
      <c r="A4264" s="3"/>
    </row>
    <row r="4265" spans="1:1" x14ac:dyDescent="0.25">
      <c r="A4265" s="3"/>
    </row>
    <row r="4266" spans="1:1" x14ac:dyDescent="0.25">
      <c r="A4266" s="3"/>
    </row>
    <row r="4267" spans="1:1" x14ac:dyDescent="0.25">
      <c r="A4267" s="3"/>
    </row>
    <row r="4268" spans="1:1" x14ac:dyDescent="0.25">
      <c r="A4268" s="3"/>
    </row>
    <row r="4269" spans="1:1" x14ac:dyDescent="0.25">
      <c r="A4269" s="3"/>
    </row>
    <row r="4270" spans="1:1" x14ac:dyDescent="0.25">
      <c r="A4270" s="3"/>
    </row>
    <row r="4271" spans="1:1" x14ac:dyDescent="0.25">
      <c r="A4271" s="3"/>
    </row>
    <row r="4272" spans="1:1" x14ac:dyDescent="0.25">
      <c r="A4272" s="3"/>
    </row>
    <row r="4273" spans="1:1" x14ac:dyDescent="0.25">
      <c r="A4273" s="3"/>
    </row>
    <row r="4274" spans="1:1" x14ac:dyDescent="0.25">
      <c r="A4274" s="3"/>
    </row>
    <row r="4275" spans="1:1" x14ac:dyDescent="0.25">
      <c r="A4275" s="3"/>
    </row>
    <row r="4276" spans="1:1" x14ac:dyDescent="0.25">
      <c r="A4276" s="3"/>
    </row>
    <row r="4277" spans="1:1" x14ac:dyDescent="0.25">
      <c r="A4277" s="3"/>
    </row>
    <row r="4278" spans="1:1" x14ac:dyDescent="0.25">
      <c r="A4278" s="3"/>
    </row>
    <row r="4279" spans="1:1" x14ac:dyDescent="0.25">
      <c r="A4279" s="3"/>
    </row>
    <row r="4280" spans="1:1" x14ac:dyDescent="0.25">
      <c r="A4280" s="3"/>
    </row>
    <row r="4281" spans="1:1" x14ac:dyDescent="0.25">
      <c r="A4281" s="3"/>
    </row>
    <row r="4282" spans="1:1" x14ac:dyDescent="0.25">
      <c r="A4282" s="3"/>
    </row>
    <row r="4283" spans="1:1" x14ac:dyDescent="0.25">
      <c r="A4283" s="3"/>
    </row>
    <row r="4284" spans="1:1" x14ac:dyDescent="0.25">
      <c r="A4284" s="3"/>
    </row>
    <row r="4285" spans="1:1" x14ac:dyDescent="0.25">
      <c r="A4285" s="3"/>
    </row>
    <row r="4286" spans="1:1" x14ac:dyDescent="0.25">
      <c r="A4286" s="3"/>
    </row>
    <row r="4287" spans="1:1" x14ac:dyDescent="0.25">
      <c r="A4287" s="3"/>
    </row>
    <row r="4288" spans="1:1" x14ac:dyDescent="0.25">
      <c r="A4288" s="3"/>
    </row>
    <row r="4289" spans="1:1" x14ac:dyDescent="0.25">
      <c r="A4289" s="3"/>
    </row>
    <row r="4290" spans="1:1" x14ac:dyDescent="0.25">
      <c r="A4290" s="3"/>
    </row>
    <row r="4291" spans="1:1" x14ac:dyDescent="0.25">
      <c r="A4291" s="3"/>
    </row>
    <row r="4292" spans="1:1" x14ac:dyDescent="0.25">
      <c r="A4292" s="3"/>
    </row>
    <row r="4293" spans="1:1" x14ac:dyDescent="0.25">
      <c r="A4293" s="3"/>
    </row>
    <row r="4294" spans="1:1" x14ac:dyDescent="0.25">
      <c r="A4294" s="3"/>
    </row>
    <row r="4295" spans="1:1" x14ac:dyDescent="0.25">
      <c r="A4295" s="3"/>
    </row>
    <row r="4296" spans="1:1" x14ac:dyDescent="0.25">
      <c r="A4296" s="3"/>
    </row>
    <row r="4297" spans="1:1" x14ac:dyDescent="0.25">
      <c r="A4297" s="3"/>
    </row>
    <row r="4298" spans="1:1" x14ac:dyDescent="0.25">
      <c r="A4298" s="3"/>
    </row>
    <row r="4299" spans="1:1" x14ac:dyDescent="0.25">
      <c r="A4299" s="3"/>
    </row>
    <row r="4300" spans="1:1" x14ac:dyDescent="0.25">
      <c r="A4300" s="3"/>
    </row>
    <row r="4301" spans="1:1" x14ac:dyDescent="0.25">
      <c r="A4301" s="3"/>
    </row>
    <row r="4302" spans="1:1" x14ac:dyDescent="0.25">
      <c r="A4302" s="3"/>
    </row>
    <row r="4303" spans="1:1" x14ac:dyDescent="0.25">
      <c r="A4303" s="3"/>
    </row>
    <row r="4304" spans="1:1" x14ac:dyDescent="0.25">
      <c r="A4304" s="3"/>
    </row>
    <row r="4305" spans="1:1" x14ac:dyDescent="0.25">
      <c r="A4305" s="3"/>
    </row>
    <row r="4306" spans="1:1" x14ac:dyDescent="0.25">
      <c r="A4306" s="3"/>
    </row>
    <row r="4307" spans="1:1" x14ac:dyDescent="0.25">
      <c r="A4307" s="3"/>
    </row>
    <row r="4308" spans="1:1" x14ac:dyDescent="0.25">
      <c r="A4308" s="3"/>
    </row>
    <row r="4309" spans="1:1" x14ac:dyDescent="0.25">
      <c r="A4309" s="3"/>
    </row>
    <row r="4310" spans="1:1" x14ac:dyDescent="0.25">
      <c r="A4310" s="3"/>
    </row>
    <row r="4311" spans="1:1" x14ac:dyDescent="0.25">
      <c r="A4311" s="3"/>
    </row>
    <row r="4312" spans="1:1" x14ac:dyDescent="0.25">
      <c r="A4312" s="3"/>
    </row>
    <row r="4313" spans="1:1" x14ac:dyDescent="0.25">
      <c r="A4313" s="3"/>
    </row>
    <row r="4314" spans="1:1" x14ac:dyDescent="0.25">
      <c r="A4314" s="3"/>
    </row>
    <row r="4315" spans="1:1" x14ac:dyDescent="0.25">
      <c r="A4315" s="3"/>
    </row>
    <row r="4316" spans="1:1" x14ac:dyDescent="0.25">
      <c r="A4316" s="3"/>
    </row>
    <row r="4317" spans="1:1" x14ac:dyDescent="0.25">
      <c r="A4317" s="3"/>
    </row>
    <row r="4318" spans="1:1" x14ac:dyDescent="0.25">
      <c r="A4318" s="3"/>
    </row>
    <row r="4319" spans="1:1" x14ac:dyDescent="0.25">
      <c r="A4319" s="3"/>
    </row>
    <row r="4320" spans="1:1" x14ac:dyDescent="0.25">
      <c r="A4320" s="3"/>
    </row>
    <row r="4321" spans="1:1" x14ac:dyDescent="0.25">
      <c r="A4321" s="3"/>
    </row>
    <row r="4322" spans="1:1" x14ac:dyDescent="0.25">
      <c r="A4322" s="3"/>
    </row>
    <row r="4323" spans="1:1" x14ac:dyDescent="0.25">
      <c r="A4323" s="3"/>
    </row>
    <row r="4324" spans="1:1" x14ac:dyDescent="0.25">
      <c r="A4324" s="3"/>
    </row>
    <row r="4325" spans="1:1" x14ac:dyDescent="0.25">
      <c r="A4325" s="3"/>
    </row>
    <row r="4326" spans="1:1" x14ac:dyDescent="0.25">
      <c r="A4326" s="3"/>
    </row>
    <row r="4327" spans="1:1" x14ac:dyDescent="0.25">
      <c r="A4327" s="3"/>
    </row>
    <row r="4328" spans="1:1" x14ac:dyDescent="0.25">
      <c r="A4328" s="3"/>
    </row>
    <row r="4329" spans="1:1" x14ac:dyDescent="0.25">
      <c r="A4329" s="3"/>
    </row>
    <row r="4330" spans="1:1" x14ac:dyDescent="0.25">
      <c r="A4330" s="3"/>
    </row>
    <row r="4331" spans="1:1" x14ac:dyDescent="0.25">
      <c r="A4331" s="3"/>
    </row>
    <row r="4332" spans="1:1" x14ac:dyDescent="0.25">
      <c r="A4332" s="3"/>
    </row>
    <row r="4333" spans="1:1" x14ac:dyDescent="0.25">
      <c r="A4333" s="3"/>
    </row>
    <row r="4334" spans="1:1" x14ac:dyDescent="0.25">
      <c r="A4334" s="3"/>
    </row>
    <row r="4335" spans="1:1" x14ac:dyDescent="0.25">
      <c r="A4335" s="3"/>
    </row>
    <row r="4336" spans="1:1" x14ac:dyDescent="0.25">
      <c r="A4336" s="3"/>
    </row>
    <row r="4337" spans="1:1" x14ac:dyDescent="0.25">
      <c r="A4337" s="3"/>
    </row>
    <row r="4338" spans="1:1" x14ac:dyDescent="0.25">
      <c r="A4338" s="3"/>
    </row>
    <row r="4339" spans="1:1" x14ac:dyDescent="0.25">
      <c r="A4339" s="3"/>
    </row>
    <row r="4340" spans="1:1" x14ac:dyDescent="0.25">
      <c r="A4340" s="3"/>
    </row>
    <row r="4341" spans="1:1" x14ac:dyDescent="0.25">
      <c r="A4341" s="3"/>
    </row>
    <row r="4342" spans="1:1" x14ac:dyDescent="0.25">
      <c r="A4342" s="3"/>
    </row>
    <row r="4343" spans="1:1" x14ac:dyDescent="0.25">
      <c r="A4343" s="3"/>
    </row>
    <row r="4344" spans="1:1" x14ac:dyDescent="0.25">
      <c r="A4344" s="3"/>
    </row>
    <row r="4345" spans="1:1" x14ac:dyDescent="0.25">
      <c r="A4345" s="3"/>
    </row>
    <row r="4346" spans="1:1" x14ac:dyDescent="0.25">
      <c r="A4346" s="3"/>
    </row>
    <row r="4347" spans="1:1" x14ac:dyDescent="0.25">
      <c r="A4347" s="3"/>
    </row>
    <row r="4348" spans="1:1" x14ac:dyDescent="0.25">
      <c r="A4348" s="3"/>
    </row>
    <row r="4349" spans="1:1" x14ac:dyDescent="0.25">
      <c r="A4349" s="3"/>
    </row>
    <row r="4350" spans="1:1" x14ac:dyDescent="0.25">
      <c r="A4350" s="3"/>
    </row>
    <row r="4351" spans="1:1" x14ac:dyDescent="0.25">
      <c r="A4351" s="3"/>
    </row>
    <row r="4352" spans="1:1" x14ac:dyDescent="0.25">
      <c r="A4352" s="3"/>
    </row>
    <row r="4353" spans="1:1" x14ac:dyDescent="0.25">
      <c r="A4353" s="3"/>
    </row>
    <row r="4354" spans="1:1" x14ac:dyDescent="0.25">
      <c r="A4354" s="3"/>
    </row>
    <row r="4355" spans="1:1" x14ac:dyDescent="0.25">
      <c r="A4355" s="3"/>
    </row>
    <row r="4356" spans="1:1" x14ac:dyDescent="0.25">
      <c r="A4356" s="3"/>
    </row>
    <row r="4357" spans="1:1" x14ac:dyDescent="0.25">
      <c r="A4357" s="3"/>
    </row>
    <row r="4358" spans="1:1" x14ac:dyDescent="0.25">
      <c r="A4358" s="3"/>
    </row>
    <row r="4359" spans="1:1" x14ac:dyDescent="0.25">
      <c r="A4359" s="3"/>
    </row>
    <row r="4360" spans="1:1" x14ac:dyDescent="0.25">
      <c r="A4360" s="3"/>
    </row>
    <row r="4361" spans="1:1" x14ac:dyDescent="0.25">
      <c r="A4361" s="3"/>
    </row>
    <row r="4362" spans="1:1" x14ac:dyDescent="0.25">
      <c r="A4362" s="3"/>
    </row>
    <row r="4363" spans="1:1" x14ac:dyDescent="0.25">
      <c r="A4363" s="3"/>
    </row>
    <row r="4364" spans="1:1" x14ac:dyDescent="0.25">
      <c r="A4364" s="3"/>
    </row>
    <row r="4365" spans="1:1" x14ac:dyDescent="0.25">
      <c r="A4365" s="3"/>
    </row>
    <row r="4366" spans="1:1" x14ac:dyDescent="0.25">
      <c r="A4366" s="3"/>
    </row>
    <row r="4367" spans="1:1" x14ac:dyDescent="0.25">
      <c r="A4367" s="3"/>
    </row>
    <row r="4368" spans="1:1" x14ac:dyDescent="0.25">
      <c r="A4368" s="3"/>
    </row>
    <row r="4369" spans="1:1" x14ac:dyDescent="0.25">
      <c r="A4369" s="3"/>
    </row>
    <row r="4370" spans="1:1" x14ac:dyDescent="0.25">
      <c r="A4370" s="3"/>
    </row>
    <row r="4371" spans="1:1" x14ac:dyDescent="0.25">
      <c r="A4371" s="3"/>
    </row>
    <row r="4372" spans="1:1" x14ac:dyDescent="0.25">
      <c r="A4372" s="3"/>
    </row>
    <row r="4373" spans="1:1" x14ac:dyDescent="0.25">
      <c r="A4373" s="3"/>
    </row>
    <row r="4374" spans="1:1" x14ac:dyDescent="0.25">
      <c r="A4374" s="3"/>
    </row>
    <row r="4375" spans="1:1" x14ac:dyDescent="0.25">
      <c r="A4375" s="3"/>
    </row>
    <row r="4376" spans="1:1" x14ac:dyDescent="0.25">
      <c r="A4376" s="3"/>
    </row>
    <row r="4377" spans="1:1" x14ac:dyDescent="0.25">
      <c r="A4377" s="3"/>
    </row>
    <row r="4378" spans="1:1" x14ac:dyDescent="0.25">
      <c r="A4378" s="3"/>
    </row>
    <row r="4379" spans="1:1" x14ac:dyDescent="0.25">
      <c r="A4379" s="3"/>
    </row>
    <row r="4380" spans="1:1" x14ac:dyDescent="0.25">
      <c r="A4380" s="3"/>
    </row>
    <row r="4381" spans="1:1" x14ac:dyDescent="0.25">
      <c r="A4381" s="3"/>
    </row>
    <row r="4382" spans="1:1" x14ac:dyDescent="0.25">
      <c r="A4382" s="3"/>
    </row>
    <row r="4383" spans="1:1" x14ac:dyDescent="0.25">
      <c r="A4383" s="3"/>
    </row>
    <row r="4384" spans="1:1" x14ac:dyDescent="0.25">
      <c r="A4384" s="3"/>
    </row>
    <row r="4385" spans="1:1" x14ac:dyDescent="0.25">
      <c r="A4385" s="3"/>
    </row>
    <row r="4386" spans="1:1" x14ac:dyDescent="0.25">
      <c r="A4386" s="3"/>
    </row>
    <row r="4387" spans="1:1" x14ac:dyDescent="0.25">
      <c r="A4387" s="3"/>
    </row>
    <row r="4388" spans="1:1" x14ac:dyDescent="0.25">
      <c r="A4388" s="3"/>
    </row>
    <row r="4389" spans="1:1" x14ac:dyDescent="0.25">
      <c r="A4389" s="3"/>
    </row>
    <row r="4390" spans="1:1" x14ac:dyDescent="0.25">
      <c r="A4390" s="3"/>
    </row>
    <row r="4391" spans="1:1" x14ac:dyDescent="0.25">
      <c r="A4391" s="3"/>
    </row>
    <row r="4392" spans="1:1" x14ac:dyDescent="0.25">
      <c r="A4392" s="3"/>
    </row>
    <row r="4393" spans="1:1" x14ac:dyDescent="0.25">
      <c r="A4393" s="3"/>
    </row>
    <row r="4394" spans="1:1" x14ac:dyDescent="0.25">
      <c r="A4394" s="3"/>
    </row>
    <row r="4395" spans="1:1" x14ac:dyDescent="0.25">
      <c r="A4395" s="3"/>
    </row>
    <row r="4396" spans="1:1" x14ac:dyDescent="0.25">
      <c r="A4396" s="3"/>
    </row>
    <row r="4397" spans="1:1" x14ac:dyDescent="0.25">
      <c r="A4397" s="3"/>
    </row>
    <row r="4398" spans="1:1" x14ac:dyDescent="0.25">
      <c r="A4398" s="3"/>
    </row>
    <row r="4399" spans="1:1" x14ac:dyDescent="0.25">
      <c r="A4399" s="3"/>
    </row>
    <row r="4400" spans="1:1" x14ac:dyDescent="0.25">
      <c r="A4400" s="3"/>
    </row>
    <row r="4401" spans="1:1" x14ac:dyDescent="0.25">
      <c r="A4401" s="3"/>
    </row>
    <row r="4402" spans="1:1" x14ac:dyDescent="0.25">
      <c r="A4402" s="3"/>
    </row>
    <row r="4403" spans="1:1" x14ac:dyDescent="0.25">
      <c r="A4403" s="3"/>
    </row>
    <row r="4404" spans="1:1" x14ac:dyDescent="0.25">
      <c r="A4404" s="3"/>
    </row>
    <row r="4405" spans="1:1" x14ac:dyDescent="0.25">
      <c r="A4405" s="3"/>
    </row>
    <row r="4406" spans="1:1" x14ac:dyDescent="0.25">
      <c r="A4406" s="3"/>
    </row>
    <row r="4407" spans="1:1" x14ac:dyDescent="0.25">
      <c r="A4407" s="3"/>
    </row>
    <row r="4408" spans="1:1" x14ac:dyDescent="0.25">
      <c r="A4408" s="3"/>
    </row>
    <row r="4409" spans="1:1" x14ac:dyDescent="0.25">
      <c r="A4409" s="3"/>
    </row>
    <row r="4410" spans="1:1" x14ac:dyDescent="0.25">
      <c r="A4410" s="3"/>
    </row>
    <row r="4411" spans="1:1" x14ac:dyDescent="0.25">
      <c r="A4411" s="3"/>
    </row>
    <row r="4412" spans="1:1" x14ac:dyDescent="0.25">
      <c r="A4412" s="3"/>
    </row>
    <row r="4413" spans="1:1" x14ac:dyDescent="0.25">
      <c r="A4413" s="3"/>
    </row>
    <row r="4414" spans="1:1" x14ac:dyDescent="0.25">
      <c r="A4414" s="3"/>
    </row>
    <row r="4415" spans="1:1" x14ac:dyDescent="0.25">
      <c r="A4415" s="3"/>
    </row>
    <row r="4416" spans="1:1" x14ac:dyDescent="0.25">
      <c r="A4416" s="3"/>
    </row>
    <row r="4417" spans="1:1" x14ac:dyDescent="0.25">
      <c r="A4417" s="3"/>
    </row>
    <row r="4418" spans="1:1" x14ac:dyDescent="0.25">
      <c r="A4418" s="3"/>
    </row>
    <row r="4419" spans="1:1" x14ac:dyDescent="0.25">
      <c r="A4419" s="3"/>
    </row>
    <row r="4420" spans="1:1" x14ac:dyDescent="0.25">
      <c r="A4420" s="3"/>
    </row>
    <row r="4421" spans="1:1" x14ac:dyDescent="0.25">
      <c r="A4421" s="3"/>
    </row>
    <row r="4422" spans="1:1" x14ac:dyDescent="0.25">
      <c r="A4422" s="3"/>
    </row>
    <row r="4423" spans="1:1" x14ac:dyDescent="0.25">
      <c r="A4423" s="3"/>
    </row>
    <row r="4424" spans="1:1" x14ac:dyDescent="0.25">
      <c r="A4424" s="3"/>
    </row>
    <row r="4425" spans="1:1" x14ac:dyDescent="0.25">
      <c r="A4425" s="3"/>
    </row>
    <row r="4426" spans="1:1" x14ac:dyDescent="0.25">
      <c r="A4426" s="3"/>
    </row>
    <row r="4427" spans="1:1" x14ac:dyDescent="0.25">
      <c r="A4427" s="3"/>
    </row>
    <row r="4428" spans="1:1" x14ac:dyDescent="0.25">
      <c r="A4428" s="3"/>
    </row>
    <row r="4429" spans="1:1" x14ac:dyDescent="0.25">
      <c r="A4429" s="3"/>
    </row>
    <row r="4430" spans="1:1" x14ac:dyDescent="0.25">
      <c r="A4430" s="3"/>
    </row>
    <row r="4431" spans="1:1" x14ac:dyDescent="0.25">
      <c r="A4431" s="3"/>
    </row>
    <row r="4432" spans="1:1" x14ac:dyDescent="0.25">
      <c r="A4432" s="3"/>
    </row>
    <row r="4433" spans="1:1" x14ac:dyDescent="0.25">
      <c r="A4433" s="3"/>
    </row>
    <row r="4434" spans="1:1" x14ac:dyDescent="0.25">
      <c r="A4434" s="3"/>
    </row>
    <row r="4435" spans="1:1" x14ac:dyDescent="0.25">
      <c r="A4435" s="3"/>
    </row>
    <row r="4436" spans="1:1" x14ac:dyDescent="0.25">
      <c r="A4436" s="3"/>
    </row>
    <row r="4437" spans="1:1" x14ac:dyDescent="0.25">
      <c r="A4437" s="3"/>
    </row>
    <row r="4438" spans="1:1" x14ac:dyDescent="0.25">
      <c r="A4438" s="3"/>
    </row>
    <row r="4439" spans="1:1" x14ac:dyDescent="0.25">
      <c r="A4439" s="3"/>
    </row>
    <row r="4440" spans="1:1" x14ac:dyDescent="0.25">
      <c r="A4440" s="3"/>
    </row>
    <row r="4441" spans="1:1" x14ac:dyDescent="0.25">
      <c r="A4441" s="3"/>
    </row>
    <row r="4442" spans="1:1" x14ac:dyDescent="0.25">
      <c r="A4442" s="3"/>
    </row>
    <row r="4443" spans="1:1" x14ac:dyDescent="0.25">
      <c r="A4443" s="3"/>
    </row>
    <row r="4444" spans="1:1" x14ac:dyDescent="0.25">
      <c r="A4444" s="3"/>
    </row>
    <row r="4445" spans="1:1" x14ac:dyDescent="0.25">
      <c r="A4445" s="3"/>
    </row>
    <row r="4446" spans="1:1" x14ac:dyDescent="0.25">
      <c r="A4446" s="3"/>
    </row>
    <row r="4447" spans="1:1" x14ac:dyDescent="0.25">
      <c r="A4447" s="3"/>
    </row>
    <row r="4448" spans="1:1" x14ac:dyDescent="0.25">
      <c r="A4448" s="3"/>
    </row>
    <row r="4449" spans="1:1" x14ac:dyDescent="0.25">
      <c r="A4449" s="3"/>
    </row>
    <row r="4450" spans="1:1" x14ac:dyDescent="0.25">
      <c r="A4450" s="3"/>
    </row>
    <row r="4451" spans="1:1" x14ac:dyDescent="0.25">
      <c r="A4451" s="3"/>
    </row>
    <row r="4452" spans="1:1" x14ac:dyDescent="0.25">
      <c r="A4452" s="3"/>
    </row>
    <row r="4453" spans="1:1" x14ac:dyDescent="0.25">
      <c r="A4453" s="3"/>
    </row>
    <row r="4454" spans="1:1" x14ac:dyDescent="0.25">
      <c r="A4454" s="3"/>
    </row>
    <row r="4455" spans="1:1" x14ac:dyDescent="0.25">
      <c r="A4455" s="3"/>
    </row>
    <row r="4456" spans="1:1" x14ac:dyDescent="0.25">
      <c r="A4456" s="3"/>
    </row>
    <row r="4457" spans="1:1" x14ac:dyDescent="0.25">
      <c r="A4457" s="3"/>
    </row>
    <row r="4458" spans="1:1" x14ac:dyDescent="0.25">
      <c r="A4458" s="3"/>
    </row>
    <row r="4459" spans="1:1" x14ac:dyDescent="0.25">
      <c r="A4459" s="3"/>
    </row>
    <row r="4460" spans="1:1" x14ac:dyDescent="0.25">
      <c r="A4460" s="3"/>
    </row>
    <row r="4461" spans="1:1" x14ac:dyDescent="0.25">
      <c r="A4461" s="3"/>
    </row>
    <row r="4462" spans="1:1" x14ac:dyDescent="0.25">
      <c r="A4462" s="3"/>
    </row>
    <row r="4463" spans="1:1" x14ac:dyDescent="0.25">
      <c r="A4463" s="3"/>
    </row>
    <row r="4464" spans="1:1" x14ac:dyDescent="0.25">
      <c r="A4464" s="3"/>
    </row>
    <row r="4465" spans="1:1" x14ac:dyDescent="0.25">
      <c r="A4465" s="3"/>
    </row>
    <row r="4466" spans="1:1" x14ac:dyDescent="0.25">
      <c r="A4466" s="3"/>
    </row>
    <row r="4467" spans="1:1" x14ac:dyDescent="0.25">
      <c r="A4467" s="3"/>
    </row>
    <row r="4468" spans="1:1" x14ac:dyDescent="0.25">
      <c r="A4468" s="3"/>
    </row>
    <row r="4469" spans="1:1" x14ac:dyDescent="0.25">
      <c r="A4469" s="3"/>
    </row>
    <row r="4470" spans="1:1" x14ac:dyDescent="0.25">
      <c r="A4470" s="3"/>
    </row>
    <row r="4471" spans="1:1" x14ac:dyDescent="0.25">
      <c r="A4471" s="3"/>
    </row>
    <row r="4472" spans="1:1" x14ac:dyDescent="0.25">
      <c r="A4472" s="3"/>
    </row>
    <row r="4473" spans="1:1" x14ac:dyDescent="0.25">
      <c r="A4473" s="3"/>
    </row>
    <row r="4474" spans="1:1" x14ac:dyDescent="0.25">
      <c r="A4474" s="3"/>
    </row>
    <row r="4475" spans="1:1" x14ac:dyDescent="0.25">
      <c r="A4475" s="3"/>
    </row>
    <row r="4476" spans="1:1" x14ac:dyDescent="0.25">
      <c r="A4476" s="3"/>
    </row>
    <row r="4477" spans="1:1" x14ac:dyDescent="0.25">
      <c r="A4477" s="3"/>
    </row>
    <row r="4478" spans="1:1" x14ac:dyDescent="0.25">
      <c r="A4478" s="3"/>
    </row>
    <row r="4479" spans="1:1" x14ac:dyDescent="0.25">
      <c r="A4479" s="3"/>
    </row>
    <row r="4480" spans="1:1" x14ac:dyDescent="0.25">
      <c r="A4480" s="3"/>
    </row>
    <row r="4481" spans="1:1" x14ac:dyDescent="0.25">
      <c r="A4481" s="3"/>
    </row>
    <row r="4482" spans="1:1" x14ac:dyDescent="0.25">
      <c r="A4482" s="3"/>
    </row>
    <row r="4483" spans="1:1" x14ac:dyDescent="0.25">
      <c r="A4483" s="3"/>
    </row>
    <row r="4484" spans="1:1" x14ac:dyDescent="0.25">
      <c r="A4484" s="3"/>
    </row>
    <row r="4485" spans="1:1" x14ac:dyDescent="0.25">
      <c r="A4485" s="3"/>
    </row>
    <row r="4486" spans="1:1" x14ac:dyDescent="0.25">
      <c r="A4486" s="3"/>
    </row>
    <row r="4487" spans="1:1" x14ac:dyDescent="0.25">
      <c r="A4487" s="3"/>
    </row>
    <row r="4488" spans="1:1" x14ac:dyDescent="0.25">
      <c r="A4488" s="3"/>
    </row>
    <row r="4489" spans="1:1" x14ac:dyDescent="0.25">
      <c r="A4489" s="3"/>
    </row>
    <row r="4490" spans="1:1" x14ac:dyDescent="0.25">
      <c r="A4490" s="3"/>
    </row>
    <row r="4491" spans="1:1" x14ac:dyDescent="0.25">
      <c r="A4491" s="3"/>
    </row>
    <row r="4492" spans="1:1" x14ac:dyDescent="0.25">
      <c r="A4492" s="3"/>
    </row>
    <row r="4493" spans="1:1" x14ac:dyDescent="0.25">
      <c r="A4493" s="3"/>
    </row>
    <row r="4494" spans="1:1" x14ac:dyDescent="0.25">
      <c r="A4494" s="3"/>
    </row>
    <row r="4495" spans="1:1" x14ac:dyDescent="0.25">
      <c r="A4495" s="3"/>
    </row>
    <row r="4496" spans="1:1" x14ac:dyDescent="0.25">
      <c r="A4496" s="3"/>
    </row>
    <row r="4497" spans="1:1" x14ac:dyDescent="0.25">
      <c r="A4497" s="3"/>
    </row>
    <row r="4498" spans="1:1" x14ac:dyDescent="0.25">
      <c r="A4498" s="3"/>
    </row>
    <row r="4499" spans="1:1" x14ac:dyDescent="0.25">
      <c r="A4499" s="3"/>
    </row>
    <row r="4500" spans="1:1" x14ac:dyDescent="0.25">
      <c r="A4500" s="3"/>
    </row>
    <row r="4501" spans="1:1" x14ac:dyDescent="0.25">
      <c r="A4501" s="3"/>
    </row>
    <row r="4502" spans="1:1" x14ac:dyDescent="0.25">
      <c r="A4502" s="3"/>
    </row>
    <row r="4503" spans="1:1" x14ac:dyDescent="0.25">
      <c r="A4503" s="3"/>
    </row>
    <row r="4504" spans="1:1" x14ac:dyDescent="0.25">
      <c r="A4504" s="3"/>
    </row>
    <row r="4505" spans="1:1" x14ac:dyDescent="0.25">
      <c r="A4505" s="3"/>
    </row>
    <row r="4506" spans="1:1" x14ac:dyDescent="0.25">
      <c r="A4506" s="3"/>
    </row>
    <row r="4507" spans="1:1" x14ac:dyDescent="0.25">
      <c r="A4507" s="3"/>
    </row>
    <row r="4508" spans="1:1" x14ac:dyDescent="0.25">
      <c r="A4508" s="3"/>
    </row>
    <row r="4509" spans="1:1" x14ac:dyDescent="0.25">
      <c r="A4509" s="3"/>
    </row>
    <row r="4510" spans="1:1" x14ac:dyDescent="0.25">
      <c r="A4510" s="3"/>
    </row>
    <row r="4511" spans="1:1" x14ac:dyDescent="0.25">
      <c r="A4511" s="3"/>
    </row>
    <row r="4512" spans="1:1" x14ac:dyDescent="0.25">
      <c r="A4512" s="3"/>
    </row>
    <row r="4513" spans="1:1" x14ac:dyDescent="0.25">
      <c r="A4513" s="3"/>
    </row>
    <row r="4514" spans="1:1" x14ac:dyDescent="0.25">
      <c r="A4514" s="3"/>
    </row>
    <row r="4515" spans="1:1" x14ac:dyDescent="0.25">
      <c r="A4515" s="3"/>
    </row>
    <row r="4516" spans="1:1" x14ac:dyDescent="0.25">
      <c r="A4516" s="3"/>
    </row>
    <row r="4517" spans="1:1" x14ac:dyDescent="0.25">
      <c r="A4517" s="3"/>
    </row>
    <row r="4518" spans="1:1" x14ac:dyDescent="0.25">
      <c r="A4518" s="3"/>
    </row>
    <row r="4519" spans="1:1" x14ac:dyDescent="0.25">
      <c r="A4519" s="3"/>
    </row>
    <row r="4520" spans="1:1" x14ac:dyDescent="0.25">
      <c r="A4520" s="3"/>
    </row>
    <row r="4521" spans="1:1" x14ac:dyDescent="0.25">
      <c r="A4521" s="3"/>
    </row>
    <row r="4522" spans="1:1" x14ac:dyDescent="0.25">
      <c r="A4522" s="3"/>
    </row>
    <row r="4523" spans="1:1" x14ac:dyDescent="0.25">
      <c r="A4523" s="3"/>
    </row>
    <row r="4524" spans="1:1" x14ac:dyDescent="0.25">
      <c r="A4524" s="3"/>
    </row>
    <row r="4525" spans="1:1" x14ac:dyDescent="0.25">
      <c r="A4525" s="3"/>
    </row>
    <row r="4526" spans="1:1" x14ac:dyDescent="0.25">
      <c r="A4526" s="3"/>
    </row>
    <row r="4527" spans="1:1" x14ac:dyDescent="0.25">
      <c r="A4527" s="3"/>
    </row>
    <row r="4528" spans="1:1" x14ac:dyDescent="0.25">
      <c r="A4528" s="3"/>
    </row>
    <row r="4529" spans="1:1" x14ac:dyDescent="0.25">
      <c r="A4529" s="3"/>
    </row>
    <row r="4530" spans="1:1" x14ac:dyDescent="0.25">
      <c r="A4530" s="3"/>
    </row>
    <row r="4531" spans="1:1" x14ac:dyDescent="0.25">
      <c r="A4531" s="3"/>
    </row>
    <row r="4532" spans="1:1" x14ac:dyDescent="0.25">
      <c r="A4532" s="3"/>
    </row>
    <row r="4533" spans="1:1" x14ac:dyDescent="0.25">
      <c r="A4533" s="3"/>
    </row>
    <row r="4534" spans="1:1" x14ac:dyDescent="0.25">
      <c r="A4534" s="3"/>
    </row>
    <row r="4535" spans="1:1" x14ac:dyDescent="0.25">
      <c r="A4535" s="3"/>
    </row>
    <row r="4536" spans="1:1" x14ac:dyDescent="0.25">
      <c r="A4536" s="3"/>
    </row>
    <row r="4537" spans="1:1" x14ac:dyDescent="0.25">
      <c r="A4537" s="3"/>
    </row>
    <row r="4538" spans="1:1" x14ac:dyDescent="0.25">
      <c r="A4538" s="3"/>
    </row>
    <row r="4539" spans="1:1" x14ac:dyDescent="0.25">
      <c r="A4539" s="3"/>
    </row>
    <row r="4540" spans="1:1" x14ac:dyDescent="0.25">
      <c r="A4540" s="3"/>
    </row>
    <row r="4541" spans="1:1" x14ac:dyDescent="0.25">
      <c r="A4541" s="3"/>
    </row>
    <row r="4542" spans="1:1" x14ac:dyDescent="0.25">
      <c r="A4542" s="3"/>
    </row>
    <row r="4543" spans="1:1" x14ac:dyDescent="0.25">
      <c r="A4543" s="3"/>
    </row>
    <row r="4544" spans="1:1" x14ac:dyDescent="0.25">
      <c r="A4544" s="3"/>
    </row>
    <row r="4545" spans="1:1" x14ac:dyDescent="0.25">
      <c r="A4545" s="3"/>
    </row>
    <row r="4546" spans="1:1" x14ac:dyDescent="0.25">
      <c r="A4546" s="3"/>
    </row>
    <row r="4547" spans="1:1" x14ac:dyDescent="0.25">
      <c r="A4547" s="3"/>
    </row>
    <row r="4548" spans="1:1" x14ac:dyDescent="0.25">
      <c r="A4548" s="3"/>
    </row>
    <row r="4549" spans="1:1" x14ac:dyDescent="0.25">
      <c r="A4549" s="3"/>
    </row>
    <row r="4550" spans="1:1" x14ac:dyDescent="0.25">
      <c r="A4550" s="3"/>
    </row>
    <row r="4551" spans="1:1" x14ac:dyDescent="0.25">
      <c r="A4551" s="3"/>
    </row>
    <row r="4552" spans="1:1" x14ac:dyDescent="0.25">
      <c r="A4552" s="3"/>
    </row>
    <row r="4553" spans="1:1" x14ac:dyDescent="0.25">
      <c r="A4553" s="3"/>
    </row>
    <row r="4554" spans="1:1" x14ac:dyDescent="0.25">
      <c r="A4554" s="3"/>
    </row>
    <row r="4555" spans="1:1" x14ac:dyDescent="0.25">
      <c r="A4555" s="3"/>
    </row>
    <row r="4556" spans="1:1" x14ac:dyDescent="0.25">
      <c r="A4556" s="3"/>
    </row>
    <row r="4557" spans="1:1" x14ac:dyDescent="0.25">
      <c r="A4557" s="3"/>
    </row>
    <row r="4558" spans="1:1" x14ac:dyDescent="0.25">
      <c r="A4558" s="3"/>
    </row>
    <row r="4559" spans="1:1" x14ac:dyDescent="0.25">
      <c r="A4559" s="3"/>
    </row>
    <row r="4560" spans="1:1" x14ac:dyDescent="0.25">
      <c r="A4560" s="3"/>
    </row>
    <row r="4561" spans="1:1" x14ac:dyDescent="0.25">
      <c r="A4561" s="3"/>
    </row>
    <row r="4562" spans="1:1" x14ac:dyDescent="0.25">
      <c r="A4562" s="3"/>
    </row>
    <row r="4563" spans="1:1" x14ac:dyDescent="0.25">
      <c r="A4563" s="3"/>
    </row>
    <row r="4564" spans="1:1" x14ac:dyDescent="0.25">
      <c r="A4564" s="3"/>
    </row>
    <row r="4565" spans="1:1" x14ac:dyDescent="0.25">
      <c r="A4565" s="3"/>
    </row>
    <row r="4566" spans="1:1" x14ac:dyDescent="0.25">
      <c r="A4566" s="3"/>
    </row>
    <row r="4567" spans="1:1" x14ac:dyDescent="0.25">
      <c r="A4567" s="3"/>
    </row>
    <row r="4568" spans="1:1" x14ac:dyDescent="0.25">
      <c r="A4568" s="3"/>
    </row>
    <row r="4569" spans="1:1" x14ac:dyDescent="0.25">
      <c r="A4569" s="3"/>
    </row>
    <row r="4570" spans="1:1" x14ac:dyDescent="0.25">
      <c r="A4570" s="3"/>
    </row>
    <row r="4571" spans="1:1" x14ac:dyDescent="0.25">
      <c r="A4571" s="3"/>
    </row>
    <row r="4572" spans="1:1" x14ac:dyDescent="0.25">
      <c r="A4572" s="3"/>
    </row>
    <row r="4573" spans="1:1" x14ac:dyDescent="0.25">
      <c r="A4573" s="3"/>
    </row>
    <row r="4574" spans="1:1" x14ac:dyDescent="0.25">
      <c r="A4574" s="3"/>
    </row>
    <row r="4575" spans="1:1" x14ac:dyDescent="0.25">
      <c r="A4575" s="3"/>
    </row>
    <row r="4576" spans="1:1" x14ac:dyDescent="0.25">
      <c r="A4576" s="3"/>
    </row>
    <row r="4577" spans="1:1" x14ac:dyDescent="0.25">
      <c r="A4577" s="3"/>
    </row>
    <row r="4578" spans="1:1" x14ac:dyDescent="0.25">
      <c r="A4578" s="3"/>
    </row>
    <row r="4579" spans="1:1" x14ac:dyDescent="0.25">
      <c r="A4579" s="3"/>
    </row>
    <row r="4580" spans="1:1" x14ac:dyDescent="0.25">
      <c r="A4580" s="3"/>
    </row>
    <row r="4581" spans="1:1" x14ac:dyDescent="0.25">
      <c r="A4581" s="3"/>
    </row>
    <row r="4582" spans="1:1" x14ac:dyDescent="0.25">
      <c r="A4582" s="3"/>
    </row>
    <row r="4583" spans="1:1" x14ac:dyDescent="0.25">
      <c r="A4583" s="3"/>
    </row>
    <row r="4584" spans="1:1" x14ac:dyDescent="0.25">
      <c r="A4584" s="3"/>
    </row>
    <row r="4585" spans="1:1" x14ac:dyDescent="0.25">
      <c r="A4585" s="3"/>
    </row>
    <row r="4586" spans="1:1" x14ac:dyDescent="0.25">
      <c r="A4586" s="3"/>
    </row>
    <row r="4587" spans="1:1" x14ac:dyDescent="0.25">
      <c r="A4587" s="3"/>
    </row>
    <row r="4588" spans="1:1" x14ac:dyDescent="0.25">
      <c r="A4588" s="3"/>
    </row>
    <row r="4589" spans="1:1" x14ac:dyDescent="0.25">
      <c r="A4589" s="3"/>
    </row>
    <row r="4590" spans="1:1" x14ac:dyDescent="0.25">
      <c r="A4590" s="3"/>
    </row>
    <row r="4591" spans="1:1" x14ac:dyDescent="0.25">
      <c r="A4591" s="3"/>
    </row>
    <row r="4592" spans="1:1" x14ac:dyDescent="0.25">
      <c r="A4592" s="3"/>
    </row>
    <row r="4593" spans="1:1" x14ac:dyDescent="0.25">
      <c r="A4593" s="3"/>
    </row>
    <row r="4594" spans="1:1" x14ac:dyDescent="0.25">
      <c r="A4594" s="3"/>
    </row>
    <row r="4595" spans="1:1" x14ac:dyDescent="0.25">
      <c r="A4595" s="3"/>
    </row>
    <row r="4596" spans="1:1" x14ac:dyDescent="0.25">
      <c r="A4596" s="3"/>
    </row>
    <row r="4597" spans="1:1" x14ac:dyDescent="0.25">
      <c r="A4597" s="3"/>
    </row>
    <row r="4598" spans="1:1" x14ac:dyDescent="0.25">
      <c r="A4598" s="3"/>
    </row>
    <row r="4599" spans="1:1" x14ac:dyDescent="0.25">
      <c r="A4599" s="3"/>
    </row>
    <row r="4600" spans="1:1" x14ac:dyDescent="0.25">
      <c r="A4600" s="3"/>
    </row>
    <row r="4601" spans="1:1" x14ac:dyDescent="0.25">
      <c r="A4601" s="3"/>
    </row>
    <row r="4602" spans="1:1" x14ac:dyDescent="0.25">
      <c r="A4602" s="3"/>
    </row>
    <row r="4603" spans="1:1" x14ac:dyDescent="0.25">
      <c r="A4603" s="3"/>
    </row>
    <row r="4604" spans="1:1" x14ac:dyDescent="0.25">
      <c r="A4604" s="3"/>
    </row>
    <row r="4605" spans="1:1" x14ac:dyDescent="0.25">
      <c r="A4605" s="3"/>
    </row>
    <row r="4606" spans="1:1" x14ac:dyDescent="0.25">
      <c r="A4606" s="3"/>
    </row>
    <row r="4607" spans="1:1" x14ac:dyDescent="0.25">
      <c r="A4607" s="3"/>
    </row>
    <row r="4608" spans="1:1" x14ac:dyDescent="0.25">
      <c r="A4608" s="3"/>
    </row>
    <row r="4609" spans="1:1" x14ac:dyDescent="0.25">
      <c r="A4609" s="3"/>
    </row>
    <row r="4610" spans="1:1" x14ac:dyDescent="0.25">
      <c r="A4610" s="3"/>
    </row>
    <row r="4611" spans="1:1" x14ac:dyDescent="0.25">
      <c r="A4611" s="3"/>
    </row>
    <row r="4612" spans="1:1" x14ac:dyDescent="0.25">
      <c r="A4612" s="3"/>
    </row>
    <row r="4613" spans="1:1" x14ac:dyDescent="0.25">
      <c r="A4613" s="3"/>
    </row>
    <row r="4614" spans="1:1" x14ac:dyDescent="0.25">
      <c r="A4614" s="3"/>
    </row>
    <row r="4615" spans="1:1" x14ac:dyDescent="0.25">
      <c r="A4615" s="3"/>
    </row>
    <row r="4616" spans="1:1" x14ac:dyDescent="0.25">
      <c r="A4616" s="3"/>
    </row>
    <row r="4617" spans="1:1" x14ac:dyDescent="0.25">
      <c r="A4617" s="3"/>
    </row>
    <row r="4618" spans="1:1" x14ac:dyDescent="0.25">
      <c r="A4618" s="3"/>
    </row>
    <row r="4619" spans="1:1" x14ac:dyDescent="0.25">
      <c r="A4619" s="3"/>
    </row>
    <row r="4620" spans="1:1" x14ac:dyDescent="0.25">
      <c r="A4620" s="3"/>
    </row>
    <row r="4621" spans="1:1" x14ac:dyDescent="0.25">
      <c r="A4621" s="3"/>
    </row>
    <row r="4622" spans="1:1" x14ac:dyDescent="0.25">
      <c r="A4622" s="3"/>
    </row>
    <row r="4623" spans="1:1" x14ac:dyDescent="0.25">
      <c r="A4623" s="3"/>
    </row>
    <row r="4624" spans="1:1" x14ac:dyDescent="0.25">
      <c r="A4624" s="3"/>
    </row>
    <row r="4625" spans="1:1" x14ac:dyDescent="0.25">
      <c r="A4625" s="3"/>
    </row>
    <row r="4626" spans="1:1" x14ac:dyDescent="0.25">
      <c r="A4626" s="3"/>
    </row>
    <row r="4627" spans="1:1" x14ac:dyDescent="0.25">
      <c r="A4627" s="3"/>
    </row>
    <row r="4628" spans="1:1" x14ac:dyDescent="0.25">
      <c r="A4628" s="3"/>
    </row>
    <row r="4629" spans="1:1" x14ac:dyDescent="0.25">
      <c r="A4629" s="3"/>
    </row>
    <row r="4630" spans="1:1" x14ac:dyDescent="0.25">
      <c r="A4630" s="3"/>
    </row>
    <row r="4631" spans="1:1" x14ac:dyDescent="0.25">
      <c r="A4631" s="3"/>
    </row>
    <row r="4632" spans="1:1" x14ac:dyDescent="0.25">
      <c r="A4632" s="3"/>
    </row>
    <row r="4633" spans="1:1" x14ac:dyDescent="0.25">
      <c r="A4633" s="3"/>
    </row>
    <row r="4634" spans="1:1" x14ac:dyDescent="0.25">
      <c r="A4634" s="3"/>
    </row>
    <row r="4635" spans="1:1" x14ac:dyDescent="0.25">
      <c r="A4635" s="3"/>
    </row>
    <row r="4636" spans="1:1" x14ac:dyDescent="0.25">
      <c r="A4636" s="3"/>
    </row>
    <row r="4637" spans="1:1" x14ac:dyDescent="0.25">
      <c r="A4637" s="3"/>
    </row>
    <row r="4638" spans="1:1" x14ac:dyDescent="0.25">
      <c r="A4638" s="3"/>
    </row>
    <row r="4639" spans="1:1" x14ac:dyDescent="0.25">
      <c r="A4639" s="3"/>
    </row>
    <row r="4640" spans="1:1" x14ac:dyDescent="0.25">
      <c r="A4640" s="3"/>
    </row>
    <row r="4641" spans="1:1" x14ac:dyDescent="0.25">
      <c r="A4641" s="3"/>
    </row>
    <row r="4642" spans="1:1" x14ac:dyDescent="0.25">
      <c r="A4642" s="3"/>
    </row>
    <row r="4643" spans="1:1" x14ac:dyDescent="0.25">
      <c r="A4643" s="3"/>
    </row>
    <row r="4644" spans="1:1" x14ac:dyDescent="0.25">
      <c r="A4644" s="3"/>
    </row>
    <row r="4645" spans="1:1" x14ac:dyDescent="0.25">
      <c r="A4645" s="3"/>
    </row>
    <row r="4646" spans="1:1" x14ac:dyDescent="0.25">
      <c r="A4646" s="3"/>
    </row>
    <row r="4647" spans="1:1" x14ac:dyDescent="0.25">
      <c r="A4647" s="3"/>
    </row>
    <row r="4648" spans="1:1" x14ac:dyDescent="0.25">
      <c r="A4648" s="3"/>
    </row>
    <row r="4649" spans="1:1" x14ac:dyDescent="0.25">
      <c r="A4649" s="3"/>
    </row>
    <row r="4650" spans="1:1" x14ac:dyDescent="0.25">
      <c r="A4650" s="3"/>
    </row>
    <row r="4651" spans="1:1" x14ac:dyDescent="0.25">
      <c r="A4651" s="3"/>
    </row>
    <row r="4652" spans="1:1" x14ac:dyDescent="0.25">
      <c r="A4652" s="3"/>
    </row>
    <row r="4653" spans="1:1" x14ac:dyDescent="0.25">
      <c r="A4653" s="3"/>
    </row>
    <row r="4654" spans="1:1" x14ac:dyDescent="0.25">
      <c r="A4654" s="3"/>
    </row>
    <row r="4655" spans="1:1" x14ac:dyDescent="0.25">
      <c r="A4655" s="3"/>
    </row>
    <row r="4656" spans="1:1" x14ac:dyDescent="0.25">
      <c r="A4656" s="3"/>
    </row>
    <row r="4657" spans="1:1" x14ac:dyDescent="0.25">
      <c r="A4657" s="3"/>
    </row>
    <row r="4658" spans="1:1" x14ac:dyDescent="0.25">
      <c r="A4658" s="3"/>
    </row>
    <row r="4659" spans="1:1" x14ac:dyDescent="0.25">
      <c r="A4659" s="3"/>
    </row>
    <row r="4660" spans="1:1" x14ac:dyDescent="0.25">
      <c r="A4660" s="3"/>
    </row>
    <row r="4661" spans="1:1" x14ac:dyDescent="0.25">
      <c r="A4661" s="3"/>
    </row>
    <row r="4662" spans="1:1" x14ac:dyDescent="0.25">
      <c r="A4662" s="3"/>
    </row>
    <row r="4663" spans="1:1" x14ac:dyDescent="0.25">
      <c r="A4663" s="3"/>
    </row>
    <row r="4664" spans="1:1" x14ac:dyDescent="0.25">
      <c r="A4664" s="3"/>
    </row>
    <row r="4665" spans="1:1" x14ac:dyDescent="0.25">
      <c r="A4665" s="3"/>
    </row>
    <row r="4666" spans="1:1" x14ac:dyDescent="0.25">
      <c r="A4666" s="3"/>
    </row>
    <row r="4667" spans="1:1" x14ac:dyDescent="0.25">
      <c r="A4667" s="3"/>
    </row>
    <row r="4668" spans="1:1" x14ac:dyDescent="0.25">
      <c r="A4668" s="3"/>
    </row>
    <row r="4669" spans="1:1" x14ac:dyDescent="0.25">
      <c r="A4669" s="3"/>
    </row>
    <row r="4670" spans="1:1" x14ac:dyDescent="0.25">
      <c r="A4670" s="3"/>
    </row>
    <row r="4671" spans="1:1" x14ac:dyDescent="0.25">
      <c r="A4671" s="3"/>
    </row>
    <row r="4672" spans="1:1" x14ac:dyDescent="0.25">
      <c r="A4672" s="3"/>
    </row>
    <row r="4673" spans="1:1" x14ac:dyDescent="0.25">
      <c r="A4673" s="3"/>
    </row>
    <row r="4674" spans="1:1" x14ac:dyDescent="0.25">
      <c r="A4674" s="3"/>
    </row>
    <row r="4675" spans="1:1" x14ac:dyDescent="0.25">
      <c r="A4675" s="3"/>
    </row>
    <row r="4676" spans="1:1" x14ac:dyDescent="0.25">
      <c r="A4676" s="3"/>
    </row>
    <row r="4677" spans="1:1" x14ac:dyDescent="0.25">
      <c r="A4677" s="3"/>
    </row>
    <row r="4678" spans="1:1" x14ac:dyDescent="0.25">
      <c r="A4678" s="3"/>
    </row>
    <row r="4679" spans="1:1" x14ac:dyDescent="0.25">
      <c r="A4679" s="3"/>
    </row>
    <row r="4680" spans="1:1" x14ac:dyDescent="0.25">
      <c r="A4680" s="3"/>
    </row>
    <row r="4681" spans="1:1" x14ac:dyDescent="0.25">
      <c r="A4681" s="3"/>
    </row>
    <row r="4682" spans="1:1" x14ac:dyDescent="0.25">
      <c r="A4682" s="3"/>
    </row>
    <row r="4683" spans="1:1" x14ac:dyDescent="0.25">
      <c r="A4683" s="3"/>
    </row>
    <row r="4684" spans="1:1" x14ac:dyDescent="0.25">
      <c r="A4684" s="3"/>
    </row>
    <row r="4685" spans="1:1" x14ac:dyDescent="0.25">
      <c r="A4685" s="3"/>
    </row>
    <row r="4686" spans="1:1" x14ac:dyDescent="0.25">
      <c r="A4686" s="3"/>
    </row>
    <row r="4687" spans="1:1" x14ac:dyDescent="0.25">
      <c r="A4687" s="3"/>
    </row>
    <row r="4688" spans="1:1" x14ac:dyDescent="0.25">
      <c r="A4688" s="3"/>
    </row>
    <row r="4689" spans="1:1" x14ac:dyDescent="0.25">
      <c r="A4689" s="3"/>
    </row>
    <row r="4690" spans="1:1" x14ac:dyDescent="0.25">
      <c r="A4690" s="3"/>
    </row>
    <row r="4691" spans="1:1" x14ac:dyDescent="0.25">
      <c r="A4691" s="3"/>
    </row>
    <row r="4692" spans="1:1" x14ac:dyDescent="0.25">
      <c r="A4692" s="3"/>
    </row>
    <row r="4693" spans="1:1" x14ac:dyDescent="0.25">
      <c r="A4693" s="3"/>
    </row>
    <row r="4694" spans="1:1" x14ac:dyDescent="0.25">
      <c r="A4694" s="3"/>
    </row>
    <row r="4695" spans="1:1" x14ac:dyDescent="0.25">
      <c r="A4695" s="3"/>
    </row>
    <row r="4696" spans="1:1" x14ac:dyDescent="0.25">
      <c r="A4696" s="3"/>
    </row>
    <row r="4697" spans="1:1" x14ac:dyDescent="0.25">
      <c r="A4697" s="3"/>
    </row>
    <row r="4698" spans="1:1" x14ac:dyDescent="0.25">
      <c r="A4698" s="3"/>
    </row>
    <row r="4699" spans="1:1" x14ac:dyDescent="0.25">
      <c r="A4699" s="3"/>
    </row>
    <row r="4700" spans="1:1" x14ac:dyDescent="0.25">
      <c r="A4700" s="3"/>
    </row>
    <row r="4701" spans="1:1" x14ac:dyDescent="0.25">
      <c r="A4701" s="3"/>
    </row>
    <row r="4702" spans="1:1" x14ac:dyDescent="0.25">
      <c r="A4702" s="3"/>
    </row>
    <row r="4703" spans="1:1" x14ac:dyDescent="0.25">
      <c r="A4703" s="3"/>
    </row>
    <row r="4704" spans="1:1" x14ac:dyDescent="0.25">
      <c r="A4704" s="3"/>
    </row>
    <row r="4705" spans="1:1" x14ac:dyDescent="0.25">
      <c r="A4705" s="3"/>
    </row>
    <row r="4706" spans="1:1" x14ac:dyDescent="0.25">
      <c r="A4706" s="3"/>
    </row>
    <row r="4707" spans="1:1" x14ac:dyDescent="0.25">
      <c r="A4707" s="3"/>
    </row>
    <row r="4708" spans="1:1" x14ac:dyDescent="0.25">
      <c r="A4708" s="3"/>
    </row>
    <row r="4709" spans="1:1" x14ac:dyDescent="0.25">
      <c r="A4709" s="3"/>
    </row>
    <row r="4710" spans="1:1" x14ac:dyDescent="0.25">
      <c r="A4710" s="3"/>
    </row>
    <row r="4711" spans="1:1" x14ac:dyDescent="0.25">
      <c r="A4711" s="3"/>
    </row>
    <row r="4712" spans="1:1" x14ac:dyDescent="0.25">
      <c r="A4712" s="3"/>
    </row>
    <row r="4713" spans="1:1" x14ac:dyDescent="0.25">
      <c r="A4713" s="3"/>
    </row>
    <row r="4714" spans="1:1" x14ac:dyDescent="0.25">
      <c r="A4714" s="3"/>
    </row>
    <row r="4715" spans="1:1" x14ac:dyDescent="0.25">
      <c r="A4715" s="3"/>
    </row>
    <row r="4716" spans="1:1" x14ac:dyDescent="0.25">
      <c r="A4716" s="3"/>
    </row>
    <row r="4717" spans="1:1" x14ac:dyDescent="0.25">
      <c r="A4717" s="3"/>
    </row>
    <row r="4718" spans="1:1" x14ac:dyDescent="0.25">
      <c r="A4718" s="3"/>
    </row>
    <row r="4719" spans="1:1" x14ac:dyDescent="0.25">
      <c r="A4719" s="3"/>
    </row>
    <row r="4720" spans="1:1" x14ac:dyDescent="0.25">
      <c r="A4720" s="3"/>
    </row>
    <row r="4721" spans="1:1" x14ac:dyDescent="0.25">
      <c r="A4721" s="3"/>
    </row>
    <row r="4722" spans="1:1" x14ac:dyDescent="0.25">
      <c r="A4722" s="3"/>
    </row>
    <row r="4723" spans="1:1" x14ac:dyDescent="0.25">
      <c r="A4723" s="3"/>
    </row>
    <row r="4724" spans="1:1" x14ac:dyDescent="0.25">
      <c r="A4724" s="3"/>
    </row>
    <row r="4725" spans="1:1" x14ac:dyDescent="0.25">
      <c r="A4725" s="3"/>
    </row>
    <row r="4726" spans="1:1" x14ac:dyDescent="0.25">
      <c r="A4726" s="3"/>
    </row>
    <row r="4727" spans="1:1" x14ac:dyDescent="0.25">
      <c r="A4727" s="3"/>
    </row>
    <row r="4728" spans="1:1" x14ac:dyDescent="0.25">
      <c r="A4728" s="3"/>
    </row>
    <row r="4729" spans="1:1" x14ac:dyDescent="0.25">
      <c r="A4729" s="3"/>
    </row>
    <row r="4730" spans="1:1" x14ac:dyDescent="0.25">
      <c r="A4730" s="3"/>
    </row>
    <row r="4731" spans="1:1" x14ac:dyDescent="0.25">
      <c r="A4731" s="3"/>
    </row>
    <row r="4732" spans="1:1" x14ac:dyDescent="0.25">
      <c r="A4732" s="3"/>
    </row>
    <row r="4733" spans="1:1" x14ac:dyDescent="0.25">
      <c r="A4733" s="3"/>
    </row>
    <row r="4734" spans="1:1" x14ac:dyDescent="0.25">
      <c r="A4734" s="3"/>
    </row>
    <row r="4735" spans="1:1" x14ac:dyDescent="0.25">
      <c r="A4735" s="3"/>
    </row>
    <row r="4736" spans="1:1" x14ac:dyDescent="0.25">
      <c r="A4736" s="3"/>
    </row>
    <row r="4737" spans="1:1" x14ac:dyDescent="0.25">
      <c r="A4737" s="3"/>
    </row>
    <row r="4738" spans="1:1" x14ac:dyDescent="0.25">
      <c r="A4738" s="3"/>
    </row>
    <row r="4739" spans="1:1" x14ac:dyDescent="0.25">
      <c r="A4739" s="3"/>
    </row>
    <row r="4740" spans="1:1" x14ac:dyDescent="0.25">
      <c r="A4740" s="3"/>
    </row>
    <row r="4741" spans="1:1" x14ac:dyDescent="0.25">
      <c r="A4741" s="3"/>
    </row>
    <row r="4742" spans="1:1" x14ac:dyDescent="0.25">
      <c r="A4742" s="3"/>
    </row>
    <row r="4743" spans="1:1" x14ac:dyDescent="0.25">
      <c r="A4743" s="3"/>
    </row>
    <row r="4744" spans="1:1" x14ac:dyDescent="0.25">
      <c r="A4744" s="3"/>
    </row>
    <row r="4745" spans="1:1" x14ac:dyDescent="0.25">
      <c r="A4745" s="3"/>
    </row>
    <row r="4746" spans="1:1" x14ac:dyDescent="0.25">
      <c r="A4746" s="3"/>
    </row>
    <row r="4747" spans="1:1" x14ac:dyDescent="0.25">
      <c r="A4747" s="3"/>
    </row>
    <row r="4748" spans="1:1" x14ac:dyDescent="0.25">
      <c r="A4748" s="3"/>
    </row>
    <row r="4749" spans="1:1" x14ac:dyDescent="0.25">
      <c r="A4749" s="3"/>
    </row>
    <row r="4750" spans="1:1" x14ac:dyDescent="0.25">
      <c r="A4750" s="3"/>
    </row>
    <row r="4751" spans="1:1" x14ac:dyDescent="0.25">
      <c r="A4751" s="3"/>
    </row>
    <row r="4752" spans="1:1" x14ac:dyDescent="0.25">
      <c r="A4752" s="3"/>
    </row>
    <row r="4753" spans="1:1" x14ac:dyDescent="0.25">
      <c r="A4753" s="3"/>
    </row>
    <row r="4754" spans="1:1" x14ac:dyDescent="0.25">
      <c r="A4754" s="3"/>
    </row>
    <row r="4755" spans="1:1" x14ac:dyDescent="0.25">
      <c r="A4755" s="3"/>
    </row>
    <row r="4756" spans="1:1" x14ac:dyDescent="0.25">
      <c r="A4756" s="3"/>
    </row>
    <row r="4757" spans="1:1" x14ac:dyDescent="0.25">
      <c r="A4757" s="3"/>
    </row>
    <row r="4758" spans="1:1" x14ac:dyDescent="0.25">
      <c r="A4758" s="3"/>
    </row>
    <row r="4759" spans="1:1" x14ac:dyDescent="0.25">
      <c r="A4759" s="3"/>
    </row>
    <row r="4760" spans="1:1" x14ac:dyDescent="0.25">
      <c r="A4760" s="3"/>
    </row>
    <row r="4761" spans="1:1" x14ac:dyDescent="0.25">
      <c r="A4761" s="3"/>
    </row>
    <row r="4762" spans="1:1" x14ac:dyDescent="0.25">
      <c r="A4762" s="3"/>
    </row>
    <row r="4763" spans="1:1" x14ac:dyDescent="0.25">
      <c r="A4763" s="3"/>
    </row>
    <row r="4764" spans="1:1" x14ac:dyDescent="0.25">
      <c r="A4764" s="3"/>
    </row>
    <row r="4765" spans="1:1" x14ac:dyDescent="0.25">
      <c r="A4765" s="3"/>
    </row>
    <row r="4766" spans="1:1" x14ac:dyDescent="0.25">
      <c r="A4766" s="3"/>
    </row>
    <row r="4767" spans="1:1" x14ac:dyDescent="0.25">
      <c r="A4767" s="3"/>
    </row>
    <row r="4768" spans="1:1" x14ac:dyDescent="0.25">
      <c r="A4768" s="3"/>
    </row>
    <row r="4769" spans="1:1" x14ac:dyDescent="0.25">
      <c r="A4769" s="3"/>
    </row>
    <row r="4770" spans="1:1" x14ac:dyDescent="0.25">
      <c r="A4770" s="3"/>
    </row>
    <row r="4771" spans="1:1" x14ac:dyDescent="0.25">
      <c r="A4771" s="3"/>
    </row>
    <row r="4772" spans="1:1" x14ac:dyDescent="0.25">
      <c r="A4772" s="3"/>
    </row>
    <row r="4773" spans="1:1" x14ac:dyDescent="0.25">
      <c r="A4773" s="3"/>
    </row>
    <row r="4774" spans="1:1" x14ac:dyDescent="0.25">
      <c r="A4774" s="3"/>
    </row>
    <row r="4775" spans="1:1" x14ac:dyDescent="0.25">
      <c r="A4775" s="3"/>
    </row>
    <row r="4776" spans="1:1" x14ac:dyDescent="0.25">
      <c r="A4776" s="3"/>
    </row>
    <row r="4777" spans="1:1" x14ac:dyDescent="0.25">
      <c r="A4777" s="3"/>
    </row>
    <row r="4778" spans="1:1" x14ac:dyDescent="0.25">
      <c r="A4778" s="3"/>
    </row>
    <row r="4779" spans="1:1" x14ac:dyDescent="0.25">
      <c r="A4779" s="3"/>
    </row>
    <row r="4780" spans="1:1" x14ac:dyDescent="0.25">
      <c r="A4780" s="3"/>
    </row>
    <row r="4781" spans="1:1" x14ac:dyDescent="0.25">
      <c r="A4781" s="3"/>
    </row>
    <row r="4782" spans="1:1" x14ac:dyDescent="0.25">
      <c r="A4782" s="3"/>
    </row>
    <row r="4783" spans="1:1" x14ac:dyDescent="0.25">
      <c r="A4783" s="3"/>
    </row>
    <row r="4784" spans="1:1" x14ac:dyDescent="0.25">
      <c r="A4784" s="3"/>
    </row>
    <row r="4785" spans="1:1" x14ac:dyDescent="0.25">
      <c r="A4785" s="3"/>
    </row>
    <row r="4786" spans="1:1" x14ac:dyDescent="0.25">
      <c r="A4786" s="3"/>
    </row>
    <row r="4787" spans="1:1" x14ac:dyDescent="0.25">
      <c r="A4787" s="3"/>
    </row>
    <row r="4788" spans="1:1" x14ac:dyDescent="0.25">
      <c r="A4788" s="3"/>
    </row>
    <row r="4789" spans="1:1" x14ac:dyDescent="0.25">
      <c r="A4789" s="3"/>
    </row>
    <row r="4790" spans="1:1" x14ac:dyDescent="0.25">
      <c r="A4790" s="3"/>
    </row>
    <row r="4791" spans="1:1" x14ac:dyDescent="0.25">
      <c r="A4791" s="3"/>
    </row>
    <row r="4792" spans="1:1" x14ac:dyDescent="0.25">
      <c r="A4792" s="3"/>
    </row>
    <row r="4793" spans="1:1" x14ac:dyDescent="0.25">
      <c r="A4793" s="3"/>
    </row>
    <row r="4794" spans="1:1" x14ac:dyDescent="0.25">
      <c r="A4794" s="3"/>
    </row>
    <row r="4795" spans="1:1" x14ac:dyDescent="0.25">
      <c r="A4795" s="3"/>
    </row>
    <row r="4796" spans="1:1" x14ac:dyDescent="0.25">
      <c r="A4796" s="3"/>
    </row>
    <row r="4797" spans="1:1" x14ac:dyDescent="0.25">
      <c r="A4797" s="3"/>
    </row>
    <row r="4798" spans="1:1" x14ac:dyDescent="0.25">
      <c r="A4798" s="3"/>
    </row>
    <row r="4799" spans="1:1" x14ac:dyDescent="0.25">
      <c r="A4799" s="3"/>
    </row>
    <row r="4800" spans="1:1" x14ac:dyDescent="0.25">
      <c r="A4800" s="3"/>
    </row>
    <row r="4801" spans="1:1" x14ac:dyDescent="0.25">
      <c r="A4801" s="3"/>
    </row>
    <row r="4802" spans="1:1" x14ac:dyDescent="0.25">
      <c r="A4802" s="3"/>
    </row>
    <row r="4803" spans="1:1" x14ac:dyDescent="0.25">
      <c r="A4803" s="3"/>
    </row>
    <row r="4804" spans="1:1" x14ac:dyDescent="0.25">
      <c r="A4804" s="3"/>
    </row>
    <row r="4805" spans="1:1" x14ac:dyDescent="0.25">
      <c r="A4805" s="3"/>
    </row>
    <row r="4806" spans="1:1" x14ac:dyDescent="0.25">
      <c r="A4806" s="3"/>
    </row>
    <row r="4807" spans="1:1" x14ac:dyDescent="0.25">
      <c r="A4807" s="3"/>
    </row>
    <row r="4808" spans="1:1" x14ac:dyDescent="0.25">
      <c r="A4808" s="3"/>
    </row>
    <row r="4809" spans="1:1" x14ac:dyDescent="0.25">
      <c r="A4809" s="3"/>
    </row>
    <row r="4810" spans="1:1" x14ac:dyDescent="0.25">
      <c r="A4810" s="3"/>
    </row>
    <row r="4811" spans="1:1" x14ac:dyDescent="0.25">
      <c r="A4811" s="3"/>
    </row>
    <row r="4812" spans="1:1" x14ac:dyDescent="0.25">
      <c r="A4812" s="3"/>
    </row>
    <row r="4813" spans="1:1" x14ac:dyDescent="0.25">
      <c r="A4813" s="3"/>
    </row>
    <row r="4814" spans="1:1" x14ac:dyDescent="0.25">
      <c r="A4814" s="3"/>
    </row>
    <row r="4815" spans="1:1" x14ac:dyDescent="0.25">
      <c r="A4815" s="3"/>
    </row>
    <row r="4816" spans="1:1" x14ac:dyDescent="0.25">
      <c r="A4816" s="3"/>
    </row>
    <row r="4817" spans="1:1" x14ac:dyDescent="0.25">
      <c r="A4817" s="3"/>
    </row>
    <row r="4818" spans="1:1" x14ac:dyDescent="0.25">
      <c r="A4818" s="3"/>
    </row>
    <row r="4819" spans="1:1" x14ac:dyDescent="0.25">
      <c r="A4819" s="3"/>
    </row>
    <row r="4820" spans="1:1" x14ac:dyDescent="0.25">
      <c r="A4820" s="3"/>
    </row>
    <row r="4821" spans="1:1" x14ac:dyDescent="0.25">
      <c r="A4821" s="3"/>
    </row>
    <row r="4822" spans="1:1" x14ac:dyDescent="0.25">
      <c r="A4822" s="3"/>
    </row>
    <row r="4823" spans="1:1" x14ac:dyDescent="0.25">
      <c r="A4823" s="3"/>
    </row>
    <row r="4824" spans="1:1" x14ac:dyDescent="0.25">
      <c r="A4824" s="3"/>
    </row>
    <row r="4825" spans="1:1" x14ac:dyDescent="0.25">
      <c r="A4825" s="3"/>
    </row>
    <row r="4826" spans="1:1" x14ac:dyDescent="0.25">
      <c r="A4826" s="3"/>
    </row>
    <row r="4827" spans="1:1" x14ac:dyDescent="0.25">
      <c r="A4827" s="3"/>
    </row>
    <row r="4828" spans="1:1" x14ac:dyDescent="0.25">
      <c r="A4828" s="3"/>
    </row>
    <row r="4829" spans="1:1" x14ac:dyDescent="0.25">
      <c r="A4829" s="3"/>
    </row>
    <row r="4830" spans="1:1" x14ac:dyDescent="0.25">
      <c r="A4830" s="3"/>
    </row>
    <row r="4831" spans="1:1" x14ac:dyDescent="0.25">
      <c r="A4831" s="3"/>
    </row>
    <row r="4832" spans="1:1" x14ac:dyDescent="0.25">
      <c r="A4832" s="3"/>
    </row>
    <row r="4833" spans="1:1" x14ac:dyDescent="0.25">
      <c r="A4833" s="3"/>
    </row>
    <row r="4834" spans="1:1" x14ac:dyDescent="0.25">
      <c r="A4834" s="3"/>
    </row>
    <row r="4835" spans="1:1" x14ac:dyDescent="0.25">
      <c r="A4835" s="3"/>
    </row>
    <row r="4836" spans="1:1" x14ac:dyDescent="0.25">
      <c r="A4836" s="3"/>
    </row>
    <row r="4837" spans="1:1" x14ac:dyDescent="0.25">
      <c r="A4837" s="3"/>
    </row>
    <row r="4838" spans="1:1" x14ac:dyDescent="0.25">
      <c r="A4838" s="3"/>
    </row>
    <row r="4839" spans="1:1" x14ac:dyDescent="0.25">
      <c r="A4839" s="3"/>
    </row>
    <row r="4840" spans="1:1" x14ac:dyDescent="0.25">
      <c r="A4840" s="3"/>
    </row>
    <row r="4841" spans="1:1" x14ac:dyDescent="0.25">
      <c r="A4841" s="3"/>
    </row>
    <row r="4842" spans="1:1" x14ac:dyDescent="0.25">
      <c r="A4842" s="3"/>
    </row>
    <row r="4843" spans="1:1" x14ac:dyDescent="0.25">
      <c r="A4843" s="3"/>
    </row>
    <row r="4844" spans="1:1" x14ac:dyDescent="0.25">
      <c r="A4844" s="3"/>
    </row>
    <row r="4845" spans="1:1" x14ac:dyDescent="0.25">
      <c r="A4845" s="3"/>
    </row>
    <row r="4846" spans="1:1" x14ac:dyDescent="0.25">
      <c r="A4846" s="3"/>
    </row>
    <row r="4847" spans="1:1" x14ac:dyDescent="0.25">
      <c r="A4847" s="3"/>
    </row>
    <row r="4848" spans="1:1" x14ac:dyDescent="0.25">
      <c r="A4848" s="3"/>
    </row>
    <row r="4849" spans="1:1" x14ac:dyDescent="0.25">
      <c r="A4849" s="3"/>
    </row>
    <row r="4850" spans="1:1" x14ac:dyDescent="0.25">
      <c r="A4850" s="3"/>
    </row>
    <row r="4851" spans="1:1" x14ac:dyDescent="0.25">
      <c r="A4851" s="3"/>
    </row>
    <row r="4852" spans="1:1" x14ac:dyDescent="0.25">
      <c r="A4852" s="3"/>
    </row>
    <row r="4853" spans="1:1" x14ac:dyDescent="0.25">
      <c r="A4853" s="3"/>
    </row>
    <row r="4854" spans="1:1" x14ac:dyDescent="0.25">
      <c r="A4854" s="3"/>
    </row>
    <row r="4855" spans="1:1" x14ac:dyDescent="0.25">
      <c r="A4855" s="3"/>
    </row>
    <row r="4856" spans="1:1" x14ac:dyDescent="0.25">
      <c r="A4856" s="3"/>
    </row>
    <row r="4857" spans="1:1" x14ac:dyDescent="0.25">
      <c r="A4857" s="3"/>
    </row>
    <row r="4858" spans="1:1" x14ac:dyDescent="0.25">
      <c r="A4858" s="3"/>
    </row>
    <row r="4859" spans="1:1" x14ac:dyDescent="0.25">
      <c r="A4859" s="3"/>
    </row>
    <row r="4860" spans="1:1" x14ac:dyDescent="0.25">
      <c r="A4860" s="3"/>
    </row>
    <row r="4861" spans="1:1" x14ac:dyDescent="0.25">
      <c r="A4861" s="3"/>
    </row>
    <row r="4862" spans="1:1" x14ac:dyDescent="0.25">
      <c r="A4862" s="3"/>
    </row>
    <row r="4863" spans="1:1" x14ac:dyDescent="0.25">
      <c r="A4863" s="3"/>
    </row>
    <row r="4864" spans="1:1" x14ac:dyDescent="0.25">
      <c r="A4864" s="3"/>
    </row>
    <row r="4865" spans="1:1" x14ac:dyDescent="0.25">
      <c r="A4865" s="3"/>
    </row>
    <row r="4866" spans="1:1" x14ac:dyDescent="0.25">
      <c r="A4866" s="3"/>
    </row>
    <row r="4867" spans="1:1" x14ac:dyDescent="0.25">
      <c r="A4867" s="3"/>
    </row>
    <row r="4868" spans="1:1" x14ac:dyDescent="0.25">
      <c r="A4868" s="3"/>
    </row>
    <row r="4869" spans="1:1" x14ac:dyDescent="0.25">
      <c r="A4869" s="3"/>
    </row>
    <row r="4870" spans="1:1" x14ac:dyDescent="0.25">
      <c r="A4870" s="3"/>
    </row>
    <row r="4871" spans="1:1" x14ac:dyDescent="0.25">
      <c r="A4871" s="3"/>
    </row>
    <row r="4872" spans="1:1" x14ac:dyDescent="0.25">
      <c r="A4872" s="3"/>
    </row>
    <row r="4873" spans="1:1" x14ac:dyDescent="0.25">
      <c r="A4873" s="3"/>
    </row>
    <row r="4874" spans="1:1" x14ac:dyDescent="0.25">
      <c r="A4874" s="3"/>
    </row>
    <row r="4875" spans="1:1" x14ac:dyDescent="0.25">
      <c r="A4875" s="3"/>
    </row>
    <row r="4876" spans="1:1" x14ac:dyDescent="0.25">
      <c r="A4876" s="3"/>
    </row>
    <row r="4877" spans="1:1" x14ac:dyDescent="0.25">
      <c r="A4877" s="3"/>
    </row>
    <row r="4878" spans="1:1" x14ac:dyDescent="0.25">
      <c r="A4878" s="3"/>
    </row>
    <row r="4879" spans="1:1" x14ac:dyDescent="0.25">
      <c r="A4879" s="3"/>
    </row>
    <row r="4880" spans="1:1" x14ac:dyDescent="0.25">
      <c r="A4880" s="3"/>
    </row>
    <row r="4881" spans="1:1" x14ac:dyDescent="0.25">
      <c r="A4881" s="3"/>
    </row>
    <row r="4882" spans="1:1" x14ac:dyDescent="0.25">
      <c r="A4882" s="3"/>
    </row>
    <row r="4883" spans="1:1" x14ac:dyDescent="0.25">
      <c r="A4883" s="3"/>
    </row>
    <row r="4884" spans="1:1" x14ac:dyDescent="0.25">
      <c r="A4884" s="3"/>
    </row>
    <row r="4885" spans="1:1" x14ac:dyDescent="0.25">
      <c r="A4885" s="3"/>
    </row>
    <row r="4886" spans="1:1" x14ac:dyDescent="0.25">
      <c r="A4886" s="3"/>
    </row>
    <row r="4887" spans="1:1" x14ac:dyDescent="0.25">
      <c r="A4887" s="3"/>
    </row>
    <row r="4888" spans="1:1" x14ac:dyDescent="0.25">
      <c r="A4888" s="3"/>
    </row>
    <row r="4889" spans="1:1" x14ac:dyDescent="0.25">
      <c r="A4889" s="3"/>
    </row>
    <row r="4890" spans="1:1" x14ac:dyDescent="0.25">
      <c r="A4890" s="3"/>
    </row>
    <row r="4891" spans="1:1" x14ac:dyDescent="0.25">
      <c r="A4891" s="3"/>
    </row>
    <row r="4892" spans="1:1" x14ac:dyDescent="0.25">
      <c r="A4892" s="3"/>
    </row>
    <row r="4893" spans="1:1" x14ac:dyDescent="0.25">
      <c r="A4893" s="3"/>
    </row>
    <row r="4894" spans="1:1" x14ac:dyDescent="0.25">
      <c r="A4894" s="3"/>
    </row>
    <row r="4895" spans="1:1" x14ac:dyDescent="0.25">
      <c r="A4895" s="3"/>
    </row>
    <row r="4896" spans="1:1" x14ac:dyDescent="0.25">
      <c r="A4896" s="3"/>
    </row>
    <row r="4897" spans="1:1" x14ac:dyDescent="0.25">
      <c r="A4897" s="3"/>
    </row>
    <row r="4898" spans="1:1" x14ac:dyDescent="0.25">
      <c r="A4898" s="3"/>
    </row>
    <row r="4899" spans="1:1" x14ac:dyDescent="0.25">
      <c r="A4899" s="3"/>
    </row>
    <row r="4900" spans="1:1" x14ac:dyDescent="0.25">
      <c r="A4900" s="3"/>
    </row>
    <row r="4901" spans="1:1" x14ac:dyDescent="0.25">
      <c r="A4901" s="3"/>
    </row>
    <row r="4902" spans="1:1" x14ac:dyDescent="0.25">
      <c r="A4902" s="3"/>
    </row>
    <row r="4903" spans="1:1" x14ac:dyDescent="0.25">
      <c r="A4903" s="3"/>
    </row>
    <row r="4904" spans="1:1" x14ac:dyDescent="0.25">
      <c r="A4904" s="3"/>
    </row>
    <row r="4905" spans="1:1" x14ac:dyDescent="0.25">
      <c r="A4905" s="3"/>
    </row>
    <row r="4906" spans="1:1" x14ac:dyDescent="0.25">
      <c r="A4906" s="3"/>
    </row>
    <row r="4907" spans="1:1" x14ac:dyDescent="0.25">
      <c r="A4907" s="3"/>
    </row>
    <row r="4908" spans="1:1" x14ac:dyDescent="0.25">
      <c r="A4908" s="3"/>
    </row>
    <row r="4909" spans="1:1" x14ac:dyDescent="0.25">
      <c r="A4909" s="3"/>
    </row>
    <row r="4910" spans="1:1" x14ac:dyDescent="0.25">
      <c r="A4910" s="3"/>
    </row>
    <row r="4911" spans="1:1" x14ac:dyDescent="0.25">
      <c r="A4911" s="3"/>
    </row>
    <row r="4912" spans="1:1" x14ac:dyDescent="0.25">
      <c r="A4912" s="3"/>
    </row>
    <row r="4913" spans="1:1" x14ac:dyDescent="0.25">
      <c r="A4913" s="3"/>
    </row>
    <row r="4914" spans="1:1" x14ac:dyDescent="0.25">
      <c r="A4914" s="3"/>
    </row>
    <row r="4915" spans="1:1" x14ac:dyDescent="0.25">
      <c r="A4915" s="3"/>
    </row>
    <row r="4916" spans="1:1" x14ac:dyDescent="0.25">
      <c r="A4916" s="3"/>
    </row>
    <row r="4917" spans="1:1" x14ac:dyDescent="0.25">
      <c r="A4917" s="3"/>
    </row>
    <row r="4918" spans="1:1" x14ac:dyDescent="0.25">
      <c r="A4918" s="3"/>
    </row>
    <row r="4919" spans="1:1" x14ac:dyDescent="0.25">
      <c r="A4919" s="3"/>
    </row>
    <row r="4920" spans="1:1" x14ac:dyDescent="0.25">
      <c r="A4920" s="3"/>
    </row>
    <row r="4921" spans="1:1" x14ac:dyDescent="0.25">
      <c r="A4921" s="3"/>
    </row>
    <row r="4922" spans="1:1" x14ac:dyDescent="0.25">
      <c r="A4922" s="3"/>
    </row>
    <row r="4923" spans="1:1" x14ac:dyDescent="0.25">
      <c r="A4923" s="3"/>
    </row>
    <row r="4924" spans="1:1" x14ac:dyDescent="0.25">
      <c r="A4924" s="3"/>
    </row>
    <row r="4925" spans="1:1" x14ac:dyDescent="0.25">
      <c r="A4925" s="3"/>
    </row>
    <row r="4926" spans="1:1" x14ac:dyDescent="0.25">
      <c r="A4926" s="3"/>
    </row>
    <row r="4927" spans="1:1" x14ac:dyDescent="0.25">
      <c r="A4927" s="3"/>
    </row>
    <row r="4928" spans="1:1" x14ac:dyDescent="0.25">
      <c r="A4928" s="3"/>
    </row>
    <row r="4929" spans="1:1" x14ac:dyDescent="0.25">
      <c r="A4929" s="3"/>
    </row>
    <row r="4930" spans="1:1" x14ac:dyDescent="0.25">
      <c r="A4930" s="3"/>
    </row>
    <row r="4931" spans="1:1" x14ac:dyDescent="0.25">
      <c r="A4931" s="3"/>
    </row>
    <row r="4932" spans="1:1" x14ac:dyDescent="0.25">
      <c r="A4932" s="3"/>
    </row>
    <row r="4933" spans="1:1" x14ac:dyDescent="0.25">
      <c r="A4933" s="3"/>
    </row>
    <row r="4934" spans="1:1" x14ac:dyDescent="0.25">
      <c r="A4934" s="3"/>
    </row>
    <row r="4935" spans="1:1" x14ac:dyDescent="0.25">
      <c r="A4935" s="3"/>
    </row>
    <row r="4936" spans="1:1" x14ac:dyDescent="0.25">
      <c r="A4936" s="3"/>
    </row>
    <row r="4937" spans="1:1" x14ac:dyDescent="0.25">
      <c r="A4937" s="3"/>
    </row>
    <row r="4938" spans="1:1" x14ac:dyDescent="0.25">
      <c r="A4938" s="3"/>
    </row>
    <row r="4939" spans="1:1" x14ac:dyDescent="0.25">
      <c r="A4939" s="3"/>
    </row>
    <row r="4940" spans="1:1" x14ac:dyDescent="0.25">
      <c r="A4940" s="3"/>
    </row>
    <row r="4941" spans="1:1" x14ac:dyDescent="0.25">
      <c r="A4941" s="3"/>
    </row>
    <row r="4942" spans="1:1" x14ac:dyDescent="0.25">
      <c r="A4942" s="3"/>
    </row>
    <row r="4943" spans="1:1" x14ac:dyDescent="0.25">
      <c r="A4943" s="3"/>
    </row>
    <row r="4944" spans="1:1" x14ac:dyDescent="0.25">
      <c r="A4944" s="3"/>
    </row>
    <row r="4945" spans="1:1" x14ac:dyDescent="0.25">
      <c r="A4945" s="3"/>
    </row>
    <row r="4946" spans="1:1" x14ac:dyDescent="0.25">
      <c r="A4946" s="3"/>
    </row>
    <row r="4947" spans="1:1" x14ac:dyDescent="0.25">
      <c r="A4947" s="3"/>
    </row>
    <row r="4948" spans="1:1" x14ac:dyDescent="0.25">
      <c r="A4948" s="3"/>
    </row>
    <row r="4949" spans="1:1" x14ac:dyDescent="0.25">
      <c r="A4949" s="3"/>
    </row>
    <row r="4950" spans="1:1" x14ac:dyDescent="0.25">
      <c r="A4950" s="3"/>
    </row>
    <row r="4951" spans="1:1" x14ac:dyDescent="0.25">
      <c r="A4951" s="3"/>
    </row>
    <row r="4952" spans="1:1" x14ac:dyDescent="0.25">
      <c r="A4952" s="3"/>
    </row>
    <row r="4953" spans="1:1" x14ac:dyDescent="0.25">
      <c r="A4953" s="3"/>
    </row>
    <row r="4954" spans="1:1" x14ac:dyDescent="0.25">
      <c r="A4954" s="3"/>
    </row>
    <row r="4955" spans="1:1" x14ac:dyDescent="0.25">
      <c r="A4955" s="3"/>
    </row>
    <row r="4956" spans="1:1" x14ac:dyDescent="0.25">
      <c r="A4956" s="3"/>
    </row>
    <row r="4957" spans="1:1" x14ac:dyDescent="0.25">
      <c r="A4957" s="3"/>
    </row>
    <row r="4958" spans="1:1" x14ac:dyDescent="0.25">
      <c r="A4958" s="3"/>
    </row>
    <row r="4959" spans="1:1" x14ac:dyDescent="0.25">
      <c r="A4959" s="3"/>
    </row>
    <row r="4960" spans="1:1" x14ac:dyDescent="0.25">
      <c r="A4960" s="3"/>
    </row>
    <row r="4961" spans="1:1" x14ac:dyDescent="0.25">
      <c r="A4961" s="3"/>
    </row>
    <row r="4962" spans="1:1" x14ac:dyDescent="0.25">
      <c r="A4962" s="3"/>
    </row>
    <row r="4963" spans="1:1" x14ac:dyDescent="0.25">
      <c r="A4963" s="3"/>
    </row>
    <row r="4964" spans="1:1" x14ac:dyDescent="0.25">
      <c r="A4964" s="3"/>
    </row>
    <row r="4965" spans="1:1" x14ac:dyDescent="0.25">
      <c r="A4965" s="3"/>
    </row>
    <row r="4966" spans="1:1" x14ac:dyDescent="0.25">
      <c r="A4966" s="3"/>
    </row>
    <row r="4967" spans="1:1" x14ac:dyDescent="0.25">
      <c r="A4967" s="3"/>
    </row>
    <row r="4968" spans="1:1" x14ac:dyDescent="0.25">
      <c r="A4968" s="3"/>
    </row>
    <row r="4969" spans="1:1" x14ac:dyDescent="0.25">
      <c r="A4969" s="3"/>
    </row>
    <row r="4970" spans="1:1" x14ac:dyDescent="0.25">
      <c r="A4970" s="3"/>
    </row>
    <row r="4971" spans="1:1" x14ac:dyDescent="0.25">
      <c r="A4971" s="3"/>
    </row>
    <row r="4972" spans="1:1" x14ac:dyDescent="0.25">
      <c r="A4972" s="3"/>
    </row>
    <row r="4973" spans="1:1" x14ac:dyDescent="0.25">
      <c r="A4973" s="3"/>
    </row>
    <row r="4974" spans="1:1" x14ac:dyDescent="0.25">
      <c r="A4974" s="3"/>
    </row>
    <row r="4975" spans="1:1" x14ac:dyDescent="0.25">
      <c r="A4975" s="3"/>
    </row>
    <row r="4976" spans="1:1" x14ac:dyDescent="0.25">
      <c r="A4976" s="3"/>
    </row>
    <row r="4977" spans="1:1" x14ac:dyDescent="0.25">
      <c r="A4977" s="3"/>
    </row>
    <row r="4978" spans="1:1" x14ac:dyDescent="0.25">
      <c r="A4978" s="3"/>
    </row>
    <row r="4979" spans="1:1" x14ac:dyDescent="0.25">
      <c r="A4979" s="3"/>
    </row>
    <row r="4980" spans="1:1" x14ac:dyDescent="0.25">
      <c r="A4980" s="3"/>
    </row>
    <row r="4981" spans="1:1" x14ac:dyDescent="0.25">
      <c r="A4981" s="3"/>
    </row>
    <row r="4982" spans="1:1" x14ac:dyDescent="0.25">
      <c r="A4982" s="3"/>
    </row>
    <row r="4983" spans="1:1" x14ac:dyDescent="0.25">
      <c r="A4983" s="3"/>
    </row>
    <row r="4984" spans="1:1" x14ac:dyDescent="0.25">
      <c r="A4984" s="3"/>
    </row>
    <row r="4985" spans="1:1" x14ac:dyDescent="0.25">
      <c r="A4985" s="3"/>
    </row>
    <row r="4986" spans="1:1" x14ac:dyDescent="0.25">
      <c r="A4986" s="3"/>
    </row>
    <row r="4987" spans="1:1" x14ac:dyDescent="0.25">
      <c r="A4987" s="3"/>
    </row>
    <row r="4988" spans="1:1" x14ac:dyDescent="0.25">
      <c r="A4988" s="3"/>
    </row>
    <row r="4989" spans="1:1" x14ac:dyDescent="0.25">
      <c r="A4989" s="3"/>
    </row>
    <row r="4990" spans="1:1" x14ac:dyDescent="0.25">
      <c r="A4990" s="3"/>
    </row>
    <row r="4991" spans="1:1" x14ac:dyDescent="0.25">
      <c r="A4991" s="3"/>
    </row>
    <row r="4992" spans="1:1" x14ac:dyDescent="0.25">
      <c r="A4992" s="3"/>
    </row>
    <row r="4993" spans="1:1" x14ac:dyDescent="0.25">
      <c r="A4993" s="3"/>
    </row>
    <row r="4994" spans="1:1" x14ac:dyDescent="0.25">
      <c r="A4994" s="3"/>
    </row>
    <row r="4995" spans="1:1" x14ac:dyDescent="0.25">
      <c r="A4995" s="3"/>
    </row>
    <row r="4996" spans="1:1" x14ac:dyDescent="0.25">
      <c r="A4996" s="3"/>
    </row>
    <row r="4997" spans="1:1" x14ac:dyDescent="0.25">
      <c r="A4997" s="3"/>
    </row>
    <row r="4998" spans="1:1" x14ac:dyDescent="0.25">
      <c r="A4998" s="3"/>
    </row>
    <row r="4999" spans="1:1" x14ac:dyDescent="0.25">
      <c r="A4999" s="3"/>
    </row>
    <row r="5000" spans="1:1" x14ac:dyDescent="0.25">
      <c r="A5000" s="3"/>
    </row>
    <row r="5001" spans="1:1" x14ac:dyDescent="0.25">
      <c r="A5001" s="3"/>
    </row>
    <row r="5002" spans="1:1" x14ac:dyDescent="0.25">
      <c r="A5002" s="3"/>
    </row>
    <row r="5003" spans="1:1" x14ac:dyDescent="0.25">
      <c r="A5003" s="3"/>
    </row>
    <row r="5004" spans="1:1" x14ac:dyDescent="0.25">
      <c r="A5004" s="3"/>
    </row>
    <row r="5005" spans="1:1" x14ac:dyDescent="0.25">
      <c r="A5005" s="3"/>
    </row>
    <row r="5006" spans="1:1" x14ac:dyDescent="0.25">
      <c r="A5006" s="3"/>
    </row>
    <row r="5007" spans="1:1" x14ac:dyDescent="0.25">
      <c r="A5007" s="3"/>
    </row>
    <row r="5008" spans="1:1" x14ac:dyDescent="0.25">
      <c r="A5008" s="3"/>
    </row>
    <row r="5009" spans="1:1" x14ac:dyDescent="0.25">
      <c r="A5009" s="3"/>
    </row>
    <row r="5010" spans="1:1" x14ac:dyDescent="0.25">
      <c r="A5010" s="3"/>
    </row>
    <row r="5011" spans="1:1" x14ac:dyDescent="0.25">
      <c r="A5011" s="3"/>
    </row>
    <row r="5012" spans="1:1" x14ac:dyDescent="0.25">
      <c r="A5012" s="3"/>
    </row>
    <row r="5013" spans="1:1" x14ac:dyDescent="0.25">
      <c r="A5013" s="3"/>
    </row>
    <row r="5014" spans="1:1" x14ac:dyDescent="0.25">
      <c r="A5014" s="3"/>
    </row>
    <row r="5015" spans="1:1" x14ac:dyDescent="0.25">
      <c r="A5015" s="3"/>
    </row>
    <row r="5016" spans="1:1" x14ac:dyDescent="0.25">
      <c r="A5016" s="3"/>
    </row>
    <row r="5017" spans="1:1" x14ac:dyDescent="0.25">
      <c r="A5017" s="3"/>
    </row>
    <row r="5018" spans="1:1" x14ac:dyDescent="0.25">
      <c r="A5018" s="3"/>
    </row>
    <row r="5019" spans="1:1" x14ac:dyDescent="0.25">
      <c r="A5019" s="3"/>
    </row>
    <row r="5020" spans="1:1" x14ac:dyDescent="0.25">
      <c r="A5020" s="3"/>
    </row>
    <row r="5021" spans="1:1" x14ac:dyDescent="0.25">
      <c r="A5021" s="3"/>
    </row>
    <row r="5022" spans="1:1" x14ac:dyDescent="0.25">
      <c r="A5022" s="3"/>
    </row>
    <row r="5023" spans="1:1" x14ac:dyDescent="0.25">
      <c r="A5023" s="3"/>
    </row>
    <row r="5024" spans="1:1" x14ac:dyDescent="0.25">
      <c r="A5024" s="3"/>
    </row>
    <row r="5025" spans="1:1" x14ac:dyDescent="0.25">
      <c r="A5025" s="3"/>
    </row>
    <row r="5026" spans="1:1" x14ac:dyDescent="0.25">
      <c r="A5026" s="3"/>
    </row>
    <row r="5027" spans="1:1" x14ac:dyDescent="0.25">
      <c r="A5027" s="3"/>
    </row>
    <row r="5028" spans="1:1" x14ac:dyDescent="0.25">
      <c r="A5028" s="3"/>
    </row>
    <row r="5029" spans="1:1" x14ac:dyDescent="0.25">
      <c r="A5029" s="3"/>
    </row>
    <row r="5030" spans="1:1" x14ac:dyDescent="0.25">
      <c r="A5030" s="3"/>
    </row>
    <row r="5031" spans="1:1" x14ac:dyDescent="0.25">
      <c r="A5031" s="3"/>
    </row>
    <row r="5032" spans="1:1" x14ac:dyDescent="0.25">
      <c r="A5032" s="3"/>
    </row>
    <row r="5033" spans="1:1" x14ac:dyDescent="0.25">
      <c r="A5033" s="3"/>
    </row>
    <row r="5034" spans="1:1" x14ac:dyDescent="0.25">
      <c r="A5034" s="3"/>
    </row>
    <row r="5035" spans="1:1" x14ac:dyDescent="0.25">
      <c r="A5035" s="3"/>
    </row>
    <row r="5036" spans="1:1" x14ac:dyDescent="0.25">
      <c r="A5036" s="3"/>
    </row>
    <row r="5037" spans="1:1" x14ac:dyDescent="0.25">
      <c r="A5037" s="3"/>
    </row>
    <row r="5038" spans="1:1" x14ac:dyDescent="0.25">
      <c r="A5038" s="3"/>
    </row>
    <row r="5039" spans="1:1" x14ac:dyDescent="0.25">
      <c r="A5039" s="3"/>
    </row>
    <row r="5040" spans="1:1" x14ac:dyDescent="0.25">
      <c r="A5040" s="3"/>
    </row>
    <row r="5041" spans="1:1" x14ac:dyDescent="0.25">
      <c r="A5041" s="3"/>
    </row>
    <row r="5042" spans="1:1" x14ac:dyDescent="0.25">
      <c r="A5042" s="3"/>
    </row>
    <row r="5043" spans="1:1" x14ac:dyDescent="0.25">
      <c r="A5043" s="3"/>
    </row>
    <row r="5044" spans="1:1" x14ac:dyDescent="0.25">
      <c r="A5044" s="3"/>
    </row>
    <row r="5045" spans="1:1" x14ac:dyDescent="0.25">
      <c r="A5045" s="3"/>
    </row>
    <row r="5046" spans="1:1" x14ac:dyDescent="0.25">
      <c r="A5046" s="3"/>
    </row>
    <row r="5047" spans="1:1" x14ac:dyDescent="0.25">
      <c r="A5047" s="3"/>
    </row>
    <row r="5048" spans="1:1" x14ac:dyDescent="0.25">
      <c r="A5048" s="3"/>
    </row>
    <row r="5049" spans="1:1" x14ac:dyDescent="0.25">
      <c r="A5049" s="3"/>
    </row>
    <row r="5050" spans="1:1" x14ac:dyDescent="0.25">
      <c r="A5050" s="3"/>
    </row>
    <row r="5051" spans="1:1" x14ac:dyDescent="0.25">
      <c r="A5051" s="3"/>
    </row>
    <row r="5052" spans="1:1" x14ac:dyDescent="0.25">
      <c r="A5052" s="3"/>
    </row>
    <row r="5053" spans="1:1" x14ac:dyDescent="0.25">
      <c r="A5053" s="3"/>
    </row>
    <row r="5054" spans="1:1" x14ac:dyDescent="0.25">
      <c r="A5054" s="3"/>
    </row>
    <row r="5055" spans="1:1" x14ac:dyDescent="0.25">
      <c r="A5055" s="3"/>
    </row>
    <row r="5056" spans="1:1" x14ac:dyDescent="0.25">
      <c r="A5056" s="3"/>
    </row>
    <row r="5057" spans="1:1" x14ac:dyDescent="0.25">
      <c r="A5057" s="3"/>
    </row>
    <row r="5058" spans="1:1" x14ac:dyDescent="0.25">
      <c r="A5058" s="3"/>
    </row>
    <row r="5059" spans="1:1" x14ac:dyDescent="0.25">
      <c r="A5059" s="3"/>
    </row>
    <row r="5060" spans="1:1" x14ac:dyDescent="0.25">
      <c r="A5060" s="3"/>
    </row>
    <row r="5061" spans="1:1" x14ac:dyDescent="0.25">
      <c r="A5061" s="3"/>
    </row>
    <row r="5062" spans="1:1" x14ac:dyDescent="0.25">
      <c r="A5062" s="3"/>
    </row>
    <row r="5063" spans="1:1" x14ac:dyDescent="0.25">
      <c r="A5063" s="3"/>
    </row>
    <row r="5064" spans="1:1" x14ac:dyDescent="0.25">
      <c r="A5064" s="3"/>
    </row>
    <row r="5065" spans="1:1" x14ac:dyDescent="0.25">
      <c r="A5065" s="3"/>
    </row>
    <row r="5066" spans="1:1" x14ac:dyDescent="0.25">
      <c r="A5066" s="3"/>
    </row>
    <row r="5067" spans="1:1" x14ac:dyDescent="0.25">
      <c r="A5067" s="3"/>
    </row>
    <row r="5068" spans="1:1" x14ac:dyDescent="0.25">
      <c r="A5068" s="3"/>
    </row>
    <row r="5069" spans="1:1" x14ac:dyDescent="0.25">
      <c r="A5069" s="3"/>
    </row>
    <row r="5070" spans="1:1" x14ac:dyDescent="0.25">
      <c r="A5070" s="3"/>
    </row>
    <row r="5071" spans="1:1" x14ac:dyDescent="0.25">
      <c r="A5071" s="3"/>
    </row>
    <row r="5072" spans="1:1" x14ac:dyDescent="0.25">
      <c r="A5072" s="3"/>
    </row>
    <row r="5073" spans="1:1" x14ac:dyDescent="0.25">
      <c r="A5073" s="3"/>
    </row>
    <row r="5074" spans="1:1" x14ac:dyDescent="0.25">
      <c r="A5074" s="3"/>
    </row>
    <row r="5075" spans="1:1" x14ac:dyDescent="0.25">
      <c r="A5075" s="3"/>
    </row>
    <row r="5076" spans="1:1" x14ac:dyDescent="0.25">
      <c r="A5076" s="3"/>
    </row>
    <row r="5077" spans="1:1" x14ac:dyDescent="0.25">
      <c r="A5077" s="3"/>
    </row>
    <row r="5078" spans="1:1" x14ac:dyDescent="0.25">
      <c r="A5078" s="3"/>
    </row>
    <row r="5079" spans="1:1" x14ac:dyDescent="0.25">
      <c r="A5079" s="3"/>
    </row>
    <row r="5080" spans="1:1" x14ac:dyDescent="0.25">
      <c r="A5080" s="3"/>
    </row>
    <row r="5081" spans="1:1" x14ac:dyDescent="0.25">
      <c r="A5081" s="3"/>
    </row>
    <row r="5082" spans="1:1" x14ac:dyDescent="0.25">
      <c r="A5082" s="3"/>
    </row>
    <row r="5083" spans="1:1" x14ac:dyDescent="0.25">
      <c r="A5083" s="3"/>
    </row>
    <row r="5084" spans="1:1" x14ac:dyDescent="0.25">
      <c r="A5084" s="3"/>
    </row>
    <row r="5085" spans="1:1" x14ac:dyDescent="0.25">
      <c r="A5085" s="3"/>
    </row>
    <row r="5086" spans="1:1" x14ac:dyDescent="0.25">
      <c r="A5086" s="3"/>
    </row>
    <row r="5087" spans="1:1" x14ac:dyDescent="0.25">
      <c r="A5087" s="3"/>
    </row>
    <row r="5088" spans="1:1" x14ac:dyDescent="0.25">
      <c r="A5088" s="3"/>
    </row>
    <row r="5089" spans="1:1" x14ac:dyDescent="0.25">
      <c r="A5089" s="3"/>
    </row>
    <row r="5090" spans="1:1" x14ac:dyDescent="0.25">
      <c r="A5090" s="3"/>
    </row>
    <row r="5091" spans="1:1" x14ac:dyDescent="0.25">
      <c r="A5091" s="3"/>
    </row>
    <row r="5092" spans="1:1" x14ac:dyDescent="0.25">
      <c r="A5092" s="3"/>
    </row>
    <row r="5093" spans="1:1" x14ac:dyDescent="0.25">
      <c r="A5093" s="3"/>
    </row>
    <row r="5094" spans="1:1" x14ac:dyDescent="0.25">
      <c r="A5094" s="3"/>
    </row>
    <row r="5095" spans="1:1" x14ac:dyDescent="0.25">
      <c r="A5095" s="3"/>
    </row>
    <row r="5096" spans="1:1" x14ac:dyDescent="0.25">
      <c r="A5096" s="3"/>
    </row>
    <row r="5097" spans="1:1" x14ac:dyDescent="0.25">
      <c r="A5097" s="3"/>
    </row>
    <row r="5098" spans="1:1" x14ac:dyDescent="0.25">
      <c r="A5098" s="3"/>
    </row>
    <row r="5099" spans="1:1" x14ac:dyDescent="0.25">
      <c r="A5099" s="3"/>
    </row>
    <row r="5100" spans="1:1" x14ac:dyDescent="0.25">
      <c r="A5100" s="3"/>
    </row>
    <row r="5101" spans="1:1" x14ac:dyDescent="0.25">
      <c r="A5101" s="3"/>
    </row>
    <row r="5102" spans="1:1" x14ac:dyDescent="0.25">
      <c r="A5102" s="3"/>
    </row>
    <row r="5103" spans="1:1" x14ac:dyDescent="0.25">
      <c r="A5103" s="3"/>
    </row>
    <row r="5104" spans="1:1" x14ac:dyDescent="0.25">
      <c r="A5104" s="3"/>
    </row>
    <row r="5105" spans="1:1" x14ac:dyDescent="0.25">
      <c r="A5105" s="3"/>
    </row>
    <row r="5106" spans="1:1" x14ac:dyDescent="0.25">
      <c r="A5106" s="3"/>
    </row>
    <row r="5107" spans="1:1" x14ac:dyDescent="0.25">
      <c r="A5107" s="3"/>
    </row>
    <row r="5108" spans="1:1" x14ac:dyDescent="0.25">
      <c r="A5108" s="3"/>
    </row>
    <row r="5109" spans="1:1" x14ac:dyDescent="0.25">
      <c r="A5109" s="3"/>
    </row>
    <row r="5110" spans="1:1" x14ac:dyDescent="0.25">
      <c r="A5110" s="3"/>
    </row>
    <row r="5111" spans="1:1" x14ac:dyDescent="0.25">
      <c r="A5111" s="3"/>
    </row>
    <row r="5112" spans="1:1" x14ac:dyDescent="0.25">
      <c r="A5112" s="3"/>
    </row>
    <row r="5113" spans="1:1" x14ac:dyDescent="0.25">
      <c r="A5113" s="3"/>
    </row>
    <row r="5114" spans="1:1" x14ac:dyDescent="0.25">
      <c r="A5114" s="3"/>
    </row>
    <row r="5115" spans="1:1" x14ac:dyDescent="0.25">
      <c r="A5115" s="3"/>
    </row>
    <row r="5116" spans="1:1" x14ac:dyDescent="0.25">
      <c r="A5116" s="3"/>
    </row>
    <row r="5117" spans="1:1" x14ac:dyDescent="0.25">
      <c r="A5117" s="3"/>
    </row>
    <row r="5118" spans="1:1" x14ac:dyDescent="0.25">
      <c r="A5118" s="3"/>
    </row>
    <row r="5119" spans="1:1" x14ac:dyDescent="0.25">
      <c r="A5119" s="3"/>
    </row>
    <row r="5120" spans="1:1" x14ac:dyDescent="0.25">
      <c r="A5120" s="3"/>
    </row>
    <row r="5121" spans="1:1" x14ac:dyDescent="0.25">
      <c r="A5121" s="3"/>
    </row>
    <row r="5122" spans="1:1" x14ac:dyDescent="0.25">
      <c r="A5122" s="3"/>
    </row>
    <row r="5123" spans="1:1" x14ac:dyDescent="0.25">
      <c r="A5123" s="3"/>
    </row>
    <row r="5124" spans="1:1" x14ac:dyDescent="0.25">
      <c r="A5124" s="3"/>
    </row>
    <row r="5125" spans="1:1" x14ac:dyDescent="0.25">
      <c r="A5125" s="3"/>
    </row>
    <row r="5126" spans="1:1" x14ac:dyDescent="0.25">
      <c r="A5126" s="3"/>
    </row>
    <row r="5127" spans="1:1" x14ac:dyDescent="0.25">
      <c r="A5127" s="3"/>
    </row>
    <row r="5128" spans="1:1" x14ac:dyDescent="0.25">
      <c r="A5128" s="3"/>
    </row>
    <row r="5129" spans="1:1" x14ac:dyDescent="0.25">
      <c r="A5129" s="3"/>
    </row>
    <row r="5130" spans="1:1" x14ac:dyDescent="0.25">
      <c r="A5130" s="3"/>
    </row>
    <row r="5131" spans="1:1" x14ac:dyDescent="0.25">
      <c r="A5131" s="3"/>
    </row>
    <row r="5132" spans="1:1" x14ac:dyDescent="0.25">
      <c r="A5132" s="3"/>
    </row>
    <row r="5133" spans="1:1" x14ac:dyDescent="0.25">
      <c r="A5133" s="3"/>
    </row>
    <row r="5134" spans="1:1" x14ac:dyDescent="0.25">
      <c r="A5134" s="3"/>
    </row>
    <row r="5135" spans="1:1" x14ac:dyDescent="0.25">
      <c r="A5135" s="3"/>
    </row>
    <row r="5136" spans="1:1" x14ac:dyDescent="0.25">
      <c r="A5136" s="3"/>
    </row>
    <row r="5137" spans="1:1" x14ac:dyDescent="0.25">
      <c r="A5137" s="3"/>
    </row>
    <row r="5138" spans="1:1" x14ac:dyDescent="0.25">
      <c r="A5138" s="3"/>
    </row>
    <row r="5139" spans="1:1" x14ac:dyDescent="0.25">
      <c r="A5139" s="3"/>
    </row>
    <row r="5140" spans="1:1" x14ac:dyDescent="0.25">
      <c r="A5140" s="3"/>
    </row>
    <row r="5141" spans="1:1" x14ac:dyDescent="0.25">
      <c r="A5141" s="3"/>
    </row>
    <row r="5142" spans="1:1" x14ac:dyDescent="0.25">
      <c r="A5142" s="3"/>
    </row>
    <row r="5143" spans="1:1" x14ac:dyDescent="0.25">
      <c r="A5143" s="3"/>
    </row>
    <row r="5144" spans="1:1" x14ac:dyDescent="0.25">
      <c r="A5144" s="3"/>
    </row>
    <row r="5145" spans="1:1" x14ac:dyDescent="0.25">
      <c r="A5145" s="3"/>
    </row>
    <row r="5146" spans="1:1" x14ac:dyDescent="0.25">
      <c r="A5146" s="3"/>
    </row>
    <row r="5147" spans="1:1" x14ac:dyDescent="0.25">
      <c r="A5147" s="3"/>
    </row>
    <row r="5148" spans="1:1" x14ac:dyDescent="0.25">
      <c r="A5148" s="3"/>
    </row>
    <row r="5149" spans="1:1" x14ac:dyDescent="0.25">
      <c r="A5149" s="3"/>
    </row>
    <row r="5150" spans="1:1" x14ac:dyDescent="0.25">
      <c r="A5150" s="3"/>
    </row>
    <row r="5151" spans="1:1" x14ac:dyDescent="0.25">
      <c r="A5151" s="3"/>
    </row>
    <row r="5152" spans="1:1" x14ac:dyDescent="0.25">
      <c r="A5152" s="3"/>
    </row>
    <row r="5153" spans="1:1" x14ac:dyDescent="0.25">
      <c r="A5153" s="3"/>
    </row>
    <row r="5154" spans="1:1" x14ac:dyDescent="0.25">
      <c r="A5154" s="3"/>
    </row>
    <row r="5155" spans="1:1" x14ac:dyDescent="0.25">
      <c r="A5155" s="3"/>
    </row>
    <row r="5156" spans="1:1" x14ac:dyDescent="0.25">
      <c r="A5156" s="3"/>
    </row>
    <row r="5157" spans="1:1" x14ac:dyDescent="0.25">
      <c r="A5157" s="3"/>
    </row>
    <row r="5158" spans="1:1" x14ac:dyDescent="0.25">
      <c r="A5158" s="3"/>
    </row>
    <row r="5159" spans="1:1" x14ac:dyDescent="0.25">
      <c r="A5159" s="3"/>
    </row>
    <row r="5160" spans="1:1" x14ac:dyDescent="0.25">
      <c r="A5160" s="3"/>
    </row>
    <row r="5161" spans="1:1" x14ac:dyDescent="0.25">
      <c r="A5161" s="3"/>
    </row>
    <row r="5162" spans="1:1" x14ac:dyDescent="0.25">
      <c r="A5162" s="3"/>
    </row>
    <row r="5163" spans="1:1" x14ac:dyDescent="0.25">
      <c r="A5163" s="3"/>
    </row>
    <row r="5164" spans="1:1" x14ac:dyDescent="0.25">
      <c r="A5164" s="3"/>
    </row>
    <row r="5165" spans="1:1" x14ac:dyDescent="0.25">
      <c r="A5165" s="3"/>
    </row>
    <row r="5166" spans="1:1" x14ac:dyDescent="0.25">
      <c r="A5166" s="3"/>
    </row>
    <row r="5167" spans="1:1" x14ac:dyDescent="0.25">
      <c r="A5167" s="3"/>
    </row>
    <row r="5168" spans="1:1" x14ac:dyDescent="0.25">
      <c r="A5168" s="3"/>
    </row>
    <row r="5169" spans="1:1" x14ac:dyDescent="0.25">
      <c r="A5169" s="3"/>
    </row>
    <row r="5170" spans="1:1" x14ac:dyDescent="0.25">
      <c r="A5170" s="3"/>
    </row>
    <row r="5171" spans="1:1" x14ac:dyDescent="0.25">
      <c r="A5171" s="3"/>
    </row>
    <row r="5172" spans="1:1" x14ac:dyDescent="0.25">
      <c r="A5172" s="3"/>
    </row>
    <row r="5173" spans="1:1" x14ac:dyDescent="0.25">
      <c r="A5173" s="3"/>
    </row>
    <row r="5174" spans="1:1" x14ac:dyDescent="0.25">
      <c r="A5174" s="3"/>
    </row>
    <row r="5175" spans="1:1" x14ac:dyDescent="0.25">
      <c r="A5175" s="3"/>
    </row>
    <row r="5176" spans="1:1" x14ac:dyDescent="0.25">
      <c r="A5176" s="3"/>
    </row>
    <row r="5177" spans="1:1" x14ac:dyDescent="0.25">
      <c r="A5177" s="3"/>
    </row>
    <row r="5178" spans="1:1" x14ac:dyDescent="0.25">
      <c r="A5178" s="3"/>
    </row>
    <row r="5179" spans="1:1" x14ac:dyDescent="0.25">
      <c r="A5179" s="3"/>
    </row>
    <row r="5180" spans="1:1" x14ac:dyDescent="0.25">
      <c r="A5180" s="3"/>
    </row>
    <row r="5181" spans="1:1" x14ac:dyDescent="0.25">
      <c r="A5181" s="3"/>
    </row>
    <row r="5182" spans="1:1" x14ac:dyDescent="0.25">
      <c r="A5182" s="3"/>
    </row>
    <row r="5183" spans="1:1" x14ac:dyDescent="0.25">
      <c r="A5183" s="3"/>
    </row>
    <row r="5184" spans="1:1" x14ac:dyDescent="0.25">
      <c r="A5184" s="3"/>
    </row>
    <row r="5185" spans="1:1" x14ac:dyDescent="0.25">
      <c r="A5185" s="3"/>
    </row>
    <row r="5186" spans="1:1" x14ac:dyDescent="0.25">
      <c r="A5186" s="3"/>
    </row>
    <row r="5187" spans="1:1" x14ac:dyDescent="0.25">
      <c r="A5187" s="3"/>
    </row>
    <row r="5188" spans="1:1" x14ac:dyDescent="0.25">
      <c r="A5188" s="3"/>
    </row>
    <row r="5189" spans="1:1" x14ac:dyDescent="0.25">
      <c r="A5189" s="3"/>
    </row>
    <row r="5190" spans="1:1" x14ac:dyDescent="0.25">
      <c r="A5190" s="3"/>
    </row>
    <row r="5191" spans="1:1" x14ac:dyDescent="0.25">
      <c r="A5191" s="3"/>
    </row>
    <row r="5192" spans="1:1" x14ac:dyDescent="0.25">
      <c r="A5192" s="3"/>
    </row>
    <row r="5193" spans="1:1" x14ac:dyDescent="0.25">
      <c r="A5193" s="3"/>
    </row>
    <row r="5194" spans="1:1" x14ac:dyDescent="0.25">
      <c r="A5194" s="3"/>
    </row>
    <row r="5195" spans="1:1" x14ac:dyDescent="0.25">
      <c r="A5195" s="3"/>
    </row>
    <row r="5196" spans="1:1" x14ac:dyDescent="0.25">
      <c r="A5196" s="3"/>
    </row>
    <row r="5197" spans="1:1" x14ac:dyDescent="0.25">
      <c r="A5197" s="3"/>
    </row>
    <row r="5198" spans="1:1" x14ac:dyDescent="0.25">
      <c r="A5198" s="3"/>
    </row>
    <row r="5199" spans="1:1" x14ac:dyDescent="0.25">
      <c r="A5199" s="3"/>
    </row>
    <row r="5200" spans="1:1" x14ac:dyDescent="0.25">
      <c r="A5200" s="3"/>
    </row>
    <row r="5201" spans="1:1" x14ac:dyDescent="0.25">
      <c r="A5201" s="3"/>
    </row>
    <row r="5202" spans="1:1" x14ac:dyDescent="0.25">
      <c r="A5202" s="3"/>
    </row>
    <row r="5203" spans="1:1" x14ac:dyDescent="0.25">
      <c r="A5203" s="3"/>
    </row>
    <row r="5204" spans="1:1" x14ac:dyDescent="0.25">
      <c r="A5204" s="3"/>
    </row>
    <row r="5205" spans="1:1" x14ac:dyDescent="0.25">
      <c r="A5205" s="3"/>
    </row>
    <row r="5206" spans="1:1" x14ac:dyDescent="0.25">
      <c r="A5206" s="3"/>
    </row>
    <row r="5207" spans="1:1" x14ac:dyDescent="0.25">
      <c r="A5207" s="3"/>
    </row>
    <row r="5208" spans="1:1" x14ac:dyDescent="0.25">
      <c r="A5208" s="3"/>
    </row>
    <row r="5209" spans="1:1" x14ac:dyDescent="0.25">
      <c r="A5209" s="3"/>
    </row>
    <row r="5210" spans="1:1" x14ac:dyDescent="0.25">
      <c r="A5210" s="3"/>
    </row>
    <row r="5211" spans="1:1" x14ac:dyDescent="0.25">
      <c r="A5211" s="3"/>
    </row>
    <row r="5212" spans="1:1" x14ac:dyDescent="0.25">
      <c r="A5212" s="3"/>
    </row>
    <row r="5213" spans="1:1" x14ac:dyDescent="0.25">
      <c r="A5213" s="3"/>
    </row>
    <row r="5214" spans="1:1" x14ac:dyDescent="0.25">
      <c r="A5214" s="3"/>
    </row>
    <row r="5215" spans="1:1" x14ac:dyDescent="0.25">
      <c r="A5215" s="3"/>
    </row>
    <row r="5216" spans="1:1" x14ac:dyDescent="0.25">
      <c r="A5216" s="3"/>
    </row>
    <row r="5217" spans="1:1" x14ac:dyDescent="0.25">
      <c r="A5217" s="3"/>
    </row>
    <row r="5218" spans="1:1" x14ac:dyDescent="0.25">
      <c r="A5218" s="3"/>
    </row>
    <row r="5219" spans="1:1" x14ac:dyDescent="0.25">
      <c r="A5219" s="3"/>
    </row>
    <row r="5220" spans="1:1" x14ac:dyDescent="0.25">
      <c r="A5220" s="3"/>
    </row>
    <row r="5221" spans="1:1" x14ac:dyDescent="0.25">
      <c r="A5221" s="3"/>
    </row>
    <row r="5222" spans="1:1" x14ac:dyDescent="0.25">
      <c r="A5222" s="3"/>
    </row>
    <row r="5223" spans="1:1" x14ac:dyDescent="0.25">
      <c r="A5223" s="3"/>
    </row>
    <row r="5224" spans="1:1" x14ac:dyDescent="0.25">
      <c r="A5224" s="3"/>
    </row>
    <row r="5225" spans="1:1" x14ac:dyDescent="0.25">
      <c r="A5225" s="3"/>
    </row>
    <row r="5226" spans="1:1" x14ac:dyDescent="0.25">
      <c r="A5226" s="3"/>
    </row>
    <row r="5227" spans="1:1" x14ac:dyDescent="0.25">
      <c r="A5227" s="3"/>
    </row>
    <row r="5228" spans="1:1" x14ac:dyDescent="0.25">
      <c r="A5228" s="3"/>
    </row>
    <row r="5229" spans="1:1" x14ac:dyDescent="0.25">
      <c r="A5229" s="3"/>
    </row>
    <row r="5230" spans="1:1" x14ac:dyDescent="0.25">
      <c r="A5230" s="3"/>
    </row>
    <row r="5231" spans="1:1" x14ac:dyDescent="0.25">
      <c r="A5231" s="3"/>
    </row>
    <row r="5232" spans="1:1" x14ac:dyDescent="0.25">
      <c r="A5232" s="3"/>
    </row>
    <row r="5233" spans="1:1" x14ac:dyDescent="0.25">
      <c r="A5233" s="3"/>
    </row>
    <row r="5234" spans="1:1" x14ac:dyDescent="0.25">
      <c r="A5234" s="3"/>
    </row>
    <row r="5235" spans="1:1" x14ac:dyDescent="0.25">
      <c r="A5235" s="3"/>
    </row>
    <row r="5236" spans="1:1" x14ac:dyDescent="0.25">
      <c r="A5236" s="3"/>
    </row>
    <row r="5237" spans="1:1" x14ac:dyDescent="0.25">
      <c r="A5237" s="3"/>
    </row>
    <row r="5238" spans="1:1" x14ac:dyDescent="0.25">
      <c r="A5238" s="3"/>
    </row>
    <row r="5239" spans="1:1" x14ac:dyDescent="0.25">
      <c r="A5239" s="3"/>
    </row>
    <row r="5240" spans="1:1" x14ac:dyDescent="0.25">
      <c r="A5240" s="3"/>
    </row>
    <row r="5241" spans="1:1" x14ac:dyDescent="0.25">
      <c r="A5241" s="3"/>
    </row>
    <row r="5242" spans="1:1" x14ac:dyDescent="0.25">
      <c r="A5242" s="3"/>
    </row>
    <row r="5243" spans="1:1" x14ac:dyDescent="0.25">
      <c r="A5243" s="3"/>
    </row>
    <row r="5244" spans="1:1" x14ac:dyDescent="0.25">
      <c r="A5244" s="3"/>
    </row>
    <row r="5245" spans="1:1" x14ac:dyDescent="0.25">
      <c r="A5245" s="3"/>
    </row>
    <row r="5246" spans="1:1" x14ac:dyDescent="0.25">
      <c r="A5246" s="3"/>
    </row>
    <row r="5247" spans="1:1" x14ac:dyDescent="0.25">
      <c r="A5247" s="3"/>
    </row>
    <row r="5248" spans="1:1" x14ac:dyDescent="0.25">
      <c r="A5248" s="3"/>
    </row>
    <row r="5249" spans="1:1" x14ac:dyDescent="0.25">
      <c r="A5249" s="3"/>
    </row>
    <row r="5250" spans="1:1" x14ac:dyDescent="0.25">
      <c r="A5250" s="3"/>
    </row>
    <row r="5251" spans="1:1" x14ac:dyDescent="0.25">
      <c r="A5251" s="3"/>
    </row>
    <row r="5252" spans="1:1" x14ac:dyDescent="0.25">
      <c r="A5252" s="3"/>
    </row>
    <row r="5253" spans="1:1" x14ac:dyDescent="0.25">
      <c r="A5253" s="3"/>
    </row>
    <row r="5254" spans="1:1" x14ac:dyDescent="0.25">
      <c r="A5254" s="3"/>
    </row>
    <row r="5255" spans="1:1" x14ac:dyDescent="0.25">
      <c r="A5255" s="3"/>
    </row>
    <row r="5256" spans="1:1" x14ac:dyDescent="0.25">
      <c r="A5256" s="3"/>
    </row>
    <row r="5257" spans="1:1" x14ac:dyDescent="0.25">
      <c r="A5257" s="3"/>
    </row>
    <row r="5258" spans="1:1" x14ac:dyDescent="0.25">
      <c r="A5258" s="3"/>
    </row>
    <row r="5259" spans="1:1" x14ac:dyDescent="0.25">
      <c r="A5259" s="3"/>
    </row>
    <row r="5260" spans="1:1" x14ac:dyDescent="0.25">
      <c r="A5260" s="3"/>
    </row>
    <row r="5261" spans="1:1" x14ac:dyDescent="0.25">
      <c r="A5261" s="3"/>
    </row>
    <row r="5262" spans="1:1" x14ac:dyDescent="0.25">
      <c r="A5262" s="3"/>
    </row>
    <row r="5263" spans="1:1" x14ac:dyDescent="0.25">
      <c r="A5263" s="3"/>
    </row>
    <row r="5264" spans="1:1" x14ac:dyDescent="0.25">
      <c r="A5264" s="3"/>
    </row>
    <row r="5265" spans="1:1" x14ac:dyDescent="0.25">
      <c r="A5265" s="3"/>
    </row>
    <row r="5266" spans="1:1" x14ac:dyDescent="0.25">
      <c r="A5266" s="3"/>
    </row>
    <row r="5267" spans="1:1" x14ac:dyDescent="0.25">
      <c r="A5267" s="3"/>
    </row>
    <row r="5268" spans="1:1" x14ac:dyDescent="0.25">
      <c r="A5268" s="3"/>
    </row>
    <row r="5269" spans="1:1" x14ac:dyDescent="0.25">
      <c r="A5269" s="3"/>
    </row>
    <row r="5270" spans="1:1" x14ac:dyDescent="0.25">
      <c r="A5270" s="3"/>
    </row>
    <row r="5271" spans="1:1" x14ac:dyDescent="0.25">
      <c r="A5271" s="3"/>
    </row>
    <row r="5272" spans="1:1" x14ac:dyDescent="0.25">
      <c r="A5272" s="3"/>
    </row>
    <row r="5273" spans="1:1" x14ac:dyDescent="0.25">
      <c r="A5273" s="3"/>
    </row>
    <row r="5274" spans="1:1" x14ac:dyDescent="0.25">
      <c r="A5274" s="3"/>
    </row>
    <row r="5275" spans="1:1" x14ac:dyDescent="0.25">
      <c r="A5275" s="3"/>
    </row>
    <row r="5276" spans="1:1" x14ac:dyDescent="0.25">
      <c r="A5276" s="3"/>
    </row>
    <row r="5277" spans="1:1" x14ac:dyDescent="0.25">
      <c r="A5277" s="3"/>
    </row>
    <row r="5278" spans="1:1" x14ac:dyDescent="0.25">
      <c r="A5278" s="3"/>
    </row>
    <row r="5279" spans="1:1" x14ac:dyDescent="0.25">
      <c r="A5279" s="3"/>
    </row>
    <row r="5280" spans="1:1" x14ac:dyDescent="0.25">
      <c r="A5280" s="3"/>
    </row>
    <row r="5281" spans="1:1" x14ac:dyDescent="0.25">
      <c r="A5281" s="3"/>
    </row>
    <row r="5282" spans="1:1" x14ac:dyDescent="0.25">
      <c r="A5282" s="3"/>
    </row>
    <row r="5283" spans="1:1" x14ac:dyDescent="0.25">
      <c r="A5283" s="3"/>
    </row>
    <row r="5284" spans="1:1" x14ac:dyDescent="0.25">
      <c r="A5284" s="3"/>
    </row>
    <row r="5285" spans="1:1" x14ac:dyDescent="0.25">
      <c r="A5285" s="3"/>
    </row>
    <row r="5286" spans="1:1" x14ac:dyDescent="0.25">
      <c r="A5286" s="3"/>
    </row>
    <row r="5287" spans="1:1" x14ac:dyDescent="0.25">
      <c r="A5287" s="3"/>
    </row>
    <row r="5288" spans="1:1" x14ac:dyDescent="0.25">
      <c r="A5288" s="3"/>
    </row>
    <row r="5289" spans="1:1" x14ac:dyDescent="0.25">
      <c r="A5289" s="3"/>
    </row>
    <row r="5290" spans="1:1" x14ac:dyDescent="0.25">
      <c r="A5290" s="3"/>
    </row>
    <row r="5291" spans="1:1" x14ac:dyDescent="0.25">
      <c r="A5291" s="3"/>
    </row>
    <row r="5292" spans="1:1" x14ac:dyDescent="0.25">
      <c r="A5292" s="3"/>
    </row>
    <row r="5293" spans="1:1" x14ac:dyDescent="0.25">
      <c r="A5293" s="3"/>
    </row>
    <row r="5294" spans="1:1" x14ac:dyDescent="0.25">
      <c r="A5294" s="3"/>
    </row>
    <row r="5295" spans="1:1" x14ac:dyDescent="0.25">
      <c r="A5295" s="3"/>
    </row>
    <row r="5296" spans="1:1" x14ac:dyDescent="0.25">
      <c r="A5296" s="3"/>
    </row>
    <row r="5297" spans="1:1" x14ac:dyDescent="0.25">
      <c r="A5297" s="3"/>
    </row>
    <row r="5298" spans="1:1" x14ac:dyDescent="0.25">
      <c r="A5298" s="3"/>
    </row>
    <row r="5299" spans="1:1" x14ac:dyDescent="0.25">
      <c r="A5299" s="3"/>
    </row>
    <row r="5300" spans="1:1" x14ac:dyDescent="0.25">
      <c r="A5300" s="3"/>
    </row>
    <row r="5301" spans="1:1" x14ac:dyDescent="0.25">
      <c r="A5301" s="3"/>
    </row>
    <row r="5302" spans="1:1" x14ac:dyDescent="0.25">
      <c r="A5302" s="3"/>
    </row>
    <row r="5303" spans="1:1" x14ac:dyDescent="0.25">
      <c r="A5303" s="3"/>
    </row>
    <row r="5304" spans="1:1" x14ac:dyDescent="0.25">
      <c r="A5304" s="3"/>
    </row>
    <row r="5305" spans="1:1" x14ac:dyDescent="0.25">
      <c r="A5305" s="3"/>
    </row>
    <row r="5306" spans="1:1" x14ac:dyDescent="0.25">
      <c r="A5306" s="3"/>
    </row>
    <row r="5307" spans="1:1" x14ac:dyDescent="0.25">
      <c r="A5307" s="3"/>
    </row>
    <row r="5308" spans="1:1" x14ac:dyDescent="0.25">
      <c r="A5308" s="3"/>
    </row>
    <row r="5309" spans="1:1" x14ac:dyDescent="0.25">
      <c r="A5309" s="3"/>
    </row>
    <row r="5310" spans="1:1" x14ac:dyDescent="0.25">
      <c r="A5310" s="3"/>
    </row>
    <row r="5311" spans="1:1" x14ac:dyDescent="0.25">
      <c r="A5311" s="3"/>
    </row>
    <row r="5312" spans="1:1" x14ac:dyDescent="0.25">
      <c r="A5312" s="3"/>
    </row>
    <row r="5313" spans="1:1" x14ac:dyDescent="0.25">
      <c r="A5313" s="3"/>
    </row>
    <row r="5314" spans="1:1" x14ac:dyDescent="0.25">
      <c r="A5314" s="3"/>
    </row>
    <row r="5315" spans="1:1" x14ac:dyDescent="0.25">
      <c r="A5315" s="3"/>
    </row>
    <row r="5316" spans="1:1" x14ac:dyDescent="0.25">
      <c r="A5316" s="3"/>
    </row>
    <row r="5317" spans="1:1" x14ac:dyDescent="0.25">
      <c r="A5317" s="3"/>
    </row>
    <row r="5318" spans="1:1" x14ac:dyDescent="0.25">
      <c r="A5318" s="3"/>
    </row>
    <row r="5319" spans="1:1" x14ac:dyDescent="0.25">
      <c r="A5319" s="3"/>
    </row>
    <row r="5320" spans="1:1" x14ac:dyDescent="0.25">
      <c r="A5320" s="3"/>
    </row>
    <row r="5321" spans="1:1" x14ac:dyDescent="0.25">
      <c r="A5321" s="3"/>
    </row>
    <row r="5322" spans="1:1" x14ac:dyDescent="0.25">
      <c r="A5322" s="3"/>
    </row>
    <row r="5323" spans="1:1" x14ac:dyDescent="0.25">
      <c r="A5323" s="3"/>
    </row>
    <row r="5324" spans="1:1" x14ac:dyDescent="0.25">
      <c r="A5324" s="3"/>
    </row>
    <row r="5325" spans="1:1" x14ac:dyDescent="0.25">
      <c r="A5325" s="3"/>
    </row>
    <row r="5326" spans="1:1" x14ac:dyDescent="0.25">
      <c r="A5326" s="3"/>
    </row>
    <row r="5327" spans="1:1" x14ac:dyDescent="0.25">
      <c r="A5327" s="3"/>
    </row>
    <row r="5328" spans="1:1" x14ac:dyDescent="0.25">
      <c r="A5328" s="3"/>
    </row>
    <row r="5329" spans="1:1" x14ac:dyDescent="0.25">
      <c r="A5329" s="3"/>
    </row>
    <row r="5330" spans="1:1" x14ac:dyDescent="0.25">
      <c r="A5330" s="3"/>
    </row>
    <row r="5331" spans="1:1" x14ac:dyDescent="0.25">
      <c r="A5331" s="3"/>
    </row>
    <row r="5332" spans="1:1" x14ac:dyDescent="0.25">
      <c r="A5332" s="3"/>
    </row>
    <row r="5333" spans="1:1" x14ac:dyDescent="0.25">
      <c r="A5333" s="3"/>
    </row>
    <row r="5334" spans="1:1" x14ac:dyDescent="0.25">
      <c r="A5334" s="3"/>
    </row>
    <row r="5335" spans="1:1" x14ac:dyDescent="0.25">
      <c r="A5335" s="3"/>
    </row>
    <row r="5336" spans="1:1" x14ac:dyDescent="0.25">
      <c r="A5336" s="3"/>
    </row>
    <row r="5337" spans="1:1" x14ac:dyDescent="0.25">
      <c r="A5337" s="3"/>
    </row>
    <row r="5338" spans="1:1" x14ac:dyDescent="0.25">
      <c r="A5338" s="3"/>
    </row>
    <row r="5339" spans="1:1" x14ac:dyDescent="0.25">
      <c r="A5339" s="3"/>
    </row>
    <row r="5340" spans="1:1" x14ac:dyDescent="0.25">
      <c r="A5340" s="3"/>
    </row>
    <row r="5341" spans="1:1" x14ac:dyDescent="0.25">
      <c r="A5341" s="3"/>
    </row>
    <row r="5342" spans="1:1" x14ac:dyDescent="0.25">
      <c r="A5342" s="3"/>
    </row>
    <row r="5343" spans="1:1" x14ac:dyDescent="0.25">
      <c r="A5343" s="3"/>
    </row>
    <row r="5344" spans="1:1" x14ac:dyDescent="0.25">
      <c r="A5344" s="3"/>
    </row>
    <row r="5345" spans="1:1" x14ac:dyDescent="0.25">
      <c r="A5345" s="3"/>
    </row>
    <row r="5346" spans="1:1" x14ac:dyDescent="0.25">
      <c r="A5346" s="3"/>
    </row>
    <row r="5347" spans="1:1" x14ac:dyDescent="0.25">
      <c r="A5347" s="3"/>
    </row>
    <row r="5348" spans="1:1" x14ac:dyDescent="0.25">
      <c r="A5348" s="3"/>
    </row>
    <row r="5349" spans="1:1" x14ac:dyDescent="0.25">
      <c r="A5349" s="3"/>
    </row>
    <row r="5350" spans="1:1" x14ac:dyDescent="0.25">
      <c r="A5350" s="3"/>
    </row>
    <row r="5351" spans="1:1" x14ac:dyDescent="0.25">
      <c r="A5351" s="3"/>
    </row>
    <row r="5352" spans="1:1" x14ac:dyDescent="0.25">
      <c r="A5352" s="3"/>
    </row>
    <row r="5353" spans="1:1" x14ac:dyDescent="0.25">
      <c r="A5353" s="3"/>
    </row>
    <row r="5354" spans="1:1" x14ac:dyDescent="0.25">
      <c r="A5354" s="3"/>
    </row>
    <row r="5355" spans="1:1" x14ac:dyDescent="0.25">
      <c r="A5355" s="3"/>
    </row>
    <row r="5356" spans="1:1" x14ac:dyDescent="0.25">
      <c r="A5356" s="3"/>
    </row>
    <row r="5357" spans="1:1" x14ac:dyDescent="0.25">
      <c r="A5357" s="3"/>
    </row>
    <row r="5358" spans="1:1" x14ac:dyDescent="0.25">
      <c r="A5358" s="3"/>
    </row>
    <row r="5359" spans="1:1" x14ac:dyDescent="0.25">
      <c r="A5359" s="3"/>
    </row>
    <row r="5360" spans="1:1" x14ac:dyDescent="0.25">
      <c r="A5360" s="3"/>
    </row>
    <row r="5361" spans="1:1" x14ac:dyDescent="0.25">
      <c r="A5361" s="3"/>
    </row>
    <row r="5362" spans="1:1" x14ac:dyDescent="0.25">
      <c r="A5362" s="3"/>
    </row>
    <row r="5363" spans="1:1" x14ac:dyDescent="0.25">
      <c r="A5363" s="3"/>
    </row>
    <row r="5364" spans="1:1" x14ac:dyDescent="0.25">
      <c r="A5364" s="3"/>
    </row>
    <row r="5365" spans="1:1" x14ac:dyDescent="0.25">
      <c r="A5365" s="3"/>
    </row>
    <row r="5366" spans="1:1" x14ac:dyDescent="0.25">
      <c r="A5366" s="3"/>
    </row>
    <row r="5367" spans="1:1" x14ac:dyDescent="0.25">
      <c r="A5367" s="3"/>
    </row>
    <row r="5368" spans="1:1" x14ac:dyDescent="0.25">
      <c r="A5368" s="3"/>
    </row>
    <row r="5369" spans="1:1" x14ac:dyDescent="0.25">
      <c r="A5369" s="3"/>
    </row>
    <row r="5370" spans="1:1" x14ac:dyDescent="0.25">
      <c r="A5370" s="3"/>
    </row>
    <row r="5371" spans="1:1" x14ac:dyDescent="0.25">
      <c r="A5371" s="3"/>
    </row>
    <row r="5372" spans="1:1" x14ac:dyDescent="0.25">
      <c r="A5372" s="3"/>
    </row>
    <row r="5373" spans="1:1" x14ac:dyDescent="0.25">
      <c r="A5373" s="3"/>
    </row>
    <row r="5374" spans="1:1" x14ac:dyDescent="0.25">
      <c r="A5374" s="3"/>
    </row>
    <row r="5375" spans="1:1" x14ac:dyDescent="0.25">
      <c r="A5375" s="3"/>
    </row>
    <row r="5376" spans="1:1" x14ac:dyDescent="0.25">
      <c r="A5376" s="3"/>
    </row>
    <row r="5377" spans="1:1" x14ac:dyDescent="0.25">
      <c r="A5377" s="3"/>
    </row>
    <row r="5378" spans="1:1" x14ac:dyDescent="0.25">
      <c r="A5378" s="3"/>
    </row>
    <row r="5379" spans="1:1" x14ac:dyDescent="0.25">
      <c r="A5379" s="3"/>
    </row>
    <row r="5380" spans="1:1" x14ac:dyDescent="0.25">
      <c r="A5380" s="3"/>
    </row>
    <row r="5381" spans="1:1" x14ac:dyDescent="0.25">
      <c r="A5381" s="3"/>
    </row>
    <row r="5382" spans="1:1" x14ac:dyDescent="0.25">
      <c r="A5382" s="3"/>
    </row>
    <row r="5383" spans="1:1" x14ac:dyDescent="0.25">
      <c r="A5383" s="3"/>
    </row>
    <row r="5384" spans="1:1" x14ac:dyDescent="0.25">
      <c r="A5384" s="3"/>
    </row>
    <row r="5385" spans="1:1" x14ac:dyDescent="0.25">
      <c r="A5385" s="3"/>
    </row>
    <row r="5386" spans="1:1" x14ac:dyDescent="0.25">
      <c r="A5386" s="3"/>
    </row>
    <row r="5387" spans="1:1" x14ac:dyDescent="0.25">
      <c r="A5387" s="3"/>
    </row>
    <row r="5388" spans="1:1" x14ac:dyDescent="0.25">
      <c r="A5388" s="3"/>
    </row>
    <row r="5389" spans="1:1" x14ac:dyDescent="0.25">
      <c r="A5389" s="3"/>
    </row>
    <row r="5390" spans="1:1" x14ac:dyDescent="0.25">
      <c r="A5390" s="3"/>
    </row>
    <row r="5391" spans="1:1" x14ac:dyDescent="0.25">
      <c r="A5391" s="3"/>
    </row>
    <row r="5392" spans="1:1" x14ac:dyDescent="0.25">
      <c r="A5392" s="3"/>
    </row>
    <row r="5393" spans="1:1" x14ac:dyDescent="0.25">
      <c r="A5393" s="3"/>
    </row>
    <row r="5394" spans="1:1" x14ac:dyDescent="0.25">
      <c r="A5394" s="3"/>
    </row>
    <row r="5395" spans="1:1" x14ac:dyDescent="0.25">
      <c r="A5395" s="3"/>
    </row>
    <row r="5396" spans="1:1" x14ac:dyDescent="0.25">
      <c r="A5396" s="3"/>
    </row>
    <row r="5397" spans="1:1" x14ac:dyDescent="0.25">
      <c r="A5397" s="3"/>
    </row>
    <row r="5398" spans="1:1" x14ac:dyDescent="0.25">
      <c r="A5398" s="3"/>
    </row>
    <row r="5399" spans="1:1" x14ac:dyDescent="0.25">
      <c r="A5399" s="3"/>
    </row>
    <row r="5400" spans="1:1" x14ac:dyDescent="0.25">
      <c r="A5400" s="3"/>
    </row>
    <row r="5401" spans="1:1" x14ac:dyDescent="0.25">
      <c r="A5401" s="3"/>
    </row>
    <row r="5402" spans="1:1" x14ac:dyDescent="0.25">
      <c r="A5402" s="3"/>
    </row>
    <row r="5403" spans="1:1" x14ac:dyDescent="0.25">
      <c r="A5403" s="3"/>
    </row>
    <row r="5404" spans="1:1" x14ac:dyDescent="0.25">
      <c r="A5404" s="3"/>
    </row>
    <row r="5405" spans="1:1" x14ac:dyDescent="0.25">
      <c r="A5405" s="3"/>
    </row>
    <row r="5406" spans="1:1" x14ac:dyDescent="0.25">
      <c r="A5406" s="3"/>
    </row>
    <row r="5407" spans="1:1" x14ac:dyDescent="0.25">
      <c r="A5407" s="3"/>
    </row>
    <row r="5408" spans="1:1" x14ac:dyDescent="0.25">
      <c r="A5408" s="3"/>
    </row>
    <row r="5409" spans="1:1" x14ac:dyDescent="0.25">
      <c r="A5409" s="3"/>
    </row>
    <row r="5410" spans="1:1" x14ac:dyDescent="0.25">
      <c r="A5410" s="3"/>
    </row>
    <row r="5411" spans="1:1" x14ac:dyDescent="0.25">
      <c r="A5411" s="3"/>
    </row>
    <row r="5412" spans="1:1" x14ac:dyDescent="0.25">
      <c r="A5412" s="3"/>
    </row>
    <row r="5413" spans="1:1" x14ac:dyDescent="0.25">
      <c r="A5413" s="3"/>
    </row>
    <row r="5414" spans="1:1" x14ac:dyDescent="0.25">
      <c r="A5414" s="3"/>
    </row>
    <row r="5415" spans="1:1" x14ac:dyDescent="0.25">
      <c r="A5415" s="3"/>
    </row>
    <row r="5416" spans="1:1" x14ac:dyDescent="0.25">
      <c r="A5416" s="3"/>
    </row>
    <row r="5417" spans="1:1" x14ac:dyDescent="0.25">
      <c r="A5417" s="3"/>
    </row>
    <row r="5418" spans="1:1" x14ac:dyDescent="0.25">
      <c r="A5418" s="3"/>
    </row>
    <row r="5419" spans="1:1" x14ac:dyDescent="0.25">
      <c r="A5419" s="3"/>
    </row>
    <row r="5420" spans="1:1" x14ac:dyDescent="0.25">
      <c r="A5420" s="3"/>
    </row>
    <row r="5421" spans="1:1" x14ac:dyDescent="0.25">
      <c r="A5421" s="3"/>
    </row>
    <row r="5422" spans="1:1" x14ac:dyDescent="0.25">
      <c r="A5422" s="3"/>
    </row>
    <row r="5423" spans="1:1" x14ac:dyDescent="0.25">
      <c r="A5423" s="3"/>
    </row>
    <row r="5424" spans="1:1" x14ac:dyDescent="0.25">
      <c r="A5424" s="3"/>
    </row>
    <row r="5425" spans="1:1" x14ac:dyDescent="0.25">
      <c r="A5425" s="3"/>
    </row>
    <row r="5426" spans="1:1" x14ac:dyDescent="0.25">
      <c r="A5426" s="3"/>
    </row>
    <row r="5427" spans="1:1" x14ac:dyDescent="0.25">
      <c r="A5427" s="3"/>
    </row>
    <row r="5428" spans="1:1" x14ac:dyDescent="0.25">
      <c r="A5428" s="3"/>
    </row>
    <row r="5429" spans="1:1" x14ac:dyDescent="0.25">
      <c r="A5429" s="3"/>
    </row>
    <row r="5430" spans="1:1" x14ac:dyDescent="0.25">
      <c r="A5430" s="3"/>
    </row>
    <row r="5431" spans="1:1" x14ac:dyDescent="0.25">
      <c r="A5431" s="3"/>
    </row>
    <row r="5432" spans="1:1" x14ac:dyDescent="0.25">
      <c r="A5432" s="3"/>
    </row>
    <row r="5433" spans="1:1" x14ac:dyDescent="0.25">
      <c r="A5433" s="3"/>
    </row>
    <row r="5434" spans="1:1" x14ac:dyDescent="0.25">
      <c r="A5434" s="3"/>
    </row>
    <row r="5435" spans="1:1" x14ac:dyDescent="0.25">
      <c r="A5435" s="3"/>
    </row>
    <row r="5436" spans="1:1" x14ac:dyDescent="0.25">
      <c r="A5436" s="3"/>
    </row>
    <row r="5437" spans="1:1" x14ac:dyDescent="0.25">
      <c r="A5437" s="3"/>
    </row>
    <row r="5438" spans="1:1" x14ac:dyDescent="0.25">
      <c r="A5438" s="3"/>
    </row>
    <row r="5439" spans="1:1" x14ac:dyDescent="0.25">
      <c r="A5439" s="3"/>
    </row>
    <row r="5440" spans="1:1" x14ac:dyDescent="0.25">
      <c r="A5440" s="3"/>
    </row>
    <row r="5441" spans="1:1" x14ac:dyDescent="0.25">
      <c r="A5441" s="3"/>
    </row>
    <row r="5442" spans="1:1" x14ac:dyDescent="0.25">
      <c r="A5442" s="3"/>
    </row>
    <row r="5443" spans="1:1" x14ac:dyDescent="0.25">
      <c r="A5443" s="3"/>
    </row>
    <row r="5444" spans="1:1" x14ac:dyDescent="0.25">
      <c r="A5444" s="3"/>
    </row>
    <row r="5445" spans="1:1" x14ac:dyDescent="0.25">
      <c r="A5445" s="3"/>
    </row>
    <row r="5446" spans="1:1" x14ac:dyDescent="0.25">
      <c r="A5446" s="3"/>
    </row>
    <row r="5447" spans="1:1" x14ac:dyDescent="0.25">
      <c r="A5447" s="3"/>
    </row>
    <row r="5448" spans="1:1" x14ac:dyDescent="0.25">
      <c r="A5448" s="3"/>
    </row>
    <row r="5449" spans="1:1" x14ac:dyDescent="0.25">
      <c r="A5449" s="3"/>
    </row>
    <row r="5450" spans="1:1" x14ac:dyDescent="0.25">
      <c r="A5450" s="3"/>
    </row>
    <row r="5451" spans="1:1" x14ac:dyDescent="0.25">
      <c r="A5451" s="3"/>
    </row>
    <row r="5452" spans="1:1" x14ac:dyDescent="0.25">
      <c r="A5452" s="3"/>
    </row>
    <row r="5453" spans="1:1" x14ac:dyDescent="0.25">
      <c r="A5453" s="3"/>
    </row>
    <row r="5454" spans="1:1" x14ac:dyDescent="0.25">
      <c r="A5454" s="3"/>
    </row>
    <row r="5455" spans="1:1" x14ac:dyDescent="0.25">
      <c r="A5455" s="3"/>
    </row>
    <row r="5456" spans="1:1" x14ac:dyDescent="0.25">
      <c r="A5456" s="3"/>
    </row>
    <row r="5457" spans="1:1" x14ac:dyDescent="0.25">
      <c r="A5457" s="3"/>
    </row>
    <row r="5458" spans="1:1" x14ac:dyDescent="0.25">
      <c r="A5458" s="3"/>
    </row>
    <row r="5459" spans="1:1" x14ac:dyDescent="0.25">
      <c r="A5459" s="3"/>
    </row>
    <row r="5460" spans="1:1" x14ac:dyDescent="0.25">
      <c r="A5460" s="3"/>
    </row>
    <row r="5461" spans="1:1" x14ac:dyDescent="0.25">
      <c r="A5461" s="3"/>
    </row>
    <row r="5462" spans="1:1" x14ac:dyDescent="0.25">
      <c r="A5462" s="3"/>
    </row>
    <row r="5463" spans="1:1" x14ac:dyDescent="0.25">
      <c r="A5463" s="3"/>
    </row>
    <row r="5464" spans="1:1" x14ac:dyDescent="0.25">
      <c r="A5464" s="3"/>
    </row>
    <row r="5465" spans="1:1" x14ac:dyDescent="0.25">
      <c r="A5465" s="3"/>
    </row>
    <row r="5466" spans="1:1" x14ac:dyDescent="0.25">
      <c r="A5466" s="3"/>
    </row>
    <row r="5467" spans="1:1" x14ac:dyDescent="0.25">
      <c r="A5467" s="3"/>
    </row>
    <row r="5468" spans="1:1" x14ac:dyDescent="0.25">
      <c r="A5468" s="3"/>
    </row>
    <row r="5469" spans="1:1" x14ac:dyDescent="0.25">
      <c r="A5469" s="3"/>
    </row>
    <row r="5470" spans="1:1" x14ac:dyDescent="0.25">
      <c r="A5470" s="3"/>
    </row>
    <row r="5471" spans="1:1" x14ac:dyDescent="0.25">
      <c r="A5471" s="3"/>
    </row>
    <row r="5472" spans="1:1" x14ac:dyDescent="0.25">
      <c r="A5472" s="3"/>
    </row>
    <row r="5473" spans="1:1" x14ac:dyDescent="0.25">
      <c r="A5473" s="3"/>
    </row>
    <row r="5474" spans="1:1" x14ac:dyDescent="0.25">
      <c r="A5474" s="3"/>
    </row>
    <row r="5475" spans="1:1" x14ac:dyDescent="0.25">
      <c r="A5475" s="3"/>
    </row>
    <row r="5476" spans="1:1" x14ac:dyDescent="0.25">
      <c r="A5476" s="3"/>
    </row>
    <row r="5477" spans="1:1" x14ac:dyDescent="0.25">
      <c r="A5477" s="3"/>
    </row>
    <row r="5478" spans="1:1" x14ac:dyDescent="0.25">
      <c r="A5478" s="3"/>
    </row>
    <row r="5479" spans="1:1" x14ac:dyDescent="0.25">
      <c r="A5479" s="3"/>
    </row>
    <row r="5480" spans="1:1" x14ac:dyDescent="0.25">
      <c r="A5480" s="3"/>
    </row>
    <row r="5481" spans="1:1" x14ac:dyDescent="0.25">
      <c r="A5481" s="3"/>
    </row>
    <row r="5482" spans="1:1" x14ac:dyDescent="0.25">
      <c r="A5482" s="3"/>
    </row>
    <row r="5483" spans="1:1" x14ac:dyDescent="0.25">
      <c r="A5483" s="3"/>
    </row>
    <row r="5484" spans="1:1" x14ac:dyDescent="0.25">
      <c r="A5484" s="3"/>
    </row>
    <row r="5485" spans="1:1" x14ac:dyDescent="0.25">
      <c r="A5485" s="3"/>
    </row>
    <row r="5486" spans="1:1" x14ac:dyDescent="0.25">
      <c r="A5486" s="3"/>
    </row>
    <row r="5487" spans="1:1" x14ac:dyDescent="0.25">
      <c r="A5487" s="3"/>
    </row>
    <row r="5488" spans="1:1" x14ac:dyDescent="0.25">
      <c r="A5488" s="3"/>
    </row>
    <row r="5489" spans="1:1" x14ac:dyDescent="0.25">
      <c r="A5489" s="3"/>
    </row>
    <row r="5490" spans="1:1" x14ac:dyDescent="0.25">
      <c r="A5490" s="3"/>
    </row>
    <row r="5491" spans="1:1" x14ac:dyDescent="0.25">
      <c r="A5491" s="3"/>
    </row>
    <row r="5492" spans="1:1" x14ac:dyDescent="0.25">
      <c r="A5492" s="3"/>
    </row>
    <row r="5493" spans="1:1" x14ac:dyDescent="0.25">
      <c r="A5493" s="3"/>
    </row>
    <row r="5494" spans="1:1" x14ac:dyDescent="0.25">
      <c r="A5494" s="3"/>
    </row>
    <row r="5495" spans="1:1" x14ac:dyDescent="0.25">
      <c r="A5495" s="3"/>
    </row>
    <row r="5496" spans="1:1" x14ac:dyDescent="0.25">
      <c r="A5496" s="3"/>
    </row>
    <row r="5497" spans="1:1" x14ac:dyDescent="0.25">
      <c r="A5497" s="3"/>
    </row>
    <row r="5498" spans="1:1" x14ac:dyDescent="0.25">
      <c r="A5498" s="3"/>
    </row>
    <row r="5499" spans="1:1" x14ac:dyDescent="0.25">
      <c r="A5499" s="3"/>
    </row>
    <row r="5500" spans="1:1" x14ac:dyDescent="0.25">
      <c r="A5500" s="3"/>
    </row>
    <row r="5501" spans="1:1" x14ac:dyDescent="0.25">
      <c r="A5501" s="3"/>
    </row>
    <row r="5502" spans="1:1" x14ac:dyDescent="0.25">
      <c r="A5502" s="3"/>
    </row>
    <row r="5503" spans="1:1" x14ac:dyDescent="0.25">
      <c r="A5503" s="3"/>
    </row>
    <row r="5504" spans="1:1" x14ac:dyDescent="0.25">
      <c r="A5504" s="3"/>
    </row>
    <row r="5505" spans="1:1" x14ac:dyDescent="0.25">
      <c r="A5505" s="3"/>
    </row>
    <row r="5506" spans="1:1" x14ac:dyDescent="0.25">
      <c r="A5506" s="3"/>
    </row>
    <row r="5507" spans="1:1" x14ac:dyDescent="0.25">
      <c r="A5507" s="3"/>
    </row>
    <row r="5508" spans="1:1" x14ac:dyDescent="0.25">
      <c r="A5508" s="3"/>
    </row>
    <row r="5509" spans="1:1" x14ac:dyDescent="0.25">
      <c r="A5509" s="3"/>
    </row>
    <row r="5510" spans="1:1" x14ac:dyDescent="0.25">
      <c r="A5510" s="3"/>
    </row>
    <row r="5511" spans="1:1" x14ac:dyDescent="0.25">
      <c r="A5511" s="3"/>
    </row>
    <row r="5512" spans="1:1" x14ac:dyDescent="0.25">
      <c r="A5512" s="3"/>
    </row>
    <row r="5513" spans="1:1" x14ac:dyDescent="0.25">
      <c r="A5513" s="3"/>
    </row>
    <row r="5514" spans="1:1" x14ac:dyDescent="0.25">
      <c r="A5514" s="3"/>
    </row>
    <row r="5515" spans="1:1" x14ac:dyDescent="0.25">
      <c r="A5515" s="3"/>
    </row>
    <row r="5516" spans="1:1" x14ac:dyDescent="0.25">
      <c r="A5516" s="3"/>
    </row>
    <row r="5517" spans="1:1" x14ac:dyDescent="0.25">
      <c r="A5517" s="3"/>
    </row>
    <row r="5518" spans="1:1" x14ac:dyDescent="0.25">
      <c r="A5518" s="3"/>
    </row>
    <row r="5519" spans="1:1" x14ac:dyDescent="0.25">
      <c r="A5519" s="3"/>
    </row>
    <row r="5520" spans="1:1" x14ac:dyDescent="0.25">
      <c r="A5520" s="3"/>
    </row>
    <row r="5521" spans="1:1" x14ac:dyDescent="0.25">
      <c r="A5521" s="3"/>
    </row>
    <row r="5522" spans="1:1" x14ac:dyDescent="0.25">
      <c r="A5522" s="3"/>
    </row>
    <row r="5523" spans="1:1" x14ac:dyDescent="0.25">
      <c r="A5523" s="3"/>
    </row>
    <row r="5524" spans="1:1" x14ac:dyDescent="0.25">
      <c r="A5524" s="3"/>
    </row>
    <row r="5525" spans="1:1" x14ac:dyDescent="0.25">
      <c r="A5525" s="3"/>
    </row>
    <row r="5526" spans="1:1" x14ac:dyDescent="0.25">
      <c r="A5526" s="3"/>
    </row>
    <row r="5527" spans="1:1" x14ac:dyDescent="0.25">
      <c r="A5527" s="3"/>
    </row>
    <row r="5528" spans="1:1" x14ac:dyDescent="0.25">
      <c r="A5528" s="3"/>
    </row>
    <row r="5529" spans="1:1" x14ac:dyDescent="0.25">
      <c r="A5529" s="3"/>
    </row>
    <row r="5530" spans="1:1" x14ac:dyDescent="0.25">
      <c r="A5530" s="3"/>
    </row>
    <row r="5531" spans="1:1" x14ac:dyDescent="0.25">
      <c r="A5531" s="3"/>
    </row>
    <row r="5532" spans="1:1" x14ac:dyDescent="0.25">
      <c r="A5532" s="3"/>
    </row>
    <row r="5533" spans="1:1" x14ac:dyDescent="0.25">
      <c r="A5533" s="3"/>
    </row>
    <row r="5534" spans="1:1" x14ac:dyDescent="0.25">
      <c r="A5534" s="3"/>
    </row>
    <row r="5535" spans="1:1" x14ac:dyDescent="0.25">
      <c r="A5535" s="3"/>
    </row>
    <row r="5536" spans="1:1" x14ac:dyDescent="0.25">
      <c r="A5536" s="3"/>
    </row>
    <row r="5537" spans="1:1" x14ac:dyDescent="0.25">
      <c r="A5537" s="3"/>
    </row>
    <row r="5538" spans="1:1" x14ac:dyDescent="0.25">
      <c r="A5538" s="3"/>
    </row>
    <row r="5539" spans="1:1" x14ac:dyDescent="0.25">
      <c r="A5539" s="3"/>
    </row>
    <row r="5540" spans="1:1" x14ac:dyDescent="0.25">
      <c r="A5540" s="3"/>
    </row>
    <row r="5541" spans="1:1" x14ac:dyDescent="0.25">
      <c r="A5541" s="3"/>
    </row>
    <row r="5542" spans="1:1" x14ac:dyDescent="0.25">
      <c r="A5542" s="3"/>
    </row>
    <row r="5543" spans="1:1" x14ac:dyDescent="0.25">
      <c r="A5543" s="3"/>
    </row>
    <row r="5544" spans="1:1" x14ac:dyDescent="0.25">
      <c r="A5544" s="3"/>
    </row>
    <row r="5545" spans="1:1" x14ac:dyDescent="0.25">
      <c r="A5545" s="3"/>
    </row>
    <row r="5546" spans="1:1" x14ac:dyDescent="0.25">
      <c r="A5546" s="3"/>
    </row>
    <row r="5547" spans="1:1" x14ac:dyDescent="0.25">
      <c r="A5547" s="3"/>
    </row>
    <row r="5548" spans="1:1" x14ac:dyDescent="0.25">
      <c r="A5548" s="3"/>
    </row>
    <row r="5549" spans="1:1" x14ac:dyDescent="0.25">
      <c r="A5549" s="3"/>
    </row>
    <row r="5550" spans="1:1" x14ac:dyDescent="0.25">
      <c r="A5550" s="3"/>
    </row>
    <row r="5551" spans="1:1" x14ac:dyDescent="0.25">
      <c r="A5551" s="3"/>
    </row>
    <row r="5552" spans="1:1" x14ac:dyDescent="0.25">
      <c r="A5552" s="3"/>
    </row>
    <row r="5553" spans="1:1" x14ac:dyDescent="0.25">
      <c r="A5553" s="3"/>
    </row>
    <row r="5554" spans="1:1" x14ac:dyDescent="0.25">
      <c r="A5554" s="3"/>
    </row>
    <row r="5555" spans="1:1" x14ac:dyDescent="0.25">
      <c r="A5555" s="3"/>
    </row>
    <row r="5556" spans="1:1" x14ac:dyDescent="0.25">
      <c r="A5556" s="3"/>
    </row>
    <row r="5557" spans="1:1" x14ac:dyDescent="0.25">
      <c r="A5557" s="3"/>
    </row>
    <row r="5558" spans="1:1" x14ac:dyDescent="0.25">
      <c r="A5558" s="3"/>
    </row>
    <row r="5559" spans="1:1" x14ac:dyDescent="0.25">
      <c r="A5559" s="3"/>
    </row>
    <row r="5560" spans="1:1" x14ac:dyDescent="0.25">
      <c r="A5560" s="3"/>
    </row>
    <row r="5561" spans="1:1" x14ac:dyDescent="0.25">
      <c r="A5561" s="3"/>
    </row>
    <row r="5562" spans="1:1" x14ac:dyDescent="0.25">
      <c r="A5562" s="3"/>
    </row>
    <row r="5563" spans="1:1" x14ac:dyDescent="0.25">
      <c r="A5563" s="3"/>
    </row>
    <row r="5564" spans="1:1" x14ac:dyDescent="0.25">
      <c r="A5564" s="3"/>
    </row>
    <row r="5565" spans="1:1" x14ac:dyDescent="0.25">
      <c r="A5565" s="3"/>
    </row>
    <row r="5566" spans="1:1" x14ac:dyDescent="0.25">
      <c r="A5566" s="3"/>
    </row>
    <row r="5567" spans="1:1" x14ac:dyDescent="0.25">
      <c r="A5567" s="3"/>
    </row>
    <row r="5568" spans="1:1" x14ac:dyDescent="0.25">
      <c r="A5568" s="3"/>
    </row>
    <row r="5569" spans="1:1" x14ac:dyDescent="0.25">
      <c r="A5569" s="3"/>
    </row>
    <row r="5570" spans="1:1" x14ac:dyDescent="0.25">
      <c r="A5570" s="3"/>
    </row>
    <row r="5571" spans="1:1" x14ac:dyDescent="0.25">
      <c r="A5571" s="3"/>
    </row>
    <row r="5572" spans="1:1" x14ac:dyDescent="0.25">
      <c r="A5572" s="3"/>
    </row>
    <row r="5573" spans="1:1" x14ac:dyDescent="0.25">
      <c r="A5573" s="3"/>
    </row>
    <row r="5574" spans="1:1" x14ac:dyDescent="0.25">
      <c r="A5574" s="3"/>
    </row>
    <row r="5575" spans="1:1" x14ac:dyDescent="0.25">
      <c r="A5575" s="3"/>
    </row>
    <row r="5576" spans="1:1" x14ac:dyDescent="0.25">
      <c r="A5576" s="3"/>
    </row>
    <row r="5577" spans="1:1" x14ac:dyDescent="0.25">
      <c r="A5577" s="3"/>
    </row>
    <row r="5578" spans="1:1" x14ac:dyDescent="0.25">
      <c r="A5578" s="3"/>
    </row>
    <row r="5579" spans="1:1" x14ac:dyDescent="0.25">
      <c r="A5579" s="3"/>
    </row>
    <row r="5580" spans="1:1" x14ac:dyDescent="0.25">
      <c r="A5580" s="3"/>
    </row>
    <row r="5581" spans="1:1" x14ac:dyDescent="0.25">
      <c r="A5581" s="3"/>
    </row>
    <row r="5582" spans="1:1" x14ac:dyDescent="0.25">
      <c r="A5582" s="3"/>
    </row>
    <row r="5583" spans="1:1" x14ac:dyDescent="0.25">
      <c r="A5583" s="3"/>
    </row>
    <row r="5584" spans="1:1" x14ac:dyDescent="0.25">
      <c r="A5584" s="3"/>
    </row>
    <row r="5585" spans="1:1" x14ac:dyDescent="0.25">
      <c r="A5585" s="3"/>
    </row>
    <row r="5586" spans="1:1" x14ac:dyDescent="0.25">
      <c r="A5586" s="3"/>
    </row>
    <row r="5587" spans="1:1" x14ac:dyDescent="0.25">
      <c r="A5587" s="3"/>
    </row>
    <row r="5588" spans="1:1" x14ac:dyDescent="0.25">
      <c r="A5588" s="3"/>
    </row>
    <row r="5589" spans="1:1" x14ac:dyDescent="0.25">
      <c r="A5589" s="3"/>
    </row>
    <row r="5590" spans="1:1" x14ac:dyDescent="0.25">
      <c r="A5590" s="3"/>
    </row>
    <row r="5591" spans="1:1" x14ac:dyDescent="0.25">
      <c r="A5591" s="3"/>
    </row>
    <row r="5592" spans="1:1" x14ac:dyDescent="0.25">
      <c r="A5592" s="3"/>
    </row>
    <row r="5593" spans="1:1" x14ac:dyDescent="0.25">
      <c r="A5593" s="3"/>
    </row>
    <row r="5594" spans="1:1" x14ac:dyDescent="0.25">
      <c r="A5594" s="3"/>
    </row>
    <row r="5595" spans="1:1" x14ac:dyDescent="0.25">
      <c r="A5595" s="3"/>
    </row>
    <row r="5596" spans="1:1" x14ac:dyDescent="0.25">
      <c r="A5596" s="3"/>
    </row>
    <row r="5597" spans="1:1" x14ac:dyDescent="0.25">
      <c r="A5597" s="3"/>
    </row>
    <row r="5598" spans="1:1" x14ac:dyDescent="0.25">
      <c r="A5598" s="3"/>
    </row>
    <row r="5599" spans="1:1" x14ac:dyDescent="0.25">
      <c r="A5599" s="3"/>
    </row>
    <row r="5600" spans="1:1" x14ac:dyDescent="0.25">
      <c r="A5600" s="3"/>
    </row>
    <row r="5601" spans="1:1" x14ac:dyDescent="0.25">
      <c r="A5601" s="3"/>
    </row>
    <row r="5602" spans="1:1" x14ac:dyDescent="0.25">
      <c r="A5602" s="3"/>
    </row>
    <row r="5603" spans="1:1" x14ac:dyDescent="0.25">
      <c r="A5603" s="3"/>
    </row>
    <row r="5604" spans="1:1" x14ac:dyDescent="0.25">
      <c r="A5604" s="3"/>
    </row>
    <row r="5605" spans="1:1" x14ac:dyDescent="0.25">
      <c r="A5605" s="3"/>
    </row>
    <row r="5606" spans="1:1" x14ac:dyDescent="0.25">
      <c r="A5606" s="3"/>
    </row>
    <row r="5607" spans="1:1" x14ac:dyDescent="0.25">
      <c r="A5607" s="3"/>
    </row>
    <row r="5608" spans="1:1" x14ac:dyDescent="0.25">
      <c r="A5608" s="3"/>
    </row>
    <row r="5609" spans="1:1" x14ac:dyDescent="0.25">
      <c r="A5609" s="3"/>
    </row>
    <row r="5610" spans="1:1" x14ac:dyDescent="0.25">
      <c r="A5610" s="3"/>
    </row>
    <row r="5611" spans="1:1" x14ac:dyDescent="0.25">
      <c r="A5611" s="3"/>
    </row>
    <row r="5612" spans="1:1" x14ac:dyDescent="0.25">
      <c r="A5612" s="3"/>
    </row>
    <row r="5613" spans="1:1" x14ac:dyDescent="0.25">
      <c r="A5613" s="3"/>
    </row>
    <row r="5614" spans="1:1" x14ac:dyDescent="0.25">
      <c r="A5614" s="3"/>
    </row>
    <row r="5615" spans="1:1" x14ac:dyDescent="0.25">
      <c r="A5615" s="3"/>
    </row>
    <row r="5616" spans="1:1" x14ac:dyDescent="0.25">
      <c r="A5616" s="3"/>
    </row>
    <row r="5617" spans="1:1" x14ac:dyDescent="0.25">
      <c r="A5617" s="3"/>
    </row>
    <row r="5618" spans="1:1" x14ac:dyDescent="0.25">
      <c r="A5618" s="3"/>
    </row>
    <row r="5619" spans="1:1" x14ac:dyDescent="0.25">
      <c r="A5619" s="3"/>
    </row>
    <row r="5620" spans="1:1" x14ac:dyDescent="0.25">
      <c r="A5620" s="3"/>
    </row>
    <row r="5621" spans="1:1" x14ac:dyDescent="0.25">
      <c r="A5621" s="3"/>
    </row>
    <row r="5622" spans="1:1" x14ac:dyDescent="0.25">
      <c r="A5622" s="3"/>
    </row>
    <row r="5623" spans="1:1" x14ac:dyDescent="0.25">
      <c r="A5623" s="3"/>
    </row>
    <row r="5624" spans="1:1" x14ac:dyDescent="0.25">
      <c r="A5624" s="3"/>
    </row>
    <row r="5625" spans="1:1" x14ac:dyDescent="0.25">
      <c r="A5625" s="3"/>
    </row>
    <row r="5626" spans="1:1" x14ac:dyDescent="0.25">
      <c r="A5626" s="3"/>
    </row>
    <row r="5627" spans="1:1" x14ac:dyDescent="0.25">
      <c r="A5627" s="3"/>
    </row>
    <row r="5628" spans="1:1" x14ac:dyDescent="0.25">
      <c r="A5628" s="3"/>
    </row>
    <row r="5629" spans="1:1" x14ac:dyDescent="0.25">
      <c r="A5629" s="3"/>
    </row>
    <row r="5630" spans="1:1" x14ac:dyDescent="0.25">
      <c r="A5630" s="3"/>
    </row>
    <row r="5631" spans="1:1" x14ac:dyDescent="0.25">
      <c r="A5631" s="3"/>
    </row>
    <row r="5632" spans="1:1" x14ac:dyDescent="0.25">
      <c r="A5632" s="3"/>
    </row>
    <row r="5633" spans="1:1" x14ac:dyDescent="0.25">
      <c r="A5633" s="3"/>
    </row>
    <row r="5634" spans="1:1" x14ac:dyDescent="0.25">
      <c r="A5634" s="3"/>
    </row>
    <row r="5635" spans="1:1" x14ac:dyDescent="0.25">
      <c r="A5635" s="3"/>
    </row>
    <row r="5636" spans="1:1" x14ac:dyDescent="0.25">
      <c r="A5636" s="3"/>
    </row>
    <row r="5637" spans="1:1" x14ac:dyDescent="0.25">
      <c r="A5637" s="3"/>
    </row>
    <row r="5638" spans="1:1" x14ac:dyDescent="0.25">
      <c r="A5638" s="3"/>
    </row>
    <row r="5639" spans="1:1" x14ac:dyDescent="0.25">
      <c r="A5639" s="3"/>
    </row>
    <row r="5640" spans="1:1" x14ac:dyDescent="0.25">
      <c r="A5640" s="3"/>
    </row>
    <row r="5641" spans="1:1" x14ac:dyDescent="0.25">
      <c r="A5641" s="3"/>
    </row>
    <row r="5642" spans="1:1" x14ac:dyDescent="0.25">
      <c r="A5642" s="3"/>
    </row>
    <row r="5643" spans="1:1" x14ac:dyDescent="0.25">
      <c r="A5643" s="3"/>
    </row>
    <row r="5644" spans="1:1" x14ac:dyDescent="0.25">
      <c r="A5644" s="3"/>
    </row>
    <row r="5645" spans="1:1" x14ac:dyDescent="0.25">
      <c r="A5645" s="3"/>
    </row>
    <row r="5646" spans="1:1" x14ac:dyDescent="0.25">
      <c r="A5646" s="3"/>
    </row>
    <row r="5647" spans="1:1" x14ac:dyDescent="0.25">
      <c r="A5647" s="3"/>
    </row>
    <row r="5648" spans="1:1" x14ac:dyDescent="0.25">
      <c r="A5648" s="3"/>
    </row>
    <row r="5649" spans="1:1" x14ac:dyDescent="0.25">
      <c r="A5649" s="3"/>
    </row>
    <row r="5650" spans="1:1" x14ac:dyDescent="0.25">
      <c r="A5650" s="3"/>
    </row>
    <row r="5651" spans="1:1" x14ac:dyDescent="0.25">
      <c r="A5651" s="3"/>
    </row>
    <row r="5652" spans="1:1" x14ac:dyDescent="0.25">
      <c r="A5652" s="3"/>
    </row>
    <row r="5653" spans="1:1" x14ac:dyDescent="0.25">
      <c r="A5653" s="3"/>
    </row>
    <row r="5654" spans="1:1" x14ac:dyDescent="0.25">
      <c r="A5654" s="3"/>
    </row>
    <row r="5655" spans="1:1" x14ac:dyDescent="0.25">
      <c r="A5655" s="3"/>
    </row>
    <row r="5656" spans="1:1" x14ac:dyDescent="0.25">
      <c r="A5656" s="3"/>
    </row>
    <row r="5657" spans="1:1" x14ac:dyDescent="0.25">
      <c r="A5657" s="3"/>
    </row>
    <row r="5658" spans="1:1" x14ac:dyDescent="0.25">
      <c r="A5658" s="3"/>
    </row>
    <row r="5659" spans="1:1" x14ac:dyDescent="0.25">
      <c r="A5659" s="3"/>
    </row>
    <row r="5660" spans="1:1" x14ac:dyDescent="0.25">
      <c r="A5660" s="3"/>
    </row>
    <row r="5661" spans="1:1" x14ac:dyDescent="0.25">
      <c r="A5661" s="3"/>
    </row>
    <row r="5662" spans="1:1" x14ac:dyDescent="0.25">
      <c r="A5662" s="3"/>
    </row>
    <row r="5663" spans="1:1" x14ac:dyDescent="0.25">
      <c r="A5663" s="3"/>
    </row>
    <row r="5664" spans="1:1" x14ac:dyDescent="0.25">
      <c r="A5664" s="3"/>
    </row>
    <row r="5665" spans="1:1" x14ac:dyDescent="0.25">
      <c r="A5665" s="3"/>
    </row>
    <row r="5666" spans="1:1" x14ac:dyDescent="0.25">
      <c r="A5666" s="3"/>
    </row>
    <row r="5667" spans="1:1" x14ac:dyDescent="0.25">
      <c r="A5667" s="3"/>
    </row>
    <row r="5668" spans="1:1" x14ac:dyDescent="0.25">
      <c r="A5668" s="3"/>
    </row>
    <row r="5669" spans="1:1" x14ac:dyDescent="0.25">
      <c r="A5669" s="3"/>
    </row>
    <row r="5670" spans="1:1" x14ac:dyDescent="0.25">
      <c r="A5670" s="3"/>
    </row>
    <row r="5671" spans="1:1" x14ac:dyDescent="0.25">
      <c r="A5671" s="3"/>
    </row>
    <row r="5672" spans="1:1" x14ac:dyDescent="0.25">
      <c r="A5672" s="3"/>
    </row>
    <row r="5673" spans="1:1" x14ac:dyDescent="0.25">
      <c r="A5673" s="3"/>
    </row>
    <row r="5674" spans="1:1" x14ac:dyDescent="0.25">
      <c r="A5674" s="3"/>
    </row>
    <row r="5675" spans="1:1" x14ac:dyDescent="0.25">
      <c r="A5675" s="3"/>
    </row>
    <row r="5676" spans="1:1" x14ac:dyDescent="0.25">
      <c r="A5676" s="3"/>
    </row>
    <row r="5677" spans="1:1" x14ac:dyDescent="0.25">
      <c r="A5677" s="3"/>
    </row>
    <row r="5678" spans="1:1" x14ac:dyDescent="0.25">
      <c r="A5678" s="3"/>
    </row>
    <row r="5679" spans="1:1" x14ac:dyDescent="0.25">
      <c r="A5679" s="3"/>
    </row>
    <row r="5680" spans="1:1" x14ac:dyDescent="0.25">
      <c r="A5680" s="3"/>
    </row>
    <row r="5681" spans="1:1" x14ac:dyDescent="0.25">
      <c r="A5681" s="3"/>
    </row>
    <row r="5682" spans="1:1" x14ac:dyDescent="0.25">
      <c r="A5682" s="3"/>
    </row>
    <row r="5683" spans="1:1" x14ac:dyDescent="0.25">
      <c r="A5683" s="3"/>
    </row>
    <row r="5684" spans="1:1" x14ac:dyDescent="0.25">
      <c r="A5684" s="3"/>
    </row>
    <row r="5685" spans="1:1" x14ac:dyDescent="0.25">
      <c r="A5685" s="3"/>
    </row>
    <row r="5686" spans="1:1" x14ac:dyDescent="0.25">
      <c r="A5686" s="3"/>
    </row>
    <row r="5687" spans="1:1" x14ac:dyDescent="0.25">
      <c r="A5687" s="3"/>
    </row>
    <row r="5688" spans="1:1" x14ac:dyDescent="0.25">
      <c r="A5688" s="3"/>
    </row>
    <row r="5689" spans="1:1" x14ac:dyDescent="0.25">
      <c r="A5689" s="3"/>
    </row>
    <row r="5690" spans="1:1" x14ac:dyDescent="0.25">
      <c r="A5690" s="3"/>
    </row>
    <row r="5691" spans="1:1" x14ac:dyDescent="0.25">
      <c r="A5691" s="3"/>
    </row>
    <row r="5692" spans="1:1" x14ac:dyDescent="0.25">
      <c r="A5692" s="3"/>
    </row>
    <row r="5693" spans="1:1" x14ac:dyDescent="0.25">
      <c r="A5693" s="3"/>
    </row>
    <row r="5694" spans="1:1" x14ac:dyDescent="0.25">
      <c r="A5694" s="3"/>
    </row>
    <row r="5695" spans="1:1" x14ac:dyDescent="0.25">
      <c r="A5695" s="3"/>
    </row>
    <row r="5696" spans="1:1" x14ac:dyDescent="0.25">
      <c r="A5696" s="3"/>
    </row>
    <row r="5697" spans="1:1" x14ac:dyDescent="0.25">
      <c r="A5697" s="3"/>
    </row>
    <row r="5698" spans="1:1" x14ac:dyDescent="0.25">
      <c r="A5698" s="3"/>
    </row>
    <row r="5699" spans="1:1" x14ac:dyDescent="0.25">
      <c r="A5699" s="3"/>
    </row>
    <row r="5700" spans="1:1" x14ac:dyDescent="0.25">
      <c r="A5700" s="3"/>
    </row>
    <row r="5701" spans="1:1" x14ac:dyDescent="0.25">
      <c r="A5701" s="3"/>
    </row>
    <row r="5702" spans="1:1" x14ac:dyDescent="0.25">
      <c r="A5702" s="3"/>
    </row>
    <row r="5703" spans="1:1" x14ac:dyDescent="0.25">
      <c r="A5703" s="3"/>
    </row>
    <row r="5704" spans="1:1" x14ac:dyDescent="0.25">
      <c r="A5704" s="3"/>
    </row>
    <row r="5705" spans="1:1" x14ac:dyDescent="0.25">
      <c r="A5705" s="3"/>
    </row>
    <row r="5706" spans="1:1" x14ac:dyDescent="0.25">
      <c r="A5706" s="3"/>
    </row>
    <row r="5707" spans="1:1" x14ac:dyDescent="0.25">
      <c r="A5707" s="3"/>
    </row>
    <row r="5708" spans="1:1" x14ac:dyDescent="0.25">
      <c r="A5708" s="3"/>
    </row>
    <row r="5709" spans="1:1" x14ac:dyDescent="0.25">
      <c r="A5709" s="3"/>
    </row>
    <row r="5710" spans="1:1" x14ac:dyDescent="0.25">
      <c r="A5710" s="3"/>
    </row>
    <row r="5711" spans="1:1" x14ac:dyDescent="0.25">
      <c r="A5711" s="3"/>
    </row>
    <row r="5712" spans="1:1" x14ac:dyDescent="0.25">
      <c r="A5712" s="3"/>
    </row>
    <row r="5713" spans="1:1" x14ac:dyDescent="0.25">
      <c r="A5713" s="3"/>
    </row>
    <row r="5714" spans="1:1" x14ac:dyDescent="0.25">
      <c r="A5714" s="3"/>
    </row>
    <row r="5715" spans="1:1" x14ac:dyDescent="0.25">
      <c r="A5715" s="3"/>
    </row>
    <row r="5716" spans="1:1" x14ac:dyDescent="0.25">
      <c r="A5716" s="3"/>
    </row>
    <row r="5717" spans="1:1" x14ac:dyDescent="0.25">
      <c r="A5717" s="3"/>
    </row>
    <row r="5718" spans="1:1" x14ac:dyDescent="0.25">
      <c r="A5718" s="3"/>
    </row>
    <row r="5719" spans="1:1" x14ac:dyDescent="0.25">
      <c r="A5719" s="3"/>
    </row>
    <row r="5720" spans="1:1" x14ac:dyDescent="0.25">
      <c r="A5720" s="3"/>
    </row>
    <row r="5721" spans="1:1" x14ac:dyDescent="0.25">
      <c r="A5721" s="3"/>
    </row>
    <row r="5722" spans="1:1" x14ac:dyDescent="0.25">
      <c r="A5722" s="3"/>
    </row>
    <row r="5723" spans="1:1" x14ac:dyDescent="0.25">
      <c r="A5723" s="3"/>
    </row>
    <row r="5724" spans="1:1" x14ac:dyDescent="0.25">
      <c r="A5724" s="3"/>
    </row>
    <row r="5725" spans="1:1" x14ac:dyDescent="0.25">
      <c r="A5725" s="3"/>
    </row>
    <row r="5726" spans="1:1" x14ac:dyDescent="0.25">
      <c r="A5726" s="3"/>
    </row>
    <row r="5727" spans="1:1" x14ac:dyDescent="0.25">
      <c r="A5727" s="3"/>
    </row>
    <row r="5728" spans="1:1" x14ac:dyDescent="0.25">
      <c r="A5728" s="3"/>
    </row>
    <row r="5729" spans="1:1" x14ac:dyDescent="0.25">
      <c r="A5729" s="3"/>
    </row>
    <row r="5730" spans="1:1" x14ac:dyDescent="0.25">
      <c r="A5730" s="3"/>
    </row>
    <row r="5731" spans="1:1" x14ac:dyDescent="0.25">
      <c r="A5731" s="3"/>
    </row>
    <row r="5732" spans="1:1" x14ac:dyDescent="0.25">
      <c r="A5732" s="3"/>
    </row>
    <row r="5733" spans="1:1" x14ac:dyDescent="0.25">
      <c r="A5733" s="3"/>
    </row>
    <row r="5734" spans="1:1" x14ac:dyDescent="0.25">
      <c r="A5734" s="3"/>
    </row>
    <row r="5735" spans="1:1" x14ac:dyDescent="0.25">
      <c r="A5735" s="3"/>
    </row>
    <row r="5736" spans="1:1" x14ac:dyDescent="0.25">
      <c r="A5736" s="3"/>
    </row>
    <row r="5737" spans="1:1" x14ac:dyDescent="0.25">
      <c r="A5737" s="3"/>
    </row>
    <row r="5738" spans="1:1" x14ac:dyDescent="0.25">
      <c r="A5738" s="3"/>
    </row>
    <row r="5739" spans="1:1" x14ac:dyDescent="0.25">
      <c r="A5739" s="3"/>
    </row>
    <row r="5740" spans="1:1" x14ac:dyDescent="0.25">
      <c r="A5740" s="3"/>
    </row>
    <row r="5741" spans="1:1" x14ac:dyDescent="0.25">
      <c r="A5741" s="3"/>
    </row>
    <row r="5742" spans="1:1" x14ac:dyDescent="0.25">
      <c r="A5742" s="3"/>
    </row>
    <row r="5743" spans="1:1" x14ac:dyDescent="0.25">
      <c r="A5743" s="3"/>
    </row>
    <row r="5744" spans="1:1" x14ac:dyDescent="0.25">
      <c r="A5744" s="3"/>
    </row>
    <row r="5745" spans="1:1" x14ac:dyDescent="0.25">
      <c r="A5745" s="3"/>
    </row>
    <row r="5746" spans="1:1" x14ac:dyDescent="0.25">
      <c r="A5746" s="3"/>
    </row>
    <row r="5747" spans="1:1" x14ac:dyDescent="0.25">
      <c r="A5747" s="3"/>
    </row>
    <row r="5748" spans="1:1" x14ac:dyDescent="0.25">
      <c r="A5748" s="3"/>
    </row>
    <row r="5749" spans="1:1" x14ac:dyDescent="0.25">
      <c r="A5749" s="3"/>
    </row>
    <row r="5750" spans="1:1" x14ac:dyDescent="0.25">
      <c r="A5750" s="3"/>
    </row>
    <row r="5751" spans="1:1" x14ac:dyDescent="0.25">
      <c r="A5751" s="3"/>
    </row>
    <row r="5752" spans="1:1" x14ac:dyDescent="0.25">
      <c r="A5752" s="3"/>
    </row>
    <row r="5753" spans="1:1" x14ac:dyDescent="0.25">
      <c r="A5753" s="3"/>
    </row>
    <row r="5754" spans="1:1" x14ac:dyDescent="0.25">
      <c r="A5754" s="3"/>
    </row>
    <row r="5755" spans="1:1" x14ac:dyDescent="0.25">
      <c r="A5755" s="3"/>
    </row>
    <row r="5756" spans="1:1" x14ac:dyDescent="0.25">
      <c r="A5756" s="3"/>
    </row>
    <row r="5757" spans="1:1" x14ac:dyDescent="0.25">
      <c r="A5757" s="3"/>
    </row>
    <row r="5758" spans="1:1" x14ac:dyDescent="0.25">
      <c r="A5758" s="3"/>
    </row>
    <row r="5759" spans="1:1" x14ac:dyDescent="0.25">
      <c r="A5759" s="3"/>
    </row>
    <row r="5760" spans="1:1" x14ac:dyDescent="0.25">
      <c r="A5760" s="3"/>
    </row>
    <row r="5761" spans="1:1" x14ac:dyDescent="0.25">
      <c r="A5761" s="3"/>
    </row>
    <row r="5762" spans="1:1" x14ac:dyDescent="0.25">
      <c r="A5762" s="3"/>
    </row>
    <row r="5763" spans="1:1" x14ac:dyDescent="0.25">
      <c r="A5763" s="3"/>
    </row>
    <row r="5764" spans="1:1" x14ac:dyDescent="0.25">
      <c r="A5764" s="3"/>
    </row>
    <row r="5765" spans="1:1" x14ac:dyDescent="0.25">
      <c r="A5765" s="3"/>
    </row>
    <row r="5766" spans="1:1" x14ac:dyDescent="0.25">
      <c r="A5766" s="3"/>
    </row>
    <row r="5767" spans="1:1" x14ac:dyDescent="0.25">
      <c r="A5767" s="3"/>
    </row>
    <row r="5768" spans="1:1" x14ac:dyDescent="0.25">
      <c r="A5768" s="3"/>
    </row>
    <row r="5769" spans="1:1" x14ac:dyDescent="0.25">
      <c r="A5769" s="3"/>
    </row>
    <row r="5770" spans="1:1" x14ac:dyDescent="0.25">
      <c r="A5770" s="3"/>
    </row>
    <row r="5771" spans="1:1" x14ac:dyDescent="0.25">
      <c r="A5771" s="3"/>
    </row>
    <row r="5772" spans="1:1" x14ac:dyDescent="0.25">
      <c r="A5772" s="3"/>
    </row>
    <row r="5773" spans="1:1" x14ac:dyDescent="0.25">
      <c r="A5773" s="3"/>
    </row>
    <row r="5774" spans="1:1" x14ac:dyDescent="0.25">
      <c r="A5774" s="3"/>
    </row>
    <row r="5775" spans="1:1" x14ac:dyDescent="0.25">
      <c r="A5775" s="3"/>
    </row>
    <row r="5776" spans="1:1" x14ac:dyDescent="0.25">
      <c r="A5776" s="3"/>
    </row>
    <row r="5777" spans="1:1" x14ac:dyDescent="0.25">
      <c r="A5777" s="3"/>
    </row>
    <row r="5778" spans="1:1" x14ac:dyDescent="0.25">
      <c r="A5778" s="3"/>
    </row>
    <row r="5779" spans="1:1" x14ac:dyDescent="0.25">
      <c r="A5779" s="3"/>
    </row>
    <row r="5780" spans="1:1" x14ac:dyDescent="0.25">
      <c r="A5780" s="3"/>
    </row>
    <row r="5781" spans="1:1" x14ac:dyDescent="0.25">
      <c r="A5781" s="3"/>
    </row>
    <row r="5782" spans="1:1" x14ac:dyDescent="0.25">
      <c r="A5782" s="3"/>
    </row>
    <row r="5783" spans="1:1" x14ac:dyDescent="0.25">
      <c r="A5783" s="3"/>
    </row>
    <row r="5784" spans="1:1" x14ac:dyDescent="0.25">
      <c r="A5784" s="3"/>
    </row>
    <row r="5785" spans="1:1" x14ac:dyDescent="0.25">
      <c r="A5785" s="3"/>
    </row>
    <row r="5786" spans="1:1" x14ac:dyDescent="0.25">
      <c r="A5786" s="3"/>
    </row>
    <row r="5787" spans="1:1" x14ac:dyDescent="0.25">
      <c r="A5787" s="3"/>
    </row>
    <row r="5788" spans="1:1" x14ac:dyDescent="0.25">
      <c r="A5788" s="3"/>
    </row>
    <row r="5789" spans="1:1" x14ac:dyDescent="0.25">
      <c r="A5789" s="3"/>
    </row>
    <row r="5790" spans="1:1" x14ac:dyDescent="0.25">
      <c r="A5790" s="3"/>
    </row>
    <row r="5791" spans="1:1" x14ac:dyDescent="0.25">
      <c r="A5791" s="3"/>
    </row>
    <row r="5792" spans="1:1" x14ac:dyDescent="0.25">
      <c r="A5792" s="3"/>
    </row>
    <row r="5793" spans="1:1" x14ac:dyDescent="0.25">
      <c r="A5793" s="3"/>
    </row>
    <row r="5794" spans="1:1" x14ac:dyDescent="0.25">
      <c r="A5794" s="3"/>
    </row>
    <row r="5795" spans="1:1" x14ac:dyDescent="0.25">
      <c r="A5795" s="3"/>
    </row>
    <row r="5796" spans="1:1" x14ac:dyDescent="0.25">
      <c r="A5796" s="3"/>
    </row>
    <row r="5797" spans="1:1" x14ac:dyDescent="0.25">
      <c r="A5797" s="3"/>
    </row>
    <row r="5798" spans="1:1" x14ac:dyDescent="0.25">
      <c r="A5798" s="3"/>
    </row>
    <row r="5799" spans="1:1" x14ac:dyDescent="0.25">
      <c r="A5799" s="3"/>
    </row>
    <row r="5800" spans="1:1" x14ac:dyDescent="0.25">
      <c r="A5800" s="3"/>
    </row>
    <row r="5801" spans="1:1" x14ac:dyDescent="0.25">
      <c r="A5801" s="3"/>
    </row>
    <row r="5802" spans="1:1" x14ac:dyDescent="0.25">
      <c r="A5802" s="3"/>
    </row>
    <row r="5803" spans="1:1" x14ac:dyDescent="0.25">
      <c r="A5803" s="3"/>
    </row>
    <row r="5804" spans="1:1" x14ac:dyDescent="0.25">
      <c r="A5804" s="3"/>
    </row>
    <row r="5805" spans="1:1" x14ac:dyDescent="0.25">
      <c r="A5805" s="3"/>
    </row>
    <row r="5806" spans="1:1" x14ac:dyDescent="0.25">
      <c r="A5806" s="3"/>
    </row>
    <row r="5807" spans="1:1" x14ac:dyDescent="0.25">
      <c r="A5807" s="3"/>
    </row>
    <row r="5808" spans="1:1" x14ac:dyDescent="0.25">
      <c r="A5808" s="3"/>
    </row>
    <row r="5809" spans="1:1" x14ac:dyDescent="0.25">
      <c r="A5809" s="3"/>
    </row>
    <row r="5810" spans="1:1" x14ac:dyDescent="0.25">
      <c r="A5810" s="3"/>
    </row>
    <row r="5811" spans="1:1" x14ac:dyDescent="0.25">
      <c r="A5811" s="3"/>
    </row>
    <row r="5812" spans="1:1" x14ac:dyDescent="0.25">
      <c r="A5812" s="3"/>
    </row>
    <row r="5813" spans="1:1" x14ac:dyDescent="0.25">
      <c r="A5813" s="3"/>
    </row>
    <row r="5814" spans="1:1" x14ac:dyDescent="0.25">
      <c r="A5814" s="3"/>
    </row>
    <row r="5815" spans="1:1" x14ac:dyDescent="0.25">
      <c r="A5815" s="3"/>
    </row>
    <row r="5816" spans="1:1" x14ac:dyDescent="0.25">
      <c r="A5816" s="3"/>
    </row>
    <row r="5817" spans="1:1" x14ac:dyDescent="0.25">
      <c r="A5817" s="3"/>
    </row>
    <row r="5818" spans="1:1" x14ac:dyDescent="0.25">
      <c r="A5818" s="3"/>
    </row>
    <row r="5819" spans="1:1" x14ac:dyDescent="0.25">
      <c r="A5819" s="3"/>
    </row>
    <row r="5820" spans="1:1" x14ac:dyDescent="0.25">
      <c r="A5820" s="3"/>
    </row>
    <row r="5821" spans="1:1" x14ac:dyDescent="0.25">
      <c r="A5821" s="3"/>
    </row>
    <row r="5822" spans="1:1" x14ac:dyDescent="0.25">
      <c r="A5822" s="3"/>
    </row>
    <row r="5823" spans="1:1" x14ac:dyDescent="0.25">
      <c r="A5823" s="3"/>
    </row>
    <row r="5824" spans="1:1" x14ac:dyDescent="0.25">
      <c r="A5824" s="3"/>
    </row>
    <row r="5825" spans="1:1" x14ac:dyDescent="0.25">
      <c r="A5825" s="3"/>
    </row>
    <row r="5826" spans="1:1" x14ac:dyDescent="0.25">
      <c r="A5826" s="3"/>
    </row>
    <row r="5827" spans="1:1" x14ac:dyDescent="0.25">
      <c r="A5827" s="3"/>
    </row>
    <row r="5828" spans="1:1" x14ac:dyDescent="0.25">
      <c r="A5828" s="3"/>
    </row>
    <row r="5829" spans="1:1" x14ac:dyDescent="0.25">
      <c r="A5829" s="3"/>
    </row>
    <row r="5830" spans="1:1" x14ac:dyDescent="0.25">
      <c r="A5830" s="3"/>
    </row>
    <row r="5831" spans="1:1" x14ac:dyDescent="0.25">
      <c r="A5831" s="3"/>
    </row>
    <row r="5832" spans="1:1" x14ac:dyDescent="0.25">
      <c r="A5832" s="3"/>
    </row>
    <row r="5833" spans="1:1" x14ac:dyDescent="0.25">
      <c r="A5833" s="3"/>
    </row>
    <row r="5834" spans="1:1" x14ac:dyDescent="0.25">
      <c r="A5834" s="3"/>
    </row>
    <row r="5835" spans="1:1" x14ac:dyDescent="0.25">
      <c r="A5835" s="3"/>
    </row>
    <row r="5836" spans="1:1" x14ac:dyDescent="0.25">
      <c r="A5836" s="3"/>
    </row>
    <row r="5837" spans="1:1" x14ac:dyDescent="0.25">
      <c r="A5837" s="3"/>
    </row>
    <row r="5838" spans="1:1" x14ac:dyDescent="0.25">
      <c r="A5838" s="3"/>
    </row>
    <row r="5839" spans="1:1" x14ac:dyDescent="0.25">
      <c r="A5839" s="3"/>
    </row>
    <row r="5840" spans="1:1" x14ac:dyDescent="0.25">
      <c r="A5840" s="3"/>
    </row>
    <row r="5841" spans="1:1" x14ac:dyDescent="0.25">
      <c r="A5841" s="3"/>
    </row>
    <row r="5842" spans="1:1" x14ac:dyDescent="0.25">
      <c r="A5842" s="3"/>
    </row>
    <row r="5843" spans="1:1" x14ac:dyDescent="0.25">
      <c r="A5843" s="3"/>
    </row>
    <row r="5844" spans="1:1" x14ac:dyDescent="0.25">
      <c r="A5844" s="3"/>
    </row>
    <row r="5845" spans="1:1" x14ac:dyDescent="0.25">
      <c r="A5845" s="3"/>
    </row>
    <row r="5846" spans="1:1" x14ac:dyDescent="0.25">
      <c r="A5846" s="3"/>
    </row>
    <row r="5847" spans="1:1" x14ac:dyDescent="0.25">
      <c r="A5847" s="3"/>
    </row>
    <row r="5848" spans="1:1" x14ac:dyDescent="0.25">
      <c r="A5848" s="3"/>
    </row>
    <row r="5849" spans="1:1" x14ac:dyDescent="0.25">
      <c r="A5849" s="3"/>
    </row>
    <row r="5850" spans="1:1" x14ac:dyDescent="0.25">
      <c r="A5850" s="3"/>
    </row>
    <row r="5851" spans="1:1" x14ac:dyDescent="0.25">
      <c r="A5851" s="3"/>
    </row>
    <row r="5852" spans="1:1" x14ac:dyDescent="0.25">
      <c r="A5852" s="3"/>
    </row>
    <row r="5853" spans="1:1" x14ac:dyDescent="0.25">
      <c r="A5853" s="3"/>
    </row>
    <row r="5854" spans="1:1" x14ac:dyDescent="0.25">
      <c r="A5854" s="3"/>
    </row>
    <row r="5855" spans="1:1" x14ac:dyDescent="0.25">
      <c r="A5855" s="3"/>
    </row>
    <row r="5856" spans="1:1" x14ac:dyDescent="0.25">
      <c r="A5856" s="3"/>
    </row>
    <row r="5857" spans="1:1" x14ac:dyDescent="0.25">
      <c r="A5857" s="3"/>
    </row>
    <row r="5858" spans="1:1" x14ac:dyDescent="0.25">
      <c r="A5858" s="3"/>
    </row>
    <row r="5859" spans="1:1" x14ac:dyDescent="0.25">
      <c r="A5859" s="3"/>
    </row>
    <row r="5860" spans="1:1" x14ac:dyDescent="0.25">
      <c r="A5860" s="3"/>
    </row>
    <row r="5861" spans="1:1" x14ac:dyDescent="0.25">
      <c r="A5861" s="3"/>
    </row>
    <row r="5862" spans="1:1" x14ac:dyDescent="0.25">
      <c r="A5862" s="3"/>
    </row>
    <row r="5863" spans="1:1" x14ac:dyDescent="0.25">
      <c r="A5863" s="3"/>
    </row>
    <row r="5864" spans="1:1" x14ac:dyDescent="0.25">
      <c r="A5864" s="3"/>
    </row>
    <row r="5865" spans="1:1" x14ac:dyDescent="0.25">
      <c r="A5865" s="3"/>
    </row>
    <row r="5866" spans="1:1" x14ac:dyDescent="0.25">
      <c r="A5866" s="3"/>
    </row>
    <row r="5867" spans="1:1" x14ac:dyDescent="0.25">
      <c r="A5867" s="3"/>
    </row>
    <row r="5868" spans="1:1" x14ac:dyDescent="0.25">
      <c r="A5868" s="3"/>
    </row>
    <row r="5869" spans="1:1" x14ac:dyDescent="0.25">
      <c r="A5869" s="3"/>
    </row>
    <row r="5870" spans="1:1" x14ac:dyDescent="0.25">
      <c r="A5870" s="3"/>
    </row>
    <row r="5871" spans="1:1" x14ac:dyDescent="0.25">
      <c r="A5871" s="3"/>
    </row>
    <row r="5872" spans="1:1" x14ac:dyDescent="0.25">
      <c r="A5872" s="3"/>
    </row>
    <row r="5873" spans="1:1" x14ac:dyDescent="0.25">
      <c r="A5873" s="3"/>
    </row>
    <row r="5874" spans="1:1" x14ac:dyDescent="0.25">
      <c r="A5874" s="3"/>
    </row>
    <row r="5875" spans="1:1" x14ac:dyDescent="0.25">
      <c r="A5875" s="3"/>
    </row>
    <row r="5876" spans="1:1" x14ac:dyDescent="0.25">
      <c r="A5876" s="3"/>
    </row>
    <row r="5877" spans="1:1" x14ac:dyDescent="0.25">
      <c r="A5877" s="3"/>
    </row>
    <row r="5878" spans="1:1" x14ac:dyDescent="0.25">
      <c r="A5878" s="3"/>
    </row>
    <row r="5879" spans="1:1" x14ac:dyDescent="0.25">
      <c r="A5879" s="3"/>
    </row>
    <row r="5880" spans="1:1" x14ac:dyDescent="0.25">
      <c r="A5880" s="3"/>
    </row>
    <row r="5881" spans="1:1" x14ac:dyDescent="0.25">
      <c r="A5881" s="3"/>
    </row>
    <row r="5882" spans="1:1" x14ac:dyDescent="0.25">
      <c r="A5882" s="3"/>
    </row>
    <row r="5883" spans="1:1" x14ac:dyDescent="0.25">
      <c r="A5883" s="3"/>
    </row>
    <row r="5884" spans="1:1" x14ac:dyDescent="0.25">
      <c r="A5884" s="3"/>
    </row>
    <row r="5885" spans="1:1" x14ac:dyDescent="0.25">
      <c r="A5885" s="3"/>
    </row>
    <row r="5886" spans="1:1" x14ac:dyDescent="0.25">
      <c r="A5886" s="3"/>
    </row>
    <row r="5887" spans="1:1" x14ac:dyDescent="0.25">
      <c r="A5887" s="3"/>
    </row>
    <row r="5888" spans="1:1" x14ac:dyDescent="0.25">
      <c r="A5888" s="3"/>
    </row>
    <row r="5889" spans="1:1" x14ac:dyDescent="0.25">
      <c r="A5889" s="3"/>
    </row>
    <row r="5890" spans="1:1" x14ac:dyDescent="0.25">
      <c r="A5890" s="3"/>
    </row>
    <row r="5891" spans="1:1" x14ac:dyDescent="0.25">
      <c r="A5891" s="3"/>
    </row>
    <row r="5892" spans="1:1" x14ac:dyDescent="0.25">
      <c r="A5892" s="3"/>
    </row>
    <row r="5893" spans="1:1" x14ac:dyDescent="0.25">
      <c r="A5893" s="3"/>
    </row>
    <row r="5894" spans="1:1" x14ac:dyDescent="0.25">
      <c r="A5894" s="3"/>
    </row>
    <row r="5895" spans="1:1" x14ac:dyDescent="0.25">
      <c r="A5895" s="3"/>
    </row>
    <row r="5896" spans="1:1" x14ac:dyDescent="0.25">
      <c r="A5896" s="3"/>
    </row>
    <row r="5897" spans="1:1" x14ac:dyDescent="0.25">
      <c r="A5897" s="3"/>
    </row>
    <row r="5898" spans="1:1" x14ac:dyDescent="0.25">
      <c r="A5898" s="3"/>
    </row>
    <row r="5899" spans="1:1" x14ac:dyDescent="0.25">
      <c r="A5899" s="3"/>
    </row>
    <row r="5900" spans="1:1" x14ac:dyDescent="0.25">
      <c r="A5900" s="3"/>
    </row>
    <row r="5901" spans="1:1" x14ac:dyDescent="0.25">
      <c r="A5901" s="3"/>
    </row>
    <row r="5902" spans="1:1" x14ac:dyDescent="0.25">
      <c r="A5902" s="3"/>
    </row>
    <row r="5903" spans="1:1" x14ac:dyDescent="0.25">
      <c r="A5903" s="3"/>
    </row>
    <row r="5904" spans="1:1" x14ac:dyDescent="0.25">
      <c r="A5904" s="3"/>
    </row>
    <row r="5905" spans="1:1" x14ac:dyDescent="0.25">
      <c r="A5905" s="3"/>
    </row>
    <row r="5906" spans="1:1" x14ac:dyDescent="0.25">
      <c r="A5906" s="3"/>
    </row>
    <row r="5907" spans="1:1" x14ac:dyDescent="0.25">
      <c r="A5907" s="3"/>
    </row>
    <row r="5908" spans="1:1" x14ac:dyDescent="0.25">
      <c r="A5908" s="3"/>
    </row>
    <row r="5909" spans="1:1" x14ac:dyDescent="0.25">
      <c r="A5909" s="3"/>
    </row>
    <row r="5910" spans="1:1" x14ac:dyDescent="0.25">
      <c r="A5910" s="3"/>
    </row>
    <row r="5911" spans="1:1" x14ac:dyDescent="0.25">
      <c r="A5911" s="3"/>
    </row>
    <row r="5912" spans="1:1" x14ac:dyDescent="0.25">
      <c r="A5912" s="3"/>
    </row>
    <row r="5913" spans="1:1" x14ac:dyDescent="0.25">
      <c r="A5913" s="3"/>
    </row>
    <row r="5914" spans="1:1" x14ac:dyDescent="0.25">
      <c r="A5914" s="3"/>
    </row>
    <row r="5915" spans="1:1" x14ac:dyDescent="0.25">
      <c r="A5915" s="3"/>
    </row>
    <row r="5916" spans="1:1" x14ac:dyDescent="0.25">
      <c r="A5916" s="3"/>
    </row>
    <row r="5917" spans="1:1" x14ac:dyDescent="0.25">
      <c r="A5917" s="3"/>
    </row>
    <row r="5918" spans="1:1" x14ac:dyDescent="0.25">
      <c r="A5918" s="3"/>
    </row>
    <row r="5919" spans="1:1" x14ac:dyDescent="0.25">
      <c r="A5919" s="3"/>
    </row>
    <row r="5920" spans="1:1" x14ac:dyDescent="0.25">
      <c r="A5920" s="3"/>
    </row>
    <row r="5921" spans="1:1" x14ac:dyDescent="0.25">
      <c r="A5921" s="3"/>
    </row>
    <row r="5922" spans="1:1" x14ac:dyDescent="0.25">
      <c r="A5922" s="3"/>
    </row>
    <row r="5923" spans="1:1" x14ac:dyDescent="0.25">
      <c r="A5923" s="3"/>
    </row>
    <row r="5924" spans="1:1" x14ac:dyDescent="0.25">
      <c r="A5924" s="3"/>
    </row>
    <row r="5925" spans="1:1" x14ac:dyDescent="0.25">
      <c r="A5925" s="3"/>
    </row>
    <row r="5926" spans="1:1" x14ac:dyDescent="0.25">
      <c r="A5926" s="3"/>
    </row>
    <row r="5927" spans="1:1" x14ac:dyDescent="0.25">
      <c r="A5927" s="3"/>
    </row>
    <row r="5928" spans="1:1" x14ac:dyDescent="0.25">
      <c r="A5928" s="3"/>
    </row>
    <row r="5929" spans="1:1" x14ac:dyDescent="0.25">
      <c r="A5929" s="3"/>
    </row>
    <row r="5930" spans="1:1" x14ac:dyDescent="0.25">
      <c r="A5930" s="3"/>
    </row>
    <row r="5931" spans="1:1" x14ac:dyDescent="0.25">
      <c r="A5931" s="3"/>
    </row>
    <row r="5932" spans="1:1" x14ac:dyDescent="0.25">
      <c r="A5932" s="3"/>
    </row>
    <row r="5933" spans="1:1" x14ac:dyDescent="0.25">
      <c r="A5933" s="3"/>
    </row>
    <row r="5934" spans="1:1" x14ac:dyDescent="0.25">
      <c r="A5934" s="3"/>
    </row>
    <row r="5935" spans="1:1" x14ac:dyDescent="0.25">
      <c r="A5935" s="3"/>
    </row>
    <row r="5936" spans="1:1" x14ac:dyDescent="0.25">
      <c r="A5936" s="3"/>
    </row>
    <row r="5937" spans="1:1" x14ac:dyDescent="0.25">
      <c r="A5937" s="3"/>
    </row>
    <row r="5938" spans="1:1" x14ac:dyDescent="0.25">
      <c r="A5938" s="3"/>
    </row>
    <row r="5939" spans="1:1" x14ac:dyDescent="0.25">
      <c r="A5939" s="3"/>
    </row>
    <row r="5940" spans="1:1" x14ac:dyDescent="0.25">
      <c r="A5940" s="3"/>
    </row>
    <row r="5941" spans="1:1" x14ac:dyDescent="0.25">
      <c r="A5941" s="3"/>
    </row>
    <row r="5942" spans="1:1" x14ac:dyDescent="0.25">
      <c r="A5942" s="3"/>
    </row>
    <row r="5943" spans="1:1" x14ac:dyDescent="0.25">
      <c r="A5943" s="3"/>
    </row>
    <row r="5944" spans="1:1" x14ac:dyDescent="0.25">
      <c r="A5944" s="3"/>
    </row>
    <row r="5945" spans="1:1" x14ac:dyDescent="0.25">
      <c r="A5945" s="3"/>
    </row>
    <row r="5946" spans="1:1" x14ac:dyDescent="0.25">
      <c r="A5946" s="3"/>
    </row>
    <row r="5947" spans="1:1" x14ac:dyDescent="0.25">
      <c r="A5947" s="3"/>
    </row>
    <row r="5948" spans="1:1" x14ac:dyDescent="0.25">
      <c r="A5948" s="3"/>
    </row>
    <row r="5949" spans="1:1" x14ac:dyDescent="0.25">
      <c r="A5949" s="3"/>
    </row>
    <row r="5950" spans="1:1" x14ac:dyDescent="0.25">
      <c r="A5950" s="3"/>
    </row>
    <row r="5951" spans="1:1" x14ac:dyDescent="0.25">
      <c r="A5951" s="3"/>
    </row>
    <row r="5952" spans="1:1" x14ac:dyDescent="0.25">
      <c r="A5952" s="3"/>
    </row>
    <row r="5953" spans="1:1" x14ac:dyDescent="0.25">
      <c r="A5953" s="3"/>
    </row>
    <row r="5954" spans="1:1" x14ac:dyDescent="0.25">
      <c r="A5954" s="3"/>
    </row>
    <row r="5955" spans="1:1" x14ac:dyDescent="0.25">
      <c r="A5955" s="3"/>
    </row>
    <row r="5956" spans="1:1" x14ac:dyDescent="0.25">
      <c r="A5956" s="3"/>
    </row>
    <row r="5957" spans="1:1" x14ac:dyDescent="0.25">
      <c r="A5957" s="3"/>
    </row>
    <row r="5958" spans="1:1" x14ac:dyDescent="0.25">
      <c r="A5958" s="3"/>
    </row>
    <row r="5959" spans="1:1" x14ac:dyDescent="0.25">
      <c r="A5959" s="3"/>
    </row>
    <row r="5960" spans="1:1" x14ac:dyDescent="0.25">
      <c r="A5960" s="3"/>
    </row>
    <row r="5961" spans="1:1" x14ac:dyDescent="0.25">
      <c r="A5961" s="3"/>
    </row>
    <row r="5962" spans="1:1" x14ac:dyDescent="0.25">
      <c r="A5962" s="3"/>
    </row>
    <row r="5963" spans="1:1" x14ac:dyDescent="0.25">
      <c r="A5963" s="3"/>
    </row>
    <row r="5964" spans="1:1" x14ac:dyDescent="0.25">
      <c r="A5964" s="3"/>
    </row>
    <row r="5965" spans="1:1" x14ac:dyDescent="0.25">
      <c r="A5965" s="3"/>
    </row>
    <row r="5966" spans="1:1" x14ac:dyDescent="0.25">
      <c r="A5966" s="3"/>
    </row>
    <row r="5967" spans="1:1" x14ac:dyDescent="0.25">
      <c r="A5967" s="3"/>
    </row>
    <row r="5968" spans="1:1" x14ac:dyDescent="0.25">
      <c r="A5968" s="3"/>
    </row>
    <row r="5969" spans="1:1" x14ac:dyDescent="0.25">
      <c r="A5969" s="3"/>
    </row>
    <row r="5970" spans="1:1" x14ac:dyDescent="0.25">
      <c r="A5970" s="3"/>
    </row>
    <row r="5971" spans="1:1" x14ac:dyDescent="0.25">
      <c r="A5971" s="3"/>
    </row>
    <row r="5972" spans="1:1" x14ac:dyDescent="0.25">
      <c r="A5972" s="3"/>
    </row>
    <row r="5973" spans="1:1" x14ac:dyDescent="0.25">
      <c r="A5973" s="3"/>
    </row>
    <row r="5974" spans="1:1" x14ac:dyDescent="0.25">
      <c r="A5974" s="3"/>
    </row>
    <row r="5975" spans="1:1" x14ac:dyDescent="0.25">
      <c r="A5975" s="3"/>
    </row>
    <row r="5976" spans="1:1" x14ac:dyDescent="0.25">
      <c r="A5976" s="3"/>
    </row>
    <row r="5977" spans="1:1" x14ac:dyDescent="0.25">
      <c r="A5977" s="3"/>
    </row>
    <row r="5978" spans="1:1" x14ac:dyDescent="0.25">
      <c r="A5978" s="3"/>
    </row>
    <row r="5979" spans="1:1" x14ac:dyDescent="0.25">
      <c r="A5979" s="3"/>
    </row>
    <row r="5980" spans="1:1" x14ac:dyDescent="0.25">
      <c r="A5980" s="3"/>
    </row>
    <row r="5981" spans="1:1" x14ac:dyDescent="0.25">
      <c r="A5981" s="3"/>
    </row>
    <row r="5982" spans="1:1" x14ac:dyDescent="0.25">
      <c r="A5982" s="3"/>
    </row>
    <row r="5983" spans="1:1" x14ac:dyDescent="0.25">
      <c r="A5983" s="3"/>
    </row>
    <row r="5984" spans="1:1" x14ac:dyDescent="0.25">
      <c r="A5984" s="3"/>
    </row>
    <row r="5985" spans="1:1" x14ac:dyDescent="0.25">
      <c r="A5985" s="3"/>
    </row>
    <row r="5986" spans="1:1" x14ac:dyDescent="0.25">
      <c r="A5986" s="3"/>
    </row>
    <row r="5987" spans="1:1" x14ac:dyDescent="0.25">
      <c r="A5987" s="3"/>
    </row>
    <row r="5988" spans="1:1" x14ac:dyDescent="0.25">
      <c r="A5988" s="3"/>
    </row>
    <row r="5989" spans="1:1" x14ac:dyDescent="0.25">
      <c r="A5989" s="3"/>
    </row>
    <row r="5990" spans="1:1" x14ac:dyDescent="0.25">
      <c r="A5990" s="3"/>
    </row>
    <row r="5991" spans="1:1" x14ac:dyDescent="0.25">
      <c r="A5991" s="3"/>
    </row>
    <row r="5992" spans="1:1" x14ac:dyDescent="0.25">
      <c r="A5992" s="3"/>
    </row>
    <row r="5993" spans="1:1" x14ac:dyDescent="0.25">
      <c r="A5993" s="3"/>
    </row>
    <row r="5994" spans="1:1" x14ac:dyDescent="0.25">
      <c r="A5994" s="3"/>
    </row>
    <row r="5995" spans="1:1" x14ac:dyDescent="0.25">
      <c r="A5995" s="3"/>
    </row>
    <row r="5996" spans="1:1" x14ac:dyDescent="0.25">
      <c r="A5996" s="3"/>
    </row>
    <row r="5997" spans="1:1" x14ac:dyDescent="0.25">
      <c r="A5997" s="3"/>
    </row>
    <row r="5998" spans="1:1" x14ac:dyDescent="0.25">
      <c r="A5998" s="3"/>
    </row>
    <row r="5999" spans="1:1" x14ac:dyDescent="0.25">
      <c r="A5999" s="3"/>
    </row>
    <row r="6000" spans="1:1" x14ac:dyDescent="0.25">
      <c r="A6000" s="3"/>
    </row>
    <row r="6001" spans="1:1" x14ac:dyDescent="0.25">
      <c r="A6001" s="3"/>
    </row>
    <row r="6002" spans="1:1" x14ac:dyDescent="0.25">
      <c r="A6002" s="3"/>
    </row>
    <row r="6003" spans="1:1" x14ac:dyDescent="0.25">
      <c r="A6003" s="3"/>
    </row>
    <row r="6004" spans="1:1" x14ac:dyDescent="0.25">
      <c r="A6004" s="3"/>
    </row>
    <row r="6005" spans="1:1" x14ac:dyDescent="0.25">
      <c r="A6005" s="3"/>
    </row>
    <row r="6006" spans="1:1" x14ac:dyDescent="0.25">
      <c r="A6006" s="3"/>
    </row>
    <row r="6007" spans="1:1" x14ac:dyDescent="0.25">
      <c r="A6007" s="3"/>
    </row>
    <row r="6008" spans="1:1" x14ac:dyDescent="0.25">
      <c r="A6008" s="3"/>
    </row>
    <row r="6009" spans="1:1" x14ac:dyDescent="0.25">
      <c r="A6009" s="3"/>
    </row>
    <row r="6010" spans="1:1" x14ac:dyDescent="0.25">
      <c r="A6010" s="3"/>
    </row>
    <row r="6011" spans="1:1" x14ac:dyDescent="0.25">
      <c r="A6011" s="3"/>
    </row>
    <row r="6012" spans="1:1" x14ac:dyDescent="0.25">
      <c r="A6012" s="3"/>
    </row>
    <row r="6013" spans="1:1" x14ac:dyDescent="0.25">
      <c r="A6013" s="3"/>
    </row>
    <row r="6014" spans="1:1" x14ac:dyDescent="0.25">
      <c r="A6014" s="3"/>
    </row>
    <row r="6015" spans="1:1" x14ac:dyDescent="0.25">
      <c r="A6015" s="3"/>
    </row>
    <row r="6016" spans="1:1" x14ac:dyDescent="0.25">
      <c r="A6016" s="3"/>
    </row>
    <row r="6017" spans="1:1" x14ac:dyDescent="0.25">
      <c r="A6017" s="3"/>
    </row>
    <row r="6018" spans="1:1" x14ac:dyDescent="0.25">
      <c r="A6018" s="3"/>
    </row>
    <row r="6019" spans="1:1" x14ac:dyDescent="0.25">
      <c r="A6019" s="3"/>
    </row>
    <row r="6020" spans="1:1" x14ac:dyDescent="0.25">
      <c r="A6020" s="3"/>
    </row>
    <row r="6021" spans="1:1" x14ac:dyDescent="0.25">
      <c r="A6021" s="3"/>
    </row>
    <row r="6022" spans="1:1" x14ac:dyDescent="0.25">
      <c r="A6022" s="3"/>
    </row>
    <row r="6023" spans="1:1" x14ac:dyDescent="0.25">
      <c r="A6023" s="3"/>
    </row>
    <row r="6024" spans="1:1" x14ac:dyDescent="0.25">
      <c r="A6024" s="3"/>
    </row>
    <row r="6025" spans="1:1" x14ac:dyDescent="0.25">
      <c r="A6025" s="3"/>
    </row>
    <row r="6026" spans="1:1" x14ac:dyDescent="0.25">
      <c r="A6026" s="3"/>
    </row>
    <row r="6027" spans="1:1" x14ac:dyDescent="0.25">
      <c r="A6027" s="3"/>
    </row>
    <row r="6028" spans="1:1" x14ac:dyDescent="0.25">
      <c r="A6028" s="3"/>
    </row>
    <row r="6029" spans="1:1" x14ac:dyDescent="0.25">
      <c r="A6029" s="3"/>
    </row>
    <row r="6030" spans="1:1" x14ac:dyDescent="0.25">
      <c r="A6030" s="3"/>
    </row>
    <row r="6031" spans="1:1" x14ac:dyDescent="0.25">
      <c r="A6031" s="3"/>
    </row>
    <row r="6032" spans="1:1" x14ac:dyDescent="0.25">
      <c r="A6032" s="3"/>
    </row>
    <row r="6033" spans="1:1" x14ac:dyDescent="0.25">
      <c r="A6033" s="3"/>
    </row>
    <row r="6034" spans="1:1" x14ac:dyDescent="0.25">
      <c r="A6034" s="3"/>
    </row>
    <row r="6035" spans="1:1" x14ac:dyDescent="0.25">
      <c r="A6035" s="3"/>
    </row>
    <row r="6036" spans="1:1" x14ac:dyDescent="0.25">
      <c r="A6036" s="3"/>
    </row>
    <row r="6037" spans="1:1" x14ac:dyDescent="0.25">
      <c r="A6037" s="3"/>
    </row>
    <row r="6038" spans="1:1" x14ac:dyDescent="0.25">
      <c r="A6038" s="3"/>
    </row>
    <row r="6039" spans="1:1" x14ac:dyDescent="0.25">
      <c r="A6039" s="3"/>
    </row>
    <row r="6040" spans="1:1" x14ac:dyDescent="0.25">
      <c r="A6040" s="3"/>
    </row>
    <row r="6041" spans="1:1" x14ac:dyDescent="0.25">
      <c r="A6041" s="3"/>
    </row>
    <row r="6042" spans="1:1" x14ac:dyDescent="0.25">
      <c r="A6042" s="3"/>
    </row>
    <row r="6043" spans="1:1" x14ac:dyDescent="0.25">
      <c r="A6043" s="3"/>
    </row>
    <row r="6044" spans="1:1" x14ac:dyDescent="0.25">
      <c r="A6044" s="3"/>
    </row>
    <row r="6045" spans="1:1" x14ac:dyDescent="0.25">
      <c r="A6045" s="3"/>
    </row>
    <row r="6046" spans="1:1" x14ac:dyDescent="0.25">
      <c r="A6046" s="3"/>
    </row>
    <row r="6047" spans="1:1" x14ac:dyDescent="0.25">
      <c r="A6047" s="3"/>
    </row>
    <row r="6048" spans="1:1" x14ac:dyDescent="0.25">
      <c r="A6048" s="3"/>
    </row>
    <row r="6049" spans="1:1" x14ac:dyDescent="0.25">
      <c r="A6049" s="3"/>
    </row>
    <row r="6050" spans="1:1" x14ac:dyDescent="0.25">
      <c r="A6050" s="3"/>
    </row>
    <row r="6051" spans="1:1" x14ac:dyDescent="0.25">
      <c r="A6051" s="3"/>
    </row>
    <row r="6052" spans="1:1" x14ac:dyDescent="0.25">
      <c r="A6052" s="3"/>
    </row>
    <row r="6053" spans="1:1" x14ac:dyDescent="0.25">
      <c r="A6053" s="3"/>
    </row>
    <row r="6054" spans="1:1" x14ac:dyDescent="0.25">
      <c r="A6054" s="3"/>
    </row>
    <row r="6055" spans="1:1" x14ac:dyDescent="0.25">
      <c r="A6055" s="3"/>
    </row>
    <row r="6056" spans="1:1" x14ac:dyDescent="0.25">
      <c r="A6056" s="3"/>
    </row>
    <row r="6057" spans="1:1" x14ac:dyDescent="0.25">
      <c r="A6057" s="3"/>
    </row>
    <row r="6058" spans="1:1" x14ac:dyDescent="0.25">
      <c r="A6058" s="3"/>
    </row>
    <row r="6059" spans="1:1" x14ac:dyDescent="0.25">
      <c r="A6059" s="3"/>
    </row>
    <row r="6060" spans="1:1" x14ac:dyDescent="0.25">
      <c r="A6060" s="3"/>
    </row>
    <row r="6061" spans="1:1" x14ac:dyDescent="0.25">
      <c r="A6061" s="3"/>
    </row>
    <row r="6062" spans="1:1" x14ac:dyDescent="0.25">
      <c r="A6062" s="3"/>
    </row>
    <row r="6063" spans="1:1" x14ac:dyDescent="0.25">
      <c r="A6063" s="3"/>
    </row>
    <row r="6064" spans="1:1" x14ac:dyDescent="0.25">
      <c r="A6064" s="3"/>
    </row>
    <row r="6065" spans="1:1" x14ac:dyDescent="0.25">
      <c r="A6065" s="3"/>
    </row>
    <row r="6066" spans="1:1" x14ac:dyDescent="0.25">
      <c r="A6066" s="3"/>
    </row>
    <row r="6067" spans="1:1" x14ac:dyDescent="0.25">
      <c r="A6067" s="3"/>
    </row>
    <row r="6068" spans="1:1" x14ac:dyDescent="0.25">
      <c r="A6068" s="3"/>
    </row>
    <row r="6069" spans="1:1" x14ac:dyDescent="0.25">
      <c r="A6069" s="3"/>
    </row>
    <row r="6070" spans="1:1" x14ac:dyDescent="0.25">
      <c r="A6070" s="3"/>
    </row>
    <row r="6071" spans="1:1" x14ac:dyDescent="0.25">
      <c r="A6071" s="3"/>
    </row>
    <row r="6072" spans="1:1" x14ac:dyDescent="0.25">
      <c r="A6072" s="3"/>
    </row>
    <row r="6073" spans="1:1" x14ac:dyDescent="0.25">
      <c r="A6073" s="3"/>
    </row>
    <row r="6074" spans="1:1" x14ac:dyDescent="0.25">
      <c r="A6074" s="3"/>
    </row>
    <row r="6075" spans="1:1" x14ac:dyDescent="0.25">
      <c r="A6075" s="3"/>
    </row>
    <row r="6076" spans="1:1" x14ac:dyDescent="0.25">
      <c r="A6076" s="3"/>
    </row>
    <row r="6077" spans="1:1" x14ac:dyDescent="0.25">
      <c r="A6077" s="3"/>
    </row>
    <row r="6078" spans="1:1" x14ac:dyDescent="0.25">
      <c r="A6078" s="3"/>
    </row>
    <row r="6079" spans="1:1" x14ac:dyDescent="0.25">
      <c r="A6079" s="3"/>
    </row>
    <row r="6080" spans="1:1" x14ac:dyDescent="0.25">
      <c r="A6080" s="3"/>
    </row>
    <row r="6081" spans="1:1" x14ac:dyDescent="0.25">
      <c r="A6081" s="3"/>
    </row>
    <row r="6082" spans="1:1" x14ac:dyDescent="0.25">
      <c r="A6082" s="3"/>
    </row>
    <row r="6083" spans="1:1" x14ac:dyDescent="0.25">
      <c r="A6083" s="3"/>
    </row>
    <row r="6084" spans="1:1" x14ac:dyDescent="0.25">
      <c r="A6084" s="3"/>
    </row>
    <row r="6085" spans="1:1" x14ac:dyDescent="0.25">
      <c r="A6085" s="3"/>
    </row>
    <row r="6086" spans="1:1" x14ac:dyDescent="0.25">
      <c r="A6086" s="3"/>
    </row>
    <row r="6087" spans="1:1" x14ac:dyDescent="0.25">
      <c r="A6087" s="3"/>
    </row>
    <row r="6088" spans="1:1" x14ac:dyDescent="0.25">
      <c r="A6088" s="3"/>
    </row>
    <row r="6089" spans="1:1" x14ac:dyDescent="0.25">
      <c r="A6089" s="3"/>
    </row>
    <row r="6090" spans="1:1" x14ac:dyDescent="0.25">
      <c r="A6090" s="3"/>
    </row>
    <row r="6091" spans="1:1" x14ac:dyDescent="0.25">
      <c r="A6091" s="3"/>
    </row>
    <row r="6092" spans="1:1" x14ac:dyDescent="0.25">
      <c r="A6092" s="3"/>
    </row>
    <row r="6093" spans="1:1" x14ac:dyDescent="0.25">
      <c r="A6093" s="3"/>
    </row>
    <row r="6094" spans="1:1" x14ac:dyDescent="0.25">
      <c r="A6094" s="3"/>
    </row>
    <row r="6095" spans="1:1" x14ac:dyDescent="0.25">
      <c r="A6095" s="3"/>
    </row>
    <row r="6096" spans="1:1" x14ac:dyDescent="0.25">
      <c r="A6096" s="3"/>
    </row>
    <row r="6097" spans="1:1" x14ac:dyDescent="0.25">
      <c r="A6097" s="3"/>
    </row>
    <row r="6098" spans="1:1" x14ac:dyDescent="0.25">
      <c r="A6098" s="3"/>
    </row>
    <row r="6099" spans="1:1" x14ac:dyDescent="0.25">
      <c r="A6099" s="3"/>
    </row>
    <row r="6100" spans="1:1" x14ac:dyDescent="0.25">
      <c r="A6100" s="3"/>
    </row>
    <row r="6101" spans="1:1" x14ac:dyDescent="0.25">
      <c r="A6101" s="3"/>
    </row>
    <row r="6102" spans="1:1" x14ac:dyDescent="0.25">
      <c r="A6102" s="3"/>
    </row>
    <row r="6103" spans="1:1" x14ac:dyDescent="0.25">
      <c r="A6103" s="3"/>
    </row>
    <row r="6104" spans="1:1" x14ac:dyDescent="0.25">
      <c r="A6104" s="3"/>
    </row>
    <row r="6105" spans="1:1" x14ac:dyDescent="0.25">
      <c r="A6105" s="3"/>
    </row>
    <row r="6106" spans="1:1" x14ac:dyDescent="0.25">
      <c r="A6106" s="3"/>
    </row>
    <row r="6107" spans="1:1" x14ac:dyDescent="0.25">
      <c r="A6107" s="3"/>
    </row>
    <row r="6108" spans="1:1" x14ac:dyDescent="0.25">
      <c r="A6108" s="3"/>
    </row>
    <row r="6109" spans="1:1" x14ac:dyDescent="0.25">
      <c r="A6109" s="3"/>
    </row>
    <row r="6110" spans="1:1" x14ac:dyDescent="0.25">
      <c r="A6110" s="3"/>
    </row>
    <row r="6111" spans="1:1" x14ac:dyDescent="0.25">
      <c r="A6111" s="3"/>
    </row>
    <row r="6112" spans="1:1" x14ac:dyDescent="0.25">
      <c r="A6112" s="3"/>
    </row>
    <row r="6113" spans="1:1" x14ac:dyDescent="0.25">
      <c r="A6113" s="3"/>
    </row>
    <row r="6114" spans="1:1" x14ac:dyDescent="0.25">
      <c r="A6114" s="3"/>
    </row>
    <row r="6115" spans="1:1" x14ac:dyDescent="0.25">
      <c r="A6115" s="3"/>
    </row>
    <row r="6116" spans="1:1" x14ac:dyDescent="0.25">
      <c r="A6116" s="3"/>
    </row>
    <row r="6117" spans="1:1" x14ac:dyDescent="0.25">
      <c r="A6117" s="3"/>
    </row>
    <row r="6118" spans="1:1" x14ac:dyDescent="0.25">
      <c r="A6118" s="3"/>
    </row>
    <row r="6119" spans="1:1" x14ac:dyDescent="0.25">
      <c r="A6119" s="3"/>
    </row>
    <row r="6120" spans="1:1" x14ac:dyDescent="0.25">
      <c r="A6120" s="3"/>
    </row>
    <row r="6121" spans="1:1" x14ac:dyDescent="0.25">
      <c r="A6121" s="3"/>
    </row>
    <row r="6122" spans="1:1" x14ac:dyDescent="0.25">
      <c r="A6122" s="3"/>
    </row>
    <row r="6123" spans="1:1" x14ac:dyDescent="0.25">
      <c r="A6123" s="3"/>
    </row>
    <row r="6124" spans="1:1" x14ac:dyDescent="0.25">
      <c r="A6124" s="3"/>
    </row>
    <row r="6125" spans="1:1" x14ac:dyDescent="0.25">
      <c r="A6125" s="3"/>
    </row>
    <row r="6126" spans="1:1" x14ac:dyDescent="0.25">
      <c r="A6126" s="3"/>
    </row>
    <row r="6127" spans="1:1" x14ac:dyDescent="0.25">
      <c r="A6127" s="3"/>
    </row>
    <row r="6128" spans="1:1" x14ac:dyDescent="0.25">
      <c r="A6128" s="3"/>
    </row>
    <row r="6129" spans="1:1" x14ac:dyDescent="0.25">
      <c r="A6129" s="3"/>
    </row>
    <row r="6130" spans="1:1" x14ac:dyDescent="0.25">
      <c r="A6130" s="3"/>
    </row>
    <row r="6131" spans="1:1" x14ac:dyDescent="0.25">
      <c r="A6131" s="3"/>
    </row>
    <row r="6132" spans="1:1" x14ac:dyDescent="0.25">
      <c r="A6132" s="3"/>
    </row>
    <row r="6133" spans="1:1" x14ac:dyDescent="0.25">
      <c r="A6133" s="3"/>
    </row>
    <row r="6134" spans="1:1" x14ac:dyDescent="0.25">
      <c r="A6134" s="3"/>
    </row>
    <row r="6135" spans="1:1" x14ac:dyDescent="0.25">
      <c r="A6135" s="3"/>
    </row>
    <row r="6136" spans="1:1" x14ac:dyDescent="0.25">
      <c r="A6136" s="3"/>
    </row>
    <row r="6137" spans="1:1" x14ac:dyDescent="0.25">
      <c r="A6137" s="3"/>
    </row>
    <row r="6138" spans="1:1" x14ac:dyDescent="0.25">
      <c r="A6138" s="3"/>
    </row>
    <row r="6139" spans="1:1" x14ac:dyDescent="0.25">
      <c r="A6139" s="3"/>
    </row>
    <row r="6140" spans="1:1" x14ac:dyDescent="0.25">
      <c r="A6140" s="3"/>
    </row>
    <row r="6141" spans="1:1" x14ac:dyDescent="0.25">
      <c r="A6141" s="3"/>
    </row>
    <row r="6142" spans="1:1" x14ac:dyDescent="0.25">
      <c r="A6142" s="3"/>
    </row>
    <row r="6143" spans="1:1" x14ac:dyDescent="0.25">
      <c r="A6143" s="3"/>
    </row>
    <row r="6144" spans="1:1" x14ac:dyDescent="0.25">
      <c r="A6144" s="3"/>
    </row>
    <row r="6145" spans="1:1" x14ac:dyDescent="0.25">
      <c r="A6145" s="3"/>
    </row>
    <row r="6146" spans="1:1" x14ac:dyDescent="0.25">
      <c r="A6146" s="3"/>
    </row>
    <row r="6147" spans="1:1" x14ac:dyDescent="0.25">
      <c r="A6147" s="3"/>
    </row>
    <row r="6148" spans="1:1" x14ac:dyDescent="0.25">
      <c r="A6148" s="3"/>
    </row>
    <row r="6149" spans="1:1" x14ac:dyDescent="0.25">
      <c r="A6149" s="3"/>
    </row>
    <row r="6150" spans="1:1" x14ac:dyDescent="0.25">
      <c r="A6150" s="3"/>
    </row>
    <row r="6151" spans="1:1" x14ac:dyDescent="0.25">
      <c r="A6151" s="3"/>
    </row>
    <row r="6152" spans="1:1" x14ac:dyDescent="0.25">
      <c r="A6152" s="3"/>
    </row>
    <row r="6153" spans="1:1" x14ac:dyDescent="0.25">
      <c r="A6153" s="3"/>
    </row>
    <row r="6154" spans="1:1" x14ac:dyDescent="0.25">
      <c r="A6154" s="3"/>
    </row>
    <row r="6155" spans="1:1" x14ac:dyDescent="0.25">
      <c r="A6155" s="3"/>
    </row>
    <row r="6156" spans="1:1" x14ac:dyDescent="0.25">
      <c r="A6156" s="3"/>
    </row>
    <row r="6157" spans="1:1" x14ac:dyDescent="0.25">
      <c r="A6157" s="3"/>
    </row>
    <row r="6158" spans="1:1" x14ac:dyDescent="0.25">
      <c r="A6158" s="3"/>
    </row>
    <row r="6159" spans="1:1" x14ac:dyDescent="0.25">
      <c r="A6159" s="3"/>
    </row>
    <row r="6160" spans="1:1" x14ac:dyDescent="0.25">
      <c r="A6160" s="3"/>
    </row>
    <row r="6161" spans="1:1" x14ac:dyDescent="0.25">
      <c r="A6161" s="3"/>
    </row>
    <row r="6162" spans="1:1" x14ac:dyDescent="0.25">
      <c r="A6162" s="3"/>
    </row>
    <row r="6163" spans="1:1" x14ac:dyDescent="0.25">
      <c r="A6163" s="3"/>
    </row>
    <row r="6164" spans="1:1" x14ac:dyDescent="0.25">
      <c r="A6164" s="3"/>
    </row>
    <row r="6165" spans="1:1" x14ac:dyDescent="0.25">
      <c r="A6165" s="3"/>
    </row>
    <row r="6166" spans="1:1" x14ac:dyDescent="0.25">
      <c r="A6166" s="3"/>
    </row>
    <row r="6167" spans="1:1" x14ac:dyDescent="0.25">
      <c r="A6167" s="3"/>
    </row>
    <row r="6168" spans="1:1" x14ac:dyDescent="0.25">
      <c r="A6168" s="3"/>
    </row>
    <row r="6169" spans="1:1" x14ac:dyDescent="0.25">
      <c r="A6169" s="3"/>
    </row>
    <row r="6170" spans="1:1" x14ac:dyDescent="0.25">
      <c r="A6170" s="3"/>
    </row>
    <row r="6171" spans="1:1" x14ac:dyDescent="0.25">
      <c r="A6171" s="3"/>
    </row>
    <row r="6172" spans="1:1" x14ac:dyDescent="0.25">
      <c r="A6172" s="3"/>
    </row>
    <row r="6173" spans="1:1" x14ac:dyDescent="0.25">
      <c r="A6173" s="3"/>
    </row>
    <row r="6174" spans="1:1" x14ac:dyDescent="0.25">
      <c r="A6174" s="3"/>
    </row>
    <row r="6175" spans="1:1" x14ac:dyDescent="0.25">
      <c r="A6175" s="3"/>
    </row>
    <row r="6176" spans="1:1" x14ac:dyDescent="0.25">
      <c r="A6176" s="3"/>
    </row>
    <row r="6177" spans="1:1" x14ac:dyDescent="0.25">
      <c r="A6177" s="3"/>
    </row>
    <row r="6178" spans="1:1" x14ac:dyDescent="0.25">
      <c r="A6178" s="3"/>
    </row>
    <row r="6179" spans="1:1" x14ac:dyDescent="0.25">
      <c r="A6179" s="3"/>
    </row>
    <row r="6180" spans="1:1" x14ac:dyDescent="0.25">
      <c r="A6180" s="3"/>
    </row>
    <row r="6181" spans="1:1" x14ac:dyDescent="0.25">
      <c r="A6181" s="3"/>
    </row>
    <row r="6182" spans="1:1" x14ac:dyDescent="0.25">
      <c r="A6182" s="3"/>
    </row>
    <row r="6183" spans="1:1" x14ac:dyDescent="0.25">
      <c r="A6183" s="3"/>
    </row>
    <row r="6184" spans="1:1" x14ac:dyDescent="0.25">
      <c r="A6184" s="3"/>
    </row>
    <row r="6185" spans="1:1" x14ac:dyDescent="0.25">
      <c r="A6185" s="3"/>
    </row>
    <row r="6186" spans="1:1" x14ac:dyDescent="0.25">
      <c r="A6186" s="3"/>
    </row>
    <row r="6187" spans="1:1" x14ac:dyDescent="0.25">
      <c r="A6187" s="3"/>
    </row>
    <row r="6188" spans="1:1" x14ac:dyDescent="0.25">
      <c r="A6188" s="3"/>
    </row>
    <row r="6189" spans="1:1" x14ac:dyDescent="0.25">
      <c r="A6189" s="3"/>
    </row>
    <row r="6190" spans="1:1" x14ac:dyDescent="0.25">
      <c r="A6190" s="3"/>
    </row>
    <row r="6191" spans="1:1" x14ac:dyDescent="0.25">
      <c r="A6191" s="3"/>
    </row>
    <row r="6192" spans="1:1" x14ac:dyDescent="0.25">
      <c r="A6192" s="3"/>
    </row>
    <row r="6193" spans="1:1" x14ac:dyDescent="0.25">
      <c r="A6193" s="3"/>
    </row>
    <row r="6194" spans="1:1" x14ac:dyDescent="0.25">
      <c r="A6194" s="3"/>
    </row>
    <row r="6195" spans="1:1" x14ac:dyDescent="0.25">
      <c r="A6195" s="3"/>
    </row>
    <row r="6196" spans="1:1" x14ac:dyDescent="0.25">
      <c r="A6196" s="3"/>
    </row>
    <row r="6197" spans="1:1" x14ac:dyDescent="0.25">
      <c r="A6197" s="3"/>
    </row>
    <row r="6198" spans="1:1" x14ac:dyDescent="0.25">
      <c r="A6198" s="3"/>
    </row>
    <row r="6199" spans="1:1" x14ac:dyDescent="0.25">
      <c r="A6199" s="3"/>
    </row>
    <row r="6200" spans="1:1" x14ac:dyDescent="0.25">
      <c r="A6200" s="3"/>
    </row>
    <row r="6201" spans="1:1" x14ac:dyDescent="0.25">
      <c r="A6201" s="3"/>
    </row>
    <row r="6202" spans="1:1" x14ac:dyDescent="0.25">
      <c r="A6202" s="3"/>
    </row>
    <row r="6203" spans="1:1" x14ac:dyDescent="0.25">
      <c r="A6203" s="3"/>
    </row>
    <row r="6204" spans="1:1" x14ac:dyDescent="0.25">
      <c r="A6204" s="3"/>
    </row>
    <row r="6205" spans="1:1" x14ac:dyDescent="0.25">
      <c r="A6205" s="3"/>
    </row>
    <row r="6206" spans="1:1" x14ac:dyDescent="0.25">
      <c r="A6206" s="3"/>
    </row>
    <row r="6207" spans="1:1" x14ac:dyDescent="0.25">
      <c r="A6207" s="3"/>
    </row>
    <row r="6208" spans="1:1" x14ac:dyDescent="0.25">
      <c r="A6208" s="3"/>
    </row>
    <row r="6209" spans="1:1" x14ac:dyDescent="0.25">
      <c r="A6209" s="3"/>
    </row>
    <row r="6210" spans="1:1" x14ac:dyDescent="0.25">
      <c r="A6210" s="3"/>
    </row>
    <row r="6211" spans="1:1" x14ac:dyDescent="0.25">
      <c r="A6211" s="3"/>
    </row>
    <row r="6212" spans="1:1" x14ac:dyDescent="0.25">
      <c r="A6212" s="3"/>
    </row>
    <row r="6213" spans="1:1" x14ac:dyDescent="0.25">
      <c r="A6213" s="3"/>
    </row>
    <row r="6214" spans="1:1" x14ac:dyDescent="0.25">
      <c r="A6214" s="3"/>
    </row>
    <row r="6215" spans="1:1" x14ac:dyDescent="0.25">
      <c r="A6215" s="3"/>
    </row>
    <row r="6216" spans="1:1" x14ac:dyDescent="0.25">
      <c r="A6216" s="3"/>
    </row>
    <row r="6217" spans="1:1" x14ac:dyDescent="0.25">
      <c r="A6217" s="3"/>
    </row>
    <row r="6218" spans="1:1" x14ac:dyDescent="0.25">
      <c r="A6218" s="3"/>
    </row>
    <row r="6219" spans="1:1" x14ac:dyDescent="0.25">
      <c r="A6219" s="3"/>
    </row>
    <row r="6220" spans="1:1" x14ac:dyDescent="0.25">
      <c r="A6220" s="3"/>
    </row>
    <row r="6221" spans="1:1" x14ac:dyDescent="0.25">
      <c r="A6221" s="3"/>
    </row>
    <row r="6222" spans="1:1" x14ac:dyDescent="0.25">
      <c r="A6222" s="3"/>
    </row>
    <row r="6223" spans="1:1" x14ac:dyDescent="0.25">
      <c r="A6223" s="3"/>
    </row>
    <row r="6224" spans="1:1" x14ac:dyDescent="0.25">
      <c r="A6224" s="3"/>
    </row>
    <row r="6225" spans="1:1" x14ac:dyDescent="0.25">
      <c r="A6225" s="3"/>
    </row>
    <row r="6226" spans="1:1" x14ac:dyDescent="0.25">
      <c r="A6226" s="3"/>
    </row>
    <row r="6227" spans="1:1" x14ac:dyDescent="0.25">
      <c r="A6227" s="3"/>
    </row>
    <row r="6228" spans="1:1" x14ac:dyDescent="0.25">
      <c r="A6228" s="3"/>
    </row>
    <row r="6229" spans="1:1" x14ac:dyDescent="0.25">
      <c r="A6229" s="3"/>
    </row>
    <row r="6230" spans="1:1" x14ac:dyDescent="0.25">
      <c r="A6230" s="3"/>
    </row>
    <row r="6231" spans="1:1" x14ac:dyDescent="0.25">
      <c r="A6231" s="3"/>
    </row>
    <row r="6232" spans="1:1" x14ac:dyDescent="0.25">
      <c r="A6232" s="3"/>
    </row>
    <row r="6233" spans="1:1" x14ac:dyDescent="0.25">
      <c r="A6233" s="3"/>
    </row>
    <row r="6234" spans="1:1" x14ac:dyDescent="0.25">
      <c r="A6234" s="3"/>
    </row>
    <row r="6235" spans="1:1" x14ac:dyDescent="0.25">
      <c r="A6235" s="3"/>
    </row>
    <row r="6236" spans="1:1" x14ac:dyDescent="0.25">
      <c r="A6236" s="3"/>
    </row>
    <row r="6237" spans="1:1" x14ac:dyDescent="0.25">
      <c r="A6237" s="3"/>
    </row>
    <row r="6238" spans="1:1" x14ac:dyDescent="0.25">
      <c r="A6238" s="3"/>
    </row>
    <row r="6239" spans="1:1" x14ac:dyDescent="0.25">
      <c r="A6239" s="3"/>
    </row>
    <row r="6240" spans="1:1" x14ac:dyDescent="0.25">
      <c r="A6240" s="3"/>
    </row>
    <row r="6241" spans="1:1" x14ac:dyDescent="0.25">
      <c r="A6241" s="3"/>
    </row>
    <row r="6242" spans="1:1" x14ac:dyDescent="0.25">
      <c r="A6242" s="3"/>
    </row>
    <row r="6243" spans="1:1" x14ac:dyDescent="0.25">
      <c r="A6243" s="3"/>
    </row>
    <row r="6244" spans="1:1" x14ac:dyDescent="0.25">
      <c r="A6244" s="3"/>
    </row>
    <row r="6245" spans="1:1" x14ac:dyDescent="0.25">
      <c r="A6245" s="3"/>
    </row>
    <row r="6246" spans="1:1" x14ac:dyDescent="0.25">
      <c r="A6246" s="3"/>
    </row>
    <row r="6247" spans="1:1" x14ac:dyDescent="0.25">
      <c r="A6247" s="3"/>
    </row>
    <row r="6248" spans="1:1" x14ac:dyDescent="0.25">
      <c r="A6248" s="3"/>
    </row>
    <row r="6249" spans="1:1" x14ac:dyDescent="0.25">
      <c r="A6249" s="3"/>
    </row>
    <row r="6250" spans="1:1" x14ac:dyDescent="0.25">
      <c r="A6250" s="3"/>
    </row>
    <row r="6251" spans="1:1" x14ac:dyDescent="0.25">
      <c r="A6251" s="3"/>
    </row>
    <row r="6252" spans="1:1" x14ac:dyDescent="0.25">
      <c r="A6252" s="3"/>
    </row>
    <row r="6253" spans="1:1" x14ac:dyDescent="0.25">
      <c r="A6253" s="3"/>
    </row>
    <row r="6254" spans="1:1" x14ac:dyDescent="0.25">
      <c r="A6254" s="3"/>
    </row>
    <row r="6255" spans="1:1" x14ac:dyDescent="0.25">
      <c r="A6255" s="3"/>
    </row>
    <row r="6256" spans="1:1" x14ac:dyDescent="0.25">
      <c r="A6256" s="3"/>
    </row>
    <row r="6257" spans="1:1" x14ac:dyDescent="0.25">
      <c r="A6257" s="3"/>
    </row>
    <row r="6258" spans="1:1" x14ac:dyDescent="0.25">
      <c r="A6258" s="3"/>
    </row>
    <row r="6259" spans="1:1" x14ac:dyDescent="0.25">
      <c r="A6259" s="3"/>
    </row>
    <row r="6260" spans="1:1" x14ac:dyDescent="0.25">
      <c r="A6260" s="3"/>
    </row>
    <row r="6261" spans="1:1" x14ac:dyDescent="0.25">
      <c r="A6261" s="3"/>
    </row>
    <row r="6262" spans="1:1" x14ac:dyDescent="0.25">
      <c r="A6262" s="3"/>
    </row>
    <row r="6263" spans="1:1" x14ac:dyDescent="0.25">
      <c r="A6263" s="3"/>
    </row>
    <row r="6264" spans="1:1" x14ac:dyDescent="0.25">
      <c r="A6264" s="3"/>
    </row>
    <row r="6265" spans="1:1" x14ac:dyDescent="0.25">
      <c r="A6265" s="3"/>
    </row>
    <row r="6266" spans="1:1" x14ac:dyDescent="0.25">
      <c r="A6266" s="3"/>
    </row>
    <row r="6267" spans="1:1" x14ac:dyDescent="0.25">
      <c r="A6267" s="3"/>
    </row>
    <row r="6268" spans="1:1" x14ac:dyDescent="0.25">
      <c r="A6268" s="3"/>
    </row>
    <row r="6269" spans="1:1" x14ac:dyDescent="0.25">
      <c r="A6269" s="3"/>
    </row>
    <row r="6270" spans="1:1" x14ac:dyDescent="0.25">
      <c r="A6270" s="3"/>
    </row>
    <row r="6271" spans="1:1" x14ac:dyDescent="0.25">
      <c r="A6271" s="3"/>
    </row>
    <row r="6272" spans="1:1" x14ac:dyDescent="0.25">
      <c r="A6272" s="3"/>
    </row>
    <row r="6273" spans="1:1" x14ac:dyDescent="0.25">
      <c r="A6273" s="3"/>
    </row>
    <row r="6274" spans="1:1" x14ac:dyDescent="0.25">
      <c r="A6274" s="3"/>
    </row>
    <row r="6275" spans="1:1" x14ac:dyDescent="0.25">
      <c r="A6275" s="3"/>
    </row>
    <row r="6276" spans="1:1" x14ac:dyDescent="0.25">
      <c r="A6276" s="3"/>
    </row>
    <row r="6277" spans="1:1" x14ac:dyDescent="0.25">
      <c r="A6277" s="3"/>
    </row>
    <row r="6278" spans="1:1" x14ac:dyDescent="0.25">
      <c r="A6278" s="3"/>
    </row>
    <row r="6279" spans="1:1" x14ac:dyDescent="0.25">
      <c r="A6279" s="3"/>
    </row>
    <row r="6280" spans="1:1" x14ac:dyDescent="0.25">
      <c r="A6280" s="3"/>
    </row>
    <row r="6281" spans="1:1" x14ac:dyDescent="0.25">
      <c r="A6281" s="3"/>
    </row>
    <row r="6282" spans="1:1" x14ac:dyDescent="0.25">
      <c r="A6282" s="3"/>
    </row>
    <row r="6283" spans="1:1" x14ac:dyDescent="0.25">
      <c r="A6283" s="3"/>
    </row>
    <row r="6284" spans="1:1" x14ac:dyDescent="0.25">
      <c r="A6284" s="3"/>
    </row>
    <row r="6285" spans="1:1" x14ac:dyDescent="0.25">
      <c r="A6285" s="3"/>
    </row>
    <row r="6286" spans="1:1" x14ac:dyDescent="0.25">
      <c r="A6286" s="3"/>
    </row>
    <row r="6287" spans="1:1" x14ac:dyDescent="0.25">
      <c r="A6287" s="3"/>
    </row>
    <row r="6288" spans="1:1" x14ac:dyDescent="0.25">
      <c r="A6288" s="3"/>
    </row>
    <row r="6289" spans="1:1" x14ac:dyDescent="0.25">
      <c r="A6289" s="3"/>
    </row>
    <row r="6290" spans="1:1" x14ac:dyDescent="0.25">
      <c r="A6290" s="3"/>
    </row>
    <row r="6291" spans="1:1" x14ac:dyDescent="0.25">
      <c r="A6291" s="3"/>
    </row>
    <row r="6292" spans="1:1" x14ac:dyDescent="0.25">
      <c r="A6292" s="3"/>
    </row>
    <row r="6293" spans="1:1" x14ac:dyDescent="0.25">
      <c r="A6293" s="3"/>
    </row>
    <row r="6294" spans="1:1" x14ac:dyDescent="0.25">
      <c r="A6294" s="3"/>
    </row>
    <row r="6295" spans="1:1" x14ac:dyDescent="0.25">
      <c r="A6295" s="3"/>
    </row>
    <row r="6296" spans="1:1" x14ac:dyDescent="0.25">
      <c r="A6296" s="3"/>
    </row>
    <row r="6297" spans="1:1" x14ac:dyDescent="0.25">
      <c r="A6297" s="3"/>
    </row>
    <row r="6298" spans="1:1" x14ac:dyDescent="0.25">
      <c r="A6298" s="3"/>
    </row>
    <row r="6299" spans="1:1" x14ac:dyDescent="0.25">
      <c r="A6299" s="3"/>
    </row>
    <row r="6300" spans="1:1" x14ac:dyDescent="0.25">
      <c r="A6300" s="3"/>
    </row>
    <row r="6301" spans="1:1" x14ac:dyDescent="0.25">
      <c r="A6301" s="3"/>
    </row>
    <row r="6302" spans="1:1" x14ac:dyDescent="0.25">
      <c r="A6302" s="3"/>
    </row>
    <row r="6303" spans="1:1" x14ac:dyDescent="0.25">
      <c r="A6303" s="3"/>
    </row>
    <row r="6304" spans="1:1" x14ac:dyDescent="0.25">
      <c r="A6304" s="3"/>
    </row>
    <row r="6305" spans="1:1" x14ac:dyDescent="0.25">
      <c r="A6305" s="3"/>
    </row>
    <row r="6306" spans="1:1" x14ac:dyDescent="0.25">
      <c r="A6306" s="3"/>
    </row>
    <row r="6307" spans="1:1" x14ac:dyDescent="0.25">
      <c r="A6307" s="3"/>
    </row>
    <row r="6308" spans="1:1" x14ac:dyDescent="0.25">
      <c r="A6308" s="3"/>
    </row>
    <row r="6309" spans="1:1" x14ac:dyDescent="0.25">
      <c r="A6309" s="3"/>
    </row>
    <row r="6310" spans="1:1" x14ac:dyDescent="0.25">
      <c r="A6310" s="3"/>
    </row>
    <row r="6311" spans="1:1" x14ac:dyDescent="0.25">
      <c r="A6311" s="3"/>
    </row>
    <row r="6312" spans="1:1" x14ac:dyDescent="0.25">
      <c r="A6312" s="3"/>
    </row>
    <row r="6313" spans="1:1" x14ac:dyDescent="0.25">
      <c r="A6313" s="3"/>
    </row>
    <row r="6314" spans="1:1" x14ac:dyDescent="0.25">
      <c r="A6314" s="3"/>
    </row>
    <row r="6315" spans="1:1" x14ac:dyDescent="0.25">
      <c r="A6315" s="3"/>
    </row>
    <row r="6316" spans="1:1" x14ac:dyDescent="0.25">
      <c r="A6316" s="3"/>
    </row>
    <row r="6317" spans="1:1" x14ac:dyDescent="0.25">
      <c r="A6317" s="3"/>
    </row>
    <row r="6318" spans="1:1" x14ac:dyDescent="0.25">
      <c r="A6318" s="3"/>
    </row>
    <row r="6319" spans="1:1" x14ac:dyDescent="0.25">
      <c r="A6319" s="3"/>
    </row>
    <row r="6320" spans="1:1" x14ac:dyDescent="0.25">
      <c r="A6320" s="3"/>
    </row>
    <row r="6321" spans="1:1" x14ac:dyDescent="0.25">
      <c r="A6321" s="3"/>
    </row>
    <row r="6322" spans="1:1" x14ac:dyDescent="0.25">
      <c r="A6322" s="3"/>
    </row>
    <row r="6323" spans="1:1" x14ac:dyDescent="0.25">
      <c r="A6323" s="3"/>
    </row>
    <row r="6324" spans="1:1" x14ac:dyDescent="0.25">
      <c r="A6324" s="3"/>
    </row>
    <row r="6325" spans="1:1" x14ac:dyDescent="0.25">
      <c r="A6325" s="3"/>
    </row>
    <row r="6326" spans="1:1" x14ac:dyDescent="0.25">
      <c r="A6326" s="3"/>
    </row>
    <row r="6327" spans="1:1" x14ac:dyDescent="0.25">
      <c r="A6327" s="3"/>
    </row>
    <row r="6328" spans="1:1" x14ac:dyDescent="0.25">
      <c r="A6328" s="3"/>
    </row>
    <row r="6329" spans="1:1" x14ac:dyDescent="0.25">
      <c r="A6329" s="3"/>
    </row>
    <row r="6330" spans="1:1" x14ac:dyDescent="0.25">
      <c r="A6330" s="3"/>
    </row>
    <row r="6331" spans="1:1" x14ac:dyDescent="0.25">
      <c r="A6331" s="3"/>
    </row>
    <row r="6332" spans="1:1" x14ac:dyDescent="0.25">
      <c r="A6332" s="3"/>
    </row>
    <row r="6333" spans="1:1" x14ac:dyDescent="0.25">
      <c r="A6333" s="3"/>
    </row>
    <row r="6334" spans="1:1" x14ac:dyDescent="0.25">
      <c r="A6334" s="3"/>
    </row>
    <row r="6335" spans="1:1" x14ac:dyDescent="0.25">
      <c r="A6335" s="3"/>
    </row>
    <row r="6336" spans="1:1" x14ac:dyDescent="0.25">
      <c r="A6336" s="3"/>
    </row>
    <row r="6337" spans="1:1" x14ac:dyDescent="0.25">
      <c r="A6337" s="3"/>
    </row>
    <row r="6338" spans="1:1" x14ac:dyDescent="0.25">
      <c r="A6338" s="3"/>
    </row>
    <row r="6339" spans="1:1" x14ac:dyDescent="0.25">
      <c r="A6339" s="3"/>
    </row>
    <row r="6340" spans="1:1" x14ac:dyDescent="0.25">
      <c r="A6340" s="3"/>
    </row>
    <row r="6341" spans="1:1" x14ac:dyDescent="0.25">
      <c r="A6341" s="3"/>
    </row>
    <row r="6342" spans="1:1" x14ac:dyDescent="0.25">
      <c r="A6342" s="3"/>
    </row>
    <row r="6343" spans="1:1" x14ac:dyDescent="0.25">
      <c r="A6343" s="3"/>
    </row>
    <row r="6344" spans="1:1" x14ac:dyDescent="0.25">
      <c r="A6344" s="3"/>
    </row>
    <row r="6345" spans="1:1" x14ac:dyDescent="0.25">
      <c r="A6345" s="3"/>
    </row>
    <row r="6346" spans="1:1" x14ac:dyDescent="0.25">
      <c r="A6346" s="3"/>
    </row>
    <row r="6347" spans="1:1" x14ac:dyDescent="0.25">
      <c r="A6347" s="3"/>
    </row>
    <row r="6348" spans="1:1" x14ac:dyDescent="0.25">
      <c r="A6348" s="3"/>
    </row>
    <row r="6349" spans="1:1" x14ac:dyDescent="0.25">
      <c r="A6349" s="3"/>
    </row>
    <row r="6350" spans="1:1" x14ac:dyDescent="0.25">
      <c r="A6350" s="3"/>
    </row>
    <row r="6351" spans="1:1" x14ac:dyDescent="0.25">
      <c r="A6351" s="3"/>
    </row>
    <row r="6352" spans="1:1" x14ac:dyDescent="0.25">
      <c r="A6352" s="3"/>
    </row>
    <row r="6353" spans="1:1" x14ac:dyDescent="0.25">
      <c r="A6353" s="3"/>
    </row>
    <row r="6354" spans="1:1" x14ac:dyDescent="0.25">
      <c r="A6354" s="3"/>
    </row>
    <row r="6355" spans="1:1" x14ac:dyDescent="0.25">
      <c r="A6355" s="3"/>
    </row>
    <row r="6356" spans="1:1" x14ac:dyDescent="0.25">
      <c r="A6356" s="3"/>
    </row>
    <row r="6357" spans="1:1" x14ac:dyDescent="0.25">
      <c r="A6357" s="3"/>
    </row>
    <row r="6358" spans="1:1" x14ac:dyDescent="0.25">
      <c r="A6358" s="3"/>
    </row>
    <row r="6359" spans="1:1" x14ac:dyDescent="0.25">
      <c r="A6359" s="3"/>
    </row>
    <row r="6360" spans="1:1" x14ac:dyDescent="0.25">
      <c r="A6360" s="3"/>
    </row>
    <row r="6361" spans="1:1" x14ac:dyDescent="0.25">
      <c r="A6361" s="3"/>
    </row>
    <row r="6362" spans="1:1" x14ac:dyDescent="0.25">
      <c r="A6362" s="3"/>
    </row>
    <row r="6363" spans="1:1" x14ac:dyDescent="0.25">
      <c r="A6363" s="3"/>
    </row>
    <row r="6364" spans="1:1" x14ac:dyDescent="0.25">
      <c r="A6364" s="3"/>
    </row>
    <row r="6365" spans="1:1" x14ac:dyDescent="0.25">
      <c r="A6365" s="3"/>
    </row>
    <row r="6366" spans="1:1" x14ac:dyDescent="0.25">
      <c r="A6366" s="3"/>
    </row>
    <row r="6367" spans="1:1" x14ac:dyDescent="0.25">
      <c r="A6367" s="3"/>
    </row>
    <row r="6368" spans="1:1" x14ac:dyDescent="0.25">
      <c r="A6368" s="3"/>
    </row>
    <row r="6369" spans="1:1" x14ac:dyDescent="0.25">
      <c r="A6369" s="3"/>
    </row>
    <row r="6370" spans="1:1" x14ac:dyDescent="0.25">
      <c r="A6370" s="3"/>
    </row>
    <row r="6371" spans="1:1" x14ac:dyDescent="0.25">
      <c r="A6371" s="3"/>
    </row>
    <row r="6372" spans="1:1" x14ac:dyDescent="0.25">
      <c r="A6372" s="3"/>
    </row>
    <row r="6373" spans="1:1" x14ac:dyDescent="0.25">
      <c r="A6373" s="3"/>
    </row>
    <row r="6374" spans="1:1" x14ac:dyDescent="0.25">
      <c r="A6374" s="3"/>
    </row>
    <row r="6375" spans="1:1" x14ac:dyDescent="0.25">
      <c r="A6375" s="3"/>
    </row>
    <row r="6376" spans="1:1" x14ac:dyDescent="0.25">
      <c r="A6376" s="3"/>
    </row>
    <row r="6377" spans="1:1" x14ac:dyDescent="0.25">
      <c r="A6377" s="3"/>
    </row>
    <row r="6378" spans="1:1" x14ac:dyDescent="0.25">
      <c r="A6378" s="3"/>
    </row>
    <row r="6379" spans="1:1" x14ac:dyDescent="0.25">
      <c r="A6379" s="3"/>
    </row>
    <row r="6380" spans="1:1" x14ac:dyDescent="0.25">
      <c r="A6380" s="3"/>
    </row>
    <row r="6381" spans="1:1" x14ac:dyDescent="0.25">
      <c r="A6381" s="3"/>
    </row>
    <row r="6382" spans="1:1" x14ac:dyDescent="0.25">
      <c r="A6382" s="3"/>
    </row>
    <row r="6383" spans="1:1" x14ac:dyDescent="0.25">
      <c r="A6383" s="3"/>
    </row>
    <row r="6384" spans="1:1" x14ac:dyDescent="0.25">
      <c r="A6384" s="3"/>
    </row>
    <row r="6385" spans="1:1" x14ac:dyDescent="0.25">
      <c r="A6385" s="3"/>
    </row>
    <row r="6386" spans="1:1" x14ac:dyDescent="0.25">
      <c r="A6386" s="3"/>
    </row>
    <row r="6387" spans="1:1" x14ac:dyDescent="0.25">
      <c r="A6387" s="3"/>
    </row>
    <row r="6388" spans="1:1" x14ac:dyDescent="0.25">
      <c r="A6388" s="3"/>
    </row>
    <row r="6389" spans="1:1" x14ac:dyDescent="0.25">
      <c r="A6389" s="3"/>
    </row>
    <row r="6390" spans="1:1" x14ac:dyDescent="0.25">
      <c r="A6390" s="3"/>
    </row>
    <row r="6391" spans="1:1" x14ac:dyDescent="0.25">
      <c r="A6391" s="3"/>
    </row>
    <row r="6392" spans="1:1" x14ac:dyDescent="0.25">
      <c r="A6392" s="3"/>
    </row>
    <row r="6393" spans="1:1" x14ac:dyDescent="0.25">
      <c r="A6393" s="3"/>
    </row>
    <row r="6394" spans="1:1" x14ac:dyDescent="0.25">
      <c r="A6394" s="3"/>
    </row>
    <row r="6395" spans="1:1" x14ac:dyDescent="0.25">
      <c r="A6395" s="3"/>
    </row>
    <row r="6396" spans="1:1" x14ac:dyDescent="0.25">
      <c r="A6396" s="3"/>
    </row>
    <row r="6397" spans="1:1" x14ac:dyDescent="0.25">
      <c r="A6397" s="3"/>
    </row>
    <row r="6398" spans="1:1" x14ac:dyDescent="0.25">
      <c r="A6398" s="3"/>
    </row>
    <row r="6399" spans="1:1" x14ac:dyDescent="0.25">
      <c r="A6399" s="3"/>
    </row>
    <row r="6400" spans="1:1" x14ac:dyDescent="0.25">
      <c r="A6400" s="3"/>
    </row>
    <row r="6401" spans="1:1" x14ac:dyDescent="0.25">
      <c r="A6401" s="3"/>
    </row>
    <row r="6402" spans="1:1" x14ac:dyDescent="0.25">
      <c r="A6402" s="3"/>
    </row>
    <row r="6403" spans="1:1" x14ac:dyDescent="0.25">
      <c r="A6403" s="3"/>
    </row>
    <row r="6404" spans="1:1" x14ac:dyDescent="0.25">
      <c r="A6404" s="3"/>
    </row>
    <row r="6405" spans="1:1" x14ac:dyDescent="0.25">
      <c r="A6405" s="3"/>
    </row>
    <row r="6406" spans="1:1" x14ac:dyDescent="0.25">
      <c r="A6406" s="3"/>
    </row>
    <row r="6407" spans="1:1" x14ac:dyDescent="0.25">
      <c r="A6407" s="3"/>
    </row>
    <row r="6408" spans="1:1" x14ac:dyDescent="0.25">
      <c r="A6408" s="3"/>
    </row>
    <row r="6409" spans="1:1" x14ac:dyDescent="0.25">
      <c r="A6409" s="3"/>
    </row>
    <row r="6410" spans="1:1" x14ac:dyDescent="0.25">
      <c r="A6410" s="3"/>
    </row>
    <row r="6411" spans="1:1" x14ac:dyDescent="0.25">
      <c r="A6411" s="3"/>
    </row>
    <row r="6412" spans="1:1" x14ac:dyDescent="0.25">
      <c r="A6412" s="3"/>
    </row>
    <row r="6413" spans="1:1" x14ac:dyDescent="0.25">
      <c r="A6413" s="3"/>
    </row>
    <row r="6414" spans="1:1" x14ac:dyDescent="0.25">
      <c r="A6414" s="3"/>
    </row>
    <row r="6415" spans="1:1" x14ac:dyDescent="0.25">
      <c r="A6415" s="3"/>
    </row>
    <row r="6416" spans="1:1" x14ac:dyDescent="0.25">
      <c r="A6416" s="3"/>
    </row>
    <row r="6417" spans="1:1" x14ac:dyDescent="0.25">
      <c r="A6417" s="3"/>
    </row>
    <row r="6418" spans="1:1" x14ac:dyDescent="0.25">
      <c r="A6418" s="3"/>
    </row>
    <row r="6419" spans="1:1" x14ac:dyDescent="0.25">
      <c r="A6419" s="3"/>
    </row>
    <row r="6420" spans="1:1" x14ac:dyDescent="0.25">
      <c r="A6420" s="3"/>
    </row>
    <row r="6421" spans="1:1" x14ac:dyDescent="0.25">
      <c r="A6421" s="3"/>
    </row>
    <row r="6422" spans="1:1" x14ac:dyDescent="0.25">
      <c r="A6422" s="3"/>
    </row>
    <row r="6423" spans="1:1" x14ac:dyDescent="0.25">
      <c r="A6423" s="3"/>
    </row>
    <row r="6424" spans="1:1" x14ac:dyDescent="0.25">
      <c r="A6424" s="3"/>
    </row>
    <row r="6425" spans="1:1" x14ac:dyDescent="0.25">
      <c r="A6425" s="3"/>
    </row>
    <row r="6426" spans="1:1" x14ac:dyDescent="0.25">
      <c r="A6426" s="3"/>
    </row>
    <row r="6427" spans="1:1" x14ac:dyDescent="0.25">
      <c r="A6427" s="3"/>
    </row>
    <row r="6428" spans="1:1" x14ac:dyDescent="0.25">
      <c r="A6428" s="3"/>
    </row>
    <row r="6429" spans="1:1" x14ac:dyDescent="0.25">
      <c r="A6429" s="3"/>
    </row>
    <row r="6430" spans="1:1" x14ac:dyDescent="0.25">
      <c r="A6430" s="3"/>
    </row>
    <row r="6431" spans="1:1" x14ac:dyDescent="0.25">
      <c r="A6431" s="3"/>
    </row>
    <row r="6432" spans="1:1" x14ac:dyDescent="0.25">
      <c r="A6432" s="3"/>
    </row>
    <row r="6433" spans="1:1" x14ac:dyDescent="0.25">
      <c r="A6433" s="3"/>
    </row>
    <row r="6434" spans="1:1" x14ac:dyDescent="0.25">
      <c r="A6434" s="3"/>
    </row>
    <row r="6435" spans="1:1" x14ac:dyDescent="0.25">
      <c r="A6435" s="3"/>
    </row>
    <row r="6436" spans="1:1" x14ac:dyDescent="0.25">
      <c r="A6436" s="3"/>
    </row>
    <row r="6437" spans="1:1" x14ac:dyDescent="0.25">
      <c r="A6437" s="3"/>
    </row>
    <row r="6438" spans="1:1" x14ac:dyDescent="0.25">
      <c r="A6438" s="3"/>
    </row>
    <row r="6439" spans="1:1" x14ac:dyDescent="0.25">
      <c r="A6439" s="3"/>
    </row>
    <row r="6440" spans="1:1" x14ac:dyDescent="0.25">
      <c r="A6440" s="3"/>
    </row>
    <row r="6441" spans="1:1" x14ac:dyDescent="0.25">
      <c r="A6441" s="3"/>
    </row>
    <row r="6442" spans="1:1" x14ac:dyDescent="0.25">
      <c r="A6442" s="3"/>
    </row>
    <row r="6443" spans="1:1" x14ac:dyDescent="0.25">
      <c r="A6443" s="3"/>
    </row>
    <row r="6444" spans="1:1" x14ac:dyDescent="0.25">
      <c r="A6444" s="3"/>
    </row>
    <row r="6445" spans="1:1" x14ac:dyDescent="0.25">
      <c r="A6445" s="3"/>
    </row>
    <row r="6446" spans="1:1" x14ac:dyDescent="0.25">
      <c r="A6446" s="3"/>
    </row>
    <row r="6447" spans="1:1" x14ac:dyDescent="0.25">
      <c r="A6447" s="3"/>
    </row>
    <row r="6448" spans="1:1" x14ac:dyDescent="0.25">
      <c r="A6448" s="3"/>
    </row>
    <row r="6449" spans="1:1" x14ac:dyDescent="0.25">
      <c r="A6449" s="3"/>
    </row>
    <row r="6450" spans="1:1" x14ac:dyDescent="0.25">
      <c r="A6450" s="3"/>
    </row>
    <row r="6451" spans="1:1" x14ac:dyDescent="0.25">
      <c r="A6451" s="3"/>
    </row>
    <row r="6452" spans="1:1" x14ac:dyDescent="0.25">
      <c r="A6452" s="3"/>
    </row>
    <row r="6453" spans="1:1" x14ac:dyDescent="0.25">
      <c r="A6453" s="3"/>
    </row>
    <row r="6454" spans="1:1" x14ac:dyDescent="0.25">
      <c r="A6454" s="3"/>
    </row>
    <row r="6455" spans="1:1" x14ac:dyDescent="0.25">
      <c r="A6455" s="3"/>
    </row>
    <row r="6456" spans="1:1" x14ac:dyDescent="0.25">
      <c r="A6456" s="3"/>
    </row>
    <row r="6457" spans="1:1" x14ac:dyDescent="0.25">
      <c r="A6457" s="3"/>
    </row>
    <row r="6458" spans="1:1" x14ac:dyDescent="0.25">
      <c r="A6458" s="3"/>
    </row>
    <row r="6459" spans="1:1" x14ac:dyDescent="0.25">
      <c r="A6459" s="3"/>
    </row>
    <row r="6460" spans="1:1" x14ac:dyDescent="0.25">
      <c r="A6460" s="3"/>
    </row>
    <row r="6461" spans="1:1" x14ac:dyDescent="0.25">
      <c r="A6461" s="3"/>
    </row>
    <row r="6462" spans="1:1" x14ac:dyDescent="0.25">
      <c r="A6462" s="3"/>
    </row>
    <row r="6463" spans="1:1" x14ac:dyDescent="0.25">
      <c r="A6463" s="3"/>
    </row>
    <row r="6464" spans="1:1" x14ac:dyDescent="0.25">
      <c r="A6464" s="3"/>
    </row>
    <row r="6465" spans="1:1" x14ac:dyDescent="0.25">
      <c r="A6465" s="3"/>
    </row>
    <row r="6466" spans="1:1" x14ac:dyDescent="0.25">
      <c r="A6466" s="3"/>
    </row>
    <row r="6467" spans="1:1" x14ac:dyDescent="0.25">
      <c r="A6467" s="3"/>
    </row>
    <row r="6468" spans="1:1" x14ac:dyDescent="0.25">
      <c r="A6468" s="3"/>
    </row>
    <row r="6469" spans="1:1" x14ac:dyDescent="0.25">
      <c r="A6469" s="3"/>
    </row>
    <row r="6470" spans="1:1" x14ac:dyDescent="0.25">
      <c r="A6470" s="3"/>
    </row>
    <row r="6471" spans="1:1" x14ac:dyDescent="0.25">
      <c r="A6471" s="3"/>
    </row>
    <row r="6472" spans="1:1" x14ac:dyDescent="0.25">
      <c r="A6472" s="3"/>
    </row>
    <row r="6473" spans="1:1" x14ac:dyDescent="0.25">
      <c r="A6473" s="3"/>
    </row>
    <row r="6474" spans="1:1" x14ac:dyDescent="0.25">
      <c r="A6474" s="3"/>
    </row>
    <row r="6475" spans="1:1" x14ac:dyDescent="0.25">
      <c r="A6475" s="3"/>
    </row>
    <row r="6476" spans="1:1" x14ac:dyDescent="0.25">
      <c r="A6476" s="3"/>
    </row>
    <row r="6477" spans="1:1" x14ac:dyDescent="0.25">
      <c r="A6477" s="3"/>
    </row>
    <row r="6478" spans="1:1" x14ac:dyDescent="0.25">
      <c r="A6478" s="3"/>
    </row>
    <row r="6479" spans="1:1" x14ac:dyDescent="0.25">
      <c r="A6479" s="3"/>
    </row>
    <row r="6480" spans="1:1" x14ac:dyDescent="0.25">
      <c r="A6480" s="3"/>
    </row>
    <row r="6481" spans="1:1" x14ac:dyDescent="0.25">
      <c r="A6481" s="3"/>
    </row>
    <row r="6482" spans="1:1" x14ac:dyDescent="0.25">
      <c r="A6482" s="3"/>
    </row>
    <row r="6483" spans="1:1" x14ac:dyDescent="0.25">
      <c r="A6483" s="3"/>
    </row>
    <row r="6484" spans="1:1" x14ac:dyDescent="0.25">
      <c r="A6484" s="3"/>
    </row>
    <row r="6485" spans="1:1" x14ac:dyDescent="0.25">
      <c r="A6485" s="3"/>
    </row>
    <row r="6486" spans="1:1" x14ac:dyDescent="0.25">
      <c r="A6486" s="3"/>
    </row>
    <row r="6487" spans="1:1" x14ac:dyDescent="0.25">
      <c r="A6487" s="3"/>
    </row>
    <row r="6488" spans="1:1" x14ac:dyDescent="0.25">
      <c r="A6488" s="3"/>
    </row>
    <row r="6489" spans="1:1" x14ac:dyDescent="0.25">
      <c r="A6489" s="3"/>
    </row>
    <row r="6490" spans="1:1" x14ac:dyDescent="0.25">
      <c r="A6490" s="3"/>
    </row>
    <row r="6491" spans="1:1" x14ac:dyDescent="0.25">
      <c r="A6491" s="3"/>
    </row>
    <row r="6492" spans="1:1" x14ac:dyDescent="0.25">
      <c r="A6492" s="3"/>
    </row>
    <row r="6493" spans="1:1" x14ac:dyDescent="0.25">
      <c r="A6493" s="3"/>
    </row>
    <row r="6494" spans="1:1" x14ac:dyDescent="0.25">
      <c r="A6494" s="3"/>
    </row>
    <row r="6495" spans="1:1" x14ac:dyDescent="0.25">
      <c r="A6495" s="3"/>
    </row>
    <row r="6496" spans="1:1" x14ac:dyDescent="0.25">
      <c r="A6496" s="3"/>
    </row>
    <row r="6497" spans="1:1" x14ac:dyDescent="0.25">
      <c r="A6497" s="3"/>
    </row>
    <row r="6498" spans="1:1" x14ac:dyDescent="0.25">
      <c r="A6498" s="3"/>
    </row>
    <row r="6499" spans="1:1" x14ac:dyDescent="0.25">
      <c r="A6499" s="3"/>
    </row>
    <row r="6500" spans="1:1" x14ac:dyDescent="0.25">
      <c r="A6500" s="3"/>
    </row>
    <row r="6501" spans="1:1" x14ac:dyDescent="0.25">
      <c r="A6501" s="3"/>
    </row>
    <row r="6502" spans="1:1" x14ac:dyDescent="0.25">
      <c r="A6502" s="3"/>
    </row>
    <row r="6503" spans="1:1" x14ac:dyDescent="0.25">
      <c r="A6503" s="3"/>
    </row>
    <row r="6504" spans="1:1" x14ac:dyDescent="0.25">
      <c r="A6504" s="3"/>
    </row>
    <row r="6505" spans="1:1" x14ac:dyDescent="0.25">
      <c r="A6505" s="3"/>
    </row>
    <row r="6506" spans="1:1" x14ac:dyDescent="0.25">
      <c r="A6506" s="3"/>
    </row>
    <row r="6507" spans="1:1" x14ac:dyDescent="0.25">
      <c r="A6507" s="3"/>
    </row>
    <row r="6508" spans="1:1" x14ac:dyDescent="0.25">
      <c r="A6508" s="3"/>
    </row>
    <row r="6509" spans="1:1" x14ac:dyDescent="0.25">
      <c r="A6509" s="3"/>
    </row>
    <row r="6510" spans="1:1" x14ac:dyDescent="0.25">
      <c r="A6510" s="3"/>
    </row>
    <row r="6511" spans="1:1" x14ac:dyDescent="0.25">
      <c r="A6511" s="3"/>
    </row>
    <row r="6512" spans="1:1" x14ac:dyDescent="0.25">
      <c r="A6512" s="3"/>
    </row>
    <row r="6513" spans="1:1" x14ac:dyDescent="0.25">
      <c r="A6513" s="3"/>
    </row>
    <row r="6514" spans="1:1" x14ac:dyDescent="0.25">
      <c r="A6514" s="3"/>
    </row>
    <row r="6515" spans="1:1" x14ac:dyDescent="0.25">
      <c r="A6515" s="3"/>
    </row>
    <row r="6516" spans="1:1" x14ac:dyDescent="0.25">
      <c r="A6516" s="3"/>
    </row>
    <row r="6517" spans="1:1" x14ac:dyDescent="0.25">
      <c r="A6517" s="3"/>
    </row>
    <row r="6518" spans="1:1" x14ac:dyDescent="0.25">
      <c r="A6518" s="3"/>
    </row>
    <row r="6519" spans="1:1" x14ac:dyDescent="0.25">
      <c r="A6519" s="3"/>
    </row>
    <row r="6520" spans="1:1" x14ac:dyDescent="0.25">
      <c r="A6520" s="3"/>
    </row>
    <row r="6521" spans="1:1" x14ac:dyDescent="0.25">
      <c r="A6521" s="3"/>
    </row>
    <row r="6522" spans="1:1" x14ac:dyDescent="0.25">
      <c r="A6522" s="3"/>
    </row>
    <row r="6523" spans="1:1" x14ac:dyDescent="0.25">
      <c r="A6523" s="3"/>
    </row>
    <row r="6524" spans="1:1" x14ac:dyDescent="0.25">
      <c r="A6524" s="3"/>
    </row>
    <row r="6525" spans="1:1" x14ac:dyDescent="0.25">
      <c r="A6525" s="3"/>
    </row>
    <row r="6526" spans="1:1" x14ac:dyDescent="0.25">
      <c r="A6526" s="3"/>
    </row>
    <row r="6527" spans="1:1" x14ac:dyDescent="0.25">
      <c r="A6527" s="3"/>
    </row>
    <row r="6528" spans="1:1" x14ac:dyDescent="0.25">
      <c r="A6528" s="3"/>
    </row>
    <row r="6529" spans="1:1" x14ac:dyDescent="0.25">
      <c r="A6529" s="3"/>
    </row>
    <row r="6530" spans="1:1" x14ac:dyDescent="0.25">
      <c r="A6530" s="3"/>
    </row>
    <row r="6531" spans="1:1" x14ac:dyDescent="0.25">
      <c r="A6531" s="3"/>
    </row>
    <row r="6532" spans="1:1" x14ac:dyDescent="0.25">
      <c r="A6532" s="3"/>
    </row>
    <row r="6533" spans="1:1" x14ac:dyDescent="0.25">
      <c r="A6533" s="3"/>
    </row>
    <row r="6534" spans="1:1" x14ac:dyDescent="0.25">
      <c r="A6534" s="3"/>
    </row>
    <row r="6535" spans="1:1" x14ac:dyDescent="0.25">
      <c r="A6535" s="3"/>
    </row>
    <row r="6536" spans="1:1" x14ac:dyDescent="0.25">
      <c r="A6536" s="3"/>
    </row>
    <row r="6537" spans="1:1" x14ac:dyDescent="0.25">
      <c r="A6537" s="3"/>
    </row>
    <row r="6538" spans="1:1" x14ac:dyDescent="0.25">
      <c r="A6538" s="3"/>
    </row>
    <row r="6539" spans="1:1" x14ac:dyDescent="0.25">
      <c r="A6539" s="3"/>
    </row>
    <row r="6540" spans="1:1" x14ac:dyDescent="0.25">
      <c r="A6540" s="3"/>
    </row>
    <row r="6541" spans="1:1" x14ac:dyDescent="0.25">
      <c r="A6541" s="3"/>
    </row>
    <row r="6542" spans="1:1" x14ac:dyDescent="0.25">
      <c r="A6542" s="3"/>
    </row>
    <row r="6543" spans="1:1" x14ac:dyDescent="0.25">
      <c r="A6543" s="3"/>
    </row>
    <row r="6544" spans="1:1" x14ac:dyDescent="0.25">
      <c r="A6544" s="3"/>
    </row>
    <row r="6545" spans="1:1" x14ac:dyDescent="0.25">
      <c r="A6545" s="3"/>
    </row>
    <row r="6546" spans="1:1" x14ac:dyDescent="0.25">
      <c r="A6546" s="3"/>
    </row>
    <row r="6547" spans="1:1" x14ac:dyDescent="0.25">
      <c r="A6547" s="3"/>
    </row>
    <row r="6548" spans="1:1" x14ac:dyDescent="0.25">
      <c r="A6548" s="3"/>
    </row>
    <row r="6549" spans="1:1" x14ac:dyDescent="0.25">
      <c r="A6549" s="3"/>
    </row>
    <row r="6550" spans="1:1" x14ac:dyDescent="0.25">
      <c r="A6550" s="3"/>
    </row>
    <row r="6551" spans="1:1" x14ac:dyDescent="0.25">
      <c r="A6551" s="3"/>
    </row>
    <row r="6552" spans="1:1" x14ac:dyDescent="0.25">
      <c r="A6552" s="3"/>
    </row>
    <row r="6553" spans="1:1" x14ac:dyDescent="0.25">
      <c r="A6553" s="3"/>
    </row>
    <row r="6554" spans="1:1" x14ac:dyDescent="0.25">
      <c r="A6554" s="3"/>
    </row>
    <row r="6555" spans="1:1" x14ac:dyDescent="0.25">
      <c r="A6555" s="3"/>
    </row>
    <row r="6556" spans="1:1" x14ac:dyDescent="0.25">
      <c r="A6556" s="3"/>
    </row>
    <row r="6557" spans="1:1" x14ac:dyDescent="0.25">
      <c r="A6557" s="3"/>
    </row>
    <row r="6558" spans="1:1" x14ac:dyDescent="0.25">
      <c r="A6558" s="3"/>
    </row>
    <row r="6559" spans="1:1" x14ac:dyDescent="0.25">
      <c r="A6559" s="3"/>
    </row>
    <row r="6560" spans="1:1" x14ac:dyDescent="0.25">
      <c r="A6560" s="3"/>
    </row>
    <row r="6561" spans="1:1" x14ac:dyDescent="0.25">
      <c r="A6561" s="3"/>
    </row>
    <row r="6562" spans="1:1" x14ac:dyDescent="0.25">
      <c r="A6562" s="3"/>
    </row>
    <row r="6563" spans="1:1" x14ac:dyDescent="0.25">
      <c r="A6563" s="3"/>
    </row>
    <row r="6564" spans="1:1" x14ac:dyDescent="0.25">
      <c r="A6564" s="3"/>
    </row>
    <row r="6565" spans="1:1" x14ac:dyDescent="0.25">
      <c r="A6565" s="3"/>
    </row>
    <row r="6566" spans="1:1" x14ac:dyDescent="0.25">
      <c r="A6566" s="3"/>
    </row>
    <row r="6567" spans="1:1" x14ac:dyDescent="0.25">
      <c r="A6567" s="3"/>
    </row>
    <row r="6568" spans="1:1" x14ac:dyDescent="0.25">
      <c r="A6568" s="3"/>
    </row>
    <row r="6569" spans="1:1" x14ac:dyDescent="0.25">
      <c r="A6569" s="3"/>
    </row>
    <row r="6570" spans="1:1" x14ac:dyDescent="0.25">
      <c r="A6570" s="3"/>
    </row>
    <row r="6571" spans="1:1" x14ac:dyDescent="0.25">
      <c r="A6571" s="3"/>
    </row>
    <row r="6572" spans="1:1" x14ac:dyDescent="0.25">
      <c r="A6572" s="3"/>
    </row>
    <row r="6573" spans="1:1" x14ac:dyDescent="0.25">
      <c r="A6573" s="3"/>
    </row>
    <row r="6574" spans="1:1" x14ac:dyDescent="0.25">
      <c r="A6574" s="3"/>
    </row>
    <row r="6575" spans="1:1" x14ac:dyDescent="0.25">
      <c r="A6575" s="3"/>
    </row>
    <row r="6576" spans="1:1" x14ac:dyDescent="0.25">
      <c r="A6576" s="3"/>
    </row>
    <row r="6577" spans="1:1" x14ac:dyDescent="0.25">
      <c r="A6577" s="3"/>
    </row>
    <row r="6578" spans="1:1" x14ac:dyDescent="0.25">
      <c r="A6578" s="3"/>
    </row>
    <row r="6579" spans="1:1" x14ac:dyDescent="0.25">
      <c r="A6579" s="3"/>
    </row>
    <row r="6580" spans="1:1" x14ac:dyDescent="0.25">
      <c r="A6580" s="3"/>
    </row>
    <row r="6581" spans="1:1" x14ac:dyDescent="0.25">
      <c r="A6581" s="3"/>
    </row>
    <row r="6582" spans="1:1" x14ac:dyDescent="0.25">
      <c r="A6582" s="3"/>
    </row>
    <row r="6583" spans="1:1" x14ac:dyDescent="0.25">
      <c r="A6583" s="3"/>
    </row>
    <row r="6584" spans="1:1" x14ac:dyDescent="0.25">
      <c r="A6584" s="3"/>
    </row>
    <row r="6585" spans="1:1" x14ac:dyDescent="0.25">
      <c r="A6585" s="3"/>
    </row>
    <row r="6586" spans="1:1" x14ac:dyDescent="0.25">
      <c r="A6586" s="3"/>
    </row>
    <row r="6587" spans="1:1" x14ac:dyDescent="0.25">
      <c r="A6587" s="3"/>
    </row>
    <row r="6588" spans="1:1" x14ac:dyDescent="0.25">
      <c r="A6588" s="3"/>
    </row>
    <row r="6589" spans="1:1" x14ac:dyDescent="0.25">
      <c r="A6589" s="3"/>
    </row>
    <row r="6590" spans="1:1" x14ac:dyDescent="0.25">
      <c r="A6590" s="3"/>
    </row>
    <row r="6591" spans="1:1" x14ac:dyDescent="0.25">
      <c r="A6591" s="3"/>
    </row>
    <row r="6592" spans="1:1" x14ac:dyDescent="0.25">
      <c r="A6592" s="3"/>
    </row>
    <row r="6593" spans="1:1" x14ac:dyDescent="0.25">
      <c r="A6593" s="3"/>
    </row>
    <row r="6594" spans="1:1" x14ac:dyDescent="0.25">
      <c r="A6594" s="3"/>
    </row>
    <row r="6595" spans="1:1" x14ac:dyDescent="0.25">
      <c r="A6595" s="3"/>
    </row>
    <row r="6596" spans="1:1" x14ac:dyDescent="0.25">
      <c r="A6596" s="3"/>
    </row>
    <row r="6597" spans="1:1" x14ac:dyDescent="0.25">
      <c r="A6597" s="3"/>
    </row>
    <row r="6598" spans="1:1" x14ac:dyDescent="0.25">
      <c r="A6598" s="3"/>
    </row>
    <row r="6599" spans="1:1" x14ac:dyDescent="0.25">
      <c r="A6599" s="3"/>
    </row>
    <row r="6600" spans="1:1" x14ac:dyDescent="0.25">
      <c r="A6600" s="3"/>
    </row>
    <row r="6601" spans="1:1" x14ac:dyDescent="0.25">
      <c r="A6601" s="3"/>
    </row>
    <row r="6602" spans="1:1" x14ac:dyDescent="0.25">
      <c r="A6602" s="3"/>
    </row>
    <row r="6603" spans="1:1" x14ac:dyDescent="0.25">
      <c r="A6603" s="3"/>
    </row>
    <row r="6604" spans="1:1" x14ac:dyDescent="0.25">
      <c r="A6604" s="3"/>
    </row>
    <row r="6605" spans="1:1" x14ac:dyDescent="0.25">
      <c r="A6605" s="3"/>
    </row>
    <row r="6606" spans="1:1" x14ac:dyDescent="0.25">
      <c r="A6606" s="3"/>
    </row>
    <row r="6607" spans="1:1" x14ac:dyDescent="0.25">
      <c r="A6607" s="3"/>
    </row>
    <row r="6608" spans="1:1" x14ac:dyDescent="0.25">
      <c r="A6608" s="3"/>
    </row>
    <row r="6609" spans="1:1" x14ac:dyDescent="0.25">
      <c r="A6609" s="3"/>
    </row>
    <row r="6610" spans="1:1" x14ac:dyDescent="0.25">
      <c r="A6610" s="3"/>
    </row>
    <row r="6611" spans="1:1" x14ac:dyDescent="0.25">
      <c r="A6611" s="3"/>
    </row>
    <row r="6612" spans="1:1" x14ac:dyDescent="0.25">
      <c r="A6612" s="3"/>
    </row>
    <row r="6613" spans="1:1" x14ac:dyDescent="0.25">
      <c r="A6613" s="3"/>
    </row>
    <row r="6614" spans="1:1" x14ac:dyDescent="0.25">
      <c r="A6614" s="3"/>
    </row>
    <row r="6615" spans="1:1" x14ac:dyDescent="0.25">
      <c r="A6615" s="3"/>
    </row>
    <row r="6616" spans="1:1" x14ac:dyDescent="0.25">
      <c r="A6616" s="3"/>
    </row>
    <row r="6617" spans="1:1" x14ac:dyDescent="0.25">
      <c r="A6617" s="3"/>
    </row>
    <row r="6618" spans="1:1" x14ac:dyDescent="0.25">
      <c r="A6618" s="3"/>
    </row>
    <row r="6619" spans="1:1" x14ac:dyDescent="0.25">
      <c r="A6619" s="3"/>
    </row>
    <row r="6620" spans="1:1" x14ac:dyDescent="0.25">
      <c r="A6620" s="3"/>
    </row>
    <row r="6621" spans="1:1" x14ac:dyDescent="0.25">
      <c r="A6621" s="3"/>
    </row>
    <row r="6622" spans="1:1" x14ac:dyDescent="0.25">
      <c r="A6622" s="3"/>
    </row>
    <row r="6623" spans="1:1" x14ac:dyDescent="0.25">
      <c r="A6623" s="3"/>
    </row>
    <row r="6624" spans="1:1" x14ac:dyDescent="0.25">
      <c r="A6624" s="3"/>
    </row>
    <row r="6625" spans="1:1" x14ac:dyDescent="0.25">
      <c r="A6625" s="3"/>
    </row>
    <row r="6626" spans="1:1" x14ac:dyDescent="0.25">
      <c r="A6626" s="3"/>
    </row>
    <row r="6627" spans="1:1" x14ac:dyDescent="0.25">
      <c r="A6627" s="3"/>
    </row>
    <row r="6628" spans="1:1" x14ac:dyDescent="0.25">
      <c r="A6628" s="3"/>
    </row>
    <row r="6629" spans="1:1" x14ac:dyDescent="0.25">
      <c r="A6629" s="3"/>
    </row>
    <row r="6630" spans="1:1" x14ac:dyDescent="0.25">
      <c r="A6630" s="3"/>
    </row>
    <row r="6631" spans="1:1" x14ac:dyDescent="0.25">
      <c r="A6631" s="3"/>
    </row>
    <row r="6632" spans="1:1" x14ac:dyDescent="0.25">
      <c r="A6632" s="3"/>
    </row>
    <row r="6633" spans="1:1" x14ac:dyDescent="0.25">
      <c r="A6633" s="3"/>
    </row>
    <row r="6634" spans="1:1" x14ac:dyDescent="0.25">
      <c r="A6634" s="3"/>
    </row>
    <row r="6635" spans="1:1" x14ac:dyDescent="0.25">
      <c r="A6635" s="3"/>
    </row>
    <row r="6636" spans="1:1" x14ac:dyDescent="0.25">
      <c r="A6636" s="3"/>
    </row>
    <row r="6637" spans="1:1" x14ac:dyDescent="0.25">
      <c r="A6637" s="3"/>
    </row>
    <row r="6638" spans="1:1" x14ac:dyDescent="0.25">
      <c r="A6638" s="3"/>
    </row>
    <row r="6639" spans="1:1" x14ac:dyDescent="0.25">
      <c r="A6639" s="3"/>
    </row>
    <row r="6640" spans="1:1" x14ac:dyDescent="0.25">
      <c r="A6640" s="3"/>
    </row>
    <row r="6641" spans="1:1" x14ac:dyDescent="0.25">
      <c r="A6641" s="3"/>
    </row>
    <row r="6642" spans="1:1" x14ac:dyDescent="0.25">
      <c r="A6642" s="3"/>
    </row>
    <row r="6643" spans="1:1" x14ac:dyDescent="0.25">
      <c r="A6643" s="3"/>
    </row>
    <row r="6644" spans="1:1" x14ac:dyDescent="0.25">
      <c r="A6644" s="3"/>
    </row>
    <row r="6645" spans="1:1" x14ac:dyDescent="0.25">
      <c r="A6645" s="3"/>
    </row>
    <row r="6646" spans="1:1" x14ac:dyDescent="0.25">
      <c r="A6646" s="3"/>
    </row>
    <row r="6647" spans="1:1" x14ac:dyDescent="0.25">
      <c r="A6647" s="3"/>
    </row>
    <row r="6648" spans="1:1" x14ac:dyDescent="0.25">
      <c r="A6648" s="3"/>
    </row>
    <row r="6649" spans="1:1" x14ac:dyDescent="0.25">
      <c r="A6649" s="3"/>
    </row>
    <row r="6650" spans="1:1" x14ac:dyDescent="0.25">
      <c r="A6650" s="3"/>
    </row>
    <row r="6651" spans="1:1" x14ac:dyDescent="0.25">
      <c r="A6651" s="3"/>
    </row>
    <row r="6652" spans="1:1" x14ac:dyDescent="0.25">
      <c r="A6652" s="3"/>
    </row>
    <row r="6653" spans="1:1" x14ac:dyDescent="0.25">
      <c r="A6653" s="3"/>
    </row>
    <row r="6654" spans="1:1" x14ac:dyDescent="0.25">
      <c r="A6654" s="3"/>
    </row>
    <row r="6655" spans="1:1" x14ac:dyDescent="0.25">
      <c r="A6655" s="3"/>
    </row>
    <row r="6656" spans="1:1" x14ac:dyDescent="0.25">
      <c r="A6656" s="3"/>
    </row>
    <row r="6657" spans="1:1" x14ac:dyDescent="0.25">
      <c r="A6657" s="3"/>
    </row>
    <row r="6658" spans="1:1" x14ac:dyDescent="0.25">
      <c r="A6658" s="3"/>
    </row>
    <row r="6659" spans="1:1" x14ac:dyDescent="0.25">
      <c r="A6659" s="3"/>
    </row>
    <row r="6660" spans="1:1" x14ac:dyDescent="0.25">
      <c r="A6660" s="3"/>
    </row>
    <row r="6661" spans="1:1" x14ac:dyDescent="0.25">
      <c r="A6661" s="3"/>
    </row>
    <row r="6662" spans="1:1" x14ac:dyDescent="0.25">
      <c r="A6662" s="3"/>
    </row>
    <row r="6663" spans="1:1" x14ac:dyDescent="0.25">
      <c r="A6663" s="3"/>
    </row>
    <row r="6664" spans="1:1" x14ac:dyDescent="0.25">
      <c r="A6664" s="3"/>
    </row>
    <row r="6665" spans="1:1" x14ac:dyDescent="0.25">
      <c r="A6665" s="3"/>
    </row>
    <row r="6666" spans="1:1" x14ac:dyDescent="0.25">
      <c r="A6666" s="3"/>
    </row>
    <row r="6667" spans="1:1" x14ac:dyDescent="0.25">
      <c r="A6667" s="3"/>
    </row>
    <row r="6668" spans="1:1" x14ac:dyDescent="0.25">
      <c r="A6668" s="3"/>
    </row>
    <row r="6669" spans="1:1" x14ac:dyDescent="0.25">
      <c r="A6669" s="3"/>
    </row>
    <row r="6670" spans="1:1" x14ac:dyDescent="0.25">
      <c r="A6670" s="3"/>
    </row>
    <row r="6671" spans="1:1" x14ac:dyDescent="0.25">
      <c r="A6671" s="3"/>
    </row>
    <row r="6672" spans="1:1" x14ac:dyDescent="0.25">
      <c r="A6672" s="3"/>
    </row>
    <row r="6673" spans="1:1" x14ac:dyDescent="0.25">
      <c r="A6673" s="3"/>
    </row>
    <row r="6674" spans="1:1" x14ac:dyDescent="0.25">
      <c r="A6674" s="3"/>
    </row>
    <row r="6675" spans="1:1" x14ac:dyDescent="0.25">
      <c r="A6675" s="3"/>
    </row>
    <row r="6676" spans="1:1" x14ac:dyDescent="0.25">
      <c r="A6676" s="3"/>
    </row>
    <row r="6677" spans="1:1" x14ac:dyDescent="0.25">
      <c r="A6677" s="3"/>
    </row>
    <row r="6678" spans="1:1" x14ac:dyDescent="0.25">
      <c r="A6678" s="3"/>
    </row>
    <row r="6679" spans="1:1" x14ac:dyDescent="0.25">
      <c r="A6679" s="3"/>
    </row>
    <row r="6680" spans="1:1" x14ac:dyDescent="0.25">
      <c r="A6680" s="3"/>
    </row>
    <row r="6681" spans="1:1" x14ac:dyDescent="0.25">
      <c r="A6681" s="3"/>
    </row>
    <row r="6682" spans="1:1" x14ac:dyDescent="0.25">
      <c r="A6682" s="3"/>
    </row>
    <row r="6683" spans="1:1" x14ac:dyDescent="0.25">
      <c r="A6683" s="3"/>
    </row>
    <row r="6684" spans="1:1" x14ac:dyDescent="0.25">
      <c r="A6684" s="3"/>
    </row>
    <row r="6685" spans="1:1" x14ac:dyDescent="0.25">
      <c r="A6685" s="3"/>
    </row>
    <row r="6686" spans="1:1" x14ac:dyDescent="0.25">
      <c r="A6686" s="3"/>
    </row>
    <row r="6687" spans="1:1" x14ac:dyDescent="0.25">
      <c r="A6687" s="3"/>
    </row>
    <row r="6688" spans="1:1" x14ac:dyDescent="0.25">
      <c r="A6688" s="3"/>
    </row>
    <row r="6689" spans="1:1" x14ac:dyDescent="0.25">
      <c r="A6689" s="3"/>
    </row>
    <row r="6690" spans="1:1" x14ac:dyDescent="0.25">
      <c r="A6690" s="3"/>
    </row>
    <row r="6691" spans="1:1" x14ac:dyDescent="0.25">
      <c r="A6691" s="3"/>
    </row>
    <row r="6692" spans="1:1" x14ac:dyDescent="0.25">
      <c r="A6692" s="3"/>
    </row>
    <row r="6693" spans="1:1" x14ac:dyDescent="0.25">
      <c r="A6693" s="3"/>
    </row>
    <row r="6694" spans="1:1" x14ac:dyDescent="0.25">
      <c r="A6694" s="3"/>
    </row>
    <row r="6695" spans="1:1" x14ac:dyDescent="0.25">
      <c r="A6695" s="3"/>
    </row>
    <row r="6696" spans="1:1" x14ac:dyDescent="0.25">
      <c r="A6696" s="3"/>
    </row>
    <row r="6697" spans="1:1" x14ac:dyDescent="0.25">
      <c r="A6697" s="3"/>
    </row>
    <row r="6698" spans="1:1" x14ac:dyDescent="0.25">
      <c r="A6698" s="3"/>
    </row>
    <row r="6699" spans="1:1" x14ac:dyDescent="0.25">
      <c r="A6699" s="3"/>
    </row>
    <row r="6700" spans="1:1" x14ac:dyDescent="0.25">
      <c r="A6700" s="3"/>
    </row>
    <row r="6701" spans="1:1" x14ac:dyDescent="0.25">
      <c r="A6701" s="3"/>
    </row>
    <row r="6702" spans="1:1" x14ac:dyDescent="0.25">
      <c r="A6702" s="3"/>
    </row>
    <row r="6703" spans="1:1" x14ac:dyDescent="0.25">
      <c r="A6703" s="3"/>
    </row>
    <row r="6704" spans="1:1" x14ac:dyDescent="0.25">
      <c r="A6704" s="3"/>
    </row>
    <row r="6705" spans="1:1" x14ac:dyDescent="0.25">
      <c r="A6705" s="3"/>
    </row>
    <row r="6706" spans="1:1" x14ac:dyDescent="0.25">
      <c r="A6706" s="3"/>
    </row>
    <row r="6707" spans="1:1" x14ac:dyDescent="0.25">
      <c r="A6707" s="3"/>
    </row>
    <row r="6708" spans="1:1" x14ac:dyDescent="0.25">
      <c r="A6708" s="3"/>
    </row>
    <row r="6709" spans="1:1" x14ac:dyDescent="0.25">
      <c r="A6709" s="3"/>
    </row>
    <row r="6710" spans="1:1" x14ac:dyDescent="0.25">
      <c r="A6710" s="3"/>
    </row>
    <row r="6711" spans="1:1" x14ac:dyDescent="0.25">
      <c r="A6711" s="3"/>
    </row>
    <row r="6712" spans="1:1" x14ac:dyDescent="0.25">
      <c r="A6712" s="3"/>
    </row>
    <row r="6713" spans="1:1" x14ac:dyDescent="0.25">
      <c r="A6713" s="3"/>
    </row>
    <row r="6714" spans="1:1" x14ac:dyDescent="0.25">
      <c r="A6714" s="3"/>
    </row>
    <row r="6715" spans="1:1" x14ac:dyDescent="0.25">
      <c r="A6715" s="3"/>
    </row>
    <row r="6716" spans="1:1" x14ac:dyDescent="0.25">
      <c r="A6716" s="3"/>
    </row>
    <row r="6717" spans="1:1" x14ac:dyDescent="0.25">
      <c r="A6717" s="3"/>
    </row>
    <row r="6718" spans="1:1" x14ac:dyDescent="0.25">
      <c r="A6718" s="3"/>
    </row>
    <row r="6719" spans="1:1" x14ac:dyDescent="0.25">
      <c r="A6719" s="3"/>
    </row>
    <row r="6720" spans="1:1" x14ac:dyDescent="0.25">
      <c r="A6720" s="3"/>
    </row>
    <row r="6721" spans="1:1" x14ac:dyDescent="0.25">
      <c r="A6721" s="3"/>
    </row>
    <row r="6722" spans="1:1" x14ac:dyDescent="0.25">
      <c r="A6722" s="3"/>
    </row>
    <row r="6723" spans="1:1" x14ac:dyDescent="0.25">
      <c r="A6723" s="3"/>
    </row>
    <row r="6724" spans="1:1" x14ac:dyDescent="0.25">
      <c r="A6724" s="3"/>
    </row>
    <row r="6725" spans="1:1" x14ac:dyDescent="0.25">
      <c r="A6725" s="3"/>
    </row>
    <row r="6726" spans="1:1" x14ac:dyDescent="0.25">
      <c r="A6726" s="3"/>
    </row>
    <row r="6727" spans="1:1" x14ac:dyDescent="0.25">
      <c r="A6727" s="3"/>
    </row>
    <row r="6728" spans="1:1" x14ac:dyDescent="0.25">
      <c r="A6728" s="3"/>
    </row>
    <row r="6729" spans="1:1" x14ac:dyDescent="0.25">
      <c r="A6729" s="3"/>
    </row>
    <row r="6730" spans="1:1" x14ac:dyDescent="0.25">
      <c r="A6730" s="3"/>
    </row>
    <row r="6731" spans="1:1" x14ac:dyDescent="0.25">
      <c r="A6731" s="3"/>
    </row>
    <row r="6732" spans="1:1" x14ac:dyDescent="0.25">
      <c r="A6732" s="3"/>
    </row>
    <row r="6733" spans="1:1" x14ac:dyDescent="0.25">
      <c r="A6733" s="3"/>
    </row>
    <row r="6734" spans="1:1" x14ac:dyDescent="0.25">
      <c r="A6734" s="3"/>
    </row>
    <row r="6735" spans="1:1" x14ac:dyDescent="0.25">
      <c r="A6735" s="3"/>
    </row>
    <row r="6736" spans="1:1" x14ac:dyDescent="0.25">
      <c r="A6736" s="3"/>
    </row>
    <row r="6737" spans="1:1" x14ac:dyDescent="0.25">
      <c r="A6737" s="3"/>
    </row>
    <row r="6738" spans="1:1" x14ac:dyDescent="0.25">
      <c r="A6738" s="3"/>
    </row>
    <row r="6739" spans="1:1" x14ac:dyDescent="0.25">
      <c r="A6739" s="3"/>
    </row>
    <row r="6740" spans="1:1" x14ac:dyDescent="0.25">
      <c r="A6740" s="3"/>
    </row>
    <row r="6741" spans="1:1" x14ac:dyDescent="0.25">
      <c r="A6741" s="3"/>
    </row>
    <row r="6742" spans="1:1" x14ac:dyDescent="0.25">
      <c r="A6742" s="3"/>
    </row>
    <row r="6743" spans="1:1" x14ac:dyDescent="0.25">
      <c r="A6743" s="3"/>
    </row>
    <row r="6744" spans="1:1" x14ac:dyDescent="0.25">
      <c r="A6744" s="3"/>
    </row>
    <row r="6745" spans="1:1" x14ac:dyDescent="0.25">
      <c r="A6745" s="3"/>
    </row>
    <row r="6746" spans="1:1" x14ac:dyDescent="0.25">
      <c r="A6746" s="3"/>
    </row>
    <row r="6747" spans="1:1" x14ac:dyDescent="0.25">
      <c r="A6747" s="3"/>
    </row>
    <row r="6748" spans="1:1" x14ac:dyDescent="0.25">
      <c r="A6748" s="3"/>
    </row>
    <row r="6749" spans="1:1" x14ac:dyDescent="0.25">
      <c r="A6749" s="3"/>
    </row>
    <row r="6750" spans="1:1" x14ac:dyDescent="0.25">
      <c r="A6750" s="3"/>
    </row>
    <row r="6751" spans="1:1" x14ac:dyDescent="0.25">
      <c r="A6751" s="3"/>
    </row>
    <row r="6752" spans="1:1" x14ac:dyDescent="0.25">
      <c r="A6752" s="3"/>
    </row>
    <row r="6753" spans="1:1" x14ac:dyDescent="0.25">
      <c r="A6753" s="3"/>
    </row>
    <row r="6754" spans="1:1" x14ac:dyDescent="0.25">
      <c r="A6754" s="3"/>
    </row>
    <row r="6755" spans="1:1" x14ac:dyDescent="0.25">
      <c r="A6755" s="3"/>
    </row>
    <row r="6756" spans="1:1" x14ac:dyDescent="0.25">
      <c r="A6756" s="3"/>
    </row>
    <row r="6757" spans="1:1" x14ac:dyDescent="0.25">
      <c r="A6757" s="3"/>
    </row>
    <row r="6758" spans="1:1" x14ac:dyDescent="0.25">
      <c r="A6758" s="3"/>
    </row>
    <row r="6759" spans="1:1" x14ac:dyDescent="0.25">
      <c r="A6759" s="3"/>
    </row>
    <row r="6760" spans="1:1" x14ac:dyDescent="0.25">
      <c r="A6760" s="3"/>
    </row>
    <row r="6761" spans="1:1" x14ac:dyDescent="0.25">
      <c r="A6761" s="3"/>
    </row>
    <row r="6762" spans="1:1" x14ac:dyDescent="0.25">
      <c r="A6762" s="3"/>
    </row>
    <row r="6763" spans="1:1" x14ac:dyDescent="0.25">
      <c r="A6763" s="3"/>
    </row>
    <row r="6764" spans="1:1" x14ac:dyDescent="0.25">
      <c r="A6764" s="3"/>
    </row>
    <row r="6765" spans="1:1" x14ac:dyDescent="0.25">
      <c r="A6765" s="3"/>
    </row>
    <row r="6766" spans="1:1" x14ac:dyDescent="0.25">
      <c r="A6766" s="3"/>
    </row>
    <row r="6767" spans="1:1" x14ac:dyDescent="0.25">
      <c r="A6767" s="3"/>
    </row>
    <row r="6768" spans="1:1" x14ac:dyDescent="0.25">
      <c r="A6768" s="3"/>
    </row>
    <row r="6769" spans="1:1" x14ac:dyDescent="0.25">
      <c r="A6769" s="3"/>
    </row>
    <row r="6770" spans="1:1" x14ac:dyDescent="0.25">
      <c r="A6770" s="3"/>
    </row>
    <row r="6771" spans="1:1" x14ac:dyDescent="0.25">
      <c r="A6771" s="3"/>
    </row>
    <row r="6772" spans="1:1" x14ac:dyDescent="0.25">
      <c r="A6772" s="3"/>
    </row>
    <row r="6773" spans="1:1" x14ac:dyDescent="0.25">
      <c r="A6773" s="3"/>
    </row>
    <row r="6774" spans="1:1" x14ac:dyDescent="0.25">
      <c r="A6774" s="3"/>
    </row>
    <row r="6775" spans="1:1" x14ac:dyDescent="0.25">
      <c r="A6775" s="3"/>
    </row>
    <row r="6776" spans="1:1" x14ac:dyDescent="0.25">
      <c r="A6776" s="3"/>
    </row>
    <row r="6777" spans="1:1" x14ac:dyDescent="0.25">
      <c r="A6777" s="3"/>
    </row>
    <row r="6778" spans="1:1" x14ac:dyDescent="0.25">
      <c r="A6778" s="3"/>
    </row>
    <row r="6779" spans="1:1" x14ac:dyDescent="0.25">
      <c r="A6779" s="3"/>
    </row>
    <row r="6780" spans="1:1" x14ac:dyDescent="0.25">
      <c r="A6780" s="3"/>
    </row>
    <row r="6781" spans="1:1" x14ac:dyDescent="0.25">
      <c r="A6781" s="3"/>
    </row>
    <row r="6782" spans="1:1" x14ac:dyDescent="0.25">
      <c r="A6782" s="3"/>
    </row>
    <row r="6783" spans="1:1" x14ac:dyDescent="0.25">
      <c r="A6783" s="3"/>
    </row>
    <row r="6784" spans="1:1" x14ac:dyDescent="0.25">
      <c r="A6784" s="3"/>
    </row>
    <row r="6785" spans="1:1" x14ac:dyDescent="0.25">
      <c r="A6785" s="3"/>
    </row>
    <row r="6786" spans="1:1" x14ac:dyDescent="0.25">
      <c r="A6786" s="3"/>
    </row>
    <row r="6787" spans="1:1" x14ac:dyDescent="0.25">
      <c r="A6787" s="3"/>
    </row>
    <row r="6788" spans="1:1" x14ac:dyDescent="0.25">
      <c r="A6788" s="3"/>
    </row>
    <row r="6789" spans="1:1" x14ac:dyDescent="0.25">
      <c r="A6789" s="3"/>
    </row>
    <row r="6790" spans="1:1" x14ac:dyDescent="0.25">
      <c r="A6790" s="3"/>
    </row>
    <row r="6791" spans="1:1" x14ac:dyDescent="0.25">
      <c r="A6791" s="3"/>
    </row>
    <row r="6792" spans="1:1" x14ac:dyDescent="0.25">
      <c r="A6792" s="3"/>
    </row>
    <row r="6793" spans="1:1" x14ac:dyDescent="0.25">
      <c r="A6793" s="3"/>
    </row>
    <row r="6794" spans="1:1" x14ac:dyDescent="0.25">
      <c r="A6794" s="3"/>
    </row>
    <row r="6795" spans="1:1" x14ac:dyDescent="0.25">
      <c r="A6795" s="3"/>
    </row>
    <row r="6796" spans="1:1" x14ac:dyDescent="0.25">
      <c r="A6796" s="3"/>
    </row>
    <row r="6797" spans="1:1" x14ac:dyDescent="0.25">
      <c r="A6797" s="3"/>
    </row>
    <row r="6798" spans="1:1" x14ac:dyDescent="0.25">
      <c r="A6798" s="3"/>
    </row>
    <row r="6799" spans="1:1" x14ac:dyDescent="0.25">
      <c r="A6799" s="3"/>
    </row>
    <row r="6800" spans="1:1" x14ac:dyDescent="0.25">
      <c r="A6800" s="3"/>
    </row>
    <row r="6801" spans="1:1" x14ac:dyDescent="0.25">
      <c r="A6801" s="3"/>
    </row>
    <row r="6802" spans="1:1" x14ac:dyDescent="0.25">
      <c r="A6802" s="3"/>
    </row>
    <row r="6803" spans="1:1" x14ac:dyDescent="0.25">
      <c r="A6803" s="3"/>
    </row>
    <row r="6804" spans="1:1" x14ac:dyDescent="0.25">
      <c r="A6804" s="3"/>
    </row>
    <row r="6805" spans="1:1" x14ac:dyDescent="0.25">
      <c r="A6805" s="3"/>
    </row>
    <row r="6806" spans="1:1" x14ac:dyDescent="0.25">
      <c r="A6806" s="3"/>
    </row>
    <row r="6807" spans="1:1" x14ac:dyDescent="0.25">
      <c r="A6807" s="3"/>
    </row>
    <row r="6808" spans="1:1" x14ac:dyDescent="0.25">
      <c r="A6808" s="3"/>
    </row>
    <row r="6809" spans="1:1" x14ac:dyDescent="0.25">
      <c r="A6809" s="3"/>
    </row>
    <row r="6810" spans="1:1" x14ac:dyDescent="0.25">
      <c r="A6810" s="3"/>
    </row>
    <row r="6811" spans="1:1" x14ac:dyDescent="0.25">
      <c r="A6811" s="3"/>
    </row>
    <row r="6812" spans="1:1" x14ac:dyDescent="0.25">
      <c r="A6812" s="3"/>
    </row>
    <row r="6813" spans="1:1" x14ac:dyDescent="0.25">
      <c r="A6813" s="3"/>
    </row>
    <row r="6814" spans="1:1" x14ac:dyDescent="0.25">
      <c r="A6814" s="3"/>
    </row>
    <row r="6815" spans="1:1" x14ac:dyDescent="0.25">
      <c r="A6815" s="3"/>
    </row>
    <row r="6816" spans="1:1" x14ac:dyDescent="0.25">
      <c r="A6816" s="3"/>
    </row>
    <row r="6817" spans="1:1" x14ac:dyDescent="0.25">
      <c r="A6817" s="3"/>
    </row>
    <row r="6818" spans="1:1" x14ac:dyDescent="0.25">
      <c r="A6818" s="3"/>
    </row>
    <row r="6819" spans="1:1" x14ac:dyDescent="0.25">
      <c r="A6819" s="3"/>
    </row>
    <row r="6820" spans="1:1" x14ac:dyDescent="0.25">
      <c r="A6820" s="3"/>
    </row>
    <row r="6821" spans="1:1" x14ac:dyDescent="0.25">
      <c r="A6821" s="3"/>
    </row>
    <row r="6822" spans="1:1" x14ac:dyDescent="0.25">
      <c r="A6822" s="3"/>
    </row>
    <row r="6823" spans="1:1" x14ac:dyDescent="0.25">
      <c r="A6823" s="3"/>
    </row>
    <row r="6824" spans="1:1" x14ac:dyDescent="0.25">
      <c r="A6824" s="3"/>
    </row>
    <row r="6825" spans="1:1" x14ac:dyDescent="0.25">
      <c r="A6825" s="3"/>
    </row>
    <row r="6826" spans="1:1" x14ac:dyDescent="0.25">
      <c r="A6826" s="3"/>
    </row>
    <row r="6827" spans="1:1" x14ac:dyDescent="0.25">
      <c r="A6827" s="3"/>
    </row>
    <row r="6828" spans="1:1" x14ac:dyDescent="0.25">
      <c r="A6828" s="3"/>
    </row>
    <row r="6829" spans="1:1" x14ac:dyDescent="0.25">
      <c r="A6829" s="3"/>
    </row>
    <row r="6830" spans="1:1" x14ac:dyDescent="0.25">
      <c r="A6830" s="3"/>
    </row>
    <row r="6831" spans="1:1" x14ac:dyDescent="0.25">
      <c r="A6831" s="3"/>
    </row>
    <row r="6832" spans="1:1" x14ac:dyDescent="0.25">
      <c r="A6832" s="3"/>
    </row>
    <row r="6833" spans="1:1" x14ac:dyDescent="0.25">
      <c r="A6833" s="3"/>
    </row>
    <row r="6834" spans="1:1" x14ac:dyDescent="0.25">
      <c r="A6834" s="3"/>
    </row>
    <row r="6835" spans="1:1" x14ac:dyDescent="0.25">
      <c r="A6835" s="3"/>
    </row>
    <row r="6836" spans="1:1" x14ac:dyDescent="0.25">
      <c r="A6836" s="3"/>
    </row>
    <row r="6837" spans="1:1" x14ac:dyDescent="0.25">
      <c r="A6837" s="3"/>
    </row>
    <row r="6838" spans="1:1" x14ac:dyDescent="0.25">
      <c r="A6838" s="3"/>
    </row>
    <row r="6839" spans="1:1" x14ac:dyDescent="0.25">
      <c r="A6839" s="3"/>
    </row>
    <row r="6840" spans="1:1" x14ac:dyDescent="0.25">
      <c r="A6840" s="3"/>
    </row>
    <row r="6841" spans="1:1" x14ac:dyDescent="0.25">
      <c r="A6841" s="3"/>
    </row>
    <row r="6842" spans="1:1" x14ac:dyDescent="0.25">
      <c r="A6842" s="3"/>
    </row>
    <row r="6843" spans="1:1" x14ac:dyDescent="0.25">
      <c r="A6843" s="3"/>
    </row>
    <row r="6844" spans="1:1" x14ac:dyDescent="0.25">
      <c r="A6844" s="3"/>
    </row>
    <row r="6845" spans="1:1" x14ac:dyDescent="0.25">
      <c r="A6845" s="3"/>
    </row>
    <row r="6846" spans="1:1" x14ac:dyDescent="0.25">
      <c r="A6846" s="3"/>
    </row>
    <row r="6847" spans="1:1" x14ac:dyDescent="0.25">
      <c r="A6847" s="3"/>
    </row>
    <row r="6848" spans="1:1" x14ac:dyDescent="0.25">
      <c r="A6848" s="3"/>
    </row>
    <row r="6849" spans="1:1" x14ac:dyDescent="0.25">
      <c r="A6849" s="3"/>
    </row>
    <row r="6850" spans="1:1" x14ac:dyDescent="0.25">
      <c r="A6850" s="3"/>
    </row>
    <row r="6851" spans="1:1" x14ac:dyDescent="0.25">
      <c r="A6851" s="3"/>
    </row>
    <row r="6852" spans="1:1" x14ac:dyDescent="0.25">
      <c r="A6852" s="3"/>
    </row>
    <row r="6853" spans="1:1" x14ac:dyDescent="0.25">
      <c r="A6853" s="3"/>
    </row>
    <row r="6854" spans="1:1" x14ac:dyDescent="0.25">
      <c r="A6854" s="3"/>
    </row>
    <row r="6855" spans="1:1" x14ac:dyDescent="0.25">
      <c r="A6855" s="3"/>
    </row>
    <row r="6856" spans="1:1" x14ac:dyDescent="0.25">
      <c r="A6856" s="3"/>
    </row>
    <row r="6857" spans="1:1" x14ac:dyDescent="0.25">
      <c r="A6857" s="3"/>
    </row>
    <row r="6858" spans="1:1" x14ac:dyDescent="0.25">
      <c r="A6858" s="3"/>
    </row>
    <row r="6859" spans="1:1" x14ac:dyDescent="0.25">
      <c r="A6859" s="3"/>
    </row>
    <row r="6860" spans="1:1" x14ac:dyDescent="0.25">
      <c r="A6860" s="3"/>
    </row>
    <row r="6861" spans="1:1" x14ac:dyDescent="0.25">
      <c r="A6861" s="3"/>
    </row>
    <row r="6862" spans="1:1" x14ac:dyDescent="0.25">
      <c r="A6862" s="3"/>
    </row>
    <row r="6863" spans="1:1" x14ac:dyDescent="0.25">
      <c r="A6863" s="3"/>
    </row>
    <row r="6864" spans="1:1" x14ac:dyDescent="0.25">
      <c r="A6864" s="3"/>
    </row>
    <row r="6865" spans="1:1" x14ac:dyDescent="0.25">
      <c r="A6865" s="3"/>
    </row>
    <row r="6866" spans="1:1" x14ac:dyDescent="0.25">
      <c r="A6866" s="3"/>
    </row>
    <row r="6867" spans="1:1" x14ac:dyDescent="0.25">
      <c r="A6867" s="3"/>
    </row>
    <row r="6868" spans="1:1" x14ac:dyDescent="0.25">
      <c r="A6868" s="3"/>
    </row>
    <row r="6869" spans="1:1" x14ac:dyDescent="0.25">
      <c r="A6869" s="3"/>
    </row>
    <row r="6870" spans="1:1" x14ac:dyDescent="0.25">
      <c r="A6870" s="3"/>
    </row>
    <row r="6871" spans="1:1" x14ac:dyDescent="0.25">
      <c r="A6871" s="3"/>
    </row>
    <row r="6872" spans="1:1" x14ac:dyDescent="0.25">
      <c r="A6872" s="3"/>
    </row>
    <row r="6873" spans="1:1" x14ac:dyDescent="0.25">
      <c r="A6873" s="3"/>
    </row>
    <row r="6874" spans="1:1" x14ac:dyDescent="0.25">
      <c r="A6874" s="3"/>
    </row>
    <row r="6875" spans="1:1" x14ac:dyDescent="0.25">
      <c r="A6875" s="3"/>
    </row>
    <row r="6876" spans="1:1" x14ac:dyDescent="0.25">
      <c r="A6876" s="3"/>
    </row>
    <row r="6877" spans="1:1" x14ac:dyDescent="0.25">
      <c r="A6877" s="3"/>
    </row>
    <row r="6878" spans="1:1" x14ac:dyDescent="0.25">
      <c r="A6878" s="3"/>
    </row>
    <row r="6879" spans="1:1" x14ac:dyDescent="0.25">
      <c r="A6879" s="3"/>
    </row>
    <row r="6880" spans="1:1" x14ac:dyDescent="0.25">
      <c r="A6880" s="3"/>
    </row>
    <row r="6881" spans="1:1" x14ac:dyDescent="0.25">
      <c r="A6881" s="3"/>
    </row>
    <row r="6882" spans="1:1" x14ac:dyDescent="0.25">
      <c r="A6882" s="3"/>
    </row>
    <row r="6883" spans="1:1" x14ac:dyDescent="0.25">
      <c r="A6883" s="3"/>
    </row>
    <row r="6884" spans="1:1" x14ac:dyDescent="0.25">
      <c r="A6884" s="3"/>
    </row>
    <row r="6885" spans="1:1" x14ac:dyDescent="0.25">
      <c r="A6885" s="3"/>
    </row>
    <row r="6886" spans="1:1" x14ac:dyDescent="0.25">
      <c r="A6886" s="3"/>
    </row>
    <row r="6887" spans="1:1" x14ac:dyDescent="0.25">
      <c r="A6887" s="3"/>
    </row>
    <row r="6888" spans="1:1" x14ac:dyDescent="0.25">
      <c r="A6888" s="3"/>
    </row>
    <row r="6889" spans="1:1" x14ac:dyDescent="0.25">
      <c r="A6889" s="3"/>
    </row>
    <row r="6890" spans="1:1" x14ac:dyDescent="0.25">
      <c r="A6890" s="3"/>
    </row>
    <row r="6891" spans="1:1" x14ac:dyDescent="0.25">
      <c r="A6891" s="3"/>
    </row>
    <row r="6892" spans="1:1" x14ac:dyDescent="0.25">
      <c r="A6892" s="3"/>
    </row>
    <row r="6893" spans="1:1" x14ac:dyDescent="0.25">
      <c r="A6893" s="3"/>
    </row>
    <row r="6894" spans="1:1" x14ac:dyDescent="0.25">
      <c r="A6894" s="3"/>
    </row>
    <row r="6895" spans="1:1" x14ac:dyDescent="0.25">
      <c r="A6895" s="3"/>
    </row>
    <row r="6896" spans="1:1" x14ac:dyDescent="0.25">
      <c r="A6896" s="3"/>
    </row>
    <row r="6897" spans="1:1" x14ac:dyDescent="0.25">
      <c r="A6897" s="3"/>
    </row>
    <row r="6898" spans="1:1" x14ac:dyDescent="0.25">
      <c r="A6898" s="3"/>
    </row>
    <row r="6899" spans="1:1" x14ac:dyDescent="0.25">
      <c r="A6899" s="3"/>
    </row>
    <row r="6900" spans="1:1" x14ac:dyDescent="0.25">
      <c r="A6900" s="3"/>
    </row>
    <row r="6901" spans="1:1" x14ac:dyDescent="0.25">
      <c r="A6901" s="3"/>
    </row>
    <row r="6902" spans="1:1" x14ac:dyDescent="0.25">
      <c r="A6902" s="3"/>
    </row>
    <row r="6903" spans="1:1" x14ac:dyDescent="0.25">
      <c r="A6903" s="3"/>
    </row>
    <row r="6904" spans="1:1" x14ac:dyDescent="0.25">
      <c r="A6904" s="3"/>
    </row>
    <row r="6905" spans="1:1" x14ac:dyDescent="0.25">
      <c r="A6905" s="3"/>
    </row>
    <row r="6906" spans="1:1" x14ac:dyDescent="0.25">
      <c r="A6906" s="3"/>
    </row>
    <row r="6907" spans="1:1" x14ac:dyDescent="0.25">
      <c r="A6907" s="3"/>
    </row>
    <row r="6908" spans="1:1" x14ac:dyDescent="0.25">
      <c r="A6908" s="3"/>
    </row>
    <row r="6909" spans="1:1" x14ac:dyDescent="0.25">
      <c r="A6909" s="3"/>
    </row>
    <row r="6910" spans="1:1" x14ac:dyDescent="0.25">
      <c r="A6910" s="3"/>
    </row>
    <row r="6911" spans="1:1" x14ac:dyDescent="0.25">
      <c r="A6911" s="3"/>
    </row>
    <row r="6912" spans="1:1" x14ac:dyDescent="0.25">
      <c r="A6912" s="3"/>
    </row>
    <row r="6913" spans="1:1" x14ac:dyDescent="0.25">
      <c r="A6913" s="3"/>
    </row>
    <row r="6914" spans="1:1" x14ac:dyDescent="0.25">
      <c r="A6914" s="3"/>
    </row>
    <row r="6915" spans="1:1" x14ac:dyDescent="0.25">
      <c r="A6915" s="3"/>
    </row>
    <row r="6916" spans="1:1" x14ac:dyDescent="0.25">
      <c r="A6916" s="3"/>
    </row>
    <row r="6917" spans="1:1" x14ac:dyDescent="0.25">
      <c r="A6917" s="3"/>
    </row>
    <row r="6918" spans="1:1" x14ac:dyDescent="0.25">
      <c r="A6918" s="3"/>
    </row>
    <row r="6919" spans="1:1" x14ac:dyDescent="0.25">
      <c r="A6919" s="3"/>
    </row>
    <row r="6920" spans="1:1" x14ac:dyDescent="0.25">
      <c r="A6920" s="3"/>
    </row>
    <row r="6921" spans="1:1" x14ac:dyDescent="0.25">
      <c r="A6921" s="3"/>
    </row>
    <row r="6922" spans="1:1" x14ac:dyDescent="0.25">
      <c r="A6922" s="3"/>
    </row>
    <row r="6923" spans="1:1" x14ac:dyDescent="0.25">
      <c r="A6923" s="3"/>
    </row>
    <row r="6924" spans="1:1" x14ac:dyDescent="0.25">
      <c r="A6924" s="3"/>
    </row>
    <row r="6925" spans="1:1" x14ac:dyDescent="0.25">
      <c r="A6925" s="3"/>
    </row>
    <row r="6926" spans="1:1" x14ac:dyDescent="0.25">
      <c r="A6926" s="3"/>
    </row>
    <row r="6927" spans="1:1" x14ac:dyDescent="0.25">
      <c r="A6927" s="3"/>
    </row>
    <row r="6928" spans="1:1" x14ac:dyDescent="0.25">
      <c r="A6928" s="3"/>
    </row>
    <row r="6929" spans="1:1" x14ac:dyDescent="0.25">
      <c r="A6929" s="3"/>
    </row>
    <row r="6930" spans="1:1" x14ac:dyDescent="0.25">
      <c r="A6930" s="3"/>
    </row>
    <row r="6931" spans="1:1" x14ac:dyDescent="0.25">
      <c r="A6931" s="3"/>
    </row>
    <row r="6932" spans="1:1" x14ac:dyDescent="0.25">
      <c r="A6932" s="3"/>
    </row>
    <row r="6933" spans="1:1" x14ac:dyDescent="0.25">
      <c r="A6933" s="3"/>
    </row>
    <row r="6934" spans="1:1" x14ac:dyDescent="0.25">
      <c r="A6934" s="3"/>
    </row>
    <row r="6935" spans="1:1" x14ac:dyDescent="0.25">
      <c r="A6935" s="3"/>
    </row>
    <row r="6936" spans="1:1" x14ac:dyDescent="0.25">
      <c r="A6936" s="3"/>
    </row>
    <row r="6937" spans="1:1" x14ac:dyDescent="0.25">
      <c r="A6937" s="3"/>
    </row>
    <row r="6938" spans="1:1" x14ac:dyDescent="0.25">
      <c r="A6938" s="3"/>
    </row>
    <row r="6939" spans="1:1" x14ac:dyDescent="0.25">
      <c r="A6939" s="3"/>
    </row>
    <row r="6940" spans="1:1" x14ac:dyDescent="0.25">
      <c r="A6940" s="3"/>
    </row>
    <row r="6941" spans="1:1" x14ac:dyDescent="0.25">
      <c r="A6941" s="3"/>
    </row>
    <row r="6942" spans="1:1" x14ac:dyDescent="0.25">
      <c r="A6942" s="3"/>
    </row>
    <row r="6943" spans="1:1" x14ac:dyDescent="0.25">
      <c r="A6943" s="3"/>
    </row>
    <row r="6944" spans="1:1" x14ac:dyDescent="0.25">
      <c r="A6944" s="3"/>
    </row>
    <row r="6945" spans="1:1" x14ac:dyDescent="0.25">
      <c r="A6945" s="3"/>
    </row>
    <row r="6946" spans="1:1" x14ac:dyDescent="0.25">
      <c r="A6946" s="3"/>
    </row>
    <row r="6947" spans="1:1" x14ac:dyDescent="0.25">
      <c r="A6947" s="3"/>
    </row>
    <row r="6948" spans="1:1" x14ac:dyDescent="0.25">
      <c r="A6948" s="3"/>
    </row>
    <row r="6949" spans="1:1" x14ac:dyDescent="0.25">
      <c r="A6949" s="3"/>
    </row>
    <row r="6950" spans="1:1" x14ac:dyDescent="0.25">
      <c r="A6950" s="3"/>
    </row>
    <row r="6951" spans="1:1" x14ac:dyDescent="0.25">
      <c r="A6951" s="3"/>
    </row>
    <row r="6952" spans="1:1" x14ac:dyDescent="0.25">
      <c r="A6952" s="3"/>
    </row>
    <row r="6953" spans="1:1" x14ac:dyDescent="0.25">
      <c r="A6953" s="3"/>
    </row>
    <row r="6954" spans="1:1" x14ac:dyDescent="0.25">
      <c r="A6954" s="3"/>
    </row>
    <row r="6955" spans="1:1" x14ac:dyDescent="0.25">
      <c r="A6955" s="3"/>
    </row>
    <row r="6956" spans="1:1" x14ac:dyDescent="0.25">
      <c r="A6956" s="3"/>
    </row>
    <row r="6957" spans="1:1" x14ac:dyDescent="0.25">
      <c r="A6957" s="3"/>
    </row>
    <row r="6958" spans="1:1" x14ac:dyDescent="0.25">
      <c r="A6958" s="3"/>
    </row>
    <row r="6959" spans="1:1" x14ac:dyDescent="0.25">
      <c r="A6959" s="3"/>
    </row>
    <row r="6960" spans="1:1" x14ac:dyDescent="0.25">
      <c r="A6960" s="3"/>
    </row>
    <row r="6961" spans="1:1" x14ac:dyDescent="0.25">
      <c r="A6961" s="3"/>
    </row>
    <row r="6962" spans="1:1" x14ac:dyDescent="0.25">
      <c r="A6962" s="3"/>
    </row>
    <row r="6963" spans="1:1" x14ac:dyDescent="0.25">
      <c r="A6963" s="3"/>
    </row>
    <row r="6964" spans="1:1" x14ac:dyDescent="0.25">
      <c r="A6964" s="3"/>
    </row>
    <row r="6965" spans="1:1" x14ac:dyDescent="0.25">
      <c r="A6965" s="3"/>
    </row>
    <row r="6966" spans="1:1" x14ac:dyDescent="0.25">
      <c r="A6966" s="3"/>
    </row>
    <row r="6967" spans="1:1" x14ac:dyDescent="0.25">
      <c r="A6967" s="3"/>
    </row>
    <row r="6968" spans="1:1" x14ac:dyDescent="0.25">
      <c r="A6968" s="3"/>
    </row>
    <row r="6969" spans="1:1" x14ac:dyDescent="0.25">
      <c r="A6969" s="3"/>
    </row>
    <row r="6970" spans="1:1" x14ac:dyDescent="0.25">
      <c r="A6970" s="3"/>
    </row>
    <row r="6971" spans="1:1" x14ac:dyDescent="0.25">
      <c r="A6971" s="3"/>
    </row>
    <row r="6972" spans="1:1" x14ac:dyDescent="0.25">
      <c r="A6972" s="3"/>
    </row>
    <row r="6973" spans="1:1" x14ac:dyDescent="0.25">
      <c r="A6973" s="3"/>
    </row>
    <row r="6974" spans="1:1" x14ac:dyDescent="0.25">
      <c r="A6974" s="3"/>
    </row>
    <row r="6975" spans="1:1" x14ac:dyDescent="0.25">
      <c r="A6975" s="3"/>
    </row>
    <row r="6976" spans="1:1" x14ac:dyDescent="0.25">
      <c r="A6976" s="3"/>
    </row>
    <row r="6977" spans="1:1" x14ac:dyDescent="0.25">
      <c r="A6977" s="3"/>
    </row>
    <row r="6978" spans="1:1" x14ac:dyDescent="0.25">
      <c r="A6978" s="3"/>
    </row>
    <row r="6979" spans="1:1" x14ac:dyDescent="0.25">
      <c r="A6979" s="3"/>
    </row>
    <row r="6980" spans="1:1" x14ac:dyDescent="0.25">
      <c r="A6980" s="3"/>
    </row>
    <row r="6981" spans="1:1" x14ac:dyDescent="0.25">
      <c r="A6981" s="3"/>
    </row>
    <row r="6982" spans="1:1" x14ac:dyDescent="0.25">
      <c r="A6982" s="3"/>
    </row>
    <row r="6983" spans="1:1" x14ac:dyDescent="0.25">
      <c r="A6983" s="3"/>
    </row>
    <row r="6984" spans="1:1" x14ac:dyDescent="0.25">
      <c r="A6984" s="3"/>
    </row>
    <row r="6985" spans="1:1" x14ac:dyDescent="0.25">
      <c r="A6985" s="3"/>
    </row>
    <row r="6986" spans="1:1" x14ac:dyDescent="0.25">
      <c r="A6986" s="3"/>
    </row>
    <row r="6987" spans="1:1" x14ac:dyDescent="0.25">
      <c r="A6987" s="3"/>
    </row>
    <row r="6988" spans="1:1" x14ac:dyDescent="0.25">
      <c r="A6988" s="3"/>
    </row>
    <row r="6989" spans="1:1" x14ac:dyDescent="0.25">
      <c r="A6989" s="3"/>
    </row>
    <row r="6990" spans="1:1" x14ac:dyDescent="0.25">
      <c r="A6990" s="3"/>
    </row>
    <row r="6991" spans="1:1" x14ac:dyDescent="0.25">
      <c r="A6991" s="3"/>
    </row>
    <row r="6992" spans="1:1" x14ac:dyDescent="0.25">
      <c r="A6992" s="3"/>
    </row>
    <row r="6993" spans="1:1" x14ac:dyDescent="0.25">
      <c r="A6993" s="3"/>
    </row>
    <row r="6994" spans="1:1" x14ac:dyDescent="0.25">
      <c r="A6994" s="3"/>
    </row>
    <row r="6995" spans="1:1" x14ac:dyDescent="0.25">
      <c r="A6995" s="3"/>
    </row>
    <row r="6996" spans="1:1" x14ac:dyDescent="0.25">
      <c r="A6996" s="3"/>
    </row>
    <row r="6997" spans="1:1" x14ac:dyDescent="0.25">
      <c r="A6997" s="3"/>
    </row>
    <row r="6998" spans="1:1" x14ac:dyDescent="0.25">
      <c r="A6998" s="3"/>
    </row>
    <row r="6999" spans="1:1" x14ac:dyDescent="0.25">
      <c r="A6999" s="3"/>
    </row>
    <row r="7000" spans="1:1" x14ac:dyDescent="0.25">
      <c r="A7000" s="3"/>
    </row>
    <row r="7001" spans="1:1" x14ac:dyDescent="0.25">
      <c r="A7001" s="3"/>
    </row>
    <row r="7002" spans="1:1" x14ac:dyDescent="0.25">
      <c r="A7002" s="3"/>
    </row>
    <row r="7003" spans="1:1" x14ac:dyDescent="0.25">
      <c r="A7003" s="3"/>
    </row>
    <row r="7004" spans="1:1" x14ac:dyDescent="0.25">
      <c r="A7004" s="3"/>
    </row>
    <row r="7005" spans="1:1" x14ac:dyDescent="0.25">
      <c r="A7005" s="3"/>
    </row>
    <row r="7006" spans="1:1" x14ac:dyDescent="0.25">
      <c r="A7006" s="3"/>
    </row>
    <row r="7007" spans="1:1" x14ac:dyDescent="0.25">
      <c r="A7007" s="3"/>
    </row>
    <row r="7008" spans="1:1" x14ac:dyDescent="0.25">
      <c r="A7008" s="3"/>
    </row>
    <row r="7009" spans="1:1" x14ac:dyDescent="0.25">
      <c r="A7009" s="3"/>
    </row>
    <row r="7010" spans="1:1" x14ac:dyDescent="0.25">
      <c r="A7010" s="3"/>
    </row>
    <row r="7011" spans="1:1" x14ac:dyDescent="0.25">
      <c r="A7011" s="3"/>
    </row>
    <row r="7012" spans="1:1" x14ac:dyDescent="0.25">
      <c r="A7012" s="3"/>
    </row>
    <row r="7013" spans="1:1" x14ac:dyDescent="0.25">
      <c r="A7013" s="3"/>
    </row>
    <row r="7014" spans="1:1" x14ac:dyDescent="0.25">
      <c r="A7014" s="3"/>
    </row>
    <row r="7015" spans="1:1" x14ac:dyDescent="0.25">
      <c r="A7015" s="3"/>
    </row>
    <row r="7016" spans="1:1" x14ac:dyDescent="0.25">
      <c r="A7016" s="3"/>
    </row>
    <row r="7017" spans="1:1" x14ac:dyDescent="0.25">
      <c r="A7017" s="3"/>
    </row>
    <row r="7018" spans="1:1" x14ac:dyDescent="0.25">
      <c r="A7018" s="3"/>
    </row>
    <row r="7019" spans="1:1" x14ac:dyDescent="0.25">
      <c r="A7019" s="3"/>
    </row>
    <row r="7020" spans="1:1" x14ac:dyDescent="0.25">
      <c r="A7020" s="3"/>
    </row>
    <row r="7021" spans="1:1" x14ac:dyDescent="0.25">
      <c r="A7021" s="3"/>
    </row>
    <row r="7022" spans="1:1" x14ac:dyDescent="0.25">
      <c r="A7022" s="3"/>
    </row>
    <row r="7023" spans="1:1" x14ac:dyDescent="0.25">
      <c r="A7023" s="3"/>
    </row>
    <row r="7024" spans="1:1" x14ac:dyDescent="0.25">
      <c r="A7024" s="3"/>
    </row>
    <row r="7025" spans="1:1" x14ac:dyDescent="0.25">
      <c r="A7025" s="3"/>
    </row>
    <row r="7026" spans="1:1" x14ac:dyDescent="0.25">
      <c r="A7026" s="3"/>
    </row>
    <row r="7027" spans="1:1" x14ac:dyDescent="0.25">
      <c r="A7027" s="3"/>
    </row>
    <row r="7028" spans="1:1" x14ac:dyDescent="0.25">
      <c r="A7028" s="3"/>
    </row>
    <row r="7029" spans="1:1" x14ac:dyDescent="0.25">
      <c r="A7029" s="3"/>
    </row>
    <row r="7030" spans="1:1" x14ac:dyDescent="0.25">
      <c r="A7030" s="3"/>
    </row>
    <row r="7031" spans="1:1" x14ac:dyDescent="0.25">
      <c r="A7031" s="3"/>
    </row>
    <row r="7032" spans="1:1" x14ac:dyDescent="0.25">
      <c r="A7032" s="3"/>
    </row>
    <row r="7033" spans="1:1" x14ac:dyDescent="0.25">
      <c r="A7033" s="3"/>
    </row>
    <row r="7034" spans="1:1" x14ac:dyDescent="0.25">
      <c r="A7034" s="3"/>
    </row>
    <row r="7035" spans="1:1" x14ac:dyDescent="0.25">
      <c r="A7035" s="3"/>
    </row>
    <row r="7036" spans="1:1" x14ac:dyDescent="0.25">
      <c r="A7036" s="3"/>
    </row>
    <row r="7037" spans="1:1" x14ac:dyDescent="0.25">
      <c r="A7037" s="3"/>
    </row>
    <row r="7038" spans="1:1" x14ac:dyDescent="0.25">
      <c r="A7038" s="3"/>
    </row>
    <row r="7039" spans="1:1" x14ac:dyDescent="0.25">
      <c r="A7039" s="3"/>
    </row>
    <row r="7040" spans="1:1" x14ac:dyDescent="0.25">
      <c r="A7040" s="3"/>
    </row>
    <row r="7041" spans="1:1" x14ac:dyDescent="0.25">
      <c r="A7041" s="3"/>
    </row>
    <row r="7042" spans="1:1" x14ac:dyDescent="0.25">
      <c r="A7042" s="3"/>
    </row>
    <row r="7043" spans="1:1" x14ac:dyDescent="0.25">
      <c r="A7043" s="3"/>
    </row>
    <row r="7044" spans="1:1" x14ac:dyDescent="0.25">
      <c r="A7044" s="3"/>
    </row>
    <row r="7045" spans="1:1" x14ac:dyDescent="0.25">
      <c r="A7045" s="3"/>
    </row>
    <row r="7046" spans="1:1" x14ac:dyDescent="0.25">
      <c r="A7046" s="3"/>
    </row>
    <row r="7047" spans="1:1" x14ac:dyDescent="0.25">
      <c r="A7047" s="3"/>
    </row>
    <row r="7048" spans="1:1" x14ac:dyDescent="0.25">
      <c r="A7048" s="3"/>
    </row>
    <row r="7049" spans="1:1" x14ac:dyDescent="0.25">
      <c r="A7049" s="3"/>
    </row>
    <row r="7050" spans="1:1" x14ac:dyDescent="0.25">
      <c r="A7050" s="3"/>
    </row>
    <row r="7051" spans="1:1" x14ac:dyDescent="0.25">
      <c r="A7051" s="3"/>
    </row>
    <row r="7052" spans="1:1" x14ac:dyDescent="0.25">
      <c r="A7052" s="3"/>
    </row>
    <row r="7053" spans="1:1" x14ac:dyDescent="0.25">
      <c r="A7053" s="3"/>
    </row>
    <row r="7054" spans="1:1" x14ac:dyDescent="0.25">
      <c r="A7054" s="3"/>
    </row>
    <row r="7055" spans="1:1" x14ac:dyDescent="0.25">
      <c r="A7055" s="3"/>
    </row>
    <row r="7056" spans="1:1" x14ac:dyDescent="0.25">
      <c r="A7056" s="3"/>
    </row>
    <row r="7057" spans="1:1" x14ac:dyDescent="0.25">
      <c r="A7057" s="3"/>
    </row>
    <row r="7058" spans="1:1" x14ac:dyDescent="0.25">
      <c r="A7058" s="3"/>
    </row>
    <row r="7059" spans="1:1" x14ac:dyDescent="0.25">
      <c r="A7059" s="3"/>
    </row>
    <row r="7060" spans="1:1" x14ac:dyDescent="0.25">
      <c r="A7060" s="3"/>
    </row>
    <row r="7061" spans="1:1" x14ac:dyDescent="0.25">
      <c r="A7061" s="3"/>
    </row>
    <row r="7062" spans="1:1" x14ac:dyDescent="0.25">
      <c r="A7062" s="3"/>
    </row>
    <row r="7063" spans="1:1" x14ac:dyDescent="0.25">
      <c r="A7063" s="3"/>
    </row>
    <row r="7064" spans="1:1" x14ac:dyDescent="0.25">
      <c r="A7064" s="3"/>
    </row>
    <row r="7065" spans="1:1" x14ac:dyDescent="0.25">
      <c r="A7065" s="3"/>
    </row>
    <row r="7066" spans="1:1" x14ac:dyDescent="0.25">
      <c r="A7066" s="3"/>
    </row>
    <row r="7067" spans="1:1" x14ac:dyDescent="0.25">
      <c r="A7067" s="3"/>
    </row>
    <row r="7068" spans="1:1" x14ac:dyDescent="0.25">
      <c r="A7068" s="3"/>
    </row>
    <row r="7069" spans="1:1" x14ac:dyDescent="0.25">
      <c r="A7069" s="3"/>
    </row>
    <row r="7070" spans="1:1" x14ac:dyDescent="0.25">
      <c r="A7070" s="3"/>
    </row>
    <row r="7071" spans="1:1" x14ac:dyDescent="0.25">
      <c r="A7071" s="3"/>
    </row>
    <row r="7072" spans="1:1" x14ac:dyDescent="0.25">
      <c r="A7072" s="3"/>
    </row>
    <row r="7073" spans="1:1" x14ac:dyDescent="0.25">
      <c r="A7073" s="3"/>
    </row>
    <row r="7074" spans="1:1" x14ac:dyDescent="0.25">
      <c r="A7074" s="3"/>
    </row>
    <row r="7075" spans="1:1" x14ac:dyDescent="0.25">
      <c r="A7075" s="3"/>
    </row>
    <row r="7076" spans="1:1" x14ac:dyDescent="0.25">
      <c r="A7076" s="3"/>
    </row>
    <row r="7077" spans="1:1" x14ac:dyDescent="0.25">
      <c r="A7077" s="3"/>
    </row>
    <row r="7078" spans="1:1" x14ac:dyDescent="0.25">
      <c r="A7078" s="3"/>
    </row>
    <row r="7079" spans="1:1" x14ac:dyDescent="0.25">
      <c r="A7079" s="3"/>
    </row>
    <row r="7080" spans="1:1" x14ac:dyDescent="0.25">
      <c r="A7080" s="3"/>
    </row>
    <row r="7081" spans="1:1" x14ac:dyDescent="0.25">
      <c r="A7081" s="3"/>
    </row>
    <row r="7082" spans="1:1" x14ac:dyDescent="0.25">
      <c r="A7082" s="3"/>
    </row>
    <row r="7083" spans="1:1" x14ac:dyDescent="0.25">
      <c r="A7083" s="3"/>
    </row>
    <row r="7084" spans="1:1" x14ac:dyDescent="0.25">
      <c r="A7084" s="3"/>
    </row>
    <row r="7085" spans="1:1" x14ac:dyDescent="0.25">
      <c r="A7085" s="3"/>
    </row>
    <row r="7086" spans="1:1" x14ac:dyDescent="0.25">
      <c r="A7086" s="3"/>
    </row>
    <row r="7087" spans="1:1" x14ac:dyDescent="0.25">
      <c r="A7087" s="3"/>
    </row>
    <row r="7088" spans="1:1" x14ac:dyDescent="0.25">
      <c r="A7088" s="3"/>
    </row>
    <row r="7089" spans="1:1" x14ac:dyDescent="0.25">
      <c r="A7089" s="3"/>
    </row>
    <row r="7090" spans="1:1" x14ac:dyDescent="0.25">
      <c r="A7090" s="3"/>
    </row>
    <row r="7091" spans="1:1" x14ac:dyDescent="0.25">
      <c r="A7091" s="3"/>
    </row>
    <row r="7092" spans="1:1" x14ac:dyDescent="0.25">
      <c r="A7092" s="3"/>
    </row>
    <row r="7093" spans="1:1" x14ac:dyDescent="0.25">
      <c r="A7093" s="3"/>
    </row>
    <row r="7094" spans="1:1" x14ac:dyDescent="0.25">
      <c r="A7094" s="3"/>
    </row>
    <row r="7095" spans="1:1" x14ac:dyDescent="0.25">
      <c r="A7095" s="3"/>
    </row>
    <row r="7096" spans="1:1" x14ac:dyDescent="0.25">
      <c r="A7096" s="3"/>
    </row>
    <row r="7097" spans="1:1" x14ac:dyDescent="0.25">
      <c r="A7097" s="3"/>
    </row>
    <row r="7098" spans="1:1" x14ac:dyDescent="0.25">
      <c r="A7098" s="3"/>
    </row>
    <row r="7099" spans="1:1" x14ac:dyDescent="0.25">
      <c r="A7099" s="3"/>
    </row>
    <row r="7100" spans="1:1" x14ac:dyDescent="0.25">
      <c r="A7100" s="3"/>
    </row>
    <row r="7101" spans="1:1" x14ac:dyDescent="0.25">
      <c r="A7101" s="3"/>
    </row>
    <row r="7102" spans="1:1" x14ac:dyDescent="0.25">
      <c r="A7102" s="3"/>
    </row>
    <row r="7103" spans="1:1" x14ac:dyDescent="0.25">
      <c r="A7103" s="3"/>
    </row>
    <row r="7104" spans="1:1" x14ac:dyDescent="0.25">
      <c r="A7104" s="3"/>
    </row>
    <row r="7105" spans="1:1" x14ac:dyDescent="0.25">
      <c r="A7105" s="3"/>
    </row>
    <row r="7106" spans="1:1" x14ac:dyDescent="0.25">
      <c r="A7106" s="3"/>
    </row>
    <row r="7107" spans="1:1" x14ac:dyDescent="0.25">
      <c r="A7107" s="3"/>
    </row>
    <row r="7108" spans="1:1" x14ac:dyDescent="0.25">
      <c r="A7108" s="3"/>
    </row>
    <row r="7109" spans="1:1" x14ac:dyDescent="0.25">
      <c r="A7109" s="3"/>
    </row>
    <row r="7110" spans="1:1" x14ac:dyDescent="0.25">
      <c r="A7110" s="3"/>
    </row>
    <row r="7111" spans="1:1" x14ac:dyDescent="0.25">
      <c r="A7111" s="3"/>
    </row>
    <row r="7112" spans="1:1" x14ac:dyDescent="0.25">
      <c r="A7112" s="3"/>
    </row>
    <row r="7113" spans="1:1" x14ac:dyDescent="0.25">
      <c r="A7113" s="3"/>
    </row>
    <row r="7114" spans="1:1" x14ac:dyDescent="0.25">
      <c r="A7114" s="3"/>
    </row>
    <row r="7115" spans="1:1" x14ac:dyDescent="0.25">
      <c r="A7115" s="3"/>
    </row>
    <row r="7116" spans="1:1" x14ac:dyDescent="0.25">
      <c r="A7116" s="3"/>
    </row>
    <row r="7117" spans="1:1" x14ac:dyDescent="0.25">
      <c r="A7117" s="3"/>
    </row>
    <row r="7118" spans="1:1" x14ac:dyDescent="0.25">
      <c r="A7118" s="3"/>
    </row>
    <row r="7119" spans="1:1" x14ac:dyDescent="0.25">
      <c r="A7119" s="3"/>
    </row>
    <row r="7120" spans="1:1" x14ac:dyDescent="0.25">
      <c r="A7120" s="3"/>
    </row>
    <row r="7121" spans="1:1" x14ac:dyDescent="0.25">
      <c r="A7121" s="3"/>
    </row>
    <row r="7122" spans="1:1" x14ac:dyDescent="0.25">
      <c r="A7122" s="3"/>
    </row>
    <row r="7123" spans="1:1" x14ac:dyDescent="0.25">
      <c r="A7123" s="3"/>
    </row>
    <row r="7124" spans="1:1" x14ac:dyDescent="0.25">
      <c r="A7124" s="3"/>
    </row>
    <row r="7125" spans="1:1" x14ac:dyDescent="0.25">
      <c r="A7125" s="3"/>
    </row>
    <row r="7126" spans="1:1" x14ac:dyDescent="0.25">
      <c r="A7126" s="3"/>
    </row>
    <row r="7127" spans="1:1" x14ac:dyDescent="0.25">
      <c r="A7127" s="3"/>
    </row>
    <row r="7128" spans="1:1" x14ac:dyDescent="0.25">
      <c r="A7128" s="3"/>
    </row>
    <row r="7129" spans="1:1" x14ac:dyDescent="0.25">
      <c r="A7129" s="3"/>
    </row>
    <row r="7130" spans="1:1" x14ac:dyDescent="0.25">
      <c r="A7130" s="3"/>
    </row>
    <row r="7131" spans="1:1" x14ac:dyDescent="0.25">
      <c r="A7131" s="3"/>
    </row>
    <row r="7132" spans="1:1" x14ac:dyDescent="0.25">
      <c r="A7132" s="3"/>
    </row>
    <row r="7133" spans="1:1" x14ac:dyDescent="0.25">
      <c r="A7133" s="3"/>
    </row>
    <row r="7134" spans="1:1" x14ac:dyDescent="0.25">
      <c r="A7134" s="3"/>
    </row>
    <row r="7135" spans="1:1" x14ac:dyDescent="0.25">
      <c r="A7135" s="3"/>
    </row>
    <row r="7136" spans="1:1" x14ac:dyDescent="0.25">
      <c r="A7136" s="3"/>
    </row>
    <row r="7137" spans="1:1" x14ac:dyDescent="0.25">
      <c r="A7137" s="3"/>
    </row>
    <row r="7138" spans="1:1" x14ac:dyDescent="0.25">
      <c r="A7138" s="3"/>
    </row>
    <row r="7139" spans="1:1" x14ac:dyDescent="0.25">
      <c r="A7139" s="3"/>
    </row>
    <row r="7140" spans="1:1" x14ac:dyDescent="0.25">
      <c r="A7140" s="3"/>
    </row>
    <row r="7141" spans="1:1" x14ac:dyDescent="0.25">
      <c r="A7141" s="3"/>
    </row>
    <row r="7142" spans="1:1" x14ac:dyDescent="0.25">
      <c r="A7142" s="3"/>
    </row>
    <row r="7143" spans="1:1" x14ac:dyDescent="0.25">
      <c r="A7143" s="3"/>
    </row>
    <row r="7144" spans="1:1" x14ac:dyDescent="0.25">
      <c r="A7144" s="3"/>
    </row>
    <row r="7145" spans="1:1" x14ac:dyDescent="0.25">
      <c r="A7145" s="3"/>
    </row>
    <row r="7146" spans="1:1" x14ac:dyDescent="0.25">
      <c r="A7146" s="3"/>
    </row>
    <row r="7147" spans="1:1" x14ac:dyDescent="0.25">
      <c r="A7147" s="3"/>
    </row>
    <row r="7148" spans="1:1" x14ac:dyDescent="0.25">
      <c r="A7148" s="3"/>
    </row>
    <row r="7149" spans="1:1" x14ac:dyDescent="0.25">
      <c r="A7149" s="3"/>
    </row>
    <row r="7150" spans="1:1" x14ac:dyDescent="0.25">
      <c r="A7150" s="3"/>
    </row>
    <row r="7151" spans="1:1" x14ac:dyDescent="0.25">
      <c r="A7151" s="3"/>
    </row>
    <row r="7152" spans="1:1" x14ac:dyDescent="0.25">
      <c r="A7152" s="3"/>
    </row>
    <row r="7153" spans="1:1" x14ac:dyDescent="0.25">
      <c r="A7153" s="3"/>
    </row>
    <row r="7154" spans="1:1" x14ac:dyDescent="0.25">
      <c r="A7154" s="3"/>
    </row>
    <row r="7155" spans="1:1" x14ac:dyDescent="0.25">
      <c r="A7155" s="3"/>
    </row>
    <row r="7156" spans="1:1" x14ac:dyDescent="0.25">
      <c r="A7156" s="3"/>
    </row>
    <row r="7157" spans="1:1" x14ac:dyDescent="0.25">
      <c r="A7157" s="3"/>
    </row>
    <row r="7158" spans="1:1" x14ac:dyDescent="0.25">
      <c r="A7158" s="3"/>
    </row>
    <row r="7159" spans="1:1" x14ac:dyDescent="0.25">
      <c r="A7159" s="3"/>
    </row>
    <row r="7160" spans="1:1" x14ac:dyDescent="0.25">
      <c r="A7160" s="3"/>
    </row>
    <row r="7161" spans="1:1" x14ac:dyDescent="0.25">
      <c r="A7161" s="3"/>
    </row>
    <row r="7162" spans="1:1" x14ac:dyDescent="0.25">
      <c r="A7162" s="3"/>
    </row>
    <row r="7163" spans="1:1" x14ac:dyDescent="0.25">
      <c r="A7163" s="3"/>
    </row>
    <row r="7164" spans="1:1" x14ac:dyDescent="0.25">
      <c r="A7164" s="3"/>
    </row>
    <row r="7165" spans="1:1" x14ac:dyDescent="0.25">
      <c r="A7165" s="3"/>
    </row>
    <row r="7166" spans="1:1" x14ac:dyDescent="0.25">
      <c r="A7166" s="3"/>
    </row>
    <row r="7167" spans="1:1" x14ac:dyDescent="0.25">
      <c r="A7167" s="3"/>
    </row>
    <row r="7168" spans="1:1" x14ac:dyDescent="0.25">
      <c r="A7168" s="3"/>
    </row>
    <row r="7169" spans="1:1" x14ac:dyDescent="0.25">
      <c r="A7169" s="3"/>
    </row>
    <row r="7170" spans="1:1" x14ac:dyDescent="0.25">
      <c r="A7170" s="3"/>
    </row>
    <row r="7171" spans="1:1" x14ac:dyDescent="0.25">
      <c r="A7171" s="3"/>
    </row>
    <row r="7172" spans="1:1" x14ac:dyDescent="0.25">
      <c r="A7172" s="3"/>
    </row>
    <row r="7173" spans="1:1" x14ac:dyDescent="0.25">
      <c r="A7173" s="3"/>
    </row>
    <row r="7174" spans="1:1" x14ac:dyDescent="0.25">
      <c r="A7174" s="3"/>
    </row>
    <row r="7175" spans="1:1" x14ac:dyDescent="0.25">
      <c r="A7175" s="3"/>
    </row>
    <row r="7176" spans="1:1" x14ac:dyDescent="0.25">
      <c r="A7176" s="3"/>
    </row>
    <row r="7177" spans="1:1" x14ac:dyDescent="0.25">
      <c r="A7177" s="3"/>
    </row>
    <row r="7178" spans="1:1" x14ac:dyDescent="0.25">
      <c r="A7178" s="3"/>
    </row>
    <row r="7179" spans="1:1" x14ac:dyDescent="0.25">
      <c r="A7179" s="3"/>
    </row>
    <row r="7180" spans="1:1" x14ac:dyDescent="0.25">
      <c r="A7180" s="3"/>
    </row>
    <row r="7181" spans="1:1" x14ac:dyDescent="0.25">
      <c r="A7181" s="3"/>
    </row>
    <row r="7182" spans="1:1" x14ac:dyDescent="0.25">
      <c r="A7182" s="3"/>
    </row>
    <row r="7183" spans="1:1" x14ac:dyDescent="0.25">
      <c r="A7183" s="3"/>
    </row>
    <row r="7184" spans="1:1" x14ac:dyDescent="0.25">
      <c r="A7184" s="3"/>
    </row>
    <row r="7185" spans="1:1" x14ac:dyDescent="0.25">
      <c r="A7185" s="3"/>
    </row>
    <row r="7186" spans="1:1" x14ac:dyDescent="0.25">
      <c r="A7186" s="3"/>
    </row>
    <row r="7187" spans="1:1" x14ac:dyDescent="0.25">
      <c r="A7187" s="3"/>
    </row>
    <row r="7188" spans="1:1" x14ac:dyDescent="0.25">
      <c r="A7188" s="3"/>
    </row>
    <row r="7189" spans="1:1" x14ac:dyDescent="0.25">
      <c r="A7189" s="3"/>
    </row>
    <row r="7190" spans="1:1" x14ac:dyDescent="0.25">
      <c r="A7190" s="3"/>
    </row>
    <row r="7191" spans="1:1" x14ac:dyDescent="0.25">
      <c r="A7191" s="3"/>
    </row>
    <row r="7192" spans="1:1" x14ac:dyDescent="0.25">
      <c r="A7192" s="3"/>
    </row>
    <row r="7193" spans="1:1" x14ac:dyDescent="0.25">
      <c r="A7193" s="3"/>
    </row>
    <row r="7194" spans="1:1" x14ac:dyDescent="0.25">
      <c r="A7194" s="3"/>
    </row>
    <row r="7195" spans="1:1" x14ac:dyDescent="0.25">
      <c r="A7195" s="3"/>
    </row>
    <row r="7196" spans="1:1" x14ac:dyDescent="0.25">
      <c r="A7196" s="3"/>
    </row>
    <row r="7197" spans="1:1" x14ac:dyDescent="0.25">
      <c r="A7197" s="3"/>
    </row>
    <row r="7198" spans="1:1" x14ac:dyDescent="0.25">
      <c r="A7198" s="3"/>
    </row>
    <row r="7199" spans="1:1" x14ac:dyDescent="0.25">
      <c r="A7199" s="3"/>
    </row>
    <row r="7200" spans="1:1" x14ac:dyDescent="0.25">
      <c r="A7200" s="3"/>
    </row>
    <row r="7201" spans="1:1" x14ac:dyDescent="0.25">
      <c r="A7201" s="3"/>
    </row>
    <row r="7202" spans="1:1" x14ac:dyDescent="0.25">
      <c r="A7202" s="3"/>
    </row>
    <row r="7203" spans="1:1" x14ac:dyDescent="0.25">
      <c r="A7203" s="3"/>
    </row>
    <row r="7204" spans="1:1" x14ac:dyDescent="0.25">
      <c r="A7204" s="3"/>
    </row>
    <row r="7205" spans="1:1" x14ac:dyDescent="0.25">
      <c r="A7205" s="3"/>
    </row>
    <row r="7206" spans="1:1" x14ac:dyDescent="0.25">
      <c r="A7206" s="3"/>
    </row>
    <row r="7207" spans="1:1" x14ac:dyDescent="0.25">
      <c r="A7207" s="3"/>
    </row>
    <row r="7208" spans="1:1" x14ac:dyDescent="0.25">
      <c r="A7208" s="3"/>
    </row>
    <row r="7209" spans="1:1" x14ac:dyDescent="0.25">
      <c r="A7209" s="3"/>
    </row>
    <row r="7210" spans="1:1" x14ac:dyDescent="0.25">
      <c r="A7210" s="3"/>
    </row>
    <row r="7211" spans="1:1" x14ac:dyDescent="0.25">
      <c r="A7211" s="3"/>
    </row>
    <row r="7212" spans="1:1" x14ac:dyDescent="0.25">
      <c r="A7212" s="3"/>
    </row>
    <row r="7213" spans="1:1" x14ac:dyDescent="0.25">
      <c r="A7213" s="3"/>
    </row>
    <row r="7214" spans="1:1" x14ac:dyDescent="0.25">
      <c r="A7214" s="3"/>
    </row>
    <row r="7215" spans="1:1" x14ac:dyDescent="0.25">
      <c r="A7215" s="3"/>
    </row>
    <row r="7216" spans="1:1" x14ac:dyDescent="0.25">
      <c r="A7216" s="3"/>
    </row>
    <row r="7217" spans="1:1" x14ac:dyDescent="0.25">
      <c r="A7217" s="3"/>
    </row>
    <row r="7218" spans="1:1" x14ac:dyDescent="0.25">
      <c r="A7218" s="3"/>
    </row>
    <row r="7219" spans="1:1" x14ac:dyDescent="0.25">
      <c r="A7219" s="3"/>
    </row>
    <row r="7220" spans="1:1" x14ac:dyDescent="0.25">
      <c r="A7220" s="3"/>
    </row>
    <row r="7221" spans="1:1" x14ac:dyDescent="0.25">
      <c r="A7221" s="3"/>
    </row>
    <row r="7222" spans="1:1" x14ac:dyDescent="0.25">
      <c r="A7222" s="3"/>
    </row>
    <row r="7223" spans="1:1" x14ac:dyDescent="0.25">
      <c r="A7223" s="3"/>
    </row>
    <row r="7224" spans="1:1" x14ac:dyDescent="0.25">
      <c r="A7224" s="3"/>
    </row>
    <row r="7225" spans="1:1" x14ac:dyDescent="0.25">
      <c r="A7225" s="3"/>
    </row>
    <row r="7226" spans="1:1" x14ac:dyDescent="0.25">
      <c r="A7226" s="3"/>
    </row>
    <row r="7227" spans="1:1" x14ac:dyDescent="0.25">
      <c r="A7227" s="3"/>
    </row>
    <row r="7228" spans="1:1" x14ac:dyDescent="0.25">
      <c r="A7228" s="3"/>
    </row>
    <row r="7229" spans="1:1" x14ac:dyDescent="0.25">
      <c r="A7229" s="3"/>
    </row>
    <row r="7230" spans="1:1" x14ac:dyDescent="0.25">
      <c r="A7230" s="3"/>
    </row>
    <row r="7231" spans="1:1" x14ac:dyDescent="0.25">
      <c r="A7231" s="3"/>
    </row>
    <row r="7232" spans="1:1" x14ac:dyDescent="0.25">
      <c r="A7232" s="3"/>
    </row>
    <row r="7233" spans="1:1" x14ac:dyDescent="0.25">
      <c r="A7233" s="3"/>
    </row>
    <row r="7234" spans="1:1" x14ac:dyDescent="0.25">
      <c r="A7234" s="3"/>
    </row>
    <row r="7235" spans="1:1" x14ac:dyDescent="0.25">
      <c r="A7235" s="3"/>
    </row>
    <row r="7236" spans="1:1" x14ac:dyDescent="0.25">
      <c r="A7236" s="3"/>
    </row>
    <row r="7237" spans="1:1" x14ac:dyDescent="0.25">
      <c r="A7237" s="3"/>
    </row>
    <row r="7238" spans="1:1" x14ac:dyDescent="0.25">
      <c r="A7238" s="3"/>
    </row>
    <row r="7239" spans="1:1" x14ac:dyDescent="0.25">
      <c r="A7239" s="3"/>
    </row>
    <row r="7240" spans="1:1" x14ac:dyDescent="0.25">
      <c r="A7240" s="3"/>
    </row>
    <row r="7241" spans="1:1" x14ac:dyDescent="0.25">
      <c r="A7241" s="3"/>
    </row>
    <row r="7242" spans="1:1" x14ac:dyDescent="0.25">
      <c r="A7242" s="3"/>
    </row>
    <row r="7243" spans="1:1" x14ac:dyDescent="0.25">
      <c r="A7243" s="3"/>
    </row>
    <row r="7244" spans="1:1" x14ac:dyDescent="0.25">
      <c r="A7244" s="3"/>
    </row>
    <row r="7245" spans="1:1" x14ac:dyDescent="0.25">
      <c r="A7245" s="3"/>
    </row>
    <row r="7246" spans="1:1" x14ac:dyDescent="0.25">
      <c r="A7246" s="3"/>
    </row>
    <row r="7247" spans="1:1" x14ac:dyDescent="0.25">
      <c r="A7247" s="3"/>
    </row>
    <row r="7248" spans="1:1" x14ac:dyDescent="0.25">
      <c r="A7248" s="3"/>
    </row>
    <row r="7249" spans="1:1" x14ac:dyDescent="0.25">
      <c r="A7249" s="3"/>
    </row>
    <row r="7250" spans="1:1" x14ac:dyDescent="0.25">
      <c r="A7250" s="3"/>
    </row>
    <row r="7251" spans="1:1" x14ac:dyDescent="0.25">
      <c r="A7251" s="3"/>
    </row>
    <row r="7252" spans="1:1" x14ac:dyDescent="0.25">
      <c r="A7252" s="3"/>
    </row>
    <row r="7253" spans="1:1" x14ac:dyDescent="0.25">
      <c r="A7253" s="3"/>
    </row>
    <row r="7254" spans="1:1" x14ac:dyDescent="0.25">
      <c r="A7254" s="3"/>
    </row>
    <row r="7255" spans="1:1" x14ac:dyDescent="0.25">
      <c r="A7255" s="3"/>
    </row>
    <row r="7256" spans="1:1" x14ac:dyDescent="0.25">
      <c r="A7256" s="3"/>
    </row>
    <row r="7257" spans="1:1" x14ac:dyDescent="0.25">
      <c r="A7257" s="3"/>
    </row>
    <row r="7258" spans="1:1" x14ac:dyDescent="0.25">
      <c r="A7258" s="3"/>
    </row>
    <row r="7259" spans="1:1" x14ac:dyDescent="0.25">
      <c r="A7259" s="3"/>
    </row>
    <row r="7260" spans="1:1" x14ac:dyDescent="0.25">
      <c r="A7260" s="3"/>
    </row>
    <row r="7261" spans="1:1" x14ac:dyDescent="0.25">
      <c r="A7261" s="3"/>
    </row>
    <row r="7262" spans="1:1" x14ac:dyDescent="0.25">
      <c r="A7262" s="3"/>
    </row>
    <row r="7263" spans="1:1" x14ac:dyDescent="0.25">
      <c r="A7263" s="3"/>
    </row>
    <row r="7264" spans="1:1" x14ac:dyDescent="0.25">
      <c r="A7264" s="3"/>
    </row>
    <row r="7265" spans="1:1" x14ac:dyDescent="0.25">
      <c r="A7265" s="3"/>
    </row>
    <row r="7266" spans="1:1" x14ac:dyDescent="0.25">
      <c r="A7266" s="3"/>
    </row>
    <row r="7267" spans="1:1" x14ac:dyDescent="0.25">
      <c r="A7267" s="3"/>
    </row>
    <row r="7268" spans="1:1" x14ac:dyDescent="0.25">
      <c r="A7268" s="3"/>
    </row>
    <row r="7269" spans="1:1" x14ac:dyDescent="0.25">
      <c r="A7269" s="3"/>
    </row>
    <row r="7270" spans="1:1" x14ac:dyDescent="0.25">
      <c r="A7270" s="3"/>
    </row>
    <row r="7271" spans="1:1" x14ac:dyDescent="0.25">
      <c r="A7271" s="3"/>
    </row>
    <row r="7272" spans="1:1" x14ac:dyDescent="0.25">
      <c r="A7272" s="3"/>
    </row>
    <row r="7273" spans="1:1" x14ac:dyDescent="0.25">
      <c r="A7273" s="3"/>
    </row>
    <row r="7274" spans="1:1" x14ac:dyDescent="0.25">
      <c r="A7274" s="3"/>
    </row>
    <row r="7275" spans="1:1" x14ac:dyDescent="0.25">
      <c r="A7275" s="3"/>
    </row>
    <row r="7276" spans="1:1" x14ac:dyDescent="0.25">
      <c r="A7276" s="3"/>
    </row>
    <row r="7277" spans="1:1" x14ac:dyDescent="0.25">
      <c r="A7277" s="3"/>
    </row>
    <row r="7278" spans="1:1" x14ac:dyDescent="0.25">
      <c r="A7278" s="3"/>
    </row>
    <row r="7279" spans="1:1" x14ac:dyDescent="0.25">
      <c r="A7279" s="3"/>
    </row>
    <row r="7280" spans="1:1" x14ac:dyDescent="0.25">
      <c r="A7280" s="3"/>
    </row>
    <row r="7281" spans="1:1" x14ac:dyDescent="0.25">
      <c r="A7281" s="3"/>
    </row>
    <row r="7282" spans="1:1" x14ac:dyDescent="0.25">
      <c r="A7282" s="3"/>
    </row>
    <row r="7283" spans="1:1" x14ac:dyDescent="0.25">
      <c r="A7283" s="3"/>
    </row>
    <row r="7284" spans="1:1" x14ac:dyDescent="0.25">
      <c r="A7284" s="3"/>
    </row>
    <row r="7285" spans="1:1" x14ac:dyDescent="0.25">
      <c r="A7285" s="3"/>
    </row>
    <row r="7286" spans="1:1" x14ac:dyDescent="0.25">
      <c r="A7286" s="3"/>
    </row>
    <row r="7287" spans="1:1" x14ac:dyDescent="0.25">
      <c r="A7287" s="3"/>
    </row>
    <row r="7288" spans="1:1" x14ac:dyDescent="0.25">
      <c r="A7288" s="3"/>
    </row>
    <row r="7289" spans="1:1" x14ac:dyDescent="0.25">
      <c r="A7289" s="3"/>
    </row>
    <row r="7290" spans="1:1" x14ac:dyDescent="0.25">
      <c r="A7290" s="3"/>
    </row>
    <row r="7291" spans="1:1" x14ac:dyDescent="0.25">
      <c r="A7291" s="3"/>
    </row>
    <row r="7292" spans="1:1" x14ac:dyDescent="0.25">
      <c r="A7292" s="3"/>
    </row>
    <row r="7293" spans="1:1" x14ac:dyDescent="0.25">
      <c r="A7293" s="3"/>
    </row>
    <row r="7294" spans="1:1" x14ac:dyDescent="0.25">
      <c r="A7294" s="3"/>
    </row>
    <row r="7295" spans="1:1" x14ac:dyDescent="0.25">
      <c r="A7295" s="3"/>
    </row>
    <row r="7296" spans="1:1" x14ac:dyDescent="0.25">
      <c r="A7296" s="3"/>
    </row>
    <row r="7297" spans="1:1" x14ac:dyDescent="0.25">
      <c r="A7297" s="3"/>
    </row>
    <row r="7298" spans="1:1" x14ac:dyDescent="0.25">
      <c r="A7298" s="3"/>
    </row>
    <row r="7299" spans="1:1" x14ac:dyDescent="0.25">
      <c r="A7299" s="3"/>
    </row>
    <row r="7300" spans="1:1" x14ac:dyDescent="0.25">
      <c r="A7300" s="3"/>
    </row>
    <row r="7301" spans="1:1" x14ac:dyDescent="0.25">
      <c r="A7301" s="3"/>
    </row>
    <row r="7302" spans="1:1" x14ac:dyDescent="0.25">
      <c r="A7302" s="3"/>
    </row>
    <row r="7303" spans="1:1" x14ac:dyDescent="0.25">
      <c r="A7303" s="3"/>
    </row>
    <row r="7304" spans="1:1" x14ac:dyDescent="0.25">
      <c r="A7304" s="3"/>
    </row>
    <row r="7305" spans="1:1" x14ac:dyDescent="0.25">
      <c r="A7305" s="3"/>
    </row>
    <row r="7306" spans="1:1" x14ac:dyDescent="0.25">
      <c r="A7306" s="3"/>
    </row>
    <row r="7307" spans="1:1" x14ac:dyDescent="0.25">
      <c r="A7307" s="3"/>
    </row>
    <row r="7308" spans="1:1" x14ac:dyDescent="0.25">
      <c r="A7308" s="3"/>
    </row>
    <row r="7309" spans="1:1" x14ac:dyDescent="0.25">
      <c r="A7309" s="3"/>
    </row>
    <row r="7310" spans="1:1" x14ac:dyDescent="0.25">
      <c r="A7310" s="3"/>
    </row>
    <row r="7311" spans="1:1" x14ac:dyDescent="0.25">
      <c r="A7311" s="3"/>
    </row>
    <row r="7312" spans="1:1" x14ac:dyDescent="0.25">
      <c r="A7312" s="3"/>
    </row>
    <row r="7313" spans="1:1" x14ac:dyDescent="0.25">
      <c r="A7313" s="3"/>
    </row>
    <row r="7314" spans="1:1" x14ac:dyDescent="0.25">
      <c r="A7314" s="3"/>
    </row>
    <row r="7315" spans="1:1" x14ac:dyDescent="0.25">
      <c r="A7315" s="3"/>
    </row>
    <row r="7316" spans="1:1" x14ac:dyDescent="0.25">
      <c r="A7316" s="3"/>
    </row>
    <row r="7317" spans="1:1" x14ac:dyDescent="0.25">
      <c r="A7317" s="3"/>
    </row>
    <row r="7318" spans="1:1" x14ac:dyDescent="0.25">
      <c r="A7318" s="3"/>
    </row>
    <row r="7319" spans="1:1" x14ac:dyDescent="0.25">
      <c r="A7319" s="3"/>
    </row>
    <row r="7320" spans="1:1" x14ac:dyDescent="0.25">
      <c r="A7320" s="3"/>
    </row>
    <row r="7321" spans="1:1" x14ac:dyDescent="0.25">
      <c r="A7321" s="3"/>
    </row>
    <row r="7322" spans="1:1" x14ac:dyDescent="0.25">
      <c r="A7322" s="3"/>
    </row>
    <row r="7323" spans="1:1" x14ac:dyDescent="0.25">
      <c r="A7323" s="3"/>
    </row>
    <row r="7324" spans="1:1" x14ac:dyDescent="0.25">
      <c r="A7324" s="3"/>
    </row>
    <row r="7325" spans="1:1" x14ac:dyDescent="0.25">
      <c r="A7325" s="3"/>
    </row>
    <row r="7326" spans="1:1" x14ac:dyDescent="0.25">
      <c r="A7326" s="3"/>
    </row>
    <row r="7327" spans="1:1" x14ac:dyDescent="0.25">
      <c r="A7327" s="3"/>
    </row>
    <row r="7328" spans="1:1" x14ac:dyDescent="0.25">
      <c r="A7328" s="3"/>
    </row>
    <row r="7329" spans="1:1" x14ac:dyDescent="0.25">
      <c r="A7329" s="3"/>
    </row>
    <row r="7330" spans="1:1" x14ac:dyDescent="0.25">
      <c r="A7330" s="3"/>
    </row>
    <row r="7331" spans="1:1" x14ac:dyDescent="0.25">
      <c r="A7331" s="3"/>
    </row>
    <row r="7332" spans="1:1" x14ac:dyDescent="0.25">
      <c r="A7332" s="3"/>
    </row>
    <row r="7333" spans="1:1" x14ac:dyDescent="0.25">
      <c r="A7333" s="3"/>
    </row>
    <row r="7334" spans="1:1" x14ac:dyDescent="0.25">
      <c r="A7334" s="3"/>
    </row>
    <row r="7335" spans="1:1" x14ac:dyDescent="0.25">
      <c r="A7335" s="3"/>
    </row>
    <row r="7336" spans="1:1" x14ac:dyDescent="0.25">
      <c r="A7336" s="3"/>
    </row>
    <row r="7337" spans="1:1" x14ac:dyDescent="0.25">
      <c r="A7337" s="3"/>
    </row>
    <row r="7338" spans="1:1" x14ac:dyDescent="0.25">
      <c r="A7338" s="3"/>
    </row>
    <row r="7339" spans="1:1" x14ac:dyDescent="0.25">
      <c r="A7339" s="3"/>
    </row>
    <row r="7340" spans="1:1" x14ac:dyDescent="0.25">
      <c r="A7340" s="3"/>
    </row>
    <row r="7341" spans="1:1" x14ac:dyDescent="0.25">
      <c r="A7341" s="3"/>
    </row>
    <row r="7342" spans="1:1" x14ac:dyDescent="0.25">
      <c r="A7342" s="3"/>
    </row>
    <row r="7343" spans="1:1" x14ac:dyDescent="0.25">
      <c r="A7343" s="3"/>
    </row>
    <row r="7344" spans="1:1" x14ac:dyDescent="0.25">
      <c r="A7344" s="3"/>
    </row>
    <row r="7345" spans="1:1" x14ac:dyDescent="0.25">
      <c r="A7345" s="3"/>
    </row>
    <row r="7346" spans="1:1" x14ac:dyDescent="0.25">
      <c r="A7346" s="3"/>
    </row>
    <row r="7347" spans="1:1" x14ac:dyDescent="0.25">
      <c r="A7347" s="3"/>
    </row>
    <row r="7348" spans="1:1" x14ac:dyDescent="0.25">
      <c r="A7348" s="3"/>
    </row>
    <row r="7349" spans="1:1" x14ac:dyDescent="0.25">
      <c r="A7349" s="3"/>
    </row>
    <row r="7350" spans="1:1" x14ac:dyDescent="0.25">
      <c r="A7350" s="3"/>
    </row>
    <row r="7351" spans="1:1" x14ac:dyDescent="0.25">
      <c r="A7351" s="3"/>
    </row>
    <row r="7352" spans="1:1" x14ac:dyDescent="0.25">
      <c r="A7352" s="3"/>
    </row>
    <row r="7353" spans="1:1" x14ac:dyDescent="0.25">
      <c r="A7353" s="3"/>
    </row>
    <row r="7354" spans="1:1" x14ac:dyDescent="0.25">
      <c r="A7354" s="3"/>
    </row>
    <row r="7355" spans="1:1" x14ac:dyDescent="0.25">
      <c r="A7355" s="3"/>
    </row>
    <row r="7356" spans="1:1" x14ac:dyDescent="0.25">
      <c r="A7356" s="3"/>
    </row>
    <row r="7357" spans="1:1" x14ac:dyDescent="0.25">
      <c r="A7357" s="3"/>
    </row>
    <row r="7358" spans="1:1" x14ac:dyDescent="0.25">
      <c r="A7358" s="3"/>
    </row>
    <row r="7359" spans="1:1" x14ac:dyDescent="0.25">
      <c r="A7359" s="3"/>
    </row>
    <row r="7360" spans="1:1" x14ac:dyDescent="0.25">
      <c r="A7360" s="3"/>
    </row>
    <row r="7361" spans="1:1" x14ac:dyDescent="0.25">
      <c r="A7361" s="3"/>
    </row>
    <row r="7362" spans="1:1" x14ac:dyDescent="0.25">
      <c r="A7362" s="3"/>
    </row>
    <row r="7363" spans="1:1" x14ac:dyDescent="0.25">
      <c r="A7363" s="3"/>
    </row>
    <row r="7364" spans="1:1" x14ac:dyDescent="0.25">
      <c r="A7364" s="3"/>
    </row>
    <row r="7365" spans="1:1" x14ac:dyDescent="0.25">
      <c r="A7365" s="3"/>
    </row>
    <row r="7366" spans="1:1" x14ac:dyDescent="0.25">
      <c r="A7366" s="3"/>
    </row>
    <row r="7367" spans="1:1" x14ac:dyDescent="0.25">
      <c r="A7367" s="3"/>
    </row>
    <row r="7368" spans="1:1" x14ac:dyDescent="0.25">
      <c r="A7368" s="3"/>
    </row>
    <row r="7369" spans="1:1" x14ac:dyDescent="0.25">
      <c r="A7369" s="3"/>
    </row>
    <row r="7370" spans="1:1" x14ac:dyDescent="0.25">
      <c r="A7370" s="3"/>
    </row>
    <row r="7371" spans="1:1" x14ac:dyDescent="0.25">
      <c r="A7371" s="3"/>
    </row>
    <row r="7372" spans="1:1" x14ac:dyDescent="0.25">
      <c r="A7372" s="3"/>
    </row>
    <row r="7373" spans="1:1" x14ac:dyDescent="0.25">
      <c r="A7373" s="3"/>
    </row>
    <row r="7374" spans="1:1" x14ac:dyDescent="0.25">
      <c r="A7374" s="3"/>
    </row>
    <row r="7375" spans="1:1" x14ac:dyDescent="0.25">
      <c r="A7375" s="3"/>
    </row>
    <row r="7376" spans="1:1" x14ac:dyDescent="0.25">
      <c r="A7376" s="3"/>
    </row>
    <row r="7377" spans="1:1" x14ac:dyDescent="0.25">
      <c r="A7377" s="3"/>
    </row>
    <row r="7378" spans="1:1" x14ac:dyDescent="0.25">
      <c r="A7378" s="3"/>
    </row>
    <row r="7379" spans="1:1" x14ac:dyDescent="0.25">
      <c r="A7379" s="3"/>
    </row>
    <row r="7380" spans="1:1" x14ac:dyDescent="0.25">
      <c r="A7380" s="3"/>
    </row>
    <row r="7381" spans="1:1" x14ac:dyDescent="0.25">
      <c r="A7381" s="3"/>
    </row>
    <row r="7382" spans="1:1" x14ac:dyDescent="0.25">
      <c r="A7382" s="3"/>
    </row>
    <row r="7383" spans="1:1" x14ac:dyDescent="0.25">
      <c r="A7383" s="3"/>
    </row>
    <row r="7384" spans="1:1" x14ac:dyDescent="0.25">
      <c r="A7384" s="3"/>
    </row>
    <row r="7385" spans="1:1" x14ac:dyDescent="0.25">
      <c r="A7385" s="3"/>
    </row>
    <row r="7386" spans="1:1" x14ac:dyDescent="0.25">
      <c r="A7386" s="3"/>
    </row>
    <row r="7387" spans="1:1" x14ac:dyDescent="0.25">
      <c r="A7387" s="3"/>
    </row>
    <row r="7388" spans="1:1" x14ac:dyDescent="0.25">
      <c r="A7388" s="3"/>
    </row>
    <row r="7389" spans="1:1" x14ac:dyDescent="0.25">
      <c r="A7389" s="3"/>
    </row>
    <row r="7390" spans="1:1" x14ac:dyDescent="0.25">
      <c r="A7390" s="3"/>
    </row>
    <row r="7391" spans="1:1" x14ac:dyDescent="0.25">
      <c r="A7391" s="3"/>
    </row>
    <row r="7392" spans="1:1" x14ac:dyDescent="0.25">
      <c r="A7392" s="3"/>
    </row>
    <row r="7393" spans="1:1" x14ac:dyDescent="0.25">
      <c r="A7393" s="3"/>
    </row>
    <row r="7394" spans="1:1" x14ac:dyDescent="0.25">
      <c r="A7394" s="3"/>
    </row>
    <row r="7395" spans="1:1" x14ac:dyDescent="0.25">
      <c r="A7395" s="3"/>
    </row>
    <row r="7396" spans="1:1" x14ac:dyDescent="0.25">
      <c r="A7396" s="3"/>
    </row>
    <row r="7397" spans="1:1" x14ac:dyDescent="0.25">
      <c r="A7397" s="3"/>
    </row>
    <row r="7398" spans="1:1" x14ac:dyDescent="0.25">
      <c r="A7398" s="3"/>
    </row>
    <row r="7399" spans="1:1" x14ac:dyDescent="0.25">
      <c r="A7399" s="3"/>
    </row>
    <row r="7400" spans="1:1" x14ac:dyDescent="0.25">
      <c r="A7400" s="3"/>
    </row>
    <row r="7401" spans="1:1" x14ac:dyDescent="0.25">
      <c r="A7401" s="3"/>
    </row>
    <row r="7402" spans="1:1" x14ac:dyDescent="0.25">
      <c r="A7402" s="3"/>
    </row>
    <row r="7403" spans="1:1" x14ac:dyDescent="0.25">
      <c r="A7403" s="3"/>
    </row>
    <row r="7404" spans="1:1" x14ac:dyDescent="0.25">
      <c r="A7404" s="3"/>
    </row>
    <row r="7405" spans="1:1" x14ac:dyDescent="0.25">
      <c r="A7405" s="3"/>
    </row>
    <row r="7406" spans="1:1" x14ac:dyDescent="0.25">
      <c r="A7406" s="3"/>
    </row>
    <row r="7407" spans="1:1" x14ac:dyDescent="0.25">
      <c r="A7407" s="3"/>
    </row>
    <row r="7408" spans="1:1" x14ac:dyDescent="0.25">
      <c r="A7408" s="3"/>
    </row>
    <row r="7409" spans="1:1" x14ac:dyDescent="0.25">
      <c r="A7409" s="3"/>
    </row>
    <row r="7410" spans="1:1" x14ac:dyDescent="0.25">
      <c r="A7410" s="3"/>
    </row>
    <row r="7411" spans="1:1" x14ac:dyDescent="0.25">
      <c r="A7411" s="3"/>
    </row>
    <row r="7412" spans="1:1" x14ac:dyDescent="0.25">
      <c r="A7412" s="3"/>
    </row>
    <row r="7413" spans="1:1" x14ac:dyDescent="0.25">
      <c r="A7413" s="3"/>
    </row>
    <row r="7414" spans="1:1" x14ac:dyDescent="0.25">
      <c r="A7414" s="3"/>
    </row>
    <row r="7415" spans="1:1" x14ac:dyDescent="0.25">
      <c r="A7415" s="3"/>
    </row>
    <row r="7416" spans="1:1" x14ac:dyDescent="0.25">
      <c r="A7416" s="3"/>
    </row>
    <row r="7417" spans="1:1" x14ac:dyDescent="0.25">
      <c r="A7417" s="3"/>
    </row>
    <row r="7418" spans="1:1" x14ac:dyDescent="0.25">
      <c r="A7418" s="3"/>
    </row>
    <row r="7419" spans="1:1" x14ac:dyDescent="0.25">
      <c r="A7419" s="3"/>
    </row>
    <row r="7420" spans="1:1" x14ac:dyDescent="0.25">
      <c r="A7420" s="3"/>
    </row>
    <row r="7421" spans="1:1" x14ac:dyDescent="0.25">
      <c r="A7421" s="3"/>
    </row>
    <row r="7422" spans="1:1" x14ac:dyDescent="0.25">
      <c r="A7422" s="3"/>
    </row>
    <row r="7423" spans="1:1" x14ac:dyDescent="0.25">
      <c r="A7423" s="3"/>
    </row>
    <row r="7424" spans="1:1" x14ac:dyDescent="0.25">
      <c r="A7424" s="3"/>
    </row>
    <row r="7425" spans="1:1" x14ac:dyDescent="0.25">
      <c r="A7425" s="3"/>
    </row>
    <row r="7426" spans="1:1" x14ac:dyDescent="0.25">
      <c r="A7426" s="3"/>
    </row>
    <row r="7427" spans="1:1" x14ac:dyDescent="0.25">
      <c r="A7427" s="3"/>
    </row>
    <row r="7428" spans="1:1" x14ac:dyDescent="0.25">
      <c r="A7428" s="3"/>
    </row>
    <row r="7429" spans="1:1" x14ac:dyDescent="0.25">
      <c r="A7429" s="3"/>
    </row>
    <row r="7430" spans="1:1" x14ac:dyDescent="0.25">
      <c r="A7430" s="3"/>
    </row>
    <row r="7431" spans="1:1" x14ac:dyDescent="0.25">
      <c r="A7431" s="3"/>
    </row>
    <row r="7432" spans="1:1" x14ac:dyDescent="0.25">
      <c r="A7432" s="3"/>
    </row>
    <row r="7433" spans="1:1" x14ac:dyDescent="0.25">
      <c r="A7433" s="3"/>
    </row>
    <row r="7434" spans="1:1" x14ac:dyDescent="0.25">
      <c r="A7434" s="3"/>
    </row>
    <row r="7435" spans="1:1" x14ac:dyDescent="0.25">
      <c r="A7435" s="3"/>
    </row>
    <row r="7436" spans="1:1" x14ac:dyDescent="0.25">
      <c r="A7436" s="3"/>
    </row>
    <row r="7437" spans="1:1" x14ac:dyDescent="0.25">
      <c r="A7437" s="3"/>
    </row>
    <row r="7438" spans="1:1" x14ac:dyDescent="0.25">
      <c r="A7438" s="3"/>
    </row>
    <row r="7439" spans="1:1" x14ac:dyDescent="0.25">
      <c r="A7439" s="3"/>
    </row>
    <row r="7440" spans="1:1" x14ac:dyDescent="0.25">
      <c r="A7440" s="3"/>
    </row>
    <row r="7441" spans="1:1" x14ac:dyDescent="0.25">
      <c r="A7441" s="3"/>
    </row>
    <row r="7442" spans="1:1" x14ac:dyDescent="0.25">
      <c r="A7442" s="3"/>
    </row>
    <row r="7443" spans="1:1" x14ac:dyDescent="0.25">
      <c r="A7443" s="3"/>
    </row>
    <row r="7444" spans="1:1" x14ac:dyDescent="0.25">
      <c r="A7444" s="3"/>
    </row>
    <row r="7445" spans="1:1" x14ac:dyDescent="0.25">
      <c r="A7445" s="3"/>
    </row>
    <row r="7446" spans="1:1" x14ac:dyDescent="0.25">
      <c r="A7446" s="3"/>
    </row>
    <row r="7447" spans="1:1" x14ac:dyDescent="0.25">
      <c r="A7447" s="3"/>
    </row>
    <row r="7448" spans="1:1" x14ac:dyDescent="0.25">
      <c r="A7448" s="3"/>
    </row>
    <row r="7449" spans="1:1" x14ac:dyDescent="0.25">
      <c r="A7449" s="3"/>
    </row>
    <row r="7450" spans="1:1" x14ac:dyDescent="0.25">
      <c r="A7450" s="3"/>
    </row>
    <row r="7451" spans="1:1" x14ac:dyDescent="0.25">
      <c r="A7451" s="3"/>
    </row>
    <row r="7452" spans="1:1" x14ac:dyDescent="0.25">
      <c r="A7452" s="3"/>
    </row>
    <row r="7453" spans="1:1" x14ac:dyDescent="0.25">
      <c r="A7453" s="3"/>
    </row>
    <row r="7454" spans="1:1" x14ac:dyDescent="0.25">
      <c r="A7454" s="3"/>
    </row>
    <row r="7455" spans="1:1" x14ac:dyDescent="0.25">
      <c r="A7455" s="3"/>
    </row>
    <row r="7456" spans="1:1" x14ac:dyDescent="0.25">
      <c r="A7456" s="3"/>
    </row>
    <row r="7457" spans="1:1" x14ac:dyDescent="0.25">
      <c r="A7457" s="3"/>
    </row>
    <row r="7458" spans="1:1" x14ac:dyDescent="0.25">
      <c r="A7458" s="3"/>
    </row>
    <row r="7459" spans="1:1" x14ac:dyDescent="0.25">
      <c r="A7459" s="3"/>
    </row>
    <row r="7460" spans="1:1" x14ac:dyDescent="0.25">
      <c r="A7460" s="3"/>
    </row>
    <row r="7461" spans="1:1" x14ac:dyDescent="0.25">
      <c r="A7461" s="3"/>
    </row>
    <row r="7462" spans="1:1" x14ac:dyDescent="0.25">
      <c r="A7462" s="3"/>
    </row>
    <row r="7463" spans="1:1" x14ac:dyDescent="0.25">
      <c r="A7463" s="3"/>
    </row>
    <row r="7464" spans="1:1" x14ac:dyDescent="0.25">
      <c r="A7464" s="3"/>
    </row>
    <row r="7465" spans="1:1" x14ac:dyDescent="0.25">
      <c r="A7465" s="3"/>
    </row>
    <row r="7466" spans="1:1" x14ac:dyDescent="0.25">
      <c r="A7466" s="3"/>
    </row>
    <row r="7467" spans="1:1" x14ac:dyDescent="0.25">
      <c r="A7467" s="3"/>
    </row>
    <row r="7468" spans="1:1" x14ac:dyDescent="0.25">
      <c r="A7468" s="3"/>
    </row>
    <row r="7469" spans="1:1" x14ac:dyDescent="0.25">
      <c r="A7469" s="3"/>
    </row>
    <row r="7470" spans="1:1" x14ac:dyDescent="0.25">
      <c r="A7470" s="3"/>
    </row>
    <row r="7471" spans="1:1" x14ac:dyDescent="0.25">
      <c r="A7471" s="3"/>
    </row>
    <row r="7472" spans="1:1" x14ac:dyDescent="0.25">
      <c r="A7472" s="3"/>
    </row>
    <row r="7473" spans="1:1" x14ac:dyDescent="0.25">
      <c r="A7473" s="3"/>
    </row>
    <row r="7474" spans="1:1" x14ac:dyDescent="0.25">
      <c r="A7474" s="3"/>
    </row>
    <row r="7475" spans="1:1" x14ac:dyDescent="0.25">
      <c r="A7475" s="3"/>
    </row>
    <row r="7476" spans="1:1" x14ac:dyDescent="0.25">
      <c r="A7476" s="3"/>
    </row>
    <row r="7477" spans="1:1" x14ac:dyDescent="0.25">
      <c r="A7477" s="3"/>
    </row>
    <row r="7478" spans="1:1" x14ac:dyDescent="0.25">
      <c r="A7478" s="3"/>
    </row>
    <row r="7479" spans="1:1" x14ac:dyDescent="0.25">
      <c r="A7479" s="3"/>
    </row>
    <row r="7480" spans="1:1" x14ac:dyDescent="0.25">
      <c r="A7480" s="3"/>
    </row>
    <row r="7481" spans="1:1" x14ac:dyDescent="0.25">
      <c r="A7481" s="3"/>
    </row>
    <row r="7482" spans="1:1" x14ac:dyDescent="0.25">
      <c r="A7482" s="3"/>
    </row>
    <row r="7483" spans="1:1" x14ac:dyDescent="0.25">
      <c r="A7483" s="3"/>
    </row>
    <row r="7484" spans="1:1" x14ac:dyDescent="0.25">
      <c r="A7484" s="3"/>
    </row>
    <row r="7485" spans="1:1" x14ac:dyDescent="0.25">
      <c r="A7485" s="3"/>
    </row>
    <row r="7486" spans="1:1" x14ac:dyDescent="0.25">
      <c r="A7486" s="3"/>
    </row>
    <row r="7487" spans="1:1" x14ac:dyDescent="0.25">
      <c r="A7487" s="3"/>
    </row>
    <row r="7488" spans="1:1" x14ac:dyDescent="0.25">
      <c r="A7488" s="3"/>
    </row>
    <row r="7489" spans="1:1" x14ac:dyDescent="0.25">
      <c r="A7489" s="3"/>
    </row>
    <row r="7490" spans="1:1" x14ac:dyDescent="0.25">
      <c r="A7490" s="3"/>
    </row>
    <row r="7491" spans="1:1" x14ac:dyDescent="0.25">
      <c r="A7491" s="3"/>
    </row>
    <row r="7492" spans="1:1" x14ac:dyDescent="0.25">
      <c r="A7492" s="3"/>
    </row>
    <row r="7493" spans="1:1" x14ac:dyDescent="0.25">
      <c r="A7493" s="3"/>
    </row>
    <row r="7494" spans="1:1" x14ac:dyDescent="0.25">
      <c r="A7494" s="3"/>
    </row>
    <row r="7495" spans="1:1" x14ac:dyDescent="0.25">
      <c r="A7495" s="3"/>
    </row>
    <row r="7496" spans="1:1" x14ac:dyDescent="0.25">
      <c r="A7496" s="3"/>
    </row>
    <row r="7497" spans="1:1" x14ac:dyDescent="0.25">
      <c r="A7497" s="3"/>
    </row>
    <row r="7498" spans="1:1" x14ac:dyDescent="0.25">
      <c r="A7498" s="3"/>
    </row>
    <row r="7499" spans="1:1" x14ac:dyDescent="0.25">
      <c r="A7499" s="3"/>
    </row>
    <row r="7500" spans="1:1" x14ac:dyDescent="0.25">
      <c r="A7500" s="3"/>
    </row>
    <row r="7501" spans="1:1" x14ac:dyDescent="0.25">
      <c r="A7501" s="3"/>
    </row>
    <row r="7502" spans="1:1" x14ac:dyDescent="0.25">
      <c r="A7502" s="3"/>
    </row>
    <row r="7503" spans="1:1" x14ac:dyDescent="0.25">
      <c r="A7503" s="3"/>
    </row>
    <row r="7504" spans="1:1" x14ac:dyDescent="0.25">
      <c r="A7504" s="3"/>
    </row>
    <row r="7505" spans="1:1" x14ac:dyDescent="0.25">
      <c r="A7505" s="3"/>
    </row>
    <row r="7506" spans="1:1" x14ac:dyDescent="0.25">
      <c r="A7506" s="3"/>
    </row>
    <row r="7507" spans="1:1" x14ac:dyDescent="0.25">
      <c r="A7507" s="3"/>
    </row>
    <row r="7508" spans="1:1" x14ac:dyDescent="0.25">
      <c r="A7508" s="3"/>
    </row>
    <row r="7509" spans="1:1" x14ac:dyDescent="0.25">
      <c r="A7509" s="3"/>
    </row>
    <row r="7510" spans="1:1" x14ac:dyDescent="0.25">
      <c r="A7510" s="3"/>
    </row>
    <row r="7511" spans="1:1" x14ac:dyDescent="0.25">
      <c r="A7511" s="3"/>
    </row>
    <row r="7512" spans="1:1" x14ac:dyDescent="0.25">
      <c r="A7512" s="3"/>
    </row>
    <row r="7513" spans="1:1" x14ac:dyDescent="0.25">
      <c r="A7513" s="3"/>
    </row>
    <row r="7514" spans="1:1" x14ac:dyDescent="0.25">
      <c r="A7514" s="3"/>
    </row>
    <row r="7515" spans="1:1" x14ac:dyDescent="0.25">
      <c r="A7515" s="3"/>
    </row>
    <row r="7516" spans="1:1" x14ac:dyDescent="0.25">
      <c r="A7516" s="3"/>
    </row>
    <row r="7517" spans="1:1" x14ac:dyDescent="0.25">
      <c r="A7517" s="3"/>
    </row>
    <row r="7518" spans="1:1" x14ac:dyDescent="0.25">
      <c r="A7518" s="3"/>
    </row>
    <row r="7519" spans="1:1" x14ac:dyDescent="0.25">
      <c r="A7519" s="3"/>
    </row>
    <row r="7520" spans="1:1" x14ac:dyDescent="0.25">
      <c r="A7520" s="3"/>
    </row>
    <row r="7521" spans="1:1" x14ac:dyDescent="0.25">
      <c r="A7521" s="3"/>
    </row>
    <row r="7522" spans="1:1" x14ac:dyDescent="0.25">
      <c r="A7522" s="3"/>
    </row>
    <row r="7523" spans="1:1" x14ac:dyDescent="0.25">
      <c r="A7523" s="3"/>
    </row>
    <row r="7524" spans="1:1" x14ac:dyDescent="0.25">
      <c r="A7524" s="3"/>
    </row>
    <row r="7525" spans="1:1" x14ac:dyDescent="0.25">
      <c r="A7525" s="3"/>
    </row>
    <row r="7526" spans="1:1" x14ac:dyDescent="0.25">
      <c r="A7526" s="3"/>
    </row>
    <row r="7527" spans="1:1" x14ac:dyDescent="0.25">
      <c r="A7527" s="3"/>
    </row>
    <row r="7528" spans="1:1" x14ac:dyDescent="0.25">
      <c r="A7528" s="3"/>
    </row>
    <row r="7529" spans="1:1" x14ac:dyDescent="0.25">
      <c r="A7529" s="3"/>
    </row>
    <row r="7530" spans="1:1" x14ac:dyDescent="0.25">
      <c r="A7530" s="3"/>
    </row>
    <row r="7531" spans="1:1" x14ac:dyDescent="0.25">
      <c r="A7531" s="3"/>
    </row>
    <row r="7532" spans="1:1" x14ac:dyDescent="0.25">
      <c r="A7532" s="3"/>
    </row>
    <row r="7533" spans="1:1" x14ac:dyDescent="0.25">
      <c r="A7533" s="3"/>
    </row>
    <row r="7534" spans="1:1" x14ac:dyDescent="0.25">
      <c r="A7534" s="3"/>
    </row>
    <row r="7535" spans="1:1" x14ac:dyDescent="0.25">
      <c r="A7535" s="3"/>
    </row>
    <row r="7536" spans="1:1" x14ac:dyDescent="0.25">
      <c r="A7536" s="3"/>
    </row>
    <row r="7537" spans="1:1" x14ac:dyDescent="0.25">
      <c r="A7537" s="3"/>
    </row>
    <row r="7538" spans="1:1" x14ac:dyDescent="0.25">
      <c r="A7538" s="3"/>
    </row>
    <row r="7539" spans="1:1" x14ac:dyDescent="0.25">
      <c r="A7539" s="3"/>
    </row>
    <row r="7540" spans="1:1" x14ac:dyDescent="0.25">
      <c r="A7540" s="3"/>
    </row>
    <row r="7541" spans="1:1" x14ac:dyDescent="0.25">
      <c r="A7541" s="3"/>
    </row>
    <row r="7542" spans="1:1" x14ac:dyDescent="0.25">
      <c r="A7542" s="3"/>
    </row>
    <row r="7543" spans="1:1" x14ac:dyDescent="0.25">
      <c r="A7543" s="3"/>
    </row>
    <row r="7544" spans="1:1" x14ac:dyDescent="0.25">
      <c r="A7544" s="3"/>
    </row>
    <row r="7545" spans="1:1" x14ac:dyDescent="0.25">
      <c r="A7545" s="3"/>
    </row>
    <row r="7546" spans="1:1" x14ac:dyDescent="0.25">
      <c r="A7546" s="3"/>
    </row>
    <row r="7547" spans="1:1" x14ac:dyDescent="0.25">
      <c r="A7547" s="3"/>
    </row>
    <row r="7548" spans="1:1" x14ac:dyDescent="0.25">
      <c r="A7548" s="3"/>
    </row>
    <row r="7549" spans="1:1" x14ac:dyDescent="0.25">
      <c r="A7549" s="3"/>
    </row>
    <row r="7550" spans="1:1" x14ac:dyDescent="0.25">
      <c r="A7550" s="3"/>
    </row>
    <row r="7551" spans="1:1" x14ac:dyDescent="0.25">
      <c r="A7551" s="3"/>
    </row>
    <row r="7552" spans="1:1" x14ac:dyDescent="0.25">
      <c r="A7552" s="3"/>
    </row>
    <row r="7553" spans="1:1" x14ac:dyDescent="0.25">
      <c r="A7553" s="3"/>
    </row>
    <row r="7554" spans="1:1" x14ac:dyDescent="0.25">
      <c r="A7554" s="3"/>
    </row>
    <row r="7555" spans="1:1" x14ac:dyDescent="0.25">
      <c r="A7555" s="3"/>
    </row>
    <row r="7556" spans="1:1" x14ac:dyDescent="0.25">
      <c r="A7556" s="3"/>
    </row>
    <row r="7557" spans="1:1" x14ac:dyDescent="0.25">
      <c r="A7557" s="3"/>
    </row>
    <row r="7558" spans="1:1" x14ac:dyDescent="0.25">
      <c r="A7558" s="3"/>
    </row>
    <row r="7559" spans="1:1" x14ac:dyDescent="0.25">
      <c r="A7559" s="3"/>
    </row>
    <row r="7560" spans="1:1" x14ac:dyDescent="0.25">
      <c r="A7560" s="3"/>
    </row>
    <row r="7561" spans="1:1" x14ac:dyDescent="0.25">
      <c r="A7561" s="3"/>
    </row>
    <row r="7562" spans="1:1" x14ac:dyDescent="0.25">
      <c r="A7562" s="3"/>
    </row>
    <row r="7563" spans="1:1" x14ac:dyDescent="0.25">
      <c r="A7563" s="3"/>
    </row>
    <row r="7564" spans="1:1" x14ac:dyDescent="0.25">
      <c r="A7564" s="3"/>
    </row>
    <row r="7565" spans="1:1" x14ac:dyDescent="0.25">
      <c r="A7565" s="3"/>
    </row>
    <row r="7566" spans="1:1" x14ac:dyDescent="0.25">
      <c r="A7566" s="3"/>
    </row>
    <row r="7567" spans="1:1" x14ac:dyDescent="0.25">
      <c r="A7567" s="3"/>
    </row>
    <row r="7568" spans="1:1" x14ac:dyDescent="0.25">
      <c r="A7568" s="3"/>
    </row>
    <row r="7569" spans="1:1" x14ac:dyDescent="0.25">
      <c r="A7569" s="3"/>
    </row>
    <row r="7570" spans="1:1" x14ac:dyDescent="0.25">
      <c r="A7570" s="3"/>
    </row>
    <row r="7571" spans="1:1" x14ac:dyDescent="0.25">
      <c r="A7571" s="3"/>
    </row>
    <row r="7572" spans="1:1" x14ac:dyDescent="0.25">
      <c r="A7572" s="3"/>
    </row>
    <row r="7573" spans="1:1" x14ac:dyDescent="0.25">
      <c r="A7573" s="3"/>
    </row>
    <row r="7574" spans="1:1" x14ac:dyDescent="0.25">
      <c r="A7574" s="3"/>
    </row>
    <row r="7575" spans="1:1" x14ac:dyDescent="0.25">
      <c r="A7575" s="3"/>
    </row>
    <row r="7576" spans="1:1" x14ac:dyDescent="0.25">
      <c r="A7576" s="3"/>
    </row>
    <row r="7577" spans="1:1" x14ac:dyDescent="0.25">
      <c r="A7577" s="3"/>
    </row>
    <row r="7578" spans="1:1" x14ac:dyDescent="0.25">
      <c r="A7578" s="3"/>
    </row>
    <row r="7579" spans="1:1" x14ac:dyDescent="0.25">
      <c r="A7579" s="3"/>
    </row>
    <row r="7580" spans="1:1" x14ac:dyDescent="0.25">
      <c r="A7580" s="3"/>
    </row>
    <row r="7581" spans="1:1" x14ac:dyDescent="0.25">
      <c r="A7581" s="3"/>
    </row>
    <row r="7582" spans="1:1" x14ac:dyDescent="0.25">
      <c r="A7582" s="3"/>
    </row>
    <row r="7583" spans="1:1" x14ac:dyDescent="0.25">
      <c r="A7583" s="3"/>
    </row>
    <row r="7584" spans="1:1" x14ac:dyDescent="0.25">
      <c r="A7584" s="3"/>
    </row>
    <row r="7585" spans="1:1" x14ac:dyDescent="0.25">
      <c r="A7585" s="3"/>
    </row>
    <row r="7586" spans="1:1" x14ac:dyDescent="0.25">
      <c r="A7586" s="3"/>
    </row>
    <row r="7587" spans="1:1" x14ac:dyDescent="0.25">
      <c r="A7587" s="3"/>
    </row>
    <row r="7588" spans="1:1" x14ac:dyDescent="0.25">
      <c r="A7588" s="3"/>
    </row>
    <row r="7589" spans="1:1" x14ac:dyDescent="0.25">
      <c r="A7589" s="3"/>
    </row>
    <row r="7590" spans="1:1" x14ac:dyDescent="0.25">
      <c r="A7590" s="3"/>
    </row>
    <row r="7591" spans="1:1" x14ac:dyDescent="0.25">
      <c r="A7591" s="3"/>
    </row>
    <row r="7592" spans="1:1" x14ac:dyDescent="0.25">
      <c r="A7592" s="3"/>
    </row>
    <row r="7593" spans="1:1" x14ac:dyDescent="0.25">
      <c r="A7593" s="3"/>
    </row>
    <row r="7594" spans="1:1" x14ac:dyDescent="0.25">
      <c r="A7594" s="3"/>
    </row>
    <row r="7595" spans="1:1" x14ac:dyDescent="0.25">
      <c r="A7595" s="3"/>
    </row>
    <row r="7596" spans="1:1" x14ac:dyDescent="0.25">
      <c r="A7596" s="3"/>
    </row>
    <row r="7597" spans="1:1" x14ac:dyDescent="0.25">
      <c r="A7597" s="3"/>
    </row>
    <row r="7598" spans="1:1" x14ac:dyDescent="0.25">
      <c r="A7598" s="3"/>
    </row>
    <row r="7599" spans="1:1" x14ac:dyDescent="0.25">
      <c r="A7599" s="3"/>
    </row>
    <row r="7600" spans="1:1" x14ac:dyDescent="0.25">
      <c r="A7600" s="3"/>
    </row>
    <row r="7601" spans="1:1" x14ac:dyDescent="0.25">
      <c r="A7601" s="3"/>
    </row>
    <row r="7602" spans="1:1" x14ac:dyDescent="0.25">
      <c r="A7602" s="3"/>
    </row>
    <row r="7603" spans="1:1" x14ac:dyDescent="0.25">
      <c r="A7603" s="3"/>
    </row>
    <row r="7604" spans="1:1" x14ac:dyDescent="0.25">
      <c r="A7604" s="3"/>
    </row>
    <row r="7605" spans="1:1" x14ac:dyDescent="0.25">
      <c r="A7605" s="3"/>
    </row>
    <row r="7606" spans="1:1" x14ac:dyDescent="0.25">
      <c r="A7606" s="3"/>
    </row>
    <row r="7607" spans="1:1" x14ac:dyDescent="0.25">
      <c r="A7607" s="3"/>
    </row>
    <row r="7608" spans="1:1" x14ac:dyDescent="0.25">
      <c r="A7608" s="3"/>
    </row>
    <row r="7609" spans="1:1" x14ac:dyDescent="0.25">
      <c r="A7609" s="3"/>
    </row>
    <row r="7610" spans="1:1" x14ac:dyDescent="0.25">
      <c r="A7610" s="3"/>
    </row>
    <row r="7611" spans="1:1" x14ac:dyDescent="0.25">
      <c r="A7611" s="3"/>
    </row>
    <row r="7612" spans="1:1" x14ac:dyDescent="0.25">
      <c r="A7612" s="3"/>
    </row>
    <row r="7613" spans="1:1" x14ac:dyDescent="0.25">
      <c r="A7613" s="3"/>
    </row>
    <row r="7614" spans="1:1" x14ac:dyDescent="0.25">
      <c r="A7614" s="3"/>
    </row>
    <row r="7615" spans="1:1" x14ac:dyDescent="0.25">
      <c r="A7615" s="3"/>
    </row>
    <row r="7616" spans="1:1" x14ac:dyDescent="0.25">
      <c r="A7616" s="3"/>
    </row>
    <row r="7617" spans="1:1" x14ac:dyDescent="0.25">
      <c r="A7617" s="3"/>
    </row>
    <row r="7618" spans="1:1" x14ac:dyDescent="0.25">
      <c r="A7618" s="3"/>
    </row>
    <row r="7619" spans="1:1" x14ac:dyDescent="0.25">
      <c r="A7619" s="3"/>
    </row>
    <row r="7620" spans="1:1" x14ac:dyDescent="0.25">
      <c r="A7620" s="3"/>
    </row>
    <row r="7621" spans="1:1" x14ac:dyDescent="0.25">
      <c r="A7621" s="3"/>
    </row>
    <row r="7622" spans="1:1" x14ac:dyDescent="0.25">
      <c r="A7622" s="3"/>
    </row>
    <row r="7623" spans="1:1" x14ac:dyDescent="0.25">
      <c r="A7623" s="3"/>
    </row>
    <row r="7624" spans="1:1" x14ac:dyDescent="0.25">
      <c r="A7624" s="3"/>
    </row>
    <row r="7625" spans="1:1" x14ac:dyDescent="0.25">
      <c r="A7625" s="3"/>
    </row>
    <row r="7626" spans="1:1" x14ac:dyDescent="0.25">
      <c r="A7626" s="3"/>
    </row>
    <row r="7627" spans="1:1" x14ac:dyDescent="0.25">
      <c r="A7627" s="3"/>
    </row>
    <row r="7628" spans="1:1" x14ac:dyDescent="0.25">
      <c r="A7628" s="3"/>
    </row>
    <row r="7629" spans="1:1" x14ac:dyDescent="0.25">
      <c r="A7629" s="3"/>
    </row>
    <row r="7630" spans="1:1" x14ac:dyDescent="0.25">
      <c r="A7630" s="3"/>
    </row>
    <row r="7631" spans="1:1" x14ac:dyDescent="0.25">
      <c r="A7631" s="3"/>
    </row>
    <row r="7632" spans="1:1" x14ac:dyDescent="0.25">
      <c r="A7632" s="3"/>
    </row>
    <row r="7633" spans="1:1" x14ac:dyDescent="0.25">
      <c r="A7633" s="3"/>
    </row>
    <row r="7634" spans="1:1" x14ac:dyDescent="0.25">
      <c r="A7634" s="3"/>
    </row>
    <row r="7635" spans="1:1" x14ac:dyDescent="0.25">
      <c r="A7635" s="3"/>
    </row>
    <row r="7636" spans="1:1" x14ac:dyDescent="0.25">
      <c r="A7636" s="3"/>
    </row>
    <row r="7637" spans="1:1" x14ac:dyDescent="0.25">
      <c r="A7637" s="3"/>
    </row>
    <row r="7638" spans="1:1" x14ac:dyDescent="0.25">
      <c r="A7638" s="3"/>
    </row>
    <row r="7639" spans="1:1" x14ac:dyDescent="0.25">
      <c r="A7639" s="3"/>
    </row>
    <row r="7640" spans="1:1" x14ac:dyDescent="0.25">
      <c r="A7640" s="3"/>
    </row>
    <row r="7641" spans="1:1" x14ac:dyDescent="0.25">
      <c r="A7641" s="3"/>
    </row>
    <row r="7642" spans="1:1" x14ac:dyDescent="0.25">
      <c r="A7642" s="3"/>
    </row>
    <row r="7643" spans="1:1" x14ac:dyDescent="0.25">
      <c r="A7643" s="3"/>
    </row>
    <row r="7644" spans="1:1" x14ac:dyDescent="0.25">
      <c r="A7644" s="3"/>
    </row>
    <row r="7645" spans="1:1" x14ac:dyDescent="0.25">
      <c r="A7645" s="3"/>
    </row>
    <row r="7646" spans="1:1" x14ac:dyDescent="0.25">
      <c r="A7646" s="3"/>
    </row>
    <row r="7647" spans="1:1" x14ac:dyDescent="0.25">
      <c r="A7647" s="3"/>
    </row>
    <row r="7648" spans="1:1" x14ac:dyDescent="0.25">
      <c r="A7648" s="3"/>
    </row>
    <row r="7649" spans="1:1" x14ac:dyDescent="0.25">
      <c r="A7649" s="3"/>
    </row>
    <row r="7650" spans="1:1" x14ac:dyDescent="0.25">
      <c r="A7650" s="3"/>
    </row>
    <row r="7651" spans="1:1" x14ac:dyDescent="0.25">
      <c r="A7651" s="3"/>
    </row>
    <row r="7652" spans="1:1" x14ac:dyDescent="0.25">
      <c r="A7652" s="3"/>
    </row>
    <row r="7653" spans="1:1" x14ac:dyDescent="0.25">
      <c r="A7653" s="3"/>
    </row>
    <row r="7654" spans="1:1" x14ac:dyDescent="0.25">
      <c r="A7654" s="3"/>
    </row>
    <row r="7655" spans="1:1" x14ac:dyDescent="0.25">
      <c r="A7655" s="3"/>
    </row>
    <row r="7656" spans="1:1" x14ac:dyDescent="0.25">
      <c r="A7656" s="3"/>
    </row>
    <row r="7657" spans="1:1" x14ac:dyDescent="0.25">
      <c r="A7657" s="3"/>
    </row>
    <row r="7658" spans="1:1" x14ac:dyDescent="0.25">
      <c r="A7658" s="3"/>
    </row>
    <row r="7659" spans="1:1" x14ac:dyDescent="0.25">
      <c r="A7659" s="3"/>
    </row>
    <row r="7660" spans="1:1" x14ac:dyDescent="0.25">
      <c r="A7660" s="3"/>
    </row>
    <row r="7661" spans="1:1" x14ac:dyDescent="0.25">
      <c r="A7661" s="3"/>
    </row>
    <row r="7662" spans="1:1" x14ac:dyDescent="0.25">
      <c r="A7662" s="3"/>
    </row>
    <row r="7663" spans="1:1" x14ac:dyDescent="0.25">
      <c r="A7663" s="3"/>
    </row>
    <row r="7664" spans="1:1" x14ac:dyDescent="0.25">
      <c r="A7664" s="3"/>
    </row>
    <row r="7665" spans="1:1" x14ac:dyDescent="0.25">
      <c r="A7665" s="3"/>
    </row>
    <row r="7666" spans="1:1" x14ac:dyDescent="0.25">
      <c r="A7666" s="3"/>
    </row>
    <row r="7667" spans="1:1" x14ac:dyDescent="0.25">
      <c r="A7667" s="3"/>
    </row>
    <row r="7668" spans="1:1" x14ac:dyDescent="0.25">
      <c r="A7668" s="3"/>
    </row>
    <row r="7669" spans="1:1" x14ac:dyDescent="0.25">
      <c r="A7669" s="3"/>
    </row>
    <row r="7670" spans="1:1" x14ac:dyDescent="0.25">
      <c r="A7670" s="3"/>
    </row>
    <row r="7671" spans="1:1" x14ac:dyDescent="0.25">
      <c r="A7671" s="3"/>
    </row>
    <row r="7672" spans="1:1" x14ac:dyDescent="0.25">
      <c r="A7672" s="3"/>
    </row>
    <row r="7673" spans="1:1" x14ac:dyDescent="0.25">
      <c r="A7673" s="3"/>
    </row>
    <row r="7674" spans="1:1" x14ac:dyDescent="0.25">
      <c r="A7674" s="3"/>
    </row>
    <row r="7675" spans="1:1" x14ac:dyDescent="0.25">
      <c r="A7675" s="3"/>
    </row>
    <row r="7676" spans="1:1" x14ac:dyDescent="0.25">
      <c r="A7676" s="3"/>
    </row>
    <row r="7677" spans="1:1" x14ac:dyDescent="0.25">
      <c r="A7677" s="3"/>
    </row>
    <row r="7678" spans="1:1" x14ac:dyDescent="0.25">
      <c r="A7678" s="3"/>
    </row>
    <row r="7679" spans="1:1" x14ac:dyDescent="0.25">
      <c r="A7679" s="3"/>
    </row>
    <row r="7680" spans="1:1" x14ac:dyDescent="0.25">
      <c r="A7680" s="3"/>
    </row>
    <row r="7681" spans="1:1" x14ac:dyDescent="0.25">
      <c r="A7681" s="3"/>
    </row>
    <row r="7682" spans="1:1" x14ac:dyDescent="0.25">
      <c r="A7682" s="3"/>
    </row>
    <row r="7683" spans="1:1" x14ac:dyDescent="0.25">
      <c r="A7683" s="3"/>
    </row>
    <row r="7684" spans="1:1" x14ac:dyDescent="0.25">
      <c r="A7684" s="3"/>
    </row>
    <row r="7685" spans="1:1" x14ac:dyDescent="0.25">
      <c r="A7685" s="3"/>
    </row>
    <row r="7686" spans="1:1" x14ac:dyDescent="0.25">
      <c r="A7686" s="3"/>
    </row>
    <row r="7687" spans="1:1" x14ac:dyDescent="0.25">
      <c r="A7687" s="3"/>
    </row>
    <row r="7688" spans="1:1" x14ac:dyDescent="0.25">
      <c r="A7688" s="3"/>
    </row>
    <row r="7689" spans="1:1" x14ac:dyDescent="0.25">
      <c r="A7689" s="3"/>
    </row>
    <row r="7690" spans="1:1" x14ac:dyDescent="0.25">
      <c r="A7690" s="3"/>
    </row>
    <row r="7691" spans="1:1" x14ac:dyDescent="0.25">
      <c r="A7691" s="3"/>
    </row>
    <row r="7692" spans="1:1" x14ac:dyDescent="0.25">
      <c r="A7692" s="3"/>
    </row>
    <row r="7693" spans="1:1" x14ac:dyDescent="0.25">
      <c r="A7693" s="3"/>
    </row>
    <row r="7694" spans="1:1" x14ac:dyDescent="0.25">
      <c r="A7694" s="3"/>
    </row>
    <row r="7695" spans="1:1" x14ac:dyDescent="0.25">
      <c r="A7695" s="3"/>
    </row>
    <row r="7696" spans="1:1" x14ac:dyDescent="0.25">
      <c r="A7696" s="3"/>
    </row>
    <row r="7697" spans="1:1" x14ac:dyDescent="0.25">
      <c r="A7697" s="3"/>
    </row>
    <row r="7698" spans="1:1" x14ac:dyDescent="0.25">
      <c r="A7698" s="3"/>
    </row>
    <row r="7699" spans="1:1" x14ac:dyDescent="0.25">
      <c r="A7699" s="3"/>
    </row>
    <row r="7700" spans="1:1" x14ac:dyDescent="0.25">
      <c r="A7700" s="3"/>
    </row>
    <row r="7701" spans="1:1" x14ac:dyDescent="0.25">
      <c r="A7701" s="3"/>
    </row>
    <row r="7702" spans="1:1" x14ac:dyDescent="0.25">
      <c r="A7702" s="3"/>
    </row>
    <row r="7703" spans="1:1" x14ac:dyDescent="0.25">
      <c r="A7703" s="3"/>
    </row>
    <row r="7704" spans="1:1" x14ac:dyDescent="0.25">
      <c r="A7704" s="3"/>
    </row>
    <row r="7705" spans="1:1" x14ac:dyDescent="0.25">
      <c r="A7705" s="3"/>
    </row>
    <row r="7706" spans="1:1" x14ac:dyDescent="0.25">
      <c r="A7706" s="3"/>
    </row>
    <row r="7707" spans="1:1" x14ac:dyDescent="0.25">
      <c r="A7707" s="3"/>
    </row>
    <row r="7708" spans="1:1" x14ac:dyDescent="0.25">
      <c r="A7708" s="3"/>
    </row>
    <row r="7709" spans="1:1" x14ac:dyDescent="0.25">
      <c r="A7709" s="3"/>
    </row>
    <row r="7710" spans="1:1" x14ac:dyDescent="0.25">
      <c r="A7710" s="3"/>
    </row>
    <row r="7711" spans="1:1" x14ac:dyDescent="0.25">
      <c r="A7711" s="3"/>
    </row>
    <row r="7712" spans="1:1" x14ac:dyDescent="0.25">
      <c r="A7712" s="3"/>
    </row>
    <row r="7713" spans="1:1" x14ac:dyDescent="0.25">
      <c r="A7713" s="3"/>
    </row>
    <row r="7714" spans="1:1" x14ac:dyDescent="0.25">
      <c r="A7714" s="3"/>
    </row>
    <row r="7715" spans="1:1" x14ac:dyDescent="0.25">
      <c r="A7715" s="3"/>
    </row>
    <row r="7716" spans="1:1" x14ac:dyDescent="0.25">
      <c r="A7716" s="3"/>
    </row>
    <row r="7717" spans="1:1" x14ac:dyDescent="0.25">
      <c r="A7717" s="3"/>
    </row>
    <row r="7718" spans="1:1" x14ac:dyDescent="0.25">
      <c r="A7718" s="3"/>
    </row>
    <row r="7719" spans="1:1" x14ac:dyDescent="0.25">
      <c r="A7719" s="3"/>
    </row>
    <row r="7720" spans="1:1" x14ac:dyDescent="0.25">
      <c r="A7720" s="3"/>
    </row>
    <row r="7721" spans="1:1" x14ac:dyDescent="0.25">
      <c r="A7721" s="3"/>
    </row>
    <row r="7722" spans="1:1" x14ac:dyDescent="0.25">
      <c r="A7722" s="3"/>
    </row>
    <row r="7723" spans="1:1" x14ac:dyDescent="0.25">
      <c r="A7723" s="3"/>
    </row>
    <row r="7724" spans="1:1" x14ac:dyDescent="0.25">
      <c r="A7724" s="3"/>
    </row>
    <row r="7725" spans="1:1" x14ac:dyDescent="0.25">
      <c r="A7725" s="3"/>
    </row>
    <row r="7726" spans="1:1" x14ac:dyDescent="0.25">
      <c r="A7726" s="3"/>
    </row>
    <row r="7727" spans="1:1" x14ac:dyDescent="0.25">
      <c r="A7727" s="3"/>
    </row>
    <row r="7728" spans="1:1" x14ac:dyDescent="0.25">
      <c r="A7728" s="3"/>
    </row>
    <row r="7729" spans="1:1" x14ac:dyDescent="0.25">
      <c r="A7729" s="3"/>
    </row>
    <row r="7730" spans="1:1" x14ac:dyDescent="0.25">
      <c r="A7730" s="3"/>
    </row>
    <row r="7731" spans="1:1" x14ac:dyDescent="0.25">
      <c r="A7731" s="3"/>
    </row>
    <row r="7732" spans="1:1" x14ac:dyDescent="0.25">
      <c r="A7732" s="3"/>
    </row>
    <row r="7733" spans="1:1" x14ac:dyDescent="0.25">
      <c r="A7733" s="3"/>
    </row>
    <row r="7734" spans="1:1" x14ac:dyDescent="0.25">
      <c r="A7734" s="3"/>
    </row>
    <row r="7735" spans="1:1" x14ac:dyDescent="0.25">
      <c r="A7735" s="3"/>
    </row>
    <row r="7736" spans="1:1" x14ac:dyDescent="0.25">
      <c r="A7736" s="3"/>
    </row>
    <row r="7737" spans="1:1" x14ac:dyDescent="0.25">
      <c r="A7737" s="3"/>
    </row>
    <row r="7738" spans="1:1" x14ac:dyDescent="0.25">
      <c r="A7738" s="3"/>
    </row>
    <row r="7739" spans="1:1" x14ac:dyDescent="0.25">
      <c r="A7739" s="3"/>
    </row>
    <row r="7740" spans="1:1" x14ac:dyDescent="0.25">
      <c r="A7740" s="3"/>
    </row>
    <row r="7741" spans="1:1" x14ac:dyDescent="0.25">
      <c r="A7741" s="3"/>
    </row>
    <row r="7742" spans="1:1" x14ac:dyDescent="0.25">
      <c r="A7742" s="3"/>
    </row>
    <row r="7743" spans="1:1" x14ac:dyDescent="0.25">
      <c r="A7743" s="3"/>
    </row>
    <row r="7744" spans="1:1" x14ac:dyDescent="0.25">
      <c r="A7744" s="3"/>
    </row>
    <row r="7745" spans="1:1" x14ac:dyDescent="0.25">
      <c r="A7745" s="3"/>
    </row>
    <row r="7746" spans="1:1" x14ac:dyDescent="0.25">
      <c r="A7746" s="3"/>
    </row>
    <row r="7747" spans="1:1" x14ac:dyDescent="0.25">
      <c r="A7747" s="3"/>
    </row>
    <row r="7748" spans="1:1" x14ac:dyDescent="0.25">
      <c r="A7748" s="3"/>
    </row>
    <row r="7749" spans="1:1" x14ac:dyDescent="0.25">
      <c r="A7749" s="3"/>
    </row>
    <row r="7750" spans="1:1" x14ac:dyDescent="0.25">
      <c r="A7750" s="3"/>
    </row>
    <row r="7751" spans="1:1" x14ac:dyDescent="0.25">
      <c r="A7751" s="3"/>
    </row>
    <row r="7752" spans="1:1" x14ac:dyDescent="0.25">
      <c r="A7752" s="3"/>
    </row>
    <row r="7753" spans="1:1" x14ac:dyDescent="0.25">
      <c r="A7753" s="3"/>
    </row>
    <row r="7754" spans="1:1" x14ac:dyDescent="0.25">
      <c r="A7754" s="3"/>
    </row>
    <row r="7755" spans="1:1" x14ac:dyDescent="0.25">
      <c r="A7755" s="3"/>
    </row>
    <row r="7756" spans="1:1" x14ac:dyDescent="0.25">
      <c r="A7756" s="3"/>
    </row>
    <row r="7757" spans="1:1" x14ac:dyDescent="0.25">
      <c r="A7757" s="3"/>
    </row>
    <row r="7758" spans="1:1" x14ac:dyDescent="0.25">
      <c r="A7758" s="3"/>
    </row>
    <row r="7759" spans="1:1" x14ac:dyDescent="0.25">
      <c r="A7759" s="3"/>
    </row>
    <row r="7760" spans="1:1" x14ac:dyDescent="0.25">
      <c r="A7760" s="3"/>
    </row>
    <row r="7761" spans="1:1" x14ac:dyDescent="0.25">
      <c r="A7761" s="3"/>
    </row>
    <row r="7762" spans="1:1" x14ac:dyDescent="0.25">
      <c r="A7762" s="3"/>
    </row>
    <row r="7763" spans="1:1" x14ac:dyDescent="0.25">
      <c r="A7763" s="3"/>
    </row>
    <row r="7764" spans="1:1" x14ac:dyDescent="0.25">
      <c r="A7764" s="3"/>
    </row>
    <row r="7765" spans="1:1" x14ac:dyDescent="0.25">
      <c r="A7765" s="3"/>
    </row>
    <row r="7766" spans="1:1" x14ac:dyDescent="0.25">
      <c r="A7766" s="3"/>
    </row>
    <row r="7767" spans="1:1" x14ac:dyDescent="0.25">
      <c r="A7767" s="3"/>
    </row>
    <row r="7768" spans="1:1" x14ac:dyDescent="0.25">
      <c r="A7768" s="3"/>
    </row>
    <row r="7769" spans="1:1" x14ac:dyDescent="0.25">
      <c r="A7769" s="3"/>
    </row>
    <row r="7770" spans="1:1" x14ac:dyDescent="0.25">
      <c r="A7770" s="3"/>
    </row>
    <row r="7771" spans="1:1" x14ac:dyDescent="0.25">
      <c r="A7771" s="3"/>
    </row>
    <row r="7772" spans="1:1" x14ac:dyDescent="0.25">
      <c r="A7772" s="3"/>
    </row>
    <row r="7773" spans="1:1" x14ac:dyDescent="0.25">
      <c r="A7773" s="3"/>
    </row>
    <row r="7774" spans="1:1" x14ac:dyDescent="0.25">
      <c r="A7774" s="3"/>
    </row>
    <row r="7775" spans="1:1" x14ac:dyDescent="0.25">
      <c r="A7775" s="3"/>
    </row>
    <row r="7776" spans="1:1" x14ac:dyDescent="0.25">
      <c r="A7776" s="3"/>
    </row>
    <row r="7777" spans="1:1" x14ac:dyDescent="0.25">
      <c r="A7777" s="3"/>
    </row>
    <row r="7778" spans="1:1" x14ac:dyDescent="0.25">
      <c r="A7778" s="3"/>
    </row>
    <row r="7779" spans="1:1" x14ac:dyDescent="0.25">
      <c r="A7779" s="3"/>
    </row>
    <row r="7780" spans="1:1" x14ac:dyDescent="0.25">
      <c r="A7780" s="3"/>
    </row>
    <row r="7781" spans="1:1" x14ac:dyDescent="0.25">
      <c r="A7781" s="3"/>
    </row>
    <row r="7782" spans="1:1" x14ac:dyDescent="0.25">
      <c r="A7782" s="3"/>
    </row>
    <row r="7783" spans="1:1" x14ac:dyDescent="0.25">
      <c r="A7783" s="3"/>
    </row>
    <row r="7784" spans="1:1" x14ac:dyDescent="0.25">
      <c r="A7784" s="3"/>
    </row>
    <row r="7785" spans="1:1" x14ac:dyDescent="0.25">
      <c r="A7785" s="3"/>
    </row>
    <row r="7786" spans="1:1" x14ac:dyDescent="0.25">
      <c r="A7786" s="3"/>
    </row>
    <row r="7787" spans="1:1" x14ac:dyDescent="0.25">
      <c r="A7787" s="3"/>
    </row>
    <row r="7788" spans="1:1" x14ac:dyDescent="0.25">
      <c r="A7788" s="3"/>
    </row>
    <row r="7789" spans="1:1" x14ac:dyDescent="0.25">
      <c r="A7789" s="3"/>
    </row>
    <row r="7790" spans="1:1" x14ac:dyDescent="0.25">
      <c r="A7790" s="3"/>
    </row>
    <row r="7791" spans="1:1" x14ac:dyDescent="0.25">
      <c r="A7791" s="3"/>
    </row>
    <row r="7792" spans="1:1" x14ac:dyDescent="0.25">
      <c r="A7792" s="3"/>
    </row>
    <row r="7793" spans="1:1" x14ac:dyDescent="0.25">
      <c r="A7793" s="3"/>
    </row>
    <row r="7794" spans="1:1" x14ac:dyDescent="0.25">
      <c r="A7794" s="3"/>
    </row>
    <row r="7795" spans="1:1" x14ac:dyDescent="0.25">
      <c r="A7795" s="3"/>
    </row>
    <row r="7796" spans="1:1" x14ac:dyDescent="0.25">
      <c r="A7796" s="3"/>
    </row>
    <row r="7797" spans="1:1" x14ac:dyDescent="0.25">
      <c r="A7797" s="3"/>
    </row>
    <row r="7798" spans="1:1" x14ac:dyDescent="0.25">
      <c r="A7798" s="3"/>
    </row>
    <row r="7799" spans="1:1" x14ac:dyDescent="0.25">
      <c r="A7799" s="3"/>
    </row>
    <row r="7800" spans="1:1" x14ac:dyDescent="0.25">
      <c r="A7800" s="3"/>
    </row>
    <row r="7801" spans="1:1" x14ac:dyDescent="0.25">
      <c r="A7801" s="3"/>
    </row>
    <row r="7802" spans="1:1" x14ac:dyDescent="0.25">
      <c r="A7802" s="3"/>
    </row>
    <row r="7803" spans="1:1" x14ac:dyDescent="0.25">
      <c r="A7803" s="3"/>
    </row>
    <row r="7804" spans="1:1" x14ac:dyDescent="0.25">
      <c r="A7804" s="3"/>
    </row>
    <row r="7805" spans="1:1" x14ac:dyDescent="0.25">
      <c r="A7805" s="3"/>
    </row>
    <row r="7806" spans="1:1" x14ac:dyDescent="0.25">
      <c r="A7806" s="3"/>
    </row>
    <row r="7807" spans="1:1" x14ac:dyDescent="0.25">
      <c r="A7807" s="3"/>
    </row>
    <row r="7808" spans="1:1" x14ac:dyDescent="0.25">
      <c r="A7808" s="3"/>
    </row>
    <row r="7809" spans="1:1" x14ac:dyDescent="0.25">
      <c r="A7809" s="3"/>
    </row>
    <row r="7810" spans="1:1" x14ac:dyDescent="0.25">
      <c r="A7810" s="3"/>
    </row>
    <row r="7811" spans="1:1" x14ac:dyDescent="0.25">
      <c r="A7811" s="3"/>
    </row>
    <row r="7812" spans="1:1" x14ac:dyDescent="0.25">
      <c r="A7812" s="3"/>
    </row>
    <row r="7813" spans="1:1" x14ac:dyDescent="0.25">
      <c r="A7813" s="3"/>
    </row>
    <row r="7814" spans="1:1" x14ac:dyDescent="0.25">
      <c r="A7814" s="3"/>
    </row>
    <row r="7815" spans="1:1" x14ac:dyDescent="0.25">
      <c r="A7815" s="3"/>
    </row>
    <row r="7816" spans="1:1" x14ac:dyDescent="0.25">
      <c r="A7816" s="3"/>
    </row>
    <row r="7817" spans="1:1" x14ac:dyDescent="0.25">
      <c r="A7817" s="3"/>
    </row>
    <row r="7818" spans="1:1" x14ac:dyDescent="0.25">
      <c r="A7818" s="3"/>
    </row>
    <row r="7819" spans="1:1" x14ac:dyDescent="0.25">
      <c r="A7819" s="3"/>
    </row>
    <row r="7820" spans="1:1" x14ac:dyDescent="0.25">
      <c r="A7820" s="3"/>
    </row>
    <row r="7821" spans="1:1" x14ac:dyDescent="0.25">
      <c r="A7821" s="3"/>
    </row>
    <row r="7822" spans="1:1" x14ac:dyDescent="0.25">
      <c r="A7822" s="3"/>
    </row>
    <row r="7823" spans="1:1" x14ac:dyDescent="0.25">
      <c r="A7823" s="3"/>
    </row>
    <row r="7824" spans="1:1" x14ac:dyDescent="0.25">
      <c r="A7824" s="3"/>
    </row>
    <row r="7825" spans="1:1" x14ac:dyDescent="0.25">
      <c r="A7825" s="3"/>
    </row>
    <row r="7826" spans="1:1" x14ac:dyDescent="0.25">
      <c r="A7826" s="3"/>
    </row>
    <row r="7827" spans="1:1" x14ac:dyDescent="0.25">
      <c r="A7827" s="3"/>
    </row>
    <row r="7828" spans="1:1" x14ac:dyDescent="0.25">
      <c r="A7828" s="3"/>
    </row>
    <row r="7829" spans="1:1" x14ac:dyDescent="0.25">
      <c r="A7829" s="3"/>
    </row>
    <row r="7830" spans="1:1" x14ac:dyDescent="0.25">
      <c r="A7830" s="3"/>
    </row>
    <row r="7831" spans="1:1" x14ac:dyDescent="0.25">
      <c r="A7831" s="3"/>
    </row>
    <row r="7832" spans="1:1" x14ac:dyDescent="0.25">
      <c r="A7832" s="3"/>
    </row>
    <row r="7833" spans="1:1" x14ac:dyDescent="0.25">
      <c r="A7833" s="3"/>
    </row>
    <row r="7834" spans="1:1" x14ac:dyDescent="0.25">
      <c r="A7834" s="3"/>
    </row>
    <row r="7835" spans="1:1" x14ac:dyDescent="0.25">
      <c r="A7835" s="3"/>
    </row>
    <row r="7836" spans="1:1" x14ac:dyDescent="0.25">
      <c r="A7836" s="3"/>
    </row>
    <row r="7837" spans="1:1" x14ac:dyDescent="0.25">
      <c r="A7837" s="3"/>
    </row>
    <row r="7838" spans="1:1" x14ac:dyDescent="0.25">
      <c r="A7838" s="3"/>
    </row>
    <row r="7839" spans="1:1" x14ac:dyDescent="0.25">
      <c r="A7839" s="3"/>
    </row>
    <row r="7840" spans="1:1" x14ac:dyDescent="0.25">
      <c r="A7840" s="3"/>
    </row>
    <row r="7841" spans="1:1" x14ac:dyDescent="0.25">
      <c r="A7841" s="3"/>
    </row>
    <row r="7842" spans="1:1" x14ac:dyDescent="0.25">
      <c r="A7842" s="3"/>
    </row>
    <row r="7843" spans="1:1" x14ac:dyDescent="0.25">
      <c r="A7843" s="3"/>
    </row>
    <row r="7844" spans="1:1" x14ac:dyDescent="0.25">
      <c r="A7844" s="3"/>
    </row>
    <row r="7845" spans="1:1" x14ac:dyDescent="0.25">
      <c r="A7845" s="3"/>
    </row>
    <row r="7846" spans="1:1" x14ac:dyDescent="0.25">
      <c r="A7846" s="3"/>
    </row>
    <row r="7847" spans="1:1" x14ac:dyDescent="0.25">
      <c r="A7847" s="3"/>
    </row>
    <row r="7848" spans="1:1" x14ac:dyDescent="0.25">
      <c r="A7848" s="3"/>
    </row>
    <row r="7849" spans="1:1" x14ac:dyDescent="0.25">
      <c r="A7849" s="3"/>
    </row>
    <row r="7850" spans="1:1" x14ac:dyDescent="0.25">
      <c r="A7850" s="3"/>
    </row>
    <row r="7851" spans="1:1" x14ac:dyDescent="0.25">
      <c r="A7851" s="3"/>
    </row>
    <row r="7852" spans="1:1" x14ac:dyDescent="0.25">
      <c r="A7852" s="3"/>
    </row>
    <row r="7853" spans="1:1" x14ac:dyDescent="0.25">
      <c r="A7853" s="3"/>
    </row>
    <row r="7854" spans="1:1" x14ac:dyDescent="0.25">
      <c r="A7854" s="3"/>
    </row>
    <row r="7855" spans="1:1" x14ac:dyDescent="0.25">
      <c r="A7855" s="3"/>
    </row>
    <row r="7856" spans="1:1" x14ac:dyDescent="0.25">
      <c r="A7856" s="3"/>
    </row>
    <row r="7857" spans="1:1" x14ac:dyDescent="0.25">
      <c r="A7857" s="3"/>
    </row>
    <row r="7858" spans="1:1" x14ac:dyDescent="0.25">
      <c r="A7858" s="3"/>
    </row>
    <row r="7859" spans="1:1" x14ac:dyDescent="0.25">
      <c r="A7859" s="3"/>
    </row>
    <row r="7860" spans="1:1" x14ac:dyDescent="0.25">
      <c r="A7860" s="3"/>
    </row>
    <row r="7861" spans="1:1" x14ac:dyDescent="0.25">
      <c r="A7861" s="3"/>
    </row>
    <row r="7862" spans="1:1" x14ac:dyDescent="0.25">
      <c r="A7862" s="3"/>
    </row>
    <row r="7863" spans="1:1" x14ac:dyDescent="0.25">
      <c r="A7863" s="3"/>
    </row>
    <row r="7864" spans="1:1" x14ac:dyDescent="0.25">
      <c r="A7864" s="3"/>
    </row>
    <row r="7865" spans="1:1" x14ac:dyDescent="0.25">
      <c r="A7865" s="3"/>
    </row>
    <row r="7866" spans="1:1" x14ac:dyDescent="0.25">
      <c r="A7866" s="3"/>
    </row>
    <row r="7867" spans="1:1" x14ac:dyDescent="0.25">
      <c r="A7867" s="3"/>
    </row>
    <row r="7868" spans="1:1" x14ac:dyDescent="0.25">
      <c r="A7868" s="3"/>
    </row>
    <row r="7869" spans="1:1" x14ac:dyDescent="0.25">
      <c r="A7869" s="3"/>
    </row>
    <row r="7870" spans="1:1" x14ac:dyDescent="0.25">
      <c r="A7870" s="3"/>
    </row>
    <row r="7871" spans="1:1" x14ac:dyDescent="0.25">
      <c r="A7871" s="3"/>
    </row>
    <row r="7872" spans="1:1" x14ac:dyDescent="0.25">
      <c r="A7872" s="3"/>
    </row>
    <row r="7873" spans="1:1" x14ac:dyDescent="0.25">
      <c r="A7873" s="3"/>
    </row>
    <row r="7874" spans="1:1" x14ac:dyDescent="0.25">
      <c r="A7874" s="3"/>
    </row>
    <row r="7875" spans="1:1" x14ac:dyDescent="0.25">
      <c r="A7875" s="3"/>
    </row>
    <row r="7876" spans="1:1" x14ac:dyDescent="0.25">
      <c r="A7876" s="3"/>
    </row>
    <row r="7877" spans="1:1" x14ac:dyDescent="0.25">
      <c r="A7877" s="3"/>
    </row>
    <row r="7878" spans="1:1" x14ac:dyDescent="0.25">
      <c r="A7878" s="3"/>
    </row>
    <row r="7879" spans="1:1" x14ac:dyDescent="0.25">
      <c r="A7879" s="3"/>
    </row>
    <row r="7880" spans="1:1" x14ac:dyDescent="0.25">
      <c r="A7880" s="3"/>
    </row>
    <row r="7881" spans="1:1" x14ac:dyDescent="0.25">
      <c r="A7881" s="3"/>
    </row>
    <row r="7882" spans="1:1" x14ac:dyDescent="0.25">
      <c r="A7882" s="3"/>
    </row>
    <row r="7883" spans="1:1" x14ac:dyDescent="0.25">
      <c r="A7883" s="3"/>
    </row>
    <row r="7884" spans="1:1" x14ac:dyDescent="0.25">
      <c r="A7884" s="3"/>
    </row>
    <row r="7885" spans="1:1" x14ac:dyDescent="0.25">
      <c r="A7885" s="3"/>
    </row>
    <row r="7886" spans="1:1" x14ac:dyDescent="0.25">
      <c r="A7886" s="3"/>
    </row>
    <row r="7887" spans="1:1" x14ac:dyDescent="0.25">
      <c r="A7887" s="3"/>
    </row>
    <row r="7888" spans="1:1" x14ac:dyDescent="0.25">
      <c r="A7888" s="3"/>
    </row>
    <row r="7889" spans="1:1" x14ac:dyDescent="0.25">
      <c r="A7889" s="3"/>
    </row>
    <row r="7890" spans="1:1" x14ac:dyDescent="0.25">
      <c r="A7890" s="3"/>
    </row>
    <row r="7891" spans="1:1" x14ac:dyDescent="0.25">
      <c r="A7891" s="3"/>
    </row>
    <row r="7892" spans="1:1" x14ac:dyDescent="0.25">
      <c r="A7892" s="3"/>
    </row>
    <row r="7893" spans="1:1" x14ac:dyDescent="0.25">
      <c r="A7893" s="3"/>
    </row>
    <row r="7894" spans="1:1" x14ac:dyDescent="0.25">
      <c r="A7894" s="3"/>
    </row>
    <row r="7895" spans="1:1" x14ac:dyDescent="0.25">
      <c r="A7895" s="3"/>
    </row>
    <row r="7896" spans="1:1" x14ac:dyDescent="0.25">
      <c r="A7896" s="3"/>
    </row>
    <row r="7897" spans="1:1" x14ac:dyDescent="0.25">
      <c r="A7897" s="3"/>
    </row>
    <row r="7898" spans="1:1" x14ac:dyDescent="0.25">
      <c r="A7898" s="3"/>
    </row>
    <row r="7899" spans="1:1" x14ac:dyDescent="0.25">
      <c r="A7899" s="3"/>
    </row>
    <row r="7900" spans="1:1" x14ac:dyDescent="0.25">
      <c r="A7900" s="3"/>
    </row>
    <row r="7901" spans="1:1" x14ac:dyDescent="0.25">
      <c r="A7901" s="3"/>
    </row>
    <row r="7902" spans="1:1" x14ac:dyDescent="0.25">
      <c r="A7902" s="3"/>
    </row>
    <row r="7903" spans="1:1" x14ac:dyDescent="0.25">
      <c r="A7903" s="3"/>
    </row>
    <row r="7904" spans="1:1" x14ac:dyDescent="0.25">
      <c r="A7904" s="3"/>
    </row>
    <row r="7905" spans="1:1" x14ac:dyDescent="0.25">
      <c r="A7905" s="3"/>
    </row>
    <row r="7906" spans="1:1" x14ac:dyDescent="0.25">
      <c r="A7906" s="3"/>
    </row>
    <row r="7907" spans="1:1" x14ac:dyDescent="0.25">
      <c r="A7907" s="3"/>
    </row>
    <row r="7908" spans="1:1" x14ac:dyDescent="0.25">
      <c r="A7908" s="3"/>
    </row>
    <row r="7909" spans="1:1" x14ac:dyDescent="0.25">
      <c r="A7909" s="3"/>
    </row>
    <row r="7910" spans="1:1" x14ac:dyDescent="0.25">
      <c r="A7910" s="3"/>
    </row>
    <row r="7911" spans="1:1" x14ac:dyDescent="0.25">
      <c r="A7911" s="3"/>
    </row>
    <row r="7912" spans="1:1" x14ac:dyDescent="0.25">
      <c r="A7912" s="3"/>
    </row>
    <row r="7913" spans="1:1" x14ac:dyDescent="0.25">
      <c r="A7913" s="3"/>
    </row>
    <row r="7914" spans="1:1" x14ac:dyDescent="0.25">
      <c r="A7914" s="3"/>
    </row>
    <row r="7915" spans="1:1" x14ac:dyDescent="0.25">
      <c r="A7915" s="3"/>
    </row>
    <row r="7916" spans="1:1" x14ac:dyDescent="0.25">
      <c r="A7916" s="3"/>
    </row>
    <row r="7917" spans="1:1" x14ac:dyDescent="0.25">
      <c r="A7917" s="3"/>
    </row>
    <row r="7918" spans="1:1" x14ac:dyDescent="0.25">
      <c r="A7918" s="3"/>
    </row>
    <row r="7919" spans="1:1" x14ac:dyDescent="0.25">
      <c r="A7919" s="3"/>
    </row>
    <row r="7920" spans="1:1" x14ac:dyDescent="0.25">
      <c r="A7920" s="3"/>
    </row>
    <row r="7921" spans="1:1" x14ac:dyDescent="0.25">
      <c r="A7921" s="3"/>
    </row>
    <row r="7922" spans="1:1" x14ac:dyDescent="0.25">
      <c r="A7922" s="3"/>
    </row>
    <row r="7923" spans="1:1" x14ac:dyDescent="0.25">
      <c r="A7923" s="3"/>
    </row>
    <row r="7924" spans="1:1" x14ac:dyDescent="0.25">
      <c r="A7924" s="3"/>
    </row>
    <row r="7925" spans="1:1" x14ac:dyDescent="0.25">
      <c r="A7925" s="3"/>
    </row>
    <row r="7926" spans="1:1" x14ac:dyDescent="0.25">
      <c r="A7926" s="3"/>
    </row>
    <row r="7927" spans="1:1" x14ac:dyDescent="0.25">
      <c r="A7927" s="3"/>
    </row>
    <row r="7928" spans="1:1" x14ac:dyDescent="0.25">
      <c r="A7928" s="3"/>
    </row>
    <row r="7929" spans="1:1" x14ac:dyDescent="0.25">
      <c r="A7929" s="3"/>
    </row>
    <row r="7930" spans="1:1" x14ac:dyDescent="0.25">
      <c r="A7930" s="3"/>
    </row>
    <row r="7931" spans="1:1" x14ac:dyDescent="0.25">
      <c r="A7931" s="3"/>
    </row>
    <row r="7932" spans="1:1" x14ac:dyDescent="0.25">
      <c r="A7932" s="3"/>
    </row>
    <row r="7933" spans="1:1" x14ac:dyDescent="0.25">
      <c r="A7933" s="3"/>
    </row>
    <row r="7934" spans="1:1" x14ac:dyDescent="0.25">
      <c r="A7934" s="3"/>
    </row>
    <row r="7935" spans="1:1" x14ac:dyDescent="0.25">
      <c r="A7935" s="3"/>
    </row>
    <row r="7936" spans="1:1" x14ac:dyDescent="0.25">
      <c r="A7936" s="3"/>
    </row>
    <row r="7937" spans="1:1" x14ac:dyDescent="0.25">
      <c r="A7937" s="3"/>
    </row>
    <row r="7938" spans="1:1" x14ac:dyDescent="0.25">
      <c r="A7938" s="3"/>
    </row>
    <row r="7939" spans="1:1" x14ac:dyDescent="0.25">
      <c r="A7939" s="3"/>
    </row>
    <row r="7940" spans="1:1" x14ac:dyDescent="0.25">
      <c r="A7940" s="3"/>
    </row>
    <row r="7941" spans="1:1" x14ac:dyDescent="0.25">
      <c r="A7941" s="3"/>
    </row>
    <row r="7942" spans="1:1" x14ac:dyDescent="0.25">
      <c r="A7942" s="3"/>
    </row>
    <row r="7943" spans="1:1" x14ac:dyDescent="0.25">
      <c r="A7943" s="3"/>
    </row>
    <row r="7944" spans="1:1" x14ac:dyDescent="0.25">
      <c r="A7944" s="3"/>
    </row>
    <row r="7945" spans="1:1" x14ac:dyDescent="0.25">
      <c r="A7945" s="3"/>
    </row>
    <row r="7946" spans="1:1" x14ac:dyDescent="0.25">
      <c r="A7946" s="3"/>
    </row>
    <row r="7947" spans="1:1" x14ac:dyDescent="0.25">
      <c r="A7947" s="3"/>
    </row>
    <row r="7948" spans="1:1" x14ac:dyDescent="0.25">
      <c r="A7948" s="3"/>
    </row>
    <row r="7949" spans="1:1" x14ac:dyDescent="0.25">
      <c r="A7949" s="3"/>
    </row>
    <row r="7950" spans="1:1" x14ac:dyDescent="0.25">
      <c r="A7950" s="3"/>
    </row>
    <row r="7951" spans="1:1" x14ac:dyDescent="0.25">
      <c r="A7951" s="3"/>
    </row>
    <row r="7952" spans="1:1" x14ac:dyDescent="0.25">
      <c r="A7952" s="3"/>
    </row>
    <row r="7953" spans="1:1" x14ac:dyDescent="0.25">
      <c r="A7953" s="3"/>
    </row>
    <row r="7954" spans="1:1" x14ac:dyDescent="0.25">
      <c r="A7954" s="3"/>
    </row>
    <row r="7955" spans="1:1" x14ac:dyDescent="0.25">
      <c r="A7955" s="3"/>
    </row>
    <row r="7956" spans="1:1" x14ac:dyDescent="0.25">
      <c r="A7956" s="3"/>
    </row>
    <row r="7957" spans="1:1" x14ac:dyDescent="0.25">
      <c r="A7957" s="3"/>
    </row>
    <row r="7958" spans="1:1" x14ac:dyDescent="0.25">
      <c r="A7958" s="3"/>
    </row>
    <row r="7959" spans="1:1" x14ac:dyDescent="0.25">
      <c r="A7959" s="3"/>
    </row>
    <row r="7960" spans="1:1" x14ac:dyDescent="0.25">
      <c r="A7960" s="3"/>
    </row>
    <row r="7961" spans="1:1" x14ac:dyDescent="0.25">
      <c r="A7961" s="3"/>
    </row>
    <row r="7962" spans="1:1" x14ac:dyDescent="0.25">
      <c r="A7962" s="3"/>
    </row>
    <row r="7963" spans="1:1" x14ac:dyDescent="0.25">
      <c r="A7963" s="3"/>
    </row>
    <row r="7964" spans="1:1" x14ac:dyDescent="0.25">
      <c r="A7964" s="3"/>
    </row>
    <row r="7965" spans="1:1" x14ac:dyDescent="0.25">
      <c r="A7965" s="3"/>
    </row>
    <row r="7966" spans="1:1" x14ac:dyDescent="0.25">
      <c r="A7966" s="3"/>
    </row>
    <row r="7967" spans="1:1" x14ac:dyDescent="0.25">
      <c r="A7967" s="3"/>
    </row>
    <row r="7968" spans="1:1" x14ac:dyDescent="0.25">
      <c r="A7968" s="3"/>
    </row>
    <row r="7969" spans="1:1" x14ac:dyDescent="0.25">
      <c r="A7969" s="3"/>
    </row>
    <row r="7970" spans="1:1" x14ac:dyDescent="0.25">
      <c r="A7970" s="3"/>
    </row>
    <row r="7971" spans="1:1" x14ac:dyDescent="0.25">
      <c r="A7971" s="3"/>
    </row>
    <row r="7972" spans="1:1" x14ac:dyDescent="0.25">
      <c r="A7972" s="3"/>
    </row>
    <row r="7973" spans="1:1" x14ac:dyDescent="0.25">
      <c r="A7973" s="3"/>
    </row>
    <row r="7974" spans="1:1" x14ac:dyDescent="0.25">
      <c r="A7974" s="3"/>
    </row>
    <row r="7975" spans="1:1" x14ac:dyDescent="0.25">
      <c r="A7975" s="3"/>
    </row>
    <row r="7976" spans="1:1" x14ac:dyDescent="0.25">
      <c r="A7976" s="3"/>
    </row>
    <row r="7977" spans="1:1" x14ac:dyDescent="0.25">
      <c r="A7977" s="3"/>
    </row>
    <row r="7978" spans="1:1" x14ac:dyDescent="0.25">
      <c r="A7978" s="3"/>
    </row>
    <row r="7979" spans="1:1" x14ac:dyDescent="0.25">
      <c r="A7979" s="3"/>
    </row>
    <row r="7980" spans="1:1" x14ac:dyDescent="0.25">
      <c r="A7980" s="3"/>
    </row>
    <row r="7981" spans="1:1" x14ac:dyDescent="0.25">
      <c r="A7981" s="3"/>
    </row>
    <row r="7982" spans="1:1" x14ac:dyDescent="0.25">
      <c r="A7982" s="3"/>
    </row>
    <row r="7983" spans="1:1" x14ac:dyDescent="0.25">
      <c r="A7983" s="3"/>
    </row>
    <row r="7984" spans="1:1" x14ac:dyDescent="0.25">
      <c r="A7984" s="3"/>
    </row>
    <row r="7985" spans="1:1" x14ac:dyDescent="0.25">
      <c r="A7985" s="3"/>
    </row>
    <row r="7986" spans="1:1" x14ac:dyDescent="0.25">
      <c r="A7986" s="3"/>
    </row>
    <row r="7987" spans="1:1" x14ac:dyDescent="0.25">
      <c r="A7987" s="3"/>
    </row>
    <row r="7988" spans="1:1" x14ac:dyDescent="0.25">
      <c r="A7988" s="3"/>
    </row>
    <row r="7989" spans="1:1" x14ac:dyDescent="0.25">
      <c r="A7989" s="3"/>
    </row>
    <row r="7990" spans="1:1" x14ac:dyDescent="0.25">
      <c r="A7990" s="3"/>
    </row>
    <row r="7991" spans="1:1" x14ac:dyDescent="0.25">
      <c r="A7991" s="3"/>
    </row>
    <row r="7992" spans="1:1" x14ac:dyDescent="0.25">
      <c r="A7992" s="3"/>
    </row>
    <row r="7993" spans="1:1" x14ac:dyDescent="0.25">
      <c r="A7993" s="3"/>
    </row>
    <row r="7994" spans="1:1" x14ac:dyDescent="0.25">
      <c r="A7994" s="3"/>
    </row>
    <row r="7995" spans="1:1" x14ac:dyDescent="0.25">
      <c r="A7995" s="3"/>
    </row>
    <row r="7996" spans="1:1" x14ac:dyDescent="0.25">
      <c r="A7996" s="3"/>
    </row>
    <row r="7997" spans="1:1" x14ac:dyDescent="0.25">
      <c r="A7997" s="3"/>
    </row>
    <row r="7998" spans="1:1" x14ac:dyDescent="0.25">
      <c r="A7998" s="3"/>
    </row>
    <row r="7999" spans="1:1" x14ac:dyDescent="0.25">
      <c r="A7999" s="3"/>
    </row>
    <row r="8000" spans="1:1" x14ac:dyDescent="0.25">
      <c r="A8000" s="3"/>
    </row>
    <row r="8001" spans="1:1" x14ac:dyDescent="0.25">
      <c r="A8001" s="3"/>
    </row>
    <row r="8002" spans="1:1" x14ac:dyDescent="0.25">
      <c r="A8002" s="3"/>
    </row>
    <row r="8003" spans="1:1" x14ac:dyDescent="0.25">
      <c r="A8003" s="3"/>
    </row>
    <row r="8004" spans="1:1" x14ac:dyDescent="0.25">
      <c r="A8004" s="3"/>
    </row>
    <row r="8005" spans="1:1" x14ac:dyDescent="0.25">
      <c r="A8005" s="3"/>
    </row>
    <row r="8006" spans="1:1" x14ac:dyDescent="0.25">
      <c r="A8006" s="3"/>
    </row>
    <row r="8007" spans="1:1" x14ac:dyDescent="0.25">
      <c r="A8007" s="3"/>
    </row>
    <row r="8008" spans="1:1" x14ac:dyDescent="0.25">
      <c r="A8008" s="3"/>
    </row>
    <row r="8009" spans="1:1" x14ac:dyDescent="0.25">
      <c r="A8009" s="3"/>
    </row>
    <row r="8010" spans="1:1" x14ac:dyDescent="0.25">
      <c r="A8010" s="3"/>
    </row>
    <row r="8011" spans="1:1" x14ac:dyDescent="0.25">
      <c r="A8011" s="3"/>
    </row>
    <row r="8012" spans="1:1" x14ac:dyDescent="0.25">
      <c r="A8012" s="3"/>
    </row>
    <row r="8013" spans="1:1" x14ac:dyDescent="0.25">
      <c r="A8013" s="3"/>
    </row>
    <row r="8014" spans="1:1" x14ac:dyDescent="0.25">
      <c r="A8014" s="3"/>
    </row>
    <row r="8015" spans="1:1" x14ac:dyDescent="0.25">
      <c r="A8015" s="3"/>
    </row>
    <row r="8016" spans="1:1" x14ac:dyDescent="0.25">
      <c r="A8016" s="3"/>
    </row>
    <row r="8017" spans="1:1" x14ac:dyDescent="0.25">
      <c r="A8017" s="3"/>
    </row>
    <row r="8018" spans="1:1" x14ac:dyDescent="0.25">
      <c r="A8018" s="3"/>
    </row>
    <row r="8019" spans="1:1" x14ac:dyDescent="0.25">
      <c r="A8019" s="3"/>
    </row>
    <row r="8020" spans="1:1" x14ac:dyDescent="0.25">
      <c r="A8020" s="3"/>
    </row>
    <row r="8021" spans="1:1" x14ac:dyDescent="0.25">
      <c r="A8021" s="3"/>
    </row>
    <row r="8022" spans="1:1" x14ac:dyDescent="0.25">
      <c r="A8022" s="3"/>
    </row>
    <row r="8023" spans="1:1" x14ac:dyDescent="0.25">
      <c r="A8023" s="3"/>
    </row>
    <row r="8024" spans="1:1" x14ac:dyDescent="0.25">
      <c r="A8024" s="3"/>
    </row>
    <row r="8025" spans="1:1" x14ac:dyDescent="0.25">
      <c r="A8025" s="3"/>
    </row>
    <row r="8026" spans="1:1" x14ac:dyDescent="0.25">
      <c r="A8026" s="3"/>
    </row>
    <row r="8027" spans="1:1" x14ac:dyDescent="0.25">
      <c r="A8027" s="3"/>
    </row>
    <row r="8028" spans="1:1" x14ac:dyDescent="0.25">
      <c r="A8028" s="3"/>
    </row>
    <row r="8029" spans="1:1" x14ac:dyDescent="0.25">
      <c r="A8029" s="3"/>
    </row>
    <row r="8030" spans="1:1" x14ac:dyDescent="0.25">
      <c r="A8030" s="3"/>
    </row>
    <row r="8031" spans="1:1" x14ac:dyDescent="0.25">
      <c r="A8031" s="3"/>
    </row>
    <row r="8032" spans="1:1" x14ac:dyDescent="0.25">
      <c r="A8032" s="3"/>
    </row>
    <row r="8033" spans="1:1" x14ac:dyDescent="0.25">
      <c r="A8033" s="3"/>
    </row>
    <row r="8034" spans="1:1" x14ac:dyDescent="0.25">
      <c r="A8034" s="3"/>
    </row>
    <row r="8035" spans="1:1" x14ac:dyDescent="0.25">
      <c r="A8035" s="3"/>
    </row>
    <row r="8036" spans="1:1" x14ac:dyDescent="0.25">
      <c r="A8036" s="3"/>
    </row>
    <row r="8037" spans="1:1" x14ac:dyDescent="0.25">
      <c r="A8037" s="3"/>
    </row>
    <row r="8038" spans="1:1" x14ac:dyDescent="0.25">
      <c r="A8038" s="3"/>
    </row>
    <row r="8039" spans="1:1" x14ac:dyDescent="0.25">
      <c r="A8039" s="3"/>
    </row>
    <row r="8040" spans="1:1" x14ac:dyDescent="0.25">
      <c r="A8040" s="3"/>
    </row>
    <row r="8041" spans="1:1" x14ac:dyDescent="0.25">
      <c r="A8041" s="3"/>
    </row>
    <row r="8042" spans="1:1" x14ac:dyDescent="0.25">
      <c r="A8042" s="3"/>
    </row>
    <row r="8043" spans="1:1" x14ac:dyDescent="0.25">
      <c r="A8043" s="3"/>
    </row>
    <row r="8044" spans="1:1" x14ac:dyDescent="0.25">
      <c r="A8044" s="3"/>
    </row>
    <row r="8045" spans="1:1" x14ac:dyDescent="0.25">
      <c r="A8045" s="3"/>
    </row>
    <row r="8046" spans="1:1" x14ac:dyDescent="0.25">
      <c r="A8046" s="3"/>
    </row>
    <row r="8047" spans="1:1" x14ac:dyDescent="0.25">
      <c r="A8047" s="3"/>
    </row>
    <row r="8048" spans="1:1" x14ac:dyDescent="0.25">
      <c r="A8048" s="3"/>
    </row>
    <row r="8049" spans="1:1" x14ac:dyDescent="0.25">
      <c r="A8049" s="3"/>
    </row>
    <row r="8050" spans="1:1" x14ac:dyDescent="0.25">
      <c r="A8050" s="3"/>
    </row>
    <row r="8051" spans="1:1" x14ac:dyDescent="0.25">
      <c r="A8051" s="3"/>
    </row>
    <row r="8052" spans="1:1" x14ac:dyDescent="0.25">
      <c r="A8052" s="3"/>
    </row>
    <row r="8053" spans="1:1" x14ac:dyDescent="0.25">
      <c r="A8053" s="3"/>
    </row>
    <row r="8054" spans="1:1" x14ac:dyDescent="0.25">
      <c r="A8054" s="3"/>
    </row>
    <row r="8055" spans="1:1" x14ac:dyDescent="0.25">
      <c r="A8055" s="3"/>
    </row>
    <row r="8056" spans="1:1" x14ac:dyDescent="0.25">
      <c r="A8056" s="3"/>
    </row>
    <row r="8057" spans="1:1" x14ac:dyDescent="0.25">
      <c r="A8057" s="3"/>
    </row>
    <row r="8058" spans="1:1" x14ac:dyDescent="0.25">
      <c r="A8058" s="3"/>
    </row>
    <row r="8059" spans="1:1" x14ac:dyDescent="0.25">
      <c r="A8059" s="3"/>
    </row>
    <row r="8060" spans="1:1" x14ac:dyDescent="0.25">
      <c r="A8060" s="3"/>
    </row>
    <row r="8061" spans="1:1" x14ac:dyDescent="0.25">
      <c r="A8061" s="3"/>
    </row>
    <row r="8062" spans="1:1" x14ac:dyDescent="0.25">
      <c r="A8062" s="3"/>
    </row>
    <row r="8063" spans="1:1" x14ac:dyDescent="0.25">
      <c r="A8063" s="3"/>
    </row>
    <row r="8064" spans="1:1" x14ac:dyDescent="0.25">
      <c r="A8064" s="3"/>
    </row>
    <row r="8065" spans="1:1" x14ac:dyDescent="0.25">
      <c r="A8065" s="3"/>
    </row>
    <row r="8066" spans="1:1" x14ac:dyDescent="0.25">
      <c r="A8066" s="3"/>
    </row>
    <row r="8067" spans="1:1" x14ac:dyDescent="0.25">
      <c r="A8067" s="3"/>
    </row>
    <row r="8068" spans="1:1" x14ac:dyDescent="0.25">
      <c r="A8068" s="3"/>
    </row>
    <row r="8069" spans="1:1" x14ac:dyDescent="0.25">
      <c r="A8069" s="3"/>
    </row>
    <row r="8070" spans="1:1" x14ac:dyDescent="0.25">
      <c r="A8070" s="3"/>
    </row>
    <row r="8071" spans="1:1" x14ac:dyDescent="0.25">
      <c r="A8071" s="3"/>
    </row>
    <row r="8072" spans="1:1" x14ac:dyDescent="0.25">
      <c r="A8072" s="3"/>
    </row>
    <row r="8073" spans="1:1" x14ac:dyDescent="0.25">
      <c r="A8073" s="3"/>
    </row>
    <row r="8074" spans="1:1" x14ac:dyDescent="0.25">
      <c r="A8074" s="3"/>
    </row>
    <row r="8075" spans="1:1" x14ac:dyDescent="0.25">
      <c r="A8075" s="3"/>
    </row>
    <row r="8076" spans="1:1" x14ac:dyDescent="0.25">
      <c r="A8076" s="3"/>
    </row>
    <row r="8077" spans="1:1" x14ac:dyDescent="0.25">
      <c r="A8077" s="3"/>
    </row>
    <row r="8078" spans="1:1" x14ac:dyDescent="0.25">
      <c r="A8078" s="3"/>
    </row>
    <row r="8079" spans="1:1" x14ac:dyDescent="0.25">
      <c r="A8079" s="3"/>
    </row>
    <row r="8080" spans="1:1" x14ac:dyDescent="0.25">
      <c r="A8080" s="3"/>
    </row>
    <row r="8081" spans="1:1" x14ac:dyDescent="0.25">
      <c r="A8081" s="3"/>
    </row>
    <row r="8082" spans="1:1" x14ac:dyDescent="0.25">
      <c r="A8082" s="3"/>
    </row>
    <row r="8083" spans="1:1" x14ac:dyDescent="0.25">
      <c r="A8083" s="3"/>
    </row>
    <row r="8084" spans="1:1" x14ac:dyDescent="0.25">
      <c r="A8084" s="3"/>
    </row>
    <row r="8085" spans="1:1" x14ac:dyDescent="0.25">
      <c r="A8085" s="3"/>
    </row>
    <row r="8086" spans="1:1" x14ac:dyDescent="0.25">
      <c r="A8086" s="3"/>
    </row>
    <row r="8087" spans="1:1" x14ac:dyDescent="0.25">
      <c r="A8087" s="3"/>
    </row>
    <row r="8088" spans="1:1" x14ac:dyDescent="0.25">
      <c r="A8088" s="3"/>
    </row>
    <row r="8089" spans="1:1" x14ac:dyDescent="0.25">
      <c r="A8089" s="3"/>
    </row>
    <row r="8090" spans="1:1" x14ac:dyDescent="0.25">
      <c r="A8090" s="3"/>
    </row>
    <row r="8091" spans="1:1" x14ac:dyDescent="0.25">
      <c r="A8091" s="3"/>
    </row>
    <row r="8092" spans="1:1" x14ac:dyDescent="0.25">
      <c r="A8092" s="3"/>
    </row>
    <row r="8093" spans="1:1" x14ac:dyDescent="0.25">
      <c r="A8093" s="3"/>
    </row>
    <row r="8094" spans="1:1" x14ac:dyDescent="0.25">
      <c r="A8094" s="3"/>
    </row>
    <row r="8095" spans="1:1" x14ac:dyDescent="0.25">
      <c r="A8095" s="3"/>
    </row>
    <row r="8096" spans="1:1" x14ac:dyDescent="0.25">
      <c r="A8096" s="3"/>
    </row>
    <row r="8097" spans="1:1" x14ac:dyDescent="0.25">
      <c r="A8097" s="3"/>
    </row>
    <row r="8098" spans="1:1" x14ac:dyDescent="0.25">
      <c r="A8098" s="3"/>
    </row>
    <row r="8099" spans="1:1" x14ac:dyDescent="0.25">
      <c r="A8099" s="3"/>
    </row>
    <row r="8100" spans="1:1" x14ac:dyDescent="0.25">
      <c r="A8100" s="3"/>
    </row>
    <row r="8101" spans="1:1" x14ac:dyDescent="0.25">
      <c r="A8101" s="3"/>
    </row>
    <row r="8102" spans="1:1" x14ac:dyDescent="0.25">
      <c r="A8102" s="3"/>
    </row>
    <row r="8103" spans="1:1" x14ac:dyDescent="0.25">
      <c r="A8103" s="3"/>
    </row>
    <row r="8104" spans="1:1" x14ac:dyDescent="0.25">
      <c r="A8104" s="3"/>
    </row>
    <row r="8105" spans="1:1" x14ac:dyDescent="0.25">
      <c r="A8105" s="3"/>
    </row>
    <row r="8106" spans="1:1" x14ac:dyDescent="0.25">
      <c r="A8106" s="3"/>
    </row>
    <row r="8107" spans="1:1" x14ac:dyDescent="0.25">
      <c r="A8107" s="3"/>
    </row>
    <row r="8108" spans="1:1" x14ac:dyDescent="0.25">
      <c r="A8108" s="3"/>
    </row>
    <row r="8109" spans="1:1" x14ac:dyDescent="0.25">
      <c r="A8109" s="3"/>
    </row>
    <row r="8110" spans="1:1" x14ac:dyDescent="0.25">
      <c r="A8110" s="3"/>
    </row>
    <row r="8111" spans="1:1" x14ac:dyDescent="0.25">
      <c r="A8111" s="3"/>
    </row>
    <row r="8112" spans="1:1" x14ac:dyDescent="0.25">
      <c r="A8112" s="3"/>
    </row>
    <row r="8113" spans="1:1" x14ac:dyDescent="0.25">
      <c r="A8113" s="3"/>
    </row>
    <row r="8114" spans="1:1" x14ac:dyDescent="0.25">
      <c r="A8114" s="3"/>
    </row>
    <row r="8115" spans="1:1" x14ac:dyDescent="0.25">
      <c r="A8115" s="3"/>
    </row>
    <row r="8116" spans="1:1" x14ac:dyDescent="0.25">
      <c r="A8116" s="3"/>
    </row>
    <row r="8117" spans="1:1" x14ac:dyDescent="0.25">
      <c r="A8117" s="3"/>
    </row>
    <row r="8118" spans="1:1" x14ac:dyDescent="0.25">
      <c r="A8118" s="3"/>
    </row>
    <row r="8119" spans="1:1" x14ac:dyDescent="0.25">
      <c r="A8119" s="3"/>
    </row>
    <row r="8120" spans="1:1" x14ac:dyDescent="0.25">
      <c r="A8120" s="3"/>
    </row>
    <row r="8121" spans="1:1" x14ac:dyDescent="0.25">
      <c r="A8121" s="3"/>
    </row>
    <row r="8122" spans="1:1" x14ac:dyDescent="0.25">
      <c r="A8122" s="3"/>
    </row>
    <row r="8123" spans="1:1" x14ac:dyDescent="0.25">
      <c r="A8123" s="3"/>
    </row>
    <row r="8124" spans="1:1" x14ac:dyDescent="0.25">
      <c r="A8124" s="3"/>
    </row>
    <row r="8125" spans="1:1" x14ac:dyDescent="0.25">
      <c r="A8125" s="3"/>
    </row>
    <row r="8126" spans="1:1" x14ac:dyDescent="0.25">
      <c r="A8126" s="3"/>
    </row>
    <row r="8127" spans="1:1" x14ac:dyDescent="0.25">
      <c r="A8127" s="3"/>
    </row>
    <row r="8128" spans="1:1" x14ac:dyDescent="0.25">
      <c r="A8128" s="3"/>
    </row>
    <row r="8129" spans="1:1" x14ac:dyDescent="0.25">
      <c r="A8129" s="3"/>
    </row>
    <row r="8130" spans="1:1" x14ac:dyDescent="0.25">
      <c r="A8130" s="3"/>
    </row>
    <row r="8131" spans="1:1" x14ac:dyDescent="0.25">
      <c r="A8131" s="3"/>
    </row>
    <row r="8132" spans="1:1" x14ac:dyDescent="0.25">
      <c r="A8132" s="3"/>
    </row>
    <row r="8133" spans="1:1" x14ac:dyDescent="0.25">
      <c r="A8133" s="3"/>
    </row>
    <row r="8134" spans="1:1" x14ac:dyDescent="0.25">
      <c r="A8134" s="3"/>
    </row>
    <row r="8135" spans="1:1" x14ac:dyDescent="0.25">
      <c r="A8135" s="3"/>
    </row>
    <row r="8136" spans="1:1" x14ac:dyDescent="0.25">
      <c r="A8136" s="3"/>
    </row>
    <row r="8137" spans="1:1" x14ac:dyDescent="0.25">
      <c r="A8137" s="3"/>
    </row>
    <row r="8138" spans="1:1" x14ac:dyDescent="0.25">
      <c r="A8138" s="3"/>
    </row>
    <row r="8139" spans="1:1" x14ac:dyDescent="0.25">
      <c r="A8139" s="3"/>
    </row>
    <row r="8140" spans="1:1" x14ac:dyDescent="0.25">
      <c r="A8140" s="3"/>
    </row>
    <row r="8141" spans="1:1" x14ac:dyDescent="0.25">
      <c r="A8141" s="3"/>
    </row>
    <row r="8142" spans="1:1" x14ac:dyDescent="0.25">
      <c r="A8142" s="3"/>
    </row>
    <row r="8143" spans="1:1" x14ac:dyDescent="0.25">
      <c r="A8143" s="3"/>
    </row>
    <row r="8144" spans="1:1" x14ac:dyDescent="0.25">
      <c r="A8144" s="3"/>
    </row>
    <row r="8145" spans="1:1" x14ac:dyDescent="0.25">
      <c r="A8145" s="3"/>
    </row>
    <row r="8146" spans="1:1" x14ac:dyDescent="0.25">
      <c r="A8146" s="3"/>
    </row>
    <row r="8147" spans="1:1" x14ac:dyDescent="0.25">
      <c r="A8147" s="3"/>
    </row>
    <row r="8148" spans="1:1" x14ac:dyDescent="0.25">
      <c r="A8148" s="3"/>
    </row>
    <row r="8149" spans="1:1" x14ac:dyDescent="0.25">
      <c r="A8149" s="3"/>
    </row>
    <row r="8150" spans="1:1" x14ac:dyDescent="0.25">
      <c r="A8150" s="3"/>
    </row>
    <row r="8151" spans="1:1" x14ac:dyDescent="0.25">
      <c r="A8151" s="3"/>
    </row>
    <row r="8152" spans="1:1" x14ac:dyDescent="0.25">
      <c r="A8152" s="3"/>
    </row>
    <row r="8153" spans="1:1" x14ac:dyDescent="0.25">
      <c r="A8153" s="3"/>
    </row>
    <row r="8154" spans="1:1" x14ac:dyDescent="0.25">
      <c r="A8154" s="3"/>
    </row>
    <row r="8155" spans="1:1" x14ac:dyDescent="0.25">
      <c r="A8155" s="3"/>
    </row>
    <row r="8156" spans="1:1" x14ac:dyDescent="0.25">
      <c r="A8156" s="3"/>
    </row>
    <row r="8157" spans="1:1" x14ac:dyDescent="0.25">
      <c r="A8157" s="3"/>
    </row>
    <row r="8158" spans="1:1" x14ac:dyDescent="0.25">
      <c r="A8158" s="3"/>
    </row>
    <row r="8159" spans="1:1" x14ac:dyDescent="0.25">
      <c r="A8159" s="3"/>
    </row>
    <row r="8160" spans="1:1" x14ac:dyDescent="0.25">
      <c r="A8160" s="3"/>
    </row>
    <row r="8161" spans="1:1" x14ac:dyDescent="0.25">
      <c r="A8161" s="3"/>
    </row>
    <row r="8162" spans="1:1" x14ac:dyDescent="0.25">
      <c r="A8162" s="3"/>
    </row>
    <row r="8163" spans="1:1" x14ac:dyDescent="0.25">
      <c r="A8163" s="3"/>
    </row>
    <row r="8164" spans="1:1" x14ac:dyDescent="0.25">
      <c r="A8164" s="3"/>
    </row>
    <row r="8165" spans="1:1" x14ac:dyDescent="0.25">
      <c r="A8165" s="3"/>
    </row>
    <row r="8166" spans="1:1" x14ac:dyDescent="0.25">
      <c r="A8166" s="3"/>
    </row>
    <row r="8167" spans="1:1" x14ac:dyDescent="0.25">
      <c r="A8167" s="3"/>
    </row>
    <row r="8168" spans="1:1" x14ac:dyDescent="0.25">
      <c r="A8168" s="3"/>
    </row>
    <row r="8169" spans="1:1" x14ac:dyDescent="0.25">
      <c r="A8169" s="3"/>
    </row>
    <row r="8170" spans="1:1" x14ac:dyDescent="0.25">
      <c r="A8170" s="3"/>
    </row>
    <row r="8171" spans="1:1" x14ac:dyDescent="0.25">
      <c r="A8171" s="3"/>
    </row>
    <row r="8172" spans="1:1" x14ac:dyDescent="0.25">
      <c r="A8172" s="3"/>
    </row>
    <row r="8173" spans="1:1" x14ac:dyDescent="0.25">
      <c r="A8173" s="3"/>
    </row>
    <row r="8174" spans="1:1" x14ac:dyDescent="0.25">
      <c r="A8174" s="3"/>
    </row>
    <row r="8175" spans="1:1" x14ac:dyDescent="0.25">
      <c r="A8175" s="3"/>
    </row>
    <row r="8176" spans="1:1" x14ac:dyDescent="0.25">
      <c r="A8176" s="3"/>
    </row>
    <row r="8177" spans="1:1" x14ac:dyDescent="0.25">
      <c r="A8177" s="3"/>
    </row>
    <row r="8178" spans="1:1" x14ac:dyDescent="0.25">
      <c r="A8178" s="3"/>
    </row>
    <row r="8179" spans="1:1" x14ac:dyDescent="0.25">
      <c r="A8179" s="3"/>
    </row>
    <row r="8180" spans="1:1" x14ac:dyDescent="0.25">
      <c r="A8180" s="3"/>
    </row>
    <row r="8181" spans="1:1" x14ac:dyDescent="0.25">
      <c r="A8181" s="3"/>
    </row>
    <row r="8182" spans="1:1" x14ac:dyDescent="0.25">
      <c r="A8182" s="3"/>
    </row>
    <row r="8183" spans="1:1" x14ac:dyDescent="0.25">
      <c r="A8183" s="3"/>
    </row>
    <row r="8184" spans="1:1" x14ac:dyDescent="0.25">
      <c r="A8184" s="3"/>
    </row>
    <row r="8185" spans="1:1" x14ac:dyDescent="0.25">
      <c r="A8185" s="3"/>
    </row>
    <row r="8186" spans="1:1" x14ac:dyDescent="0.25">
      <c r="A8186" s="3"/>
    </row>
    <row r="8187" spans="1:1" x14ac:dyDescent="0.25">
      <c r="A8187" s="3"/>
    </row>
    <row r="8188" spans="1:1" x14ac:dyDescent="0.25">
      <c r="A8188" s="3"/>
    </row>
    <row r="8189" spans="1:1" x14ac:dyDescent="0.25">
      <c r="A8189" s="3"/>
    </row>
    <row r="8190" spans="1:1" x14ac:dyDescent="0.25">
      <c r="A8190" s="3"/>
    </row>
    <row r="8191" spans="1:1" x14ac:dyDescent="0.25">
      <c r="A8191" s="3"/>
    </row>
    <row r="8192" spans="1:1" x14ac:dyDescent="0.25">
      <c r="A8192" s="3"/>
    </row>
    <row r="8193" spans="1:1" x14ac:dyDescent="0.25">
      <c r="A8193" s="3"/>
    </row>
    <row r="8194" spans="1:1" x14ac:dyDescent="0.25">
      <c r="A8194" s="3"/>
    </row>
    <row r="8195" spans="1:1" x14ac:dyDescent="0.25">
      <c r="A8195" s="3"/>
    </row>
    <row r="8196" spans="1:1" x14ac:dyDescent="0.25">
      <c r="A8196" s="3"/>
    </row>
    <row r="8197" spans="1:1" x14ac:dyDescent="0.25">
      <c r="A8197" s="3"/>
    </row>
    <row r="8198" spans="1:1" x14ac:dyDescent="0.25">
      <c r="A8198" s="3"/>
    </row>
    <row r="8199" spans="1:1" x14ac:dyDescent="0.25">
      <c r="A8199" s="3"/>
    </row>
    <row r="8200" spans="1:1" x14ac:dyDescent="0.25">
      <c r="A8200" s="3"/>
    </row>
    <row r="8201" spans="1:1" x14ac:dyDescent="0.25">
      <c r="A8201" s="3"/>
    </row>
    <row r="8202" spans="1:1" x14ac:dyDescent="0.25">
      <c r="A8202" s="3"/>
    </row>
    <row r="8203" spans="1:1" x14ac:dyDescent="0.25">
      <c r="A8203" s="3"/>
    </row>
    <row r="8204" spans="1:1" x14ac:dyDescent="0.25">
      <c r="A8204" s="3"/>
    </row>
    <row r="8205" spans="1:1" x14ac:dyDescent="0.25">
      <c r="A8205" s="3"/>
    </row>
    <row r="8206" spans="1:1" x14ac:dyDescent="0.25">
      <c r="A8206" s="3"/>
    </row>
    <row r="8207" spans="1:1" x14ac:dyDescent="0.25">
      <c r="A8207" s="3"/>
    </row>
    <row r="8208" spans="1:1" x14ac:dyDescent="0.25">
      <c r="A8208" s="3"/>
    </row>
    <row r="8209" spans="1:1" x14ac:dyDescent="0.25">
      <c r="A8209" s="3"/>
    </row>
    <row r="8210" spans="1:1" x14ac:dyDescent="0.25">
      <c r="A8210" s="3"/>
    </row>
    <row r="8211" spans="1:1" x14ac:dyDescent="0.25">
      <c r="A8211" s="3"/>
    </row>
    <row r="8212" spans="1:1" x14ac:dyDescent="0.25">
      <c r="A8212" s="3"/>
    </row>
    <row r="8213" spans="1:1" x14ac:dyDescent="0.25">
      <c r="A8213" s="3"/>
    </row>
    <row r="8214" spans="1:1" x14ac:dyDescent="0.25">
      <c r="A8214" s="3"/>
    </row>
    <row r="8215" spans="1:1" x14ac:dyDescent="0.25">
      <c r="A8215" s="3"/>
    </row>
    <row r="8216" spans="1:1" x14ac:dyDescent="0.25">
      <c r="A8216" s="3"/>
    </row>
    <row r="8217" spans="1:1" x14ac:dyDescent="0.25">
      <c r="A8217" s="3"/>
    </row>
    <row r="8218" spans="1:1" x14ac:dyDescent="0.25">
      <c r="A8218" s="3"/>
    </row>
    <row r="8219" spans="1:1" x14ac:dyDescent="0.25">
      <c r="A8219" s="3"/>
    </row>
    <row r="8220" spans="1:1" x14ac:dyDescent="0.25">
      <c r="A8220" s="3"/>
    </row>
    <row r="8221" spans="1:1" x14ac:dyDescent="0.25">
      <c r="A8221" s="3"/>
    </row>
    <row r="8222" spans="1:1" x14ac:dyDescent="0.25">
      <c r="A8222" s="3"/>
    </row>
    <row r="8223" spans="1:1" x14ac:dyDescent="0.25">
      <c r="A8223" s="3"/>
    </row>
    <row r="8224" spans="1:1" x14ac:dyDescent="0.25">
      <c r="A8224" s="3"/>
    </row>
    <row r="8225" spans="1:1" x14ac:dyDescent="0.25">
      <c r="A8225" s="3"/>
    </row>
    <row r="8226" spans="1:1" x14ac:dyDescent="0.25">
      <c r="A8226" s="3"/>
    </row>
    <row r="8227" spans="1:1" x14ac:dyDescent="0.25">
      <c r="A8227" s="3"/>
    </row>
    <row r="8228" spans="1:1" x14ac:dyDescent="0.25">
      <c r="A8228" s="3"/>
    </row>
    <row r="8229" spans="1:1" x14ac:dyDescent="0.25">
      <c r="A8229" s="3"/>
    </row>
    <row r="8230" spans="1:1" x14ac:dyDescent="0.25">
      <c r="A8230" s="3"/>
    </row>
    <row r="8231" spans="1:1" x14ac:dyDescent="0.25">
      <c r="A8231" s="3"/>
    </row>
    <row r="8232" spans="1:1" x14ac:dyDescent="0.25">
      <c r="A8232" s="3"/>
    </row>
    <row r="8233" spans="1:1" x14ac:dyDescent="0.25">
      <c r="A8233" s="3"/>
    </row>
    <row r="8234" spans="1:1" x14ac:dyDescent="0.25">
      <c r="A8234" s="3"/>
    </row>
    <row r="8235" spans="1:1" x14ac:dyDescent="0.25">
      <c r="A8235" s="3"/>
    </row>
    <row r="8236" spans="1:1" x14ac:dyDescent="0.25">
      <c r="A8236" s="3"/>
    </row>
    <row r="8237" spans="1:1" x14ac:dyDescent="0.25">
      <c r="A8237" s="3"/>
    </row>
    <row r="8238" spans="1:1" x14ac:dyDescent="0.25">
      <c r="A8238" s="3"/>
    </row>
    <row r="8239" spans="1:1" x14ac:dyDescent="0.25">
      <c r="A8239" s="3"/>
    </row>
    <row r="8240" spans="1:1" x14ac:dyDescent="0.25">
      <c r="A8240" s="3"/>
    </row>
    <row r="8241" spans="1:1" x14ac:dyDescent="0.25">
      <c r="A8241" s="3"/>
    </row>
    <row r="8242" spans="1:1" x14ac:dyDescent="0.25">
      <c r="A8242" s="3"/>
    </row>
    <row r="8243" spans="1:1" x14ac:dyDescent="0.25">
      <c r="A8243" s="3"/>
    </row>
    <row r="8244" spans="1:1" x14ac:dyDescent="0.25">
      <c r="A8244" s="3"/>
    </row>
    <row r="8245" spans="1:1" x14ac:dyDescent="0.25">
      <c r="A8245" s="3"/>
    </row>
    <row r="8246" spans="1:1" x14ac:dyDescent="0.25">
      <c r="A8246" s="3"/>
    </row>
    <row r="8247" spans="1:1" x14ac:dyDescent="0.25">
      <c r="A8247" s="3"/>
    </row>
    <row r="8248" spans="1:1" x14ac:dyDescent="0.25">
      <c r="A8248" s="3"/>
    </row>
    <row r="8249" spans="1:1" x14ac:dyDescent="0.25">
      <c r="A8249" s="3"/>
    </row>
    <row r="8250" spans="1:1" x14ac:dyDescent="0.25">
      <c r="A8250" s="3"/>
    </row>
    <row r="8251" spans="1:1" x14ac:dyDescent="0.25">
      <c r="A8251" s="3"/>
    </row>
    <row r="8252" spans="1:1" x14ac:dyDescent="0.25">
      <c r="A8252" s="3"/>
    </row>
    <row r="8253" spans="1:1" x14ac:dyDescent="0.25">
      <c r="A8253" s="3"/>
    </row>
    <row r="8254" spans="1:1" x14ac:dyDescent="0.25">
      <c r="A8254" s="3"/>
    </row>
    <row r="8255" spans="1:1" x14ac:dyDescent="0.25">
      <c r="A8255" s="3"/>
    </row>
    <row r="8256" spans="1:1" x14ac:dyDescent="0.25">
      <c r="A8256" s="3"/>
    </row>
    <row r="8257" spans="1:1" x14ac:dyDescent="0.25">
      <c r="A8257" s="3"/>
    </row>
    <row r="8258" spans="1:1" x14ac:dyDescent="0.25">
      <c r="A8258" s="3"/>
    </row>
    <row r="8259" spans="1:1" x14ac:dyDescent="0.25">
      <c r="A8259" s="3"/>
    </row>
    <row r="8260" spans="1:1" x14ac:dyDescent="0.25">
      <c r="A8260" s="3"/>
    </row>
    <row r="8261" spans="1:1" x14ac:dyDescent="0.25">
      <c r="A8261" s="3"/>
    </row>
    <row r="8262" spans="1:1" x14ac:dyDescent="0.25">
      <c r="A8262" s="3"/>
    </row>
    <row r="8263" spans="1:1" x14ac:dyDescent="0.25">
      <c r="A8263" s="3"/>
    </row>
    <row r="8264" spans="1:1" x14ac:dyDescent="0.25">
      <c r="A8264" s="3"/>
    </row>
    <row r="8265" spans="1:1" x14ac:dyDescent="0.25">
      <c r="A8265" s="3"/>
    </row>
    <row r="8266" spans="1:1" x14ac:dyDescent="0.25">
      <c r="A8266" s="3"/>
    </row>
    <row r="8267" spans="1:1" x14ac:dyDescent="0.25">
      <c r="A8267" s="3"/>
    </row>
    <row r="8268" spans="1:1" x14ac:dyDescent="0.25">
      <c r="A8268" s="3"/>
    </row>
    <row r="8269" spans="1:1" x14ac:dyDescent="0.25">
      <c r="A8269" s="3"/>
    </row>
    <row r="8270" spans="1:1" x14ac:dyDescent="0.25">
      <c r="A8270" s="3"/>
    </row>
    <row r="8271" spans="1:1" x14ac:dyDescent="0.25">
      <c r="A8271" s="3"/>
    </row>
    <row r="8272" spans="1:1" x14ac:dyDescent="0.25">
      <c r="A8272" s="3"/>
    </row>
    <row r="8273" spans="1:1" x14ac:dyDescent="0.25">
      <c r="A8273" s="3"/>
    </row>
    <row r="8274" spans="1:1" x14ac:dyDescent="0.25">
      <c r="A8274" s="3"/>
    </row>
    <row r="8275" spans="1:1" x14ac:dyDescent="0.25">
      <c r="A8275" s="3"/>
    </row>
    <row r="8276" spans="1:1" x14ac:dyDescent="0.25">
      <c r="A8276" s="3"/>
    </row>
    <row r="8277" spans="1:1" x14ac:dyDescent="0.25">
      <c r="A8277" s="3"/>
    </row>
    <row r="8278" spans="1:1" x14ac:dyDescent="0.25">
      <c r="A8278" s="3"/>
    </row>
    <row r="8279" spans="1:1" x14ac:dyDescent="0.25">
      <c r="A8279" s="3"/>
    </row>
    <row r="8280" spans="1:1" x14ac:dyDescent="0.25">
      <c r="A8280" s="3"/>
    </row>
    <row r="8281" spans="1:1" x14ac:dyDescent="0.25">
      <c r="A8281" s="3"/>
    </row>
    <row r="8282" spans="1:1" x14ac:dyDescent="0.25">
      <c r="A8282" s="3"/>
    </row>
    <row r="8283" spans="1:1" x14ac:dyDescent="0.25">
      <c r="A8283" s="3"/>
    </row>
    <row r="8284" spans="1:1" x14ac:dyDescent="0.25">
      <c r="A8284" s="3"/>
    </row>
    <row r="8285" spans="1:1" x14ac:dyDescent="0.25">
      <c r="A8285" s="3"/>
    </row>
    <row r="8286" spans="1:1" x14ac:dyDescent="0.25">
      <c r="A8286" s="3"/>
    </row>
    <row r="8287" spans="1:1" x14ac:dyDescent="0.25">
      <c r="A8287" s="3"/>
    </row>
    <row r="8288" spans="1:1" x14ac:dyDescent="0.25">
      <c r="A8288" s="3"/>
    </row>
    <row r="8289" spans="1:1" x14ac:dyDescent="0.25">
      <c r="A8289" s="3"/>
    </row>
    <row r="8290" spans="1:1" x14ac:dyDescent="0.25">
      <c r="A8290" s="3"/>
    </row>
    <row r="8291" spans="1:1" x14ac:dyDescent="0.25">
      <c r="A8291" s="3"/>
    </row>
    <row r="8292" spans="1:1" x14ac:dyDescent="0.25">
      <c r="A8292" s="3"/>
    </row>
    <row r="8293" spans="1:1" x14ac:dyDescent="0.25">
      <c r="A8293" s="3"/>
    </row>
    <row r="8294" spans="1:1" x14ac:dyDescent="0.25">
      <c r="A8294" s="3"/>
    </row>
    <row r="8295" spans="1:1" x14ac:dyDescent="0.25">
      <c r="A8295" s="3"/>
    </row>
    <row r="8296" spans="1:1" x14ac:dyDescent="0.25">
      <c r="A8296" s="3"/>
    </row>
    <row r="8297" spans="1:1" x14ac:dyDescent="0.25">
      <c r="A8297" s="3"/>
    </row>
    <row r="8298" spans="1:1" x14ac:dyDescent="0.25">
      <c r="A8298" s="3"/>
    </row>
    <row r="8299" spans="1:1" x14ac:dyDescent="0.25">
      <c r="A8299" s="3"/>
    </row>
    <row r="8300" spans="1:1" x14ac:dyDescent="0.25">
      <c r="A8300" s="3"/>
    </row>
    <row r="8301" spans="1:1" x14ac:dyDescent="0.25">
      <c r="A8301" s="3"/>
    </row>
    <row r="8302" spans="1:1" x14ac:dyDescent="0.25">
      <c r="A8302" s="3"/>
    </row>
    <row r="8303" spans="1:1" x14ac:dyDescent="0.25">
      <c r="A8303" s="3"/>
    </row>
    <row r="8304" spans="1:1" x14ac:dyDescent="0.25">
      <c r="A8304" s="3"/>
    </row>
    <row r="8305" spans="1:1" x14ac:dyDescent="0.25">
      <c r="A8305" s="3"/>
    </row>
    <row r="8306" spans="1:1" x14ac:dyDescent="0.25">
      <c r="A8306" s="3"/>
    </row>
    <row r="8307" spans="1:1" x14ac:dyDescent="0.25">
      <c r="A8307" s="3"/>
    </row>
    <row r="8308" spans="1:1" x14ac:dyDescent="0.25">
      <c r="A8308" s="3"/>
    </row>
    <row r="8309" spans="1:1" x14ac:dyDescent="0.25">
      <c r="A8309" s="3"/>
    </row>
    <row r="8310" spans="1:1" x14ac:dyDescent="0.25">
      <c r="A8310" s="3"/>
    </row>
    <row r="8311" spans="1:1" x14ac:dyDescent="0.25">
      <c r="A8311" s="3"/>
    </row>
    <row r="8312" spans="1:1" x14ac:dyDescent="0.25">
      <c r="A8312" s="3"/>
    </row>
    <row r="8313" spans="1:1" x14ac:dyDescent="0.25">
      <c r="A8313" s="3"/>
    </row>
    <row r="8314" spans="1:1" x14ac:dyDescent="0.25">
      <c r="A8314" s="3"/>
    </row>
    <row r="8315" spans="1:1" x14ac:dyDescent="0.25">
      <c r="A8315" s="3"/>
    </row>
    <row r="8316" spans="1:1" x14ac:dyDescent="0.25">
      <c r="A8316" s="3"/>
    </row>
    <row r="8317" spans="1:1" x14ac:dyDescent="0.25">
      <c r="A8317" s="3"/>
    </row>
    <row r="8318" spans="1:1" x14ac:dyDescent="0.25">
      <c r="A8318" s="3"/>
    </row>
    <row r="8319" spans="1:1" x14ac:dyDescent="0.25">
      <c r="A8319" s="3"/>
    </row>
    <row r="8320" spans="1:1" x14ac:dyDescent="0.25">
      <c r="A8320" s="3"/>
    </row>
    <row r="8321" spans="1:1" x14ac:dyDescent="0.25">
      <c r="A8321" s="3"/>
    </row>
    <row r="8322" spans="1:1" x14ac:dyDescent="0.25">
      <c r="A8322" s="3"/>
    </row>
    <row r="8323" spans="1:1" x14ac:dyDescent="0.25">
      <c r="A8323" s="3"/>
    </row>
    <row r="8324" spans="1:1" x14ac:dyDescent="0.25">
      <c r="A8324" s="3"/>
    </row>
    <row r="8325" spans="1:1" x14ac:dyDescent="0.25">
      <c r="A8325" s="3"/>
    </row>
    <row r="8326" spans="1:1" x14ac:dyDescent="0.25">
      <c r="A8326" s="3"/>
    </row>
    <row r="8327" spans="1:1" x14ac:dyDescent="0.25">
      <c r="A8327" s="3"/>
    </row>
    <row r="8328" spans="1:1" x14ac:dyDescent="0.25">
      <c r="A8328" s="3"/>
    </row>
    <row r="8329" spans="1:1" x14ac:dyDescent="0.25">
      <c r="A8329" s="3"/>
    </row>
    <row r="8330" spans="1:1" x14ac:dyDescent="0.25">
      <c r="A8330" s="3"/>
    </row>
    <row r="8331" spans="1:1" x14ac:dyDescent="0.25">
      <c r="A8331" s="3"/>
    </row>
    <row r="8332" spans="1:1" x14ac:dyDescent="0.25">
      <c r="A8332" s="3"/>
    </row>
    <row r="8333" spans="1:1" x14ac:dyDescent="0.25">
      <c r="A8333" s="3"/>
    </row>
    <row r="8334" spans="1:1" x14ac:dyDescent="0.25">
      <c r="A8334" s="3"/>
    </row>
    <row r="8335" spans="1:1" x14ac:dyDescent="0.25">
      <c r="A8335" s="3"/>
    </row>
    <row r="8336" spans="1:1" x14ac:dyDescent="0.25">
      <c r="A8336" s="3"/>
    </row>
    <row r="8337" spans="1:1" x14ac:dyDescent="0.25">
      <c r="A8337" s="3"/>
    </row>
    <row r="8338" spans="1:1" x14ac:dyDescent="0.25">
      <c r="A8338" s="3"/>
    </row>
    <row r="8339" spans="1:1" x14ac:dyDescent="0.25">
      <c r="A8339" s="3"/>
    </row>
    <row r="8340" spans="1:1" x14ac:dyDescent="0.25">
      <c r="A8340" s="3"/>
    </row>
    <row r="8341" spans="1:1" x14ac:dyDescent="0.25">
      <c r="A8341" s="3"/>
    </row>
    <row r="8342" spans="1:1" x14ac:dyDescent="0.25">
      <c r="A8342" s="3"/>
    </row>
    <row r="8343" spans="1:1" x14ac:dyDescent="0.25">
      <c r="A8343" s="3"/>
    </row>
    <row r="8344" spans="1:1" x14ac:dyDescent="0.25">
      <c r="A8344" s="3"/>
    </row>
    <row r="8345" spans="1:1" x14ac:dyDescent="0.25">
      <c r="A8345" s="3"/>
    </row>
    <row r="8346" spans="1:1" x14ac:dyDescent="0.25">
      <c r="A8346" s="3"/>
    </row>
    <row r="8347" spans="1:1" x14ac:dyDescent="0.25">
      <c r="A8347" s="3"/>
    </row>
    <row r="8348" spans="1:1" x14ac:dyDescent="0.25">
      <c r="A8348" s="3"/>
    </row>
    <row r="8349" spans="1:1" x14ac:dyDescent="0.25">
      <c r="A8349" s="3"/>
    </row>
    <row r="8350" spans="1:1" x14ac:dyDescent="0.25">
      <c r="A8350" s="3"/>
    </row>
    <row r="8351" spans="1:1" x14ac:dyDescent="0.25">
      <c r="A8351" s="3"/>
    </row>
    <row r="8352" spans="1:1" x14ac:dyDescent="0.25">
      <c r="A8352" s="3"/>
    </row>
    <row r="8353" spans="1:1" x14ac:dyDescent="0.25">
      <c r="A8353" s="3"/>
    </row>
    <row r="8354" spans="1:1" x14ac:dyDescent="0.25">
      <c r="A8354" s="3"/>
    </row>
    <row r="8355" spans="1:1" x14ac:dyDescent="0.25">
      <c r="A8355" s="3"/>
    </row>
    <row r="8356" spans="1:1" x14ac:dyDescent="0.25">
      <c r="A8356" s="3"/>
    </row>
    <row r="8357" spans="1:1" x14ac:dyDescent="0.25">
      <c r="A8357" s="3"/>
    </row>
    <row r="8358" spans="1:1" x14ac:dyDescent="0.25">
      <c r="A8358" s="3"/>
    </row>
    <row r="8359" spans="1:1" x14ac:dyDescent="0.25">
      <c r="A8359" s="3"/>
    </row>
    <row r="8360" spans="1:1" x14ac:dyDescent="0.25">
      <c r="A8360" s="3"/>
    </row>
    <row r="8361" spans="1:1" x14ac:dyDescent="0.25">
      <c r="A8361" s="3"/>
    </row>
    <row r="8362" spans="1:1" x14ac:dyDescent="0.25">
      <c r="A8362" s="3"/>
    </row>
    <row r="8363" spans="1:1" x14ac:dyDescent="0.25">
      <c r="A8363" s="3"/>
    </row>
    <row r="8364" spans="1:1" x14ac:dyDescent="0.25">
      <c r="A8364" s="3"/>
    </row>
    <row r="8365" spans="1:1" x14ac:dyDescent="0.25">
      <c r="A8365" s="3"/>
    </row>
    <row r="8366" spans="1:1" x14ac:dyDescent="0.25">
      <c r="A8366" s="3"/>
    </row>
    <row r="8367" spans="1:1" x14ac:dyDescent="0.25">
      <c r="A8367" s="3"/>
    </row>
    <row r="8368" spans="1:1" x14ac:dyDescent="0.25">
      <c r="A8368" s="3"/>
    </row>
    <row r="8369" spans="1:1" x14ac:dyDescent="0.25">
      <c r="A8369" s="3"/>
    </row>
    <row r="8370" spans="1:1" x14ac:dyDescent="0.25">
      <c r="A8370" s="3"/>
    </row>
    <row r="8371" spans="1:1" x14ac:dyDescent="0.25">
      <c r="A8371" s="3"/>
    </row>
    <row r="8372" spans="1:1" x14ac:dyDescent="0.25">
      <c r="A8372" s="3"/>
    </row>
    <row r="8373" spans="1:1" x14ac:dyDescent="0.25">
      <c r="A8373" s="3"/>
    </row>
    <row r="8374" spans="1:1" x14ac:dyDescent="0.25">
      <c r="A8374" s="3"/>
    </row>
    <row r="8375" spans="1:1" x14ac:dyDescent="0.25">
      <c r="A8375" s="3"/>
    </row>
    <row r="8376" spans="1:1" x14ac:dyDescent="0.25">
      <c r="A8376" s="3"/>
    </row>
    <row r="8377" spans="1:1" x14ac:dyDescent="0.25">
      <c r="A8377" s="3"/>
    </row>
    <row r="8378" spans="1:1" x14ac:dyDescent="0.25">
      <c r="A8378" s="3"/>
    </row>
    <row r="8379" spans="1:1" x14ac:dyDescent="0.25">
      <c r="A8379" s="3"/>
    </row>
    <row r="8380" spans="1:1" x14ac:dyDescent="0.25">
      <c r="A8380" s="3"/>
    </row>
    <row r="8381" spans="1:1" x14ac:dyDescent="0.25">
      <c r="A8381" s="3"/>
    </row>
    <row r="8382" spans="1:1" x14ac:dyDescent="0.25">
      <c r="A8382" s="3"/>
    </row>
    <row r="8383" spans="1:1" x14ac:dyDescent="0.25">
      <c r="A8383" s="3"/>
    </row>
    <row r="8384" spans="1:1" x14ac:dyDescent="0.25">
      <c r="A8384" s="3"/>
    </row>
    <row r="8385" spans="1:1" x14ac:dyDescent="0.25">
      <c r="A8385" s="3"/>
    </row>
    <row r="8386" spans="1:1" x14ac:dyDescent="0.25">
      <c r="A8386" s="3"/>
    </row>
    <row r="8387" spans="1:1" x14ac:dyDescent="0.25">
      <c r="A8387" s="3"/>
    </row>
    <row r="8388" spans="1:1" x14ac:dyDescent="0.25">
      <c r="A8388" s="3"/>
    </row>
    <row r="8389" spans="1:1" x14ac:dyDescent="0.25">
      <c r="A8389" s="3"/>
    </row>
    <row r="8390" spans="1:1" x14ac:dyDescent="0.25">
      <c r="A8390" s="3"/>
    </row>
    <row r="8391" spans="1:1" x14ac:dyDescent="0.25">
      <c r="A8391" s="3"/>
    </row>
    <row r="8392" spans="1:1" x14ac:dyDescent="0.25">
      <c r="A8392" s="3"/>
    </row>
    <row r="8393" spans="1:1" x14ac:dyDescent="0.25">
      <c r="A8393" s="3"/>
    </row>
    <row r="8394" spans="1:1" x14ac:dyDescent="0.25">
      <c r="A8394" s="3"/>
    </row>
    <row r="8395" spans="1:1" x14ac:dyDescent="0.25">
      <c r="A8395" s="3"/>
    </row>
    <row r="8396" spans="1:1" x14ac:dyDescent="0.25">
      <c r="A8396" s="3"/>
    </row>
    <row r="8397" spans="1:1" x14ac:dyDescent="0.25">
      <c r="A8397" s="3"/>
    </row>
    <row r="8398" spans="1:1" x14ac:dyDescent="0.25">
      <c r="A8398" s="3"/>
    </row>
    <row r="8399" spans="1:1" x14ac:dyDescent="0.25">
      <c r="A8399" s="3"/>
    </row>
    <row r="8400" spans="1:1" x14ac:dyDescent="0.25">
      <c r="A8400" s="3"/>
    </row>
    <row r="8401" spans="1:1" x14ac:dyDescent="0.25">
      <c r="A8401" s="3"/>
    </row>
    <row r="8402" spans="1:1" x14ac:dyDescent="0.25">
      <c r="A8402" s="3"/>
    </row>
    <row r="8403" spans="1:1" x14ac:dyDescent="0.25">
      <c r="A8403" s="3"/>
    </row>
    <row r="8404" spans="1:1" x14ac:dyDescent="0.25">
      <c r="A8404" s="3"/>
    </row>
    <row r="8405" spans="1:1" x14ac:dyDescent="0.25">
      <c r="A8405" s="3"/>
    </row>
    <row r="8406" spans="1:1" x14ac:dyDescent="0.25">
      <c r="A8406" s="3"/>
    </row>
    <row r="8407" spans="1:1" x14ac:dyDescent="0.25">
      <c r="A8407" s="3"/>
    </row>
    <row r="8408" spans="1:1" x14ac:dyDescent="0.25">
      <c r="A8408" s="3"/>
    </row>
    <row r="8409" spans="1:1" x14ac:dyDescent="0.25">
      <c r="A8409" s="3"/>
    </row>
    <row r="8410" spans="1:1" x14ac:dyDescent="0.25">
      <c r="A8410" s="3"/>
    </row>
    <row r="8411" spans="1:1" x14ac:dyDescent="0.25">
      <c r="A8411" s="3"/>
    </row>
    <row r="8412" spans="1:1" x14ac:dyDescent="0.25">
      <c r="A8412" s="3"/>
    </row>
    <row r="8413" spans="1:1" x14ac:dyDescent="0.25">
      <c r="A8413" s="3"/>
    </row>
    <row r="8414" spans="1:1" x14ac:dyDescent="0.25">
      <c r="A8414" s="3"/>
    </row>
    <row r="8415" spans="1:1" x14ac:dyDescent="0.25">
      <c r="A8415" s="3"/>
    </row>
    <row r="8416" spans="1:1" x14ac:dyDescent="0.25">
      <c r="A8416" s="3"/>
    </row>
    <row r="8417" spans="1:1" x14ac:dyDescent="0.25">
      <c r="A8417" s="3"/>
    </row>
    <row r="8418" spans="1:1" x14ac:dyDescent="0.25">
      <c r="A8418" s="3"/>
    </row>
    <row r="8419" spans="1:1" x14ac:dyDescent="0.25">
      <c r="A8419" s="3"/>
    </row>
    <row r="8420" spans="1:1" x14ac:dyDescent="0.25">
      <c r="A8420" s="3"/>
    </row>
    <row r="8421" spans="1:1" x14ac:dyDescent="0.25">
      <c r="A8421" s="3"/>
    </row>
    <row r="8422" spans="1:1" x14ac:dyDescent="0.25">
      <c r="A8422" s="3"/>
    </row>
    <row r="8423" spans="1:1" x14ac:dyDescent="0.25">
      <c r="A8423" s="3"/>
    </row>
    <row r="8424" spans="1:1" x14ac:dyDescent="0.25">
      <c r="A8424" s="3"/>
    </row>
    <row r="8425" spans="1:1" x14ac:dyDescent="0.25">
      <c r="A8425" s="3"/>
    </row>
    <row r="8426" spans="1:1" x14ac:dyDescent="0.25">
      <c r="A8426" s="3"/>
    </row>
    <row r="8427" spans="1:1" x14ac:dyDescent="0.25">
      <c r="A8427" s="3"/>
    </row>
    <row r="8428" spans="1:1" x14ac:dyDescent="0.25">
      <c r="A8428" s="3"/>
    </row>
    <row r="8429" spans="1:1" x14ac:dyDescent="0.25">
      <c r="A8429" s="3"/>
    </row>
    <row r="8430" spans="1:1" x14ac:dyDescent="0.25">
      <c r="A8430" s="3"/>
    </row>
    <row r="8431" spans="1:1" x14ac:dyDescent="0.25">
      <c r="A8431" s="3"/>
    </row>
    <row r="8432" spans="1:1" x14ac:dyDescent="0.25">
      <c r="A8432" s="3"/>
    </row>
    <row r="8433" spans="1:1" x14ac:dyDescent="0.25">
      <c r="A8433" s="3"/>
    </row>
    <row r="8434" spans="1:1" x14ac:dyDescent="0.25">
      <c r="A8434" s="3"/>
    </row>
    <row r="8435" spans="1:1" x14ac:dyDescent="0.25">
      <c r="A8435" s="3"/>
    </row>
    <row r="8436" spans="1:1" x14ac:dyDescent="0.25">
      <c r="A8436" s="3"/>
    </row>
    <row r="8437" spans="1:1" x14ac:dyDescent="0.25">
      <c r="A8437" s="3"/>
    </row>
    <row r="8438" spans="1:1" x14ac:dyDescent="0.25">
      <c r="A8438" s="3"/>
    </row>
    <row r="8439" spans="1:1" x14ac:dyDescent="0.25">
      <c r="A8439" s="3"/>
    </row>
    <row r="8440" spans="1:1" x14ac:dyDescent="0.25">
      <c r="A8440" s="3"/>
    </row>
    <row r="8441" spans="1:1" x14ac:dyDescent="0.25">
      <c r="A8441" s="3"/>
    </row>
    <row r="8442" spans="1:1" x14ac:dyDescent="0.25">
      <c r="A8442" s="3"/>
    </row>
    <row r="8443" spans="1:1" x14ac:dyDescent="0.25">
      <c r="A8443" s="3"/>
    </row>
    <row r="8444" spans="1:1" x14ac:dyDescent="0.25">
      <c r="A8444" s="3"/>
    </row>
    <row r="8445" spans="1:1" x14ac:dyDescent="0.25">
      <c r="A8445" s="3"/>
    </row>
    <row r="8446" spans="1:1" x14ac:dyDescent="0.25">
      <c r="A8446" s="3"/>
    </row>
    <row r="8447" spans="1:1" x14ac:dyDescent="0.25">
      <c r="A8447" s="3"/>
    </row>
    <row r="8448" spans="1:1" x14ac:dyDescent="0.25">
      <c r="A8448" s="3"/>
    </row>
    <row r="8449" spans="1:1" x14ac:dyDescent="0.25">
      <c r="A8449" s="3"/>
    </row>
    <row r="8450" spans="1:1" x14ac:dyDescent="0.25">
      <c r="A8450" s="3"/>
    </row>
    <row r="8451" spans="1:1" x14ac:dyDescent="0.25">
      <c r="A8451" s="3"/>
    </row>
    <row r="8452" spans="1:1" x14ac:dyDescent="0.25">
      <c r="A8452" s="3"/>
    </row>
    <row r="8453" spans="1:1" x14ac:dyDescent="0.25">
      <c r="A8453" s="3"/>
    </row>
    <row r="8454" spans="1:1" x14ac:dyDescent="0.25">
      <c r="A8454" s="3"/>
    </row>
    <row r="8455" spans="1:1" x14ac:dyDescent="0.25">
      <c r="A8455" s="3"/>
    </row>
    <row r="8456" spans="1:1" x14ac:dyDescent="0.25">
      <c r="A8456" s="3"/>
    </row>
    <row r="8457" spans="1:1" x14ac:dyDescent="0.25">
      <c r="A8457" s="3"/>
    </row>
    <row r="8458" spans="1:1" x14ac:dyDescent="0.25">
      <c r="A8458" s="3"/>
    </row>
    <row r="8459" spans="1:1" x14ac:dyDescent="0.25">
      <c r="A8459" s="3"/>
    </row>
    <row r="8460" spans="1:1" x14ac:dyDescent="0.25">
      <c r="A8460" s="3"/>
    </row>
    <row r="8461" spans="1:1" x14ac:dyDescent="0.25">
      <c r="A8461" s="3"/>
    </row>
    <row r="8462" spans="1:1" x14ac:dyDescent="0.25">
      <c r="A8462" s="3"/>
    </row>
    <row r="8463" spans="1:1" x14ac:dyDescent="0.25">
      <c r="A8463" s="3"/>
    </row>
    <row r="8464" spans="1:1" x14ac:dyDescent="0.25">
      <c r="A8464" s="3"/>
    </row>
    <row r="8465" spans="1:1" x14ac:dyDescent="0.25">
      <c r="A8465" s="3"/>
    </row>
    <row r="8466" spans="1:1" x14ac:dyDescent="0.25">
      <c r="A8466" s="3"/>
    </row>
    <row r="8467" spans="1:1" x14ac:dyDescent="0.25">
      <c r="A8467" s="3"/>
    </row>
    <row r="8468" spans="1:1" x14ac:dyDescent="0.25">
      <c r="A8468" s="3"/>
    </row>
    <row r="8469" spans="1:1" x14ac:dyDescent="0.25">
      <c r="A8469" s="3"/>
    </row>
    <row r="8470" spans="1:1" x14ac:dyDescent="0.25">
      <c r="A8470" s="3"/>
    </row>
    <row r="8471" spans="1:1" x14ac:dyDescent="0.25">
      <c r="A8471" s="3"/>
    </row>
    <row r="8472" spans="1:1" x14ac:dyDescent="0.25">
      <c r="A8472" s="3"/>
    </row>
    <row r="8473" spans="1:1" x14ac:dyDescent="0.25">
      <c r="A8473" s="3"/>
    </row>
    <row r="8474" spans="1:1" x14ac:dyDescent="0.25">
      <c r="A8474" s="3"/>
    </row>
    <row r="8475" spans="1:1" x14ac:dyDescent="0.25">
      <c r="A8475" s="3"/>
    </row>
    <row r="8476" spans="1:1" x14ac:dyDescent="0.25">
      <c r="A8476" s="3"/>
    </row>
    <row r="8477" spans="1:1" x14ac:dyDescent="0.25">
      <c r="A8477" s="3"/>
    </row>
    <row r="8478" spans="1:1" x14ac:dyDescent="0.25">
      <c r="A8478" s="3"/>
    </row>
    <row r="8479" spans="1:1" x14ac:dyDescent="0.25">
      <c r="A8479" s="3"/>
    </row>
    <row r="8480" spans="1:1" x14ac:dyDescent="0.25">
      <c r="A8480" s="3"/>
    </row>
    <row r="8481" spans="1:1" x14ac:dyDescent="0.25">
      <c r="A8481" s="3"/>
    </row>
    <row r="8482" spans="1:1" x14ac:dyDescent="0.25">
      <c r="A8482" s="3"/>
    </row>
    <row r="8483" spans="1:1" x14ac:dyDescent="0.25">
      <c r="A8483" s="3"/>
    </row>
    <row r="8484" spans="1:1" x14ac:dyDescent="0.25">
      <c r="A8484" s="3"/>
    </row>
    <row r="8485" spans="1:1" x14ac:dyDescent="0.25">
      <c r="A8485" s="3"/>
    </row>
    <row r="8486" spans="1:1" x14ac:dyDescent="0.25">
      <c r="A8486" s="3"/>
    </row>
    <row r="8487" spans="1:1" x14ac:dyDescent="0.25">
      <c r="A8487" s="3"/>
    </row>
    <row r="8488" spans="1:1" x14ac:dyDescent="0.25">
      <c r="A8488" s="3"/>
    </row>
    <row r="8489" spans="1:1" x14ac:dyDescent="0.25">
      <c r="A8489" s="3"/>
    </row>
    <row r="8490" spans="1:1" x14ac:dyDescent="0.25">
      <c r="A8490" s="3"/>
    </row>
    <row r="8491" spans="1:1" x14ac:dyDescent="0.25">
      <c r="A8491" s="3"/>
    </row>
    <row r="8492" spans="1:1" x14ac:dyDescent="0.25">
      <c r="A8492" s="3"/>
    </row>
    <row r="8493" spans="1:1" x14ac:dyDescent="0.25">
      <c r="A8493" s="3"/>
    </row>
    <row r="8494" spans="1:1" x14ac:dyDescent="0.25">
      <c r="A8494" s="3"/>
    </row>
    <row r="8495" spans="1:1" x14ac:dyDescent="0.25">
      <c r="A8495" s="3"/>
    </row>
    <row r="8496" spans="1:1" x14ac:dyDescent="0.25">
      <c r="A8496" s="3"/>
    </row>
    <row r="8497" spans="1:1" x14ac:dyDescent="0.25">
      <c r="A8497" s="3"/>
    </row>
    <row r="8498" spans="1:1" x14ac:dyDescent="0.25">
      <c r="A8498" s="3"/>
    </row>
    <row r="8499" spans="1:1" x14ac:dyDescent="0.25">
      <c r="A8499" s="3"/>
    </row>
    <row r="8500" spans="1:1" x14ac:dyDescent="0.25">
      <c r="A8500" s="3"/>
    </row>
    <row r="8501" spans="1:1" x14ac:dyDescent="0.25">
      <c r="A8501" s="3"/>
    </row>
    <row r="8502" spans="1:1" x14ac:dyDescent="0.25">
      <c r="A8502" s="3"/>
    </row>
    <row r="8503" spans="1:1" x14ac:dyDescent="0.25">
      <c r="A8503" s="3"/>
    </row>
    <row r="8504" spans="1:1" x14ac:dyDescent="0.25">
      <c r="A8504" s="3"/>
    </row>
    <row r="8505" spans="1:1" x14ac:dyDescent="0.25">
      <c r="A8505" s="3"/>
    </row>
    <row r="8506" spans="1:1" x14ac:dyDescent="0.25">
      <c r="A8506" s="3"/>
    </row>
    <row r="8507" spans="1:1" x14ac:dyDescent="0.25">
      <c r="A8507" s="3"/>
    </row>
    <row r="8508" spans="1:1" x14ac:dyDescent="0.25">
      <c r="A8508" s="3"/>
    </row>
    <row r="8509" spans="1:1" x14ac:dyDescent="0.25">
      <c r="A8509" s="3"/>
    </row>
    <row r="8510" spans="1:1" x14ac:dyDescent="0.25">
      <c r="A8510" s="3"/>
    </row>
    <row r="8511" spans="1:1" x14ac:dyDescent="0.25">
      <c r="A8511" s="3"/>
    </row>
    <row r="8512" spans="1:1" x14ac:dyDescent="0.25">
      <c r="A8512" s="3"/>
    </row>
    <row r="8513" spans="1:1" x14ac:dyDescent="0.25">
      <c r="A8513" s="3"/>
    </row>
    <row r="8514" spans="1:1" x14ac:dyDescent="0.25">
      <c r="A8514" s="3"/>
    </row>
    <row r="8515" spans="1:1" x14ac:dyDescent="0.25">
      <c r="A8515" s="3"/>
    </row>
    <row r="8516" spans="1:1" x14ac:dyDescent="0.25">
      <c r="A8516" s="3"/>
    </row>
    <row r="8517" spans="1:1" x14ac:dyDescent="0.25">
      <c r="A8517" s="3"/>
    </row>
    <row r="8518" spans="1:1" x14ac:dyDescent="0.25">
      <c r="A8518" s="3"/>
    </row>
    <row r="8519" spans="1:1" x14ac:dyDescent="0.25">
      <c r="A8519" s="3"/>
    </row>
    <row r="8520" spans="1:1" x14ac:dyDescent="0.25">
      <c r="A8520" s="3"/>
    </row>
    <row r="8521" spans="1:1" x14ac:dyDescent="0.25">
      <c r="A8521" s="3"/>
    </row>
    <row r="8522" spans="1:1" x14ac:dyDescent="0.25">
      <c r="A8522" s="3"/>
    </row>
    <row r="8523" spans="1:1" x14ac:dyDescent="0.25">
      <c r="A8523" s="3"/>
    </row>
    <row r="8524" spans="1:1" x14ac:dyDescent="0.25">
      <c r="A8524" s="3"/>
    </row>
    <row r="8525" spans="1:1" x14ac:dyDescent="0.25">
      <c r="A8525" s="3"/>
    </row>
    <row r="8526" spans="1:1" x14ac:dyDescent="0.25">
      <c r="A8526" s="3"/>
    </row>
    <row r="8527" spans="1:1" x14ac:dyDescent="0.25">
      <c r="A8527" s="3"/>
    </row>
    <row r="8528" spans="1:1" x14ac:dyDescent="0.25">
      <c r="A8528" s="3"/>
    </row>
    <row r="8529" spans="1:1" x14ac:dyDescent="0.25">
      <c r="A8529" s="3"/>
    </row>
    <row r="8530" spans="1:1" x14ac:dyDescent="0.25">
      <c r="A8530" s="3"/>
    </row>
    <row r="8531" spans="1:1" x14ac:dyDescent="0.25">
      <c r="A8531" s="3"/>
    </row>
    <row r="8532" spans="1:1" x14ac:dyDescent="0.25">
      <c r="A8532" s="3"/>
    </row>
    <row r="8533" spans="1:1" x14ac:dyDescent="0.25">
      <c r="A8533" s="3"/>
    </row>
    <row r="8534" spans="1:1" x14ac:dyDescent="0.25">
      <c r="A8534" s="3"/>
    </row>
    <row r="8535" spans="1:1" x14ac:dyDescent="0.25">
      <c r="A8535" s="3"/>
    </row>
    <row r="8536" spans="1:1" x14ac:dyDescent="0.25">
      <c r="A8536" s="3"/>
    </row>
    <row r="8537" spans="1:1" x14ac:dyDescent="0.25">
      <c r="A8537" s="3"/>
    </row>
    <row r="8538" spans="1:1" x14ac:dyDescent="0.25">
      <c r="A8538" s="3"/>
    </row>
    <row r="8539" spans="1:1" x14ac:dyDescent="0.25">
      <c r="A8539" s="3"/>
    </row>
    <row r="8540" spans="1:1" x14ac:dyDescent="0.25">
      <c r="A8540" s="3"/>
    </row>
    <row r="8541" spans="1:1" x14ac:dyDescent="0.25">
      <c r="A8541" s="3"/>
    </row>
    <row r="8542" spans="1:1" x14ac:dyDescent="0.25">
      <c r="A8542" s="3"/>
    </row>
    <row r="8543" spans="1:1" x14ac:dyDescent="0.25">
      <c r="A8543" s="3"/>
    </row>
    <row r="8544" spans="1:1" x14ac:dyDescent="0.25">
      <c r="A8544" s="3"/>
    </row>
    <row r="8545" spans="1:1" x14ac:dyDescent="0.25">
      <c r="A8545" s="3"/>
    </row>
    <row r="8546" spans="1:1" x14ac:dyDescent="0.25">
      <c r="A8546" s="3"/>
    </row>
    <row r="8547" spans="1:1" x14ac:dyDescent="0.25">
      <c r="A8547" s="3"/>
    </row>
    <row r="8548" spans="1:1" x14ac:dyDescent="0.25">
      <c r="A8548" s="3"/>
    </row>
    <row r="8549" spans="1:1" x14ac:dyDescent="0.25">
      <c r="A8549" s="3"/>
    </row>
    <row r="8550" spans="1:1" x14ac:dyDescent="0.25">
      <c r="A8550" s="3"/>
    </row>
    <row r="8551" spans="1:1" x14ac:dyDescent="0.25">
      <c r="A8551" s="3"/>
    </row>
    <row r="8552" spans="1:1" x14ac:dyDescent="0.25">
      <c r="A8552" s="3"/>
    </row>
    <row r="8553" spans="1:1" x14ac:dyDescent="0.25">
      <c r="A8553" s="3"/>
    </row>
    <row r="8554" spans="1:1" x14ac:dyDescent="0.25">
      <c r="A8554" s="3"/>
    </row>
    <row r="8555" spans="1:1" x14ac:dyDescent="0.25">
      <c r="A8555" s="3"/>
    </row>
    <row r="8556" spans="1:1" x14ac:dyDescent="0.25">
      <c r="A8556" s="3"/>
    </row>
    <row r="8557" spans="1:1" x14ac:dyDescent="0.25">
      <c r="A8557" s="3"/>
    </row>
    <row r="8558" spans="1:1" x14ac:dyDescent="0.25">
      <c r="A8558" s="3"/>
    </row>
    <row r="8559" spans="1:1" x14ac:dyDescent="0.25">
      <c r="A8559" s="3"/>
    </row>
    <row r="8560" spans="1:1" x14ac:dyDescent="0.25">
      <c r="A8560" s="3"/>
    </row>
    <row r="8561" spans="1:1" x14ac:dyDescent="0.25">
      <c r="A8561" s="3"/>
    </row>
    <row r="8562" spans="1:1" x14ac:dyDescent="0.25">
      <c r="A8562" s="3"/>
    </row>
    <row r="8563" spans="1:1" x14ac:dyDescent="0.25">
      <c r="A8563" s="3"/>
    </row>
    <row r="8564" spans="1:1" x14ac:dyDescent="0.25">
      <c r="A8564" s="3"/>
    </row>
    <row r="8565" spans="1:1" x14ac:dyDescent="0.25">
      <c r="A8565" s="3"/>
    </row>
    <row r="8566" spans="1:1" x14ac:dyDescent="0.25">
      <c r="A8566" s="3"/>
    </row>
    <row r="8567" spans="1:1" x14ac:dyDescent="0.25">
      <c r="A8567" s="3"/>
    </row>
    <row r="8568" spans="1:1" x14ac:dyDescent="0.25">
      <c r="A8568" s="3"/>
    </row>
    <row r="8569" spans="1:1" x14ac:dyDescent="0.25">
      <c r="A8569" s="3"/>
    </row>
    <row r="8570" spans="1:1" x14ac:dyDescent="0.25">
      <c r="A8570" s="3"/>
    </row>
    <row r="8571" spans="1:1" x14ac:dyDescent="0.25">
      <c r="A8571" s="3"/>
    </row>
    <row r="8572" spans="1:1" x14ac:dyDescent="0.25">
      <c r="A8572" s="3"/>
    </row>
    <row r="8573" spans="1:1" x14ac:dyDescent="0.25">
      <c r="A8573" s="3"/>
    </row>
    <row r="8574" spans="1:1" x14ac:dyDescent="0.25">
      <c r="A8574" s="3"/>
    </row>
    <row r="8575" spans="1:1" x14ac:dyDescent="0.25">
      <c r="A8575" s="3"/>
    </row>
    <row r="8576" spans="1:1" x14ac:dyDescent="0.25">
      <c r="A8576" s="3"/>
    </row>
    <row r="8577" spans="1:1" x14ac:dyDescent="0.25">
      <c r="A8577" s="3"/>
    </row>
    <row r="8578" spans="1:1" x14ac:dyDescent="0.25">
      <c r="A8578" s="3"/>
    </row>
    <row r="8579" spans="1:1" x14ac:dyDescent="0.25">
      <c r="A8579" s="3"/>
    </row>
    <row r="8580" spans="1:1" x14ac:dyDescent="0.25">
      <c r="A8580" s="3"/>
    </row>
    <row r="8581" spans="1:1" x14ac:dyDescent="0.25">
      <c r="A8581" s="3"/>
    </row>
    <row r="8582" spans="1:1" x14ac:dyDescent="0.25">
      <c r="A8582" s="3"/>
    </row>
    <row r="8583" spans="1:1" x14ac:dyDescent="0.25">
      <c r="A8583" s="3"/>
    </row>
    <row r="8584" spans="1:1" x14ac:dyDescent="0.25">
      <c r="A8584" s="3"/>
    </row>
    <row r="8585" spans="1:1" x14ac:dyDescent="0.25">
      <c r="A8585" s="3"/>
    </row>
    <row r="8586" spans="1:1" x14ac:dyDescent="0.25">
      <c r="A8586" s="3"/>
    </row>
    <row r="8587" spans="1:1" x14ac:dyDescent="0.25">
      <c r="A8587" s="3"/>
    </row>
    <row r="8588" spans="1:1" x14ac:dyDescent="0.25">
      <c r="A8588" s="3"/>
    </row>
    <row r="8589" spans="1:1" x14ac:dyDescent="0.25">
      <c r="A8589" s="3"/>
    </row>
    <row r="8590" spans="1:1" x14ac:dyDescent="0.25">
      <c r="A8590" s="3"/>
    </row>
    <row r="8591" spans="1:1" x14ac:dyDescent="0.25">
      <c r="A8591" s="3"/>
    </row>
    <row r="8592" spans="1:1" x14ac:dyDescent="0.25">
      <c r="A8592" s="3"/>
    </row>
    <row r="8593" spans="1:1" x14ac:dyDescent="0.25">
      <c r="A8593" s="3"/>
    </row>
    <row r="8594" spans="1:1" x14ac:dyDescent="0.25">
      <c r="A8594" s="3"/>
    </row>
    <row r="8595" spans="1:1" x14ac:dyDescent="0.25">
      <c r="A8595" s="3"/>
    </row>
    <row r="8596" spans="1:1" x14ac:dyDescent="0.25">
      <c r="A8596" s="3"/>
    </row>
    <row r="8597" spans="1:1" x14ac:dyDescent="0.25">
      <c r="A8597" s="3"/>
    </row>
    <row r="8598" spans="1:1" x14ac:dyDescent="0.25">
      <c r="A8598" s="3"/>
    </row>
    <row r="8599" spans="1:1" x14ac:dyDescent="0.25">
      <c r="A8599" s="3"/>
    </row>
    <row r="8600" spans="1:1" x14ac:dyDescent="0.25">
      <c r="A8600" s="3"/>
    </row>
    <row r="8601" spans="1:1" x14ac:dyDescent="0.25">
      <c r="A8601" s="3"/>
    </row>
    <row r="8602" spans="1:1" x14ac:dyDescent="0.25">
      <c r="A8602" s="3"/>
    </row>
    <row r="8603" spans="1:1" x14ac:dyDescent="0.25">
      <c r="A8603" s="3"/>
    </row>
    <row r="8604" spans="1:1" x14ac:dyDescent="0.25">
      <c r="A8604" s="3"/>
    </row>
    <row r="8605" spans="1:1" x14ac:dyDescent="0.25">
      <c r="A8605" s="3"/>
    </row>
    <row r="8606" spans="1:1" x14ac:dyDescent="0.25">
      <c r="A8606" s="3"/>
    </row>
    <row r="8607" spans="1:1" x14ac:dyDescent="0.25">
      <c r="A8607" s="3"/>
    </row>
    <row r="8608" spans="1:1" x14ac:dyDescent="0.25">
      <c r="A8608" s="3"/>
    </row>
    <row r="8609" spans="1:1" x14ac:dyDescent="0.25">
      <c r="A8609" s="3"/>
    </row>
    <row r="8610" spans="1:1" x14ac:dyDescent="0.25">
      <c r="A8610" s="3"/>
    </row>
    <row r="8611" spans="1:1" x14ac:dyDescent="0.25">
      <c r="A8611" s="3"/>
    </row>
    <row r="8612" spans="1:1" x14ac:dyDescent="0.25">
      <c r="A8612" s="3"/>
    </row>
    <row r="8613" spans="1:1" x14ac:dyDescent="0.25">
      <c r="A8613" s="3"/>
    </row>
    <row r="8614" spans="1:1" x14ac:dyDescent="0.25">
      <c r="A8614" s="3"/>
    </row>
    <row r="8615" spans="1:1" x14ac:dyDescent="0.25">
      <c r="A8615" s="3"/>
    </row>
    <row r="8616" spans="1:1" x14ac:dyDescent="0.25">
      <c r="A8616" s="3"/>
    </row>
    <row r="8617" spans="1:1" x14ac:dyDescent="0.25">
      <c r="A8617" s="3"/>
    </row>
    <row r="8618" spans="1:1" x14ac:dyDescent="0.25">
      <c r="A8618" s="3"/>
    </row>
    <row r="8619" spans="1:1" x14ac:dyDescent="0.25">
      <c r="A8619" s="3"/>
    </row>
    <row r="8620" spans="1:1" x14ac:dyDescent="0.25">
      <c r="A8620" s="3"/>
    </row>
    <row r="8621" spans="1:1" x14ac:dyDescent="0.25">
      <c r="A8621" s="3"/>
    </row>
    <row r="8622" spans="1:1" x14ac:dyDescent="0.25">
      <c r="A8622" s="3"/>
    </row>
    <row r="8623" spans="1:1" x14ac:dyDescent="0.25">
      <c r="A8623" s="3"/>
    </row>
    <row r="8624" spans="1:1" x14ac:dyDescent="0.25">
      <c r="A8624" s="3"/>
    </row>
    <row r="8625" spans="1:1" x14ac:dyDescent="0.25">
      <c r="A8625" s="3"/>
    </row>
    <row r="8626" spans="1:1" x14ac:dyDescent="0.25">
      <c r="A8626" s="3"/>
    </row>
    <row r="8627" spans="1:1" x14ac:dyDescent="0.25">
      <c r="A8627" s="3"/>
    </row>
    <row r="8628" spans="1:1" x14ac:dyDescent="0.25">
      <c r="A8628" s="3"/>
    </row>
    <row r="8629" spans="1:1" x14ac:dyDescent="0.25">
      <c r="A8629" s="3"/>
    </row>
    <row r="8630" spans="1:1" x14ac:dyDescent="0.25">
      <c r="A8630" s="3"/>
    </row>
    <row r="8631" spans="1:1" x14ac:dyDescent="0.25">
      <c r="A8631" s="3"/>
    </row>
    <row r="8632" spans="1:1" x14ac:dyDescent="0.25">
      <c r="A8632" s="3"/>
    </row>
    <row r="8633" spans="1:1" x14ac:dyDescent="0.25">
      <c r="A8633" s="3"/>
    </row>
    <row r="8634" spans="1:1" x14ac:dyDescent="0.25">
      <c r="A8634" s="3"/>
    </row>
    <row r="8635" spans="1:1" x14ac:dyDescent="0.25">
      <c r="A8635" s="3"/>
    </row>
    <row r="8636" spans="1:1" x14ac:dyDescent="0.25">
      <c r="A8636" s="3"/>
    </row>
    <row r="8637" spans="1:1" x14ac:dyDescent="0.25">
      <c r="A8637" s="3"/>
    </row>
    <row r="8638" spans="1:1" x14ac:dyDescent="0.25">
      <c r="A8638" s="3"/>
    </row>
    <row r="8639" spans="1:1" x14ac:dyDescent="0.25">
      <c r="A8639" s="3"/>
    </row>
    <row r="8640" spans="1:1" x14ac:dyDescent="0.25">
      <c r="A8640" s="3"/>
    </row>
    <row r="8641" spans="1:1" x14ac:dyDescent="0.25">
      <c r="A8641" s="3"/>
    </row>
    <row r="8642" spans="1:1" x14ac:dyDescent="0.25">
      <c r="A8642" s="3"/>
    </row>
    <row r="8643" spans="1:1" x14ac:dyDescent="0.25">
      <c r="A8643" s="3"/>
    </row>
    <row r="8644" spans="1:1" x14ac:dyDescent="0.25">
      <c r="A8644" s="3"/>
    </row>
    <row r="8645" spans="1:1" x14ac:dyDescent="0.25">
      <c r="A8645" s="3"/>
    </row>
    <row r="8646" spans="1:1" x14ac:dyDescent="0.25">
      <c r="A8646" s="3"/>
    </row>
    <row r="8647" spans="1:1" x14ac:dyDescent="0.25">
      <c r="A8647" s="3"/>
    </row>
    <row r="8648" spans="1:1" x14ac:dyDescent="0.25">
      <c r="A8648" s="3"/>
    </row>
    <row r="8649" spans="1:1" x14ac:dyDescent="0.25">
      <c r="A8649" s="3"/>
    </row>
    <row r="8650" spans="1:1" x14ac:dyDescent="0.25">
      <c r="A8650" s="3"/>
    </row>
    <row r="8651" spans="1:1" x14ac:dyDescent="0.25">
      <c r="A8651" s="3"/>
    </row>
    <row r="8652" spans="1:1" x14ac:dyDescent="0.25">
      <c r="A8652" s="3"/>
    </row>
    <row r="8653" spans="1:1" x14ac:dyDescent="0.25">
      <c r="A8653" s="3"/>
    </row>
    <row r="8654" spans="1:1" x14ac:dyDescent="0.25">
      <c r="A8654" s="3"/>
    </row>
    <row r="8655" spans="1:1" x14ac:dyDescent="0.25">
      <c r="A8655" s="3"/>
    </row>
    <row r="8656" spans="1:1" x14ac:dyDescent="0.25">
      <c r="A8656" s="3"/>
    </row>
    <row r="8657" spans="1:1" x14ac:dyDescent="0.25">
      <c r="A8657" s="3"/>
    </row>
    <row r="8658" spans="1:1" x14ac:dyDescent="0.25">
      <c r="A8658" s="3"/>
    </row>
    <row r="8659" spans="1:1" x14ac:dyDescent="0.25">
      <c r="A8659" s="3"/>
    </row>
    <row r="8660" spans="1:1" x14ac:dyDescent="0.25">
      <c r="A8660" s="3"/>
    </row>
    <row r="8661" spans="1:1" x14ac:dyDescent="0.25">
      <c r="A8661" s="3"/>
    </row>
    <row r="8662" spans="1:1" x14ac:dyDescent="0.25">
      <c r="A8662" s="3"/>
    </row>
    <row r="8663" spans="1:1" x14ac:dyDescent="0.25">
      <c r="A8663" s="3"/>
    </row>
    <row r="8664" spans="1:1" x14ac:dyDescent="0.25">
      <c r="A8664" s="3"/>
    </row>
    <row r="8665" spans="1:1" x14ac:dyDescent="0.25">
      <c r="A8665" s="3"/>
    </row>
    <row r="8666" spans="1:1" x14ac:dyDescent="0.25">
      <c r="A8666" s="3"/>
    </row>
    <row r="8667" spans="1:1" x14ac:dyDescent="0.25">
      <c r="A8667" s="3"/>
    </row>
    <row r="8668" spans="1:1" x14ac:dyDescent="0.25">
      <c r="A8668" s="3"/>
    </row>
    <row r="8669" spans="1:1" x14ac:dyDescent="0.25">
      <c r="A8669" s="3"/>
    </row>
    <row r="8670" spans="1:1" x14ac:dyDescent="0.25">
      <c r="A8670" s="3"/>
    </row>
    <row r="8671" spans="1:1" x14ac:dyDescent="0.25">
      <c r="A8671" s="3"/>
    </row>
    <row r="8672" spans="1:1" x14ac:dyDescent="0.25">
      <c r="A8672" s="3"/>
    </row>
    <row r="8673" spans="1:1" x14ac:dyDescent="0.25">
      <c r="A8673" s="3"/>
    </row>
    <row r="8674" spans="1:1" x14ac:dyDescent="0.25">
      <c r="A8674" s="3"/>
    </row>
    <row r="8675" spans="1:1" x14ac:dyDescent="0.25">
      <c r="A8675" s="3"/>
    </row>
    <row r="8676" spans="1:1" x14ac:dyDescent="0.25">
      <c r="A8676" s="3"/>
    </row>
    <row r="8677" spans="1:1" x14ac:dyDescent="0.25">
      <c r="A8677" s="3"/>
    </row>
    <row r="8678" spans="1:1" x14ac:dyDescent="0.25">
      <c r="A8678" s="3"/>
    </row>
    <row r="8679" spans="1:1" x14ac:dyDescent="0.25">
      <c r="A8679" s="3"/>
    </row>
    <row r="8680" spans="1:1" x14ac:dyDescent="0.25">
      <c r="A8680" s="3"/>
    </row>
    <row r="8681" spans="1:1" x14ac:dyDescent="0.25">
      <c r="A8681" s="3"/>
    </row>
    <row r="8682" spans="1:1" x14ac:dyDescent="0.25">
      <c r="A8682" s="3"/>
    </row>
    <row r="8683" spans="1:1" x14ac:dyDescent="0.25">
      <c r="A8683" s="3"/>
    </row>
    <row r="8684" spans="1:1" x14ac:dyDescent="0.25">
      <c r="A8684" s="3"/>
    </row>
    <row r="8685" spans="1:1" x14ac:dyDescent="0.25">
      <c r="A8685" s="3"/>
    </row>
    <row r="8686" spans="1:1" x14ac:dyDescent="0.25">
      <c r="A8686" s="3"/>
    </row>
    <row r="8687" spans="1:1" x14ac:dyDescent="0.25">
      <c r="A8687" s="3"/>
    </row>
    <row r="8688" spans="1:1" x14ac:dyDescent="0.25">
      <c r="A8688" s="3"/>
    </row>
    <row r="8689" spans="1:1" x14ac:dyDescent="0.25">
      <c r="A8689" s="3"/>
    </row>
    <row r="8690" spans="1:1" x14ac:dyDescent="0.25">
      <c r="A8690" s="3"/>
    </row>
    <row r="8691" spans="1:1" x14ac:dyDescent="0.25">
      <c r="A8691" s="3"/>
    </row>
    <row r="8692" spans="1:1" x14ac:dyDescent="0.25">
      <c r="A8692" s="3"/>
    </row>
    <row r="8693" spans="1:1" x14ac:dyDescent="0.25">
      <c r="A8693" s="3"/>
    </row>
    <row r="8694" spans="1:1" x14ac:dyDescent="0.25">
      <c r="A8694" s="3"/>
    </row>
    <row r="8695" spans="1:1" x14ac:dyDescent="0.25">
      <c r="A8695" s="3"/>
    </row>
    <row r="8696" spans="1:1" x14ac:dyDescent="0.25">
      <c r="A8696" s="3"/>
    </row>
    <row r="8697" spans="1:1" x14ac:dyDescent="0.25">
      <c r="A8697" s="3"/>
    </row>
    <row r="8698" spans="1:1" x14ac:dyDescent="0.25">
      <c r="A8698" s="3"/>
    </row>
    <row r="8699" spans="1:1" x14ac:dyDescent="0.25">
      <c r="A8699" s="3"/>
    </row>
    <row r="8700" spans="1:1" x14ac:dyDescent="0.25">
      <c r="A8700" s="3"/>
    </row>
    <row r="8701" spans="1:1" x14ac:dyDescent="0.25">
      <c r="A8701" s="3"/>
    </row>
    <row r="8702" spans="1:1" x14ac:dyDescent="0.25">
      <c r="A8702" s="3"/>
    </row>
    <row r="8703" spans="1:1" x14ac:dyDescent="0.25">
      <c r="A8703" s="3"/>
    </row>
    <row r="8704" spans="1:1" x14ac:dyDescent="0.25">
      <c r="A8704" s="3"/>
    </row>
    <row r="8705" spans="1:1" x14ac:dyDescent="0.25">
      <c r="A8705" s="3"/>
    </row>
    <row r="8706" spans="1:1" x14ac:dyDescent="0.25">
      <c r="A8706" s="3"/>
    </row>
    <row r="8707" spans="1:1" x14ac:dyDescent="0.25">
      <c r="A8707" s="3"/>
    </row>
    <row r="8708" spans="1:1" x14ac:dyDescent="0.25">
      <c r="A8708" s="3"/>
    </row>
    <row r="8709" spans="1:1" x14ac:dyDescent="0.25">
      <c r="A8709" s="3"/>
    </row>
    <row r="8710" spans="1:1" x14ac:dyDescent="0.25">
      <c r="A8710" s="3"/>
    </row>
    <row r="8711" spans="1:1" x14ac:dyDescent="0.25">
      <c r="A8711" s="3"/>
    </row>
    <row r="8712" spans="1:1" x14ac:dyDescent="0.25">
      <c r="A8712" s="3"/>
    </row>
    <row r="8713" spans="1:1" x14ac:dyDescent="0.25">
      <c r="A8713" s="3"/>
    </row>
    <row r="8714" spans="1:1" x14ac:dyDescent="0.25">
      <c r="A8714" s="3"/>
    </row>
    <row r="8715" spans="1:1" x14ac:dyDescent="0.25">
      <c r="A8715" s="3"/>
    </row>
    <row r="8716" spans="1:1" x14ac:dyDescent="0.25">
      <c r="A8716" s="3"/>
    </row>
    <row r="8717" spans="1:1" x14ac:dyDescent="0.25">
      <c r="A8717" s="3"/>
    </row>
    <row r="8718" spans="1:1" x14ac:dyDescent="0.25">
      <c r="A8718" s="3"/>
    </row>
    <row r="8719" spans="1:1" x14ac:dyDescent="0.25">
      <c r="A8719" s="3"/>
    </row>
    <row r="8720" spans="1:1" x14ac:dyDescent="0.25">
      <c r="A8720" s="3"/>
    </row>
    <row r="8721" spans="1:1" x14ac:dyDescent="0.25">
      <c r="A8721" s="3"/>
    </row>
    <row r="8722" spans="1:1" x14ac:dyDescent="0.25">
      <c r="A8722" s="3"/>
    </row>
    <row r="8723" spans="1:1" x14ac:dyDescent="0.25">
      <c r="A8723" s="3"/>
    </row>
    <row r="8724" spans="1:1" x14ac:dyDescent="0.25">
      <c r="A8724" s="3"/>
    </row>
    <row r="8725" spans="1:1" x14ac:dyDescent="0.25">
      <c r="A8725" s="3"/>
    </row>
    <row r="8726" spans="1:1" x14ac:dyDescent="0.25">
      <c r="A8726" s="3"/>
    </row>
    <row r="8727" spans="1:1" x14ac:dyDescent="0.25">
      <c r="A8727" s="3"/>
    </row>
    <row r="8728" spans="1:1" x14ac:dyDescent="0.25">
      <c r="A8728" s="3"/>
    </row>
    <row r="8729" spans="1:1" x14ac:dyDescent="0.25">
      <c r="A8729" s="3"/>
    </row>
    <row r="8730" spans="1:1" x14ac:dyDescent="0.25">
      <c r="A8730" s="3"/>
    </row>
    <row r="8731" spans="1:1" x14ac:dyDescent="0.25">
      <c r="A8731" s="3"/>
    </row>
    <row r="8732" spans="1:1" x14ac:dyDescent="0.25">
      <c r="A8732" s="3"/>
    </row>
    <row r="8733" spans="1:1" x14ac:dyDescent="0.25">
      <c r="A8733" s="3"/>
    </row>
    <row r="8734" spans="1:1" x14ac:dyDescent="0.25">
      <c r="A8734" s="3"/>
    </row>
    <row r="8735" spans="1:1" x14ac:dyDescent="0.25">
      <c r="A8735" s="3"/>
    </row>
    <row r="8736" spans="1:1" x14ac:dyDescent="0.25">
      <c r="A8736" s="3"/>
    </row>
    <row r="8737" spans="1:1" x14ac:dyDescent="0.25">
      <c r="A8737" s="3"/>
    </row>
    <row r="8738" spans="1:1" x14ac:dyDescent="0.25">
      <c r="A8738" s="3"/>
    </row>
    <row r="8739" spans="1:1" x14ac:dyDescent="0.25">
      <c r="A8739" s="3"/>
    </row>
    <row r="8740" spans="1:1" x14ac:dyDescent="0.25">
      <c r="A8740" s="3"/>
    </row>
    <row r="8741" spans="1:1" x14ac:dyDescent="0.25">
      <c r="A8741" s="3"/>
    </row>
    <row r="8742" spans="1:1" x14ac:dyDescent="0.25">
      <c r="A8742" s="3"/>
    </row>
    <row r="8743" spans="1:1" x14ac:dyDescent="0.25">
      <c r="A8743" s="3"/>
    </row>
    <row r="8744" spans="1:1" x14ac:dyDescent="0.25">
      <c r="A8744" s="3"/>
    </row>
    <row r="8745" spans="1:1" x14ac:dyDescent="0.25">
      <c r="A8745" s="3"/>
    </row>
    <row r="8746" spans="1:1" x14ac:dyDescent="0.25">
      <c r="A8746" s="3"/>
    </row>
    <row r="8747" spans="1:1" x14ac:dyDescent="0.25">
      <c r="A8747" s="3"/>
    </row>
    <row r="8748" spans="1:1" x14ac:dyDescent="0.25">
      <c r="A8748" s="3"/>
    </row>
    <row r="8749" spans="1:1" x14ac:dyDescent="0.25">
      <c r="A8749" s="3"/>
    </row>
    <row r="8750" spans="1:1" x14ac:dyDescent="0.25">
      <c r="A8750" s="3"/>
    </row>
    <row r="8751" spans="1:1" x14ac:dyDescent="0.25">
      <c r="A8751" s="3"/>
    </row>
    <row r="8752" spans="1:1" x14ac:dyDescent="0.25">
      <c r="A8752" s="3"/>
    </row>
    <row r="8753" spans="1:1" x14ac:dyDescent="0.25">
      <c r="A8753" s="3"/>
    </row>
    <row r="8754" spans="1:1" x14ac:dyDescent="0.25">
      <c r="A8754" s="3"/>
    </row>
    <row r="8755" spans="1:1" x14ac:dyDescent="0.25">
      <c r="A8755" s="3"/>
    </row>
    <row r="8756" spans="1:1" x14ac:dyDescent="0.25">
      <c r="A8756" s="3"/>
    </row>
    <row r="8757" spans="1:1" x14ac:dyDescent="0.25">
      <c r="A8757" s="3"/>
    </row>
    <row r="8758" spans="1:1" x14ac:dyDescent="0.25">
      <c r="A8758" s="3"/>
    </row>
    <row r="8759" spans="1:1" x14ac:dyDescent="0.25">
      <c r="A8759" s="3"/>
    </row>
    <row r="8760" spans="1:1" x14ac:dyDescent="0.25">
      <c r="A8760" s="3"/>
    </row>
    <row r="8761" spans="1:1" x14ac:dyDescent="0.25">
      <c r="A8761" s="3"/>
    </row>
    <row r="8762" spans="1:1" x14ac:dyDescent="0.25">
      <c r="A8762" s="3"/>
    </row>
    <row r="8763" spans="1:1" x14ac:dyDescent="0.25">
      <c r="A8763" s="3"/>
    </row>
    <row r="8764" spans="1:1" x14ac:dyDescent="0.25">
      <c r="A8764" s="3"/>
    </row>
    <row r="8765" spans="1:1" x14ac:dyDescent="0.25">
      <c r="A8765" s="3"/>
    </row>
    <row r="8766" spans="1:1" x14ac:dyDescent="0.25">
      <c r="A8766" s="3"/>
    </row>
    <row r="8767" spans="1:1" x14ac:dyDescent="0.25">
      <c r="A8767" s="3"/>
    </row>
    <row r="8768" spans="1:1" x14ac:dyDescent="0.25">
      <c r="A8768" s="3"/>
    </row>
    <row r="8769" spans="1:1" x14ac:dyDescent="0.25">
      <c r="A8769" s="3"/>
    </row>
    <row r="8770" spans="1:1" x14ac:dyDescent="0.25">
      <c r="A8770" s="3"/>
    </row>
    <row r="8771" spans="1:1" x14ac:dyDescent="0.25">
      <c r="A8771" s="3"/>
    </row>
    <row r="8772" spans="1:1" x14ac:dyDescent="0.25">
      <c r="A8772" s="3"/>
    </row>
    <row r="8773" spans="1:1" x14ac:dyDescent="0.25">
      <c r="A8773" s="3"/>
    </row>
    <row r="8774" spans="1:1" x14ac:dyDescent="0.25">
      <c r="A8774" s="3"/>
    </row>
    <row r="8775" spans="1:1" x14ac:dyDescent="0.25">
      <c r="A8775" s="3"/>
    </row>
    <row r="8776" spans="1:1" x14ac:dyDescent="0.25">
      <c r="A8776" s="3"/>
    </row>
    <row r="8777" spans="1:1" x14ac:dyDescent="0.25">
      <c r="A8777" s="3"/>
    </row>
    <row r="8778" spans="1:1" x14ac:dyDescent="0.25">
      <c r="A8778" s="3"/>
    </row>
    <row r="8779" spans="1:1" x14ac:dyDescent="0.25">
      <c r="A8779" s="3"/>
    </row>
    <row r="8780" spans="1:1" x14ac:dyDescent="0.25">
      <c r="A8780" s="3"/>
    </row>
    <row r="8781" spans="1:1" x14ac:dyDescent="0.25">
      <c r="A8781" s="3"/>
    </row>
    <row r="8782" spans="1:1" x14ac:dyDescent="0.25">
      <c r="A8782" s="3"/>
    </row>
    <row r="8783" spans="1:1" x14ac:dyDescent="0.25">
      <c r="A8783" s="3"/>
    </row>
    <row r="8784" spans="1:1" x14ac:dyDescent="0.25">
      <c r="A8784" s="3"/>
    </row>
    <row r="8785" spans="1:1" x14ac:dyDescent="0.25">
      <c r="A8785" s="3"/>
    </row>
    <row r="8786" spans="1:1" x14ac:dyDescent="0.25">
      <c r="A8786" s="3"/>
    </row>
    <row r="8787" spans="1:1" x14ac:dyDescent="0.25">
      <c r="A8787" s="3"/>
    </row>
    <row r="8788" spans="1:1" x14ac:dyDescent="0.25">
      <c r="A8788" s="3"/>
    </row>
    <row r="8789" spans="1:1" x14ac:dyDescent="0.25">
      <c r="A8789" s="3"/>
    </row>
    <row r="8790" spans="1:1" x14ac:dyDescent="0.25">
      <c r="A8790" s="3"/>
    </row>
    <row r="8791" spans="1:1" x14ac:dyDescent="0.25">
      <c r="A8791" s="3"/>
    </row>
    <row r="8792" spans="1:1" x14ac:dyDescent="0.25">
      <c r="A8792" s="3"/>
    </row>
    <row r="8793" spans="1:1" x14ac:dyDescent="0.25">
      <c r="A8793" s="3"/>
    </row>
    <row r="8794" spans="1:1" x14ac:dyDescent="0.25">
      <c r="A8794" s="3"/>
    </row>
    <row r="8795" spans="1:1" x14ac:dyDescent="0.25">
      <c r="A8795" s="3"/>
    </row>
    <row r="8796" spans="1:1" x14ac:dyDescent="0.25">
      <c r="A8796" s="3"/>
    </row>
    <row r="8797" spans="1:1" x14ac:dyDescent="0.25">
      <c r="A8797" s="3"/>
    </row>
    <row r="8798" spans="1:1" x14ac:dyDescent="0.25">
      <c r="A8798" s="3"/>
    </row>
    <row r="8799" spans="1:1" x14ac:dyDescent="0.25">
      <c r="A8799" s="3"/>
    </row>
    <row r="8800" spans="1:1" x14ac:dyDescent="0.25">
      <c r="A8800" s="3"/>
    </row>
    <row r="8801" spans="1:1" x14ac:dyDescent="0.25">
      <c r="A8801" s="3"/>
    </row>
    <row r="8802" spans="1:1" x14ac:dyDescent="0.25">
      <c r="A8802" s="3"/>
    </row>
    <row r="8803" spans="1:1" x14ac:dyDescent="0.25">
      <c r="A8803" s="3"/>
    </row>
    <row r="8804" spans="1:1" x14ac:dyDescent="0.25">
      <c r="A8804" s="3"/>
    </row>
    <row r="8805" spans="1:1" x14ac:dyDescent="0.25">
      <c r="A8805" s="3"/>
    </row>
    <row r="8806" spans="1:1" x14ac:dyDescent="0.25">
      <c r="A8806" s="3"/>
    </row>
    <row r="8807" spans="1:1" x14ac:dyDescent="0.25">
      <c r="A8807" s="3"/>
    </row>
    <row r="8808" spans="1:1" x14ac:dyDescent="0.25">
      <c r="A8808" s="3"/>
    </row>
    <row r="8809" spans="1:1" x14ac:dyDescent="0.25">
      <c r="A8809" s="3"/>
    </row>
    <row r="8810" spans="1:1" x14ac:dyDescent="0.25">
      <c r="A8810" s="3"/>
    </row>
    <row r="8811" spans="1:1" x14ac:dyDescent="0.25">
      <c r="A8811" s="3"/>
    </row>
    <row r="8812" spans="1:1" x14ac:dyDescent="0.25">
      <c r="A8812" s="3"/>
    </row>
    <row r="8813" spans="1:1" x14ac:dyDescent="0.25">
      <c r="A8813" s="3"/>
    </row>
    <row r="8814" spans="1:1" x14ac:dyDescent="0.25">
      <c r="A8814" s="3"/>
    </row>
    <row r="8815" spans="1:1" x14ac:dyDescent="0.25">
      <c r="A8815" s="3"/>
    </row>
    <row r="8816" spans="1:1" x14ac:dyDescent="0.25">
      <c r="A8816" s="3"/>
    </row>
    <row r="8817" spans="1:1" x14ac:dyDescent="0.25">
      <c r="A8817" s="3"/>
    </row>
    <row r="8818" spans="1:1" x14ac:dyDescent="0.25">
      <c r="A8818" s="3"/>
    </row>
    <row r="8819" spans="1:1" x14ac:dyDescent="0.25">
      <c r="A8819" s="3"/>
    </row>
    <row r="8820" spans="1:1" x14ac:dyDescent="0.25">
      <c r="A8820" s="3"/>
    </row>
    <row r="8821" spans="1:1" x14ac:dyDescent="0.25">
      <c r="A8821" s="3"/>
    </row>
    <row r="8822" spans="1:1" x14ac:dyDescent="0.25">
      <c r="A8822" s="3"/>
    </row>
    <row r="8823" spans="1:1" x14ac:dyDescent="0.25">
      <c r="A8823" s="3"/>
    </row>
    <row r="8824" spans="1:1" x14ac:dyDescent="0.25">
      <c r="A8824" s="3"/>
    </row>
    <row r="8825" spans="1:1" x14ac:dyDescent="0.25">
      <c r="A8825" s="3"/>
    </row>
    <row r="8826" spans="1:1" x14ac:dyDescent="0.25">
      <c r="A8826" s="3"/>
    </row>
    <row r="8827" spans="1:1" x14ac:dyDescent="0.25">
      <c r="A8827" s="3"/>
    </row>
    <row r="8828" spans="1:1" x14ac:dyDescent="0.25">
      <c r="A8828" s="3"/>
    </row>
    <row r="8829" spans="1:1" x14ac:dyDescent="0.25">
      <c r="A8829" s="3"/>
    </row>
    <row r="8830" spans="1:1" x14ac:dyDescent="0.25">
      <c r="A8830" s="3"/>
    </row>
    <row r="8831" spans="1:1" x14ac:dyDescent="0.25">
      <c r="A8831" s="3"/>
    </row>
    <row r="8832" spans="1:1" x14ac:dyDescent="0.25">
      <c r="A8832" s="3"/>
    </row>
    <row r="8833" spans="1:1" x14ac:dyDescent="0.25">
      <c r="A8833" s="3"/>
    </row>
    <row r="8834" spans="1:1" x14ac:dyDescent="0.25">
      <c r="A8834" s="3"/>
    </row>
    <row r="8835" spans="1:1" x14ac:dyDescent="0.25">
      <c r="A8835" s="3"/>
    </row>
    <row r="8836" spans="1:1" x14ac:dyDescent="0.25">
      <c r="A8836" s="3"/>
    </row>
    <row r="8837" spans="1:1" x14ac:dyDescent="0.25">
      <c r="A8837" s="3"/>
    </row>
    <row r="8838" spans="1:1" x14ac:dyDescent="0.25">
      <c r="A8838" s="3"/>
    </row>
    <row r="8839" spans="1:1" x14ac:dyDescent="0.25">
      <c r="A8839" s="3"/>
    </row>
    <row r="8840" spans="1:1" x14ac:dyDescent="0.25">
      <c r="A8840" s="3"/>
    </row>
    <row r="8841" spans="1:1" x14ac:dyDescent="0.25">
      <c r="A8841" s="3"/>
    </row>
    <row r="8842" spans="1:1" x14ac:dyDescent="0.25">
      <c r="A8842" s="3"/>
    </row>
    <row r="8843" spans="1:1" x14ac:dyDescent="0.25">
      <c r="A8843" s="3"/>
    </row>
    <row r="8844" spans="1:1" x14ac:dyDescent="0.25">
      <c r="A8844" s="3"/>
    </row>
    <row r="8845" spans="1:1" x14ac:dyDescent="0.25">
      <c r="A8845" s="3"/>
    </row>
    <row r="8846" spans="1:1" x14ac:dyDescent="0.25">
      <c r="A8846" s="3"/>
    </row>
    <row r="8847" spans="1:1" x14ac:dyDescent="0.25">
      <c r="A8847" s="3"/>
    </row>
    <row r="8848" spans="1:1" x14ac:dyDescent="0.25">
      <c r="A8848" s="3"/>
    </row>
    <row r="8849" spans="1:1" x14ac:dyDescent="0.25">
      <c r="A8849" s="3"/>
    </row>
    <row r="8850" spans="1:1" x14ac:dyDescent="0.25">
      <c r="A8850" s="3"/>
    </row>
    <row r="8851" spans="1:1" x14ac:dyDescent="0.25">
      <c r="A8851" s="3"/>
    </row>
    <row r="8852" spans="1:1" x14ac:dyDescent="0.25">
      <c r="A8852" s="3"/>
    </row>
    <row r="8853" spans="1:1" x14ac:dyDescent="0.25">
      <c r="A8853" s="3"/>
    </row>
    <row r="8854" spans="1:1" x14ac:dyDescent="0.25">
      <c r="A8854" s="3"/>
    </row>
    <row r="8855" spans="1:1" x14ac:dyDescent="0.25">
      <c r="A8855" s="3"/>
    </row>
    <row r="8856" spans="1:1" x14ac:dyDescent="0.25">
      <c r="A8856" s="3"/>
    </row>
    <row r="8857" spans="1:1" x14ac:dyDescent="0.25">
      <c r="A8857" s="3"/>
    </row>
    <row r="8858" spans="1:1" x14ac:dyDescent="0.25">
      <c r="A8858" s="3"/>
    </row>
    <row r="8859" spans="1:1" x14ac:dyDescent="0.25">
      <c r="A8859" s="3"/>
    </row>
    <row r="8860" spans="1:1" x14ac:dyDescent="0.25">
      <c r="A8860" s="3"/>
    </row>
    <row r="8861" spans="1:1" x14ac:dyDescent="0.25">
      <c r="A8861" s="3"/>
    </row>
    <row r="8862" spans="1:1" x14ac:dyDescent="0.25">
      <c r="A8862" s="3"/>
    </row>
    <row r="8863" spans="1:1" x14ac:dyDescent="0.25">
      <c r="A8863" s="3"/>
    </row>
    <row r="8864" spans="1:1" x14ac:dyDescent="0.25">
      <c r="A8864" s="3"/>
    </row>
    <row r="8865" spans="1:1" x14ac:dyDescent="0.25">
      <c r="A8865" s="3"/>
    </row>
    <row r="8866" spans="1:1" x14ac:dyDescent="0.25">
      <c r="A8866" s="3"/>
    </row>
    <row r="8867" spans="1:1" x14ac:dyDescent="0.25">
      <c r="A8867" s="3"/>
    </row>
    <row r="8868" spans="1:1" x14ac:dyDescent="0.25">
      <c r="A8868" s="3"/>
    </row>
    <row r="8869" spans="1:1" x14ac:dyDescent="0.25">
      <c r="A8869" s="3"/>
    </row>
    <row r="8870" spans="1:1" x14ac:dyDescent="0.25">
      <c r="A8870" s="3"/>
    </row>
    <row r="8871" spans="1:1" x14ac:dyDescent="0.25">
      <c r="A8871" s="3"/>
    </row>
    <row r="8872" spans="1:1" x14ac:dyDescent="0.25">
      <c r="A8872" s="3"/>
    </row>
    <row r="8873" spans="1:1" x14ac:dyDescent="0.25">
      <c r="A8873" s="3"/>
    </row>
    <row r="8874" spans="1:1" x14ac:dyDescent="0.25">
      <c r="A8874" s="3"/>
    </row>
    <row r="8875" spans="1:1" x14ac:dyDescent="0.25">
      <c r="A8875" s="3"/>
    </row>
    <row r="8876" spans="1:1" x14ac:dyDescent="0.25">
      <c r="A8876" s="3"/>
    </row>
    <row r="8877" spans="1:1" x14ac:dyDescent="0.25">
      <c r="A8877" s="3"/>
    </row>
    <row r="8878" spans="1:1" x14ac:dyDescent="0.25">
      <c r="A8878" s="3"/>
    </row>
    <row r="8879" spans="1:1" x14ac:dyDescent="0.25">
      <c r="A8879" s="3"/>
    </row>
    <row r="8880" spans="1:1" x14ac:dyDescent="0.25">
      <c r="A8880" s="3"/>
    </row>
    <row r="8881" spans="1:1" x14ac:dyDescent="0.25">
      <c r="A8881" s="3"/>
    </row>
    <row r="8882" spans="1:1" x14ac:dyDescent="0.25">
      <c r="A8882" s="3"/>
    </row>
    <row r="8883" spans="1:1" x14ac:dyDescent="0.25">
      <c r="A8883" s="3"/>
    </row>
    <row r="8884" spans="1:1" x14ac:dyDescent="0.25">
      <c r="A8884" s="3"/>
    </row>
    <row r="8885" spans="1:1" x14ac:dyDescent="0.25">
      <c r="A8885" s="3"/>
    </row>
    <row r="8886" spans="1:1" x14ac:dyDescent="0.25">
      <c r="A8886" s="3"/>
    </row>
    <row r="8887" spans="1:1" x14ac:dyDescent="0.25">
      <c r="A8887" s="3"/>
    </row>
    <row r="8888" spans="1:1" x14ac:dyDescent="0.25">
      <c r="A8888" s="3"/>
    </row>
    <row r="8889" spans="1:1" x14ac:dyDescent="0.25">
      <c r="A8889" s="3"/>
    </row>
    <row r="8890" spans="1:1" x14ac:dyDescent="0.25">
      <c r="A8890" s="3"/>
    </row>
    <row r="8891" spans="1:1" x14ac:dyDescent="0.25">
      <c r="A8891" s="3"/>
    </row>
    <row r="8892" spans="1:1" x14ac:dyDescent="0.25">
      <c r="A8892" s="3"/>
    </row>
    <row r="8893" spans="1:1" x14ac:dyDescent="0.25">
      <c r="A8893" s="3"/>
    </row>
    <row r="8894" spans="1:1" x14ac:dyDescent="0.25">
      <c r="A8894" s="3"/>
    </row>
    <row r="8895" spans="1:1" x14ac:dyDescent="0.25">
      <c r="A8895" s="3"/>
    </row>
    <row r="8896" spans="1:1" x14ac:dyDescent="0.25">
      <c r="A8896" s="3"/>
    </row>
    <row r="8897" spans="1:1" x14ac:dyDescent="0.25">
      <c r="A8897" s="3"/>
    </row>
    <row r="8898" spans="1:1" x14ac:dyDescent="0.25">
      <c r="A8898" s="3"/>
    </row>
    <row r="8899" spans="1:1" x14ac:dyDescent="0.25">
      <c r="A8899" s="3"/>
    </row>
    <row r="8900" spans="1:1" x14ac:dyDescent="0.25">
      <c r="A8900" s="3"/>
    </row>
    <row r="8901" spans="1:1" x14ac:dyDescent="0.25">
      <c r="A8901" s="3"/>
    </row>
    <row r="8902" spans="1:1" x14ac:dyDescent="0.25">
      <c r="A8902" s="3"/>
    </row>
    <row r="8903" spans="1:1" x14ac:dyDescent="0.25">
      <c r="A8903" s="3"/>
    </row>
    <row r="8904" spans="1:1" x14ac:dyDescent="0.25">
      <c r="A8904" s="3"/>
    </row>
    <row r="8905" spans="1:1" x14ac:dyDescent="0.25">
      <c r="A8905" s="3"/>
    </row>
    <row r="8906" spans="1:1" x14ac:dyDescent="0.25">
      <c r="A8906" s="3"/>
    </row>
    <row r="8907" spans="1:1" x14ac:dyDescent="0.25">
      <c r="A8907" s="3"/>
    </row>
    <row r="8908" spans="1:1" x14ac:dyDescent="0.25">
      <c r="A8908" s="3"/>
    </row>
    <row r="8909" spans="1:1" x14ac:dyDescent="0.25">
      <c r="A8909" s="3"/>
    </row>
    <row r="8910" spans="1:1" x14ac:dyDescent="0.25">
      <c r="A8910" s="3"/>
    </row>
    <row r="8911" spans="1:1" x14ac:dyDescent="0.25">
      <c r="A8911" s="3"/>
    </row>
    <row r="8912" spans="1:1" x14ac:dyDescent="0.25">
      <c r="A8912" s="3"/>
    </row>
    <row r="8913" spans="1:1" x14ac:dyDescent="0.25">
      <c r="A8913" s="3"/>
    </row>
    <row r="8914" spans="1:1" x14ac:dyDescent="0.25">
      <c r="A8914" s="3"/>
    </row>
    <row r="8915" spans="1:1" x14ac:dyDescent="0.25">
      <c r="A8915" s="3"/>
    </row>
    <row r="8916" spans="1:1" x14ac:dyDescent="0.25">
      <c r="A8916" s="3"/>
    </row>
    <row r="8917" spans="1:1" x14ac:dyDescent="0.25">
      <c r="A8917" s="3"/>
    </row>
    <row r="8918" spans="1:1" x14ac:dyDescent="0.25">
      <c r="A8918" s="3"/>
    </row>
    <row r="8919" spans="1:1" x14ac:dyDescent="0.25">
      <c r="A8919" s="3"/>
    </row>
    <row r="8920" spans="1:1" x14ac:dyDescent="0.25">
      <c r="A8920" s="3"/>
    </row>
    <row r="8921" spans="1:1" x14ac:dyDescent="0.25">
      <c r="A8921" s="3"/>
    </row>
    <row r="8922" spans="1:1" x14ac:dyDescent="0.25">
      <c r="A8922" s="3"/>
    </row>
    <row r="8923" spans="1:1" x14ac:dyDescent="0.25">
      <c r="A8923" s="3"/>
    </row>
    <row r="8924" spans="1:1" x14ac:dyDescent="0.25">
      <c r="A8924" s="3"/>
    </row>
    <row r="8925" spans="1:1" x14ac:dyDescent="0.25">
      <c r="A8925" s="3"/>
    </row>
    <row r="8926" spans="1:1" x14ac:dyDescent="0.25">
      <c r="A8926" s="3"/>
    </row>
    <row r="8927" spans="1:1" x14ac:dyDescent="0.25">
      <c r="A8927" s="3"/>
    </row>
    <row r="8928" spans="1:1" x14ac:dyDescent="0.25">
      <c r="A8928" s="3"/>
    </row>
    <row r="8929" spans="1:1" x14ac:dyDescent="0.25">
      <c r="A8929" s="3"/>
    </row>
    <row r="8930" spans="1:1" x14ac:dyDescent="0.25">
      <c r="A8930" s="3"/>
    </row>
    <row r="8931" spans="1:1" x14ac:dyDescent="0.25">
      <c r="A8931" s="3"/>
    </row>
    <row r="8932" spans="1:1" x14ac:dyDescent="0.25">
      <c r="A8932" s="3"/>
    </row>
    <row r="8933" spans="1:1" x14ac:dyDescent="0.25">
      <c r="A8933" s="3"/>
    </row>
    <row r="8934" spans="1:1" x14ac:dyDescent="0.25">
      <c r="A8934" s="3"/>
    </row>
    <row r="8935" spans="1:1" x14ac:dyDescent="0.25">
      <c r="A8935" s="3"/>
    </row>
    <row r="8936" spans="1:1" x14ac:dyDescent="0.25">
      <c r="A8936" s="3"/>
    </row>
    <row r="8937" spans="1:1" x14ac:dyDescent="0.25">
      <c r="A8937" s="3"/>
    </row>
    <row r="8938" spans="1:1" x14ac:dyDescent="0.25">
      <c r="A8938" s="3"/>
    </row>
    <row r="8939" spans="1:1" x14ac:dyDescent="0.25">
      <c r="A8939" s="3"/>
    </row>
    <row r="8940" spans="1:1" x14ac:dyDescent="0.25">
      <c r="A8940" s="3"/>
    </row>
    <row r="8941" spans="1:1" x14ac:dyDescent="0.25">
      <c r="A8941" s="3"/>
    </row>
    <row r="8942" spans="1:1" x14ac:dyDescent="0.25">
      <c r="A8942" s="3"/>
    </row>
    <row r="8943" spans="1:1" x14ac:dyDescent="0.25">
      <c r="A8943" s="3"/>
    </row>
    <row r="8944" spans="1:1" x14ac:dyDescent="0.25">
      <c r="A8944" s="3"/>
    </row>
    <row r="8945" spans="1:1" x14ac:dyDescent="0.25">
      <c r="A8945" s="3"/>
    </row>
    <row r="8946" spans="1:1" x14ac:dyDescent="0.25">
      <c r="A8946" s="3"/>
    </row>
    <row r="8947" spans="1:1" x14ac:dyDescent="0.25">
      <c r="A8947" s="3"/>
    </row>
    <row r="8948" spans="1:1" x14ac:dyDescent="0.25">
      <c r="A8948" s="3"/>
    </row>
    <row r="8949" spans="1:1" x14ac:dyDescent="0.25">
      <c r="A8949" s="3"/>
    </row>
    <row r="8950" spans="1:1" x14ac:dyDescent="0.25">
      <c r="A8950" s="3"/>
    </row>
    <row r="8951" spans="1:1" x14ac:dyDescent="0.25">
      <c r="A8951" s="3"/>
    </row>
    <row r="8952" spans="1:1" x14ac:dyDescent="0.25">
      <c r="A8952" s="3"/>
    </row>
    <row r="8953" spans="1:1" x14ac:dyDescent="0.25">
      <c r="A8953" s="3"/>
    </row>
    <row r="8954" spans="1:1" x14ac:dyDescent="0.25">
      <c r="A8954" s="3"/>
    </row>
    <row r="8955" spans="1:1" x14ac:dyDescent="0.25">
      <c r="A8955" s="3"/>
    </row>
    <row r="8956" spans="1:1" x14ac:dyDescent="0.25">
      <c r="A8956" s="3"/>
    </row>
    <row r="8957" spans="1:1" x14ac:dyDescent="0.25">
      <c r="A8957" s="3"/>
    </row>
    <row r="8958" spans="1:1" x14ac:dyDescent="0.25">
      <c r="A8958" s="3"/>
    </row>
    <row r="8959" spans="1:1" x14ac:dyDescent="0.25">
      <c r="A8959" s="3"/>
    </row>
    <row r="8960" spans="1:1" x14ac:dyDescent="0.25">
      <c r="A8960" s="3"/>
    </row>
    <row r="8961" spans="1:1" x14ac:dyDescent="0.25">
      <c r="A8961" s="3"/>
    </row>
    <row r="8962" spans="1:1" x14ac:dyDescent="0.25">
      <c r="A8962" s="3"/>
    </row>
    <row r="8963" spans="1:1" x14ac:dyDescent="0.25">
      <c r="A8963" s="3"/>
    </row>
    <row r="8964" spans="1:1" x14ac:dyDescent="0.25">
      <c r="A8964" s="3"/>
    </row>
    <row r="8965" spans="1:1" x14ac:dyDescent="0.25">
      <c r="A8965" s="3"/>
    </row>
    <row r="8966" spans="1:1" x14ac:dyDescent="0.25">
      <c r="A8966" s="3"/>
    </row>
    <row r="8967" spans="1:1" x14ac:dyDescent="0.25">
      <c r="A8967" s="3"/>
    </row>
    <row r="8968" spans="1:1" x14ac:dyDescent="0.25">
      <c r="A8968" s="3"/>
    </row>
    <row r="8969" spans="1:1" x14ac:dyDescent="0.25">
      <c r="A8969" s="3"/>
    </row>
    <row r="8970" spans="1:1" x14ac:dyDescent="0.25">
      <c r="A8970" s="3"/>
    </row>
    <row r="8971" spans="1:1" x14ac:dyDescent="0.25">
      <c r="A8971" s="3"/>
    </row>
    <row r="8972" spans="1:1" x14ac:dyDescent="0.25">
      <c r="A8972" s="3"/>
    </row>
    <row r="8973" spans="1:1" x14ac:dyDescent="0.25">
      <c r="A8973" s="3"/>
    </row>
    <row r="8974" spans="1:1" x14ac:dyDescent="0.25">
      <c r="A8974" s="3"/>
    </row>
    <row r="8975" spans="1:1" x14ac:dyDescent="0.25">
      <c r="A8975" s="3"/>
    </row>
    <row r="8976" spans="1:1" x14ac:dyDescent="0.25">
      <c r="A8976" s="3"/>
    </row>
    <row r="8977" spans="1:1" x14ac:dyDescent="0.25">
      <c r="A8977" s="3"/>
    </row>
    <row r="8978" spans="1:1" x14ac:dyDescent="0.25">
      <c r="A8978" s="3"/>
    </row>
    <row r="8979" spans="1:1" x14ac:dyDescent="0.25">
      <c r="A8979" s="3"/>
    </row>
    <row r="8980" spans="1:1" x14ac:dyDescent="0.25">
      <c r="A8980" s="3"/>
    </row>
    <row r="8981" spans="1:1" x14ac:dyDescent="0.25">
      <c r="A8981" s="3"/>
    </row>
    <row r="8982" spans="1:1" x14ac:dyDescent="0.25">
      <c r="A8982" s="3"/>
    </row>
    <row r="8983" spans="1:1" x14ac:dyDescent="0.25">
      <c r="A8983" s="3"/>
    </row>
    <row r="8984" spans="1:1" x14ac:dyDescent="0.25">
      <c r="A8984" s="3"/>
    </row>
    <row r="8985" spans="1:1" x14ac:dyDescent="0.25">
      <c r="A8985" s="3"/>
    </row>
    <row r="8986" spans="1:1" x14ac:dyDescent="0.25">
      <c r="A8986" s="3"/>
    </row>
    <row r="8987" spans="1:1" x14ac:dyDescent="0.25">
      <c r="A8987" s="3"/>
    </row>
    <row r="8988" spans="1:1" x14ac:dyDescent="0.25">
      <c r="A8988" s="3"/>
    </row>
    <row r="8989" spans="1:1" x14ac:dyDescent="0.25">
      <c r="A8989" s="3"/>
    </row>
    <row r="8990" spans="1:1" x14ac:dyDescent="0.25">
      <c r="A8990" s="3"/>
    </row>
    <row r="8991" spans="1:1" x14ac:dyDescent="0.25">
      <c r="A8991" s="3"/>
    </row>
    <row r="8992" spans="1:1" x14ac:dyDescent="0.25">
      <c r="A8992" s="3"/>
    </row>
    <row r="8993" spans="1:1" x14ac:dyDescent="0.25">
      <c r="A8993" s="3"/>
    </row>
    <row r="8994" spans="1:1" x14ac:dyDescent="0.25">
      <c r="A8994" s="3"/>
    </row>
    <row r="8995" spans="1:1" x14ac:dyDescent="0.25">
      <c r="A8995" s="3"/>
    </row>
    <row r="8996" spans="1:1" x14ac:dyDescent="0.25">
      <c r="A8996" s="3"/>
    </row>
    <row r="8997" spans="1:1" x14ac:dyDescent="0.25">
      <c r="A8997" s="3"/>
    </row>
    <row r="8998" spans="1:1" x14ac:dyDescent="0.25">
      <c r="A8998" s="3"/>
    </row>
    <row r="8999" spans="1:1" x14ac:dyDescent="0.25">
      <c r="A8999" s="3"/>
    </row>
    <row r="9000" spans="1:1" x14ac:dyDescent="0.25">
      <c r="A9000" s="3"/>
    </row>
    <row r="9001" spans="1:1" x14ac:dyDescent="0.25">
      <c r="A9001" s="3"/>
    </row>
    <row r="9002" spans="1:1" x14ac:dyDescent="0.25">
      <c r="A9002" s="3"/>
    </row>
    <row r="9003" spans="1:1" x14ac:dyDescent="0.25">
      <c r="A9003" s="3"/>
    </row>
    <row r="9004" spans="1:1" x14ac:dyDescent="0.25">
      <c r="A9004" s="3"/>
    </row>
    <row r="9005" spans="1:1" x14ac:dyDescent="0.25">
      <c r="A9005" s="3"/>
    </row>
    <row r="9006" spans="1:1" x14ac:dyDescent="0.25">
      <c r="A9006" s="3"/>
    </row>
    <row r="9007" spans="1:1" x14ac:dyDescent="0.25">
      <c r="A9007" s="3"/>
    </row>
    <row r="9008" spans="1:1" x14ac:dyDescent="0.25">
      <c r="A9008" s="3"/>
    </row>
    <row r="9009" spans="1:1" x14ac:dyDescent="0.25">
      <c r="A9009" s="3"/>
    </row>
    <row r="9010" spans="1:1" x14ac:dyDescent="0.25">
      <c r="A9010" s="3"/>
    </row>
    <row r="9011" spans="1:1" x14ac:dyDescent="0.25">
      <c r="A9011" s="3"/>
    </row>
    <row r="9012" spans="1:1" x14ac:dyDescent="0.25">
      <c r="A9012" s="3"/>
    </row>
    <row r="9013" spans="1:1" x14ac:dyDescent="0.25">
      <c r="A9013" s="3"/>
    </row>
    <row r="9014" spans="1:1" x14ac:dyDescent="0.25">
      <c r="A9014" s="3"/>
    </row>
    <row r="9015" spans="1:1" x14ac:dyDescent="0.25">
      <c r="A9015" s="3"/>
    </row>
    <row r="9016" spans="1:1" x14ac:dyDescent="0.25">
      <c r="A9016" s="3"/>
    </row>
    <row r="9017" spans="1:1" x14ac:dyDescent="0.25">
      <c r="A9017" s="3"/>
    </row>
    <row r="9018" spans="1:1" x14ac:dyDescent="0.25">
      <c r="A9018" s="3"/>
    </row>
    <row r="9019" spans="1:1" x14ac:dyDescent="0.25">
      <c r="A9019" s="3"/>
    </row>
    <row r="9020" spans="1:1" x14ac:dyDescent="0.25">
      <c r="A9020" s="3"/>
    </row>
    <row r="9021" spans="1:1" x14ac:dyDescent="0.25">
      <c r="A9021" s="3"/>
    </row>
    <row r="9022" spans="1:1" x14ac:dyDescent="0.25">
      <c r="A9022" s="3"/>
    </row>
    <row r="9023" spans="1:1" x14ac:dyDescent="0.25">
      <c r="A9023" s="3"/>
    </row>
    <row r="9024" spans="1:1" x14ac:dyDescent="0.25">
      <c r="A9024" s="3"/>
    </row>
    <row r="9025" spans="1:1" x14ac:dyDescent="0.25">
      <c r="A9025" s="3"/>
    </row>
    <row r="9026" spans="1:1" x14ac:dyDescent="0.25">
      <c r="A9026" s="3"/>
    </row>
    <row r="9027" spans="1:1" x14ac:dyDescent="0.25">
      <c r="A9027" s="3"/>
    </row>
    <row r="9028" spans="1:1" x14ac:dyDescent="0.25">
      <c r="A9028" s="3"/>
    </row>
    <row r="9029" spans="1:1" x14ac:dyDescent="0.25">
      <c r="A9029" s="3"/>
    </row>
    <row r="9030" spans="1:1" x14ac:dyDescent="0.25">
      <c r="A9030" s="3"/>
    </row>
    <row r="9031" spans="1:1" x14ac:dyDescent="0.25">
      <c r="A9031" s="3"/>
    </row>
    <row r="9032" spans="1:1" x14ac:dyDescent="0.25">
      <c r="A9032" s="3"/>
    </row>
    <row r="9033" spans="1:1" x14ac:dyDescent="0.25">
      <c r="A9033" s="3"/>
    </row>
    <row r="9034" spans="1:1" x14ac:dyDescent="0.25">
      <c r="A9034" s="3"/>
    </row>
    <row r="9035" spans="1:1" x14ac:dyDescent="0.25">
      <c r="A9035" s="3"/>
    </row>
    <row r="9036" spans="1:1" x14ac:dyDescent="0.25">
      <c r="A9036" s="3"/>
    </row>
    <row r="9037" spans="1:1" x14ac:dyDescent="0.25">
      <c r="A9037" s="3"/>
    </row>
    <row r="9038" spans="1:1" x14ac:dyDescent="0.25">
      <c r="A9038" s="3"/>
    </row>
    <row r="9039" spans="1:1" x14ac:dyDescent="0.25">
      <c r="A9039" s="3"/>
    </row>
    <row r="9040" spans="1:1" x14ac:dyDescent="0.25">
      <c r="A9040" s="3"/>
    </row>
    <row r="9041" spans="1:1" x14ac:dyDescent="0.25">
      <c r="A9041" s="3"/>
    </row>
    <row r="9042" spans="1:1" x14ac:dyDescent="0.25">
      <c r="A9042" s="3"/>
    </row>
    <row r="9043" spans="1:1" x14ac:dyDescent="0.25">
      <c r="A9043" s="3"/>
    </row>
    <row r="9044" spans="1:1" x14ac:dyDescent="0.25">
      <c r="A9044" s="3"/>
    </row>
    <row r="9045" spans="1:1" x14ac:dyDescent="0.25">
      <c r="A9045" s="3"/>
    </row>
    <row r="9046" spans="1:1" x14ac:dyDescent="0.25">
      <c r="A9046" s="3"/>
    </row>
    <row r="9047" spans="1:1" x14ac:dyDescent="0.25">
      <c r="A9047" s="3"/>
    </row>
    <row r="9048" spans="1:1" x14ac:dyDescent="0.25">
      <c r="A9048" s="3"/>
    </row>
    <row r="9049" spans="1:1" x14ac:dyDescent="0.25">
      <c r="A9049" s="3"/>
    </row>
    <row r="9050" spans="1:1" x14ac:dyDescent="0.25">
      <c r="A9050" s="3"/>
    </row>
    <row r="9051" spans="1:1" x14ac:dyDescent="0.25">
      <c r="A9051" s="3"/>
    </row>
    <row r="9052" spans="1:1" x14ac:dyDescent="0.25">
      <c r="A9052" s="3"/>
    </row>
    <row r="9053" spans="1:1" x14ac:dyDescent="0.25">
      <c r="A9053" s="3"/>
    </row>
    <row r="9054" spans="1:1" x14ac:dyDescent="0.25">
      <c r="A9054" s="3"/>
    </row>
    <row r="9055" spans="1:1" x14ac:dyDescent="0.25">
      <c r="A9055" s="3"/>
    </row>
    <row r="9056" spans="1:1" x14ac:dyDescent="0.25">
      <c r="A9056" s="3"/>
    </row>
    <row r="9057" spans="1:1" x14ac:dyDescent="0.25">
      <c r="A9057" s="3"/>
    </row>
    <row r="9058" spans="1:1" x14ac:dyDescent="0.25">
      <c r="A9058" s="3"/>
    </row>
    <row r="9059" spans="1:1" x14ac:dyDescent="0.25">
      <c r="A9059" s="3"/>
    </row>
    <row r="9060" spans="1:1" x14ac:dyDescent="0.25">
      <c r="A9060" s="3"/>
    </row>
    <row r="9061" spans="1:1" x14ac:dyDescent="0.25">
      <c r="A9061" s="3"/>
    </row>
    <row r="9062" spans="1:1" x14ac:dyDescent="0.25">
      <c r="A9062" s="3"/>
    </row>
    <row r="9063" spans="1:1" x14ac:dyDescent="0.25">
      <c r="A9063" s="3"/>
    </row>
    <row r="9064" spans="1:1" x14ac:dyDescent="0.25">
      <c r="A9064" s="3"/>
    </row>
    <row r="9065" spans="1:1" x14ac:dyDescent="0.25">
      <c r="A9065" s="3"/>
    </row>
    <row r="9066" spans="1:1" x14ac:dyDescent="0.25">
      <c r="A9066" s="3"/>
    </row>
    <row r="9067" spans="1:1" x14ac:dyDescent="0.25">
      <c r="A9067" s="3"/>
    </row>
    <row r="9068" spans="1:1" x14ac:dyDescent="0.25">
      <c r="A9068" s="3"/>
    </row>
    <row r="9069" spans="1:1" x14ac:dyDescent="0.25">
      <c r="A9069" s="3"/>
    </row>
    <row r="9070" spans="1:1" x14ac:dyDescent="0.25">
      <c r="A9070" s="3"/>
    </row>
    <row r="9071" spans="1:1" x14ac:dyDescent="0.25">
      <c r="A9071" s="3"/>
    </row>
    <row r="9072" spans="1:1" x14ac:dyDescent="0.25">
      <c r="A9072" s="3"/>
    </row>
    <row r="9073" spans="1:1" x14ac:dyDescent="0.25">
      <c r="A9073" s="3"/>
    </row>
    <row r="9074" spans="1:1" x14ac:dyDescent="0.25">
      <c r="A9074" s="3"/>
    </row>
    <row r="9075" spans="1:1" x14ac:dyDescent="0.25">
      <c r="A9075" s="3"/>
    </row>
    <row r="9076" spans="1:1" x14ac:dyDescent="0.25">
      <c r="A9076" s="3"/>
    </row>
    <row r="9077" spans="1:1" x14ac:dyDescent="0.25">
      <c r="A9077" s="3"/>
    </row>
    <row r="9078" spans="1:1" x14ac:dyDescent="0.25">
      <c r="A9078" s="3"/>
    </row>
    <row r="9079" spans="1:1" x14ac:dyDescent="0.25">
      <c r="A9079" s="3"/>
    </row>
    <row r="9080" spans="1:1" x14ac:dyDescent="0.25">
      <c r="A9080" s="3"/>
    </row>
    <row r="9081" spans="1:1" x14ac:dyDescent="0.25">
      <c r="A9081" s="3"/>
    </row>
    <row r="9082" spans="1:1" x14ac:dyDescent="0.25">
      <c r="A9082" s="3"/>
    </row>
    <row r="9083" spans="1:1" x14ac:dyDescent="0.25">
      <c r="A9083" s="3"/>
    </row>
    <row r="9084" spans="1:1" x14ac:dyDescent="0.25">
      <c r="A9084" s="3"/>
    </row>
    <row r="9085" spans="1:1" x14ac:dyDescent="0.25">
      <c r="A9085" s="3"/>
    </row>
    <row r="9086" spans="1:1" x14ac:dyDescent="0.25">
      <c r="A9086" s="3"/>
    </row>
    <row r="9087" spans="1:1" x14ac:dyDescent="0.25">
      <c r="A9087" s="3"/>
    </row>
    <row r="9088" spans="1:1" x14ac:dyDescent="0.25">
      <c r="A9088" s="3"/>
    </row>
    <row r="9089" spans="1:1" x14ac:dyDescent="0.25">
      <c r="A9089" s="3"/>
    </row>
    <row r="9090" spans="1:1" x14ac:dyDescent="0.25">
      <c r="A9090" s="3"/>
    </row>
    <row r="9091" spans="1:1" x14ac:dyDescent="0.25">
      <c r="A9091" s="3"/>
    </row>
    <row r="9092" spans="1:1" x14ac:dyDescent="0.25">
      <c r="A9092" s="3"/>
    </row>
    <row r="9093" spans="1:1" x14ac:dyDescent="0.25">
      <c r="A9093" s="3"/>
    </row>
    <row r="9094" spans="1:1" x14ac:dyDescent="0.25">
      <c r="A9094" s="3"/>
    </row>
    <row r="9095" spans="1:1" x14ac:dyDescent="0.25">
      <c r="A9095" s="3"/>
    </row>
    <row r="9096" spans="1:1" x14ac:dyDescent="0.25">
      <c r="A9096" s="3"/>
    </row>
    <row r="9097" spans="1:1" x14ac:dyDescent="0.25">
      <c r="A9097" s="3"/>
    </row>
    <row r="9098" spans="1:1" x14ac:dyDescent="0.25">
      <c r="A9098" s="3"/>
    </row>
    <row r="9099" spans="1:1" x14ac:dyDescent="0.25">
      <c r="A9099" s="3"/>
    </row>
    <row r="9100" spans="1:1" x14ac:dyDescent="0.25">
      <c r="A9100" s="3"/>
    </row>
    <row r="9101" spans="1:1" x14ac:dyDescent="0.25">
      <c r="A9101" s="3"/>
    </row>
    <row r="9102" spans="1:1" x14ac:dyDescent="0.25">
      <c r="A9102" s="3"/>
    </row>
    <row r="9103" spans="1:1" x14ac:dyDescent="0.25">
      <c r="A9103" s="3"/>
    </row>
    <row r="9104" spans="1:1" x14ac:dyDescent="0.25">
      <c r="A9104" s="3"/>
    </row>
    <row r="9105" spans="1:1" x14ac:dyDescent="0.25">
      <c r="A9105" s="3"/>
    </row>
    <row r="9106" spans="1:1" x14ac:dyDescent="0.25">
      <c r="A9106" s="3"/>
    </row>
    <row r="9107" spans="1:1" x14ac:dyDescent="0.25">
      <c r="A9107" s="3"/>
    </row>
    <row r="9108" spans="1:1" x14ac:dyDescent="0.25">
      <c r="A9108" s="3"/>
    </row>
    <row r="9109" spans="1:1" x14ac:dyDescent="0.25">
      <c r="A9109" s="3"/>
    </row>
    <row r="9110" spans="1:1" x14ac:dyDescent="0.25">
      <c r="A9110" s="3"/>
    </row>
    <row r="9111" spans="1:1" x14ac:dyDescent="0.25">
      <c r="A9111" s="3"/>
    </row>
    <row r="9112" spans="1:1" x14ac:dyDescent="0.25">
      <c r="A9112" s="3"/>
    </row>
    <row r="9113" spans="1:1" x14ac:dyDescent="0.25">
      <c r="A9113" s="3"/>
    </row>
    <row r="9114" spans="1:1" x14ac:dyDescent="0.25">
      <c r="A9114" s="3"/>
    </row>
    <row r="9115" spans="1:1" x14ac:dyDescent="0.25">
      <c r="A9115" s="3"/>
    </row>
    <row r="9116" spans="1:1" x14ac:dyDescent="0.25">
      <c r="A9116" s="3"/>
    </row>
    <row r="9117" spans="1:1" x14ac:dyDescent="0.25">
      <c r="A9117" s="3"/>
    </row>
    <row r="9118" spans="1:1" x14ac:dyDescent="0.25">
      <c r="A9118" s="3"/>
    </row>
    <row r="9119" spans="1:1" x14ac:dyDescent="0.25">
      <c r="A9119" s="3"/>
    </row>
    <row r="9120" spans="1:1" x14ac:dyDescent="0.25">
      <c r="A9120" s="3"/>
    </row>
    <row r="9121" spans="1:1" x14ac:dyDescent="0.25">
      <c r="A9121" s="3"/>
    </row>
    <row r="9122" spans="1:1" x14ac:dyDescent="0.25">
      <c r="A9122" s="3"/>
    </row>
    <row r="9123" spans="1:1" x14ac:dyDescent="0.25">
      <c r="A9123" s="3"/>
    </row>
    <row r="9124" spans="1:1" x14ac:dyDescent="0.25">
      <c r="A9124" s="3"/>
    </row>
    <row r="9125" spans="1:1" x14ac:dyDescent="0.25">
      <c r="A9125" s="3"/>
    </row>
    <row r="9126" spans="1:1" x14ac:dyDescent="0.25">
      <c r="A9126" s="3"/>
    </row>
    <row r="9127" spans="1:1" x14ac:dyDescent="0.25">
      <c r="A9127" s="3"/>
    </row>
    <row r="9128" spans="1:1" x14ac:dyDescent="0.25">
      <c r="A9128" s="3"/>
    </row>
    <row r="9129" spans="1:1" x14ac:dyDescent="0.25">
      <c r="A9129" s="3"/>
    </row>
    <row r="9130" spans="1:1" x14ac:dyDescent="0.25">
      <c r="A9130" s="3"/>
    </row>
    <row r="9131" spans="1:1" x14ac:dyDescent="0.25">
      <c r="A9131" s="3"/>
    </row>
    <row r="9132" spans="1:1" x14ac:dyDescent="0.25">
      <c r="A9132" s="3"/>
    </row>
    <row r="9133" spans="1:1" x14ac:dyDescent="0.25">
      <c r="A9133" s="3"/>
    </row>
    <row r="9134" spans="1:1" x14ac:dyDescent="0.25">
      <c r="A9134" s="3"/>
    </row>
    <row r="9135" spans="1:1" x14ac:dyDescent="0.25">
      <c r="A9135" s="3"/>
    </row>
    <row r="9136" spans="1:1" x14ac:dyDescent="0.25">
      <c r="A9136" s="3"/>
    </row>
    <row r="9137" spans="1:1" x14ac:dyDescent="0.25">
      <c r="A9137" s="3"/>
    </row>
    <row r="9138" spans="1:1" x14ac:dyDescent="0.25">
      <c r="A9138" s="3"/>
    </row>
    <row r="9139" spans="1:1" x14ac:dyDescent="0.25">
      <c r="A9139" s="3"/>
    </row>
    <row r="9140" spans="1:1" x14ac:dyDescent="0.25">
      <c r="A9140" s="3"/>
    </row>
    <row r="9141" spans="1:1" x14ac:dyDescent="0.25">
      <c r="A9141" s="3"/>
    </row>
    <row r="9142" spans="1:1" x14ac:dyDescent="0.25">
      <c r="A9142" s="3"/>
    </row>
    <row r="9143" spans="1:1" x14ac:dyDescent="0.25">
      <c r="A9143" s="3"/>
    </row>
    <row r="9144" spans="1:1" x14ac:dyDescent="0.25">
      <c r="A9144" s="3"/>
    </row>
    <row r="9145" spans="1:1" x14ac:dyDescent="0.25">
      <c r="A9145" s="3"/>
    </row>
    <row r="9146" spans="1:1" x14ac:dyDescent="0.25">
      <c r="A9146" s="3"/>
    </row>
    <row r="9147" spans="1:1" x14ac:dyDescent="0.25">
      <c r="A9147" s="3"/>
    </row>
    <row r="9148" spans="1:1" x14ac:dyDescent="0.25">
      <c r="A9148" s="3"/>
    </row>
    <row r="9149" spans="1:1" x14ac:dyDescent="0.25">
      <c r="A9149" s="3"/>
    </row>
    <row r="9150" spans="1:1" x14ac:dyDescent="0.25">
      <c r="A9150" s="3"/>
    </row>
    <row r="9151" spans="1:1" x14ac:dyDescent="0.25">
      <c r="A9151" s="3"/>
    </row>
    <row r="9152" spans="1:1" x14ac:dyDescent="0.25">
      <c r="A9152" s="3"/>
    </row>
    <row r="9153" spans="1:1" x14ac:dyDescent="0.25">
      <c r="A9153" s="3"/>
    </row>
    <row r="9154" spans="1:1" x14ac:dyDescent="0.25">
      <c r="A9154" s="3"/>
    </row>
    <row r="9155" spans="1:1" x14ac:dyDescent="0.25">
      <c r="A9155" s="3"/>
    </row>
    <row r="9156" spans="1:1" x14ac:dyDescent="0.25">
      <c r="A9156" s="3"/>
    </row>
    <row r="9157" spans="1:1" x14ac:dyDescent="0.25">
      <c r="A9157" s="3"/>
    </row>
    <row r="9158" spans="1:1" x14ac:dyDescent="0.25">
      <c r="A9158" s="3"/>
    </row>
    <row r="9159" spans="1:1" x14ac:dyDescent="0.25">
      <c r="A9159" s="3"/>
    </row>
    <row r="9160" spans="1:1" x14ac:dyDescent="0.25">
      <c r="A9160" s="3"/>
    </row>
    <row r="9161" spans="1:1" x14ac:dyDescent="0.25">
      <c r="A9161" s="3"/>
    </row>
    <row r="9162" spans="1:1" x14ac:dyDescent="0.25">
      <c r="A9162" s="3"/>
    </row>
    <row r="9163" spans="1:1" x14ac:dyDescent="0.25">
      <c r="A9163" s="3"/>
    </row>
    <row r="9164" spans="1:1" x14ac:dyDescent="0.25">
      <c r="A9164" s="3"/>
    </row>
    <row r="9165" spans="1:1" x14ac:dyDescent="0.25">
      <c r="A9165" s="3"/>
    </row>
    <row r="9166" spans="1:1" x14ac:dyDescent="0.25">
      <c r="A9166" s="3"/>
    </row>
    <row r="9167" spans="1:1" x14ac:dyDescent="0.25">
      <c r="A9167" s="3"/>
    </row>
    <row r="9168" spans="1:1" x14ac:dyDescent="0.25">
      <c r="A9168" s="3"/>
    </row>
    <row r="9169" spans="1:1" x14ac:dyDescent="0.25">
      <c r="A9169" s="3"/>
    </row>
    <row r="9170" spans="1:1" x14ac:dyDescent="0.25">
      <c r="A9170" s="3"/>
    </row>
    <row r="9171" spans="1:1" x14ac:dyDescent="0.25">
      <c r="A9171" s="3"/>
    </row>
    <row r="9172" spans="1:1" x14ac:dyDescent="0.25">
      <c r="A9172" s="3"/>
    </row>
    <row r="9173" spans="1:1" x14ac:dyDescent="0.25">
      <c r="A9173" s="3"/>
    </row>
    <row r="9174" spans="1:1" x14ac:dyDescent="0.25">
      <c r="A9174" s="3"/>
    </row>
    <row r="9175" spans="1:1" x14ac:dyDescent="0.25">
      <c r="A9175" s="3"/>
    </row>
    <row r="9176" spans="1:1" x14ac:dyDescent="0.25">
      <c r="A9176" s="3"/>
    </row>
    <row r="9177" spans="1:1" x14ac:dyDescent="0.25">
      <c r="A9177" s="3"/>
    </row>
    <row r="9178" spans="1:1" x14ac:dyDescent="0.25">
      <c r="A9178" s="3"/>
    </row>
    <row r="9179" spans="1:1" x14ac:dyDescent="0.25">
      <c r="A9179" s="3"/>
    </row>
    <row r="9180" spans="1:1" x14ac:dyDescent="0.25">
      <c r="A9180" s="3"/>
    </row>
    <row r="9181" spans="1:1" x14ac:dyDescent="0.25">
      <c r="A9181" s="3"/>
    </row>
    <row r="9182" spans="1:1" x14ac:dyDescent="0.25">
      <c r="A9182" s="3"/>
    </row>
    <row r="9183" spans="1:1" x14ac:dyDescent="0.25">
      <c r="A9183" s="3"/>
    </row>
    <row r="9184" spans="1:1" x14ac:dyDescent="0.25">
      <c r="A9184" s="3"/>
    </row>
    <row r="9185" spans="1:1" x14ac:dyDescent="0.25">
      <c r="A9185" s="3"/>
    </row>
    <row r="9186" spans="1:1" x14ac:dyDescent="0.25">
      <c r="A9186" s="3"/>
    </row>
    <row r="9187" spans="1:1" x14ac:dyDescent="0.25">
      <c r="A9187" s="3"/>
    </row>
    <row r="9188" spans="1:1" x14ac:dyDescent="0.25">
      <c r="A9188" s="3"/>
    </row>
    <row r="9189" spans="1:1" x14ac:dyDescent="0.25">
      <c r="A9189" s="3"/>
    </row>
    <row r="9190" spans="1:1" x14ac:dyDescent="0.25">
      <c r="A9190" s="3"/>
    </row>
    <row r="9191" spans="1:1" x14ac:dyDescent="0.25">
      <c r="A9191" s="3"/>
    </row>
    <row r="9192" spans="1:1" x14ac:dyDescent="0.25">
      <c r="A9192" s="3"/>
    </row>
    <row r="9193" spans="1:1" x14ac:dyDescent="0.25">
      <c r="A9193" s="3"/>
    </row>
    <row r="9194" spans="1:1" x14ac:dyDescent="0.25">
      <c r="A9194" s="3"/>
    </row>
    <row r="9195" spans="1:1" x14ac:dyDescent="0.25">
      <c r="A9195" s="3"/>
    </row>
    <row r="9196" spans="1:1" x14ac:dyDescent="0.25">
      <c r="A9196" s="3"/>
    </row>
    <row r="9197" spans="1:1" x14ac:dyDescent="0.25">
      <c r="A9197" s="3"/>
    </row>
    <row r="9198" spans="1:1" x14ac:dyDescent="0.25">
      <c r="A9198" s="3"/>
    </row>
    <row r="9199" spans="1:1" x14ac:dyDescent="0.25">
      <c r="A9199" s="3"/>
    </row>
    <row r="9200" spans="1:1" x14ac:dyDescent="0.25">
      <c r="A9200" s="3"/>
    </row>
    <row r="9201" spans="1:1" x14ac:dyDescent="0.25">
      <c r="A9201" s="3"/>
    </row>
    <row r="9202" spans="1:1" x14ac:dyDescent="0.25">
      <c r="A9202" s="3"/>
    </row>
    <row r="9203" spans="1:1" x14ac:dyDescent="0.25">
      <c r="A9203" s="3"/>
    </row>
    <row r="9204" spans="1:1" x14ac:dyDescent="0.25">
      <c r="A9204" s="3"/>
    </row>
    <row r="9205" spans="1:1" x14ac:dyDescent="0.25">
      <c r="A9205" s="3"/>
    </row>
    <row r="9206" spans="1:1" x14ac:dyDescent="0.25">
      <c r="A9206" s="3"/>
    </row>
    <row r="9207" spans="1:1" x14ac:dyDescent="0.25">
      <c r="A9207" s="3"/>
    </row>
    <row r="9208" spans="1:1" x14ac:dyDescent="0.25">
      <c r="A9208" s="3"/>
    </row>
    <row r="9209" spans="1:1" x14ac:dyDescent="0.25">
      <c r="A9209" s="3"/>
    </row>
    <row r="9210" spans="1:1" x14ac:dyDescent="0.25">
      <c r="A9210" s="3"/>
    </row>
    <row r="9211" spans="1:1" x14ac:dyDescent="0.25">
      <c r="A9211" s="3"/>
    </row>
    <row r="9212" spans="1:1" x14ac:dyDescent="0.25">
      <c r="A9212" s="3"/>
    </row>
    <row r="9213" spans="1:1" x14ac:dyDescent="0.25">
      <c r="A9213" s="3"/>
    </row>
    <row r="9214" spans="1:1" x14ac:dyDescent="0.25">
      <c r="A9214" s="3"/>
    </row>
    <row r="9215" spans="1:1" x14ac:dyDescent="0.25">
      <c r="A9215" s="3"/>
    </row>
    <row r="9216" spans="1:1" x14ac:dyDescent="0.25">
      <c r="A9216" s="3"/>
    </row>
    <row r="9217" spans="1:1" x14ac:dyDescent="0.25">
      <c r="A9217" s="3"/>
    </row>
    <row r="9218" spans="1:1" x14ac:dyDescent="0.25">
      <c r="A9218" s="3"/>
    </row>
    <row r="9219" spans="1:1" x14ac:dyDescent="0.25">
      <c r="A9219" s="3"/>
    </row>
    <row r="9220" spans="1:1" x14ac:dyDescent="0.25">
      <c r="A9220" s="3"/>
    </row>
    <row r="9221" spans="1:1" x14ac:dyDescent="0.25">
      <c r="A9221" s="3"/>
    </row>
    <row r="9222" spans="1:1" x14ac:dyDescent="0.25">
      <c r="A9222" s="3"/>
    </row>
    <row r="9223" spans="1:1" x14ac:dyDescent="0.25">
      <c r="A9223" s="3"/>
    </row>
    <row r="9224" spans="1:1" x14ac:dyDescent="0.25">
      <c r="A9224" s="3"/>
    </row>
    <row r="9225" spans="1:1" x14ac:dyDescent="0.25">
      <c r="A9225" s="3"/>
    </row>
    <row r="9226" spans="1:1" x14ac:dyDescent="0.25">
      <c r="A9226" s="3"/>
    </row>
    <row r="9227" spans="1:1" x14ac:dyDescent="0.25">
      <c r="A9227" s="3"/>
    </row>
    <row r="9228" spans="1:1" x14ac:dyDescent="0.25">
      <c r="A9228" s="3"/>
    </row>
    <row r="9229" spans="1:1" x14ac:dyDescent="0.25">
      <c r="A9229" s="3"/>
    </row>
    <row r="9230" spans="1:1" x14ac:dyDescent="0.25">
      <c r="A9230" s="3"/>
    </row>
    <row r="9231" spans="1:1" x14ac:dyDescent="0.25">
      <c r="A9231" s="3"/>
    </row>
    <row r="9232" spans="1:1" x14ac:dyDescent="0.25">
      <c r="A9232" s="3"/>
    </row>
    <row r="9233" spans="1:1" x14ac:dyDescent="0.25">
      <c r="A9233" s="3"/>
    </row>
    <row r="9234" spans="1:1" x14ac:dyDescent="0.25">
      <c r="A9234" s="3"/>
    </row>
    <row r="9235" spans="1:1" x14ac:dyDescent="0.25">
      <c r="A9235" s="3"/>
    </row>
    <row r="9236" spans="1:1" x14ac:dyDescent="0.25">
      <c r="A9236" s="3"/>
    </row>
    <row r="9237" spans="1:1" x14ac:dyDescent="0.25">
      <c r="A9237" s="3"/>
    </row>
    <row r="9238" spans="1:1" x14ac:dyDescent="0.25">
      <c r="A9238" s="3"/>
    </row>
    <row r="9239" spans="1:1" x14ac:dyDescent="0.25">
      <c r="A9239" s="3"/>
    </row>
    <row r="9240" spans="1:1" x14ac:dyDescent="0.25">
      <c r="A9240" s="3"/>
    </row>
    <row r="9241" spans="1:1" x14ac:dyDescent="0.25">
      <c r="A9241" s="3"/>
    </row>
    <row r="9242" spans="1:1" x14ac:dyDescent="0.25">
      <c r="A9242" s="3"/>
    </row>
    <row r="9243" spans="1:1" x14ac:dyDescent="0.25">
      <c r="A9243" s="3"/>
    </row>
    <row r="9244" spans="1:1" x14ac:dyDescent="0.25">
      <c r="A9244" s="3"/>
    </row>
    <row r="9245" spans="1:1" x14ac:dyDescent="0.25">
      <c r="A9245" s="3"/>
    </row>
    <row r="9246" spans="1:1" x14ac:dyDescent="0.25">
      <c r="A9246" s="3"/>
    </row>
    <row r="9247" spans="1:1" x14ac:dyDescent="0.25">
      <c r="A9247" s="3"/>
    </row>
    <row r="9248" spans="1:1" x14ac:dyDescent="0.25">
      <c r="A9248" s="3"/>
    </row>
    <row r="9249" spans="1:1" x14ac:dyDescent="0.25">
      <c r="A9249" s="3"/>
    </row>
    <row r="9250" spans="1:1" x14ac:dyDescent="0.25">
      <c r="A9250" s="3"/>
    </row>
    <row r="9251" spans="1:1" x14ac:dyDescent="0.25">
      <c r="A9251" s="3"/>
    </row>
    <row r="9252" spans="1:1" x14ac:dyDescent="0.25">
      <c r="A9252" s="3"/>
    </row>
    <row r="9253" spans="1:1" x14ac:dyDescent="0.25">
      <c r="A9253" s="3"/>
    </row>
    <row r="9254" spans="1:1" x14ac:dyDescent="0.25">
      <c r="A9254" s="3"/>
    </row>
    <row r="9255" spans="1:1" x14ac:dyDescent="0.25">
      <c r="A9255" s="3"/>
    </row>
    <row r="9256" spans="1:1" x14ac:dyDescent="0.25">
      <c r="A9256" s="3"/>
    </row>
    <row r="9257" spans="1:1" x14ac:dyDescent="0.25">
      <c r="A9257" s="3"/>
    </row>
    <row r="9258" spans="1:1" x14ac:dyDescent="0.25">
      <c r="A9258" s="3"/>
    </row>
    <row r="9259" spans="1:1" x14ac:dyDescent="0.25">
      <c r="A9259" s="3"/>
    </row>
    <row r="9260" spans="1:1" x14ac:dyDescent="0.25">
      <c r="A9260" s="3"/>
    </row>
    <row r="9261" spans="1:1" x14ac:dyDescent="0.25">
      <c r="A9261" s="3"/>
    </row>
    <row r="9262" spans="1:1" x14ac:dyDescent="0.25">
      <c r="A9262" s="3"/>
    </row>
    <row r="9263" spans="1:1" x14ac:dyDescent="0.25">
      <c r="A9263" s="3"/>
    </row>
    <row r="9264" spans="1:1" x14ac:dyDescent="0.25">
      <c r="A9264" s="3"/>
    </row>
    <row r="9265" spans="1:1" x14ac:dyDescent="0.25">
      <c r="A9265" s="3"/>
    </row>
    <row r="9266" spans="1:1" x14ac:dyDescent="0.25">
      <c r="A9266" s="3"/>
    </row>
    <row r="9267" spans="1:1" x14ac:dyDescent="0.25">
      <c r="A9267" s="3"/>
    </row>
    <row r="9268" spans="1:1" x14ac:dyDescent="0.25">
      <c r="A9268" s="3"/>
    </row>
    <row r="9269" spans="1:1" x14ac:dyDescent="0.25">
      <c r="A9269" s="3"/>
    </row>
    <row r="9270" spans="1:1" x14ac:dyDescent="0.25">
      <c r="A9270" s="3"/>
    </row>
    <row r="9271" spans="1:1" x14ac:dyDescent="0.25">
      <c r="A9271" s="3"/>
    </row>
    <row r="9272" spans="1:1" x14ac:dyDescent="0.25">
      <c r="A9272" s="3"/>
    </row>
    <row r="9273" spans="1:1" x14ac:dyDescent="0.25">
      <c r="A9273" s="3"/>
    </row>
    <row r="9274" spans="1:1" x14ac:dyDescent="0.25">
      <c r="A9274" s="3"/>
    </row>
    <row r="9275" spans="1:1" x14ac:dyDescent="0.25">
      <c r="A9275" s="3"/>
    </row>
    <row r="9276" spans="1:1" x14ac:dyDescent="0.25">
      <c r="A9276" s="3"/>
    </row>
    <row r="9277" spans="1:1" x14ac:dyDescent="0.25">
      <c r="A9277" s="3"/>
    </row>
    <row r="9278" spans="1:1" x14ac:dyDescent="0.25">
      <c r="A9278" s="3"/>
    </row>
    <row r="9279" spans="1:1" x14ac:dyDescent="0.25">
      <c r="A9279" s="3"/>
    </row>
    <row r="9280" spans="1:1" x14ac:dyDescent="0.25">
      <c r="A9280" s="3"/>
    </row>
    <row r="9281" spans="1:1" x14ac:dyDescent="0.25">
      <c r="A9281" s="3"/>
    </row>
    <row r="9282" spans="1:1" x14ac:dyDescent="0.25">
      <c r="A9282" s="3"/>
    </row>
    <row r="9283" spans="1:1" x14ac:dyDescent="0.25">
      <c r="A9283" s="3"/>
    </row>
    <row r="9284" spans="1:1" x14ac:dyDescent="0.25">
      <c r="A9284" s="3"/>
    </row>
    <row r="9285" spans="1:1" x14ac:dyDescent="0.25">
      <c r="A9285" s="3"/>
    </row>
    <row r="9286" spans="1:1" x14ac:dyDescent="0.25">
      <c r="A9286" s="3"/>
    </row>
    <row r="9287" spans="1:1" x14ac:dyDescent="0.25">
      <c r="A9287" s="3"/>
    </row>
    <row r="9288" spans="1:1" x14ac:dyDescent="0.25">
      <c r="A9288" s="3"/>
    </row>
    <row r="9289" spans="1:1" x14ac:dyDescent="0.25">
      <c r="A9289" s="3"/>
    </row>
    <row r="9290" spans="1:1" x14ac:dyDescent="0.25">
      <c r="A9290" s="3"/>
    </row>
    <row r="9291" spans="1:1" x14ac:dyDescent="0.25">
      <c r="A9291" s="3"/>
    </row>
    <row r="9292" spans="1:1" x14ac:dyDescent="0.25">
      <c r="A9292" s="3"/>
    </row>
    <row r="9293" spans="1:1" x14ac:dyDescent="0.25">
      <c r="A9293" s="3"/>
    </row>
    <row r="9294" spans="1:1" x14ac:dyDescent="0.25">
      <c r="A9294" s="3"/>
    </row>
    <row r="9295" spans="1:1" x14ac:dyDescent="0.25">
      <c r="A9295" s="3"/>
    </row>
    <row r="9296" spans="1:1" x14ac:dyDescent="0.25">
      <c r="A9296" s="3"/>
    </row>
    <row r="9297" spans="1:1" x14ac:dyDescent="0.25">
      <c r="A9297" s="3"/>
    </row>
    <row r="9298" spans="1:1" x14ac:dyDescent="0.25">
      <c r="A9298" s="3"/>
    </row>
    <row r="9299" spans="1:1" x14ac:dyDescent="0.25">
      <c r="A9299" s="3"/>
    </row>
    <row r="9300" spans="1:1" x14ac:dyDescent="0.25">
      <c r="A9300" s="3"/>
    </row>
    <row r="9301" spans="1:1" x14ac:dyDescent="0.25">
      <c r="A9301" s="3"/>
    </row>
    <row r="9302" spans="1:1" x14ac:dyDescent="0.25">
      <c r="A9302" s="3"/>
    </row>
    <row r="9303" spans="1:1" x14ac:dyDescent="0.25">
      <c r="A9303" s="3"/>
    </row>
    <row r="9304" spans="1:1" x14ac:dyDescent="0.25">
      <c r="A9304" s="3"/>
    </row>
    <row r="9305" spans="1:1" x14ac:dyDescent="0.25">
      <c r="A9305" s="3"/>
    </row>
    <row r="9306" spans="1:1" x14ac:dyDescent="0.25">
      <c r="A9306" s="3"/>
    </row>
    <row r="9307" spans="1:1" x14ac:dyDescent="0.25">
      <c r="A9307" s="3"/>
    </row>
    <row r="9308" spans="1:1" x14ac:dyDescent="0.25">
      <c r="A9308" s="3"/>
    </row>
    <row r="9309" spans="1:1" x14ac:dyDescent="0.25">
      <c r="A9309" s="3"/>
    </row>
    <row r="9310" spans="1:1" x14ac:dyDescent="0.25">
      <c r="A9310" s="3"/>
    </row>
    <row r="9311" spans="1:1" x14ac:dyDescent="0.25">
      <c r="A9311" s="3"/>
    </row>
    <row r="9312" spans="1:1" x14ac:dyDescent="0.25">
      <c r="A9312" s="3"/>
    </row>
    <row r="9313" spans="1:1" x14ac:dyDescent="0.25">
      <c r="A9313" s="3"/>
    </row>
    <row r="9314" spans="1:1" x14ac:dyDescent="0.25">
      <c r="A9314" s="3"/>
    </row>
    <row r="9315" spans="1:1" x14ac:dyDescent="0.25">
      <c r="A9315" s="3"/>
    </row>
    <row r="9316" spans="1:1" x14ac:dyDescent="0.25">
      <c r="A9316" s="3"/>
    </row>
    <row r="9317" spans="1:1" x14ac:dyDescent="0.25">
      <c r="A9317" s="3"/>
    </row>
    <row r="9318" spans="1:1" x14ac:dyDescent="0.25">
      <c r="A9318" s="3"/>
    </row>
    <row r="9319" spans="1:1" x14ac:dyDescent="0.25">
      <c r="A9319" s="3"/>
    </row>
    <row r="9320" spans="1:1" x14ac:dyDescent="0.25">
      <c r="A9320" s="3"/>
    </row>
    <row r="9321" spans="1:1" x14ac:dyDescent="0.25">
      <c r="A9321" s="3"/>
    </row>
    <row r="9322" spans="1:1" x14ac:dyDescent="0.25">
      <c r="A9322" s="3"/>
    </row>
    <row r="9323" spans="1:1" x14ac:dyDescent="0.25">
      <c r="A9323" s="3"/>
    </row>
    <row r="9324" spans="1:1" x14ac:dyDescent="0.25">
      <c r="A9324" s="3"/>
    </row>
    <row r="9325" spans="1:1" x14ac:dyDescent="0.25">
      <c r="A9325" s="3"/>
    </row>
    <row r="9326" spans="1:1" x14ac:dyDescent="0.25">
      <c r="A9326" s="3"/>
    </row>
    <row r="9327" spans="1:1" x14ac:dyDescent="0.25">
      <c r="A9327" s="3"/>
    </row>
    <row r="9328" spans="1:1" x14ac:dyDescent="0.25">
      <c r="A9328" s="3"/>
    </row>
    <row r="9329" spans="1:1" x14ac:dyDescent="0.25">
      <c r="A9329" s="3"/>
    </row>
    <row r="9330" spans="1:1" x14ac:dyDescent="0.25">
      <c r="A9330" s="3"/>
    </row>
    <row r="9331" spans="1:1" x14ac:dyDescent="0.25">
      <c r="A9331" s="3"/>
    </row>
    <row r="9332" spans="1:1" x14ac:dyDescent="0.25">
      <c r="A9332" s="3"/>
    </row>
    <row r="9333" spans="1:1" x14ac:dyDescent="0.25">
      <c r="A9333" s="3"/>
    </row>
    <row r="9334" spans="1:1" x14ac:dyDescent="0.25">
      <c r="A9334" s="3"/>
    </row>
    <row r="9335" spans="1:1" x14ac:dyDescent="0.25">
      <c r="A9335" s="3"/>
    </row>
    <row r="9336" spans="1:1" x14ac:dyDescent="0.25">
      <c r="A9336" s="3"/>
    </row>
    <row r="9337" spans="1:1" x14ac:dyDescent="0.25">
      <c r="A9337" s="3"/>
    </row>
    <row r="9338" spans="1:1" x14ac:dyDescent="0.25">
      <c r="A9338" s="3"/>
    </row>
    <row r="9339" spans="1:1" x14ac:dyDescent="0.25">
      <c r="A9339" s="3"/>
    </row>
    <row r="9340" spans="1:1" x14ac:dyDescent="0.25">
      <c r="A9340" s="3"/>
    </row>
    <row r="9341" spans="1:1" x14ac:dyDescent="0.25">
      <c r="A9341" s="3"/>
    </row>
    <row r="9342" spans="1:1" x14ac:dyDescent="0.25">
      <c r="A9342" s="3"/>
    </row>
    <row r="9343" spans="1:1" x14ac:dyDescent="0.25">
      <c r="A9343" s="3"/>
    </row>
    <row r="9344" spans="1:1" x14ac:dyDescent="0.25">
      <c r="A9344" s="3"/>
    </row>
    <row r="9345" spans="1:1" x14ac:dyDescent="0.25">
      <c r="A9345" s="3"/>
    </row>
    <row r="9346" spans="1:1" x14ac:dyDescent="0.25">
      <c r="A9346" s="3"/>
    </row>
    <row r="9347" spans="1:1" x14ac:dyDescent="0.25">
      <c r="A9347" s="3"/>
    </row>
    <row r="9348" spans="1:1" x14ac:dyDescent="0.25">
      <c r="A9348" s="3"/>
    </row>
    <row r="9349" spans="1:1" x14ac:dyDescent="0.25">
      <c r="A9349" s="3"/>
    </row>
    <row r="9350" spans="1:1" x14ac:dyDescent="0.25">
      <c r="A9350" s="3"/>
    </row>
    <row r="9351" spans="1:1" x14ac:dyDescent="0.25">
      <c r="A9351" s="3"/>
    </row>
    <row r="9352" spans="1:1" x14ac:dyDescent="0.25">
      <c r="A9352" s="3"/>
    </row>
    <row r="9353" spans="1:1" x14ac:dyDescent="0.25">
      <c r="A9353" s="3"/>
    </row>
    <row r="9354" spans="1:1" x14ac:dyDescent="0.25">
      <c r="A9354" s="3"/>
    </row>
    <row r="9355" spans="1:1" x14ac:dyDescent="0.25">
      <c r="A9355" s="3"/>
    </row>
    <row r="9356" spans="1:1" x14ac:dyDescent="0.25">
      <c r="A9356" s="3"/>
    </row>
    <row r="9357" spans="1:1" x14ac:dyDescent="0.25">
      <c r="A9357" s="3"/>
    </row>
    <row r="9358" spans="1:1" x14ac:dyDescent="0.25">
      <c r="A9358" s="3"/>
    </row>
    <row r="9359" spans="1:1" x14ac:dyDescent="0.25">
      <c r="A9359" s="3"/>
    </row>
    <row r="9360" spans="1:1" x14ac:dyDescent="0.25">
      <c r="A9360" s="3"/>
    </row>
    <row r="9361" spans="1:1" x14ac:dyDescent="0.25">
      <c r="A9361" s="3"/>
    </row>
    <row r="9362" spans="1:1" x14ac:dyDescent="0.25">
      <c r="A9362" s="3"/>
    </row>
    <row r="9363" spans="1:1" x14ac:dyDescent="0.25">
      <c r="A9363" s="3"/>
    </row>
    <row r="9364" spans="1:1" x14ac:dyDescent="0.25">
      <c r="A9364" s="3"/>
    </row>
    <row r="9365" spans="1:1" x14ac:dyDescent="0.25">
      <c r="A9365" s="3"/>
    </row>
    <row r="9366" spans="1:1" x14ac:dyDescent="0.25">
      <c r="A9366" s="3"/>
    </row>
    <row r="9367" spans="1:1" x14ac:dyDescent="0.25">
      <c r="A9367" s="3"/>
    </row>
    <row r="9368" spans="1:1" x14ac:dyDescent="0.25">
      <c r="A9368" s="3"/>
    </row>
    <row r="9369" spans="1:1" x14ac:dyDescent="0.25">
      <c r="A9369" s="3"/>
    </row>
    <row r="9370" spans="1:1" x14ac:dyDescent="0.25">
      <c r="A9370" s="3"/>
    </row>
    <row r="9371" spans="1:1" x14ac:dyDescent="0.25">
      <c r="A9371" s="3"/>
    </row>
    <row r="9372" spans="1:1" x14ac:dyDescent="0.25">
      <c r="A9372" s="3"/>
    </row>
    <row r="9373" spans="1:1" x14ac:dyDescent="0.25">
      <c r="A9373" s="3"/>
    </row>
    <row r="9374" spans="1:1" x14ac:dyDescent="0.25">
      <c r="A9374" s="3"/>
    </row>
    <row r="9375" spans="1:1" x14ac:dyDescent="0.25">
      <c r="A9375" s="3"/>
    </row>
    <row r="9376" spans="1:1" x14ac:dyDescent="0.25">
      <c r="A9376" s="3"/>
    </row>
    <row r="9377" spans="1:1" x14ac:dyDescent="0.25">
      <c r="A9377" s="3"/>
    </row>
    <row r="9378" spans="1:1" x14ac:dyDescent="0.25">
      <c r="A9378" s="3"/>
    </row>
    <row r="9379" spans="1:1" x14ac:dyDescent="0.25">
      <c r="A9379" s="3"/>
    </row>
    <row r="9380" spans="1:1" x14ac:dyDescent="0.25">
      <c r="A9380" s="3"/>
    </row>
    <row r="9381" spans="1:1" x14ac:dyDescent="0.25">
      <c r="A9381" s="3"/>
    </row>
    <row r="9382" spans="1:1" x14ac:dyDescent="0.25">
      <c r="A9382" s="3"/>
    </row>
    <row r="9383" spans="1:1" x14ac:dyDescent="0.25">
      <c r="A9383" s="3"/>
    </row>
    <row r="9384" spans="1:1" x14ac:dyDescent="0.25">
      <c r="A9384" s="3"/>
    </row>
    <row r="9385" spans="1:1" x14ac:dyDescent="0.25">
      <c r="A9385" s="3"/>
    </row>
    <row r="9386" spans="1:1" x14ac:dyDescent="0.25">
      <c r="A9386" s="3"/>
    </row>
    <row r="9387" spans="1:1" x14ac:dyDescent="0.25">
      <c r="A9387" s="3"/>
    </row>
    <row r="9388" spans="1:1" x14ac:dyDescent="0.25">
      <c r="A9388" s="3"/>
    </row>
    <row r="9389" spans="1:1" x14ac:dyDescent="0.25">
      <c r="A9389" s="3"/>
    </row>
    <row r="9390" spans="1:1" x14ac:dyDescent="0.25">
      <c r="A9390" s="3"/>
    </row>
    <row r="9391" spans="1:1" x14ac:dyDescent="0.25">
      <c r="A9391" s="3"/>
    </row>
    <row r="9392" spans="1:1" x14ac:dyDescent="0.25">
      <c r="A9392" s="3"/>
    </row>
    <row r="9393" spans="1:1" x14ac:dyDescent="0.25">
      <c r="A9393" s="3"/>
    </row>
    <row r="9394" spans="1:1" x14ac:dyDescent="0.25">
      <c r="A9394" s="3"/>
    </row>
    <row r="9395" spans="1:1" x14ac:dyDescent="0.25">
      <c r="A9395" s="3"/>
    </row>
    <row r="9396" spans="1:1" x14ac:dyDescent="0.25">
      <c r="A9396" s="3"/>
    </row>
    <row r="9397" spans="1:1" x14ac:dyDescent="0.25">
      <c r="A9397" s="3"/>
    </row>
    <row r="9398" spans="1:1" x14ac:dyDescent="0.25">
      <c r="A9398" s="3"/>
    </row>
    <row r="9399" spans="1:1" x14ac:dyDescent="0.25">
      <c r="A9399" s="3"/>
    </row>
    <row r="9400" spans="1:1" x14ac:dyDescent="0.25">
      <c r="A9400" s="3"/>
    </row>
    <row r="9401" spans="1:1" x14ac:dyDescent="0.25">
      <c r="A9401" s="3"/>
    </row>
    <row r="9402" spans="1:1" x14ac:dyDescent="0.25">
      <c r="A9402" s="3"/>
    </row>
    <row r="9403" spans="1:1" x14ac:dyDescent="0.25">
      <c r="A9403" s="3"/>
    </row>
    <row r="9404" spans="1:1" x14ac:dyDescent="0.25">
      <c r="A9404" s="3"/>
    </row>
    <row r="9405" spans="1:1" x14ac:dyDescent="0.25">
      <c r="A9405" s="3"/>
    </row>
    <row r="9406" spans="1:1" x14ac:dyDescent="0.25">
      <c r="A9406" s="3"/>
    </row>
    <row r="9407" spans="1:1" x14ac:dyDescent="0.25">
      <c r="A9407" s="3"/>
    </row>
    <row r="9408" spans="1:1" x14ac:dyDescent="0.25">
      <c r="A9408" s="3"/>
    </row>
    <row r="9409" spans="1:1" x14ac:dyDescent="0.25">
      <c r="A9409" s="3"/>
    </row>
    <row r="9410" spans="1:1" x14ac:dyDescent="0.25">
      <c r="A9410" s="3"/>
    </row>
    <row r="9411" spans="1:1" x14ac:dyDescent="0.25">
      <c r="A9411" s="3"/>
    </row>
    <row r="9412" spans="1:1" x14ac:dyDescent="0.25">
      <c r="A9412" s="3"/>
    </row>
    <row r="9413" spans="1:1" x14ac:dyDescent="0.25">
      <c r="A9413" s="3"/>
    </row>
    <row r="9414" spans="1:1" x14ac:dyDescent="0.25">
      <c r="A9414" s="3"/>
    </row>
    <row r="9415" spans="1:1" x14ac:dyDescent="0.25">
      <c r="A9415" s="3"/>
    </row>
    <row r="9416" spans="1:1" x14ac:dyDescent="0.25">
      <c r="A9416" s="3"/>
    </row>
    <row r="9417" spans="1:1" x14ac:dyDescent="0.25">
      <c r="A9417" s="3"/>
    </row>
    <row r="9418" spans="1:1" x14ac:dyDescent="0.25">
      <c r="A9418" s="3"/>
    </row>
    <row r="9419" spans="1:1" x14ac:dyDescent="0.25">
      <c r="A9419" s="3"/>
    </row>
    <row r="9420" spans="1:1" x14ac:dyDescent="0.25">
      <c r="A9420" s="3"/>
    </row>
    <row r="9421" spans="1:1" x14ac:dyDescent="0.25">
      <c r="A9421" s="3"/>
    </row>
    <row r="9422" spans="1:1" x14ac:dyDescent="0.25">
      <c r="A9422" s="3"/>
    </row>
    <row r="9423" spans="1:1" x14ac:dyDescent="0.25">
      <c r="A9423" s="3"/>
    </row>
    <row r="9424" spans="1:1" x14ac:dyDescent="0.25">
      <c r="A9424" s="3"/>
    </row>
    <row r="9425" spans="1:1" x14ac:dyDescent="0.25">
      <c r="A9425" s="3"/>
    </row>
    <row r="9426" spans="1:1" x14ac:dyDescent="0.25">
      <c r="A9426" s="3"/>
    </row>
    <row r="9427" spans="1:1" x14ac:dyDescent="0.25">
      <c r="A9427" s="3"/>
    </row>
    <row r="9428" spans="1:1" x14ac:dyDescent="0.25">
      <c r="A9428" s="3"/>
    </row>
    <row r="9429" spans="1:1" x14ac:dyDescent="0.25">
      <c r="A9429" s="3"/>
    </row>
    <row r="9430" spans="1:1" x14ac:dyDescent="0.25">
      <c r="A9430" s="3"/>
    </row>
    <row r="9431" spans="1:1" x14ac:dyDescent="0.25">
      <c r="A9431" s="3"/>
    </row>
    <row r="9432" spans="1:1" x14ac:dyDescent="0.25">
      <c r="A9432" s="3"/>
    </row>
    <row r="9433" spans="1:1" x14ac:dyDescent="0.25">
      <c r="A9433" s="3"/>
    </row>
    <row r="9434" spans="1:1" x14ac:dyDescent="0.25">
      <c r="A9434" s="3"/>
    </row>
    <row r="9435" spans="1:1" x14ac:dyDescent="0.25">
      <c r="A9435" s="3"/>
    </row>
    <row r="9436" spans="1:1" x14ac:dyDescent="0.25">
      <c r="A9436" s="3"/>
    </row>
    <row r="9437" spans="1:1" x14ac:dyDescent="0.25">
      <c r="A9437" s="3"/>
    </row>
    <row r="9438" spans="1:1" x14ac:dyDescent="0.25">
      <c r="A9438" s="3"/>
    </row>
    <row r="9439" spans="1:1" x14ac:dyDescent="0.25">
      <c r="A9439" s="3"/>
    </row>
    <row r="9440" spans="1:1" x14ac:dyDescent="0.25">
      <c r="A9440" s="3"/>
    </row>
    <row r="9441" spans="1:1" x14ac:dyDescent="0.25">
      <c r="A9441" s="3"/>
    </row>
    <row r="9442" spans="1:1" x14ac:dyDescent="0.25">
      <c r="A9442" s="3"/>
    </row>
    <row r="9443" spans="1:1" x14ac:dyDescent="0.25">
      <c r="A9443" s="3"/>
    </row>
    <row r="9444" spans="1:1" x14ac:dyDescent="0.25">
      <c r="A9444" s="3"/>
    </row>
    <row r="9445" spans="1:1" x14ac:dyDescent="0.25">
      <c r="A9445" s="3"/>
    </row>
    <row r="9446" spans="1:1" x14ac:dyDescent="0.25">
      <c r="A9446" s="3"/>
    </row>
    <row r="9447" spans="1:1" x14ac:dyDescent="0.25">
      <c r="A9447" s="3"/>
    </row>
    <row r="9448" spans="1:1" x14ac:dyDescent="0.25">
      <c r="A9448" s="3"/>
    </row>
    <row r="9449" spans="1:1" x14ac:dyDescent="0.25">
      <c r="A9449" s="3"/>
    </row>
    <row r="9450" spans="1:1" x14ac:dyDescent="0.25">
      <c r="A9450" s="3"/>
    </row>
    <row r="9451" spans="1:1" x14ac:dyDescent="0.25">
      <c r="A9451" s="3"/>
    </row>
    <row r="9452" spans="1:1" x14ac:dyDescent="0.25">
      <c r="A9452" s="3"/>
    </row>
    <row r="9453" spans="1:1" x14ac:dyDescent="0.25">
      <c r="A9453" s="3"/>
    </row>
    <row r="9454" spans="1:1" x14ac:dyDescent="0.25">
      <c r="A9454" s="3"/>
    </row>
    <row r="9455" spans="1:1" x14ac:dyDescent="0.25">
      <c r="A9455" s="3"/>
    </row>
    <row r="9456" spans="1:1" x14ac:dyDescent="0.25">
      <c r="A9456" s="3"/>
    </row>
    <row r="9457" spans="1:1" x14ac:dyDescent="0.25">
      <c r="A9457" s="3"/>
    </row>
    <row r="9458" spans="1:1" x14ac:dyDescent="0.25">
      <c r="A9458" s="3"/>
    </row>
    <row r="9459" spans="1:1" x14ac:dyDescent="0.25">
      <c r="A9459" s="3"/>
    </row>
    <row r="9460" spans="1:1" x14ac:dyDescent="0.25">
      <c r="A9460" s="3"/>
    </row>
    <row r="9461" spans="1:1" x14ac:dyDescent="0.25">
      <c r="A9461" s="3"/>
    </row>
    <row r="9462" spans="1:1" x14ac:dyDescent="0.25">
      <c r="A9462" s="3"/>
    </row>
    <row r="9463" spans="1:1" x14ac:dyDescent="0.25">
      <c r="A9463" s="3"/>
    </row>
    <row r="9464" spans="1:1" x14ac:dyDescent="0.25">
      <c r="A9464" s="3"/>
    </row>
    <row r="9465" spans="1:1" x14ac:dyDescent="0.25">
      <c r="A9465" s="3"/>
    </row>
    <row r="9466" spans="1:1" x14ac:dyDescent="0.25">
      <c r="A9466" s="3"/>
    </row>
    <row r="9467" spans="1:1" x14ac:dyDescent="0.25">
      <c r="A9467" s="3"/>
    </row>
    <row r="9468" spans="1:1" x14ac:dyDescent="0.25">
      <c r="A9468" s="3"/>
    </row>
    <row r="9469" spans="1:1" x14ac:dyDescent="0.25">
      <c r="A9469" s="3"/>
    </row>
    <row r="9470" spans="1:1" x14ac:dyDescent="0.25">
      <c r="A9470" s="3"/>
    </row>
    <row r="9471" spans="1:1" x14ac:dyDescent="0.25">
      <c r="A9471" s="3"/>
    </row>
    <row r="9472" spans="1:1" x14ac:dyDescent="0.25">
      <c r="A9472" s="3"/>
    </row>
    <row r="9473" spans="1:1" x14ac:dyDescent="0.25">
      <c r="A9473" s="3"/>
    </row>
    <row r="9474" spans="1:1" x14ac:dyDescent="0.25">
      <c r="A9474" s="3"/>
    </row>
    <row r="9475" spans="1:1" x14ac:dyDescent="0.25">
      <c r="A9475" s="3"/>
    </row>
    <row r="9476" spans="1:1" x14ac:dyDescent="0.25">
      <c r="A9476" s="3"/>
    </row>
    <row r="9477" spans="1:1" x14ac:dyDescent="0.25">
      <c r="A9477" s="3"/>
    </row>
    <row r="9478" spans="1:1" x14ac:dyDescent="0.25">
      <c r="A9478" s="3"/>
    </row>
    <row r="9479" spans="1:1" x14ac:dyDescent="0.25">
      <c r="A9479" s="3"/>
    </row>
    <row r="9480" spans="1:1" x14ac:dyDescent="0.25">
      <c r="A9480" s="3"/>
    </row>
    <row r="9481" spans="1:1" x14ac:dyDescent="0.25">
      <c r="A9481" s="3"/>
    </row>
    <row r="9482" spans="1:1" x14ac:dyDescent="0.25">
      <c r="A9482" s="3"/>
    </row>
    <row r="9483" spans="1:1" x14ac:dyDescent="0.25">
      <c r="A9483" s="3"/>
    </row>
    <row r="9484" spans="1:1" x14ac:dyDescent="0.25">
      <c r="A9484" s="3"/>
    </row>
    <row r="9485" spans="1:1" x14ac:dyDescent="0.25">
      <c r="A9485" s="3"/>
    </row>
    <row r="9486" spans="1:1" x14ac:dyDescent="0.25">
      <c r="A9486" s="3"/>
    </row>
    <row r="9487" spans="1:1" x14ac:dyDescent="0.25">
      <c r="A9487" s="3"/>
    </row>
    <row r="9488" spans="1:1" x14ac:dyDescent="0.25">
      <c r="A9488" s="3"/>
    </row>
    <row r="9489" spans="1:1" x14ac:dyDescent="0.25">
      <c r="A9489" s="3"/>
    </row>
    <row r="9490" spans="1:1" x14ac:dyDescent="0.25">
      <c r="A9490" s="3"/>
    </row>
    <row r="9491" spans="1:1" x14ac:dyDescent="0.25">
      <c r="A9491" s="3"/>
    </row>
    <row r="9492" spans="1:1" x14ac:dyDescent="0.25">
      <c r="A9492" s="3"/>
    </row>
    <row r="9493" spans="1:1" x14ac:dyDescent="0.25">
      <c r="A9493" s="3"/>
    </row>
    <row r="9494" spans="1:1" x14ac:dyDescent="0.25">
      <c r="A9494" s="3"/>
    </row>
    <row r="9495" spans="1:1" x14ac:dyDescent="0.25">
      <c r="A9495" s="3"/>
    </row>
    <row r="9496" spans="1:1" x14ac:dyDescent="0.25">
      <c r="A9496" s="3"/>
    </row>
    <row r="9497" spans="1:1" x14ac:dyDescent="0.25">
      <c r="A9497" s="3"/>
    </row>
    <row r="9498" spans="1:1" x14ac:dyDescent="0.25">
      <c r="A9498" s="3"/>
    </row>
    <row r="9499" spans="1:1" x14ac:dyDescent="0.25">
      <c r="A9499" s="3"/>
    </row>
    <row r="9500" spans="1:1" x14ac:dyDescent="0.25">
      <c r="A9500" s="3"/>
    </row>
    <row r="9501" spans="1:1" x14ac:dyDescent="0.25">
      <c r="A9501" s="3"/>
    </row>
    <row r="9502" spans="1:1" x14ac:dyDescent="0.25">
      <c r="A9502" s="3"/>
    </row>
    <row r="9503" spans="1:1" x14ac:dyDescent="0.25">
      <c r="A9503" s="3"/>
    </row>
    <row r="9504" spans="1:1" x14ac:dyDescent="0.25">
      <c r="A9504" s="3"/>
    </row>
    <row r="9505" spans="1:1" x14ac:dyDescent="0.25">
      <c r="A9505" s="3"/>
    </row>
    <row r="9506" spans="1:1" x14ac:dyDescent="0.25">
      <c r="A9506" s="3"/>
    </row>
    <row r="9507" spans="1:1" x14ac:dyDescent="0.25">
      <c r="A9507" s="3"/>
    </row>
    <row r="9508" spans="1:1" x14ac:dyDescent="0.25">
      <c r="A9508" s="3"/>
    </row>
    <row r="9509" spans="1:1" x14ac:dyDescent="0.25">
      <c r="A9509" s="3"/>
    </row>
    <row r="9510" spans="1:1" x14ac:dyDescent="0.25">
      <c r="A9510" s="3"/>
    </row>
    <row r="9511" spans="1:1" x14ac:dyDescent="0.25">
      <c r="A9511" s="3"/>
    </row>
    <row r="9512" spans="1:1" x14ac:dyDescent="0.25">
      <c r="A9512" s="3"/>
    </row>
    <row r="9513" spans="1:1" x14ac:dyDescent="0.25">
      <c r="A9513" s="3"/>
    </row>
    <row r="9514" spans="1:1" x14ac:dyDescent="0.25">
      <c r="A9514" s="3"/>
    </row>
    <row r="9515" spans="1:1" x14ac:dyDescent="0.25">
      <c r="A9515" s="3"/>
    </row>
    <row r="9516" spans="1:1" x14ac:dyDescent="0.25">
      <c r="A9516" s="3"/>
    </row>
    <row r="9517" spans="1:1" x14ac:dyDescent="0.25">
      <c r="A9517" s="3"/>
    </row>
    <row r="9518" spans="1:1" x14ac:dyDescent="0.25">
      <c r="A9518" s="3"/>
    </row>
    <row r="9519" spans="1:1" x14ac:dyDescent="0.25">
      <c r="A9519" s="3"/>
    </row>
    <row r="9520" spans="1:1" x14ac:dyDescent="0.25">
      <c r="A9520" s="3"/>
    </row>
    <row r="9521" spans="1:1" x14ac:dyDescent="0.25">
      <c r="A9521" s="3"/>
    </row>
    <row r="9522" spans="1:1" x14ac:dyDescent="0.25">
      <c r="A9522" s="3"/>
    </row>
    <row r="9523" spans="1:1" x14ac:dyDescent="0.25">
      <c r="A9523" s="3"/>
    </row>
    <row r="9524" spans="1:1" x14ac:dyDescent="0.25">
      <c r="A9524" s="3"/>
    </row>
    <row r="9525" spans="1:1" x14ac:dyDescent="0.25">
      <c r="A9525" s="3"/>
    </row>
    <row r="9526" spans="1:1" x14ac:dyDescent="0.25">
      <c r="A9526" s="3"/>
    </row>
    <row r="9527" spans="1:1" x14ac:dyDescent="0.25">
      <c r="A9527" s="3"/>
    </row>
    <row r="9528" spans="1:1" x14ac:dyDescent="0.25">
      <c r="A9528" s="3"/>
    </row>
    <row r="9529" spans="1:1" x14ac:dyDescent="0.25">
      <c r="A9529" s="3"/>
    </row>
    <row r="9530" spans="1:1" x14ac:dyDescent="0.25">
      <c r="A9530" s="3"/>
    </row>
    <row r="9531" spans="1:1" x14ac:dyDescent="0.25">
      <c r="A9531" s="3"/>
    </row>
    <row r="9532" spans="1:1" x14ac:dyDescent="0.25">
      <c r="A9532" s="3"/>
    </row>
    <row r="9533" spans="1:1" x14ac:dyDescent="0.25">
      <c r="A9533" s="3"/>
    </row>
    <row r="9534" spans="1:1" x14ac:dyDescent="0.25">
      <c r="A9534" s="3"/>
    </row>
    <row r="9535" spans="1:1" x14ac:dyDescent="0.25">
      <c r="A9535" s="3"/>
    </row>
    <row r="9536" spans="1:1" x14ac:dyDescent="0.25">
      <c r="A9536" s="3"/>
    </row>
    <row r="9537" spans="1:1" x14ac:dyDescent="0.25">
      <c r="A9537" s="3"/>
    </row>
    <row r="9538" spans="1:1" x14ac:dyDescent="0.25">
      <c r="A9538" s="3"/>
    </row>
    <row r="9539" spans="1:1" x14ac:dyDescent="0.25">
      <c r="A9539" s="3"/>
    </row>
    <row r="9540" spans="1:1" x14ac:dyDescent="0.25">
      <c r="A9540" s="3"/>
    </row>
    <row r="9541" spans="1:1" x14ac:dyDescent="0.25">
      <c r="A9541" s="3"/>
    </row>
    <row r="9542" spans="1:1" x14ac:dyDescent="0.25">
      <c r="A9542" s="3"/>
    </row>
    <row r="9543" spans="1:1" x14ac:dyDescent="0.25">
      <c r="A9543" s="3"/>
    </row>
    <row r="9544" spans="1:1" x14ac:dyDescent="0.25">
      <c r="A9544" s="3"/>
    </row>
    <row r="9545" spans="1:1" x14ac:dyDescent="0.25">
      <c r="A9545" s="3"/>
    </row>
    <row r="9546" spans="1:1" x14ac:dyDescent="0.25">
      <c r="A9546" s="3"/>
    </row>
    <row r="9547" spans="1:1" x14ac:dyDescent="0.25">
      <c r="A9547" s="3"/>
    </row>
    <row r="9548" spans="1:1" x14ac:dyDescent="0.25">
      <c r="A9548" s="3"/>
    </row>
    <row r="9549" spans="1:1" x14ac:dyDescent="0.25">
      <c r="A9549" s="3"/>
    </row>
    <row r="9550" spans="1:1" x14ac:dyDescent="0.25">
      <c r="A9550" s="3"/>
    </row>
    <row r="9551" spans="1:1" x14ac:dyDescent="0.25">
      <c r="A9551" s="3"/>
    </row>
    <row r="9552" spans="1:1" x14ac:dyDescent="0.25">
      <c r="A9552" s="3"/>
    </row>
    <row r="9553" spans="1:1" x14ac:dyDescent="0.25">
      <c r="A9553" s="3"/>
    </row>
    <row r="9554" spans="1:1" x14ac:dyDescent="0.25">
      <c r="A9554" s="3"/>
    </row>
    <row r="9555" spans="1:1" x14ac:dyDescent="0.25">
      <c r="A9555" s="3"/>
    </row>
    <row r="9556" spans="1:1" x14ac:dyDescent="0.25">
      <c r="A9556" s="3"/>
    </row>
    <row r="9557" spans="1:1" x14ac:dyDescent="0.25">
      <c r="A9557" s="3"/>
    </row>
    <row r="9558" spans="1:1" x14ac:dyDescent="0.25">
      <c r="A9558" s="3"/>
    </row>
    <row r="9559" spans="1:1" x14ac:dyDescent="0.25">
      <c r="A9559" s="3"/>
    </row>
    <row r="9560" spans="1:1" x14ac:dyDescent="0.25">
      <c r="A9560" s="3"/>
    </row>
    <row r="9561" spans="1:1" x14ac:dyDescent="0.25">
      <c r="A9561" s="3"/>
    </row>
    <row r="9562" spans="1:1" x14ac:dyDescent="0.25">
      <c r="A9562" s="3"/>
    </row>
    <row r="9563" spans="1:1" x14ac:dyDescent="0.25">
      <c r="A9563" s="3"/>
    </row>
    <row r="9564" spans="1:1" x14ac:dyDescent="0.25">
      <c r="A9564" s="3"/>
    </row>
    <row r="9565" spans="1:1" x14ac:dyDescent="0.25">
      <c r="A9565" s="3"/>
    </row>
    <row r="9566" spans="1:1" x14ac:dyDescent="0.25">
      <c r="A9566" s="3"/>
    </row>
    <row r="9567" spans="1:1" x14ac:dyDescent="0.25">
      <c r="A9567" s="3"/>
    </row>
    <row r="9568" spans="1:1" x14ac:dyDescent="0.25">
      <c r="A9568" s="3"/>
    </row>
    <row r="9569" spans="1:1" x14ac:dyDescent="0.25">
      <c r="A9569" s="3"/>
    </row>
    <row r="9570" spans="1:1" x14ac:dyDescent="0.25">
      <c r="A9570" s="3"/>
    </row>
    <row r="9571" spans="1:1" x14ac:dyDescent="0.25">
      <c r="A9571" s="3"/>
    </row>
    <row r="9572" spans="1:1" x14ac:dyDescent="0.25">
      <c r="A9572" s="3"/>
    </row>
    <row r="9573" spans="1:1" x14ac:dyDescent="0.25">
      <c r="A9573" s="3"/>
    </row>
    <row r="9574" spans="1:1" x14ac:dyDescent="0.25">
      <c r="A9574" s="3"/>
    </row>
    <row r="9575" spans="1:1" x14ac:dyDescent="0.25">
      <c r="A9575" s="3"/>
    </row>
    <row r="9576" spans="1:1" x14ac:dyDescent="0.25">
      <c r="A9576" s="3"/>
    </row>
    <row r="9577" spans="1:1" x14ac:dyDescent="0.25">
      <c r="A9577" s="3"/>
    </row>
    <row r="9578" spans="1:1" x14ac:dyDescent="0.25">
      <c r="A9578" s="3"/>
    </row>
    <row r="9579" spans="1:1" x14ac:dyDescent="0.25">
      <c r="A9579" s="3"/>
    </row>
    <row r="9580" spans="1:1" x14ac:dyDescent="0.25">
      <c r="A9580" s="3"/>
    </row>
    <row r="9581" spans="1:1" x14ac:dyDescent="0.25">
      <c r="A9581" s="3"/>
    </row>
    <row r="9582" spans="1:1" x14ac:dyDescent="0.25">
      <c r="A9582" s="3"/>
    </row>
    <row r="9583" spans="1:1" x14ac:dyDescent="0.25">
      <c r="A9583" s="3"/>
    </row>
    <row r="9584" spans="1:1" x14ac:dyDescent="0.25">
      <c r="A9584" s="3"/>
    </row>
    <row r="9585" spans="1:1" x14ac:dyDescent="0.25">
      <c r="A9585" s="3"/>
    </row>
    <row r="9586" spans="1:1" x14ac:dyDescent="0.25">
      <c r="A9586" s="3"/>
    </row>
    <row r="9587" spans="1:1" x14ac:dyDescent="0.25">
      <c r="A9587" s="3"/>
    </row>
    <row r="9588" spans="1:1" x14ac:dyDescent="0.25">
      <c r="A9588" s="3"/>
    </row>
    <row r="9589" spans="1:1" x14ac:dyDescent="0.25">
      <c r="A9589" s="3"/>
    </row>
    <row r="9590" spans="1:1" x14ac:dyDescent="0.25">
      <c r="A9590" s="3"/>
    </row>
    <row r="9591" spans="1:1" x14ac:dyDescent="0.25">
      <c r="A9591" s="3"/>
    </row>
    <row r="9592" spans="1:1" x14ac:dyDescent="0.25">
      <c r="A9592" s="3"/>
    </row>
    <row r="9593" spans="1:1" x14ac:dyDescent="0.25">
      <c r="A9593" s="3"/>
    </row>
    <row r="9594" spans="1:1" x14ac:dyDescent="0.25">
      <c r="A9594" s="3"/>
    </row>
    <row r="9595" spans="1:1" x14ac:dyDescent="0.25">
      <c r="A9595" s="3"/>
    </row>
    <row r="9596" spans="1:1" x14ac:dyDescent="0.25">
      <c r="A9596" s="3"/>
    </row>
    <row r="9597" spans="1:1" x14ac:dyDescent="0.25">
      <c r="A9597" s="3"/>
    </row>
    <row r="9598" spans="1:1" x14ac:dyDescent="0.25">
      <c r="A9598" s="3"/>
    </row>
    <row r="9599" spans="1:1" x14ac:dyDescent="0.25">
      <c r="A9599" s="3"/>
    </row>
    <row r="9600" spans="1:1" x14ac:dyDescent="0.25">
      <c r="A9600" s="3"/>
    </row>
    <row r="9601" spans="1:1" x14ac:dyDescent="0.25">
      <c r="A9601" s="3"/>
    </row>
    <row r="9602" spans="1:1" x14ac:dyDescent="0.25">
      <c r="A9602" s="3"/>
    </row>
    <row r="9603" spans="1:1" x14ac:dyDescent="0.25">
      <c r="A9603" s="3"/>
    </row>
    <row r="9604" spans="1:1" x14ac:dyDescent="0.25">
      <c r="A9604" s="3"/>
    </row>
    <row r="9605" spans="1:1" x14ac:dyDescent="0.25">
      <c r="A9605" s="3"/>
    </row>
    <row r="9606" spans="1:1" x14ac:dyDescent="0.25">
      <c r="A9606" s="3"/>
    </row>
    <row r="9607" spans="1:1" x14ac:dyDescent="0.25">
      <c r="A9607" s="3"/>
    </row>
    <row r="9608" spans="1:1" x14ac:dyDescent="0.25">
      <c r="A9608" s="3"/>
    </row>
    <row r="9609" spans="1:1" x14ac:dyDescent="0.25">
      <c r="A9609" s="3"/>
    </row>
    <row r="9610" spans="1:1" x14ac:dyDescent="0.25">
      <c r="A9610" s="3"/>
    </row>
    <row r="9611" spans="1:1" x14ac:dyDescent="0.25">
      <c r="A9611" s="3"/>
    </row>
    <row r="9612" spans="1:1" x14ac:dyDescent="0.25">
      <c r="A9612" s="3"/>
    </row>
    <row r="9613" spans="1:1" x14ac:dyDescent="0.25">
      <c r="A9613" s="3"/>
    </row>
    <row r="9614" spans="1:1" x14ac:dyDescent="0.25">
      <c r="A9614" s="3"/>
    </row>
    <row r="9615" spans="1:1" x14ac:dyDescent="0.25">
      <c r="A9615" s="3"/>
    </row>
    <row r="9616" spans="1:1" x14ac:dyDescent="0.25">
      <c r="A9616" s="3"/>
    </row>
    <row r="9617" spans="1:1" x14ac:dyDescent="0.25">
      <c r="A9617" s="3"/>
    </row>
    <row r="9618" spans="1:1" x14ac:dyDescent="0.25">
      <c r="A9618" s="3"/>
    </row>
    <row r="9619" spans="1:1" x14ac:dyDescent="0.25">
      <c r="A9619" s="3"/>
    </row>
    <row r="9620" spans="1:1" x14ac:dyDescent="0.25">
      <c r="A9620" s="3"/>
    </row>
    <row r="9621" spans="1:1" x14ac:dyDescent="0.25">
      <c r="A9621" s="3"/>
    </row>
    <row r="9622" spans="1:1" x14ac:dyDescent="0.25">
      <c r="A9622" s="3"/>
    </row>
    <row r="9623" spans="1:1" x14ac:dyDescent="0.25">
      <c r="A9623" s="3"/>
    </row>
    <row r="9624" spans="1:1" x14ac:dyDescent="0.25">
      <c r="A9624" s="3"/>
    </row>
    <row r="9625" spans="1:1" x14ac:dyDescent="0.25">
      <c r="A9625" s="3"/>
    </row>
    <row r="9626" spans="1:1" x14ac:dyDescent="0.25">
      <c r="A9626" s="3"/>
    </row>
    <row r="9627" spans="1:1" x14ac:dyDescent="0.25">
      <c r="A9627" s="3"/>
    </row>
    <row r="9628" spans="1:1" x14ac:dyDescent="0.25">
      <c r="A9628" s="3"/>
    </row>
    <row r="9629" spans="1:1" x14ac:dyDescent="0.25">
      <c r="A9629" s="3"/>
    </row>
    <row r="9630" spans="1:1" x14ac:dyDescent="0.25">
      <c r="A9630" s="3"/>
    </row>
    <row r="9631" spans="1:1" x14ac:dyDescent="0.25">
      <c r="A9631" s="3"/>
    </row>
    <row r="9632" spans="1:1" x14ac:dyDescent="0.25">
      <c r="A9632" s="3"/>
    </row>
    <row r="9633" spans="1:1" x14ac:dyDescent="0.25">
      <c r="A9633" s="3"/>
    </row>
    <row r="9634" spans="1:1" x14ac:dyDescent="0.25">
      <c r="A9634" s="3"/>
    </row>
    <row r="9635" spans="1:1" x14ac:dyDescent="0.25">
      <c r="A9635" s="3"/>
    </row>
    <row r="9636" spans="1:1" x14ac:dyDescent="0.25">
      <c r="A9636" s="3"/>
    </row>
    <row r="9637" spans="1:1" x14ac:dyDescent="0.25">
      <c r="A9637" s="3"/>
    </row>
    <row r="9638" spans="1:1" x14ac:dyDescent="0.25">
      <c r="A9638" s="3"/>
    </row>
    <row r="9639" spans="1:1" x14ac:dyDescent="0.25">
      <c r="A9639" s="3"/>
    </row>
    <row r="9640" spans="1:1" x14ac:dyDescent="0.25">
      <c r="A9640" s="3"/>
    </row>
    <row r="9641" spans="1:1" x14ac:dyDescent="0.25">
      <c r="A9641" s="3"/>
    </row>
    <row r="9642" spans="1:1" x14ac:dyDescent="0.25">
      <c r="A9642" s="3"/>
    </row>
    <row r="9643" spans="1:1" x14ac:dyDescent="0.25">
      <c r="A9643" s="3"/>
    </row>
    <row r="9644" spans="1:1" x14ac:dyDescent="0.25">
      <c r="A9644" s="3"/>
    </row>
    <row r="9645" spans="1:1" x14ac:dyDescent="0.25">
      <c r="A9645" s="3"/>
    </row>
    <row r="9646" spans="1:1" x14ac:dyDescent="0.25">
      <c r="A9646" s="3"/>
    </row>
    <row r="9647" spans="1:1" x14ac:dyDescent="0.25">
      <c r="A9647" s="3"/>
    </row>
    <row r="9648" spans="1:1" x14ac:dyDescent="0.25">
      <c r="A9648" s="3"/>
    </row>
    <row r="9649" spans="1:1" x14ac:dyDescent="0.25">
      <c r="A9649" s="3"/>
    </row>
    <row r="9650" spans="1:1" x14ac:dyDescent="0.25">
      <c r="A9650" s="3"/>
    </row>
    <row r="9651" spans="1:1" x14ac:dyDescent="0.25">
      <c r="A9651" s="3"/>
    </row>
    <row r="9652" spans="1:1" x14ac:dyDescent="0.25">
      <c r="A9652" s="3"/>
    </row>
    <row r="9653" spans="1:1" x14ac:dyDescent="0.25">
      <c r="A9653" s="3"/>
    </row>
    <row r="9654" spans="1:1" x14ac:dyDescent="0.25">
      <c r="A9654" s="3"/>
    </row>
    <row r="9655" spans="1:1" x14ac:dyDescent="0.25">
      <c r="A9655" s="3"/>
    </row>
    <row r="9656" spans="1:1" x14ac:dyDescent="0.25">
      <c r="A9656" s="3"/>
    </row>
    <row r="9657" spans="1:1" x14ac:dyDescent="0.25">
      <c r="A9657" s="3"/>
    </row>
    <row r="9658" spans="1:1" x14ac:dyDescent="0.25">
      <c r="A9658" s="3"/>
    </row>
    <row r="9659" spans="1:1" x14ac:dyDescent="0.25">
      <c r="A9659" s="3"/>
    </row>
    <row r="9660" spans="1:1" x14ac:dyDescent="0.25">
      <c r="A9660" s="3"/>
    </row>
    <row r="9661" spans="1:1" x14ac:dyDescent="0.25">
      <c r="A9661" s="3"/>
    </row>
    <row r="9662" spans="1:1" x14ac:dyDescent="0.25">
      <c r="A9662" s="3"/>
    </row>
    <row r="9663" spans="1:1" x14ac:dyDescent="0.25">
      <c r="A9663" s="3"/>
    </row>
    <row r="9664" spans="1:1" x14ac:dyDescent="0.25">
      <c r="A9664" s="3"/>
    </row>
    <row r="9665" spans="1:1" x14ac:dyDescent="0.25">
      <c r="A9665" s="3"/>
    </row>
    <row r="9666" spans="1:1" x14ac:dyDescent="0.25">
      <c r="A9666" s="3"/>
    </row>
    <row r="9667" spans="1:1" x14ac:dyDescent="0.25">
      <c r="A9667" s="3"/>
    </row>
    <row r="9668" spans="1:1" x14ac:dyDescent="0.25">
      <c r="A9668" s="3"/>
    </row>
    <row r="9669" spans="1:1" x14ac:dyDescent="0.25">
      <c r="A9669" s="3"/>
    </row>
    <row r="9670" spans="1:1" x14ac:dyDescent="0.25">
      <c r="A9670" s="3"/>
    </row>
    <row r="9671" spans="1:1" x14ac:dyDescent="0.25">
      <c r="A9671" s="3"/>
    </row>
    <row r="9672" spans="1:1" x14ac:dyDescent="0.25">
      <c r="A9672" s="3"/>
    </row>
    <row r="9673" spans="1:1" x14ac:dyDescent="0.25">
      <c r="A9673" s="3"/>
    </row>
    <row r="9674" spans="1:1" x14ac:dyDescent="0.25">
      <c r="A9674" s="3"/>
    </row>
    <row r="9675" spans="1:1" x14ac:dyDescent="0.25">
      <c r="A9675" s="3"/>
    </row>
    <row r="9676" spans="1:1" x14ac:dyDescent="0.25">
      <c r="A9676" s="3"/>
    </row>
    <row r="9677" spans="1:1" x14ac:dyDescent="0.25">
      <c r="A9677" s="3"/>
    </row>
    <row r="9678" spans="1:1" x14ac:dyDescent="0.25">
      <c r="A9678" s="3"/>
    </row>
    <row r="9679" spans="1:1" x14ac:dyDescent="0.25">
      <c r="A9679" s="3"/>
    </row>
    <row r="9680" spans="1:1" x14ac:dyDescent="0.25">
      <c r="A9680" s="3"/>
    </row>
    <row r="9681" spans="1:1" x14ac:dyDescent="0.25">
      <c r="A9681" s="3"/>
    </row>
    <row r="9682" spans="1:1" x14ac:dyDescent="0.25">
      <c r="A9682" s="3"/>
    </row>
    <row r="9683" spans="1:1" x14ac:dyDescent="0.25">
      <c r="A9683" s="3"/>
    </row>
    <row r="9684" spans="1:1" x14ac:dyDescent="0.25">
      <c r="A9684" s="3"/>
    </row>
    <row r="9685" spans="1:1" x14ac:dyDescent="0.25">
      <c r="A9685" s="3"/>
    </row>
    <row r="9686" spans="1:1" x14ac:dyDescent="0.25">
      <c r="A9686" s="3"/>
    </row>
    <row r="9687" spans="1:1" x14ac:dyDescent="0.25">
      <c r="A9687" s="3"/>
    </row>
    <row r="9688" spans="1:1" x14ac:dyDescent="0.25">
      <c r="A9688" s="3"/>
    </row>
    <row r="9689" spans="1:1" x14ac:dyDescent="0.25">
      <c r="A9689" s="3"/>
    </row>
    <row r="9690" spans="1:1" x14ac:dyDescent="0.25">
      <c r="A9690" s="3"/>
    </row>
    <row r="9691" spans="1:1" x14ac:dyDescent="0.25">
      <c r="A9691" s="3"/>
    </row>
    <row r="9692" spans="1:1" x14ac:dyDescent="0.25">
      <c r="A9692" s="3"/>
    </row>
    <row r="9693" spans="1:1" x14ac:dyDescent="0.25">
      <c r="A9693" s="3"/>
    </row>
    <row r="9694" spans="1:1" x14ac:dyDescent="0.25">
      <c r="A9694" s="3"/>
    </row>
    <row r="9695" spans="1:1" x14ac:dyDescent="0.25">
      <c r="A9695" s="3"/>
    </row>
    <row r="9696" spans="1:1" x14ac:dyDescent="0.25">
      <c r="A9696" s="3"/>
    </row>
    <row r="9697" spans="1:1" x14ac:dyDescent="0.25">
      <c r="A9697" s="3"/>
    </row>
    <row r="9698" spans="1:1" x14ac:dyDescent="0.25">
      <c r="A9698" s="3"/>
    </row>
    <row r="9699" spans="1:1" x14ac:dyDescent="0.25">
      <c r="A9699" s="3"/>
    </row>
    <row r="9700" spans="1:1" x14ac:dyDescent="0.25">
      <c r="A9700" s="3"/>
    </row>
    <row r="9701" spans="1:1" x14ac:dyDescent="0.25">
      <c r="A9701" s="3"/>
    </row>
    <row r="9702" spans="1:1" x14ac:dyDescent="0.25">
      <c r="A9702" s="3"/>
    </row>
    <row r="9703" spans="1:1" x14ac:dyDescent="0.25">
      <c r="A9703" s="3"/>
    </row>
    <row r="9704" spans="1:1" x14ac:dyDescent="0.25">
      <c r="A9704" s="3"/>
    </row>
    <row r="9705" spans="1:1" x14ac:dyDescent="0.25">
      <c r="A9705" s="3"/>
    </row>
    <row r="9706" spans="1:1" x14ac:dyDescent="0.25">
      <c r="A9706" s="3"/>
    </row>
    <row r="9707" spans="1:1" x14ac:dyDescent="0.25">
      <c r="A9707" s="3"/>
    </row>
    <row r="9708" spans="1:1" x14ac:dyDescent="0.25">
      <c r="A9708" s="3"/>
    </row>
    <row r="9709" spans="1:1" x14ac:dyDescent="0.25">
      <c r="A9709" s="3"/>
    </row>
    <row r="9710" spans="1:1" x14ac:dyDescent="0.25">
      <c r="A9710" s="3"/>
    </row>
    <row r="9711" spans="1:1" x14ac:dyDescent="0.25">
      <c r="A9711" s="3"/>
    </row>
    <row r="9712" spans="1:1" x14ac:dyDescent="0.25">
      <c r="A9712" s="3"/>
    </row>
    <row r="9713" spans="1:1" x14ac:dyDescent="0.25">
      <c r="A9713" s="3"/>
    </row>
    <row r="9714" spans="1:1" x14ac:dyDescent="0.25">
      <c r="A9714" s="3"/>
    </row>
    <row r="9715" spans="1:1" x14ac:dyDescent="0.25">
      <c r="A9715" s="3"/>
    </row>
    <row r="9716" spans="1:1" x14ac:dyDescent="0.25">
      <c r="A9716" s="3"/>
    </row>
    <row r="9717" spans="1:1" x14ac:dyDescent="0.25">
      <c r="A9717" s="3"/>
    </row>
    <row r="9718" spans="1:1" x14ac:dyDescent="0.25">
      <c r="A9718" s="3"/>
    </row>
    <row r="9719" spans="1:1" x14ac:dyDescent="0.25">
      <c r="A9719" s="3"/>
    </row>
    <row r="9720" spans="1:1" x14ac:dyDescent="0.25">
      <c r="A9720" s="3"/>
    </row>
    <row r="9721" spans="1:1" x14ac:dyDescent="0.25">
      <c r="A9721" s="3"/>
    </row>
    <row r="9722" spans="1:1" x14ac:dyDescent="0.25">
      <c r="A9722" s="3"/>
    </row>
    <row r="9723" spans="1:1" x14ac:dyDescent="0.25">
      <c r="A9723" s="3"/>
    </row>
    <row r="9724" spans="1:1" x14ac:dyDescent="0.25">
      <c r="A9724" s="3"/>
    </row>
    <row r="9725" spans="1:1" x14ac:dyDescent="0.25">
      <c r="A9725" s="3"/>
    </row>
    <row r="9726" spans="1:1" x14ac:dyDescent="0.25">
      <c r="A9726" s="3"/>
    </row>
    <row r="9727" spans="1:1" x14ac:dyDescent="0.25">
      <c r="A9727" s="3"/>
    </row>
    <row r="9728" spans="1:1" x14ac:dyDescent="0.25">
      <c r="A9728" s="3"/>
    </row>
    <row r="9729" spans="1:1" x14ac:dyDescent="0.25">
      <c r="A9729" s="3"/>
    </row>
    <row r="9730" spans="1:1" x14ac:dyDescent="0.25">
      <c r="A9730" s="3"/>
    </row>
    <row r="9731" spans="1:1" x14ac:dyDescent="0.25">
      <c r="A9731" s="3"/>
    </row>
    <row r="9732" spans="1:1" x14ac:dyDescent="0.25">
      <c r="A9732" s="3"/>
    </row>
    <row r="9733" spans="1:1" x14ac:dyDescent="0.25">
      <c r="A9733" s="3"/>
    </row>
    <row r="9734" spans="1:1" x14ac:dyDescent="0.25">
      <c r="A9734" s="3"/>
    </row>
    <row r="9735" spans="1:1" x14ac:dyDescent="0.25">
      <c r="A9735" s="3"/>
    </row>
    <row r="9736" spans="1:1" x14ac:dyDescent="0.25">
      <c r="A9736" s="3"/>
    </row>
    <row r="9737" spans="1:1" x14ac:dyDescent="0.25">
      <c r="A9737" s="3"/>
    </row>
    <row r="9738" spans="1:1" x14ac:dyDescent="0.25">
      <c r="A9738" s="3"/>
    </row>
    <row r="9739" spans="1:1" x14ac:dyDescent="0.25">
      <c r="A9739" s="3"/>
    </row>
    <row r="9740" spans="1:1" x14ac:dyDescent="0.25">
      <c r="A9740" s="3"/>
    </row>
    <row r="9741" spans="1:1" x14ac:dyDescent="0.25">
      <c r="A9741" s="3"/>
    </row>
    <row r="9742" spans="1:1" x14ac:dyDescent="0.25">
      <c r="A9742" s="3"/>
    </row>
    <row r="9743" spans="1:1" x14ac:dyDescent="0.25">
      <c r="A9743" s="3"/>
    </row>
    <row r="9744" spans="1:1" x14ac:dyDescent="0.25">
      <c r="A9744" s="3"/>
    </row>
    <row r="9745" spans="1:1" x14ac:dyDescent="0.25">
      <c r="A9745" s="3"/>
    </row>
    <row r="9746" spans="1:1" x14ac:dyDescent="0.25">
      <c r="A9746" s="3"/>
    </row>
    <row r="9747" spans="1:1" x14ac:dyDescent="0.25">
      <c r="A9747" s="3"/>
    </row>
    <row r="9748" spans="1:1" x14ac:dyDescent="0.25">
      <c r="A9748" s="3"/>
    </row>
    <row r="9749" spans="1:1" x14ac:dyDescent="0.25">
      <c r="A9749" s="3"/>
    </row>
    <row r="9750" spans="1:1" x14ac:dyDescent="0.25">
      <c r="A9750" s="3"/>
    </row>
    <row r="9751" spans="1:1" x14ac:dyDescent="0.25">
      <c r="A9751" s="3"/>
    </row>
    <row r="9752" spans="1:1" x14ac:dyDescent="0.25">
      <c r="A9752" s="3"/>
    </row>
    <row r="9753" spans="1:1" x14ac:dyDescent="0.25">
      <c r="A9753" s="3"/>
    </row>
    <row r="9754" spans="1:1" x14ac:dyDescent="0.25">
      <c r="A9754" s="3"/>
    </row>
    <row r="9755" spans="1:1" x14ac:dyDescent="0.25">
      <c r="A9755" s="3"/>
    </row>
    <row r="9756" spans="1:1" x14ac:dyDescent="0.25">
      <c r="A9756" s="3"/>
    </row>
    <row r="9757" spans="1:1" x14ac:dyDescent="0.25">
      <c r="A9757" s="3"/>
    </row>
    <row r="9758" spans="1:1" x14ac:dyDescent="0.25">
      <c r="A9758" s="3"/>
    </row>
    <row r="9759" spans="1:1" x14ac:dyDescent="0.25">
      <c r="A9759" s="3"/>
    </row>
    <row r="9760" spans="1:1" x14ac:dyDescent="0.25">
      <c r="A9760" s="3"/>
    </row>
    <row r="9761" spans="1:1" x14ac:dyDescent="0.25">
      <c r="A9761" s="3"/>
    </row>
    <row r="9762" spans="1:1" x14ac:dyDescent="0.25">
      <c r="A9762" s="3"/>
    </row>
    <row r="9763" spans="1:1" x14ac:dyDescent="0.25">
      <c r="A9763" s="3"/>
    </row>
    <row r="9764" spans="1:1" x14ac:dyDescent="0.25">
      <c r="A9764" s="3"/>
    </row>
    <row r="9765" spans="1:1" x14ac:dyDescent="0.25">
      <c r="A9765" s="3"/>
    </row>
    <row r="9766" spans="1:1" x14ac:dyDescent="0.25">
      <c r="A9766" s="3"/>
    </row>
    <row r="9767" spans="1:1" x14ac:dyDescent="0.25">
      <c r="A9767" s="3"/>
    </row>
    <row r="9768" spans="1:1" x14ac:dyDescent="0.25">
      <c r="A9768" s="3"/>
    </row>
    <row r="9769" spans="1:1" x14ac:dyDescent="0.25">
      <c r="A9769" s="3"/>
    </row>
    <row r="9770" spans="1:1" x14ac:dyDescent="0.25">
      <c r="A9770" s="3"/>
    </row>
    <row r="9771" spans="1:1" x14ac:dyDescent="0.25">
      <c r="A9771" s="3"/>
    </row>
    <row r="9772" spans="1:1" x14ac:dyDescent="0.25">
      <c r="A9772" s="3"/>
    </row>
    <row r="9773" spans="1:1" x14ac:dyDescent="0.25">
      <c r="A9773" s="3"/>
    </row>
    <row r="9774" spans="1:1" x14ac:dyDescent="0.25">
      <c r="A9774" s="3"/>
    </row>
    <row r="9775" spans="1:1" x14ac:dyDescent="0.25">
      <c r="A9775" s="3"/>
    </row>
    <row r="9776" spans="1:1" x14ac:dyDescent="0.25">
      <c r="A9776" s="3"/>
    </row>
    <row r="9777" spans="1:1" x14ac:dyDescent="0.25">
      <c r="A9777" s="3"/>
    </row>
    <row r="9778" spans="1:1" x14ac:dyDescent="0.25">
      <c r="A9778" s="3"/>
    </row>
    <row r="9779" spans="1:1" x14ac:dyDescent="0.25">
      <c r="A9779" s="3"/>
    </row>
    <row r="9780" spans="1:1" x14ac:dyDescent="0.25">
      <c r="A9780" s="3"/>
    </row>
    <row r="9781" spans="1:1" x14ac:dyDescent="0.25">
      <c r="A9781" s="3"/>
    </row>
    <row r="9782" spans="1:1" x14ac:dyDescent="0.25">
      <c r="A9782" s="3"/>
    </row>
    <row r="9783" spans="1:1" x14ac:dyDescent="0.25">
      <c r="A9783" s="3"/>
    </row>
    <row r="9784" spans="1:1" x14ac:dyDescent="0.25">
      <c r="A9784" s="3"/>
    </row>
    <row r="9785" spans="1:1" x14ac:dyDescent="0.25">
      <c r="A9785" s="3"/>
    </row>
    <row r="9786" spans="1:1" x14ac:dyDescent="0.25">
      <c r="A9786" s="3"/>
    </row>
    <row r="9787" spans="1:1" x14ac:dyDescent="0.25">
      <c r="A9787" s="3"/>
    </row>
    <row r="9788" spans="1:1" x14ac:dyDescent="0.25">
      <c r="A9788" s="3"/>
    </row>
    <row r="9789" spans="1:1" x14ac:dyDescent="0.25">
      <c r="A9789" s="3"/>
    </row>
    <row r="9790" spans="1:1" x14ac:dyDescent="0.25">
      <c r="A9790" s="3"/>
    </row>
    <row r="9791" spans="1:1" x14ac:dyDescent="0.25">
      <c r="A9791" s="3"/>
    </row>
    <row r="9792" spans="1:1" x14ac:dyDescent="0.25">
      <c r="A9792" s="3"/>
    </row>
    <row r="9793" spans="1:1" x14ac:dyDescent="0.25">
      <c r="A9793" s="3"/>
    </row>
    <row r="9794" spans="1:1" x14ac:dyDescent="0.25">
      <c r="A9794" s="3"/>
    </row>
    <row r="9795" spans="1:1" x14ac:dyDescent="0.25">
      <c r="A9795" s="3"/>
    </row>
    <row r="9796" spans="1:1" x14ac:dyDescent="0.25">
      <c r="A9796" s="3"/>
    </row>
    <row r="9797" spans="1:1" x14ac:dyDescent="0.25">
      <c r="A9797" s="3"/>
    </row>
    <row r="9798" spans="1:1" x14ac:dyDescent="0.25">
      <c r="A9798" s="3"/>
    </row>
    <row r="9799" spans="1:1" x14ac:dyDescent="0.25">
      <c r="A9799" s="3"/>
    </row>
    <row r="9800" spans="1:1" x14ac:dyDescent="0.25">
      <c r="A9800" s="3"/>
    </row>
    <row r="9801" spans="1:1" x14ac:dyDescent="0.25">
      <c r="A9801" s="3"/>
    </row>
    <row r="9802" spans="1:1" x14ac:dyDescent="0.25">
      <c r="A9802" s="3"/>
    </row>
    <row r="9803" spans="1:1" x14ac:dyDescent="0.25">
      <c r="A9803" s="3"/>
    </row>
    <row r="9804" spans="1:1" x14ac:dyDescent="0.25">
      <c r="A9804" s="3"/>
    </row>
    <row r="9805" spans="1:1" x14ac:dyDescent="0.25">
      <c r="A9805" s="3"/>
    </row>
    <row r="9806" spans="1:1" x14ac:dyDescent="0.25">
      <c r="A9806" s="3"/>
    </row>
    <row r="9807" spans="1:1" x14ac:dyDescent="0.25">
      <c r="A9807" s="3"/>
    </row>
    <row r="9808" spans="1:1" x14ac:dyDescent="0.25">
      <c r="A9808" s="3"/>
    </row>
    <row r="9809" spans="1:1" x14ac:dyDescent="0.25">
      <c r="A9809" s="3"/>
    </row>
    <row r="9810" spans="1:1" x14ac:dyDescent="0.25">
      <c r="A9810" s="3"/>
    </row>
    <row r="9811" spans="1:1" x14ac:dyDescent="0.25">
      <c r="A9811" s="3"/>
    </row>
    <row r="9812" spans="1:1" x14ac:dyDescent="0.25">
      <c r="A9812" s="3"/>
    </row>
    <row r="9813" spans="1:1" x14ac:dyDescent="0.25">
      <c r="A9813" s="3"/>
    </row>
    <row r="9814" spans="1:1" x14ac:dyDescent="0.25">
      <c r="A9814" s="3"/>
    </row>
    <row r="9815" spans="1:1" x14ac:dyDescent="0.25">
      <c r="A9815" s="3"/>
    </row>
    <row r="9816" spans="1:1" x14ac:dyDescent="0.25">
      <c r="A9816" s="3"/>
    </row>
    <row r="9817" spans="1:1" x14ac:dyDescent="0.25">
      <c r="A9817" s="3"/>
    </row>
    <row r="9818" spans="1:1" x14ac:dyDescent="0.25">
      <c r="A9818" s="3"/>
    </row>
    <row r="9819" spans="1:1" x14ac:dyDescent="0.25">
      <c r="A9819" s="3"/>
    </row>
    <row r="9820" spans="1:1" x14ac:dyDescent="0.25">
      <c r="A9820" s="3"/>
    </row>
    <row r="9821" spans="1:1" x14ac:dyDescent="0.25">
      <c r="A9821" s="3"/>
    </row>
    <row r="9822" spans="1:1" x14ac:dyDescent="0.25">
      <c r="A9822" s="3"/>
    </row>
    <row r="9823" spans="1:1" x14ac:dyDescent="0.25">
      <c r="A9823" s="3"/>
    </row>
    <row r="9824" spans="1:1" x14ac:dyDescent="0.25">
      <c r="A9824" s="3"/>
    </row>
    <row r="9825" spans="1:1" x14ac:dyDescent="0.25">
      <c r="A9825" s="3"/>
    </row>
    <row r="9826" spans="1:1" x14ac:dyDescent="0.25">
      <c r="A9826" s="3"/>
    </row>
    <row r="9827" spans="1:1" x14ac:dyDescent="0.25">
      <c r="A9827" s="3"/>
    </row>
    <row r="9828" spans="1:1" x14ac:dyDescent="0.25">
      <c r="A9828" s="3"/>
    </row>
    <row r="9829" spans="1:1" x14ac:dyDescent="0.25">
      <c r="A9829" s="3"/>
    </row>
    <row r="9830" spans="1:1" x14ac:dyDescent="0.25">
      <c r="A9830" s="3"/>
    </row>
    <row r="9831" spans="1:1" x14ac:dyDescent="0.25">
      <c r="A9831" s="3"/>
    </row>
    <row r="9832" spans="1:1" x14ac:dyDescent="0.25">
      <c r="A9832" s="3"/>
    </row>
    <row r="9833" spans="1:1" x14ac:dyDescent="0.25">
      <c r="A9833" s="3"/>
    </row>
    <row r="9834" spans="1:1" x14ac:dyDescent="0.25">
      <c r="A9834" s="3"/>
    </row>
    <row r="9835" spans="1:1" x14ac:dyDescent="0.25">
      <c r="A9835" s="3"/>
    </row>
    <row r="9836" spans="1:1" x14ac:dyDescent="0.25">
      <c r="A9836" s="3"/>
    </row>
    <row r="9837" spans="1:1" x14ac:dyDescent="0.25">
      <c r="A9837" s="3"/>
    </row>
    <row r="9838" spans="1:1" x14ac:dyDescent="0.25">
      <c r="A9838" s="3"/>
    </row>
    <row r="9839" spans="1:1" x14ac:dyDescent="0.25">
      <c r="A9839" s="3"/>
    </row>
    <row r="9840" spans="1:1" x14ac:dyDescent="0.25">
      <c r="A9840" s="3"/>
    </row>
    <row r="9841" spans="1:1" x14ac:dyDescent="0.25">
      <c r="A9841" s="3"/>
    </row>
    <row r="9842" spans="1:1" x14ac:dyDescent="0.25">
      <c r="A9842" s="3"/>
    </row>
    <row r="9843" spans="1:1" x14ac:dyDescent="0.25">
      <c r="A9843" s="3"/>
    </row>
    <row r="9844" spans="1:1" x14ac:dyDescent="0.25">
      <c r="A9844" s="3"/>
    </row>
    <row r="9845" spans="1:1" x14ac:dyDescent="0.25">
      <c r="A9845" s="3"/>
    </row>
    <row r="9846" spans="1:1" x14ac:dyDescent="0.25">
      <c r="A9846" s="3"/>
    </row>
    <row r="9847" spans="1:1" x14ac:dyDescent="0.25">
      <c r="A9847" s="3"/>
    </row>
    <row r="9848" spans="1:1" x14ac:dyDescent="0.25">
      <c r="A9848" s="3"/>
    </row>
    <row r="9849" spans="1:1" x14ac:dyDescent="0.25">
      <c r="A9849" s="3"/>
    </row>
    <row r="9850" spans="1:1" x14ac:dyDescent="0.25">
      <c r="A9850" s="3"/>
    </row>
    <row r="9851" spans="1:1" x14ac:dyDescent="0.25">
      <c r="A9851" s="3"/>
    </row>
    <row r="9852" spans="1:1" x14ac:dyDescent="0.25">
      <c r="A9852" s="3"/>
    </row>
    <row r="9853" spans="1:1" x14ac:dyDescent="0.25">
      <c r="A9853" s="3"/>
    </row>
    <row r="9854" spans="1:1" x14ac:dyDescent="0.25">
      <c r="A9854" s="3"/>
    </row>
    <row r="9855" spans="1:1" x14ac:dyDescent="0.25">
      <c r="A9855" s="3"/>
    </row>
    <row r="9856" spans="1:1" x14ac:dyDescent="0.25">
      <c r="A9856" s="3"/>
    </row>
    <row r="9857" spans="1:1" x14ac:dyDescent="0.25">
      <c r="A9857" s="3"/>
    </row>
    <row r="9858" spans="1:1" x14ac:dyDescent="0.25">
      <c r="A9858" s="3"/>
    </row>
    <row r="9859" spans="1:1" x14ac:dyDescent="0.25">
      <c r="A9859" s="3"/>
    </row>
    <row r="9860" spans="1:1" x14ac:dyDescent="0.25">
      <c r="A9860" s="3"/>
    </row>
    <row r="9861" spans="1:1" x14ac:dyDescent="0.25">
      <c r="A9861" s="3"/>
    </row>
    <row r="9862" spans="1:1" x14ac:dyDescent="0.25">
      <c r="A9862" s="3"/>
    </row>
    <row r="9863" spans="1:1" x14ac:dyDescent="0.25">
      <c r="A9863" s="3"/>
    </row>
    <row r="9864" spans="1:1" x14ac:dyDescent="0.25">
      <c r="A9864" s="3"/>
    </row>
    <row r="9865" spans="1:1" x14ac:dyDescent="0.25">
      <c r="A9865" s="3"/>
    </row>
    <row r="9866" spans="1:1" x14ac:dyDescent="0.25">
      <c r="A9866" s="3"/>
    </row>
    <row r="9867" spans="1:1" x14ac:dyDescent="0.25">
      <c r="A9867" s="3"/>
    </row>
    <row r="9868" spans="1:1" x14ac:dyDescent="0.25">
      <c r="A9868" s="3"/>
    </row>
    <row r="9869" spans="1:1" x14ac:dyDescent="0.25">
      <c r="A9869" s="3"/>
    </row>
    <row r="9870" spans="1:1" x14ac:dyDescent="0.25">
      <c r="A9870" s="3"/>
    </row>
    <row r="9871" spans="1:1" x14ac:dyDescent="0.25">
      <c r="A9871" s="3"/>
    </row>
    <row r="9872" spans="1:1" x14ac:dyDescent="0.25">
      <c r="A9872" s="3"/>
    </row>
    <row r="9873" spans="1:1" x14ac:dyDescent="0.25">
      <c r="A9873" s="3"/>
    </row>
    <row r="9874" spans="1:1" x14ac:dyDescent="0.25">
      <c r="A9874" s="3"/>
    </row>
    <row r="9875" spans="1:1" x14ac:dyDescent="0.25">
      <c r="A9875" s="3"/>
    </row>
    <row r="9876" spans="1:1" x14ac:dyDescent="0.25">
      <c r="A9876" s="3"/>
    </row>
    <row r="9877" spans="1:1" x14ac:dyDescent="0.25">
      <c r="A9877" s="3"/>
    </row>
    <row r="9878" spans="1:1" x14ac:dyDescent="0.25">
      <c r="A9878" s="3"/>
    </row>
    <row r="9879" spans="1:1" x14ac:dyDescent="0.25">
      <c r="A9879" s="3"/>
    </row>
    <row r="9880" spans="1:1" x14ac:dyDescent="0.25">
      <c r="A9880" s="3"/>
    </row>
    <row r="9881" spans="1:1" x14ac:dyDescent="0.25">
      <c r="A9881" s="3"/>
    </row>
    <row r="9882" spans="1:1" x14ac:dyDescent="0.25">
      <c r="A9882" s="3"/>
    </row>
    <row r="9883" spans="1:1" x14ac:dyDescent="0.25">
      <c r="A9883" s="3"/>
    </row>
    <row r="9884" spans="1:1" x14ac:dyDescent="0.25">
      <c r="A9884" s="3"/>
    </row>
    <row r="9885" spans="1:1" x14ac:dyDescent="0.25">
      <c r="A9885" s="3"/>
    </row>
    <row r="9886" spans="1:1" x14ac:dyDescent="0.25">
      <c r="A9886" s="3"/>
    </row>
    <row r="9887" spans="1:1" x14ac:dyDescent="0.25">
      <c r="A9887" s="3"/>
    </row>
    <row r="9888" spans="1:1" x14ac:dyDescent="0.25">
      <c r="A9888" s="3"/>
    </row>
    <row r="9889" spans="1:1" x14ac:dyDescent="0.25">
      <c r="A9889" s="3"/>
    </row>
    <row r="9890" spans="1:1" x14ac:dyDescent="0.25">
      <c r="A9890" s="3"/>
    </row>
    <row r="9891" spans="1:1" x14ac:dyDescent="0.25">
      <c r="A9891" s="3"/>
    </row>
    <row r="9892" spans="1:1" x14ac:dyDescent="0.25">
      <c r="A9892" s="3"/>
    </row>
    <row r="9893" spans="1:1" x14ac:dyDescent="0.25">
      <c r="A9893" s="3"/>
    </row>
    <row r="9894" spans="1:1" x14ac:dyDescent="0.25">
      <c r="A9894" s="3"/>
    </row>
    <row r="9895" spans="1:1" x14ac:dyDescent="0.25">
      <c r="A9895" s="3"/>
    </row>
    <row r="9896" spans="1:1" x14ac:dyDescent="0.25">
      <c r="A9896" s="3"/>
    </row>
    <row r="9897" spans="1:1" x14ac:dyDescent="0.25">
      <c r="A9897" s="3"/>
    </row>
    <row r="9898" spans="1:1" x14ac:dyDescent="0.25">
      <c r="A9898" s="3"/>
    </row>
    <row r="9899" spans="1:1" x14ac:dyDescent="0.25">
      <c r="A9899" s="3"/>
    </row>
    <row r="9900" spans="1:1" x14ac:dyDescent="0.25">
      <c r="A9900" s="3"/>
    </row>
    <row r="9901" spans="1:1" x14ac:dyDescent="0.25">
      <c r="A9901" s="3"/>
    </row>
    <row r="9902" spans="1:1" x14ac:dyDescent="0.25">
      <c r="A9902" s="3"/>
    </row>
    <row r="9903" spans="1:1" x14ac:dyDescent="0.25">
      <c r="A9903" s="3"/>
    </row>
    <row r="9904" spans="1:1" x14ac:dyDescent="0.25">
      <c r="A9904" s="3"/>
    </row>
    <row r="9905" spans="1:1" x14ac:dyDescent="0.25">
      <c r="A9905" s="3"/>
    </row>
    <row r="9906" spans="1:1" x14ac:dyDescent="0.25">
      <c r="A9906" s="3"/>
    </row>
    <row r="9907" spans="1:1" x14ac:dyDescent="0.25">
      <c r="A9907" s="3"/>
    </row>
    <row r="9908" spans="1:1" x14ac:dyDescent="0.25">
      <c r="A9908" s="3"/>
    </row>
    <row r="9909" spans="1:1" x14ac:dyDescent="0.25">
      <c r="A9909" s="3"/>
    </row>
    <row r="9910" spans="1:1" x14ac:dyDescent="0.25">
      <c r="A9910" s="3"/>
    </row>
    <row r="9911" spans="1:1" x14ac:dyDescent="0.25">
      <c r="A9911" s="3"/>
    </row>
    <row r="9912" spans="1:1" x14ac:dyDescent="0.25">
      <c r="A9912" s="3"/>
    </row>
    <row r="9913" spans="1:1" x14ac:dyDescent="0.25">
      <c r="A9913" s="3"/>
    </row>
    <row r="9914" spans="1:1" x14ac:dyDescent="0.25">
      <c r="A9914" s="3"/>
    </row>
    <row r="9915" spans="1:1" x14ac:dyDescent="0.25">
      <c r="A9915" s="3"/>
    </row>
    <row r="9916" spans="1:1" x14ac:dyDescent="0.25">
      <c r="A9916" s="3"/>
    </row>
    <row r="9917" spans="1:1" x14ac:dyDescent="0.25">
      <c r="A9917" s="3"/>
    </row>
    <row r="9918" spans="1:1" x14ac:dyDescent="0.25">
      <c r="A9918" s="3"/>
    </row>
    <row r="9919" spans="1:1" x14ac:dyDescent="0.25">
      <c r="A9919" s="3"/>
    </row>
    <row r="9920" spans="1:1" x14ac:dyDescent="0.25">
      <c r="A9920" s="3"/>
    </row>
    <row r="9921" spans="1:1" x14ac:dyDescent="0.25">
      <c r="A9921" s="3"/>
    </row>
    <row r="9922" spans="1:1" x14ac:dyDescent="0.25">
      <c r="A9922" s="3"/>
    </row>
    <row r="9923" spans="1:1" x14ac:dyDescent="0.25">
      <c r="A9923" s="3"/>
    </row>
    <row r="9924" spans="1:1" x14ac:dyDescent="0.25">
      <c r="A9924" s="3"/>
    </row>
    <row r="9925" spans="1:1" x14ac:dyDescent="0.25">
      <c r="A9925" s="3"/>
    </row>
    <row r="9926" spans="1:1" x14ac:dyDescent="0.25">
      <c r="A9926" s="3"/>
    </row>
    <row r="9927" spans="1:1" x14ac:dyDescent="0.25">
      <c r="A9927" s="3"/>
    </row>
    <row r="9928" spans="1:1" x14ac:dyDescent="0.25">
      <c r="A9928" s="3"/>
    </row>
    <row r="9929" spans="1:1" x14ac:dyDescent="0.25">
      <c r="A9929" s="3"/>
    </row>
    <row r="9930" spans="1:1" x14ac:dyDescent="0.25">
      <c r="A9930" s="3"/>
    </row>
    <row r="9931" spans="1:1" x14ac:dyDescent="0.25">
      <c r="A9931" s="3"/>
    </row>
    <row r="9932" spans="1:1" x14ac:dyDescent="0.25">
      <c r="A9932" s="3"/>
    </row>
    <row r="9933" spans="1:1" x14ac:dyDescent="0.25">
      <c r="A9933" s="3"/>
    </row>
    <row r="9934" spans="1:1" x14ac:dyDescent="0.25">
      <c r="A9934" s="3"/>
    </row>
    <row r="9935" spans="1:1" x14ac:dyDescent="0.25">
      <c r="A9935" s="3"/>
    </row>
    <row r="9936" spans="1:1" x14ac:dyDescent="0.25">
      <c r="A9936" s="3"/>
    </row>
    <row r="9937" spans="1:1" x14ac:dyDescent="0.25">
      <c r="A9937" s="3"/>
    </row>
    <row r="9938" spans="1:1" x14ac:dyDescent="0.25">
      <c r="A9938" s="3"/>
    </row>
    <row r="9939" spans="1:1" x14ac:dyDescent="0.25">
      <c r="A9939" s="3"/>
    </row>
    <row r="9940" spans="1:1" x14ac:dyDescent="0.25">
      <c r="A9940" s="3"/>
    </row>
    <row r="9941" spans="1:1" x14ac:dyDescent="0.25">
      <c r="A9941" s="3"/>
    </row>
    <row r="9942" spans="1:1" x14ac:dyDescent="0.25">
      <c r="A9942" s="3"/>
    </row>
    <row r="9943" spans="1:1" x14ac:dyDescent="0.25">
      <c r="A9943" s="3"/>
    </row>
    <row r="9944" spans="1:1" x14ac:dyDescent="0.25">
      <c r="A9944" s="3"/>
    </row>
    <row r="9945" spans="1:1" x14ac:dyDescent="0.25">
      <c r="A9945" s="3"/>
    </row>
    <row r="9946" spans="1:1" x14ac:dyDescent="0.25">
      <c r="A9946" s="3"/>
    </row>
    <row r="9947" spans="1:1" x14ac:dyDescent="0.25">
      <c r="A9947" s="3"/>
    </row>
    <row r="9948" spans="1:1" x14ac:dyDescent="0.25">
      <c r="A9948" s="3"/>
    </row>
    <row r="9949" spans="1:1" x14ac:dyDescent="0.25">
      <c r="A9949" s="3"/>
    </row>
    <row r="9950" spans="1:1" x14ac:dyDescent="0.25">
      <c r="A9950" s="3"/>
    </row>
    <row r="9951" spans="1:1" x14ac:dyDescent="0.25">
      <c r="A9951" s="3"/>
    </row>
    <row r="9952" spans="1:1" x14ac:dyDescent="0.25">
      <c r="A9952" s="3"/>
    </row>
    <row r="9953" spans="1:1" x14ac:dyDescent="0.25">
      <c r="A9953" s="3"/>
    </row>
    <row r="9954" spans="1:1" x14ac:dyDescent="0.25">
      <c r="A9954" s="3"/>
    </row>
    <row r="9955" spans="1:1" x14ac:dyDescent="0.25">
      <c r="A9955" s="3"/>
    </row>
    <row r="9956" spans="1:1" x14ac:dyDescent="0.25">
      <c r="A9956" s="3"/>
    </row>
    <row r="9957" spans="1:1" x14ac:dyDescent="0.25">
      <c r="A9957" s="3"/>
    </row>
    <row r="9958" spans="1:1" x14ac:dyDescent="0.25">
      <c r="A9958" s="3"/>
    </row>
    <row r="9959" spans="1:1" x14ac:dyDescent="0.25">
      <c r="A9959" s="3"/>
    </row>
    <row r="9960" spans="1:1" x14ac:dyDescent="0.25">
      <c r="A9960" s="3"/>
    </row>
    <row r="9961" spans="1:1" x14ac:dyDescent="0.25">
      <c r="A9961" s="3"/>
    </row>
    <row r="9962" spans="1:1" x14ac:dyDescent="0.25">
      <c r="A9962" s="3"/>
    </row>
    <row r="9963" spans="1:1" x14ac:dyDescent="0.25">
      <c r="A9963" s="3"/>
    </row>
    <row r="9964" spans="1:1" x14ac:dyDescent="0.25">
      <c r="A9964" s="3"/>
    </row>
    <row r="9965" spans="1:1" x14ac:dyDescent="0.25">
      <c r="A9965" s="3"/>
    </row>
    <row r="9966" spans="1:1" x14ac:dyDescent="0.25">
      <c r="A9966" s="3"/>
    </row>
    <row r="9967" spans="1:1" x14ac:dyDescent="0.25">
      <c r="A9967" s="3"/>
    </row>
    <row r="9968" spans="1:1" x14ac:dyDescent="0.25">
      <c r="A9968" s="3"/>
    </row>
    <row r="9969" spans="1:1" x14ac:dyDescent="0.25">
      <c r="A9969" s="3"/>
    </row>
    <row r="9970" spans="1:1" x14ac:dyDescent="0.25">
      <c r="A9970" s="3"/>
    </row>
    <row r="9971" spans="1:1" x14ac:dyDescent="0.25">
      <c r="A9971" s="3"/>
    </row>
    <row r="9972" spans="1:1" x14ac:dyDescent="0.25">
      <c r="A9972" s="3"/>
    </row>
    <row r="9973" spans="1:1" x14ac:dyDescent="0.25">
      <c r="A9973" s="3"/>
    </row>
    <row r="9974" spans="1:1" x14ac:dyDescent="0.25">
      <c r="A9974" s="3"/>
    </row>
    <row r="9975" spans="1:1" x14ac:dyDescent="0.25">
      <c r="A9975" s="3"/>
    </row>
    <row r="9976" spans="1:1" x14ac:dyDescent="0.25">
      <c r="A9976" s="3"/>
    </row>
    <row r="9977" spans="1:1" x14ac:dyDescent="0.25">
      <c r="A9977" s="3"/>
    </row>
    <row r="9978" spans="1:1" x14ac:dyDescent="0.25">
      <c r="A9978" s="3"/>
    </row>
    <row r="9979" spans="1:1" x14ac:dyDescent="0.25">
      <c r="A9979" s="3"/>
    </row>
    <row r="9980" spans="1:1" x14ac:dyDescent="0.25">
      <c r="A9980" s="3"/>
    </row>
    <row r="9981" spans="1:1" x14ac:dyDescent="0.25">
      <c r="A9981" s="3"/>
    </row>
    <row r="9982" spans="1:1" x14ac:dyDescent="0.25">
      <c r="A9982" s="3"/>
    </row>
    <row r="9983" spans="1:1" x14ac:dyDescent="0.25">
      <c r="A9983" s="3"/>
    </row>
    <row r="9984" spans="1:1" x14ac:dyDescent="0.25">
      <c r="A9984" s="3"/>
    </row>
    <row r="9985" spans="1:1" x14ac:dyDescent="0.25">
      <c r="A9985" s="3"/>
    </row>
    <row r="9986" spans="1:1" x14ac:dyDescent="0.25">
      <c r="A9986" s="3"/>
    </row>
    <row r="9987" spans="1:1" x14ac:dyDescent="0.25">
      <c r="A9987" s="3"/>
    </row>
    <row r="9988" spans="1:1" x14ac:dyDescent="0.25">
      <c r="A9988" s="3"/>
    </row>
    <row r="9989" spans="1:1" x14ac:dyDescent="0.25">
      <c r="A9989" s="3"/>
    </row>
    <row r="9990" spans="1:1" x14ac:dyDescent="0.25">
      <c r="A9990" s="3"/>
    </row>
    <row r="9991" spans="1:1" x14ac:dyDescent="0.25">
      <c r="A9991" s="3"/>
    </row>
    <row r="9992" spans="1:1" x14ac:dyDescent="0.25">
      <c r="A9992" s="3"/>
    </row>
    <row r="9993" spans="1:1" x14ac:dyDescent="0.25">
      <c r="A9993" s="3"/>
    </row>
    <row r="9994" spans="1:1" x14ac:dyDescent="0.25">
      <c r="A9994" s="3"/>
    </row>
    <row r="9995" spans="1:1" x14ac:dyDescent="0.25">
      <c r="A9995" s="3"/>
    </row>
    <row r="9996" spans="1:1" x14ac:dyDescent="0.25">
      <c r="A9996" s="3"/>
    </row>
    <row r="9997" spans="1:1" x14ac:dyDescent="0.25">
      <c r="A9997" s="3"/>
    </row>
    <row r="9998" spans="1:1" x14ac:dyDescent="0.25">
      <c r="A9998" s="3"/>
    </row>
    <row r="9999" spans="1:1" x14ac:dyDescent="0.25">
      <c r="A9999" s="3"/>
    </row>
    <row r="10000" spans="1:1" x14ac:dyDescent="0.25">
      <c r="A10000" s="3"/>
    </row>
    <row r="10001" spans="1:1" x14ac:dyDescent="0.25">
      <c r="A10001" s="3"/>
    </row>
    <row r="10002" spans="1:1" x14ac:dyDescent="0.25">
      <c r="A10002" s="3"/>
    </row>
    <row r="10003" spans="1:1" x14ac:dyDescent="0.25">
      <c r="A10003" s="3"/>
    </row>
    <row r="10004" spans="1:1" x14ac:dyDescent="0.25">
      <c r="A10004" s="3"/>
    </row>
    <row r="10005" spans="1:1" x14ac:dyDescent="0.25">
      <c r="A10005" s="3"/>
    </row>
    <row r="10006" spans="1:1" x14ac:dyDescent="0.25">
      <c r="A10006" s="3"/>
    </row>
    <row r="10007" spans="1:1" x14ac:dyDescent="0.25">
      <c r="A10007" s="3"/>
    </row>
    <row r="10008" spans="1:1" x14ac:dyDescent="0.25">
      <c r="A10008" s="3"/>
    </row>
    <row r="10009" spans="1:1" x14ac:dyDescent="0.25">
      <c r="A10009" s="3"/>
    </row>
    <row r="10010" spans="1:1" x14ac:dyDescent="0.25">
      <c r="A10010" s="3"/>
    </row>
    <row r="10011" spans="1:1" x14ac:dyDescent="0.25">
      <c r="A10011" s="3"/>
    </row>
    <row r="10012" spans="1:1" x14ac:dyDescent="0.25">
      <c r="A10012" s="3"/>
    </row>
    <row r="10013" spans="1:1" x14ac:dyDescent="0.25">
      <c r="A10013" s="3"/>
    </row>
    <row r="10014" spans="1:1" x14ac:dyDescent="0.25">
      <c r="A10014" s="3"/>
    </row>
    <row r="10015" spans="1:1" x14ac:dyDescent="0.25">
      <c r="A10015" s="3"/>
    </row>
    <row r="10016" spans="1:1" x14ac:dyDescent="0.25">
      <c r="A10016" s="3"/>
    </row>
    <row r="10017" spans="1:1" x14ac:dyDescent="0.25">
      <c r="A10017" s="3"/>
    </row>
    <row r="10018" spans="1:1" x14ac:dyDescent="0.25">
      <c r="A10018" s="3"/>
    </row>
    <row r="10019" spans="1:1" x14ac:dyDescent="0.25">
      <c r="A10019" s="3"/>
    </row>
    <row r="10020" spans="1:1" x14ac:dyDescent="0.25">
      <c r="A10020" s="3"/>
    </row>
    <row r="10021" spans="1:1" x14ac:dyDescent="0.25">
      <c r="A10021" s="3"/>
    </row>
    <row r="10022" spans="1:1" x14ac:dyDescent="0.25">
      <c r="A10022" s="3"/>
    </row>
    <row r="10023" spans="1:1" x14ac:dyDescent="0.25">
      <c r="A10023" s="3"/>
    </row>
    <row r="10024" spans="1:1" x14ac:dyDescent="0.25">
      <c r="A10024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Comdty Correlation Matrix</vt:lpstr>
      <vt:lpstr>raw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2016-02-29T08:42:28Z</dcterms:created>
  <dcterms:modified xsi:type="dcterms:W3CDTF">2023-01-25T00:18:51Z</dcterms:modified>
</cp:coreProperties>
</file>