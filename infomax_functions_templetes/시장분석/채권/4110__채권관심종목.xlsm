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infomax\Downloads\"/>
    </mc:Choice>
  </mc:AlternateContent>
  <xr:revisionPtr revIDLastSave="0" documentId="13_ncr:1_{D5C94B17-EEC4-40E4-992A-DDB7A3EBC748}" xr6:coauthVersionLast="47" xr6:coauthVersionMax="47" xr10:uidLastSave="{00000000-0000-0000-0000-000000000000}"/>
  <bookViews>
    <workbookView xWindow="2340" yWindow="2340" windowWidth="14325" windowHeight="12015" xr2:uid="{00000000-000D-0000-FFFF-FFFF00000000}"/>
  </bookViews>
  <sheets>
    <sheet name="채권관심종목" sheetId="2" r:id="rId1"/>
    <sheet name="현금흐름" sheetId="3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0" i="3" l="1"/>
  <c r="A60" i="3"/>
  <c r="A52" i="3"/>
  <c r="B52" i="3"/>
  <c r="A54" i="3"/>
  <c r="B54" i="3"/>
  <c r="A56" i="3"/>
  <c r="B56" i="3"/>
  <c r="A58" i="3"/>
  <c r="B58" i="3"/>
  <c r="A10" i="3"/>
  <c r="B10" i="3"/>
  <c r="A12" i="3"/>
  <c r="B12" i="3"/>
  <c r="A14" i="3"/>
  <c r="B14" i="3"/>
  <c r="A16" i="3"/>
  <c r="B16" i="3"/>
  <c r="A18" i="3"/>
  <c r="B18" i="3"/>
  <c r="A20" i="3"/>
  <c r="B20" i="3"/>
  <c r="A22" i="3"/>
  <c r="B22" i="3"/>
  <c r="A24" i="3"/>
  <c r="B24" i="3"/>
  <c r="A26" i="3"/>
  <c r="B26" i="3"/>
  <c r="A28" i="3"/>
  <c r="B28" i="3"/>
  <c r="A30" i="3"/>
  <c r="B30" i="3"/>
  <c r="A32" i="3"/>
  <c r="B32" i="3"/>
  <c r="A34" i="3"/>
  <c r="B34" i="3"/>
  <c r="A36" i="3"/>
  <c r="B36" i="3"/>
  <c r="A38" i="3"/>
  <c r="B38" i="3"/>
  <c r="A40" i="3"/>
  <c r="B40" i="3"/>
  <c r="A42" i="3"/>
  <c r="B42" i="3"/>
  <c r="A44" i="3"/>
  <c r="B44" i="3"/>
  <c r="A46" i="3"/>
  <c r="B46" i="3"/>
  <c r="A48" i="3"/>
  <c r="B48" i="3"/>
  <c r="A50" i="3"/>
  <c r="B50" i="3"/>
  <c r="B8" i="3"/>
  <c r="A8" i="3"/>
  <c r="B6" i="3"/>
  <c r="A6" i="3"/>
  <c r="B4" i="3"/>
  <c r="A4" i="3"/>
  <c r="B2" i="3"/>
  <c r="A2" i="3"/>
  <c r="T38" i="2"/>
  <c r="P38" i="2"/>
  <c r="O38" i="2"/>
  <c r="N38" i="2"/>
  <c r="M38" i="2"/>
  <c r="L38" i="2"/>
  <c r="K38" i="2"/>
  <c r="J38" i="2"/>
  <c r="I38" i="2"/>
  <c r="H38" i="2"/>
  <c r="D38" i="2"/>
  <c r="C38" i="2"/>
  <c r="T37" i="2"/>
  <c r="P37" i="2"/>
  <c r="O37" i="2"/>
  <c r="N37" i="2"/>
  <c r="M37" i="2"/>
  <c r="L37" i="2"/>
  <c r="K37" i="2"/>
  <c r="J37" i="2"/>
  <c r="I37" i="2"/>
  <c r="H37" i="2"/>
  <c r="D37" i="2"/>
  <c r="C37" i="2"/>
  <c r="T36" i="2"/>
  <c r="P36" i="2"/>
  <c r="O36" i="2"/>
  <c r="N36" i="2"/>
  <c r="M36" i="2"/>
  <c r="L36" i="2"/>
  <c r="K36" i="2"/>
  <c r="J36" i="2"/>
  <c r="I36" i="2"/>
  <c r="H36" i="2"/>
  <c r="D36" i="2"/>
  <c r="C36" i="2"/>
  <c r="T35" i="2"/>
  <c r="P35" i="2"/>
  <c r="O35" i="2"/>
  <c r="N35" i="2"/>
  <c r="M35" i="2"/>
  <c r="L35" i="2"/>
  <c r="K35" i="2"/>
  <c r="J35" i="2"/>
  <c r="I35" i="2"/>
  <c r="H35" i="2"/>
  <c r="D35" i="2"/>
  <c r="C35" i="2"/>
  <c r="T34" i="2"/>
  <c r="P34" i="2"/>
  <c r="O34" i="2"/>
  <c r="N34" i="2"/>
  <c r="M34" i="2"/>
  <c r="L34" i="2"/>
  <c r="K34" i="2"/>
  <c r="J34" i="2"/>
  <c r="I34" i="2"/>
  <c r="H34" i="2"/>
  <c r="D34" i="2"/>
  <c r="C34" i="2"/>
  <c r="T33" i="2"/>
  <c r="P33" i="2"/>
  <c r="O33" i="2"/>
  <c r="N33" i="2"/>
  <c r="M33" i="2"/>
  <c r="L33" i="2"/>
  <c r="K33" i="2"/>
  <c r="J33" i="2"/>
  <c r="I33" i="2"/>
  <c r="H33" i="2"/>
  <c r="D33" i="2"/>
  <c r="C33" i="2"/>
  <c r="T32" i="2"/>
  <c r="P32" i="2"/>
  <c r="O32" i="2"/>
  <c r="N32" i="2"/>
  <c r="M32" i="2"/>
  <c r="L32" i="2"/>
  <c r="K32" i="2"/>
  <c r="J32" i="2"/>
  <c r="I32" i="2"/>
  <c r="H32" i="2"/>
  <c r="D32" i="2"/>
  <c r="C32" i="2"/>
  <c r="T31" i="2"/>
  <c r="P31" i="2"/>
  <c r="O31" i="2"/>
  <c r="N31" i="2"/>
  <c r="M31" i="2"/>
  <c r="L31" i="2"/>
  <c r="K31" i="2"/>
  <c r="J31" i="2"/>
  <c r="I31" i="2"/>
  <c r="H31" i="2"/>
  <c r="D31" i="2"/>
  <c r="C31" i="2"/>
  <c r="T30" i="2"/>
  <c r="P30" i="2"/>
  <c r="O30" i="2"/>
  <c r="N30" i="2"/>
  <c r="M30" i="2"/>
  <c r="L30" i="2"/>
  <c r="K30" i="2"/>
  <c r="J30" i="2"/>
  <c r="I30" i="2"/>
  <c r="H30" i="2"/>
  <c r="D30" i="2"/>
  <c r="C30" i="2"/>
  <c r="T29" i="2"/>
  <c r="P29" i="2"/>
  <c r="O29" i="2"/>
  <c r="N29" i="2"/>
  <c r="M29" i="2"/>
  <c r="L29" i="2"/>
  <c r="K29" i="2"/>
  <c r="J29" i="2"/>
  <c r="I29" i="2"/>
  <c r="H29" i="2"/>
  <c r="D29" i="2"/>
  <c r="C29" i="2"/>
  <c r="T28" i="2"/>
  <c r="P28" i="2"/>
  <c r="O28" i="2"/>
  <c r="N28" i="2"/>
  <c r="M28" i="2"/>
  <c r="L28" i="2"/>
  <c r="K28" i="2"/>
  <c r="J28" i="2"/>
  <c r="I28" i="2"/>
  <c r="H28" i="2"/>
  <c r="D28" i="2"/>
  <c r="C28" i="2"/>
  <c r="T27" i="2"/>
  <c r="P27" i="2"/>
  <c r="O27" i="2"/>
  <c r="N27" i="2"/>
  <c r="M27" i="2"/>
  <c r="L27" i="2"/>
  <c r="K27" i="2"/>
  <c r="J27" i="2"/>
  <c r="I27" i="2"/>
  <c r="H27" i="2"/>
  <c r="D27" i="2"/>
  <c r="C27" i="2"/>
  <c r="T26" i="2"/>
  <c r="P26" i="2"/>
  <c r="O26" i="2"/>
  <c r="N26" i="2"/>
  <c r="M26" i="2"/>
  <c r="L26" i="2"/>
  <c r="K26" i="2"/>
  <c r="J26" i="2"/>
  <c r="I26" i="2"/>
  <c r="H26" i="2"/>
  <c r="D26" i="2"/>
  <c r="C26" i="2"/>
  <c r="T25" i="2"/>
  <c r="P25" i="2"/>
  <c r="O25" i="2"/>
  <c r="N25" i="2"/>
  <c r="M25" i="2"/>
  <c r="L25" i="2"/>
  <c r="K25" i="2"/>
  <c r="J25" i="2"/>
  <c r="I25" i="2"/>
  <c r="H25" i="2"/>
  <c r="D25" i="2"/>
  <c r="C25" i="2"/>
  <c r="T24" i="2"/>
  <c r="P24" i="2"/>
  <c r="O24" i="2"/>
  <c r="N24" i="2"/>
  <c r="M24" i="2"/>
  <c r="L24" i="2"/>
  <c r="K24" i="2"/>
  <c r="J24" i="2"/>
  <c r="I24" i="2"/>
  <c r="H24" i="2"/>
  <c r="D24" i="2"/>
  <c r="C24" i="2"/>
  <c r="T23" i="2"/>
  <c r="P23" i="2"/>
  <c r="O23" i="2"/>
  <c r="N23" i="2"/>
  <c r="M23" i="2"/>
  <c r="L23" i="2"/>
  <c r="K23" i="2"/>
  <c r="J23" i="2"/>
  <c r="I23" i="2"/>
  <c r="H23" i="2"/>
  <c r="D23" i="2"/>
  <c r="C23" i="2"/>
  <c r="T22" i="2"/>
  <c r="P22" i="2"/>
  <c r="O22" i="2"/>
  <c r="N22" i="2"/>
  <c r="M22" i="2"/>
  <c r="L22" i="2"/>
  <c r="K22" i="2"/>
  <c r="J22" i="2"/>
  <c r="I22" i="2"/>
  <c r="H22" i="2"/>
  <c r="D22" i="2"/>
  <c r="C22" i="2"/>
  <c r="T21" i="2"/>
  <c r="P21" i="2"/>
  <c r="O21" i="2"/>
  <c r="N21" i="2"/>
  <c r="M21" i="2"/>
  <c r="L21" i="2"/>
  <c r="K21" i="2"/>
  <c r="J21" i="2"/>
  <c r="I21" i="2"/>
  <c r="H21" i="2"/>
  <c r="D21" i="2"/>
  <c r="C21" i="2"/>
  <c r="T20" i="2"/>
  <c r="P20" i="2"/>
  <c r="O20" i="2"/>
  <c r="N20" i="2"/>
  <c r="M20" i="2"/>
  <c r="L20" i="2"/>
  <c r="K20" i="2"/>
  <c r="J20" i="2"/>
  <c r="I20" i="2"/>
  <c r="H20" i="2"/>
  <c r="D20" i="2"/>
  <c r="C20" i="2"/>
  <c r="T19" i="2"/>
  <c r="P19" i="2"/>
  <c r="O19" i="2"/>
  <c r="N19" i="2"/>
  <c r="M19" i="2"/>
  <c r="L19" i="2"/>
  <c r="K19" i="2"/>
  <c r="J19" i="2"/>
  <c r="I19" i="2"/>
  <c r="H19" i="2"/>
  <c r="D19" i="2"/>
  <c r="C19" i="2"/>
  <c r="T18" i="2"/>
  <c r="P18" i="2"/>
  <c r="O18" i="2"/>
  <c r="N18" i="2"/>
  <c r="M18" i="2"/>
  <c r="L18" i="2"/>
  <c r="K18" i="2"/>
  <c r="J18" i="2"/>
  <c r="I18" i="2"/>
  <c r="H18" i="2"/>
  <c r="D18" i="2"/>
  <c r="C18" i="2"/>
  <c r="T17" i="2"/>
  <c r="P17" i="2"/>
  <c r="O17" i="2"/>
  <c r="N17" i="2"/>
  <c r="M17" i="2"/>
  <c r="L17" i="2"/>
  <c r="K17" i="2"/>
  <c r="J17" i="2"/>
  <c r="I17" i="2"/>
  <c r="H17" i="2"/>
  <c r="D17" i="2"/>
  <c r="C17" i="2"/>
  <c r="T16" i="2"/>
  <c r="P16" i="2"/>
  <c r="O16" i="2"/>
  <c r="N16" i="2"/>
  <c r="M16" i="2"/>
  <c r="L16" i="2"/>
  <c r="K16" i="2"/>
  <c r="J16" i="2"/>
  <c r="I16" i="2"/>
  <c r="H16" i="2"/>
  <c r="D16" i="2"/>
  <c r="C16" i="2"/>
  <c r="T15" i="2"/>
  <c r="P15" i="2"/>
  <c r="O15" i="2"/>
  <c r="N15" i="2"/>
  <c r="M15" i="2"/>
  <c r="L15" i="2"/>
  <c r="K15" i="2"/>
  <c r="J15" i="2"/>
  <c r="I15" i="2"/>
  <c r="H15" i="2"/>
  <c r="D15" i="2"/>
  <c r="C15" i="2"/>
  <c r="T14" i="2"/>
  <c r="P14" i="2"/>
  <c r="O14" i="2"/>
  <c r="N14" i="2"/>
  <c r="M14" i="2"/>
  <c r="L14" i="2"/>
  <c r="K14" i="2"/>
  <c r="J14" i="2"/>
  <c r="I14" i="2"/>
  <c r="H14" i="2"/>
  <c r="D14" i="2"/>
  <c r="C14" i="2"/>
  <c r="B39" i="3" a="1"/>
  <c r="B11" i="3" a="1"/>
  <c r="B33" i="3" a="1"/>
  <c r="B47" i="3" a="1"/>
  <c r="B57" i="3" a="1"/>
  <c r="B21" i="3" a="1"/>
  <c r="B13" i="3" a="1"/>
  <c r="B51" i="3" a="1"/>
  <c r="B23" i="3" a="1"/>
  <c r="B49" i="3" a="1"/>
  <c r="B17" i="3" a="1"/>
  <c r="B27" i="3" a="1"/>
  <c r="B37" i="3" a="1"/>
  <c r="B43" i="3" a="1"/>
  <c r="B19" i="3" a="1"/>
  <c r="B41" i="3" a="1"/>
  <c r="B59" i="3" a="1"/>
  <c r="B15" i="3" a="1"/>
  <c r="B29" i="3" a="1"/>
  <c r="B31" i="3" a="1"/>
  <c r="B53" i="3" a="1"/>
  <c r="B25" i="3" a="1"/>
  <c r="B35" i="3" a="1"/>
  <c r="B45" i="3" a="1"/>
  <c r="B55" i="3" a="1"/>
  <c r="R35" i="2"/>
  <c r="R31" i="2"/>
  <c r="R27" i="2"/>
  <c r="R23" i="2"/>
  <c r="R19" i="2"/>
  <c r="R15" i="2"/>
  <c r="R36" i="2"/>
  <c r="R24" i="2"/>
  <c r="R38" i="2"/>
  <c r="R34" i="2"/>
  <c r="R30" i="2"/>
  <c r="R26" i="2"/>
  <c r="R22" i="2"/>
  <c r="R18" i="2"/>
  <c r="R14" i="2"/>
  <c r="R28" i="2"/>
  <c r="R16" i="2"/>
  <c r="R37" i="2"/>
  <c r="R33" i="2"/>
  <c r="R29" i="2"/>
  <c r="R25" i="2"/>
  <c r="R21" i="2"/>
  <c r="R17" i="2"/>
  <c r="R32" i="2"/>
  <c r="R20" i="2"/>
  <c r="R10" i="2"/>
  <c r="R9" i="2"/>
  <c r="D9" i="2"/>
  <c r="R11" i="2"/>
  <c r="C12" i="2"/>
  <c r="C9" i="2"/>
  <c r="R13" i="2"/>
  <c r="D12" i="2"/>
  <c r="C11" i="2"/>
  <c r="B3" i="3" a="1"/>
  <c r="B1" i="3" a="1"/>
  <c r="R12" i="2"/>
  <c r="D11" i="2"/>
  <c r="D10" i="2"/>
  <c r="B5" i="3" a="1"/>
  <c r="B9" i="3" a="1"/>
  <c r="B7" i="3" a="1"/>
  <c r="D13" i="2"/>
  <c r="C10" i="2"/>
  <c r="C13" i="2"/>
  <c r="B7" i="3" l="1"/>
  <c r="B1" i="3"/>
  <c r="B5" i="3"/>
  <c r="B9" i="3"/>
  <c r="B3" i="3"/>
  <c r="B13" i="3"/>
  <c r="B21" i="3"/>
  <c r="B29" i="3"/>
  <c r="B37" i="3"/>
  <c r="B45" i="3"/>
  <c r="B57" i="3"/>
  <c r="B15" i="3"/>
  <c r="B27" i="3"/>
  <c r="B35" i="3"/>
  <c r="B47" i="3"/>
  <c r="B59" i="3"/>
  <c r="B17" i="3"/>
  <c r="B25" i="3"/>
  <c r="B33" i="3"/>
  <c r="B41" i="3"/>
  <c r="B49" i="3"/>
  <c r="B53" i="3"/>
  <c r="B11" i="3"/>
  <c r="B19" i="3"/>
  <c r="B23" i="3"/>
  <c r="B31" i="3"/>
  <c r="B39" i="3"/>
  <c r="B43" i="3"/>
  <c r="B51" i="3"/>
  <c r="B55" i="3"/>
  <c r="G7" i="2"/>
  <c r="T5" i="2"/>
  <c r="H4" i="2"/>
  <c r="B6" i="2"/>
  <c r="B7" i="2"/>
  <c r="K13" i="2"/>
  <c r="K12" i="2"/>
  <c r="Q25" i="2"/>
  <c r="Q24" i="2"/>
  <c r="Q38" i="2"/>
  <c r="Q20" i="2"/>
  <c r="I12" i="2"/>
  <c r="L9" i="2"/>
  <c r="K11" i="2"/>
  <c r="K10" i="2"/>
  <c r="J13" i="2"/>
  <c r="L11" i="2"/>
  <c r="Q31" i="2"/>
  <c r="Q14" i="2"/>
  <c r="Q27" i="2"/>
  <c r="I13" i="2"/>
  <c r="H11" i="2"/>
  <c r="I9" i="2"/>
  <c r="Q18" i="2"/>
  <c r="Q35" i="2"/>
  <c r="O13" i="2"/>
  <c r="P12" i="2"/>
  <c r="P9" i="2"/>
  <c r="O10" i="2"/>
  <c r="T11" i="2"/>
  <c r="P13" i="2"/>
  <c r="J11" i="2"/>
  <c r="Q23" i="2"/>
  <c r="M11" i="2"/>
  <c r="Q19" i="2"/>
  <c r="J12" i="2"/>
  <c r="Q17" i="2"/>
  <c r="Q10" i="2"/>
  <c r="Q30" i="2"/>
  <c r="P10" i="2"/>
  <c r="N12" i="2"/>
  <c r="Q21" i="2"/>
  <c r="Q16" i="2"/>
  <c r="Q34" i="2"/>
  <c r="Q12" i="2"/>
  <c r="L13" i="2"/>
  <c r="O11" i="2"/>
  <c r="Q15" i="2"/>
  <c r="I10" i="2"/>
  <c r="Q11" i="2"/>
  <c r="T13" i="2"/>
  <c r="Q13" i="2"/>
  <c r="L10" i="2"/>
  <c r="Q26" i="2"/>
  <c r="N10" i="2"/>
  <c r="H12" i="2"/>
  <c r="Q33" i="2"/>
  <c r="Q9" i="2"/>
  <c r="J9" i="2"/>
  <c r="Q36" i="2"/>
  <c r="L12" i="2"/>
  <c r="Q37" i="2"/>
  <c r="K9" i="2"/>
  <c r="T9" i="2"/>
  <c r="M9" i="2"/>
  <c r="N13" i="2"/>
  <c r="M13" i="2"/>
  <c r="I11" i="2"/>
  <c r="T10" i="2"/>
  <c r="Q22" i="2"/>
  <c r="O9" i="2"/>
  <c r="O12" i="2"/>
  <c r="Q29" i="2"/>
  <c r="Q32" i="2"/>
  <c r="N9" i="2"/>
  <c r="Q28" i="2"/>
  <c r="M12" i="2"/>
  <c r="H9" i="2"/>
  <c r="J10" i="2"/>
  <c r="N11" i="2"/>
  <c r="H13" i="2"/>
  <c r="T12" i="2"/>
  <c r="H10" i="2"/>
  <c r="P11" i="2"/>
  <c r="M10" i="2"/>
  <c r="S38" i="2" l="1"/>
  <c r="S34" i="2"/>
  <c r="S30" i="2"/>
  <c r="U30" i="2" s="1"/>
  <c r="V30" i="2" s="1"/>
  <c r="S26" i="2"/>
  <c r="U26" i="2" s="1"/>
  <c r="V26" i="2" s="1"/>
  <c r="S22" i="2"/>
  <c r="S18" i="2"/>
  <c r="S14" i="2"/>
  <c r="U14" i="2" s="1"/>
  <c r="V14" i="2" s="1"/>
  <c r="S37" i="2"/>
  <c r="U37" i="2" s="1"/>
  <c r="V37" i="2" s="1"/>
  <c r="S33" i="2"/>
  <c r="S29" i="2"/>
  <c r="S25" i="2"/>
  <c r="U25" i="2" s="1"/>
  <c r="V25" i="2" s="1"/>
  <c r="S21" i="2"/>
  <c r="U21" i="2" s="1"/>
  <c r="V21" i="2" s="1"/>
  <c r="S17" i="2"/>
  <c r="S36" i="2"/>
  <c r="U36" i="2" s="1"/>
  <c r="V36" i="2" s="1"/>
  <c r="S32" i="2"/>
  <c r="U32" i="2" s="1"/>
  <c r="V32" i="2" s="1"/>
  <c r="S28" i="2"/>
  <c r="U28" i="2" s="1"/>
  <c r="V28" i="2" s="1"/>
  <c r="S24" i="2"/>
  <c r="S20" i="2"/>
  <c r="U20" i="2" s="1"/>
  <c r="V20" i="2" s="1"/>
  <c r="S16" i="2"/>
  <c r="U16" i="2" s="1"/>
  <c r="V16" i="2" s="1"/>
  <c r="S35" i="2"/>
  <c r="U35" i="2" s="1"/>
  <c r="V35" i="2" s="1"/>
  <c r="S31" i="2"/>
  <c r="S27" i="2"/>
  <c r="U27" i="2" s="1"/>
  <c r="V27" i="2" s="1"/>
  <c r="S23" i="2"/>
  <c r="U23" i="2" s="1"/>
  <c r="V23" i="2" s="1"/>
  <c r="S19" i="2"/>
  <c r="U19" i="2" s="1"/>
  <c r="V19" i="2" s="1"/>
  <c r="S15" i="2"/>
  <c r="S9" i="2"/>
  <c r="U9" i="2" s="1"/>
  <c r="S13" i="2"/>
  <c r="U13" i="2" s="1"/>
  <c r="S11" i="2"/>
  <c r="U11" i="2" s="1"/>
  <c r="V11" i="2" s="1"/>
  <c r="S12" i="2"/>
  <c r="U12" i="2" s="1"/>
  <c r="S10" i="2"/>
  <c r="U10" i="2" s="1"/>
  <c r="V10" i="2" s="1"/>
  <c r="U38" i="2"/>
  <c r="V38" i="2" s="1"/>
  <c r="U34" i="2"/>
  <c r="V34" i="2" s="1"/>
  <c r="U22" i="2"/>
  <c r="V22" i="2" s="1"/>
  <c r="U18" i="2"/>
  <c r="V18" i="2" s="1"/>
  <c r="U24" i="2"/>
  <c r="V24" i="2" s="1"/>
  <c r="U31" i="2"/>
  <c r="V31" i="2" s="1"/>
  <c r="U15" i="2"/>
  <c r="V15" i="2" s="1"/>
  <c r="U33" i="2"/>
  <c r="V33" i="2" s="1"/>
  <c r="U29" i="2"/>
  <c r="V29" i="2" s="1"/>
  <c r="U17" i="2"/>
  <c r="V17" i="2" s="1"/>
  <c r="V13" i="2" l="1"/>
  <c r="W13" i="2" s="1"/>
  <c r="V12" i="2"/>
  <c r="W12" i="2" s="1"/>
  <c r="V9" i="2"/>
  <c r="W11" i="2"/>
  <c r="X11" i="2"/>
  <c r="W10" i="2"/>
  <c r="X10" i="2"/>
  <c r="X14" i="2"/>
  <c r="W14" i="2"/>
  <c r="X12" i="2"/>
  <c r="X16" i="2"/>
  <c r="W16" i="2"/>
  <c r="X20" i="2"/>
  <c r="W20" i="2"/>
  <c r="X24" i="2"/>
  <c r="W24" i="2"/>
  <c r="X28" i="2"/>
  <c r="W28" i="2"/>
  <c r="X32" i="2"/>
  <c r="W32" i="2"/>
  <c r="X36" i="2"/>
  <c r="W36" i="2"/>
  <c r="X17" i="2"/>
  <c r="W17" i="2"/>
  <c r="X25" i="2"/>
  <c r="W25" i="2"/>
  <c r="X29" i="2"/>
  <c r="W29" i="2"/>
  <c r="X33" i="2"/>
  <c r="W33" i="2"/>
  <c r="X37" i="2"/>
  <c r="W37" i="2"/>
  <c r="X13" i="2"/>
  <c r="X18" i="2"/>
  <c r="W18" i="2"/>
  <c r="X22" i="2"/>
  <c r="W22" i="2"/>
  <c r="X26" i="2"/>
  <c r="W26" i="2"/>
  <c r="X30" i="2"/>
  <c r="W30" i="2"/>
  <c r="X34" i="2"/>
  <c r="W34" i="2"/>
  <c r="X38" i="2"/>
  <c r="W38" i="2"/>
  <c r="X21" i="2"/>
  <c r="W21" i="2"/>
  <c r="X15" i="2"/>
  <c r="W15" i="2"/>
  <c r="X19" i="2"/>
  <c r="W19" i="2"/>
  <c r="X23" i="2"/>
  <c r="W23" i="2"/>
  <c r="X27" i="2"/>
  <c r="W27" i="2"/>
  <c r="X31" i="2"/>
  <c r="W31" i="2"/>
  <c r="X35" i="2"/>
  <c r="W35" i="2"/>
  <c r="M7" i="2"/>
  <c r="N7" i="2"/>
  <c r="J7" i="2"/>
  <c r="K7" i="2"/>
  <c r="P7" i="2"/>
  <c r="O7" i="2"/>
  <c r="L7" i="2"/>
  <c r="P6" i="2"/>
  <c r="M6" i="2"/>
  <c r="K6" i="2"/>
  <c r="N6" i="2"/>
  <c r="O6" i="2"/>
  <c r="L6" i="2"/>
  <c r="J6" i="2"/>
  <c r="Z10" i="2" l="1"/>
  <c r="Y10" i="2"/>
  <c r="Z31" i="2"/>
  <c r="Y31" i="2"/>
  <c r="Z23" i="2"/>
  <c r="Y23" i="2"/>
  <c r="Z15" i="2"/>
  <c r="Y15" i="2"/>
  <c r="Z38" i="2"/>
  <c r="Y38" i="2"/>
  <c r="Z30" i="2"/>
  <c r="Y30" i="2"/>
  <c r="Z22" i="2"/>
  <c r="Y22" i="2"/>
  <c r="Z13" i="2"/>
  <c r="Y13" i="2"/>
  <c r="Z33" i="2"/>
  <c r="Y33" i="2"/>
  <c r="Z25" i="2"/>
  <c r="Y25" i="2"/>
  <c r="Z36" i="2"/>
  <c r="Y36" i="2"/>
  <c r="Z28" i="2"/>
  <c r="Y28" i="2"/>
  <c r="Z20" i="2"/>
  <c r="Y20" i="2"/>
  <c r="Z12" i="2"/>
  <c r="Y12" i="2"/>
  <c r="Z11" i="2"/>
  <c r="Y11" i="2"/>
  <c r="Z35" i="2"/>
  <c r="Y35" i="2"/>
  <c r="Z27" i="2"/>
  <c r="Y27" i="2"/>
  <c r="Z19" i="2"/>
  <c r="Y19" i="2"/>
  <c r="Z21" i="2"/>
  <c r="Y21" i="2"/>
  <c r="Z34" i="2"/>
  <c r="Y34" i="2"/>
  <c r="Z26" i="2"/>
  <c r="Y26" i="2"/>
  <c r="Z18" i="2"/>
  <c r="Y18" i="2"/>
  <c r="Z37" i="2"/>
  <c r="Y37" i="2"/>
  <c r="Z29" i="2"/>
  <c r="Y29" i="2"/>
  <c r="Z17" i="2"/>
  <c r="Y17" i="2"/>
  <c r="Z32" i="2"/>
  <c r="Y32" i="2"/>
  <c r="Z24" i="2"/>
  <c r="Y24" i="2"/>
  <c r="Z16" i="2"/>
  <c r="Y16" i="2"/>
  <c r="Z14" i="2"/>
  <c r="Y14" i="2"/>
  <c r="X9" i="2"/>
  <c r="W9" i="2"/>
  <c r="Z9" i="2" l="1"/>
  <c r="Y9" i="2"/>
  <c r="W7" i="2" l="1"/>
  <c r="Y7" i="2" l="1"/>
  <c r="Z7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<sst xmlns="http://schemas.openxmlformats.org/spreadsheetml/2006/main" count="48" uniqueCount="45">
  <si>
    <t>KR103503GCC6</t>
  </si>
  <si>
    <t>KR103501GCC0</t>
  </si>
  <si>
    <t>KR103502GCC8</t>
  </si>
  <si>
    <t>만기일</t>
    <phoneticPr fontId="1" type="noConversion"/>
  </si>
  <si>
    <t>편입일</t>
    <phoneticPr fontId="1" type="noConversion"/>
  </si>
  <si>
    <t>총경과이자</t>
    <phoneticPr fontId="1" type="noConversion"/>
  </si>
  <si>
    <t>총자산가치</t>
    <phoneticPr fontId="1" type="noConversion"/>
  </si>
  <si>
    <t>자산가치</t>
    <phoneticPr fontId="1" type="noConversion"/>
  </si>
  <si>
    <t>거래가격</t>
    <phoneticPr fontId="1" type="noConversion"/>
  </si>
  <si>
    <t>보유량(억)</t>
    <phoneticPr fontId="1" type="noConversion"/>
  </si>
  <si>
    <t>평가손익</t>
    <phoneticPr fontId="1" type="noConversion"/>
  </si>
  <si>
    <t>총평가손익</t>
    <phoneticPr fontId="1" type="noConversion"/>
  </si>
  <si>
    <t>손익률</t>
    <phoneticPr fontId="1" type="noConversion"/>
  </si>
  <si>
    <t>종목코드</t>
    <phoneticPr fontId="1" type="noConversion"/>
  </si>
  <si>
    <t>한글종목명</t>
    <phoneticPr fontId="1" type="noConversion"/>
  </si>
  <si>
    <t>시가평가액</t>
    <phoneticPr fontId="1" type="noConversion"/>
  </si>
  <si>
    <t>경과이자계산1</t>
    <phoneticPr fontId="1" type="noConversion"/>
  </si>
  <si>
    <t>경과이자계산2</t>
    <phoneticPr fontId="1" type="noConversion"/>
  </si>
  <si>
    <t>세전수익률</t>
    <phoneticPr fontId="1" type="noConversion"/>
  </si>
  <si>
    <t>잔존만기</t>
    <phoneticPr fontId="1" type="noConversion"/>
  </si>
  <si>
    <t>종목명</t>
    <phoneticPr fontId="1" type="noConversion"/>
  </si>
  <si>
    <t>잔존일수</t>
    <phoneticPr fontId="1" type="noConversion"/>
  </si>
  <si>
    <t>Clean Price</t>
    <phoneticPr fontId="1" type="noConversion"/>
  </si>
  <si>
    <t>금액 Dur.</t>
    <phoneticPr fontId="1" type="noConversion"/>
  </si>
  <si>
    <t>Mac. Dur.</t>
    <phoneticPr fontId="1" type="noConversion"/>
  </si>
  <si>
    <t>Mod. Dur.</t>
    <phoneticPr fontId="1" type="noConversion"/>
  </si>
  <si>
    <t>금액 Conv.</t>
    <phoneticPr fontId="1" type="noConversion"/>
  </si>
  <si>
    <t>Conv.</t>
    <phoneticPr fontId="1" type="noConversion"/>
  </si>
  <si>
    <t>bpv</t>
    <phoneticPr fontId="1" type="noConversion"/>
  </si>
  <si>
    <t>CleanPrice</t>
    <phoneticPr fontId="1" type="noConversion"/>
  </si>
  <si>
    <t>금액Duration</t>
    <phoneticPr fontId="1" type="noConversion"/>
  </si>
  <si>
    <t>MacDuration</t>
    <phoneticPr fontId="1" type="noConversion"/>
  </si>
  <si>
    <t>ModDuration</t>
    <phoneticPr fontId="1" type="noConversion"/>
  </si>
  <si>
    <t>금액Convexity</t>
    <phoneticPr fontId="1" type="noConversion"/>
  </si>
  <si>
    <t>Convexity</t>
    <phoneticPr fontId="1" type="noConversion"/>
  </si>
  <si>
    <t>3사평균</t>
    <phoneticPr fontId="1" type="noConversion"/>
  </si>
  <si>
    <t>4사평균</t>
    <phoneticPr fontId="1" type="noConversion"/>
  </si>
  <si>
    <t>단순 평균</t>
    <phoneticPr fontId="1" type="noConversion"/>
  </si>
  <si>
    <t>가중 평균</t>
    <phoneticPr fontId="1" type="noConversion"/>
  </si>
  <si>
    <t xml:space="preserve"> 채권 관심종목</t>
    <phoneticPr fontId="1" type="noConversion"/>
  </si>
  <si>
    <t>KR350101G389</t>
    <phoneticPr fontId="1" type="noConversion"/>
  </si>
  <si>
    <t>KR2005021A68</t>
    <phoneticPr fontId="1" type="noConversion"/>
  </si>
  <si>
    <t>일자</t>
  </si>
  <si>
    <t>이자</t>
  </si>
  <si>
    <t>이자계산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</si>
</sst>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.00_ "/>
    <numFmt numFmtId="177" formatCode="#,##0_ "/>
    <numFmt numFmtId="178" formatCode="#,##0.0000_ "/>
    <numFmt numFmtId="179" formatCode="[Red]#,##0.00_ ;[Blue]\-#,##0.00\ "/>
    <numFmt numFmtId="180" formatCode="#,##0.000_ 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DAE5F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>
      <alignment vertical="center"/>
    </xf>
    <xf numFmtId="14" fontId="0" fillId="0" borderId="5" xfId="0" applyNumberFormat="1" applyBorder="1" applyAlignment="1">
      <alignment horizontal="center" vertical="center"/>
    </xf>
    <xf numFmtId="14" fontId="0" fillId="2" borderId="5" xfId="0" applyNumberFormat="1" applyFill="1" applyBorder="1" applyAlignment="1">
      <alignment horizontal="center" vertical="center"/>
    </xf>
    <xf numFmtId="176" fontId="0" fillId="2" borderId="5" xfId="0" applyNumberFormat="1" applyFill="1" applyBorder="1">
      <alignment vertical="center"/>
    </xf>
    <xf numFmtId="177" fontId="0" fillId="2" borderId="5" xfId="0" applyNumberFormat="1" applyFill="1" applyBorder="1">
      <alignment vertical="center"/>
    </xf>
    <xf numFmtId="176" fontId="0" fillId="0" borderId="5" xfId="0" applyNumberFormat="1" applyBorder="1">
      <alignment vertical="center"/>
    </xf>
    <xf numFmtId="178" fontId="0" fillId="3" borderId="5" xfId="0" applyNumberFormat="1" applyFill="1" applyBorder="1">
      <alignment vertical="center"/>
    </xf>
    <xf numFmtId="178" fontId="0" fillId="0" borderId="5" xfId="0" applyNumberFormat="1" applyBorder="1">
      <alignment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>
      <alignment vertical="center"/>
    </xf>
    <xf numFmtId="14" fontId="0" fillId="0" borderId="8" xfId="0" applyNumberFormat="1" applyBorder="1" applyAlignment="1">
      <alignment horizontal="center" vertical="center"/>
    </xf>
    <xf numFmtId="14" fontId="0" fillId="2" borderId="8" xfId="0" applyNumberFormat="1" applyFill="1" applyBorder="1" applyAlignment="1">
      <alignment horizontal="center" vertical="center"/>
    </xf>
    <xf numFmtId="176" fontId="0" fillId="2" borderId="8" xfId="0" applyNumberFormat="1" applyFill="1" applyBorder="1">
      <alignment vertical="center"/>
    </xf>
    <xf numFmtId="177" fontId="0" fillId="2" borderId="8" xfId="0" applyNumberFormat="1" applyFill="1" applyBorder="1">
      <alignment vertical="center"/>
    </xf>
    <xf numFmtId="176" fontId="0" fillId="0" borderId="8" xfId="0" applyNumberFormat="1" applyBorder="1">
      <alignment vertical="center"/>
    </xf>
    <xf numFmtId="178" fontId="0" fillId="3" borderId="8" xfId="0" applyNumberFormat="1" applyFill="1" applyBorder="1">
      <alignment vertical="center"/>
    </xf>
    <xf numFmtId="178" fontId="0" fillId="0" borderId="8" xfId="0" applyNumberFormat="1" applyBorder="1">
      <alignment vertical="center"/>
    </xf>
    <xf numFmtId="179" fontId="0" fillId="0" borderId="5" xfId="0" applyNumberFormat="1" applyBorder="1">
      <alignment vertical="center"/>
    </xf>
    <xf numFmtId="179" fontId="0" fillId="0" borderId="6" xfId="0" applyNumberFormat="1" applyBorder="1">
      <alignment vertical="center"/>
    </xf>
    <xf numFmtId="179" fontId="0" fillId="0" borderId="8" xfId="0" applyNumberFormat="1" applyBorder="1">
      <alignment vertical="center"/>
    </xf>
    <xf numFmtId="179" fontId="0" fillId="0" borderId="9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5" xfId="0" applyNumberFormat="1" applyBorder="1">
      <alignment vertical="center"/>
    </xf>
    <xf numFmtId="180" fontId="0" fillId="0" borderId="5" xfId="0" applyNumberFormat="1" applyBorder="1">
      <alignment vertical="center"/>
    </xf>
    <xf numFmtId="177" fontId="0" fillId="0" borderId="8" xfId="0" applyNumberFormat="1" applyBorder="1">
      <alignment vertical="center"/>
    </xf>
    <xf numFmtId="180" fontId="0" fillId="0" borderId="8" xfId="0" applyNumberFormat="1" applyBorder="1">
      <alignment vertical="center"/>
    </xf>
    <xf numFmtId="178" fontId="0" fillId="0" borderId="11" xfId="0" applyNumberFormat="1" applyBorder="1">
      <alignment vertical="center"/>
    </xf>
    <xf numFmtId="178" fontId="0" fillId="0" borderId="12" xfId="0" applyNumberFormat="1" applyBorder="1">
      <alignment vertical="center"/>
    </xf>
    <xf numFmtId="178" fontId="0" fillId="0" borderId="13" xfId="0" applyNumberFormat="1" applyBorder="1">
      <alignment vertical="center"/>
    </xf>
    <xf numFmtId="178" fontId="0" fillId="0" borderId="14" xfId="0" applyNumberFormat="1" applyBorder="1">
      <alignment vertical="center"/>
    </xf>
    <xf numFmtId="178" fontId="0" fillId="0" borderId="15" xfId="0" applyNumberFormat="1" applyBorder="1">
      <alignment vertical="center"/>
    </xf>
    <xf numFmtId="178" fontId="0" fillId="0" borderId="16" xfId="0" applyNumberFormat="1" applyBorder="1">
      <alignment vertical="center"/>
    </xf>
    <xf numFmtId="0" fontId="2" fillId="4" borderId="17" xfId="0" applyFont="1" applyFill="1" applyBorder="1" applyAlignment="1">
      <alignment horizontal="right" vertical="center"/>
    </xf>
    <xf numFmtId="0" fontId="2" fillId="4" borderId="18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14" fontId="0" fillId="2" borderId="10" xfId="0" applyNumberForma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4" fillId="6" borderId="0" xfId="0" applyFont="1" applyFill="1">
      <alignment vertical="center"/>
    </xf>
    <xf numFmtId="177" fontId="2" fillId="0" borderId="10" xfId="0" applyNumberFormat="1" applyFont="1" applyBorder="1">
      <alignment vertical="center"/>
    </xf>
    <xf numFmtId="176" fontId="2" fillId="0" borderId="10" xfId="0" applyNumberFormat="1" applyFont="1" applyBorder="1">
      <alignment vertical="center"/>
    </xf>
    <xf numFmtId="179" fontId="2" fillId="0" borderId="10" xfId="0" applyNumberFormat="1" applyFont="1" applyBorder="1">
      <alignment vertical="center"/>
    </xf>
    <xf numFmtId="178" fontId="0" fillId="0" borderId="0" xfId="0" applyNumberFormat="1">
      <alignment vertical="center"/>
    </xf>
    <xf numFmtId="0" fontId="0" fillId="2" borderId="19" xfId="0" applyFill="1" applyBorder="1" applyAlignment="1">
      <alignment horizontal="center" vertical="center"/>
    </xf>
    <xf numFmtId="0" fontId="0" fillId="0" borderId="20" xfId="0" applyBorder="1">
      <alignment vertical="center"/>
    </xf>
    <xf numFmtId="14" fontId="0" fillId="0" borderId="20" xfId="0" applyNumberFormat="1" applyBorder="1" applyAlignment="1">
      <alignment horizontal="center" vertical="center"/>
    </xf>
    <xf numFmtId="14" fontId="0" fillId="2" borderId="20" xfId="0" applyNumberFormat="1" applyFill="1" applyBorder="1" applyAlignment="1">
      <alignment horizontal="center" vertical="center"/>
    </xf>
    <xf numFmtId="176" fontId="0" fillId="2" borderId="20" xfId="0" applyNumberFormat="1" applyFill="1" applyBorder="1">
      <alignment vertical="center"/>
    </xf>
    <xf numFmtId="177" fontId="0" fillId="2" borderId="20" xfId="0" applyNumberFormat="1" applyFill="1" applyBorder="1">
      <alignment vertical="center"/>
    </xf>
    <xf numFmtId="180" fontId="0" fillId="0" borderId="20" xfId="0" applyNumberFormat="1" applyBorder="1">
      <alignment vertical="center"/>
    </xf>
    <xf numFmtId="177" fontId="0" fillId="0" borderId="20" xfId="0" applyNumberFormat="1" applyBorder="1">
      <alignment vertical="center"/>
    </xf>
    <xf numFmtId="178" fontId="0" fillId="0" borderId="20" xfId="0" applyNumberFormat="1" applyBorder="1">
      <alignment vertical="center"/>
    </xf>
    <xf numFmtId="178" fontId="0" fillId="3" borderId="20" xfId="0" applyNumberFormat="1" applyFill="1" applyBorder="1">
      <alignment vertical="center"/>
    </xf>
    <xf numFmtId="176" fontId="0" fillId="0" borderId="20" xfId="0" applyNumberFormat="1" applyBorder="1">
      <alignment vertical="center"/>
    </xf>
    <xf numFmtId="179" fontId="0" fillId="0" borderId="20" xfId="0" applyNumberFormat="1" applyBorder="1">
      <alignment vertical="center"/>
    </xf>
    <xf numFmtId="179" fontId="0" fillId="0" borderId="21" xfId="0" applyNumberFormat="1" applyBorder="1">
      <alignment vertical="center"/>
    </xf>
    <xf numFmtId="49" fontId="0" fillId="7" borderId="0" xfId="0" applyNumberFormat="1" applyFill="1">
      <alignment vertical="center"/>
    </xf>
    <xf numFmtId="49" fontId="0" fillId="8" borderId="0" xfId="0" applyNumberFormat="1" applyFill="1">
      <alignment vertical="center"/>
    </xf>
    <xf numFmtId="14" fontId="0" fillId="0" borderId="0" xfId="0" applyNumberFormat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14" fontId="0" fillId="0" borderId="24" xfId="0" applyNumberFormat="1" applyBorder="1">
      <alignment vertical="center"/>
    </xf>
    <xf numFmtId="0" fontId="0" fillId="0" borderId="25" xfId="0" applyBorder="1">
      <alignment vertical="center"/>
    </xf>
    <xf numFmtId="0" fontId="0" fillId="0" borderId="24" xfId="0" applyBorder="1">
      <alignment vertical="center"/>
    </xf>
    <xf numFmtId="14" fontId="0" fillId="0" borderId="26" xfId="0" applyNumberFormat="1" applyBorder="1">
      <alignment vertical="center"/>
    </xf>
    <xf numFmtId="0" fontId="0" fillId="0" borderId="27" xfId="0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infomax.xlrtd">
      <tp>
        <v>68.218999999999994</v>
        <stp/>
        <stp>C</stp>
        <stp>0</stp>
        <stp>KR103502GCC8</stp>
        <stp>Convexity</stp>
        <stp>45169</stp>
        <stp>0</stp>
        <stp>3사평균</stp>
        <tr r="O11" s="2"/>
      </tp>
      <tp>
        <v>5.7427999999999999</v>
        <stp/>
        <stp>C</stp>
        <stp>0</stp>
        <stp>KR103501GCC0</stp>
        <stp>Convexity</stp>
        <stp>45169</stp>
        <stp>0</stp>
        <stp>3사평균</stp>
        <tr r="O10" s="2"/>
      </tp>
      <tp>
        <v>2.1179000000000001</v>
        <stp/>
        <stp>C</stp>
        <stp>0</stp>
        <stp>KR103503GCC6</stp>
        <stp>Convexity</stp>
        <stp>45169</stp>
        <stp>0</stp>
        <stp>3사평균</stp>
        <tr r="O9" s="2"/>
      </tp>
      <tp t="s">
        <v>국고04250-3212(22-14)</v>
        <stp/>
        <stp>P</stp>
        <stp>0</stp>
        <stp>BND</stp>
        <stp>KR103502GCC8</stp>
        <stp>한글종목명</stp>
        <stp/>
        <stp/>
        <tr r="C11" s="2"/>
      </tp>
      <tp t="s">
        <v>국고04250-2412(22-15)</v>
        <stp/>
        <stp>P</stp>
        <stp>0</stp>
        <stp>BND</stp>
        <stp>KR103503GCC6</stp>
        <stp>한글종목명</stp>
        <stp/>
        <stp/>
        <tr r="C9" s="2"/>
      </tp>
      <tp t="s">
        <v>국고04250-2512(22-13)</v>
        <stp/>
        <stp>P</stp>
        <stp>0</stp>
        <stp>BND</stp>
        <stp>KR103501GCC0</stp>
        <stp>한글종목명</stp>
        <stp/>
        <stp/>
        <tr r="C10" s="2"/>
      </tp>
      <tp t="s">
        <v/>
        <stp/>
        <stp>C</stp>
        <stp>0</stp>
        <stp>KR350101G389</stp>
        <stp>세전수익률</stp>
        <stp>45169</stp>
        <stp>0</stp>
        <stp>3사평균</stp>
        <tr r="H12" s="2"/>
      </tp>
      <tp t="s">
        <v>광주광역시지방채2020-02</v>
        <stp/>
        <stp>P</stp>
        <stp>0</stp>
        <stp>BND</stp>
        <stp>KR2005021A68</stp>
        <stp>한글종목명</stp>
        <stp/>
        <stp/>
        <tr r="C13" s="2"/>
      </tp>
      <tp t="s">
        <v/>
        <stp/>
        <stp>C</stp>
        <stp>0</stp>
        <stp>KR350101G389</stp>
        <stp>Convexity</stp>
        <stp>45169</stp>
        <stp>0</stp>
        <stp>3사평균</stp>
        <tr r="O12" s="2"/>
      </tp>
      <tp>
        <v>3.738</v>
        <stp/>
        <stp>C</stp>
        <stp>0</stp>
        <stp>KR103501GCC0</stp>
        <stp>세전수익률</stp>
        <stp>45169</stp>
        <stp>0</stp>
        <stp>3사평균</stp>
        <tr r="H10" s="2"/>
      </tp>
      <tp>
        <v>3.73</v>
        <stp/>
        <stp>C</stp>
        <stp>0</stp>
        <stp>KR103503GCC6</stp>
        <stp>세전수익률</stp>
        <stp>45169</stp>
        <stp>0</stp>
        <stp>3사평균</stp>
        <tr r="H9" s="2"/>
      </tp>
      <tp>
        <v>3.87</v>
        <stp/>
        <stp>C</stp>
        <stp>0</stp>
        <stp>KR103502GCC8</stp>
        <stp>세전수익률</stp>
        <stp>45169</stp>
        <stp>0</stp>
        <stp>3사평균</stp>
        <tr r="H11" s="2"/>
      </tp>
      <tp t="e">
        <v>#N/A</v>
        <stp/>
        <stp>T</stp>
        <stp>x3.h9VW1</stp>
        <stp>10</stp>
        <stp>3090188</stp>
        <tr r="B9" s="3"/>
      </tp>
      <tp>
        <v>0</v>
        <stp/>
        <stp>T</stp>
        <stp>x4.h9VW1</stp>
        <stp>11</stp>
        <stp>3090188</stp>
        <tr r="B7" s="3"/>
      </tp>
      <tp>
        <v>7.7182000000000004</v>
        <stp/>
        <stp>C</stp>
        <stp>0</stp>
        <stp>KR103502GCC8</stp>
        <stp>MacDuration</stp>
        <stp>45169</stp>
        <stp>0</stp>
        <stp>3사평균</stp>
        <tr r="L11" s="2"/>
      </tp>
      <tp>
        <v>2.1747999999999998</v>
        <stp/>
        <stp>C</stp>
        <stp>0</stp>
        <stp>KR103501GCC0</stp>
        <stp>MacDuration</stp>
        <stp>45169</stp>
        <stp>0</stp>
        <stp>3사평균</stp>
        <tr r="L10" s="2"/>
      </tp>
      <tp>
        <v>1.2451000000000001</v>
        <stp/>
        <stp>C</stp>
        <stp>0</stp>
        <stp>KR103503GCC6</stp>
        <stp>MacDuration</stp>
        <stp>45169</stp>
        <stp>0</stp>
        <stp>3사평균</stp>
        <tr r="L9" s="2"/>
      </tp>
      <tp>
        <v>7.5716999999999999</v>
        <stp/>
        <stp>C</stp>
        <stp>0</stp>
        <stp>KR103502GCC8</stp>
        <stp>ModDuration</stp>
        <stp>45169</stp>
        <stp>0</stp>
        <stp>3사평균</stp>
        <tr r="M11" s="2"/>
      </tp>
      <tp>
        <v>1.2222999999999999</v>
        <stp/>
        <stp>C</stp>
        <stp>0</stp>
        <stp>KR103503GCC6</stp>
        <stp>ModDuration</stp>
        <stp>45169</stp>
        <stp>0</stp>
        <stp>3사평균</stp>
        <tr r="M9" s="2"/>
      </tp>
      <tp>
        <v>2.1349</v>
        <stp/>
        <stp>C</stp>
        <stp>0</stp>
        <stp>KR103501GCC0</stp>
        <stp>ModDuration</stp>
        <stp>45169</stp>
        <stp>0</stp>
        <stp>3사평균</stp>
        <tr r="M10" s="2"/>
      </tp>
      <tp>
        <v>2.1785999999999999</v>
        <stp/>
        <stp>C</stp>
        <stp>0</stp>
        <stp>KR103501GCC0</stp>
        <stp>bpv</stp>
        <stp>45169</stp>
        <stp>0</stp>
        <stp>3사평균</stp>
        <tr r="P10" s="2"/>
      </tp>
      <tp>
        <v>1.2417</v>
        <stp/>
        <stp>C</stp>
        <stp>0</stp>
        <stp>KR103503GCC6</stp>
        <stp>bpv</stp>
        <stp>45169</stp>
        <stp>0</stp>
        <stp>3사평균</stp>
        <tr r="P9" s="2"/>
      </tp>
      <tp>
        <v>7.8654999999999999</v>
        <stp/>
        <stp>C</stp>
        <stp>0</stp>
        <stp>KR103502GCC8</stp>
        <stp>bpv</stp>
        <stp>45169</stp>
        <stp>0</stp>
        <stp>3사평균</stp>
        <tr r="P11" s="2"/>
      </tp>
      <tp>
        <v>10109.802600000001</v>
        <stp/>
        <stp>C</stp>
        <stp>0</stp>
        <stp>KR103501GCC0</stp>
        <stp>CleanPrice</stp>
        <stp>45169</stp>
        <stp>0</stp>
        <stp>3사평균</stp>
        <tr r="J10" s="2"/>
      </tp>
      <tp>
        <v>10063.298699999999</v>
        <stp/>
        <stp>C</stp>
        <stp>0</stp>
        <stp>KR103503GCC6</stp>
        <stp>CleanPrice</stp>
        <stp>45169</stp>
        <stp>0</stp>
        <stp>3사평균</stp>
        <tr r="J9" s="2"/>
      </tp>
      <tp>
        <v>10292.8254</v>
        <stp/>
        <stp>C</stp>
        <stp>0</stp>
        <stp>KR103502GCC8</stp>
        <stp>CleanPrice</stp>
        <stp>45169</stp>
        <stp>0</stp>
        <stp>3사평균</stp>
        <tr r="J11" s="2"/>
      </tp>
      <tp>
        <v>708661.70076000004</v>
        <stp/>
        <stp>C</stp>
        <stp>0</stp>
        <stp>KR103502GCC8</stp>
        <stp>금액Convexity</stp>
        <stp>45169</stp>
        <stp>0</stp>
        <stp>3사평균</stp>
        <tr r="N11" s="2"/>
      </tp>
      <tp>
        <v>58605.388855999998</v>
        <stp/>
        <stp>C</stp>
        <stp>0</stp>
        <stp>KR103501GCC0</stp>
        <stp>금액Convexity</stp>
        <stp>45169</stp>
        <stp>0</stp>
        <stp>3사평균</stp>
        <tr r="N10" s="2"/>
      </tp>
      <tp>
        <v>21514.708329000001</v>
        <stp/>
        <stp>C</stp>
        <stp>0</stp>
        <stp>KR103503GCC6</stp>
        <stp>금액Convexity</stp>
        <stp>45169</stp>
        <stp>0</stp>
        <stp>3사평균</stp>
        <tr r="N9" s="2"/>
      </tp>
      <tp>
        <v>9568.3379999999997</v>
        <stp/>
        <stp>C</stp>
        <stp>0</stp>
        <stp>KR2005021A68</stp>
        <stp>CleanPrice</stp>
        <stp>45169</stp>
        <stp>0</stp>
        <stp>3사평균</stp>
        <tr r="J13" s="2"/>
      </tp>
      <tp t="s">
        <v/>
        <stp/>
        <stp>C</stp>
        <stp>0</stp>
        <stp>KR350101G389</stp>
        <stp>금액Convexity</stp>
        <stp>45169</stp>
        <stp>0</stp>
        <stp>3사평균</stp>
        <tr r="N12" s="2"/>
      </tp>
      <tp t="e">
        <v>#N/A</v>
        <stp/>
        <stp>T</stp>
        <stp>x2.h9VW1</stp>
        <stp>9</stp>
        <stp>3090188</stp>
        <tr r="B5" s="3"/>
      </tp>
      <tp t="e">
        <v>#N/A</v>
        <stp/>
        <stp>T</stp>
        <stp>x5.h9VW1</stp>
        <stp>8</stp>
        <stp>3090188</stp>
        <tr r="B1" s="3"/>
      </tp>
      <tp t="e">
        <v>#N/A</v>
        <stp/>
        <stp>T</stp>
        <stp>x1.h9VW1</stp>
        <stp>7</stp>
        <stp>3090188</stp>
        <tr r="B3" s="3"/>
      </tp>
      <tp t="s">
        <v/>
        <stp/>
        <stp>C</stp>
        <stp>0</stp>
        <stp>KR350101G389</stp>
        <stp>CleanPrice</stp>
        <stp>45169</stp>
        <stp>0</stp>
        <stp>3사평균</stp>
        <tr r="J12" s="2"/>
      </tp>
      <tp>
        <v>44291.970534</v>
        <stp/>
        <stp>C</stp>
        <stp>0</stp>
        <stp>KR2005021A68</stp>
        <stp>금액Convexity</stp>
        <stp>45169</stp>
        <stp>0</stp>
        <stp>3사평균</stp>
        <tr r="N13" s="2"/>
      </tp>
      <tp>
        <v>1.7841</v>
        <stp/>
        <stp>C</stp>
        <stp>0</stp>
        <stp>KR2005021A68</stp>
        <stp>MacDuration</stp>
        <stp>45169</stp>
        <stp>0</stp>
        <stp>3사평균</stp>
        <tr r="L13" s="2"/>
      </tp>
      <tp t="s">
        <v/>
        <stp/>
        <stp>C</stp>
        <stp>0</stp>
        <stp>KR350101G389</stp>
        <stp>ModDuration</stp>
        <stp>45169</stp>
        <stp>0</stp>
        <stp>3사평균</stp>
        <tr r="M12" s="2"/>
      </tp>
      <tp t="s">
        <v/>
        <stp/>
        <stp>C</stp>
        <stp>0</stp>
        <stp>KR350101G389</stp>
        <stp>bpv</stp>
        <stp>45169</stp>
        <stp>0</stp>
        <stp>3사평균</stp>
        <tr r="P12" s="2"/>
      </tp>
      <tp>
        <v>1.6480999999999999</v>
        <stp/>
        <stp>C</stp>
        <stp>0</stp>
        <stp>KR2005021A68</stp>
        <stp>bpv</stp>
        <stp>45169</stp>
        <stp>0</stp>
        <stp>3사평균</stp>
        <tr r="P13" s="2"/>
      </tp>
      <tp>
        <v>1.7175</v>
        <stp/>
        <stp>C</stp>
        <stp>0</stp>
        <stp>KR2005021A68</stp>
        <stp>ModDuration</stp>
        <stp>45169</stp>
        <stp>0</stp>
        <stp>3사평균</stp>
        <tr r="M13" s="2"/>
      </tp>
      <tp t="s">
        <v/>
        <stp/>
        <stp>C</stp>
        <stp>0</stp>
        <stp>KR350101G389</stp>
        <stp>MacDuration</stp>
        <stp>45169</stp>
        <stp>0</stp>
        <stp>3사평균</stp>
        <tr r="L12" s="2"/>
      </tp>
      <tp t="s">
        <v>한국전력860</v>
        <stp/>
        <stp>P</stp>
        <stp>0</stp>
        <stp>BND</stp>
        <stp>KR350101G389</stp>
        <stp>한글종목명</stp>
        <stp/>
        <stp/>
        <tr r="C12" s="2"/>
      </tp>
      <tp>
        <v>4.6158000000000001</v>
        <stp/>
        <stp>C</stp>
        <stp>0</stp>
        <stp>KR2005021A68</stp>
        <stp>Convexity</stp>
        <stp>45169</stp>
        <stp>0</stp>
        <stp>3사평균</stp>
        <tr r="O13" s="2"/>
      </tp>
      <tp>
        <v>3.8780000000000001</v>
        <stp/>
        <stp>C</stp>
        <stp>0</stp>
        <stp>KR2005021A68</stp>
        <stp>세전수익률</stp>
        <stp>45169</stp>
        <stp>0</stp>
        <stp>3사평균</stp>
        <tr r="H13" s="2"/>
      </tp>
      <tp>
        <v>45636</v>
        <stp/>
        <stp>P</stp>
        <stp>0</stp>
        <stp>BND</stp>
        <stp>KR103503GCC6</stp>
        <stp>만기일</stp>
        <stp/>
        <stp>DtFmt=1</stp>
        <tr r="D9" s="2"/>
      </tp>
      <tp>
        <v>46001</v>
        <stp/>
        <stp>P</stp>
        <stp>0</stp>
        <stp>BND</stp>
        <stp>KR103501GCC0</stp>
        <stp>만기일</stp>
        <stp/>
        <stp>DtFmt=1</stp>
        <tr r="D10" s="2"/>
      </tp>
      <tp>
        <v>48558</v>
        <stp/>
        <stp>P</stp>
        <stp>0</stp>
        <stp>BND</stp>
        <stp>KR103502GCC8</stp>
        <stp>만기일</stp>
        <stp/>
        <stp>DtFmt=1</stp>
        <tr r="D11" s="2"/>
      </tp>
      <tp>
        <v>9595.67</v>
        <stp/>
        <stp>P</stp>
        <stp>0</stp>
        <stp>BND</stp>
        <stp>KR2005021A68</stp>
        <stp>민평3사 가격(산출일)</stp>
        <stp>45169</stp>
        <stp/>
        <tr r="T13" s="2"/>
      </tp>
      <tp>
        <v>10205.01</v>
        <stp/>
        <stp>P</stp>
        <stp>0</stp>
        <stp>BND</stp>
        <stp>KR103501GCC0</stp>
        <stp>민평3사 가격(산출일)</stp>
        <stp>45169</stp>
        <stp/>
        <tr r="T10" s="2"/>
      </tp>
      <tp>
        <v>10158.51</v>
        <stp/>
        <stp>P</stp>
        <stp>0</stp>
        <stp>BND</stp>
        <stp>KR103503GCC6</stp>
        <stp>민평3사 가격(산출일)</stp>
        <stp>45169</stp>
        <stp/>
        <tr r="T9" s="2"/>
      </tp>
      <tp>
        <v>10388.040000000001</v>
        <stp/>
        <stp>P</stp>
        <stp>0</stp>
        <stp>BND</stp>
        <stp>KR103502GCC8</stp>
        <stp>민평3사 가격(산출일)</stp>
        <stp>45169</stp>
        <stp/>
        <tr r="T11" s="2"/>
      </tp>
      <tp>
        <v>467</v>
        <stp/>
        <stp>C</stp>
        <stp>0</stp>
        <stp>KR103503GCC6</stp>
        <stp>잔존일수</stp>
        <stp>45169</stp>
        <stp>0</stp>
        <stp>3사평균</stp>
        <tr r="I9" s="2"/>
      </tp>
      <tp>
        <v>0</v>
        <stp/>
        <stp>C</stp>
        <stp>0</stp>
        <stp>KR103502GCC8</stp>
        <stp>경과이자</stp>
        <stp>44623</stp>
        <stp>0</stp>
        <stp>3사평균</stp>
        <tr r="R11" s="2"/>
      </tp>
      <tp>
        <v>95.778000000000006</v>
        <stp/>
        <stp>C</stp>
        <stp>0</stp>
        <stp>KR2005021A68</stp>
        <stp>경과이자</stp>
        <stp>44623</stp>
        <stp>0</stp>
        <stp>3사평균</stp>
        <tr r="R13" s="2"/>
      </tp>
      <tp>
        <v>95.218500000000006</v>
        <stp/>
        <stp>C</stp>
        <stp>0</stp>
        <stp>KR103502GCC8</stp>
        <stp>경과이자</stp>
        <stp>45169</stp>
        <stp>0</stp>
        <stp>3사평균</stp>
        <tr r="Q11" s="2"/>
      </tp>
      <tp>
        <v>27.396100000000001</v>
        <stp/>
        <stp>C</stp>
        <stp>0</stp>
        <stp>KR2005021A68</stp>
        <stp>경과이자</stp>
        <stp>45169</stp>
        <stp>0</stp>
        <stp>3사평균</stp>
        <tr r="Q13" s="2"/>
      </tp>
      <tp t="s">
        <v/>
        <stp/>
        <stp>C</stp>
        <stp>0</stp>
        <stp>KR350101G389</stp>
        <stp>경과이자</stp>
        <stp>45169</stp>
        <stp>0</stp>
        <stp>3사평균</stp>
        <tr r="Q12" s="2"/>
      </tp>
      <tp>
        <v>16480.666275</v>
        <stp/>
        <stp>C</stp>
        <stp>0</stp>
        <stp>KR2005021A68</stp>
        <stp>금액Duration</stp>
        <stp>45169</stp>
        <stp>0</stp>
        <stp>3사평균</stp>
        <tr r="K13" s="2"/>
      </tp>
      <tp>
        <v>26.502700000000001</v>
        <stp/>
        <stp>C</stp>
        <stp>0</stp>
        <stp>KR350101G389</stp>
        <stp>경과이자</stp>
        <stp>44623</stp>
        <stp>0</stp>
        <stp>3사평균</stp>
        <tr r="R12" s="2"/>
      </tp>
      <tp>
        <v>832</v>
        <stp/>
        <stp>C</stp>
        <stp>0</stp>
        <stp>KR103501GCC0</stp>
        <stp>잔존일수</stp>
        <stp>45169</stp>
        <stp>0</stp>
        <stp>3사평균</stp>
        <tr r="I10" s="2"/>
      </tp>
      <tp>
        <v>12416.746773000001</v>
        <stp/>
        <stp>C</stp>
        <stp>0</stp>
        <stp>KR103503GCC6</stp>
        <stp>금액Duration</stp>
        <stp>45169</stp>
        <stp>0</stp>
        <stp>3사평균</stp>
        <tr r="K9" s="2"/>
      </tp>
      <tp>
        <v>21786.697198000002</v>
        <stp/>
        <stp>C</stp>
        <stp>0</stp>
        <stp>KR103501GCC0</stp>
        <stp>금액Duration</stp>
        <stp>45169</stp>
        <stp>0</stp>
        <stp>3사평균</stp>
        <tr r="K10" s="2"/>
      </tp>
      <tp>
        <v>78655.122468000001</v>
        <stp/>
        <stp>C</stp>
        <stp>0</stp>
        <stp>KR103502GCC8</stp>
        <stp>금액Duration</stp>
        <stp>45169</stp>
        <stp>0</stp>
        <stp>3사평균</stp>
        <tr r="K11" s="2"/>
      </tp>
      <tp>
        <v>95.218500000000006</v>
        <stp/>
        <stp>C</stp>
        <stp>0</stp>
        <stp>KR103501GCC0</stp>
        <stp>경과이자</stp>
        <stp>45169</stp>
        <stp>0</stp>
        <stp>3사평균</stp>
        <tr r="Q10" s="2"/>
      </tp>
      <tp>
        <v>0</v>
        <stp/>
        <stp>C</stp>
        <stp>0</stp>
        <stp>KR103501GCC0</stp>
        <stp>경과이자</stp>
        <stp>44623</stp>
        <stp>0</stp>
        <stp>3사평균</stp>
        <tr r="R10" s="2"/>
      </tp>
      <tp t="s">
        <v/>
        <stp/>
        <stp>C</stp>
        <stp>0</stp>
        <stp>KR350101G389</stp>
        <stp>잔존일수</stp>
        <stp>45169</stp>
        <stp>0</stp>
        <stp>3사평균</stp>
        <tr r="I12" s="2"/>
      </tp>
      <tp>
        <v>95.218500000000006</v>
        <stp/>
        <stp>C</stp>
        <stp>0</stp>
        <stp>KR103503GCC6</stp>
        <stp>경과이자</stp>
        <stp>45169</stp>
        <stp>0</stp>
        <stp>3사평균</stp>
        <tr r="Q9" s="2"/>
      </tp>
      <tp>
        <v>0</v>
        <stp/>
        <stp>C</stp>
        <stp>0</stp>
        <stp>KR103503GCC6</stp>
        <stp>경과이자</stp>
        <stp>44623</stp>
        <stp>0</stp>
        <stp>3사평균</stp>
        <tr r="R9" s="2"/>
      </tp>
      <tp>
        <v>657</v>
        <stp/>
        <stp>C</stp>
        <stp>0</stp>
        <stp>KR2005021A68</stp>
        <stp>잔존일수</stp>
        <stp>45169</stp>
        <stp>0</stp>
        <stp>3사평균</stp>
        <tr r="I13" s="2"/>
      </tp>
      <tp>
        <v>3389</v>
        <stp/>
        <stp>C</stp>
        <stp>0</stp>
        <stp>KR103502GCC8</stp>
        <stp>잔존일수</stp>
        <stp>45169</stp>
        <stp>0</stp>
        <stp>3사평균</stp>
        <tr r="I11" s="2"/>
      </tp>
      <tp t="s">
        <v/>
        <stp/>
        <stp>C</stp>
        <stp>0</stp>
        <stp>KR350101G389</stp>
        <stp>금액Duration</stp>
        <stp>45169</stp>
        <stp>0</stp>
        <stp>3사평균</stp>
        <tr r="K12" s="2"/>
      </tp>
      <tp>
        <v>45826</v>
        <stp/>
        <stp>P</stp>
        <stp>0</stp>
        <stp>BND</stp>
        <stp>KR2005021A68</stp>
        <stp>만기일</stp>
        <stp/>
        <stp>DtFmt=1</stp>
        <tr r="D13" s="2"/>
      </tp>
      <tp>
        <v>10123</v>
        <stp/>
        <stp>P</stp>
        <stp>0</stp>
        <stp>BND</stp>
        <stp>KR350101G389</stp>
        <stp>민평3사 가격(산출일)</stp>
        <stp>45169</stp>
        <stp/>
        <tr r="T12" s="2"/>
      </tp>
      <tp>
        <v>45143</v>
        <stp/>
        <stp>P</stp>
        <stp>0</stp>
        <stp>BND</stp>
        <stp>KR350101G389</stp>
        <stp>만기일</stp>
        <stp/>
        <stp>DtFmt=1</stp>
        <tr r="D12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R$5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Drop" dropStyle="combo" dx="22" fmlaLink="$Q$5" fmlaRange="$G$4:$G$5" noThreeD="1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5</xdr:row>
          <xdr:rowOff>52595</xdr:rowOff>
        </xdr:from>
        <xdr:to>
          <xdr:col>2</xdr:col>
          <xdr:colOff>1333500</xdr:colOff>
          <xdr:row>6</xdr:row>
          <xdr:rowOff>61292</xdr:rowOff>
        </xdr:to>
        <xdr:grpSp>
          <xdr:nvGrpSpPr>
            <xdr:cNvPr id="4" name="그룹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pSpPr/>
          </xdr:nvGrpSpPr>
          <xdr:grpSpPr>
            <a:xfrm>
              <a:off x="1285875" y="624095"/>
              <a:ext cx="1276350" cy="227772"/>
              <a:chOff x="1924050" y="346796"/>
              <a:chExt cx="1276350" cy="238125"/>
            </a:xfrm>
          </xdr:grpSpPr>
          <xdr:sp macro="" textlink="">
            <xdr:nvSpPr>
              <xdr:cNvPr id="1026" name="Group Box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933575" y="371475"/>
                <a:ext cx="1260000" cy="18818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1027" name="Option 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1924050" y="346796"/>
                <a:ext cx="628650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민감도</a:t>
                </a:r>
              </a:p>
            </xdr:txBody>
          </xdr:sp>
          <xdr:sp macro="" textlink="">
            <xdr:nvSpPr>
              <xdr:cNvPr id="1028" name="Option 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SpPr/>
            </xdr:nvSpPr>
            <xdr:spPr bwMode="auto">
              <a:xfrm>
                <a:off x="2495550" y="346796"/>
                <a:ext cx="704850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자산평가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1438275</xdr:colOff>
          <xdr:row>5</xdr:row>
          <xdr:rowOff>76200</xdr:rowOff>
        </xdr:from>
        <xdr:to>
          <xdr:col>2</xdr:col>
          <xdr:colOff>2162175</xdr:colOff>
          <xdr:row>6</xdr:row>
          <xdr:rowOff>38100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Z38"/>
  <sheetViews>
    <sheetView showGridLines="0" showRowColHeaders="0" tabSelected="1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6.5"/>
  <cols>
    <col min="1" max="1" width="1" customWidth="1"/>
    <col min="2" max="2" width="15.125" customWidth="1"/>
    <col min="3" max="3" width="29.75" customWidth="1"/>
    <col min="4" max="4" width="11.125" customWidth="1"/>
    <col min="5" max="5" width="11.625" customWidth="1"/>
    <col min="6" max="6" width="11.125" customWidth="1"/>
    <col min="7" max="8" width="11.875" customWidth="1"/>
    <col min="9" max="9" width="11.875" hidden="1" customWidth="1"/>
    <col min="10" max="11" width="14.125" hidden="1" customWidth="1"/>
    <col min="12" max="13" width="12" hidden="1" customWidth="1"/>
    <col min="14" max="14" width="14.125" hidden="1" customWidth="1"/>
    <col min="15" max="16" width="9.875" hidden="1" customWidth="1"/>
    <col min="17" max="19" width="13.25" hidden="1" customWidth="1"/>
    <col min="20" max="21" width="11.25" customWidth="1"/>
    <col min="22" max="22" width="12.25" customWidth="1"/>
    <col min="23" max="23" width="18.125" customWidth="1"/>
    <col min="24" max="24" width="12.625" customWidth="1"/>
    <col min="25" max="25" width="15.625" customWidth="1"/>
    <col min="26" max="26" width="10.75" customWidth="1"/>
  </cols>
  <sheetData>
    <row r="1" spans="2:26" ht="6.75" customHeight="1"/>
    <row r="2" spans="2:26" ht="30" customHeight="1">
      <c r="B2" s="41" t="s">
        <v>39</v>
      </c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</row>
    <row r="3" spans="2:26" ht="8.25" customHeight="1" thickBot="1"/>
    <row r="4" spans="2:26" ht="17.25" hidden="1" thickBot="1">
      <c r="G4" t="s">
        <v>35</v>
      </c>
      <c r="H4" t="str">
        <f>CHOOSE($Q$5,G4,G5)</f>
        <v>3사평균</v>
      </c>
      <c r="U4" s="59" t="s">
        <v>42</v>
      </c>
    </row>
    <row r="5" spans="2:26" ht="17.25" hidden="1" thickBot="1">
      <c r="C5" t="s">
        <v>14</v>
      </c>
      <c r="D5" t="s">
        <v>3</v>
      </c>
      <c r="G5" t="s">
        <v>36</v>
      </c>
      <c r="H5" t="s">
        <v>18</v>
      </c>
      <c r="I5" t="s">
        <v>21</v>
      </c>
      <c r="J5" t="s">
        <v>29</v>
      </c>
      <c r="K5" t="s">
        <v>30</v>
      </c>
      <c r="L5" t="s">
        <v>31</v>
      </c>
      <c r="M5" t="s">
        <v>32</v>
      </c>
      <c r="N5" t="s">
        <v>33</v>
      </c>
      <c r="O5" t="s">
        <v>34</v>
      </c>
      <c r="P5" t="s">
        <v>28</v>
      </c>
      <c r="Q5">
        <v>1</v>
      </c>
      <c r="R5">
        <v>2</v>
      </c>
      <c r="T5" t="str">
        <f>CHOOSE($Q$5, "민평3사 가격(산출일)", "민평4사 가격(산출일)")</f>
        <v>민평3사 가격(산출일)</v>
      </c>
      <c r="U5" s="60" t="s">
        <v>43</v>
      </c>
    </row>
    <row r="6" spans="2:26" ht="17.25" thickBot="1">
      <c r="B6" s="40" t="str">
        <f>CHOOSE($R$5, "결제일", "시가평가일")</f>
        <v>시가평가일</v>
      </c>
      <c r="I6" s="34" t="s">
        <v>37</v>
      </c>
      <c r="J6" s="32">
        <f t="shared" ref="J6:P6" ca="1" si="0">AVERAGE(J9:J1048576)</f>
        <v>10008.566175</v>
      </c>
      <c r="K6" s="28">
        <f t="shared" ca="1" si="0"/>
        <v>32334.808178499999</v>
      </c>
      <c r="L6" s="28">
        <f t="shared" ca="1" si="0"/>
        <v>3.2305500000000005</v>
      </c>
      <c r="M6" s="28">
        <f t="shared" ca="1" si="0"/>
        <v>3.1615999999999995</v>
      </c>
      <c r="N6" s="28">
        <f t="shared" ca="1" si="0"/>
        <v>208268.44211974999</v>
      </c>
      <c r="O6" s="28">
        <f t="shared" ca="1" si="0"/>
        <v>20.173874999999995</v>
      </c>
      <c r="P6" s="29">
        <f t="shared" ca="1" si="0"/>
        <v>3.2334749999999999</v>
      </c>
      <c r="U6" s="45"/>
    </row>
    <row r="7" spans="2:26" ht="17.25" thickBot="1">
      <c r="B7" s="39">
        <f ca="1">TODAY()</f>
        <v>45169</v>
      </c>
      <c r="F7" s="23"/>
      <c r="G7" s="42">
        <f>SUM(G9:G1048576)</f>
        <v>600</v>
      </c>
      <c r="I7" s="35" t="s">
        <v>38</v>
      </c>
      <c r="J7" s="33">
        <f t="shared" ref="J7:P7" ca="1" si="1">SUMPRODUCT($G9:$G1048576, J9:J1048576)/$G$7</f>
        <v>8357.3445500000016</v>
      </c>
      <c r="K7" s="30">
        <f t="shared" ca="1" si="1"/>
        <v>25187.654985333334</v>
      </c>
      <c r="L7" s="30">
        <f t="shared" ca="1" si="1"/>
        <v>2.5161666666666669</v>
      </c>
      <c r="M7" s="30">
        <f t="shared" ca="1" si="1"/>
        <v>2.4635500000000001</v>
      </c>
      <c r="N7" s="30">
        <f t="shared" ca="1" si="1"/>
        <v>148613.19288916668</v>
      </c>
      <c r="O7" s="30">
        <f t="shared" ca="1" si="1"/>
        <v>14.406383333333332</v>
      </c>
      <c r="P7" s="31">
        <f t="shared" ca="1" si="1"/>
        <v>2.5187499999999998</v>
      </c>
      <c r="U7" s="45"/>
      <c r="W7" s="43">
        <f ca="1">SUM(W9:W1048576)</f>
        <v>5198573.21</v>
      </c>
      <c r="Y7" s="44">
        <f ca="1">SUM(Y9:Y1048576)</f>
        <v>198573.21000000049</v>
      </c>
      <c r="Z7" s="44">
        <f ca="1">Y7/SUMPRODUCT(F9:F1048576, G9:G1048576)*100</f>
        <v>3.3095535000000078</v>
      </c>
    </row>
    <row r="8" spans="2:26" ht="17.25" thickBot="1">
      <c r="B8" s="36" t="s">
        <v>13</v>
      </c>
      <c r="C8" s="37" t="s">
        <v>20</v>
      </c>
      <c r="D8" s="37" t="s">
        <v>3</v>
      </c>
      <c r="E8" s="37" t="s">
        <v>4</v>
      </c>
      <c r="F8" s="37" t="s">
        <v>8</v>
      </c>
      <c r="G8" s="37" t="s">
        <v>9</v>
      </c>
      <c r="H8" s="37" t="s">
        <v>18</v>
      </c>
      <c r="I8" s="37" t="s">
        <v>19</v>
      </c>
      <c r="J8" s="37" t="s">
        <v>22</v>
      </c>
      <c r="K8" s="37" t="s">
        <v>23</v>
      </c>
      <c r="L8" s="37" t="s">
        <v>24</v>
      </c>
      <c r="M8" s="37" t="s">
        <v>25</v>
      </c>
      <c r="N8" s="37" t="s">
        <v>26</v>
      </c>
      <c r="O8" s="37" t="s">
        <v>27</v>
      </c>
      <c r="P8" s="37" t="s">
        <v>28</v>
      </c>
      <c r="Q8" s="37" t="s">
        <v>16</v>
      </c>
      <c r="R8" s="37" t="s">
        <v>17</v>
      </c>
      <c r="S8" s="37" t="s">
        <v>44</v>
      </c>
      <c r="T8" s="37" t="s">
        <v>15</v>
      </c>
      <c r="U8" s="37" t="s">
        <v>5</v>
      </c>
      <c r="V8" s="37" t="s">
        <v>7</v>
      </c>
      <c r="W8" s="37" t="s">
        <v>6</v>
      </c>
      <c r="X8" s="37" t="s">
        <v>10</v>
      </c>
      <c r="Y8" s="37" t="s">
        <v>11</v>
      </c>
      <c r="Z8" s="38" t="s">
        <v>12</v>
      </c>
    </row>
    <row r="9" spans="2:26">
      <c r="B9" s="1" t="s">
        <v>0</v>
      </c>
      <c r="C9" s="2" t="str">
        <f>IF( ISBLANK($B9), "", _xll.IMDP("BND", $B9, C$5) )</f>
        <v>국고04250-2412(22-15)</v>
      </c>
      <c r="D9" s="3">
        <f>IF( ISBLANK($B9), "", _xll.IMDP("BND", $B9, D$5,,"DtFmt=1") )</f>
        <v>45636</v>
      </c>
      <c r="E9" s="4">
        <v>44623</v>
      </c>
      <c r="F9" s="5">
        <v>10000</v>
      </c>
      <c r="G9" s="6">
        <v>100</v>
      </c>
      <c r="H9" s="25">
        <f ca="1">IF( ISBLANK($B9), "", _xll.IMBC($B9, H$5, $B$7, 0,"3사평균") )</f>
        <v>3.73</v>
      </c>
      <c r="I9" s="24">
        <f ca="1">IF( ISBLANK($B9), "", _xll.IMBC($B9, I$5, $B$7, 0,"3사평균") )</f>
        <v>467</v>
      </c>
      <c r="J9" s="9">
        <f ca="1">IF( ISBLANK($B9), "", _xll.IMBC($B9, J$5, $B$7, 0,"3사평균") )</f>
        <v>10063.298699999999</v>
      </c>
      <c r="K9" s="9">
        <f ca="1">IF( ISBLANK($B9), "", _xll.IMBC($B9, K$5, $B$7, 0,"3사평균") )</f>
        <v>12416.746773000001</v>
      </c>
      <c r="L9" s="9">
        <f ca="1">IF( ISBLANK($B9), "", _xll.IMBC($B9, L$5, $B$7, 0,"3사평균") )</f>
        <v>1.2451000000000001</v>
      </c>
      <c r="M9" s="9">
        <f ca="1">IF( ISBLANK($B9), "", _xll.IMBC($B9, M$5, $B$7, 0,"3사평균") )</f>
        <v>1.2222999999999999</v>
      </c>
      <c r="N9" s="9">
        <f ca="1">IF( ISBLANK($B9), "", _xll.IMBC($B9, N$5, $B$7, 0,"3사평균") )</f>
        <v>21514.708329000001</v>
      </c>
      <c r="O9" s="9">
        <f ca="1">IF( ISBLANK($B9), "", _xll.IMBC($B9, O$5, $B$7, 0,"3사평균") )</f>
        <v>2.1179000000000001</v>
      </c>
      <c r="P9" s="9">
        <f ca="1">IF( ISBLANK($B9), "", _xll.IMBC($B9, P$5, $B$7, 0,"3사평균") )</f>
        <v>1.2417</v>
      </c>
      <c r="Q9" s="8">
        <f ca="1">_xll.IMBC($B9, "경과이자", $B$7, 0,"3사평균")</f>
        <v>95.218500000000006</v>
      </c>
      <c r="R9" s="8">
        <f>_xll.IMBC($B9, "경과이자", $E9, 0,"3사평균")</f>
        <v>0</v>
      </c>
      <c r="S9" s="8">
        <f ca="1">SUMIF( OFFSET(현금흐름!$C$1, 2*(ROW()-8)-2, 0, 1, 1000), "&lt;"&amp;$B$7, OFFSET(현금흐름!$C$1, 2*(ROW()-8)-1, 0, 1, 1000) )</f>
        <v>212.5</v>
      </c>
      <c r="T9" s="7">
        <f ca="1">IF( ISBLANK($B9), "", _xll.IMDP("BND", $B9, $T$5, $B$7) )</f>
        <v>10158.51</v>
      </c>
      <c r="U9" s="9">
        <f ca="1">IFERROR( S9+Q9-R9, "")</f>
        <v>307.71850000000001</v>
      </c>
      <c r="V9" s="7">
        <f ca="1">IFERROR( $T9+$U9, "")</f>
        <v>10466.228500000001</v>
      </c>
      <c r="W9" s="7">
        <f t="shared" ref="W9:W38" ca="1" si="2">IFERROR( $V9*$G9, "")</f>
        <v>1046622.8500000001</v>
      </c>
      <c r="X9" s="19">
        <f t="shared" ref="X9:X38" ca="1" si="3">IFERROR( $V9 - $F9, "")</f>
        <v>466.22850000000108</v>
      </c>
      <c r="Y9" s="19">
        <f t="shared" ref="Y9:Y38" ca="1" si="4">IFERROR( $X9*$G9, "")</f>
        <v>46622.850000000108</v>
      </c>
      <c r="Z9" s="20">
        <f t="shared" ref="Z9:Z38" ca="1" si="5">IFERROR( ($X9/$F9)*100, "")</f>
        <v>4.6622850000000104</v>
      </c>
    </row>
    <row r="10" spans="2:26">
      <c r="B10" s="10" t="s">
        <v>1</v>
      </c>
      <c r="C10" s="11" t="str">
        <f>IF( ISBLANK($B10), "", _xll.IMDP("BND", $B10, C$5) )</f>
        <v>국고04250-2512(22-13)</v>
      </c>
      <c r="D10" s="12">
        <f>IF( ISBLANK($B10), "", _xll.IMDP("BND", $B10, D$5,,"DtFmt=1") )</f>
        <v>46001</v>
      </c>
      <c r="E10" s="13">
        <v>44623</v>
      </c>
      <c r="F10" s="14">
        <v>10000</v>
      </c>
      <c r="G10" s="15">
        <v>200</v>
      </c>
      <c r="H10" s="27">
        <f ca="1">IF( ISBLANK($B10), "", _xll.IMBC($B10, H$5, $B$7, 0,"3사평균") )</f>
        <v>3.738</v>
      </c>
      <c r="I10" s="26">
        <f ca="1">IF( ISBLANK($B10), "", _xll.IMBC($B10, I$5, $B$7, 0,"3사평균") )</f>
        <v>832</v>
      </c>
      <c r="J10" s="18">
        <f ca="1">IF( ISBLANK($B10), "", _xll.IMBC($B10, J$5, $B$7, 0,"3사평균") )</f>
        <v>10109.802600000001</v>
      </c>
      <c r="K10" s="18">
        <f ca="1">IF( ISBLANK($B10), "", _xll.IMBC($B10, K$5, $B$7, 0,"3사평균") )</f>
        <v>21786.697198000002</v>
      </c>
      <c r="L10" s="18">
        <f ca="1">IF( ISBLANK($B10), "", _xll.IMBC($B10, L$5, $B$7, 0,"3사평균") )</f>
        <v>2.1747999999999998</v>
      </c>
      <c r="M10" s="18">
        <f ca="1">IF( ISBLANK($B10), "", _xll.IMBC($B10, M$5, $B$7, 0,"3사평균") )</f>
        <v>2.1349</v>
      </c>
      <c r="N10" s="18">
        <f ca="1">IF( ISBLANK($B10), "", _xll.IMBC($B10, N$5, $B$7, 0,"3사평균") )</f>
        <v>58605.388855999998</v>
      </c>
      <c r="O10" s="18">
        <f ca="1">IF( ISBLANK($B10), "", _xll.IMBC($B10, O$5, $B$7, 0,"3사평균") )</f>
        <v>5.7427999999999999</v>
      </c>
      <c r="P10" s="18">
        <f ca="1">IF( ISBLANK($B10), "", _xll.IMBC($B10, P$5, $B$7, 0,"3사평균") )</f>
        <v>2.1785999999999999</v>
      </c>
      <c r="Q10" s="17">
        <f ca="1">_xll.IMBC($B10, "경과이자", $B$7, 0,"3사평균")</f>
        <v>95.218500000000006</v>
      </c>
      <c r="R10" s="17">
        <f>_xll.IMBC($B10, "경과이자", $E10, 0,"3사평균")</f>
        <v>0</v>
      </c>
      <c r="S10" s="17">
        <f ca="1">SUMIF( OFFSET(현금흐름!$C$1, 2*(ROW()-8)-2, 0, 1, 1000), "&lt;"&amp;$B$7, OFFSET(현금흐름!$C$1, 2*(ROW()-8)-1, 0, 1, 1000) )</f>
        <v>212.5</v>
      </c>
      <c r="T10" s="16">
        <f ca="1">IF( ISBLANK($B10), "", _xll.IMDP("BND", $B10, $T$5, $B$7) )</f>
        <v>10205.01</v>
      </c>
      <c r="U10" s="18">
        <f t="shared" ref="U10:U38" ca="1" si="6">IFERROR( S10+Q10-R10, "")</f>
        <v>307.71850000000001</v>
      </c>
      <c r="V10" s="16">
        <f t="shared" ref="V10:V38" ca="1" si="7">IFERROR( $T10+$U10, "")</f>
        <v>10512.728500000001</v>
      </c>
      <c r="W10" s="16">
        <f t="shared" ca="1" si="2"/>
        <v>2102545.7000000002</v>
      </c>
      <c r="X10" s="21">
        <f t="shared" ca="1" si="3"/>
        <v>512.72850000000108</v>
      </c>
      <c r="Y10" s="21">
        <f t="shared" ca="1" si="4"/>
        <v>102545.70000000022</v>
      </c>
      <c r="Z10" s="22">
        <f t="shared" ca="1" si="5"/>
        <v>5.1272850000000103</v>
      </c>
    </row>
    <row r="11" spans="2:26">
      <c r="B11" s="10" t="s">
        <v>2</v>
      </c>
      <c r="C11" s="11" t="str">
        <f>IF( ISBLANK($B11), "", _xll.IMDP("BND", $B11, C$5) )</f>
        <v>국고04250-3212(22-14)</v>
      </c>
      <c r="D11" s="12">
        <f>IF( ISBLANK($B11), "", _xll.IMDP("BND", $B11, D$5,,"DtFmt=1") )</f>
        <v>48558</v>
      </c>
      <c r="E11" s="13">
        <v>44623</v>
      </c>
      <c r="F11" s="14">
        <v>10000</v>
      </c>
      <c r="G11" s="15">
        <v>100</v>
      </c>
      <c r="H11" s="27">
        <f ca="1">IF( ISBLANK($B11), "", _xll.IMBC($B11, H$5, $B$7, 0,"3사평균") )</f>
        <v>3.87</v>
      </c>
      <c r="I11" s="26">
        <f ca="1">IF( ISBLANK($B11), "", _xll.IMBC($B11, I$5, $B$7, 0,"3사평균") )</f>
        <v>3389</v>
      </c>
      <c r="J11" s="18">
        <f ca="1">IF( ISBLANK($B11), "", _xll.IMBC($B11, J$5, $B$7, 0,"3사평균") )</f>
        <v>10292.8254</v>
      </c>
      <c r="K11" s="18">
        <f ca="1">IF( ISBLANK($B11), "", _xll.IMBC($B11, K$5, $B$7, 0,"3사평균") )</f>
        <v>78655.122468000001</v>
      </c>
      <c r="L11" s="18">
        <f ca="1">IF( ISBLANK($B11), "", _xll.IMBC($B11, L$5, $B$7, 0,"3사평균") )</f>
        <v>7.7182000000000004</v>
      </c>
      <c r="M11" s="18">
        <f ca="1">IF( ISBLANK($B11), "", _xll.IMBC($B11, M$5, $B$7, 0,"3사평균") )</f>
        <v>7.5716999999999999</v>
      </c>
      <c r="N11" s="18">
        <f ca="1">IF( ISBLANK($B11), "", _xll.IMBC($B11, N$5, $B$7, 0,"3사평균") )</f>
        <v>708661.70076000004</v>
      </c>
      <c r="O11" s="18">
        <f ca="1">IF( ISBLANK($B11), "", _xll.IMBC($B11, O$5, $B$7, 0,"3사평균") )</f>
        <v>68.218999999999994</v>
      </c>
      <c r="P11" s="18">
        <f ca="1">IF( ISBLANK($B11), "", _xll.IMBC($B11, P$5, $B$7, 0,"3사평균") )</f>
        <v>7.8654999999999999</v>
      </c>
      <c r="Q11" s="17">
        <f ca="1">_xll.IMBC($B11, "경과이자", $B$7, 0,"3사평균")</f>
        <v>95.218500000000006</v>
      </c>
      <c r="R11" s="17">
        <f>_xll.IMBC($B11, "경과이자", $E11, 0,"3사평균")</f>
        <v>0</v>
      </c>
      <c r="S11" s="17">
        <f ca="1">SUMIF( OFFSET(현금흐름!$C$1, 2*(ROW()-8)-2, 0, 1, 1000), "&lt;"&amp;$B$7, OFFSET(현금흐름!$C$1, 2*(ROW()-8)-1, 0, 1, 1000) )</f>
        <v>212.5</v>
      </c>
      <c r="T11" s="16">
        <f ca="1">IF( ISBLANK($B11), "", _xll.IMDP("BND", $B11, $T$5, $B$7) )</f>
        <v>10388.040000000001</v>
      </c>
      <c r="U11" s="18">
        <f t="shared" ca="1" si="6"/>
        <v>307.71850000000001</v>
      </c>
      <c r="V11" s="16">
        <f t="shared" ca="1" si="7"/>
        <v>10695.758500000002</v>
      </c>
      <c r="W11" s="16">
        <f t="shared" ca="1" si="2"/>
        <v>1069575.8500000001</v>
      </c>
      <c r="X11" s="21">
        <f t="shared" ca="1" si="3"/>
        <v>695.75850000000173</v>
      </c>
      <c r="Y11" s="21">
        <f t="shared" ca="1" si="4"/>
        <v>69575.85000000018</v>
      </c>
      <c r="Z11" s="22">
        <f t="shared" ca="1" si="5"/>
        <v>6.9575850000000177</v>
      </c>
    </row>
    <row r="12" spans="2:26">
      <c r="B12" s="10" t="s">
        <v>40</v>
      </c>
      <c r="C12" s="11" t="str">
        <f>IF( ISBLANK($B12), "", _xll.IMDP("BND", $B12, C$5) )</f>
        <v>한국전력860</v>
      </c>
      <c r="D12" s="12">
        <f>IF( ISBLANK($B12), "", _xll.IMDP("BND", $B12, D$5,,"DtFmt=1") )</f>
        <v>45143</v>
      </c>
      <c r="E12" s="13">
        <v>44623</v>
      </c>
      <c r="F12" s="14">
        <v>10000</v>
      </c>
      <c r="G12" s="15">
        <v>100</v>
      </c>
      <c r="H12" s="27" t="str">
        <f ca="1">IF( ISBLANK($B12), "", _xll.IMBC($B12, H$5, $B$7, 0,"3사평균") )</f>
        <v/>
      </c>
      <c r="I12" s="26" t="str">
        <f ca="1">IF( ISBLANK($B12), "", _xll.IMBC($B12, I$5, $B$7, 0,"3사평균") )</f>
        <v/>
      </c>
      <c r="J12" s="18" t="str">
        <f ca="1">IF( ISBLANK($B12), "", _xll.IMBC($B12, J$5, $B$7, 0,"3사평균") )</f>
        <v/>
      </c>
      <c r="K12" s="18" t="str">
        <f ca="1">IF( ISBLANK($B12), "", _xll.IMBC($B12, K$5, $B$7, 0,"3사평균") )</f>
        <v/>
      </c>
      <c r="L12" s="18" t="str">
        <f ca="1">IF( ISBLANK($B12), "", _xll.IMBC($B12, L$5, $B$7, 0,"3사평균") )</f>
        <v/>
      </c>
      <c r="M12" s="18" t="str">
        <f ca="1">IF( ISBLANK($B12), "", _xll.IMBC($B12, M$5, $B$7, 0,"3사평균") )</f>
        <v/>
      </c>
      <c r="N12" s="18" t="str">
        <f ca="1">IF( ISBLANK($B12), "", _xll.IMBC($B12, N$5, $B$7, 0,"3사평균") )</f>
        <v/>
      </c>
      <c r="O12" s="18" t="str">
        <f ca="1">IF( ISBLANK($B12), "", _xll.IMBC($B12, O$5, $B$7, 0,"3사평균") )</f>
        <v/>
      </c>
      <c r="P12" s="18" t="str">
        <f ca="1">IF( ISBLANK($B12), "", _xll.IMBC($B12, P$5, $B$7, 0,"3사평균") )</f>
        <v/>
      </c>
      <c r="Q12" s="17" t="str">
        <f ca="1">_xll.IMBC($B12, "경과이자", $B$7, 0,"3사평균")</f>
        <v/>
      </c>
      <c r="R12" s="17">
        <f>_xll.IMBC($B12, "경과이자", $E12, 0,"3사평균")</f>
        <v>26.502700000000001</v>
      </c>
      <c r="S12" s="17">
        <f ca="1">SUMIF( OFFSET(현금흐름!$C$1, 2*(ROW()-8)-2, 0, 1, 1000), "&lt;"&amp;$B$7, OFFSET(현금흐름!$C$1, 2*(ROW()-8)-1, 0, 1, 1000) )</f>
        <v>553.5</v>
      </c>
      <c r="T12" s="16">
        <f ca="1">IF( ISBLANK($B12), "", _xll.IMDP("BND", $B12, $T$5, $B$7) )</f>
        <v>10123</v>
      </c>
      <c r="U12" s="18" t="str">
        <f t="shared" ca="1" si="6"/>
        <v/>
      </c>
      <c r="V12" s="16" t="str">
        <f t="shared" ca="1" si="7"/>
        <v/>
      </c>
      <c r="W12" s="16" t="str">
        <f t="shared" ca="1" si="2"/>
        <v/>
      </c>
      <c r="X12" s="21" t="str">
        <f t="shared" ca="1" si="3"/>
        <v/>
      </c>
      <c r="Y12" s="21" t="str">
        <f t="shared" ca="1" si="4"/>
        <v/>
      </c>
      <c r="Z12" s="22" t="str">
        <f t="shared" ca="1" si="5"/>
        <v/>
      </c>
    </row>
    <row r="13" spans="2:26">
      <c r="B13" s="10" t="s">
        <v>41</v>
      </c>
      <c r="C13" s="11" t="str">
        <f>IF( ISBLANK($B13), "", _xll.IMDP("BND", $B13, C$5) )</f>
        <v>광주광역시지방채2020-02</v>
      </c>
      <c r="D13" s="12">
        <f>IF( ISBLANK($B13), "", _xll.IMDP("BND", $B13, D$5,,"DtFmt=1") )</f>
        <v>45826</v>
      </c>
      <c r="E13" s="13">
        <v>44623</v>
      </c>
      <c r="F13" s="14">
        <v>10000</v>
      </c>
      <c r="G13" s="15">
        <v>100</v>
      </c>
      <c r="H13" s="27">
        <f ca="1">IF( ISBLANK($B13), "", _xll.IMBC($B13, H$5, $B$7, 0,"3사평균") )</f>
        <v>3.8780000000000001</v>
      </c>
      <c r="I13" s="26">
        <f ca="1">IF( ISBLANK($B13), "", _xll.IMBC($B13, I$5, $B$7, 0,"3사평균") )</f>
        <v>657</v>
      </c>
      <c r="J13" s="18">
        <f ca="1">IF( ISBLANK($B13), "", _xll.IMBC($B13, J$5, $B$7, 0,"3사평균") )</f>
        <v>9568.3379999999997</v>
      </c>
      <c r="K13" s="18">
        <f ca="1">IF( ISBLANK($B13), "", _xll.IMBC($B13, K$5, $B$7, 0,"3사평균") )</f>
        <v>16480.666275</v>
      </c>
      <c r="L13" s="18">
        <f ca="1">IF( ISBLANK($B13), "", _xll.IMBC($B13, L$5, $B$7, 0,"3사평균") )</f>
        <v>1.7841</v>
      </c>
      <c r="M13" s="18">
        <f ca="1">IF( ISBLANK($B13), "", _xll.IMBC($B13, M$5, $B$7, 0,"3사평균") )</f>
        <v>1.7175</v>
      </c>
      <c r="N13" s="18">
        <f ca="1">IF( ISBLANK($B13), "", _xll.IMBC($B13, N$5, $B$7, 0,"3사평균") )</f>
        <v>44291.970534</v>
      </c>
      <c r="O13" s="18">
        <f ca="1">IF( ISBLANK($B13), "", _xll.IMBC($B13, O$5, $B$7, 0,"3사평균") )</f>
        <v>4.6158000000000001</v>
      </c>
      <c r="P13" s="18">
        <f ca="1">IF( ISBLANK($B13), "", _xll.IMBC($B13, P$5, $B$7, 0,"3사평균") )</f>
        <v>1.6480999999999999</v>
      </c>
      <c r="Q13" s="17">
        <f ca="1">_xll.IMBC($B13, "경과이자", $B$7, 0,"3사평균")</f>
        <v>27.396100000000001</v>
      </c>
      <c r="R13" s="17">
        <f>_xll.IMBC($B13, "경과이자", $E13, 0,"3사평균")</f>
        <v>95.778000000000006</v>
      </c>
      <c r="S13" s="17">
        <f ca="1">SUMIF( OFFSET(현금흐름!$C$1, 2*(ROW()-8)-2, 0, 1, 1000), "&lt;"&amp;$B$7, OFFSET(현금흐름!$C$1, 2*(ROW()-8)-1, 0, 1, 1000) )</f>
        <v>271</v>
      </c>
      <c r="T13" s="16">
        <f ca="1">IF( ISBLANK($B13), "", _xll.IMDP("BND", $B13, $T$5, $B$7) )</f>
        <v>9595.67</v>
      </c>
      <c r="U13" s="18">
        <f t="shared" ca="1" si="6"/>
        <v>202.61809999999997</v>
      </c>
      <c r="V13" s="16">
        <f t="shared" ca="1" si="7"/>
        <v>9798.2880999999998</v>
      </c>
      <c r="W13" s="16">
        <f t="shared" ca="1" si="2"/>
        <v>979828.80999999994</v>
      </c>
      <c r="X13" s="21">
        <f t="shared" ca="1" si="3"/>
        <v>-201.71190000000024</v>
      </c>
      <c r="Y13" s="21">
        <f t="shared" ca="1" si="4"/>
        <v>-20171.190000000024</v>
      </c>
      <c r="Z13" s="22">
        <f t="shared" ca="1" si="5"/>
        <v>-2.0171190000000023</v>
      </c>
    </row>
    <row r="14" spans="2:26">
      <c r="B14" s="10"/>
      <c r="C14" s="11" t="str">
        <f>IF( ISBLANK($B14), "", _xll.IMDP("BND", $B14, C$5) )</f>
        <v/>
      </c>
      <c r="D14" s="12" t="str">
        <f>IF( ISBLANK($B14), "", _xll.IMDP("BND", $B14, D$5,,"DtFmt=1") )</f>
        <v/>
      </c>
      <c r="E14" s="13"/>
      <c r="F14" s="14"/>
      <c r="G14" s="15"/>
      <c r="H14" s="27" t="str">
        <f>IF( ISBLANK($B14), "", _xll.IMBC($B14, H$5, $B$7, 0,"3사평균") )</f>
        <v/>
      </c>
      <c r="I14" s="26" t="str">
        <f>IF( ISBLANK($B14), "", _xll.IMBC($B14, I$5, $B$7, 0,"3사평균") )</f>
        <v/>
      </c>
      <c r="J14" s="18" t="str">
        <f>IF( ISBLANK($B14), "", _xll.IMBC($B14, J$5, $B$7, 0,"3사평균") )</f>
        <v/>
      </c>
      <c r="K14" s="18" t="str">
        <f>IF( ISBLANK($B14), "", _xll.IMBC($B14, K$5, $B$7, 0,"3사평균") )</f>
        <v/>
      </c>
      <c r="L14" s="18" t="str">
        <f>IF( ISBLANK($B14), "", _xll.IMBC($B14, L$5, $B$7, 0,"3사평균") )</f>
        <v/>
      </c>
      <c r="M14" s="18" t="str">
        <f>IF( ISBLANK($B14), "", _xll.IMBC($B14, M$5, $B$7, 0,"3사평균") )</f>
        <v/>
      </c>
      <c r="N14" s="18" t="str">
        <f>IF( ISBLANK($B14), "", _xll.IMBC($B14, N$5, $B$7, 0,"3사평균") )</f>
        <v/>
      </c>
      <c r="O14" s="18" t="str">
        <f>IF( ISBLANK($B14), "", _xll.IMBC($B14, O$5, $B$7, 0,"3사평균") )</f>
        <v/>
      </c>
      <c r="P14" s="18" t="str">
        <f>IF( ISBLANK($B14), "", _xll.IMBC($B14, P$5, $B$7, 0,"3사평균") )</f>
        <v/>
      </c>
      <c r="Q14" s="17" t="str">
        <f ca="1">_xll.IMBC($B14, "경과이자", $B$7, 0,"3사평균")</f>
        <v>코드오류</v>
      </c>
      <c r="R14" s="17" t="str">
        <f>_xll.IMBC($B14, "경과이자", $E14, 0,"3사평균")</f>
        <v>코드오류</v>
      </c>
      <c r="S14" s="17">
        <f ca="1">SUMIF( OFFSET(현금흐름!$C$1, 2*(ROW()-8)-2, 0, 1, 1000), "&lt;"&amp;$B$7, OFFSET(현금흐름!$C$1, 2*(ROW()-8)-1, 0, 1, 1000) )</f>
        <v>0</v>
      </c>
      <c r="T14" s="16" t="str">
        <f>IF( ISBLANK($B14), "", _xll.IMDP("BND", $B14, $T$5, $B$7) )</f>
        <v/>
      </c>
      <c r="U14" s="18" t="str">
        <f t="shared" ca="1" si="6"/>
        <v/>
      </c>
      <c r="V14" s="16" t="str">
        <f t="shared" ca="1" si="7"/>
        <v/>
      </c>
      <c r="W14" s="16" t="str">
        <f t="shared" ca="1" si="2"/>
        <v/>
      </c>
      <c r="X14" s="21" t="str">
        <f t="shared" ca="1" si="3"/>
        <v/>
      </c>
      <c r="Y14" s="21" t="str">
        <f t="shared" ca="1" si="4"/>
        <v/>
      </c>
      <c r="Z14" s="22" t="str">
        <f t="shared" ca="1" si="5"/>
        <v/>
      </c>
    </row>
    <row r="15" spans="2:26">
      <c r="B15" s="10"/>
      <c r="C15" s="11" t="str">
        <f>IF( ISBLANK($B15), "", _xll.IMDP("BND", $B15, C$5) )</f>
        <v/>
      </c>
      <c r="D15" s="12" t="str">
        <f>IF( ISBLANK($B15), "", _xll.IMDP("BND", $B15, D$5,,"DtFmt=1") )</f>
        <v/>
      </c>
      <c r="E15" s="13"/>
      <c r="F15" s="14"/>
      <c r="G15" s="15"/>
      <c r="H15" s="27" t="str">
        <f>IF( ISBLANK($B15), "", _xll.IMBC($B15, H$5, $B$7, 0,"3사평균") )</f>
        <v/>
      </c>
      <c r="I15" s="26" t="str">
        <f>IF( ISBLANK($B15), "", _xll.IMBC($B15, I$5, $B$7, 0,"3사평균") )</f>
        <v/>
      </c>
      <c r="J15" s="18" t="str">
        <f>IF( ISBLANK($B15), "", _xll.IMBC($B15, J$5, $B$7, 0,"3사평균") )</f>
        <v/>
      </c>
      <c r="K15" s="18" t="str">
        <f>IF( ISBLANK($B15), "", _xll.IMBC($B15, K$5, $B$7, 0,"3사평균") )</f>
        <v/>
      </c>
      <c r="L15" s="18" t="str">
        <f>IF( ISBLANK($B15), "", _xll.IMBC($B15, L$5, $B$7, 0,"3사평균") )</f>
        <v/>
      </c>
      <c r="M15" s="18" t="str">
        <f>IF( ISBLANK($B15), "", _xll.IMBC($B15, M$5, $B$7, 0,"3사평균") )</f>
        <v/>
      </c>
      <c r="N15" s="18" t="str">
        <f>IF( ISBLANK($B15), "", _xll.IMBC($B15, N$5, $B$7, 0,"3사평균") )</f>
        <v/>
      </c>
      <c r="O15" s="18" t="str">
        <f>IF( ISBLANK($B15), "", _xll.IMBC($B15, O$5, $B$7, 0,"3사평균") )</f>
        <v/>
      </c>
      <c r="P15" s="18" t="str">
        <f>IF( ISBLANK($B15), "", _xll.IMBC($B15, P$5, $B$7, 0,"3사평균") )</f>
        <v/>
      </c>
      <c r="Q15" s="17" t="str">
        <f ca="1">_xll.IMBC($B15, "경과이자", $B$7, 0,"3사평균")</f>
        <v>코드오류</v>
      </c>
      <c r="R15" s="17" t="str">
        <f>_xll.IMBC($B15, "경과이자", $E15, 0,"3사평균")</f>
        <v>코드오류</v>
      </c>
      <c r="S15" s="17">
        <f ca="1">SUMIF( OFFSET(현금흐름!$C$1, 2*(ROW()-8)-2, 0, 1, 1000), "&lt;"&amp;$B$7, OFFSET(현금흐름!$C$1, 2*(ROW()-8)-1, 0, 1, 1000) )</f>
        <v>0</v>
      </c>
      <c r="T15" s="16" t="str">
        <f>IF( ISBLANK($B15), "", _xll.IMDP("BND", $B15, $T$5, $B$7) )</f>
        <v/>
      </c>
      <c r="U15" s="18" t="str">
        <f t="shared" ca="1" si="6"/>
        <v/>
      </c>
      <c r="V15" s="16" t="str">
        <f t="shared" ca="1" si="7"/>
        <v/>
      </c>
      <c r="W15" s="16" t="str">
        <f t="shared" ca="1" si="2"/>
        <v/>
      </c>
      <c r="X15" s="21" t="str">
        <f t="shared" ca="1" si="3"/>
        <v/>
      </c>
      <c r="Y15" s="21" t="str">
        <f t="shared" ca="1" si="4"/>
        <v/>
      </c>
      <c r="Z15" s="22" t="str">
        <f t="shared" ca="1" si="5"/>
        <v/>
      </c>
    </row>
    <row r="16" spans="2:26">
      <c r="B16" s="10"/>
      <c r="C16" s="11" t="str">
        <f>IF( ISBLANK($B16), "", _xll.IMDP("BND", $B16, C$5) )</f>
        <v/>
      </c>
      <c r="D16" s="12" t="str">
        <f>IF( ISBLANK($B16), "", _xll.IMDP("BND", $B16, D$5,,"DtFmt=1") )</f>
        <v/>
      </c>
      <c r="E16" s="13"/>
      <c r="F16" s="14"/>
      <c r="G16" s="15"/>
      <c r="H16" s="27" t="str">
        <f>IF( ISBLANK($B16), "", _xll.IMBC($B16, H$5, $B$7, 0,"3사평균") )</f>
        <v/>
      </c>
      <c r="I16" s="26" t="str">
        <f>IF( ISBLANK($B16), "", _xll.IMBC($B16, I$5, $B$7, 0,"3사평균") )</f>
        <v/>
      </c>
      <c r="J16" s="18" t="str">
        <f>IF( ISBLANK($B16), "", _xll.IMBC($B16, J$5, $B$7, 0,"3사평균") )</f>
        <v/>
      </c>
      <c r="K16" s="18" t="str">
        <f>IF( ISBLANK($B16), "", _xll.IMBC($B16, K$5, $B$7, 0,"3사평균") )</f>
        <v/>
      </c>
      <c r="L16" s="18" t="str">
        <f>IF( ISBLANK($B16), "", _xll.IMBC($B16, L$5, $B$7, 0,"3사평균") )</f>
        <v/>
      </c>
      <c r="M16" s="18" t="str">
        <f>IF( ISBLANK($B16), "", _xll.IMBC($B16, M$5, $B$7, 0,"3사평균") )</f>
        <v/>
      </c>
      <c r="N16" s="18" t="str">
        <f>IF( ISBLANK($B16), "", _xll.IMBC($B16, N$5, $B$7, 0,"3사평균") )</f>
        <v/>
      </c>
      <c r="O16" s="18" t="str">
        <f>IF( ISBLANK($B16), "", _xll.IMBC($B16, O$5, $B$7, 0,"3사평균") )</f>
        <v/>
      </c>
      <c r="P16" s="18" t="str">
        <f>IF( ISBLANK($B16), "", _xll.IMBC($B16, P$5, $B$7, 0,"3사평균") )</f>
        <v/>
      </c>
      <c r="Q16" s="17" t="str">
        <f ca="1">_xll.IMBC($B16, "경과이자", $B$7, 0,"3사평균")</f>
        <v>코드오류</v>
      </c>
      <c r="R16" s="17" t="str">
        <f>_xll.IMBC($B16, "경과이자", $E16, 0,"3사평균")</f>
        <v>코드오류</v>
      </c>
      <c r="S16" s="17">
        <f ca="1">SUMIF( OFFSET(현금흐름!$C$1, 2*(ROW()-8)-2, 0, 1, 1000), "&lt;"&amp;$B$7, OFFSET(현금흐름!$C$1, 2*(ROW()-8)-1, 0, 1, 1000) )</f>
        <v>0</v>
      </c>
      <c r="T16" s="16" t="str">
        <f>IF( ISBLANK($B16), "", _xll.IMDP("BND", $B16, $T$5, $B$7) )</f>
        <v/>
      </c>
      <c r="U16" s="18" t="str">
        <f t="shared" ca="1" si="6"/>
        <v/>
      </c>
      <c r="V16" s="16" t="str">
        <f t="shared" ca="1" si="7"/>
        <v/>
      </c>
      <c r="W16" s="16" t="str">
        <f t="shared" ca="1" si="2"/>
        <v/>
      </c>
      <c r="X16" s="21" t="str">
        <f t="shared" ca="1" si="3"/>
        <v/>
      </c>
      <c r="Y16" s="21" t="str">
        <f t="shared" ca="1" si="4"/>
        <v/>
      </c>
      <c r="Z16" s="22" t="str">
        <f t="shared" ca="1" si="5"/>
        <v/>
      </c>
    </row>
    <row r="17" spans="2:26">
      <c r="B17" s="10"/>
      <c r="C17" s="11" t="str">
        <f>IF( ISBLANK($B17), "", _xll.IMDP("BND", $B17, C$5) )</f>
        <v/>
      </c>
      <c r="D17" s="12" t="str">
        <f>IF( ISBLANK($B17), "", _xll.IMDP("BND", $B17, D$5,,"DtFmt=1") )</f>
        <v/>
      </c>
      <c r="E17" s="13"/>
      <c r="F17" s="14"/>
      <c r="G17" s="15"/>
      <c r="H17" s="27" t="str">
        <f>IF( ISBLANK($B17), "", _xll.IMBC($B17, H$5, $B$7, 0,"3사평균") )</f>
        <v/>
      </c>
      <c r="I17" s="26" t="str">
        <f>IF( ISBLANK($B17), "", _xll.IMBC($B17, I$5, $B$7, 0,"3사평균") )</f>
        <v/>
      </c>
      <c r="J17" s="18" t="str">
        <f>IF( ISBLANK($B17), "", _xll.IMBC($B17, J$5, $B$7, 0,"3사평균") )</f>
        <v/>
      </c>
      <c r="K17" s="18" t="str">
        <f>IF( ISBLANK($B17), "", _xll.IMBC($B17, K$5, $B$7, 0,"3사평균") )</f>
        <v/>
      </c>
      <c r="L17" s="18" t="str">
        <f>IF( ISBLANK($B17), "", _xll.IMBC($B17, L$5, $B$7, 0,"3사평균") )</f>
        <v/>
      </c>
      <c r="M17" s="18" t="str">
        <f>IF( ISBLANK($B17), "", _xll.IMBC($B17, M$5, $B$7, 0,"3사평균") )</f>
        <v/>
      </c>
      <c r="N17" s="18" t="str">
        <f>IF( ISBLANK($B17), "", _xll.IMBC($B17, N$5, $B$7, 0,"3사평균") )</f>
        <v/>
      </c>
      <c r="O17" s="18" t="str">
        <f>IF( ISBLANK($B17), "", _xll.IMBC($B17, O$5, $B$7, 0,"3사평균") )</f>
        <v/>
      </c>
      <c r="P17" s="18" t="str">
        <f>IF( ISBLANK($B17), "", _xll.IMBC($B17, P$5, $B$7, 0,"3사평균") )</f>
        <v/>
      </c>
      <c r="Q17" s="17" t="str">
        <f ca="1">_xll.IMBC($B17, "경과이자", $B$7, 0,"3사평균")</f>
        <v>코드오류</v>
      </c>
      <c r="R17" s="17" t="str">
        <f>_xll.IMBC($B17, "경과이자", $E17, 0,"3사평균")</f>
        <v>코드오류</v>
      </c>
      <c r="S17" s="17">
        <f ca="1">SUMIF( OFFSET(현금흐름!$C$1, 2*(ROW()-8)-2, 0, 1, 1000), "&lt;"&amp;$B$7, OFFSET(현금흐름!$C$1, 2*(ROW()-8)-1, 0, 1, 1000) )</f>
        <v>0</v>
      </c>
      <c r="T17" s="16" t="str">
        <f>IF( ISBLANK($B17), "", _xll.IMDP("BND", $B17, $T$5, $B$7) )</f>
        <v/>
      </c>
      <c r="U17" s="18" t="str">
        <f t="shared" ca="1" si="6"/>
        <v/>
      </c>
      <c r="V17" s="16" t="str">
        <f t="shared" ca="1" si="7"/>
        <v/>
      </c>
      <c r="W17" s="16" t="str">
        <f t="shared" ca="1" si="2"/>
        <v/>
      </c>
      <c r="X17" s="21" t="str">
        <f t="shared" ca="1" si="3"/>
        <v/>
      </c>
      <c r="Y17" s="21" t="str">
        <f t="shared" ca="1" si="4"/>
        <v/>
      </c>
      <c r="Z17" s="22" t="str">
        <f t="shared" ca="1" si="5"/>
        <v/>
      </c>
    </row>
    <row r="18" spans="2:26">
      <c r="B18" s="10"/>
      <c r="C18" s="11" t="str">
        <f>IF( ISBLANK($B18), "", _xll.IMDP("BND", $B18, C$5) )</f>
        <v/>
      </c>
      <c r="D18" s="12" t="str">
        <f>IF( ISBLANK($B18), "", _xll.IMDP("BND", $B18, D$5,,"DtFmt=1") )</f>
        <v/>
      </c>
      <c r="E18" s="13"/>
      <c r="F18" s="14"/>
      <c r="G18" s="15"/>
      <c r="H18" s="27" t="str">
        <f>IF( ISBLANK($B18), "", _xll.IMBC($B18, H$5, $B$7, 0,"3사평균") )</f>
        <v/>
      </c>
      <c r="I18" s="26" t="str">
        <f>IF( ISBLANK($B18), "", _xll.IMBC($B18, I$5, $B$7, 0,"3사평균") )</f>
        <v/>
      </c>
      <c r="J18" s="18" t="str">
        <f>IF( ISBLANK($B18), "", _xll.IMBC($B18, J$5, $B$7, 0,"3사평균") )</f>
        <v/>
      </c>
      <c r="K18" s="18" t="str">
        <f>IF( ISBLANK($B18), "", _xll.IMBC($B18, K$5, $B$7, 0,"3사평균") )</f>
        <v/>
      </c>
      <c r="L18" s="18" t="str">
        <f>IF( ISBLANK($B18), "", _xll.IMBC($B18, L$5, $B$7, 0,"3사평균") )</f>
        <v/>
      </c>
      <c r="M18" s="18" t="str">
        <f>IF( ISBLANK($B18), "", _xll.IMBC($B18, M$5, $B$7, 0,"3사평균") )</f>
        <v/>
      </c>
      <c r="N18" s="18" t="str">
        <f>IF( ISBLANK($B18), "", _xll.IMBC($B18, N$5, $B$7, 0,"3사평균") )</f>
        <v/>
      </c>
      <c r="O18" s="18" t="str">
        <f>IF( ISBLANK($B18), "", _xll.IMBC($B18, O$5, $B$7, 0,"3사평균") )</f>
        <v/>
      </c>
      <c r="P18" s="18" t="str">
        <f>IF( ISBLANK($B18), "", _xll.IMBC($B18, P$5, $B$7, 0,"3사평균") )</f>
        <v/>
      </c>
      <c r="Q18" s="17" t="str">
        <f ca="1">_xll.IMBC($B18, "경과이자", $B$7, 0,"3사평균")</f>
        <v>코드오류</v>
      </c>
      <c r="R18" s="17" t="str">
        <f>_xll.IMBC($B18, "경과이자", $E18, 0,"3사평균")</f>
        <v>코드오류</v>
      </c>
      <c r="S18" s="17">
        <f ca="1">SUMIF( OFFSET(현금흐름!$C$1, 2*(ROW()-8)-2, 0, 1, 1000), "&lt;"&amp;$B$7, OFFSET(현금흐름!$C$1, 2*(ROW()-8)-1, 0, 1, 1000) )</f>
        <v>0</v>
      </c>
      <c r="T18" s="16" t="str">
        <f>IF( ISBLANK($B18), "", _xll.IMDP("BND", $B18, $T$5, $B$7) )</f>
        <v/>
      </c>
      <c r="U18" s="18" t="str">
        <f t="shared" ca="1" si="6"/>
        <v/>
      </c>
      <c r="V18" s="16" t="str">
        <f t="shared" ca="1" si="7"/>
        <v/>
      </c>
      <c r="W18" s="16" t="str">
        <f t="shared" ca="1" si="2"/>
        <v/>
      </c>
      <c r="X18" s="21" t="str">
        <f t="shared" ca="1" si="3"/>
        <v/>
      </c>
      <c r="Y18" s="21" t="str">
        <f t="shared" ca="1" si="4"/>
        <v/>
      </c>
      <c r="Z18" s="22" t="str">
        <f t="shared" ca="1" si="5"/>
        <v/>
      </c>
    </row>
    <row r="19" spans="2:26">
      <c r="B19" s="10"/>
      <c r="C19" s="11" t="str">
        <f>IF( ISBLANK($B19), "", _xll.IMDP("BND", $B19, C$5) )</f>
        <v/>
      </c>
      <c r="D19" s="12" t="str">
        <f>IF( ISBLANK($B19), "", _xll.IMDP("BND", $B19, D$5,,"DtFmt=1") )</f>
        <v/>
      </c>
      <c r="E19" s="13"/>
      <c r="F19" s="14"/>
      <c r="G19" s="15"/>
      <c r="H19" s="27" t="str">
        <f>IF( ISBLANK($B19), "", _xll.IMBC($B19, H$5, $B$7, 0,"3사평균") )</f>
        <v/>
      </c>
      <c r="I19" s="26" t="str">
        <f>IF( ISBLANK($B19), "", _xll.IMBC($B19, I$5, $B$7, 0,"3사평균") )</f>
        <v/>
      </c>
      <c r="J19" s="18" t="str">
        <f>IF( ISBLANK($B19), "", _xll.IMBC($B19, J$5, $B$7, 0,"3사평균") )</f>
        <v/>
      </c>
      <c r="K19" s="18" t="str">
        <f>IF( ISBLANK($B19), "", _xll.IMBC($B19, K$5, $B$7, 0,"3사평균") )</f>
        <v/>
      </c>
      <c r="L19" s="18" t="str">
        <f>IF( ISBLANK($B19), "", _xll.IMBC($B19, L$5, $B$7, 0,"3사평균") )</f>
        <v/>
      </c>
      <c r="M19" s="18" t="str">
        <f>IF( ISBLANK($B19), "", _xll.IMBC($B19, M$5, $B$7, 0,"3사평균") )</f>
        <v/>
      </c>
      <c r="N19" s="18" t="str">
        <f>IF( ISBLANK($B19), "", _xll.IMBC($B19, N$5, $B$7, 0,"3사평균") )</f>
        <v/>
      </c>
      <c r="O19" s="18" t="str">
        <f>IF( ISBLANK($B19), "", _xll.IMBC($B19, O$5, $B$7, 0,"3사평균") )</f>
        <v/>
      </c>
      <c r="P19" s="18" t="str">
        <f>IF( ISBLANK($B19), "", _xll.IMBC($B19, P$5, $B$7, 0,"3사평균") )</f>
        <v/>
      </c>
      <c r="Q19" s="17" t="str">
        <f ca="1">_xll.IMBC($B19, "경과이자", $B$7, 0,"3사평균")</f>
        <v>코드오류</v>
      </c>
      <c r="R19" s="17" t="str">
        <f>_xll.IMBC($B19, "경과이자", $E19, 0,"3사평균")</f>
        <v>코드오류</v>
      </c>
      <c r="S19" s="17">
        <f ca="1">SUMIF( OFFSET(현금흐름!$C$1, 2*(ROW()-8)-2, 0, 1, 1000), "&lt;"&amp;$B$7, OFFSET(현금흐름!$C$1, 2*(ROW()-8)-1, 0, 1, 1000) )</f>
        <v>0</v>
      </c>
      <c r="T19" s="16" t="str">
        <f>IF( ISBLANK($B19), "", _xll.IMDP("BND", $B19, $T$5, $B$7) )</f>
        <v/>
      </c>
      <c r="U19" s="18" t="str">
        <f t="shared" ca="1" si="6"/>
        <v/>
      </c>
      <c r="V19" s="16" t="str">
        <f t="shared" ca="1" si="7"/>
        <v/>
      </c>
      <c r="W19" s="16" t="str">
        <f t="shared" ca="1" si="2"/>
        <v/>
      </c>
      <c r="X19" s="21" t="str">
        <f t="shared" ca="1" si="3"/>
        <v/>
      </c>
      <c r="Y19" s="21" t="str">
        <f t="shared" ca="1" si="4"/>
        <v/>
      </c>
      <c r="Z19" s="22" t="str">
        <f t="shared" ca="1" si="5"/>
        <v/>
      </c>
    </row>
    <row r="20" spans="2:26">
      <c r="B20" s="10"/>
      <c r="C20" s="11" t="str">
        <f>IF( ISBLANK($B20), "", _xll.IMDP("BND", $B20, C$5) )</f>
        <v/>
      </c>
      <c r="D20" s="12" t="str">
        <f>IF( ISBLANK($B20), "", _xll.IMDP("BND", $B20, D$5,,"DtFmt=1") )</f>
        <v/>
      </c>
      <c r="E20" s="13"/>
      <c r="F20" s="14"/>
      <c r="G20" s="15"/>
      <c r="H20" s="27" t="str">
        <f>IF( ISBLANK($B20), "", _xll.IMBC($B20, H$5, $B$7, 0,"3사평균") )</f>
        <v/>
      </c>
      <c r="I20" s="26" t="str">
        <f>IF( ISBLANK($B20), "", _xll.IMBC($B20, I$5, $B$7, 0,"3사평균") )</f>
        <v/>
      </c>
      <c r="J20" s="18" t="str">
        <f>IF( ISBLANK($B20), "", _xll.IMBC($B20, J$5, $B$7, 0,"3사평균") )</f>
        <v/>
      </c>
      <c r="K20" s="18" t="str">
        <f>IF( ISBLANK($B20), "", _xll.IMBC($B20, K$5, $B$7, 0,"3사평균") )</f>
        <v/>
      </c>
      <c r="L20" s="18" t="str">
        <f>IF( ISBLANK($B20), "", _xll.IMBC($B20, L$5, $B$7, 0,"3사평균") )</f>
        <v/>
      </c>
      <c r="M20" s="18" t="str">
        <f>IF( ISBLANK($B20), "", _xll.IMBC($B20, M$5, $B$7, 0,"3사평균") )</f>
        <v/>
      </c>
      <c r="N20" s="18" t="str">
        <f>IF( ISBLANK($B20), "", _xll.IMBC($B20, N$5, $B$7, 0,"3사평균") )</f>
        <v/>
      </c>
      <c r="O20" s="18" t="str">
        <f>IF( ISBLANK($B20), "", _xll.IMBC($B20, O$5, $B$7, 0,"3사평균") )</f>
        <v/>
      </c>
      <c r="P20" s="18" t="str">
        <f>IF( ISBLANK($B20), "", _xll.IMBC($B20, P$5, $B$7, 0,"3사평균") )</f>
        <v/>
      </c>
      <c r="Q20" s="17" t="str">
        <f ca="1">_xll.IMBC($B20, "경과이자", $B$7, 0,"3사평균")</f>
        <v>코드오류</v>
      </c>
      <c r="R20" s="17" t="str">
        <f>_xll.IMBC($B20, "경과이자", $E20, 0,"3사평균")</f>
        <v>코드오류</v>
      </c>
      <c r="S20" s="17">
        <f ca="1">SUMIF( OFFSET(현금흐름!$C$1, 2*(ROW()-8)-2, 0, 1, 1000), "&lt;"&amp;$B$7, OFFSET(현금흐름!$C$1, 2*(ROW()-8)-1, 0, 1, 1000) )</f>
        <v>0</v>
      </c>
      <c r="T20" s="16" t="str">
        <f>IF( ISBLANK($B20), "", _xll.IMDP("BND", $B20, $T$5, $B$7) )</f>
        <v/>
      </c>
      <c r="U20" s="18" t="str">
        <f t="shared" ca="1" si="6"/>
        <v/>
      </c>
      <c r="V20" s="16" t="str">
        <f t="shared" ca="1" si="7"/>
        <v/>
      </c>
      <c r="W20" s="16" t="str">
        <f t="shared" ca="1" si="2"/>
        <v/>
      </c>
      <c r="X20" s="21" t="str">
        <f t="shared" ca="1" si="3"/>
        <v/>
      </c>
      <c r="Y20" s="21" t="str">
        <f t="shared" ca="1" si="4"/>
        <v/>
      </c>
      <c r="Z20" s="22" t="str">
        <f t="shared" ca="1" si="5"/>
        <v/>
      </c>
    </row>
    <row r="21" spans="2:26">
      <c r="B21" s="10"/>
      <c r="C21" s="11" t="str">
        <f>IF( ISBLANK($B21), "", _xll.IMDP("BND", $B21, C$5) )</f>
        <v/>
      </c>
      <c r="D21" s="12" t="str">
        <f>IF( ISBLANK($B21), "", _xll.IMDP("BND", $B21, D$5,,"DtFmt=1") )</f>
        <v/>
      </c>
      <c r="E21" s="13"/>
      <c r="F21" s="14"/>
      <c r="G21" s="15"/>
      <c r="H21" s="27" t="str">
        <f>IF( ISBLANK($B21), "", _xll.IMBC($B21, H$5, $B$7, 0,"3사평균") )</f>
        <v/>
      </c>
      <c r="I21" s="26" t="str">
        <f>IF( ISBLANK($B21), "", _xll.IMBC($B21, I$5, $B$7, 0,"3사평균") )</f>
        <v/>
      </c>
      <c r="J21" s="18" t="str">
        <f>IF( ISBLANK($B21), "", _xll.IMBC($B21, J$5, $B$7, 0,"3사평균") )</f>
        <v/>
      </c>
      <c r="K21" s="18" t="str">
        <f>IF( ISBLANK($B21), "", _xll.IMBC($B21, K$5, $B$7, 0,"3사평균") )</f>
        <v/>
      </c>
      <c r="L21" s="18" t="str">
        <f>IF( ISBLANK($B21), "", _xll.IMBC($B21, L$5, $B$7, 0,"3사평균") )</f>
        <v/>
      </c>
      <c r="M21" s="18" t="str">
        <f>IF( ISBLANK($B21), "", _xll.IMBC($B21, M$5, $B$7, 0,"3사평균") )</f>
        <v/>
      </c>
      <c r="N21" s="18" t="str">
        <f>IF( ISBLANK($B21), "", _xll.IMBC($B21, N$5, $B$7, 0,"3사평균") )</f>
        <v/>
      </c>
      <c r="O21" s="18" t="str">
        <f>IF( ISBLANK($B21), "", _xll.IMBC($B21, O$5, $B$7, 0,"3사평균") )</f>
        <v/>
      </c>
      <c r="P21" s="18" t="str">
        <f>IF( ISBLANK($B21), "", _xll.IMBC($B21, P$5, $B$7, 0,"3사평균") )</f>
        <v/>
      </c>
      <c r="Q21" s="17" t="str">
        <f ca="1">_xll.IMBC($B21, "경과이자", $B$7, 0,"3사평균")</f>
        <v>코드오류</v>
      </c>
      <c r="R21" s="17" t="str">
        <f>_xll.IMBC($B21, "경과이자", $E21, 0,"3사평균")</f>
        <v>코드오류</v>
      </c>
      <c r="S21" s="17">
        <f ca="1">SUMIF( OFFSET(현금흐름!$C$1, 2*(ROW()-8)-2, 0, 1, 1000), "&lt;"&amp;$B$7, OFFSET(현금흐름!$C$1, 2*(ROW()-8)-1, 0, 1, 1000) )</f>
        <v>0</v>
      </c>
      <c r="T21" s="16" t="str">
        <f>IF( ISBLANK($B21), "", _xll.IMDP("BND", $B21, $T$5, $B$7) )</f>
        <v/>
      </c>
      <c r="U21" s="18" t="str">
        <f t="shared" ca="1" si="6"/>
        <v/>
      </c>
      <c r="V21" s="16" t="str">
        <f t="shared" ca="1" si="7"/>
        <v/>
      </c>
      <c r="W21" s="16" t="str">
        <f t="shared" ca="1" si="2"/>
        <v/>
      </c>
      <c r="X21" s="21" t="str">
        <f t="shared" ca="1" si="3"/>
        <v/>
      </c>
      <c r="Y21" s="21" t="str">
        <f t="shared" ca="1" si="4"/>
        <v/>
      </c>
      <c r="Z21" s="22" t="str">
        <f t="shared" ca="1" si="5"/>
        <v/>
      </c>
    </row>
    <row r="22" spans="2:26">
      <c r="B22" s="10"/>
      <c r="C22" s="11" t="str">
        <f>IF( ISBLANK($B22), "", _xll.IMDP("BND", $B22, C$5) )</f>
        <v/>
      </c>
      <c r="D22" s="12" t="str">
        <f>IF( ISBLANK($B22), "", _xll.IMDP("BND", $B22, D$5,,"DtFmt=1") )</f>
        <v/>
      </c>
      <c r="E22" s="13"/>
      <c r="F22" s="14"/>
      <c r="G22" s="15"/>
      <c r="H22" s="27" t="str">
        <f>IF( ISBLANK($B22), "", _xll.IMBC($B22, H$5, $B$7, 0,"3사평균") )</f>
        <v/>
      </c>
      <c r="I22" s="26" t="str">
        <f>IF( ISBLANK($B22), "", _xll.IMBC($B22, I$5, $B$7, 0,"3사평균") )</f>
        <v/>
      </c>
      <c r="J22" s="18" t="str">
        <f>IF( ISBLANK($B22), "", _xll.IMBC($B22, J$5, $B$7, 0,"3사평균") )</f>
        <v/>
      </c>
      <c r="K22" s="18" t="str">
        <f>IF( ISBLANK($B22), "", _xll.IMBC($B22, K$5, $B$7, 0,"3사평균") )</f>
        <v/>
      </c>
      <c r="L22" s="18" t="str">
        <f>IF( ISBLANK($B22), "", _xll.IMBC($B22, L$5, $B$7, 0,"3사평균") )</f>
        <v/>
      </c>
      <c r="M22" s="18" t="str">
        <f>IF( ISBLANK($B22), "", _xll.IMBC($B22, M$5, $B$7, 0,"3사평균") )</f>
        <v/>
      </c>
      <c r="N22" s="18" t="str">
        <f>IF( ISBLANK($B22), "", _xll.IMBC($B22, N$5, $B$7, 0,"3사평균") )</f>
        <v/>
      </c>
      <c r="O22" s="18" t="str">
        <f>IF( ISBLANK($B22), "", _xll.IMBC($B22, O$5, $B$7, 0,"3사평균") )</f>
        <v/>
      </c>
      <c r="P22" s="18" t="str">
        <f>IF( ISBLANK($B22), "", _xll.IMBC($B22, P$5, $B$7, 0,"3사평균") )</f>
        <v/>
      </c>
      <c r="Q22" s="17" t="str">
        <f ca="1">_xll.IMBC($B22, "경과이자", $B$7, 0,"3사평균")</f>
        <v>코드오류</v>
      </c>
      <c r="R22" s="17" t="str">
        <f>_xll.IMBC($B22, "경과이자", $E22, 0,"3사평균")</f>
        <v>코드오류</v>
      </c>
      <c r="S22" s="17">
        <f ca="1">SUMIF( OFFSET(현금흐름!$C$1, 2*(ROW()-8)-2, 0, 1, 1000), "&lt;"&amp;$B$7, OFFSET(현금흐름!$C$1, 2*(ROW()-8)-1, 0, 1, 1000) )</f>
        <v>0</v>
      </c>
      <c r="T22" s="16" t="str">
        <f>IF( ISBLANK($B22), "", _xll.IMDP("BND", $B22, $T$5, $B$7) )</f>
        <v/>
      </c>
      <c r="U22" s="18" t="str">
        <f t="shared" ca="1" si="6"/>
        <v/>
      </c>
      <c r="V22" s="16" t="str">
        <f t="shared" ca="1" si="7"/>
        <v/>
      </c>
      <c r="W22" s="16" t="str">
        <f t="shared" ca="1" si="2"/>
        <v/>
      </c>
      <c r="X22" s="21" t="str">
        <f t="shared" ca="1" si="3"/>
        <v/>
      </c>
      <c r="Y22" s="21" t="str">
        <f t="shared" ca="1" si="4"/>
        <v/>
      </c>
      <c r="Z22" s="22" t="str">
        <f t="shared" ca="1" si="5"/>
        <v/>
      </c>
    </row>
    <row r="23" spans="2:26">
      <c r="B23" s="10"/>
      <c r="C23" s="11" t="str">
        <f>IF( ISBLANK($B23), "", _xll.IMDP("BND", $B23, C$5) )</f>
        <v/>
      </c>
      <c r="D23" s="12" t="str">
        <f>IF( ISBLANK($B23), "", _xll.IMDP("BND", $B23, D$5,,"DtFmt=1") )</f>
        <v/>
      </c>
      <c r="E23" s="13"/>
      <c r="F23" s="14"/>
      <c r="G23" s="15"/>
      <c r="H23" s="27" t="str">
        <f>IF( ISBLANK($B23), "", _xll.IMBC($B23, H$5, $B$7, 0,"3사평균") )</f>
        <v/>
      </c>
      <c r="I23" s="26" t="str">
        <f>IF( ISBLANK($B23), "", _xll.IMBC($B23, I$5, $B$7, 0,"3사평균") )</f>
        <v/>
      </c>
      <c r="J23" s="18" t="str">
        <f>IF( ISBLANK($B23), "", _xll.IMBC($B23, J$5, $B$7, 0,"3사평균") )</f>
        <v/>
      </c>
      <c r="K23" s="18" t="str">
        <f>IF( ISBLANK($B23), "", _xll.IMBC($B23, K$5, $B$7, 0,"3사평균") )</f>
        <v/>
      </c>
      <c r="L23" s="18" t="str">
        <f>IF( ISBLANK($B23), "", _xll.IMBC($B23, L$5, $B$7, 0,"3사평균") )</f>
        <v/>
      </c>
      <c r="M23" s="18" t="str">
        <f>IF( ISBLANK($B23), "", _xll.IMBC($B23, M$5, $B$7, 0,"3사평균") )</f>
        <v/>
      </c>
      <c r="N23" s="18" t="str">
        <f>IF( ISBLANK($B23), "", _xll.IMBC($B23, N$5, $B$7, 0,"3사평균") )</f>
        <v/>
      </c>
      <c r="O23" s="18" t="str">
        <f>IF( ISBLANK($B23), "", _xll.IMBC($B23, O$5, $B$7, 0,"3사평균") )</f>
        <v/>
      </c>
      <c r="P23" s="18" t="str">
        <f>IF( ISBLANK($B23), "", _xll.IMBC($B23, P$5, $B$7, 0,"3사평균") )</f>
        <v/>
      </c>
      <c r="Q23" s="17" t="str">
        <f ca="1">_xll.IMBC($B23, "경과이자", $B$7, 0,"3사평균")</f>
        <v>코드오류</v>
      </c>
      <c r="R23" s="17" t="str">
        <f>_xll.IMBC($B23, "경과이자", $E23, 0,"3사평균")</f>
        <v>코드오류</v>
      </c>
      <c r="S23" s="17">
        <f ca="1">SUMIF( OFFSET(현금흐름!$C$1, 2*(ROW()-8)-2, 0, 1, 1000), "&lt;"&amp;$B$7, OFFSET(현금흐름!$C$1, 2*(ROW()-8)-1, 0, 1, 1000) )</f>
        <v>0</v>
      </c>
      <c r="T23" s="16" t="str">
        <f>IF( ISBLANK($B23), "", _xll.IMDP("BND", $B23, $T$5, $B$7) )</f>
        <v/>
      </c>
      <c r="U23" s="18" t="str">
        <f t="shared" ca="1" si="6"/>
        <v/>
      </c>
      <c r="V23" s="16" t="str">
        <f t="shared" ca="1" si="7"/>
        <v/>
      </c>
      <c r="W23" s="16" t="str">
        <f t="shared" ca="1" si="2"/>
        <v/>
      </c>
      <c r="X23" s="21" t="str">
        <f t="shared" ca="1" si="3"/>
        <v/>
      </c>
      <c r="Y23" s="21" t="str">
        <f t="shared" ca="1" si="4"/>
        <v/>
      </c>
      <c r="Z23" s="22" t="str">
        <f t="shared" ca="1" si="5"/>
        <v/>
      </c>
    </row>
    <row r="24" spans="2:26">
      <c r="B24" s="10"/>
      <c r="C24" s="11" t="str">
        <f>IF( ISBLANK($B24), "", _xll.IMDP("BND", $B24, C$5) )</f>
        <v/>
      </c>
      <c r="D24" s="12" t="str">
        <f>IF( ISBLANK($B24), "", _xll.IMDP("BND", $B24, D$5,,"DtFmt=1") )</f>
        <v/>
      </c>
      <c r="E24" s="13"/>
      <c r="F24" s="14"/>
      <c r="G24" s="15"/>
      <c r="H24" s="27" t="str">
        <f>IF( ISBLANK($B24), "", _xll.IMBC($B24, H$5, $B$7, 0,"3사평균") )</f>
        <v/>
      </c>
      <c r="I24" s="26" t="str">
        <f>IF( ISBLANK($B24), "", _xll.IMBC($B24, I$5, $B$7, 0,"3사평균") )</f>
        <v/>
      </c>
      <c r="J24" s="18" t="str">
        <f>IF( ISBLANK($B24), "", _xll.IMBC($B24, J$5, $B$7, 0,"3사평균") )</f>
        <v/>
      </c>
      <c r="K24" s="18" t="str">
        <f>IF( ISBLANK($B24), "", _xll.IMBC($B24, K$5, $B$7, 0,"3사평균") )</f>
        <v/>
      </c>
      <c r="L24" s="18" t="str">
        <f>IF( ISBLANK($B24), "", _xll.IMBC($B24, L$5, $B$7, 0,"3사평균") )</f>
        <v/>
      </c>
      <c r="M24" s="18" t="str">
        <f>IF( ISBLANK($B24), "", _xll.IMBC($B24, M$5, $B$7, 0,"3사평균") )</f>
        <v/>
      </c>
      <c r="N24" s="18" t="str">
        <f>IF( ISBLANK($B24), "", _xll.IMBC($B24, N$5, $B$7, 0,"3사평균") )</f>
        <v/>
      </c>
      <c r="O24" s="18" t="str">
        <f>IF( ISBLANK($B24), "", _xll.IMBC($B24, O$5, $B$7, 0,"3사평균") )</f>
        <v/>
      </c>
      <c r="P24" s="18" t="str">
        <f>IF( ISBLANK($B24), "", _xll.IMBC($B24, P$5, $B$7, 0,"3사평균") )</f>
        <v/>
      </c>
      <c r="Q24" s="17" t="str">
        <f ca="1">_xll.IMBC($B24, "경과이자", $B$7, 0,"3사평균")</f>
        <v>코드오류</v>
      </c>
      <c r="R24" s="17" t="str">
        <f>_xll.IMBC($B24, "경과이자", $E24, 0,"3사평균")</f>
        <v>코드오류</v>
      </c>
      <c r="S24" s="17">
        <f ca="1">SUMIF( OFFSET(현금흐름!$C$1, 2*(ROW()-8)-2, 0, 1, 1000), "&lt;"&amp;$B$7, OFFSET(현금흐름!$C$1, 2*(ROW()-8)-1, 0, 1, 1000) )</f>
        <v>0</v>
      </c>
      <c r="T24" s="16" t="str">
        <f>IF( ISBLANK($B24), "", _xll.IMDP("BND", $B24, $T$5, $B$7) )</f>
        <v/>
      </c>
      <c r="U24" s="18" t="str">
        <f t="shared" ca="1" si="6"/>
        <v/>
      </c>
      <c r="V24" s="16" t="str">
        <f t="shared" ca="1" si="7"/>
        <v/>
      </c>
      <c r="W24" s="16" t="str">
        <f t="shared" ca="1" si="2"/>
        <v/>
      </c>
      <c r="X24" s="21" t="str">
        <f t="shared" ca="1" si="3"/>
        <v/>
      </c>
      <c r="Y24" s="21" t="str">
        <f t="shared" ca="1" si="4"/>
        <v/>
      </c>
      <c r="Z24" s="22" t="str">
        <f t="shared" ca="1" si="5"/>
        <v/>
      </c>
    </row>
    <row r="25" spans="2:26">
      <c r="B25" s="10"/>
      <c r="C25" s="11" t="str">
        <f>IF( ISBLANK($B25), "", _xll.IMDP("BND", $B25, C$5) )</f>
        <v/>
      </c>
      <c r="D25" s="12" t="str">
        <f>IF( ISBLANK($B25), "", _xll.IMDP("BND", $B25, D$5,,"DtFmt=1") )</f>
        <v/>
      </c>
      <c r="E25" s="13"/>
      <c r="F25" s="14"/>
      <c r="G25" s="15"/>
      <c r="H25" s="27" t="str">
        <f>IF( ISBLANK($B25), "", _xll.IMBC($B25, H$5, $B$7, 0,"3사평균") )</f>
        <v/>
      </c>
      <c r="I25" s="26" t="str">
        <f>IF( ISBLANK($B25), "", _xll.IMBC($B25, I$5, $B$7, 0,"3사평균") )</f>
        <v/>
      </c>
      <c r="J25" s="18" t="str">
        <f>IF( ISBLANK($B25), "", _xll.IMBC($B25, J$5, $B$7, 0,"3사평균") )</f>
        <v/>
      </c>
      <c r="K25" s="18" t="str">
        <f>IF( ISBLANK($B25), "", _xll.IMBC($B25, K$5, $B$7, 0,"3사평균") )</f>
        <v/>
      </c>
      <c r="L25" s="18" t="str">
        <f>IF( ISBLANK($B25), "", _xll.IMBC($B25, L$5, $B$7, 0,"3사평균") )</f>
        <v/>
      </c>
      <c r="M25" s="18" t="str">
        <f>IF( ISBLANK($B25), "", _xll.IMBC($B25, M$5, $B$7, 0,"3사평균") )</f>
        <v/>
      </c>
      <c r="N25" s="18" t="str">
        <f>IF( ISBLANK($B25), "", _xll.IMBC($B25, N$5, $B$7, 0,"3사평균") )</f>
        <v/>
      </c>
      <c r="O25" s="18" t="str">
        <f>IF( ISBLANK($B25), "", _xll.IMBC($B25, O$5, $B$7, 0,"3사평균") )</f>
        <v/>
      </c>
      <c r="P25" s="18" t="str">
        <f>IF( ISBLANK($B25), "", _xll.IMBC($B25, P$5, $B$7, 0,"3사평균") )</f>
        <v/>
      </c>
      <c r="Q25" s="17" t="str">
        <f ca="1">_xll.IMBC($B25, "경과이자", $B$7, 0,"3사평균")</f>
        <v>코드오류</v>
      </c>
      <c r="R25" s="17" t="str">
        <f>_xll.IMBC($B25, "경과이자", $E25, 0,"3사평균")</f>
        <v>코드오류</v>
      </c>
      <c r="S25" s="17">
        <f ca="1">SUMIF( OFFSET(현금흐름!$C$1, 2*(ROW()-8)-2, 0, 1, 1000), "&lt;"&amp;$B$7, OFFSET(현금흐름!$C$1, 2*(ROW()-8)-1, 0, 1, 1000) )</f>
        <v>0</v>
      </c>
      <c r="T25" s="16" t="str">
        <f>IF( ISBLANK($B25), "", _xll.IMDP("BND", $B25, $T$5, $B$7) )</f>
        <v/>
      </c>
      <c r="U25" s="18" t="str">
        <f t="shared" ca="1" si="6"/>
        <v/>
      </c>
      <c r="V25" s="16" t="str">
        <f t="shared" ca="1" si="7"/>
        <v/>
      </c>
      <c r="W25" s="16" t="str">
        <f t="shared" ca="1" si="2"/>
        <v/>
      </c>
      <c r="X25" s="21" t="str">
        <f t="shared" ca="1" si="3"/>
        <v/>
      </c>
      <c r="Y25" s="21" t="str">
        <f t="shared" ca="1" si="4"/>
        <v/>
      </c>
      <c r="Z25" s="22" t="str">
        <f t="shared" ca="1" si="5"/>
        <v/>
      </c>
    </row>
    <row r="26" spans="2:26">
      <c r="B26" s="10"/>
      <c r="C26" s="11" t="str">
        <f>IF( ISBLANK($B26), "", _xll.IMDP("BND", $B26, C$5) )</f>
        <v/>
      </c>
      <c r="D26" s="12" t="str">
        <f>IF( ISBLANK($B26), "", _xll.IMDP("BND", $B26, D$5,,"DtFmt=1") )</f>
        <v/>
      </c>
      <c r="E26" s="13"/>
      <c r="F26" s="14"/>
      <c r="G26" s="15"/>
      <c r="H26" s="27" t="str">
        <f>IF( ISBLANK($B26), "", _xll.IMBC($B26, H$5, $B$7, 0,"3사평균") )</f>
        <v/>
      </c>
      <c r="I26" s="26" t="str">
        <f>IF( ISBLANK($B26), "", _xll.IMBC($B26, I$5, $B$7, 0,"3사평균") )</f>
        <v/>
      </c>
      <c r="J26" s="18" t="str">
        <f>IF( ISBLANK($B26), "", _xll.IMBC($B26, J$5, $B$7, 0,"3사평균") )</f>
        <v/>
      </c>
      <c r="K26" s="18" t="str">
        <f>IF( ISBLANK($B26), "", _xll.IMBC($B26, K$5, $B$7, 0,"3사평균") )</f>
        <v/>
      </c>
      <c r="L26" s="18" t="str">
        <f>IF( ISBLANK($B26), "", _xll.IMBC($B26, L$5, $B$7, 0,"3사평균") )</f>
        <v/>
      </c>
      <c r="M26" s="18" t="str">
        <f>IF( ISBLANK($B26), "", _xll.IMBC($B26, M$5, $B$7, 0,"3사평균") )</f>
        <v/>
      </c>
      <c r="N26" s="18" t="str">
        <f>IF( ISBLANK($B26), "", _xll.IMBC($B26, N$5, $B$7, 0,"3사평균") )</f>
        <v/>
      </c>
      <c r="O26" s="18" t="str">
        <f>IF( ISBLANK($B26), "", _xll.IMBC($B26, O$5, $B$7, 0,"3사평균") )</f>
        <v/>
      </c>
      <c r="P26" s="18" t="str">
        <f>IF( ISBLANK($B26), "", _xll.IMBC($B26, P$5, $B$7, 0,"3사평균") )</f>
        <v/>
      </c>
      <c r="Q26" s="17" t="str">
        <f ca="1">_xll.IMBC($B26, "경과이자", $B$7, 0,"3사평균")</f>
        <v>코드오류</v>
      </c>
      <c r="R26" s="17" t="str">
        <f>_xll.IMBC($B26, "경과이자", $E26, 0,"3사평균")</f>
        <v>코드오류</v>
      </c>
      <c r="S26" s="17">
        <f ca="1">SUMIF( OFFSET(현금흐름!$C$1, 2*(ROW()-8)-2, 0, 1, 1000), "&lt;"&amp;$B$7, OFFSET(현금흐름!$C$1, 2*(ROW()-8)-1, 0, 1, 1000) )</f>
        <v>0</v>
      </c>
      <c r="T26" s="16" t="str">
        <f>IF( ISBLANK($B26), "", _xll.IMDP("BND", $B26, $T$5, $B$7) )</f>
        <v/>
      </c>
      <c r="U26" s="18" t="str">
        <f t="shared" ca="1" si="6"/>
        <v/>
      </c>
      <c r="V26" s="16" t="str">
        <f t="shared" ca="1" si="7"/>
        <v/>
      </c>
      <c r="W26" s="16" t="str">
        <f t="shared" ca="1" si="2"/>
        <v/>
      </c>
      <c r="X26" s="21" t="str">
        <f t="shared" ca="1" si="3"/>
        <v/>
      </c>
      <c r="Y26" s="21" t="str">
        <f t="shared" ca="1" si="4"/>
        <v/>
      </c>
      <c r="Z26" s="22" t="str">
        <f t="shared" ca="1" si="5"/>
        <v/>
      </c>
    </row>
    <row r="27" spans="2:26">
      <c r="B27" s="10"/>
      <c r="C27" s="11" t="str">
        <f>IF( ISBLANK($B27), "", _xll.IMDP("BND", $B27, C$5) )</f>
        <v/>
      </c>
      <c r="D27" s="12" t="str">
        <f>IF( ISBLANK($B27), "", _xll.IMDP("BND", $B27, D$5,,"DtFmt=1") )</f>
        <v/>
      </c>
      <c r="E27" s="13"/>
      <c r="F27" s="14"/>
      <c r="G27" s="15"/>
      <c r="H27" s="27" t="str">
        <f>IF( ISBLANK($B27), "", _xll.IMBC($B27, H$5, $B$7, 0,"3사평균") )</f>
        <v/>
      </c>
      <c r="I27" s="26" t="str">
        <f>IF( ISBLANK($B27), "", _xll.IMBC($B27, I$5, $B$7, 0,"3사평균") )</f>
        <v/>
      </c>
      <c r="J27" s="18" t="str">
        <f>IF( ISBLANK($B27), "", _xll.IMBC($B27, J$5, $B$7, 0,"3사평균") )</f>
        <v/>
      </c>
      <c r="K27" s="18" t="str">
        <f>IF( ISBLANK($B27), "", _xll.IMBC($B27, K$5, $B$7, 0,"3사평균") )</f>
        <v/>
      </c>
      <c r="L27" s="18" t="str">
        <f>IF( ISBLANK($B27), "", _xll.IMBC($B27, L$5, $B$7, 0,"3사평균") )</f>
        <v/>
      </c>
      <c r="M27" s="18" t="str">
        <f>IF( ISBLANK($B27), "", _xll.IMBC($B27, M$5, $B$7, 0,"3사평균") )</f>
        <v/>
      </c>
      <c r="N27" s="18" t="str">
        <f>IF( ISBLANK($B27), "", _xll.IMBC($B27, N$5, $B$7, 0,"3사평균") )</f>
        <v/>
      </c>
      <c r="O27" s="18" t="str">
        <f>IF( ISBLANK($B27), "", _xll.IMBC($B27, O$5, $B$7, 0,"3사평균") )</f>
        <v/>
      </c>
      <c r="P27" s="18" t="str">
        <f>IF( ISBLANK($B27), "", _xll.IMBC($B27, P$5, $B$7, 0,"3사평균") )</f>
        <v/>
      </c>
      <c r="Q27" s="17" t="str">
        <f ca="1">_xll.IMBC($B27, "경과이자", $B$7, 0,"3사평균")</f>
        <v>코드오류</v>
      </c>
      <c r="R27" s="17" t="str">
        <f>_xll.IMBC($B27, "경과이자", $E27, 0,"3사평균")</f>
        <v>코드오류</v>
      </c>
      <c r="S27" s="17">
        <f ca="1">SUMIF( OFFSET(현금흐름!$C$1, 2*(ROW()-8)-2, 0, 1, 1000), "&lt;"&amp;$B$7, OFFSET(현금흐름!$C$1, 2*(ROW()-8)-1, 0, 1, 1000) )</f>
        <v>0</v>
      </c>
      <c r="T27" s="16" t="str">
        <f>IF( ISBLANK($B27), "", _xll.IMDP("BND", $B27, $T$5, $B$7) )</f>
        <v/>
      </c>
      <c r="U27" s="18" t="str">
        <f t="shared" ca="1" si="6"/>
        <v/>
      </c>
      <c r="V27" s="16" t="str">
        <f t="shared" ca="1" si="7"/>
        <v/>
      </c>
      <c r="W27" s="16" t="str">
        <f t="shared" ca="1" si="2"/>
        <v/>
      </c>
      <c r="X27" s="21" t="str">
        <f t="shared" ca="1" si="3"/>
        <v/>
      </c>
      <c r="Y27" s="21" t="str">
        <f t="shared" ca="1" si="4"/>
        <v/>
      </c>
      <c r="Z27" s="22" t="str">
        <f t="shared" ca="1" si="5"/>
        <v/>
      </c>
    </row>
    <row r="28" spans="2:26">
      <c r="B28" s="10"/>
      <c r="C28" s="11" t="str">
        <f>IF( ISBLANK($B28), "", _xll.IMDP("BND", $B28, C$5) )</f>
        <v/>
      </c>
      <c r="D28" s="12" t="str">
        <f>IF( ISBLANK($B28), "", _xll.IMDP("BND", $B28, D$5,,"DtFmt=1") )</f>
        <v/>
      </c>
      <c r="E28" s="13"/>
      <c r="F28" s="14"/>
      <c r="G28" s="15"/>
      <c r="H28" s="27" t="str">
        <f>IF( ISBLANK($B28), "", _xll.IMBC($B28, H$5, $B$7, 0,"3사평균") )</f>
        <v/>
      </c>
      <c r="I28" s="26" t="str">
        <f>IF( ISBLANK($B28), "", _xll.IMBC($B28, I$5, $B$7, 0,"3사평균") )</f>
        <v/>
      </c>
      <c r="J28" s="18" t="str">
        <f>IF( ISBLANK($B28), "", _xll.IMBC($B28, J$5, $B$7, 0,"3사평균") )</f>
        <v/>
      </c>
      <c r="K28" s="18" t="str">
        <f>IF( ISBLANK($B28), "", _xll.IMBC($B28, K$5, $B$7, 0,"3사평균") )</f>
        <v/>
      </c>
      <c r="L28" s="18" t="str">
        <f>IF( ISBLANK($B28), "", _xll.IMBC($B28, L$5, $B$7, 0,"3사평균") )</f>
        <v/>
      </c>
      <c r="M28" s="18" t="str">
        <f>IF( ISBLANK($B28), "", _xll.IMBC($B28, M$5, $B$7, 0,"3사평균") )</f>
        <v/>
      </c>
      <c r="N28" s="18" t="str">
        <f>IF( ISBLANK($B28), "", _xll.IMBC($B28, N$5, $B$7, 0,"3사평균") )</f>
        <v/>
      </c>
      <c r="O28" s="18" t="str">
        <f>IF( ISBLANK($B28), "", _xll.IMBC($B28, O$5, $B$7, 0,"3사평균") )</f>
        <v/>
      </c>
      <c r="P28" s="18" t="str">
        <f>IF( ISBLANK($B28), "", _xll.IMBC($B28, P$5, $B$7, 0,"3사평균") )</f>
        <v/>
      </c>
      <c r="Q28" s="17" t="str">
        <f ca="1">_xll.IMBC($B28, "경과이자", $B$7, 0,"3사평균")</f>
        <v>코드오류</v>
      </c>
      <c r="R28" s="17" t="str">
        <f>_xll.IMBC($B28, "경과이자", $E28, 0,"3사평균")</f>
        <v>코드오류</v>
      </c>
      <c r="S28" s="17">
        <f ca="1">SUMIF( OFFSET(현금흐름!$C$1, 2*(ROW()-8)-2, 0, 1, 1000), "&lt;"&amp;$B$7, OFFSET(현금흐름!$C$1, 2*(ROW()-8)-1, 0, 1, 1000) )</f>
        <v>0</v>
      </c>
      <c r="T28" s="16" t="str">
        <f>IF( ISBLANK($B28), "", _xll.IMDP("BND", $B28, $T$5, $B$7) )</f>
        <v/>
      </c>
      <c r="U28" s="18" t="str">
        <f t="shared" ca="1" si="6"/>
        <v/>
      </c>
      <c r="V28" s="16" t="str">
        <f t="shared" ca="1" si="7"/>
        <v/>
      </c>
      <c r="W28" s="16" t="str">
        <f t="shared" ca="1" si="2"/>
        <v/>
      </c>
      <c r="X28" s="21" t="str">
        <f t="shared" ca="1" si="3"/>
        <v/>
      </c>
      <c r="Y28" s="21" t="str">
        <f t="shared" ca="1" si="4"/>
        <v/>
      </c>
      <c r="Z28" s="22" t="str">
        <f t="shared" ca="1" si="5"/>
        <v/>
      </c>
    </row>
    <row r="29" spans="2:26">
      <c r="B29" s="10"/>
      <c r="C29" s="11" t="str">
        <f>IF( ISBLANK($B29), "", _xll.IMDP("BND", $B29, C$5) )</f>
        <v/>
      </c>
      <c r="D29" s="12" t="str">
        <f>IF( ISBLANK($B29), "", _xll.IMDP("BND", $B29, D$5,,"DtFmt=1") )</f>
        <v/>
      </c>
      <c r="E29" s="13"/>
      <c r="F29" s="14"/>
      <c r="G29" s="15"/>
      <c r="H29" s="27" t="str">
        <f>IF( ISBLANK($B29), "", _xll.IMBC($B29, H$5, $B$7, 0,"3사평균") )</f>
        <v/>
      </c>
      <c r="I29" s="26" t="str">
        <f>IF( ISBLANK($B29), "", _xll.IMBC($B29, I$5, $B$7, 0,"3사평균") )</f>
        <v/>
      </c>
      <c r="J29" s="18" t="str">
        <f>IF( ISBLANK($B29), "", _xll.IMBC($B29, J$5, $B$7, 0,"3사평균") )</f>
        <v/>
      </c>
      <c r="K29" s="18" t="str">
        <f>IF( ISBLANK($B29), "", _xll.IMBC($B29, K$5, $B$7, 0,"3사평균") )</f>
        <v/>
      </c>
      <c r="L29" s="18" t="str">
        <f>IF( ISBLANK($B29), "", _xll.IMBC($B29, L$5, $B$7, 0,"3사평균") )</f>
        <v/>
      </c>
      <c r="M29" s="18" t="str">
        <f>IF( ISBLANK($B29), "", _xll.IMBC($B29, M$5, $B$7, 0,"3사평균") )</f>
        <v/>
      </c>
      <c r="N29" s="18" t="str">
        <f>IF( ISBLANK($B29), "", _xll.IMBC($B29, N$5, $B$7, 0,"3사평균") )</f>
        <v/>
      </c>
      <c r="O29" s="18" t="str">
        <f>IF( ISBLANK($B29), "", _xll.IMBC($B29, O$5, $B$7, 0,"3사평균") )</f>
        <v/>
      </c>
      <c r="P29" s="18" t="str">
        <f>IF( ISBLANK($B29), "", _xll.IMBC($B29, P$5, $B$7, 0,"3사평균") )</f>
        <v/>
      </c>
      <c r="Q29" s="17" t="str">
        <f ca="1">_xll.IMBC($B29, "경과이자", $B$7, 0,"3사평균")</f>
        <v>코드오류</v>
      </c>
      <c r="R29" s="17" t="str">
        <f>_xll.IMBC($B29, "경과이자", $E29, 0,"3사평균")</f>
        <v>코드오류</v>
      </c>
      <c r="S29" s="17">
        <f ca="1">SUMIF( OFFSET(현금흐름!$C$1, 2*(ROW()-8)-2, 0, 1, 1000), "&lt;"&amp;$B$7, OFFSET(현금흐름!$C$1, 2*(ROW()-8)-1, 0, 1, 1000) )</f>
        <v>0</v>
      </c>
      <c r="T29" s="16" t="str">
        <f>IF( ISBLANK($B29), "", _xll.IMDP("BND", $B29, $T$5, $B$7) )</f>
        <v/>
      </c>
      <c r="U29" s="18" t="str">
        <f t="shared" ca="1" si="6"/>
        <v/>
      </c>
      <c r="V29" s="16" t="str">
        <f t="shared" ca="1" si="7"/>
        <v/>
      </c>
      <c r="W29" s="16" t="str">
        <f t="shared" ca="1" si="2"/>
        <v/>
      </c>
      <c r="X29" s="21" t="str">
        <f t="shared" ca="1" si="3"/>
        <v/>
      </c>
      <c r="Y29" s="21" t="str">
        <f t="shared" ca="1" si="4"/>
        <v/>
      </c>
      <c r="Z29" s="22" t="str">
        <f t="shared" ca="1" si="5"/>
        <v/>
      </c>
    </row>
    <row r="30" spans="2:26">
      <c r="B30" s="10"/>
      <c r="C30" s="11" t="str">
        <f>IF( ISBLANK($B30), "", _xll.IMDP("BND", $B30, C$5) )</f>
        <v/>
      </c>
      <c r="D30" s="12" t="str">
        <f>IF( ISBLANK($B30), "", _xll.IMDP("BND", $B30, D$5,,"DtFmt=1") )</f>
        <v/>
      </c>
      <c r="E30" s="13"/>
      <c r="F30" s="14"/>
      <c r="G30" s="15"/>
      <c r="H30" s="27" t="str">
        <f>IF( ISBLANK($B30), "", _xll.IMBC($B30, H$5, $B$7, 0,"3사평균") )</f>
        <v/>
      </c>
      <c r="I30" s="26" t="str">
        <f>IF( ISBLANK($B30), "", _xll.IMBC($B30, I$5, $B$7, 0,"3사평균") )</f>
        <v/>
      </c>
      <c r="J30" s="18" t="str">
        <f>IF( ISBLANK($B30), "", _xll.IMBC($B30, J$5, $B$7, 0,"3사평균") )</f>
        <v/>
      </c>
      <c r="K30" s="18" t="str">
        <f>IF( ISBLANK($B30), "", _xll.IMBC($B30, K$5, $B$7, 0,"3사평균") )</f>
        <v/>
      </c>
      <c r="L30" s="18" t="str">
        <f>IF( ISBLANK($B30), "", _xll.IMBC($B30, L$5, $B$7, 0,"3사평균") )</f>
        <v/>
      </c>
      <c r="M30" s="18" t="str">
        <f>IF( ISBLANK($B30), "", _xll.IMBC($B30, M$5, $B$7, 0,"3사평균") )</f>
        <v/>
      </c>
      <c r="N30" s="18" t="str">
        <f>IF( ISBLANK($B30), "", _xll.IMBC($B30, N$5, $B$7, 0,"3사평균") )</f>
        <v/>
      </c>
      <c r="O30" s="18" t="str">
        <f>IF( ISBLANK($B30), "", _xll.IMBC($B30, O$5, $B$7, 0,"3사평균") )</f>
        <v/>
      </c>
      <c r="P30" s="18" t="str">
        <f>IF( ISBLANK($B30), "", _xll.IMBC($B30, P$5, $B$7, 0,"3사평균") )</f>
        <v/>
      </c>
      <c r="Q30" s="17" t="str">
        <f ca="1">_xll.IMBC($B30, "경과이자", $B$7, 0,"3사평균")</f>
        <v>코드오류</v>
      </c>
      <c r="R30" s="17" t="str">
        <f>_xll.IMBC($B30, "경과이자", $E30, 0,"3사평균")</f>
        <v>코드오류</v>
      </c>
      <c r="S30" s="17">
        <f ca="1">SUMIF( OFFSET(현금흐름!$C$1, 2*(ROW()-8)-2, 0, 1, 1000), "&lt;"&amp;$B$7, OFFSET(현금흐름!$C$1, 2*(ROW()-8)-1, 0, 1, 1000) )</f>
        <v>0</v>
      </c>
      <c r="T30" s="16" t="str">
        <f>IF( ISBLANK($B30), "", _xll.IMDP("BND", $B30, $T$5, $B$7) )</f>
        <v/>
      </c>
      <c r="U30" s="18" t="str">
        <f t="shared" ca="1" si="6"/>
        <v/>
      </c>
      <c r="V30" s="16" t="str">
        <f t="shared" ca="1" si="7"/>
        <v/>
      </c>
      <c r="W30" s="16" t="str">
        <f t="shared" ca="1" si="2"/>
        <v/>
      </c>
      <c r="X30" s="21" t="str">
        <f t="shared" ca="1" si="3"/>
        <v/>
      </c>
      <c r="Y30" s="21" t="str">
        <f t="shared" ca="1" si="4"/>
        <v/>
      </c>
      <c r="Z30" s="22" t="str">
        <f t="shared" ca="1" si="5"/>
        <v/>
      </c>
    </row>
    <row r="31" spans="2:26">
      <c r="B31" s="10"/>
      <c r="C31" s="11" t="str">
        <f>IF( ISBLANK($B31), "", _xll.IMDP("BND", $B31, C$5) )</f>
        <v/>
      </c>
      <c r="D31" s="12" t="str">
        <f>IF( ISBLANK($B31), "", _xll.IMDP("BND", $B31, D$5,,"DtFmt=1") )</f>
        <v/>
      </c>
      <c r="E31" s="13"/>
      <c r="F31" s="14"/>
      <c r="G31" s="15"/>
      <c r="H31" s="27" t="str">
        <f>IF( ISBLANK($B31), "", _xll.IMBC($B31, H$5, $B$7, 0,"3사평균") )</f>
        <v/>
      </c>
      <c r="I31" s="26" t="str">
        <f>IF( ISBLANK($B31), "", _xll.IMBC($B31, I$5, $B$7, 0,"3사평균") )</f>
        <v/>
      </c>
      <c r="J31" s="18" t="str">
        <f>IF( ISBLANK($B31), "", _xll.IMBC($B31, J$5, $B$7, 0,"3사평균") )</f>
        <v/>
      </c>
      <c r="K31" s="18" t="str">
        <f>IF( ISBLANK($B31), "", _xll.IMBC($B31, K$5, $B$7, 0,"3사평균") )</f>
        <v/>
      </c>
      <c r="L31" s="18" t="str">
        <f>IF( ISBLANK($B31), "", _xll.IMBC($B31, L$5, $B$7, 0,"3사평균") )</f>
        <v/>
      </c>
      <c r="M31" s="18" t="str">
        <f>IF( ISBLANK($B31), "", _xll.IMBC($B31, M$5, $B$7, 0,"3사평균") )</f>
        <v/>
      </c>
      <c r="N31" s="18" t="str">
        <f>IF( ISBLANK($B31), "", _xll.IMBC($B31, N$5, $B$7, 0,"3사평균") )</f>
        <v/>
      </c>
      <c r="O31" s="18" t="str">
        <f>IF( ISBLANK($B31), "", _xll.IMBC($B31, O$5, $B$7, 0,"3사평균") )</f>
        <v/>
      </c>
      <c r="P31" s="18" t="str">
        <f>IF( ISBLANK($B31), "", _xll.IMBC($B31, P$5, $B$7, 0,"3사평균") )</f>
        <v/>
      </c>
      <c r="Q31" s="17" t="str">
        <f ca="1">_xll.IMBC($B31, "경과이자", $B$7, 0,"3사평균")</f>
        <v>코드오류</v>
      </c>
      <c r="R31" s="17" t="str">
        <f>_xll.IMBC($B31, "경과이자", $E31, 0,"3사평균")</f>
        <v>코드오류</v>
      </c>
      <c r="S31" s="17">
        <f ca="1">SUMIF( OFFSET(현금흐름!$C$1, 2*(ROW()-8)-2, 0, 1, 1000), "&lt;"&amp;$B$7, OFFSET(현금흐름!$C$1, 2*(ROW()-8)-1, 0, 1, 1000) )</f>
        <v>0</v>
      </c>
      <c r="T31" s="16" t="str">
        <f>IF( ISBLANK($B31), "", _xll.IMDP("BND", $B31, $T$5, $B$7) )</f>
        <v/>
      </c>
      <c r="U31" s="18" t="str">
        <f t="shared" ca="1" si="6"/>
        <v/>
      </c>
      <c r="V31" s="16" t="str">
        <f t="shared" ca="1" si="7"/>
        <v/>
      </c>
      <c r="W31" s="16" t="str">
        <f t="shared" ca="1" si="2"/>
        <v/>
      </c>
      <c r="X31" s="21" t="str">
        <f t="shared" ca="1" si="3"/>
        <v/>
      </c>
      <c r="Y31" s="21" t="str">
        <f t="shared" ca="1" si="4"/>
        <v/>
      </c>
      <c r="Z31" s="22" t="str">
        <f t="shared" ca="1" si="5"/>
        <v/>
      </c>
    </row>
    <row r="32" spans="2:26">
      <c r="B32" s="10"/>
      <c r="C32" s="11" t="str">
        <f>IF( ISBLANK($B32), "", _xll.IMDP("BND", $B32, C$5) )</f>
        <v/>
      </c>
      <c r="D32" s="12" t="str">
        <f>IF( ISBLANK($B32), "", _xll.IMDP("BND", $B32, D$5,,"DtFmt=1") )</f>
        <v/>
      </c>
      <c r="E32" s="13"/>
      <c r="F32" s="14"/>
      <c r="G32" s="15"/>
      <c r="H32" s="27" t="str">
        <f>IF( ISBLANK($B32), "", _xll.IMBC($B32, H$5, $B$7, 0,"3사평균") )</f>
        <v/>
      </c>
      <c r="I32" s="26" t="str">
        <f>IF( ISBLANK($B32), "", _xll.IMBC($B32, I$5, $B$7, 0,"3사평균") )</f>
        <v/>
      </c>
      <c r="J32" s="18" t="str">
        <f>IF( ISBLANK($B32), "", _xll.IMBC($B32, J$5, $B$7, 0,"3사평균") )</f>
        <v/>
      </c>
      <c r="K32" s="18" t="str">
        <f>IF( ISBLANK($B32), "", _xll.IMBC($B32, K$5, $B$7, 0,"3사평균") )</f>
        <v/>
      </c>
      <c r="L32" s="18" t="str">
        <f>IF( ISBLANK($B32), "", _xll.IMBC($B32, L$5, $B$7, 0,"3사평균") )</f>
        <v/>
      </c>
      <c r="M32" s="18" t="str">
        <f>IF( ISBLANK($B32), "", _xll.IMBC($B32, M$5, $B$7, 0,"3사평균") )</f>
        <v/>
      </c>
      <c r="N32" s="18" t="str">
        <f>IF( ISBLANK($B32), "", _xll.IMBC($B32, N$5, $B$7, 0,"3사평균") )</f>
        <v/>
      </c>
      <c r="O32" s="18" t="str">
        <f>IF( ISBLANK($B32), "", _xll.IMBC($B32, O$5, $B$7, 0,"3사평균") )</f>
        <v/>
      </c>
      <c r="P32" s="18" t="str">
        <f>IF( ISBLANK($B32), "", _xll.IMBC($B32, P$5, $B$7, 0,"3사평균") )</f>
        <v/>
      </c>
      <c r="Q32" s="17" t="str">
        <f ca="1">_xll.IMBC($B32, "경과이자", $B$7, 0,"3사평균")</f>
        <v>코드오류</v>
      </c>
      <c r="R32" s="17" t="str">
        <f>_xll.IMBC($B32, "경과이자", $E32, 0,"3사평균")</f>
        <v>코드오류</v>
      </c>
      <c r="S32" s="17">
        <f ca="1">SUMIF( OFFSET(현금흐름!$C$1, 2*(ROW()-8)-2, 0, 1, 1000), "&lt;"&amp;$B$7, OFFSET(현금흐름!$C$1, 2*(ROW()-8)-1, 0, 1, 1000) )</f>
        <v>0</v>
      </c>
      <c r="T32" s="16" t="str">
        <f>IF( ISBLANK($B32), "", _xll.IMDP("BND", $B32, $T$5, $B$7) )</f>
        <v/>
      </c>
      <c r="U32" s="18" t="str">
        <f t="shared" ca="1" si="6"/>
        <v/>
      </c>
      <c r="V32" s="16" t="str">
        <f t="shared" ca="1" si="7"/>
        <v/>
      </c>
      <c r="W32" s="16" t="str">
        <f t="shared" ca="1" si="2"/>
        <v/>
      </c>
      <c r="X32" s="21" t="str">
        <f t="shared" ca="1" si="3"/>
        <v/>
      </c>
      <c r="Y32" s="21" t="str">
        <f t="shared" ca="1" si="4"/>
        <v/>
      </c>
      <c r="Z32" s="22" t="str">
        <f t="shared" ca="1" si="5"/>
        <v/>
      </c>
    </row>
    <row r="33" spans="2:26">
      <c r="B33" s="10"/>
      <c r="C33" s="11" t="str">
        <f>IF( ISBLANK($B33), "", _xll.IMDP("BND", $B33, C$5) )</f>
        <v/>
      </c>
      <c r="D33" s="12" t="str">
        <f>IF( ISBLANK($B33), "", _xll.IMDP("BND", $B33, D$5,,"DtFmt=1") )</f>
        <v/>
      </c>
      <c r="E33" s="13"/>
      <c r="F33" s="14"/>
      <c r="G33" s="15"/>
      <c r="H33" s="27" t="str">
        <f>IF( ISBLANK($B33), "", _xll.IMBC($B33, H$5, $B$7, 0,"3사평균") )</f>
        <v/>
      </c>
      <c r="I33" s="26" t="str">
        <f>IF( ISBLANK($B33), "", _xll.IMBC($B33, I$5, $B$7, 0,"3사평균") )</f>
        <v/>
      </c>
      <c r="J33" s="18" t="str">
        <f>IF( ISBLANK($B33), "", _xll.IMBC($B33, J$5, $B$7, 0,"3사평균") )</f>
        <v/>
      </c>
      <c r="K33" s="18" t="str">
        <f>IF( ISBLANK($B33), "", _xll.IMBC($B33, K$5, $B$7, 0,"3사평균") )</f>
        <v/>
      </c>
      <c r="L33" s="18" t="str">
        <f>IF( ISBLANK($B33), "", _xll.IMBC($B33, L$5, $B$7, 0,"3사평균") )</f>
        <v/>
      </c>
      <c r="M33" s="18" t="str">
        <f>IF( ISBLANK($B33), "", _xll.IMBC($B33, M$5, $B$7, 0,"3사평균") )</f>
        <v/>
      </c>
      <c r="N33" s="18" t="str">
        <f>IF( ISBLANK($B33), "", _xll.IMBC($B33, N$5, $B$7, 0,"3사평균") )</f>
        <v/>
      </c>
      <c r="O33" s="18" t="str">
        <f>IF( ISBLANK($B33), "", _xll.IMBC($B33, O$5, $B$7, 0,"3사평균") )</f>
        <v/>
      </c>
      <c r="P33" s="18" t="str">
        <f>IF( ISBLANK($B33), "", _xll.IMBC($B33, P$5, $B$7, 0,"3사평균") )</f>
        <v/>
      </c>
      <c r="Q33" s="17" t="str">
        <f ca="1">_xll.IMBC($B33, "경과이자", $B$7, 0,"3사평균")</f>
        <v>코드오류</v>
      </c>
      <c r="R33" s="17" t="str">
        <f>_xll.IMBC($B33, "경과이자", $E33, 0,"3사평균")</f>
        <v>코드오류</v>
      </c>
      <c r="S33" s="17">
        <f ca="1">SUMIF( OFFSET(현금흐름!$C$1, 2*(ROW()-8)-2, 0, 1, 1000), "&lt;"&amp;$B$7, OFFSET(현금흐름!$C$1, 2*(ROW()-8)-1, 0, 1, 1000) )</f>
        <v>0</v>
      </c>
      <c r="T33" s="16" t="str">
        <f>IF( ISBLANK($B33), "", _xll.IMDP("BND", $B33, $T$5, $B$7) )</f>
        <v/>
      </c>
      <c r="U33" s="18" t="str">
        <f t="shared" ca="1" si="6"/>
        <v/>
      </c>
      <c r="V33" s="16" t="str">
        <f t="shared" ca="1" si="7"/>
        <v/>
      </c>
      <c r="W33" s="16" t="str">
        <f t="shared" ca="1" si="2"/>
        <v/>
      </c>
      <c r="X33" s="21" t="str">
        <f t="shared" ca="1" si="3"/>
        <v/>
      </c>
      <c r="Y33" s="21" t="str">
        <f t="shared" ca="1" si="4"/>
        <v/>
      </c>
      <c r="Z33" s="22" t="str">
        <f t="shared" ca="1" si="5"/>
        <v/>
      </c>
    </row>
    <row r="34" spans="2:26">
      <c r="B34" s="10"/>
      <c r="C34" s="11" t="str">
        <f>IF( ISBLANK($B34), "", _xll.IMDP("BND", $B34, C$5) )</f>
        <v/>
      </c>
      <c r="D34" s="12" t="str">
        <f>IF( ISBLANK($B34), "", _xll.IMDP("BND", $B34, D$5,,"DtFmt=1") )</f>
        <v/>
      </c>
      <c r="E34" s="13"/>
      <c r="F34" s="14"/>
      <c r="G34" s="15"/>
      <c r="H34" s="27" t="str">
        <f>IF( ISBLANK($B34), "", _xll.IMBC($B34, H$5, $B$7, 0,"3사평균") )</f>
        <v/>
      </c>
      <c r="I34" s="26" t="str">
        <f>IF( ISBLANK($B34), "", _xll.IMBC($B34, I$5, $B$7, 0,"3사평균") )</f>
        <v/>
      </c>
      <c r="J34" s="18" t="str">
        <f>IF( ISBLANK($B34), "", _xll.IMBC($B34, J$5, $B$7, 0,"3사평균") )</f>
        <v/>
      </c>
      <c r="K34" s="18" t="str">
        <f>IF( ISBLANK($B34), "", _xll.IMBC($B34, K$5, $B$7, 0,"3사평균") )</f>
        <v/>
      </c>
      <c r="L34" s="18" t="str">
        <f>IF( ISBLANK($B34), "", _xll.IMBC($B34, L$5, $B$7, 0,"3사평균") )</f>
        <v/>
      </c>
      <c r="M34" s="18" t="str">
        <f>IF( ISBLANK($B34), "", _xll.IMBC($B34, M$5, $B$7, 0,"3사평균") )</f>
        <v/>
      </c>
      <c r="N34" s="18" t="str">
        <f>IF( ISBLANK($B34), "", _xll.IMBC($B34, N$5, $B$7, 0,"3사평균") )</f>
        <v/>
      </c>
      <c r="O34" s="18" t="str">
        <f>IF( ISBLANK($B34), "", _xll.IMBC($B34, O$5, $B$7, 0,"3사평균") )</f>
        <v/>
      </c>
      <c r="P34" s="18" t="str">
        <f>IF( ISBLANK($B34), "", _xll.IMBC($B34, P$5, $B$7, 0,"3사평균") )</f>
        <v/>
      </c>
      <c r="Q34" s="17" t="str">
        <f ca="1">_xll.IMBC($B34, "경과이자", $B$7, 0,"3사평균")</f>
        <v>코드오류</v>
      </c>
      <c r="R34" s="17" t="str">
        <f>_xll.IMBC($B34, "경과이자", $E34, 0,"3사평균")</f>
        <v>코드오류</v>
      </c>
      <c r="S34" s="17">
        <f ca="1">SUMIF( OFFSET(현금흐름!$C$1, 2*(ROW()-8)-2, 0, 1, 1000), "&lt;"&amp;$B$7, OFFSET(현금흐름!$C$1, 2*(ROW()-8)-1, 0, 1, 1000) )</f>
        <v>0</v>
      </c>
      <c r="T34" s="16" t="str">
        <f>IF( ISBLANK($B34), "", _xll.IMDP("BND", $B34, $T$5, $B$7) )</f>
        <v/>
      </c>
      <c r="U34" s="18" t="str">
        <f t="shared" ca="1" si="6"/>
        <v/>
      </c>
      <c r="V34" s="16" t="str">
        <f t="shared" ca="1" si="7"/>
        <v/>
      </c>
      <c r="W34" s="16" t="str">
        <f t="shared" ca="1" si="2"/>
        <v/>
      </c>
      <c r="X34" s="21" t="str">
        <f t="shared" ca="1" si="3"/>
        <v/>
      </c>
      <c r="Y34" s="21" t="str">
        <f t="shared" ca="1" si="4"/>
        <v/>
      </c>
      <c r="Z34" s="22" t="str">
        <f t="shared" ca="1" si="5"/>
        <v/>
      </c>
    </row>
    <row r="35" spans="2:26">
      <c r="B35" s="10"/>
      <c r="C35" s="11" t="str">
        <f>IF( ISBLANK($B35), "", _xll.IMDP("BND", $B35, C$5) )</f>
        <v/>
      </c>
      <c r="D35" s="12" t="str">
        <f>IF( ISBLANK($B35), "", _xll.IMDP("BND", $B35, D$5,,"DtFmt=1") )</f>
        <v/>
      </c>
      <c r="E35" s="13"/>
      <c r="F35" s="14"/>
      <c r="G35" s="15"/>
      <c r="H35" s="27" t="str">
        <f>IF( ISBLANK($B35), "", _xll.IMBC($B35, H$5, $B$7, 0,"3사평균") )</f>
        <v/>
      </c>
      <c r="I35" s="26" t="str">
        <f>IF( ISBLANK($B35), "", _xll.IMBC($B35, I$5, $B$7, 0,"3사평균") )</f>
        <v/>
      </c>
      <c r="J35" s="18" t="str">
        <f>IF( ISBLANK($B35), "", _xll.IMBC($B35, J$5, $B$7, 0,"3사평균") )</f>
        <v/>
      </c>
      <c r="K35" s="18" t="str">
        <f>IF( ISBLANK($B35), "", _xll.IMBC($B35, K$5, $B$7, 0,"3사평균") )</f>
        <v/>
      </c>
      <c r="L35" s="18" t="str">
        <f>IF( ISBLANK($B35), "", _xll.IMBC($B35, L$5, $B$7, 0,"3사평균") )</f>
        <v/>
      </c>
      <c r="M35" s="18" t="str">
        <f>IF( ISBLANK($B35), "", _xll.IMBC($B35, M$5, $B$7, 0,"3사평균") )</f>
        <v/>
      </c>
      <c r="N35" s="18" t="str">
        <f>IF( ISBLANK($B35), "", _xll.IMBC($B35, N$5, $B$7, 0,"3사평균") )</f>
        <v/>
      </c>
      <c r="O35" s="18" t="str">
        <f>IF( ISBLANK($B35), "", _xll.IMBC($B35, O$5, $B$7, 0,"3사평균") )</f>
        <v/>
      </c>
      <c r="P35" s="18" t="str">
        <f>IF( ISBLANK($B35), "", _xll.IMBC($B35, P$5, $B$7, 0,"3사평균") )</f>
        <v/>
      </c>
      <c r="Q35" s="17" t="str">
        <f ca="1">_xll.IMBC($B35, "경과이자", $B$7, 0,"3사평균")</f>
        <v>코드오류</v>
      </c>
      <c r="R35" s="17" t="str">
        <f>_xll.IMBC($B35, "경과이자", $E35, 0,"3사평균")</f>
        <v>코드오류</v>
      </c>
      <c r="S35" s="17">
        <f ca="1">SUMIF( OFFSET(현금흐름!$C$1, 2*(ROW()-8)-2, 0, 1, 1000), "&lt;"&amp;$B$7, OFFSET(현금흐름!$C$1, 2*(ROW()-8)-1, 0, 1, 1000) )</f>
        <v>0</v>
      </c>
      <c r="T35" s="16" t="str">
        <f>IF( ISBLANK($B35), "", _xll.IMDP("BND", $B35, $T$5, $B$7) )</f>
        <v/>
      </c>
      <c r="U35" s="18" t="str">
        <f t="shared" ca="1" si="6"/>
        <v/>
      </c>
      <c r="V35" s="16" t="str">
        <f t="shared" ca="1" si="7"/>
        <v/>
      </c>
      <c r="W35" s="16" t="str">
        <f t="shared" ca="1" si="2"/>
        <v/>
      </c>
      <c r="X35" s="21" t="str">
        <f t="shared" ca="1" si="3"/>
        <v/>
      </c>
      <c r="Y35" s="21" t="str">
        <f t="shared" ca="1" si="4"/>
        <v/>
      </c>
      <c r="Z35" s="22" t="str">
        <f t="shared" ca="1" si="5"/>
        <v/>
      </c>
    </row>
    <row r="36" spans="2:26">
      <c r="B36" s="10"/>
      <c r="C36" s="11" t="str">
        <f>IF( ISBLANK($B36), "", _xll.IMDP("BND", $B36, C$5) )</f>
        <v/>
      </c>
      <c r="D36" s="12" t="str">
        <f>IF( ISBLANK($B36), "", _xll.IMDP("BND", $B36, D$5,,"DtFmt=1") )</f>
        <v/>
      </c>
      <c r="E36" s="13"/>
      <c r="F36" s="14"/>
      <c r="G36" s="15"/>
      <c r="H36" s="27" t="str">
        <f>IF( ISBLANK($B36), "", _xll.IMBC($B36, H$5, $B$7, 0,"3사평균") )</f>
        <v/>
      </c>
      <c r="I36" s="26" t="str">
        <f>IF( ISBLANK($B36), "", _xll.IMBC($B36, I$5, $B$7, 0,"3사평균") )</f>
        <v/>
      </c>
      <c r="J36" s="18" t="str">
        <f>IF( ISBLANK($B36), "", _xll.IMBC($B36, J$5, $B$7, 0,"3사평균") )</f>
        <v/>
      </c>
      <c r="K36" s="18" t="str">
        <f>IF( ISBLANK($B36), "", _xll.IMBC($B36, K$5, $B$7, 0,"3사평균") )</f>
        <v/>
      </c>
      <c r="L36" s="18" t="str">
        <f>IF( ISBLANK($B36), "", _xll.IMBC($B36, L$5, $B$7, 0,"3사평균") )</f>
        <v/>
      </c>
      <c r="M36" s="18" t="str">
        <f>IF( ISBLANK($B36), "", _xll.IMBC($B36, M$5, $B$7, 0,"3사평균") )</f>
        <v/>
      </c>
      <c r="N36" s="18" t="str">
        <f>IF( ISBLANK($B36), "", _xll.IMBC($B36, N$5, $B$7, 0,"3사평균") )</f>
        <v/>
      </c>
      <c r="O36" s="18" t="str">
        <f>IF( ISBLANK($B36), "", _xll.IMBC($B36, O$5, $B$7, 0,"3사평균") )</f>
        <v/>
      </c>
      <c r="P36" s="18" t="str">
        <f>IF( ISBLANK($B36), "", _xll.IMBC($B36, P$5, $B$7, 0,"3사평균") )</f>
        <v/>
      </c>
      <c r="Q36" s="17" t="str">
        <f ca="1">_xll.IMBC($B36, "경과이자", $B$7, 0,"3사평균")</f>
        <v>코드오류</v>
      </c>
      <c r="R36" s="17" t="str">
        <f>_xll.IMBC($B36, "경과이자", $E36, 0,"3사평균")</f>
        <v>코드오류</v>
      </c>
      <c r="S36" s="17">
        <f ca="1">SUMIF( OFFSET(현금흐름!$C$1, 2*(ROW()-8)-2, 0, 1, 1000), "&lt;"&amp;$B$7, OFFSET(현금흐름!$C$1, 2*(ROW()-8)-1, 0, 1, 1000) )</f>
        <v>0</v>
      </c>
      <c r="T36" s="16" t="str">
        <f>IF( ISBLANK($B36), "", _xll.IMDP("BND", $B36, $T$5, $B$7) )</f>
        <v/>
      </c>
      <c r="U36" s="18" t="str">
        <f t="shared" ca="1" si="6"/>
        <v/>
      </c>
      <c r="V36" s="16" t="str">
        <f t="shared" ca="1" si="7"/>
        <v/>
      </c>
      <c r="W36" s="16" t="str">
        <f t="shared" ca="1" si="2"/>
        <v/>
      </c>
      <c r="X36" s="21" t="str">
        <f t="shared" ca="1" si="3"/>
        <v/>
      </c>
      <c r="Y36" s="21" t="str">
        <f t="shared" ca="1" si="4"/>
        <v/>
      </c>
      <c r="Z36" s="22" t="str">
        <f t="shared" ca="1" si="5"/>
        <v/>
      </c>
    </row>
    <row r="37" spans="2:26">
      <c r="B37" s="10"/>
      <c r="C37" s="11" t="str">
        <f>IF( ISBLANK($B37), "", _xll.IMDP("BND", $B37, C$5) )</f>
        <v/>
      </c>
      <c r="D37" s="12" t="str">
        <f>IF( ISBLANK($B37), "", _xll.IMDP("BND", $B37, D$5,,"DtFmt=1") )</f>
        <v/>
      </c>
      <c r="E37" s="13"/>
      <c r="F37" s="14"/>
      <c r="G37" s="15"/>
      <c r="H37" s="27" t="str">
        <f>IF( ISBLANK($B37), "", _xll.IMBC($B37, H$5, $B$7, 0,"3사평균") )</f>
        <v/>
      </c>
      <c r="I37" s="26" t="str">
        <f>IF( ISBLANK($B37), "", _xll.IMBC($B37, I$5, $B$7, 0,"3사평균") )</f>
        <v/>
      </c>
      <c r="J37" s="18" t="str">
        <f>IF( ISBLANK($B37), "", _xll.IMBC($B37, J$5, $B$7, 0,"3사평균") )</f>
        <v/>
      </c>
      <c r="K37" s="18" t="str">
        <f>IF( ISBLANK($B37), "", _xll.IMBC($B37, K$5, $B$7, 0,"3사평균") )</f>
        <v/>
      </c>
      <c r="L37" s="18" t="str">
        <f>IF( ISBLANK($B37), "", _xll.IMBC($B37, L$5, $B$7, 0,"3사평균") )</f>
        <v/>
      </c>
      <c r="M37" s="18" t="str">
        <f>IF( ISBLANK($B37), "", _xll.IMBC($B37, M$5, $B$7, 0,"3사평균") )</f>
        <v/>
      </c>
      <c r="N37" s="18" t="str">
        <f>IF( ISBLANK($B37), "", _xll.IMBC($B37, N$5, $B$7, 0,"3사평균") )</f>
        <v/>
      </c>
      <c r="O37" s="18" t="str">
        <f>IF( ISBLANK($B37), "", _xll.IMBC($B37, O$5, $B$7, 0,"3사평균") )</f>
        <v/>
      </c>
      <c r="P37" s="18" t="str">
        <f>IF( ISBLANK($B37), "", _xll.IMBC($B37, P$5, $B$7, 0,"3사평균") )</f>
        <v/>
      </c>
      <c r="Q37" s="17" t="str">
        <f ca="1">_xll.IMBC($B37, "경과이자", $B$7, 0,"3사평균")</f>
        <v>코드오류</v>
      </c>
      <c r="R37" s="17" t="str">
        <f>_xll.IMBC($B37, "경과이자", $E37, 0,"3사평균")</f>
        <v>코드오류</v>
      </c>
      <c r="S37" s="17">
        <f ca="1">SUMIF( OFFSET(현금흐름!$C$1, 2*(ROW()-8)-2, 0, 1, 1000), "&lt;"&amp;$B$7, OFFSET(현금흐름!$C$1, 2*(ROW()-8)-1, 0, 1, 1000) )</f>
        <v>0</v>
      </c>
      <c r="T37" s="16" t="str">
        <f>IF( ISBLANK($B37), "", _xll.IMDP("BND", $B37, $T$5, $B$7) )</f>
        <v/>
      </c>
      <c r="U37" s="18" t="str">
        <f t="shared" ca="1" si="6"/>
        <v/>
      </c>
      <c r="V37" s="16" t="str">
        <f t="shared" ca="1" si="7"/>
        <v/>
      </c>
      <c r="W37" s="16" t="str">
        <f t="shared" ca="1" si="2"/>
        <v/>
      </c>
      <c r="X37" s="21" t="str">
        <f t="shared" ca="1" si="3"/>
        <v/>
      </c>
      <c r="Y37" s="21" t="str">
        <f t="shared" ca="1" si="4"/>
        <v/>
      </c>
      <c r="Z37" s="22" t="str">
        <f t="shared" ca="1" si="5"/>
        <v/>
      </c>
    </row>
    <row r="38" spans="2:26" ht="17.25" thickBot="1">
      <c r="B38" s="46"/>
      <c r="C38" s="47" t="str">
        <f>IF( ISBLANK($B38), "", _xll.IMDP("BND", $B38, C$5) )</f>
        <v/>
      </c>
      <c r="D38" s="48" t="str">
        <f>IF( ISBLANK($B38), "", _xll.IMDP("BND", $B38, D$5,,"DtFmt=1") )</f>
        <v/>
      </c>
      <c r="E38" s="49"/>
      <c r="F38" s="50"/>
      <c r="G38" s="51"/>
      <c r="H38" s="52" t="str">
        <f>IF( ISBLANK($B38), "", _xll.IMBC($B38, H$5, $B$7, 0,"3사평균") )</f>
        <v/>
      </c>
      <c r="I38" s="53" t="str">
        <f>IF( ISBLANK($B38), "", _xll.IMBC($B38, I$5, $B$7, 0,"3사평균") )</f>
        <v/>
      </c>
      <c r="J38" s="54" t="str">
        <f>IF( ISBLANK($B38), "", _xll.IMBC($B38, J$5, $B$7, 0,"3사평균") )</f>
        <v/>
      </c>
      <c r="K38" s="54" t="str">
        <f>IF( ISBLANK($B38), "", _xll.IMBC($B38, K$5, $B$7, 0,"3사평균") )</f>
        <v/>
      </c>
      <c r="L38" s="54" t="str">
        <f>IF( ISBLANK($B38), "", _xll.IMBC($B38, L$5, $B$7, 0,"3사평균") )</f>
        <v/>
      </c>
      <c r="M38" s="54" t="str">
        <f>IF( ISBLANK($B38), "", _xll.IMBC($B38, M$5, $B$7, 0,"3사평균") )</f>
        <v/>
      </c>
      <c r="N38" s="54" t="str">
        <f>IF( ISBLANK($B38), "", _xll.IMBC($B38, N$5, $B$7, 0,"3사평균") )</f>
        <v/>
      </c>
      <c r="O38" s="54" t="str">
        <f>IF( ISBLANK($B38), "", _xll.IMBC($B38, O$5, $B$7, 0,"3사평균") )</f>
        <v/>
      </c>
      <c r="P38" s="54" t="str">
        <f>IF( ISBLANK($B38), "", _xll.IMBC($B38, P$5, $B$7, 0,"3사평균") )</f>
        <v/>
      </c>
      <c r="Q38" s="55" t="str">
        <f ca="1">_xll.IMBC($B38, "경과이자", $B$7, 0,"3사평균")</f>
        <v>코드오류</v>
      </c>
      <c r="R38" s="55" t="str">
        <f>_xll.IMBC($B38, "경과이자", $E38, 0,"3사평균")</f>
        <v>코드오류</v>
      </c>
      <c r="S38" s="55">
        <f ca="1">SUMIF( OFFSET(현금흐름!$C$1, 2*(ROW()-8)-2, 0, 1, 1000), "&lt;"&amp;$B$7, OFFSET(현금흐름!$C$1, 2*(ROW()-8)-1, 0, 1, 1000) )</f>
        <v>0</v>
      </c>
      <c r="T38" s="56" t="str">
        <f>IF( ISBLANK($B38), "", _xll.IMDP("BND", $B38, $T$5, $B$7) )</f>
        <v/>
      </c>
      <c r="U38" s="54" t="str">
        <f t="shared" ca="1" si="6"/>
        <v/>
      </c>
      <c r="V38" s="56" t="str">
        <f t="shared" ca="1" si="7"/>
        <v/>
      </c>
      <c r="W38" s="56" t="str">
        <f t="shared" ca="1" si="2"/>
        <v/>
      </c>
      <c r="X38" s="57" t="str">
        <f t="shared" ca="1" si="3"/>
        <v/>
      </c>
      <c r="Y38" s="57" t="str">
        <f t="shared" ca="1" si="4"/>
        <v/>
      </c>
      <c r="Z38" s="58" t="str">
        <f t="shared" ca="1" si="5"/>
        <v/>
      </c>
    </row>
  </sheetData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Group Box 2">
              <controlPr defaultSize="0" autoFill="0" autoPict="0">
                <anchor moveWithCells="1">
                  <from>
                    <xdr:col>2</xdr:col>
                    <xdr:colOff>66675</xdr:colOff>
                    <xdr:row>5</xdr:row>
                    <xdr:rowOff>76200</xdr:rowOff>
                  </from>
                  <to>
                    <xdr:col>2</xdr:col>
                    <xdr:colOff>1323975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 macro="[0]!chg">
                <anchor moveWithCells="1">
                  <from>
                    <xdr:col>2</xdr:col>
                    <xdr:colOff>57150</xdr:colOff>
                    <xdr:row>5</xdr:row>
                    <xdr:rowOff>57150</xdr:rowOff>
                  </from>
                  <to>
                    <xdr:col>2</xdr:col>
                    <xdr:colOff>685800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Option Button 4">
              <controlPr defaultSize="0" autoFill="0" autoLine="0" autoPict="0" macro="[0]!chg">
                <anchor moveWithCells="1">
                  <from>
                    <xdr:col>2</xdr:col>
                    <xdr:colOff>628650</xdr:colOff>
                    <xdr:row>5</xdr:row>
                    <xdr:rowOff>57150</xdr:rowOff>
                  </from>
                  <to>
                    <xdr:col>2</xdr:col>
                    <xdr:colOff>1333500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Drop Down 5">
              <controlPr defaultSize="0" autoLine="0" autoPict="0">
                <anchor moveWithCells="1">
                  <from>
                    <xdr:col>2</xdr:col>
                    <xdr:colOff>1438275</xdr:colOff>
                    <xdr:row>5</xdr:row>
                    <xdr:rowOff>76200</xdr:rowOff>
                  </from>
                  <to>
                    <xdr:col>2</xdr:col>
                    <xdr:colOff>2162175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307D0-3656-4BDD-A5E4-D43275291977}">
  <sheetPr codeName="Sheet2"/>
  <dimension ref="A1:DD133"/>
  <sheetViews>
    <sheetView topLeftCell="A47" workbookViewId="0">
      <selection activeCell="D64" sqref="D64"/>
    </sheetView>
  </sheetViews>
  <sheetFormatPr defaultRowHeight="16.5"/>
  <cols>
    <col min="1" max="1" width="11.125" bestFit="1" customWidth="1"/>
    <col min="3" max="3" width="10.75" customWidth="1"/>
    <col min="4" max="7" width="12.75" customWidth="1"/>
    <col min="8" max="23" width="11.125" bestFit="1" customWidth="1"/>
  </cols>
  <sheetData>
    <row r="1" spans="1:108">
      <c r="A1" s="62"/>
      <c r="B1" s="63" t="str" cm="1">
        <f t="array" ref="B1">_xll.IMDT("채권현금흐름",B2,채권관심종목!$U$4:$U$5,100,A2,0,"","sort=A,DtFmt=1,Pos=10,Orient=H")</f>
        <v>조회[KR103503GCC6]</v>
      </c>
      <c r="C1" s="61">
        <v>45087</v>
      </c>
      <c r="D1" s="61">
        <v>45270</v>
      </c>
      <c r="E1" s="61">
        <v>45453</v>
      </c>
      <c r="F1" s="61">
        <v>45636</v>
      </c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</row>
    <row r="2" spans="1:108">
      <c r="A2" s="64">
        <f>채권관심종목!$E9</f>
        <v>44623</v>
      </c>
      <c r="B2" s="65" t="str">
        <f>채권관심종목!$B9</f>
        <v>KR103503GCC6</v>
      </c>
      <c r="C2">
        <v>212.5</v>
      </c>
      <c r="D2">
        <v>212.5</v>
      </c>
      <c r="E2">
        <v>212.5</v>
      </c>
      <c r="F2">
        <v>212.5</v>
      </c>
    </row>
    <row r="3" spans="1:108">
      <c r="A3" s="66"/>
      <c r="B3" s="65" t="str" cm="1">
        <f t="array" ref="B3">_xll.IMDT("채권현금흐름",B4,채권관심종목!$U$4:$U$5,100,A4,0,"","sort=A,DtFmt=1,Pos=10,Orient=H")</f>
        <v>조회[KR103501GCC0]</v>
      </c>
      <c r="C3" s="61">
        <v>45087</v>
      </c>
      <c r="D3" s="61">
        <v>45270</v>
      </c>
      <c r="E3" s="61">
        <v>45453</v>
      </c>
      <c r="F3" s="61">
        <v>45636</v>
      </c>
      <c r="G3" s="61">
        <v>45818</v>
      </c>
      <c r="H3" s="61">
        <v>46001</v>
      </c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61"/>
      <c r="BH3" s="61"/>
      <c r="BI3" s="61"/>
      <c r="BJ3" s="61"/>
      <c r="BK3" s="61"/>
      <c r="BL3" s="61"/>
      <c r="BM3" s="61"/>
      <c r="BN3" s="61"/>
      <c r="BO3" s="61"/>
      <c r="BP3" s="61"/>
      <c r="BQ3" s="61"/>
      <c r="BR3" s="61"/>
      <c r="BS3" s="61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</row>
    <row r="4" spans="1:108">
      <c r="A4" s="64">
        <f>채권관심종목!$E10</f>
        <v>44623</v>
      </c>
      <c r="B4" s="65" t="str">
        <f>채권관심종목!$B10</f>
        <v>KR103501GCC0</v>
      </c>
      <c r="C4">
        <v>212.5</v>
      </c>
      <c r="D4">
        <v>212.5</v>
      </c>
      <c r="E4">
        <v>212.5</v>
      </c>
      <c r="F4">
        <v>212.5</v>
      </c>
      <c r="G4">
        <v>212.5</v>
      </c>
      <c r="H4">
        <v>212.5</v>
      </c>
    </row>
    <row r="5" spans="1:108">
      <c r="A5" s="66"/>
      <c r="B5" s="65" t="str" cm="1">
        <f t="array" ref="B5">_xll.IMDT("채권현금흐름",B6,채권관심종목!$U$4:$U$5,100,A6,0,"","sort=A,DtFmt=1,Pos=10,Orient=H")</f>
        <v>조회[KR103502GCC8]</v>
      </c>
      <c r="C5" s="61">
        <v>45087</v>
      </c>
      <c r="D5" s="61">
        <v>45270</v>
      </c>
      <c r="E5" s="61">
        <v>45453</v>
      </c>
      <c r="F5" s="61">
        <v>45636</v>
      </c>
      <c r="G5" s="61">
        <v>45818</v>
      </c>
      <c r="H5" s="61">
        <v>46001</v>
      </c>
      <c r="I5" s="61">
        <v>46183</v>
      </c>
      <c r="J5" s="61">
        <v>46366</v>
      </c>
      <c r="K5" s="61">
        <v>46548</v>
      </c>
      <c r="L5" s="61">
        <v>46731</v>
      </c>
      <c r="M5" s="61">
        <v>46914</v>
      </c>
      <c r="N5" s="61">
        <v>47097</v>
      </c>
      <c r="O5" s="61">
        <v>47279</v>
      </c>
      <c r="P5" s="61">
        <v>47462</v>
      </c>
      <c r="Q5" s="61">
        <v>47644</v>
      </c>
      <c r="R5" s="61">
        <v>47827</v>
      </c>
      <c r="S5" s="61">
        <v>48009</v>
      </c>
      <c r="T5" s="61">
        <v>48192</v>
      </c>
      <c r="U5" s="61">
        <v>48375</v>
      </c>
      <c r="V5" s="61">
        <v>48558</v>
      </c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</row>
    <row r="6" spans="1:108">
      <c r="A6" s="64">
        <f>채권관심종목!$E11</f>
        <v>44623</v>
      </c>
      <c r="B6" s="65" t="str">
        <f>채권관심종목!$B11</f>
        <v>KR103502GCC8</v>
      </c>
      <c r="C6">
        <v>212.5</v>
      </c>
      <c r="D6">
        <v>212.5</v>
      </c>
      <c r="E6">
        <v>212.5</v>
      </c>
      <c r="F6">
        <v>212.5</v>
      </c>
      <c r="G6">
        <v>212.5</v>
      </c>
      <c r="H6">
        <v>212.5</v>
      </c>
      <c r="I6">
        <v>212.5</v>
      </c>
      <c r="J6">
        <v>212.5</v>
      </c>
      <c r="K6">
        <v>212.5</v>
      </c>
      <c r="L6">
        <v>212.5</v>
      </c>
      <c r="M6">
        <v>212.5</v>
      </c>
      <c r="N6">
        <v>212.5</v>
      </c>
      <c r="O6">
        <v>212.5</v>
      </c>
      <c r="P6">
        <v>212.5</v>
      </c>
      <c r="Q6">
        <v>212.5</v>
      </c>
      <c r="R6">
        <v>212.5</v>
      </c>
      <c r="S6">
        <v>212.5</v>
      </c>
      <c r="T6">
        <v>212.5</v>
      </c>
      <c r="U6">
        <v>212.5</v>
      </c>
      <c r="V6">
        <v>212.5</v>
      </c>
    </row>
    <row r="7" spans="1:108">
      <c r="A7" s="66"/>
      <c r="B7" s="65" t="str" cm="1">
        <f t="array" ref="B7">_xll.IMDT("채권현금흐름",B8,채권관심종목!$U$4:$U$5,100,A8,0,"","sort=A,DtFmt=1,Pos=10,Orient=H")</f>
        <v>조회[KR350101G389]</v>
      </c>
      <c r="C7" s="61">
        <v>44778</v>
      </c>
      <c r="D7" s="61">
        <v>44962</v>
      </c>
      <c r="E7" s="61">
        <v>45143</v>
      </c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</row>
    <row r="8" spans="1:108">
      <c r="A8" s="64">
        <f>채권관심종목!$E12</f>
        <v>44623</v>
      </c>
      <c r="B8" s="65" t="str">
        <f>채권관심종목!$B12</f>
        <v>KR350101G389</v>
      </c>
      <c r="C8">
        <v>184.5</v>
      </c>
      <c r="D8">
        <v>184.5</v>
      </c>
      <c r="E8">
        <v>184.5</v>
      </c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</row>
    <row r="9" spans="1:108">
      <c r="A9" s="64"/>
      <c r="B9" s="65" t="str" cm="1">
        <f t="array" ref="B9">_xll.IMDT("채권현금흐름",B10,채권관심종목!$U$4:$U$5,100,A10,0,"","sort=A,DtFmt=1,Pos=10,Orient=H")</f>
        <v>조회[KR2005021A68]</v>
      </c>
      <c r="C9" s="61">
        <v>44730</v>
      </c>
      <c r="D9" s="61">
        <v>45095</v>
      </c>
      <c r="E9" s="61">
        <v>45461</v>
      </c>
      <c r="F9" s="61">
        <v>45826</v>
      </c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</row>
    <row r="10" spans="1:108">
      <c r="A10" s="64">
        <f>채권관심종목!$E13</f>
        <v>44623</v>
      </c>
      <c r="B10" s="65" t="str">
        <f>채권관심종목!$B13</f>
        <v>KR2005021A68</v>
      </c>
      <c r="C10">
        <v>135.5</v>
      </c>
      <c r="D10">
        <v>135.5</v>
      </c>
      <c r="E10">
        <v>135.5</v>
      </c>
      <c r="F10">
        <v>135.5</v>
      </c>
    </row>
    <row r="11" spans="1:108">
      <c r="A11" s="64"/>
      <c r="B11" s="65" t="str" cm="1">
        <f t="array" ref="B11">_xll.IMDT("채권현금흐름",B12,채권관심종목!$U$4:$U$5,100,A12,0,"","sort=A,DtFmt=1,Pos=10,Orient=H")</f>
        <v>입력오류</v>
      </c>
    </row>
    <row r="12" spans="1:108">
      <c r="A12" s="64">
        <f>채권관심종목!$E14</f>
        <v>0</v>
      </c>
      <c r="B12" s="65">
        <f>채권관심종목!$B14</f>
        <v>0</v>
      </c>
    </row>
    <row r="13" spans="1:108">
      <c r="A13" s="64"/>
      <c r="B13" s="65" t="str" cm="1">
        <f t="array" ref="B13">_xll.IMDT("채권현금흐름",B14,채권관심종목!$U$4:$U$5,100,A14,0,"","sort=A,DtFmt=1,Pos=10,Orient=H")</f>
        <v>입력오류</v>
      </c>
    </row>
    <row r="14" spans="1:108">
      <c r="A14" s="64">
        <f>채권관심종목!$E15</f>
        <v>0</v>
      </c>
      <c r="B14" s="65">
        <f>채권관심종목!$B15</f>
        <v>0</v>
      </c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>
      <c r="A15" s="64"/>
      <c r="B15" s="65" t="str" cm="1">
        <f t="array" ref="B15">_xll.IMDT("채권현금흐름",B16,채권관심종목!$U$4:$U$5,100,A16,0,"","sort=A,DtFmt=1,Pos=10,Orient=H")</f>
        <v>입력오류</v>
      </c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1"/>
      <c r="AS15" s="61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1"/>
      <c r="CB15" s="61"/>
      <c r="CC15" s="61"/>
      <c r="CD15" s="61"/>
      <c r="CE15" s="61"/>
      <c r="CF15" s="61"/>
      <c r="CG15" s="61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</row>
    <row r="16" spans="1:108">
      <c r="A16" s="64">
        <f>채권관심종목!$E16</f>
        <v>0</v>
      </c>
      <c r="B16" s="65">
        <f>채권관심종목!$B16</f>
        <v>0</v>
      </c>
      <c r="C16" s="61"/>
    </row>
    <row r="17" spans="1:7">
      <c r="A17" s="64"/>
      <c r="B17" s="65" t="str" cm="1">
        <f t="array" ref="B17">_xll.IMDT("채권현금흐름",B18,채권관심종목!$U$4:$U$5,100,A18,0,"","sort=A,DtFmt=1,Pos=10,Orient=H")</f>
        <v>입력오류</v>
      </c>
      <c r="C17" s="61"/>
    </row>
    <row r="18" spans="1:7">
      <c r="A18" s="64">
        <f>채권관심종목!$E17</f>
        <v>0</v>
      </c>
      <c r="B18" s="65">
        <f>채권관심종목!$B17</f>
        <v>0</v>
      </c>
      <c r="C18" s="61"/>
    </row>
    <row r="19" spans="1:7">
      <c r="A19" s="64"/>
      <c r="B19" s="65" t="str" cm="1">
        <f t="array" ref="B19">_xll.IMDT("채권현금흐름",B20,채권관심종목!$U$4:$U$5,100,A20,0,"","sort=A,DtFmt=1,Pos=10,Orient=H")</f>
        <v>입력오류</v>
      </c>
      <c r="C19" s="61"/>
    </row>
    <row r="20" spans="1:7">
      <c r="A20" s="64">
        <f>채권관심종목!$E18</f>
        <v>0</v>
      </c>
      <c r="B20" s="65">
        <f>채권관심종목!$B18</f>
        <v>0</v>
      </c>
      <c r="C20" s="61"/>
    </row>
    <row r="21" spans="1:7">
      <c r="A21" s="64"/>
      <c r="B21" s="65" t="str" cm="1">
        <f t="array" ref="B21">_xll.IMDT("채권현금흐름",B22,채권관심종목!$U$4:$U$5,100,A22,0,"","sort=A,DtFmt=1,Pos=10,Orient=H")</f>
        <v>입력오류</v>
      </c>
      <c r="C21" s="61"/>
    </row>
    <row r="22" spans="1:7">
      <c r="A22" s="64">
        <f>채권관심종목!$E19</f>
        <v>0</v>
      </c>
      <c r="B22" s="65">
        <f>채권관심종목!$B19</f>
        <v>0</v>
      </c>
      <c r="C22" s="61"/>
    </row>
    <row r="23" spans="1:7">
      <c r="A23" s="64"/>
      <c r="B23" s="65" t="str" cm="1">
        <f t="array" ref="B23">_xll.IMDT("채권현금흐름",B24,채권관심종목!$U$4:$U$5,100,A24,0,"","sort=A,DtFmt=1,Pos=10,Orient=H")</f>
        <v>입력오류</v>
      </c>
      <c r="C23" s="61"/>
    </row>
    <row r="24" spans="1:7">
      <c r="A24" s="64">
        <f>채권관심종목!$E20</f>
        <v>0</v>
      </c>
      <c r="B24" s="65">
        <f>채권관심종목!$B20</f>
        <v>0</v>
      </c>
      <c r="C24" s="61"/>
      <c r="G24" s="61"/>
    </row>
    <row r="25" spans="1:7">
      <c r="A25" s="64"/>
      <c r="B25" s="65" t="str" cm="1">
        <f t="array" ref="B25">_xll.IMDT("채권현금흐름",B26,채권관심종목!$U$4:$U$5,100,A26,0,"","sort=A,DtFmt=1,Pos=10,Orient=H")</f>
        <v>입력오류</v>
      </c>
      <c r="C25" s="61"/>
      <c r="G25" s="61"/>
    </row>
    <row r="26" spans="1:7">
      <c r="A26" s="64">
        <f>채권관심종목!$E21</f>
        <v>0</v>
      </c>
      <c r="B26" s="65">
        <f>채권관심종목!$B21</f>
        <v>0</v>
      </c>
      <c r="C26" s="61"/>
    </row>
    <row r="27" spans="1:7">
      <c r="A27" s="64"/>
      <c r="B27" s="65" t="str" cm="1">
        <f t="array" ref="B27">_xll.IMDT("채권현금흐름",B28,채권관심종목!$U$4:$U$5,100,A28,0,"","sort=A,DtFmt=1,Pos=10,Orient=H")</f>
        <v>입력오류</v>
      </c>
      <c r="C27" s="61"/>
    </row>
    <row r="28" spans="1:7">
      <c r="A28" s="64">
        <f>채권관심종목!$E22</f>
        <v>0</v>
      </c>
      <c r="B28" s="65">
        <f>채권관심종목!$B22</f>
        <v>0</v>
      </c>
      <c r="C28" s="61"/>
    </row>
    <row r="29" spans="1:7">
      <c r="A29" s="64"/>
      <c r="B29" s="65" t="str" cm="1">
        <f t="array" ref="B29">_xll.IMDT("채권현금흐름",B30,채권관심종목!$U$4:$U$5,100,A30,0,"","sort=A,DtFmt=1,Pos=10,Orient=H")</f>
        <v>입력오류</v>
      </c>
      <c r="C29" s="61"/>
    </row>
    <row r="30" spans="1:7">
      <c r="A30" s="64">
        <f>채권관심종목!$E23</f>
        <v>0</v>
      </c>
      <c r="B30" s="65">
        <f>채권관심종목!$B23</f>
        <v>0</v>
      </c>
      <c r="C30" s="61"/>
    </row>
    <row r="31" spans="1:7">
      <c r="A31" s="64"/>
      <c r="B31" s="65" t="str" cm="1">
        <f t="array" ref="B31">_xll.IMDT("채권현금흐름",B32,채권관심종목!$U$4:$U$5,100,A32,0,"","sort=A,DtFmt=1,Pos=10,Orient=H")</f>
        <v>입력오류</v>
      </c>
      <c r="C31" s="61"/>
    </row>
    <row r="32" spans="1:7">
      <c r="A32" s="64">
        <f>채권관심종목!$E24</f>
        <v>0</v>
      </c>
      <c r="B32" s="65">
        <f>채권관심종목!$B24</f>
        <v>0</v>
      </c>
      <c r="C32" s="61"/>
    </row>
    <row r="33" spans="1:3">
      <c r="A33" s="64"/>
      <c r="B33" s="65" t="str" cm="1">
        <f t="array" ref="B33">_xll.IMDT("채권현금흐름",B34,채권관심종목!$U$4:$U$5,100,A34,0,"","sort=A,DtFmt=1,Pos=10,Orient=H")</f>
        <v>입력오류</v>
      </c>
      <c r="C33" s="61"/>
    </row>
    <row r="34" spans="1:3">
      <c r="A34" s="64">
        <f>채권관심종목!$E25</f>
        <v>0</v>
      </c>
      <c r="B34" s="65">
        <f>채권관심종목!$B25</f>
        <v>0</v>
      </c>
      <c r="C34" s="61"/>
    </row>
    <row r="35" spans="1:3">
      <c r="A35" s="64"/>
      <c r="B35" s="65" t="str" cm="1">
        <f t="array" ref="B35">_xll.IMDT("채권현금흐름",B36,채권관심종목!$U$4:$U$5,100,A36,0,"","sort=A,DtFmt=1,Pos=10,Orient=H")</f>
        <v>입력오류</v>
      </c>
      <c r="C35" s="61"/>
    </row>
    <row r="36" spans="1:3">
      <c r="A36" s="64">
        <f>채권관심종목!$E26</f>
        <v>0</v>
      </c>
      <c r="B36" s="65">
        <f>채권관심종목!$B26</f>
        <v>0</v>
      </c>
      <c r="C36" s="61"/>
    </row>
    <row r="37" spans="1:3">
      <c r="A37" s="64"/>
      <c r="B37" s="65" t="str" cm="1">
        <f t="array" ref="B37">_xll.IMDT("채권현금흐름",B38,채권관심종목!$U$4:$U$5,100,A38,0,"","sort=A,DtFmt=1,Pos=10,Orient=H")</f>
        <v>입력오류</v>
      </c>
      <c r="C37" s="61"/>
    </row>
    <row r="38" spans="1:3">
      <c r="A38" s="64">
        <f>채권관심종목!$E27</f>
        <v>0</v>
      </c>
      <c r="B38" s="65">
        <f>채권관심종목!$B27</f>
        <v>0</v>
      </c>
      <c r="C38" s="61"/>
    </row>
    <row r="39" spans="1:3">
      <c r="A39" s="64"/>
      <c r="B39" s="65" t="str" cm="1">
        <f t="array" ref="B39">_xll.IMDT("채권현금흐름",B40,채권관심종목!$U$4:$U$5,100,A40,0,"","sort=A,DtFmt=1,Pos=10,Orient=H")</f>
        <v>입력오류</v>
      </c>
      <c r="C39" s="61"/>
    </row>
    <row r="40" spans="1:3">
      <c r="A40" s="64">
        <f>채권관심종목!$E28</f>
        <v>0</v>
      </c>
      <c r="B40" s="65">
        <f>채권관심종목!$B28</f>
        <v>0</v>
      </c>
      <c r="C40" s="61"/>
    </row>
    <row r="41" spans="1:3">
      <c r="A41" s="64"/>
      <c r="B41" s="65" t="str" cm="1">
        <f t="array" ref="B41">_xll.IMDT("채권현금흐름",B42,채권관심종목!$U$4:$U$5,100,A42,0,"","sort=A,DtFmt=1,Pos=10,Orient=H")</f>
        <v>입력오류</v>
      </c>
      <c r="C41" s="61"/>
    </row>
    <row r="42" spans="1:3">
      <c r="A42" s="64">
        <f>채권관심종목!$E29</f>
        <v>0</v>
      </c>
      <c r="B42" s="65">
        <f>채권관심종목!$B29</f>
        <v>0</v>
      </c>
      <c r="C42" s="61"/>
    </row>
    <row r="43" spans="1:3">
      <c r="A43" s="64"/>
      <c r="B43" s="65" t="str" cm="1">
        <f t="array" ref="B43">_xll.IMDT("채권현금흐름",B44,채권관심종목!$U$4:$U$5,100,A44,0,"","sort=A,DtFmt=1,Pos=10,Orient=H")</f>
        <v>입력오류</v>
      </c>
      <c r="C43" s="61"/>
    </row>
    <row r="44" spans="1:3">
      <c r="A44" s="64">
        <f>채권관심종목!$E30</f>
        <v>0</v>
      </c>
      <c r="B44" s="65">
        <f>채권관심종목!$B30</f>
        <v>0</v>
      </c>
      <c r="C44" s="61"/>
    </row>
    <row r="45" spans="1:3">
      <c r="A45" s="64"/>
      <c r="B45" s="65" t="str" cm="1">
        <f t="array" ref="B45">_xll.IMDT("채권현금흐름",B46,채권관심종목!$U$4:$U$5,100,A46,0,"","sort=A,DtFmt=1,Pos=10,Orient=H")</f>
        <v>입력오류</v>
      </c>
      <c r="C45" s="61"/>
    </row>
    <row r="46" spans="1:3">
      <c r="A46" s="64">
        <f>채권관심종목!$E31</f>
        <v>0</v>
      </c>
      <c r="B46" s="65">
        <f>채권관심종목!$B31</f>
        <v>0</v>
      </c>
      <c r="C46" s="61"/>
    </row>
    <row r="47" spans="1:3">
      <c r="A47" s="64"/>
      <c r="B47" s="65" t="str" cm="1">
        <f t="array" ref="B47">_xll.IMDT("채권현금흐름",B48,채권관심종목!$U$4:$U$5,100,A48,0,"","sort=A,DtFmt=1,Pos=10,Orient=H")</f>
        <v>입력오류</v>
      </c>
      <c r="C47" s="61"/>
    </row>
    <row r="48" spans="1:3">
      <c r="A48" s="64">
        <f>채권관심종목!$E32</f>
        <v>0</v>
      </c>
      <c r="B48" s="65">
        <f>채권관심종목!$B32</f>
        <v>0</v>
      </c>
      <c r="C48" s="61"/>
    </row>
    <row r="49" spans="1:3">
      <c r="A49" s="64"/>
      <c r="B49" s="65" t="str" cm="1">
        <f t="array" ref="B49">_xll.IMDT("채권현금흐름",B50,채권관심종목!$U$4:$U$5,100,A50,0,"","sort=A,DtFmt=1,Pos=10,Orient=H")</f>
        <v>입력오류</v>
      </c>
      <c r="C49" s="61"/>
    </row>
    <row r="50" spans="1:3">
      <c r="A50" s="64">
        <f>채권관심종목!$E33</f>
        <v>0</v>
      </c>
      <c r="B50" s="65">
        <f>채권관심종목!$B33</f>
        <v>0</v>
      </c>
      <c r="C50" s="61"/>
    </row>
    <row r="51" spans="1:3">
      <c r="A51" s="64"/>
      <c r="B51" s="65" t="str" cm="1">
        <f t="array" ref="B51">_xll.IMDT("채권현금흐름",B52,채권관심종목!$U$4:$U$5,100,A52,0,"","sort=A,DtFmt=1,Pos=10,Orient=H")</f>
        <v>입력오류</v>
      </c>
      <c r="C51" s="61"/>
    </row>
    <row r="52" spans="1:3">
      <c r="A52" s="64">
        <f>채권관심종목!$E34</f>
        <v>0</v>
      </c>
      <c r="B52" s="65">
        <f>채권관심종목!$B34</f>
        <v>0</v>
      </c>
      <c r="C52" s="61"/>
    </row>
    <row r="53" spans="1:3">
      <c r="A53" s="64"/>
      <c r="B53" s="65" t="str" cm="1">
        <f t="array" ref="B53">_xll.IMDT("채권현금흐름",B54,채권관심종목!$U$4:$U$5,100,A54,0,"","sort=A,DtFmt=1,Pos=10,Orient=H")</f>
        <v>입력오류</v>
      </c>
      <c r="C53" s="61"/>
    </row>
    <row r="54" spans="1:3">
      <c r="A54" s="64">
        <f>채권관심종목!$E35</f>
        <v>0</v>
      </c>
      <c r="B54" s="65">
        <f>채권관심종목!$B35</f>
        <v>0</v>
      </c>
      <c r="C54" s="61"/>
    </row>
    <row r="55" spans="1:3">
      <c r="A55" s="64"/>
      <c r="B55" s="65" t="str" cm="1">
        <f t="array" ref="B55">_xll.IMDT("채권현금흐름",B56,채권관심종목!$U$4:$U$5,100,A56,0,"","sort=A,DtFmt=1,Pos=10,Orient=H")</f>
        <v>입력오류</v>
      </c>
      <c r="C55" s="61"/>
    </row>
    <row r="56" spans="1:3">
      <c r="A56" s="64">
        <f>채권관심종목!$E36</f>
        <v>0</v>
      </c>
      <c r="B56" s="65">
        <f>채권관심종목!$B36</f>
        <v>0</v>
      </c>
      <c r="C56" s="61"/>
    </row>
    <row r="57" spans="1:3">
      <c r="A57" s="64"/>
      <c r="B57" s="65" t="str" cm="1">
        <f t="array" ref="B57">_xll.IMDT("채권현금흐름",B58,채권관심종목!$U$4:$U$5,100,A58,0,"","sort=A,DtFmt=1,Pos=10,Orient=H")</f>
        <v>입력오류</v>
      </c>
      <c r="C57" s="61"/>
    </row>
    <row r="58" spans="1:3">
      <c r="A58" s="64">
        <f>채권관심종목!$E37</f>
        <v>0</v>
      </c>
      <c r="B58" s="65">
        <f>채권관심종목!$B37</f>
        <v>0</v>
      </c>
      <c r="C58" s="61"/>
    </row>
    <row r="59" spans="1:3">
      <c r="A59" s="64"/>
      <c r="B59" s="65" t="str" cm="1">
        <f t="array" ref="B59">_xll.IMDT("채권현금흐름",B60,채권관심종목!$U$4:$U$5,100,A60,0,"","sort=A,DtFmt=1,Pos=10,Orient=H")</f>
        <v>입력오류</v>
      </c>
      <c r="C59" s="61"/>
    </row>
    <row r="60" spans="1:3" ht="17.25" thickBot="1">
      <c r="A60" s="67">
        <f>채권관심종목!$E38</f>
        <v>0</v>
      </c>
      <c r="B60" s="68">
        <f>채권관심종목!$B38</f>
        <v>0</v>
      </c>
      <c r="C60" s="61"/>
    </row>
    <row r="61" spans="1:3">
      <c r="C61" s="61"/>
    </row>
    <row r="62" spans="1:3">
      <c r="C62" s="61"/>
    </row>
    <row r="63" spans="1:3">
      <c r="C63" s="61"/>
    </row>
    <row r="64" spans="1:3">
      <c r="C64" s="61"/>
    </row>
    <row r="65" spans="3:3">
      <c r="C65" s="61"/>
    </row>
    <row r="66" spans="3:3">
      <c r="C66" s="61"/>
    </row>
    <row r="67" spans="3:3">
      <c r="C67" s="61"/>
    </row>
    <row r="68" spans="3:3">
      <c r="C68" s="61"/>
    </row>
    <row r="69" spans="3:3">
      <c r="C69" s="61"/>
    </row>
    <row r="70" spans="3:3">
      <c r="C70" s="61"/>
    </row>
    <row r="71" spans="3:3">
      <c r="C71" s="61"/>
    </row>
    <row r="72" spans="3:3">
      <c r="C72" s="61"/>
    </row>
    <row r="73" spans="3:3">
      <c r="C73" s="61"/>
    </row>
    <row r="74" spans="3:3">
      <c r="C74" s="61"/>
    </row>
    <row r="75" spans="3:3">
      <c r="C75" s="61"/>
    </row>
    <row r="76" spans="3:3">
      <c r="C76" s="61"/>
    </row>
    <row r="77" spans="3:3">
      <c r="C77" s="61"/>
    </row>
    <row r="78" spans="3:3">
      <c r="C78" s="61"/>
    </row>
    <row r="79" spans="3:3">
      <c r="C79" s="61"/>
    </row>
    <row r="80" spans="3:3">
      <c r="C80" s="61"/>
    </row>
    <row r="81" spans="3:3">
      <c r="C81" s="61"/>
    </row>
    <row r="82" spans="3:3">
      <c r="C82" s="61"/>
    </row>
    <row r="83" spans="3:3">
      <c r="C83" s="61"/>
    </row>
    <row r="84" spans="3:3">
      <c r="C84" s="61"/>
    </row>
    <row r="85" spans="3:3">
      <c r="C85" s="61"/>
    </row>
    <row r="86" spans="3:3">
      <c r="C86" s="61"/>
    </row>
    <row r="87" spans="3:3">
      <c r="C87" s="61"/>
    </row>
    <row r="88" spans="3:3">
      <c r="C88" s="61"/>
    </row>
    <row r="89" spans="3:3">
      <c r="C89" s="61"/>
    </row>
    <row r="90" spans="3:3">
      <c r="C90" s="61"/>
    </row>
    <row r="91" spans="3:3">
      <c r="C91" s="61"/>
    </row>
    <row r="92" spans="3:3">
      <c r="C92" s="61"/>
    </row>
    <row r="93" spans="3:3">
      <c r="C93" s="61"/>
    </row>
    <row r="94" spans="3:3">
      <c r="C94" s="61"/>
    </row>
    <row r="95" spans="3:3">
      <c r="C95" s="61"/>
    </row>
    <row r="96" spans="3:3">
      <c r="C96" s="61"/>
    </row>
    <row r="97" spans="3:3">
      <c r="C97" s="61"/>
    </row>
    <row r="98" spans="3:3">
      <c r="C98" s="61"/>
    </row>
    <row r="99" spans="3:3">
      <c r="C99" s="61"/>
    </row>
    <row r="100" spans="3:3">
      <c r="C100" s="61"/>
    </row>
    <row r="101" spans="3:3">
      <c r="C101" s="61"/>
    </row>
    <row r="102" spans="3:3">
      <c r="C102" s="61"/>
    </row>
    <row r="103" spans="3:3">
      <c r="C103" s="61"/>
    </row>
    <row r="104" spans="3:3">
      <c r="C104" s="61"/>
    </row>
    <row r="105" spans="3:3">
      <c r="C105" s="61"/>
    </row>
    <row r="106" spans="3:3">
      <c r="C106" s="61"/>
    </row>
    <row r="107" spans="3:3">
      <c r="C107" s="61"/>
    </row>
    <row r="108" spans="3:3">
      <c r="C108" s="61"/>
    </row>
    <row r="109" spans="3:3">
      <c r="C109" s="61"/>
    </row>
    <row r="110" spans="3:3">
      <c r="C110" s="61"/>
    </row>
    <row r="111" spans="3:3">
      <c r="C111" s="61"/>
    </row>
    <row r="112" spans="3:3">
      <c r="C112" s="61"/>
    </row>
    <row r="113" spans="3:3">
      <c r="C113" s="61"/>
    </row>
    <row r="114" spans="3:3">
      <c r="C114" s="61"/>
    </row>
    <row r="115" spans="3:3">
      <c r="C115" s="61"/>
    </row>
    <row r="116" spans="3:3">
      <c r="C116" s="61"/>
    </row>
    <row r="117" spans="3:3">
      <c r="C117" s="61"/>
    </row>
    <row r="118" spans="3:3">
      <c r="C118" s="61"/>
    </row>
    <row r="119" spans="3:3">
      <c r="C119" s="61"/>
    </row>
    <row r="120" spans="3:3">
      <c r="C120" s="61"/>
    </row>
    <row r="121" spans="3:3">
      <c r="C121" s="61"/>
    </row>
    <row r="122" spans="3:3">
      <c r="C122" s="61"/>
    </row>
    <row r="123" spans="3:3">
      <c r="C123" s="61"/>
    </row>
    <row r="124" spans="3:3">
      <c r="C124" s="61"/>
    </row>
    <row r="125" spans="3:3">
      <c r="C125" s="61"/>
    </row>
    <row r="126" spans="3:3">
      <c r="C126" s="61"/>
    </row>
    <row r="127" spans="3:3">
      <c r="C127" s="61"/>
    </row>
    <row r="128" spans="3:3">
      <c r="C128" s="61"/>
    </row>
    <row r="129" spans="3:3">
      <c r="C129" s="61"/>
    </row>
    <row r="130" spans="3:3">
      <c r="C130" s="61"/>
    </row>
    <row r="131" spans="3:3">
      <c r="C131" s="61"/>
    </row>
    <row r="132" spans="3:3">
      <c r="C132" s="61"/>
    </row>
    <row r="133" spans="3:3">
      <c r="C133" s="6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채권관심종목</vt:lpstr>
      <vt:lpstr>현금흐름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infomax</dc:creator>
  <cp:lastModifiedBy>infomax</cp:lastModifiedBy>
  <dcterms:created xsi:type="dcterms:W3CDTF">2023-03-06T04:11:12Z</dcterms:created>
  <dcterms:modified xsi:type="dcterms:W3CDTF">2023-08-31T07:16:55Z</dcterms:modified>
</cp:coreProperties>
</file>